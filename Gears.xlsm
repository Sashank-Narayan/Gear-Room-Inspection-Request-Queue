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4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5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6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240" yWindow="60" windowWidth="20115" windowHeight="8010" activeTab="6"/>
  </bookViews>
  <sheets>
    <sheet name="Home" sheetId="6" r:id="rId1"/>
    <sheet name="OverView" sheetId="8" r:id="rId2"/>
    <sheet name="P100L" sheetId="3" r:id="rId3"/>
    <sheet name="P100" sheetId="4" r:id="rId4"/>
    <sheet name="P65" sheetId="5" r:id="rId5"/>
    <sheet name="BG_Data" sheetId="1" state="veryHidden" r:id="rId6"/>
    <sheet name="Lookup" sheetId="7" r:id="rId7"/>
  </sheets>
  <functionGroups builtInGroupCount="17"/>
  <definedNames>
    <definedName name="_xlnm._FilterDatabase" localSheetId="1" hidden="1">OverView!$A$3:$T$3</definedName>
    <definedName name="_xlnm._FilterDatabase" localSheetId="4" hidden="1">'P65'!$A$3:$X$3</definedName>
  </definedNames>
  <calcPr calcId="144525"/>
</workbook>
</file>

<file path=xl/calcChain.xml><?xml version="1.0" encoding="utf-8"?>
<calcChain xmlns="http://schemas.openxmlformats.org/spreadsheetml/2006/main">
  <c r="J102" i="7" l="1"/>
  <c r="J101" i="7"/>
  <c r="J100" i="7"/>
  <c r="J99" i="7"/>
  <c r="J98" i="7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L71" i="7"/>
  <c r="J71" i="7"/>
  <c r="L70" i="7"/>
  <c r="J70" i="7"/>
  <c r="L69" i="7"/>
  <c r="J69" i="7"/>
  <c r="L68" i="7"/>
  <c r="J68" i="7"/>
  <c r="L67" i="7"/>
  <c r="J67" i="7"/>
  <c r="L66" i="7"/>
  <c r="J66" i="7"/>
  <c r="L65" i="7"/>
  <c r="J65" i="7"/>
  <c r="L64" i="7"/>
  <c r="J64" i="7"/>
  <c r="L63" i="7"/>
  <c r="J63" i="7"/>
  <c r="L62" i="7"/>
  <c r="J62" i="7"/>
  <c r="L61" i="7"/>
  <c r="J61" i="7"/>
  <c r="L60" i="7"/>
  <c r="J60" i="7"/>
  <c r="L59" i="7"/>
  <c r="J59" i="7"/>
  <c r="L58" i="7"/>
  <c r="J58" i="7"/>
  <c r="L57" i="7"/>
  <c r="J57" i="7"/>
  <c r="L56" i="7"/>
  <c r="J56" i="7"/>
  <c r="G55" i="7"/>
  <c r="J55" i="7" s="1"/>
  <c r="G54" i="7"/>
  <c r="L54" i="7" s="1"/>
  <c r="L53" i="7"/>
  <c r="J53" i="7"/>
  <c r="G53" i="7"/>
  <c r="G52" i="7"/>
  <c r="L52" i="7" s="1"/>
  <c r="G51" i="7"/>
  <c r="J51" i="7" s="1"/>
  <c r="L50" i="7"/>
  <c r="G50" i="7"/>
  <c r="J50" i="7" s="1"/>
  <c r="L49" i="7"/>
  <c r="J49" i="7"/>
  <c r="G49" i="7"/>
  <c r="G48" i="7"/>
  <c r="L48" i="7" s="1"/>
  <c r="G47" i="7"/>
  <c r="J47" i="7" s="1"/>
  <c r="L46" i="7"/>
  <c r="G46" i="7"/>
  <c r="J46" i="7" s="1"/>
  <c r="L45" i="7"/>
  <c r="J45" i="7"/>
  <c r="G45" i="7"/>
  <c r="G44" i="7"/>
  <c r="L44" i="7" s="1"/>
  <c r="G43" i="7"/>
  <c r="J43" i="7" s="1"/>
  <c r="L42" i="7"/>
  <c r="G42" i="7"/>
  <c r="J42" i="7" s="1"/>
  <c r="L41" i="7"/>
  <c r="J41" i="7"/>
  <c r="G41" i="7"/>
  <c r="G40" i="7"/>
  <c r="L40" i="7" s="1"/>
  <c r="G39" i="7"/>
  <c r="J39" i="7" s="1"/>
  <c r="L38" i="7"/>
  <c r="G38" i="7"/>
  <c r="J38" i="7" s="1"/>
  <c r="L37" i="7"/>
  <c r="J37" i="7"/>
  <c r="G37" i="7"/>
  <c r="G36" i="7"/>
  <c r="L36" i="7" s="1"/>
  <c r="G35" i="7"/>
  <c r="J35" i="7" s="1"/>
  <c r="L34" i="7"/>
  <c r="G34" i="7"/>
  <c r="J34" i="7" s="1"/>
  <c r="L33" i="7"/>
  <c r="J33" i="7"/>
  <c r="G33" i="7"/>
  <c r="G32" i="7"/>
  <c r="L32" i="7" s="1"/>
  <c r="G31" i="7"/>
  <c r="J31" i="7" s="1"/>
  <c r="L30" i="7"/>
  <c r="G30" i="7"/>
  <c r="J30" i="7" s="1"/>
  <c r="L29" i="7"/>
  <c r="J29" i="7"/>
  <c r="G29" i="7"/>
  <c r="G28" i="7"/>
  <c r="L28" i="7" s="1"/>
  <c r="G27" i="7"/>
  <c r="J27" i="7" s="1"/>
  <c r="L26" i="7"/>
  <c r="G26" i="7"/>
  <c r="J26" i="7" s="1"/>
  <c r="L25" i="7"/>
  <c r="J25" i="7"/>
  <c r="G25" i="7"/>
  <c r="G24" i="7"/>
  <c r="L24" i="7" s="1"/>
  <c r="G23" i="7"/>
  <c r="J23" i="7" s="1"/>
  <c r="L22" i="7"/>
  <c r="G22" i="7"/>
  <c r="J22" i="7" s="1"/>
  <c r="L21" i="7"/>
  <c r="J21" i="7"/>
  <c r="G21" i="7"/>
  <c r="G20" i="7"/>
  <c r="L20" i="7" s="1"/>
  <c r="A20" i="7"/>
  <c r="G19" i="7"/>
  <c r="L19" i="7" s="1"/>
  <c r="A19" i="7"/>
  <c r="G18" i="7"/>
  <c r="L18" i="7" s="1"/>
  <c r="G17" i="7"/>
  <c r="J17" i="7" s="1"/>
  <c r="L16" i="7"/>
  <c r="G16" i="7"/>
  <c r="J16" i="7" s="1"/>
  <c r="A16" i="7"/>
  <c r="L15" i="7"/>
  <c r="G15" i="7"/>
  <c r="J15" i="7" s="1"/>
  <c r="A15" i="7"/>
  <c r="L14" i="7"/>
  <c r="G14" i="7"/>
  <c r="J14" i="7" s="1"/>
  <c r="A14" i="7"/>
  <c r="L13" i="7"/>
  <c r="G13" i="7"/>
  <c r="J13" i="7" s="1"/>
  <c r="L12" i="7"/>
  <c r="J12" i="7"/>
  <c r="G12" i="7"/>
  <c r="A12" i="7"/>
  <c r="L11" i="7"/>
  <c r="J11" i="7"/>
  <c r="G11" i="7"/>
  <c r="A11" i="7"/>
  <c r="L10" i="7"/>
  <c r="J10" i="7"/>
  <c r="G10" i="7"/>
  <c r="A10" i="7"/>
  <c r="L9" i="7"/>
  <c r="J9" i="7"/>
  <c r="G9" i="7"/>
  <c r="A9" i="7"/>
  <c r="L8" i="7"/>
  <c r="J8" i="7"/>
  <c r="G8" i="7"/>
  <c r="A8" i="7"/>
  <c r="L7" i="7"/>
  <c r="J7" i="7"/>
  <c r="G7" i="7"/>
  <c r="A7" i="7"/>
  <c r="L6" i="7"/>
  <c r="J6" i="7"/>
  <c r="G6" i="7"/>
  <c r="A6" i="7"/>
  <c r="L5" i="7"/>
  <c r="J5" i="7"/>
  <c r="G5" i="7"/>
  <c r="G4" i="7"/>
  <c r="L4" i="7" s="1"/>
  <c r="A4" i="7"/>
  <c r="G3" i="7"/>
  <c r="L3" i="7" s="1"/>
  <c r="A3" i="7"/>
  <c r="G2" i="7"/>
  <c r="L2" i="7" s="1"/>
  <c r="A2" i="7"/>
  <c r="J24" i="7" l="1"/>
  <c r="L17" i="7"/>
  <c r="L23" i="7"/>
  <c r="L27" i="7"/>
  <c r="L31" i="7"/>
  <c r="L35" i="7"/>
  <c r="L39" i="7"/>
  <c r="L43" i="7"/>
  <c r="L47" i="7"/>
  <c r="L51" i="7"/>
  <c r="J54" i="7"/>
  <c r="L55" i="7"/>
  <c r="J19" i="7"/>
  <c r="J20" i="7"/>
  <c r="J28" i="7"/>
  <c r="J36" i="7"/>
  <c r="J40" i="7"/>
  <c r="J44" i="7"/>
  <c r="J48" i="7"/>
  <c r="J52" i="7"/>
  <c r="J2" i="7"/>
  <c r="J3" i="7"/>
  <c r="J4" i="7"/>
  <c r="J18" i="7"/>
  <c r="J32" i="7"/>
  <c r="S4" i="3"/>
  <c r="R4" i="3"/>
  <c r="P5" i="3"/>
  <c r="O4" i="3"/>
  <c r="P4" i="3" s="1"/>
  <c r="C522" i="3" l="1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936" i="3"/>
  <c r="C1937" i="3"/>
  <c r="C1938" i="3"/>
  <c r="C1939" i="3"/>
  <c r="C1940" i="3"/>
  <c r="C1941" i="3"/>
  <c r="C1942" i="3"/>
  <c r="C1943" i="3"/>
  <c r="C1944" i="3"/>
  <c r="C1945" i="3"/>
  <c r="C1946" i="3"/>
  <c r="C1947" i="3"/>
  <c r="C1948" i="3"/>
  <c r="C1949" i="3"/>
  <c r="C1950" i="3"/>
  <c r="C1951" i="3"/>
  <c r="C1952" i="3"/>
  <c r="C1953" i="3"/>
  <c r="C1954" i="3"/>
  <c r="C1955" i="3"/>
  <c r="C1956" i="3"/>
  <c r="C1957" i="3"/>
  <c r="C1958" i="3"/>
  <c r="C1959" i="3"/>
  <c r="C1960" i="3"/>
  <c r="C1961" i="3"/>
  <c r="C1962" i="3"/>
  <c r="C1963" i="3"/>
  <c r="C1964" i="3"/>
  <c r="C1965" i="3"/>
  <c r="C1966" i="3"/>
  <c r="C1967" i="3"/>
  <c r="C1968" i="3"/>
  <c r="C1969" i="3"/>
  <c r="C1970" i="3"/>
  <c r="C1971" i="3"/>
  <c r="C1972" i="3"/>
  <c r="C1973" i="3"/>
  <c r="C1974" i="3"/>
  <c r="C1975" i="3"/>
  <c r="C1976" i="3"/>
  <c r="C1977" i="3"/>
  <c r="C1978" i="3"/>
  <c r="C1979" i="3"/>
  <c r="C1980" i="3"/>
  <c r="C1981" i="3"/>
  <c r="C1982" i="3"/>
  <c r="C1983" i="3"/>
  <c r="C1984" i="3"/>
  <c r="C1985" i="3"/>
  <c r="C1986" i="3"/>
  <c r="C1987" i="3"/>
  <c r="C1988" i="3"/>
  <c r="C1989" i="3"/>
  <c r="C1990" i="3"/>
  <c r="C1991" i="3"/>
  <c r="C1992" i="3"/>
  <c r="C1993" i="3"/>
  <c r="C1994" i="3"/>
  <c r="C1995" i="3"/>
  <c r="C1996" i="3"/>
  <c r="C1997" i="3"/>
  <c r="C1998" i="3"/>
  <c r="C1999" i="3"/>
  <c r="C2000" i="3"/>
  <c r="C2001" i="3"/>
  <c r="C2002" i="3"/>
  <c r="C2003" i="3"/>
  <c r="C2004" i="3"/>
  <c r="C2005" i="3"/>
  <c r="C2006" i="3"/>
  <c r="C2007" i="3"/>
  <c r="C2008" i="3"/>
  <c r="C2009" i="3"/>
  <c r="C2010" i="3"/>
  <c r="C2011" i="3"/>
  <c r="C2012" i="3"/>
  <c r="C2013" i="3"/>
  <c r="C2014" i="3"/>
  <c r="C2015" i="3"/>
  <c r="C2016" i="3"/>
  <c r="C2017" i="3"/>
  <c r="C2018" i="3"/>
  <c r="C2019" i="3"/>
  <c r="C2020" i="3"/>
  <c r="C2021" i="3"/>
  <c r="C2022" i="3"/>
  <c r="C2023" i="3"/>
  <c r="C2024" i="3"/>
  <c r="C2025" i="3"/>
  <c r="C2026" i="3"/>
  <c r="C2027" i="3"/>
  <c r="C2028" i="3"/>
  <c r="C2029" i="3"/>
  <c r="C2030" i="3"/>
  <c r="C2031" i="3"/>
  <c r="C2032" i="3"/>
  <c r="C2033" i="3"/>
  <c r="C2034" i="3"/>
  <c r="C2035" i="3"/>
  <c r="C2036" i="3"/>
  <c r="C2037" i="3"/>
  <c r="C2038" i="3"/>
  <c r="C2039" i="3"/>
  <c r="C2040" i="3"/>
  <c r="C2041" i="3"/>
  <c r="C2042" i="3"/>
  <c r="C2043" i="3"/>
  <c r="C2044" i="3"/>
  <c r="C2045" i="3"/>
  <c r="C2046" i="3"/>
  <c r="C2047" i="3"/>
  <c r="C2048" i="3"/>
  <c r="C2049" i="3"/>
  <c r="C2050" i="3"/>
  <c r="C2051" i="3"/>
  <c r="C2052" i="3"/>
  <c r="C2053" i="3"/>
  <c r="C2054" i="3"/>
  <c r="C2055" i="3"/>
  <c r="C2056" i="3"/>
  <c r="C2057" i="3"/>
  <c r="C2058" i="3"/>
  <c r="C2059" i="3"/>
  <c r="C2060" i="3"/>
  <c r="C2061" i="3"/>
  <c r="C2062" i="3"/>
  <c r="C2063" i="3"/>
  <c r="C2064" i="3"/>
  <c r="C2065" i="3"/>
  <c r="C2066" i="3"/>
  <c r="C2067" i="3"/>
  <c r="C2068" i="3"/>
  <c r="C2069" i="3"/>
  <c r="C2070" i="3"/>
  <c r="C2071" i="3"/>
  <c r="C2072" i="3"/>
  <c r="C2073" i="3"/>
  <c r="C2074" i="3"/>
  <c r="C2075" i="3"/>
  <c r="C2076" i="3"/>
  <c r="C2077" i="3"/>
  <c r="C2078" i="3"/>
  <c r="C2079" i="3"/>
  <c r="C2080" i="3"/>
  <c r="C2081" i="3"/>
  <c r="C2082" i="3"/>
  <c r="C2083" i="3"/>
  <c r="C2084" i="3"/>
  <c r="C2085" i="3"/>
  <c r="C2086" i="3"/>
  <c r="C2087" i="3"/>
  <c r="C2088" i="3"/>
  <c r="C2089" i="3"/>
  <c r="C2090" i="3"/>
  <c r="C2091" i="3"/>
  <c r="C2092" i="3"/>
  <c r="C2093" i="3"/>
  <c r="C2094" i="3"/>
  <c r="C2095" i="3"/>
  <c r="C2096" i="3"/>
  <c r="C2097" i="3"/>
  <c r="C2098" i="3"/>
  <c r="C2099" i="3"/>
  <c r="C2100" i="3"/>
  <c r="C2101" i="3"/>
  <c r="C2102" i="3"/>
  <c r="C520" i="3"/>
  <c r="C521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B1245" i="3"/>
  <c r="B1246" i="3"/>
  <c r="B1247" i="3"/>
  <c r="B1248" i="3"/>
  <c r="B1249" i="3"/>
  <c r="B1250" i="3"/>
  <c r="B1251" i="3"/>
  <c r="B1252" i="3"/>
  <c r="B1253" i="3"/>
  <c r="B1254" i="3"/>
  <c r="B1255" i="3"/>
  <c r="B1256" i="3"/>
  <c r="B1257" i="3"/>
  <c r="B1258" i="3"/>
  <c r="B1259" i="3"/>
  <c r="B1260" i="3"/>
  <c r="B1261" i="3"/>
  <c r="B1262" i="3"/>
  <c r="B1263" i="3"/>
  <c r="B1264" i="3"/>
  <c r="B1265" i="3"/>
  <c r="B1266" i="3"/>
  <c r="B1267" i="3"/>
  <c r="B1268" i="3"/>
  <c r="B1269" i="3"/>
  <c r="B1270" i="3"/>
  <c r="B1271" i="3"/>
  <c r="B1272" i="3"/>
  <c r="B1273" i="3"/>
  <c r="B1274" i="3"/>
  <c r="B1275" i="3"/>
  <c r="B1276" i="3"/>
  <c r="B1277" i="3"/>
  <c r="B1278" i="3"/>
  <c r="B1279" i="3"/>
  <c r="B1280" i="3"/>
  <c r="B1281" i="3"/>
  <c r="B1282" i="3"/>
  <c r="B1283" i="3"/>
  <c r="B1284" i="3"/>
  <c r="B1285" i="3"/>
  <c r="B1286" i="3"/>
  <c r="B1287" i="3"/>
  <c r="B1288" i="3"/>
  <c r="B1289" i="3"/>
  <c r="B1290" i="3"/>
  <c r="B1291" i="3"/>
  <c r="B1292" i="3"/>
  <c r="B1293" i="3"/>
  <c r="B1294" i="3"/>
  <c r="B1295" i="3"/>
  <c r="B1296" i="3"/>
  <c r="B1297" i="3"/>
  <c r="B1298" i="3"/>
  <c r="B1299" i="3"/>
  <c r="B1300" i="3"/>
  <c r="B1301" i="3"/>
  <c r="B1302" i="3"/>
  <c r="B1303" i="3"/>
  <c r="B1304" i="3"/>
  <c r="B1305" i="3"/>
  <c r="B1306" i="3"/>
  <c r="B1307" i="3"/>
  <c r="B1308" i="3"/>
  <c r="B1309" i="3"/>
  <c r="B1310" i="3"/>
  <c r="B1311" i="3"/>
  <c r="B1312" i="3"/>
  <c r="B1313" i="3"/>
  <c r="B1314" i="3"/>
  <c r="B1315" i="3"/>
  <c r="B1316" i="3"/>
  <c r="B1317" i="3"/>
  <c r="B1318" i="3"/>
  <c r="B1319" i="3"/>
  <c r="B1320" i="3"/>
  <c r="B1321" i="3"/>
  <c r="B1322" i="3"/>
  <c r="B1323" i="3"/>
  <c r="B1324" i="3"/>
  <c r="B1325" i="3"/>
  <c r="B1326" i="3"/>
  <c r="B1327" i="3"/>
  <c r="B1328" i="3"/>
  <c r="B1329" i="3"/>
  <c r="B1330" i="3"/>
  <c r="B1331" i="3"/>
  <c r="B1332" i="3"/>
  <c r="B1333" i="3"/>
  <c r="B1334" i="3"/>
  <c r="B1335" i="3"/>
  <c r="B1336" i="3"/>
  <c r="B1337" i="3"/>
  <c r="B1338" i="3"/>
  <c r="B1339" i="3"/>
  <c r="B1340" i="3"/>
  <c r="B1341" i="3"/>
  <c r="B1342" i="3"/>
  <c r="B1343" i="3"/>
  <c r="B1344" i="3"/>
  <c r="B1345" i="3"/>
  <c r="B1346" i="3"/>
  <c r="B1347" i="3"/>
  <c r="B1348" i="3"/>
  <c r="B1349" i="3"/>
  <c r="B1350" i="3"/>
  <c r="B1351" i="3"/>
  <c r="B1352" i="3"/>
  <c r="B1353" i="3"/>
  <c r="B1354" i="3"/>
  <c r="B1355" i="3"/>
  <c r="B1356" i="3"/>
  <c r="B1357" i="3"/>
  <c r="B1358" i="3"/>
  <c r="B1359" i="3"/>
  <c r="B1360" i="3"/>
  <c r="B1361" i="3"/>
  <c r="B1362" i="3"/>
  <c r="B1363" i="3"/>
  <c r="B1364" i="3"/>
  <c r="B1365" i="3"/>
  <c r="B1366" i="3"/>
  <c r="B1367" i="3"/>
  <c r="B1368" i="3"/>
  <c r="B1369" i="3"/>
  <c r="B1370" i="3"/>
  <c r="B1371" i="3"/>
  <c r="B1372" i="3"/>
  <c r="B1373" i="3"/>
  <c r="B1374" i="3"/>
  <c r="B1375" i="3"/>
  <c r="B1376" i="3"/>
  <c r="B1377" i="3"/>
  <c r="B1378" i="3"/>
  <c r="B1379" i="3"/>
  <c r="B1380" i="3"/>
  <c r="B1381" i="3"/>
  <c r="B1382" i="3"/>
  <c r="B1383" i="3"/>
  <c r="B1384" i="3"/>
  <c r="B1385" i="3"/>
  <c r="B1386" i="3"/>
  <c r="B1387" i="3"/>
  <c r="B1388" i="3"/>
  <c r="B1389" i="3"/>
  <c r="B1390" i="3"/>
  <c r="B1391" i="3"/>
  <c r="B1392" i="3"/>
  <c r="B1393" i="3"/>
  <c r="B1394" i="3"/>
  <c r="B1395" i="3"/>
  <c r="B1396" i="3"/>
  <c r="B1397" i="3"/>
  <c r="B1398" i="3"/>
  <c r="B1399" i="3"/>
  <c r="B1400" i="3"/>
  <c r="B1401" i="3"/>
  <c r="B1402" i="3"/>
  <c r="B1403" i="3"/>
  <c r="B1404" i="3"/>
  <c r="B1405" i="3"/>
  <c r="B1406" i="3"/>
  <c r="B1407" i="3"/>
  <c r="B1408" i="3"/>
  <c r="B1409" i="3"/>
  <c r="B1410" i="3"/>
  <c r="B1411" i="3"/>
  <c r="B1412" i="3"/>
  <c r="B1413" i="3"/>
  <c r="B1414" i="3"/>
  <c r="B1415" i="3"/>
  <c r="B1416" i="3"/>
  <c r="B1417" i="3"/>
  <c r="B1418" i="3"/>
  <c r="B1419" i="3"/>
  <c r="B1420" i="3"/>
  <c r="B1421" i="3"/>
  <c r="B1422" i="3"/>
  <c r="B1423" i="3"/>
  <c r="B1424" i="3"/>
  <c r="B1425" i="3"/>
  <c r="B1426" i="3"/>
  <c r="B1427" i="3"/>
  <c r="B1428" i="3"/>
  <c r="B1429" i="3"/>
  <c r="B1430" i="3"/>
  <c r="B1431" i="3"/>
  <c r="B1432" i="3"/>
  <c r="B1433" i="3"/>
  <c r="B1434" i="3"/>
  <c r="B1435" i="3"/>
  <c r="B1436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B1449" i="3"/>
  <c r="B1450" i="3"/>
  <c r="B1451" i="3"/>
  <c r="B1452" i="3"/>
  <c r="B1453" i="3"/>
  <c r="B1454" i="3"/>
  <c r="B1455" i="3"/>
  <c r="B1456" i="3"/>
  <c r="B1457" i="3"/>
  <c r="B1458" i="3"/>
  <c r="B1459" i="3"/>
  <c r="B1460" i="3"/>
  <c r="B1461" i="3"/>
  <c r="B1462" i="3"/>
  <c r="B1463" i="3"/>
  <c r="B1464" i="3"/>
  <c r="B1465" i="3"/>
  <c r="B1466" i="3"/>
  <c r="B1467" i="3"/>
  <c r="B1468" i="3"/>
  <c r="B1469" i="3"/>
  <c r="B1470" i="3"/>
  <c r="B1471" i="3"/>
  <c r="B1472" i="3"/>
  <c r="B1473" i="3"/>
  <c r="B1474" i="3"/>
  <c r="B1475" i="3"/>
  <c r="B1476" i="3"/>
  <c r="B1477" i="3"/>
  <c r="B1478" i="3"/>
  <c r="B1479" i="3"/>
  <c r="B1480" i="3"/>
  <c r="B1481" i="3"/>
  <c r="B1482" i="3"/>
  <c r="B1483" i="3"/>
  <c r="B1484" i="3"/>
  <c r="B1485" i="3"/>
  <c r="B1486" i="3"/>
  <c r="B1487" i="3"/>
  <c r="B1488" i="3"/>
  <c r="B1489" i="3"/>
  <c r="B1490" i="3"/>
  <c r="B1491" i="3"/>
  <c r="B1492" i="3"/>
  <c r="B1493" i="3"/>
  <c r="B1494" i="3"/>
  <c r="B1495" i="3"/>
  <c r="B1496" i="3"/>
  <c r="B1497" i="3"/>
  <c r="B1498" i="3"/>
  <c r="B1499" i="3"/>
  <c r="B1500" i="3"/>
  <c r="B1501" i="3"/>
  <c r="B1502" i="3"/>
  <c r="B1503" i="3"/>
  <c r="B1504" i="3"/>
  <c r="B1505" i="3"/>
  <c r="B1506" i="3"/>
  <c r="B1507" i="3"/>
  <c r="B1508" i="3"/>
  <c r="B1509" i="3"/>
  <c r="B1510" i="3"/>
  <c r="B1511" i="3"/>
  <c r="B1512" i="3"/>
  <c r="B1513" i="3"/>
  <c r="B1514" i="3"/>
  <c r="B1515" i="3"/>
  <c r="B1516" i="3"/>
  <c r="B1517" i="3"/>
  <c r="B1518" i="3"/>
  <c r="B1519" i="3"/>
  <c r="B1520" i="3"/>
  <c r="B1521" i="3"/>
  <c r="B1522" i="3"/>
  <c r="B1523" i="3"/>
  <c r="B1524" i="3"/>
  <c r="B1525" i="3"/>
  <c r="B1526" i="3"/>
  <c r="B1527" i="3"/>
  <c r="B1528" i="3"/>
  <c r="B1529" i="3"/>
  <c r="B1530" i="3"/>
  <c r="B1531" i="3"/>
  <c r="B1532" i="3"/>
  <c r="B1533" i="3"/>
  <c r="B1534" i="3"/>
  <c r="B1535" i="3"/>
  <c r="B1536" i="3"/>
  <c r="B1537" i="3"/>
  <c r="B1538" i="3"/>
  <c r="B1539" i="3"/>
  <c r="B1540" i="3"/>
  <c r="B1541" i="3"/>
  <c r="B1542" i="3"/>
  <c r="B1543" i="3"/>
  <c r="B1544" i="3"/>
  <c r="B1545" i="3"/>
  <c r="B1546" i="3"/>
  <c r="B1547" i="3"/>
  <c r="B1548" i="3"/>
  <c r="B1549" i="3"/>
  <c r="B1550" i="3"/>
  <c r="B1551" i="3"/>
  <c r="B1552" i="3"/>
  <c r="B1553" i="3"/>
  <c r="B1554" i="3"/>
  <c r="B1555" i="3"/>
  <c r="B1556" i="3"/>
  <c r="B1557" i="3"/>
  <c r="B1558" i="3"/>
  <c r="B1559" i="3"/>
  <c r="B1560" i="3"/>
  <c r="B1561" i="3"/>
  <c r="B1562" i="3"/>
  <c r="B1563" i="3"/>
  <c r="B1564" i="3"/>
  <c r="B1565" i="3"/>
  <c r="B1566" i="3"/>
  <c r="B1567" i="3"/>
  <c r="B1568" i="3"/>
  <c r="B1569" i="3"/>
  <c r="B1570" i="3"/>
  <c r="B1571" i="3"/>
  <c r="B1572" i="3"/>
  <c r="B1573" i="3"/>
  <c r="B1574" i="3"/>
  <c r="B1575" i="3"/>
  <c r="B1576" i="3"/>
  <c r="B1577" i="3"/>
  <c r="B1578" i="3"/>
  <c r="B1579" i="3"/>
  <c r="B1580" i="3"/>
  <c r="B1581" i="3"/>
  <c r="B1582" i="3"/>
  <c r="B1583" i="3"/>
  <c r="B1584" i="3"/>
  <c r="B1585" i="3"/>
  <c r="B1586" i="3"/>
  <c r="B1587" i="3"/>
  <c r="B1588" i="3"/>
  <c r="B1589" i="3"/>
  <c r="B1590" i="3"/>
  <c r="B1591" i="3"/>
  <c r="B1592" i="3"/>
  <c r="B1593" i="3"/>
  <c r="B1594" i="3"/>
  <c r="B1595" i="3"/>
  <c r="B1596" i="3"/>
  <c r="B1597" i="3"/>
  <c r="B1598" i="3"/>
  <c r="B1599" i="3"/>
  <c r="B1600" i="3"/>
  <c r="B1601" i="3"/>
  <c r="B1602" i="3"/>
  <c r="B1603" i="3"/>
  <c r="B1604" i="3"/>
  <c r="B1605" i="3"/>
  <c r="B1606" i="3"/>
  <c r="B1607" i="3"/>
  <c r="B1608" i="3"/>
  <c r="B1609" i="3"/>
  <c r="B1610" i="3"/>
  <c r="B1611" i="3"/>
  <c r="B1612" i="3"/>
  <c r="B1613" i="3"/>
  <c r="B1614" i="3"/>
  <c r="B1615" i="3"/>
  <c r="B1616" i="3"/>
  <c r="B1617" i="3"/>
  <c r="B1618" i="3"/>
  <c r="B1619" i="3"/>
  <c r="B1620" i="3"/>
  <c r="B1621" i="3"/>
  <c r="B1622" i="3"/>
  <c r="B1623" i="3"/>
  <c r="B1624" i="3"/>
  <c r="B1625" i="3"/>
  <c r="B1626" i="3"/>
  <c r="B1627" i="3"/>
  <c r="B1628" i="3"/>
  <c r="B1629" i="3"/>
  <c r="B1630" i="3"/>
  <c r="B1631" i="3"/>
  <c r="B1632" i="3"/>
  <c r="B1633" i="3"/>
  <c r="B1634" i="3"/>
  <c r="B1635" i="3"/>
  <c r="B1636" i="3"/>
  <c r="B1637" i="3"/>
  <c r="B1638" i="3"/>
  <c r="B1639" i="3"/>
  <c r="B1640" i="3"/>
  <c r="B1641" i="3"/>
  <c r="B1642" i="3"/>
  <c r="B1643" i="3"/>
  <c r="B1644" i="3"/>
  <c r="B1645" i="3"/>
  <c r="B1646" i="3"/>
  <c r="B1647" i="3"/>
  <c r="B1648" i="3"/>
  <c r="B1649" i="3"/>
  <c r="B1650" i="3"/>
  <c r="B1651" i="3"/>
  <c r="B1652" i="3"/>
  <c r="B1653" i="3"/>
  <c r="B1654" i="3"/>
  <c r="B1655" i="3"/>
  <c r="B1656" i="3"/>
  <c r="B1657" i="3"/>
  <c r="B1658" i="3"/>
  <c r="B1659" i="3"/>
  <c r="B1660" i="3"/>
  <c r="B1661" i="3"/>
  <c r="B1662" i="3"/>
  <c r="B1663" i="3"/>
  <c r="B1664" i="3"/>
  <c r="B1665" i="3"/>
  <c r="B1666" i="3"/>
  <c r="B1667" i="3"/>
  <c r="B1668" i="3"/>
  <c r="B1669" i="3"/>
  <c r="B1670" i="3"/>
  <c r="B1671" i="3"/>
  <c r="B1672" i="3"/>
  <c r="B1673" i="3"/>
  <c r="B1674" i="3"/>
  <c r="B1675" i="3"/>
  <c r="B1676" i="3"/>
  <c r="B1677" i="3"/>
  <c r="B1678" i="3"/>
  <c r="B1679" i="3"/>
  <c r="B1680" i="3"/>
  <c r="B1681" i="3"/>
  <c r="B1682" i="3"/>
  <c r="B1683" i="3"/>
  <c r="B1684" i="3"/>
  <c r="B1685" i="3"/>
  <c r="B1686" i="3"/>
  <c r="B1687" i="3"/>
  <c r="B1688" i="3"/>
  <c r="B1689" i="3"/>
  <c r="B1690" i="3"/>
  <c r="B1691" i="3"/>
  <c r="B1692" i="3"/>
  <c r="B1693" i="3"/>
  <c r="B1694" i="3"/>
  <c r="B1695" i="3"/>
  <c r="B1696" i="3"/>
  <c r="B1697" i="3"/>
  <c r="B1698" i="3"/>
  <c r="B1699" i="3"/>
  <c r="B1700" i="3"/>
  <c r="B1701" i="3"/>
  <c r="B1702" i="3"/>
  <c r="B1703" i="3"/>
  <c r="B1704" i="3"/>
  <c r="B1705" i="3"/>
  <c r="B1706" i="3"/>
  <c r="B1707" i="3"/>
  <c r="B1708" i="3"/>
  <c r="B1709" i="3"/>
  <c r="B1710" i="3"/>
  <c r="B1711" i="3"/>
  <c r="B1712" i="3"/>
  <c r="B1713" i="3"/>
  <c r="B1714" i="3"/>
  <c r="B1715" i="3"/>
  <c r="B1716" i="3"/>
  <c r="B1717" i="3"/>
  <c r="B1718" i="3"/>
  <c r="B1719" i="3"/>
  <c r="B1720" i="3"/>
  <c r="B1721" i="3"/>
  <c r="B1722" i="3"/>
  <c r="B1723" i="3"/>
  <c r="B1724" i="3"/>
  <c r="B1725" i="3"/>
  <c r="B1726" i="3"/>
  <c r="B1727" i="3"/>
  <c r="B1728" i="3"/>
  <c r="B1729" i="3"/>
  <c r="B1730" i="3"/>
  <c r="B1731" i="3"/>
  <c r="B1732" i="3"/>
  <c r="B1733" i="3"/>
  <c r="B1734" i="3"/>
  <c r="B1735" i="3"/>
  <c r="B1736" i="3"/>
  <c r="B1737" i="3"/>
  <c r="B1738" i="3"/>
  <c r="B1739" i="3"/>
  <c r="B1740" i="3"/>
  <c r="B1741" i="3"/>
  <c r="B1742" i="3"/>
  <c r="B1743" i="3"/>
  <c r="B1744" i="3"/>
  <c r="B1745" i="3"/>
  <c r="B1746" i="3"/>
  <c r="B1747" i="3"/>
  <c r="B1748" i="3"/>
  <c r="B1749" i="3"/>
  <c r="B1750" i="3"/>
  <c r="B1751" i="3"/>
  <c r="B1752" i="3"/>
  <c r="B1753" i="3"/>
  <c r="B1754" i="3"/>
  <c r="B1755" i="3"/>
  <c r="B1756" i="3"/>
  <c r="B1757" i="3"/>
  <c r="B1758" i="3"/>
  <c r="B1759" i="3"/>
  <c r="B1760" i="3"/>
  <c r="B1761" i="3"/>
  <c r="B1762" i="3"/>
  <c r="B1763" i="3"/>
  <c r="B1764" i="3"/>
  <c r="B1765" i="3"/>
  <c r="B1766" i="3"/>
  <c r="B1767" i="3"/>
  <c r="B1768" i="3"/>
  <c r="B1769" i="3"/>
  <c r="B1770" i="3"/>
  <c r="B1771" i="3"/>
  <c r="B1772" i="3"/>
  <c r="B1773" i="3"/>
  <c r="B1774" i="3"/>
  <c r="B1775" i="3"/>
  <c r="B1776" i="3"/>
  <c r="B1777" i="3"/>
  <c r="B1778" i="3"/>
  <c r="B1779" i="3"/>
  <c r="B1780" i="3"/>
  <c r="B1781" i="3"/>
  <c r="B1782" i="3"/>
  <c r="B1783" i="3"/>
  <c r="B1784" i="3"/>
  <c r="B1785" i="3"/>
  <c r="B1786" i="3"/>
  <c r="B1787" i="3"/>
  <c r="B1788" i="3"/>
  <c r="B1789" i="3"/>
  <c r="B1790" i="3"/>
  <c r="B1791" i="3"/>
  <c r="B1792" i="3"/>
  <c r="B1793" i="3"/>
  <c r="B1794" i="3"/>
  <c r="B1795" i="3"/>
  <c r="B1796" i="3"/>
  <c r="B1797" i="3"/>
  <c r="B1798" i="3"/>
  <c r="B1799" i="3"/>
  <c r="B1800" i="3"/>
  <c r="B1801" i="3"/>
  <c r="B1802" i="3"/>
  <c r="B1803" i="3"/>
  <c r="B1804" i="3"/>
  <c r="B1805" i="3"/>
  <c r="B1806" i="3"/>
  <c r="B1807" i="3"/>
  <c r="B1808" i="3"/>
  <c r="B1809" i="3"/>
  <c r="B1810" i="3"/>
  <c r="B1811" i="3"/>
  <c r="B1812" i="3"/>
  <c r="B1813" i="3"/>
  <c r="B1814" i="3"/>
  <c r="B1815" i="3"/>
  <c r="B1816" i="3"/>
  <c r="B1817" i="3"/>
  <c r="B1818" i="3"/>
  <c r="B1819" i="3"/>
  <c r="B1820" i="3"/>
  <c r="B1821" i="3"/>
  <c r="B1822" i="3"/>
  <c r="B1823" i="3"/>
  <c r="B1824" i="3"/>
  <c r="B1825" i="3"/>
  <c r="B1826" i="3"/>
  <c r="B1827" i="3"/>
  <c r="B1828" i="3"/>
  <c r="B1829" i="3"/>
  <c r="B1830" i="3"/>
  <c r="B1831" i="3"/>
  <c r="B1832" i="3"/>
  <c r="B1833" i="3"/>
  <c r="B1834" i="3"/>
  <c r="B1835" i="3"/>
  <c r="B1836" i="3"/>
  <c r="B1837" i="3"/>
  <c r="B1838" i="3"/>
  <c r="B1839" i="3"/>
  <c r="B1840" i="3"/>
  <c r="B1841" i="3"/>
  <c r="B1842" i="3"/>
  <c r="B1843" i="3"/>
  <c r="B1844" i="3"/>
  <c r="B1845" i="3"/>
  <c r="B1846" i="3"/>
  <c r="B1847" i="3"/>
  <c r="B1848" i="3"/>
  <c r="B1849" i="3"/>
  <c r="B1850" i="3"/>
  <c r="B1851" i="3"/>
  <c r="B1852" i="3"/>
  <c r="B1853" i="3"/>
  <c r="B1854" i="3"/>
  <c r="B1855" i="3"/>
  <c r="B1856" i="3"/>
  <c r="B1857" i="3"/>
  <c r="B1858" i="3"/>
  <c r="B1859" i="3"/>
  <c r="B1860" i="3"/>
  <c r="B1861" i="3"/>
  <c r="B1862" i="3"/>
  <c r="B1863" i="3"/>
  <c r="B1864" i="3"/>
  <c r="B1865" i="3"/>
  <c r="B1866" i="3"/>
  <c r="B1867" i="3"/>
  <c r="B1868" i="3"/>
  <c r="B1869" i="3"/>
  <c r="B1870" i="3"/>
  <c r="B1871" i="3"/>
  <c r="B1872" i="3"/>
  <c r="B1873" i="3"/>
  <c r="B1874" i="3"/>
  <c r="B1875" i="3"/>
  <c r="B1876" i="3"/>
  <c r="B1877" i="3"/>
  <c r="B1878" i="3"/>
  <c r="B1879" i="3"/>
  <c r="B1880" i="3"/>
  <c r="B1881" i="3"/>
  <c r="B1882" i="3"/>
  <c r="B1883" i="3"/>
  <c r="B1884" i="3"/>
  <c r="B1885" i="3"/>
  <c r="B1886" i="3"/>
  <c r="B1887" i="3"/>
  <c r="B1888" i="3"/>
  <c r="B1889" i="3"/>
  <c r="B1890" i="3"/>
  <c r="B1891" i="3"/>
  <c r="B1892" i="3"/>
  <c r="B1893" i="3"/>
  <c r="B1894" i="3"/>
  <c r="B1895" i="3"/>
  <c r="B1896" i="3"/>
  <c r="B1897" i="3"/>
  <c r="B1898" i="3"/>
  <c r="B1899" i="3"/>
  <c r="B1900" i="3"/>
  <c r="B1901" i="3"/>
  <c r="B1902" i="3"/>
  <c r="B1903" i="3"/>
  <c r="B1904" i="3"/>
  <c r="B1905" i="3"/>
  <c r="B1906" i="3"/>
  <c r="B1907" i="3"/>
  <c r="B1908" i="3"/>
  <c r="B1909" i="3"/>
  <c r="B1910" i="3"/>
  <c r="B1911" i="3"/>
  <c r="B1912" i="3"/>
  <c r="B1913" i="3"/>
  <c r="B1914" i="3"/>
  <c r="B1915" i="3"/>
  <c r="B1916" i="3"/>
  <c r="B1917" i="3"/>
  <c r="B1918" i="3"/>
  <c r="B1919" i="3"/>
  <c r="B1920" i="3"/>
  <c r="B1921" i="3"/>
  <c r="B1922" i="3"/>
  <c r="B1923" i="3"/>
  <c r="B1924" i="3"/>
  <c r="B1925" i="3"/>
  <c r="B1926" i="3"/>
  <c r="B1927" i="3"/>
  <c r="B1928" i="3"/>
  <c r="B1929" i="3"/>
  <c r="B1930" i="3"/>
  <c r="B1931" i="3"/>
  <c r="B1932" i="3"/>
  <c r="B1933" i="3"/>
  <c r="B1934" i="3"/>
  <c r="B1935" i="3"/>
  <c r="B1936" i="3"/>
  <c r="B1937" i="3"/>
  <c r="B1938" i="3"/>
  <c r="B1939" i="3"/>
  <c r="B1940" i="3"/>
  <c r="B1941" i="3"/>
  <c r="B1942" i="3"/>
  <c r="B1943" i="3"/>
  <c r="B1944" i="3"/>
  <c r="B1945" i="3"/>
  <c r="B1946" i="3"/>
  <c r="B1947" i="3"/>
  <c r="B1948" i="3"/>
  <c r="B1949" i="3"/>
  <c r="B1950" i="3"/>
  <c r="B1951" i="3"/>
  <c r="B1952" i="3"/>
  <c r="B1953" i="3"/>
  <c r="B1954" i="3"/>
  <c r="B1955" i="3"/>
  <c r="B1956" i="3"/>
  <c r="B1957" i="3"/>
  <c r="B1958" i="3"/>
  <c r="B1959" i="3"/>
  <c r="B1960" i="3"/>
  <c r="B1961" i="3"/>
  <c r="B1962" i="3"/>
  <c r="B1963" i="3"/>
  <c r="B1964" i="3"/>
  <c r="B1965" i="3"/>
  <c r="B1966" i="3"/>
  <c r="B1967" i="3"/>
  <c r="B1968" i="3"/>
  <c r="B1969" i="3"/>
  <c r="B1970" i="3"/>
  <c r="B1971" i="3"/>
  <c r="B1972" i="3"/>
  <c r="B1973" i="3"/>
  <c r="B1974" i="3"/>
  <c r="B1975" i="3"/>
  <c r="B1976" i="3"/>
  <c r="B1977" i="3"/>
  <c r="B1978" i="3"/>
  <c r="B1979" i="3"/>
  <c r="B1980" i="3"/>
  <c r="B1981" i="3"/>
  <c r="B1982" i="3"/>
  <c r="B1983" i="3"/>
  <c r="B1984" i="3"/>
  <c r="B1985" i="3"/>
  <c r="B1986" i="3"/>
  <c r="B1987" i="3"/>
  <c r="B1988" i="3"/>
  <c r="B1989" i="3"/>
  <c r="B1990" i="3"/>
  <c r="B1991" i="3"/>
  <c r="B1992" i="3"/>
  <c r="B1993" i="3"/>
  <c r="B1994" i="3"/>
  <c r="B1995" i="3"/>
  <c r="B1996" i="3"/>
  <c r="B1997" i="3"/>
  <c r="B1998" i="3"/>
  <c r="B1999" i="3"/>
  <c r="B2000" i="3"/>
  <c r="B2001" i="3"/>
  <c r="B2002" i="3"/>
  <c r="B2003" i="3"/>
  <c r="B2004" i="3"/>
  <c r="B2005" i="3"/>
  <c r="B2006" i="3"/>
  <c r="B2007" i="3"/>
  <c r="B2008" i="3"/>
  <c r="B2009" i="3"/>
  <c r="B2010" i="3"/>
  <c r="B2011" i="3"/>
  <c r="B2012" i="3"/>
  <c r="B2013" i="3"/>
  <c r="B2014" i="3"/>
  <c r="B2015" i="3"/>
  <c r="B2016" i="3"/>
  <c r="B2017" i="3"/>
  <c r="B2018" i="3"/>
  <c r="B2019" i="3"/>
  <c r="B2020" i="3"/>
  <c r="B2021" i="3"/>
  <c r="B2022" i="3"/>
  <c r="B2023" i="3"/>
  <c r="B2024" i="3"/>
  <c r="B2025" i="3"/>
  <c r="B2026" i="3"/>
  <c r="B2027" i="3"/>
  <c r="B2028" i="3"/>
  <c r="B2029" i="3"/>
  <c r="B2030" i="3"/>
  <c r="B2031" i="3"/>
  <c r="B2032" i="3"/>
  <c r="B2033" i="3"/>
  <c r="B2034" i="3"/>
  <c r="B2035" i="3"/>
  <c r="B2036" i="3"/>
  <c r="B2037" i="3"/>
  <c r="B2038" i="3"/>
  <c r="B2039" i="3"/>
  <c r="B2040" i="3"/>
  <c r="B2041" i="3"/>
  <c r="B2042" i="3"/>
  <c r="B2043" i="3"/>
  <c r="B2044" i="3"/>
  <c r="B2045" i="3"/>
  <c r="B2046" i="3"/>
  <c r="B2047" i="3"/>
  <c r="B2048" i="3"/>
  <c r="B2049" i="3"/>
  <c r="B2050" i="3"/>
  <c r="B2051" i="3"/>
  <c r="B2052" i="3"/>
  <c r="B2053" i="3"/>
  <c r="B2054" i="3"/>
  <c r="B2055" i="3"/>
  <c r="B2056" i="3"/>
  <c r="B2057" i="3"/>
  <c r="B2058" i="3"/>
  <c r="B2059" i="3"/>
  <c r="B2060" i="3"/>
  <c r="B2061" i="3"/>
  <c r="B2062" i="3"/>
  <c r="B2063" i="3"/>
  <c r="B2064" i="3"/>
  <c r="B2065" i="3"/>
  <c r="B2066" i="3"/>
  <c r="B2067" i="3"/>
  <c r="B2068" i="3"/>
  <c r="B2069" i="3"/>
  <c r="B2070" i="3"/>
  <c r="B2071" i="3"/>
  <c r="B2072" i="3"/>
  <c r="B2073" i="3"/>
  <c r="B2074" i="3"/>
  <c r="B2075" i="3"/>
  <c r="B2076" i="3"/>
  <c r="B2077" i="3"/>
  <c r="B2078" i="3"/>
  <c r="B2079" i="3"/>
  <c r="B2080" i="3"/>
  <c r="B2081" i="3"/>
  <c r="B2082" i="3"/>
  <c r="B2083" i="3"/>
  <c r="B2084" i="3"/>
  <c r="B2085" i="3"/>
  <c r="B2086" i="3"/>
  <c r="B2087" i="3"/>
  <c r="B2088" i="3"/>
  <c r="B2089" i="3"/>
  <c r="B2090" i="3"/>
  <c r="B2091" i="3"/>
  <c r="B2092" i="3"/>
  <c r="B2093" i="3"/>
  <c r="B2094" i="3"/>
  <c r="B2095" i="3"/>
  <c r="B2096" i="3"/>
  <c r="B2097" i="3"/>
  <c r="B2098" i="3"/>
  <c r="B2099" i="3"/>
  <c r="B2100" i="3"/>
  <c r="B2101" i="3"/>
  <c r="B2102" i="3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4" i="4"/>
  <c r="C1025" i="4"/>
  <c r="C1026" i="4"/>
  <c r="C1027" i="4"/>
  <c r="C1028" i="4"/>
  <c r="C1029" i="4"/>
  <c r="C1030" i="4"/>
  <c r="C1031" i="4"/>
  <c r="C1032" i="4"/>
  <c r="C1033" i="4"/>
  <c r="C1034" i="4"/>
  <c r="C1035" i="4"/>
  <c r="C1036" i="4"/>
  <c r="C1037" i="4"/>
  <c r="C1038" i="4"/>
  <c r="C1039" i="4"/>
  <c r="C1040" i="4"/>
  <c r="C1041" i="4"/>
  <c r="C1042" i="4"/>
  <c r="C1043" i="4"/>
  <c r="C1044" i="4"/>
  <c r="C1045" i="4"/>
  <c r="C1046" i="4"/>
  <c r="C1047" i="4"/>
  <c r="C1048" i="4"/>
  <c r="C1049" i="4"/>
  <c r="C1050" i="4"/>
  <c r="C1051" i="4"/>
  <c r="C1052" i="4"/>
  <c r="C1053" i="4"/>
  <c r="C1054" i="4"/>
  <c r="C1055" i="4"/>
  <c r="C1056" i="4"/>
  <c r="C1057" i="4"/>
  <c r="C1058" i="4"/>
  <c r="C1059" i="4"/>
  <c r="C1060" i="4"/>
  <c r="C1061" i="4"/>
  <c r="C1062" i="4"/>
  <c r="C1063" i="4"/>
  <c r="C1064" i="4"/>
  <c r="C1065" i="4"/>
  <c r="C1066" i="4"/>
  <c r="C1067" i="4"/>
  <c r="C1068" i="4"/>
  <c r="C1069" i="4"/>
  <c r="C1070" i="4"/>
  <c r="C1071" i="4"/>
  <c r="C1072" i="4"/>
  <c r="C1073" i="4"/>
  <c r="C1074" i="4"/>
  <c r="C1075" i="4"/>
  <c r="C1076" i="4"/>
  <c r="C1077" i="4"/>
  <c r="C1078" i="4"/>
  <c r="C1079" i="4"/>
  <c r="C1080" i="4"/>
  <c r="C1081" i="4"/>
  <c r="C1082" i="4"/>
  <c r="C1083" i="4"/>
  <c r="C1084" i="4"/>
  <c r="C1085" i="4"/>
  <c r="C1086" i="4"/>
  <c r="C1087" i="4"/>
  <c r="C1088" i="4"/>
  <c r="C1089" i="4"/>
  <c r="C1090" i="4"/>
  <c r="C1091" i="4"/>
  <c r="C1092" i="4"/>
  <c r="C1093" i="4"/>
  <c r="C1094" i="4"/>
  <c r="C1095" i="4"/>
  <c r="C1096" i="4"/>
  <c r="C1097" i="4"/>
  <c r="C1098" i="4"/>
  <c r="C1099" i="4"/>
  <c r="C1100" i="4"/>
  <c r="C1101" i="4"/>
  <c r="C1102" i="4"/>
  <c r="C1103" i="4"/>
  <c r="C1104" i="4"/>
  <c r="C1105" i="4"/>
  <c r="C1106" i="4"/>
  <c r="C1107" i="4"/>
  <c r="C1108" i="4"/>
  <c r="C1109" i="4"/>
  <c r="C1110" i="4"/>
  <c r="C1111" i="4"/>
  <c r="C1112" i="4"/>
  <c r="C1113" i="4"/>
  <c r="C1114" i="4"/>
  <c r="C1115" i="4"/>
  <c r="C1116" i="4"/>
  <c r="C1117" i="4"/>
  <c r="C1118" i="4"/>
  <c r="C1119" i="4"/>
  <c r="C1120" i="4"/>
  <c r="C1121" i="4"/>
  <c r="C1122" i="4"/>
  <c r="C1123" i="4"/>
  <c r="C1124" i="4"/>
  <c r="C1125" i="4"/>
  <c r="C1126" i="4"/>
  <c r="C1127" i="4"/>
  <c r="C1128" i="4"/>
  <c r="C1129" i="4"/>
  <c r="C1130" i="4"/>
  <c r="C1131" i="4"/>
  <c r="C1132" i="4"/>
  <c r="C1133" i="4"/>
  <c r="C1134" i="4"/>
  <c r="C1135" i="4"/>
  <c r="C1136" i="4"/>
  <c r="C1137" i="4"/>
  <c r="C1138" i="4"/>
  <c r="C1139" i="4"/>
  <c r="C1140" i="4"/>
  <c r="C1141" i="4"/>
  <c r="C1142" i="4"/>
  <c r="C1143" i="4"/>
  <c r="C1144" i="4"/>
  <c r="C1145" i="4"/>
  <c r="C1146" i="4"/>
  <c r="C1147" i="4"/>
  <c r="C1148" i="4"/>
  <c r="C1149" i="4"/>
  <c r="C1150" i="4"/>
  <c r="C1151" i="4"/>
  <c r="C1152" i="4"/>
  <c r="C1153" i="4"/>
  <c r="C1154" i="4"/>
  <c r="C1155" i="4"/>
  <c r="C1156" i="4"/>
  <c r="C1157" i="4"/>
  <c r="C1158" i="4"/>
  <c r="C1159" i="4"/>
  <c r="C1160" i="4"/>
  <c r="C1161" i="4"/>
  <c r="C1162" i="4"/>
  <c r="C1163" i="4"/>
  <c r="C1164" i="4"/>
  <c r="C1165" i="4"/>
  <c r="C1166" i="4"/>
  <c r="C1167" i="4"/>
  <c r="C1168" i="4"/>
  <c r="C1169" i="4"/>
  <c r="C1170" i="4"/>
  <c r="C1171" i="4"/>
  <c r="C1172" i="4"/>
  <c r="C1173" i="4"/>
  <c r="C1174" i="4"/>
  <c r="C1175" i="4"/>
  <c r="C1176" i="4"/>
  <c r="C1177" i="4"/>
  <c r="C1178" i="4"/>
  <c r="C1179" i="4"/>
  <c r="C1180" i="4"/>
  <c r="C1181" i="4"/>
  <c r="C1182" i="4"/>
  <c r="C1183" i="4"/>
  <c r="C1184" i="4"/>
  <c r="C1185" i="4"/>
  <c r="C1186" i="4"/>
  <c r="C1187" i="4"/>
  <c r="C1188" i="4"/>
  <c r="C1189" i="4"/>
  <c r="C1190" i="4"/>
  <c r="C1191" i="4"/>
  <c r="C1192" i="4"/>
  <c r="C1193" i="4"/>
  <c r="C1194" i="4"/>
  <c r="C1195" i="4"/>
  <c r="C1196" i="4"/>
  <c r="C1197" i="4"/>
  <c r="C1198" i="4"/>
  <c r="C1199" i="4"/>
  <c r="C1200" i="4"/>
  <c r="C1201" i="4"/>
  <c r="C1202" i="4"/>
  <c r="C1203" i="4"/>
  <c r="C1204" i="4"/>
  <c r="C1205" i="4"/>
  <c r="C1206" i="4"/>
  <c r="C1207" i="4"/>
  <c r="C1208" i="4"/>
  <c r="C1209" i="4"/>
  <c r="C1210" i="4"/>
  <c r="C1211" i="4"/>
  <c r="C1212" i="4"/>
  <c r="C1213" i="4"/>
  <c r="C1214" i="4"/>
  <c r="C1215" i="4"/>
  <c r="C1216" i="4"/>
  <c r="C1217" i="4"/>
  <c r="C1218" i="4"/>
  <c r="C1219" i="4"/>
  <c r="C1220" i="4"/>
  <c r="C1221" i="4"/>
  <c r="C1222" i="4"/>
  <c r="C1223" i="4"/>
  <c r="C1224" i="4"/>
  <c r="C1225" i="4"/>
  <c r="C1226" i="4"/>
  <c r="C1227" i="4"/>
  <c r="C1228" i="4"/>
  <c r="C1229" i="4"/>
  <c r="C1230" i="4"/>
  <c r="C1231" i="4"/>
  <c r="C1232" i="4"/>
  <c r="C1233" i="4"/>
  <c r="C1234" i="4"/>
  <c r="C1235" i="4"/>
  <c r="C1236" i="4"/>
  <c r="C1237" i="4"/>
  <c r="C1238" i="4"/>
  <c r="C1239" i="4"/>
  <c r="C1240" i="4"/>
  <c r="C1241" i="4"/>
  <c r="C1242" i="4"/>
  <c r="C1243" i="4"/>
  <c r="C1244" i="4"/>
  <c r="C1245" i="4"/>
  <c r="C1246" i="4"/>
  <c r="C1247" i="4"/>
  <c r="C1248" i="4"/>
  <c r="C1249" i="4"/>
  <c r="C1250" i="4"/>
  <c r="C1251" i="4"/>
  <c r="C1252" i="4"/>
  <c r="C1253" i="4"/>
  <c r="C1254" i="4"/>
  <c r="C1255" i="4"/>
  <c r="C1256" i="4"/>
  <c r="C1257" i="4"/>
  <c r="C1258" i="4"/>
  <c r="C1259" i="4"/>
  <c r="C1260" i="4"/>
  <c r="C1261" i="4"/>
  <c r="C1262" i="4"/>
  <c r="C1263" i="4"/>
  <c r="C1264" i="4"/>
  <c r="C1265" i="4"/>
  <c r="C1266" i="4"/>
  <c r="C1267" i="4"/>
  <c r="C1268" i="4"/>
  <c r="C1269" i="4"/>
  <c r="C1270" i="4"/>
  <c r="C1271" i="4"/>
  <c r="C1272" i="4"/>
  <c r="C1273" i="4"/>
  <c r="C1274" i="4"/>
  <c r="C1275" i="4"/>
  <c r="C1276" i="4"/>
  <c r="C1277" i="4"/>
  <c r="C1278" i="4"/>
  <c r="C1279" i="4"/>
  <c r="C1280" i="4"/>
  <c r="C1281" i="4"/>
  <c r="C1282" i="4"/>
  <c r="C1283" i="4"/>
  <c r="C1284" i="4"/>
  <c r="C1285" i="4"/>
  <c r="C1286" i="4"/>
  <c r="C1287" i="4"/>
  <c r="C1288" i="4"/>
  <c r="C1289" i="4"/>
  <c r="C1290" i="4"/>
  <c r="C1291" i="4"/>
  <c r="C1292" i="4"/>
  <c r="C1293" i="4"/>
  <c r="C1294" i="4"/>
  <c r="C1295" i="4"/>
  <c r="C1296" i="4"/>
  <c r="C1297" i="4"/>
  <c r="C1298" i="4"/>
  <c r="C1299" i="4"/>
  <c r="C1300" i="4"/>
  <c r="C1301" i="4"/>
  <c r="C1302" i="4"/>
  <c r="C1303" i="4"/>
  <c r="C1304" i="4"/>
  <c r="C1305" i="4"/>
  <c r="C1306" i="4"/>
  <c r="C1307" i="4"/>
  <c r="C1308" i="4"/>
  <c r="C1309" i="4"/>
  <c r="C1310" i="4"/>
  <c r="C1311" i="4"/>
  <c r="C1312" i="4"/>
  <c r="C1313" i="4"/>
  <c r="C1314" i="4"/>
  <c r="C1315" i="4"/>
  <c r="C1316" i="4"/>
  <c r="C1317" i="4"/>
  <c r="C1318" i="4"/>
  <c r="C1319" i="4"/>
  <c r="C1320" i="4"/>
  <c r="C1321" i="4"/>
  <c r="C1322" i="4"/>
  <c r="C1323" i="4"/>
  <c r="C1324" i="4"/>
  <c r="C1325" i="4"/>
  <c r="C1326" i="4"/>
  <c r="C1327" i="4"/>
  <c r="C1328" i="4"/>
  <c r="C1329" i="4"/>
  <c r="C1330" i="4"/>
  <c r="C1331" i="4"/>
  <c r="C1332" i="4"/>
  <c r="C1333" i="4"/>
  <c r="C1334" i="4"/>
  <c r="C1335" i="4"/>
  <c r="C1336" i="4"/>
  <c r="C1337" i="4"/>
  <c r="C1338" i="4"/>
  <c r="C1339" i="4"/>
  <c r="C1340" i="4"/>
  <c r="C1341" i="4"/>
  <c r="C1342" i="4"/>
  <c r="C1343" i="4"/>
  <c r="C1344" i="4"/>
  <c r="C1345" i="4"/>
  <c r="C1346" i="4"/>
  <c r="C1347" i="4"/>
  <c r="C1348" i="4"/>
  <c r="C1349" i="4"/>
  <c r="C1350" i="4"/>
  <c r="C1351" i="4"/>
  <c r="C1352" i="4"/>
  <c r="C1353" i="4"/>
  <c r="C1354" i="4"/>
  <c r="C1355" i="4"/>
  <c r="C1356" i="4"/>
  <c r="C1357" i="4"/>
  <c r="C1358" i="4"/>
  <c r="C1359" i="4"/>
  <c r="C1360" i="4"/>
  <c r="C1361" i="4"/>
  <c r="C1362" i="4"/>
  <c r="C1363" i="4"/>
  <c r="C1364" i="4"/>
  <c r="C1365" i="4"/>
  <c r="C1366" i="4"/>
  <c r="C1367" i="4"/>
  <c r="C1368" i="4"/>
  <c r="C1369" i="4"/>
  <c r="C1370" i="4"/>
  <c r="C1371" i="4"/>
  <c r="C1372" i="4"/>
  <c r="C1373" i="4"/>
  <c r="C1374" i="4"/>
  <c r="C1375" i="4"/>
  <c r="C1376" i="4"/>
  <c r="C1377" i="4"/>
  <c r="C1378" i="4"/>
  <c r="C1379" i="4"/>
  <c r="C1380" i="4"/>
  <c r="C1381" i="4"/>
  <c r="C1382" i="4"/>
  <c r="C1383" i="4"/>
  <c r="C1384" i="4"/>
  <c r="C1385" i="4"/>
  <c r="C1386" i="4"/>
  <c r="C1387" i="4"/>
  <c r="C1388" i="4"/>
  <c r="C1389" i="4"/>
  <c r="C1390" i="4"/>
  <c r="C1391" i="4"/>
  <c r="C1392" i="4"/>
  <c r="C1393" i="4"/>
  <c r="C1394" i="4"/>
  <c r="C1395" i="4"/>
  <c r="C1396" i="4"/>
  <c r="C1397" i="4"/>
  <c r="C1398" i="4"/>
  <c r="C1399" i="4"/>
  <c r="C1400" i="4"/>
  <c r="C1401" i="4"/>
  <c r="C1402" i="4"/>
  <c r="C1403" i="4"/>
  <c r="C1404" i="4"/>
  <c r="C1405" i="4"/>
  <c r="C1406" i="4"/>
  <c r="C1407" i="4"/>
  <c r="C1408" i="4"/>
  <c r="C1409" i="4"/>
  <c r="C1410" i="4"/>
  <c r="C1411" i="4"/>
  <c r="C1412" i="4"/>
  <c r="C1413" i="4"/>
  <c r="C1414" i="4"/>
  <c r="C1415" i="4"/>
  <c r="C1416" i="4"/>
  <c r="C1417" i="4"/>
  <c r="C1418" i="4"/>
  <c r="C1419" i="4"/>
  <c r="C1420" i="4"/>
  <c r="C1421" i="4"/>
  <c r="C1422" i="4"/>
  <c r="C1423" i="4"/>
  <c r="C1424" i="4"/>
  <c r="C1425" i="4"/>
  <c r="C1426" i="4"/>
  <c r="C1427" i="4"/>
  <c r="C1428" i="4"/>
  <c r="C1429" i="4"/>
  <c r="C1430" i="4"/>
  <c r="C1431" i="4"/>
  <c r="C1432" i="4"/>
  <c r="C1433" i="4"/>
  <c r="C1434" i="4"/>
  <c r="C1435" i="4"/>
  <c r="C1436" i="4"/>
  <c r="C1437" i="4"/>
  <c r="C1438" i="4"/>
  <c r="C1439" i="4"/>
  <c r="C1440" i="4"/>
  <c r="C1441" i="4"/>
  <c r="C1442" i="4"/>
  <c r="C1443" i="4"/>
  <c r="C1444" i="4"/>
  <c r="C1445" i="4"/>
  <c r="C1446" i="4"/>
  <c r="C1447" i="4"/>
  <c r="C1448" i="4"/>
  <c r="C1449" i="4"/>
  <c r="C1450" i="4"/>
  <c r="C1451" i="4"/>
  <c r="C1452" i="4"/>
  <c r="C1453" i="4"/>
  <c r="C1454" i="4"/>
  <c r="C1455" i="4"/>
  <c r="C1456" i="4"/>
  <c r="C1457" i="4"/>
  <c r="C1458" i="4"/>
  <c r="C1459" i="4"/>
  <c r="C1460" i="4"/>
  <c r="C1461" i="4"/>
  <c r="C1462" i="4"/>
  <c r="C1463" i="4"/>
  <c r="C1464" i="4"/>
  <c r="C1465" i="4"/>
  <c r="C1466" i="4"/>
  <c r="C1467" i="4"/>
  <c r="C1468" i="4"/>
  <c r="C1469" i="4"/>
  <c r="C1470" i="4"/>
  <c r="C1471" i="4"/>
  <c r="C1472" i="4"/>
  <c r="C1473" i="4"/>
  <c r="C1474" i="4"/>
  <c r="C1475" i="4"/>
  <c r="C1476" i="4"/>
  <c r="C1477" i="4"/>
  <c r="C1478" i="4"/>
  <c r="C1479" i="4"/>
  <c r="C1480" i="4"/>
  <c r="C1481" i="4"/>
  <c r="C1482" i="4"/>
  <c r="C1483" i="4"/>
  <c r="C1484" i="4"/>
  <c r="C1485" i="4"/>
  <c r="C1486" i="4"/>
  <c r="C1487" i="4"/>
  <c r="C1488" i="4"/>
  <c r="C1489" i="4"/>
  <c r="C1490" i="4"/>
  <c r="C1491" i="4"/>
  <c r="C1492" i="4"/>
  <c r="C1493" i="4"/>
  <c r="C1494" i="4"/>
  <c r="C1495" i="4"/>
  <c r="C1496" i="4"/>
  <c r="C1497" i="4"/>
  <c r="C1498" i="4"/>
  <c r="C1499" i="4"/>
  <c r="C1500" i="4"/>
  <c r="C1501" i="4"/>
  <c r="C1502" i="4"/>
  <c r="C1503" i="4"/>
  <c r="C1504" i="4"/>
  <c r="C1505" i="4"/>
  <c r="C1506" i="4"/>
  <c r="C1507" i="4"/>
  <c r="C1508" i="4"/>
  <c r="C1509" i="4"/>
  <c r="C1510" i="4"/>
  <c r="C1511" i="4"/>
  <c r="C1512" i="4"/>
  <c r="C1513" i="4"/>
  <c r="C1514" i="4"/>
  <c r="C1515" i="4"/>
  <c r="C1516" i="4"/>
  <c r="C1517" i="4"/>
  <c r="C1518" i="4"/>
  <c r="C1519" i="4"/>
  <c r="C1520" i="4"/>
  <c r="C1521" i="4"/>
  <c r="C1522" i="4"/>
  <c r="C1523" i="4"/>
  <c r="C1524" i="4"/>
  <c r="C1525" i="4"/>
  <c r="C1526" i="4"/>
  <c r="C1527" i="4"/>
  <c r="C1528" i="4"/>
  <c r="C1529" i="4"/>
  <c r="C1530" i="4"/>
  <c r="C1531" i="4"/>
  <c r="C1532" i="4"/>
  <c r="C1533" i="4"/>
  <c r="C1534" i="4"/>
  <c r="C1535" i="4"/>
  <c r="C1536" i="4"/>
  <c r="C1537" i="4"/>
  <c r="C1538" i="4"/>
  <c r="C1539" i="4"/>
  <c r="C1540" i="4"/>
  <c r="C1541" i="4"/>
  <c r="C1542" i="4"/>
  <c r="C1543" i="4"/>
  <c r="C1544" i="4"/>
  <c r="C1545" i="4"/>
  <c r="C1546" i="4"/>
  <c r="C1547" i="4"/>
  <c r="C1548" i="4"/>
  <c r="C1549" i="4"/>
  <c r="C1550" i="4"/>
  <c r="C1551" i="4"/>
  <c r="C1552" i="4"/>
  <c r="C1553" i="4"/>
  <c r="C1554" i="4"/>
  <c r="C1555" i="4"/>
  <c r="C1556" i="4"/>
  <c r="C1557" i="4"/>
  <c r="C1558" i="4"/>
  <c r="C1559" i="4"/>
  <c r="C1560" i="4"/>
  <c r="C1561" i="4"/>
  <c r="C1562" i="4"/>
  <c r="C1563" i="4"/>
  <c r="C1564" i="4"/>
  <c r="C1565" i="4"/>
  <c r="C1566" i="4"/>
  <c r="C1567" i="4"/>
  <c r="C1568" i="4"/>
  <c r="C1569" i="4"/>
  <c r="C1570" i="4"/>
  <c r="C1571" i="4"/>
  <c r="C1572" i="4"/>
  <c r="C1573" i="4"/>
  <c r="C1574" i="4"/>
  <c r="C1575" i="4"/>
  <c r="C1576" i="4"/>
  <c r="C1577" i="4"/>
  <c r="C1578" i="4"/>
  <c r="C1579" i="4"/>
  <c r="C1580" i="4"/>
  <c r="C1581" i="4"/>
  <c r="C1582" i="4"/>
  <c r="C1583" i="4"/>
  <c r="C1584" i="4"/>
  <c r="C1585" i="4"/>
  <c r="C1586" i="4"/>
  <c r="C1587" i="4"/>
  <c r="C1588" i="4"/>
  <c r="C1589" i="4"/>
  <c r="C1590" i="4"/>
  <c r="C1591" i="4"/>
  <c r="C1592" i="4"/>
  <c r="C1593" i="4"/>
  <c r="C1594" i="4"/>
  <c r="C1595" i="4"/>
  <c r="C1596" i="4"/>
  <c r="C1597" i="4"/>
  <c r="C1598" i="4"/>
  <c r="C1599" i="4"/>
  <c r="C1600" i="4"/>
  <c r="C1601" i="4"/>
  <c r="C1602" i="4"/>
  <c r="C1603" i="4"/>
  <c r="C1604" i="4"/>
  <c r="C1605" i="4"/>
  <c r="C1606" i="4"/>
  <c r="C1607" i="4"/>
  <c r="C1608" i="4"/>
  <c r="C1609" i="4"/>
  <c r="C1610" i="4"/>
  <c r="C1611" i="4"/>
  <c r="C1612" i="4"/>
  <c r="C1613" i="4"/>
  <c r="C1614" i="4"/>
  <c r="C1615" i="4"/>
  <c r="C1616" i="4"/>
  <c r="C1617" i="4"/>
  <c r="C1618" i="4"/>
  <c r="C1619" i="4"/>
  <c r="C1620" i="4"/>
  <c r="C1621" i="4"/>
  <c r="C1622" i="4"/>
  <c r="C1623" i="4"/>
  <c r="C1624" i="4"/>
  <c r="C1625" i="4"/>
  <c r="C1626" i="4"/>
  <c r="C1627" i="4"/>
  <c r="C1628" i="4"/>
  <c r="C1629" i="4"/>
  <c r="C1630" i="4"/>
  <c r="C1631" i="4"/>
  <c r="C1632" i="4"/>
  <c r="C1633" i="4"/>
  <c r="C1634" i="4"/>
  <c r="C1635" i="4"/>
  <c r="C1636" i="4"/>
  <c r="C1637" i="4"/>
  <c r="C1638" i="4"/>
  <c r="C1639" i="4"/>
  <c r="C1640" i="4"/>
  <c r="C1641" i="4"/>
  <c r="C1642" i="4"/>
  <c r="C1643" i="4"/>
  <c r="C1644" i="4"/>
  <c r="C1645" i="4"/>
  <c r="C1646" i="4"/>
  <c r="C1647" i="4"/>
  <c r="C1648" i="4"/>
  <c r="C1649" i="4"/>
  <c r="C1650" i="4"/>
  <c r="C1651" i="4"/>
  <c r="C1652" i="4"/>
  <c r="C1653" i="4"/>
  <c r="C1654" i="4"/>
  <c r="C1655" i="4"/>
  <c r="C1656" i="4"/>
  <c r="C1657" i="4"/>
  <c r="C1658" i="4"/>
  <c r="C1659" i="4"/>
  <c r="C1660" i="4"/>
  <c r="C1661" i="4"/>
  <c r="C1662" i="4"/>
  <c r="C1663" i="4"/>
  <c r="C1664" i="4"/>
  <c r="C1665" i="4"/>
  <c r="C1666" i="4"/>
  <c r="C1667" i="4"/>
  <c r="C1668" i="4"/>
  <c r="C1669" i="4"/>
  <c r="C1670" i="4"/>
  <c r="C1671" i="4"/>
  <c r="C1672" i="4"/>
  <c r="C1673" i="4"/>
  <c r="C1674" i="4"/>
  <c r="C1675" i="4"/>
  <c r="C1676" i="4"/>
  <c r="C1677" i="4"/>
  <c r="C1678" i="4"/>
  <c r="C1679" i="4"/>
  <c r="C1680" i="4"/>
  <c r="C1681" i="4"/>
  <c r="C1682" i="4"/>
  <c r="C1683" i="4"/>
  <c r="C1684" i="4"/>
  <c r="C1685" i="4"/>
  <c r="C1686" i="4"/>
  <c r="C1687" i="4"/>
  <c r="C1688" i="4"/>
  <c r="C1689" i="4"/>
  <c r="C1690" i="4"/>
  <c r="C1691" i="4"/>
  <c r="C1692" i="4"/>
  <c r="C1693" i="4"/>
  <c r="C1694" i="4"/>
  <c r="C1695" i="4"/>
  <c r="C1696" i="4"/>
  <c r="C1697" i="4"/>
  <c r="C1698" i="4"/>
  <c r="C1699" i="4"/>
  <c r="C1700" i="4"/>
  <c r="C1701" i="4"/>
  <c r="C1702" i="4"/>
  <c r="C1703" i="4"/>
  <c r="C1704" i="4"/>
  <c r="C1705" i="4"/>
  <c r="C1706" i="4"/>
  <c r="C1707" i="4"/>
  <c r="C1708" i="4"/>
  <c r="C1709" i="4"/>
  <c r="C1710" i="4"/>
  <c r="C1711" i="4"/>
  <c r="C1712" i="4"/>
  <c r="C1713" i="4"/>
  <c r="C1714" i="4"/>
  <c r="C1715" i="4"/>
  <c r="C1716" i="4"/>
  <c r="C1717" i="4"/>
  <c r="C1718" i="4"/>
  <c r="C1719" i="4"/>
  <c r="C1720" i="4"/>
  <c r="C1721" i="4"/>
  <c r="C1722" i="4"/>
  <c r="C1723" i="4"/>
  <c r="C1724" i="4"/>
  <c r="C1725" i="4"/>
  <c r="C1726" i="4"/>
  <c r="C1727" i="4"/>
  <c r="C1728" i="4"/>
  <c r="C1729" i="4"/>
  <c r="C1730" i="4"/>
  <c r="C1731" i="4"/>
  <c r="C1732" i="4"/>
  <c r="C1733" i="4"/>
  <c r="C1734" i="4"/>
  <c r="C1735" i="4"/>
  <c r="C1736" i="4"/>
  <c r="C1737" i="4"/>
  <c r="C1738" i="4"/>
  <c r="C1739" i="4"/>
  <c r="C1740" i="4"/>
  <c r="C1741" i="4"/>
  <c r="C1742" i="4"/>
  <c r="C1743" i="4"/>
  <c r="C1744" i="4"/>
  <c r="C1745" i="4"/>
  <c r="C1746" i="4"/>
  <c r="C1747" i="4"/>
  <c r="C1748" i="4"/>
  <c r="C1749" i="4"/>
  <c r="C1750" i="4"/>
  <c r="C1751" i="4"/>
  <c r="C1752" i="4"/>
  <c r="C1753" i="4"/>
  <c r="C1754" i="4"/>
  <c r="C1755" i="4"/>
  <c r="C1756" i="4"/>
  <c r="C1757" i="4"/>
  <c r="C1758" i="4"/>
  <c r="C1759" i="4"/>
  <c r="C1760" i="4"/>
  <c r="C1761" i="4"/>
  <c r="C1762" i="4"/>
  <c r="C1763" i="4"/>
  <c r="C1764" i="4"/>
  <c r="C1765" i="4"/>
  <c r="C1766" i="4"/>
  <c r="C1767" i="4"/>
  <c r="C1768" i="4"/>
  <c r="C1769" i="4"/>
  <c r="C1770" i="4"/>
  <c r="C1771" i="4"/>
  <c r="C1772" i="4"/>
  <c r="C1773" i="4"/>
  <c r="C1774" i="4"/>
  <c r="C1775" i="4"/>
  <c r="C1776" i="4"/>
  <c r="C1777" i="4"/>
  <c r="C1778" i="4"/>
  <c r="C1779" i="4"/>
  <c r="C1780" i="4"/>
  <c r="C1781" i="4"/>
  <c r="C1782" i="4"/>
  <c r="C1783" i="4"/>
  <c r="C1784" i="4"/>
  <c r="C1785" i="4"/>
  <c r="C1786" i="4"/>
  <c r="C1787" i="4"/>
  <c r="C1788" i="4"/>
  <c r="C1789" i="4"/>
  <c r="C1790" i="4"/>
  <c r="C1791" i="4"/>
  <c r="C1792" i="4"/>
  <c r="C1793" i="4"/>
  <c r="C1794" i="4"/>
  <c r="C1795" i="4"/>
  <c r="C1796" i="4"/>
  <c r="C1797" i="4"/>
  <c r="C1798" i="4"/>
  <c r="C1799" i="4"/>
  <c r="C1800" i="4"/>
  <c r="C1801" i="4"/>
  <c r="C1802" i="4"/>
  <c r="C1803" i="4"/>
  <c r="C1804" i="4"/>
  <c r="C1805" i="4"/>
  <c r="C1806" i="4"/>
  <c r="C1807" i="4"/>
  <c r="C1808" i="4"/>
  <c r="C1809" i="4"/>
  <c r="C1810" i="4"/>
  <c r="C1811" i="4"/>
  <c r="C1812" i="4"/>
  <c r="C1813" i="4"/>
  <c r="C1814" i="4"/>
  <c r="C1815" i="4"/>
  <c r="C1816" i="4"/>
  <c r="C1817" i="4"/>
  <c r="C1818" i="4"/>
  <c r="C1819" i="4"/>
  <c r="C1820" i="4"/>
  <c r="C1821" i="4"/>
  <c r="C1822" i="4"/>
  <c r="C1823" i="4"/>
  <c r="C1824" i="4"/>
  <c r="C1825" i="4"/>
  <c r="C1826" i="4"/>
  <c r="C1827" i="4"/>
  <c r="C1828" i="4"/>
  <c r="C1829" i="4"/>
  <c r="C1830" i="4"/>
  <c r="C1831" i="4"/>
  <c r="C1832" i="4"/>
  <c r="C1833" i="4"/>
  <c r="C1834" i="4"/>
  <c r="C1835" i="4"/>
  <c r="C1836" i="4"/>
  <c r="C1837" i="4"/>
  <c r="C1838" i="4"/>
  <c r="C1839" i="4"/>
  <c r="C1840" i="4"/>
  <c r="C1841" i="4"/>
  <c r="C1842" i="4"/>
  <c r="C1843" i="4"/>
  <c r="C1844" i="4"/>
  <c r="C1845" i="4"/>
  <c r="C1846" i="4"/>
  <c r="C1847" i="4"/>
  <c r="C1848" i="4"/>
  <c r="C1849" i="4"/>
  <c r="C1850" i="4"/>
  <c r="C1851" i="4"/>
  <c r="C1852" i="4"/>
  <c r="C1853" i="4"/>
  <c r="C1854" i="4"/>
  <c r="C1855" i="4"/>
  <c r="C1856" i="4"/>
  <c r="C1857" i="4"/>
  <c r="C1858" i="4"/>
  <c r="C1859" i="4"/>
  <c r="C1860" i="4"/>
  <c r="C1861" i="4"/>
  <c r="C1862" i="4"/>
  <c r="C1863" i="4"/>
  <c r="C1864" i="4"/>
  <c r="C1865" i="4"/>
  <c r="C1866" i="4"/>
  <c r="C1867" i="4"/>
  <c r="C1868" i="4"/>
  <c r="C1869" i="4"/>
  <c r="C1870" i="4"/>
  <c r="C1871" i="4"/>
  <c r="C1872" i="4"/>
  <c r="C1873" i="4"/>
  <c r="C1874" i="4"/>
  <c r="C1875" i="4"/>
  <c r="C1876" i="4"/>
  <c r="C1877" i="4"/>
  <c r="C1878" i="4"/>
  <c r="C1879" i="4"/>
  <c r="C1880" i="4"/>
  <c r="C1881" i="4"/>
  <c r="C1882" i="4"/>
  <c r="C1883" i="4"/>
  <c r="C1884" i="4"/>
  <c r="C1885" i="4"/>
  <c r="C1886" i="4"/>
  <c r="C1887" i="4"/>
  <c r="C1888" i="4"/>
  <c r="C1889" i="4"/>
  <c r="C1890" i="4"/>
  <c r="C1891" i="4"/>
  <c r="C1892" i="4"/>
  <c r="C1893" i="4"/>
  <c r="C1894" i="4"/>
  <c r="C1895" i="4"/>
  <c r="C1896" i="4"/>
  <c r="C1897" i="4"/>
  <c r="C1898" i="4"/>
  <c r="C1899" i="4"/>
  <c r="C1900" i="4"/>
  <c r="C1901" i="4"/>
  <c r="C1902" i="4"/>
  <c r="C1903" i="4"/>
  <c r="C1904" i="4"/>
  <c r="C1905" i="4"/>
  <c r="C1906" i="4"/>
  <c r="C1907" i="4"/>
  <c r="C1908" i="4"/>
  <c r="C1909" i="4"/>
  <c r="C1910" i="4"/>
  <c r="C1911" i="4"/>
  <c r="C1912" i="4"/>
  <c r="C1913" i="4"/>
  <c r="C1914" i="4"/>
  <c r="C1915" i="4"/>
  <c r="C1916" i="4"/>
  <c r="C1917" i="4"/>
  <c r="C1918" i="4"/>
  <c r="C1919" i="4"/>
  <c r="C1920" i="4"/>
  <c r="C1921" i="4"/>
  <c r="C1922" i="4"/>
  <c r="C1923" i="4"/>
  <c r="C1924" i="4"/>
  <c r="C1925" i="4"/>
  <c r="C1926" i="4"/>
  <c r="C1927" i="4"/>
  <c r="C1928" i="4"/>
  <c r="C1929" i="4"/>
  <c r="C1930" i="4"/>
  <c r="C1931" i="4"/>
  <c r="C1932" i="4"/>
  <c r="C1933" i="4"/>
  <c r="C1934" i="4"/>
  <c r="C1935" i="4"/>
  <c r="C1936" i="4"/>
  <c r="C1937" i="4"/>
  <c r="C1938" i="4"/>
  <c r="C1939" i="4"/>
  <c r="C1940" i="4"/>
  <c r="C1941" i="4"/>
  <c r="C1942" i="4"/>
  <c r="C1943" i="4"/>
  <c r="C1944" i="4"/>
  <c r="C1945" i="4"/>
  <c r="C1946" i="4"/>
  <c r="C1947" i="4"/>
  <c r="C1948" i="4"/>
  <c r="C1949" i="4"/>
  <c r="C1950" i="4"/>
  <c r="C1951" i="4"/>
  <c r="C1952" i="4"/>
  <c r="C1953" i="4"/>
  <c r="C1954" i="4"/>
  <c r="C1955" i="4"/>
  <c r="C1956" i="4"/>
  <c r="C1957" i="4"/>
  <c r="C1958" i="4"/>
  <c r="C1959" i="4"/>
  <c r="C1960" i="4"/>
  <c r="C1961" i="4"/>
  <c r="C1962" i="4"/>
  <c r="C1963" i="4"/>
  <c r="C1964" i="4"/>
  <c r="C1965" i="4"/>
  <c r="C1966" i="4"/>
  <c r="C1967" i="4"/>
  <c r="C1968" i="4"/>
  <c r="C1969" i="4"/>
  <c r="C1970" i="4"/>
  <c r="C1971" i="4"/>
  <c r="C1972" i="4"/>
  <c r="C1973" i="4"/>
  <c r="C1974" i="4"/>
  <c r="C1975" i="4"/>
  <c r="C1976" i="4"/>
  <c r="C1977" i="4"/>
  <c r="C1978" i="4"/>
  <c r="C1979" i="4"/>
  <c r="C1980" i="4"/>
  <c r="C1981" i="4"/>
  <c r="C1982" i="4"/>
  <c r="C1983" i="4"/>
  <c r="C1984" i="4"/>
  <c r="C1985" i="4"/>
  <c r="C1986" i="4"/>
  <c r="C1987" i="4"/>
  <c r="C1988" i="4"/>
  <c r="C1989" i="4"/>
  <c r="C1990" i="4"/>
  <c r="C1991" i="4"/>
  <c r="C1992" i="4"/>
  <c r="C1993" i="4"/>
  <c r="C1994" i="4"/>
  <c r="C1995" i="4"/>
  <c r="C1996" i="4"/>
  <c r="C1997" i="4"/>
  <c r="C1998" i="4"/>
  <c r="C1999" i="4"/>
  <c r="C2000" i="4"/>
  <c r="C2001" i="4"/>
  <c r="C2002" i="4"/>
  <c r="C2003" i="4"/>
  <c r="C2004" i="4"/>
  <c r="C2005" i="4"/>
  <c r="C2006" i="4"/>
  <c r="C2007" i="4"/>
  <c r="C2008" i="4"/>
  <c r="C2009" i="4"/>
  <c r="C2010" i="4"/>
  <c r="C2011" i="4"/>
  <c r="C2012" i="4"/>
  <c r="C2013" i="4"/>
  <c r="C2014" i="4"/>
  <c r="C2015" i="4"/>
  <c r="C2016" i="4"/>
  <c r="C2017" i="4"/>
  <c r="C2018" i="4"/>
  <c r="C2019" i="4"/>
  <c r="C2020" i="4"/>
  <c r="C2021" i="4"/>
  <c r="C2022" i="4"/>
  <c r="C2023" i="4"/>
  <c r="C2024" i="4"/>
  <c r="C2025" i="4"/>
  <c r="C2026" i="4"/>
  <c r="C2027" i="4"/>
  <c r="C2028" i="4"/>
  <c r="C2029" i="4"/>
  <c r="C2030" i="4"/>
  <c r="C2031" i="4"/>
  <c r="C2032" i="4"/>
  <c r="C2033" i="4"/>
  <c r="C2034" i="4"/>
  <c r="C2035" i="4"/>
  <c r="C2036" i="4"/>
  <c r="C2037" i="4"/>
  <c r="C2038" i="4"/>
  <c r="C2039" i="4"/>
  <c r="C2040" i="4"/>
  <c r="C2041" i="4"/>
  <c r="C2042" i="4"/>
  <c r="C2043" i="4"/>
  <c r="C2044" i="4"/>
  <c r="C2045" i="4"/>
  <c r="C2046" i="4"/>
  <c r="C2047" i="4"/>
  <c r="C2048" i="4"/>
  <c r="C2049" i="4"/>
  <c r="C2050" i="4"/>
  <c r="C2051" i="4"/>
  <c r="C2052" i="4"/>
  <c r="C2053" i="4"/>
  <c r="C2054" i="4"/>
  <c r="C2055" i="4"/>
  <c r="C2056" i="4"/>
  <c r="C2057" i="4"/>
  <c r="C2058" i="4"/>
  <c r="C2059" i="4"/>
  <c r="C2060" i="4"/>
  <c r="C2061" i="4"/>
  <c r="C2062" i="4"/>
  <c r="C2063" i="4"/>
  <c r="C2064" i="4"/>
  <c r="C2065" i="4"/>
  <c r="C2066" i="4"/>
  <c r="C2067" i="4"/>
  <c r="C2068" i="4"/>
  <c r="C2069" i="4"/>
  <c r="C2070" i="4"/>
  <c r="C2071" i="4"/>
  <c r="C2072" i="4"/>
  <c r="C2073" i="4"/>
  <c r="C2074" i="4"/>
  <c r="C2075" i="4"/>
  <c r="C2076" i="4"/>
  <c r="C2077" i="4"/>
  <c r="C2078" i="4"/>
  <c r="C2079" i="4"/>
  <c r="C2080" i="4"/>
  <c r="C2081" i="4"/>
  <c r="C2082" i="4"/>
  <c r="C2083" i="4"/>
  <c r="C2084" i="4"/>
  <c r="C2085" i="4"/>
  <c r="C2086" i="4"/>
  <c r="C2087" i="4"/>
  <c r="C2088" i="4"/>
  <c r="C2089" i="4"/>
  <c r="C2090" i="4"/>
  <c r="C2091" i="4"/>
  <c r="C2092" i="4"/>
  <c r="C2093" i="4"/>
  <c r="C2094" i="4"/>
  <c r="C2095" i="4"/>
  <c r="C2096" i="4"/>
  <c r="C2097" i="4"/>
  <c r="C2098" i="4"/>
  <c r="C2099" i="4"/>
  <c r="C2100" i="4"/>
  <c r="C2101" i="4"/>
  <c r="C2102" i="4"/>
  <c r="C2103" i="4"/>
  <c r="C2104" i="4"/>
  <c r="C2105" i="4"/>
  <c r="C2106" i="4"/>
  <c r="C2107" i="4"/>
  <c r="C2108" i="4"/>
  <c r="C2109" i="4"/>
  <c r="C2110" i="4"/>
  <c r="C2111" i="4"/>
  <c r="C2112" i="4"/>
  <c r="C2113" i="4"/>
  <c r="C2114" i="4"/>
  <c r="C2115" i="4"/>
  <c r="C2116" i="4"/>
  <c r="C2117" i="4"/>
  <c r="C2118" i="4"/>
  <c r="C2119" i="4"/>
  <c r="C2120" i="4"/>
  <c r="C2121" i="4"/>
  <c r="C2122" i="4"/>
  <c r="C2123" i="4"/>
  <c r="C2124" i="4"/>
  <c r="C2125" i="4"/>
  <c r="C2126" i="4"/>
  <c r="C2127" i="4"/>
  <c r="C2128" i="4"/>
  <c r="C2129" i="4"/>
  <c r="C2130" i="4"/>
  <c r="C2131" i="4"/>
  <c r="C2132" i="4"/>
  <c r="C2133" i="4"/>
  <c r="C2134" i="4"/>
  <c r="C2135" i="4"/>
  <c r="C2136" i="4"/>
  <c r="C2137" i="4"/>
  <c r="C2138" i="4"/>
  <c r="C2139" i="4"/>
  <c r="C2140" i="4"/>
  <c r="C2141" i="4"/>
  <c r="C2142" i="4"/>
  <c r="C2143" i="4"/>
  <c r="C2144" i="4"/>
  <c r="C2145" i="4"/>
  <c r="C2146" i="4"/>
  <c r="C2147" i="4"/>
  <c r="C2148" i="4"/>
  <c r="C2149" i="4"/>
  <c r="C2150" i="4"/>
  <c r="C2151" i="4"/>
  <c r="C2152" i="4"/>
  <c r="C2153" i="4"/>
  <c r="C2154" i="4"/>
  <c r="C2155" i="4"/>
  <c r="C2156" i="4"/>
  <c r="C2157" i="4"/>
  <c r="C2158" i="4"/>
  <c r="C2159" i="4"/>
  <c r="C2160" i="4"/>
  <c r="C2161" i="4"/>
  <c r="C2162" i="4"/>
  <c r="C2163" i="4"/>
  <c r="C2164" i="4"/>
  <c r="C2165" i="4"/>
  <c r="C2166" i="4"/>
  <c r="C2167" i="4"/>
  <c r="C2168" i="4"/>
  <c r="C2169" i="4"/>
  <c r="C2170" i="4"/>
  <c r="C2171" i="4"/>
  <c r="C2172" i="4"/>
  <c r="C2173" i="4"/>
  <c r="C2174" i="4"/>
  <c r="C2175" i="4"/>
  <c r="C2176" i="4"/>
  <c r="C2177" i="4"/>
  <c r="C2178" i="4"/>
  <c r="C2179" i="4"/>
  <c r="C2180" i="4"/>
  <c r="C2181" i="4"/>
  <c r="C2182" i="4"/>
  <c r="C2183" i="4"/>
  <c r="C2184" i="4"/>
  <c r="C2185" i="4"/>
  <c r="C2186" i="4"/>
  <c r="C2187" i="4"/>
  <c r="C2188" i="4"/>
  <c r="C2189" i="4"/>
  <c r="C2190" i="4"/>
  <c r="C2191" i="4"/>
  <c r="C2192" i="4"/>
  <c r="C2193" i="4"/>
  <c r="C2194" i="4"/>
  <c r="C2195" i="4"/>
  <c r="C2196" i="4"/>
  <c r="C2197" i="4"/>
  <c r="C2198" i="4"/>
  <c r="C2199" i="4"/>
  <c r="C2200" i="4"/>
  <c r="C2201" i="4"/>
  <c r="C2202" i="4"/>
  <c r="C2203" i="4"/>
  <c r="C2204" i="4"/>
  <c r="C2205" i="4"/>
  <c r="C2206" i="4"/>
  <c r="C2207" i="4"/>
  <c r="C2208" i="4"/>
  <c r="C2209" i="4"/>
  <c r="C2210" i="4"/>
  <c r="C2211" i="4"/>
  <c r="C2212" i="4"/>
  <c r="C2213" i="4"/>
  <c r="C2214" i="4"/>
  <c r="C2215" i="4"/>
  <c r="C2216" i="4"/>
  <c r="C2217" i="4"/>
  <c r="C2218" i="4"/>
  <c r="C2219" i="4"/>
  <c r="C2220" i="4"/>
  <c r="C2221" i="4"/>
  <c r="C2222" i="4"/>
  <c r="C2223" i="4"/>
  <c r="C2224" i="4"/>
  <c r="C2225" i="4"/>
  <c r="C2226" i="4"/>
  <c r="C2227" i="4"/>
  <c r="C2228" i="4"/>
  <c r="C2229" i="4"/>
  <c r="C2230" i="4"/>
  <c r="C2231" i="4"/>
  <c r="C2232" i="4"/>
  <c r="C2233" i="4"/>
  <c r="C2234" i="4"/>
  <c r="C2235" i="4"/>
  <c r="C2236" i="4"/>
  <c r="C2237" i="4"/>
  <c r="C2238" i="4"/>
  <c r="C2239" i="4"/>
  <c r="C2240" i="4"/>
  <c r="C2241" i="4"/>
  <c r="C2242" i="4"/>
  <c r="C2243" i="4"/>
  <c r="C2244" i="4"/>
  <c r="C2245" i="4"/>
  <c r="C2246" i="4"/>
  <c r="C2247" i="4"/>
  <c r="C2248" i="4"/>
  <c r="C2249" i="4"/>
  <c r="C2250" i="4"/>
  <c r="C2251" i="4"/>
  <c r="C2252" i="4"/>
  <c r="C2253" i="4"/>
  <c r="C2254" i="4"/>
  <c r="C2255" i="4"/>
  <c r="C2256" i="4"/>
  <c r="C2257" i="4"/>
  <c r="C2258" i="4"/>
  <c r="C2259" i="4"/>
  <c r="C2260" i="4"/>
  <c r="C2261" i="4"/>
  <c r="C2262" i="4"/>
  <c r="C2263" i="4"/>
  <c r="C2264" i="4"/>
  <c r="C2265" i="4"/>
  <c r="C2266" i="4"/>
  <c r="C2267" i="4"/>
  <c r="C2268" i="4"/>
  <c r="C2269" i="4"/>
  <c r="C2270" i="4"/>
  <c r="C2271" i="4"/>
  <c r="C2272" i="4"/>
  <c r="C2273" i="4"/>
  <c r="C2274" i="4"/>
  <c r="C2275" i="4"/>
  <c r="C2276" i="4"/>
  <c r="C2277" i="4"/>
  <c r="C2278" i="4"/>
  <c r="C2279" i="4"/>
  <c r="C2280" i="4"/>
  <c r="C2281" i="4"/>
  <c r="C2282" i="4"/>
  <c r="C2283" i="4"/>
  <c r="C2284" i="4"/>
  <c r="C2285" i="4"/>
  <c r="C2286" i="4"/>
  <c r="C2287" i="4"/>
  <c r="C2288" i="4"/>
  <c r="C2289" i="4"/>
  <c r="C2290" i="4"/>
  <c r="C2291" i="4"/>
  <c r="C2292" i="4"/>
  <c r="C2293" i="4"/>
  <c r="C2294" i="4"/>
  <c r="C2295" i="4"/>
  <c r="C2296" i="4"/>
  <c r="C2297" i="4"/>
  <c r="C2298" i="4"/>
  <c r="C2299" i="4"/>
  <c r="C2300" i="4"/>
  <c r="C2301" i="4"/>
  <c r="C2302" i="4"/>
  <c r="C2303" i="4"/>
  <c r="C2304" i="4"/>
  <c r="C2305" i="4"/>
  <c r="C2306" i="4"/>
  <c r="C2307" i="4"/>
  <c r="C2308" i="4"/>
  <c r="C2309" i="4"/>
  <c r="C2310" i="4"/>
  <c r="C2311" i="4"/>
  <c r="C2312" i="4"/>
  <c r="C2313" i="4"/>
  <c r="C2314" i="4"/>
  <c r="C2315" i="4"/>
  <c r="C2316" i="4"/>
  <c r="C2317" i="4"/>
  <c r="C2318" i="4"/>
  <c r="C2319" i="4"/>
  <c r="C2320" i="4"/>
  <c r="C2321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500" i="4"/>
  <c r="B1501" i="4"/>
  <c r="B1502" i="4"/>
  <c r="B1503" i="4"/>
  <c r="B1504" i="4"/>
  <c r="B1505" i="4"/>
  <c r="B1506" i="4"/>
  <c r="B1507" i="4"/>
  <c r="B1508" i="4"/>
  <c r="B1509" i="4"/>
  <c r="B1510" i="4"/>
  <c r="B1511" i="4"/>
  <c r="B1512" i="4"/>
  <c r="B1513" i="4"/>
  <c r="B1514" i="4"/>
  <c r="B1515" i="4"/>
  <c r="B1516" i="4"/>
  <c r="B1517" i="4"/>
  <c r="B1518" i="4"/>
  <c r="B1519" i="4"/>
  <c r="B1520" i="4"/>
  <c r="B1521" i="4"/>
  <c r="B1522" i="4"/>
  <c r="B1523" i="4"/>
  <c r="B1524" i="4"/>
  <c r="B1525" i="4"/>
  <c r="B1526" i="4"/>
  <c r="B1527" i="4"/>
  <c r="B1528" i="4"/>
  <c r="B1529" i="4"/>
  <c r="B1530" i="4"/>
  <c r="B1531" i="4"/>
  <c r="B1532" i="4"/>
  <c r="B1533" i="4"/>
  <c r="B1534" i="4"/>
  <c r="B1535" i="4"/>
  <c r="B1536" i="4"/>
  <c r="B1537" i="4"/>
  <c r="B1538" i="4"/>
  <c r="B1539" i="4"/>
  <c r="B1540" i="4"/>
  <c r="B1541" i="4"/>
  <c r="B1542" i="4"/>
  <c r="B1543" i="4"/>
  <c r="B1544" i="4"/>
  <c r="B1545" i="4"/>
  <c r="B1546" i="4"/>
  <c r="B1547" i="4"/>
  <c r="B1548" i="4"/>
  <c r="B1549" i="4"/>
  <c r="B1550" i="4"/>
  <c r="B1551" i="4"/>
  <c r="B1552" i="4"/>
  <c r="B1553" i="4"/>
  <c r="B1554" i="4"/>
  <c r="B1555" i="4"/>
  <c r="B1556" i="4"/>
  <c r="B1557" i="4"/>
  <c r="B1558" i="4"/>
  <c r="B1559" i="4"/>
  <c r="B1560" i="4"/>
  <c r="B1561" i="4"/>
  <c r="B1562" i="4"/>
  <c r="B1563" i="4"/>
  <c r="B1564" i="4"/>
  <c r="B1565" i="4"/>
  <c r="B1566" i="4"/>
  <c r="B1567" i="4"/>
  <c r="B1568" i="4"/>
  <c r="B1569" i="4"/>
  <c r="B1570" i="4"/>
  <c r="B1571" i="4"/>
  <c r="B1572" i="4"/>
  <c r="B1573" i="4"/>
  <c r="B1574" i="4"/>
  <c r="B1575" i="4"/>
  <c r="B1576" i="4"/>
  <c r="B1577" i="4"/>
  <c r="B1578" i="4"/>
  <c r="B1579" i="4"/>
  <c r="B1580" i="4"/>
  <c r="B1581" i="4"/>
  <c r="B1582" i="4"/>
  <c r="B1583" i="4"/>
  <c r="B1584" i="4"/>
  <c r="B1585" i="4"/>
  <c r="B1586" i="4"/>
  <c r="B1587" i="4"/>
  <c r="B1588" i="4"/>
  <c r="B1589" i="4"/>
  <c r="B1590" i="4"/>
  <c r="B1591" i="4"/>
  <c r="B1592" i="4"/>
  <c r="B1593" i="4"/>
  <c r="B1594" i="4"/>
  <c r="B1595" i="4"/>
  <c r="B1596" i="4"/>
  <c r="B1597" i="4"/>
  <c r="B1598" i="4"/>
  <c r="B1599" i="4"/>
  <c r="B1600" i="4"/>
  <c r="B1601" i="4"/>
  <c r="B1602" i="4"/>
  <c r="B1603" i="4"/>
  <c r="B1604" i="4"/>
  <c r="B1605" i="4"/>
  <c r="B1606" i="4"/>
  <c r="B1607" i="4"/>
  <c r="B1608" i="4"/>
  <c r="B1609" i="4"/>
  <c r="B1610" i="4"/>
  <c r="B1611" i="4"/>
  <c r="B1612" i="4"/>
  <c r="B1613" i="4"/>
  <c r="B1614" i="4"/>
  <c r="B1615" i="4"/>
  <c r="B1616" i="4"/>
  <c r="B1617" i="4"/>
  <c r="B1618" i="4"/>
  <c r="B1619" i="4"/>
  <c r="B1620" i="4"/>
  <c r="B1621" i="4"/>
  <c r="B1622" i="4"/>
  <c r="B1623" i="4"/>
  <c r="B1624" i="4"/>
  <c r="B1625" i="4"/>
  <c r="B1626" i="4"/>
  <c r="B1627" i="4"/>
  <c r="B1628" i="4"/>
  <c r="B1629" i="4"/>
  <c r="B1630" i="4"/>
  <c r="B1631" i="4"/>
  <c r="B1632" i="4"/>
  <c r="B1633" i="4"/>
  <c r="B1634" i="4"/>
  <c r="B1635" i="4"/>
  <c r="B1636" i="4"/>
  <c r="B1637" i="4"/>
  <c r="B1638" i="4"/>
  <c r="B1639" i="4"/>
  <c r="B1640" i="4"/>
  <c r="B1641" i="4"/>
  <c r="B1642" i="4"/>
  <c r="B1643" i="4"/>
  <c r="B1644" i="4"/>
  <c r="B1645" i="4"/>
  <c r="B1646" i="4"/>
  <c r="B1647" i="4"/>
  <c r="B1648" i="4"/>
  <c r="B1649" i="4"/>
  <c r="B1650" i="4"/>
  <c r="B1651" i="4"/>
  <c r="B1652" i="4"/>
  <c r="B1653" i="4"/>
  <c r="B1654" i="4"/>
  <c r="B1655" i="4"/>
  <c r="B1656" i="4"/>
  <c r="B1657" i="4"/>
  <c r="B1658" i="4"/>
  <c r="B1659" i="4"/>
  <c r="B1660" i="4"/>
  <c r="B1661" i="4"/>
  <c r="B1662" i="4"/>
  <c r="B1663" i="4"/>
  <c r="B1664" i="4"/>
  <c r="B1665" i="4"/>
  <c r="B1666" i="4"/>
  <c r="B1667" i="4"/>
  <c r="B1668" i="4"/>
  <c r="B1669" i="4"/>
  <c r="B1670" i="4"/>
  <c r="B1671" i="4"/>
  <c r="B1672" i="4"/>
  <c r="B1673" i="4"/>
  <c r="B1674" i="4"/>
  <c r="B1675" i="4"/>
  <c r="B1676" i="4"/>
  <c r="B1677" i="4"/>
  <c r="B1678" i="4"/>
  <c r="B1679" i="4"/>
  <c r="B1680" i="4"/>
  <c r="B1681" i="4"/>
  <c r="B1682" i="4"/>
  <c r="B1683" i="4"/>
  <c r="B1684" i="4"/>
  <c r="B1685" i="4"/>
  <c r="B1686" i="4"/>
  <c r="B1687" i="4"/>
  <c r="B1688" i="4"/>
  <c r="B1689" i="4"/>
  <c r="B1690" i="4"/>
  <c r="B1691" i="4"/>
  <c r="B1692" i="4"/>
  <c r="B1693" i="4"/>
  <c r="B1694" i="4"/>
  <c r="B1695" i="4"/>
  <c r="B1696" i="4"/>
  <c r="B1697" i="4"/>
  <c r="B1698" i="4"/>
  <c r="B1699" i="4"/>
  <c r="B1700" i="4"/>
  <c r="B1701" i="4"/>
  <c r="B1702" i="4"/>
  <c r="B1703" i="4"/>
  <c r="B1704" i="4"/>
  <c r="B1705" i="4"/>
  <c r="B1706" i="4"/>
  <c r="B1707" i="4"/>
  <c r="B1708" i="4"/>
  <c r="B1709" i="4"/>
  <c r="B1710" i="4"/>
  <c r="B1711" i="4"/>
  <c r="B1712" i="4"/>
  <c r="B1713" i="4"/>
  <c r="B1714" i="4"/>
  <c r="B1715" i="4"/>
  <c r="B1716" i="4"/>
  <c r="B1717" i="4"/>
  <c r="B1718" i="4"/>
  <c r="B1719" i="4"/>
  <c r="B1720" i="4"/>
  <c r="B1721" i="4"/>
  <c r="B1722" i="4"/>
  <c r="B1723" i="4"/>
  <c r="B1724" i="4"/>
  <c r="B1725" i="4"/>
  <c r="B1726" i="4"/>
  <c r="B1727" i="4"/>
  <c r="B1728" i="4"/>
  <c r="B1729" i="4"/>
  <c r="B1730" i="4"/>
  <c r="B1731" i="4"/>
  <c r="B1732" i="4"/>
  <c r="B1733" i="4"/>
  <c r="B1734" i="4"/>
  <c r="B1735" i="4"/>
  <c r="B1736" i="4"/>
  <c r="B1737" i="4"/>
  <c r="B1738" i="4"/>
  <c r="B1739" i="4"/>
  <c r="B1740" i="4"/>
  <c r="B1741" i="4"/>
  <c r="B1742" i="4"/>
  <c r="B1743" i="4"/>
  <c r="B1744" i="4"/>
  <c r="B1745" i="4"/>
  <c r="B1746" i="4"/>
  <c r="B1747" i="4"/>
  <c r="B1748" i="4"/>
  <c r="B1749" i="4"/>
  <c r="B1750" i="4"/>
  <c r="B1751" i="4"/>
  <c r="B1752" i="4"/>
  <c r="B1753" i="4"/>
  <c r="B1754" i="4"/>
  <c r="B1755" i="4"/>
  <c r="B1756" i="4"/>
  <c r="B1757" i="4"/>
  <c r="B1758" i="4"/>
  <c r="B1759" i="4"/>
  <c r="B1760" i="4"/>
  <c r="B1761" i="4"/>
  <c r="B1762" i="4"/>
  <c r="B1763" i="4"/>
  <c r="B1764" i="4"/>
  <c r="B1765" i="4"/>
  <c r="B1766" i="4"/>
  <c r="B1767" i="4"/>
  <c r="B1768" i="4"/>
  <c r="B1769" i="4"/>
  <c r="B1770" i="4"/>
  <c r="B1771" i="4"/>
  <c r="B1772" i="4"/>
  <c r="B1773" i="4"/>
  <c r="B1774" i="4"/>
  <c r="B1775" i="4"/>
  <c r="B1776" i="4"/>
  <c r="B1777" i="4"/>
  <c r="B1778" i="4"/>
  <c r="B1779" i="4"/>
  <c r="B1780" i="4"/>
  <c r="B1781" i="4"/>
  <c r="B1782" i="4"/>
  <c r="B1783" i="4"/>
  <c r="B1784" i="4"/>
  <c r="B1785" i="4"/>
  <c r="B1786" i="4"/>
  <c r="B1787" i="4"/>
  <c r="B1788" i="4"/>
  <c r="B1789" i="4"/>
  <c r="B1790" i="4"/>
  <c r="B1791" i="4"/>
  <c r="B1792" i="4"/>
  <c r="B1793" i="4"/>
  <c r="B1794" i="4"/>
  <c r="B1795" i="4"/>
  <c r="B1796" i="4"/>
  <c r="B1797" i="4"/>
  <c r="B1798" i="4"/>
  <c r="B1799" i="4"/>
  <c r="B1800" i="4"/>
  <c r="B1801" i="4"/>
  <c r="B1802" i="4"/>
  <c r="B1803" i="4"/>
  <c r="B1804" i="4"/>
  <c r="B1805" i="4"/>
  <c r="B1806" i="4"/>
  <c r="B1807" i="4"/>
  <c r="B1808" i="4"/>
  <c r="B1809" i="4"/>
  <c r="B1810" i="4"/>
  <c r="B1811" i="4"/>
  <c r="B1812" i="4"/>
  <c r="B1813" i="4"/>
  <c r="B1814" i="4"/>
  <c r="B1815" i="4"/>
  <c r="B1816" i="4"/>
  <c r="B1817" i="4"/>
  <c r="B1818" i="4"/>
  <c r="B1819" i="4"/>
  <c r="B1820" i="4"/>
  <c r="B1821" i="4"/>
  <c r="B1822" i="4"/>
  <c r="B1823" i="4"/>
  <c r="B1824" i="4"/>
  <c r="B1825" i="4"/>
  <c r="B1826" i="4"/>
  <c r="B1827" i="4"/>
  <c r="B1828" i="4"/>
  <c r="B1829" i="4"/>
  <c r="B1830" i="4"/>
  <c r="B1831" i="4"/>
  <c r="B1832" i="4"/>
  <c r="B1833" i="4"/>
  <c r="B1834" i="4"/>
  <c r="B1835" i="4"/>
  <c r="B1836" i="4"/>
  <c r="B1837" i="4"/>
  <c r="B1838" i="4"/>
  <c r="B1839" i="4"/>
  <c r="B1840" i="4"/>
  <c r="B1841" i="4"/>
  <c r="B1842" i="4"/>
  <c r="B1843" i="4"/>
  <c r="B1844" i="4"/>
  <c r="B1845" i="4"/>
  <c r="B1846" i="4"/>
  <c r="B1847" i="4"/>
  <c r="B1848" i="4"/>
  <c r="B1849" i="4"/>
  <c r="B1850" i="4"/>
  <c r="B1851" i="4"/>
  <c r="B1852" i="4"/>
  <c r="B1853" i="4"/>
  <c r="B1854" i="4"/>
  <c r="B1855" i="4"/>
  <c r="B1856" i="4"/>
  <c r="B1857" i="4"/>
  <c r="B1858" i="4"/>
  <c r="B1859" i="4"/>
  <c r="B1860" i="4"/>
  <c r="B1861" i="4"/>
  <c r="B1862" i="4"/>
  <c r="B1863" i="4"/>
  <c r="B1864" i="4"/>
  <c r="B1865" i="4"/>
  <c r="B1866" i="4"/>
  <c r="B1867" i="4"/>
  <c r="B1868" i="4"/>
  <c r="B1869" i="4"/>
  <c r="B1870" i="4"/>
  <c r="B1871" i="4"/>
  <c r="B1872" i="4"/>
  <c r="B1873" i="4"/>
  <c r="B1874" i="4"/>
  <c r="B1875" i="4"/>
  <c r="B1876" i="4"/>
  <c r="B1877" i="4"/>
  <c r="B1878" i="4"/>
  <c r="B1879" i="4"/>
  <c r="B1880" i="4"/>
  <c r="B1881" i="4"/>
  <c r="B1882" i="4"/>
  <c r="B1883" i="4"/>
  <c r="B1884" i="4"/>
  <c r="B1885" i="4"/>
  <c r="B1886" i="4"/>
  <c r="B1887" i="4"/>
  <c r="B1888" i="4"/>
  <c r="B1889" i="4"/>
  <c r="B1890" i="4"/>
  <c r="B1891" i="4"/>
  <c r="B1892" i="4"/>
  <c r="B1893" i="4"/>
  <c r="B1894" i="4"/>
  <c r="B1895" i="4"/>
  <c r="B1896" i="4"/>
  <c r="B1897" i="4"/>
  <c r="B1898" i="4"/>
  <c r="B1899" i="4"/>
  <c r="B1900" i="4"/>
  <c r="B1901" i="4"/>
  <c r="B1902" i="4"/>
  <c r="B1903" i="4"/>
  <c r="B1904" i="4"/>
  <c r="B1905" i="4"/>
  <c r="B1906" i="4"/>
  <c r="B1907" i="4"/>
  <c r="B1908" i="4"/>
  <c r="B1909" i="4"/>
  <c r="B1910" i="4"/>
  <c r="B1911" i="4"/>
  <c r="B1912" i="4"/>
  <c r="B1913" i="4"/>
  <c r="B1914" i="4"/>
  <c r="B1915" i="4"/>
  <c r="B1916" i="4"/>
  <c r="B1917" i="4"/>
  <c r="B1918" i="4"/>
  <c r="B1919" i="4"/>
  <c r="B1920" i="4"/>
  <c r="B1921" i="4"/>
  <c r="B1922" i="4"/>
  <c r="B1923" i="4"/>
  <c r="B1924" i="4"/>
  <c r="B1925" i="4"/>
  <c r="B1926" i="4"/>
  <c r="B1927" i="4"/>
  <c r="B1928" i="4"/>
  <c r="B1929" i="4"/>
  <c r="B1930" i="4"/>
  <c r="B1931" i="4"/>
  <c r="B1932" i="4"/>
  <c r="B1933" i="4"/>
  <c r="B1934" i="4"/>
  <c r="B1935" i="4"/>
  <c r="B1936" i="4"/>
  <c r="B1937" i="4"/>
  <c r="B1938" i="4"/>
  <c r="B1939" i="4"/>
  <c r="B1940" i="4"/>
  <c r="B1941" i="4"/>
  <c r="B1942" i="4"/>
  <c r="B1943" i="4"/>
  <c r="B1944" i="4"/>
  <c r="B1945" i="4"/>
  <c r="B1946" i="4"/>
  <c r="B1947" i="4"/>
  <c r="B1948" i="4"/>
  <c r="B1949" i="4"/>
  <c r="B1950" i="4"/>
  <c r="B1951" i="4"/>
  <c r="B1952" i="4"/>
  <c r="B1953" i="4"/>
  <c r="B1954" i="4"/>
  <c r="B1955" i="4"/>
  <c r="B1956" i="4"/>
  <c r="B1957" i="4"/>
  <c r="B1958" i="4"/>
  <c r="B1959" i="4"/>
  <c r="B1960" i="4"/>
  <c r="B1961" i="4"/>
  <c r="B1962" i="4"/>
  <c r="B1963" i="4"/>
  <c r="B1964" i="4"/>
  <c r="B1965" i="4"/>
  <c r="B1966" i="4"/>
  <c r="B1967" i="4"/>
  <c r="B1968" i="4"/>
  <c r="B1969" i="4"/>
  <c r="B1970" i="4"/>
  <c r="B1971" i="4"/>
  <c r="B1972" i="4"/>
  <c r="B1973" i="4"/>
  <c r="B1974" i="4"/>
  <c r="B1975" i="4"/>
  <c r="B1976" i="4"/>
  <c r="B1977" i="4"/>
  <c r="B1978" i="4"/>
  <c r="B1979" i="4"/>
  <c r="B1980" i="4"/>
  <c r="B1981" i="4"/>
  <c r="B1982" i="4"/>
  <c r="B1983" i="4"/>
  <c r="B1984" i="4"/>
  <c r="B1985" i="4"/>
  <c r="B1986" i="4"/>
  <c r="B1987" i="4"/>
  <c r="B1988" i="4"/>
  <c r="B1989" i="4"/>
  <c r="B1990" i="4"/>
  <c r="B1991" i="4"/>
  <c r="B1992" i="4"/>
  <c r="B1993" i="4"/>
  <c r="B1994" i="4"/>
  <c r="B1995" i="4"/>
  <c r="B1996" i="4"/>
  <c r="B1997" i="4"/>
  <c r="B1998" i="4"/>
  <c r="B1999" i="4"/>
  <c r="B2000" i="4"/>
  <c r="B2001" i="4"/>
  <c r="B2002" i="4"/>
  <c r="B2003" i="4"/>
  <c r="B2004" i="4"/>
  <c r="B2005" i="4"/>
  <c r="B2006" i="4"/>
  <c r="B2007" i="4"/>
  <c r="B2008" i="4"/>
  <c r="B2009" i="4"/>
  <c r="B2010" i="4"/>
  <c r="B2011" i="4"/>
  <c r="B2012" i="4"/>
  <c r="B2013" i="4"/>
  <c r="B2014" i="4"/>
  <c r="B2015" i="4"/>
  <c r="B2016" i="4"/>
  <c r="B2017" i="4"/>
  <c r="B2018" i="4"/>
  <c r="B2019" i="4"/>
  <c r="B2020" i="4"/>
  <c r="B2021" i="4"/>
  <c r="B2022" i="4"/>
  <c r="B2023" i="4"/>
  <c r="B2024" i="4"/>
  <c r="B2025" i="4"/>
  <c r="B2026" i="4"/>
  <c r="B2027" i="4"/>
  <c r="B2028" i="4"/>
  <c r="B2029" i="4"/>
  <c r="B2030" i="4"/>
  <c r="B2031" i="4"/>
  <c r="B2032" i="4"/>
  <c r="B2033" i="4"/>
  <c r="B2034" i="4"/>
  <c r="B2035" i="4"/>
  <c r="B2036" i="4"/>
  <c r="B2037" i="4"/>
  <c r="B2038" i="4"/>
  <c r="B2039" i="4"/>
  <c r="B2040" i="4"/>
  <c r="B2041" i="4"/>
  <c r="B2042" i="4"/>
  <c r="B2043" i="4"/>
  <c r="B2044" i="4"/>
  <c r="B2045" i="4"/>
  <c r="B2046" i="4"/>
  <c r="B2047" i="4"/>
  <c r="B2048" i="4"/>
  <c r="B2049" i="4"/>
  <c r="B2050" i="4"/>
  <c r="B2051" i="4"/>
  <c r="B2052" i="4"/>
  <c r="B2053" i="4"/>
  <c r="B2054" i="4"/>
  <c r="B2055" i="4"/>
  <c r="B2056" i="4"/>
  <c r="B2057" i="4"/>
  <c r="B2058" i="4"/>
  <c r="B2059" i="4"/>
  <c r="B2060" i="4"/>
  <c r="B2061" i="4"/>
  <c r="B2062" i="4"/>
  <c r="B2063" i="4"/>
  <c r="B2064" i="4"/>
  <c r="B2065" i="4"/>
  <c r="B2066" i="4"/>
  <c r="B2067" i="4"/>
  <c r="B2068" i="4"/>
  <c r="B2069" i="4"/>
  <c r="B2070" i="4"/>
  <c r="B2071" i="4"/>
  <c r="B2072" i="4"/>
  <c r="B2073" i="4"/>
  <c r="B2074" i="4"/>
  <c r="B2075" i="4"/>
  <c r="B2076" i="4"/>
  <c r="B2077" i="4"/>
  <c r="B2078" i="4"/>
  <c r="B2079" i="4"/>
  <c r="B2080" i="4"/>
  <c r="B2081" i="4"/>
  <c r="B2082" i="4"/>
  <c r="B2083" i="4"/>
  <c r="B2084" i="4"/>
  <c r="B2085" i="4"/>
  <c r="B2086" i="4"/>
  <c r="B2087" i="4"/>
  <c r="B2088" i="4"/>
  <c r="B2089" i="4"/>
  <c r="B2090" i="4"/>
  <c r="B2091" i="4"/>
  <c r="B2092" i="4"/>
  <c r="B2093" i="4"/>
  <c r="B2094" i="4"/>
  <c r="B2095" i="4"/>
  <c r="B2096" i="4"/>
  <c r="B2097" i="4"/>
  <c r="B2098" i="4"/>
  <c r="B2099" i="4"/>
  <c r="B2100" i="4"/>
  <c r="B2101" i="4"/>
  <c r="B2102" i="4"/>
  <c r="B2103" i="4"/>
  <c r="B2104" i="4"/>
  <c r="B2105" i="4"/>
  <c r="B2106" i="4"/>
  <c r="B2107" i="4"/>
  <c r="B2108" i="4"/>
  <c r="B2109" i="4"/>
  <c r="B2110" i="4"/>
  <c r="B2111" i="4"/>
  <c r="B2112" i="4"/>
  <c r="B2113" i="4"/>
  <c r="B2114" i="4"/>
  <c r="B2115" i="4"/>
  <c r="B2116" i="4"/>
  <c r="B2117" i="4"/>
  <c r="B2118" i="4"/>
  <c r="B2119" i="4"/>
  <c r="B2120" i="4"/>
  <c r="B2121" i="4"/>
  <c r="B2122" i="4"/>
  <c r="B2123" i="4"/>
  <c r="B2124" i="4"/>
  <c r="B2125" i="4"/>
  <c r="B2126" i="4"/>
  <c r="B2127" i="4"/>
  <c r="B2128" i="4"/>
  <c r="B2129" i="4"/>
  <c r="B2130" i="4"/>
  <c r="B2131" i="4"/>
  <c r="B2132" i="4"/>
  <c r="B2133" i="4"/>
  <c r="B2134" i="4"/>
  <c r="B2135" i="4"/>
  <c r="B2136" i="4"/>
  <c r="B2137" i="4"/>
  <c r="B2138" i="4"/>
  <c r="B2139" i="4"/>
  <c r="B2140" i="4"/>
  <c r="B2141" i="4"/>
  <c r="B2142" i="4"/>
  <c r="B2143" i="4"/>
  <c r="B2144" i="4"/>
  <c r="B2145" i="4"/>
  <c r="B2146" i="4"/>
  <c r="B2147" i="4"/>
  <c r="B2148" i="4"/>
  <c r="B2149" i="4"/>
  <c r="B2150" i="4"/>
  <c r="B2151" i="4"/>
  <c r="B2152" i="4"/>
  <c r="B2153" i="4"/>
  <c r="B2154" i="4"/>
  <c r="B2155" i="4"/>
  <c r="B2156" i="4"/>
  <c r="B2157" i="4"/>
  <c r="B2158" i="4"/>
  <c r="B2159" i="4"/>
  <c r="B2160" i="4"/>
  <c r="B2161" i="4"/>
  <c r="B2162" i="4"/>
  <c r="B2163" i="4"/>
  <c r="B2164" i="4"/>
  <c r="B2165" i="4"/>
  <c r="B2166" i="4"/>
  <c r="B2167" i="4"/>
  <c r="B2168" i="4"/>
  <c r="B2169" i="4"/>
  <c r="B2170" i="4"/>
  <c r="B2171" i="4"/>
  <c r="B2172" i="4"/>
  <c r="B2173" i="4"/>
  <c r="B2174" i="4"/>
  <c r="B2175" i="4"/>
  <c r="B2176" i="4"/>
  <c r="B2177" i="4"/>
  <c r="B2178" i="4"/>
  <c r="B2179" i="4"/>
  <c r="B2180" i="4"/>
  <c r="B2181" i="4"/>
  <c r="B2182" i="4"/>
  <c r="B2183" i="4"/>
  <c r="B2184" i="4"/>
  <c r="B2185" i="4"/>
  <c r="B2186" i="4"/>
  <c r="B2187" i="4"/>
  <c r="B2188" i="4"/>
  <c r="B2189" i="4"/>
  <c r="B2190" i="4"/>
  <c r="B2191" i="4"/>
  <c r="B2192" i="4"/>
  <c r="B2193" i="4"/>
  <c r="B2194" i="4"/>
  <c r="B2195" i="4"/>
  <c r="B2196" i="4"/>
  <c r="B2197" i="4"/>
  <c r="B2198" i="4"/>
  <c r="B2199" i="4"/>
  <c r="B2200" i="4"/>
  <c r="B2201" i="4"/>
  <c r="B2202" i="4"/>
  <c r="B2203" i="4"/>
  <c r="B2204" i="4"/>
  <c r="B2205" i="4"/>
  <c r="B2206" i="4"/>
  <c r="B2207" i="4"/>
  <c r="B2208" i="4"/>
  <c r="B2209" i="4"/>
  <c r="B2210" i="4"/>
  <c r="B2211" i="4"/>
  <c r="B2212" i="4"/>
  <c r="B2213" i="4"/>
  <c r="B2214" i="4"/>
  <c r="B2215" i="4"/>
  <c r="B2216" i="4"/>
  <c r="B2217" i="4"/>
  <c r="B2218" i="4"/>
  <c r="B2219" i="4"/>
  <c r="B2220" i="4"/>
  <c r="B2221" i="4"/>
  <c r="B2222" i="4"/>
  <c r="B2223" i="4"/>
  <c r="B2224" i="4"/>
  <c r="B2225" i="4"/>
  <c r="B2226" i="4"/>
  <c r="B2227" i="4"/>
  <c r="B2228" i="4"/>
  <c r="B2229" i="4"/>
  <c r="B2230" i="4"/>
  <c r="B2231" i="4"/>
  <c r="B2232" i="4"/>
  <c r="B2233" i="4"/>
  <c r="B2234" i="4"/>
  <c r="B2235" i="4"/>
  <c r="B2236" i="4"/>
  <c r="B2237" i="4"/>
  <c r="B2238" i="4"/>
  <c r="B2239" i="4"/>
  <c r="B2240" i="4"/>
  <c r="B2241" i="4"/>
  <c r="B2242" i="4"/>
  <c r="B2243" i="4"/>
  <c r="B2244" i="4"/>
  <c r="B2245" i="4"/>
  <c r="B2246" i="4"/>
  <c r="B2247" i="4"/>
  <c r="B2248" i="4"/>
  <c r="B2249" i="4"/>
  <c r="B2250" i="4"/>
  <c r="B2251" i="4"/>
  <c r="B2252" i="4"/>
  <c r="B2253" i="4"/>
  <c r="B2254" i="4"/>
  <c r="B2255" i="4"/>
  <c r="B2256" i="4"/>
  <c r="B2257" i="4"/>
  <c r="B2258" i="4"/>
  <c r="B2259" i="4"/>
  <c r="B2260" i="4"/>
  <c r="B2261" i="4"/>
  <c r="B2262" i="4"/>
  <c r="B2263" i="4"/>
  <c r="B2264" i="4"/>
  <c r="B2265" i="4"/>
  <c r="B2266" i="4"/>
  <c r="B2267" i="4"/>
  <c r="B2268" i="4"/>
  <c r="B2269" i="4"/>
  <c r="B2270" i="4"/>
  <c r="B2271" i="4"/>
  <c r="B2272" i="4"/>
  <c r="B2273" i="4"/>
  <c r="B2274" i="4"/>
  <c r="B2275" i="4"/>
  <c r="B2276" i="4"/>
  <c r="B2277" i="4"/>
  <c r="B2278" i="4"/>
  <c r="B2279" i="4"/>
  <c r="B2280" i="4"/>
  <c r="B2281" i="4"/>
  <c r="B2282" i="4"/>
  <c r="B2283" i="4"/>
  <c r="B2284" i="4"/>
  <c r="B2285" i="4"/>
  <c r="C1297" i="5"/>
  <c r="C1298" i="5"/>
  <c r="C1299" i="5"/>
  <c r="C1300" i="5"/>
  <c r="C1301" i="5"/>
  <c r="C1302" i="5"/>
  <c r="C1303" i="5"/>
  <c r="C1304" i="5"/>
  <c r="C1305" i="5"/>
  <c r="C1306" i="5"/>
  <c r="C1307" i="5"/>
  <c r="C1308" i="5"/>
  <c r="C1309" i="5"/>
  <c r="C1310" i="5"/>
  <c r="C1311" i="5"/>
  <c r="C1312" i="5"/>
  <c r="C1313" i="5"/>
  <c r="C1314" i="5"/>
  <c r="C1315" i="5"/>
  <c r="C1316" i="5"/>
  <c r="C1317" i="5"/>
  <c r="C1318" i="5"/>
  <c r="C1319" i="5"/>
  <c r="C1320" i="5"/>
  <c r="C1321" i="5"/>
  <c r="C1322" i="5"/>
  <c r="C1323" i="5"/>
  <c r="C1324" i="5"/>
  <c r="C1325" i="5"/>
  <c r="C1326" i="5"/>
  <c r="C1327" i="5"/>
  <c r="C1328" i="5"/>
  <c r="C1329" i="5"/>
  <c r="C1330" i="5"/>
  <c r="C1331" i="5"/>
  <c r="C1332" i="5"/>
  <c r="C1333" i="5"/>
  <c r="C1334" i="5"/>
  <c r="C1335" i="5"/>
  <c r="C1336" i="5"/>
  <c r="C1337" i="5"/>
  <c r="C1338" i="5"/>
  <c r="C1339" i="5"/>
  <c r="C1340" i="5"/>
  <c r="C1341" i="5"/>
  <c r="C1342" i="5"/>
  <c r="C1343" i="5"/>
  <c r="C1344" i="5"/>
  <c r="C1345" i="5"/>
  <c r="C1346" i="5"/>
  <c r="C1347" i="5"/>
  <c r="C1348" i="5"/>
  <c r="C1349" i="5"/>
  <c r="C1350" i="5"/>
  <c r="C1351" i="5"/>
  <c r="C1352" i="5"/>
  <c r="C1353" i="5"/>
  <c r="C1354" i="5"/>
  <c r="C1355" i="5"/>
  <c r="C1356" i="5"/>
  <c r="C1357" i="5"/>
  <c r="C1358" i="5"/>
  <c r="C1359" i="5"/>
  <c r="C1360" i="5"/>
  <c r="C1361" i="5"/>
  <c r="C1362" i="5"/>
  <c r="C1363" i="5"/>
  <c r="C1364" i="5"/>
  <c r="C1365" i="5"/>
  <c r="C1366" i="5"/>
  <c r="C1367" i="5"/>
  <c r="C1368" i="5"/>
  <c r="C1369" i="5"/>
  <c r="C1370" i="5"/>
  <c r="C1371" i="5"/>
  <c r="C1372" i="5"/>
  <c r="C1373" i="5"/>
  <c r="C1374" i="5"/>
  <c r="C1375" i="5"/>
  <c r="C1376" i="5"/>
  <c r="C1377" i="5"/>
  <c r="C1378" i="5"/>
  <c r="C1379" i="5"/>
  <c r="C1380" i="5"/>
  <c r="C1381" i="5"/>
  <c r="C1382" i="5"/>
  <c r="C1383" i="5"/>
  <c r="C1384" i="5"/>
  <c r="C1385" i="5"/>
  <c r="C1386" i="5"/>
  <c r="C1387" i="5"/>
  <c r="C1388" i="5"/>
  <c r="C1389" i="5"/>
  <c r="C1390" i="5"/>
  <c r="C1391" i="5"/>
  <c r="C1392" i="5"/>
  <c r="C1393" i="5"/>
  <c r="C1394" i="5"/>
  <c r="C1395" i="5"/>
  <c r="C1396" i="5"/>
  <c r="C1397" i="5"/>
  <c r="C1398" i="5"/>
  <c r="C1399" i="5"/>
  <c r="C1400" i="5"/>
  <c r="C1401" i="5"/>
  <c r="C1402" i="5"/>
  <c r="C1403" i="5"/>
  <c r="C1404" i="5"/>
  <c r="C1405" i="5"/>
  <c r="C1406" i="5"/>
  <c r="C1407" i="5"/>
  <c r="C1408" i="5"/>
  <c r="C1409" i="5"/>
  <c r="C1410" i="5"/>
  <c r="C1411" i="5"/>
  <c r="C1412" i="5"/>
  <c r="C1413" i="5"/>
  <c r="C1414" i="5"/>
  <c r="C1415" i="5"/>
  <c r="C1416" i="5"/>
  <c r="C1417" i="5"/>
  <c r="C1418" i="5"/>
  <c r="C1419" i="5"/>
  <c r="C1420" i="5"/>
  <c r="C1421" i="5"/>
  <c r="C1422" i="5"/>
  <c r="C1423" i="5"/>
  <c r="C1424" i="5"/>
  <c r="C1425" i="5"/>
  <c r="C1426" i="5"/>
  <c r="C1427" i="5"/>
  <c r="C1428" i="5"/>
  <c r="C1429" i="5"/>
  <c r="C1430" i="5"/>
  <c r="C1431" i="5"/>
  <c r="C1432" i="5"/>
  <c r="C1433" i="5"/>
  <c r="C1434" i="5"/>
  <c r="C1435" i="5"/>
  <c r="C1436" i="5"/>
  <c r="C1437" i="5"/>
  <c r="C1438" i="5"/>
  <c r="C1439" i="5"/>
  <c r="C1440" i="5"/>
  <c r="C1441" i="5"/>
  <c r="C1442" i="5"/>
  <c r="C1443" i="5"/>
  <c r="C1444" i="5"/>
  <c r="C1445" i="5"/>
  <c r="C1446" i="5"/>
  <c r="C1447" i="5"/>
  <c r="C1448" i="5"/>
  <c r="C1449" i="5"/>
  <c r="C1450" i="5"/>
  <c r="C1451" i="5"/>
  <c r="C1452" i="5"/>
  <c r="C1453" i="5"/>
  <c r="C1454" i="5"/>
  <c r="C1455" i="5"/>
  <c r="C1456" i="5"/>
  <c r="C1457" i="5"/>
  <c r="C1458" i="5"/>
  <c r="C1459" i="5"/>
  <c r="C1460" i="5"/>
  <c r="C1461" i="5"/>
  <c r="C1462" i="5"/>
  <c r="C1463" i="5"/>
  <c r="C1464" i="5"/>
  <c r="C1465" i="5"/>
  <c r="C1466" i="5"/>
  <c r="C1467" i="5"/>
  <c r="C1468" i="5"/>
  <c r="C1469" i="5"/>
  <c r="C1470" i="5"/>
  <c r="C1471" i="5"/>
  <c r="C1472" i="5"/>
  <c r="C1473" i="5"/>
  <c r="C1474" i="5"/>
  <c r="C1475" i="5"/>
  <c r="C1476" i="5"/>
  <c r="C1477" i="5"/>
  <c r="C1478" i="5"/>
  <c r="C1479" i="5"/>
  <c r="C1480" i="5"/>
  <c r="C1481" i="5"/>
  <c r="C1482" i="5"/>
  <c r="C1483" i="5"/>
  <c r="C1484" i="5"/>
  <c r="C1485" i="5"/>
  <c r="C1486" i="5"/>
  <c r="C1487" i="5"/>
  <c r="C1488" i="5"/>
  <c r="C1489" i="5"/>
  <c r="C1490" i="5"/>
  <c r="C1491" i="5"/>
  <c r="C1492" i="5"/>
  <c r="C1493" i="5"/>
  <c r="C1494" i="5"/>
  <c r="C1495" i="5"/>
  <c r="C1496" i="5"/>
  <c r="C1497" i="5"/>
  <c r="C1498" i="5"/>
  <c r="C1499" i="5"/>
  <c r="C1500" i="5"/>
  <c r="C1501" i="5"/>
  <c r="C1502" i="5"/>
  <c r="C1503" i="5"/>
  <c r="C1504" i="5"/>
  <c r="C1505" i="5"/>
  <c r="C1506" i="5"/>
  <c r="C1507" i="5"/>
  <c r="C1508" i="5"/>
  <c r="C1509" i="5"/>
  <c r="C1510" i="5"/>
  <c r="C1511" i="5"/>
  <c r="C1512" i="5"/>
  <c r="C1513" i="5"/>
  <c r="C1514" i="5"/>
  <c r="C1515" i="5"/>
  <c r="C1516" i="5"/>
  <c r="C1517" i="5"/>
  <c r="C1518" i="5"/>
  <c r="C1519" i="5"/>
  <c r="C1520" i="5"/>
  <c r="C1521" i="5"/>
  <c r="C1522" i="5"/>
  <c r="C1523" i="5"/>
  <c r="C1524" i="5"/>
  <c r="C1525" i="5"/>
  <c r="C1526" i="5"/>
  <c r="C1527" i="5"/>
  <c r="C1528" i="5"/>
  <c r="C1529" i="5"/>
  <c r="C1530" i="5"/>
  <c r="C1531" i="5"/>
  <c r="C1532" i="5"/>
  <c r="C1533" i="5"/>
  <c r="C1534" i="5"/>
  <c r="C1535" i="5"/>
  <c r="C1536" i="5"/>
  <c r="C1537" i="5"/>
  <c r="C1538" i="5"/>
  <c r="C1539" i="5"/>
  <c r="C1540" i="5"/>
  <c r="C1541" i="5"/>
  <c r="C1542" i="5"/>
  <c r="C1543" i="5"/>
  <c r="C1544" i="5"/>
  <c r="C1545" i="5"/>
  <c r="C1546" i="5"/>
  <c r="C1547" i="5"/>
  <c r="C1548" i="5"/>
  <c r="C1549" i="5"/>
  <c r="C1550" i="5"/>
  <c r="C1551" i="5"/>
  <c r="C1552" i="5"/>
  <c r="C1553" i="5"/>
  <c r="C1554" i="5"/>
  <c r="C1555" i="5"/>
  <c r="C1556" i="5"/>
  <c r="C1557" i="5"/>
  <c r="C1558" i="5"/>
  <c r="C1559" i="5"/>
  <c r="C1560" i="5"/>
  <c r="C1561" i="5"/>
  <c r="C1562" i="5"/>
  <c r="C1563" i="5"/>
  <c r="C1564" i="5"/>
  <c r="C1565" i="5"/>
  <c r="C1566" i="5"/>
  <c r="C1567" i="5"/>
  <c r="C1568" i="5"/>
  <c r="C1569" i="5"/>
  <c r="C1570" i="5"/>
  <c r="C1571" i="5"/>
  <c r="C1572" i="5"/>
  <c r="C1573" i="5"/>
  <c r="C1574" i="5"/>
  <c r="C1575" i="5"/>
  <c r="C1576" i="5"/>
  <c r="C1577" i="5"/>
  <c r="C1578" i="5"/>
  <c r="C1579" i="5"/>
  <c r="C1580" i="5"/>
  <c r="C1581" i="5"/>
  <c r="C1582" i="5"/>
  <c r="C1583" i="5"/>
  <c r="C1584" i="5"/>
  <c r="C1585" i="5"/>
  <c r="C1586" i="5"/>
  <c r="C1587" i="5"/>
  <c r="C1588" i="5"/>
  <c r="C1589" i="5"/>
  <c r="C1590" i="5"/>
  <c r="C1591" i="5"/>
  <c r="C1592" i="5"/>
  <c r="C1593" i="5"/>
  <c r="C1594" i="5"/>
  <c r="C1595" i="5"/>
  <c r="C1596" i="5"/>
  <c r="C1597" i="5"/>
  <c r="C1598" i="5"/>
  <c r="C1599" i="5"/>
  <c r="C1600" i="5"/>
  <c r="C1601" i="5"/>
  <c r="C1602" i="5"/>
  <c r="C1603" i="5"/>
  <c r="C1604" i="5"/>
  <c r="C1605" i="5"/>
  <c r="C1606" i="5"/>
  <c r="C1607" i="5"/>
  <c r="C1608" i="5"/>
  <c r="C1609" i="5"/>
  <c r="C1610" i="5"/>
  <c r="C1611" i="5"/>
  <c r="C1612" i="5"/>
  <c r="C1613" i="5"/>
  <c r="C1614" i="5"/>
  <c r="C1615" i="5"/>
  <c r="C1616" i="5"/>
  <c r="C1617" i="5"/>
  <c r="C1618" i="5"/>
  <c r="C1619" i="5"/>
  <c r="C1620" i="5"/>
  <c r="C1621" i="5"/>
  <c r="C1622" i="5"/>
  <c r="C1623" i="5"/>
  <c r="C1624" i="5"/>
  <c r="C1625" i="5"/>
  <c r="C1626" i="5"/>
  <c r="C1627" i="5"/>
  <c r="C1628" i="5"/>
  <c r="C1629" i="5"/>
  <c r="C1630" i="5"/>
  <c r="C1631" i="5"/>
  <c r="C1632" i="5"/>
  <c r="C1633" i="5"/>
  <c r="C1634" i="5"/>
  <c r="C1635" i="5"/>
  <c r="C1636" i="5"/>
  <c r="C1637" i="5"/>
  <c r="C1638" i="5"/>
  <c r="C1639" i="5"/>
  <c r="C1640" i="5"/>
  <c r="C1641" i="5"/>
  <c r="C1642" i="5"/>
  <c r="C1643" i="5"/>
  <c r="C1644" i="5"/>
  <c r="C1645" i="5"/>
  <c r="C1646" i="5"/>
  <c r="C1647" i="5"/>
  <c r="C1648" i="5"/>
  <c r="C1649" i="5"/>
  <c r="C1650" i="5"/>
  <c r="C1651" i="5"/>
  <c r="C1652" i="5"/>
  <c r="C1653" i="5"/>
  <c r="C1654" i="5"/>
  <c r="C1655" i="5"/>
  <c r="C1656" i="5"/>
  <c r="C1657" i="5"/>
  <c r="C1658" i="5"/>
  <c r="C1659" i="5"/>
  <c r="C1660" i="5"/>
  <c r="C1661" i="5"/>
  <c r="C1662" i="5"/>
  <c r="C1663" i="5"/>
  <c r="C1664" i="5"/>
  <c r="C1665" i="5"/>
  <c r="C1666" i="5"/>
  <c r="C1667" i="5"/>
  <c r="C1668" i="5"/>
  <c r="C1669" i="5"/>
  <c r="C1670" i="5"/>
  <c r="C1671" i="5"/>
  <c r="C1672" i="5"/>
  <c r="C1673" i="5"/>
  <c r="C1674" i="5"/>
  <c r="C1675" i="5"/>
  <c r="C1676" i="5"/>
  <c r="C1677" i="5"/>
  <c r="C1678" i="5"/>
  <c r="C1679" i="5"/>
  <c r="C1680" i="5"/>
  <c r="C1681" i="5"/>
  <c r="C1682" i="5"/>
  <c r="C1683" i="5"/>
  <c r="C1684" i="5"/>
  <c r="C1685" i="5"/>
  <c r="C1686" i="5"/>
  <c r="C1687" i="5"/>
  <c r="C1688" i="5"/>
  <c r="C1689" i="5"/>
  <c r="C1690" i="5"/>
  <c r="C1691" i="5"/>
  <c r="C1692" i="5"/>
  <c r="C1693" i="5"/>
  <c r="C1694" i="5"/>
  <c r="C1695" i="5"/>
  <c r="C1696" i="5"/>
  <c r="C1697" i="5"/>
  <c r="C1698" i="5"/>
  <c r="C1699" i="5"/>
  <c r="C1700" i="5"/>
  <c r="C1701" i="5"/>
  <c r="C1702" i="5"/>
  <c r="C1703" i="5"/>
  <c r="C1704" i="5"/>
  <c r="C1705" i="5"/>
  <c r="C1706" i="5"/>
  <c r="C1707" i="5"/>
  <c r="C1708" i="5"/>
  <c r="C1709" i="5"/>
  <c r="C1710" i="5"/>
  <c r="C1711" i="5"/>
  <c r="C1712" i="5"/>
  <c r="C1713" i="5"/>
  <c r="C1714" i="5"/>
  <c r="C1715" i="5"/>
  <c r="C1716" i="5"/>
  <c r="C1717" i="5"/>
  <c r="C1718" i="5"/>
  <c r="C1719" i="5"/>
  <c r="C1720" i="5"/>
  <c r="C1721" i="5"/>
  <c r="C1722" i="5"/>
  <c r="C1723" i="5"/>
  <c r="C1724" i="5"/>
  <c r="C1725" i="5"/>
  <c r="C1726" i="5"/>
  <c r="C1727" i="5"/>
  <c r="C1728" i="5"/>
  <c r="C1729" i="5"/>
  <c r="C1730" i="5"/>
  <c r="C1731" i="5"/>
  <c r="C1732" i="5"/>
  <c r="C1733" i="5"/>
  <c r="C1734" i="5"/>
  <c r="C1735" i="5"/>
  <c r="C1736" i="5"/>
  <c r="C1737" i="5"/>
  <c r="C1738" i="5"/>
  <c r="C1739" i="5"/>
  <c r="C1740" i="5"/>
  <c r="C1741" i="5"/>
  <c r="C1742" i="5"/>
  <c r="C1743" i="5"/>
  <c r="C1744" i="5"/>
  <c r="C1745" i="5"/>
  <c r="C1746" i="5"/>
  <c r="C1747" i="5"/>
  <c r="C1748" i="5"/>
  <c r="C1749" i="5"/>
  <c r="C1750" i="5"/>
  <c r="C1751" i="5"/>
  <c r="C1752" i="5"/>
  <c r="C1753" i="5"/>
  <c r="C1754" i="5"/>
  <c r="C1755" i="5"/>
  <c r="C1756" i="5"/>
  <c r="C1757" i="5"/>
  <c r="C1758" i="5"/>
  <c r="C1759" i="5"/>
  <c r="C1760" i="5"/>
  <c r="C1761" i="5"/>
  <c r="C1762" i="5"/>
  <c r="C1763" i="5"/>
  <c r="C1764" i="5"/>
  <c r="C1765" i="5"/>
  <c r="C1766" i="5"/>
  <c r="C1767" i="5"/>
  <c r="C1768" i="5"/>
  <c r="C1769" i="5"/>
  <c r="C1770" i="5"/>
  <c r="C1771" i="5"/>
  <c r="C1772" i="5"/>
  <c r="C1773" i="5"/>
  <c r="C1774" i="5"/>
  <c r="C1775" i="5"/>
  <c r="C1776" i="5"/>
  <c r="C1777" i="5"/>
  <c r="C1778" i="5"/>
  <c r="C1779" i="5"/>
  <c r="C1780" i="5"/>
  <c r="C1781" i="5"/>
  <c r="C1782" i="5"/>
  <c r="C1783" i="5"/>
  <c r="C1784" i="5"/>
  <c r="C1785" i="5"/>
  <c r="C1786" i="5"/>
  <c r="C1787" i="5"/>
  <c r="C1788" i="5"/>
  <c r="C1789" i="5"/>
  <c r="C1790" i="5"/>
  <c r="C1791" i="5"/>
  <c r="C1792" i="5"/>
  <c r="C1793" i="5"/>
  <c r="C1794" i="5"/>
  <c r="C1795" i="5"/>
  <c r="C1796" i="5"/>
  <c r="C1797" i="5"/>
  <c r="C1798" i="5"/>
  <c r="C1799" i="5"/>
  <c r="C1800" i="5"/>
  <c r="C1801" i="5"/>
  <c r="C1802" i="5"/>
  <c r="C1803" i="5"/>
  <c r="C1804" i="5"/>
  <c r="C1805" i="5"/>
  <c r="C1806" i="5"/>
  <c r="C1807" i="5"/>
  <c r="C1808" i="5"/>
  <c r="C1809" i="5"/>
  <c r="C1810" i="5"/>
  <c r="C1811" i="5"/>
  <c r="C1812" i="5"/>
  <c r="C1813" i="5"/>
  <c r="C1814" i="5"/>
  <c r="C1815" i="5"/>
  <c r="C1816" i="5"/>
  <c r="C1817" i="5"/>
  <c r="C1818" i="5"/>
  <c r="C1819" i="5"/>
  <c r="C1820" i="5"/>
  <c r="C1821" i="5"/>
  <c r="C1822" i="5"/>
  <c r="C1823" i="5"/>
  <c r="C1824" i="5"/>
  <c r="C1825" i="5"/>
  <c r="C1826" i="5"/>
  <c r="C1827" i="5"/>
  <c r="C1828" i="5"/>
  <c r="C1829" i="5"/>
  <c r="C1830" i="5"/>
  <c r="C1831" i="5"/>
  <c r="C1832" i="5"/>
  <c r="C1833" i="5"/>
  <c r="C1834" i="5"/>
  <c r="C1835" i="5"/>
  <c r="C1836" i="5"/>
  <c r="C1837" i="5"/>
  <c r="C1838" i="5"/>
  <c r="C1839" i="5"/>
  <c r="C1840" i="5"/>
  <c r="C1841" i="5"/>
  <c r="C1842" i="5"/>
  <c r="C1843" i="5"/>
  <c r="C1844" i="5"/>
  <c r="C1845" i="5"/>
  <c r="C1846" i="5"/>
  <c r="C1847" i="5"/>
  <c r="C1848" i="5"/>
  <c r="C1849" i="5"/>
  <c r="C1850" i="5"/>
  <c r="C1851" i="5"/>
  <c r="C1852" i="5"/>
  <c r="C1853" i="5"/>
  <c r="C1854" i="5"/>
  <c r="C1855" i="5"/>
  <c r="C1856" i="5"/>
  <c r="C1857" i="5"/>
  <c r="C1858" i="5"/>
  <c r="C1859" i="5"/>
  <c r="C1860" i="5"/>
  <c r="C1861" i="5"/>
  <c r="C1862" i="5"/>
  <c r="C1863" i="5"/>
  <c r="C1864" i="5"/>
  <c r="C1865" i="5"/>
  <c r="C1866" i="5"/>
  <c r="C1867" i="5"/>
  <c r="C1868" i="5"/>
  <c r="C1869" i="5"/>
  <c r="C1870" i="5"/>
  <c r="C1871" i="5"/>
  <c r="C1872" i="5"/>
  <c r="C1873" i="5"/>
  <c r="C1874" i="5"/>
  <c r="C1875" i="5"/>
  <c r="C1876" i="5"/>
  <c r="C1877" i="5"/>
  <c r="C1878" i="5"/>
  <c r="C1879" i="5"/>
  <c r="C1880" i="5"/>
  <c r="C1881" i="5"/>
  <c r="C1882" i="5"/>
  <c r="C1883" i="5"/>
  <c r="C1884" i="5"/>
  <c r="C1885" i="5"/>
  <c r="C1886" i="5"/>
  <c r="C1887" i="5"/>
  <c r="C1888" i="5"/>
  <c r="C1889" i="5"/>
  <c r="C1890" i="5"/>
  <c r="C1891" i="5"/>
  <c r="C1892" i="5"/>
  <c r="C1893" i="5"/>
  <c r="C1894" i="5"/>
  <c r="C1895" i="5"/>
  <c r="C1896" i="5"/>
  <c r="C1897" i="5"/>
  <c r="C1898" i="5"/>
  <c r="C1899" i="5"/>
  <c r="C1900" i="5"/>
  <c r="C1901" i="5"/>
  <c r="C1902" i="5"/>
  <c r="C1903" i="5"/>
  <c r="C1904" i="5"/>
  <c r="C1905" i="5"/>
  <c r="C1906" i="5"/>
  <c r="C1907" i="5"/>
  <c r="C1908" i="5"/>
  <c r="C1909" i="5"/>
  <c r="C1910" i="5"/>
  <c r="C1911" i="5"/>
  <c r="C1912" i="5"/>
  <c r="C1913" i="5"/>
  <c r="C1914" i="5"/>
  <c r="C1915" i="5"/>
  <c r="C1916" i="5"/>
  <c r="C1917" i="5"/>
  <c r="C1918" i="5"/>
  <c r="C1919" i="5"/>
  <c r="C1920" i="5"/>
  <c r="C1921" i="5"/>
  <c r="C1922" i="5"/>
  <c r="C1923" i="5"/>
  <c r="C1924" i="5"/>
  <c r="C1925" i="5"/>
  <c r="C1926" i="5"/>
  <c r="C1927" i="5"/>
  <c r="C1928" i="5"/>
  <c r="C1929" i="5"/>
  <c r="C1930" i="5"/>
  <c r="C1931" i="5"/>
  <c r="C1932" i="5"/>
  <c r="C1933" i="5"/>
  <c r="C1934" i="5"/>
  <c r="C1935" i="5"/>
  <c r="C1936" i="5"/>
  <c r="C1937" i="5"/>
  <c r="C1938" i="5"/>
  <c r="C1939" i="5"/>
  <c r="C1940" i="5"/>
  <c r="C1941" i="5"/>
  <c r="C1942" i="5"/>
  <c r="C1943" i="5"/>
  <c r="C1944" i="5"/>
  <c r="C1945" i="5"/>
  <c r="C1946" i="5"/>
  <c r="C1947" i="5"/>
  <c r="C1948" i="5"/>
  <c r="C1949" i="5"/>
  <c r="C1950" i="5"/>
  <c r="C1951" i="5"/>
  <c r="C1952" i="5"/>
  <c r="C1953" i="5"/>
  <c r="C1954" i="5"/>
  <c r="C1955" i="5"/>
  <c r="C1956" i="5"/>
  <c r="C1957" i="5"/>
  <c r="C1958" i="5"/>
  <c r="C1959" i="5"/>
  <c r="C1960" i="5"/>
  <c r="C1961" i="5"/>
  <c r="C1962" i="5"/>
  <c r="C1963" i="5"/>
  <c r="C1964" i="5"/>
  <c r="C1965" i="5"/>
  <c r="C1966" i="5"/>
  <c r="C1967" i="5"/>
  <c r="C1968" i="5"/>
  <c r="C1969" i="5"/>
  <c r="C1970" i="5"/>
  <c r="C1971" i="5"/>
  <c r="C1972" i="5"/>
  <c r="C1973" i="5"/>
  <c r="C1974" i="5"/>
  <c r="C1975" i="5"/>
  <c r="C1976" i="5"/>
  <c r="C1977" i="5"/>
  <c r="C1978" i="5"/>
  <c r="C1979" i="5"/>
  <c r="C1980" i="5"/>
  <c r="C1981" i="5"/>
  <c r="C1982" i="5"/>
  <c r="C1983" i="5"/>
  <c r="C1984" i="5"/>
  <c r="C1985" i="5"/>
  <c r="C1986" i="5"/>
  <c r="C1987" i="5"/>
  <c r="C1988" i="5"/>
  <c r="C1989" i="5"/>
  <c r="C1990" i="5"/>
  <c r="C1991" i="5"/>
  <c r="C1992" i="5"/>
  <c r="C1993" i="5"/>
  <c r="C1994" i="5"/>
  <c r="C1995" i="5"/>
  <c r="C1996" i="5"/>
  <c r="C1997" i="5"/>
  <c r="C1998" i="5"/>
  <c r="C1999" i="5"/>
  <c r="C2000" i="5"/>
  <c r="C2001" i="5"/>
  <c r="C2002" i="5"/>
  <c r="C2003" i="5"/>
  <c r="C2004" i="5"/>
  <c r="C2005" i="5"/>
  <c r="C2006" i="5"/>
  <c r="C2007" i="5"/>
  <c r="C2008" i="5"/>
  <c r="C2009" i="5"/>
  <c r="C2010" i="5"/>
  <c r="C2011" i="5"/>
  <c r="C2012" i="5"/>
  <c r="C2013" i="5"/>
  <c r="C2014" i="5"/>
  <c r="C2015" i="5"/>
  <c r="C2016" i="5"/>
  <c r="C2017" i="5"/>
  <c r="C2018" i="5"/>
  <c r="C2019" i="5"/>
  <c r="C2020" i="5"/>
  <c r="C2021" i="5"/>
  <c r="C2022" i="5"/>
  <c r="C2023" i="5"/>
  <c r="C2024" i="5"/>
  <c r="C2025" i="5"/>
  <c r="C2026" i="5"/>
  <c r="C2027" i="5"/>
  <c r="C2028" i="5"/>
  <c r="C2029" i="5"/>
  <c r="C2030" i="5"/>
  <c r="C2031" i="5"/>
  <c r="C2032" i="5"/>
  <c r="C2033" i="5"/>
  <c r="C2034" i="5"/>
  <c r="C2035" i="5"/>
  <c r="C2036" i="5"/>
  <c r="C2037" i="5"/>
  <c r="C2038" i="5"/>
  <c r="C2039" i="5"/>
  <c r="C2040" i="5"/>
  <c r="C2041" i="5"/>
  <c r="C2042" i="5"/>
  <c r="C2043" i="5"/>
  <c r="C2044" i="5"/>
  <c r="C2045" i="5"/>
  <c r="C2046" i="5"/>
  <c r="C2047" i="5"/>
  <c r="C2048" i="5"/>
  <c r="C2049" i="5"/>
  <c r="C2050" i="5"/>
  <c r="C2051" i="5"/>
  <c r="C2052" i="5"/>
  <c r="C2053" i="5"/>
  <c r="C2054" i="5"/>
  <c r="C2055" i="5"/>
  <c r="C2056" i="5"/>
  <c r="C2057" i="5"/>
  <c r="C2058" i="5"/>
  <c r="C2059" i="5"/>
  <c r="C2060" i="5"/>
  <c r="C2061" i="5"/>
  <c r="C2062" i="5"/>
  <c r="C2063" i="5"/>
  <c r="C2064" i="5"/>
  <c r="C2065" i="5"/>
  <c r="C2066" i="5"/>
  <c r="C2067" i="5"/>
  <c r="C2068" i="5"/>
  <c r="C2069" i="5"/>
  <c r="C2070" i="5"/>
  <c r="C2071" i="5"/>
  <c r="C2072" i="5"/>
  <c r="C2073" i="5"/>
  <c r="C2074" i="5"/>
  <c r="C2075" i="5"/>
  <c r="C2076" i="5"/>
  <c r="C2077" i="5"/>
  <c r="C2078" i="5"/>
  <c r="C2079" i="5"/>
  <c r="C2080" i="5"/>
  <c r="C2081" i="5"/>
  <c r="C2082" i="5"/>
  <c r="C2083" i="5"/>
  <c r="C2084" i="5"/>
  <c r="C2085" i="5"/>
  <c r="C2086" i="5"/>
  <c r="C2087" i="5"/>
  <c r="C2088" i="5"/>
  <c r="C2089" i="5"/>
  <c r="C2090" i="5"/>
  <c r="C2091" i="5"/>
  <c r="C2092" i="5"/>
  <c r="C2093" i="5"/>
  <c r="C2094" i="5"/>
  <c r="C2095" i="5"/>
  <c r="C2096" i="5"/>
  <c r="C2097" i="5"/>
  <c r="C2098" i="5"/>
  <c r="C2099" i="5"/>
  <c r="C2100" i="5"/>
  <c r="C2101" i="5"/>
  <c r="C2102" i="5"/>
  <c r="C2103" i="5"/>
  <c r="C2104" i="5"/>
  <c r="C2105" i="5"/>
  <c r="C2106" i="5"/>
  <c r="C2107" i="5"/>
  <c r="C2108" i="5"/>
  <c r="C2109" i="5"/>
  <c r="C2110" i="5"/>
  <c r="C2111" i="5"/>
  <c r="C2112" i="5"/>
  <c r="C2113" i="5"/>
  <c r="C2114" i="5"/>
  <c r="C2115" i="5"/>
  <c r="C2116" i="5"/>
  <c r="C2117" i="5"/>
  <c r="C2118" i="5"/>
  <c r="C2119" i="5"/>
  <c r="C2120" i="5"/>
  <c r="C2121" i="5"/>
  <c r="C2122" i="5"/>
  <c r="C2123" i="5"/>
  <c r="C2124" i="5"/>
  <c r="C2125" i="5"/>
  <c r="C2126" i="5"/>
  <c r="C2127" i="5"/>
  <c r="C2128" i="5"/>
  <c r="C2129" i="5"/>
  <c r="C2130" i="5"/>
  <c r="C2131" i="5"/>
  <c r="C2132" i="5"/>
  <c r="C2133" i="5"/>
  <c r="C2134" i="5"/>
  <c r="C2135" i="5"/>
  <c r="C2136" i="5"/>
  <c r="C2137" i="5"/>
  <c r="C2138" i="5"/>
  <c r="C2139" i="5"/>
  <c r="C2140" i="5"/>
  <c r="C2141" i="5"/>
  <c r="C2142" i="5"/>
  <c r="C2143" i="5"/>
  <c r="C2144" i="5"/>
  <c r="C2145" i="5"/>
  <c r="C2146" i="5"/>
  <c r="C2147" i="5"/>
  <c r="C2148" i="5"/>
  <c r="C2149" i="5"/>
  <c r="C2150" i="5"/>
  <c r="C2151" i="5"/>
  <c r="C2152" i="5"/>
  <c r="C2153" i="5"/>
  <c r="C2154" i="5"/>
  <c r="C2155" i="5"/>
  <c r="C2156" i="5"/>
  <c r="C2157" i="5"/>
  <c r="C2158" i="5"/>
  <c r="C2159" i="5"/>
  <c r="C2160" i="5"/>
  <c r="C2161" i="5"/>
  <c r="C2162" i="5"/>
  <c r="C2163" i="5"/>
  <c r="C2164" i="5"/>
  <c r="C2165" i="5"/>
  <c r="C2166" i="5"/>
  <c r="C2167" i="5"/>
  <c r="C2168" i="5"/>
  <c r="C2169" i="5"/>
  <c r="C2170" i="5"/>
  <c r="C2171" i="5"/>
  <c r="C2172" i="5"/>
  <c r="C2173" i="5"/>
  <c r="C2174" i="5"/>
  <c r="C2175" i="5"/>
  <c r="C2176" i="5"/>
  <c r="C2177" i="5"/>
  <c r="C2178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C703" i="5"/>
  <c r="C704" i="5"/>
  <c r="C705" i="5"/>
  <c r="C706" i="5"/>
  <c r="C707" i="5"/>
  <c r="C708" i="5"/>
  <c r="C709" i="5"/>
  <c r="C710" i="5"/>
  <c r="C711" i="5"/>
  <c r="C712" i="5"/>
  <c r="C713" i="5"/>
  <c r="C714" i="5"/>
  <c r="C715" i="5"/>
  <c r="C716" i="5"/>
  <c r="C717" i="5"/>
  <c r="C718" i="5"/>
  <c r="C719" i="5"/>
  <c r="C720" i="5"/>
  <c r="C721" i="5"/>
  <c r="C722" i="5"/>
  <c r="C723" i="5"/>
  <c r="C724" i="5"/>
  <c r="C725" i="5"/>
  <c r="C726" i="5"/>
  <c r="C727" i="5"/>
  <c r="C728" i="5"/>
  <c r="C729" i="5"/>
  <c r="C730" i="5"/>
  <c r="C731" i="5"/>
  <c r="C732" i="5"/>
  <c r="C733" i="5"/>
  <c r="C734" i="5"/>
  <c r="C735" i="5"/>
  <c r="C736" i="5"/>
  <c r="C737" i="5"/>
  <c r="C738" i="5"/>
  <c r="C739" i="5"/>
  <c r="C740" i="5"/>
  <c r="C741" i="5"/>
  <c r="C742" i="5"/>
  <c r="C743" i="5"/>
  <c r="C744" i="5"/>
  <c r="C745" i="5"/>
  <c r="C746" i="5"/>
  <c r="C747" i="5"/>
  <c r="C748" i="5"/>
  <c r="C749" i="5"/>
  <c r="C750" i="5"/>
  <c r="C751" i="5"/>
  <c r="C752" i="5"/>
  <c r="C753" i="5"/>
  <c r="C754" i="5"/>
  <c r="C755" i="5"/>
  <c r="C756" i="5"/>
  <c r="C757" i="5"/>
  <c r="C758" i="5"/>
  <c r="C759" i="5"/>
  <c r="C760" i="5"/>
  <c r="C761" i="5"/>
  <c r="C762" i="5"/>
  <c r="C763" i="5"/>
  <c r="C764" i="5"/>
  <c r="C765" i="5"/>
  <c r="C766" i="5"/>
  <c r="C767" i="5"/>
  <c r="C768" i="5"/>
  <c r="C769" i="5"/>
  <c r="C770" i="5"/>
  <c r="C771" i="5"/>
  <c r="C772" i="5"/>
  <c r="C773" i="5"/>
  <c r="C774" i="5"/>
  <c r="C775" i="5"/>
  <c r="C776" i="5"/>
  <c r="C777" i="5"/>
  <c r="C778" i="5"/>
  <c r="C779" i="5"/>
  <c r="C780" i="5"/>
  <c r="C781" i="5"/>
  <c r="C782" i="5"/>
  <c r="C783" i="5"/>
  <c r="C784" i="5"/>
  <c r="C785" i="5"/>
  <c r="C786" i="5"/>
  <c r="C787" i="5"/>
  <c r="C788" i="5"/>
  <c r="C789" i="5"/>
  <c r="C790" i="5"/>
  <c r="C791" i="5"/>
  <c r="C792" i="5"/>
  <c r="C793" i="5"/>
  <c r="C794" i="5"/>
  <c r="C795" i="5"/>
  <c r="C796" i="5"/>
  <c r="C797" i="5"/>
  <c r="C798" i="5"/>
  <c r="C799" i="5"/>
  <c r="C800" i="5"/>
  <c r="C801" i="5"/>
  <c r="C802" i="5"/>
  <c r="C803" i="5"/>
  <c r="C804" i="5"/>
  <c r="C805" i="5"/>
  <c r="C806" i="5"/>
  <c r="C807" i="5"/>
  <c r="C808" i="5"/>
  <c r="C809" i="5"/>
  <c r="C810" i="5"/>
  <c r="C811" i="5"/>
  <c r="C812" i="5"/>
  <c r="C813" i="5"/>
  <c r="C814" i="5"/>
  <c r="C815" i="5"/>
  <c r="C816" i="5"/>
  <c r="C817" i="5"/>
  <c r="C818" i="5"/>
  <c r="C819" i="5"/>
  <c r="C820" i="5"/>
  <c r="C821" i="5"/>
  <c r="C822" i="5"/>
  <c r="C823" i="5"/>
  <c r="C824" i="5"/>
  <c r="C825" i="5"/>
  <c r="C826" i="5"/>
  <c r="C827" i="5"/>
  <c r="C828" i="5"/>
  <c r="C829" i="5"/>
  <c r="C830" i="5"/>
  <c r="C831" i="5"/>
  <c r="C832" i="5"/>
  <c r="C833" i="5"/>
  <c r="C834" i="5"/>
  <c r="C835" i="5"/>
  <c r="C836" i="5"/>
  <c r="C837" i="5"/>
  <c r="C838" i="5"/>
  <c r="C839" i="5"/>
  <c r="C840" i="5"/>
  <c r="C841" i="5"/>
  <c r="C842" i="5"/>
  <c r="C843" i="5"/>
  <c r="C844" i="5"/>
  <c r="C845" i="5"/>
  <c r="C846" i="5"/>
  <c r="C847" i="5"/>
  <c r="C848" i="5"/>
  <c r="C849" i="5"/>
  <c r="C850" i="5"/>
  <c r="C851" i="5"/>
  <c r="C852" i="5"/>
  <c r="C853" i="5"/>
  <c r="C854" i="5"/>
  <c r="C855" i="5"/>
  <c r="C856" i="5"/>
  <c r="C857" i="5"/>
  <c r="C858" i="5"/>
  <c r="C859" i="5"/>
  <c r="C860" i="5"/>
  <c r="C861" i="5"/>
  <c r="C862" i="5"/>
  <c r="C863" i="5"/>
  <c r="C864" i="5"/>
  <c r="C865" i="5"/>
  <c r="C866" i="5"/>
  <c r="C867" i="5"/>
  <c r="C868" i="5"/>
  <c r="C869" i="5"/>
  <c r="C870" i="5"/>
  <c r="C871" i="5"/>
  <c r="C872" i="5"/>
  <c r="C873" i="5"/>
  <c r="C874" i="5"/>
  <c r="C875" i="5"/>
  <c r="C876" i="5"/>
  <c r="C877" i="5"/>
  <c r="C878" i="5"/>
  <c r="C879" i="5"/>
  <c r="C880" i="5"/>
  <c r="C881" i="5"/>
  <c r="C882" i="5"/>
  <c r="C883" i="5"/>
  <c r="C884" i="5"/>
  <c r="C885" i="5"/>
  <c r="C886" i="5"/>
  <c r="C887" i="5"/>
  <c r="C888" i="5"/>
  <c r="C889" i="5"/>
  <c r="C890" i="5"/>
  <c r="C891" i="5"/>
  <c r="C892" i="5"/>
  <c r="C893" i="5"/>
  <c r="C894" i="5"/>
  <c r="C895" i="5"/>
  <c r="C896" i="5"/>
  <c r="C897" i="5"/>
  <c r="C898" i="5"/>
  <c r="C899" i="5"/>
  <c r="C900" i="5"/>
  <c r="C901" i="5"/>
  <c r="C902" i="5"/>
  <c r="C903" i="5"/>
  <c r="C904" i="5"/>
  <c r="C905" i="5"/>
  <c r="C906" i="5"/>
  <c r="C907" i="5"/>
  <c r="C908" i="5"/>
  <c r="C909" i="5"/>
  <c r="C910" i="5"/>
  <c r="C911" i="5"/>
  <c r="C912" i="5"/>
  <c r="C913" i="5"/>
  <c r="C914" i="5"/>
  <c r="C915" i="5"/>
  <c r="C916" i="5"/>
  <c r="C917" i="5"/>
  <c r="C918" i="5"/>
  <c r="C919" i="5"/>
  <c r="C920" i="5"/>
  <c r="C921" i="5"/>
  <c r="C922" i="5"/>
  <c r="C923" i="5"/>
  <c r="C924" i="5"/>
  <c r="C925" i="5"/>
  <c r="C926" i="5"/>
  <c r="C927" i="5"/>
  <c r="C928" i="5"/>
  <c r="C929" i="5"/>
  <c r="C930" i="5"/>
  <c r="C931" i="5"/>
  <c r="C932" i="5"/>
  <c r="C933" i="5"/>
  <c r="C934" i="5"/>
  <c r="C935" i="5"/>
  <c r="C936" i="5"/>
  <c r="C937" i="5"/>
  <c r="C938" i="5"/>
  <c r="C939" i="5"/>
  <c r="C940" i="5"/>
  <c r="C941" i="5"/>
  <c r="C942" i="5"/>
  <c r="C943" i="5"/>
  <c r="C944" i="5"/>
  <c r="C945" i="5"/>
  <c r="C946" i="5"/>
  <c r="C947" i="5"/>
  <c r="C948" i="5"/>
  <c r="C949" i="5"/>
  <c r="C950" i="5"/>
  <c r="C951" i="5"/>
  <c r="C952" i="5"/>
  <c r="C953" i="5"/>
  <c r="C954" i="5"/>
  <c r="C955" i="5"/>
  <c r="C956" i="5"/>
  <c r="C957" i="5"/>
  <c r="C958" i="5"/>
  <c r="C959" i="5"/>
  <c r="C960" i="5"/>
  <c r="C961" i="5"/>
  <c r="C962" i="5"/>
  <c r="C963" i="5"/>
  <c r="C964" i="5"/>
  <c r="C965" i="5"/>
  <c r="C966" i="5"/>
  <c r="C967" i="5"/>
  <c r="C968" i="5"/>
  <c r="C969" i="5"/>
  <c r="C970" i="5"/>
  <c r="C971" i="5"/>
  <c r="C972" i="5"/>
  <c r="C973" i="5"/>
  <c r="C974" i="5"/>
  <c r="C975" i="5"/>
  <c r="C976" i="5"/>
  <c r="C977" i="5"/>
  <c r="C978" i="5"/>
  <c r="C979" i="5"/>
  <c r="C980" i="5"/>
  <c r="C981" i="5"/>
  <c r="C982" i="5"/>
  <c r="C983" i="5"/>
  <c r="C984" i="5"/>
  <c r="C985" i="5"/>
  <c r="C986" i="5"/>
  <c r="C987" i="5"/>
  <c r="C988" i="5"/>
  <c r="C989" i="5"/>
  <c r="C990" i="5"/>
  <c r="C991" i="5"/>
  <c r="C992" i="5"/>
  <c r="C993" i="5"/>
  <c r="C994" i="5"/>
  <c r="C995" i="5"/>
  <c r="C996" i="5"/>
  <c r="C997" i="5"/>
  <c r="C998" i="5"/>
  <c r="C999" i="5"/>
  <c r="C1000" i="5"/>
  <c r="C1001" i="5"/>
  <c r="C1002" i="5"/>
  <c r="C1003" i="5"/>
  <c r="C1004" i="5"/>
  <c r="C1005" i="5"/>
  <c r="C1006" i="5"/>
  <c r="C1007" i="5"/>
  <c r="C1008" i="5"/>
  <c r="C1009" i="5"/>
  <c r="C1010" i="5"/>
  <c r="C1011" i="5"/>
  <c r="C1012" i="5"/>
  <c r="C1013" i="5"/>
  <c r="C1014" i="5"/>
  <c r="C1015" i="5"/>
  <c r="C1016" i="5"/>
  <c r="C1017" i="5"/>
  <c r="C1018" i="5"/>
  <c r="C1019" i="5"/>
  <c r="C1020" i="5"/>
  <c r="C1021" i="5"/>
  <c r="C1022" i="5"/>
  <c r="C1023" i="5"/>
  <c r="C1024" i="5"/>
  <c r="C1025" i="5"/>
  <c r="C1026" i="5"/>
  <c r="C1027" i="5"/>
  <c r="C1028" i="5"/>
  <c r="C1029" i="5"/>
  <c r="C1030" i="5"/>
  <c r="C1031" i="5"/>
  <c r="C1032" i="5"/>
  <c r="C1033" i="5"/>
  <c r="C1034" i="5"/>
  <c r="C1035" i="5"/>
  <c r="C1036" i="5"/>
  <c r="C1037" i="5"/>
  <c r="C1038" i="5"/>
  <c r="C1039" i="5"/>
  <c r="C1040" i="5"/>
  <c r="C1041" i="5"/>
  <c r="C1042" i="5"/>
  <c r="C1043" i="5"/>
  <c r="C1044" i="5"/>
  <c r="C1045" i="5"/>
  <c r="C1046" i="5"/>
  <c r="C1047" i="5"/>
  <c r="C1048" i="5"/>
  <c r="C1049" i="5"/>
  <c r="C1050" i="5"/>
  <c r="C1051" i="5"/>
  <c r="C1052" i="5"/>
  <c r="C1053" i="5"/>
  <c r="C1054" i="5"/>
  <c r="C1055" i="5"/>
  <c r="C1056" i="5"/>
  <c r="C1057" i="5"/>
  <c r="C1058" i="5"/>
  <c r="C1059" i="5"/>
  <c r="C1060" i="5"/>
  <c r="C1061" i="5"/>
  <c r="C1062" i="5"/>
  <c r="C1063" i="5"/>
  <c r="C1064" i="5"/>
  <c r="C1065" i="5"/>
  <c r="C1066" i="5"/>
  <c r="C1067" i="5"/>
  <c r="C1068" i="5"/>
  <c r="C1069" i="5"/>
  <c r="C1070" i="5"/>
  <c r="C1071" i="5"/>
  <c r="C1072" i="5"/>
  <c r="C1073" i="5"/>
  <c r="C1074" i="5"/>
  <c r="C1075" i="5"/>
  <c r="C1076" i="5"/>
  <c r="C1077" i="5"/>
  <c r="C1078" i="5"/>
  <c r="C1079" i="5"/>
  <c r="C1080" i="5"/>
  <c r="C1081" i="5"/>
  <c r="C1082" i="5"/>
  <c r="C1083" i="5"/>
  <c r="C1084" i="5"/>
  <c r="C1085" i="5"/>
  <c r="C1086" i="5"/>
  <c r="C1087" i="5"/>
  <c r="C1088" i="5"/>
  <c r="C1089" i="5"/>
  <c r="C1090" i="5"/>
  <c r="C1091" i="5"/>
  <c r="C1092" i="5"/>
  <c r="C1093" i="5"/>
  <c r="C1094" i="5"/>
  <c r="C1095" i="5"/>
  <c r="C1096" i="5"/>
  <c r="C1097" i="5"/>
  <c r="C1098" i="5"/>
  <c r="C1099" i="5"/>
  <c r="C1100" i="5"/>
  <c r="C1101" i="5"/>
  <c r="C1102" i="5"/>
  <c r="C1103" i="5"/>
  <c r="C1104" i="5"/>
  <c r="C1105" i="5"/>
  <c r="C1106" i="5"/>
  <c r="C1107" i="5"/>
  <c r="C1108" i="5"/>
  <c r="C1109" i="5"/>
  <c r="C1110" i="5"/>
  <c r="C1111" i="5"/>
  <c r="C1112" i="5"/>
  <c r="C1113" i="5"/>
  <c r="C1114" i="5"/>
  <c r="C1115" i="5"/>
  <c r="C1116" i="5"/>
  <c r="C1117" i="5"/>
  <c r="C1118" i="5"/>
  <c r="C1119" i="5"/>
  <c r="C1120" i="5"/>
  <c r="C1121" i="5"/>
  <c r="C1122" i="5"/>
  <c r="C1123" i="5"/>
  <c r="C1124" i="5"/>
  <c r="C1125" i="5"/>
  <c r="C1126" i="5"/>
  <c r="C1127" i="5"/>
  <c r="C1128" i="5"/>
  <c r="C1129" i="5"/>
  <c r="C1130" i="5"/>
  <c r="C1131" i="5"/>
  <c r="C1132" i="5"/>
  <c r="C1133" i="5"/>
  <c r="C1134" i="5"/>
  <c r="C1135" i="5"/>
  <c r="C1136" i="5"/>
  <c r="C1137" i="5"/>
  <c r="C1138" i="5"/>
  <c r="C1139" i="5"/>
  <c r="C1140" i="5"/>
  <c r="C1141" i="5"/>
  <c r="C1142" i="5"/>
  <c r="C1143" i="5"/>
  <c r="C1144" i="5"/>
  <c r="C1145" i="5"/>
  <c r="C1146" i="5"/>
  <c r="C1147" i="5"/>
  <c r="C1148" i="5"/>
  <c r="C1149" i="5"/>
  <c r="C1150" i="5"/>
  <c r="C1151" i="5"/>
  <c r="C1152" i="5"/>
  <c r="C1153" i="5"/>
  <c r="C1154" i="5"/>
  <c r="C1155" i="5"/>
  <c r="C1156" i="5"/>
  <c r="C1157" i="5"/>
  <c r="C1158" i="5"/>
  <c r="C1159" i="5"/>
  <c r="C1160" i="5"/>
  <c r="C1161" i="5"/>
  <c r="C1162" i="5"/>
  <c r="C1163" i="5"/>
  <c r="C1164" i="5"/>
  <c r="C1165" i="5"/>
  <c r="C1166" i="5"/>
  <c r="C1167" i="5"/>
  <c r="C1168" i="5"/>
  <c r="C1169" i="5"/>
  <c r="C1170" i="5"/>
  <c r="C1171" i="5"/>
  <c r="C1172" i="5"/>
  <c r="C1173" i="5"/>
  <c r="C1174" i="5"/>
  <c r="C1175" i="5"/>
  <c r="C1176" i="5"/>
  <c r="C1177" i="5"/>
  <c r="C1178" i="5"/>
  <c r="C1179" i="5"/>
  <c r="C1180" i="5"/>
  <c r="C1181" i="5"/>
  <c r="C1182" i="5"/>
  <c r="C1183" i="5"/>
  <c r="C1184" i="5"/>
  <c r="C1185" i="5"/>
  <c r="C1186" i="5"/>
  <c r="C1187" i="5"/>
  <c r="C1188" i="5"/>
  <c r="C1189" i="5"/>
  <c r="C1190" i="5"/>
  <c r="C1191" i="5"/>
  <c r="C1192" i="5"/>
  <c r="C1193" i="5"/>
  <c r="C1194" i="5"/>
  <c r="C1195" i="5"/>
  <c r="C1196" i="5"/>
  <c r="C1197" i="5"/>
  <c r="C1198" i="5"/>
  <c r="C1199" i="5"/>
  <c r="C1200" i="5"/>
  <c r="C1201" i="5"/>
  <c r="C1202" i="5"/>
  <c r="C1203" i="5"/>
  <c r="C1204" i="5"/>
  <c r="C1205" i="5"/>
  <c r="C1206" i="5"/>
  <c r="C1207" i="5"/>
  <c r="C1208" i="5"/>
  <c r="C1209" i="5"/>
  <c r="C1210" i="5"/>
  <c r="C1211" i="5"/>
  <c r="C1212" i="5"/>
  <c r="C1213" i="5"/>
  <c r="C1214" i="5"/>
  <c r="C1215" i="5"/>
  <c r="C1216" i="5"/>
  <c r="C1217" i="5"/>
  <c r="C1218" i="5"/>
  <c r="C1219" i="5"/>
  <c r="C1220" i="5"/>
  <c r="C1221" i="5"/>
  <c r="C1222" i="5"/>
  <c r="C1223" i="5"/>
  <c r="C1224" i="5"/>
  <c r="C1225" i="5"/>
  <c r="C1226" i="5"/>
  <c r="C1227" i="5"/>
  <c r="C1228" i="5"/>
  <c r="C1229" i="5"/>
  <c r="C1230" i="5"/>
  <c r="C1231" i="5"/>
  <c r="C1232" i="5"/>
  <c r="C1233" i="5"/>
  <c r="C1234" i="5"/>
  <c r="C1235" i="5"/>
  <c r="C1236" i="5"/>
  <c r="C1237" i="5"/>
  <c r="C1238" i="5"/>
  <c r="C1239" i="5"/>
  <c r="C1240" i="5"/>
  <c r="C1241" i="5"/>
  <c r="C1242" i="5"/>
  <c r="C1243" i="5"/>
  <c r="C1244" i="5"/>
  <c r="C1245" i="5"/>
  <c r="C1246" i="5"/>
  <c r="C1247" i="5"/>
  <c r="C1248" i="5"/>
  <c r="C1249" i="5"/>
  <c r="C1250" i="5"/>
  <c r="C1251" i="5"/>
  <c r="C1252" i="5"/>
  <c r="C1253" i="5"/>
  <c r="C1254" i="5"/>
  <c r="C1255" i="5"/>
  <c r="C1256" i="5"/>
  <c r="C1257" i="5"/>
  <c r="C1258" i="5"/>
  <c r="C1259" i="5"/>
  <c r="C1260" i="5"/>
  <c r="C1261" i="5"/>
  <c r="C1262" i="5"/>
  <c r="C1263" i="5"/>
  <c r="C1264" i="5"/>
  <c r="C1265" i="5"/>
  <c r="C1266" i="5"/>
  <c r="C1267" i="5"/>
  <c r="C1268" i="5"/>
  <c r="C1269" i="5"/>
  <c r="C1270" i="5"/>
  <c r="C1271" i="5"/>
  <c r="C1272" i="5"/>
  <c r="C1273" i="5"/>
  <c r="C1274" i="5"/>
  <c r="C1275" i="5"/>
  <c r="C1276" i="5"/>
  <c r="C1277" i="5"/>
  <c r="C1278" i="5"/>
  <c r="C1279" i="5"/>
  <c r="C1280" i="5"/>
  <c r="C1281" i="5"/>
  <c r="C1282" i="5"/>
  <c r="C1283" i="5"/>
  <c r="C1284" i="5"/>
  <c r="C1285" i="5"/>
  <c r="C1286" i="5"/>
  <c r="C1287" i="5"/>
  <c r="C1288" i="5"/>
  <c r="C1289" i="5"/>
  <c r="C1290" i="5"/>
  <c r="C1291" i="5"/>
  <c r="C1292" i="5"/>
  <c r="C1293" i="5"/>
  <c r="C1294" i="5"/>
  <c r="C1295" i="5"/>
  <c r="C1296" i="5"/>
  <c r="B1303" i="5"/>
  <c r="B1304" i="5"/>
  <c r="B1305" i="5"/>
  <c r="B1306" i="5"/>
  <c r="B1307" i="5"/>
  <c r="B1308" i="5"/>
  <c r="B1309" i="5"/>
  <c r="B1310" i="5"/>
  <c r="B1311" i="5"/>
  <c r="B1312" i="5"/>
  <c r="B1313" i="5"/>
  <c r="B1314" i="5"/>
  <c r="B1315" i="5"/>
  <c r="B1316" i="5"/>
  <c r="B1317" i="5"/>
  <c r="B1318" i="5"/>
  <c r="B1319" i="5"/>
  <c r="B1320" i="5"/>
  <c r="B1321" i="5"/>
  <c r="B1322" i="5"/>
  <c r="B1323" i="5"/>
  <c r="B1324" i="5"/>
  <c r="B1325" i="5"/>
  <c r="B1326" i="5"/>
  <c r="B1327" i="5"/>
  <c r="B1328" i="5"/>
  <c r="B1329" i="5"/>
  <c r="B1330" i="5"/>
  <c r="B1331" i="5"/>
  <c r="B1332" i="5"/>
  <c r="B1333" i="5"/>
  <c r="B1334" i="5"/>
  <c r="B1335" i="5"/>
  <c r="B1336" i="5"/>
  <c r="B1337" i="5"/>
  <c r="B1338" i="5"/>
  <c r="B1339" i="5"/>
  <c r="B1340" i="5"/>
  <c r="B1341" i="5"/>
  <c r="B1342" i="5"/>
  <c r="B1343" i="5"/>
  <c r="B1344" i="5"/>
  <c r="B1345" i="5"/>
  <c r="B1346" i="5"/>
  <c r="B1347" i="5"/>
  <c r="B1348" i="5"/>
  <c r="B1349" i="5"/>
  <c r="B1350" i="5"/>
  <c r="B1351" i="5"/>
  <c r="B1352" i="5"/>
  <c r="B1353" i="5"/>
  <c r="B1354" i="5"/>
  <c r="B1355" i="5"/>
  <c r="B1356" i="5"/>
  <c r="B1357" i="5"/>
  <c r="B1358" i="5"/>
  <c r="B1359" i="5"/>
  <c r="B1360" i="5"/>
  <c r="B1361" i="5"/>
  <c r="B1362" i="5"/>
  <c r="B1363" i="5"/>
  <c r="B1364" i="5"/>
  <c r="B1365" i="5"/>
  <c r="B1366" i="5"/>
  <c r="B1367" i="5"/>
  <c r="B1368" i="5"/>
  <c r="B1369" i="5"/>
  <c r="B1370" i="5"/>
  <c r="B1371" i="5"/>
  <c r="B1372" i="5"/>
  <c r="B1373" i="5"/>
  <c r="B1374" i="5"/>
  <c r="B1375" i="5"/>
  <c r="B1376" i="5"/>
  <c r="B1377" i="5"/>
  <c r="B1378" i="5"/>
  <c r="B1379" i="5"/>
  <c r="B1380" i="5"/>
  <c r="B1381" i="5"/>
  <c r="B1382" i="5"/>
  <c r="B1383" i="5"/>
  <c r="B1384" i="5"/>
  <c r="B1385" i="5"/>
  <c r="B1386" i="5"/>
  <c r="B1387" i="5"/>
  <c r="B1388" i="5"/>
  <c r="B1389" i="5"/>
  <c r="B1390" i="5"/>
  <c r="B1391" i="5"/>
  <c r="B1392" i="5"/>
  <c r="B1393" i="5"/>
  <c r="B1394" i="5"/>
  <c r="B1395" i="5"/>
  <c r="B1396" i="5"/>
  <c r="B1397" i="5"/>
  <c r="B1398" i="5"/>
  <c r="B1399" i="5"/>
  <c r="B1400" i="5"/>
  <c r="B1401" i="5"/>
  <c r="B1402" i="5"/>
  <c r="B1403" i="5"/>
  <c r="B1404" i="5"/>
  <c r="B1405" i="5"/>
  <c r="B1406" i="5"/>
  <c r="B1407" i="5"/>
  <c r="B1408" i="5"/>
  <c r="B1409" i="5"/>
  <c r="B1410" i="5"/>
  <c r="B1411" i="5"/>
  <c r="B1412" i="5"/>
  <c r="B1413" i="5"/>
  <c r="B1414" i="5"/>
  <c r="B1415" i="5"/>
  <c r="B1416" i="5"/>
  <c r="B1417" i="5"/>
  <c r="B1418" i="5"/>
  <c r="B1419" i="5"/>
  <c r="B1420" i="5"/>
  <c r="B1421" i="5"/>
  <c r="B1422" i="5"/>
  <c r="B1423" i="5"/>
  <c r="B1424" i="5"/>
  <c r="B1425" i="5"/>
  <c r="B1426" i="5"/>
  <c r="B1427" i="5"/>
  <c r="B1428" i="5"/>
  <c r="B1429" i="5"/>
  <c r="B1430" i="5"/>
  <c r="B1431" i="5"/>
  <c r="B1432" i="5"/>
  <c r="B1433" i="5"/>
  <c r="B1434" i="5"/>
  <c r="B1435" i="5"/>
  <c r="B1436" i="5"/>
  <c r="B1437" i="5"/>
  <c r="B1438" i="5"/>
  <c r="B1439" i="5"/>
  <c r="B1440" i="5"/>
  <c r="B1441" i="5"/>
  <c r="B1442" i="5"/>
  <c r="B1443" i="5"/>
  <c r="B1444" i="5"/>
  <c r="B1445" i="5"/>
  <c r="B1446" i="5"/>
  <c r="B1447" i="5"/>
  <c r="B1448" i="5"/>
  <c r="B1449" i="5"/>
  <c r="B1450" i="5"/>
  <c r="B1451" i="5"/>
  <c r="B1452" i="5"/>
  <c r="B1453" i="5"/>
  <c r="B1454" i="5"/>
  <c r="B1455" i="5"/>
  <c r="B1456" i="5"/>
  <c r="B1457" i="5"/>
  <c r="B1458" i="5"/>
  <c r="B1459" i="5"/>
  <c r="B1460" i="5"/>
  <c r="B1461" i="5"/>
  <c r="B1462" i="5"/>
  <c r="B1463" i="5"/>
  <c r="B1464" i="5"/>
  <c r="B1465" i="5"/>
  <c r="B1466" i="5"/>
  <c r="B1467" i="5"/>
  <c r="B1468" i="5"/>
  <c r="B1469" i="5"/>
  <c r="B1470" i="5"/>
  <c r="B1471" i="5"/>
  <c r="B1472" i="5"/>
  <c r="B1473" i="5"/>
  <c r="B1474" i="5"/>
  <c r="B1475" i="5"/>
  <c r="B1476" i="5"/>
  <c r="B1477" i="5"/>
  <c r="B1478" i="5"/>
  <c r="B1479" i="5"/>
  <c r="B1480" i="5"/>
  <c r="B1481" i="5"/>
  <c r="B1482" i="5"/>
  <c r="B1483" i="5"/>
  <c r="B1484" i="5"/>
  <c r="B1485" i="5"/>
  <c r="B1486" i="5"/>
  <c r="B1487" i="5"/>
  <c r="B1488" i="5"/>
  <c r="B1489" i="5"/>
  <c r="B1490" i="5"/>
  <c r="B1491" i="5"/>
  <c r="B1492" i="5"/>
  <c r="B1493" i="5"/>
  <c r="B1494" i="5"/>
  <c r="B1495" i="5"/>
  <c r="B1496" i="5"/>
  <c r="B1497" i="5"/>
  <c r="B1498" i="5"/>
  <c r="B1499" i="5"/>
  <c r="B1500" i="5"/>
  <c r="B1501" i="5"/>
  <c r="B1502" i="5"/>
  <c r="B1503" i="5"/>
  <c r="B1504" i="5"/>
  <c r="B1505" i="5"/>
  <c r="B1506" i="5"/>
  <c r="B1507" i="5"/>
  <c r="B1508" i="5"/>
  <c r="B1509" i="5"/>
  <c r="B1510" i="5"/>
  <c r="B1511" i="5"/>
  <c r="B1512" i="5"/>
  <c r="B1513" i="5"/>
  <c r="B1514" i="5"/>
  <c r="B1515" i="5"/>
  <c r="B1516" i="5"/>
  <c r="B1517" i="5"/>
  <c r="B1518" i="5"/>
  <c r="B1519" i="5"/>
  <c r="B1520" i="5"/>
  <c r="B1521" i="5"/>
  <c r="B1522" i="5"/>
  <c r="B1523" i="5"/>
  <c r="B1524" i="5"/>
  <c r="B1525" i="5"/>
  <c r="B1526" i="5"/>
  <c r="B1527" i="5"/>
  <c r="B1528" i="5"/>
  <c r="B1529" i="5"/>
  <c r="B1530" i="5"/>
  <c r="B1531" i="5"/>
  <c r="B1532" i="5"/>
  <c r="B1533" i="5"/>
  <c r="B1534" i="5"/>
  <c r="B1535" i="5"/>
  <c r="B1536" i="5"/>
  <c r="B1537" i="5"/>
  <c r="B1538" i="5"/>
  <c r="B1539" i="5"/>
  <c r="B1540" i="5"/>
  <c r="B1541" i="5"/>
  <c r="B1542" i="5"/>
  <c r="B1543" i="5"/>
  <c r="B1544" i="5"/>
  <c r="B1545" i="5"/>
  <c r="B1546" i="5"/>
  <c r="B1547" i="5"/>
  <c r="B1548" i="5"/>
  <c r="B1549" i="5"/>
  <c r="B1550" i="5"/>
  <c r="B1551" i="5"/>
  <c r="B1552" i="5"/>
  <c r="B1553" i="5"/>
  <c r="B1554" i="5"/>
  <c r="B1555" i="5"/>
  <c r="B1556" i="5"/>
  <c r="B1557" i="5"/>
  <c r="B1558" i="5"/>
  <c r="B1559" i="5"/>
  <c r="B1560" i="5"/>
  <c r="B1561" i="5"/>
  <c r="B1562" i="5"/>
  <c r="B1563" i="5"/>
  <c r="B1564" i="5"/>
  <c r="B1565" i="5"/>
  <c r="B1566" i="5"/>
  <c r="B1567" i="5"/>
  <c r="B1568" i="5"/>
  <c r="B1569" i="5"/>
  <c r="B1570" i="5"/>
  <c r="B1571" i="5"/>
  <c r="B1572" i="5"/>
  <c r="B1573" i="5"/>
  <c r="B1574" i="5"/>
  <c r="B1575" i="5"/>
  <c r="B1576" i="5"/>
  <c r="B1577" i="5"/>
  <c r="B1578" i="5"/>
  <c r="B1579" i="5"/>
  <c r="B1580" i="5"/>
  <c r="B1581" i="5"/>
  <c r="B1582" i="5"/>
  <c r="B1583" i="5"/>
  <c r="B1584" i="5"/>
  <c r="B1585" i="5"/>
  <c r="B1586" i="5"/>
  <c r="B1587" i="5"/>
  <c r="B1588" i="5"/>
  <c r="B1589" i="5"/>
  <c r="B1590" i="5"/>
  <c r="B1591" i="5"/>
  <c r="B1592" i="5"/>
  <c r="B1593" i="5"/>
  <c r="B1594" i="5"/>
  <c r="B1595" i="5"/>
  <c r="B1596" i="5"/>
  <c r="B1597" i="5"/>
  <c r="B1598" i="5"/>
  <c r="B1599" i="5"/>
  <c r="B1600" i="5"/>
  <c r="B1601" i="5"/>
  <c r="B1602" i="5"/>
  <c r="B1603" i="5"/>
  <c r="B1604" i="5"/>
  <c r="B1605" i="5"/>
  <c r="B1606" i="5"/>
  <c r="B1607" i="5"/>
  <c r="B1608" i="5"/>
  <c r="B1609" i="5"/>
  <c r="B1610" i="5"/>
  <c r="B1611" i="5"/>
  <c r="B1612" i="5"/>
  <c r="B1613" i="5"/>
  <c r="B1614" i="5"/>
  <c r="B1615" i="5"/>
  <c r="B1616" i="5"/>
  <c r="B1617" i="5"/>
  <c r="B1618" i="5"/>
  <c r="B1619" i="5"/>
  <c r="B1620" i="5"/>
  <c r="B1621" i="5"/>
  <c r="B1622" i="5"/>
  <c r="B1623" i="5"/>
  <c r="B1624" i="5"/>
  <c r="B1625" i="5"/>
  <c r="B1626" i="5"/>
  <c r="B1627" i="5"/>
  <c r="B1628" i="5"/>
  <c r="B1629" i="5"/>
  <c r="B1630" i="5"/>
  <c r="B1631" i="5"/>
  <c r="B1632" i="5"/>
  <c r="B1633" i="5"/>
  <c r="B1634" i="5"/>
  <c r="B1635" i="5"/>
  <c r="B1636" i="5"/>
  <c r="B1637" i="5"/>
  <c r="B1638" i="5"/>
  <c r="B1639" i="5"/>
  <c r="B1640" i="5"/>
  <c r="B1641" i="5"/>
  <c r="B1642" i="5"/>
  <c r="B1643" i="5"/>
  <c r="B1644" i="5"/>
  <c r="B1645" i="5"/>
  <c r="B1646" i="5"/>
  <c r="B1647" i="5"/>
  <c r="B1648" i="5"/>
  <c r="B1649" i="5"/>
  <c r="B1650" i="5"/>
  <c r="B1651" i="5"/>
  <c r="B1652" i="5"/>
  <c r="B1653" i="5"/>
  <c r="B1654" i="5"/>
  <c r="B1655" i="5"/>
  <c r="B1656" i="5"/>
  <c r="B1657" i="5"/>
  <c r="B1658" i="5"/>
  <c r="B1659" i="5"/>
  <c r="B1660" i="5"/>
  <c r="B1661" i="5"/>
  <c r="B1662" i="5"/>
  <c r="B1663" i="5"/>
  <c r="B1664" i="5"/>
  <c r="B1665" i="5"/>
  <c r="B1666" i="5"/>
  <c r="B1667" i="5"/>
  <c r="B1668" i="5"/>
  <c r="B1669" i="5"/>
  <c r="B1670" i="5"/>
  <c r="B1671" i="5"/>
  <c r="B1672" i="5"/>
  <c r="B1673" i="5"/>
  <c r="B1674" i="5"/>
  <c r="B1675" i="5"/>
  <c r="B1676" i="5"/>
  <c r="B1677" i="5"/>
  <c r="B1678" i="5"/>
  <c r="B1679" i="5"/>
  <c r="B1680" i="5"/>
  <c r="B1681" i="5"/>
  <c r="B1682" i="5"/>
  <c r="B1683" i="5"/>
  <c r="B1684" i="5"/>
  <c r="B1685" i="5"/>
  <c r="B1686" i="5"/>
  <c r="B1687" i="5"/>
  <c r="B1688" i="5"/>
  <c r="B1689" i="5"/>
  <c r="B1690" i="5"/>
  <c r="B1691" i="5"/>
  <c r="B1692" i="5"/>
  <c r="B1693" i="5"/>
  <c r="B1694" i="5"/>
  <c r="B1695" i="5"/>
  <c r="B1696" i="5"/>
  <c r="B1697" i="5"/>
  <c r="B1698" i="5"/>
  <c r="B1699" i="5"/>
  <c r="B1700" i="5"/>
  <c r="B1701" i="5"/>
  <c r="B1702" i="5"/>
  <c r="B1703" i="5"/>
  <c r="B1704" i="5"/>
  <c r="B1705" i="5"/>
  <c r="B1706" i="5"/>
  <c r="B1707" i="5"/>
  <c r="B1708" i="5"/>
  <c r="B1709" i="5"/>
  <c r="B1710" i="5"/>
  <c r="B1711" i="5"/>
  <c r="B1712" i="5"/>
  <c r="B1713" i="5"/>
  <c r="B1714" i="5"/>
  <c r="B1715" i="5"/>
  <c r="B1716" i="5"/>
  <c r="B1717" i="5"/>
  <c r="B1718" i="5"/>
  <c r="B1719" i="5"/>
  <c r="B1720" i="5"/>
  <c r="B1721" i="5"/>
  <c r="B1722" i="5"/>
  <c r="B1723" i="5"/>
  <c r="B1724" i="5"/>
  <c r="B1725" i="5"/>
  <c r="B1726" i="5"/>
  <c r="B1727" i="5"/>
  <c r="B1728" i="5"/>
  <c r="B1729" i="5"/>
  <c r="B1730" i="5"/>
  <c r="B1731" i="5"/>
  <c r="B1732" i="5"/>
  <c r="B1733" i="5"/>
  <c r="B1734" i="5"/>
  <c r="B1735" i="5"/>
  <c r="B1736" i="5"/>
  <c r="B1737" i="5"/>
  <c r="B1738" i="5"/>
  <c r="B1739" i="5"/>
  <c r="B1740" i="5"/>
  <c r="B1741" i="5"/>
  <c r="B1742" i="5"/>
  <c r="B1743" i="5"/>
  <c r="B1744" i="5"/>
  <c r="B1745" i="5"/>
  <c r="B1746" i="5"/>
  <c r="B1747" i="5"/>
  <c r="B1748" i="5"/>
  <c r="B1749" i="5"/>
  <c r="B1750" i="5"/>
  <c r="B1751" i="5"/>
  <c r="B1752" i="5"/>
  <c r="B1753" i="5"/>
  <c r="B1754" i="5"/>
  <c r="B1755" i="5"/>
  <c r="B1756" i="5"/>
  <c r="B1757" i="5"/>
  <c r="B1758" i="5"/>
  <c r="B1759" i="5"/>
  <c r="B1760" i="5"/>
  <c r="B1761" i="5"/>
  <c r="B1762" i="5"/>
  <c r="B1763" i="5"/>
  <c r="B1764" i="5"/>
  <c r="B1765" i="5"/>
  <c r="B1766" i="5"/>
  <c r="B1767" i="5"/>
  <c r="B1768" i="5"/>
  <c r="B1769" i="5"/>
  <c r="B1770" i="5"/>
  <c r="B1771" i="5"/>
  <c r="B1772" i="5"/>
  <c r="B1773" i="5"/>
  <c r="B1774" i="5"/>
  <c r="B1775" i="5"/>
  <c r="B1776" i="5"/>
  <c r="B1777" i="5"/>
  <c r="B1778" i="5"/>
  <c r="B1779" i="5"/>
  <c r="B1780" i="5"/>
  <c r="B1781" i="5"/>
  <c r="B1782" i="5"/>
  <c r="B1783" i="5"/>
  <c r="B1784" i="5"/>
  <c r="B1785" i="5"/>
  <c r="B1786" i="5"/>
  <c r="B1787" i="5"/>
  <c r="B1788" i="5"/>
  <c r="B1789" i="5"/>
  <c r="B1790" i="5"/>
  <c r="B1791" i="5"/>
  <c r="B1792" i="5"/>
  <c r="B1793" i="5"/>
  <c r="B1794" i="5"/>
  <c r="B1795" i="5"/>
  <c r="B1796" i="5"/>
  <c r="B1797" i="5"/>
  <c r="B1798" i="5"/>
  <c r="B1799" i="5"/>
  <c r="B1800" i="5"/>
  <c r="B1801" i="5"/>
  <c r="B1802" i="5"/>
  <c r="B1803" i="5"/>
  <c r="B1804" i="5"/>
  <c r="B1805" i="5"/>
  <c r="B1806" i="5"/>
  <c r="B1807" i="5"/>
  <c r="B1808" i="5"/>
  <c r="B1809" i="5"/>
  <c r="B1810" i="5"/>
  <c r="B1811" i="5"/>
  <c r="B1812" i="5"/>
  <c r="B1813" i="5"/>
  <c r="B1814" i="5"/>
  <c r="B1815" i="5"/>
  <c r="B1816" i="5"/>
  <c r="B1817" i="5"/>
  <c r="B1818" i="5"/>
  <c r="B1819" i="5"/>
  <c r="B1820" i="5"/>
  <c r="B1821" i="5"/>
  <c r="B1822" i="5"/>
  <c r="B1823" i="5"/>
  <c r="B1824" i="5"/>
  <c r="B1825" i="5"/>
  <c r="B1826" i="5"/>
  <c r="B1827" i="5"/>
  <c r="B1828" i="5"/>
  <c r="B1829" i="5"/>
  <c r="B1830" i="5"/>
  <c r="B1831" i="5"/>
  <c r="B1832" i="5"/>
  <c r="B1833" i="5"/>
  <c r="B1834" i="5"/>
  <c r="B1835" i="5"/>
  <c r="B1836" i="5"/>
  <c r="B1837" i="5"/>
  <c r="B1838" i="5"/>
  <c r="B1839" i="5"/>
  <c r="B1840" i="5"/>
  <c r="B1841" i="5"/>
  <c r="B1842" i="5"/>
  <c r="B1843" i="5"/>
  <c r="B1844" i="5"/>
  <c r="B1845" i="5"/>
  <c r="B1846" i="5"/>
  <c r="B1847" i="5"/>
  <c r="B1848" i="5"/>
  <c r="B1849" i="5"/>
  <c r="B1850" i="5"/>
  <c r="B1851" i="5"/>
  <c r="B1852" i="5"/>
  <c r="B1853" i="5"/>
  <c r="B1854" i="5"/>
  <c r="B1855" i="5"/>
  <c r="B1856" i="5"/>
  <c r="B1857" i="5"/>
  <c r="B1858" i="5"/>
  <c r="B1859" i="5"/>
  <c r="B1860" i="5"/>
  <c r="B1861" i="5"/>
  <c r="B1862" i="5"/>
  <c r="B1863" i="5"/>
  <c r="B1864" i="5"/>
  <c r="B1865" i="5"/>
  <c r="B1866" i="5"/>
  <c r="B1867" i="5"/>
  <c r="B1868" i="5"/>
  <c r="B1869" i="5"/>
  <c r="B1870" i="5"/>
  <c r="B1871" i="5"/>
  <c r="B1872" i="5"/>
  <c r="B1873" i="5"/>
  <c r="B1874" i="5"/>
  <c r="B1875" i="5"/>
  <c r="B1876" i="5"/>
  <c r="B1877" i="5"/>
  <c r="B1878" i="5"/>
  <c r="B1879" i="5"/>
  <c r="B1880" i="5"/>
  <c r="B1881" i="5"/>
  <c r="B1882" i="5"/>
  <c r="B1883" i="5"/>
  <c r="B1884" i="5"/>
  <c r="B1885" i="5"/>
  <c r="B1886" i="5"/>
  <c r="B1887" i="5"/>
  <c r="B1888" i="5"/>
  <c r="B1889" i="5"/>
  <c r="B1890" i="5"/>
  <c r="B1891" i="5"/>
  <c r="B1892" i="5"/>
  <c r="B1893" i="5"/>
  <c r="B1894" i="5"/>
  <c r="B1895" i="5"/>
  <c r="B1896" i="5"/>
  <c r="B1897" i="5"/>
  <c r="B1898" i="5"/>
  <c r="B1899" i="5"/>
  <c r="B1900" i="5"/>
  <c r="B1901" i="5"/>
  <c r="B1902" i="5"/>
  <c r="B1903" i="5"/>
  <c r="B1904" i="5"/>
  <c r="B1905" i="5"/>
  <c r="B1906" i="5"/>
  <c r="B1907" i="5"/>
  <c r="B1908" i="5"/>
  <c r="B1909" i="5"/>
  <c r="B1910" i="5"/>
  <c r="B1911" i="5"/>
  <c r="B1912" i="5"/>
  <c r="B1913" i="5"/>
  <c r="B1914" i="5"/>
  <c r="B1915" i="5"/>
  <c r="B1916" i="5"/>
  <c r="B1917" i="5"/>
  <c r="B1918" i="5"/>
  <c r="B1919" i="5"/>
  <c r="B1920" i="5"/>
  <c r="B1921" i="5"/>
  <c r="B1922" i="5"/>
  <c r="B1923" i="5"/>
  <c r="B1924" i="5"/>
  <c r="B1925" i="5"/>
  <c r="B1926" i="5"/>
  <c r="B1927" i="5"/>
  <c r="B1928" i="5"/>
  <c r="B1929" i="5"/>
  <c r="B1930" i="5"/>
  <c r="B1931" i="5"/>
  <c r="B1932" i="5"/>
  <c r="B1933" i="5"/>
  <c r="B1934" i="5"/>
  <c r="B1935" i="5"/>
  <c r="B1936" i="5"/>
  <c r="B1937" i="5"/>
  <c r="B1938" i="5"/>
  <c r="B1939" i="5"/>
  <c r="B1940" i="5"/>
  <c r="B1941" i="5"/>
  <c r="B1942" i="5"/>
  <c r="B1943" i="5"/>
  <c r="B1944" i="5"/>
  <c r="B1945" i="5"/>
  <c r="B1946" i="5"/>
  <c r="B1947" i="5"/>
  <c r="B1948" i="5"/>
  <c r="B1949" i="5"/>
  <c r="B1950" i="5"/>
  <c r="B1951" i="5"/>
  <c r="B1952" i="5"/>
  <c r="B1953" i="5"/>
  <c r="B1954" i="5"/>
  <c r="B1955" i="5"/>
  <c r="B1956" i="5"/>
  <c r="B1957" i="5"/>
  <c r="B1958" i="5"/>
  <c r="B1959" i="5"/>
  <c r="B1960" i="5"/>
  <c r="B1961" i="5"/>
  <c r="B1962" i="5"/>
  <c r="B1963" i="5"/>
  <c r="B1964" i="5"/>
  <c r="B1965" i="5"/>
  <c r="B1966" i="5"/>
  <c r="B1967" i="5"/>
  <c r="B1968" i="5"/>
  <c r="B1969" i="5"/>
  <c r="B1970" i="5"/>
  <c r="B1971" i="5"/>
  <c r="B1972" i="5"/>
  <c r="B1973" i="5"/>
  <c r="B1974" i="5"/>
  <c r="B1975" i="5"/>
  <c r="B1976" i="5"/>
  <c r="B1977" i="5"/>
  <c r="B1978" i="5"/>
  <c r="B1979" i="5"/>
  <c r="B1980" i="5"/>
  <c r="B1981" i="5"/>
  <c r="B1982" i="5"/>
  <c r="B1983" i="5"/>
  <c r="B1984" i="5"/>
  <c r="B1985" i="5"/>
  <c r="B1986" i="5"/>
  <c r="B1987" i="5"/>
  <c r="B1988" i="5"/>
  <c r="B1989" i="5"/>
  <c r="B1990" i="5"/>
  <c r="B1991" i="5"/>
  <c r="B1992" i="5"/>
  <c r="B1993" i="5"/>
  <c r="B1994" i="5"/>
  <c r="B1995" i="5"/>
  <c r="B1996" i="5"/>
  <c r="B1997" i="5"/>
  <c r="B1998" i="5"/>
  <c r="B1999" i="5"/>
  <c r="B2000" i="5"/>
  <c r="B2001" i="5"/>
  <c r="B2002" i="5"/>
  <c r="B2003" i="5"/>
  <c r="B2004" i="5"/>
  <c r="B2005" i="5"/>
  <c r="B2006" i="5"/>
  <c r="B2007" i="5"/>
  <c r="B2008" i="5"/>
  <c r="B2009" i="5"/>
  <c r="B2010" i="5"/>
  <c r="B2011" i="5"/>
  <c r="B2012" i="5"/>
  <c r="B2013" i="5"/>
  <c r="B2014" i="5"/>
  <c r="B2015" i="5"/>
  <c r="B2016" i="5"/>
  <c r="B2017" i="5"/>
  <c r="B2018" i="5"/>
  <c r="B2019" i="5"/>
  <c r="B2020" i="5"/>
  <c r="B2021" i="5"/>
  <c r="B2022" i="5"/>
  <c r="B2023" i="5"/>
  <c r="B2024" i="5"/>
  <c r="B2025" i="5"/>
  <c r="B2026" i="5"/>
  <c r="B2027" i="5"/>
  <c r="B2028" i="5"/>
  <c r="B2029" i="5"/>
  <c r="B2030" i="5"/>
  <c r="B2031" i="5"/>
  <c r="B2032" i="5"/>
  <c r="B2033" i="5"/>
  <c r="B2034" i="5"/>
  <c r="B2035" i="5"/>
  <c r="B2036" i="5"/>
  <c r="B2037" i="5"/>
  <c r="B2038" i="5"/>
  <c r="B2039" i="5"/>
  <c r="B2040" i="5"/>
  <c r="B2041" i="5"/>
  <c r="B2042" i="5"/>
  <c r="B2043" i="5"/>
  <c r="B2044" i="5"/>
  <c r="B2045" i="5"/>
  <c r="B2046" i="5"/>
  <c r="B2047" i="5"/>
  <c r="B2048" i="5"/>
  <c r="B2049" i="5"/>
  <c r="B2050" i="5"/>
  <c r="B2051" i="5"/>
  <c r="B2052" i="5"/>
  <c r="B2053" i="5"/>
  <c r="B2054" i="5"/>
  <c r="B2055" i="5"/>
  <c r="B2056" i="5"/>
  <c r="B2057" i="5"/>
  <c r="B2058" i="5"/>
  <c r="B2059" i="5"/>
  <c r="B2060" i="5"/>
  <c r="B2061" i="5"/>
  <c r="B2062" i="5"/>
  <c r="B2063" i="5"/>
  <c r="B2064" i="5"/>
  <c r="B2065" i="5"/>
  <c r="B2066" i="5"/>
  <c r="B2067" i="5"/>
  <c r="B2068" i="5"/>
  <c r="B2069" i="5"/>
  <c r="B2070" i="5"/>
  <c r="B2071" i="5"/>
  <c r="B2072" i="5"/>
  <c r="B2073" i="5"/>
  <c r="B2074" i="5"/>
  <c r="B2075" i="5"/>
  <c r="B2076" i="5"/>
  <c r="B2077" i="5"/>
  <c r="B2078" i="5"/>
  <c r="B2079" i="5"/>
  <c r="B2080" i="5"/>
  <c r="B2081" i="5"/>
  <c r="B2082" i="5"/>
  <c r="B2083" i="5"/>
  <c r="B2084" i="5"/>
  <c r="B2085" i="5"/>
  <c r="B2086" i="5"/>
  <c r="B2087" i="5"/>
  <c r="B2088" i="5"/>
  <c r="B2089" i="5"/>
  <c r="B2090" i="5"/>
  <c r="B2091" i="5"/>
  <c r="B2092" i="5"/>
  <c r="B2093" i="5"/>
  <c r="B2094" i="5"/>
  <c r="B2095" i="5"/>
  <c r="B2096" i="5"/>
  <c r="B2097" i="5"/>
  <c r="B2098" i="5"/>
  <c r="B2099" i="5"/>
  <c r="B2100" i="5"/>
  <c r="B2101" i="5"/>
  <c r="B2102" i="5"/>
  <c r="B2103" i="5"/>
  <c r="B2104" i="5"/>
  <c r="B2105" i="5"/>
  <c r="B2106" i="5"/>
  <c r="B2107" i="5"/>
  <c r="B2108" i="5"/>
  <c r="B2109" i="5"/>
  <c r="B2110" i="5"/>
  <c r="B2111" i="5"/>
  <c r="B2112" i="5"/>
  <c r="B2113" i="5"/>
  <c r="B2114" i="5"/>
  <c r="B2115" i="5"/>
  <c r="B2116" i="5"/>
  <c r="B2117" i="5"/>
  <c r="B2118" i="5"/>
  <c r="B2119" i="5"/>
  <c r="B2120" i="5"/>
  <c r="B2121" i="5"/>
  <c r="B2122" i="5"/>
  <c r="B2123" i="5"/>
  <c r="B2124" i="5"/>
  <c r="B2125" i="5"/>
  <c r="B2126" i="5"/>
  <c r="B2127" i="5"/>
  <c r="B2128" i="5"/>
  <c r="B2129" i="5"/>
  <c r="B2130" i="5"/>
  <c r="B2131" i="5"/>
  <c r="B2132" i="5"/>
  <c r="B2133" i="5"/>
  <c r="B2134" i="5"/>
  <c r="B2135" i="5"/>
  <c r="B2136" i="5"/>
  <c r="B2137" i="5"/>
  <c r="B2138" i="5"/>
  <c r="B2139" i="5"/>
  <c r="B2140" i="5"/>
  <c r="B2141" i="5"/>
  <c r="B2142" i="5"/>
  <c r="B2143" i="5"/>
  <c r="B2144" i="5"/>
  <c r="B2145" i="5"/>
  <c r="B2146" i="5"/>
  <c r="B2147" i="5"/>
  <c r="B2148" i="5"/>
  <c r="B2149" i="5"/>
  <c r="B2150" i="5"/>
  <c r="B2151" i="5"/>
  <c r="B2152" i="5"/>
  <c r="B2153" i="5"/>
  <c r="B2154" i="5"/>
  <c r="B2155" i="5"/>
  <c r="B2156" i="5"/>
  <c r="B2157" i="5"/>
  <c r="B2158" i="5"/>
  <c r="B2159" i="5"/>
  <c r="B2160" i="5"/>
  <c r="B2161" i="5"/>
  <c r="B2162" i="5"/>
  <c r="B2163" i="5"/>
  <c r="B2164" i="5"/>
  <c r="B2165" i="5"/>
  <c r="B2166" i="5"/>
  <c r="B2167" i="5"/>
  <c r="B2168" i="5"/>
  <c r="B2169" i="5"/>
  <c r="B2170" i="5"/>
  <c r="B2171" i="5"/>
  <c r="B2172" i="5"/>
  <c r="B2173" i="5"/>
  <c r="B2174" i="5"/>
  <c r="B2175" i="5"/>
  <c r="B2176" i="5"/>
  <c r="B2177" i="5"/>
  <c r="B2178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381" i="5"/>
  <c r="B382" i="5"/>
  <c r="B383" i="5"/>
  <c r="B384" i="5"/>
  <c r="B385" i="5"/>
  <c r="B386" i="5"/>
  <c r="B387" i="5"/>
  <c r="B388" i="5"/>
  <c r="B389" i="5"/>
  <c r="B390" i="5"/>
  <c r="B391" i="5"/>
  <c r="B392" i="5"/>
  <c r="B393" i="5"/>
  <c r="B394" i="5"/>
  <c r="B395" i="5"/>
  <c r="B396" i="5"/>
  <c r="B397" i="5"/>
  <c r="B398" i="5"/>
  <c r="B399" i="5"/>
  <c r="B400" i="5"/>
  <c r="B401" i="5"/>
  <c r="B402" i="5"/>
  <c r="B403" i="5"/>
  <c r="B404" i="5"/>
  <c r="B405" i="5"/>
  <c r="B406" i="5"/>
  <c r="B407" i="5"/>
  <c r="B408" i="5"/>
  <c r="B409" i="5"/>
  <c r="B410" i="5"/>
  <c r="B411" i="5"/>
  <c r="B412" i="5"/>
  <c r="B413" i="5"/>
  <c r="B414" i="5"/>
  <c r="B415" i="5"/>
  <c r="B416" i="5"/>
  <c r="B417" i="5"/>
  <c r="B418" i="5"/>
  <c r="B419" i="5"/>
  <c r="B420" i="5"/>
  <c r="B421" i="5"/>
  <c r="B422" i="5"/>
  <c r="B423" i="5"/>
  <c r="B424" i="5"/>
  <c r="B425" i="5"/>
  <c r="B426" i="5"/>
  <c r="B427" i="5"/>
  <c r="B428" i="5"/>
  <c r="B429" i="5"/>
  <c r="B430" i="5"/>
  <c r="B431" i="5"/>
  <c r="B432" i="5"/>
  <c r="B433" i="5"/>
  <c r="B434" i="5"/>
  <c r="B435" i="5"/>
  <c r="B436" i="5"/>
  <c r="B437" i="5"/>
  <c r="B438" i="5"/>
  <c r="B439" i="5"/>
  <c r="B440" i="5"/>
  <c r="B441" i="5"/>
  <c r="B442" i="5"/>
  <c r="B443" i="5"/>
  <c r="B444" i="5"/>
  <c r="B445" i="5"/>
  <c r="B446" i="5"/>
  <c r="B447" i="5"/>
  <c r="B448" i="5"/>
  <c r="B449" i="5"/>
  <c r="B450" i="5"/>
  <c r="B451" i="5"/>
  <c r="B452" i="5"/>
  <c r="B453" i="5"/>
  <c r="B454" i="5"/>
  <c r="B455" i="5"/>
  <c r="B456" i="5"/>
  <c r="B457" i="5"/>
  <c r="B458" i="5"/>
  <c r="B459" i="5"/>
  <c r="B460" i="5"/>
  <c r="B461" i="5"/>
  <c r="B462" i="5"/>
  <c r="B463" i="5"/>
  <c r="B464" i="5"/>
  <c r="B465" i="5"/>
  <c r="B466" i="5"/>
  <c r="B467" i="5"/>
  <c r="B468" i="5"/>
  <c r="B469" i="5"/>
  <c r="B470" i="5"/>
  <c r="B471" i="5"/>
  <c r="B472" i="5"/>
  <c r="B473" i="5"/>
  <c r="B474" i="5"/>
  <c r="B475" i="5"/>
  <c r="B476" i="5"/>
  <c r="B477" i="5"/>
  <c r="B478" i="5"/>
  <c r="B479" i="5"/>
  <c r="B480" i="5"/>
  <c r="B481" i="5"/>
  <c r="B482" i="5"/>
  <c r="B483" i="5"/>
  <c r="B484" i="5"/>
  <c r="B485" i="5"/>
  <c r="B486" i="5"/>
  <c r="B487" i="5"/>
  <c r="B488" i="5"/>
  <c r="B489" i="5"/>
  <c r="B490" i="5"/>
  <c r="B491" i="5"/>
  <c r="B492" i="5"/>
  <c r="B493" i="5"/>
  <c r="B494" i="5"/>
  <c r="B495" i="5"/>
  <c r="B496" i="5"/>
  <c r="B497" i="5"/>
  <c r="B498" i="5"/>
  <c r="B499" i="5"/>
  <c r="B500" i="5"/>
  <c r="B501" i="5"/>
  <c r="B502" i="5"/>
  <c r="B503" i="5"/>
  <c r="B504" i="5"/>
  <c r="B505" i="5"/>
  <c r="B506" i="5"/>
  <c r="B507" i="5"/>
  <c r="B508" i="5"/>
  <c r="B509" i="5"/>
  <c r="B510" i="5"/>
  <c r="B511" i="5"/>
  <c r="B512" i="5"/>
  <c r="B513" i="5"/>
  <c r="B514" i="5"/>
  <c r="B515" i="5"/>
  <c r="B516" i="5"/>
  <c r="B517" i="5"/>
  <c r="B518" i="5"/>
  <c r="B519" i="5"/>
  <c r="B520" i="5"/>
  <c r="B521" i="5"/>
  <c r="B522" i="5"/>
  <c r="B523" i="5"/>
  <c r="B524" i="5"/>
  <c r="B525" i="5"/>
  <c r="B526" i="5"/>
  <c r="B527" i="5"/>
  <c r="B528" i="5"/>
  <c r="B529" i="5"/>
  <c r="B530" i="5"/>
  <c r="B531" i="5"/>
  <c r="B532" i="5"/>
  <c r="B533" i="5"/>
  <c r="B534" i="5"/>
  <c r="B535" i="5"/>
  <c r="B536" i="5"/>
  <c r="B537" i="5"/>
  <c r="B538" i="5"/>
  <c r="B539" i="5"/>
  <c r="B540" i="5"/>
  <c r="B541" i="5"/>
  <c r="B542" i="5"/>
  <c r="B543" i="5"/>
  <c r="B544" i="5"/>
  <c r="B545" i="5"/>
  <c r="B546" i="5"/>
  <c r="B547" i="5"/>
  <c r="B548" i="5"/>
  <c r="B549" i="5"/>
  <c r="B550" i="5"/>
  <c r="B551" i="5"/>
  <c r="B552" i="5"/>
  <c r="B553" i="5"/>
  <c r="B554" i="5"/>
  <c r="B555" i="5"/>
  <c r="B556" i="5"/>
  <c r="B557" i="5"/>
  <c r="B558" i="5"/>
  <c r="B559" i="5"/>
  <c r="B560" i="5"/>
  <c r="B561" i="5"/>
  <c r="B562" i="5"/>
  <c r="B563" i="5"/>
  <c r="B564" i="5"/>
  <c r="B565" i="5"/>
  <c r="B566" i="5"/>
  <c r="B567" i="5"/>
  <c r="B568" i="5"/>
  <c r="B569" i="5"/>
  <c r="B570" i="5"/>
  <c r="B571" i="5"/>
  <c r="B572" i="5"/>
  <c r="B573" i="5"/>
  <c r="B574" i="5"/>
  <c r="B575" i="5"/>
  <c r="B576" i="5"/>
  <c r="B577" i="5"/>
  <c r="B578" i="5"/>
  <c r="B579" i="5"/>
  <c r="B580" i="5"/>
  <c r="B581" i="5"/>
  <c r="B582" i="5"/>
  <c r="B583" i="5"/>
  <c r="B584" i="5"/>
  <c r="B585" i="5"/>
  <c r="B586" i="5"/>
  <c r="B587" i="5"/>
  <c r="B588" i="5"/>
  <c r="B589" i="5"/>
  <c r="B590" i="5"/>
  <c r="B591" i="5"/>
  <c r="B592" i="5"/>
  <c r="B593" i="5"/>
  <c r="B594" i="5"/>
  <c r="B595" i="5"/>
  <c r="B596" i="5"/>
  <c r="B597" i="5"/>
  <c r="B598" i="5"/>
  <c r="B599" i="5"/>
  <c r="B600" i="5"/>
  <c r="B601" i="5"/>
  <c r="B602" i="5"/>
  <c r="B603" i="5"/>
  <c r="B604" i="5"/>
  <c r="B605" i="5"/>
  <c r="B606" i="5"/>
  <c r="B607" i="5"/>
  <c r="B608" i="5"/>
  <c r="B609" i="5"/>
  <c r="B610" i="5"/>
  <c r="B611" i="5"/>
  <c r="B612" i="5"/>
  <c r="B613" i="5"/>
  <c r="B614" i="5"/>
  <c r="B615" i="5"/>
  <c r="B616" i="5"/>
  <c r="B617" i="5"/>
  <c r="B618" i="5"/>
  <c r="B619" i="5"/>
  <c r="B620" i="5"/>
  <c r="B621" i="5"/>
  <c r="B622" i="5"/>
  <c r="B623" i="5"/>
  <c r="B624" i="5"/>
  <c r="B625" i="5"/>
  <c r="B626" i="5"/>
  <c r="B627" i="5"/>
  <c r="B628" i="5"/>
  <c r="B629" i="5"/>
  <c r="B630" i="5"/>
  <c r="B631" i="5"/>
  <c r="B632" i="5"/>
  <c r="B633" i="5"/>
  <c r="B634" i="5"/>
  <c r="B635" i="5"/>
  <c r="B636" i="5"/>
  <c r="B637" i="5"/>
  <c r="B638" i="5"/>
  <c r="B639" i="5"/>
  <c r="B640" i="5"/>
  <c r="B641" i="5"/>
  <c r="B642" i="5"/>
  <c r="B643" i="5"/>
  <c r="B644" i="5"/>
  <c r="B645" i="5"/>
  <c r="B646" i="5"/>
  <c r="B647" i="5"/>
  <c r="B648" i="5"/>
  <c r="B649" i="5"/>
  <c r="B650" i="5"/>
  <c r="B651" i="5"/>
  <c r="B652" i="5"/>
  <c r="B653" i="5"/>
  <c r="B654" i="5"/>
  <c r="B655" i="5"/>
  <c r="B656" i="5"/>
  <c r="B657" i="5"/>
  <c r="B658" i="5"/>
  <c r="B659" i="5"/>
  <c r="B660" i="5"/>
  <c r="B661" i="5"/>
  <c r="B662" i="5"/>
  <c r="B663" i="5"/>
  <c r="B664" i="5"/>
  <c r="B665" i="5"/>
  <c r="B666" i="5"/>
  <c r="B667" i="5"/>
  <c r="B668" i="5"/>
  <c r="B669" i="5"/>
  <c r="B670" i="5"/>
  <c r="B671" i="5"/>
  <c r="B672" i="5"/>
  <c r="B673" i="5"/>
  <c r="B674" i="5"/>
  <c r="B675" i="5"/>
  <c r="B676" i="5"/>
  <c r="B677" i="5"/>
  <c r="B678" i="5"/>
  <c r="B679" i="5"/>
  <c r="B680" i="5"/>
  <c r="B681" i="5"/>
  <c r="B682" i="5"/>
  <c r="B683" i="5"/>
  <c r="B684" i="5"/>
  <c r="B685" i="5"/>
  <c r="B686" i="5"/>
  <c r="B687" i="5"/>
  <c r="B688" i="5"/>
  <c r="B689" i="5"/>
  <c r="B690" i="5"/>
  <c r="B691" i="5"/>
  <c r="B692" i="5"/>
  <c r="B693" i="5"/>
  <c r="B694" i="5"/>
  <c r="B695" i="5"/>
  <c r="B696" i="5"/>
  <c r="B697" i="5"/>
  <c r="B698" i="5"/>
  <c r="B699" i="5"/>
  <c r="B700" i="5"/>
  <c r="B701" i="5"/>
  <c r="B702" i="5"/>
  <c r="B703" i="5"/>
  <c r="B704" i="5"/>
  <c r="B705" i="5"/>
  <c r="B706" i="5"/>
  <c r="B707" i="5"/>
  <c r="B708" i="5"/>
  <c r="B709" i="5"/>
  <c r="B710" i="5"/>
  <c r="B711" i="5"/>
  <c r="B712" i="5"/>
  <c r="B713" i="5"/>
  <c r="B714" i="5"/>
  <c r="B715" i="5"/>
  <c r="B716" i="5"/>
  <c r="B717" i="5"/>
  <c r="B718" i="5"/>
  <c r="B719" i="5"/>
  <c r="B720" i="5"/>
  <c r="B721" i="5"/>
  <c r="B722" i="5"/>
  <c r="B723" i="5"/>
  <c r="B724" i="5"/>
  <c r="B725" i="5"/>
  <c r="B726" i="5"/>
  <c r="B727" i="5"/>
  <c r="B728" i="5"/>
  <c r="B729" i="5"/>
  <c r="B730" i="5"/>
  <c r="B731" i="5"/>
  <c r="B732" i="5"/>
  <c r="B733" i="5"/>
  <c r="B734" i="5"/>
  <c r="B735" i="5"/>
  <c r="B736" i="5"/>
  <c r="B737" i="5"/>
  <c r="B738" i="5"/>
  <c r="B739" i="5"/>
  <c r="B740" i="5"/>
  <c r="B741" i="5"/>
  <c r="B742" i="5"/>
  <c r="B743" i="5"/>
  <c r="B744" i="5"/>
  <c r="B745" i="5"/>
  <c r="B746" i="5"/>
  <c r="B747" i="5"/>
  <c r="B748" i="5"/>
  <c r="B749" i="5"/>
  <c r="B750" i="5"/>
  <c r="B751" i="5"/>
  <c r="B752" i="5"/>
  <c r="B753" i="5"/>
  <c r="B754" i="5"/>
  <c r="B755" i="5"/>
  <c r="B756" i="5"/>
  <c r="B757" i="5"/>
  <c r="B758" i="5"/>
  <c r="B759" i="5"/>
  <c r="B760" i="5"/>
  <c r="B761" i="5"/>
  <c r="B762" i="5"/>
  <c r="B763" i="5"/>
  <c r="B764" i="5"/>
  <c r="B765" i="5"/>
  <c r="B766" i="5"/>
  <c r="B767" i="5"/>
  <c r="B768" i="5"/>
  <c r="B769" i="5"/>
  <c r="B770" i="5"/>
  <c r="B771" i="5"/>
  <c r="B772" i="5"/>
  <c r="B773" i="5"/>
  <c r="B774" i="5"/>
  <c r="B775" i="5"/>
  <c r="B776" i="5"/>
  <c r="B777" i="5"/>
  <c r="B778" i="5"/>
  <c r="B779" i="5"/>
  <c r="B780" i="5"/>
  <c r="B781" i="5"/>
  <c r="B782" i="5"/>
  <c r="B783" i="5"/>
  <c r="B784" i="5"/>
  <c r="B785" i="5"/>
  <c r="B786" i="5"/>
  <c r="B787" i="5"/>
  <c r="B788" i="5"/>
  <c r="B789" i="5"/>
  <c r="B790" i="5"/>
  <c r="B791" i="5"/>
  <c r="B792" i="5"/>
  <c r="B793" i="5"/>
  <c r="B794" i="5"/>
  <c r="B795" i="5"/>
  <c r="B796" i="5"/>
  <c r="B797" i="5"/>
  <c r="B798" i="5"/>
  <c r="B799" i="5"/>
  <c r="B800" i="5"/>
  <c r="B801" i="5"/>
  <c r="B802" i="5"/>
  <c r="B803" i="5"/>
  <c r="B804" i="5"/>
  <c r="B805" i="5"/>
  <c r="B806" i="5"/>
  <c r="B807" i="5"/>
  <c r="B808" i="5"/>
  <c r="B809" i="5"/>
  <c r="B810" i="5"/>
  <c r="B811" i="5"/>
  <c r="B812" i="5"/>
  <c r="B813" i="5"/>
  <c r="B814" i="5"/>
  <c r="B815" i="5"/>
  <c r="B816" i="5"/>
  <c r="B817" i="5"/>
  <c r="B818" i="5"/>
  <c r="B819" i="5"/>
  <c r="B820" i="5"/>
  <c r="B821" i="5"/>
  <c r="B822" i="5"/>
  <c r="B823" i="5"/>
  <c r="B824" i="5"/>
  <c r="B825" i="5"/>
  <c r="B826" i="5"/>
  <c r="B827" i="5"/>
  <c r="B828" i="5"/>
  <c r="B829" i="5"/>
  <c r="B830" i="5"/>
  <c r="B831" i="5"/>
  <c r="B832" i="5"/>
  <c r="B833" i="5"/>
  <c r="B834" i="5"/>
  <c r="B835" i="5"/>
  <c r="B836" i="5"/>
  <c r="B837" i="5"/>
  <c r="B838" i="5"/>
  <c r="B839" i="5"/>
  <c r="B840" i="5"/>
  <c r="B841" i="5"/>
  <c r="B842" i="5"/>
  <c r="B843" i="5"/>
  <c r="B844" i="5"/>
  <c r="B845" i="5"/>
  <c r="B846" i="5"/>
  <c r="B847" i="5"/>
  <c r="B848" i="5"/>
  <c r="B849" i="5"/>
  <c r="B850" i="5"/>
  <c r="B851" i="5"/>
  <c r="B852" i="5"/>
  <c r="B853" i="5"/>
  <c r="B854" i="5"/>
  <c r="B855" i="5"/>
  <c r="B856" i="5"/>
  <c r="B857" i="5"/>
  <c r="B858" i="5"/>
  <c r="B859" i="5"/>
  <c r="B860" i="5"/>
  <c r="B861" i="5"/>
  <c r="B862" i="5"/>
  <c r="B863" i="5"/>
  <c r="B864" i="5"/>
  <c r="B865" i="5"/>
  <c r="B866" i="5"/>
  <c r="B867" i="5"/>
  <c r="B868" i="5"/>
  <c r="B869" i="5"/>
  <c r="B870" i="5"/>
  <c r="B871" i="5"/>
  <c r="B872" i="5"/>
  <c r="B873" i="5"/>
  <c r="B874" i="5"/>
  <c r="B875" i="5"/>
  <c r="B876" i="5"/>
  <c r="B877" i="5"/>
  <c r="B878" i="5"/>
  <c r="B879" i="5"/>
  <c r="B880" i="5"/>
  <c r="B881" i="5"/>
  <c r="B882" i="5"/>
  <c r="B883" i="5"/>
  <c r="B884" i="5"/>
  <c r="B885" i="5"/>
  <c r="B886" i="5"/>
  <c r="B887" i="5"/>
  <c r="B888" i="5"/>
  <c r="B889" i="5"/>
  <c r="B890" i="5"/>
  <c r="B891" i="5"/>
  <c r="B892" i="5"/>
  <c r="B893" i="5"/>
  <c r="B894" i="5"/>
  <c r="B895" i="5"/>
  <c r="B896" i="5"/>
  <c r="B897" i="5"/>
  <c r="B898" i="5"/>
  <c r="B899" i="5"/>
  <c r="B900" i="5"/>
  <c r="B901" i="5"/>
  <c r="B902" i="5"/>
  <c r="B903" i="5"/>
  <c r="B904" i="5"/>
  <c r="B905" i="5"/>
  <c r="B906" i="5"/>
  <c r="B907" i="5"/>
  <c r="B908" i="5"/>
  <c r="B909" i="5"/>
  <c r="B910" i="5"/>
  <c r="B911" i="5"/>
  <c r="B912" i="5"/>
  <c r="B913" i="5"/>
  <c r="B914" i="5"/>
  <c r="B915" i="5"/>
  <c r="B916" i="5"/>
  <c r="B917" i="5"/>
  <c r="B918" i="5"/>
  <c r="B919" i="5"/>
  <c r="B920" i="5"/>
  <c r="B921" i="5"/>
  <c r="B922" i="5"/>
  <c r="B923" i="5"/>
  <c r="B924" i="5"/>
  <c r="B925" i="5"/>
  <c r="B926" i="5"/>
  <c r="B927" i="5"/>
  <c r="B928" i="5"/>
  <c r="B929" i="5"/>
  <c r="B930" i="5"/>
  <c r="B931" i="5"/>
  <c r="B932" i="5"/>
  <c r="B933" i="5"/>
  <c r="B934" i="5"/>
  <c r="B935" i="5"/>
  <c r="B936" i="5"/>
  <c r="B937" i="5"/>
  <c r="B938" i="5"/>
  <c r="B939" i="5"/>
  <c r="B940" i="5"/>
  <c r="B941" i="5"/>
  <c r="B942" i="5"/>
  <c r="B943" i="5"/>
  <c r="B944" i="5"/>
  <c r="B945" i="5"/>
  <c r="B946" i="5"/>
  <c r="B947" i="5"/>
  <c r="B948" i="5"/>
  <c r="B949" i="5"/>
  <c r="B950" i="5"/>
  <c r="B951" i="5"/>
  <c r="B952" i="5"/>
  <c r="B953" i="5"/>
  <c r="B954" i="5"/>
  <c r="B955" i="5"/>
  <c r="B956" i="5"/>
  <c r="B957" i="5"/>
  <c r="B958" i="5"/>
  <c r="B959" i="5"/>
  <c r="B960" i="5"/>
  <c r="B961" i="5"/>
  <c r="B962" i="5"/>
  <c r="B963" i="5"/>
  <c r="B964" i="5"/>
  <c r="B965" i="5"/>
  <c r="B966" i="5"/>
  <c r="B967" i="5"/>
  <c r="B968" i="5"/>
  <c r="B969" i="5"/>
  <c r="B970" i="5"/>
  <c r="B971" i="5"/>
  <c r="B972" i="5"/>
  <c r="B973" i="5"/>
  <c r="B974" i="5"/>
  <c r="B975" i="5"/>
  <c r="B976" i="5"/>
  <c r="B977" i="5"/>
  <c r="B978" i="5"/>
  <c r="B979" i="5"/>
  <c r="B980" i="5"/>
  <c r="B981" i="5"/>
  <c r="B982" i="5"/>
  <c r="B983" i="5"/>
  <c r="B984" i="5"/>
  <c r="B985" i="5"/>
  <c r="B986" i="5"/>
  <c r="B987" i="5"/>
  <c r="B988" i="5"/>
  <c r="B989" i="5"/>
  <c r="B990" i="5"/>
  <c r="B991" i="5"/>
  <c r="B992" i="5"/>
  <c r="B993" i="5"/>
  <c r="B994" i="5"/>
  <c r="B995" i="5"/>
  <c r="B996" i="5"/>
  <c r="B997" i="5"/>
  <c r="B998" i="5"/>
  <c r="B999" i="5"/>
  <c r="B1000" i="5"/>
  <c r="B1001" i="5"/>
  <c r="B1002" i="5"/>
  <c r="B1003" i="5"/>
  <c r="B1004" i="5"/>
  <c r="B1005" i="5"/>
  <c r="B1006" i="5"/>
  <c r="B1007" i="5"/>
  <c r="B1008" i="5"/>
  <c r="B1009" i="5"/>
  <c r="B1010" i="5"/>
  <c r="B1011" i="5"/>
  <c r="B1012" i="5"/>
  <c r="B1013" i="5"/>
  <c r="B1014" i="5"/>
  <c r="B1015" i="5"/>
  <c r="B1016" i="5"/>
  <c r="B1017" i="5"/>
  <c r="B1018" i="5"/>
  <c r="B1019" i="5"/>
  <c r="B1020" i="5"/>
  <c r="B1021" i="5"/>
  <c r="B1022" i="5"/>
  <c r="B1023" i="5"/>
  <c r="B1024" i="5"/>
  <c r="B1025" i="5"/>
  <c r="B1026" i="5"/>
  <c r="B1027" i="5"/>
  <c r="B1028" i="5"/>
  <c r="B1029" i="5"/>
  <c r="B1030" i="5"/>
  <c r="B1031" i="5"/>
  <c r="B1032" i="5"/>
  <c r="B1033" i="5"/>
  <c r="B1034" i="5"/>
  <c r="B1035" i="5"/>
  <c r="B1036" i="5"/>
  <c r="B1037" i="5"/>
  <c r="B1038" i="5"/>
  <c r="B1039" i="5"/>
  <c r="B1040" i="5"/>
  <c r="B1041" i="5"/>
  <c r="B1042" i="5"/>
  <c r="B1043" i="5"/>
  <c r="B1044" i="5"/>
  <c r="B1045" i="5"/>
  <c r="B1046" i="5"/>
  <c r="B1047" i="5"/>
  <c r="B1048" i="5"/>
  <c r="B1049" i="5"/>
  <c r="B1050" i="5"/>
  <c r="B1051" i="5"/>
  <c r="B1052" i="5"/>
  <c r="B1053" i="5"/>
  <c r="B1054" i="5"/>
  <c r="B1055" i="5"/>
  <c r="B1056" i="5"/>
  <c r="B1057" i="5"/>
  <c r="B1058" i="5"/>
  <c r="B1059" i="5"/>
  <c r="B1060" i="5"/>
  <c r="B1061" i="5"/>
  <c r="B1062" i="5"/>
  <c r="B1063" i="5"/>
  <c r="B1064" i="5"/>
  <c r="B1065" i="5"/>
  <c r="B1066" i="5"/>
  <c r="B1067" i="5"/>
  <c r="B1068" i="5"/>
  <c r="B1069" i="5"/>
  <c r="B1070" i="5"/>
  <c r="B1071" i="5"/>
  <c r="B1072" i="5"/>
  <c r="B1073" i="5"/>
  <c r="B1074" i="5"/>
  <c r="B1075" i="5"/>
  <c r="B1076" i="5"/>
  <c r="B1077" i="5"/>
  <c r="B1078" i="5"/>
  <c r="B1079" i="5"/>
  <c r="B1080" i="5"/>
  <c r="B1081" i="5"/>
  <c r="B1082" i="5"/>
  <c r="B1083" i="5"/>
  <c r="B1084" i="5"/>
  <c r="B1085" i="5"/>
  <c r="B1086" i="5"/>
  <c r="B1087" i="5"/>
  <c r="B1088" i="5"/>
  <c r="B1089" i="5"/>
  <c r="B1090" i="5"/>
  <c r="B1091" i="5"/>
  <c r="B1092" i="5"/>
  <c r="B1093" i="5"/>
  <c r="B1094" i="5"/>
  <c r="B1095" i="5"/>
  <c r="B1096" i="5"/>
  <c r="B1097" i="5"/>
  <c r="B1098" i="5"/>
  <c r="B1099" i="5"/>
  <c r="B1100" i="5"/>
  <c r="B1101" i="5"/>
  <c r="B1102" i="5"/>
  <c r="B1103" i="5"/>
  <c r="B1104" i="5"/>
  <c r="B1105" i="5"/>
  <c r="B1106" i="5"/>
  <c r="B1107" i="5"/>
  <c r="B1108" i="5"/>
  <c r="B1109" i="5"/>
  <c r="B1110" i="5"/>
  <c r="B1111" i="5"/>
  <c r="B1112" i="5"/>
  <c r="B1113" i="5"/>
  <c r="B1114" i="5"/>
  <c r="B1115" i="5"/>
  <c r="B1116" i="5"/>
  <c r="B1117" i="5"/>
  <c r="B1118" i="5"/>
  <c r="B1119" i="5"/>
  <c r="B1120" i="5"/>
  <c r="B1121" i="5"/>
  <c r="B1122" i="5"/>
  <c r="B1123" i="5"/>
  <c r="B1124" i="5"/>
  <c r="B1125" i="5"/>
  <c r="B1126" i="5"/>
  <c r="B1127" i="5"/>
  <c r="B1128" i="5"/>
  <c r="B1129" i="5"/>
  <c r="B1130" i="5"/>
  <c r="B1131" i="5"/>
  <c r="B1132" i="5"/>
  <c r="B1133" i="5"/>
  <c r="B1134" i="5"/>
  <c r="B1135" i="5"/>
  <c r="B1136" i="5"/>
  <c r="B1137" i="5"/>
  <c r="B1138" i="5"/>
  <c r="B1139" i="5"/>
  <c r="B1140" i="5"/>
  <c r="B1141" i="5"/>
  <c r="B1142" i="5"/>
  <c r="B1143" i="5"/>
  <c r="B1144" i="5"/>
  <c r="B1145" i="5"/>
  <c r="B1146" i="5"/>
  <c r="B1147" i="5"/>
  <c r="B1148" i="5"/>
  <c r="B1149" i="5"/>
  <c r="B1150" i="5"/>
  <c r="B1151" i="5"/>
  <c r="B1152" i="5"/>
  <c r="B1153" i="5"/>
  <c r="B1154" i="5"/>
  <c r="B1155" i="5"/>
  <c r="B1156" i="5"/>
  <c r="B1157" i="5"/>
  <c r="B1158" i="5"/>
  <c r="B1159" i="5"/>
  <c r="B1160" i="5"/>
  <c r="B1161" i="5"/>
  <c r="B1162" i="5"/>
  <c r="B1163" i="5"/>
  <c r="B1164" i="5"/>
  <c r="B1165" i="5"/>
  <c r="B1166" i="5"/>
  <c r="B1167" i="5"/>
  <c r="B1168" i="5"/>
  <c r="B1169" i="5"/>
  <c r="B1170" i="5"/>
  <c r="B1171" i="5"/>
  <c r="B1172" i="5"/>
  <c r="B1173" i="5"/>
  <c r="B1174" i="5"/>
  <c r="B1175" i="5"/>
  <c r="B1176" i="5"/>
  <c r="B1177" i="5"/>
  <c r="B1178" i="5"/>
  <c r="B1179" i="5"/>
  <c r="B1180" i="5"/>
  <c r="B1181" i="5"/>
  <c r="B1182" i="5"/>
  <c r="B1183" i="5"/>
  <c r="B1184" i="5"/>
  <c r="B1185" i="5"/>
  <c r="B1186" i="5"/>
  <c r="B1187" i="5"/>
  <c r="B1188" i="5"/>
  <c r="B1189" i="5"/>
  <c r="B1190" i="5"/>
  <c r="B1191" i="5"/>
  <c r="B1192" i="5"/>
  <c r="B1193" i="5"/>
  <c r="B1194" i="5"/>
  <c r="B1195" i="5"/>
  <c r="B1196" i="5"/>
  <c r="B1197" i="5"/>
  <c r="B1198" i="5"/>
  <c r="B1199" i="5"/>
  <c r="B1200" i="5"/>
  <c r="B1201" i="5"/>
  <c r="B1202" i="5"/>
  <c r="B1203" i="5"/>
  <c r="B1204" i="5"/>
  <c r="B1205" i="5"/>
  <c r="B1206" i="5"/>
  <c r="B1207" i="5"/>
  <c r="B1208" i="5"/>
  <c r="B1209" i="5"/>
  <c r="B1210" i="5"/>
  <c r="B1211" i="5"/>
  <c r="B1212" i="5"/>
  <c r="B1213" i="5"/>
  <c r="B1214" i="5"/>
  <c r="B1215" i="5"/>
  <c r="B1216" i="5"/>
  <c r="B1217" i="5"/>
  <c r="B1218" i="5"/>
  <c r="B1219" i="5"/>
  <c r="B1220" i="5"/>
  <c r="B1221" i="5"/>
  <c r="B1222" i="5"/>
  <c r="B1223" i="5"/>
  <c r="B1224" i="5"/>
  <c r="B1225" i="5"/>
  <c r="B1226" i="5"/>
  <c r="B1227" i="5"/>
  <c r="B1228" i="5"/>
  <c r="B1229" i="5"/>
  <c r="B1230" i="5"/>
  <c r="B1231" i="5"/>
  <c r="B1232" i="5"/>
  <c r="B1233" i="5"/>
  <c r="B1234" i="5"/>
  <c r="B1235" i="5"/>
  <c r="B1236" i="5"/>
  <c r="B1237" i="5"/>
  <c r="B1238" i="5"/>
  <c r="B1239" i="5"/>
  <c r="B1240" i="5"/>
  <c r="B1241" i="5"/>
  <c r="B1242" i="5"/>
  <c r="B1243" i="5"/>
  <c r="B1244" i="5"/>
  <c r="B1245" i="5"/>
  <c r="B1246" i="5"/>
  <c r="B1247" i="5"/>
  <c r="B1248" i="5"/>
  <c r="B1249" i="5"/>
  <c r="B1250" i="5"/>
  <c r="B1251" i="5"/>
  <c r="B1252" i="5"/>
  <c r="B1253" i="5"/>
  <c r="B1254" i="5"/>
  <c r="B1255" i="5"/>
  <c r="B1256" i="5"/>
  <c r="B1257" i="5"/>
  <c r="B1258" i="5"/>
  <c r="B1259" i="5"/>
  <c r="B1260" i="5"/>
  <c r="B1261" i="5"/>
  <c r="B1262" i="5"/>
  <c r="B1263" i="5"/>
  <c r="B1264" i="5"/>
  <c r="B1265" i="5"/>
  <c r="B1266" i="5"/>
  <c r="B1267" i="5"/>
  <c r="B1268" i="5"/>
  <c r="B1269" i="5"/>
  <c r="B1270" i="5"/>
  <c r="B1271" i="5"/>
  <c r="B1272" i="5"/>
  <c r="B1273" i="5"/>
  <c r="B1274" i="5"/>
  <c r="B1275" i="5"/>
  <c r="B1276" i="5"/>
  <c r="B1277" i="5"/>
  <c r="B1278" i="5"/>
  <c r="B1279" i="5"/>
  <c r="B1280" i="5"/>
  <c r="B1281" i="5"/>
  <c r="B1282" i="5"/>
  <c r="B1283" i="5"/>
  <c r="B1284" i="5"/>
  <c r="B1285" i="5"/>
  <c r="B1286" i="5"/>
  <c r="B1287" i="5"/>
  <c r="B1288" i="5"/>
  <c r="B1289" i="5"/>
  <c r="B1290" i="5"/>
  <c r="B1291" i="5"/>
  <c r="B1292" i="5"/>
  <c r="B1293" i="5"/>
  <c r="B1294" i="5"/>
  <c r="B1295" i="5"/>
  <c r="B1296" i="5"/>
  <c r="B1297" i="5"/>
  <c r="B1298" i="5"/>
  <c r="B1299" i="5"/>
  <c r="B1300" i="5"/>
  <c r="B1301" i="5"/>
  <c r="B1302" i="5"/>
  <c r="S262" i="5"/>
  <c r="S263" i="5"/>
  <c r="S264" i="5"/>
  <c r="S265" i="5"/>
  <c r="S266" i="5"/>
  <c r="S267" i="5"/>
  <c r="S268" i="5"/>
  <c r="S269" i="5"/>
  <c r="S270" i="5"/>
  <c r="S271" i="5"/>
  <c r="S272" i="5"/>
  <c r="S273" i="5"/>
  <c r="S274" i="5"/>
  <c r="S275" i="5"/>
  <c r="S276" i="5"/>
  <c r="S277" i="5"/>
  <c r="S278" i="5"/>
  <c r="S279" i="5"/>
  <c r="S280" i="5"/>
  <c r="S281" i="5"/>
  <c r="S282" i="5"/>
  <c r="S283" i="5"/>
  <c r="S284" i="5"/>
  <c r="S285" i="5"/>
  <c r="S286" i="5"/>
  <c r="S287" i="5"/>
  <c r="S288" i="5"/>
  <c r="S289" i="5"/>
  <c r="S290" i="5"/>
  <c r="S291" i="5"/>
  <c r="S292" i="5"/>
  <c r="S293" i="5"/>
  <c r="S294" i="5"/>
  <c r="S295" i="5"/>
  <c r="S296" i="5"/>
  <c r="S297" i="5"/>
  <c r="S298" i="5"/>
  <c r="S299" i="5"/>
  <c r="S300" i="5"/>
  <c r="S301" i="5"/>
  <c r="S302" i="5"/>
  <c r="S303" i="5"/>
  <c r="S304" i="5"/>
  <c r="S305" i="5"/>
  <c r="S306" i="5"/>
  <c r="S307" i="5"/>
  <c r="S308" i="5"/>
  <c r="S309" i="5"/>
  <c r="S310" i="5"/>
  <c r="S311" i="5"/>
  <c r="S312" i="5"/>
  <c r="S313" i="5"/>
  <c r="S314" i="5"/>
  <c r="S315" i="5"/>
  <c r="S316" i="5"/>
  <c r="S317" i="5"/>
  <c r="S318" i="5"/>
  <c r="S319" i="5"/>
  <c r="S320" i="5"/>
  <c r="S321" i="5"/>
  <c r="S322" i="5"/>
  <c r="S323" i="5"/>
  <c r="S324" i="5"/>
  <c r="S325" i="5"/>
  <c r="S326" i="5"/>
  <c r="S327" i="5"/>
  <c r="S328" i="5"/>
  <c r="S329" i="5"/>
  <c r="S330" i="5"/>
  <c r="S331" i="5"/>
  <c r="S332" i="5"/>
  <c r="S333" i="5"/>
  <c r="S334" i="5"/>
  <c r="S335" i="5"/>
  <c r="S336" i="5"/>
  <c r="S337" i="5"/>
  <c r="S338" i="5"/>
  <c r="S339" i="5"/>
  <c r="S340" i="5"/>
  <c r="S341" i="5"/>
  <c r="S342" i="5"/>
  <c r="S343" i="5"/>
  <c r="S344" i="5"/>
  <c r="S345" i="5"/>
  <c r="S346" i="5"/>
  <c r="S347" i="5"/>
  <c r="S348" i="5"/>
  <c r="S349" i="5"/>
  <c r="S350" i="5"/>
  <c r="S351" i="5"/>
  <c r="S352" i="5"/>
  <c r="S353" i="5"/>
  <c r="S354" i="5"/>
  <c r="S355" i="5"/>
  <c r="S356" i="5"/>
  <c r="S357" i="5"/>
  <c r="S358" i="5"/>
  <c r="S359" i="5"/>
  <c r="S360" i="5"/>
  <c r="S361" i="5"/>
  <c r="S362" i="5"/>
  <c r="S363" i="5"/>
  <c r="S364" i="5"/>
  <c r="S365" i="5"/>
  <c r="S366" i="5"/>
  <c r="S367" i="5"/>
  <c r="S368" i="5"/>
  <c r="S369" i="5"/>
  <c r="S370" i="5"/>
  <c r="S371" i="5"/>
  <c r="S372" i="5"/>
  <c r="S373" i="5"/>
  <c r="S374" i="5"/>
  <c r="S375" i="5"/>
  <c r="S376" i="5"/>
  <c r="S377" i="5"/>
  <c r="S378" i="5"/>
  <c r="S379" i="5"/>
  <c r="S380" i="5"/>
  <c r="S381" i="5"/>
  <c r="S382" i="5"/>
  <c r="S383" i="5"/>
  <c r="S384" i="5"/>
  <c r="S385" i="5"/>
  <c r="S386" i="5"/>
  <c r="S387" i="5"/>
  <c r="S388" i="5"/>
  <c r="S389" i="5"/>
  <c r="S390" i="5"/>
  <c r="S391" i="5"/>
  <c r="S392" i="5"/>
  <c r="S393" i="5"/>
  <c r="S394" i="5"/>
  <c r="S395" i="5"/>
  <c r="S396" i="5"/>
  <c r="S397" i="5"/>
  <c r="S398" i="5"/>
  <c r="S399" i="5"/>
  <c r="S400" i="5"/>
  <c r="S401" i="5"/>
  <c r="S402" i="5"/>
  <c r="S403" i="5"/>
  <c r="S404" i="5"/>
  <c r="S405" i="5"/>
  <c r="S406" i="5"/>
  <c r="S407" i="5"/>
  <c r="S408" i="5"/>
  <c r="S409" i="5"/>
  <c r="S410" i="5"/>
  <c r="S411" i="5"/>
  <c r="S412" i="5"/>
  <c r="S413" i="5"/>
  <c r="S414" i="5"/>
  <c r="S415" i="5"/>
  <c r="S416" i="5"/>
  <c r="S417" i="5"/>
  <c r="S418" i="5"/>
  <c r="S419" i="5"/>
  <c r="S420" i="5"/>
  <c r="S421" i="5"/>
  <c r="S422" i="5"/>
  <c r="S423" i="5"/>
  <c r="S424" i="5"/>
  <c r="S425" i="5"/>
  <c r="S426" i="5"/>
  <c r="S427" i="5"/>
  <c r="S428" i="5"/>
  <c r="S429" i="5"/>
  <c r="S430" i="5"/>
  <c r="S431" i="5"/>
  <c r="S432" i="5"/>
  <c r="S433" i="5"/>
  <c r="S434" i="5"/>
  <c r="S435" i="5"/>
  <c r="S436" i="5"/>
  <c r="S437" i="5"/>
  <c r="S438" i="5"/>
  <c r="S439" i="5"/>
  <c r="S440" i="5"/>
  <c r="S441" i="5"/>
  <c r="S442" i="5"/>
  <c r="S443" i="5"/>
  <c r="S444" i="5"/>
  <c r="S445" i="5"/>
  <c r="S446" i="5"/>
  <c r="S447" i="5"/>
  <c r="S448" i="5"/>
  <c r="S449" i="5"/>
  <c r="S450" i="5"/>
  <c r="S451" i="5"/>
  <c r="S452" i="5"/>
  <c r="S453" i="5"/>
  <c r="S454" i="5"/>
  <c r="S455" i="5"/>
  <c r="S456" i="5"/>
  <c r="S457" i="5"/>
  <c r="S458" i="5"/>
  <c r="S459" i="5"/>
  <c r="S460" i="5"/>
  <c r="S461" i="5"/>
  <c r="S462" i="5"/>
  <c r="S463" i="5"/>
  <c r="S464" i="5"/>
  <c r="S465" i="5"/>
  <c r="S466" i="5"/>
  <c r="S467" i="5"/>
  <c r="S468" i="5"/>
  <c r="S469" i="5"/>
  <c r="S470" i="5"/>
  <c r="S471" i="5"/>
  <c r="S472" i="5"/>
  <c r="S473" i="5"/>
  <c r="S474" i="5"/>
  <c r="S475" i="5"/>
  <c r="S476" i="5"/>
  <c r="S477" i="5"/>
  <c r="S478" i="5"/>
  <c r="S479" i="5"/>
  <c r="S480" i="5"/>
  <c r="S481" i="5"/>
  <c r="S482" i="5"/>
  <c r="S483" i="5"/>
  <c r="S484" i="5"/>
  <c r="S485" i="5"/>
  <c r="S486" i="5"/>
  <c r="S487" i="5"/>
  <c r="S488" i="5"/>
  <c r="S489" i="5"/>
  <c r="S490" i="5"/>
  <c r="S491" i="5"/>
  <c r="S492" i="5"/>
  <c r="S493" i="5"/>
  <c r="S494" i="5"/>
  <c r="S495" i="5"/>
  <c r="S496" i="5"/>
  <c r="S497" i="5"/>
  <c r="S498" i="5"/>
  <c r="S499" i="5"/>
  <c r="S500" i="5"/>
  <c r="S501" i="5"/>
  <c r="S502" i="5"/>
  <c r="S503" i="5"/>
  <c r="S504" i="5"/>
  <c r="S505" i="5"/>
  <c r="S506" i="5"/>
  <c r="S507" i="5"/>
  <c r="S508" i="5"/>
  <c r="S509" i="5"/>
  <c r="S510" i="5"/>
  <c r="S511" i="5"/>
  <c r="S512" i="5"/>
  <c r="S513" i="5"/>
  <c r="S514" i="5"/>
  <c r="S515" i="5"/>
  <c r="S516" i="5"/>
  <c r="S517" i="5"/>
  <c r="S518" i="5"/>
  <c r="S519" i="5"/>
  <c r="S520" i="5"/>
  <c r="S521" i="5"/>
  <c r="S522" i="5"/>
  <c r="S523" i="5"/>
  <c r="S524" i="5"/>
  <c r="S525" i="5"/>
  <c r="S526" i="5"/>
  <c r="S527" i="5"/>
  <c r="S528" i="5"/>
  <c r="S529" i="5"/>
  <c r="S530" i="5"/>
  <c r="S531" i="5"/>
  <c r="S532" i="5"/>
  <c r="S533" i="5"/>
  <c r="S534" i="5"/>
  <c r="S535" i="5"/>
  <c r="S536" i="5"/>
  <c r="S537" i="5"/>
  <c r="S538" i="5"/>
  <c r="S539" i="5"/>
  <c r="S540" i="5"/>
  <c r="S541" i="5"/>
  <c r="S542" i="5"/>
  <c r="S543" i="5"/>
  <c r="S544" i="5"/>
  <c r="S545" i="5"/>
  <c r="S546" i="5"/>
  <c r="S547" i="5"/>
  <c r="S548" i="5"/>
  <c r="S549" i="5"/>
  <c r="S550" i="5"/>
  <c r="S551" i="5"/>
  <c r="S552" i="5"/>
  <c r="S553" i="5"/>
  <c r="S554" i="5"/>
  <c r="S555" i="5"/>
  <c r="S556" i="5"/>
  <c r="S557" i="5"/>
  <c r="S558" i="5"/>
  <c r="S559" i="5"/>
  <c r="S560" i="5"/>
  <c r="S561" i="5"/>
  <c r="S562" i="5"/>
  <c r="S563" i="5"/>
  <c r="S564" i="5"/>
  <c r="S565" i="5"/>
  <c r="S566" i="5"/>
  <c r="S567" i="5"/>
  <c r="S568" i="5"/>
  <c r="S569" i="5"/>
  <c r="S570" i="5"/>
  <c r="S571" i="5"/>
  <c r="S572" i="5"/>
  <c r="S573" i="5"/>
  <c r="S574" i="5"/>
  <c r="S575" i="5"/>
  <c r="S576" i="5"/>
  <c r="S577" i="5"/>
  <c r="S578" i="5"/>
  <c r="S579" i="5"/>
  <c r="S580" i="5"/>
  <c r="S581" i="5"/>
  <c r="S582" i="5"/>
  <c r="S583" i="5"/>
  <c r="S584" i="5"/>
  <c r="S585" i="5"/>
  <c r="S586" i="5"/>
  <c r="S587" i="5"/>
  <c r="S588" i="5"/>
  <c r="S589" i="5"/>
  <c r="S590" i="5"/>
  <c r="S591" i="5"/>
  <c r="S592" i="5"/>
  <c r="S593" i="5"/>
  <c r="S594" i="5"/>
  <c r="S595" i="5"/>
  <c r="S596" i="5"/>
  <c r="S597" i="5"/>
  <c r="S598" i="5"/>
  <c r="S599" i="5"/>
  <c r="S600" i="5"/>
  <c r="S601" i="5"/>
  <c r="S602" i="5"/>
  <c r="S603" i="5"/>
  <c r="S604" i="5"/>
  <c r="S605" i="5"/>
  <c r="S606" i="5"/>
  <c r="S607" i="5"/>
  <c r="S608" i="5"/>
  <c r="S609" i="5"/>
  <c r="S610" i="5"/>
  <c r="S611" i="5"/>
  <c r="S612" i="5"/>
  <c r="S613" i="5"/>
  <c r="S614" i="5"/>
  <c r="S615" i="5"/>
  <c r="S616" i="5"/>
  <c r="S617" i="5"/>
  <c r="S618" i="5"/>
  <c r="S619" i="5"/>
  <c r="S620" i="5"/>
  <c r="S621" i="5"/>
  <c r="S622" i="5"/>
  <c r="S623" i="5"/>
  <c r="S624" i="5"/>
  <c r="S625" i="5"/>
  <c r="S626" i="5"/>
  <c r="S627" i="5"/>
  <c r="S628" i="5"/>
  <c r="S629" i="5"/>
  <c r="S630" i="5"/>
  <c r="S631" i="5"/>
  <c r="S632" i="5"/>
  <c r="S633" i="5"/>
  <c r="S634" i="5"/>
  <c r="S635" i="5"/>
  <c r="S636" i="5"/>
  <c r="S637" i="5"/>
  <c r="S638" i="5"/>
  <c r="S639" i="5"/>
  <c r="S640" i="5"/>
  <c r="S641" i="5"/>
  <c r="S642" i="5"/>
  <c r="S643" i="5"/>
  <c r="S644" i="5"/>
  <c r="S645" i="5"/>
  <c r="S646" i="5"/>
  <c r="S647" i="5"/>
  <c r="S648" i="5"/>
  <c r="S649" i="5"/>
  <c r="S650" i="5"/>
  <c r="S651" i="5"/>
  <c r="S652" i="5"/>
  <c r="S653" i="5"/>
  <c r="S654" i="5"/>
  <c r="S655" i="5"/>
  <c r="S656" i="5"/>
  <c r="S657" i="5"/>
  <c r="S658" i="5"/>
  <c r="S659" i="5"/>
  <c r="S660" i="5"/>
  <c r="S661" i="5"/>
  <c r="S662" i="5"/>
  <c r="S663" i="5"/>
  <c r="S664" i="5"/>
  <c r="S665" i="5"/>
  <c r="S666" i="5"/>
  <c r="S667" i="5"/>
  <c r="S668" i="5"/>
  <c r="S669" i="5"/>
  <c r="S670" i="5"/>
  <c r="S671" i="5"/>
  <c r="S672" i="5"/>
  <c r="S673" i="5"/>
  <c r="S674" i="5"/>
  <c r="S675" i="5"/>
  <c r="S676" i="5"/>
  <c r="S677" i="5"/>
  <c r="S678" i="5"/>
  <c r="S679" i="5"/>
  <c r="S680" i="5"/>
  <c r="S681" i="5"/>
  <c r="S682" i="5"/>
  <c r="S683" i="5"/>
  <c r="S684" i="5"/>
  <c r="S685" i="5"/>
  <c r="S686" i="5"/>
  <c r="S687" i="5"/>
  <c r="S688" i="5"/>
  <c r="S689" i="5"/>
  <c r="S690" i="5"/>
  <c r="S691" i="5"/>
  <c r="S692" i="5"/>
  <c r="S693" i="5"/>
  <c r="S694" i="5"/>
  <c r="S695" i="5"/>
  <c r="S696" i="5"/>
  <c r="S697" i="5"/>
  <c r="S698" i="5"/>
  <c r="S699" i="5"/>
  <c r="S700" i="5"/>
  <c r="S701" i="5"/>
  <c r="S702" i="5"/>
  <c r="S703" i="5"/>
  <c r="S704" i="5"/>
  <c r="S705" i="5"/>
  <c r="S706" i="5"/>
  <c r="S707" i="5"/>
  <c r="S708" i="5"/>
  <c r="S709" i="5"/>
  <c r="S710" i="5"/>
  <c r="S711" i="5"/>
  <c r="S712" i="5"/>
  <c r="S713" i="5"/>
  <c r="S714" i="5"/>
  <c r="S715" i="5"/>
  <c r="S716" i="5"/>
  <c r="S717" i="5"/>
  <c r="S718" i="5"/>
  <c r="S719" i="5"/>
  <c r="S720" i="5"/>
  <c r="S721" i="5"/>
  <c r="S722" i="5"/>
  <c r="S723" i="5"/>
  <c r="S724" i="5"/>
  <c r="S725" i="5"/>
  <c r="S726" i="5"/>
  <c r="S727" i="5"/>
  <c r="S728" i="5"/>
  <c r="S729" i="5"/>
  <c r="S730" i="5"/>
  <c r="S731" i="5"/>
  <c r="S732" i="5"/>
  <c r="S733" i="5"/>
  <c r="S734" i="5"/>
  <c r="S735" i="5"/>
  <c r="S736" i="5"/>
  <c r="S737" i="5"/>
  <c r="S738" i="5"/>
  <c r="S739" i="5"/>
  <c r="S740" i="5"/>
  <c r="S741" i="5"/>
  <c r="S742" i="5"/>
  <c r="S743" i="5"/>
  <c r="S744" i="5"/>
  <c r="S745" i="5"/>
  <c r="S746" i="5"/>
  <c r="S747" i="5"/>
  <c r="S748" i="5"/>
  <c r="S749" i="5"/>
  <c r="S750" i="5"/>
  <c r="S751" i="5"/>
  <c r="S752" i="5"/>
  <c r="S753" i="5"/>
  <c r="S754" i="5"/>
  <c r="S755" i="5"/>
  <c r="S756" i="5"/>
  <c r="S757" i="5"/>
  <c r="S758" i="5"/>
  <c r="S759" i="5"/>
  <c r="S760" i="5"/>
  <c r="S761" i="5"/>
  <c r="S762" i="5"/>
  <c r="S763" i="5"/>
  <c r="S764" i="5"/>
  <c r="S765" i="5"/>
  <c r="S766" i="5"/>
  <c r="S767" i="5"/>
  <c r="S768" i="5"/>
  <c r="S769" i="5"/>
  <c r="S770" i="5"/>
  <c r="S771" i="5"/>
  <c r="S772" i="5"/>
  <c r="S773" i="5"/>
  <c r="S774" i="5"/>
  <c r="S775" i="5"/>
  <c r="S776" i="5"/>
  <c r="S777" i="5"/>
  <c r="S778" i="5"/>
  <c r="S779" i="5"/>
  <c r="S780" i="5"/>
  <c r="S781" i="5"/>
  <c r="S782" i="5"/>
  <c r="S783" i="5"/>
  <c r="S784" i="5"/>
  <c r="S785" i="5"/>
  <c r="S786" i="5"/>
  <c r="S787" i="5"/>
  <c r="S788" i="5"/>
  <c r="S789" i="5"/>
  <c r="S790" i="5"/>
  <c r="S791" i="5"/>
  <c r="S792" i="5"/>
  <c r="S793" i="5"/>
  <c r="S794" i="5"/>
  <c r="S795" i="5"/>
  <c r="S796" i="5"/>
  <c r="S797" i="5"/>
  <c r="S798" i="5"/>
  <c r="S799" i="5"/>
  <c r="S800" i="5"/>
  <c r="S801" i="5"/>
  <c r="S802" i="5"/>
  <c r="S803" i="5"/>
  <c r="S804" i="5"/>
  <c r="S805" i="5"/>
  <c r="S806" i="5"/>
  <c r="S807" i="5"/>
  <c r="S808" i="5"/>
  <c r="S809" i="5"/>
  <c r="S810" i="5"/>
  <c r="S811" i="5"/>
  <c r="S812" i="5"/>
  <c r="S813" i="5"/>
  <c r="S814" i="5"/>
  <c r="S815" i="5"/>
  <c r="S816" i="5"/>
  <c r="S817" i="5"/>
  <c r="S818" i="5"/>
  <c r="S819" i="5"/>
  <c r="S820" i="5"/>
  <c r="S821" i="5"/>
  <c r="S822" i="5"/>
  <c r="S823" i="5"/>
  <c r="S824" i="5"/>
  <c r="S825" i="5"/>
  <c r="S826" i="5"/>
  <c r="S827" i="5"/>
  <c r="S828" i="5"/>
  <c r="S829" i="5"/>
  <c r="S830" i="5"/>
  <c r="S831" i="5"/>
  <c r="S832" i="5"/>
  <c r="S833" i="5"/>
  <c r="S834" i="5"/>
  <c r="S835" i="5"/>
  <c r="S836" i="5"/>
  <c r="S837" i="5"/>
  <c r="S838" i="5"/>
  <c r="S839" i="5"/>
  <c r="S840" i="5"/>
  <c r="S841" i="5"/>
  <c r="S842" i="5"/>
  <c r="S843" i="5"/>
  <c r="S844" i="5"/>
  <c r="S845" i="5"/>
  <c r="S846" i="5"/>
  <c r="S847" i="5"/>
  <c r="S848" i="5"/>
  <c r="S849" i="5"/>
  <c r="S850" i="5"/>
  <c r="S851" i="5"/>
  <c r="S852" i="5"/>
  <c r="S853" i="5"/>
  <c r="S854" i="5"/>
  <c r="S855" i="5"/>
  <c r="S856" i="5"/>
  <c r="S857" i="5"/>
  <c r="S858" i="5"/>
  <c r="S859" i="5"/>
  <c r="S860" i="5"/>
  <c r="S861" i="5"/>
  <c r="S862" i="5"/>
  <c r="S863" i="5"/>
  <c r="S864" i="5"/>
  <c r="S865" i="5"/>
  <c r="S866" i="5"/>
  <c r="S867" i="5"/>
  <c r="S868" i="5"/>
  <c r="S869" i="5"/>
  <c r="S870" i="5"/>
  <c r="S871" i="5"/>
  <c r="S872" i="5"/>
  <c r="S873" i="5"/>
  <c r="S874" i="5"/>
  <c r="S875" i="5"/>
  <c r="S876" i="5"/>
  <c r="S877" i="5"/>
  <c r="S878" i="5"/>
  <c r="S879" i="5"/>
  <c r="S880" i="5"/>
  <c r="S881" i="5"/>
  <c r="S882" i="5"/>
  <c r="S883" i="5"/>
  <c r="S884" i="5"/>
  <c r="S885" i="5"/>
  <c r="S886" i="5"/>
  <c r="S887" i="5"/>
  <c r="S888" i="5"/>
  <c r="S889" i="5"/>
  <c r="S890" i="5"/>
  <c r="S891" i="5"/>
  <c r="S892" i="5"/>
  <c r="S893" i="5"/>
  <c r="S894" i="5"/>
  <c r="S895" i="5"/>
  <c r="S896" i="5"/>
  <c r="S897" i="5"/>
  <c r="S898" i="5"/>
  <c r="S899" i="5"/>
  <c r="S900" i="5"/>
  <c r="S901" i="5"/>
  <c r="S902" i="5"/>
  <c r="S903" i="5"/>
  <c r="S904" i="5"/>
  <c r="S905" i="5"/>
  <c r="S906" i="5"/>
  <c r="S907" i="5"/>
  <c r="S908" i="5"/>
  <c r="S909" i="5"/>
  <c r="S910" i="5"/>
  <c r="S911" i="5"/>
  <c r="S912" i="5"/>
  <c r="S913" i="5"/>
  <c r="S914" i="5"/>
  <c r="S915" i="5"/>
  <c r="S916" i="5"/>
  <c r="S917" i="5"/>
  <c r="S918" i="5"/>
  <c r="S919" i="5"/>
  <c r="S920" i="5"/>
  <c r="S921" i="5"/>
  <c r="S922" i="5"/>
  <c r="S923" i="5"/>
  <c r="S924" i="5"/>
  <c r="S925" i="5"/>
  <c r="S926" i="5"/>
  <c r="S927" i="5"/>
  <c r="S928" i="5"/>
  <c r="S929" i="5"/>
  <c r="S930" i="5"/>
  <c r="S931" i="5"/>
  <c r="S932" i="5"/>
  <c r="S933" i="5"/>
  <c r="S934" i="5"/>
  <c r="S935" i="5"/>
  <c r="S936" i="5"/>
  <c r="S937" i="5"/>
  <c r="S938" i="5"/>
  <c r="S939" i="5"/>
  <c r="S940" i="5"/>
  <c r="S941" i="5"/>
  <c r="S942" i="5"/>
  <c r="S943" i="5"/>
  <c r="S944" i="5"/>
  <c r="S945" i="5"/>
  <c r="S946" i="5"/>
  <c r="S947" i="5"/>
  <c r="S948" i="5"/>
  <c r="S949" i="5"/>
  <c r="S950" i="5"/>
  <c r="S951" i="5"/>
  <c r="S952" i="5"/>
  <c r="S953" i="5"/>
  <c r="S954" i="5"/>
  <c r="S955" i="5"/>
  <c r="S956" i="5"/>
  <c r="S957" i="5"/>
  <c r="S958" i="5"/>
  <c r="S959" i="5"/>
  <c r="S960" i="5"/>
  <c r="S961" i="5"/>
  <c r="S962" i="5"/>
  <c r="S963" i="5"/>
  <c r="S964" i="5"/>
  <c r="S965" i="5"/>
  <c r="S966" i="5"/>
  <c r="S967" i="5"/>
  <c r="S968" i="5"/>
  <c r="S969" i="5"/>
  <c r="S970" i="5"/>
  <c r="S971" i="5"/>
  <c r="S972" i="5"/>
  <c r="S973" i="5"/>
  <c r="S974" i="5"/>
  <c r="S975" i="5"/>
  <c r="S976" i="5"/>
  <c r="S977" i="5"/>
  <c r="S978" i="5"/>
  <c r="S979" i="5"/>
  <c r="S980" i="5"/>
  <c r="S981" i="5"/>
  <c r="S982" i="5"/>
  <c r="S983" i="5"/>
  <c r="S984" i="5"/>
  <c r="S985" i="5"/>
  <c r="S986" i="5"/>
  <c r="S987" i="5"/>
  <c r="S988" i="5"/>
  <c r="S989" i="5"/>
  <c r="S990" i="5"/>
  <c r="S991" i="5"/>
  <c r="S992" i="5"/>
  <c r="S993" i="5"/>
  <c r="S994" i="5"/>
  <c r="S995" i="5"/>
  <c r="S996" i="5"/>
  <c r="S997" i="5"/>
  <c r="S998" i="5"/>
  <c r="S999" i="5"/>
  <c r="S1000" i="5"/>
  <c r="S1001" i="5"/>
  <c r="S1002" i="5"/>
  <c r="S1003" i="5"/>
  <c r="S1004" i="5"/>
  <c r="S1005" i="5"/>
  <c r="S1006" i="5"/>
  <c r="S1007" i="5"/>
  <c r="S1008" i="5"/>
  <c r="S1009" i="5"/>
  <c r="S1010" i="5"/>
  <c r="S1011" i="5"/>
  <c r="S1012" i="5"/>
  <c r="S1013" i="5"/>
  <c r="S1014" i="5"/>
  <c r="S1015" i="5"/>
  <c r="S1016" i="5"/>
  <c r="S1017" i="5"/>
  <c r="S1018" i="5"/>
  <c r="S1019" i="5"/>
  <c r="S1020" i="5"/>
  <c r="S1021" i="5"/>
  <c r="S1022" i="5"/>
  <c r="S1023" i="5"/>
  <c r="S1024" i="5"/>
  <c r="S1025" i="5"/>
  <c r="S1026" i="5"/>
  <c r="S1027" i="5"/>
  <c r="S1028" i="5"/>
  <c r="S1029" i="5"/>
  <c r="S1030" i="5"/>
  <c r="S1031" i="5"/>
  <c r="S1032" i="5"/>
  <c r="S1033" i="5"/>
  <c r="S1034" i="5"/>
  <c r="S1035" i="5"/>
  <c r="S1036" i="5"/>
  <c r="S1037" i="5"/>
  <c r="S1038" i="5"/>
  <c r="S1039" i="5"/>
  <c r="S1040" i="5"/>
  <c r="S1041" i="5"/>
  <c r="S1042" i="5"/>
  <c r="S1043" i="5"/>
  <c r="S1044" i="5"/>
  <c r="S1045" i="5"/>
  <c r="S1046" i="5"/>
  <c r="S1047" i="5"/>
  <c r="S1048" i="5"/>
  <c r="S1049" i="5"/>
  <c r="S1050" i="5"/>
  <c r="S1051" i="5"/>
  <c r="S1052" i="5"/>
  <c r="S1053" i="5"/>
  <c r="S1054" i="5"/>
  <c r="S1055" i="5"/>
  <c r="S1056" i="5"/>
  <c r="S1057" i="5"/>
  <c r="S1058" i="5"/>
  <c r="S1059" i="5"/>
  <c r="S1060" i="5"/>
  <c r="S1061" i="5"/>
  <c r="S1062" i="5"/>
  <c r="S1063" i="5"/>
  <c r="S1064" i="5"/>
  <c r="S1065" i="5"/>
  <c r="S1066" i="5"/>
  <c r="S1067" i="5"/>
  <c r="S1068" i="5"/>
  <c r="S1069" i="5"/>
  <c r="S1070" i="5"/>
  <c r="S1071" i="5"/>
  <c r="S1072" i="5"/>
  <c r="S1073" i="5"/>
  <c r="S1074" i="5"/>
  <c r="S1075" i="5"/>
  <c r="S1076" i="5"/>
  <c r="S1077" i="5"/>
  <c r="S1078" i="5"/>
  <c r="S1079" i="5"/>
  <c r="S1080" i="5"/>
  <c r="S1081" i="5"/>
  <c r="S1082" i="5"/>
  <c r="S1083" i="5"/>
  <c r="S1084" i="5"/>
  <c r="S1085" i="5"/>
  <c r="S1086" i="5"/>
  <c r="S1087" i="5"/>
  <c r="S1088" i="5"/>
  <c r="S1089" i="5"/>
  <c r="S1090" i="5"/>
  <c r="S1091" i="5"/>
  <c r="S1092" i="5"/>
  <c r="S1093" i="5"/>
  <c r="S1094" i="5"/>
  <c r="S1095" i="5"/>
  <c r="S1096" i="5"/>
  <c r="S1097" i="5"/>
  <c r="S1098" i="5"/>
  <c r="S1099" i="5"/>
  <c r="S1100" i="5"/>
  <c r="S1101" i="5"/>
  <c r="S1102" i="5"/>
  <c r="S1103" i="5"/>
  <c r="S1104" i="5"/>
  <c r="S1105" i="5"/>
  <c r="S1106" i="5"/>
  <c r="S1107" i="5"/>
  <c r="S1108" i="5"/>
  <c r="S1109" i="5"/>
  <c r="S1110" i="5"/>
  <c r="S1111" i="5"/>
  <c r="S1112" i="5"/>
  <c r="S1113" i="5"/>
  <c r="S1114" i="5"/>
  <c r="S1115" i="5"/>
  <c r="S1116" i="5"/>
  <c r="S1117" i="5"/>
  <c r="S1118" i="5"/>
  <c r="S1119" i="5"/>
  <c r="S1120" i="5"/>
  <c r="S1121" i="5"/>
  <c r="S1122" i="5"/>
  <c r="S1123" i="5"/>
  <c r="S1124" i="5"/>
  <c r="S1125" i="5"/>
  <c r="S1126" i="5"/>
  <c r="S1127" i="5"/>
  <c r="S1128" i="5"/>
  <c r="S1129" i="5"/>
  <c r="S1130" i="5"/>
  <c r="S1131" i="5"/>
  <c r="S1132" i="5"/>
  <c r="S1133" i="5"/>
  <c r="S1134" i="5"/>
  <c r="S1135" i="5"/>
  <c r="S1136" i="5"/>
  <c r="S1137" i="5"/>
  <c r="S1138" i="5"/>
  <c r="S1139" i="5"/>
  <c r="S1140" i="5"/>
  <c r="S1141" i="5"/>
  <c r="S1142" i="5"/>
  <c r="S1143" i="5"/>
  <c r="S1144" i="5"/>
  <c r="S1145" i="5"/>
  <c r="S1146" i="5"/>
  <c r="S1147" i="5"/>
  <c r="S1148" i="5"/>
  <c r="S1149" i="5"/>
  <c r="S1150" i="5"/>
  <c r="S1151" i="5"/>
  <c r="S1152" i="5"/>
  <c r="S1153" i="5"/>
  <c r="S1154" i="5"/>
  <c r="S1155" i="5"/>
  <c r="S1156" i="5"/>
  <c r="S1157" i="5"/>
  <c r="S1158" i="5"/>
  <c r="S1159" i="5"/>
  <c r="S1160" i="5"/>
  <c r="S1161" i="5"/>
  <c r="S1162" i="5"/>
  <c r="S1163" i="5"/>
  <c r="S1164" i="5"/>
  <c r="S1165" i="5"/>
  <c r="S1166" i="5"/>
  <c r="S1167" i="5"/>
  <c r="S1168" i="5"/>
  <c r="S1169" i="5"/>
  <c r="S1170" i="5"/>
  <c r="S1171" i="5"/>
  <c r="S1172" i="5"/>
  <c r="S1173" i="5"/>
  <c r="S1174" i="5"/>
  <c r="S1175" i="5"/>
  <c r="S1176" i="5"/>
  <c r="S1177" i="5"/>
  <c r="S1178" i="5"/>
  <c r="S1179" i="5"/>
  <c r="S1180" i="5"/>
  <c r="S1181" i="5"/>
  <c r="S1182" i="5"/>
  <c r="S1183" i="5"/>
  <c r="S1184" i="5"/>
  <c r="S1185" i="5"/>
  <c r="S1186" i="5"/>
  <c r="S1187" i="5"/>
  <c r="S1188" i="5"/>
  <c r="S1189" i="5"/>
  <c r="S1190" i="5"/>
  <c r="S1191" i="5"/>
  <c r="S1192" i="5"/>
  <c r="S1193" i="5"/>
  <c r="S1194" i="5"/>
  <c r="S1195" i="5"/>
  <c r="S1196" i="5"/>
  <c r="S1197" i="5"/>
  <c r="S1198" i="5"/>
  <c r="S1199" i="5"/>
  <c r="S1200" i="5"/>
  <c r="S1201" i="5"/>
  <c r="S1202" i="5"/>
  <c r="S1203" i="5"/>
  <c r="S1204" i="5"/>
  <c r="S1205" i="5"/>
  <c r="S1206" i="5"/>
  <c r="S1207" i="5"/>
  <c r="S1208" i="5"/>
  <c r="S1209" i="5"/>
  <c r="S1210" i="5"/>
  <c r="S1211" i="5"/>
  <c r="S1212" i="5"/>
  <c r="S1213" i="5"/>
  <c r="S1214" i="5"/>
  <c r="S1215" i="5"/>
  <c r="S1216" i="5"/>
  <c r="S1217" i="5"/>
  <c r="S1218" i="5"/>
  <c r="S1219" i="5"/>
  <c r="S1220" i="5"/>
  <c r="S1221" i="5"/>
  <c r="S1222" i="5"/>
  <c r="S1223" i="5"/>
  <c r="S1224" i="5"/>
  <c r="S1225" i="5"/>
  <c r="S1226" i="5"/>
  <c r="S1227" i="5"/>
  <c r="S1228" i="5"/>
  <c r="S1229" i="5"/>
  <c r="S1230" i="5"/>
  <c r="S1231" i="5"/>
  <c r="S1232" i="5"/>
  <c r="S1233" i="5"/>
  <c r="S1234" i="5"/>
  <c r="S1235" i="5"/>
  <c r="S1236" i="5"/>
  <c r="S1237" i="5"/>
  <c r="S1238" i="5"/>
  <c r="S1239" i="5"/>
  <c r="S1240" i="5"/>
  <c r="S1241" i="5"/>
  <c r="S1242" i="5"/>
  <c r="S1243" i="5"/>
  <c r="S1244" i="5"/>
  <c r="S1245" i="5"/>
  <c r="S1246" i="5"/>
  <c r="S1247" i="5"/>
  <c r="S1248" i="5"/>
  <c r="S1249" i="5"/>
  <c r="S1250" i="5"/>
  <c r="S1251" i="5"/>
  <c r="S1252" i="5"/>
  <c r="S1253" i="5"/>
  <c r="S1254" i="5"/>
  <c r="S1255" i="5"/>
  <c r="S1256" i="5"/>
  <c r="S1257" i="5"/>
  <c r="S1258" i="5"/>
  <c r="S1259" i="5"/>
  <c r="S1260" i="5"/>
  <c r="S1261" i="5"/>
  <c r="S1262" i="5"/>
  <c r="S1263" i="5"/>
  <c r="S1264" i="5"/>
  <c r="S1265" i="5"/>
  <c r="S1266" i="5"/>
  <c r="S1267" i="5"/>
  <c r="S1268" i="5"/>
  <c r="S1269" i="5"/>
  <c r="S1270" i="5"/>
  <c r="S1271" i="5"/>
  <c r="S1272" i="5"/>
  <c r="S1273" i="5"/>
  <c r="S1274" i="5"/>
  <c r="S1275" i="5"/>
  <c r="S1276" i="5"/>
  <c r="S1277" i="5"/>
  <c r="S1278" i="5"/>
  <c r="S1279" i="5"/>
  <c r="S1280" i="5"/>
  <c r="S1281" i="5"/>
  <c r="S1282" i="5"/>
  <c r="S1283" i="5"/>
  <c r="S1284" i="5"/>
  <c r="S1285" i="5"/>
  <c r="S1286" i="5"/>
  <c r="S1287" i="5"/>
  <c r="S1288" i="5"/>
  <c r="S1289" i="5"/>
  <c r="S1290" i="5"/>
  <c r="S1291" i="5"/>
  <c r="S1292" i="5"/>
  <c r="S1293" i="5"/>
  <c r="S1294" i="5"/>
  <c r="S1295" i="5"/>
  <c r="S1296" i="5"/>
  <c r="S1297" i="5"/>
  <c r="S1298" i="5"/>
  <c r="S1299" i="5"/>
  <c r="S1300" i="5"/>
  <c r="S1301" i="5"/>
  <c r="S1302" i="5"/>
  <c r="S1303" i="5"/>
  <c r="S1304" i="5"/>
  <c r="S1305" i="5"/>
  <c r="S1306" i="5"/>
  <c r="S1307" i="5"/>
  <c r="S1308" i="5"/>
  <c r="S1309" i="5"/>
  <c r="S1310" i="5"/>
  <c r="S1311" i="5"/>
  <c r="S1312" i="5"/>
  <c r="S1313" i="5"/>
  <c r="S1314" i="5"/>
  <c r="S1315" i="5"/>
  <c r="S1316" i="5"/>
  <c r="S1317" i="5"/>
  <c r="S1318" i="5"/>
  <c r="S1319" i="5"/>
  <c r="S1320" i="5"/>
  <c r="S1321" i="5"/>
  <c r="S1322" i="5"/>
  <c r="S1323" i="5"/>
  <c r="S1324" i="5"/>
  <c r="S1325" i="5"/>
  <c r="S1326" i="5"/>
  <c r="S1327" i="5"/>
  <c r="S1328" i="5"/>
  <c r="S1329" i="5"/>
  <c r="S1330" i="5"/>
  <c r="S1331" i="5"/>
  <c r="S1332" i="5"/>
  <c r="S1333" i="5"/>
  <c r="S1334" i="5"/>
  <c r="S1335" i="5"/>
  <c r="S1336" i="5"/>
  <c r="S1337" i="5"/>
  <c r="S1338" i="5"/>
  <c r="S1339" i="5"/>
  <c r="S1340" i="5"/>
  <c r="S1341" i="5"/>
  <c r="S1342" i="5"/>
  <c r="S1343" i="5"/>
  <c r="S1344" i="5"/>
  <c r="S1345" i="5"/>
  <c r="S1346" i="5"/>
  <c r="S1347" i="5"/>
  <c r="S1348" i="5"/>
  <c r="S1349" i="5"/>
  <c r="S1350" i="5"/>
  <c r="S1351" i="5"/>
  <c r="S1352" i="5"/>
  <c r="S1353" i="5"/>
  <c r="S1354" i="5"/>
  <c r="S1355" i="5"/>
  <c r="S1356" i="5"/>
  <c r="S1357" i="5"/>
  <c r="S1358" i="5"/>
  <c r="S1359" i="5"/>
  <c r="S1360" i="5"/>
  <c r="S1361" i="5"/>
  <c r="S1362" i="5"/>
  <c r="S1363" i="5"/>
  <c r="S1364" i="5"/>
  <c r="S1365" i="5"/>
  <c r="S1366" i="5"/>
  <c r="S1367" i="5"/>
  <c r="S1368" i="5"/>
  <c r="S1369" i="5"/>
  <c r="S1370" i="5"/>
  <c r="S1371" i="5"/>
  <c r="S1372" i="5"/>
  <c r="S1373" i="5"/>
  <c r="S1374" i="5"/>
  <c r="S1375" i="5"/>
  <c r="S1376" i="5"/>
  <c r="S1377" i="5"/>
  <c r="S1378" i="5"/>
  <c r="S1379" i="5"/>
  <c r="S1380" i="5"/>
  <c r="S1381" i="5"/>
  <c r="S1382" i="5"/>
  <c r="S1383" i="5"/>
  <c r="S1384" i="5"/>
  <c r="S1385" i="5"/>
  <c r="S1386" i="5"/>
  <c r="S1387" i="5"/>
  <c r="S1388" i="5"/>
  <c r="S1389" i="5"/>
  <c r="S1390" i="5"/>
  <c r="S1391" i="5"/>
  <c r="S1392" i="5"/>
  <c r="S1393" i="5"/>
  <c r="S1394" i="5"/>
  <c r="S1395" i="5"/>
  <c r="S1396" i="5"/>
  <c r="S1397" i="5"/>
  <c r="S1398" i="5"/>
  <c r="S1399" i="5"/>
  <c r="S1400" i="5"/>
  <c r="S1401" i="5"/>
  <c r="S1402" i="5"/>
  <c r="S1403" i="5"/>
  <c r="S1404" i="5"/>
  <c r="S1405" i="5"/>
  <c r="S1406" i="5"/>
  <c r="S1407" i="5"/>
  <c r="S1408" i="5"/>
  <c r="S1409" i="5"/>
  <c r="S1410" i="5"/>
  <c r="S1411" i="5"/>
  <c r="S1412" i="5"/>
  <c r="S1413" i="5"/>
  <c r="S1414" i="5"/>
  <c r="S1415" i="5"/>
  <c r="S1416" i="5"/>
  <c r="S1417" i="5"/>
  <c r="S1418" i="5"/>
  <c r="S1419" i="5"/>
  <c r="S1420" i="5"/>
  <c r="S1421" i="5"/>
  <c r="S1422" i="5"/>
  <c r="S1423" i="5"/>
  <c r="S1424" i="5"/>
  <c r="S1425" i="5"/>
  <c r="S1426" i="5"/>
  <c r="S1427" i="5"/>
  <c r="S1428" i="5"/>
  <c r="S1429" i="5"/>
  <c r="S1430" i="5"/>
  <c r="S1431" i="5"/>
  <c r="S1432" i="5"/>
  <c r="S1433" i="5"/>
  <c r="S1434" i="5"/>
  <c r="S1435" i="5"/>
  <c r="S1436" i="5"/>
  <c r="S1437" i="5"/>
  <c r="S1438" i="5"/>
  <c r="S1439" i="5"/>
  <c r="S1440" i="5"/>
  <c r="S1441" i="5"/>
  <c r="S1442" i="5"/>
  <c r="S1443" i="5"/>
  <c r="S1444" i="5"/>
  <c r="S1445" i="5"/>
  <c r="S1446" i="5"/>
  <c r="S1447" i="5"/>
  <c r="S1448" i="5"/>
  <c r="S1449" i="5"/>
  <c r="S1450" i="5"/>
  <c r="S1451" i="5"/>
  <c r="S1452" i="5"/>
  <c r="S1453" i="5"/>
  <c r="S1454" i="5"/>
  <c r="S1455" i="5"/>
  <c r="S1456" i="5"/>
  <c r="S1457" i="5"/>
  <c r="S1458" i="5"/>
  <c r="S1459" i="5"/>
  <c r="S1460" i="5"/>
  <c r="S1461" i="5"/>
  <c r="S1462" i="5"/>
  <c r="S1463" i="5"/>
  <c r="S1464" i="5"/>
  <c r="S1465" i="5"/>
  <c r="S1466" i="5"/>
  <c r="S1467" i="5"/>
  <c r="S1468" i="5"/>
  <c r="S1469" i="5"/>
  <c r="S1470" i="5"/>
  <c r="S1471" i="5"/>
  <c r="S1472" i="5"/>
  <c r="S1473" i="5"/>
  <c r="S1474" i="5"/>
  <c r="S1475" i="5"/>
  <c r="S1476" i="5"/>
  <c r="S1477" i="5"/>
  <c r="S1478" i="5"/>
  <c r="S1479" i="5"/>
  <c r="S1480" i="5"/>
  <c r="S1481" i="5"/>
  <c r="S1482" i="5"/>
  <c r="S1483" i="5"/>
  <c r="S1484" i="5"/>
  <c r="S1485" i="5"/>
  <c r="S1486" i="5"/>
  <c r="S1487" i="5"/>
  <c r="S1488" i="5"/>
  <c r="S1489" i="5"/>
  <c r="S1490" i="5"/>
  <c r="S1491" i="5"/>
  <c r="S1492" i="5"/>
  <c r="S1493" i="5"/>
  <c r="S1494" i="5"/>
  <c r="S1495" i="5"/>
  <c r="S1496" i="5"/>
  <c r="S1497" i="5"/>
  <c r="S1498" i="5"/>
  <c r="S1499" i="5"/>
  <c r="S1500" i="5"/>
  <c r="S1501" i="5"/>
  <c r="S1502" i="5"/>
  <c r="S1503" i="5"/>
  <c r="S1504" i="5"/>
  <c r="S1505" i="5"/>
  <c r="S1506" i="5"/>
  <c r="S1507" i="5"/>
  <c r="S1508" i="5"/>
  <c r="S1509" i="5"/>
  <c r="S1510" i="5"/>
  <c r="S1511" i="5"/>
  <c r="S1512" i="5"/>
  <c r="S1513" i="5"/>
  <c r="S1514" i="5"/>
  <c r="S1515" i="5"/>
  <c r="S1516" i="5"/>
  <c r="S1517" i="5"/>
  <c r="S1518" i="5"/>
  <c r="S1519" i="5"/>
  <c r="S1520" i="5"/>
  <c r="S1521" i="5"/>
  <c r="S1522" i="5"/>
  <c r="S1523" i="5"/>
  <c r="S1524" i="5"/>
  <c r="S1525" i="5"/>
  <c r="S1526" i="5"/>
  <c r="S1527" i="5"/>
  <c r="S1528" i="5"/>
  <c r="S1529" i="5"/>
  <c r="S1530" i="5"/>
  <c r="S1531" i="5"/>
  <c r="S1532" i="5"/>
  <c r="S1533" i="5"/>
  <c r="S1534" i="5"/>
  <c r="S1535" i="5"/>
  <c r="S1536" i="5"/>
  <c r="S1537" i="5"/>
  <c r="S1538" i="5"/>
  <c r="S1539" i="5"/>
  <c r="S1540" i="5"/>
  <c r="S1541" i="5"/>
  <c r="S1542" i="5"/>
  <c r="S1543" i="5"/>
  <c r="S1544" i="5"/>
  <c r="S1545" i="5"/>
  <c r="S1546" i="5"/>
  <c r="S1547" i="5"/>
  <c r="S1548" i="5"/>
  <c r="S1549" i="5"/>
  <c r="S1550" i="5"/>
  <c r="S1551" i="5"/>
  <c r="S1552" i="5"/>
  <c r="S1553" i="5"/>
  <c r="S1554" i="5"/>
  <c r="S1555" i="5"/>
  <c r="S1556" i="5"/>
  <c r="S1557" i="5"/>
  <c r="S1558" i="5"/>
  <c r="S1559" i="5"/>
  <c r="S1560" i="5"/>
  <c r="S1561" i="5"/>
  <c r="S1562" i="5"/>
  <c r="S1563" i="5"/>
  <c r="S1564" i="5"/>
  <c r="S1565" i="5"/>
  <c r="S1566" i="5"/>
  <c r="S1567" i="5"/>
  <c r="S1568" i="5"/>
  <c r="S1569" i="5"/>
  <c r="S1570" i="5"/>
  <c r="S1571" i="5"/>
  <c r="S1572" i="5"/>
  <c r="S1573" i="5"/>
  <c r="S1574" i="5"/>
  <c r="S1575" i="5"/>
  <c r="S1576" i="5"/>
  <c r="S1577" i="5"/>
  <c r="S1578" i="5"/>
  <c r="S1579" i="5"/>
  <c r="S1580" i="5"/>
  <c r="S1581" i="5"/>
  <c r="S1582" i="5"/>
  <c r="S1583" i="5"/>
  <c r="S1584" i="5"/>
  <c r="S1585" i="5"/>
  <c r="S1586" i="5"/>
  <c r="S1587" i="5"/>
  <c r="S1588" i="5"/>
  <c r="S1589" i="5"/>
  <c r="S1590" i="5"/>
  <c r="S1591" i="5"/>
  <c r="S1592" i="5"/>
  <c r="S1593" i="5"/>
  <c r="S1594" i="5"/>
  <c r="S1595" i="5"/>
  <c r="S1596" i="5"/>
  <c r="S1597" i="5"/>
  <c r="S1598" i="5"/>
  <c r="S1599" i="5"/>
  <c r="S1600" i="5"/>
  <c r="S1601" i="5"/>
  <c r="S1602" i="5"/>
  <c r="S1603" i="5"/>
  <c r="S1604" i="5"/>
  <c r="S1605" i="5"/>
  <c r="S1606" i="5"/>
  <c r="S1607" i="5"/>
  <c r="S1608" i="5"/>
  <c r="S1609" i="5"/>
  <c r="S1610" i="5"/>
  <c r="S1611" i="5"/>
  <c r="S1612" i="5"/>
  <c r="S1613" i="5"/>
  <c r="S1614" i="5"/>
  <c r="S1615" i="5"/>
  <c r="S1616" i="5"/>
  <c r="S1617" i="5"/>
  <c r="S1618" i="5"/>
  <c r="S1619" i="5"/>
  <c r="S1620" i="5"/>
  <c r="S1621" i="5"/>
  <c r="S1622" i="5"/>
  <c r="S1623" i="5"/>
  <c r="S1624" i="5"/>
  <c r="S1625" i="5"/>
  <c r="S1626" i="5"/>
  <c r="S1627" i="5"/>
  <c r="S1628" i="5"/>
  <c r="S1629" i="5"/>
  <c r="S1630" i="5"/>
  <c r="S1631" i="5"/>
  <c r="S1632" i="5"/>
  <c r="S1633" i="5"/>
  <c r="S1634" i="5"/>
  <c r="S1635" i="5"/>
  <c r="S1636" i="5"/>
  <c r="S1637" i="5"/>
  <c r="S1638" i="5"/>
  <c r="S1639" i="5"/>
  <c r="S1640" i="5"/>
  <c r="S1641" i="5"/>
  <c r="S1642" i="5"/>
  <c r="S1643" i="5"/>
  <c r="S1644" i="5"/>
  <c r="S1645" i="5"/>
  <c r="S1646" i="5"/>
  <c r="S1647" i="5"/>
  <c r="S1648" i="5"/>
  <c r="S1649" i="5"/>
  <c r="S1650" i="5"/>
  <c r="S1651" i="5"/>
  <c r="S1652" i="5"/>
  <c r="S1653" i="5"/>
  <c r="S1654" i="5"/>
  <c r="S1655" i="5"/>
  <c r="S1656" i="5"/>
  <c r="S1657" i="5"/>
  <c r="S1658" i="5"/>
  <c r="S1659" i="5"/>
  <c r="S1660" i="5"/>
  <c r="S1661" i="5"/>
  <c r="S1662" i="5"/>
  <c r="S1663" i="5"/>
  <c r="S1664" i="5"/>
  <c r="S1665" i="5"/>
  <c r="S1666" i="5"/>
  <c r="S1667" i="5"/>
  <c r="S1668" i="5"/>
  <c r="S1669" i="5"/>
  <c r="S1670" i="5"/>
  <c r="S1671" i="5"/>
  <c r="S1672" i="5"/>
  <c r="S1673" i="5"/>
  <c r="S1674" i="5"/>
  <c r="S1675" i="5"/>
  <c r="S1676" i="5"/>
  <c r="S1677" i="5"/>
  <c r="S1678" i="5"/>
  <c r="S1679" i="5"/>
  <c r="S1680" i="5"/>
  <c r="S1681" i="5"/>
  <c r="S1682" i="5"/>
  <c r="S1683" i="5"/>
  <c r="S1684" i="5"/>
  <c r="S1685" i="5"/>
  <c r="S1686" i="5"/>
  <c r="S1687" i="5"/>
  <c r="S1688" i="5"/>
  <c r="S1689" i="5"/>
  <c r="S1690" i="5"/>
  <c r="S1691" i="5"/>
  <c r="S1692" i="5"/>
  <c r="S1693" i="5"/>
  <c r="S1694" i="5"/>
  <c r="S1695" i="5"/>
  <c r="S1696" i="5"/>
  <c r="S1697" i="5"/>
  <c r="S1698" i="5"/>
  <c r="S1699" i="5"/>
  <c r="S1700" i="5"/>
  <c r="S1701" i="5"/>
  <c r="S1702" i="5"/>
  <c r="S1703" i="5"/>
  <c r="S1704" i="5"/>
  <c r="S1705" i="5"/>
  <c r="S1706" i="5"/>
  <c r="S1707" i="5"/>
  <c r="S1708" i="5"/>
  <c r="S1709" i="5"/>
  <c r="S1710" i="5"/>
  <c r="S1711" i="5"/>
  <c r="S1712" i="5"/>
  <c r="S1713" i="5"/>
  <c r="S1714" i="5"/>
  <c r="S1715" i="5"/>
  <c r="S1716" i="5"/>
  <c r="S1717" i="5"/>
  <c r="S1718" i="5"/>
  <c r="S1719" i="5"/>
  <c r="S1720" i="5"/>
  <c r="S1721" i="5"/>
  <c r="S1722" i="5"/>
  <c r="S1723" i="5"/>
  <c r="S1724" i="5"/>
  <c r="S1725" i="5"/>
  <c r="S1726" i="5"/>
  <c r="S1727" i="5"/>
  <c r="S1728" i="5"/>
  <c r="S1729" i="5"/>
  <c r="S1730" i="5"/>
  <c r="S1731" i="5"/>
  <c r="S1732" i="5"/>
  <c r="S1733" i="5"/>
  <c r="S1734" i="5"/>
  <c r="S1735" i="5"/>
  <c r="S1736" i="5"/>
  <c r="S1737" i="5"/>
  <c r="S1738" i="5"/>
  <c r="S1739" i="5"/>
  <c r="S1740" i="5"/>
  <c r="S1741" i="5"/>
  <c r="S1742" i="5"/>
  <c r="S1743" i="5"/>
  <c r="S1744" i="5"/>
  <c r="S1745" i="5"/>
  <c r="S1746" i="5"/>
  <c r="S1747" i="5"/>
  <c r="S1748" i="5"/>
  <c r="S1749" i="5"/>
  <c r="S1750" i="5"/>
  <c r="S1751" i="5"/>
  <c r="S1752" i="5"/>
  <c r="S1753" i="5"/>
  <c r="S1754" i="5"/>
  <c r="S1755" i="5"/>
  <c r="S1756" i="5"/>
  <c r="S1757" i="5"/>
  <c r="S1758" i="5"/>
  <c r="S1759" i="5"/>
  <c r="S1760" i="5"/>
  <c r="S1761" i="5"/>
  <c r="S1762" i="5"/>
  <c r="S1763" i="5"/>
  <c r="S1764" i="5"/>
  <c r="S1765" i="5"/>
  <c r="S1766" i="5"/>
  <c r="S1767" i="5"/>
  <c r="S1768" i="5"/>
  <c r="S1769" i="5"/>
  <c r="S1770" i="5"/>
  <c r="S1771" i="5"/>
  <c r="S1772" i="5"/>
  <c r="S1773" i="5"/>
  <c r="S1774" i="5"/>
  <c r="S1775" i="5"/>
  <c r="S1776" i="5"/>
  <c r="S1777" i="5"/>
  <c r="S1778" i="5"/>
  <c r="S1779" i="5"/>
  <c r="S1780" i="5"/>
  <c r="S1781" i="5"/>
  <c r="S1782" i="5"/>
  <c r="S1783" i="5"/>
  <c r="S1784" i="5"/>
  <c r="S1785" i="5"/>
  <c r="S1786" i="5"/>
  <c r="S1787" i="5"/>
  <c r="S1788" i="5"/>
  <c r="S1789" i="5"/>
  <c r="S1790" i="5"/>
  <c r="S1791" i="5"/>
  <c r="S1792" i="5"/>
  <c r="S1793" i="5"/>
  <c r="S1794" i="5"/>
  <c r="S1795" i="5"/>
  <c r="S1796" i="5"/>
  <c r="S1797" i="5"/>
  <c r="S1798" i="5"/>
  <c r="S1799" i="5"/>
  <c r="S1800" i="5"/>
  <c r="S1801" i="5"/>
  <c r="S1802" i="5"/>
  <c r="S1803" i="5"/>
  <c r="S1804" i="5"/>
  <c r="S1805" i="5"/>
  <c r="S1806" i="5"/>
  <c r="S1807" i="5"/>
  <c r="S1808" i="5"/>
  <c r="S1809" i="5"/>
  <c r="S1810" i="5"/>
  <c r="S1811" i="5"/>
  <c r="S1812" i="5"/>
  <c r="S1813" i="5"/>
  <c r="S1814" i="5"/>
  <c r="S1815" i="5"/>
  <c r="S1816" i="5"/>
  <c r="S1817" i="5"/>
  <c r="S1818" i="5"/>
  <c r="S1819" i="5"/>
  <c r="S1820" i="5"/>
  <c r="S1821" i="5"/>
  <c r="S1822" i="5"/>
  <c r="S1823" i="5"/>
  <c r="S1824" i="5"/>
  <c r="S1825" i="5"/>
  <c r="S1826" i="5"/>
  <c r="S1827" i="5"/>
  <c r="S1828" i="5"/>
  <c r="S1829" i="5"/>
  <c r="S1830" i="5"/>
  <c r="S1831" i="5"/>
  <c r="S1832" i="5"/>
  <c r="S1833" i="5"/>
  <c r="S1834" i="5"/>
  <c r="S1835" i="5"/>
  <c r="S1836" i="5"/>
  <c r="S1837" i="5"/>
  <c r="S1838" i="5"/>
  <c r="S1839" i="5"/>
  <c r="S1840" i="5"/>
  <c r="S1841" i="5"/>
  <c r="S1842" i="5"/>
  <c r="S1843" i="5"/>
  <c r="S1844" i="5"/>
  <c r="S1845" i="5"/>
  <c r="S1846" i="5"/>
  <c r="S1847" i="5"/>
  <c r="S1848" i="5"/>
  <c r="S1849" i="5"/>
  <c r="S1850" i="5"/>
  <c r="S1851" i="5"/>
  <c r="S1852" i="5"/>
  <c r="S1853" i="5"/>
  <c r="S1854" i="5"/>
  <c r="S1855" i="5"/>
  <c r="S1856" i="5"/>
  <c r="S1857" i="5"/>
  <c r="S1858" i="5"/>
  <c r="S1859" i="5"/>
  <c r="S1860" i="5"/>
  <c r="S1861" i="5"/>
  <c r="S1862" i="5"/>
  <c r="S1863" i="5"/>
  <c r="S1864" i="5"/>
  <c r="S1865" i="5"/>
  <c r="S1866" i="5"/>
  <c r="S1867" i="5"/>
  <c r="S1868" i="5"/>
  <c r="S1869" i="5"/>
  <c r="S1870" i="5"/>
  <c r="S1871" i="5"/>
  <c r="S1872" i="5"/>
  <c r="S1873" i="5"/>
  <c r="S1874" i="5"/>
  <c r="S1875" i="5"/>
  <c r="S1876" i="5"/>
  <c r="S1877" i="5"/>
  <c r="S1878" i="5"/>
  <c r="S1879" i="5"/>
  <c r="S1880" i="5"/>
  <c r="S1881" i="5"/>
  <c r="S1882" i="5"/>
  <c r="S1883" i="5"/>
  <c r="S1884" i="5"/>
  <c r="S1885" i="5"/>
  <c r="S1886" i="5"/>
  <c r="S1887" i="5"/>
  <c r="S1888" i="5"/>
  <c r="S1889" i="5"/>
  <c r="S1890" i="5"/>
  <c r="S1891" i="5"/>
  <c r="S1892" i="5"/>
  <c r="S1893" i="5"/>
  <c r="S1894" i="5"/>
  <c r="S1895" i="5"/>
  <c r="S1896" i="5"/>
  <c r="S1897" i="5"/>
  <c r="S1898" i="5"/>
  <c r="S1899" i="5"/>
  <c r="S1900" i="5"/>
  <c r="S1901" i="5"/>
  <c r="S1902" i="5"/>
  <c r="S1903" i="5"/>
  <c r="S1904" i="5"/>
  <c r="S1905" i="5"/>
  <c r="S1906" i="5"/>
  <c r="S1907" i="5"/>
  <c r="S1908" i="5"/>
  <c r="S1909" i="5"/>
  <c r="S1910" i="5"/>
  <c r="S1911" i="5"/>
  <c r="S1912" i="5"/>
  <c r="S1913" i="5"/>
  <c r="S1914" i="5"/>
  <c r="S1915" i="5"/>
  <c r="S1916" i="5"/>
  <c r="S1917" i="5"/>
  <c r="S1918" i="5"/>
  <c r="S1919" i="5"/>
  <c r="S1920" i="5"/>
  <c r="S1921" i="5"/>
  <c r="S1922" i="5"/>
  <c r="S1923" i="5"/>
  <c r="S1924" i="5"/>
  <c r="S1925" i="5"/>
  <c r="S1926" i="5"/>
  <c r="S1927" i="5"/>
  <c r="S1928" i="5"/>
  <c r="S1929" i="5"/>
  <c r="S1930" i="5"/>
  <c r="S1931" i="5"/>
  <c r="S1932" i="5"/>
  <c r="S1933" i="5"/>
  <c r="S1934" i="5"/>
  <c r="S1935" i="5"/>
  <c r="S1936" i="5"/>
  <c r="S1937" i="5"/>
  <c r="S1938" i="5"/>
  <c r="S1939" i="5"/>
  <c r="S1940" i="5"/>
  <c r="S1941" i="5"/>
  <c r="S1942" i="5"/>
  <c r="S1943" i="5"/>
  <c r="S1944" i="5"/>
  <c r="S1945" i="5"/>
  <c r="S1946" i="5"/>
  <c r="S1947" i="5"/>
  <c r="S1948" i="5"/>
  <c r="S1949" i="5"/>
  <c r="S1950" i="5"/>
  <c r="S1951" i="5"/>
  <c r="S1952" i="5"/>
  <c r="S1953" i="5"/>
  <c r="S1954" i="5"/>
  <c r="S1955" i="5"/>
  <c r="S1956" i="5"/>
  <c r="S1957" i="5"/>
  <c r="S1958" i="5"/>
  <c r="S1959" i="5"/>
  <c r="S1960" i="5"/>
  <c r="S1961" i="5"/>
  <c r="S1962" i="5"/>
  <c r="S1963" i="5"/>
  <c r="S1964" i="5"/>
  <c r="S1965" i="5"/>
  <c r="S1966" i="5"/>
  <c r="S1967" i="5"/>
  <c r="S1968" i="5"/>
  <c r="S1969" i="5"/>
  <c r="S1970" i="5"/>
  <c r="S1971" i="5"/>
  <c r="S1972" i="5"/>
  <c r="S1973" i="5"/>
  <c r="S1974" i="5"/>
  <c r="S1975" i="5"/>
  <c r="S1976" i="5"/>
  <c r="S1977" i="5"/>
  <c r="S1978" i="5"/>
  <c r="S1979" i="5"/>
  <c r="S1980" i="5"/>
  <c r="S1981" i="5"/>
  <c r="S1982" i="5"/>
  <c r="S1983" i="5"/>
  <c r="S1984" i="5"/>
  <c r="S1985" i="5"/>
  <c r="S1986" i="5"/>
  <c r="S1987" i="5"/>
  <c r="S1988" i="5"/>
  <c r="S1989" i="5"/>
  <c r="S1990" i="5"/>
  <c r="S1991" i="5"/>
  <c r="S1992" i="5"/>
  <c r="S1993" i="5"/>
  <c r="S1994" i="5"/>
  <c r="S1995" i="5"/>
  <c r="S1996" i="5"/>
  <c r="S1997" i="5"/>
  <c r="S1998" i="5"/>
  <c r="S1999" i="5"/>
  <c r="S2000" i="5"/>
  <c r="S2001" i="5"/>
  <c r="S2002" i="5"/>
  <c r="S2003" i="5"/>
  <c r="S2004" i="5"/>
  <c r="S2005" i="5"/>
  <c r="S2006" i="5"/>
  <c r="S2007" i="5"/>
  <c r="S2008" i="5"/>
  <c r="S2009" i="5"/>
  <c r="S2010" i="5"/>
  <c r="S2011" i="5"/>
  <c r="S2012" i="5"/>
  <c r="S2013" i="5"/>
  <c r="S2014" i="5"/>
  <c r="S2015" i="5"/>
  <c r="S2016" i="5"/>
  <c r="S2017" i="5"/>
  <c r="S2018" i="5"/>
  <c r="S2019" i="5"/>
  <c r="S2020" i="5"/>
  <c r="S2021" i="5"/>
  <c r="S2022" i="5"/>
  <c r="S2023" i="5"/>
  <c r="S2024" i="5"/>
  <c r="S2025" i="5"/>
  <c r="S2026" i="5"/>
  <c r="S2027" i="5"/>
  <c r="S2028" i="5"/>
  <c r="S2029" i="5"/>
  <c r="S2030" i="5"/>
  <c r="S2031" i="5"/>
  <c r="S2032" i="5"/>
  <c r="S2033" i="5"/>
  <c r="S2034" i="5"/>
  <c r="S2035" i="5"/>
  <c r="S2036" i="5"/>
  <c r="S2037" i="5"/>
  <c r="S2038" i="5"/>
  <c r="S2039" i="5"/>
  <c r="S2040" i="5"/>
  <c r="S2041" i="5"/>
  <c r="S2042" i="5"/>
  <c r="S2043" i="5"/>
  <c r="S2044" i="5"/>
  <c r="S2045" i="5"/>
  <c r="S2046" i="5"/>
  <c r="S2047" i="5"/>
  <c r="S2048" i="5"/>
  <c r="S2049" i="5"/>
  <c r="S2050" i="5"/>
  <c r="S2051" i="5"/>
  <c r="S2052" i="5"/>
  <c r="S2053" i="5"/>
  <c r="S2054" i="5"/>
  <c r="S2055" i="5"/>
  <c r="S2056" i="5"/>
  <c r="S2057" i="5"/>
  <c r="S2058" i="5"/>
  <c r="S2059" i="5"/>
  <c r="S2060" i="5"/>
  <c r="S2061" i="5"/>
  <c r="S2062" i="5"/>
  <c r="S2063" i="5"/>
  <c r="S2064" i="5"/>
  <c r="S2065" i="5"/>
  <c r="S2066" i="5"/>
  <c r="S2067" i="5"/>
  <c r="S2068" i="5"/>
  <c r="S2069" i="5"/>
  <c r="S2070" i="5"/>
  <c r="S2071" i="5"/>
  <c r="S2072" i="5"/>
  <c r="S2073" i="5"/>
  <c r="S2074" i="5"/>
  <c r="S2075" i="5"/>
  <c r="S2076" i="5"/>
  <c r="S2077" i="5"/>
  <c r="S2078" i="5"/>
  <c r="S2079" i="5"/>
  <c r="S2080" i="5"/>
  <c r="S2081" i="5"/>
  <c r="S2082" i="5"/>
  <c r="S2083" i="5"/>
  <c r="S2084" i="5"/>
  <c r="S2085" i="5"/>
  <c r="S2086" i="5"/>
  <c r="S2087" i="5"/>
  <c r="S2088" i="5"/>
  <c r="S2089" i="5"/>
  <c r="S2090" i="5"/>
  <c r="S2091" i="5"/>
  <c r="S2092" i="5"/>
  <c r="S2093" i="5"/>
  <c r="S2094" i="5"/>
  <c r="S2095" i="5"/>
  <c r="S2096" i="5"/>
  <c r="S2097" i="5"/>
  <c r="S2098" i="5"/>
  <c r="S2099" i="5"/>
  <c r="S2100" i="5"/>
  <c r="S2101" i="5"/>
  <c r="S2102" i="5"/>
  <c r="S2103" i="5"/>
  <c r="S2104" i="5"/>
  <c r="S2105" i="5"/>
  <c r="S2106" i="5"/>
  <c r="S2107" i="5"/>
  <c r="S2108" i="5"/>
  <c r="S2109" i="5"/>
  <c r="S2110" i="5"/>
  <c r="S2111" i="5"/>
  <c r="S2112" i="5"/>
  <c r="S2113" i="5"/>
  <c r="S2114" i="5"/>
  <c r="S2115" i="5"/>
  <c r="S2116" i="5"/>
  <c r="S2117" i="5"/>
  <c r="S2118" i="5"/>
  <c r="S2119" i="5"/>
  <c r="S2120" i="5"/>
  <c r="S2121" i="5"/>
  <c r="S2122" i="5"/>
  <c r="S2123" i="5"/>
  <c r="S2124" i="5"/>
  <c r="S2125" i="5"/>
  <c r="S2126" i="5"/>
  <c r="S2127" i="5"/>
  <c r="S2128" i="5"/>
  <c r="S2129" i="5"/>
  <c r="S2130" i="5"/>
  <c r="S2131" i="5"/>
  <c r="S2132" i="5"/>
  <c r="S2133" i="5"/>
  <c r="S2134" i="5"/>
  <c r="S2135" i="5"/>
  <c r="S2136" i="5"/>
  <c r="S2137" i="5"/>
  <c r="S2138" i="5"/>
  <c r="S2139" i="5"/>
  <c r="S2140" i="5"/>
  <c r="S2141" i="5"/>
  <c r="S2142" i="5"/>
  <c r="S2143" i="5"/>
  <c r="S2144" i="5"/>
  <c r="S2145" i="5"/>
  <c r="S2146" i="5"/>
  <c r="S2147" i="5"/>
  <c r="S2148" i="5"/>
  <c r="S2149" i="5"/>
  <c r="S2150" i="5"/>
  <c r="S2151" i="5"/>
  <c r="S2152" i="5"/>
  <c r="S2153" i="5"/>
  <c r="S2154" i="5"/>
  <c r="S2155" i="5"/>
  <c r="S2156" i="5"/>
  <c r="S2157" i="5"/>
  <c r="S2158" i="5"/>
  <c r="S2159" i="5"/>
  <c r="S2160" i="5"/>
  <c r="S2161" i="5"/>
  <c r="S2162" i="5"/>
  <c r="S2163" i="5"/>
  <c r="S2164" i="5"/>
  <c r="S2165" i="5"/>
  <c r="S2166" i="5"/>
  <c r="S2167" i="5"/>
  <c r="S2168" i="5"/>
  <c r="S2169" i="5"/>
  <c r="S2170" i="5"/>
  <c r="S2171" i="5"/>
  <c r="S2172" i="5"/>
  <c r="S2173" i="5"/>
  <c r="S2174" i="5"/>
  <c r="S2175" i="5"/>
  <c r="S2176" i="5"/>
  <c r="S2177" i="5"/>
  <c r="S2178" i="5"/>
  <c r="R699" i="5"/>
  <c r="R700" i="5"/>
  <c r="R701" i="5"/>
  <c r="R702" i="5"/>
  <c r="R703" i="5"/>
  <c r="R704" i="5"/>
  <c r="R705" i="5"/>
  <c r="R706" i="5"/>
  <c r="R707" i="5"/>
  <c r="R708" i="5"/>
  <c r="R709" i="5"/>
  <c r="R710" i="5"/>
  <c r="R711" i="5"/>
  <c r="R712" i="5"/>
  <c r="R713" i="5"/>
  <c r="R714" i="5"/>
  <c r="R715" i="5"/>
  <c r="R716" i="5"/>
  <c r="R717" i="5"/>
  <c r="R718" i="5"/>
  <c r="R719" i="5"/>
  <c r="R720" i="5"/>
  <c r="R721" i="5"/>
  <c r="R722" i="5"/>
  <c r="R723" i="5"/>
  <c r="R724" i="5"/>
  <c r="R725" i="5"/>
  <c r="R726" i="5"/>
  <c r="R727" i="5"/>
  <c r="R728" i="5"/>
  <c r="R729" i="5"/>
  <c r="R730" i="5"/>
  <c r="R731" i="5"/>
  <c r="R732" i="5"/>
  <c r="R733" i="5"/>
  <c r="R734" i="5"/>
  <c r="R735" i="5"/>
  <c r="R736" i="5"/>
  <c r="R737" i="5"/>
  <c r="R738" i="5"/>
  <c r="R739" i="5"/>
  <c r="R740" i="5"/>
  <c r="R741" i="5"/>
  <c r="R742" i="5"/>
  <c r="R743" i="5"/>
  <c r="R744" i="5"/>
  <c r="R745" i="5"/>
  <c r="R746" i="5"/>
  <c r="R747" i="5"/>
  <c r="R748" i="5"/>
  <c r="R749" i="5"/>
  <c r="R750" i="5"/>
  <c r="R751" i="5"/>
  <c r="R752" i="5"/>
  <c r="R753" i="5"/>
  <c r="R754" i="5"/>
  <c r="R755" i="5"/>
  <c r="R756" i="5"/>
  <c r="R757" i="5"/>
  <c r="R758" i="5"/>
  <c r="R759" i="5"/>
  <c r="R760" i="5"/>
  <c r="R761" i="5"/>
  <c r="R762" i="5"/>
  <c r="R763" i="5"/>
  <c r="R764" i="5"/>
  <c r="R765" i="5"/>
  <c r="R766" i="5"/>
  <c r="R767" i="5"/>
  <c r="R768" i="5"/>
  <c r="R769" i="5"/>
  <c r="R770" i="5"/>
  <c r="R771" i="5"/>
  <c r="R772" i="5"/>
  <c r="R773" i="5"/>
  <c r="R774" i="5"/>
  <c r="R775" i="5"/>
  <c r="R776" i="5"/>
  <c r="R777" i="5"/>
  <c r="R778" i="5"/>
  <c r="R779" i="5"/>
  <c r="R780" i="5"/>
  <c r="R781" i="5"/>
  <c r="R782" i="5"/>
  <c r="R783" i="5"/>
  <c r="R784" i="5"/>
  <c r="R785" i="5"/>
  <c r="R786" i="5"/>
  <c r="R787" i="5"/>
  <c r="R788" i="5"/>
  <c r="R789" i="5"/>
  <c r="R790" i="5"/>
  <c r="R791" i="5"/>
  <c r="R792" i="5"/>
  <c r="R793" i="5"/>
  <c r="R794" i="5"/>
  <c r="R795" i="5"/>
  <c r="R796" i="5"/>
  <c r="R797" i="5"/>
  <c r="R798" i="5"/>
  <c r="R799" i="5"/>
  <c r="R800" i="5"/>
  <c r="R801" i="5"/>
  <c r="R802" i="5"/>
  <c r="R803" i="5"/>
  <c r="R804" i="5"/>
  <c r="R805" i="5"/>
  <c r="R806" i="5"/>
  <c r="R807" i="5"/>
  <c r="R808" i="5"/>
  <c r="R809" i="5"/>
  <c r="R810" i="5"/>
  <c r="R811" i="5"/>
  <c r="R812" i="5"/>
  <c r="R813" i="5"/>
  <c r="R814" i="5"/>
  <c r="R815" i="5"/>
  <c r="R816" i="5"/>
  <c r="R817" i="5"/>
  <c r="R818" i="5"/>
  <c r="R819" i="5"/>
  <c r="R820" i="5"/>
  <c r="R821" i="5"/>
  <c r="R822" i="5"/>
  <c r="R823" i="5"/>
  <c r="R824" i="5"/>
  <c r="R825" i="5"/>
  <c r="R826" i="5"/>
  <c r="R827" i="5"/>
  <c r="R828" i="5"/>
  <c r="R829" i="5"/>
  <c r="R830" i="5"/>
  <c r="R831" i="5"/>
  <c r="R832" i="5"/>
  <c r="R833" i="5"/>
  <c r="R834" i="5"/>
  <c r="R835" i="5"/>
  <c r="R836" i="5"/>
  <c r="R837" i="5"/>
  <c r="R838" i="5"/>
  <c r="R839" i="5"/>
  <c r="R840" i="5"/>
  <c r="R841" i="5"/>
  <c r="R842" i="5"/>
  <c r="R843" i="5"/>
  <c r="R844" i="5"/>
  <c r="R845" i="5"/>
  <c r="R846" i="5"/>
  <c r="R847" i="5"/>
  <c r="R848" i="5"/>
  <c r="R849" i="5"/>
  <c r="R850" i="5"/>
  <c r="R851" i="5"/>
  <c r="R852" i="5"/>
  <c r="R853" i="5"/>
  <c r="R854" i="5"/>
  <c r="R855" i="5"/>
  <c r="R856" i="5"/>
  <c r="R857" i="5"/>
  <c r="R858" i="5"/>
  <c r="R859" i="5"/>
  <c r="R860" i="5"/>
  <c r="R861" i="5"/>
  <c r="R862" i="5"/>
  <c r="R863" i="5"/>
  <c r="R864" i="5"/>
  <c r="R865" i="5"/>
  <c r="R866" i="5"/>
  <c r="R867" i="5"/>
  <c r="R868" i="5"/>
  <c r="R869" i="5"/>
  <c r="R870" i="5"/>
  <c r="R871" i="5"/>
  <c r="R872" i="5"/>
  <c r="R873" i="5"/>
  <c r="R874" i="5"/>
  <c r="R875" i="5"/>
  <c r="R876" i="5"/>
  <c r="R877" i="5"/>
  <c r="R878" i="5"/>
  <c r="R879" i="5"/>
  <c r="R880" i="5"/>
  <c r="R881" i="5"/>
  <c r="R882" i="5"/>
  <c r="R883" i="5"/>
  <c r="R884" i="5"/>
  <c r="R885" i="5"/>
  <c r="R886" i="5"/>
  <c r="R887" i="5"/>
  <c r="R888" i="5"/>
  <c r="R889" i="5"/>
  <c r="R890" i="5"/>
  <c r="R891" i="5"/>
  <c r="R892" i="5"/>
  <c r="R893" i="5"/>
  <c r="R894" i="5"/>
  <c r="R895" i="5"/>
  <c r="R896" i="5"/>
  <c r="R897" i="5"/>
  <c r="R898" i="5"/>
  <c r="R899" i="5"/>
  <c r="R900" i="5"/>
  <c r="R901" i="5"/>
  <c r="R902" i="5"/>
  <c r="R903" i="5"/>
  <c r="R904" i="5"/>
  <c r="R905" i="5"/>
  <c r="R906" i="5"/>
  <c r="R907" i="5"/>
  <c r="R908" i="5"/>
  <c r="R909" i="5"/>
  <c r="R910" i="5"/>
  <c r="R911" i="5"/>
  <c r="R912" i="5"/>
  <c r="R913" i="5"/>
  <c r="R914" i="5"/>
  <c r="R915" i="5"/>
  <c r="R916" i="5"/>
  <c r="R917" i="5"/>
  <c r="R918" i="5"/>
  <c r="R919" i="5"/>
  <c r="R920" i="5"/>
  <c r="R921" i="5"/>
  <c r="R922" i="5"/>
  <c r="R923" i="5"/>
  <c r="R924" i="5"/>
  <c r="R925" i="5"/>
  <c r="R926" i="5"/>
  <c r="R927" i="5"/>
  <c r="R928" i="5"/>
  <c r="R929" i="5"/>
  <c r="R930" i="5"/>
  <c r="R931" i="5"/>
  <c r="R932" i="5"/>
  <c r="R933" i="5"/>
  <c r="R934" i="5"/>
  <c r="R935" i="5"/>
  <c r="R936" i="5"/>
  <c r="R937" i="5"/>
  <c r="R938" i="5"/>
  <c r="R939" i="5"/>
  <c r="R940" i="5"/>
  <c r="R941" i="5"/>
  <c r="R942" i="5"/>
  <c r="R943" i="5"/>
  <c r="R944" i="5"/>
  <c r="R945" i="5"/>
  <c r="R946" i="5"/>
  <c r="R947" i="5"/>
  <c r="R948" i="5"/>
  <c r="R949" i="5"/>
  <c r="R950" i="5"/>
  <c r="R951" i="5"/>
  <c r="R952" i="5"/>
  <c r="R953" i="5"/>
  <c r="R954" i="5"/>
  <c r="R955" i="5"/>
  <c r="R956" i="5"/>
  <c r="R957" i="5"/>
  <c r="R958" i="5"/>
  <c r="R959" i="5"/>
  <c r="R960" i="5"/>
  <c r="R961" i="5"/>
  <c r="R962" i="5"/>
  <c r="R963" i="5"/>
  <c r="R964" i="5"/>
  <c r="R965" i="5"/>
  <c r="R966" i="5"/>
  <c r="R967" i="5"/>
  <c r="R968" i="5"/>
  <c r="R969" i="5"/>
  <c r="R970" i="5"/>
  <c r="R971" i="5"/>
  <c r="R972" i="5"/>
  <c r="R973" i="5"/>
  <c r="R974" i="5"/>
  <c r="R975" i="5"/>
  <c r="R976" i="5"/>
  <c r="R977" i="5"/>
  <c r="R978" i="5"/>
  <c r="R979" i="5"/>
  <c r="R980" i="5"/>
  <c r="R981" i="5"/>
  <c r="R982" i="5"/>
  <c r="R983" i="5"/>
  <c r="R984" i="5"/>
  <c r="R985" i="5"/>
  <c r="R986" i="5"/>
  <c r="R987" i="5"/>
  <c r="R988" i="5"/>
  <c r="R989" i="5"/>
  <c r="R990" i="5"/>
  <c r="R991" i="5"/>
  <c r="R992" i="5"/>
  <c r="R993" i="5"/>
  <c r="R994" i="5"/>
  <c r="R995" i="5"/>
  <c r="R996" i="5"/>
  <c r="R997" i="5"/>
  <c r="R998" i="5"/>
  <c r="R999" i="5"/>
  <c r="R1000" i="5"/>
  <c r="R1001" i="5"/>
  <c r="R1002" i="5"/>
  <c r="R1003" i="5"/>
  <c r="R1004" i="5"/>
  <c r="R1005" i="5"/>
  <c r="R1006" i="5"/>
  <c r="R1007" i="5"/>
  <c r="R1008" i="5"/>
  <c r="R1009" i="5"/>
  <c r="R1010" i="5"/>
  <c r="R1011" i="5"/>
  <c r="R1012" i="5"/>
  <c r="R1013" i="5"/>
  <c r="R1014" i="5"/>
  <c r="R1015" i="5"/>
  <c r="R1016" i="5"/>
  <c r="R1017" i="5"/>
  <c r="R1018" i="5"/>
  <c r="R1019" i="5"/>
  <c r="R1020" i="5"/>
  <c r="R1021" i="5"/>
  <c r="R1022" i="5"/>
  <c r="R1023" i="5"/>
  <c r="R1024" i="5"/>
  <c r="R1025" i="5"/>
  <c r="R1026" i="5"/>
  <c r="R1027" i="5"/>
  <c r="R1028" i="5"/>
  <c r="R1029" i="5"/>
  <c r="R1030" i="5"/>
  <c r="R1031" i="5"/>
  <c r="R1032" i="5"/>
  <c r="R1033" i="5"/>
  <c r="R1034" i="5"/>
  <c r="R1035" i="5"/>
  <c r="R1036" i="5"/>
  <c r="R1037" i="5"/>
  <c r="R1038" i="5"/>
  <c r="R1039" i="5"/>
  <c r="R1040" i="5"/>
  <c r="R1041" i="5"/>
  <c r="R1042" i="5"/>
  <c r="R1043" i="5"/>
  <c r="R1044" i="5"/>
  <c r="R1045" i="5"/>
  <c r="R1046" i="5"/>
  <c r="R1047" i="5"/>
  <c r="R1048" i="5"/>
  <c r="R1049" i="5"/>
  <c r="R1050" i="5"/>
  <c r="R1051" i="5"/>
  <c r="R1052" i="5"/>
  <c r="R1053" i="5"/>
  <c r="R1054" i="5"/>
  <c r="R1055" i="5"/>
  <c r="R1056" i="5"/>
  <c r="R1057" i="5"/>
  <c r="R1058" i="5"/>
  <c r="R1059" i="5"/>
  <c r="R1060" i="5"/>
  <c r="R1061" i="5"/>
  <c r="R1062" i="5"/>
  <c r="R1063" i="5"/>
  <c r="R1064" i="5"/>
  <c r="R1065" i="5"/>
  <c r="R1066" i="5"/>
  <c r="R1067" i="5"/>
  <c r="R1068" i="5"/>
  <c r="R1069" i="5"/>
  <c r="R1070" i="5"/>
  <c r="R1071" i="5"/>
  <c r="R1072" i="5"/>
  <c r="R1073" i="5"/>
  <c r="R1074" i="5"/>
  <c r="R1075" i="5"/>
  <c r="R1076" i="5"/>
  <c r="R1077" i="5"/>
  <c r="R1078" i="5"/>
  <c r="R1079" i="5"/>
  <c r="R1080" i="5"/>
  <c r="R1081" i="5"/>
  <c r="R1082" i="5"/>
  <c r="R1083" i="5"/>
  <c r="R1084" i="5"/>
  <c r="R1085" i="5"/>
  <c r="R1086" i="5"/>
  <c r="R1087" i="5"/>
  <c r="R1088" i="5"/>
  <c r="R1089" i="5"/>
  <c r="R1090" i="5"/>
  <c r="R1091" i="5"/>
  <c r="R1092" i="5"/>
  <c r="R1093" i="5"/>
  <c r="R1094" i="5"/>
  <c r="R1095" i="5"/>
  <c r="R1096" i="5"/>
  <c r="R1097" i="5"/>
  <c r="R1098" i="5"/>
  <c r="R1099" i="5"/>
  <c r="R1100" i="5"/>
  <c r="R1101" i="5"/>
  <c r="R1102" i="5"/>
  <c r="R1103" i="5"/>
  <c r="R1104" i="5"/>
  <c r="R1105" i="5"/>
  <c r="R1106" i="5"/>
  <c r="R1107" i="5"/>
  <c r="R1108" i="5"/>
  <c r="R1109" i="5"/>
  <c r="R1110" i="5"/>
  <c r="R1111" i="5"/>
  <c r="R1112" i="5"/>
  <c r="R1113" i="5"/>
  <c r="R1114" i="5"/>
  <c r="R1115" i="5"/>
  <c r="R1116" i="5"/>
  <c r="R1117" i="5"/>
  <c r="R1118" i="5"/>
  <c r="R1119" i="5"/>
  <c r="R1120" i="5"/>
  <c r="R1121" i="5"/>
  <c r="R1122" i="5"/>
  <c r="R1123" i="5"/>
  <c r="R1124" i="5"/>
  <c r="R1125" i="5"/>
  <c r="R1126" i="5"/>
  <c r="R1127" i="5"/>
  <c r="R1128" i="5"/>
  <c r="R1129" i="5"/>
  <c r="R1130" i="5"/>
  <c r="R1131" i="5"/>
  <c r="R1132" i="5"/>
  <c r="R1133" i="5"/>
  <c r="R1134" i="5"/>
  <c r="R1135" i="5"/>
  <c r="R1136" i="5"/>
  <c r="R1137" i="5"/>
  <c r="R1138" i="5"/>
  <c r="R1139" i="5"/>
  <c r="R1140" i="5"/>
  <c r="R1141" i="5"/>
  <c r="R1142" i="5"/>
  <c r="R1143" i="5"/>
  <c r="R1144" i="5"/>
  <c r="R1145" i="5"/>
  <c r="R1146" i="5"/>
  <c r="R1147" i="5"/>
  <c r="R1148" i="5"/>
  <c r="R1149" i="5"/>
  <c r="R1150" i="5"/>
  <c r="R1151" i="5"/>
  <c r="R1152" i="5"/>
  <c r="R1153" i="5"/>
  <c r="R1154" i="5"/>
  <c r="R1155" i="5"/>
  <c r="R1156" i="5"/>
  <c r="R1157" i="5"/>
  <c r="R1158" i="5"/>
  <c r="R1159" i="5"/>
  <c r="R1160" i="5"/>
  <c r="R1161" i="5"/>
  <c r="R1162" i="5"/>
  <c r="R1163" i="5"/>
  <c r="R1164" i="5"/>
  <c r="R1165" i="5"/>
  <c r="R1166" i="5"/>
  <c r="R1167" i="5"/>
  <c r="R1168" i="5"/>
  <c r="R1169" i="5"/>
  <c r="R1170" i="5"/>
  <c r="R1171" i="5"/>
  <c r="R1172" i="5"/>
  <c r="R1173" i="5"/>
  <c r="R1174" i="5"/>
  <c r="R1175" i="5"/>
  <c r="R1176" i="5"/>
  <c r="R1177" i="5"/>
  <c r="R1178" i="5"/>
  <c r="R1179" i="5"/>
  <c r="R1180" i="5"/>
  <c r="R1181" i="5"/>
  <c r="R1182" i="5"/>
  <c r="R1183" i="5"/>
  <c r="R1184" i="5"/>
  <c r="R1185" i="5"/>
  <c r="R1186" i="5"/>
  <c r="R1187" i="5"/>
  <c r="R1188" i="5"/>
  <c r="R1189" i="5"/>
  <c r="R1190" i="5"/>
  <c r="R1191" i="5"/>
  <c r="R1192" i="5"/>
  <c r="R1193" i="5"/>
  <c r="R1194" i="5"/>
  <c r="R1195" i="5"/>
  <c r="R1196" i="5"/>
  <c r="R1197" i="5"/>
  <c r="R1198" i="5"/>
  <c r="R1199" i="5"/>
  <c r="R1200" i="5"/>
  <c r="R1201" i="5"/>
  <c r="R1202" i="5"/>
  <c r="R1203" i="5"/>
  <c r="R1204" i="5"/>
  <c r="R1205" i="5"/>
  <c r="R1206" i="5"/>
  <c r="R1207" i="5"/>
  <c r="R1208" i="5"/>
  <c r="R1209" i="5"/>
  <c r="R1210" i="5"/>
  <c r="R1211" i="5"/>
  <c r="R1212" i="5"/>
  <c r="R1213" i="5"/>
  <c r="R1214" i="5"/>
  <c r="R1215" i="5"/>
  <c r="R1216" i="5"/>
  <c r="R1217" i="5"/>
  <c r="R1218" i="5"/>
  <c r="R1219" i="5"/>
  <c r="R1220" i="5"/>
  <c r="R1221" i="5"/>
  <c r="R1222" i="5"/>
  <c r="R1223" i="5"/>
  <c r="R1224" i="5"/>
  <c r="R1225" i="5"/>
  <c r="R1226" i="5"/>
  <c r="R1227" i="5"/>
  <c r="R1228" i="5"/>
  <c r="R1229" i="5"/>
  <c r="R1230" i="5"/>
  <c r="R1231" i="5"/>
  <c r="R1232" i="5"/>
  <c r="R1233" i="5"/>
  <c r="R1234" i="5"/>
  <c r="R1235" i="5"/>
  <c r="R1236" i="5"/>
  <c r="R1237" i="5"/>
  <c r="R1238" i="5"/>
  <c r="R1239" i="5"/>
  <c r="R1240" i="5"/>
  <c r="R1241" i="5"/>
  <c r="R1242" i="5"/>
  <c r="R1243" i="5"/>
  <c r="R1244" i="5"/>
  <c r="R1245" i="5"/>
  <c r="R1246" i="5"/>
  <c r="R1247" i="5"/>
  <c r="R1248" i="5"/>
  <c r="R1249" i="5"/>
  <c r="R1250" i="5"/>
  <c r="R1251" i="5"/>
  <c r="R1252" i="5"/>
  <c r="R1253" i="5"/>
  <c r="R1254" i="5"/>
  <c r="R1255" i="5"/>
  <c r="R1256" i="5"/>
  <c r="R1257" i="5"/>
  <c r="R1258" i="5"/>
  <c r="R1259" i="5"/>
  <c r="R1260" i="5"/>
  <c r="R1261" i="5"/>
  <c r="R1262" i="5"/>
  <c r="R1263" i="5"/>
  <c r="R1264" i="5"/>
  <c r="R1265" i="5"/>
  <c r="R1266" i="5"/>
  <c r="R1267" i="5"/>
  <c r="R1268" i="5"/>
  <c r="R1269" i="5"/>
  <c r="R1270" i="5"/>
  <c r="R1271" i="5"/>
  <c r="R1272" i="5"/>
  <c r="R1273" i="5"/>
  <c r="R1274" i="5"/>
  <c r="R1275" i="5"/>
  <c r="R1276" i="5"/>
  <c r="R1277" i="5"/>
  <c r="R1278" i="5"/>
  <c r="R1279" i="5"/>
  <c r="R1280" i="5"/>
  <c r="R1281" i="5"/>
  <c r="R1282" i="5"/>
  <c r="R1283" i="5"/>
  <c r="R1284" i="5"/>
  <c r="R1285" i="5"/>
  <c r="R1286" i="5"/>
  <c r="R1287" i="5"/>
  <c r="R1288" i="5"/>
  <c r="R1289" i="5"/>
  <c r="R1290" i="5"/>
  <c r="R1291" i="5"/>
  <c r="R1292" i="5"/>
  <c r="R1293" i="5"/>
  <c r="R1294" i="5"/>
  <c r="R1295" i="5"/>
  <c r="R1296" i="5"/>
  <c r="R1297" i="5"/>
  <c r="R1298" i="5"/>
  <c r="R1299" i="5"/>
  <c r="R1300" i="5"/>
  <c r="R1301" i="5"/>
  <c r="R1302" i="5"/>
  <c r="R1303" i="5"/>
  <c r="R1304" i="5"/>
  <c r="R1305" i="5"/>
  <c r="R1306" i="5"/>
  <c r="R1307" i="5"/>
  <c r="R1308" i="5"/>
  <c r="R1309" i="5"/>
  <c r="R1310" i="5"/>
  <c r="R1311" i="5"/>
  <c r="R1312" i="5"/>
  <c r="R1313" i="5"/>
  <c r="R1314" i="5"/>
  <c r="R1315" i="5"/>
  <c r="R1316" i="5"/>
  <c r="R1317" i="5"/>
  <c r="R1318" i="5"/>
  <c r="R1319" i="5"/>
  <c r="R1320" i="5"/>
  <c r="R1321" i="5"/>
  <c r="R1322" i="5"/>
  <c r="R1323" i="5"/>
  <c r="R1324" i="5"/>
  <c r="R1325" i="5"/>
  <c r="R1326" i="5"/>
  <c r="R1327" i="5"/>
  <c r="R1328" i="5"/>
  <c r="R1329" i="5"/>
  <c r="R1330" i="5"/>
  <c r="R1331" i="5"/>
  <c r="R1332" i="5"/>
  <c r="R1333" i="5"/>
  <c r="R1334" i="5"/>
  <c r="R1335" i="5"/>
  <c r="R1336" i="5"/>
  <c r="R1337" i="5"/>
  <c r="R1338" i="5"/>
  <c r="R1339" i="5"/>
  <c r="R1340" i="5"/>
  <c r="R1341" i="5"/>
  <c r="R1342" i="5"/>
  <c r="R1343" i="5"/>
  <c r="R1344" i="5"/>
  <c r="R1345" i="5"/>
  <c r="R1346" i="5"/>
  <c r="R1347" i="5"/>
  <c r="R1348" i="5"/>
  <c r="R1349" i="5"/>
  <c r="R1350" i="5"/>
  <c r="R1351" i="5"/>
  <c r="R1352" i="5"/>
  <c r="R1353" i="5"/>
  <c r="R1354" i="5"/>
  <c r="R1355" i="5"/>
  <c r="R1356" i="5"/>
  <c r="R1357" i="5"/>
  <c r="R1358" i="5"/>
  <c r="R1359" i="5"/>
  <c r="R1360" i="5"/>
  <c r="R1361" i="5"/>
  <c r="R1362" i="5"/>
  <c r="R1363" i="5"/>
  <c r="R1364" i="5"/>
  <c r="R1365" i="5"/>
  <c r="R1366" i="5"/>
  <c r="R1367" i="5"/>
  <c r="R1368" i="5"/>
  <c r="R1369" i="5"/>
  <c r="R1370" i="5"/>
  <c r="R1371" i="5"/>
  <c r="R1372" i="5"/>
  <c r="R1373" i="5"/>
  <c r="R1374" i="5"/>
  <c r="R1375" i="5"/>
  <c r="R1376" i="5"/>
  <c r="R1377" i="5"/>
  <c r="R1378" i="5"/>
  <c r="R1379" i="5"/>
  <c r="R1380" i="5"/>
  <c r="R1381" i="5"/>
  <c r="R1382" i="5"/>
  <c r="R1383" i="5"/>
  <c r="R1384" i="5"/>
  <c r="R1385" i="5"/>
  <c r="R1386" i="5"/>
  <c r="R1387" i="5"/>
  <c r="R1388" i="5"/>
  <c r="R1389" i="5"/>
  <c r="R1390" i="5"/>
  <c r="R1391" i="5"/>
  <c r="R1392" i="5"/>
  <c r="R1393" i="5"/>
  <c r="R1394" i="5"/>
  <c r="R1395" i="5"/>
  <c r="R1396" i="5"/>
  <c r="R1397" i="5"/>
  <c r="R1398" i="5"/>
  <c r="R1399" i="5"/>
  <c r="R1400" i="5"/>
  <c r="R1401" i="5"/>
  <c r="R1402" i="5"/>
  <c r="R1403" i="5"/>
  <c r="R1404" i="5"/>
  <c r="R1405" i="5"/>
  <c r="R1406" i="5"/>
  <c r="R1407" i="5"/>
  <c r="R1408" i="5"/>
  <c r="R1409" i="5"/>
  <c r="R1410" i="5"/>
  <c r="R1411" i="5"/>
  <c r="R1412" i="5"/>
  <c r="R1413" i="5"/>
  <c r="R1414" i="5"/>
  <c r="R1415" i="5"/>
  <c r="R1416" i="5"/>
  <c r="R1417" i="5"/>
  <c r="R1418" i="5"/>
  <c r="R1419" i="5"/>
  <c r="R1420" i="5"/>
  <c r="R1421" i="5"/>
  <c r="R1422" i="5"/>
  <c r="R1423" i="5"/>
  <c r="R1424" i="5"/>
  <c r="R1425" i="5"/>
  <c r="R1426" i="5"/>
  <c r="R1427" i="5"/>
  <c r="R1428" i="5"/>
  <c r="R1429" i="5"/>
  <c r="R1430" i="5"/>
  <c r="R1431" i="5"/>
  <c r="R1432" i="5"/>
  <c r="R1433" i="5"/>
  <c r="R1434" i="5"/>
  <c r="R1435" i="5"/>
  <c r="R1436" i="5"/>
  <c r="R1437" i="5"/>
  <c r="R1438" i="5"/>
  <c r="R1439" i="5"/>
  <c r="R1440" i="5"/>
  <c r="R1441" i="5"/>
  <c r="R1442" i="5"/>
  <c r="R1443" i="5"/>
  <c r="R1444" i="5"/>
  <c r="R1445" i="5"/>
  <c r="R1446" i="5"/>
  <c r="R1447" i="5"/>
  <c r="R1448" i="5"/>
  <c r="R1449" i="5"/>
  <c r="R1450" i="5"/>
  <c r="R1451" i="5"/>
  <c r="R1452" i="5"/>
  <c r="R1453" i="5"/>
  <c r="R1454" i="5"/>
  <c r="R1455" i="5"/>
  <c r="R1456" i="5"/>
  <c r="R1457" i="5"/>
  <c r="R1458" i="5"/>
  <c r="R1459" i="5"/>
  <c r="R1460" i="5"/>
  <c r="R1461" i="5"/>
  <c r="R1462" i="5"/>
  <c r="R1463" i="5"/>
  <c r="R1464" i="5"/>
  <c r="R1465" i="5"/>
  <c r="R1466" i="5"/>
  <c r="R1467" i="5"/>
  <c r="R1468" i="5"/>
  <c r="R1469" i="5"/>
  <c r="R1470" i="5"/>
  <c r="R1471" i="5"/>
  <c r="R1472" i="5"/>
  <c r="R1473" i="5"/>
  <c r="R1474" i="5"/>
  <c r="R1475" i="5"/>
  <c r="R1476" i="5"/>
  <c r="R1477" i="5"/>
  <c r="R1478" i="5"/>
  <c r="R1479" i="5"/>
  <c r="R1480" i="5"/>
  <c r="R1481" i="5"/>
  <c r="R1482" i="5"/>
  <c r="R1483" i="5"/>
  <c r="R1484" i="5"/>
  <c r="R1485" i="5"/>
  <c r="R1486" i="5"/>
  <c r="R1487" i="5"/>
  <c r="R1488" i="5"/>
  <c r="R1489" i="5"/>
  <c r="R1490" i="5"/>
  <c r="R1491" i="5"/>
  <c r="R1492" i="5"/>
  <c r="R1493" i="5"/>
  <c r="R1494" i="5"/>
  <c r="R1495" i="5"/>
  <c r="R1496" i="5"/>
  <c r="R1497" i="5"/>
  <c r="R1498" i="5"/>
  <c r="R1499" i="5"/>
  <c r="R1500" i="5"/>
  <c r="R1501" i="5"/>
  <c r="R1502" i="5"/>
  <c r="R1503" i="5"/>
  <c r="R1504" i="5"/>
  <c r="R1505" i="5"/>
  <c r="R1506" i="5"/>
  <c r="R1507" i="5"/>
  <c r="R1508" i="5"/>
  <c r="R1509" i="5"/>
  <c r="R1510" i="5"/>
  <c r="R1511" i="5"/>
  <c r="R1512" i="5"/>
  <c r="R1513" i="5"/>
  <c r="R1514" i="5"/>
  <c r="R1515" i="5"/>
  <c r="R1516" i="5"/>
  <c r="R1517" i="5"/>
  <c r="R1518" i="5"/>
  <c r="R1519" i="5"/>
  <c r="R1520" i="5"/>
  <c r="R1521" i="5"/>
  <c r="R1522" i="5"/>
  <c r="R1523" i="5"/>
  <c r="R1524" i="5"/>
  <c r="R1525" i="5"/>
  <c r="R1526" i="5"/>
  <c r="R1527" i="5"/>
  <c r="R1528" i="5"/>
  <c r="R1529" i="5"/>
  <c r="R1530" i="5"/>
  <c r="R1531" i="5"/>
  <c r="R1532" i="5"/>
  <c r="R1533" i="5"/>
  <c r="R1534" i="5"/>
  <c r="R1535" i="5"/>
  <c r="R1536" i="5"/>
  <c r="R1537" i="5"/>
  <c r="R1538" i="5"/>
  <c r="R1539" i="5"/>
  <c r="R1540" i="5"/>
  <c r="R1541" i="5"/>
  <c r="R1542" i="5"/>
  <c r="R1543" i="5"/>
  <c r="R1544" i="5"/>
  <c r="R1545" i="5"/>
  <c r="R1546" i="5"/>
  <c r="R1547" i="5"/>
  <c r="R1548" i="5"/>
  <c r="R1549" i="5"/>
  <c r="R1550" i="5"/>
  <c r="R1551" i="5"/>
  <c r="R1552" i="5"/>
  <c r="R1553" i="5"/>
  <c r="R1554" i="5"/>
  <c r="R1555" i="5"/>
  <c r="R1556" i="5"/>
  <c r="R1557" i="5"/>
  <c r="R1558" i="5"/>
  <c r="R1559" i="5"/>
  <c r="R1560" i="5"/>
  <c r="R1561" i="5"/>
  <c r="R1562" i="5"/>
  <c r="R1563" i="5"/>
  <c r="R1564" i="5"/>
  <c r="R1565" i="5"/>
  <c r="R1566" i="5"/>
  <c r="R1567" i="5"/>
  <c r="R1568" i="5"/>
  <c r="R1569" i="5"/>
  <c r="R1570" i="5"/>
  <c r="R1571" i="5"/>
  <c r="R1572" i="5"/>
  <c r="R1573" i="5"/>
  <c r="R1574" i="5"/>
  <c r="R1575" i="5"/>
  <c r="R1576" i="5"/>
  <c r="R1577" i="5"/>
  <c r="R1578" i="5"/>
  <c r="R1579" i="5"/>
  <c r="R1580" i="5"/>
  <c r="R1581" i="5"/>
  <c r="R1582" i="5"/>
  <c r="R1583" i="5"/>
  <c r="R1584" i="5"/>
  <c r="R1585" i="5"/>
  <c r="R1586" i="5"/>
  <c r="R1587" i="5"/>
  <c r="R1588" i="5"/>
  <c r="R1589" i="5"/>
  <c r="R1590" i="5"/>
  <c r="R1591" i="5"/>
  <c r="R1592" i="5"/>
  <c r="R1593" i="5"/>
  <c r="R1594" i="5"/>
  <c r="R1595" i="5"/>
  <c r="R1596" i="5"/>
  <c r="R1597" i="5"/>
  <c r="R1598" i="5"/>
  <c r="R1599" i="5"/>
  <c r="R1600" i="5"/>
  <c r="R1601" i="5"/>
  <c r="R1602" i="5"/>
  <c r="R1603" i="5"/>
  <c r="R1604" i="5"/>
  <c r="R1605" i="5"/>
  <c r="R1606" i="5"/>
  <c r="R1607" i="5"/>
  <c r="R1608" i="5"/>
  <c r="R1609" i="5"/>
  <c r="R1610" i="5"/>
  <c r="R1611" i="5"/>
  <c r="R1612" i="5"/>
  <c r="R1613" i="5"/>
  <c r="R1614" i="5"/>
  <c r="R1615" i="5"/>
  <c r="R1616" i="5"/>
  <c r="R1617" i="5"/>
  <c r="R1618" i="5"/>
  <c r="R1619" i="5"/>
  <c r="R1620" i="5"/>
  <c r="R1621" i="5"/>
  <c r="R1622" i="5"/>
  <c r="R1623" i="5"/>
  <c r="R1624" i="5"/>
  <c r="R1625" i="5"/>
  <c r="R1626" i="5"/>
  <c r="R1627" i="5"/>
  <c r="R1628" i="5"/>
  <c r="R1629" i="5"/>
  <c r="R1630" i="5"/>
  <c r="R1631" i="5"/>
  <c r="R1632" i="5"/>
  <c r="R1633" i="5"/>
  <c r="R1634" i="5"/>
  <c r="R1635" i="5"/>
  <c r="R1636" i="5"/>
  <c r="R1637" i="5"/>
  <c r="R1638" i="5"/>
  <c r="R1639" i="5"/>
  <c r="R1640" i="5"/>
  <c r="R1641" i="5"/>
  <c r="R1642" i="5"/>
  <c r="R1643" i="5"/>
  <c r="R1644" i="5"/>
  <c r="R1645" i="5"/>
  <c r="R1646" i="5"/>
  <c r="R1647" i="5"/>
  <c r="R1648" i="5"/>
  <c r="R1649" i="5"/>
  <c r="R1650" i="5"/>
  <c r="R1651" i="5"/>
  <c r="R1652" i="5"/>
  <c r="R1653" i="5"/>
  <c r="R1654" i="5"/>
  <c r="R1655" i="5"/>
  <c r="R1656" i="5"/>
  <c r="R1657" i="5"/>
  <c r="R1658" i="5"/>
  <c r="R1659" i="5"/>
  <c r="R1660" i="5"/>
  <c r="R1661" i="5"/>
  <c r="R1662" i="5"/>
  <c r="R1663" i="5"/>
  <c r="R1664" i="5"/>
  <c r="R1665" i="5"/>
  <c r="R1666" i="5"/>
  <c r="R1667" i="5"/>
  <c r="R1668" i="5"/>
  <c r="R1669" i="5"/>
  <c r="R1670" i="5"/>
  <c r="R1671" i="5"/>
  <c r="R1672" i="5"/>
  <c r="R1673" i="5"/>
  <c r="R1674" i="5"/>
  <c r="R1675" i="5"/>
  <c r="R1676" i="5"/>
  <c r="R1677" i="5"/>
  <c r="R1678" i="5"/>
  <c r="R1679" i="5"/>
  <c r="R1680" i="5"/>
  <c r="R1681" i="5"/>
  <c r="R1682" i="5"/>
  <c r="R1683" i="5"/>
  <c r="R1684" i="5"/>
  <c r="R1685" i="5"/>
  <c r="R1686" i="5"/>
  <c r="R1687" i="5"/>
  <c r="R1688" i="5"/>
  <c r="R1689" i="5"/>
  <c r="R1690" i="5"/>
  <c r="R1691" i="5"/>
  <c r="R1692" i="5"/>
  <c r="R1693" i="5"/>
  <c r="R1694" i="5"/>
  <c r="R1695" i="5"/>
  <c r="R1696" i="5"/>
  <c r="R1697" i="5"/>
  <c r="R1698" i="5"/>
  <c r="R1699" i="5"/>
  <c r="R1700" i="5"/>
  <c r="R1701" i="5"/>
  <c r="R1702" i="5"/>
  <c r="R1703" i="5"/>
  <c r="R1704" i="5"/>
  <c r="R1705" i="5"/>
  <c r="R1706" i="5"/>
  <c r="R1707" i="5"/>
  <c r="R1708" i="5"/>
  <c r="R1709" i="5"/>
  <c r="R1710" i="5"/>
  <c r="R1711" i="5"/>
  <c r="R1712" i="5"/>
  <c r="R1713" i="5"/>
  <c r="R1714" i="5"/>
  <c r="R1715" i="5"/>
  <c r="R1716" i="5"/>
  <c r="R1717" i="5"/>
  <c r="R1718" i="5"/>
  <c r="R1719" i="5"/>
  <c r="R1720" i="5"/>
  <c r="R1721" i="5"/>
  <c r="R1722" i="5"/>
  <c r="R1723" i="5"/>
  <c r="R1724" i="5"/>
  <c r="R1725" i="5"/>
  <c r="R1726" i="5"/>
  <c r="R1727" i="5"/>
  <c r="R1728" i="5"/>
  <c r="R1729" i="5"/>
  <c r="R1730" i="5"/>
  <c r="R1731" i="5"/>
  <c r="R1732" i="5"/>
  <c r="R1733" i="5"/>
  <c r="R1734" i="5"/>
  <c r="R1735" i="5"/>
  <c r="R1736" i="5"/>
  <c r="R1737" i="5"/>
  <c r="R1738" i="5"/>
  <c r="R1739" i="5"/>
  <c r="R1740" i="5"/>
  <c r="R1741" i="5"/>
  <c r="R1742" i="5"/>
  <c r="R1743" i="5"/>
  <c r="R1744" i="5"/>
  <c r="R1745" i="5"/>
  <c r="R1746" i="5"/>
  <c r="R1747" i="5"/>
  <c r="R1748" i="5"/>
  <c r="R1749" i="5"/>
  <c r="R1750" i="5"/>
  <c r="R1751" i="5"/>
  <c r="R1752" i="5"/>
  <c r="R1753" i="5"/>
  <c r="R1754" i="5"/>
  <c r="R1755" i="5"/>
  <c r="R1756" i="5"/>
  <c r="R1757" i="5"/>
  <c r="R1758" i="5"/>
  <c r="R1759" i="5"/>
  <c r="R1760" i="5"/>
  <c r="R1761" i="5"/>
  <c r="R1762" i="5"/>
  <c r="R1763" i="5"/>
  <c r="R1764" i="5"/>
  <c r="R1765" i="5"/>
  <c r="R1766" i="5"/>
  <c r="R1767" i="5"/>
  <c r="R1768" i="5"/>
  <c r="R1769" i="5"/>
  <c r="R1770" i="5"/>
  <c r="R1771" i="5"/>
  <c r="R1772" i="5"/>
  <c r="R1773" i="5"/>
  <c r="R1774" i="5"/>
  <c r="R1775" i="5"/>
  <c r="R1776" i="5"/>
  <c r="R1777" i="5"/>
  <c r="R1778" i="5"/>
  <c r="R1779" i="5"/>
  <c r="R1780" i="5"/>
  <c r="R1781" i="5"/>
  <c r="R1782" i="5"/>
  <c r="R1783" i="5"/>
  <c r="R1784" i="5"/>
  <c r="R1785" i="5"/>
  <c r="R1786" i="5"/>
  <c r="R1787" i="5"/>
  <c r="R1788" i="5"/>
  <c r="R1789" i="5"/>
  <c r="R1790" i="5"/>
  <c r="R1791" i="5"/>
  <c r="R1792" i="5"/>
  <c r="R1793" i="5"/>
  <c r="R1794" i="5"/>
  <c r="R1795" i="5"/>
  <c r="R1796" i="5"/>
  <c r="R1797" i="5"/>
  <c r="R1798" i="5"/>
  <c r="R1799" i="5"/>
  <c r="R1800" i="5"/>
  <c r="R1801" i="5"/>
  <c r="R1802" i="5"/>
  <c r="R1803" i="5"/>
  <c r="R1804" i="5"/>
  <c r="R1805" i="5"/>
  <c r="R1806" i="5"/>
  <c r="R1807" i="5"/>
  <c r="R1808" i="5"/>
  <c r="R1809" i="5"/>
  <c r="R1810" i="5"/>
  <c r="R1811" i="5"/>
  <c r="R1812" i="5"/>
  <c r="R1813" i="5"/>
  <c r="R1814" i="5"/>
  <c r="R1815" i="5"/>
  <c r="R1816" i="5"/>
  <c r="R1817" i="5"/>
  <c r="R1818" i="5"/>
  <c r="R1819" i="5"/>
  <c r="R1820" i="5"/>
  <c r="R1821" i="5"/>
  <c r="R1822" i="5"/>
  <c r="R1823" i="5"/>
  <c r="R1824" i="5"/>
  <c r="R1825" i="5"/>
  <c r="R1826" i="5"/>
  <c r="R1827" i="5"/>
  <c r="R1828" i="5"/>
  <c r="R1829" i="5"/>
  <c r="R1830" i="5"/>
  <c r="R1831" i="5"/>
  <c r="R1832" i="5"/>
  <c r="R1833" i="5"/>
  <c r="R1834" i="5"/>
  <c r="R1835" i="5"/>
  <c r="R1836" i="5"/>
  <c r="R1837" i="5"/>
  <c r="R1838" i="5"/>
  <c r="R1839" i="5"/>
  <c r="R1840" i="5"/>
  <c r="R1841" i="5"/>
  <c r="R1842" i="5"/>
  <c r="R1843" i="5"/>
  <c r="R1844" i="5"/>
  <c r="R1845" i="5"/>
  <c r="R1846" i="5"/>
  <c r="R1847" i="5"/>
  <c r="R1848" i="5"/>
  <c r="R1849" i="5"/>
  <c r="R1850" i="5"/>
  <c r="R1851" i="5"/>
  <c r="R1852" i="5"/>
  <c r="R1853" i="5"/>
  <c r="R1854" i="5"/>
  <c r="R1855" i="5"/>
  <c r="R1856" i="5"/>
  <c r="R1857" i="5"/>
  <c r="R1858" i="5"/>
  <c r="R1859" i="5"/>
  <c r="R1860" i="5"/>
  <c r="R1861" i="5"/>
  <c r="R1862" i="5"/>
  <c r="R1863" i="5"/>
  <c r="R1864" i="5"/>
  <c r="R1865" i="5"/>
  <c r="R1866" i="5"/>
  <c r="R1867" i="5"/>
  <c r="R1868" i="5"/>
  <c r="R1869" i="5"/>
  <c r="R1870" i="5"/>
  <c r="R1871" i="5"/>
  <c r="R1872" i="5"/>
  <c r="R1873" i="5"/>
  <c r="R1874" i="5"/>
  <c r="R1875" i="5"/>
  <c r="R1876" i="5"/>
  <c r="R1877" i="5"/>
  <c r="R1878" i="5"/>
  <c r="R1879" i="5"/>
  <c r="R1880" i="5"/>
  <c r="R1881" i="5"/>
  <c r="R1882" i="5"/>
  <c r="R1883" i="5"/>
  <c r="R1884" i="5"/>
  <c r="R1885" i="5"/>
  <c r="R1886" i="5"/>
  <c r="R1887" i="5"/>
  <c r="R1888" i="5"/>
  <c r="R1889" i="5"/>
  <c r="R1890" i="5"/>
  <c r="R1891" i="5"/>
  <c r="R1892" i="5"/>
  <c r="R1893" i="5"/>
  <c r="R1894" i="5"/>
  <c r="R1895" i="5"/>
  <c r="R1896" i="5"/>
  <c r="R1897" i="5"/>
  <c r="R1898" i="5"/>
  <c r="R1899" i="5"/>
  <c r="R1900" i="5"/>
  <c r="R1901" i="5"/>
  <c r="R1902" i="5"/>
  <c r="R1903" i="5"/>
  <c r="R1904" i="5"/>
  <c r="R1905" i="5"/>
  <c r="R1906" i="5"/>
  <c r="R1907" i="5"/>
  <c r="R1908" i="5"/>
  <c r="R1909" i="5"/>
  <c r="R1910" i="5"/>
  <c r="R1911" i="5"/>
  <c r="R1912" i="5"/>
  <c r="R1913" i="5"/>
  <c r="R1914" i="5"/>
  <c r="R1915" i="5"/>
  <c r="R1916" i="5"/>
  <c r="R1917" i="5"/>
  <c r="R1918" i="5"/>
  <c r="R1919" i="5"/>
  <c r="R1920" i="5"/>
  <c r="R1921" i="5"/>
  <c r="R1922" i="5"/>
  <c r="R1923" i="5"/>
  <c r="R1924" i="5"/>
  <c r="R1925" i="5"/>
  <c r="R1926" i="5"/>
  <c r="R1927" i="5"/>
  <c r="R1928" i="5"/>
  <c r="R1929" i="5"/>
  <c r="R1930" i="5"/>
  <c r="R1931" i="5"/>
  <c r="R1932" i="5"/>
  <c r="R1933" i="5"/>
  <c r="R1934" i="5"/>
  <c r="R1935" i="5"/>
  <c r="R1936" i="5"/>
  <c r="R1937" i="5"/>
  <c r="R1938" i="5"/>
  <c r="R1939" i="5"/>
  <c r="R1940" i="5"/>
  <c r="R1941" i="5"/>
  <c r="R1942" i="5"/>
  <c r="R1943" i="5"/>
  <c r="R1944" i="5"/>
  <c r="R1945" i="5"/>
  <c r="R1946" i="5"/>
  <c r="R1947" i="5"/>
  <c r="R1948" i="5"/>
  <c r="R1949" i="5"/>
  <c r="R1950" i="5"/>
  <c r="R1951" i="5"/>
  <c r="R1952" i="5"/>
  <c r="R1953" i="5"/>
  <c r="R1954" i="5"/>
  <c r="R1955" i="5"/>
  <c r="R1956" i="5"/>
  <c r="R1957" i="5"/>
  <c r="R1958" i="5"/>
  <c r="R1959" i="5"/>
  <c r="R1960" i="5"/>
  <c r="R1961" i="5"/>
  <c r="R1962" i="5"/>
  <c r="R1963" i="5"/>
  <c r="R1964" i="5"/>
  <c r="R1965" i="5"/>
  <c r="R1966" i="5"/>
  <c r="R1967" i="5"/>
  <c r="R1968" i="5"/>
  <c r="R1969" i="5"/>
  <c r="R1970" i="5"/>
  <c r="R1971" i="5"/>
  <c r="R1972" i="5"/>
  <c r="R1973" i="5"/>
  <c r="R1974" i="5"/>
  <c r="R1975" i="5"/>
  <c r="R1976" i="5"/>
  <c r="R1977" i="5"/>
  <c r="R1978" i="5"/>
  <c r="R1979" i="5"/>
  <c r="R1980" i="5"/>
  <c r="R1981" i="5"/>
  <c r="R1982" i="5"/>
  <c r="R1983" i="5"/>
  <c r="R1984" i="5"/>
  <c r="R1985" i="5"/>
  <c r="R1986" i="5"/>
  <c r="R1987" i="5"/>
  <c r="R1988" i="5"/>
  <c r="R1989" i="5"/>
  <c r="R1990" i="5"/>
  <c r="R1991" i="5"/>
  <c r="R1992" i="5"/>
  <c r="R1993" i="5"/>
  <c r="R1994" i="5"/>
  <c r="R1995" i="5"/>
  <c r="R1996" i="5"/>
  <c r="R1997" i="5"/>
  <c r="R1998" i="5"/>
  <c r="R1999" i="5"/>
  <c r="R2000" i="5"/>
  <c r="R2001" i="5"/>
  <c r="R2002" i="5"/>
  <c r="R2003" i="5"/>
  <c r="R2004" i="5"/>
  <c r="R2005" i="5"/>
  <c r="R2006" i="5"/>
  <c r="R2007" i="5"/>
  <c r="R2008" i="5"/>
  <c r="R2009" i="5"/>
  <c r="R2010" i="5"/>
  <c r="R2011" i="5"/>
  <c r="R2012" i="5"/>
  <c r="R2013" i="5"/>
  <c r="R2014" i="5"/>
  <c r="R2015" i="5"/>
  <c r="R2016" i="5"/>
  <c r="R2017" i="5"/>
  <c r="R2018" i="5"/>
  <c r="R2019" i="5"/>
  <c r="R2020" i="5"/>
  <c r="R2021" i="5"/>
  <c r="R2022" i="5"/>
  <c r="R2023" i="5"/>
  <c r="R2024" i="5"/>
  <c r="R2025" i="5"/>
  <c r="R2026" i="5"/>
  <c r="R2027" i="5"/>
  <c r="R2028" i="5"/>
  <c r="R2029" i="5"/>
  <c r="R2030" i="5"/>
  <c r="R2031" i="5"/>
  <c r="R2032" i="5"/>
  <c r="R2033" i="5"/>
  <c r="R2034" i="5"/>
  <c r="R2035" i="5"/>
  <c r="R2036" i="5"/>
  <c r="R2037" i="5"/>
  <c r="R2038" i="5"/>
  <c r="R2039" i="5"/>
  <c r="R2040" i="5"/>
  <c r="R2041" i="5"/>
  <c r="R2042" i="5"/>
  <c r="R2043" i="5"/>
  <c r="R2044" i="5"/>
  <c r="R2045" i="5"/>
  <c r="R2046" i="5"/>
  <c r="R2047" i="5"/>
  <c r="R2048" i="5"/>
  <c r="R2049" i="5"/>
  <c r="R2050" i="5"/>
  <c r="R2051" i="5"/>
  <c r="R2052" i="5"/>
  <c r="R2053" i="5"/>
  <c r="R2054" i="5"/>
  <c r="R2055" i="5"/>
  <c r="R2056" i="5"/>
  <c r="R2057" i="5"/>
  <c r="R2058" i="5"/>
  <c r="R2059" i="5"/>
  <c r="R2060" i="5"/>
  <c r="R2061" i="5"/>
  <c r="R2062" i="5"/>
  <c r="R2063" i="5"/>
  <c r="R2064" i="5"/>
  <c r="R2065" i="5"/>
  <c r="R2066" i="5"/>
  <c r="R2067" i="5"/>
  <c r="R2068" i="5"/>
  <c r="R2069" i="5"/>
  <c r="R2070" i="5"/>
  <c r="R2071" i="5"/>
  <c r="R2072" i="5"/>
  <c r="R2073" i="5"/>
  <c r="R2074" i="5"/>
  <c r="R2075" i="5"/>
  <c r="R2076" i="5"/>
  <c r="R2077" i="5"/>
  <c r="R2078" i="5"/>
  <c r="R2079" i="5"/>
  <c r="R2080" i="5"/>
  <c r="R2081" i="5"/>
  <c r="R2082" i="5"/>
  <c r="R2083" i="5"/>
  <c r="R2084" i="5"/>
  <c r="R2085" i="5"/>
  <c r="R2086" i="5"/>
  <c r="R2087" i="5"/>
  <c r="R2088" i="5"/>
  <c r="R2089" i="5"/>
  <c r="R2090" i="5"/>
  <c r="R2091" i="5"/>
  <c r="R2092" i="5"/>
  <c r="R2093" i="5"/>
  <c r="R2094" i="5"/>
  <c r="R2095" i="5"/>
  <c r="R2096" i="5"/>
  <c r="R2097" i="5"/>
  <c r="R2098" i="5"/>
  <c r="R2099" i="5"/>
  <c r="R2100" i="5"/>
  <c r="R2101" i="5"/>
  <c r="R2102" i="5"/>
  <c r="R2103" i="5"/>
  <c r="R2104" i="5"/>
  <c r="R2105" i="5"/>
  <c r="R2106" i="5"/>
  <c r="R2107" i="5"/>
  <c r="R2108" i="5"/>
  <c r="R2109" i="5"/>
  <c r="R2110" i="5"/>
  <c r="R2111" i="5"/>
  <c r="R2112" i="5"/>
  <c r="R2113" i="5"/>
  <c r="R2114" i="5"/>
  <c r="R2115" i="5"/>
  <c r="R2116" i="5"/>
  <c r="R2117" i="5"/>
  <c r="R2118" i="5"/>
  <c r="R2119" i="5"/>
  <c r="R2120" i="5"/>
  <c r="R2121" i="5"/>
  <c r="R2122" i="5"/>
  <c r="R2123" i="5"/>
  <c r="R2124" i="5"/>
  <c r="R2125" i="5"/>
  <c r="R2126" i="5"/>
  <c r="R2127" i="5"/>
  <c r="R2128" i="5"/>
  <c r="R2129" i="5"/>
  <c r="R2130" i="5"/>
  <c r="R2131" i="5"/>
  <c r="R2132" i="5"/>
  <c r="R2133" i="5"/>
  <c r="R2134" i="5"/>
  <c r="R2135" i="5"/>
  <c r="R2136" i="5"/>
  <c r="R2137" i="5"/>
  <c r="R2138" i="5"/>
  <c r="R2139" i="5"/>
  <c r="R2140" i="5"/>
  <c r="R2141" i="5"/>
  <c r="R2142" i="5"/>
  <c r="R2143" i="5"/>
  <c r="R2144" i="5"/>
  <c r="R2145" i="5"/>
  <c r="R2146" i="5"/>
  <c r="R2147" i="5"/>
  <c r="R2148" i="5"/>
  <c r="R2149" i="5"/>
  <c r="R2150" i="5"/>
  <c r="R2151" i="5"/>
  <c r="R2152" i="5"/>
  <c r="R2153" i="5"/>
  <c r="R2154" i="5"/>
  <c r="R2155" i="5"/>
  <c r="R2156" i="5"/>
  <c r="R2157" i="5"/>
  <c r="R2158" i="5"/>
  <c r="R2159" i="5"/>
  <c r="R2160" i="5"/>
  <c r="R2161" i="5"/>
  <c r="R2162" i="5"/>
  <c r="R2163" i="5"/>
  <c r="R2164" i="5"/>
  <c r="R2165" i="5"/>
  <c r="R2166" i="5"/>
  <c r="R2167" i="5"/>
  <c r="R2168" i="5"/>
  <c r="R2169" i="5"/>
  <c r="R2170" i="5"/>
  <c r="R2171" i="5"/>
  <c r="R2172" i="5"/>
  <c r="R2173" i="5"/>
  <c r="R2174" i="5"/>
  <c r="R2175" i="5"/>
  <c r="R2176" i="5"/>
  <c r="R2177" i="5"/>
  <c r="R2178" i="5"/>
  <c r="R238" i="5"/>
  <c r="R239" i="5"/>
  <c r="R240" i="5"/>
  <c r="R241" i="5"/>
  <c r="R242" i="5"/>
  <c r="R243" i="5"/>
  <c r="R244" i="5"/>
  <c r="R245" i="5"/>
  <c r="R246" i="5"/>
  <c r="R247" i="5"/>
  <c r="R248" i="5"/>
  <c r="R249" i="5"/>
  <c r="R250" i="5"/>
  <c r="R251" i="5"/>
  <c r="R252" i="5"/>
  <c r="R253" i="5"/>
  <c r="R254" i="5"/>
  <c r="R255" i="5"/>
  <c r="R256" i="5"/>
  <c r="R257" i="5"/>
  <c r="R258" i="5"/>
  <c r="R259" i="5"/>
  <c r="R260" i="5"/>
  <c r="R261" i="5"/>
  <c r="R262" i="5"/>
  <c r="R263" i="5"/>
  <c r="R264" i="5"/>
  <c r="R265" i="5"/>
  <c r="R266" i="5"/>
  <c r="R267" i="5"/>
  <c r="R268" i="5"/>
  <c r="R269" i="5"/>
  <c r="R270" i="5"/>
  <c r="R271" i="5"/>
  <c r="R272" i="5"/>
  <c r="R273" i="5"/>
  <c r="R274" i="5"/>
  <c r="R275" i="5"/>
  <c r="R276" i="5"/>
  <c r="R277" i="5"/>
  <c r="R278" i="5"/>
  <c r="R279" i="5"/>
  <c r="R280" i="5"/>
  <c r="R281" i="5"/>
  <c r="R282" i="5"/>
  <c r="R283" i="5"/>
  <c r="R284" i="5"/>
  <c r="R285" i="5"/>
  <c r="R286" i="5"/>
  <c r="R287" i="5"/>
  <c r="R288" i="5"/>
  <c r="R289" i="5"/>
  <c r="R290" i="5"/>
  <c r="R291" i="5"/>
  <c r="R292" i="5"/>
  <c r="R293" i="5"/>
  <c r="R294" i="5"/>
  <c r="R295" i="5"/>
  <c r="R296" i="5"/>
  <c r="R297" i="5"/>
  <c r="R298" i="5"/>
  <c r="R299" i="5"/>
  <c r="R300" i="5"/>
  <c r="R301" i="5"/>
  <c r="R302" i="5"/>
  <c r="R303" i="5"/>
  <c r="R304" i="5"/>
  <c r="R305" i="5"/>
  <c r="R306" i="5"/>
  <c r="R307" i="5"/>
  <c r="R308" i="5"/>
  <c r="R309" i="5"/>
  <c r="R310" i="5"/>
  <c r="R311" i="5"/>
  <c r="R312" i="5"/>
  <c r="R313" i="5"/>
  <c r="R314" i="5"/>
  <c r="R315" i="5"/>
  <c r="R316" i="5"/>
  <c r="R317" i="5"/>
  <c r="R318" i="5"/>
  <c r="R319" i="5"/>
  <c r="R320" i="5"/>
  <c r="R321" i="5"/>
  <c r="R322" i="5"/>
  <c r="R323" i="5"/>
  <c r="R324" i="5"/>
  <c r="R325" i="5"/>
  <c r="R326" i="5"/>
  <c r="R327" i="5"/>
  <c r="R328" i="5"/>
  <c r="R329" i="5"/>
  <c r="R330" i="5"/>
  <c r="R331" i="5"/>
  <c r="R332" i="5"/>
  <c r="R333" i="5"/>
  <c r="R334" i="5"/>
  <c r="R335" i="5"/>
  <c r="R336" i="5"/>
  <c r="R337" i="5"/>
  <c r="R338" i="5"/>
  <c r="R339" i="5"/>
  <c r="R340" i="5"/>
  <c r="R341" i="5"/>
  <c r="R342" i="5"/>
  <c r="R343" i="5"/>
  <c r="R344" i="5"/>
  <c r="R345" i="5"/>
  <c r="R346" i="5"/>
  <c r="R347" i="5"/>
  <c r="R348" i="5"/>
  <c r="R349" i="5"/>
  <c r="R350" i="5"/>
  <c r="R351" i="5"/>
  <c r="R352" i="5"/>
  <c r="R353" i="5"/>
  <c r="R354" i="5"/>
  <c r="R355" i="5"/>
  <c r="R356" i="5"/>
  <c r="R357" i="5"/>
  <c r="R358" i="5"/>
  <c r="R359" i="5"/>
  <c r="R360" i="5"/>
  <c r="R361" i="5"/>
  <c r="R362" i="5"/>
  <c r="R363" i="5"/>
  <c r="R364" i="5"/>
  <c r="R365" i="5"/>
  <c r="R366" i="5"/>
  <c r="R367" i="5"/>
  <c r="R368" i="5"/>
  <c r="R369" i="5"/>
  <c r="R370" i="5"/>
  <c r="R371" i="5"/>
  <c r="R372" i="5"/>
  <c r="R373" i="5"/>
  <c r="R374" i="5"/>
  <c r="R375" i="5"/>
  <c r="R376" i="5"/>
  <c r="R377" i="5"/>
  <c r="R378" i="5"/>
  <c r="R379" i="5"/>
  <c r="R380" i="5"/>
  <c r="R381" i="5"/>
  <c r="R382" i="5"/>
  <c r="R383" i="5"/>
  <c r="R384" i="5"/>
  <c r="R385" i="5"/>
  <c r="R386" i="5"/>
  <c r="R387" i="5"/>
  <c r="R388" i="5"/>
  <c r="R389" i="5"/>
  <c r="R390" i="5"/>
  <c r="R391" i="5"/>
  <c r="R392" i="5"/>
  <c r="R393" i="5"/>
  <c r="R394" i="5"/>
  <c r="R395" i="5"/>
  <c r="R396" i="5"/>
  <c r="R397" i="5"/>
  <c r="R398" i="5"/>
  <c r="R399" i="5"/>
  <c r="R400" i="5"/>
  <c r="R401" i="5"/>
  <c r="R402" i="5"/>
  <c r="R403" i="5"/>
  <c r="R404" i="5"/>
  <c r="R405" i="5"/>
  <c r="R406" i="5"/>
  <c r="R407" i="5"/>
  <c r="R408" i="5"/>
  <c r="R409" i="5"/>
  <c r="R410" i="5"/>
  <c r="R411" i="5"/>
  <c r="R412" i="5"/>
  <c r="R413" i="5"/>
  <c r="R414" i="5"/>
  <c r="R415" i="5"/>
  <c r="R416" i="5"/>
  <c r="R417" i="5"/>
  <c r="R418" i="5"/>
  <c r="R419" i="5"/>
  <c r="R420" i="5"/>
  <c r="R421" i="5"/>
  <c r="R422" i="5"/>
  <c r="R423" i="5"/>
  <c r="R424" i="5"/>
  <c r="R425" i="5"/>
  <c r="R426" i="5"/>
  <c r="R427" i="5"/>
  <c r="R428" i="5"/>
  <c r="R429" i="5"/>
  <c r="R430" i="5"/>
  <c r="R431" i="5"/>
  <c r="R432" i="5"/>
  <c r="R433" i="5"/>
  <c r="R434" i="5"/>
  <c r="R435" i="5"/>
  <c r="R436" i="5"/>
  <c r="R437" i="5"/>
  <c r="R438" i="5"/>
  <c r="R439" i="5"/>
  <c r="R440" i="5"/>
  <c r="R441" i="5"/>
  <c r="R442" i="5"/>
  <c r="R443" i="5"/>
  <c r="R444" i="5"/>
  <c r="R445" i="5"/>
  <c r="R446" i="5"/>
  <c r="R447" i="5"/>
  <c r="R448" i="5"/>
  <c r="R449" i="5"/>
  <c r="R450" i="5"/>
  <c r="R451" i="5"/>
  <c r="R452" i="5"/>
  <c r="R453" i="5"/>
  <c r="R454" i="5"/>
  <c r="R455" i="5"/>
  <c r="R456" i="5"/>
  <c r="R457" i="5"/>
  <c r="R458" i="5"/>
  <c r="R459" i="5"/>
  <c r="R460" i="5"/>
  <c r="R461" i="5"/>
  <c r="R462" i="5"/>
  <c r="R463" i="5"/>
  <c r="R464" i="5"/>
  <c r="R465" i="5"/>
  <c r="R466" i="5"/>
  <c r="R467" i="5"/>
  <c r="R468" i="5"/>
  <c r="R469" i="5"/>
  <c r="R470" i="5"/>
  <c r="R471" i="5"/>
  <c r="R472" i="5"/>
  <c r="R473" i="5"/>
  <c r="R474" i="5"/>
  <c r="R475" i="5"/>
  <c r="R476" i="5"/>
  <c r="R477" i="5"/>
  <c r="R478" i="5"/>
  <c r="R479" i="5"/>
  <c r="R480" i="5"/>
  <c r="R481" i="5"/>
  <c r="R482" i="5"/>
  <c r="R483" i="5"/>
  <c r="R484" i="5"/>
  <c r="R485" i="5"/>
  <c r="R486" i="5"/>
  <c r="R487" i="5"/>
  <c r="R488" i="5"/>
  <c r="R489" i="5"/>
  <c r="R490" i="5"/>
  <c r="R491" i="5"/>
  <c r="R492" i="5"/>
  <c r="R493" i="5"/>
  <c r="R494" i="5"/>
  <c r="R495" i="5"/>
  <c r="R496" i="5"/>
  <c r="R497" i="5"/>
  <c r="R498" i="5"/>
  <c r="R499" i="5"/>
  <c r="R500" i="5"/>
  <c r="R501" i="5"/>
  <c r="R502" i="5"/>
  <c r="R503" i="5"/>
  <c r="R504" i="5"/>
  <c r="R505" i="5"/>
  <c r="R506" i="5"/>
  <c r="R507" i="5"/>
  <c r="R508" i="5"/>
  <c r="R509" i="5"/>
  <c r="R510" i="5"/>
  <c r="R511" i="5"/>
  <c r="R512" i="5"/>
  <c r="R513" i="5"/>
  <c r="R514" i="5"/>
  <c r="R515" i="5"/>
  <c r="R516" i="5"/>
  <c r="R517" i="5"/>
  <c r="R518" i="5"/>
  <c r="R519" i="5"/>
  <c r="R520" i="5"/>
  <c r="R521" i="5"/>
  <c r="R522" i="5"/>
  <c r="R523" i="5"/>
  <c r="R524" i="5"/>
  <c r="R525" i="5"/>
  <c r="R526" i="5"/>
  <c r="R527" i="5"/>
  <c r="R528" i="5"/>
  <c r="R529" i="5"/>
  <c r="R530" i="5"/>
  <c r="R531" i="5"/>
  <c r="R532" i="5"/>
  <c r="R533" i="5"/>
  <c r="R534" i="5"/>
  <c r="R535" i="5"/>
  <c r="R536" i="5"/>
  <c r="R537" i="5"/>
  <c r="R538" i="5"/>
  <c r="R539" i="5"/>
  <c r="R540" i="5"/>
  <c r="R541" i="5"/>
  <c r="R542" i="5"/>
  <c r="R543" i="5"/>
  <c r="R544" i="5"/>
  <c r="R545" i="5"/>
  <c r="R546" i="5"/>
  <c r="R547" i="5"/>
  <c r="R548" i="5"/>
  <c r="R549" i="5"/>
  <c r="R550" i="5"/>
  <c r="R551" i="5"/>
  <c r="R552" i="5"/>
  <c r="R553" i="5"/>
  <c r="R554" i="5"/>
  <c r="R555" i="5"/>
  <c r="R556" i="5"/>
  <c r="R557" i="5"/>
  <c r="R558" i="5"/>
  <c r="R559" i="5"/>
  <c r="R560" i="5"/>
  <c r="R561" i="5"/>
  <c r="R562" i="5"/>
  <c r="R563" i="5"/>
  <c r="R564" i="5"/>
  <c r="R565" i="5"/>
  <c r="R566" i="5"/>
  <c r="R567" i="5"/>
  <c r="R568" i="5"/>
  <c r="R569" i="5"/>
  <c r="R570" i="5"/>
  <c r="R571" i="5"/>
  <c r="R572" i="5"/>
  <c r="R573" i="5"/>
  <c r="R574" i="5"/>
  <c r="R575" i="5"/>
  <c r="R576" i="5"/>
  <c r="R577" i="5"/>
  <c r="R578" i="5"/>
  <c r="R579" i="5"/>
  <c r="R580" i="5"/>
  <c r="R581" i="5"/>
  <c r="R582" i="5"/>
  <c r="R583" i="5"/>
  <c r="R584" i="5"/>
  <c r="R585" i="5"/>
  <c r="R586" i="5"/>
  <c r="R587" i="5"/>
  <c r="R588" i="5"/>
  <c r="R589" i="5"/>
  <c r="R590" i="5"/>
  <c r="R591" i="5"/>
  <c r="R592" i="5"/>
  <c r="R593" i="5"/>
  <c r="R594" i="5"/>
  <c r="R595" i="5"/>
  <c r="R596" i="5"/>
  <c r="R597" i="5"/>
  <c r="R598" i="5"/>
  <c r="R599" i="5"/>
  <c r="R600" i="5"/>
  <c r="R601" i="5"/>
  <c r="R602" i="5"/>
  <c r="R603" i="5"/>
  <c r="R604" i="5"/>
  <c r="R605" i="5"/>
  <c r="R606" i="5"/>
  <c r="R607" i="5"/>
  <c r="R608" i="5"/>
  <c r="R609" i="5"/>
  <c r="R610" i="5"/>
  <c r="R611" i="5"/>
  <c r="R612" i="5"/>
  <c r="R613" i="5"/>
  <c r="R614" i="5"/>
  <c r="R615" i="5"/>
  <c r="R616" i="5"/>
  <c r="R617" i="5"/>
  <c r="R618" i="5"/>
  <c r="R619" i="5"/>
  <c r="R620" i="5"/>
  <c r="R621" i="5"/>
  <c r="R622" i="5"/>
  <c r="R623" i="5"/>
  <c r="R624" i="5"/>
  <c r="R625" i="5"/>
  <c r="R626" i="5"/>
  <c r="R627" i="5"/>
  <c r="R628" i="5"/>
  <c r="R629" i="5"/>
  <c r="R630" i="5"/>
  <c r="R631" i="5"/>
  <c r="R632" i="5"/>
  <c r="R633" i="5"/>
  <c r="R634" i="5"/>
  <c r="R635" i="5"/>
  <c r="R636" i="5"/>
  <c r="R637" i="5"/>
  <c r="R638" i="5"/>
  <c r="R639" i="5"/>
  <c r="R640" i="5"/>
  <c r="R641" i="5"/>
  <c r="R642" i="5"/>
  <c r="R643" i="5"/>
  <c r="R644" i="5"/>
  <c r="R645" i="5"/>
  <c r="R646" i="5"/>
  <c r="R647" i="5"/>
  <c r="R648" i="5"/>
  <c r="R649" i="5"/>
  <c r="R650" i="5"/>
  <c r="R651" i="5"/>
  <c r="R652" i="5"/>
  <c r="R653" i="5"/>
  <c r="R654" i="5"/>
  <c r="R655" i="5"/>
  <c r="R656" i="5"/>
  <c r="R657" i="5"/>
  <c r="R658" i="5"/>
  <c r="R659" i="5"/>
  <c r="R660" i="5"/>
  <c r="R661" i="5"/>
  <c r="R662" i="5"/>
  <c r="R663" i="5"/>
  <c r="R664" i="5"/>
  <c r="R665" i="5"/>
  <c r="R666" i="5"/>
  <c r="R667" i="5"/>
  <c r="R668" i="5"/>
  <c r="R669" i="5"/>
  <c r="R670" i="5"/>
  <c r="R671" i="5"/>
  <c r="R672" i="5"/>
  <c r="R673" i="5"/>
  <c r="R674" i="5"/>
  <c r="R675" i="5"/>
  <c r="R676" i="5"/>
  <c r="R677" i="5"/>
  <c r="R678" i="5"/>
  <c r="R679" i="5"/>
  <c r="R680" i="5"/>
  <c r="R681" i="5"/>
  <c r="R682" i="5"/>
  <c r="R683" i="5"/>
  <c r="R684" i="5"/>
  <c r="R685" i="5"/>
  <c r="R686" i="5"/>
  <c r="R687" i="5"/>
  <c r="R688" i="5"/>
  <c r="R689" i="5"/>
  <c r="R690" i="5"/>
  <c r="R691" i="5"/>
  <c r="R692" i="5"/>
  <c r="R693" i="5"/>
  <c r="R694" i="5"/>
  <c r="R695" i="5"/>
  <c r="R696" i="5"/>
  <c r="R697" i="5"/>
  <c r="R698" i="5"/>
  <c r="S4" i="5"/>
  <c r="S5" i="5"/>
  <c r="S6" i="5"/>
  <c r="S7" i="5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S39" i="5"/>
  <c r="S40" i="5"/>
  <c r="S41" i="5"/>
  <c r="S42" i="5"/>
  <c r="S43" i="5"/>
  <c r="S44" i="5"/>
  <c r="S45" i="5"/>
  <c r="S46" i="5"/>
  <c r="S47" i="5"/>
  <c r="S48" i="5"/>
  <c r="S49" i="5"/>
  <c r="S50" i="5"/>
  <c r="S51" i="5"/>
  <c r="S52" i="5"/>
  <c r="S53" i="5"/>
  <c r="S54" i="5"/>
  <c r="S55" i="5"/>
  <c r="S56" i="5"/>
  <c r="S57" i="5"/>
  <c r="S58" i="5"/>
  <c r="S59" i="5"/>
  <c r="S60" i="5"/>
  <c r="S61" i="5"/>
  <c r="S62" i="5"/>
  <c r="S63" i="5"/>
  <c r="S64" i="5"/>
  <c r="S65" i="5"/>
  <c r="S66" i="5"/>
  <c r="S67" i="5"/>
  <c r="S68" i="5"/>
  <c r="S69" i="5"/>
  <c r="S70" i="5"/>
  <c r="S71" i="5"/>
  <c r="S72" i="5"/>
  <c r="S73" i="5"/>
  <c r="S74" i="5"/>
  <c r="S75" i="5"/>
  <c r="S76" i="5"/>
  <c r="S77" i="5"/>
  <c r="S78" i="5"/>
  <c r="S79" i="5"/>
  <c r="S80" i="5"/>
  <c r="S81" i="5"/>
  <c r="S82" i="5"/>
  <c r="S83" i="5"/>
  <c r="S84" i="5"/>
  <c r="S85" i="5"/>
  <c r="S86" i="5"/>
  <c r="S87" i="5"/>
  <c r="S88" i="5"/>
  <c r="S89" i="5"/>
  <c r="S90" i="5"/>
  <c r="S91" i="5"/>
  <c r="S92" i="5"/>
  <c r="S93" i="5"/>
  <c r="S94" i="5"/>
  <c r="S95" i="5"/>
  <c r="S96" i="5"/>
  <c r="S97" i="5"/>
  <c r="S98" i="5"/>
  <c r="S99" i="5"/>
  <c r="S100" i="5"/>
  <c r="S101" i="5"/>
  <c r="S102" i="5"/>
  <c r="S103" i="5"/>
  <c r="S104" i="5"/>
  <c r="S105" i="5"/>
  <c r="S106" i="5"/>
  <c r="S107" i="5"/>
  <c r="S108" i="5"/>
  <c r="S109" i="5"/>
  <c r="S110" i="5"/>
  <c r="S111" i="5"/>
  <c r="S112" i="5"/>
  <c r="S113" i="5"/>
  <c r="S114" i="5"/>
  <c r="S115" i="5"/>
  <c r="S116" i="5"/>
  <c r="S117" i="5"/>
  <c r="S118" i="5"/>
  <c r="S119" i="5"/>
  <c r="S120" i="5"/>
  <c r="S121" i="5"/>
  <c r="S122" i="5"/>
  <c r="S123" i="5"/>
  <c r="S124" i="5"/>
  <c r="S125" i="5"/>
  <c r="S126" i="5"/>
  <c r="S127" i="5"/>
  <c r="S128" i="5"/>
  <c r="S129" i="5"/>
  <c r="S130" i="5"/>
  <c r="S131" i="5"/>
  <c r="S132" i="5"/>
  <c r="S133" i="5"/>
  <c r="S134" i="5"/>
  <c r="S135" i="5"/>
  <c r="S136" i="5"/>
  <c r="S137" i="5"/>
  <c r="S138" i="5"/>
  <c r="S139" i="5"/>
  <c r="S140" i="5"/>
  <c r="S141" i="5"/>
  <c r="S142" i="5"/>
  <c r="S143" i="5"/>
  <c r="S144" i="5"/>
  <c r="S145" i="5"/>
  <c r="S146" i="5"/>
  <c r="S147" i="5"/>
  <c r="S148" i="5"/>
  <c r="S149" i="5"/>
  <c r="S150" i="5"/>
  <c r="S151" i="5"/>
  <c r="S152" i="5"/>
  <c r="S153" i="5"/>
  <c r="S154" i="5"/>
  <c r="S155" i="5"/>
  <c r="S156" i="5"/>
  <c r="S157" i="5"/>
  <c r="S158" i="5"/>
  <c r="S159" i="5"/>
  <c r="S160" i="5"/>
  <c r="S161" i="5"/>
  <c r="S162" i="5"/>
  <c r="S163" i="5"/>
  <c r="S164" i="5"/>
  <c r="S165" i="5"/>
  <c r="S166" i="5"/>
  <c r="S167" i="5"/>
  <c r="S168" i="5"/>
  <c r="S169" i="5"/>
  <c r="S170" i="5"/>
  <c r="S171" i="5"/>
  <c r="S172" i="5"/>
  <c r="S173" i="5"/>
  <c r="S174" i="5"/>
  <c r="S175" i="5"/>
  <c r="S176" i="5"/>
  <c r="S177" i="5"/>
  <c r="S178" i="5"/>
  <c r="S179" i="5"/>
  <c r="S180" i="5"/>
  <c r="S181" i="5"/>
  <c r="S182" i="5"/>
  <c r="S183" i="5"/>
  <c r="S184" i="5"/>
  <c r="S185" i="5"/>
  <c r="S186" i="5"/>
  <c r="S187" i="5"/>
  <c r="S188" i="5"/>
  <c r="S189" i="5"/>
  <c r="S190" i="5"/>
  <c r="S191" i="5"/>
  <c r="S192" i="5"/>
  <c r="S193" i="5"/>
  <c r="S194" i="5"/>
  <c r="S195" i="5"/>
  <c r="S196" i="5"/>
  <c r="S197" i="5"/>
  <c r="S198" i="5"/>
  <c r="S199" i="5"/>
  <c r="S200" i="5"/>
  <c r="S201" i="5"/>
  <c r="S202" i="5"/>
  <c r="S203" i="5"/>
  <c r="S204" i="5"/>
  <c r="S205" i="5"/>
  <c r="S206" i="5"/>
  <c r="S207" i="5"/>
  <c r="S208" i="5"/>
  <c r="S209" i="5"/>
  <c r="S210" i="5"/>
  <c r="S211" i="5"/>
  <c r="S212" i="5"/>
  <c r="S213" i="5"/>
  <c r="S214" i="5"/>
  <c r="S215" i="5"/>
  <c r="S216" i="5"/>
  <c r="S217" i="5"/>
  <c r="S218" i="5"/>
  <c r="S219" i="5"/>
  <c r="S220" i="5"/>
  <c r="S221" i="5"/>
  <c r="S222" i="5"/>
  <c r="S223" i="5"/>
  <c r="S224" i="5"/>
  <c r="S225" i="5"/>
  <c r="S226" i="5"/>
  <c r="S227" i="5"/>
  <c r="S228" i="5"/>
  <c r="S229" i="5"/>
  <c r="S230" i="5"/>
  <c r="S231" i="5"/>
  <c r="S232" i="5"/>
  <c r="S233" i="5"/>
  <c r="S234" i="5"/>
  <c r="S235" i="5"/>
  <c r="S236" i="5"/>
  <c r="S237" i="5"/>
  <c r="S238" i="5"/>
  <c r="S239" i="5"/>
  <c r="S240" i="5"/>
  <c r="S241" i="5"/>
  <c r="S242" i="5"/>
  <c r="S243" i="5"/>
  <c r="S244" i="5"/>
  <c r="S245" i="5"/>
  <c r="S246" i="5"/>
  <c r="S247" i="5"/>
  <c r="S248" i="5"/>
  <c r="S249" i="5"/>
  <c r="S250" i="5"/>
  <c r="S251" i="5"/>
  <c r="S252" i="5"/>
  <c r="S253" i="5"/>
  <c r="S254" i="5"/>
  <c r="S255" i="5"/>
  <c r="S256" i="5"/>
  <c r="S257" i="5"/>
  <c r="S258" i="5"/>
  <c r="S259" i="5"/>
  <c r="S260" i="5"/>
  <c r="S261" i="5"/>
  <c r="R4" i="5"/>
  <c r="R5" i="5"/>
  <c r="R6" i="5"/>
  <c r="R7" i="5"/>
  <c r="R8" i="5"/>
  <c r="R9" i="5"/>
  <c r="R10" i="5"/>
  <c r="R11" i="5"/>
  <c r="R12" i="5"/>
  <c r="R13" i="5"/>
  <c r="R14" i="5"/>
  <c r="R15" i="5"/>
  <c r="R16" i="5"/>
  <c r="R17" i="5"/>
  <c r="R18" i="5"/>
  <c r="R19" i="5"/>
  <c r="R20" i="5"/>
  <c r="R21" i="5"/>
  <c r="R22" i="5"/>
  <c r="R23" i="5"/>
  <c r="R24" i="5"/>
  <c r="R25" i="5"/>
  <c r="R26" i="5"/>
  <c r="R27" i="5"/>
  <c r="R28" i="5"/>
  <c r="R29" i="5"/>
  <c r="R30" i="5"/>
  <c r="R31" i="5"/>
  <c r="R32" i="5"/>
  <c r="R33" i="5"/>
  <c r="R34" i="5"/>
  <c r="R35" i="5"/>
  <c r="R36" i="5"/>
  <c r="R37" i="5"/>
  <c r="R38" i="5"/>
  <c r="R39" i="5"/>
  <c r="R40" i="5"/>
  <c r="R41" i="5"/>
  <c r="R42" i="5"/>
  <c r="R43" i="5"/>
  <c r="R44" i="5"/>
  <c r="R45" i="5"/>
  <c r="R46" i="5"/>
  <c r="R47" i="5"/>
  <c r="R48" i="5"/>
  <c r="R49" i="5"/>
  <c r="R50" i="5"/>
  <c r="R51" i="5"/>
  <c r="R52" i="5"/>
  <c r="R53" i="5"/>
  <c r="R54" i="5"/>
  <c r="R55" i="5"/>
  <c r="R56" i="5"/>
  <c r="R57" i="5"/>
  <c r="R58" i="5"/>
  <c r="R59" i="5"/>
  <c r="R60" i="5"/>
  <c r="R61" i="5"/>
  <c r="R62" i="5"/>
  <c r="R63" i="5"/>
  <c r="R64" i="5"/>
  <c r="R65" i="5"/>
  <c r="R66" i="5"/>
  <c r="R67" i="5"/>
  <c r="R68" i="5"/>
  <c r="R69" i="5"/>
  <c r="R70" i="5"/>
  <c r="R71" i="5"/>
  <c r="R72" i="5"/>
  <c r="R73" i="5"/>
  <c r="R74" i="5"/>
  <c r="R75" i="5"/>
  <c r="R76" i="5"/>
  <c r="R77" i="5"/>
  <c r="R78" i="5"/>
  <c r="R79" i="5"/>
  <c r="R80" i="5"/>
  <c r="R81" i="5"/>
  <c r="R82" i="5"/>
  <c r="R83" i="5"/>
  <c r="R84" i="5"/>
  <c r="R85" i="5"/>
  <c r="R86" i="5"/>
  <c r="R87" i="5"/>
  <c r="R88" i="5"/>
  <c r="R89" i="5"/>
  <c r="R90" i="5"/>
  <c r="R91" i="5"/>
  <c r="R92" i="5"/>
  <c r="R93" i="5"/>
  <c r="R94" i="5"/>
  <c r="R95" i="5"/>
  <c r="R96" i="5"/>
  <c r="R97" i="5"/>
  <c r="R98" i="5"/>
  <c r="R99" i="5"/>
  <c r="R100" i="5"/>
  <c r="R101" i="5"/>
  <c r="R102" i="5"/>
  <c r="R103" i="5"/>
  <c r="R104" i="5"/>
  <c r="R105" i="5"/>
  <c r="R106" i="5"/>
  <c r="R107" i="5"/>
  <c r="R108" i="5"/>
  <c r="R109" i="5"/>
  <c r="R110" i="5"/>
  <c r="R111" i="5"/>
  <c r="R112" i="5"/>
  <c r="R113" i="5"/>
  <c r="R114" i="5"/>
  <c r="R115" i="5"/>
  <c r="R116" i="5"/>
  <c r="R117" i="5"/>
  <c r="R118" i="5"/>
  <c r="R119" i="5"/>
  <c r="R120" i="5"/>
  <c r="R121" i="5"/>
  <c r="R122" i="5"/>
  <c r="R123" i="5"/>
  <c r="R124" i="5"/>
  <c r="R125" i="5"/>
  <c r="R126" i="5"/>
  <c r="R127" i="5"/>
  <c r="R128" i="5"/>
  <c r="R129" i="5"/>
  <c r="R130" i="5"/>
  <c r="R131" i="5"/>
  <c r="R132" i="5"/>
  <c r="R133" i="5"/>
  <c r="R134" i="5"/>
  <c r="R135" i="5"/>
  <c r="R136" i="5"/>
  <c r="R137" i="5"/>
  <c r="R138" i="5"/>
  <c r="R139" i="5"/>
  <c r="R140" i="5"/>
  <c r="R141" i="5"/>
  <c r="R142" i="5"/>
  <c r="R143" i="5"/>
  <c r="R144" i="5"/>
  <c r="R145" i="5"/>
  <c r="R146" i="5"/>
  <c r="R147" i="5"/>
  <c r="R148" i="5"/>
  <c r="R149" i="5"/>
  <c r="R150" i="5"/>
  <c r="R151" i="5"/>
  <c r="R152" i="5"/>
  <c r="R153" i="5"/>
  <c r="R154" i="5"/>
  <c r="R155" i="5"/>
  <c r="R156" i="5"/>
  <c r="R157" i="5"/>
  <c r="R158" i="5"/>
  <c r="R159" i="5"/>
  <c r="R160" i="5"/>
  <c r="R161" i="5"/>
  <c r="R162" i="5"/>
  <c r="R163" i="5"/>
  <c r="R164" i="5"/>
  <c r="R165" i="5"/>
  <c r="R166" i="5"/>
  <c r="R167" i="5"/>
  <c r="R168" i="5"/>
  <c r="R169" i="5"/>
  <c r="R170" i="5"/>
  <c r="R171" i="5"/>
  <c r="R172" i="5"/>
  <c r="R173" i="5"/>
  <c r="R174" i="5"/>
  <c r="R175" i="5"/>
  <c r="R176" i="5"/>
  <c r="R177" i="5"/>
  <c r="R178" i="5"/>
  <c r="R179" i="5"/>
  <c r="R180" i="5"/>
  <c r="R181" i="5"/>
  <c r="R182" i="5"/>
  <c r="R183" i="5"/>
  <c r="R184" i="5"/>
  <c r="R185" i="5"/>
  <c r="R186" i="5"/>
  <c r="R187" i="5"/>
  <c r="R188" i="5"/>
  <c r="R189" i="5"/>
  <c r="R190" i="5"/>
  <c r="R191" i="5"/>
  <c r="R192" i="5"/>
  <c r="R193" i="5"/>
  <c r="R194" i="5"/>
  <c r="R195" i="5"/>
  <c r="R196" i="5"/>
  <c r="R197" i="5"/>
  <c r="R198" i="5"/>
  <c r="R199" i="5"/>
  <c r="R200" i="5"/>
  <c r="R201" i="5"/>
  <c r="R202" i="5"/>
  <c r="R203" i="5"/>
  <c r="R204" i="5"/>
  <c r="R205" i="5"/>
  <c r="R206" i="5"/>
  <c r="R207" i="5"/>
  <c r="R208" i="5"/>
  <c r="R209" i="5"/>
  <c r="R210" i="5"/>
  <c r="R211" i="5"/>
  <c r="R212" i="5"/>
  <c r="R213" i="5"/>
  <c r="R214" i="5"/>
  <c r="R215" i="5"/>
  <c r="R216" i="5"/>
  <c r="R217" i="5"/>
  <c r="R218" i="5"/>
  <c r="R219" i="5"/>
  <c r="R220" i="5"/>
  <c r="R221" i="5"/>
  <c r="R222" i="5"/>
  <c r="R223" i="5"/>
  <c r="R224" i="5"/>
  <c r="R225" i="5"/>
  <c r="R226" i="5"/>
  <c r="R227" i="5"/>
  <c r="R228" i="5"/>
  <c r="R229" i="5"/>
  <c r="R230" i="5"/>
  <c r="R231" i="5"/>
  <c r="R232" i="5"/>
  <c r="R233" i="5"/>
  <c r="R234" i="5"/>
  <c r="R235" i="5"/>
  <c r="R236" i="5"/>
  <c r="R237" i="5"/>
  <c r="P4" i="5"/>
  <c r="T4" i="5" s="1"/>
  <c r="P5" i="5"/>
  <c r="T5" i="5" s="1"/>
  <c r="P6" i="5"/>
  <c r="T6" i="5" s="1"/>
  <c r="P7" i="5"/>
  <c r="T7" i="5" s="1"/>
  <c r="P8" i="5"/>
  <c r="T8" i="5" s="1"/>
  <c r="P9" i="5"/>
  <c r="T9" i="5" s="1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3" i="5"/>
  <c r="P154" i="5"/>
  <c r="P155" i="5"/>
  <c r="P156" i="5"/>
  <c r="P157" i="5"/>
  <c r="P158" i="5"/>
  <c r="P159" i="5"/>
  <c r="P160" i="5"/>
  <c r="P161" i="5"/>
  <c r="P162" i="5"/>
  <c r="P163" i="5"/>
  <c r="P164" i="5"/>
  <c r="P165" i="5"/>
  <c r="P166" i="5"/>
  <c r="P167" i="5"/>
  <c r="P168" i="5"/>
  <c r="P169" i="5"/>
  <c r="P170" i="5"/>
  <c r="P171" i="5"/>
  <c r="P172" i="5"/>
  <c r="P173" i="5"/>
  <c r="P174" i="5"/>
  <c r="P175" i="5"/>
  <c r="P176" i="5"/>
  <c r="P177" i="5"/>
  <c r="P178" i="5"/>
  <c r="P179" i="5"/>
  <c r="P180" i="5"/>
  <c r="P181" i="5"/>
  <c r="P182" i="5"/>
  <c r="P183" i="5"/>
  <c r="P184" i="5"/>
  <c r="P185" i="5"/>
  <c r="P186" i="5"/>
  <c r="P187" i="5"/>
  <c r="P188" i="5"/>
  <c r="P189" i="5"/>
  <c r="P190" i="5"/>
  <c r="P191" i="5"/>
  <c r="P192" i="5"/>
  <c r="P193" i="5"/>
  <c r="P194" i="5"/>
  <c r="P195" i="5"/>
  <c r="P196" i="5"/>
  <c r="P197" i="5"/>
  <c r="P198" i="5"/>
  <c r="P199" i="5"/>
  <c r="P200" i="5"/>
  <c r="P201" i="5"/>
  <c r="P202" i="5"/>
  <c r="P203" i="5"/>
  <c r="P204" i="5"/>
  <c r="P205" i="5"/>
  <c r="P206" i="5"/>
  <c r="P207" i="5"/>
  <c r="P208" i="5"/>
  <c r="P209" i="5"/>
  <c r="P210" i="5"/>
  <c r="P211" i="5"/>
  <c r="P212" i="5"/>
  <c r="P213" i="5"/>
  <c r="P214" i="5"/>
  <c r="P215" i="5"/>
  <c r="P216" i="5"/>
  <c r="P217" i="5"/>
  <c r="P218" i="5"/>
  <c r="P219" i="5"/>
  <c r="P220" i="5"/>
  <c r="P221" i="5"/>
  <c r="P222" i="5"/>
  <c r="P223" i="5"/>
  <c r="P224" i="5"/>
  <c r="P225" i="5"/>
  <c r="P226" i="5"/>
  <c r="P227" i="5"/>
  <c r="P228" i="5"/>
  <c r="P229" i="5"/>
  <c r="P230" i="5"/>
  <c r="P231" i="5"/>
  <c r="P232" i="5"/>
  <c r="P233" i="5"/>
  <c r="P234" i="5"/>
  <c r="P235" i="5"/>
  <c r="P236" i="5"/>
  <c r="P237" i="5"/>
  <c r="P238" i="5"/>
  <c r="P239" i="5"/>
  <c r="P240" i="5"/>
  <c r="P241" i="5"/>
  <c r="P242" i="5"/>
  <c r="P243" i="5"/>
  <c r="P244" i="5"/>
  <c r="P245" i="5"/>
  <c r="P246" i="5"/>
  <c r="P247" i="5"/>
  <c r="P248" i="5"/>
  <c r="P249" i="5"/>
  <c r="P250" i="5"/>
  <c r="P251" i="5"/>
  <c r="P252" i="5"/>
  <c r="P253" i="5"/>
  <c r="P254" i="5"/>
  <c r="P255" i="5"/>
  <c r="P256" i="5"/>
  <c r="P257" i="5"/>
  <c r="P258" i="5"/>
  <c r="P259" i="5"/>
  <c r="P260" i="5"/>
  <c r="P261" i="5"/>
  <c r="P262" i="5"/>
  <c r="P263" i="5"/>
  <c r="P264" i="5"/>
  <c r="P265" i="5"/>
  <c r="P266" i="5"/>
  <c r="P267" i="5"/>
  <c r="P268" i="5"/>
  <c r="P269" i="5"/>
  <c r="P270" i="5"/>
  <c r="P271" i="5"/>
  <c r="P272" i="5"/>
  <c r="P273" i="5"/>
  <c r="P274" i="5"/>
  <c r="P275" i="5"/>
  <c r="P276" i="5"/>
  <c r="P277" i="5"/>
  <c r="P278" i="5"/>
  <c r="P279" i="5"/>
  <c r="P280" i="5"/>
  <c r="P281" i="5"/>
  <c r="P282" i="5"/>
  <c r="P283" i="5"/>
  <c r="P284" i="5"/>
  <c r="P285" i="5"/>
  <c r="P286" i="5"/>
  <c r="P287" i="5"/>
  <c r="P288" i="5"/>
  <c r="P289" i="5"/>
  <c r="P290" i="5"/>
  <c r="P291" i="5"/>
  <c r="P292" i="5"/>
  <c r="P293" i="5"/>
  <c r="P294" i="5"/>
  <c r="P295" i="5"/>
  <c r="P296" i="5"/>
  <c r="P297" i="5"/>
  <c r="P298" i="5"/>
  <c r="P299" i="5"/>
  <c r="P300" i="5"/>
  <c r="P301" i="5"/>
  <c r="P302" i="5"/>
  <c r="P303" i="5"/>
  <c r="P304" i="5"/>
  <c r="P305" i="5"/>
  <c r="P306" i="5"/>
  <c r="P307" i="5"/>
  <c r="P308" i="5"/>
  <c r="P309" i="5"/>
  <c r="P310" i="5"/>
  <c r="P311" i="5"/>
  <c r="P312" i="5"/>
  <c r="P313" i="5"/>
  <c r="P314" i="5"/>
  <c r="P315" i="5"/>
  <c r="P316" i="5"/>
  <c r="P317" i="5"/>
  <c r="P318" i="5"/>
  <c r="P319" i="5"/>
  <c r="P320" i="5"/>
  <c r="P321" i="5"/>
  <c r="P322" i="5"/>
  <c r="P323" i="5"/>
  <c r="P324" i="5"/>
  <c r="P325" i="5"/>
  <c r="P326" i="5"/>
  <c r="P327" i="5"/>
  <c r="P328" i="5"/>
  <c r="P329" i="5"/>
  <c r="P330" i="5"/>
  <c r="P331" i="5"/>
  <c r="P332" i="5"/>
  <c r="P333" i="5"/>
  <c r="P334" i="5"/>
  <c r="P335" i="5"/>
  <c r="P336" i="5"/>
  <c r="P337" i="5"/>
  <c r="P338" i="5"/>
  <c r="P339" i="5"/>
  <c r="P340" i="5"/>
  <c r="P341" i="5"/>
  <c r="P342" i="5"/>
  <c r="P343" i="5"/>
  <c r="P344" i="5"/>
  <c r="P345" i="5"/>
  <c r="P346" i="5"/>
  <c r="P347" i="5"/>
  <c r="P348" i="5"/>
  <c r="P349" i="5"/>
  <c r="P350" i="5"/>
  <c r="P351" i="5"/>
  <c r="P352" i="5"/>
  <c r="P353" i="5"/>
  <c r="P354" i="5"/>
  <c r="P355" i="5"/>
  <c r="P356" i="5"/>
  <c r="P357" i="5"/>
  <c r="P358" i="5"/>
  <c r="P359" i="5"/>
  <c r="P360" i="5"/>
  <c r="P361" i="5"/>
  <c r="P362" i="5"/>
  <c r="P363" i="5"/>
  <c r="P364" i="5"/>
  <c r="P365" i="5"/>
  <c r="P366" i="5"/>
  <c r="P367" i="5"/>
  <c r="P368" i="5"/>
  <c r="P369" i="5"/>
  <c r="P370" i="5"/>
  <c r="P371" i="5"/>
  <c r="P372" i="5"/>
  <c r="P373" i="5"/>
  <c r="P374" i="5"/>
  <c r="P375" i="5"/>
  <c r="P376" i="5"/>
  <c r="P377" i="5"/>
  <c r="P378" i="5"/>
  <c r="P379" i="5"/>
  <c r="P380" i="5"/>
  <c r="P381" i="5"/>
  <c r="P382" i="5"/>
  <c r="P383" i="5"/>
  <c r="P384" i="5"/>
  <c r="P385" i="5"/>
  <c r="P386" i="5"/>
  <c r="P387" i="5"/>
  <c r="P388" i="5"/>
  <c r="P389" i="5"/>
  <c r="P390" i="5"/>
  <c r="P391" i="5"/>
  <c r="P392" i="5"/>
  <c r="P393" i="5"/>
  <c r="P394" i="5"/>
  <c r="P395" i="5"/>
  <c r="P396" i="5"/>
  <c r="P397" i="5"/>
  <c r="P398" i="5"/>
  <c r="P399" i="5"/>
  <c r="P400" i="5"/>
  <c r="P401" i="5"/>
  <c r="P402" i="5"/>
  <c r="P403" i="5"/>
  <c r="P404" i="5"/>
  <c r="P405" i="5"/>
  <c r="P406" i="5"/>
  <c r="P407" i="5"/>
  <c r="P408" i="5"/>
  <c r="P409" i="5"/>
  <c r="P410" i="5"/>
  <c r="P411" i="5"/>
  <c r="P412" i="5"/>
  <c r="P413" i="5"/>
  <c r="P414" i="5"/>
  <c r="P415" i="5"/>
  <c r="P416" i="5"/>
  <c r="P417" i="5"/>
  <c r="P418" i="5"/>
  <c r="P419" i="5"/>
  <c r="P420" i="5"/>
  <c r="P421" i="5"/>
  <c r="P422" i="5"/>
  <c r="P423" i="5"/>
  <c r="P424" i="5"/>
  <c r="P425" i="5"/>
  <c r="P426" i="5"/>
  <c r="P427" i="5"/>
  <c r="P428" i="5"/>
  <c r="P429" i="5"/>
  <c r="P430" i="5"/>
  <c r="P431" i="5"/>
  <c r="P432" i="5"/>
  <c r="P433" i="5"/>
  <c r="P434" i="5"/>
  <c r="P435" i="5"/>
  <c r="P436" i="5"/>
  <c r="P437" i="5"/>
  <c r="P438" i="5"/>
  <c r="P439" i="5"/>
  <c r="P440" i="5"/>
  <c r="P441" i="5"/>
  <c r="P442" i="5"/>
  <c r="P443" i="5"/>
  <c r="P444" i="5"/>
  <c r="P445" i="5"/>
  <c r="P446" i="5"/>
  <c r="P447" i="5"/>
  <c r="P448" i="5"/>
  <c r="P449" i="5"/>
  <c r="P450" i="5"/>
  <c r="P451" i="5"/>
  <c r="P452" i="5"/>
  <c r="P453" i="5"/>
  <c r="P454" i="5"/>
  <c r="P455" i="5"/>
  <c r="P456" i="5"/>
  <c r="P457" i="5"/>
  <c r="P458" i="5"/>
  <c r="P459" i="5"/>
  <c r="P460" i="5"/>
  <c r="P461" i="5"/>
  <c r="P462" i="5"/>
  <c r="P463" i="5"/>
  <c r="P464" i="5"/>
  <c r="P465" i="5"/>
  <c r="P466" i="5"/>
  <c r="P467" i="5"/>
  <c r="P468" i="5"/>
  <c r="P469" i="5"/>
  <c r="P470" i="5"/>
  <c r="P471" i="5"/>
  <c r="P472" i="5"/>
  <c r="P473" i="5"/>
  <c r="P474" i="5"/>
  <c r="P475" i="5"/>
  <c r="P476" i="5"/>
  <c r="P477" i="5"/>
  <c r="P478" i="5"/>
  <c r="P479" i="5"/>
  <c r="P480" i="5"/>
  <c r="P481" i="5"/>
  <c r="P482" i="5"/>
  <c r="P483" i="5"/>
  <c r="P484" i="5"/>
  <c r="P485" i="5"/>
  <c r="P486" i="5"/>
  <c r="P487" i="5"/>
  <c r="P488" i="5"/>
  <c r="P489" i="5"/>
  <c r="P490" i="5"/>
  <c r="P491" i="5"/>
  <c r="P492" i="5"/>
  <c r="P493" i="5"/>
  <c r="P494" i="5"/>
  <c r="P495" i="5"/>
  <c r="P496" i="5"/>
  <c r="P497" i="5"/>
  <c r="P498" i="5"/>
  <c r="P499" i="5"/>
  <c r="P500" i="5"/>
  <c r="P501" i="5"/>
  <c r="P502" i="5"/>
  <c r="P503" i="5"/>
  <c r="P504" i="5"/>
  <c r="P505" i="5"/>
  <c r="P506" i="5"/>
  <c r="P507" i="5"/>
  <c r="P508" i="5"/>
  <c r="P509" i="5"/>
  <c r="P510" i="5"/>
  <c r="P511" i="5"/>
  <c r="P512" i="5"/>
  <c r="P513" i="5"/>
  <c r="P514" i="5"/>
  <c r="P515" i="5"/>
  <c r="P516" i="5"/>
  <c r="P517" i="5"/>
  <c r="P518" i="5"/>
  <c r="P519" i="5"/>
  <c r="P520" i="5"/>
  <c r="P521" i="5"/>
  <c r="P522" i="5"/>
  <c r="P523" i="5"/>
  <c r="P524" i="5"/>
  <c r="P525" i="5"/>
  <c r="P526" i="5"/>
  <c r="P527" i="5"/>
  <c r="P528" i="5"/>
  <c r="P529" i="5"/>
  <c r="P530" i="5"/>
  <c r="P531" i="5"/>
  <c r="P532" i="5"/>
  <c r="P533" i="5"/>
  <c r="P534" i="5"/>
  <c r="P535" i="5"/>
  <c r="P536" i="5"/>
  <c r="P537" i="5"/>
  <c r="P538" i="5"/>
  <c r="P539" i="5"/>
  <c r="P540" i="5"/>
  <c r="P541" i="5"/>
  <c r="P542" i="5"/>
  <c r="P543" i="5"/>
  <c r="P544" i="5"/>
  <c r="P545" i="5"/>
  <c r="P546" i="5"/>
  <c r="P547" i="5"/>
  <c r="P548" i="5"/>
  <c r="P549" i="5"/>
  <c r="P550" i="5"/>
  <c r="P551" i="5"/>
  <c r="P552" i="5"/>
  <c r="P553" i="5"/>
  <c r="P554" i="5"/>
  <c r="P555" i="5"/>
  <c r="P556" i="5"/>
  <c r="P557" i="5"/>
  <c r="P558" i="5"/>
  <c r="P559" i="5"/>
  <c r="P560" i="5"/>
  <c r="P561" i="5"/>
  <c r="P562" i="5"/>
  <c r="P563" i="5"/>
  <c r="P564" i="5"/>
  <c r="P565" i="5"/>
  <c r="P566" i="5"/>
  <c r="P567" i="5"/>
  <c r="P568" i="5"/>
  <c r="P569" i="5"/>
  <c r="P570" i="5"/>
  <c r="P571" i="5"/>
  <c r="P572" i="5"/>
  <c r="P573" i="5"/>
  <c r="P574" i="5"/>
  <c r="P575" i="5"/>
  <c r="P576" i="5"/>
  <c r="P577" i="5"/>
  <c r="P578" i="5"/>
  <c r="P579" i="5"/>
  <c r="P580" i="5"/>
  <c r="P581" i="5"/>
  <c r="P582" i="5"/>
  <c r="P583" i="5"/>
  <c r="P584" i="5"/>
  <c r="P585" i="5"/>
  <c r="P586" i="5"/>
  <c r="P587" i="5"/>
  <c r="P588" i="5"/>
  <c r="P589" i="5"/>
  <c r="P590" i="5"/>
  <c r="P591" i="5"/>
  <c r="P592" i="5"/>
  <c r="P593" i="5"/>
  <c r="P594" i="5"/>
  <c r="P595" i="5"/>
  <c r="P596" i="5"/>
  <c r="P597" i="5"/>
  <c r="P598" i="5"/>
  <c r="P599" i="5"/>
  <c r="P600" i="5"/>
  <c r="P601" i="5"/>
  <c r="P602" i="5"/>
  <c r="P603" i="5"/>
  <c r="P604" i="5"/>
  <c r="P605" i="5"/>
  <c r="P606" i="5"/>
  <c r="P607" i="5"/>
  <c r="P608" i="5"/>
  <c r="P609" i="5"/>
  <c r="P610" i="5"/>
  <c r="P611" i="5"/>
  <c r="P612" i="5"/>
  <c r="P613" i="5"/>
  <c r="P614" i="5"/>
  <c r="P615" i="5"/>
  <c r="P616" i="5"/>
  <c r="P617" i="5"/>
  <c r="P618" i="5"/>
  <c r="P619" i="5"/>
  <c r="P620" i="5"/>
  <c r="P621" i="5"/>
  <c r="P622" i="5"/>
  <c r="P623" i="5"/>
  <c r="P624" i="5"/>
  <c r="P625" i="5"/>
  <c r="P626" i="5"/>
  <c r="P627" i="5"/>
  <c r="P628" i="5"/>
  <c r="P629" i="5"/>
  <c r="P630" i="5"/>
  <c r="P631" i="5"/>
  <c r="P632" i="5"/>
  <c r="P633" i="5"/>
  <c r="P634" i="5"/>
  <c r="P635" i="5"/>
  <c r="P636" i="5"/>
  <c r="P637" i="5"/>
  <c r="P638" i="5"/>
  <c r="P639" i="5"/>
  <c r="P640" i="5"/>
  <c r="P641" i="5"/>
  <c r="P642" i="5"/>
  <c r="P643" i="5"/>
  <c r="P644" i="5"/>
  <c r="P645" i="5"/>
  <c r="P646" i="5"/>
  <c r="P647" i="5"/>
  <c r="P648" i="5"/>
  <c r="P649" i="5"/>
  <c r="P650" i="5"/>
  <c r="P651" i="5"/>
  <c r="P652" i="5"/>
  <c r="P653" i="5"/>
  <c r="P654" i="5"/>
  <c r="P655" i="5"/>
  <c r="P656" i="5"/>
  <c r="P657" i="5"/>
  <c r="P658" i="5"/>
  <c r="P659" i="5"/>
  <c r="P660" i="5"/>
  <c r="P661" i="5"/>
  <c r="P662" i="5"/>
  <c r="P663" i="5"/>
  <c r="P664" i="5"/>
  <c r="P665" i="5"/>
  <c r="P666" i="5"/>
  <c r="P667" i="5"/>
  <c r="P668" i="5"/>
  <c r="P669" i="5"/>
  <c r="P670" i="5"/>
  <c r="P671" i="5"/>
  <c r="P672" i="5"/>
  <c r="P673" i="5"/>
  <c r="P674" i="5"/>
  <c r="P675" i="5"/>
  <c r="P676" i="5"/>
  <c r="P677" i="5"/>
  <c r="P678" i="5"/>
  <c r="P679" i="5"/>
  <c r="P680" i="5"/>
  <c r="P681" i="5"/>
  <c r="P682" i="5"/>
  <c r="P683" i="5"/>
  <c r="P684" i="5"/>
  <c r="P685" i="5"/>
  <c r="P686" i="5"/>
  <c r="P687" i="5"/>
  <c r="P688" i="5"/>
  <c r="P689" i="5"/>
  <c r="P690" i="5"/>
  <c r="P691" i="5"/>
  <c r="P692" i="5"/>
  <c r="P693" i="5"/>
  <c r="P694" i="5"/>
  <c r="P695" i="5"/>
  <c r="P696" i="5"/>
  <c r="P697" i="5"/>
  <c r="P698" i="5"/>
  <c r="P699" i="5"/>
  <c r="P700" i="5"/>
  <c r="P701" i="5"/>
  <c r="P702" i="5"/>
  <c r="P703" i="5"/>
  <c r="P704" i="5"/>
  <c r="P705" i="5"/>
  <c r="P706" i="5"/>
  <c r="P707" i="5"/>
  <c r="P708" i="5"/>
  <c r="P709" i="5"/>
  <c r="P710" i="5"/>
  <c r="P711" i="5"/>
  <c r="P712" i="5"/>
  <c r="P713" i="5"/>
  <c r="P714" i="5"/>
  <c r="P715" i="5"/>
  <c r="P716" i="5"/>
  <c r="P717" i="5"/>
  <c r="P718" i="5"/>
  <c r="P719" i="5"/>
  <c r="P720" i="5"/>
  <c r="P721" i="5"/>
  <c r="P722" i="5"/>
  <c r="P723" i="5"/>
  <c r="P724" i="5"/>
  <c r="P725" i="5"/>
  <c r="P726" i="5"/>
  <c r="P727" i="5"/>
  <c r="P728" i="5"/>
  <c r="P729" i="5"/>
  <c r="P730" i="5"/>
  <c r="P731" i="5"/>
  <c r="P732" i="5"/>
  <c r="P733" i="5"/>
  <c r="P734" i="5"/>
  <c r="P735" i="5"/>
  <c r="P736" i="5"/>
  <c r="P737" i="5"/>
  <c r="P738" i="5"/>
  <c r="P739" i="5"/>
  <c r="P740" i="5"/>
  <c r="P741" i="5"/>
  <c r="P742" i="5"/>
  <c r="P743" i="5"/>
  <c r="P744" i="5"/>
  <c r="P745" i="5"/>
  <c r="P746" i="5"/>
  <c r="P747" i="5"/>
  <c r="P748" i="5"/>
  <c r="P749" i="5"/>
  <c r="P750" i="5"/>
  <c r="P751" i="5"/>
  <c r="P752" i="5"/>
  <c r="P753" i="5"/>
  <c r="P754" i="5"/>
  <c r="P755" i="5"/>
  <c r="P756" i="5"/>
  <c r="P757" i="5"/>
  <c r="P758" i="5"/>
  <c r="P759" i="5"/>
  <c r="P760" i="5"/>
  <c r="P761" i="5"/>
  <c r="P762" i="5"/>
  <c r="P763" i="5"/>
  <c r="P764" i="5"/>
  <c r="P765" i="5"/>
  <c r="P766" i="5"/>
  <c r="P767" i="5"/>
  <c r="P768" i="5"/>
  <c r="P769" i="5"/>
  <c r="P770" i="5"/>
  <c r="P771" i="5"/>
  <c r="P772" i="5"/>
  <c r="P773" i="5"/>
  <c r="P774" i="5"/>
  <c r="P775" i="5"/>
  <c r="P776" i="5"/>
  <c r="P777" i="5"/>
  <c r="P778" i="5"/>
  <c r="P779" i="5"/>
  <c r="P780" i="5"/>
  <c r="P781" i="5"/>
  <c r="P782" i="5"/>
  <c r="P783" i="5"/>
  <c r="P784" i="5"/>
  <c r="P785" i="5"/>
  <c r="P786" i="5"/>
  <c r="P787" i="5"/>
  <c r="P788" i="5"/>
  <c r="P789" i="5"/>
  <c r="P790" i="5"/>
  <c r="P791" i="5"/>
  <c r="P792" i="5"/>
  <c r="P793" i="5"/>
  <c r="P794" i="5"/>
  <c r="P795" i="5"/>
  <c r="P796" i="5"/>
  <c r="P797" i="5"/>
  <c r="P798" i="5"/>
  <c r="P799" i="5"/>
  <c r="P800" i="5"/>
  <c r="P801" i="5"/>
  <c r="P802" i="5"/>
  <c r="P803" i="5"/>
  <c r="P804" i="5"/>
  <c r="P805" i="5"/>
  <c r="P806" i="5"/>
  <c r="P807" i="5"/>
  <c r="P808" i="5"/>
  <c r="P809" i="5"/>
  <c r="P810" i="5"/>
  <c r="P811" i="5"/>
  <c r="P812" i="5"/>
  <c r="P813" i="5"/>
  <c r="P814" i="5"/>
  <c r="P815" i="5"/>
  <c r="P816" i="5"/>
  <c r="P817" i="5"/>
  <c r="P818" i="5"/>
  <c r="P819" i="5"/>
  <c r="P820" i="5"/>
  <c r="P821" i="5"/>
  <c r="P822" i="5"/>
  <c r="P823" i="5"/>
  <c r="P824" i="5"/>
  <c r="P825" i="5"/>
  <c r="P826" i="5"/>
  <c r="P827" i="5"/>
  <c r="P828" i="5"/>
  <c r="P829" i="5"/>
  <c r="P830" i="5"/>
  <c r="P831" i="5"/>
  <c r="P832" i="5"/>
  <c r="P833" i="5"/>
  <c r="P834" i="5"/>
  <c r="P835" i="5"/>
  <c r="P836" i="5"/>
  <c r="P837" i="5"/>
  <c r="P838" i="5"/>
  <c r="P839" i="5"/>
  <c r="P840" i="5"/>
  <c r="P841" i="5"/>
  <c r="P842" i="5"/>
  <c r="P843" i="5"/>
  <c r="P844" i="5"/>
  <c r="P845" i="5"/>
  <c r="P846" i="5"/>
  <c r="P847" i="5"/>
  <c r="P848" i="5"/>
  <c r="P849" i="5"/>
  <c r="P850" i="5"/>
  <c r="P851" i="5"/>
  <c r="P852" i="5"/>
  <c r="P853" i="5"/>
  <c r="P854" i="5"/>
  <c r="P855" i="5"/>
  <c r="P856" i="5"/>
  <c r="P857" i="5"/>
  <c r="P858" i="5"/>
  <c r="P859" i="5"/>
  <c r="P860" i="5"/>
  <c r="P861" i="5"/>
  <c r="P862" i="5"/>
  <c r="P863" i="5"/>
  <c r="P864" i="5"/>
  <c r="P865" i="5"/>
  <c r="P866" i="5"/>
  <c r="P867" i="5"/>
  <c r="P868" i="5"/>
  <c r="P869" i="5"/>
  <c r="P870" i="5"/>
  <c r="P871" i="5"/>
  <c r="P872" i="5"/>
  <c r="P873" i="5"/>
  <c r="P874" i="5"/>
  <c r="P875" i="5"/>
  <c r="P876" i="5"/>
  <c r="P877" i="5"/>
  <c r="P878" i="5"/>
  <c r="P879" i="5"/>
  <c r="P880" i="5"/>
  <c r="P881" i="5"/>
  <c r="P882" i="5"/>
  <c r="P883" i="5"/>
  <c r="P884" i="5"/>
  <c r="P885" i="5"/>
  <c r="P886" i="5"/>
  <c r="P887" i="5"/>
  <c r="P888" i="5"/>
  <c r="P889" i="5"/>
  <c r="P890" i="5"/>
  <c r="P891" i="5"/>
  <c r="P892" i="5"/>
  <c r="P893" i="5"/>
  <c r="P894" i="5"/>
  <c r="P895" i="5"/>
  <c r="P896" i="5"/>
  <c r="P897" i="5"/>
  <c r="P898" i="5"/>
  <c r="P899" i="5"/>
  <c r="P900" i="5"/>
  <c r="P901" i="5"/>
  <c r="P902" i="5"/>
  <c r="P903" i="5"/>
  <c r="P904" i="5"/>
  <c r="P905" i="5"/>
  <c r="P906" i="5"/>
  <c r="P907" i="5"/>
  <c r="P908" i="5"/>
  <c r="P909" i="5"/>
  <c r="P910" i="5"/>
  <c r="P911" i="5"/>
  <c r="P912" i="5"/>
  <c r="P913" i="5"/>
  <c r="P914" i="5"/>
  <c r="P915" i="5"/>
  <c r="P916" i="5"/>
  <c r="P917" i="5"/>
  <c r="P918" i="5"/>
  <c r="P919" i="5"/>
  <c r="P920" i="5"/>
  <c r="P921" i="5"/>
  <c r="P922" i="5"/>
  <c r="P923" i="5"/>
  <c r="P924" i="5"/>
  <c r="P925" i="5"/>
  <c r="P926" i="5"/>
  <c r="P927" i="5"/>
  <c r="P928" i="5"/>
  <c r="P929" i="5"/>
  <c r="P930" i="5"/>
  <c r="P931" i="5"/>
  <c r="P932" i="5"/>
  <c r="P933" i="5"/>
  <c r="P934" i="5"/>
  <c r="P935" i="5"/>
  <c r="P936" i="5"/>
  <c r="P937" i="5"/>
  <c r="P938" i="5"/>
  <c r="P939" i="5"/>
  <c r="P940" i="5"/>
  <c r="P941" i="5"/>
  <c r="P942" i="5"/>
  <c r="P943" i="5"/>
  <c r="P944" i="5"/>
  <c r="P945" i="5"/>
  <c r="P946" i="5"/>
  <c r="P947" i="5"/>
  <c r="P948" i="5"/>
  <c r="P949" i="5"/>
  <c r="P950" i="5"/>
  <c r="P951" i="5"/>
  <c r="P952" i="5"/>
  <c r="P953" i="5"/>
  <c r="P954" i="5"/>
  <c r="P955" i="5"/>
  <c r="P956" i="5"/>
  <c r="P957" i="5"/>
  <c r="P958" i="5"/>
  <c r="P959" i="5"/>
  <c r="P960" i="5"/>
  <c r="P961" i="5"/>
  <c r="P962" i="5"/>
  <c r="P963" i="5"/>
  <c r="P964" i="5"/>
  <c r="P965" i="5"/>
  <c r="P966" i="5"/>
  <c r="P967" i="5"/>
  <c r="P968" i="5"/>
  <c r="P969" i="5"/>
  <c r="P970" i="5"/>
  <c r="P971" i="5"/>
  <c r="P972" i="5"/>
  <c r="P973" i="5"/>
  <c r="P974" i="5"/>
  <c r="P975" i="5"/>
  <c r="P976" i="5"/>
  <c r="P977" i="5"/>
  <c r="P978" i="5"/>
  <c r="P979" i="5"/>
  <c r="P980" i="5"/>
  <c r="P981" i="5"/>
  <c r="P982" i="5"/>
  <c r="P983" i="5"/>
  <c r="P984" i="5"/>
  <c r="P985" i="5"/>
  <c r="P986" i="5"/>
  <c r="P987" i="5"/>
  <c r="P988" i="5"/>
  <c r="P989" i="5"/>
  <c r="P990" i="5"/>
  <c r="P991" i="5"/>
  <c r="P992" i="5"/>
  <c r="P993" i="5"/>
  <c r="P994" i="5"/>
  <c r="P995" i="5"/>
  <c r="P996" i="5"/>
  <c r="P997" i="5"/>
  <c r="P998" i="5"/>
  <c r="P999" i="5"/>
  <c r="P1000" i="5"/>
  <c r="P1001" i="5"/>
  <c r="P1002" i="5"/>
  <c r="P1003" i="5"/>
  <c r="P1004" i="5"/>
  <c r="P1005" i="5"/>
  <c r="P1006" i="5"/>
  <c r="P1007" i="5"/>
  <c r="P1008" i="5"/>
  <c r="P1009" i="5"/>
  <c r="P1010" i="5"/>
  <c r="P1011" i="5"/>
  <c r="P1012" i="5"/>
  <c r="P1013" i="5"/>
  <c r="P1014" i="5"/>
  <c r="P1015" i="5"/>
  <c r="P1016" i="5"/>
  <c r="P1017" i="5"/>
  <c r="P1018" i="5"/>
  <c r="P1019" i="5"/>
  <c r="P1020" i="5"/>
  <c r="P1021" i="5"/>
  <c r="P1022" i="5"/>
  <c r="P1023" i="5"/>
  <c r="P1024" i="5"/>
  <c r="P1025" i="5"/>
  <c r="P1026" i="5"/>
  <c r="P1027" i="5"/>
  <c r="P1028" i="5"/>
  <c r="P1029" i="5"/>
  <c r="P1030" i="5"/>
  <c r="P1031" i="5"/>
  <c r="P1032" i="5"/>
  <c r="P1033" i="5"/>
  <c r="P1034" i="5"/>
  <c r="P1035" i="5"/>
  <c r="P1036" i="5"/>
  <c r="P1037" i="5"/>
  <c r="P1038" i="5"/>
  <c r="P1039" i="5"/>
  <c r="P1040" i="5"/>
  <c r="P1041" i="5"/>
  <c r="P1042" i="5"/>
  <c r="P1043" i="5"/>
  <c r="P1044" i="5"/>
  <c r="P1045" i="5"/>
  <c r="P1046" i="5"/>
  <c r="P1047" i="5"/>
  <c r="P1048" i="5"/>
  <c r="P1049" i="5"/>
  <c r="P1050" i="5"/>
  <c r="P1051" i="5"/>
  <c r="P1052" i="5"/>
  <c r="P1053" i="5"/>
  <c r="P1054" i="5"/>
  <c r="P1055" i="5"/>
  <c r="P1056" i="5"/>
  <c r="P1057" i="5"/>
  <c r="P1058" i="5"/>
  <c r="P1059" i="5"/>
  <c r="P1060" i="5"/>
  <c r="P1061" i="5"/>
  <c r="P1062" i="5"/>
  <c r="P1063" i="5"/>
  <c r="P1064" i="5"/>
  <c r="P1065" i="5"/>
  <c r="P1066" i="5"/>
  <c r="P1067" i="5"/>
  <c r="P1068" i="5"/>
  <c r="P1069" i="5"/>
  <c r="P1070" i="5"/>
  <c r="P1071" i="5"/>
  <c r="P1072" i="5"/>
  <c r="P1073" i="5"/>
  <c r="P1074" i="5"/>
  <c r="P1075" i="5"/>
  <c r="P1076" i="5"/>
  <c r="P1077" i="5"/>
  <c r="P1078" i="5"/>
  <c r="P1079" i="5"/>
  <c r="P1080" i="5"/>
  <c r="P1081" i="5"/>
  <c r="P1082" i="5"/>
  <c r="P1083" i="5"/>
  <c r="P1084" i="5"/>
  <c r="P1085" i="5"/>
  <c r="P1086" i="5"/>
  <c r="P1087" i="5"/>
  <c r="P1088" i="5"/>
  <c r="P1089" i="5"/>
  <c r="P1090" i="5"/>
  <c r="P1091" i="5"/>
  <c r="P1092" i="5"/>
  <c r="P1093" i="5"/>
  <c r="P1094" i="5"/>
  <c r="P1095" i="5"/>
  <c r="P1096" i="5"/>
  <c r="P1097" i="5"/>
  <c r="P1098" i="5"/>
  <c r="P1099" i="5"/>
  <c r="P1100" i="5"/>
  <c r="P1101" i="5"/>
  <c r="P1102" i="5"/>
  <c r="P1103" i="5"/>
  <c r="P1104" i="5"/>
  <c r="P1105" i="5"/>
  <c r="P1106" i="5"/>
  <c r="P1107" i="5"/>
  <c r="P1108" i="5"/>
  <c r="P1109" i="5"/>
  <c r="P1110" i="5"/>
  <c r="P1111" i="5"/>
  <c r="P1112" i="5"/>
  <c r="P1113" i="5"/>
  <c r="P1114" i="5"/>
  <c r="P1115" i="5"/>
  <c r="P1116" i="5"/>
  <c r="P1117" i="5"/>
  <c r="P1118" i="5"/>
  <c r="P1119" i="5"/>
  <c r="P1120" i="5"/>
  <c r="P1121" i="5"/>
  <c r="P1122" i="5"/>
  <c r="P1123" i="5"/>
  <c r="P1124" i="5"/>
  <c r="P1125" i="5"/>
  <c r="P1126" i="5"/>
  <c r="P1127" i="5"/>
  <c r="P1128" i="5"/>
  <c r="P1129" i="5"/>
  <c r="P1130" i="5"/>
  <c r="P1131" i="5"/>
  <c r="P1132" i="5"/>
  <c r="P1133" i="5"/>
  <c r="P1134" i="5"/>
  <c r="P1135" i="5"/>
  <c r="P1136" i="5"/>
  <c r="P1137" i="5"/>
  <c r="P1138" i="5"/>
  <c r="P1139" i="5"/>
  <c r="P1140" i="5"/>
  <c r="P1141" i="5"/>
  <c r="P1142" i="5"/>
  <c r="P1143" i="5"/>
  <c r="P1144" i="5"/>
  <c r="P1145" i="5"/>
  <c r="P1146" i="5"/>
  <c r="P1147" i="5"/>
  <c r="P1148" i="5"/>
  <c r="P1149" i="5"/>
  <c r="P1150" i="5"/>
  <c r="P1151" i="5"/>
  <c r="P1152" i="5"/>
  <c r="P1153" i="5"/>
  <c r="P1154" i="5"/>
  <c r="P1155" i="5"/>
  <c r="P1156" i="5"/>
  <c r="P1157" i="5"/>
  <c r="P1158" i="5"/>
  <c r="P1159" i="5"/>
  <c r="P1160" i="5"/>
  <c r="P1161" i="5"/>
  <c r="P1162" i="5"/>
  <c r="P1163" i="5"/>
  <c r="P1164" i="5"/>
  <c r="P1165" i="5"/>
  <c r="P1166" i="5"/>
  <c r="P1167" i="5"/>
  <c r="P1168" i="5"/>
  <c r="P1169" i="5"/>
  <c r="P1170" i="5"/>
  <c r="P1171" i="5"/>
  <c r="P1172" i="5"/>
  <c r="P1173" i="5"/>
  <c r="P1174" i="5"/>
  <c r="P1175" i="5"/>
  <c r="P1176" i="5"/>
  <c r="P1177" i="5"/>
  <c r="P1178" i="5"/>
  <c r="P1179" i="5"/>
  <c r="P1180" i="5"/>
  <c r="P1181" i="5"/>
  <c r="P1182" i="5"/>
  <c r="P1183" i="5"/>
  <c r="P1184" i="5"/>
  <c r="P1185" i="5"/>
  <c r="P1186" i="5"/>
  <c r="P1187" i="5"/>
  <c r="P1188" i="5"/>
  <c r="P1189" i="5"/>
  <c r="P1190" i="5"/>
  <c r="P1191" i="5"/>
  <c r="P1192" i="5"/>
  <c r="P1193" i="5"/>
  <c r="P1194" i="5"/>
  <c r="P1195" i="5"/>
  <c r="P1196" i="5"/>
  <c r="P1197" i="5"/>
  <c r="P1198" i="5"/>
  <c r="P1199" i="5"/>
  <c r="P1200" i="5"/>
  <c r="P1201" i="5"/>
  <c r="P1202" i="5"/>
  <c r="P1203" i="5"/>
  <c r="P1204" i="5"/>
  <c r="P1205" i="5"/>
  <c r="P1206" i="5"/>
  <c r="P1207" i="5"/>
  <c r="P1208" i="5"/>
  <c r="P1209" i="5"/>
  <c r="P1210" i="5"/>
  <c r="P1211" i="5"/>
  <c r="P1212" i="5"/>
  <c r="P1213" i="5"/>
  <c r="P1214" i="5"/>
  <c r="P1215" i="5"/>
  <c r="P1216" i="5"/>
  <c r="P1217" i="5"/>
  <c r="P1218" i="5"/>
  <c r="P1219" i="5"/>
  <c r="P1220" i="5"/>
  <c r="P1221" i="5"/>
  <c r="P1222" i="5"/>
  <c r="P1223" i="5"/>
  <c r="P1224" i="5"/>
  <c r="P1225" i="5"/>
  <c r="P1226" i="5"/>
  <c r="P1227" i="5"/>
  <c r="P1228" i="5"/>
  <c r="P1229" i="5"/>
  <c r="P1230" i="5"/>
  <c r="P1231" i="5"/>
  <c r="P1232" i="5"/>
  <c r="P1233" i="5"/>
  <c r="P1234" i="5"/>
  <c r="P1235" i="5"/>
  <c r="P1236" i="5"/>
  <c r="P1237" i="5"/>
  <c r="P1238" i="5"/>
  <c r="P1239" i="5"/>
  <c r="P1240" i="5"/>
  <c r="P1241" i="5"/>
  <c r="P1242" i="5"/>
  <c r="P1243" i="5"/>
  <c r="P1244" i="5"/>
  <c r="P1245" i="5"/>
  <c r="P1246" i="5"/>
  <c r="P1247" i="5"/>
  <c r="P1248" i="5"/>
  <c r="P1249" i="5"/>
  <c r="P1250" i="5"/>
  <c r="P1251" i="5"/>
  <c r="P1252" i="5"/>
  <c r="P1253" i="5"/>
  <c r="P1254" i="5"/>
  <c r="P1255" i="5"/>
  <c r="P1256" i="5"/>
  <c r="P1257" i="5"/>
  <c r="P1258" i="5"/>
  <c r="P1259" i="5"/>
  <c r="P1260" i="5"/>
  <c r="P1261" i="5"/>
  <c r="P1262" i="5"/>
  <c r="P1263" i="5"/>
  <c r="P1264" i="5"/>
  <c r="P1265" i="5"/>
  <c r="P1266" i="5"/>
  <c r="P1267" i="5"/>
  <c r="P1268" i="5"/>
  <c r="P1269" i="5"/>
  <c r="P1270" i="5"/>
  <c r="P1271" i="5"/>
  <c r="P1272" i="5"/>
  <c r="P1273" i="5"/>
  <c r="P1274" i="5"/>
  <c r="P1275" i="5"/>
  <c r="P1276" i="5"/>
  <c r="P1277" i="5"/>
  <c r="P1278" i="5"/>
  <c r="P1279" i="5"/>
  <c r="P1280" i="5"/>
  <c r="P1281" i="5"/>
  <c r="P1282" i="5"/>
  <c r="P1283" i="5"/>
  <c r="P1284" i="5"/>
  <c r="P1285" i="5"/>
  <c r="P1286" i="5"/>
  <c r="P1287" i="5"/>
  <c r="P1288" i="5"/>
  <c r="P1289" i="5"/>
  <c r="P1290" i="5"/>
  <c r="P1291" i="5"/>
  <c r="P1292" i="5"/>
  <c r="P1293" i="5"/>
  <c r="P1294" i="5"/>
  <c r="P1295" i="5"/>
  <c r="P1296" i="5"/>
  <c r="P1297" i="5"/>
  <c r="P1298" i="5"/>
  <c r="P1299" i="5"/>
  <c r="P1300" i="5"/>
  <c r="P1301" i="5"/>
  <c r="P1302" i="5"/>
  <c r="P1303" i="5"/>
  <c r="P1304" i="5"/>
  <c r="P1305" i="5"/>
  <c r="P1306" i="5"/>
  <c r="P1307" i="5"/>
  <c r="P1308" i="5"/>
  <c r="P1309" i="5"/>
  <c r="P1310" i="5"/>
  <c r="P1311" i="5"/>
  <c r="P1312" i="5"/>
  <c r="P1313" i="5"/>
  <c r="P1314" i="5"/>
  <c r="P1315" i="5"/>
  <c r="P1316" i="5"/>
  <c r="P1317" i="5"/>
  <c r="P1318" i="5"/>
  <c r="P1319" i="5"/>
  <c r="P1320" i="5"/>
  <c r="P1321" i="5"/>
  <c r="P1322" i="5"/>
  <c r="P1323" i="5"/>
  <c r="P1324" i="5"/>
  <c r="P1325" i="5"/>
  <c r="P1326" i="5"/>
  <c r="P1327" i="5"/>
  <c r="P1328" i="5"/>
  <c r="P1329" i="5"/>
  <c r="P1330" i="5"/>
  <c r="P1331" i="5"/>
  <c r="P1332" i="5"/>
  <c r="P1333" i="5"/>
  <c r="P1334" i="5"/>
  <c r="P1335" i="5"/>
  <c r="P1336" i="5"/>
  <c r="P1337" i="5"/>
  <c r="P1338" i="5"/>
  <c r="P1339" i="5"/>
  <c r="P1340" i="5"/>
  <c r="P1341" i="5"/>
  <c r="P1342" i="5"/>
  <c r="P1343" i="5"/>
  <c r="P1344" i="5"/>
  <c r="P1345" i="5"/>
  <c r="P1346" i="5"/>
  <c r="P1347" i="5"/>
  <c r="P1348" i="5"/>
  <c r="P1349" i="5"/>
  <c r="P1350" i="5"/>
  <c r="P1351" i="5"/>
  <c r="P1352" i="5"/>
  <c r="P1353" i="5"/>
  <c r="P1354" i="5"/>
  <c r="P1355" i="5"/>
  <c r="P1356" i="5"/>
  <c r="P1357" i="5"/>
  <c r="P1358" i="5"/>
  <c r="P1359" i="5"/>
  <c r="P1360" i="5"/>
  <c r="P1361" i="5"/>
  <c r="P1362" i="5"/>
  <c r="P1363" i="5"/>
  <c r="P1364" i="5"/>
  <c r="P1365" i="5"/>
  <c r="P1366" i="5"/>
  <c r="P1367" i="5"/>
  <c r="P1368" i="5"/>
  <c r="P1369" i="5"/>
  <c r="P1370" i="5"/>
  <c r="P1371" i="5"/>
  <c r="P1372" i="5"/>
  <c r="P1373" i="5"/>
  <c r="P1374" i="5"/>
  <c r="P1375" i="5"/>
  <c r="P1376" i="5"/>
  <c r="P1377" i="5"/>
  <c r="P1378" i="5"/>
  <c r="P1379" i="5"/>
  <c r="P1380" i="5"/>
  <c r="P1381" i="5"/>
  <c r="P1382" i="5"/>
  <c r="P1383" i="5"/>
  <c r="P1384" i="5"/>
  <c r="P1385" i="5"/>
  <c r="P1386" i="5"/>
  <c r="P1387" i="5"/>
  <c r="P1388" i="5"/>
  <c r="P1389" i="5"/>
  <c r="P1390" i="5"/>
  <c r="P1391" i="5"/>
  <c r="P1392" i="5"/>
  <c r="P1393" i="5"/>
  <c r="P1394" i="5"/>
  <c r="P1395" i="5"/>
  <c r="P1396" i="5"/>
  <c r="P1397" i="5"/>
  <c r="P1398" i="5"/>
  <c r="P1399" i="5"/>
  <c r="P1400" i="5"/>
  <c r="P1401" i="5"/>
  <c r="P1402" i="5"/>
  <c r="P1403" i="5"/>
  <c r="P1404" i="5"/>
  <c r="P1405" i="5"/>
  <c r="P1406" i="5"/>
  <c r="P1407" i="5"/>
  <c r="P1408" i="5"/>
  <c r="P1409" i="5"/>
  <c r="P1410" i="5"/>
  <c r="P1411" i="5"/>
  <c r="P1412" i="5"/>
  <c r="P1413" i="5"/>
  <c r="P1414" i="5"/>
  <c r="P1415" i="5"/>
  <c r="P1416" i="5"/>
  <c r="P1417" i="5"/>
  <c r="P1418" i="5"/>
  <c r="P1419" i="5"/>
  <c r="P1420" i="5"/>
  <c r="P1421" i="5"/>
  <c r="P1422" i="5"/>
  <c r="P1423" i="5"/>
  <c r="P1424" i="5"/>
  <c r="P1425" i="5"/>
  <c r="P1426" i="5"/>
  <c r="P1427" i="5"/>
  <c r="P1428" i="5"/>
  <c r="P1429" i="5"/>
  <c r="P1430" i="5"/>
  <c r="P1431" i="5"/>
  <c r="P1432" i="5"/>
  <c r="P1433" i="5"/>
  <c r="P1434" i="5"/>
  <c r="P1435" i="5"/>
  <c r="P1436" i="5"/>
  <c r="P1437" i="5"/>
  <c r="P1438" i="5"/>
  <c r="P1439" i="5"/>
  <c r="P1440" i="5"/>
  <c r="P1441" i="5"/>
  <c r="P1442" i="5"/>
  <c r="P1443" i="5"/>
  <c r="P1444" i="5"/>
  <c r="P1445" i="5"/>
  <c r="P1446" i="5"/>
  <c r="P1447" i="5"/>
  <c r="P1448" i="5"/>
  <c r="P1449" i="5"/>
  <c r="P1450" i="5"/>
  <c r="P1451" i="5"/>
  <c r="P1452" i="5"/>
  <c r="P1453" i="5"/>
  <c r="P1454" i="5"/>
  <c r="P1455" i="5"/>
  <c r="P1456" i="5"/>
  <c r="P1457" i="5"/>
  <c r="P1458" i="5"/>
  <c r="P1459" i="5"/>
  <c r="P1460" i="5"/>
  <c r="P1461" i="5"/>
  <c r="P1462" i="5"/>
  <c r="P1463" i="5"/>
  <c r="P1464" i="5"/>
  <c r="P1465" i="5"/>
  <c r="P1466" i="5"/>
  <c r="P1467" i="5"/>
  <c r="P1468" i="5"/>
  <c r="P1469" i="5"/>
  <c r="P1470" i="5"/>
  <c r="P1471" i="5"/>
  <c r="P1472" i="5"/>
  <c r="P1473" i="5"/>
  <c r="P1474" i="5"/>
  <c r="P1475" i="5"/>
  <c r="P1476" i="5"/>
  <c r="P1477" i="5"/>
  <c r="P1478" i="5"/>
  <c r="P1479" i="5"/>
  <c r="P1480" i="5"/>
  <c r="P1481" i="5"/>
  <c r="P1482" i="5"/>
  <c r="P1483" i="5"/>
  <c r="P1484" i="5"/>
  <c r="P1485" i="5"/>
  <c r="P1486" i="5"/>
  <c r="P1487" i="5"/>
  <c r="P1488" i="5"/>
  <c r="P1489" i="5"/>
  <c r="P1490" i="5"/>
  <c r="P1491" i="5"/>
  <c r="P1492" i="5"/>
  <c r="P1493" i="5"/>
  <c r="P1494" i="5"/>
  <c r="P1495" i="5"/>
  <c r="P1496" i="5"/>
  <c r="P1497" i="5"/>
  <c r="P1498" i="5"/>
  <c r="P1499" i="5"/>
  <c r="P1500" i="5"/>
  <c r="P1501" i="5"/>
  <c r="P1502" i="5"/>
  <c r="P1503" i="5"/>
  <c r="P1504" i="5"/>
  <c r="P1505" i="5"/>
  <c r="P1506" i="5"/>
  <c r="P1507" i="5"/>
  <c r="P1508" i="5"/>
  <c r="P1509" i="5"/>
  <c r="P1510" i="5"/>
  <c r="P1511" i="5"/>
  <c r="P1512" i="5"/>
  <c r="P1513" i="5"/>
  <c r="P1514" i="5"/>
  <c r="P1515" i="5"/>
  <c r="P1516" i="5"/>
  <c r="P1517" i="5"/>
  <c r="P1518" i="5"/>
  <c r="P1519" i="5"/>
  <c r="P1520" i="5"/>
  <c r="P1521" i="5"/>
  <c r="P1522" i="5"/>
  <c r="P1523" i="5"/>
  <c r="P1524" i="5"/>
  <c r="P1525" i="5"/>
  <c r="P1526" i="5"/>
  <c r="P1527" i="5"/>
  <c r="P1528" i="5"/>
  <c r="P1529" i="5"/>
  <c r="P1530" i="5"/>
  <c r="P1531" i="5"/>
  <c r="P1532" i="5"/>
  <c r="P1533" i="5"/>
  <c r="P1534" i="5"/>
  <c r="P1535" i="5"/>
  <c r="P1536" i="5"/>
  <c r="P1537" i="5"/>
  <c r="P1538" i="5"/>
  <c r="P1539" i="5"/>
  <c r="P1540" i="5"/>
  <c r="P1541" i="5"/>
  <c r="P1542" i="5"/>
  <c r="P1543" i="5"/>
  <c r="P1544" i="5"/>
  <c r="P1545" i="5"/>
  <c r="P1546" i="5"/>
  <c r="P1547" i="5"/>
  <c r="P1548" i="5"/>
  <c r="P1549" i="5"/>
  <c r="P1550" i="5"/>
  <c r="P1551" i="5"/>
  <c r="P1552" i="5"/>
  <c r="P1553" i="5"/>
  <c r="P1554" i="5"/>
  <c r="P1555" i="5"/>
  <c r="P1556" i="5"/>
  <c r="P1557" i="5"/>
  <c r="P1558" i="5"/>
  <c r="P1559" i="5"/>
  <c r="P1560" i="5"/>
  <c r="P1561" i="5"/>
  <c r="P1562" i="5"/>
  <c r="P1563" i="5"/>
  <c r="P1564" i="5"/>
  <c r="P1565" i="5"/>
  <c r="P1566" i="5"/>
  <c r="P1567" i="5"/>
  <c r="P1568" i="5"/>
  <c r="P1569" i="5"/>
  <c r="P1570" i="5"/>
  <c r="P1571" i="5"/>
  <c r="P1572" i="5"/>
  <c r="P1573" i="5"/>
  <c r="P1574" i="5"/>
  <c r="P1575" i="5"/>
  <c r="P1576" i="5"/>
  <c r="P1577" i="5"/>
  <c r="P1578" i="5"/>
  <c r="P1579" i="5"/>
  <c r="P1580" i="5"/>
  <c r="P1581" i="5"/>
  <c r="P1582" i="5"/>
  <c r="P1583" i="5"/>
  <c r="P1584" i="5"/>
  <c r="P1585" i="5"/>
  <c r="P1586" i="5"/>
  <c r="P1587" i="5"/>
  <c r="P1588" i="5"/>
  <c r="P1589" i="5"/>
  <c r="P1590" i="5"/>
  <c r="P1591" i="5"/>
  <c r="P1592" i="5"/>
  <c r="P1593" i="5"/>
  <c r="P1594" i="5"/>
  <c r="P1595" i="5"/>
  <c r="P1596" i="5"/>
  <c r="P1597" i="5"/>
  <c r="P1598" i="5"/>
  <c r="P1599" i="5"/>
  <c r="P1600" i="5"/>
  <c r="P1601" i="5"/>
  <c r="P1602" i="5"/>
  <c r="P1603" i="5"/>
  <c r="P1604" i="5"/>
  <c r="P1605" i="5"/>
  <c r="P1606" i="5"/>
  <c r="P1607" i="5"/>
  <c r="P1608" i="5"/>
  <c r="P1609" i="5"/>
  <c r="P1610" i="5"/>
  <c r="P1611" i="5"/>
  <c r="P1612" i="5"/>
  <c r="P1613" i="5"/>
  <c r="P1614" i="5"/>
  <c r="P1615" i="5"/>
  <c r="P1616" i="5"/>
  <c r="P1617" i="5"/>
  <c r="P1618" i="5"/>
  <c r="P1619" i="5"/>
  <c r="P1620" i="5"/>
  <c r="P1621" i="5"/>
  <c r="P1622" i="5"/>
  <c r="P1623" i="5"/>
  <c r="P1624" i="5"/>
  <c r="P1625" i="5"/>
  <c r="P1626" i="5"/>
  <c r="P1627" i="5"/>
  <c r="P1628" i="5"/>
  <c r="P1629" i="5"/>
  <c r="P1630" i="5"/>
  <c r="P1631" i="5"/>
  <c r="P1632" i="5"/>
  <c r="P1633" i="5"/>
  <c r="P1634" i="5"/>
  <c r="P1635" i="5"/>
  <c r="P1636" i="5"/>
  <c r="P1637" i="5"/>
  <c r="P1638" i="5"/>
  <c r="P1639" i="5"/>
  <c r="P1640" i="5"/>
  <c r="P1641" i="5"/>
  <c r="P1642" i="5"/>
  <c r="P1643" i="5"/>
  <c r="P1644" i="5"/>
  <c r="P1645" i="5"/>
  <c r="P1646" i="5"/>
  <c r="P1647" i="5"/>
  <c r="P1648" i="5"/>
  <c r="P1649" i="5"/>
  <c r="P1650" i="5"/>
  <c r="P1651" i="5"/>
  <c r="P1652" i="5"/>
  <c r="P1653" i="5"/>
  <c r="P1654" i="5"/>
  <c r="P1655" i="5"/>
  <c r="P1656" i="5"/>
  <c r="P1657" i="5"/>
  <c r="P1658" i="5"/>
  <c r="P1659" i="5"/>
  <c r="P1660" i="5"/>
  <c r="P1661" i="5"/>
  <c r="P1662" i="5"/>
  <c r="P1663" i="5"/>
  <c r="P1664" i="5"/>
  <c r="P1665" i="5"/>
  <c r="P1666" i="5"/>
  <c r="P1667" i="5"/>
  <c r="P1668" i="5"/>
  <c r="P1669" i="5"/>
  <c r="P1670" i="5"/>
  <c r="P1671" i="5"/>
  <c r="P1672" i="5"/>
  <c r="P1673" i="5"/>
  <c r="P1674" i="5"/>
  <c r="P1675" i="5"/>
  <c r="P1676" i="5"/>
  <c r="P1677" i="5"/>
  <c r="P1678" i="5"/>
  <c r="P1679" i="5"/>
  <c r="P1680" i="5"/>
  <c r="P1681" i="5"/>
  <c r="P1682" i="5"/>
  <c r="P1683" i="5"/>
  <c r="P1684" i="5"/>
  <c r="P1685" i="5"/>
  <c r="P1686" i="5"/>
  <c r="P1687" i="5"/>
  <c r="P1688" i="5"/>
  <c r="P1689" i="5"/>
  <c r="P1690" i="5"/>
  <c r="P1691" i="5"/>
  <c r="P1692" i="5"/>
  <c r="P1693" i="5"/>
  <c r="P1694" i="5"/>
  <c r="P1695" i="5"/>
  <c r="P1696" i="5"/>
  <c r="P1697" i="5"/>
  <c r="P1698" i="5"/>
  <c r="P1699" i="5"/>
  <c r="P1700" i="5"/>
  <c r="P1701" i="5"/>
  <c r="P1702" i="5"/>
  <c r="P1703" i="5"/>
  <c r="P1704" i="5"/>
  <c r="P1705" i="5"/>
  <c r="P1706" i="5"/>
  <c r="P1707" i="5"/>
  <c r="P1708" i="5"/>
  <c r="P1709" i="5"/>
  <c r="P1710" i="5"/>
  <c r="P1711" i="5"/>
  <c r="P1712" i="5"/>
  <c r="P1713" i="5"/>
  <c r="P1714" i="5"/>
  <c r="P1715" i="5"/>
  <c r="P1716" i="5"/>
  <c r="P1717" i="5"/>
  <c r="P1718" i="5"/>
  <c r="P1719" i="5"/>
  <c r="P1720" i="5"/>
  <c r="P1721" i="5"/>
  <c r="P1722" i="5"/>
  <c r="P1723" i="5"/>
  <c r="P1724" i="5"/>
  <c r="P1725" i="5"/>
  <c r="P1726" i="5"/>
  <c r="P1727" i="5"/>
  <c r="P1728" i="5"/>
  <c r="P1729" i="5"/>
  <c r="P1730" i="5"/>
  <c r="P1731" i="5"/>
  <c r="P1732" i="5"/>
  <c r="P1733" i="5"/>
  <c r="P1734" i="5"/>
  <c r="P1735" i="5"/>
  <c r="P1736" i="5"/>
  <c r="P1737" i="5"/>
  <c r="P1738" i="5"/>
  <c r="P1739" i="5"/>
  <c r="P1740" i="5"/>
  <c r="P1741" i="5"/>
  <c r="P1742" i="5"/>
  <c r="P1743" i="5"/>
  <c r="P1744" i="5"/>
  <c r="P1745" i="5"/>
  <c r="P1746" i="5"/>
  <c r="P1747" i="5"/>
  <c r="P1748" i="5"/>
  <c r="P1749" i="5"/>
  <c r="P1750" i="5"/>
  <c r="P1751" i="5"/>
  <c r="P1752" i="5"/>
  <c r="P1753" i="5"/>
  <c r="P1754" i="5"/>
  <c r="P1755" i="5"/>
  <c r="P1756" i="5"/>
  <c r="P1757" i="5"/>
  <c r="P1758" i="5"/>
  <c r="P1759" i="5"/>
  <c r="P1760" i="5"/>
  <c r="P1761" i="5"/>
  <c r="P1762" i="5"/>
  <c r="P1763" i="5"/>
  <c r="P1764" i="5"/>
  <c r="P1765" i="5"/>
  <c r="P1766" i="5"/>
  <c r="P1767" i="5"/>
  <c r="P1768" i="5"/>
  <c r="P1769" i="5"/>
  <c r="P1770" i="5"/>
  <c r="P1771" i="5"/>
  <c r="P1772" i="5"/>
  <c r="P1773" i="5"/>
  <c r="P1774" i="5"/>
  <c r="P1775" i="5"/>
  <c r="P1776" i="5"/>
  <c r="P1777" i="5"/>
  <c r="P1778" i="5"/>
  <c r="P1779" i="5"/>
  <c r="P1780" i="5"/>
  <c r="P1781" i="5"/>
  <c r="P1782" i="5"/>
  <c r="P1783" i="5"/>
  <c r="P1784" i="5"/>
  <c r="P1785" i="5"/>
  <c r="P1786" i="5"/>
  <c r="P1787" i="5"/>
  <c r="P1788" i="5"/>
  <c r="P1789" i="5"/>
  <c r="P1790" i="5"/>
  <c r="P1791" i="5"/>
  <c r="P1792" i="5"/>
  <c r="P1793" i="5"/>
  <c r="P1794" i="5"/>
  <c r="P1795" i="5"/>
  <c r="P1796" i="5"/>
  <c r="P1797" i="5"/>
  <c r="P1798" i="5"/>
  <c r="P1799" i="5"/>
  <c r="P1800" i="5"/>
  <c r="P1801" i="5"/>
  <c r="P1802" i="5"/>
  <c r="P1803" i="5"/>
  <c r="P1804" i="5"/>
  <c r="P1805" i="5"/>
  <c r="P1806" i="5"/>
  <c r="P1807" i="5"/>
  <c r="P1808" i="5"/>
  <c r="P1809" i="5"/>
  <c r="P1810" i="5"/>
  <c r="P1811" i="5"/>
  <c r="P1812" i="5"/>
  <c r="P1813" i="5"/>
  <c r="P1814" i="5"/>
  <c r="P1815" i="5"/>
  <c r="P1816" i="5"/>
  <c r="P1817" i="5"/>
  <c r="P1818" i="5"/>
  <c r="P1819" i="5"/>
  <c r="P1820" i="5"/>
  <c r="P1821" i="5"/>
  <c r="P1822" i="5"/>
  <c r="P1823" i="5"/>
  <c r="P1824" i="5"/>
  <c r="P1825" i="5"/>
  <c r="P1826" i="5"/>
  <c r="P1827" i="5"/>
  <c r="P1828" i="5"/>
  <c r="P1829" i="5"/>
  <c r="P1830" i="5"/>
  <c r="P1831" i="5"/>
  <c r="P1832" i="5"/>
  <c r="P1833" i="5"/>
  <c r="P1834" i="5"/>
  <c r="P1835" i="5"/>
  <c r="P1836" i="5"/>
  <c r="P1837" i="5"/>
  <c r="P1838" i="5"/>
  <c r="P1839" i="5"/>
  <c r="P1840" i="5"/>
  <c r="P1841" i="5"/>
  <c r="P1842" i="5"/>
  <c r="P1843" i="5"/>
  <c r="P1844" i="5"/>
  <c r="P1845" i="5"/>
  <c r="P1846" i="5"/>
  <c r="P1847" i="5"/>
  <c r="P1848" i="5"/>
  <c r="P1849" i="5"/>
  <c r="P1850" i="5"/>
  <c r="P1851" i="5"/>
  <c r="P1852" i="5"/>
  <c r="P1853" i="5"/>
  <c r="P1854" i="5"/>
  <c r="P1855" i="5"/>
  <c r="P1856" i="5"/>
  <c r="P1857" i="5"/>
  <c r="P1858" i="5"/>
  <c r="P1859" i="5"/>
  <c r="P1860" i="5"/>
  <c r="P1861" i="5"/>
  <c r="P1862" i="5"/>
  <c r="P1863" i="5"/>
  <c r="P1864" i="5"/>
  <c r="P1865" i="5"/>
  <c r="P1866" i="5"/>
  <c r="P1867" i="5"/>
  <c r="P1868" i="5"/>
  <c r="P1869" i="5"/>
  <c r="P1870" i="5"/>
  <c r="P1871" i="5"/>
  <c r="P1872" i="5"/>
  <c r="P1873" i="5"/>
  <c r="P1874" i="5"/>
  <c r="P1875" i="5"/>
  <c r="P1876" i="5"/>
  <c r="P1877" i="5"/>
  <c r="P1878" i="5"/>
  <c r="P1879" i="5"/>
  <c r="P1880" i="5"/>
  <c r="P1881" i="5"/>
  <c r="P1882" i="5"/>
  <c r="P1883" i="5"/>
  <c r="P1884" i="5"/>
  <c r="P1885" i="5"/>
  <c r="P1886" i="5"/>
  <c r="P1887" i="5"/>
  <c r="P1888" i="5"/>
  <c r="P1889" i="5"/>
  <c r="P1890" i="5"/>
  <c r="P1891" i="5"/>
  <c r="P1892" i="5"/>
  <c r="P1893" i="5"/>
  <c r="P1894" i="5"/>
  <c r="P1895" i="5"/>
  <c r="P1896" i="5"/>
  <c r="P1897" i="5"/>
  <c r="P1898" i="5"/>
  <c r="P1899" i="5"/>
  <c r="P1900" i="5"/>
  <c r="P1901" i="5"/>
  <c r="P1902" i="5"/>
  <c r="P1903" i="5"/>
  <c r="P1904" i="5"/>
  <c r="P1905" i="5"/>
  <c r="P1906" i="5"/>
  <c r="P1907" i="5"/>
  <c r="P1908" i="5"/>
  <c r="P1909" i="5"/>
  <c r="P1910" i="5"/>
  <c r="P1911" i="5"/>
  <c r="P1912" i="5"/>
  <c r="P1913" i="5"/>
  <c r="P1914" i="5"/>
  <c r="P1915" i="5"/>
  <c r="P1916" i="5"/>
  <c r="P1917" i="5"/>
  <c r="P1918" i="5"/>
  <c r="P1919" i="5"/>
  <c r="P1920" i="5"/>
  <c r="P1921" i="5"/>
  <c r="P1922" i="5"/>
  <c r="P1923" i="5"/>
  <c r="P1924" i="5"/>
  <c r="P1925" i="5"/>
  <c r="P1926" i="5"/>
  <c r="P1927" i="5"/>
  <c r="P1928" i="5"/>
  <c r="P1929" i="5"/>
  <c r="P1930" i="5"/>
  <c r="P1931" i="5"/>
  <c r="P1932" i="5"/>
  <c r="P1933" i="5"/>
  <c r="P1934" i="5"/>
  <c r="P1935" i="5"/>
  <c r="P1936" i="5"/>
  <c r="P1937" i="5"/>
  <c r="P1938" i="5"/>
  <c r="P1939" i="5"/>
  <c r="P1940" i="5"/>
  <c r="P1941" i="5"/>
  <c r="P1942" i="5"/>
  <c r="P1943" i="5"/>
  <c r="P1944" i="5"/>
  <c r="P1945" i="5"/>
  <c r="P1946" i="5"/>
  <c r="P1947" i="5"/>
  <c r="P1948" i="5"/>
  <c r="P1949" i="5"/>
  <c r="P1950" i="5"/>
  <c r="P1951" i="5"/>
  <c r="P1952" i="5"/>
  <c r="P1953" i="5"/>
  <c r="P1954" i="5"/>
  <c r="P1955" i="5"/>
  <c r="P1956" i="5"/>
  <c r="P1957" i="5"/>
  <c r="P1958" i="5"/>
  <c r="P1959" i="5"/>
  <c r="P1960" i="5"/>
  <c r="P1961" i="5"/>
  <c r="P1962" i="5"/>
  <c r="P1963" i="5"/>
  <c r="P1964" i="5"/>
  <c r="P1965" i="5"/>
  <c r="P1966" i="5"/>
  <c r="P1967" i="5"/>
  <c r="P1968" i="5"/>
  <c r="P1969" i="5"/>
  <c r="P1970" i="5"/>
  <c r="P1971" i="5"/>
  <c r="P1972" i="5"/>
  <c r="P1973" i="5"/>
  <c r="P1974" i="5"/>
  <c r="P1975" i="5"/>
  <c r="P1976" i="5"/>
  <c r="P1977" i="5"/>
  <c r="P1978" i="5"/>
  <c r="P1979" i="5"/>
  <c r="P1980" i="5"/>
  <c r="P1981" i="5"/>
  <c r="P1982" i="5"/>
  <c r="P1983" i="5"/>
  <c r="P1984" i="5"/>
  <c r="P1985" i="5"/>
  <c r="P1986" i="5"/>
  <c r="P1987" i="5"/>
  <c r="P1988" i="5"/>
  <c r="P1989" i="5"/>
  <c r="P1990" i="5"/>
  <c r="P1991" i="5"/>
  <c r="P1992" i="5"/>
  <c r="P1993" i="5"/>
  <c r="P1994" i="5"/>
  <c r="P1995" i="5"/>
  <c r="P1996" i="5"/>
  <c r="P1997" i="5"/>
  <c r="P1998" i="5"/>
  <c r="P1999" i="5"/>
  <c r="P2000" i="5"/>
  <c r="P2001" i="5"/>
  <c r="P2002" i="5"/>
  <c r="P2003" i="5"/>
  <c r="P2004" i="5"/>
  <c r="P2005" i="5"/>
  <c r="P2006" i="5"/>
  <c r="P2007" i="5"/>
  <c r="P2008" i="5"/>
  <c r="P2009" i="5"/>
  <c r="P2010" i="5"/>
  <c r="P2011" i="5"/>
  <c r="P2012" i="5"/>
  <c r="P2013" i="5"/>
  <c r="P2014" i="5"/>
  <c r="P2015" i="5"/>
  <c r="P2016" i="5"/>
  <c r="P2017" i="5"/>
  <c r="P2018" i="5"/>
  <c r="P2019" i="5"/>
  <c r="P2020" i="5"/>
  <c r="P2021" i="5"/>
  <c r="P2022" i="5"/>
  <c r="P2023" i="5"/>
  <c r="P2024" i="5"/>
  <c r="P2025" i="5"/>
  <c r="P2026" i="5"/>
  <c r="P2027" i="5"/>
  <c r="P2028" i="5"/>
  <c r="P2029" i="5"/>
  <c r="P2030" i="5"/>
  <c r="P2031" i="5"/>
  <c r="P2032" i="5"/>
  <c r="P2033" i="5"/>
  <c r="P2034" i="5"/>
  <c r="P2035" i="5"/>
  <c r="P2036" i="5"/>
  <c r="P2037" i="5"/>
  <c r="P2038" i="5"/>
  <c r="P2039" i="5"/>
  <c r="P2040" i="5"/>
  <c r="P2041" i="5"/>
  <c r="P2042" i="5"/>
  <c r="P2043" i="5"/>
  <c r="P2044" i="5"/>
  <c r="P2045" i="5"/>
  <c r="P2046" i="5"/>
  <c r="P2047" i="5"/>
  <c r="P2048" i="5"/>
  <c r="P2049" i="5"/>
  <c r="P2050" i="5"/>
  <c r="P2051" i="5"/>
  <c r="P2052" i="5"/>
  <c r="P2053" i="5"/>
  <c r="P2054" i="5"/>
  <c r="P2055" i="5"/>
  <c r="P2056" i="5"/>
  <c r="P2057" i="5"/>
  <c r="P2058" i="5"/>
  <c r="P2059" i="5"/>
  <c r="P2060" i="5"/>
  <c r="P2061" i="5"/>
  <c r="P2062" i="5"/>
  <c r="P2063" i="5"/>
  <c r="P2064" i="5"/>
  <c r="P2065" i="5"/>
  <c r="P2066" i="5"/>
  <c r="P2067" i="5"/>
  <c r="P2068" i="5"/>
  <c r="P2069" i="5"/>
  <c r="P2070" i="5"/>
  <c r="P2071" i="5"/>
  <c r="P2072" i="5"/>
  <c r="P2073" i="5"/>
  <c r="P2074" i="5"/>
  <c r="P2075" i="5"/>
  <c r="P2076" i="5"/>
  <c r="P2077" i="5"/>
  <c r="P2078" i="5"/>
  <c r="P2079" i="5"/>
  <c r="P2080" i="5"/>
  <c r="P2081" i="5"/>
  <c r="P2082" i="5"/>
  <c r="P2083" i="5"/>
  <c r="P2084" i="5"/>
  <c r="P2085" i="5"/>
  <c r="P2086" i="5"/>
  <c r="P2087" i="5"/>
  <c r="P2088" i="5"/>
  <c r="P2089" i="5"/>
  <c r="P2090" i="5"/>
  <c r="P2091" i="5"/>
  <c r="P2092" i="5"/>
  <c r="P2093" i="5"/>
  <c r="P2094" i="5"/>
  <c r="P2095" i="5"/>
  <c r="P2096" i="5"/>
  <c r="P2097" i="5"/>
  <c r="P2098" i="5"/>
  <c r="P2099" i="5"/>
  <c r="P2100" i="5"/>
  <c r="P2101" i="5"/>
  <c r="P2102" i="5"/>
  <c r="P2103" i="5"/>
  <c r="P2104" i="5"/>
  <c r="P2105" i="5"/>
  <c r="P2106" i="5"/>
  <c r="P2107" i="5"/>
  <c r="P2108" i="5"/>
  <c r="P2109" i="5"/>
  <c r="P2110" i="5"/>
  <c r="P2111" i="5"/>
  <c r="P2112" i="5"/>
  <c r="P2113" i="5"/>
  <c r="P2114" i="5"/>
  <c r="P2115" i="5"/>
  <c r="P2116" i="5"/>
  <c r="P2117" i="5"/>
  <c r="P2118" i="5"/>
  <c r="P2119" i="5"/>
  <c r="P2120" i="5"/>
  <c r="P2121" i="5"/>
  <c r="P2122" i="5"/>
  <c r="P2123" i="5"/>
  <c r="P2124" i="5"/>
  <c r="P2125" i="5"/>
  <c r="P2126" i="5"/>
  <c r="P2127" i="5"/>
  <c r="P2128" i="5"/>
  <c r="P2129" i="5"/>
  <c r="P2130" i="5"/>
  <c r="P2131" i="5"/>
  <c r="P2132" i="5"/>
  <c r="P2133" i="5"/>
  <c r="P2134" i="5"/>
  <c r="P2135" i="5"/>
  <c r="P2136" i="5"/>
  <c r="P2137" i="5"/>
  <c r="P2138" i="5"/>
  <c r="P2139" i="5"/>
  <c r="P2140" i="5"/>
  <c r="P2141" i="5"/>
  <c r="P2142" i="5"/>
  <c r="P2143" i="5"/>
  <c r="P2144" i="5"/>
  <c r="P2145" i="5"/>
  <c r="P2146" i="5"/>
  <c r="P2147" i="5"/>
  <c r="P2148" i="5"/>
  <c r="P2149" i="5"/>
  <c r="P2150" i="5"/>
  <c r="P2151" i="5"/>
  <c r="P2152" i="5"/>
  <c r="P2153" i="5"/>
  <c r="P2154" i="5"/>
  <c r="P2155" i="5"/>
  <c r="P2156" i="5"/>
  <c r="P2157" i="5"/>
  <c r="P2158" i="5"/>
  <c r="P2159" i="5"/>
  <c r="P2160" i="5"/>
  <c r="P2161" i="5"/>
  <c r="P2162" i="5"/>
  <c r="P2163" i="5"/>
  <c r="P2164" i="5"/>
  <c r="P2165" i="5"/>
  <c r="P2166" i="5"/>
  <c r="P2167" i="5"/>
  <c r="P2168" i="5"/>
  <c r="P2169" i="5"/>
  <c r="P2170" i="5"/>
  <c r="P2171" i="5"/>
  <c r="P2172" i="5"/>
  <c r="P2173" i="5"/>
  <c r="P2174" i="5"/>
  <c r="P2175" i="5"/>
  <c r="P2176" i="5"/>
  <c r="P2177" i="5"/>
  <c r="P2178" i="5"/>
  <c r="S7" i="4"/>
  <c r="S8" i="4"/>
  <c r="S9" i="4"/>
  <c r="S10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1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S99" i="4"/>
  <c r="S100" i="4"/>
  <c r="S101" i="4"/>
  <c r="S102" i="4"/>
  <c r="S103" i="4"/>
  <c r="S104" i="4"/>
  <c r="S105" i="4"/>
  <c r="S106" i="4"/>
  <c r="S107" i="4"/>
  <c r="S108" i="4"/>
  <c r="S109" i="4"/>
  <c r="S110" i="4"/>
  <c r="S111" i="4"/>
  <c r="S112" i="4"/>
  <c r="S113" i="4"/>
  <c r="S114" i="4"/>
  <c r="S115" i="4"/>
  <c r="S116" i="4"/>
  <c r="S117" i="4"/>
  <c r="S118" i="4"/>
  <c r="S119" i="4"/>
  <c r="S120" i="4"/>
  <c r="S121" i="4"/>
  <c r="S122" i="4"/>
  <c r="S123" i="4"/>
  <c r="S124" i="4"/>
  <c r="S125" i="4"/>
  <c r="S126" i="4"/>
  <c r="S127" i="4"/>
  <c r="S128" i="4"/>
  <c r="S129" i="4"/>
  <c r="S130" i="4"/>
  <c r="S131" i="4"/>
  <c r="S132" i="4"/>
  <c r="S133" i="4"/>
  <c r="S134" i="4"/>
  <c r="S135" i="4"/>
  <c r="S136" i="4"/>
  <c r="S137" i="4"/>
  <c r="S138" i="4"/>
  <c r="S139" i="4"/>
  <c r="S140" i="4"/>
  <c r="S141" i="4"/>
  <c r="S142" i="4"/>
  <c r="S143" i="4"/>
  <c r="S144" i="4"/>
  <c r="S145" i="4"/>
  <c r="S146" i="4"/>
  <c r="S147" i="4"/>
  <c r="S148" i="4"/>
  <c r="S149" i="4"/>
  <c r="S150" i="4"/>
  <c r="S151" i="4"/>
  <c r="S152" i="4"/>
  <c r="S153" i="4"/>
  <c r="S154" i="4"/>
  <c r="S155" i="4"/>
  <c r="S156" i="4"/>
  <c r="S157" i="4"/>
  <c r="S158" i="4"/>
  <c r="S159" i="4"/>
  <c r="S160" i="4"/>
  <c r="S161" i="4"/>
  <c r="S162" i="4"/>
  <c r="S163" i="4"/>
  <c r="S164" i="4"/>
  <c r="S165" i="4"/>
  <c r="S166" i="4"/>
  <c r="S167" i="4"/>
  <c r="S168" i="4"/>
  <c r="S169" i="4"/>
  <c r="S170" i="4"/>
  <c r="S171" i="4"/>
  <c r="S172" i="4"/>
  <c r="S173" i="4"/>
  <c r="S174" i="4"/>
  <c r="S175" i="4"/>
  <c r="S176" i="4"/>
  <c r="S177" i="4"/>
  <c r="S178" i="4"/>
  <c r="S179" i="4"/>
  <c r="S180" i="4"/>
  <c r="S181" i="4"/>
  <c r="S182" i="4"/>
  <c r="S183" i="4"/>
  <c r="S184" i="4"/>
  <c r="S185" i="4"/>
  <c r="S186" i="4"/>
  <c r="S187" i="4"/>
  <c r="S188" i="4"/>
  <c r="S189" i="4"/>
  <c r="S190" i="4"/>
  <c r="S191" i="4"/>
  <c r="S192" i="4"/>
  <c r="S193" i="4"/>
  <c r="S194" i="4"/>
  <c r="S195" i="4"/>
  <c r="S196" i="4"/>
  <c r="S197" i="4"/>
  <c r="S198" i="4"/>
  <c r="S199" i="4"/>
  <c r="S200" i="4"/>
  <c r="S201" i="4"/>
  <c r="S202" i="4"/>
  <c r="S203" i="4"/>
  <c r="S204" i="4"/>
  <c r="S205" i="4"/>
  <c r="S206" i="4"/>
  <c r="S207" i="4"/>
  <c r="S208" i="4"/>
  <c r="S209" i="4"/>
  <c r="S210" i="4"/>
  <c r="S211" i="4"/>
  <c r="S212" i="4"/>
  <c r="S213" i="4"/>
  <c r="S214" i="4"/>
  <c r="S215" i="4"/>
  <c r="S216" i="4"/>
  <c r="S217" i="4"/>
  <c r="S218" i="4"/>
  <c r="S219" i="4"/>
  <c r="S220" i="4"/>
  <c r="S221" i="4"/>
  <c r="S222" i="4"/>
  <c r="S223" i="4"/>
  <c r="S224" i="4"/>
  <c r="S225" i="4"/>
  <c r="S226" i="4"/>
  <c r="S227" i="4"/>
  <c r="S228" i="4"/>
  <c r="S229" i="4"/>
  <c r="S230" i="4"/>
  <c r="S231" i="4"/>
  <c r="S232" i="4"/>
  <c r="S233" i="4"/>
  <c r="S234" i="4"/>
  <c r="S235" i="4"/>
  <c r="S236" i="4"/>
  <c r="S237" i="4"/>
  <c r="S238" i="4"/>
  <c r="S239" i="4"/>
  <c r="S240" i="4"/>
  <c r="S241" i="4"/>
  <c r="S242" i="4"/>
  <c r="S243" i="4"/>
  <c r="S244" i="4"/>
  <c r="S245" i="4"/>
  <c r="S246" i="4"/>
  <c r="S247" i="4"/>
  <c r="S248" i="4"/>
  <c r="S249" i="4"/>
  <c r="S250" i="4"/>
  <c r="S251" i="4"/>
  <c r="S252" i="4"/>
  <c r="S253" i="4"/>
  <c r="S254" i="4"/>
  <c r="S255" i="4"/>
  <c r="S256" i="4"/>
  <c r="S257" i="4"/>
  <c r="S258" i="4"/>
  <c r="S259" i="4"/>
  <c r="S260" i="4"/>
  <c r="S261" i="4"/>
  <c r="S262" i="4"/>
  <c r="S263" i="4"/>
  <c r="S264" i="4"/>
  <c r="S265" i="4"/>
  <c r="S266" i="4"/>
  <c r="S267" i="4"/>
  <c r="S268" i="4"/>
  <c r="S269" i="4"/>
  <c r="S270" i="4"/>
  <c r="S271" i="4"/>
  <c r="S272" i="4"/>
  <c r="S273" i="4"/>
  <c r="S274" i="4"/>
  <c r="S275" i="4"/>
  <c r="S276" i="4"/>
  <c r="S277" i="4"/>
  <c r="S278" i="4"/>
  <c r="S279" i="4"/>
  <c r="S280" i="4"/>
  <c r="S281" i="4"/>
  <c r="S282" i="4"/>
  <c r="S283" i="4"/>
  <c r="S284" i="4"/>
  <c r="S285" i="4"/>
  <c r="S286" i="4"/>
  <c r="S287" i="4"/>
  <c r="S288" i="4"/>
  <c r="S289" i="4"/>
  <c r="S290" i="4"/>
  <c r="S291" i="4"/>
  <c r="S292" i="4"/>
  <c r="S293" i="4"/>
  <c r="S294" i="4"/>
  <c r="S295" i="4"/>
  <c r="S296" i="4"/>
  <c r="S297" i="4"/>
  <c r="S298" i="4"/>
  <c r="S299" i="4"/>
  <c r="S300" i="4"/>
  <c r="S301" i="4"/>
  <c r="S302" i="4"/>
  <c r="S303" i="4"/>
  <c r="S304" i="4"/>
  <c r="S305" i="4"/>
  <c r="S306" i="4"/>
  <c r="S307" i="4"/>
  <c r="S308" i="4"/>
  <c r="S309" i="4"/>
  <c r="S310" i="4"/>
  <c r="S311" i="4"/>
  <c r="S312" i="4"/>
  <c r="S313" i="4"/>
  <c r="S314" i="4"/>
  <c r="S315" i="4"/>
  <c r="S316" i="4"/>
  <c r="S317" i="4"/>
  <c r="S318" i="4"/>
  <c r="S319" i="4"/>
  <c r="S320" i="4"/>
  <c r="S321" i="4"/>
  <c r="S322" i="4"/>
  <c r="S323" i="4"/>
  <c r="S324" i="4"/>
  <c r="S325" i="4"/>
  <c r="S326" i="4"/>
  <c r="S327" i="4"/>
  <c r="S328" i="4"/>
  <c r="S329" i="4"/>
  <c r="S330" i="4"/>
  <c r="S331" i="4"/>
  <c r="S332" i="4"/>
  <c r="S333" i="4"/>
  <c r="S334" i="4"/>
  <c r="S335" i="4"/>
  <c r="S336" i="4"/>
  <c r="S337" i="4"/>
  <c r="S338" i="4"/>
  <c r="S339" i="4"/>
  <c r="S340" i="4"/>
  <c r="S341" i="4"/>
  <c r="S342" i="4"/>
  <c r="S343" i="4"/>
  <c r="S344" i="4"/>
  <c r="S345" i="4"/>
  <c r="S346" i="4"/>
  <c r="S347" i="4"/>
  <c r="S348" i="4"/>
  <c r="S349" i="4"/>
  <c r="S350" i="4"/>
  <c r="S351" i="4"/>
  <c r="S352" i="4"/>
  <c r="S353" i="4"/>
  <c r="S354" i="4"/>
  <c r="S355" i="4"/>
  <c r="S356" i="4"/>
  <c r="S357" i="4"/>
  <c r="S358" i="4"/>
  <c r="S359" i="4"/>
  <c r="S360" i="4"/>
  <c r="S361" i="4"/>
  <c r="S362" i="4"/>
  <c r="S363" i="4"/>
  <c r="S364" i="4"/>
  <c r="S365" i="4"/>
  <c r="S366" i="4"/>
  <c r="S367" i="4"/>
  <c r="S368" i="4"/>
  <c r="S369" i="4"/>
  <c r="S370" i="4"/>
  <c r="S371" i="4"/>
  <c r="S372" i="4"/>
  <c r="S373" i="4"/>
  <c r="S374" i="4"/>
  <c r="S375" i="4"/>
  <c r="S376" i="4"/>
  <c r="S377" i="4"/>
  <c r="S378" i="4"/>
  <c r="S379" i="4"/>
  <c r="S380" i="4"/>
  <c r="S381" i="4"/>
  <c r="S382" i="4"/>
  <c r="S383" i="4"/>
  <c r="S384" i="4"/>
  <c r="S385" i="4"/>
  <c r="S386" i="4"/>
  <c r="S387" i="4"/>
  <c r="S388" i="4"/>
  <c r="S389" i="4"/>
  <c r="S390" i="4"/>
  <c r="S391" i="4"/>
  <c r="S392" i="4"/>
  <c r="S393" i="4"/>
  <c r="S394" i="4"/>
  <c r="S395" i="4"/>
  <c r="S396" i="4"/>
  <c r="S397" i="4"/>
  <c r="S398" i="4"/>
  <c r="S399" i="4"/>
  <c r="S400" i="4"/>
  <c r="S401" i="4"/>
  <c r="S402" i="4"/>
  <c r="S403" i="4"/>
  <c r="S404" i="4"/>
  <c r="S405" i="4"/>
  <c r="S406" i="4"/>
  <c r="S407" i="4"/>
  <c r="S408" i="4"/>
  <c r="S409" i="4"/>
  <c r="S410" i="4"/>
  <c r="S411" i="4"/>
  <c r="S412" i="4"/>
  <c r="S413" i="4"/>
  <c r="S414" i="4"/>
  <c r="S415" i="4"/>
  <c r="S416" i="4"/>
  <c r="S417" i="4"/>
  <c r="S418" i="4"/>
  <c r="S419" i="4"/>
  <c r="S420" i="4"/>
  <c r="S421" i="4"/>
  <c r="S422" i="4"/>
  <c r="S423" i="4"/>
  <c r="S424" i="4"/>
  <c r="S425" i="4"/>
  <c r="S426" i="4"/>
  <c r="S427" i="4"/>
  <c r="S428" i="4"/>
  <c r="S429" i="4"/>
  <c r="S430" i="4"/>
  <c r="S431" i="4"/>
  <c r="S432" i="4"/>
  <c r="S433" i="4"/>
  <c r="S434" i="4"/>
  <c r="S435" i="4"/>
  <c r="S436" i="4"/>
  <c r="S437" i="4"/>
  <c r="S438" i="4"/>
  <c r="S439" i="4"/>
  <c r="S440" i="4"/>
  <c r="S441" i="4"/>
  <c r="S442" i="4"/>
  <c r="S443" i="4"/>
  <c r="S444" i="4"/>
  <c r="S445" i="4"/>
  <c r="S446" i="4"/>
  <c r="S447" i="4"/>
  <c r="S448" i="4"/>
  <c r="S449" i="4"/>
  <c r="S450" i="4"/>
  <c r="S451" i="4"/>
  <c r="S452" i="4"/>
  <c r="S453" i="4"/>
  <c r="S454" i="4"/>
  <c r="S455" i="4"/>
  <c r="S456" i="4"/>
  <c r="S457" i="4"/>
  <c r="S458" i="4"/>
  <c r="S459" i="4"/>
  <c r="S460" i="4"/>
  <c r="S461" i="4"/>
  <c r="S462" i="4"/>
  <c r="S463" i="4"/>
  <c r="S464" i="4"/>
  <c r="S465" i="4"/>
  <c r="S466" i="4"/>
  <c r="S467" i="4"/>
  <c r="S468" i="4"/>
  <c r="S469" i="4"/>
  <c r="S470" i="4"/>
  <c r="S471" i="4"/>
  <c r="S472" i="4"/>
  <c r="S473" i="4"/>
  <c r="S474" i="4"/>
  <c r="S475" i="4"/>
  <c r="S476" i="4"/>
  <c r="S477" i="4"/>
  <c r="S478" i="4"/>
  <c r="S479" i="4"/>
  <c r="S480" i="4"/>
  <c r="S481" i="4"/>
  <c r="S482" i="4"/>
  <c r="S483" i="4"/>
  <c r="S484" i="4"/>
  <c r="S485" i="4"/>
  <c r="S486" i="4"/>
  <c r="S487" i="4"/>
  <c r="S488" i="4"/>
  <c r="S489" i="4"/>
  <c r="S490" i="4"/>
  <c r="S491" i="4"/>
  <c r="S492" i="4"/>
  <c r="S493" i="4"/>
  <c r="S494" i="4"/>
  <c r="S495" i="4"/>
  <c r="S496" i="4"/>
  <c r="S497" i="4"/>
  <c r="S498" i="4"/>
  <c r="S499" i="4"/>
  <c r="S500" i="4"/>
  <c r="S501" i="4"/>
  <c r="S502" i="4"/>
  <c r="S503" i="4"/>
  <c r="S504" i="4"/>
  <c r="S505" i="4"/>
  <c r="S506" i="4"/>
  <c r="S507" i="4"/>
  <c r="S508" i="4"/>
  <c r="S509" i="4"/>
  <c r="S510" i="4"/>
  <c r="S511" i="4"/>
  <c r="S512" i="4"/>
  <c r="S513" i="4"/>
  <c r="S514" i="4"/>
  <c r="S515" i="4"/>
  <c r="S516" i="4"/>
  <c r="S517" i="4"/>
  <c r="S518" i="4"/>
  <c r="S519" i="4"/>
  <c r="S520" i="4"/>
  <c r="S521" i="4"/>
  <c r="S522" i="4"/>
  <c r="S523" i="4"/>
  <c r="S524" i="4"/>
  <c r="S525" i="4"/>
  <c r="S526" i="4"/>
  <c r="S527" i="4"/>
  <c r="S528" i="4"/>
  <c r="S529" i="4"/>
  <c r="S530" i="4"/>
  <c r="S531" i="4"/>
  <c r="S532" i="4"/>
  <c r="S533" i="4"/>
  <c r="S534" i="4"/>
  <c r="S535" i="4"/>
  <c r="S536" i="4"/>
  <c r="S537" i="4"/>
  <c r="S538" i="4"/>
  <c r="S539" i="4"/>
  <c r="S540" i="4"/>
  <c r="S541" i="4"/>
  <c r="S542" i="4"/>
  <c r="S543" i="4"/>
  <c r="S544" i="4"/>
  <c r="S545" i="4"/>
  <c r="S546" i="4"/>
  <c r="S547" i="4"/>
  <c r="S548" i="4"/>
  <c r="S549" i="4"/>
  <c r="S550" i="4"/>
  <c r="S551" i="4"/>
  <c r="S552" i="4"/>
  <c r="S553" i="4"/>
  <c r="S554" i="4"/>
  <c r="S555" i="4"/>
  <c r="S556" i="4"/>
  <c r="S557" i="4"/>
  <c r="S558" i="4"/>
  <c r="S559" i="4"/>
  <c r="S560" i="4"/>
  <c r="S561" i="4"/>
  <c r="S562" i="4"/>
  <c r="S563" i="4"/>
  <c r="S564" i="4"/>
  <c r="S565" i="4"/>
  <c r="S566" i="4"/>
  <c r="S567" i="4"/>
  <c r="S568" i="4"/>
  <c r="S569" i="4"/>
  <c r="S570" i="4"/>
  <c r="S571" i="4"/>
  <c r="S572" i="4"/>
  <c r="S573" i="4"/>
  <c r="S574" i="4"/>
  <c r="S575" i="4"/>
  <c r="S576" i="4"/>
  <c r="S577" i="4"/>
  <c r="S578" i="4"/>
  <c r="S579" i="4"/>
  <c r="S580" i="4"/>
  <c r="S581" i="4"/>
  <c r="S582" i="4"/>
  <c r="S583" i="4"/>
  <c r="S584" i="4"/>
  <c r="S585" i="4"/>
  <c r="S586" i="4"/>
  <c r="S587" i="4"/>
  <c r="S588" i="4"/>
  <c r="S589" i="4"/>
  <c r="S590" i="4"/>
  <c r="S591" i="4"/>
  <c r="S592" i="4"/>
  <c r="S593" i="4"/>
  <c r="S594" i="4"/>
  <c r="S595" i="4"/>
  <c r="S596" i="4"/>
  <c r="S597" i="4"/>
  <c r="S598" i="4"/>
  <c r="S599" i="4"/>
  <c r="S600" i="4"/>
  <c r="S601" i="4"/>
  <c r="S602" i="4"/>
  <c r="S603" i="4"/>
  <c r="S604" i="4"/>
  <c r="S605" i="4"/>
  <c r="S606" i="4"/>
  <c r="S607" i="4"/>
  <c r="S608" i="4"/>
  <c r="S609" i="4"/>
  <c r="S610" i="4"/>
  <c r="S611" i="4"/>
  <c r="S612" i="4"/>
  <c r="S613" i="4"/>
  <c r="S614" i="4"/>
  <c r="S615" i="4"/>
  <c r="S616" i="4"/>
  <c r="S617" i="4"/>
  <c r="S618" i="4"/>
  <c r="S619" i="4"/>
  <c r="S620" i="4"/>
  <c r="S621" i="4"/>
  <c r="S622" i="4"/>
  <c r="S623" i="4"/>
  <c r="S624" i="4"/>
  <c r="S625" i="4"/>
  <c r="S626" i="4"/>
  <c r="S627" i="4"/>
  <c r="S628" i="4"/>
  <c r="S629" i="4"/>
  <c r="S630" i="4"/>
  <c r="S631" i="4"/>
  <c r="S632" i="4"/>
  <c r="S633" i="4"/>
  <c r="S634" i="4"/>
  <c r="S635" i="4"/>
  <c r="S636" i="4"/>
  <c r="S637" i="4"/>
  <c r="S638" i="4"/>
  <c r="S639" i="4"/>
  <c r="S640" i="4"/>
  <c r="S641" i="4"/>
  <c r="S642" i="4"/>
  <c r="S643" i="4"/>
  <c r="S644" i="4"/>
  <c r="S645" i="4"/>
  <c r="S646" i="4"/>
  <c r="S647" i="4"/>
  <c r="S648" i="4"/>
  <c r="S649" i="4"/>
  <c r="S650" i="4"/>
  <c r="S651" i="4"/>
  <c r="S652" i="4"/>
  <c r="S653" i="4"/>
  <c r="S654" i="4"/>
  <c r="S655" i="4"/>
  <c r="S656" i="4"/>
  <c r="S657" i="4"/>
  <c r="S658" i="4"/>
  <c r="S659" i="4"/>
  <c r="S660" i="4"/>
  <c r="S661" i="4"/>
  <c r="S662" i="4"/>
  <c r="S663" i="4"/>
  <c r="S664" i="4"/>
  <c r="S665" i="4"/>
  <c r="S666" i="4"/>
  <c r="S667" i="4"/>
  <c r="S668" i="4"/>
  <c r="S669" i="4"/>
  <c r="S670" i="4"/>
  <c r="S671" i="4"/>
  <c r="S672" i="4"/>
  <c r="S673" i="4"/>
  <c r="S674" i="4"/>
  <c r="S675" i="4"/>
  <c r="S676" i="4"/>
  <c r="S677" i="4"/>
  <c r="S678" i="4"/>
  <c r="S679" i="4"/>
  <c r="S680" i="4"/>
  <c r="S681" i="4"/>
  <c r="S682" i="4"/>
  <c r="S683" i="4"/>
  <c r="S684" i="4"/>
  <c r="S685" i="4"/>
  <c r="S686" i="4"/>
  <c r="S687" i="4"/>
  <c r="S688" i="4"/>
  <c r="S689" i="4"/>
  <c r="S690" i="4"/>
  <c r="S691" i="4"/>
  <c r="S692" i="4"/>
  <c r="S693" i="4"/>
  <c r="S694" i="4"/>
  <c r="S695" i="4"/>
  <c r="S696" i="4"/>
  <c r="S697" i="4"/>
  <c r="S698" i="4"/>
  <c r="S699" i="4"/>
  <c r="S700" i="4"/>
  <c r="S701" i="4"/>
  <c r="S702" i="4"/>
  <c r="S703" i="4"/>
  <c r="S704" i="4"/>
  <c r="S705" i="4"/>
  <c r="S706" i="4"/>
  <c r="S707" i="4"/>
  <c r="S708" i="4"/>
  <c r="S709" i="4"/>
  <c r="S710" i="4"/>
  <c r="S711" i="4"/>
  <c r="S712" i="4"/>
  <c r="S713" i="4"/>
  <c r="S714" i="4"/>
  <c r="S715" i="4"/>
  <c r="S716" i="4"/>
  <c r="S717" i="4"/>
  <c r="S718" i="4"/>
  <c r="S719" i="4"/>
  <c r="S720" i="4"/>
  <c r="S721" i="4"/>
  <c r="S722" i="4"/>
  <c r="S723" i="4"/>
  <c r="S724" i="4"/>
  <c r="S725" i="4"/>
  <c r="S726" i="4"/>
  <c r="S727" i="4"/>
  <c r="S728" i="4"/>
  <c r="S729" i="4"/>
  <c r="S730" i="4"/>
  <c r="S731" i="4"/>
  <c r="S732" i="4"/>
  <c r="S733" i="4"/>
  <c r="S734" i="4"/>
  <c r="S735" i="4"/>
  <c r="S736" i="4"/>
  <c r="S737" i="4"/>
  <c r="S738" i="4"/>
  <c r="S739" i="4"/>
  <c r="S740" i="4"/>
  <c r="S741" i="4"/>
  <c r="S742" i="4"/>
  <c r="S743" i="4"/>
  <c r="S744" i="4"/>
  <c r="S745" i="4"/>
  <c r="S746" i="4"/>
  <c r="S747" i="4"/>
  <c r="S748" i="4"/>
  <c r="S749" i="4"/>
  <c r="S750" i="4"/>
  <c r="S751" i="4"/>
  <c r="S752" i="4"/>
  <c r="S753" i="4"/>
  <c r="S754" i="4"/>
  <c r="S755" i="4"/>
  <c r="S756" i="4"/>
  <c r="S757" i="4"/>
  <c r="S758" i="4"/>
  <c r="S759" i="4"/>
  <c r="S760" i="4"/>
  <c r="S761" i="4"/>
  <c r="S762" i="4"/>
  <c r="S763" i="4"/>
  <c r="S764" i="4"/>
  <c r="S765" i="4"/>
  <c r="S766" i="4"/>
  <c r="S767" i="4"/>
  <c r="S768" i="4"/>
  <c r="S769" i="4"/>
  <c r="S770" i="4"/>
  <c r="S771" i="4"/>
  <c r="S772" i="4"/>
  <c r="S773" i="4"/>
  <c r="S774" i="4"/>
  <c r="S775" i="4"/>
  <c r="S776" i="4"/>
  <c r="S777" i="4"/>
  <c r="S778" i="4"/>
  <c r="S779" i="4"/>
  <c r="S780" i="4"/>
  <c r="S781" i="4"/>
  <c r="S782" i="4"/>
  <c r="S783" i="4"/>
  <c r="S784" i="4"/>
  <c r="S785" i="4"/>
  <c r="S786" i="4"/>
  <c r="S787" i="4"/>
  <c r="S788" i="4"/>
  <c r="S789" i="4"/>
  <c r="S790" i="4"/>
  <c r="S791" i="4"/>
  <c r="S792" i="4"/>
  <c r="S793" i="4"/>
  <c r="S794" i="4"/>
  <c r="S795" i="4"/>
  <c r="S796" i="4"/>
  <c r="S797" i="4"/>
  <c r="S798" i="4"/>
  <c r="S799" i="4"/>
  <c r="S800" i="4"/>
  <c r="S801" i="4"/>
  <c r="S802" i="4"/>
  <c r="S803" i="4"/>
  <c r="S804" i="4"/>
  <c r="S805" i="4"/>
  <c r="S806" i="4"/>
  <c r="S807" i="4"/>
  <c r="S808" i="4"/>
  <c r="S809" i="4"/>
  <c r="S810" i="4"/>
  <c r="S811" i="4"/>
  <c r="S812" i="4"/>
  <c r="S813" i="4"/>
  <c r="S814" i="4"/>
  <c r="S815" i="4"/>
  <c r="S816" i="4"/>
  <c r="S817" i="4"/>
  <c r="S818" i="4"/>
  <c r="S819" i="4"/>
  <c r="S820" i="4"/>
  <c r="S821" i="4"/>
  <c r="S822" i="4"/>
  <c r="S823" i="4"/>
  <c r="S824" i="4"/>
  <c r="S825" i="4"/>
  <c r="S826" i="4"/>
  <c r="S827" i="4"/>
  <c r="S828" i="4"/>
  <c r="S829" i="4"/>
  <c r="S830" i="4"/>
  <c r="S831" i="4"/>
  <c r="S832" i="4"/>
  <c r="S833" i="4"/>
  <c r="S834" i="4"/>
  <c r="S835" i="4"/>
  <c r="S836" i="4"/>
  <c r="S837" i="4"/>
  <c r="S838" i="4"/>
  <c r="S839" i="4"/>
  <c r="S840" i="4"/>
  <c r="S841" i="4"/>
  <c r="S842" i="4"/>
  <c r="S843" i="4"/>
  <c r="S844" i="4"/>
  <c r="S845" i="4"/>
  <c r="S846" i="4"/>
  <c r="S847" i="4"/>
  <c r="S848" i="4"/>
  <c r="S849" i="4"/>
  <c r="S850" i="4"/>
  <c r="S851" i="4"/>
  <c r="S852" i="4"/>
  <c r="S853" i="4"/>
  <c r="S854" i="4"/>
  <c r="S855" i="4"/>
  <c r="S856" i="4"/>
  <c r="S857" i="4"/>
  <c r="S858" i="4"/>
  <c r="S859" i="4"/>
  <c r="S860" i="4"/>
  <c r="S861" i="4"/>
  <c r="S862" i="4"/>
  <c r="S863" i="4"/>
  <c r="S864" i="4"/>
  <c r="S865" i="4"/>
  <c r="S866" i="4"/>
  <c r="S867" i="4"/>
  <c r="S868" i="4"/>
  <c r="S869" i="4"/>
  <c r="S870" i="4"/>
  <c r="S871" i="4"/>
  <c r="S872" i="4"/>
  <c r="S873" i="4"/>
  <c r="S874" i="4"/>
  <c r="S875" i="4"/>
  <c r="S876" i="4"/>
  <c r="S877" i="4"/>
  <c r="S878" i="4"/>
  <c r="S879" i="4"/>
  <c r="S880" i="4"/>
  <c r="S881" i="4"/>
  <c r="S882" i="4"/>
  <c r="S883" i="4"/>
  <c r="S884" i="4"/>
  <c r="S885" i="4"/>
  <c r="S886" i="4"/>
  <c r="S887" i="4"/>
  <c r="S888" i="4"/>
  <c r="S889" i="4"/>
  <c r="S890" i="4"/>
  <c r="S891" i="4"/>
  <c r="S892" i="4"/>
  <c r="S893" i="4"/>
  <c r="S894" i="4"/>
  <c r="S895" i="4"/>
  <c r="S896" i="4"/>
  <c r="S897" i="4"/>
  <c r="S898" i="4"/>
  <c r="S899" i="4"/>
  <c r="S900" i="4"/>
  <c r="S901" i="4"/>
  <c r="S902" i="4"/>
  <c r="S903" i="4"/>
  <c r="S904" i="4"/>
  <c r="S905" i="4"/>
  <c r="S906" i="4"/>
  <c r="S907" i="4"/>
  <c r="S908" i="4"/>
  <c r="S909" i="4"/>
  <c r="S910" i="4"/>
  <c r="S911" i="4"/>
  <c r="S912" i="4"/>
  <c r="S913" i="4"/>
  <c r="S914" i="4"/>
  <c r="S915" i="4"/>
  <c r="S916" i="4"/>
  <c r="S917" i="4"/>
  <c r="S918" i="4"/>
  <c r="S919" i="4"/>
  <c r="S920" i="4"/>
  <c r="S921" i="4"/>
  <c r="S922" i="4"/>
  <c r="S923" i="4"/>
  <c r="S924" i="4"/>
  <c r="S925" i="4"/>
  <c r="S926" i="4"/>
  <c r="S927" i="4"/>
  <c r="S928" i="4"/>
  <c r="S929" i="4"/>
  <c r="S930" i="4"/>
  <c r="S931" i="4"/>
  <c r="S932" i="4"/>
  <c r="S933" i="4"/>
  <c r="S934" i="4"/>
  <c r="S935" i="4"/>
  <c r="S936" i="4"/>
  <c r="S937" i="4"/>
  <c r="S938" i="4"/>
  <c r="S939" i="4"/>
  <c r="S940" i="4"/>
  <c r="S941" i="4"/>
  <c r="S942" i="4"/>
  <c r="S943" i="4"/>
  <c r="S944" i="4"/>
  <c r="S945" i="4"/>
  <c r="S946" i="4"/>
  <c r="S947" i="4"/>
  <c r="S948" i="4"/>
  <c r="S949" i="4"/>
  <c r="S950" i="4"/>
  <c r="S951" i="4"/>
  <c r="S952" i="4"/>
  <c r="S953" i="4"/>
  <c r="S954" i="4"/>
  <c r="S955" i="4"/>
  <c r="S956" i="4"/>
  <c r="S957" i="4"/>
  <c r="S958" i="4"/>
  <c r="S959" i="4"/>
  <c r="S960" i="4"/>
  <c r="S961" i="4"/>
  <c r="S962" i="4"/>
  <c r="S963" i="4"/>
  <c r="S964" i="4"/>
  <c r="S965" i="4"/>
  <c r="S966" i="4"/>
  <c r="S967" i="4"/>
  <c r="S968" i="4"/>
  <c r="S969" i="4"/>
  <c r="S970" i="4"/>
  <c r="S971" i="4"/>
  <c r="S972" i="4"/>
  <c r="S973" i="4"/>
  <c r="S974" i="4"/>
  <c r="S975" i="4"/>
  <c r="S976" i="4"/>
  <c r="S977" i="4"/>
  <c r="S978" i="4"/>
  <c r="S979" i="4"/>
  <c r="S980" i="4"/>
  <c r="S981" i="4"/>
  <c r="S982" i="4"/>
  <c r="S983" i="4"/>
  <c r="S984" i="4"/>
  <c r="S985" i="4"/>
  <c r="S986" i="4"/>
  <c r="S987" i="4"/>
  <c r="S988" i="4"/>
  <c r="S989" i="4"/>
  <c r="S990" i="4"/>
  <c r="S991" i="4"/>
  <c r="S992" i="4"/>
  <c r="S993" i="4"/>
  <c r="S994" i="4"/>
  <c r="S995" i="4"/>
  <c r="S996" i="4"/>
  <c r="S997" i="4"/>
  <c r="S998" i="4"/>
  <c r="S999" i="4"/>
  <c r="S1000" i="4"/>
  <c r="S1001" i="4"/>
  <c r="S1002" i="4"/>
  <c r="S1003" i="4"/>
  <c r="S1004" i="4"/>
  <c r="S1005" i="4"/>
  <c r="S1006" i="4"/>
  <c r="S1007" i="4"/>
  <c r="S1008" i="4"/>
  <c r="S1009" i="4"/>
  <c r="S1010" i="4"/>
  <c r="S1011" i="4"/>
  <c r="S1012" i="4"/>
  <c r="S1013" i="4"/>
  <c r="S1014" i="4"/>
  <c r="S1015" i="4"/>
  <c r="S1016" i="4"/>
  <c r="S1017" i="4"/>
  <c r="S1018" i="4"/>
  <c r="S1019" i="4"/>
  <c r="S1020" i="4"/>
  <c r="S1021" i="4"/>
  <c r="S1022" i="4"/>
  <c r="S1023" i="4"/>
  <c r="S1024" i="4"/>
  <c r="S1025" i="4"/>
  <c r="S1026" i="4"/>
  <c r="S1027" i="4"/>
  <c r="S1028" i="4"/>
  <c r="S1029" i="4"/>
  <c r="S1030" i="4"/>
  <c r="S1031" i="4"/>
  <c r="S1032" i="4"/>
  <c r="S1033" i="4"/>
  <c r="S1034" i="4"/>
  <c r="S1035" i="4"/>
  <c r="S1036" i="4"/>
  <c r="S1037" i="4"/>
  <c r="S1038" i="4"/>
  <c r="S1039" i="4"/>
  <c r="S1040" i="4"/>
  <c r="S1041" i="4"/>
  <c r="S1042" i="4"/>
  <c r="S1043" i="4"/>
  <c r="S1044" i="4"/>
  <c r="S1045" i="4"/>
  <c r="S1046" i="4"/>
  <c r="S1047" i="4"/>
  <c r="S1048" i="4"/>
  <c r="S1049" i="4"/>
  <c r="S1050" i="4"/>
  <c r="S1051" i="4"/>
  <c r="S1052" i="4"/>
  <c r="S1053" i="4"/>
  <c r="S1054" i="4"/>
  <c r="S1055" i="4"/>
  <c r="S1056" i="4"/>
  <c r="S1057" i="4"/>
  <c r="S1058" i="4"/>
  <c r="S1059" i="4"/>
  <c r="S1060" i="4"/>
  <c r="S1061" i="4"/>
  <c r="S1062" i="4"/>
  <c r="S1063" i="4"/>
  <c r="S1064" i="4"/>
  <c r="S1065" i="4"/>
  <c r="S1066" i="4"/>
  <c r="S1067" i="4"/>
  <c r="S1068" i="4"/>
  <c r="S1069" i="4"/>
  <c r="S1070" i="4"/>
  <c r="S1071" i="4"/>
  <c r="S1072" i="4"/>
  <c r="S1073" i="4"/>
  <c r="S1074" i="4"/>
  <c r="S1075" i="4"/>
  <c r="S1076" i="4"/>
  <c r="S1077" i="4"/>
  <c r="S1078" i="4"/>
  <c r="S1079" i="4"/>
  <c r="S1080" i="4"/>
  <c r="S1081" i="4"/>
  <c r="S1082" i="4"/>
  <c r="S1083" i="4"/>
  <c r="S1084" i="4"/>
  <c r="S1085" i="4"/>
  <c r="S1086" i="4"/>
  <c r="S1087" i="4"/>
  <c r="S1088" i="4"/>
  <c r="S1089" i="4"/>
  <c r="S1090" i="4"/>
  <c r="S1091" i="4"/>
  <c r="S1092" i="4"/>
  <c r="S1093" i="4"/>
  <c r="S1094" i="4"/>
  <c r="S1095" i="4"/>
  <c r="S1096" i="4"/>
  <c r="S1097" i="4"/>
  <c r="S1098" i="4"/>
  <c r="S1099" i="4"/>
  <c r="S1100" i="4"/>
  <c r="S1101" i="4"/>
  <c r="S1102" i="4"/>
  <c r="S1103" i="4"/>
  <c r="S1104" i="4"/>
  <c r="S1105" i="4"/>
  <c r="S1106" i="4"/>
  <c r="S1107" i="4"/>
  <c r="S1108" i="4"/>
  <c r="S1109" i="4"/>
  <c r="S1110" i="4"/>
  <c r="S1111" i="4"/>
  <c r="S1112" i="4"/>
  <c r="S1113" i="4"/>
  <c r="S1114" i="4"/>
  <c r="S1115" i="4"/>
  <c r="S1116" i="4"/>
  <c r="S1117" i="4"/>
  <c r="S1118" i="4"/>
  <c r="S1119" i="4"/>
  <c r="S1120" i="4"/>
  <c r="S1121" i="4"/>
  <c r="S1122" i="4"/>
  <c r="S1123" i="4"/>
  <c r="S1124" i="4"/>
  <c r="S1125" i="4"/>
  <c r="S1126" i="4"/>
  <c r="S1127" i="4"/>
  <c r="S1128" i="4"/>
  <c r="S1129" i="4"/>
  <c r="S1130" i="4"/>
  <c r="S1131" i="4"/>
  <c r="S1132" i="4"/>
  <c r="S1133" i="4"/>
  <c r="S1134" i="4"/>
  <c r="S1135" i="4"/>
  <c r="S1136" i="4"/>
  <c r="S1137" i="4"/>
  <c r="S1138" i="4"/>
  <c r="S1139" i="4"/>
  <c r="S1140" i="4"/>
  <c r="S1141" i="4"/>
  <c r="S1142" i="4"/>
  <c r="S1143" i="4"/>
  <c r="S1144" i="4"/>
  <c r="S1145" i="4"/>
  <c r="S1146" i="4"/>
  <c r="S1147" i="4"/>
  <c r="S1148" i="4"/>
  <c r="S1149" i="4"/>
  <c r="S1150" i="4"/>
  <c r="S1151" i="4"/>
  <c r="S1152" i="4"/>
  <c r="S1153" i="4"/>
  <c r="S1154" i="4"/>
  <c r="S1155" i="4"/>
  <c r="S1156" i="4"/>
  <c r="S1157" i="4"/>
  <c r="S1158" i="4"/>
  <c r="S1159" i="4"/>
  <c r="S1160" i="4"/>
  <c r="S1161" i="4"/>
  <c r="S1162" i="4"/>
  <c r="S1163" i="4"/>
  <c r="S1164" i="4"/>
  <c r="S1165" i="4"/>
  <c r="S1166" i="4"/>
  <c r="S1167" i="4"/>
  <c r="S1168" i="4"/>
  <c r="S1169" i="4"/>
  <c r="S1170" i="4"/>
  <c r="S1171" i="4"/>
  <c r="S1172" i="4"/>
  <c r="S1173" i="4"/>
  <c r="S1174" i="4"/>
  <c r="S1175" i="4"/>
  <c r="S1176" i="4"/>
  <c r="S1177" i="4"/>
  <c r="S1178" i="4"/>
  <c r="S1179" i="4"/>
  <c r="S1180" i="4"/>
  <c r="S1181" i="4"/>
  <c r="S1182" i="4"/>
  <c r="S1183" i="4"/>
  <c r="S1184" i="4"/>
  <c r="S1185" i="4"/>
  <c r="S1186" i="4"/>
  <c r="S1187" i="4"/>
  <c r="S1188" i="4"/>
  <c r="S1189" i="4"/>
  <c r="S1190" i="4"/>
  <c r="S1191" i="4"/>
  <c r="S1192" i="4"/>
  <c r="S1193" i="4"/>
  <c r="S1194" i="4"/>
  <c r="S1195" i="4"/>
  <c r="S1196" i="4"/>
  <c r="S1197" i="4"/>
  <c r="S1198" i="4"/>
  <c r="S1199" i="4"/>
  <c r="S1200" i="4"/>
  <c r="S1201" i="4"/>
  <c r="S1202" i="4"/>
  <c r="S1203" i="4"/>
  <c r="S1204" i="4"/>
  <c r="S1205" i="4"/>
  <c r="S1206" i="4"/>
  <c r="S1207" i="4"/>
  <c r="S1208" i="4"/>
  <c r="S1209" i="4"/>
  <c r="S1210" i="4"/>
  <c r="S1211" i="4"/>
  <c r="S1212" i="4"/>
  <c r="S1213" i="4"/>
  <c r="S1214" i="4"/>
  <c r="S1215" i="4"/>
  <c r="S1216" i="4"/>
  <c r="S1217" i="4"/>
  <c r="S1218" i="4"/>
  <c r="S1219" i="4"/>
  <c r="S1220" i="4"/>
  <c r="S1221" i="4"/>
  <c r="S1222" i="4"/>
  <c r="S1223" i="4"/>
  <c r="S1224" i="4"/>
  <c r="S1225" i="4"/>
  <c r="S1226" i="4"/>
  <c r="S1227" i="4"/>
  <c r="S1228" i="4"/>
  <c r="S1229" i="4"/>
  <c r="S1230" i="4"/>
  <c r="S1231" i="4"/>
  <c r="S1232" i="4"/>
  <c r="S1233" i="4"/>
  <c r="S1234" i="4"/>
  <c r="S1235" i="4"/>
  <c r="S1236" i="4"/>
  <c r="S1237" i="4"/>
  <c r="S1238" i="4"/>
  <c r="S1239" i="4"/>
  <c r="S1240" i="4"/>
  <c r="S1241" i="4"/>
  <c r="S1242" i="4"/>
  <c r="S1243" i="4"/>
  <c r="S1244" i="4"/>
  <c r="S1245" i="4"/>
  <c r="S1246" i="4"/>
  <c r="S1247" i="4"/>
  <c r="S1248" i="4"/>
  <c r="S1249" i="4"/>
  <c r="S1250" i="4"/>
  <c r="S1251" i="4"/>
  <c r="S1252" i="4"/>
  <c r="S1253" i="4"/>
  <c r="S1254" i="4"/>
  <c r="S1255" i="4"/>
  <c r="S1256" i="4"/>
  <c r="S1257" i="4"/>
  <c r="S1258" i="4"/>
  <c r="S1259" i="4"/>
  <c r="S1260" i="4"/>
  <c r="S1261" i="4"/>
  <c r="S1262" i="4"/>
  <c r="S1263" i="4"/>
  <c r="S1264" i="4"/>
  <c r="S1265" i="4"/>
  <c r="S1266" i="4"/>
  <c r="S1267" i="4"/>
  <c r="S1268" i="4"/>
  <c r="S1269" i="4"/>
  <c r="S1270" i="4"/>
  <c r="S1271" i="4"/>
  <c r="S1272" i="4"/>
  <c r="S1273" i="4"/>
  <c r="S1274" i="4"/>
  <c r="S1275" i="4"/>
  <c r="S1276" i="4"/>
  <c r="S1277" i="4"/>
  <c r="S1278" i="4"/>
  <c r="S1279" i="4"/>
  <c r="S1280" i="4"/>
  <c r="S1281" i="4"/>
  <c r="S1282" i="4"/>
  <c r="S1283" i="4"/>
  <c r="S1284" i="4"/>
  <c r="S1285" i="4"/>
  <c r="S1286" i="4"/>
  <c r="S1287" i="4"/>
  <c r="S1288" i="4"/>
  <c r="S1289" i="4"/>
  <c r="S1290" i="4"/>
  <c r="S1291" i="4"/>
  <c r="S1292" i="4"/>
  <c r="S1293" i="4"/>
  <c r="S1294" i="4"/>
  <c r="S1295" i="4"/>
  <c r="S1296" i="4"/>
  <c r="S1297" i="4"/>
  <c r="S1298" i="4"/>
  <c r="S1299" i="4"/>
  <c r="S1300" i="4"/>
  <c r="S1301" i="4"/>
  <c r="S1302" i="4"/>
  <c r="S1303" i="4"/>
  <c r="S1304" i="4"/>
  <c r="S1305" i="4"/>
  <c r="S1306" i="4"/>
  <c r="S1307" i="4"/>
  <c r="S1308" i="4"/>
  <c r="S1309" i="4"/>
  <c r="S1310" i="4"/>
  <c r="S1311" i="4"/>
  <c r="S1312" i="4"/>
  <c r="S1313" i="4"/>
  <c r="S1314" i="4"/>
  <c r="S1315" i="4"/>
  <c r="S1316" i="4"/>
  <c r="S1317" i="4"/>
  <c r="S1318" i="4"/>
  <c r="S1319" i="4"/>
  <c r="S1320" i="4"/>
  <c r="S1321" i="4"/>
  <c r="S1322" i="4"/>
  <c r="S1323" i="4"/>
  <c r="S1324" i="4"/>
  <c r="S1325" i="4"/>
  <c r="S1326" i="4"/>
  <c r="S1327" i="4"/>
  <c r="S1328" i="4"/>
  <c r="S1329" i="4"/>
  <c r="S1330" i="4"/>
  <c r="S1331" i="4"/>
  <c r="S1332" i="4"/>
  <c r="S1333" i="4"/>
  <c r="S1334" i="4"/>
  <c r="S1335" i="4"/>
  <c r="S1336" i="4"/>
  <c r="S1337" i="4"/>
  <c r="S1338" i="4"/>
  <c r="S1339" i="4"/>
  <c r="S1340" i="4"/>
  <c r="S1341" i="4"/>
  <c r="S1342" i="4"/>
  <c r="S1343" i="4"/>
  <c r="S1344" i="4"/>
  <c r="S1345" i="4"/>
  <c r="S1346" i="4"/>
  <c r="S1347" i="4"/>
  <c r="S1348" i="4"/>
  <c r="S1349" i="4"/>
  <c r="S1350" i="4"/>
  <c r="S1351" i="4"/>
  <c r="S1352" i="4"/>
  <c r="S1353" i="4"/>
  <c r="S1354" i="4"/>
  <c r="S1355" i="4"/>
  <c r="S1356" i="4"/>
  <c r="S1357" i="4"/>
  <c r="S1358" i="4"/>
  <c r="S1359" i="4"/>
  <c r="S1360" i="4"/>
  <c r="S1361" i="4"/>
  <c r="S1362" i="4"/>
  <c r="S1363" i="4"/>
  <c r="S1364" i="4"/>
  <c r="S1365" i="4"/>
  <c r="S1366" i="4"/>
  <c r="S1367" i="4"/>
  <c r="S1368" i="4"/>
  <c r="S1369" i="4"/>
  <c r="S1370" i="4"/>
  <c r="S1371" i="4"/>
  <c r="S1372" i="4"/>
  <c r="S1373" i="4"/>
  <c r="S1374" i="4"/>
  <c r="S1375" i="4"/>
  <c r="S1376" i="4"/>
  <c r="S1377" i="4"/>
  <c r="S1378" i="4"/>
  <c r="S1379" i="4"/>
  <c r="S1380" i="4"/>
  <c r="S1381" i="4"/>
  <c r="S1382" i="4"/>
  <c r="S1383" i="4"/>
  <c r="S1384" i="4"/>
  <c r="S1385" i="4"/>
  <c r="S1386" i="4"/>
  <c r="S1387" i="4"/>
  <c r="S1388" i="4"/>
  <c r="S1389" i="4"/>
  <c r="S1390" i="4"/>
  <c r="S1391" i="4"/>
  <c r="S1392" i="4"/>
  <c r="S1393" i="4"/>
  <c r="S1394" i="4"/>
  <c r="S1395" i="4"/>
  <c r="S1396" i="4"/>
  <c r="S1397" i="4"/>
  <c r="S1398" i="4"/>
  <c r="S1399" i="4"/>
  <c r="S1400" i="4"/>
  <c r="S1401" i="4"/>
  <c r="S1402" i="4"/>
  <c r="S1403" i="4"/>
  <c r="S1404" i="4"/>
  <c r="S1405" i="4"/>
  <c r="S1406" i="4"/>
  <c r="S1407" i="4"/>
  <c r="S1408" i="4"/>
  <c r="S1409" i="4"/>
  <c r="S1410" i="4"/>
  <c r="S1411" i="4"/>
  <c r="S1412" i="4"/>
  <c r="S1413" i="4"/>
  <c r="S1414" i="4"/>
  <c r="S1415" i="4"/>
  <c r="S1416" i="4"/>
  <c r="S1417" i="4"/>
  <c r="S1418" i="4"/>
  <c r="S1419" i="4"/>
  <c r="S1420" i="4"/>
  <c r="S1421" i="4"/>
  <c r="S1422" i="4"/>
  <c r="S1423" i="4"/>
  <c r="S1424" i="4"/>
  <c r="S1425" i="4"/>
  <c r="S1426" i="4"/>
  <c r="S1427" i="4"/>
  <c r="S1428" i="4"/>
  <c r="S1429" i="4"/>
  <c r="S1430" i="4"/>
  <c r="S1431" i="4"/>
  <c r="S1432" i="4"/>
  <c r="S1433" i="4"/>
  <c r="S1434" i="4"/>
  <c r="S1435" i="4"/>
  <c r="S1436" i="4"/>
  <c r="S1437" i="4"/>
  <c r="S1438" i="4"/>
  <c r="S1439" i="4"/>
  <c r="S1440" i="4"/>
  <c r="S1441" i="4"/>
  <c r="S1442" i="4"/>
  <c r="S1443" i="4"/>
  <c r="S1444" i="4"/>
  <c r="S1445" i="4"/>
  <c r="S1446" i="4"/>
  <c r="S1447" i="4"/>
  <c r="S1448" i="4"/>
  <c r="S1449" i="4"/>
  <c r="S1450" i="4"/>
  <c r="S1451" i="4"/>
  <c r="S1452" i="4"/>
  <c r="S1453" i="4"/>
  <c r="S1454" i="4"/>
  <c r="S1455" i="4"/>
  <c r="S1456" i="4"/>
  <c r="S1457" i="4"/>
  <c r="S1458" i="4"/>
  <c r="S1459" i="4"/>
  <c r="S1460" i="4"/>
  <c r="S1461" i="4"/>
  <c r="S1462" i="4"/>
  <c r="S1463" i="4"/>
  <c r="S1464" i="4"/>
  <c r="S1465" i="4"/>
  <c r="S1466" i="4"/>
  <c r="S1467" i="4"/>
  <c r="S1468" i="4"/>
  <c r="S1469" i="4"/>
  <c r="S1470" i="4"/>
  <c r="S1471" i="4"/>
  <c r="S1472" i="4"/>
  <c r="S1473" i="4"/>
  <c r="S1474" i="4"/>
  <c r="S1475" i="4"/>
  <c r="S1476" i="4"/>
  <c r="S1477" i="4"/>
  <c r="S1478" i="4"/>
  <c r="S1479" i="4"/>
  <c r="S1480" i="4"/>
  <c r="S1481" i="4"/>
  <c r="S1482" i="4"/>
  <c r="S1483" i="4"/>
  <c r="S1484" i="4"/>
  <c r="S1485" i="4"/>
  <c r="S1486" i="4"/>
  <c r="S1487" i="4"/>
  <c r="S1488" i="4"/>
  <c r="S1489" i="4"/>
  <c r="S1490" i="4"/>
  <c r="S1491" i="4"/>
  <c r="S1492" i="4"/>
  <c r="S1493" i="4"/>
  <c r="S1494" i="4"/>
  <c r="S1495" i="4"/>
  <c r="S1496" i="4"/>
  <c r="S1497" i="4"/>
  <c r="S1498" i="4"/>
  <c r="S1499" i="4"/>
  <c r="S1500" i="4"/>
  <c r="S1501" i="4"/>
  <c r="S1502" i="4"/>
  <c r="S1503" i="4"/>
  <c r="S1504" i="4"/>
  <c r="S1505" i="4"/>
  <c r="S1506" i="4"/>
  <c r="S1507" i="4"/>
  <c r="S1508" i="4"/>
  <c r="S1509" i="4"/>
  <c r="S1510" i="4"/>
  <c r="S1511" i="4"/>
  <c r="S1512" i="4"/>
  <c r="S1513" i="4"/>
  <c r="S1514" i="4"/>
  <c r="S1515" i="4"/>
  <c r="S1516" i="4"/>
  <c r="S1517" i="4"/>
  <c r="S1518" i="4"/>
  <c r="S1519" i="4"/>
  <c r="S1520" i="4"/>
  <c r="S1521" i="4"/>
  <c r="S1522" i="4"/>
  <c r="S1523" i="4"/>
  <c r="S1524" i="4"/>
  <c r="S1525" i="4"/>
  <c r="S1526" i="4"/>
  <c r="S1527" i="4"/>
  <c r="S1528" i="4"/>
  <c r="S1529" i="4"/>
  <c r="S1530" i="4"/>
  <c r="S1531" i="4"/>
  <c r="S1532" i="4"/>
  <c r="S1533" i="4"/>
  <c r="S1534" i="4"/>
  <c r="S1535" i="4"/>
  <c r="S1536" i="4"/>
  <c r="S1537" i="4"/>
  <c r="S1538" i="4"/>
  <c r="S1539" i="4"/>
  <c r="S1540" i="4"/>
  <c r="S1541" i="4"/>
  <c r="S1542" i="4"/>
  <c r="S1543" i="4"/>
  <c r="S1544" i="4"/>
  <c r="S1545" i="4"/>
  <c r="S1546" i="4"/>
  <c r="S1547" i="4"/>
  <c r="S1548" i="4"/>
  <c r="S1549" i="4"/>
  <c r="S1550" i="4"/>
  <c r="S1551" i="4"/>
  <c r="S1552" i="4"/>
  <c r="S1553" i="4"/>
  <c r="S1554" i="4"/>
  <c r="S1555" i="4"/>
  <c r="S1556" i="4"/>
  <c r="S1557" i="4"/>
  <c r="S1558" i="4"/>
  <c r="S1559" i="4"/>
  <c r="S1560" i="4"/>
  <c r="S1561" i="4"/>
  <c r="S1562" i="4"/>
  <c r="S1563" i="4"/>
  <c r="S1564" i="4"/>
  <c r="S1565" i="4"/>
  <c r="S1566" i="4"/>
  <c r="S1567" i="4"/>
  <c r="S1568" i="4"/>
  <c r="S1569" i="4"/>
  <c r="S1570" i="4"/>
  <c r="S1571" i="4"/>
  <c r="S1572" i="4"/>
  <c r="S1573" i="4"/>
  <c r="S1574" i="4"/>
  <c r="S1575" i="4"/>
  <c r="S1576" i="4"/>
  <c r="S1577" i="4"/>
  <c r="S1578" i="4"/>
  <c r="S1579" i="4"/>
  <c r="S1580" i="4"/>
  <c r="S1581" i="4"/>
  <c r="S1582" i="4"/>
  <c r="S1583" i="4"/>
  <c r="S1584" i="4"/>
  <c r="S1585" i="4"/>
  <c r="S1586" i="4"/>
  <c r="S1587" i="4"/>
  <c r="S1588" i="4"/>
  <c r="S1589" i="4"/>
  <c r="S1590" i="4"/>
  <c r="S1591" i="4"/>
  <c r="S1592" i="4"/>
  <c r="S1593" i="4"/>
  <c r="S1594" i="4"/>
  <c r="S1595" i="4"/>
  <c r="S1596" i="4"/>
  <c r="S1597" i="4"/>
  <c r="S1598" i="4"/>
  <c r="S1599" i="4"/>
  <c r="S1600" i="4"/>
  <c r="S1601" i="4"/>
  <c r="S1602" i="4"/>
  <c r="S1603" i="4"/>
  <c r="S1604" i="4"/>
  <c r="S1605" i="4"/>
  <c r="S1606" i="4"/>
  <c r="S1607" i="4"/>
  <c r="S1608" i="4"/>
  <c r="S1609" i="4"/>
  <c r="S1610" i="4"/>
  <c r="S1611" i="4"/>
  <c r="S1612" i="4"/>
  <c r="S1613" i="4"/>
  <c r="S1614" i="4"/>
  <c r="S1615" i="4"/>
  <c r="S1616" i="4"/>
  <c r="S1617" i="4"/>
  <c r="S1618" i="4"/>
  <c r="S1619" i="4"/>
  <c r="S1620" i="4"/>
  <c r="S1621" i="4"/>
  <c r="S1622" i="4"/>
  <c r="S1623" i="4"/>
  <c r="S1624" i="4"/>
  <c r="S1625" i="4"/>
  <c r="S1626" i="4"/>
  <c r="S1627" i="4"/>
  <c r="S1628" i="4"/>
  <c r="S1629" i="4"/>
  <c r="S1630" i="4"/>
  <c r="S1631" i="4"/>
  <c r="S1632" i="4"/>
  <c r="S1633" i="4"/>
  <c r="S1634" i="4"/>
  <c r="S1635" i="4"/>
  <c r="S1636" i="4"/>
  <c r="S1637" i="4"/>
  <c r="S1638" i="4"/>
  <c r="S1639" i="4"/>
  <c r="S1640" i="4"/>
  <c r="S1641" i="4"/>
  <c r="S1642" i="4"/>
  <c r="S1643" i="4"/>
  <c r="S1644" i="4"/>
  <c r="S1645" i="4"/>
  <c r="S1646" i="4"/>
  <c r="S1647" i="4"/>
  <c r="S1648" i="4"/>
  <c r="S1649" i="4"/>
  <c r="S1650" i="4"/>
  <c r="S1651" i="4"/>
  <c r="S1652" i="4"/>
  <c r="S1653" i="4"/>
  <c r="S1654" i="4"/>
  <c r="S1655" i="4"/>
  <c r="S1656" i="4"/>
  <c r="S1657" i="4"/>
  <c r="S1658" i="4"/>
  <c r="S1659" i="4"/>
  <c r="S1660" i="4"/>
  <c r="S1661" i="4"/>
  <c r="S1662" i="4"/>
  <c r="S1663" i="4"/>
  <c r="S1664" i="4"/>
  <c r="S1665" i="4"/>
  <c r="S1666" i="4"/>
  <c r="S1667" i="4"/>
  <c r="S1668" i="4"/>
  <c r="S1669" i="4"/>
  <c r="S1670" i="4"/>
  <c r="S1671" i="4"/>
  <c r="S1672" i="4"/>
  <c r="S1673" i="4"/>
  <c r="S1674" i="4"/>
  <c r="S1675" i="4"/>
  <c r="S1676" i="4"/>
  <c r="S1677" i="4"/>
  <c r="S1678" i="4"/>
  <c r="S1679" i="4"/>
  <c r="S1680" i="4"/>
  <c r="S1681" i="4"/>
  <c r="S1682" i="4"/>
  <c r="S1683" i="4"/>
  <c r="S1684" i="4"/>
  <c r="S1685" i="4"/>
  <c r="S1686" i="4"/>
  <c r="S1687" i="4"/>
  <c r="S1688" i="4"/>
  <c r="S1689" i="4"/>
  <c r="S1690" i="4"/>
  <c r="S1691" i="4"/>
  <c r="S1692" i="4"/>
  <c r="S1693" i="4"/>
  <c r="S1694" i="4"/>
  <c r="S1695" i="4"/>
  <c r="S1696" i="4"/>
  <c r="S1697" i="4"/>
  <c r="S1698" i="4"/>
  <c r="S1699" i="4"/>
  <c r="S1700" i="4"/>
  <c r="S1701" i="4"/>
  <c r="S1702" i="4"/>
  <c r="S1703" i="4"/>
  <c r="S1704" i="4"/>
  <c r="S1705" i="4"/>
  <c r="S1706" i="4"/>
  <c r="S1707" i="4"/>
  <c r="S1708" i="4"/>
  <c r="S1709" i="4"/>
  <c r="S1710" i="4"/>
  <c r="S1711" i="4"/>
  <c r="S1712" i="4"/>
  <c r="S1713" i="4"/>
  <c r="S1714" i="4"/>
  <c r="S1715" i="4"/>
  <c r="S1716" i="4"/>
  <c r="S1717" i="4"/>
  <c r="S1718" i="4"/>
  <c r="S1719" i="4"/>
  <c r="S1720" i="4"/>
  <c r="S1721" i="4"/>
  <c r="S1722" i="4"/>
  <c r="S1723" i="4"/>
  <c r="S1724" i="4"/>
  <c r="S1725" i="4"/>
  <c r="S1726" i="4"/>
  <c r="S1727" i="4"/>
  <c r="S1728" i="4"/>
  <c r="S1729" i="4"/>
  <c r="S1730" i="4"/>
  <c r="S1731" i="4"/>
  <c r="S1732" i="4"/>
  <c r="S1733" i="4"/>
  <c r="S1734" i="4"/>
  <c r="S1735" i="4"/>
  <c r="S1736" i="4"/>
  <c r="S1737" i="4"/>
  <c r="S1738" i="4"/>
  <c r="S1739" i="4"/>
  <c r="S1740" i="4"/>
  <c r="S1741" i="4"/>
  <c r="S1742" i="4"/>
  <c r="S1743" i="4"/>
  <c r="S1744" i="4"/>
  <c r="S1745" i="4"/>
  <c r="S1746" i="4"/>
  <c r="S1747" i="4"/>
  <c r="S1748" i="4"/>
  <c r="S1749" i="4"/>
  <c r="S1750" i="4"/>
  <c r="S1751" i="4"/>
  <c r="S1752" i="4"/>
  <c r="S1753" i="4"/>
  <c r="S1754" i="4"/>
  <c r="S1755" i="4"/>
  <c r="S1756" i="4"/>
  <c r="S1757" i="4"/>
  <c r="S1758" i="4"/>
  <c r="S1759" i="4"/>
  <c r="S1760" i="4"/>
  <c r="S1761" i="4"/>
  <c r="S1762" i="4"/>
  <c r="S1763" i="4"/>
  <c r="S1764" i="4"/>
  <c r="S1765" i="4"/>
  <c r="S1766" i="4"/>
  <c r="S1767" i="4"/>
  <c r="S1768" i="4"/>
  <c r="S1769" i="4"/>
  <c r="S1770" i="4"/>
  <c r="S1771" i="4"/>
  <c r="S1772" i="4"/>
  <c r="S1773" i="4"/>
  <c r="S1774" i="4"/>
  <c r="S1775" i="4"/>
  <c r="S1776" i="4"/>
  <c r="S1777" i="4"/>
  <c r="S1778" i="4"/>
  <c r="S1779" i="4"/>
  <c r="S1780" i="4"/>
  <c r="S1781" i="4"/>
  <c r="S1782" i="4"/>
  <c r="S1783" i="4"/>
  <c r="S1784" i="4"/>
  <c r="S1785" i="4"/>
  <c r="S1786" i="4"/>
  <c r="S1787" i="4"/>
  <c r="S1788" i="4"/>
  <c r="S1789" i="4"/>
  <c r="S1790" i="4"/>
  <c r="S1791" i="4"/>
  <c r="S1792" i="4"/>
  <c r="S1793" i="4"/>
  <c r="S1794" i="4"/>
  <c r="S1795" i="4"/>
  <c r="S1796" i="4"/>
  <c r="S1797" i="4"/>
  <c r="S1798" i="4"/>
  <c r="S1799" i="4"/>
  <c r="S1800" i="4"/>
  <c r="S1801" i="4"/>
  <c r="S1802" i="4"/>
  <c r="S1803" i="4"/>
  <c r="S1804" i="4"/>
  <c r="S1805" i="4"/>
  <c r="S1806" i="4"/>
  <c r="S1807" i="4"/>
  <c r="S1808" i="4"/>
  <c r="S1809" i="4"/>
  <c r="S1810" i="4"/>
  <c r="S1811" i="4"/>
  <c r="S1812" i="4"/>
  <c r="S1813" i="4"/>
  <c r="S1814" i="4"/>
  <c r="S1815" i="4"/>
  <c r="S1816" i="4"/>
  <c r="S1817" i="4"/>
  <c r="S1818" i="4"/>
  <c r="S1819" i="4"/>
  <c r="S1820" i="4"/>
  <c r="S1821" i="4"/>
  <c r="S1822" i="4"/>
  <c r="S1823" i="4"/>
  <c r="S1824" i="4"/>
  <c r="S1825" i="4"/>
  <c r="S1826" i="4"/>
  <c r="S1827" i="4"/>
  <c r="S1828" i="4"/>
  <c r="S1829" i="4"/>
  <c r="S1830" i="4"/>
  <c r="S1831" i="4"/>
  <c r="S1832" i="4"/>
  <c r="S1833" i="4"/>
  <c r="S1834" i="4"/>
  <c r="S1835" i="4"/>
  <c r="S1836" i="4"/>
  <c r="S1837" i="4"/>
  <c r="S1838" i="4"/>
  <c r="S1839" i="4"/>
  <c r="S1840" i="4"/>
  <c r="S1841" i="4"/>
  <c r="S1842" i="4"/>
  <c r="S1843" i="4"/>
  <c r="S1844" i="4"/>
  <c r="S1845" i="4"/>
  <c r="S1846" i="4"/>
  <c r="S1847" i="4"/>
  <c r="S1848" i="4"/>
  <c r="S1849" i="4"/>
  <c r="S1850" i="4"/>
  <c r="S1851" i="4"/>
  <c r="S1852" i="4"/>
  <c r="S1853" i="4"/>
  <c r="S1854" i="4"/>
  <c r="S1855" i="4"/>
  <c r="S1856" i="4"/>
  <c r="S1857" i="4"/>
  <c r="S1858" i="4"/>
  <c r="S1859" i="4"/>
  <c r="S1860" i="4"/>
  <c r="S1861" i="4"/>
  <c r="S1862" i="4"/>
  <c r="S1863" i="4"/>
  <c r="S1864" i="4"/>
  <c r="S1865" i="4"/>
  <c r="S1866" i="4"/>
  <c r="S1867" i="4"/>
  <c r="S1868" i="4"/>
  <c r="S1869" i="4"/>
  <c r="S1870" i="4"/>
  <c r="S1871" i="4"/>
  <c r="S1872" i="4"/>
  <c r="S1873" i="4"/>
  <c r="S1874" i="4"/>
  <c r="S1875" i="4"/>
  <c r="S1876" i="4"/>
  <c r="S1877" i="4"/>
  <c r="S1878" i="4"/>
  <c r="S1879" i="4"/>
  <c r="S1880" i="4"/>
  <c r="S1881" i="4"/>
  <c r="S1882" i="4"/>
  <c r="S1883" i="4"/>
  <c r="S1884" i="4"/>
  <c r="S1885" i="4"/>
  <c r="S1886" i="4"/>
  <c r="S1887" i="4"/>
  <c r="S1888" i="4"/>
  <c r="S1889" i="4"/>
  <c r="S1890" i="4"/>
  <c r="S1891" i="4"/>
  <c r="S1892" i="4"/>
  <c r="S1893" i="4"/>
  <c r="S1894" i="4"/>
  <c r="S1895" i="4"/>
  <c r="S1896" i="4"/>
  <c r="S1897" i="4"/>
  <c r="S1898" i="4"/>
  <c r="S1899" i="4"/>
  <c r="S1900" i="4"/>
  <c r="S1901" i="4"/>
  <c r="S1902" i="4"/>
  <c r="S1903" i="4"/>
  <c r="S1904" i="4"/>
  <c r="S1905" i="4"/>
  <c r="S1906" i="4"/>
  <c r="S1907" i="4"/>
  <c r="S1908" i="4"/>
  <c r="S1909" i="4"/>
  <c r="S1910" i="4"/>
  <c r="S1911" i="4"/>
  <c r="S1912" i="4"/>
  <c r="S1913" i="4"/>
  <c r="S1914" i="4"/>
  <c r="S1915" i="4"/>
  <c r="S1916" i="4"/>
  <c r="S1917" i="4"/>
  <c r="S1918" i="4"/>
  <c r="S1919" i="4"/>
  <c r="S1920" i="4"/>
  <c r="S1921" i="4"/>
  <c r="S1922" i="4"/>
  <c r="S1923" i="4"/>
  <c r="S1924" i="4"/>
  <c r="S1925" i="4"/>
  <c r="S1926" i="4"/>
  <c r="S1927" i="4"/>
  <c r="S1928" i="4"/>
  <c r="S1929" i="4"/>
  <c r="S1930" i="4"/>
  <c r="S1931" i="4"/>
  <c r="S1932" i="4"/>
  <c r="S1933" i="4"/>
  <c r="S1934" i="4"/>
  <c r="S1935" i="4"/>
  <c r="S1936" i="4"/>
  <c r="S1937" i="4"/>
  <c r="S1938" i="4"/>
  <c r="S1939" i="4"/>
  <c r="S1940" i="4"/>
  <c r="S1941" i="4"/>
  <c r="S1942" i="4"/>
  <c r="S1943" i="4"/>
  <c r="S1944" i="4"/>
  <c r="S1945" i="4"/>
  <c r="S1946" i="4"/>
  <c r="S1947" i="4"/>
  <c r="S1948" i="4"/>
  <c r="S1949" i="4"/>
  <c r="S1950" i="4"/>
  <c r="S1951" i="4"/>
  <c r="S1952" i="4"/>
  <c r="S1953" i="4"/>
  <c r="S1954" i="4"/>
  <c r="S1955" i="4"/>
  <c r="S1956" i="4"/>
  <c r="S1957" i="4"/>
  <c r="S1958" i="4"/>
  <c r="S1959" i="4"/>
  <c r="S1960" i="4"/>
  <c r="S1961" i="4"/>
  <c r="S1962" i="4"/>
  <c r="S1963" i="4"/>
  <c r="S1964" i="4"/>
  <c r="S1965" i="4"/>
  <c r="S1966" i="4"/>
  <c r="S1967" i="4"/>
  <c r="S1968" i="4"/>
  <c r="S1969" i="4"/>
  <c r="S1970" i="4"/>
  <c r="S1971" i="4"/>
  <c r="S1972" i="4"/>
  <c r="S1973" i="4"/>
  <c r="S1974" i="4"/>
  <c r="S1975" i="4"/>
  <c r="S1976" i="4"/>
  <c r="S1977" i="4"/>
  <c r="S1978" i="4"/>
  <c r="S1979" i="4"/>
  <c r="S1980" i="4"/>
  <c r="S1981" i="4"/>
  <c r="S1982" i="4"/>
  <c r="S1983" i="4"/>
  <c r="S1984" i="4"/>
  <c r="S1985" i="4"/>
  <c r="S1986" i="4"/>
  <c r="S1987" i="4"/>
  <c r="S1988" i="4"/>
  <c r="S1989" i="4"/>
  <c r="S1990" i="4"/>
  <c r="S1991" i="4"/>
  <c r="S1992" i="4"/>
  <c r="S1993" i="4"/>
  <c r="S1994" i="4"/>
  <c r="S1995" i="4"/>
  <c r="S1996" i="4"/>
  <c r="S1997" i="4"/>
  <c r="S1998" i="4"/>
  <c r="S1999" i="4"/>
  <c r="S2000" i="4"/>
  <c r="S2001" i="4"/>
  <c r="S2002" i="4"/>
  <c r="S2003" i="4"/>
  <c r="S2004" i="4"/>
  <c r="S2005" i="4"/>
  <c r="S2006" i="4"/>
  <c r="S2007" i="4"/>
  <c r="S2008" i="4"/>
  <c r="S2009" i="4"/>
  <c r="S2010" i="4"/>
  <c r="S2011" i="4"/>
  <c r="S2012" i="4"/>
  <c r="S2013" i="4"/>
  <c r="S2014" i="4"/>
  <c r="S2015" i="4"/>
  <c r="S2016" i="4"/>
  <c r="S2017" i="4"/>
  <c r="S2018" i="4"/>
  <c r="S2019" i="4"/>
  <c r="S2020" i="4"/>
  <c r="S2021" i="4"/>
  <c r="S2022" i="4"/>
  <c r="S2023" i="4"/>
  <c r="S2024" i="4"/>
  <c r="S2025" i="4"/>
  <c r="S2026" i="4"/>
  <c r="S2027" i="4"/>
  <c r="S2028" i="4"/>
  <c r="S2029" i="4"/>
  <c r="S2030" i="4"/>
  <c r="S2031" i="4"/>
  <c r="S2032" i="4"/>
  <c r="S2033" i="4"/>
  <c r="S2034" i="4"/>
  <c r="S2035" i="4"/>
  <c r="S2036" i="4"/>
  <c r="S2037" i="4"/>
  <c r="S2038" i="4"/>
  <c r="S2039" i="4"/>
  <c r="S2040" i="4"/>
  <c r="S2041" i="4"/>
  <c r="S2042" i="4"/>
  <c r="S2043" i="4"/>
  <c r="S2044" i="4"/>
  <c r="S2045" i="4"/>
  <c r="S2046" i="4"/>
  <c r="S2047" i="4"/>
  <c r="S2048" i="4"/>
  <c r="S2049" i="4"/>
  <c r="S2050" i="4"/>
  <c r="S2051" i="4"/>
  <c r="S2052" i="4"/>
  <c r="S2053" i="4"/>
  <c r="S2054" i="4"/>
  <c r="S2055" i="4"/>
  <c r="S2056" i="4"/>
  <c r="S2057" i="4"/>
  <c r="S2058" i="4"/>
  <c r="S2059" i="4"/>
  <c r="S2060" i="4"/>
  <c r="S2061" i="4"/>
  <c r="S2062" i="4"/>
  <c r="S2063" i="4"/>
  <c r="S2064" i="4"/>
  <c r="S2065" i="4"/>
  <c r="S2066" i="4"/>
  <c r="S2067" i="4"/>
  <c r="S2068" i="4"/>
  <c r="S2069" i="4"/>
  <c r="S2070" i="4"/>
  <c r="S2071" i="4"/>
  <c r="S2072" i="4"/>
  <c r="S2073" i="4"/>
  <c r="S2074" i="4"/>
  <c r="S2075" i="4"/>
  <c r="S2076" i="4"/>
  <c r="S2077" i="4"/>
  <c r="S2078" i="4"/>
  <c r="S2079" i="4"/>
  <c r="S2080" i="4"/>
  <c r="S2081" i="4"/>
  <c r="S2082" i="4"/>
  <c r="S2083" i="4"/>
  <c r="S2084" i="4"/>
  <c r="S2085" i="4"/>
  <c r="S2086" i="4"/>
  <c r="S2087" i="4"/>
  <c r="S2088" i="4"/>
  <c r="S2089" i="4"/>
  <c r="S2090" i="4"/>
  <c r="S2091" i="4"/>
  <c r="S2092" i="4"/>
  <c r="S2093" i="4"/>
  <c r="S2094" i="4"/>
  <c r="S2095" i="4"/>
  <c r="S2096" i="4"/>
  <c r="S2097" i="4"/>
  <c r="S2098" i="4"/>
  <c r="S2099" i="4"/>
  <c r="S2100" i="4"/>
  <c r="S2101" i="4"/>
  <c r="S2102" i="4"/>
  <c r="S2103" i="4"/>
  <c r="S2104" i="4"/>
  <c r="S2105" i="4"/>
  <c r="S2106" i="4"/>
  <c r="S2107" i="4"/>
  <c r="S2108" i="4"/>
  <c r="S2109" i="4"/>
  <c r="S2110" i="4"/>
  <c r="S2111" i="4"/>
  <c r="S2112" i="4"/>
  <c r="S2113" i="4"/>
  <c r="S2114" i="4"/>
  <c r="S2115" i="4"/>
  <c r="S2116" i="4"/>
  <c r="S2117" i="4"/>
  <c r="S2118" i="4"/>
  <c r="S2119" i="4"/>
  <c r="S2120" i="4"/>
  <c r="S2121" i="4"/>
  <c r="S2122" i="4"/>
  <c r="S2123" i="4"/>
  <c r="S2124" i="4"/>
  <c r="S2125" i="4"/>
  <c r="S2126" i="4"/>
  <c r="S2127" i="4"/>
  <c r="S2128" i="4"/>
  <c r="S2129" i="4"/>
  <c r="S2130" i="4"/>
  <c r="S2131" i="4"/>
  <c r="S2132" i="4"/>
  <c r="S2133" i="4"/>
  <c r="S2134" i="4"/>
  <c r="S2135" i="4"/>
  <c r="S2136" i="4"/>
  <c r="S2137" i="4"/>
  <c r="S2138" i="4"/>
  <c r="S2139" i="4"/>
  <c r="S2140" i="4"/>
  <c r="S2141" i="4"/>
  <c r="S2142" i="4"/>
  <c r="S2143" i="4"/>
  <c r="S2144" i="4"/>
  <c r="S2145" i="4"/>
  <c r="S2146" i="4"/>
  <c r="S2147" i="4"/>
  <c r="S2148" i="4"/>
  <c r="S2149" i="4"/>
  <c r="S2150" i="4"/>
  <c r="S2151" i="4"/>
  <c r="S2152" i="4"/>
  <c r="S2153" i="4"/>
  <c r="S2154" i="4"/>
  <c r="S2155" i="4"/>
  <c r="S2156" i="4"/>
  <c r="S2157" i="4"/>
  <c r="S2158" i="4"/>
  <c r="S2159" i="4"/>
  <c r="S2160" i="4"/>
  <c r="S2161" i="4"/>
  <c r="S2162" i="4"/>
  <c r="S2163" i="4"/>
  <c r="S2164" i="4"/>
  <c r="S2165" i="4"/>
  <c r="S2166" i="4"/>
  <c r="S2167" i="4"/>
  <c r="S2168" i="4"/>
  <c r="S2169" i="4"/>
  <c r="S2170" i="4"/>
  <c r="S2171" i="4"/>
  <c r="S2172" i="4"/>
  <c r="S2173" i="4"/>
  <c r="S2174" i="4"/>
  <c r="S2175" i="4"/>
  <c r="S2176" i="4"/>
  <c r="S2177" i="4"/>
  <c r="S2178" i="4"/>
  <c r="S2179" i="4"/>
  <c r="S2180" i="4"/>
  <c r="S2181" i="4"/>
  <c r="S2182" i="4"/>
  <c r="S2183" i="4"/>
  <c r="S2184" i="4"/>
  <c r="S2185" i="4"/>
  <c r="S2186" i="4"/>
  <c r="S2187" i="4"/>
  <c r="S2188" i="4"/>
  <c r="S2189" i="4"/>
  <c r="S2190" i="4"/>
  <c r="S2191" i="4"/>
  <c r="S2192" i="4"/>
  <c r="S2193" i="4"/>
  <c r="S2194" i="4"/>
  <c r="S2195" i="4"/>
  <c r="S2196" i="4"/>
  <c r="S2197" i="4"/>
  <c r="S2198" i="4"/>
  <c r="S2199" i="4"/>
  <c r="S2200" i="4"/>
  <c r="S2201" i="4"/>
  <c r="S2202" i="4"/>
  <c r="S2203" i="4"/>
  <c r="S2204" i="4"/>
  <c r="S2205" i="4"/>
  <c r="S2206" i="4"/>
  <c r="S2207" i="4"/>
  <c r="S2208" i="4"/>
  <c r="S2209" i="4"/>
  <c r="S2210" i="4"/>
  <c r="S2211" i="4"/>
  <c r="S2212" i="4"/>
  <c r="S2213" i="4"/>
  <c r="S2214" i="4"/>
  <c r="S2215" i="4"/>
  <c r="S2216" i="4"/>
  <c r="S2217" i="4"/>
  <c r="S2218" i="4"/>
  <c r="S2219" i="4"/>
  <c r="S2220" i="4"/>
  <c r="S2221" i="4"/>
  <c r="S2222" i="4"/>
  <c r="S2223" i="4"/>
  <c r="S2224" i="4"/>
  <c r="S2225" i="4"/>
  <c r="S2226" i="4"/>
  <c r="S2227" i="4"/>
  <c r="S2228" i="4"/>
  <c r="S2229" i="4"/>
  <c r="S2230" i="4"/>
  <c r="S2231" i="4"/>
  <c r="S2232" i="4"/>
  <c r="S2233" i="4"/>
  <c r="S2234" i="4"/>
  <c r="S2235" i="4"/>
  <c r="S2236" i="4"/>
  <c r="S2237" i="4"/>
  <c r="S2238" i="4"/>
  <c r="S2239" i="4"/>
  <c r="S2240" i="4"/>
  <c r="S2241" i="4"/>
  <c r="S2242" i="4"/>
  <c r="S2243" i="4"/>
  <c r="S2244" i="4"/>
  <c r="S2245" i="4"/>
  <c r="S2246" i="4"/>
  <c r="S2247" i="4"/>
  <c r="S2248" i="4"/>
  <c r="S2249" i="4"/>
  <c r="S2250" i="4"/>
  <c r="S2251" i="4"/>
  <c r="S2252" i="4"/>
  <c r="S2253" i="4"/>
  <c r="S2254" i="4"/>
  <c r="S2255" i="4"/>
  <c r="S2256" i="4"/>
  <c r="S2257" i="4"/>
  <c r="S2258" i="4"/>
  <c r="S2259" i="4"/>
  <c r="S2260" i="4"/>
  <c r="S2261" i="4"/>
  <c r="S2262" i="4"/>
  <c r="S2263" i="4"/>
  <c r="S2264" i="4"/>
  <c r="S2265" i="4"/>
  <c r="S2266" i="4"/>
  <c r="S2267" i="4"/>
  <c r="S2268" i="4"/>
  <c r="S2269" i="4"/>
  <c r="S2270" i="4"/>
  <c r="S2271" i="4"/>
  <c r="S2272" i="4"/>
  <c r="S2273" i="4"/>
  <c r="S2274" i="4"/>
  <c r="S2275" i="4"/>
  <c r="S2276" i="4"/>
  <c r="S2277" i="4"/>
  <c r="S2278" i="4"/>
  <c r="S2279" i="4"/>
  <c r="S2280" i="4"/>
  <c r="S2281" i="4"/>
  <c r="S2282" i="4"/>
  <c r="S2283" i="4"/>
  <c r="S2284" i="4"/>
  <c r="S2285" i="4"/>
  <c r="S2286" i="4"/>
  <c r="S2287" i="4"/>
  <c r="S2288" i="4"/>
  <c r="S2289" i="4"/>
  <c r="S2290" i="4"/>
  <c r="S2291" i="4"/>
  <c r="S2292" i="4"/>
  <c r="S2293" i="4"/>
  <c r="S2294" i="4"/>
  <c r="S2295" i="4"/>
  <c r="S2296" i="4"/>
  <c r="S2297" i="4"/>
  <c r="S2298" i="4"/>
  <c r="S2299" i="4"/>
  <c r="S2300" i="4"/>
  <c r="S2301" i="4"/>
  <c r="S2302" i="4"/>
  <c r="S2303" i="4"/>
  <c r="S2304" i="4"/>
  <c r="S2305" i="4"/>
  <c r="S2306" i="4"/>
  <c r="S2307" i="4"/>
  <c r="S2308" i="4"/>
  <c r="S2309" i="4"/>
  <c r="S2310" i="4"/>
  <c r="S2311" i="4"/>
  <c r="S2312" i="4"/>
  <c r="S2313" i="4"/>
  <c r="S2314" i="4"/>
  <c r="S2315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R97" i="4"/>
  <c r="R98" i="4"/>
  <c r="R99" i="4"/>
  <c r="R100" i="4"/>
  <c r="R101" i="4"/>
  <c r="R102" i="4"/>
  <c r="R103" i="4"/>
  <c r="R104" i="4"/>
  <c r="R105" i="4"/>
  <c r="R106" i="4"/>
  <c r="R107" i="4"/>
  <c r="R108" i="4"/>
  <c r="R109" i="4"/>
  <c r="R110" i="4"/>
  <c r="R111" i="4"/>
  <c r="R112" i="4"/>
  <c r="R113" i="4"/>
  <c r="R114" i="4"/>
  <c r="R115" i="4"/>
  <c r="R116" i="4"/>
  <c r="R117" i="4"/>
  <c r="R118" i="4"/>
  <c r="R119" i="4"/>
  <c r="R120" i="4"/>
  <c r="R121" i="4"/>
  <c r="R122" i="4"/>
  <c r="R123" i="4"/>
  <c r="R124" i="4"/>
  <c r="R125" i="4"/>
  <c r="R126" i="4"/>
  <c r="R127" i="4"/>
  <c r="R128" i="4"/>
  <c r="R129" i="4"/>
  <c r="R130" i="4"/>
  <c r="R131" i="4"/>
  <c r="R132" i="4"/>
  <c r="R133" i="4"/>
  <c r="R134" i="4"/>
  <c r="R135" i="4"/>
  <c r="R136" i="4"/>
  <c r="R137" i="4"/>
  <c r="R138" i="4"/>
  <c r="R139" i="4"/>
  <c r="R140" i="4"/>
  <c r="R141" i="4"/>
  <c r="R142" i="4"/>
  <c r="R143" i="4"/>
  <c r="R144" i="4"/>
  <c r="R145" i="4"/>
  <c r="R146" i="4"/>
  <c r="R147" i="4"/>
  <c r="R148" i="4"/>
  <c r="R149" i="4"/>
  <c r="R150" i="4"/>
  <c r="R151" i="4"/>
  <c r="R152" i="4"/>
  <c r="R153" i="4"/>
  <c r="R154" i="4"/>
  <c r="R155" i="4"/>
  <c r="R156" i="4"/>
  <c r="R157" i="4"/>
  <c r="R158" i="4"/>
  <c r="R159" i="4"/>
  <c r="R160" i="4"/>
  <c r="R161" i="4"/>
  <c r="R162" i="4"/>
  <c r="R163" i="4"/>
  <c r="R164" i="4"/>
  <c r="R165" i="4"/>
  <c r="R166" i="4"/>
  <c r="R167" i="4"/>
  <c r="R168" i="4"/>
  <c r="R169" i="4"/>
  <c r="R170" i="4"/>
  <c r="R171" i="4"/>
  <c r="R172" i="4"/>
  <c r="R173" i="4"/>
  <c r="R174" i="4"/>
  <c r="R175" i="4"/>
  <c r="R176" i="4"/>
  <c r="R177" i="4"/>
  <c r="R178" i="4"/>
  <c r="R179" i="4"/>
  <c r="R180" i="4"/>
  <c r="R181" i="4"/>
  <c r="R182" i="4"/>
  <c r="R183" i="4"/>
  <c r="R184" i="4"/>
  <c r="R185" i="4"/>
  <c r="R186" i="4"/>
  <c r="R187" i="4"/>
  <c r="R188" i="4"/>
  <c r="R189" i="4"/>
  <c r="R190" i="4"/>
  <c r="R191" i="4"/>
  <c r="R192" i="4"/>
  <c r="R193" i="4"/>
  <c r="R194" i="4"/>
  <c r="R195" i="4"/>
  <c r="R196" i="4"/>
  <c r="R197" i="4"/>
  <c r="R198" i="4"/>
  <c r="R199" i="4"/>
  <c r="R200" i="4"/>
  <c r="R201" i="4"/>
  <c r="R202" i="4"/>
  <c r="R203" i="4"/>
  <c r="R204" i="4"/>
  <c r="R205" i="4"/>
  <c r="R206" i="4"/>
  <c r="R207" i="4"/>
  <c r="R208" i="4"/>
  <c r="R209" i="4"/>
  <c r="R210" i="4"/>
  <c r="R211" i="4"/>
  <c r="R212" i="4"/>
  <c r="R213" i="4"/>
  <c r="R214" i="4"/>
  <c r="R215" i="4"/>
  <c r="R216" i="4"/>
  <c r="R217" i="4"/>
  <c r="R218" i="4"/>
  <c r="R219" i="4"/>
  <c r="R220" i="4"/>
  <c r="R221" i="4"/>
  <c r="R222" i="4"/>
  <c r="R223" i="4"/>
  <c r="R224" i="4"/>
  <c r="R225" i="4"/>
  <c r="R226" i="4"/>
  <c r="R227" i="4"/>
  <c r="R228" i="4"/>
  <c r="R229" i="4"/>
  <c r="R230" i="4"/>
  <c r="R231" i="4"/>
  <c r="R232" i="4"/>
  <c r="R233" i="4"/>
  <c r="R234" i="4"/>
  <c r="R235" i="4"/>
  <c r="R236" i="4"/>
  <c r="R237" i="4"/>
  <c r="R238" i="4"/>
  <c r="R239" i="4"/>
  <c r="R240" i="4"/>
  <c r="R241" i="4"/>
  <c r="R242" i="4"/>
  <c r="R243" i="4"/>
  <c r="R244" i="4"/>
  <c r="R245" i="4"/>
  <c r="R246" i="4"/>
  <c r="R247" i="4"/>
  <c r="R248" i="4"/>
  <c r="R249" i="4"/>
  <c r="R250" i="4"/>
  <c r="R251" i="4"/>
  <c r="R252" i="4"/>
  <c r="R253" i="4"/>
  <c r="R254" i="4"/>
  <c r="R255" i="4"/>
  <c r="R256" i="4"/>
  <c r="R257" i="4"/>
  <c r="R258" i="4"/>
  <c r="R259" i="4"/>
  <c r="R260" i="4"/>
  <c r="R261" i="4"/>
  <c r="R262" i="4"/>
  <c r="R263" i="4"/>
  <c r="R264" i="4"/>
  <c r="R265" i="4"/>
  <c r="R266" i="4"/>
  <c r="R267" i="4"/>
  <c r="R268" i="4"/>
  <c r="R269" i="4"/>
  <c r="R270" i="4"/>
  <c r="R271" i="4"/>
  <c r="R272" i="4"/>
  <c r="R273" i="4"/>
  <c r="R274" i="4"/>
  <c r="R275" i="4"/>
  <c r="R276" i="4"/>
  <c r="R277" i="4"/>
  <c r="R278" i="4"/>
  <c r="R279" i="4"/>
  <c r="R280" i="4"/>
  <c r="R281" i="4"/>
  <c r="R282" i="4"/>
  <c r="R283" i="4"/>
  <c r="R284" i="4"/>
  <c r="R285" i="4"/>
  <c r="R286" i="4"/>
  <c r="R287" i="4"/>
  <c r="R288" i="4"/>
  <c r="R289" i="4"/>
  <c r="R290" i="4"/>
  <c r="R291" i="4"/>
  <c r="R292" i="4"/>
  <c r="R293" i="4"/>
  <c r="R294" i="4"/>
  <c r="R295" i="4"/>
  <c r="R296" i="4"/>
  <c r="R297" i="4"/>
  <c r="R298" i="4"/>
  <c r="R299" i="4"/>
  <c r="R300" i="4"/>
  <c r="R301" i="4"/>
  <c r="R302" i="4"/>
  <c r="R303" i="4"/>
  <c r="R304" i="4"/>
  <c r="R305" i="4"/>
  <c r="R306" i="4"/>
  <c r="R307" i="4"/>
  <c r="R308" i="4"/>
  <c r="R309" i="4"/>
  <c r="R310" i="4"/>
  <c r="R311" i="4"/>
  <c r="R312" i="4"/>
  <c r="R313" i="4"/>
  <c r="R314" i="4"/>
  <c r="R315" i="4"/>
  <c r="R316" i="4"/>
  <c r="R317" i="4"/>
  <c r="R318" i="4"/>
  <c r="R319" i="4"/>
  <c r="R320" i="4"/>
  <c r="R321" i="4"/>
  <c r="R322" i="4"/>
  <c r="R323" i="4"/>
  <c r="R324" i="4"/>
  <c r="R325" i="4"/>
  <c r="R326" i="4"/>
  <c r="R327" i="4"/>
  <c r="R328" i="4"/>
  <c r="R329" i="4"/>
  <c r="R330" i="4"/>
  <c r="R331" i="4"/>
  <c r="R332" i="4"/>
  <c r="R333" i="4"/>
  <c r="R334" i="4"/>
  <c r="R335" i="4"/>
  <c r="R336" i="4"/>
  <c r="R337" i="4"/>
  <c r="R338" i="4"/>
  <c r="R339" i="4"/>
  <c r="R340" i="4"/>
  <c r="R341" i="4"/>
  <c r="R342" i="4"/>
  <c r="R343" i="4"/>
  <c r="R344" i="4"/>
  <c r="R345" i="4"/>
  <c r="R346" i="4"/>
  <c r="R347" i="4"/>
  <c r="R348" i="4"/>
  <c r="R349" i="4"/>
  <c r="R350" i="4"/>
  <c r="R351" i="4"/>
  <c r="R352" i="4"/>
  <c r="R353" i="4"/>
  <c r="R354" i="4"/>
  <c r="R355" i="4"/>
  <c r="R356" i="4"/>
  <c r="R357" i="4"/>
  <c r="R358" i="4"/>
  <c r="R359" i="4"/>
  <c r="R360" i="4"/>
  <c r="R361" i="4"/>
  <c r="R362" i="4"/>
  <c r="R363" i="4"/>
  <c r="R364" i="4"/>
  <c r="R365" i="4"/>
  <c r="R366" i="4"/>
  <c r="R367" i="4"/>
  <c r="R368" i="4"/>
  <c r="R369" i="4"/>
  <c r="R370" i="4"/>
  <c r="R371" i="4"/>
  <c r="R372" i="4"/>
  <c r="R373" i="4"/>
  <c r="R374" i="4"/>
  <c r="R375" i="4"/>
  <c r="R376" i="4"/>
  <c r="R377" i="4"/>
  <c r="R378" i="4"/>
  <c r="R379" i="4"/>
  <c r="R380" i="4"/>
  <c r="R381" i="4"/>
  <c r="R382" i="4"/>
  <c r="R383" i="4"/>
  <c r="R384" i="4"/>
  <c r="R385" i="4"/>
  <c r="R386" i="4"/>
  <c r="R387" i="4"/>
  <c r="R388" i="4"/>
  <c r="R389" i="4"/>
  <c r="R390" i="4"/>
  <c r="R391" i="4"/>
  <c r="R392" i="4"/>
  <c r="R393" i="4"/>
  <c r="R394" i="4"/>
  <c r="R395" i="4"/>
  <c r="R396" i="4"/>
  <c r="R397" i="4"/>
  <c r="R398" i="4"/>
  <c r="R399" i="4"/>
  <c r="R400" i="4"/>
  <c r="R401" i="4"/>
  <c r="R402" i="4"/>
  <c r="R403" i="4"/>
  <c r="R404" i="4"/>
  <c r="R405" i="4"/>
  <c r="R406" i="4"/>
  <c r="R407" i="4"/>
  <c r="R408" i="4"/>
  <c r="R409" i="4"/>
  <c r="R410" i="4"/>
  <c r="R411" i="4"/>
  <c r="R412" i="4"/>
  <c r="R413" i="4"/>
  <c r="R414" i="4"/>
  <c r="R415" i="4"/>
  <c r="R416" i="4"/>
  <c r="R417" i="4"/>
  <c r="R418" i="4"/>
  <c r="R419" i="4"/>
  <c r="R420" i="4"/>
  <c r="R421" i="4"/>
  <c r="R422" i="4"/>
  <c r="R423" i="4"/>
  <c r="R424" i="4"/>
  <c r="R425" i="4"/>
  <c r="R426" i="4"/>
  <c r="R427" i="4"/>
  <c r="R428" i="4"/>
  <c r="R429" i="4"/>
  <c r="R430" i="4"/>
  <c r="R431" i="4"/>
  <c r="R432" i="4"/>
  <c r="R433" i="4"/>
  <c r="R434" i="4"/>
  <c r="R435" i="4"/>
  <c r="R436" i="4"/>
  <c r="R437" i="4"/>
  <c r="R438" i="4"/>
  <c r="R439" i="4"/>
  <c r="R440" i="4"/>
  <c r="R441" i="4"/>
  <c r="R442" i="4"/>
  <c r="R443" i="4"/>
  <c r="R444" i="4"/>
  <c r="R445" i="4"/>
  <c r="R446" i="4"/>
  <c r="R447" i="4"/>
  <c r="R448" i="4"/>
  <c r="R449" i="4"/>
  <c r="R450" i="4"/>
  <c r="R451" i="4"/>
  <c r="R452" i="4"/>
  <c r="R453" i="4"/>
  <c r="R454" i="4"/>
  <c r="R455" i="4"/>
  <c r="R456" i="4"/>
  <c r="R457" i="4"/>
  <c r="R458" i="4"/>
  <c r="R459" i="4"/>
  <c r="R460" i="4"/>
  <c r="R461" i="4"/>
  <c r="R462" i="4"/>
  <c r="R463" i="4"/>
  <c r="R464" i="4"/>
  <c r="R465" i="4"/>
  <c r="R466" i="4"/>
  <c r="R467" i="4"/>
  <c r="R468" i="4"/>
  <c r="R469" i="4"/>
  <c r="R470" i="4"/>
  <c r="R471" i="4"/>
  <c r="R472" i="4"/>
  <c r="R473" i="4"/>
  <c r="R474" i="4"/>
  <c r="R475" i="4"/>
  <c r="R476" i="4"/>
  <c r="R477" i="4"/>
  <c r="R478" i="4"/>
  <c r="R479" i="4"/>
  <c r="R480" i="4"/>
  <c r="R481" i="4"/>
  <c r="R482" i="4"/>
  <c r="R483" i="4"/>
  <c r="R484" i="4"/>
  <c r="R485" i="4"/>
  <c r="R486" i="4"/>
  <c r="R487" i="4"/>
  <c r="R488" i="4"/>
  <c r="R489" i="4"/>
  <c r="R490" i="4"/>
  <c r="R491" i="4"/>
  <c r="R492" i="4"/>
  <c r="R493" i="4"/>
  <c r="R494" i="4"/>
  <c r="R495" i="4"/>
  <c r="R496" i="4"/>
  <c r="R497" i="4"/>
  <c r="R498" i="4"/>
  <c r="R499" i="4"/>
  <c r="R500" i="4"/>
  <c r="R501" i="4"/>
  <c r="R502" i="4"/>
  <c r="R503" i="4"/>
  <c r="R504" i="4"/>
  <c r="R505" i="4"/>
  <c r="R506" i="4"/>
  <c r="R507" i="4"/>
  <c r="R508" i="4"/>
  <c r="R509" i="4"/>
  <c r="R510" i="4"/>
  <c r="R511" i="4"/>
  <c r="R512" i="4"/>
  <c r="R513" i="4"/>
  <c r="R514" i="4"/>
  <c r="R515" i="4"/>
  <c r="R516" i="4"/>
  <c r="R517" i="4"/>
  <c r="R518" i="4"/>
  <c r="R519" i="4"/>
  <c r="R520" i="4"/>
  <c r="R521" i="4"/>
  <c r="R522" i="4"/>
  <c r="R523" i="4"/>
  <c r="R524" i="4"/>
  <c r="R525" i="4"/>
  <c r="R526" i="4"/>
  <c r="R527" i="4"/>
  <c r="R528" i="4"/>
  <c r="R529" i="4"/>
  <c r="R530" i="4"/>
  <c r="R531" i="4"/>
  <c r="R532" i="4"/>
  <c r="R533" i="4"/>
  <c r="R534" i="4"/>
  <c r="R535" i="4"/>
  <c r="R536" i="4"/>
  <c r="R537" i="4"/>
  <c r="R538" i="4"/>
  <c r="R539" i="4"/>
  <c r="R540" i="4"/>
  <c r="R541" i="4"/>
  <c r="R542" i="4"/>
  <c r="R543" i="4"/>
  <c r="R544" i="4"/>
  <c r="R545" i="4"/>
  <c r="R546" i="4"/>
  <c r="R547" i="4"/>
  <c r="R548" i="4"/>
  <c r="R549" i="4"/>
  <c r="R550" i="4"/>
  <c r="R551" i="4"/>
  <c r="R552" i="4"/>
  <c r="R553" i="4"/>
  <c r="R554" i="4"/>
  <c r="R555" i="4"/>
  <c r="R556" i="4"/>
  <c r="R557" i="4"/>
  <c r="R558" i="4"/>
  <c r="R559" i="4"/>
  <c r="R560" i="4"/>
  <c r="R561" i="4"/>
  <c r="R562" i="4"/>
  <c r="R563" i="4"/>
  <c r="R564" i="4"/>
  <c r="R565" i="4"/>
  <c r="R566" i="4"/>
  <c r="R567" i="4"/>
  <c r="R568" i="4"/>
  <c r="R569" i="4"/>
  <c r="R570" i="4"/>
  <c r="R571" i="4"/>
  <c r="R572" i="4"/>
  <c r="R573" i="4"/>
  <c r="R574" i="4"/>
  <c r="R575" i="4"/>
  <c r="R576" i="4"/>
  <c r="R577" i="4"/>
  <c r="R578" i="4"/>
  <c r="R579" i="4"/>
  <c r="R580" i="4"/>
  <c r="R581" i="4"/>
  <c r="R582" i="4"/>
  <c r="R583" i="4"/>
  <c r="R584" i="4"/>
  <c r="R585" i="4"/>
  <c r="R586" i="4"/>
  <c r="R587" i="4"/>
  <c r="R588" i="4"/>
  <c r="R589" i="4"/>
  <c r="R590" i="4"/>
  <c r="R591" i="4"/>
  <c r="R592" i="4"/>
  <c r="R593" i="4"/>
  <c r="R594" i="4"/>
  <c r="R595" i="4"/>
  <c r="R596" i="4"/>
  <c r="R597" i="4"/>
  <c r="R598" i="4"/>
  <c r="R599" i="4"/>
  <c r="R600" i="4"/>
  <c r="R601" i="4"/>
  <c r="R602" i="4"/>
  <c r="R603" i="4"/>
  <c r="R604" i="4"/>
  <c r="R605" i="4"/>
  <c r="R606" i="4"/>
  <c r="R607" i="4"/>
  <c r="R608" i="4"/>
  <c r="R609" i="4"/>
  <c r="R610" i="4"/>
  <c r="R611" i="4"/>
  <c r="R612" i="4"/>
  <c r="R613" i="4"/>
  <c r="R614" i="4"/>
  <c r="R615" i="4"/>
  <c r="R616" i="4"/>
  <c r="R617" i="4"/>
  <c r="R618" i="4"/>
  <c r="R619" i="4"/>
  <c r="R620" i="4"/>
  <c r="R621" i="4"/>
  <c r="R622" i="4"/>
  <c r="R623" i="4"/>
  <c r="R624" i="4"/>
  <c r="R625" i="4"/>
  <c r="R626" i="4"/>
  <c r="R627" i="4"/>
  <c r="R628" i="4"/>
  <c r="R629" i="4"/>
  <c r="R630" i="4"/>
  <c r="R631" i="4"/>
  <c r="R632" i="4"/>
  <c r="R633" i="4"/>
  <c r="R634" i="4"/>
  <c r="R635" i="4"/>
  <c r="R636" i="4"/>
  <c r="R637" i="4"/>
  <c r="R638" i="4"/>
  <c r="R639" i="4"/>
  <c r="R640" i="4"/>
  <c r="R641" i="4"/>
  <c r="R642" i="4"/>
  <c r="R643" i="4"/>
  <c r="R644" i="4"/>
  <c r="R645" i="4"/>
  <c r="R646" i="4"/>
  <c r="R647" i="4"/>
  <c r="R648" i="4"/>
  <c r="R649" i="4"/>
  <c r="R650" i="4"/>
  <c r="R651" i="4"/>
  <c r="R652" i="4"/>
  <c r="R653" i="4"/>
  <c r="R654" i="4"/>
  <c r="R655" i="4"/>
  <c r="R656" i="4"/>
  <c r="R657" i="4"/>
  <c r="R658" i="4"/>
  <c r="R659" i="4"/>
  <c r="R660" i="4"/>
  <c r="R661" i="4"/>
  <c r="R662" i="4"/>
  <c r="R663" i="4"/>
  <c r="R664" i="4"/>
  <c r="R665" i="4"/>
  <c r="R666" i="4"/>
  <c r="R667" i="4"/>
  <c r="R668" i="4"/>
  <c r="R669" i="4"/>
  <c r="R670" i="4"/>
  <c r="R671" i="4"/>
  <c r="R672" i="4"/>
  <c r="R673" i="4"/>
  <c r="R674" i="4"/>
  <c r="R675" i="4"/>
  <c r="R676" i="4"/>
  <c r="R677" i="4"/>
  <c r="R678" i="4"/>
  <c r="R679" i="4"/>
  <c r="R680" i="4"/>
  <c r="R681" i="4"/>
  <c r="R682" i="4"/>
  <c r="R683" i="4"/>
  <c r="R684" i="4"/>
  <c r="R685" i="4"/>
  <c r="R686" i="4"/>
  <c r="R687" i="4"/>
  <c r="R688" i="4"/>
  <c r="R689" i="4"/>
  <c r="R690" i="4"/>
  <c r="R691" i="4"/>
  <c r="R692" i="4"/>
  <c r="R693" i="4"/>
  <c r="R694" i="4"/>
  <c r="R695" i="4"/>
  <c r="R696" i="4"/>
  <c r="R697" i="4"/>
  <c r="R698" i="4"/>
  <c r="R699" i="4"/>
  <c r="R700" i="4"/>
  <c r="R701" i="4"/>
  <c r="R702" i="4"/>
  <c r="R703" i="4"/>
  <c r="R704" i="4"/>
  <c r="R705" i="4"/>
  <c r="R706" i="4"/>
  <c r="R707" i="4"/>
  <c r="R708" i="4"/>
  <c r="R709" i="4"/>
  <c r="R710" i="4"/>
  <c r="R711" i="4"/>
  <c r="R712" i="4"/>
  <c r="R713" i="4"/>
  <c r="R714" i="4"/>
  <c r="R715" i="4"/>
  <c r="R716" i="4"/>
  <c r="R717" i="4"/>
  <c r="R718" i="4"/>
  <c r="R719" i="4"/>
  <c r="R720" i="4"/>
  <c r="R721" i="4"/>
  <c r="R722" i="4"/>
  <c r="R723" i="4"/>
  <c r="R724" i="4"/>
  <c r="R725" i="4"/>
  <c r="R726" i="4"/>
  <c r="R727" i="4"/>
  <c r="R728" i="4"/>
  <c r="R729" i="4"/>
  <c r="R730" i="4"/>
  <c r="R731" i="4"/>
  <c r="R732" i="4"/>
  <c r="R733" i="4"/>
  <c r="R734" i="4"/>
  <c r="R735" i="4"/>
  <c r="R736" i="4"/>
  <c r="R737" i="4"/>
  <c r="R738" i="4"/>
  <c r="R739" i="4"/>
  <c r="R740" i="4"/>
  <c r="R741" i="4"/>
  <c r="R742" i="4"/>
  <c r="R743" i="4"/>
  <c r="R744" i="4"/>
  <c r="R745" i="4"/>
  <c r="R746" i="4"/>
  <c r="R747" i="4"/>
  <c r="R748" i="4"/>
  <c r="R749" i="4"/>
  <c r="R750" i="4"/>
  <c r="R751" i="4"/>
  <c r="R752" i="4"/>
  <c r="R753" i="4"/>
  <c r="R754" i="4"/>
  <c r="R755" i="4"/>
  <c r="R756" i="4"/>
  <c r="R757" i="4"/>
  <c r="R758" i="4"/>
  <c r="R759" i="4"/>
  <c r="R760" i="4"/>
  <c r="R761" i="4"/>
  <c r="R762" i="4"/>
  <c r="R763" i="4"/>
  <c r="R764" i="4"/>
  <c r="R765" i="4"/>
  <c r="R766" i="4"/>
  <c r="R767" i="4"/>
  <c r="R768" i="4"/>
  <c r="R769" i="4"/>
  <c r="R770" i="4"/>
  <c r="R771" i="4"/>
  <c r="R772" i="4"/>
  <c r="R773" i="4"/>
  <c r="R774" i="4"/>
  <c r="R775" i="4"/>
  <c r="R776" i="4"/>
  <c r="R777" i="4"/>
  <c r="R778" i="4"/>
  <c r="R779" i="4"/>
  <c r="R780" i="4"/>
  <c r="R781" i="4"/>
  <c r="R782" i="4"/>
  <c r="R783" i="4"/>
  <c r="R784" i="4"/>
  <c r="R785" i="4"/>
  <c r="R786" i="4"/>
  <c r="R787" i="4"/>
  <c r="R788" i="4"/>
  <c r="R789" i="4"/>
  <c r="R790" i="4"/>
  <c r="R791" i="4"/>
  <c r="R792" i="4"/>
  <c r="R793" i="4"/>
  <c r="R794" i="4"/>
  <c r="R795" i="4"/>
  <c r="R796" i="4"/>
  <c r="R797" i="4"/>
  <c r="R798" i="4"/>
  <c r="R799" i="4"/>
  <c r="R800" i="4"/>
  <c r="R801" i="4"/>
  <c r="R802" i="4"/>
  <c r="R803" i="4"/>
  <c r="R804" i="4"/>
  <c r="R805" i="4"/>
  <c r="R806" i="4"/>
  <c r="R807" i="4"/>
  <c r="R808" i="4"/>
  <c r="R809" i="4"/>
  <c r="R810" i="4"/>
  <c r="R811" i="4"/>
  <c r="R812" i="4"/>
  <c r="R813" i="4"/>
  <c r="R814" i="4"/>
  <c r="R815" i="4"/>
  <c r="R816" i="4"/>
  <c r="R817" i="4"/>
  <c r="R818" i="4"/>
  <c r="R819" i="4"/>
  <c r="R820" i="4"/>
  <c r="R821" i="4"/>
  <c r="R822" i="4"/>
  <c r="R823" i="4"/>
  <c r="R824" i="4"/>
  <c r="R825" i="4"/>
  <c r="R826" i="4"/>
  <c r="R827" i="4"/>
  <c r="R828" i="4"/>
  <c r="R829" i="4"/>
  <c r="R830" i="4"/>
  <c r="R831" i="4"/>
  <c r="R832" i="4"/>
  <c r="R833" i="4"/>
  <c r="R834" i="4"/>
  <c r="R835" i="4"/>
  <c r="R836" i="4"/>
  <c r="R837" i="4"/>
  <c r="R838" i="4"/>
  <c r="R839" i="4"/>
  <c r="R840" i="4"/>
  <c r="R841" i="4"/>
  <c r="R842" i="4"/>
  <c r="R843" i="4"/>
  <c r="R844" i="4"/>
  <c r="R845" i="4"/>
  <c r="R846" i="4"/>
  <c r="R847" i="4"/>
  <c r="R848" i="4"/>
  <c r="R849" i="4"/>
  <c r="R850" i="4"/>
  <c r="R851" i="4"/>
  <c r="R852" i="4"/>
  <c r="R853" i="4"/>
  <c r="R854" i="4"/>
  <c r="R855" i="4"/>
  <c r="R856" i="4"/>
  <c r="R857" i="4"/>
  <c r="R858" i="4"/>
  <c r="R859" i="4"/>
  <c r="R860" i="4"/>
  <c r="R861" i="4"/>
  <c r="R862" i="4"/>
  <c r="R863" i="4"/>
  <c r="R864" i="4"/>
  <c r="R865" i="4"/>
  <c r="R866" i="4"/>
  <c r="R867" i="4"/>
  <c r="R868" i="4"/>
  <c r="R869" i="4"/>
  <c r="R870" i="4"/>
  <c r="R871" i="4"/>
  <c r="R872" i="4"/>
  <c r="R873" i="4"/>
  <c r="R874" i="4"/>
  <c r="R875" i="4"/>
  <c r="R876" i="4"/>
  <c r="R877" i="4"/>
  <c r="R878" i="4"/>
  <c r="R879" i="4"/>
  <c r="R880" i="4"/>
  <c r="R881" i="4"/>
  <c r="R882" i="4"/>
  <c r="R883" i="4"/>
  <c r="R884" i="4"/>
  <c r="R885" i="4"/>
  <c r="R886" i="4"/>
  <c r="R887" i="4"/>
  <c r="R888" i="4"/>
  <c r="R889" i="4"/>
  <c r="R890" i="4"/>
  <c r="R891" i="4"/>
  <c r="R892" i="4"/>
  <c r="R893" i="4"/>
  <c r="R894" i="4"/>
  <c r="R895" i="4"/>
  <c r="R896" i="4"/>
  <c r="R897" i="4"/>
  <c r="R898" i="4"/>
  <c r="R899" i="4"/>
  <c r="R900" i="4"/>
  <c r="R901" i="4"/>
  <c r="R902" i="4"/>
  <c r="R903" i="4"/>
  <c r="R904" i="4"/>
  <c r="R905" i="4"/>
  <c r="R906" i="4"/>
  <c r="R907" i="4"/>
  <c r="R908" i="4"/>
  <c r="R909" i="4"/>
  <c r="R910" i="4"/>
  <c r="R911" i="4"/>
  <c r="R912" i="4"/>
  <c r="R913" i="4"/>
  <c r="R914" i="4"/>
  <c r="R915" i="4"/>
  <c r="R916" i="4"/>
  <c r="R917" i="4"/>
  <c r="R918" i="4"/>
  <c r="R919" i="4"/>
  <c r="R920" i="4"/>
  <c r="R921" i="4"/>
  <c r="R922" i="4"/>
  <c r="R923" i="4"/>
  <c r="R924" i="4"/>
  <c r="R925" i="4"/>
  <c r="R926" i="4"/>
  <c r="R927" i="4"/>
  <c r="R928" i="4"/>
  <c r="R929" i="4"/>
  <c r="R930" i="4"/>
  <c r="R931" i="4"/>
  <c r="R932" i="4"/>
  <c r="R933" i="4"/>
  <c r="R934" i="4"/>
  <c r="R935" i="4"/>
  <c r="R936" i="4"/>
  <c r="R937" i="4"/>
  <c r="R938" i="4"/>
  <c r="R939" i="4"/>
  <c r="R940" i="4"/>
  <c r="R941" i="4"/>
  <c r="R942" i="4"/>
  <c r="R943" i="4"/>
  <c r="R944" i="4"/>
  <c r="R945" i="4"/>
  <c r="R946" i="4"/>
  <c r="R947" i="4"/>
  <c r="R948" i="4"/>
  <c r="R949" i="4"/>
  <c r="R950" i="4"/>
  <c r="R951" i="4"/>
  <c r="R952" i="4"/>
  <c r="R953" i="4"/>
  <c r="R954" i="4"/>
  <c r="R955" i="4"/>
  <c r="R956" i="4"/>
  <c r="R957" i="4"/>
  <c r="R958" i="4"/>
  <c r="R959" i="4"/>
  <c r="R960" i="4"/>
  <c r="R961" i="4"/>
  <c r="R962" i="4"/>
  <c r="R963" i="4"/>
  <c r="R964" i="4"/>
  <c r="R965" i="4"/>
  <c r="R966" i="4"/>
  <c r="R967" i="4"/>
  <c r="R968" i="4"/>
  <c r="R969" i="4"/>
  <c r="R970" i="4"/>
  <c r="R971" i="4"/>
  <c r="R972" i="4"/>
  <c r="R973" i="4"/>
  <c r="R974" i="4"/>
  <c r="R975" i="4"/>
  <c r="R976" i="4"/>
  <c r="R977" i="4"/>
  <c r="R978" i="4"/>
  <c r="R979" i="4"/>
  <c r="R980" i="4"/>
  <c r="R981" i="4"/>
  <c r="R982" i="4"/>
  <c r="R983" i="4"/>
  <c r="R984" i="4"/>
  <c r="R985" i="4"/>
  <c r="R986" i="4"/>
  <c r="R987" i="4"/>
  <c r="R988" i="4"/>
  <c r="R989" i="4"/>
  <c r="R990" i="4"/>
  <c r="R991" i="4"/>
  <c r="R992" i="4"/>
  <c r="R993" i="4"/>
  <c r="R994" i="4"/>
  <c r="R995" i="4"/>
  <c r="R996" i="4"/>
  <c r="R997" i="4"/>
  <c r="R998" i="4"/>
  <c r="R999" i="4"/>
  <c r="R1000" i="4"/>
  <c r="R1001" i="4"/>
  <c r="R1002" i="4"/>
  <c r="R1003" i="4"/>
  <c r="R1004" i="4"/>
  <c r="R1005" i="4"/>
  <c r="P10" i="4"/>
  <c r="T10" i="4" s="1"/>
  <c r="P11" i="4"/>
  <c r="T11" i="4" s="1"/>
  <c r="P12" i="4"/>
  <c r="T12" i="4" s="1"/>
  <c r="P13" i="4"/>
  <c r="T13" i="4" s="1"/>
  <c r="P14" i="4"/>
  <c r="T14" i="4" s="1"/>
  <c r="P15" i="4"/>
  <c r="T15" i="4" s="1"/>
  <c r="P16" i="4"/>
  <c r="T16" i="4" s="1"/>
  <c r="P17" i="4"/>
  <c r="T17" i="4" s="1"/>
  <c r="P18" i="4"/>
  <c r="T18" i="4" s="1"/>
  <c r="P19" i="4"/>
  <c r="T19" i="4" s="1"/>
  <c r="P20" i="4"/>
  <c r="T20" i="4" s="1"/>
  <c r="P21" i="4"/>
  <c r="T21" i="4" s="1"/>
  <c r="P22" i="4"/>
  <c r="T22" i="4" s="1"/>
  <c r="P23" i="4"/>
  <c r="T23" i="4" s="1"/>
  <c r="P24" i="4"/>
  <c r="T24" i="4" s="1"/>
  <c r="P25" i="4"/>
  <c r="T25" i="4" s="1"/>
  <c r="P26" i="4"/>
  <c r="T26" i="4" s="1"/>
  <c r="P27" i="4"/>
  <c r="T27" i="4" s="1"/>
  <c r="P28" i="4"/>
  <c r="T28" i="4" s="1"/>
  <c r="P29" i="4"/>
  <c r="T29" i="4" s="1"/>
  <c r="P30" i="4"/>
  <c r="T30" i="4" s="1"/>
  <c r="P31" i="4"/>
  <c r="T31" i="4" s="1"/>
  <c r="P32" i="4"/>
  <c r="T32" i="4" s="1"/>
  <c r="P33" i="4"/>
  <c r="T33" i="4" s="1"/>
  <c r="P34" i="4"/>
  <c r="T34" i="4" s="1"/>
  <c r="P35" i="4"/>
  <c r="T35" i="4" s="1"/>
  <c r="P36" i="4"/>
  <c r="T36" i="4" s="1"/>
  <c r="P37" i="4"/>
  <c r="T37" i="4" s="1"/>
  <c r="P38" i="4"/>
  <c r="T38" i="4" s="1"/>
  <c r="P39" i="4"/>
  <c r="T39" i="4" s="1"/>
  <c r="P40" i="4"/>
  <c r="T40" i="4" s="1"/>
  <c r="P41" i="4"/>
  <c r="T41" i="4" s="1"/>
  <c r="P42" i="4"/>
  <c r="T42" i="4" s="1"/>
  <c r="P43" i="4"/>
  <c r="T43" i="4" s="1"/>
  <c r="P44" i="4"/>
  <c r="T44" i="4" s="1"/>
  <c r="P45" i="4"/>
  <c r="T45" i="4" s="1"/>
  <c r="P46" i="4"/>
  <c r="T46" i="4" s="1"/>
  <c r="P47" i="4"/>
  <c r="T47" i="4" s="1"/>
  <c r="P48" i="4"/>
  <c r="T48" i="4" s="1"/>
  <c r="P49" i="4"/>
  <c r="T49" i="4" s="1"/>
  <c r="P50" i="4"/>
  <c r="T50" i="4" s="1"/>
  <c r="P51" i="4"/>
  <c r="T51" i="4" s="1"/>
  <c r="P52" i="4"/>
  <c r="T52" i="4" s="1"/>
  <c r="P53" i="4"/>
  <c r="T53" i="4" s="1"/>
  <c r="P54" i="4"/>
  <c r="T54" i="4" s="1"/>
  <c r="P55" i="4"/>
  <c r="T55" i="4" s="1"/>
  <c r="P56" i="4"/>
  <c r="T56" i="4" s="1"/>
  <c r="P57" i="4"/>
  <c r="T57" i="4" s="1"/>
  <c r="P58" i="4"/>
  <c r="T58" i="4" s="1"/>
  <c r="P59" i="4"/>
  <c r="T59" i="4" s="1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P557" i="4"/>
  <c r="P558" i="4"/>
  <c r="P559" i="4"/>
  <c r="P560" i="4"/>
  <c r="P561" i="4"/>
  <c r="P562" i="4"/>
  <c r="P563" i="4"/>
  <c r="P564" i="4"/>
  <c r="P565" i="4"/>
  <c r="P566" i="4"/>
  <c r="P567" i="4"/>
  <c r="P568" i="4"/>
  <c r="P569" i="4"/>
  <c r="P570" i="4"/>
  <c r="P571" i="4"/>
  <c r="P572" i="4"/>
  <c r="P573" i="4"/>
  <c r="P574" i="4"/>
  <c r="P575" i="4"/>
  <c r="P576" i="4"/>
  <c r="P577" i="4"/>
  <c r="P578" i="4"/>
  <c r="P579" i="4"/>
  <c r="P580" i="4"/>
  <c r="P581" i="4"/>
  <c r="P582" i="4"/>
  <c r="P583" i="4"/>
  <c r="P584" i="4"/>
  <c r="P585" i="4"/>
  <c r="P586" i="4"/>
  <c r="P587" i="4"/>
  <c r="P588" i="4"/>
  <c r="P589" i="4"/>
  <c r="P590" i="4"/>
  <c r="P591" i="4"/>
  <c r="P592" i="4"/>
  <c r="P593" i="4"/>
  <c r="P594" i="4"/>
  <c r="P595" i="4"/>
  <c r="P596" i="4"/>
  <c r="P597" i="4"/>
  <c r="P598" i="4"/>
  <c r="P599" i="4"/>
  <c r="P600" i="4"/>
  <c r="P601" i="4"/>
  <c r="P602" i="4"/>
  <c r="P603" i="4"/>
  <c r="P604" i="4"/>
  <c r="P605" i="4"/>
  <c r="P606" i="4"/>
  <c r="P607" i="4"/>
  <c r="P608" i="4"/>
  <c r="P609" i="4"/>
  <c r="P610" i="4"/>
  <c r="P611" i="4"/>
  <c r="P612" i="4"/>
  <c r="P613" i="4"/>
  <c r="P614" i="4"/>
  <c r="P615" i="4"/>
  <c r="P616" i="4"/>
  <c r="P617" i="4"/>
  <c r="P618" i="4"/>
  <c r="P619" i="4"/>
  <c r="P620" i="4"/>
  <c r="P621" i="4"/>
  <c r="P622" i="4"/>
  <c r="P623" i="4"/>
  <c r="P624" i="4"/>
  <c r="P625" i="4"/>
  <c r="P626" i="4"/>
  <c r="P627" i="4"/>
  <c r="P628" i="4"/>
  <c r="P629" i="4"/>
  <c r="P630" i="4"/>
  <c r="P631" i="4"/>
  <c r="P632" i="4"/>
  <c r="P633" i="4"/>
  <c r="P634" i="4"/>
  <c r="P635" i="4"/>
  <c r="P636" i="4"/>
  <c r="P637" i="4"/>
  <c r="P638" i="4"/>
  <c r="P639" i="4"/>
  <c r="P640" i="4"/>
  <c r="P641" i="4"/>
  <c r="P642" i="4"/>
  <c r="P643" i="4"/>
  <c r="P644" i="4"/>
  <c r="P645" i="4"/>
  <c r="P646" i="4"/>
  <c r="P647" i="4"/>
  <c r="P648" i="4"/>
  <c r="P649" i="4"/>
  <c r="P650" i="4"/>
  <c r="P651" i="4"/>
  <c r="P652" i="4"/>
  <c r="P653" i="4"/>
  <c r="P654" i="4"/>
  <c r="P655" i="4"/>
  <c r="P656" i="4"/>
  <c r="P657" i="4"/>
  <c r="P658" i="4"/>
  <c r="P659" i="4"/>
  <c r="P660" i="4"/>
  <c r="P661" i="4"/>
  <c r="P662" i="4"/>
  <c r="P663" i="4"/>
  <c r="P664" i="4"/>
  <c r="P665" i="4"/>
  <c r="P666" i="4"/>
  <c r="P667" i="4"/>
  <c r="P668" i="4"/>
  <c r="P669" i="4"/>
  <c r="P670" i="4"/>
  <c r="P671" i="4"/>
  <c r="P672" i="4"/>
  <c r="P673" i="4"/>
  <c r="P674" i="4"/>
  <c r="P675" i="4"/>
  <c r="P676" i="4"/>
  <c r="P677" i="4"/>
  <c r="P678" i="4"/>
  <c r="P679" i="4"/>
  <c r="P680" i="4"/>
  <c r="P681" i="4"/>
  <c r="P682" i="4"/>
  <c r="P683" i="4"/>
  <c r="P684" i="4"/>
  <c r="P685" i="4"/>
  <c r="P686" i="4"/>
  <c r="P687" i="4"/>
  <c r="P688" i="4"/>
  <c r="P689" i="4"/>
  <c r="P690" i="4"/>
  <c r="P691" i="4"/>
  <c r="P692" i="4"/>
  <c r="P693" i="4"/>
  <c r="P694" i="4"/>
  <c r="P695" i="4"/>
  <c r="P696" i="4"/>
  <c r="P697" i="4"/>
  <c r="P698" i="4"/>
  <c r="P699" i="4"/>
  <c r="P700" i="4"/>
  <c r="P701" i="4"/>
  <c r="P702" i="4"/>
  <c r="P703" i="4"/>
  <c r="P704" i="4"/>
  <c r="P705" i="4"/>
  <c r="P706" i="4"/>
  <c r="P707" i="4"/>
  <c r="P708" i="4"/>
  <c r="P709" i="4"/>
  <c r="P710" i="4"/>
  <c r="P711" i="4"/>
  <c r="P712" i="4"/>
  <c r="P713" i="4"/>
  <c r="P714" i="4"/>
  <c r="P715" i="4"/>
  <c r="P716" i="4"/>
  <c r="P717" i="4"/>
  <c r="P718" i="4"/>
  <c r="P719" i="4"/>
  <c r="P720" i="4"/>
  <c r="P721" i="4"/>
  <c r="P722" i="4"/>
  <c r="P723" i="4"/>
  <c r="P724" i="4"/>
  <c r="P725" i="4"/>
  <c r="P726" i="4"/>
  <c r="P727" i="4"/>
  <c r="P728" i="4"/>
  <c r="P729" i="4"/>
  <c r="P730" i="4"/>
  <c r="P731" i="4"/>
  <c r="P732" i="4"/>
  <c r="P733" i="4"/>
  <c r="P734" i="4"/>
  <c r="P735" i="4"/>
  <c r="P736" i="4"/>
  <c r="P737" i="4"/>
  <c r="P738" i="4"/>
  <c r="P739" i="4"/>
  <c r="P740" i="4"/>
  <c r="P741" i="4"/>
  <c r="P742" i="4"/>
  <c r="P743" i="4"/>
  <c r="P744" i="4"/>
  <c r="P745" i="4"/>
  <c r="P746" i="4"/>
  <c r="P747" i="4"/>
  <c r="P748" i="4"/>
  <c r="P749" i="4"/>
  <c r="P750" i="4"/>
  <c r="P751" i="4"/>
  <c r="P752" i="4"/>
  <c r="P753" i="4"/>
  <c r="P754" i="4"/>
  <c r="P755" i="4"/>
  <c r="P756" i="4"/>
  <c r="P757" i="4"/>
  <c r="P758" i="4"/>
  <c r="P759" i="4"/>
  <c r="P760" i="4"/>
  <c r="P761" i="4"/>
  <c r="P762" i="4"/>
  <c r="P763" i="4"/>
  <c r="P764" i="4"/>
  <c r="P765" i="4"/>
  <c r="P766" i="4"/>
  <c r="P767" i="4"/>
  <c r="P768" i="4"/>
  <c r="P769" i="4"/>
  <c r="P770" i="4"/>
  <c r="P771" i="4"/>
  <c r="P772" i="4"/>
  <c r="P773" i="4"/>
  <c r="P774" i="4"/>
  <c r="P775" i="4"/>
  <c r="P776" i="4"/>
  <c r="P777" i="4"/>
  <c r="P778" i="4"/>
  <c r="P779" i="4"/>
  <c r="P780" i="4"/>
  <c r="P781" i="4"/>
  <c r="P782" i="4"/>
  <c r="P783" i="4"/>
  <c r="P784" i="4"/>
  <c r="P785" i="4"/>
  <c r="P786" i="4"/>
  <c r="P787" i="4"/>
  <c r="P788" i="4"/>
  <c r="P789" i="4"/>
  <c r="P790" i="4"/>
  <c r="P791" i="4"/>
  <c r="P792" i="4"/>
  <c r="P793" i="4"/>
  <c r="P794" i="4"/>
  <c r="P795" i="4"/>
  <c r="P796" i="4"/>
  <c r="P797" i="4"/>
  <c r="P798" i="4"/>
  <c r="P799" i="4"/>
  <c r="P800" i="4"/>
  <c r="P801" i="4"/>
  <c r="P802" i="4"/>
  <c r="P803" i="4"/>
  <c r="P804" i="4"/>
  <c r="P805" i="4"/>
  <c r="P806" i="4"/>
  <c r="P807" i="4"/>
  <c r="P808" i="4"/>
  <c r="P809" i="4"/>
  <c r="P810" i="4"/>
  <c r="P811" i="4"/>
  <c r="P812" i="4"/>
  <c r="P813" i="4"/>
  <c r="P814" i="4"/>
  <c r="P815" i="4"/>
  <c r="P816" i="4"/>
  <c r="P817" i="4"/>
  <c r="P818" i="4"/>
  <c r="P819" i="4"/>
  <c r="P820" i="4"/>
  <c r="P821" i="4"/>
  <c r="P822" i="4"/>
  <c r="P823" i="4"/>
  <c r="P824" i="4"/>
  <c r="P825" i="4"/>
  <c r="P826" i="4"/>
  <c r="P827" i="4"/>
  <c r="P828" i="4"/>
  <c r="P829" i="4"/>
  <c r="P830" i="4"/>
  <c r="P831" i="4"/>
  <c r="P832" i="4"/>
  <c r="P833" i="4"/>
  <c r="P834" i="4"/>
  <c r="P835" i="4"/>
  <c r="P836" i="4"/>
  <c r="P837" i="4"/>
  <c r="P838" i="4"/>
  <c r="P839" i="4"/>
  <c r="P840" i="4"/>
  <c r="P841" i="4"/>
  <c r="P842" i="4"/>
  <c r="P843" i="4"/>
  <c r="P844" i="4"/>
  <c r="P845" i="4"/>
  <c r="P846" i="4"/>
  <c r="P847" i="4"/>
  <c r="P848" i="4"/>
  <c r="P849" i="4"/>
  <c r="P850" i="4"/>
  <c r="P851" i="4"/>
  <c r="P852" i="4"/>
  <c r="P853" i="4"/>
  <c r="P854" i="4"/>
  <c r="P855" i="4"/>
  <c r="P856" i="4"/>
  <c r="P857" i="4"/>
  <c r="P858" i="4"/>
  <c r="P859" i="4"/>
  <c r="P860" i="4"/>
  <c r="P861" i="4"/>
  <c r="P862" i="4"/>
  <c r="P863" i="4"/>
  <c r="P864" i="4"/>
  <c r="P865" i="4"/>
  <c r="P866" i="4"/>
  <c r="P867" i="4"/>
  <c r="P868" i="4"/>
  <c r="P869" i="4"/>
  <c r="P870" i="4"/>
  <c r="P871" i="4"/>
  <c r="P872" i="4"/>
  <c r="P873" i="4"/>
  <c r="P874" i="4"/>
  <c r="P875" i="4"/>
  <c r="P876" i="4"/>
  <c r="P877" i="4"/>
  <c r="P878" i="4"/>
  <c r="P879" i="4"/>
  <c r="P880" i="4"/>
  <c r="P881" i="4"/>
  <c r="P882" i="4"/>
  <c r="P883" i="4"/>
  <c r="P884" i="4"/>
  <c r="P885" i="4"/>
  <c r="P886" i="4"/>
  <c r="P887" i="4"/>
  <c r="P888" i="4"/>
  <c r="P889" i="4"/>
  <c r="P890" i="4"/>
  <c r="P891" i="4"/>
  <c r="P892" i="4"/>
  <c r="P893" i="4"/>
  <c r="P894" i="4"/>
  <c r="P895" i="4"/>
  <c r="P896" i="4"/>
  <c r="P897" i="4"/>
  <c r="P898" i="4"/>
  <c r="P899" i="4"/>
  <c r="P900" i="4"/>
  <c r="P901" i="4"/>
  <c r="P902" i="4"/>
  <c r="P903" i="4"/>
  <c r="P904" i="4"/>
  <c r="P905" i="4"/>
  <c r="P906" i="4"/>
  <c r="P907" i="4"/>
  <c r="P908" i="4"/>
  <c r="P909" i="4"/>
  <c r="P910" i="4"/>
  <c r="P911" i="4"/>
  <c r="P912" i="4"/>
  <c r="P913" i="4"/>
  <c r="P914" i="4"/>
  <c r="P915" i="4"/>
  <c r="P916" i="4"/>
  <c r="P917" i="4"/>
  <c r="P918" i="4"/>
  <c r="P919" i="4"/>
  <c r="P920" i="4"/>
  <c r="P921" i="4"/>
  <c r="P922" i="4"/>
  <c r="P923" i="4"/>
  <c r="P924" i="4"/>
  <c r="P925" i="4"/>
  <c r="P926" i="4"/>
  <c r="P927" i="4"/>
  <c r="P928" i="4"/>
  <c r="P929" i="4"/>
  <c r="P930" i="4"/>
  <c r="P931" i="4"/>
  <c r="P932" i="4"/>
  <c r="P933" i="4"/>
  <c r="P934" i="4"/>
  <c r="P935" i="4"/>
  <c r="P936" i="4"/>
  <c r="P937" i="4"/>
  <c r="P938" i="4"/>
  <c r="P939" i="4"/>
  <c r="P940" i="4"/>
  <c r="P941" i="4"/>
  <c r="P942" i="4"/>
  <c r="P943" i="4"/>
  <c r="P944" i="4"/>
  <c r="P945" i="4"/>
  <c r="P946" i="4"/>
  <c r="P947" i="4"/>
  <c r="P948" i="4"/>
  <c r="P949" i="4"/>
  <c r="P950" i="4"/>
  <c r="P951" i="4"/>
  <c r="P952" i="4"/>
  <c r="P953" i="4"/>
  <c r="P954" i="4"/>
  <c r="P955" i="4"/>
  <c r="P956" i="4"/>
  <c r="P957" i="4"/>
  <c r="P958" i="4"/>
  <c r="P959" i="4"/>
  <c r="P960" i="4"/>
  <c r="P961" i="4"/>
  <c r="P962" i="4"/>
  <c r="P963" i="4"/>
  <c r="P964" i="4"/>
  <c r="P965" i="4"/>
  <c r="P966" i="4"/>
  <c r="P967" i="4"/>
  <c r="P968" i="4"/>
  <c r="P969" i="4"/>
  <c r="P970" i="4"/>
  <c r="P971" i="4"/>
  <c r="P972" i="4"/>
  <c r="P973" i="4"/>
  <c r="P974" i="4"/>
  <c r="P975" i="4"/>
  <c r="P976" i="4"/>
  <c r="P977" i="4"/>
  <c r="P978" i="4"/>
  <c r="P979" i="4"/>
  <c r="P980" i="4"/>
  <c r="P981" i="4"/>
  <c r="P982" i="4"/>
  <c r="P983" i="4"/>
  <c r="P984" i="4"/>
  <c r="P985" i="4"/>
  <c r="P986" i="4"/>
  <c r="P987" i="4"/>
  <c r="P988" i="4"/>
  <c r="P989" i="4"/>
  <c r="P990" i="4"/>
  <c r="P991" i="4"/>
  <c r="P992" i="4"/>
  <c r="P993" i="4"/>
  <c r="P994" i="4"/>
  <c r="P995" i="4"/>
  <c r="P996" i="4"/>
  <c r="P997" i="4"/>
  <c r="P998" i="4"/>
  <c r="P999" i="4"/>
  <c r="P1000" i="4"/>
  <c r="P1001" i="4"/>
  <c r="P1002" i="4"/>
  <c r="P1003" i="4"/>
  <c r="P1004" i="4"/>
  <c r="P1005" i="4"/>
  <c r="P1006" i="4"/>
  <c r="P1007" i="4"/>
  <c r="P1008" i="4"/>
  <c r="P1009" i="4"/>
  <c r="P1010" i="4"/>
  <c r="P1011" i="4"/>
  <c r="P1012" i="4"/>
  <c r="P1013" i="4"/>
  <c r="P1014" i="4"/>
  <c r="P1015" i="4"/>
  <c r="P1016" i="4"/>
  <c r="P1017" i="4"/>
  <c r="P1018" i="4"/>
  <c r="P1019" i="4"/>
  <c r="P1020" i="4"/>
  <c r="P1021" i="4"/>
  <c r="P1022" i="4"/>
  <c r="P1023" i="4"/>
  <c r="P1024" i="4"/>
  <c r="P1025" i="4"/>
  <c r="P1026" i="4"/>
  <c r="P1027" i="4"/>
  <c r="P1028" i="4"/>
  <c r="P1029" i="4"/>
  <c r="P1030" i="4"/>
  <c r="P1031" i="4"/>
  <c r="P1032" i="4"/>
  <c r="P1033" i="4"/>
  <c r="P1034" i="4"/>
  <c r="P1035" i="4"/>
  <c r="P1036" i="4"/>
  <c r="P1037" i="4"/>
  <c r="P1038" i="4"/>
  <c r="P1039" i="4"/>
  <c r="P1040" i="4"/>
  <c r="P1041" i="4"/>
  <c r="P1042" i="4"/>
  <c r="P1043" i="4"/>
  <c r="P1044" i="4"/>
  <c r="P1045" i="4"/>
  <c r="P1046" i="4"/>
  <c r="P1047" i="4"/>
  <c r="P1048" i="4"/>
  <c r="P1049" i="4"/>
  <c r="P1050" i="4"/>
  <c r="P1051" i="4"/>
  <c r="P1052" i="4"/>
  <c r="P1053" i="4"/>
  <c r="P1054" i="4"/>
  <c r="P1055" i="4"/>
  <c r="P1056" i="4"/>
  <c r="P1057" i="4"/>
  <c r="P1058" i="4"/>
  <c r="P1059" i="4"/>
  <c r="P1060" i="4"/>
  <c r="P1061" i="4"/>
  <c r="P1062" i="4"/>
  <c r="P1063" i="4"/>
  <c r="P1064" i="4"/>
  <c r="P1065" i="4"/>
  <c r="P1066" i="4"/>
  <c r="P1067" i="4"/>
  <c r="P1068" i="4"/>
  <c r="P1069" i="4"/>
  <c r="P1070" i="4"/>
  <c r="P1071" i="4"/>
  <c r="P1072" i="4"/>
  <c r="P1073" i="4"/>
  <c r="P1074" i="4"/>
  <c r="P1075" i="4"/>
  <c r="P1076" i="4"/>
  <c r="P1077" i="4"/>
  <c r="P1078" i="4"/>
  <c r="P1079" i="4"/>
  <c r="P1080" i="4"/>
  <c r="P1081" i="4"/>
  <c r="P1082" i="4"/>
  <c r="P1083" i="4"/>
  <c r="P1084" i="4"/>
  <c r="P1085" i="4"/>
  <c r="P1086" i="4"/>
  <c r="P1087" i="4"/>
  <c r="P1088" i="4"/>
  <c r="P1089" i="4"/>
  <c r="P1090" i="4"/>
  <c r="P1091" i="4"/>
  <c r="P1092" i="4"/>
  <c r="P1093" i="4"/>
  <c r="P1094" i="4"/>
  <c r="P1095" i="4"/>
  <c r="P1096" i="4"/>
  <c r="P1097" i="4"/>
  <c r="P1098" i="4"/>
  <c r="P1099" i="4"/>
  <c r="P1100" i="4"/>
  <c r="P1101" i="4"/>
  <c r="P1102" i="4"/>
  <c r="P1103" i="4"/>
  <c r="P1104" i="4"/>
  <c r="P1105" i="4"/>
  <c r="P1106" i="4"/>
  <c r="P1107" i="4"/>
  <c r="P1108" i="4"/>
  <c r="P1109" i="4"/>
  <c r="P1110" i="4"/>
  <c r="P1111" i="4"/>
  <c r="P1112" i="4"/>
  <c r="P1113" i="4"/>
  <c r="P1114" i="4"/>
  <c r="P1115" i="4"/>
  <c r="P1116" i="4"/>
  <c r="P1117" i="4"/>
  <c r="P1118" i="4"/>
  <c r="P1119" i="4"/>
  <c r="P1120" i="4"/>
  <c r="P1121" i="4"/>
  <c r="P1122" i="4"/>
  <c r="P1123" i="4"/>
  <c r="P1124" i="4"/>
  <c r="P1125" i="4"/>
  <c r="P1126" i="4"/>
  <c r="P1127" i="4"/>
  <c r="P1128" i="4"/>
  <c r="P1129" i="4"/>
  <c r="P1130" i="4"/>
  <c r="P1131" i="4"/>
  <c r="P1132" i="4"/>
  <c r="P1133" i="4"/>
  <c r="P1134" i="4"/>
  <c r="P1135" i="4"/>
  <c r="P1136" i="4"/>
  <c r="P1137" i="4"/>
  <c r="P1138" i="4"/>
  <c r="P1139" i="4"/>
  <c r="P1140" i="4"/>
  <c r="P1141" i="4"/>
  <c r="P1142" i="4"/>
  <c r="P1143" i="4"/>
  <c r="P1144" i="4"/>
  <c r="P1145" i="4"/>
  <c r="P1146" i="4"/>
  <c r="P1147" i="4"/>
  <c r="P1148" i="4"/>
  <c r="P1149" i="4"/>
  <c r="P1150" i="4"/>
  <c r="P1151" i="4"/>
  <c r="P1152" i="4"/>
  <c r="P1153" i="4"/>
  <c r="P1154" i="4"/>
  <c r="P1155" i="4"/>
  <c r="P1156" i="4"/>
  <c r="P1157" i="4"/>
  <c r="P1158" i="4"/>
  <c r="P1159" i="4"/>
  <c r="P1160" i="4"/>
  <c r="P1161" i="4"/>
  <c r="P1162" i="4"/>
  <c r="P1163" i="4"/>
  <c r="P1164" i="4"/>
  <c r="P1165" i="4"/>
  <c r="P1166" i="4"/>
  <c r="P1167" i="4"/>
  <c r="P1168" i="4"/>
  <c r="P1169" i="4"/>
  <c r="P1170" i="4"/>
  <c r="P1171" i="4"/>
  <c r="P1172" i="4"/>
  <c r="P1173" i="4"/>
  <c r="P1174" i="4"/>
  <c r="P1175" i="4"/>
  <c r="P1176" i="4"/>
  <c r="P1177" i="4"/>
  <c r="P1178" i="4"/>
  <c r="P1179" i="4"/>
  <c r="P1180" i="4"/>
  <c r="P1181" i="4"/>
  <c r="P1182" i="4"/>
  <c r="P1183" i="4"/>
  <c r="P1184" i="4"/>
  <c r="P1185" i="4"/>
  <c r="P1186" i="4"/>
  <c r="P1187" i="4"/>
  <c r="P1188" i="4"/>
  <c r="P1189" i="4"/>
  <c r="P1190" i="4"/>
  <c r="P1191" i="4"/>
  <c r="P1192" i="4"/>
  <c r="P1193" i="4"/>
  <c r="P1194" i="4"/>
  <c r="P1195" i="4"/>
  <c r="P1196" i="4"/>
  <c r="P1197" i="4"/>
  <c r="P1198" i="4"/>
  <c r="P1199" i="4"/>
  <c r="P1200" i="4"/>
  <c r="P1201" i="4"/>
  <c r="P1202" i="4"/>
  <c r="P1203" i="4"/>
  <c r="P1204" i="4"/>
  <c r="P1205" i="4"/>
  <c r="P1206" i="4"/>
  <c r="P1207" i="4"/>
  <c r="P1208" i="4"/>
  <c r="P1209" i="4"/>
  <c r="P1210" i="4"/>
  <c r="P1211" i="4"/>
  <c r="P1212" i="4"/>
  <c r="P1213" i="4"/>
  <c r="P1214" i="4"/>
  <c r="P1215" i="4"/>
  <c r="P1216" i="4"/>
  <c r="P1217" i="4"/>
  <c r="P1218" i="4"/>
  <c r="P1219" i="4"/>
  <c r="P1220" i="4"/>
  <c r="P1221" i="4"/>
  <c r="P1222" i="4"/>
  <c r="P1223" i="4"/>
  <c r="P1224" i="4"/>
  <c r="P1225" i="4"/>
  <c r="P1226" i="4"/>
  <c r="P1227" i="4"/>
  <c r="P1228" i="4"/>
  <c r="P1229" i="4"/>
  <c r="P1230" i="4"/>
  <c r="P1231" i="4"/>
  <c r="P1232" i="4"/>
  <c r="P1233" i="4"/>
  <c r="P1234" i="4"/>
  <c r="P1235" i="4"/>
  <c r="P1236" i="4"/>
  <c r="P1237" i="4"/>
  <c r="P1238" i="4"/>
  <c r="P1239" i="4"/>
  <c r="P1240" i="4"/>
  <c r="P1241" i="4"/>
  <c r="P1242" i="4"/>
  <c r="P1243" i="4"/>
  <c r="P1244" i="4"/>
  <c r="P1245" i="4"/>
  <c r="P1246" i="4"/>
  <c r="P1247" i="4"/>
  <c r="P1248" i="4"/>
  <c r="P1249" i="4"/>
  <c r="P1250" i="4"/>
  <c r="P1251" i="4"/>
  <c r="P1252" i="4"/>
  <c r="P1253" i="4"/>
  <c r="P1254" i="4"/>
  <c r="P1255" i="4"/>
  <c r="P1256" i="4"/>
  <c r="P1257" i="4"/>
  <c r="P1258" i="4"/>
  <c r="P1259" i="4"/>
  <c r="P1260" i="4"/>
  <c r="P1261" i="4"/>
  <c r="P1262" i="4"/>
  <c r="P1263" i="4"/>
  <c r="P1264" i="4"/>
  <c r="P1265" i="4"/>
  <c r="P1266" i="4"/>
  <c r="P1267" i="4"/>
  <c r="P1268" i="4"/>
  <c r="P1269" i="4"/>
  <c r="P1270" i="4"/>
  <c r="P1271" i="4"/>
  <c r="P1272" i="4"/>
  <c r="P1273" i="4"/>
  <c r="P1274" i="4"/>
  <c r="P1275" i="4"/>
  <c r="P1276" i="4"/>
  <c r="P1277" i="4"/>
  <c r="P1278" i="4"/>
  <c r="P1279" i="4"/>
  <c r="P1280" i="4"/>
  <c r="P1281" i="4"/>
  <c r="P1282" i="4"/>
  <c r="P1283" i="4"/>
  <c r="P1284" i="4"/>
  <c r="P1285" i="4"/>
  <c r="P1286" i="4"/>
  <c r="P1287" i="4"/>
  <c r="P1288" i="4"/>
  <c r="P1289" i="4"/>
  <c r="P1290" i="4"/>
  <c r="P1291" i="4"/>
  <c r="P1292" i="4"/>
  <c r="P1293" i="4"/>
  <c r="P1294" i="4"/>
  <c r="P1295" i="4"/>
  <c r="P1296" i="4"/>
  <c r="P1297" i="4"/>
  <c r="P1298" i="4"/>
  <c r="P1299" i="4"/>
  <c r="P1300" i="4"/>
  <c r="P1301" i="4"/>
  <c r="P1302" i="4"/>
  <c r="P1303" i="4"/>
  <c r="P1304" i="4"/>
  <c r="P1305" i="4"/>
  <c r="P1306" i="4"/>
  <c r="P1307" i="4"/>
  <c r="P1308" i="4"/>
  <c r="P1309" i="4"/>
  <c r="P1310" i="4"/>
  <c r="P1311" i="4"/>
  <c r="P1312" i="4"/>
  <c r="P1313" i="4"/>
  <c r="P1314" i="4"/>
  <c r="P1315" i="4"/>
  <c r="P1316" i="4"/>
  <c r="P1317" i="4"/>
  <c r="P1318" i="4"/>
  <c r="P1319" i="4"/>
  <c r="P1320" i="4"/>
  <c r="P1321" i="4"/>
  <c r="P1322" i="4"/>
  <c r="P1323" i="4"/>
  <c r="P1324" i="4"/>
  <c r="P1325" i="4"/>
  <c r="P1326" i="4"/>
  <c r="P1327" i="4"/>
  <c r="P1328" i="4"/>
  <c r="P1329" i="4"/>
  <c r="P1330" i="4"/>
  <c r="P1331" i="4"/>
  <c r="P1332" i="4"/>
  <c r="P1333" i="4"/>
  <c r="P1334" i="4"/>
  <c r="P1335" i="4"/>
  <c r="P1336" i="4"/>
  <c r="P1337" i="4"/>
  <c r="P1338" i="4"/>
  <c r="P1339" i="4"/>
  <c r="P1340" i="4"/>
  <c r="P1341" i="4"/>
  <c r="P1342" i="4"/>
  <c r="P1343" i="4"/>
  <c r="P1344" i="4"/>
  <c r="P1345" i="4"/>
  <c r="P1346" i="4"/>
  <c r="P1347" i="4"/>
  <c r="P1348" i="4"/>
  <c r="P1349" i="4"/>
  <c r="P1350" i="4"/>
  <c r="P1351" i="4"/>
  <c r="P1352" i="4"/>
  <c r="P1353" i="4"/>
  <c r="P1354" i="4"/>
  <c r="P1355" i="4"/>
  <c r="P1356" i="4"/>
  <c r="P1357" i="4"/>
  <c r="P1358" i="4"/>
  <c r="P1359" i="4"/>
  <c r="P1360" i="4"/>
  <c r="P1361" i="4"/>
  <c r="P1362" i="4"/>
  <c r="P1363" i="4"/>
  <c r="P1364" i="4"/>
  <c r="P1365" i="4"/>
  <c r="P1366" i="4"/>
  <c r="P1367" i="4"/>
  <c r="P1368" i="4"/>
  <c r="P1369" i="4"/>
  <c r="P1370" i="4"/>
  <c r="P1371" i="4"/>
  <c r="P1372" i="4"/>
  <c r="P1373" i="4"/>
  <c r="P1374" i="4"/>
  <c r="P1375" i="4"/>
  <c r="P1376" i="4"/>
  <c r="P1377" i="4"/>
  <c r="P1378" i="4"/>
  <c r="P1379" i="4"/>
  <c r="P1380" i="4"/>
  <c r="P1381" i="4"/>
  <c r="P1382" i="4"/>
  <c r="P1383" i="4"/>
  <c r="P1384" i="4"/>
  <c r="P1385" i="4"/>
  <c r="P1386" i="4"/>
  <c r="P1387" i="4"/>
  <c r="P1388" i="4"/>
  <c r="P1389" i="4"/>
  <c r="P1390" i="4"/>
  <c r="P1391" i="4"/>
  <c r="P1392" i="4"/>
  <c r="P1393" i="4"/>
  <c r="P1394" i="4"/>
  <c r="P1395" i="4"/>
  <c r="P1396" i="4"/>
  <c r="P1397" i="4"/>
  <c r="P1398" i="4"/>
  <c r="P1399" i="4"/>
  <c r="P1400" i="4"/>
  <c r="P1401" i="4"/>
  <c r="P1402" i="4"/>
  <c r="P1403" i="4"/>
  <c r="P1404" i="4"/>
  <c r="P1405" i="4"/>
  <c r="P1406" i="4"/>
  <c r="P1407" i="4"/>
  <c r="P1408" i="4"/>
  <c r="P1409" i="4"/>
  <c r="P1410" i="4"/>
  <c r="P1411" i="4"/>
  <c r="P1412" i="4"/>
  <c r="P1413" i="4"/>
  <c r="P1414" i="4"/>
  <c r="P1415" i="4"/>
  <c r="P1416" i="4"/>
  <c r="P1417" i="4"/>
  <c r="P1418" i="4"/>
  <c r="P1419" i="4"/>
  <c r="P1420" i="4"/>
  <c r="P1421" i="4"/>
  <c r="P1422" i="4"/>
  <c r="P1423" i="4"/>
  <c r="P1424" i="4"/>
  <c r="P1425" i="4"/>
  <c r="P1426" i="4"/>
  <c r="P1427" i="4"/>
  <c r="P1428" i="4"/>
  <c r="P1429" i="4"/>
  <c r="P1430" i="4"/>
  <c r="P1431" i="4"/>
  <c r="P1432" i="4"/>
  <c r="P1433" i="4"/>
  <c r="P1434" i="4"/>
  <c r="P1435" i="4"/>
  <c r="P1436" i="4"/>
  <c r="P1437" i="4"/>
  <c r="P1438" i="4"/>
  <c r="P1439" i="4"/>
  <c r="P1440" i="4"/>
  <c r="P1441" i="4"/>
  <c r="P1442" i="4"/>
  <c r="P1443" i="4"/>
  <c r="P1444" i="4"/>
  <c r="P1445" i="4"/>
  <c r="P1446" i="4"/>
  <c r="P1447" i="4"/>
  <c r="P1448" i="4"/>
  <c r="P1449" i="4"/>
  <c r="P1450" i="4"/>
  <c r="P1451" i="4"/>
  <c r="P1452" i="4"/>
  <c r="P1453" i="4"/>
  <c r="P1454" i="4"/>
  <c r="P1455" i="4"/>
  <c r="P1456" i="4"/>
  <c r="P1457" i="4"/>
  <c r="P1458" i="4"/>
  <c r="P1459" i="4"/>
  <c r="P1460" i="4"/>
  <c r="P1461" i="4"/>
  <c r="P1462" i="4"/>
  <c r="P1463" i="4"/>
  <c r="P1464" i="4"/>
  <c r="P1465" i="4"/>
  <c r="P1466" i="4"/>
  <c r="P1467" i="4"/>
  <c r="P1468" i="4"/>
  <c r="P1469" i="4"/>
  <c r="P1470" i="4"/>
  <c r="P1471" i="4"/>
  <c r="P1472" i="4"/>
  <c r="P1473" i="4"/>
  <c r="P1474" i="4"/>
  <c r="P1475" i="4"/>
  <c r="P1476" i="4"/>
  <c r="P1477" i="4"/>
  <c r="P1478" i="4"/>
  <c r="P1479" i="4"/>
  <c r="P1480" i="4"/>
  <c r="P1481" i="4"/>
  <c r="P1482" i="4"/>
  <c r="P1483" i="4"/>
  <c r="P1484" i="4"/>
  <c r="P1485" i="4"/>
  <c r="P1486" i="4"/>
  <c r="P1487" i="4"/>
  <c r="P1488" i="4"/>
  <c r="P1489" i="4"/>
  <c r="P1490" i="4"/>
  <c r="P1491" i="4"/>
  <c r="P1492" i="4"/>
  <c r="P1493" i="4"/>
  <c r="P1494" i="4"/>
  <c r="P1495" i="4"/>
  <c r="P1496" i="4"/>
  <c r="P1497" i="4"/>
  <c r="P1498" i="4"/>
  <c r="P1499" i="4"/>
  <c r="P1500" i="4"/>
  <c r="P1501" i="4"/>
  <c r="P1502" i="4"/>
  <c r="P1503" i="4"/>
  <c r="P1504" i="4"/>
  <c r="P1505" i="4"/>
  <c r="P1506" i="4"/>
  <c r="P1507" i="4"/>
  <c r="P1508" i="4"/>
  <c r="P1509" i="4"/>
  <c r="P1510" i="4"/>
  <c r="P1511" i="4"/>
  <c r="P1512" i="4"/>
  <c r="P1513" i="4"/>
  <c r="P1514" i="4"/>
  <c r="P1515" i="4"/>
  <c r="P1516" i="4"/>
  <c r="P1517" i="4"/>
  <c r="P1518" i="4"/>
  <c r="P1519" i="4"/>
  <c r="P1520" i="4"/>
  <c r="P1521" i="4"/>
  <c r="P1522" i="4"/>
  <c r="P1523" i="4"/>
  <c r="P1524" i="4"/>
  <c r="P1525" i="4"/>
  <c r="P1526" i="4"/>
  <c r="P1527" i="4"/>
  <c r="P1528" i="4"/>
  <c r="P1529" i="4"/>
  <c r="P1530" i="4"/>
  <c r="P1531" i="4"/>
  <c r="P1532" i="4"/>
  <c r="P1533" i="4"/>
  <c r="P1534" i="4"/>
  <c r="P1535" i="4"/>
  <c r="P1536" i="4"/>
  <c r="P1537" i="4"/>
  <c r="P1538" i="4"/>
  <c r="P1539" i="4"/>
  <c r="P1540" i="4"/>
  <c r="P1541" i="4"/>
  <c r="P1542" i="4"/>
  <c r="P1543" i="4"/>
  <c r="P1544" i="4"/>
  <c r="P1545" i="4"/>
  <c r="P1546" i="4"/>
  <c r="P1547" i="4"/>
  <c r="P1548" i="4"/>
  <c r="P1549" i="4"/>
  <c r="P1550" i="4"/>
  <c r="P1551" i="4"/>
  <c r="P1552" i="4"/>
  <c r="P1553" i="4"/>
  <c r="P1554" i="4"/>
  <c r="P1555" i="4"/>
  <c r="P1556" i="4"/>
  <c r="P1557" i="4"/>
  <c r="P1558" i="4"/>
  <c r="P1559" i="4"/>
  <c r="P1560" i="4"/>
  <c r="P1561" i="4"/>
  <c r="P1562" i="4"/>
  <c r="P1563" i="4"/>
  <c r="P1564" i="4"/>
  <c r="P1565" i="4"/>
  <c r="P1566" i="4"/>
  <c r="P1567" i="4"/>
  <c r="P1568" i="4"/>
  <c r="P1569" i="4"/>
  <c r="P1570" i="4"/>
  <c r="P1571" i="4"/>
  <c r="P1572" i="4"/>
  <c r="P1573" i="4"/>
  <c r="P1574" i="4"/>
  <c r="P1575" i="4"/>
  <c r="P1576" i="4"/>
  <c r="P1577" i="4"/>
  <c r="P1578" i="4"/>
  <c r="P1579" i="4"/>
  <c r="P1580" i="4"/>
  <c r="P1581" i="4"/>
  <c r="P1582" i="4"/>
  <c r="P1583" i="4"/>
  <c r="P1584" i="4"/>
  <c r="P1585" i="4"/>
  <c r="P1586" i="4"/>
  <c r="P1587" i="4"/>
  <c r="P1588" i="4"/>
  <c r="P1589" i="4"/>
  <c r="P1590" i="4"/>
  <c r="P1591" i="4"/>
  <c r="P1592" i="4"/>
  <c r="P1593" i="4"/>
  <c r="P1594" i="4"/>
  <c r="P1595" i="4"/>
  <c r="P1596" i="4"/>
  <c r="P1597" i="4"/>
  <c r="P1598" i="4"/>
  <c r="P1599" i="4"/>
  <c r="P1600" i="4"/>
  <c r="P1601" i="4"/>
  <c r="P1602" i="4"/>
  <c r="P1603" i="4"/>
  <c r="P1604" i="4"/>
  <c r="P1605" i="4"/>
  <c r="P1606" i="4"/>
  <c r="P1607" i="4"/>
  <c r="P1608" i="4"/>
  <c r="P1609" i="4"/>
  <c r="P1610" i="4"/>
  <c r="P1611" i="4"/>
  <c r="P1612" i="4"/>
  <c r="P1613" i="4"/>
  <c r="P1614" i="4"/>
  <c r="P1615" i="4"/>
  <c r="P1616" i="4"/>
  <c r="P1617" i="4"/>
  <c r="P1618" i="4"/>
  <c r="P1619" i="4"/>
  <c r="P1620" i="4"/>
  <c r="P1621" i="4"/>
  <c r="P1622" i="4"/>
  <c r="P1623" i="4"/>
  <c r="P1624" i="4"/>
  <c r="P1625" i="4"/>
  <c r="P1626" i="4"/>
  <c r="P1627" i="4"/>
  <c r="P1628" i="4"/>
  <c r="P1629" i="4"/>
  <c r="P1630" i="4"/>
  <c r="P1631" i="4"/>
  <c r="P1632" i="4"/>
  <c r="P1633" i="4"/>
  <c r="P1634" i="4"/>
  <c r="P1635" i="4"/>
  <c r="P1636" i="4"/>
  <c r="P1637" i="4"/>
  <c r="P1638" i="4"/>
  <c r="P1639" i="4"/>
  <c r="P1640" i="4"/>
  <c r="P1641" i="4"/>
  <c r="P1642" i="4"/>
  <c r="P1643" i="4"/>
  <c r="P1644" i="4"/>
  <c r="P1645" i="4"/>
  <c r="P1646" i="4"/>
  <c r="P1647" i="4"/>
  <c r="P1648" i="4"/>
  <c r="P1649" i="4"/>
  <c r="P1650" i="4"/>
  <c r="P1651" i="4"/>
  <c r="P1652" i="4"/>
  <c r="P1653" i="4"/>
  <c r="P1654" i="4"/>
  <c r="P1655" i="4"/>
  <c r="P1656" i="4"/>
  <c r="P1657" i="4"/>
  <c r="P1658" i="4"/>
  <c r="P1659" i="4"/>
  <c r="P1660" i="4"/>
  <c r="P1661" i="4"/>
  <c r="P1662" i="4"/>
  <c r="P1663" i="4"/>
  <c r="P1664" i="4"/>
  <c r="P1665" i="4"/>
  <c r="P1666" i="4"/>
  <c r="P1667" i="4"/>
  <c r="P1668" i="4"/>
  <c r="P1669" i="4"/>
  <c r="P1670" i="4"/>
  <c r="P1671" i="4"/>
  <c r="P1672" i="4"/>
  <c r="P1673" i="4"/>
  <c r="P1674" i="4"/>
  <c r="P1675" i="4"/>
  <c r="P1676" i="4"/>
  <c r="P1677" i="4"/>
  <c r="P1678" i="4"/>
  <c r="P1679" i="4"/>
  <c r="P1680" i="4"/>
  <c r="P1681" i="4"/>
  <c r="P1682" i="4"/>
  <c r="P1683" i="4"/>
  <c r="P1684" i="4"/>
  <c r="P1685" i="4"/>
  <c r="P1686" i="4"/>
  <c r="P1687" i="4"/>
  <c r="P1688" i="4"/>
  <c r="P1689" i="4"/>
  <c r="P1690" i="4"/>
  <c r="P1691" i="4"/>
  <c r="P1692" i="4"/>
  <c r="P1693" i="4"/>
  <c r="P1694" i="4"/>
  <c r="P1695" i="4"/>
  <c r="P1696" i="4"/>
  <c r="P1697" i="4"/>
  <c r="P1698" i="4"/>
  <c r="P1699" i="4"/>
  <c r="P1700" i="4"/>
  <c r="P1701" i="4"/>
  <c r="P1702" i="4"/>
  <c r="P1703" i="4"/>
  <c r="P1704" i="4"/>
  <c r="P1705" i="4"/>
  <c r="P1706" i="4"/>
  <c r="P1707" i="4"/>
  <c r="P1708" i="4"/>
  <c r="P1709" i="4"/>
  <c r="P1710" i="4"/>
  <c r="P1711" i="4"/>
  <c r="P1712" i="4"/>
  <c r="P1713" i="4"/>
  <c r="P1714" i="4"/>
  <c r="P1715" i="4"/>
  <c r="P1716" i="4"/>
  <c r="P1717" i="4"/>
  <c r="P1718" i="4"/>
  <c r="P1719" i="4"/>
  <c r="P1720" i="4"/>
  <c r="P1721" i="4"/>
  <c r="P1722" i="4"/>
  <c r="P1723" i="4"/>
  <c r="P1724" i="4"/>
  <c r="P1725" i="4"/>
  <c r="P1726" i="4"/>
  <c r="P1727" i="4"/>
  <c r="P1728" i="4"/>
  <c r="P1729" i="4"/>
  <c r="P1730" i="4"/>
  <c r="P1731" i="4"/>
  <c r="P1732" i="4"/>
  <c r="P1733" i="4"/>
  <c r="P1734" i="4"/>
  <c r="P1735" i="4"/>
  <c r="P1736" i="4"/>
  <c r="P1737" i="4"/>
  <c r="P1738" i="4"/>
  <c r="P1739" i="4"/>
  <c r="P1740" i="4"/>
  <c r="P1741" i="4"/>
  <c r="P1742" i="4"/>
  <c r="P1743" i="4"/>
  <c r="P1744" i="4"/>
  <c r="P1745" i="4"/>
  <c r="P1746" i="4"/>
  <c r="P1747" i="4"/>
  <c r="P1748" i="4"/>
  <c r="P1749" i="4"/>
  <c r="P1750" i="4"/>
  <c r="P1751" i="4"/>
  <c r="P1752" i="4"/>
  <c r="P1753" i="4"/>
  <c r="P1754" i="4"/>
  <c r="P1755" i="4"/>
  <c r="P1756" i="4"/>
  <c r="P1757" i="4"/>
  <c r="P1758" i="4"/>
  <c r="P1759" i="4"/>
  <c r="P1760" i="4"/>
  <c r="P1761" i="4"/>
  <c r="P1762" i="4"/>
  <c r="P1763" i="4"/>
  <c r="P1764" i="4"/>
  <c r="P1765" i="4"/>
  <c r="P1766" i="4"/>
  <c r="P1767" i="4"/>
  <c r="P1768" i="4"/>
  <c r="P1769" i="4"/>
  <c r="P1770" i="4"/>
  <c r="P1771" i="4"/>
  <c r="P1772" i="4"/>
  <c r="P1773" i="4"/>
  <c r="P1774" i="4"/>
  <c r="P1775" i="4"/>
  <c r="P1776" i="4"/>
  <c r="P1777" i="4"/>
  <c r="P1778" i="4"/>
  <c r="P1779" i="4"/>
  <c r="P1780" i="4"/>
  <c r="P1781" i="4"/>
  <c r="P1782" i="4"/>
  <c r="P1783" i="4"/>
  <c r="P1784" i="4"/>
  <c r="P1785" i="4"/>
  <c r="P1786" i="4"/>
  <c r="P1787" i="4"/>
  <c r="P1788" i="4"/>
  <c r="P1789" i="4"/>
  <c r="P1790" i="4"/>
  <c r="P1791" i="4"/>
  <c r="P1792" i="4"/>
  <c r="P1793" i="4"/>
  <c r="P1794" i="4"/>
  <c r="P1795" i="4"/>
  <c r="P1796" i="4"/>
  <c r="P1797" i="4"/>
  <c r="P1798" i="4"/>
  <c r="P1799" i="4"/>
  <c r="P1800" i="4"/>
  <c r="P1801" i="4"/>
  <c r="P1802" i="4"/>
  <c r="P1803" i="4"/>
  <c r="P1804" i="4"/>
  <c r="P1805" i="4"/>
  <c r="P1806" i="4"/>
  <c r="P1807" i="4"/>
  <c r="P1808" i="4"/>
  <c r="P1809" i="4"/>
  <c r="P1810" i="4"/>
  <c r="P1811" i="4"/>
  <c r="P1812" i="4"/>
  <c r="P1813" i="4"/>
  <c r="P1814" i="4"/>
  <c r="P1815" i="4"/>
  <c r="P1816" i="4"/>
  <c r="P1817" i="4"/>
  <c r="P1818" i="4"/>
  <c r="P1819" i="4"/>
  <c r="P1820" i="4"/>
  <c r="P1821" i="4"/>
  <c r="P1822" i="4"/>
  <c r="P1823" i="4"/>
  <c r="P1824" i="4"/>
  <c r="P1825" i="4"/>
  <c r="P1826" i="4"/>
  <c r="P1827" i="4"/>
  <c r="P1828" i="4"/>
  <c r="P1829" i="4"/>
  <c r="P1830" i="4"/>
  <c r="P1831" i="4"/>
  <c r="P1832" i="4"/>
  <c r="P1833" i="4"/>
  <c r="P1834" i="4"/>
  <c r="P1835" i="4"/>
  <c r="P1836" i="4"/>
  <c r="P1837" i="4"/>
  <c r="P1838" i="4"/>
  <c r="P1839" i="4"/>
  <c r="P1840" i="4"/>
  <c r="P1841" i="4"/>
  <c r="P1842" i="4"/>
  <c r="P1843" i="4"/>
  <c r="P1844" i="4"/>
  <c r="P1845" i="4"/>
  <c r="P1846" i="4"/>
  <c r="P1847" i="4"/>
  <c r="P1848" i="4"/>
  <c r="P1849" i="4"/>
  <c r="P1850" i="4"/>
  <c r="P1851" i="4"/>
  <c r="P1852" i="4"/>
  <c r="P1853" i="4"/>
  <c r="P1854" i="4"/>
  <c r="P1855" i="4"/>
  <c r="P1856" i="4"/>
  <c r="P1857" i="4"/>
  <c r="P1858" i="4"/>
  <c r="P1859" i="4"/>
  <c r="P1860" i="4"/>
  <c r="P1861" i="4"/>
  <c r="P1862" i="4"/>
  <c r="P1863" i="4"/>
  <c r="P1864" i="4"/>
  <c r="P1865" i="4"/>
  <c r="P1866" i="4"/>
  <c r="P1867" i="4"/>
  <c r="P1868" i="4"/>
  <c r="P1869" i="4"/>
  <c r="P1870" i="4"/>
  <c r="P1871" i="4"/>
  <c r="P1872" i="4"/>
  <c r="P1873" i="4"/>
  <c r="P1874" i="4"/>
  <c r="P1875" i="4"/>
  <c r="P1876" i="4"/>
  <c r="P1877" i="4"/>
  <c r="P1878" i="4"/>
  <c r="P1879" i="4"/>
  <c r="P1880" i="4"/>
  <c r="P1881" i="4"/>
  <c r="P1882" i="4"/>
  <c r="P1883" i="4"/>
  <c r="P1884" i="4"/>
  <c r="P1885" i="4"/>
  <c r="P1886" i="4"/>
  <c r="P1887" i="4"/>
  <c r="P1888" i="4"/>
  <c r="P1889" i="4"/>
  <c r="P1890" i="4"/>
  <c r="P1891" i="4"/>
  <c r="P1892" i="4"/>
  <c r="P1893" i="4"/>
  <c r="P1894" i="4"/>
  <c r="P1895" i="4"/>
  <c r="P1896" i="4"/>
  <c r="P1897" i="4"/>
  <c r="P1898" i="4"/>
  <c r="P1899" i="4"/>
  <c r="P1900" i="4"/>
  <c r="P1901" i="4"/>
  <c r="P1902" i="4"/>
  <c r="P1903" i="4"/>
  <c r="P1904" i="4"/>
  <c r="P1905" i="4"/>
  <c r="P1906" i="4"/>
  <c r="P1907" i="4"/>
  <c r="P1908" i="4"/>
  <c r="P1909" i="4"/>
  <c r="P1910" i="4"/>
  <c r="P1911" i="4"/>
  <c r="P1912" i="4"/>
  <c r="P1913" i="4"/>
  <c r="P1914" i="4"/>
  <c r="P1915" i="4"/>
  <c r="P1916" i="4"/>
  <c r="P1917" i="4"/>
  <c r="P1918" i="4"/>
  <c r="P1919" i="4"/>
  <c r="P1920" i="4"/>
  <c r="P1921" i="4"/>
  <c r="P1922" i="4"/>
  <c r="P1923" i="4"/>
  <c r="P1924" i="4"/>
  <c r="P1925" i="4"/>
  <c r="P1926" i="4"/>
  <c r="P1927" i="4"/>
  <c r="P1928" i="4"/>
  <c r="P1929" i="4"/>
  <c r="P1930" i="4"/>
  <c r="P1931" i="4"/>
  <c r="P1932" i="4"/>
  <c r="P1933" i="4"/>
  <c r="P1934" i="4"/>
  <c r="P1935" i="4"/>
  <c r="P1936" i="4"/>
  <c r="P1937" i="4"/>
  <c r="P1938" i="4"/>
  <c r="P1939" i="4"/>
  <c r="P1940" i="4"/>
  <c r="P1941" i="4"/>
  <c r="P1942" i="4"/>
  <c r="P1943" i="4"/>
  <c r="P1944" i="4"/>
  <c r="P1945" i="4"/>
  <c r="P1946" i="4"/>
  <c r="P1947" i="4"/>
  <c r="P1948" i="4"/>
  <c r="P1949" i="4"/>
  <c r="P1950" i="4"/>
  <c r="P1951" i="4"/>
  <c r="P1952" i="4"/>
  <c r="P1953" i="4"/>
  <c r="P1954" i="4"/>
  <c r="P1955" i="4"/>
  <c r="P1956" i="4"/>
  <c r="P1957" i="4"/>
  <c r="P1958" i="4"/>
  <c r="P1959" i="4"/>
  <c r="P1960" i="4"/>
  <c r="P1961" i="4"/>
  <c r="P1962" i="4"/>
  <c r="P1963" i="4"/>
  <c r="P1964" i="4"/>
  <c r="P1965" i="4"/>
  <c r="P1966" i="4"/>
  <c r="P1967" i="4"/>
  <c r="P1968" i="4"/>
  <c r="P1969" i="4"/>
  <c r="P1970" i="4"/>
  <c r="P1971" i="4"/>
  <c r="P1972" i="4"/>
  <c r="P1973" i="4"/>
  <c r="P1974" i="4"/>
  <c r="P1975" i="4"/>
  <c r="P1976" i="4"/>
  <c r="P1977" i="4"/>
  <c r="P1978" i="4"/>
  <c r="P1979" i="4"/>
  <c r="P1980" i="4"/>
  <c r="P1981" i="4"/>
  <c r="P1982" i="4"/>
  <c r="P1983" i="4"/>
  <c r="P1984" i="4"/>
  <c r="P1985" i="4"/>
  <c r="P1986" i="4"/>
  <c r="P1987" i="4"/>
  <c r="P1988" i="4"/>
  <c r="P1989" i="4"/>
  <c r="P1990" i="4"/>
  <c r="P1991" i="4"/>
  <c r="P1992" i="4"/>
  <c r="P1993" i="4"/>
  <c r="P1994" i="4"/>
  <c r="P1995" i="4"/>
  <c r="P1996" i="4"/>
  <c r="P1997" i="4"/>
  <c r="P1998" i="4"/>
  <c r="P1999" i="4"/>
  <c r="P2000" i="4"/>
  <c r="P2001" i="4"/>
  <c r="P2002" i="4"/>
  <c r="P2003" i="4"/>
  <c r="P2004" i="4"/>
  <c r="P2005" i="4"/>
  <c r="P2006" i="4"/>
  <c r="P2007" i="4"/>
  <c r="P2008" i="4"/>
  <c r="P2009" i="4"/>
  <c r="P2010" i="4"/>
  <c r="P2011" i="4"/>
  <c r="P2012" i="4"/>
  <c r="P2013" i="4"/>
  <c r="P2014" i="4"/>
  <c r="P2015" i="4"/>
  <c r="P2016" i="4"/>
  <c r="P2017" i="4"/>
  <c r="P2018" i="4"/>
  <c r="P2019" i="4"/>
  <c r="P2020" i="4"/>
  <c r="P2021" i="4"/>
  <c r="P2022" i="4"/>
  <c r="P2023" i="4"/>
  <c r="P2024" i="4"/>
  <c r="P2025" i="4"/>
  <c r="P2026" i="4"/>
  <c r="P2027" i="4"/>
  <c r="P2028" i="4"/>
  <c r="P2029" i="4"/>
  <c r="P2030" i="4"/>
  <c r="P2031" i="4"/>
  <c r="P2032" i="4"/>
  <c r="P2033" i="4"/>
  <c r="P2034" i="4"/>
  <c r="P2035" i="4"/>
  <c r="P2036" i="4"/>
  <c r="P2037" i="4"/>
  <c r="P2038" i="4"/>
  <c r="P2039" i="4"/>
  <c r="P2040" i="4"/>
  <c r="P2041" i="4"/>
  <c r="P2042" i="4"/>
  <c r="P2043" i="4"/>
  <c r="P2044" i="4"/>
  <c r="P2045" i="4"/>
  <c r="P2046" i="4"/>
  <c r="P2047" i="4"/>
  <c r="P2048" i="4"/>
  <c r="P2049" i="4"/>
  <c r="P2050" i="4"/>
  <c r="P2051" i="4"/>
  <c r="P2052" i="4"/>
  <c r="P2053" i="4"/>
  <c r="P2054" i="4"/>
  <c r="P2055" i="4"/>
  <c r="P2056" i="4"/>
  <c r="P2057" i="4"/>
  <c r="P2058" i="4"/>
  <c r="P2059" i="4"/>
  <c r="P2060" i="4"/>
  <c r="P2061" i="4"/>
  <c r="P2062" i="4"/>
  <c r="P2063" i="4"/>
  <c r="P2064" i="4"/>
  <c r="P2065" i="4"/>
  <c r="P2066" i="4"/>
  <c r="P2067" i="4"/>
  <c r="P2068" i="4"/>
  <c r="P2069" i="4"/>
  <c r="P2070" i="4"/>
  <c r="P2071" i="4"/>
  <c r="P2072" i="4"/>
  <c r="P2073" i="4"/>
  <c r="P2074" i="4"/>
  <c r="P2075" i="4"/>
  <c r="P2076" i="4"/>
  <c r="P2077" i="4"/>
  <c r="P2078" i="4"/>
  <c r="P2079" i="4"/>
  <c r="P2080" i="4"/>
  <c r="P2081" i="4"/>
  <c r="P2082" i="4"/>
  <c r="P2083" i="4"/>
  <c r="P2084" i="4"/>
  <c r="P2085" i="4"/>
  <c r="P2086" i="4"/>
  <c r="P2087" i="4"/>
  <c r="P2088" i="4"/>
  <c r="P2089" i="4"/>
  <c r="P2090" i="4"/>
  <c r="P2091" i="4"/>
  <c r="P2092" i="4"/>
  <c r="P2093" i="4"/>
  <c r="P2094" i="4"/>
  <c r="P2095" i="4"/>
  <c r="P2096" i="4"/>
  <c r="P2097" i="4"/>
  <c r="P2098" i="4"/>
  <c r="P2099" i="4"/>
  <c r="P2100" i="4"/>
  <c r="P2101" i="4"/>
  <c r="P2102" i="4"/>
  <c r="P2103" i="4"/>
  <c r="P2104" i="4"/>
  <c r="P2105" i="4"/>
  <c r="P2106" i="4"/>
  <c r="P2107" i="4"/>
  <c r="P2108" i="4"/>
  <c r="P2109" i="4"/>
  <c r="P2110" i="4"/>
  <c r="P2111" i="4"/>
  <c r="P2112" i="4"/>
  <c r="P2113" i="4"/>
  <c r="P2114" i="4"/>
  <c r="P2115" i="4"/>
  <c r="P2116" i="4"/>
  <c r="P2117" i="4"/>
  <c r="P2118" i="4"/>
  <c r="P2119" i="4"/>
  <c r="P2120" i="4"/>
  <c r="P2121" i="4"/>
  <c r="P2122" i="4"/>
  <c r="P2123" i="4"/>
  <c r="P2124" i="4"/>
  <c r="P2125" i="4"/>
  <c r="P2126" i="4"/>
  <c r="P2127" i="4"/>
  <c r="P2128" i="4"/>
  <c r="P2129" i="4"/>
  <c r="P2130" i="4"/>
  <c r="P2131" i="4"/>
  <c r="P2132" i="4"/>
  <c r="P2133" i="4"/>
  <c r="P2134" i="4"/>
  <c r="P2135" i="4"/>
  <c r="P2136" i="4"/>
  <c r="P2137" i="4"/>
  <c r="P2138" i="4"/>
  <c r="P2139" i="4"/>
  <c r="P2140" i="4"/>
  <c r="P2141" i="4"/>
  <c r="P2142" i="4"/>
  <c r="P2143" i="4"/>
  <c r="P2144" i="4"/>
  <c r="P2145" i="4"/>
  <c r="P2146" i="4"/>
  <c r="P2147" i="4"/>
  <c r="P2148" i="4"/>
  <c r="P2149" i="4"/>
  <c r="P2150" i="4"/>
  <c r="P2151" i="4"/>
  <c r="P2152" i="4"/>
  <c r="P2153" i="4"/>
  <c r="P2154" i="4"/>
  <c r="P2155" i="4"/>
  <c r="P2156" i="4"/>
  <c r="P2157" i="4"/>
  <c r="P2158" i="4"/>
  <c r="P2159" i="4"/>
  <c r="P2160" i="4"/>
  <c r="P2161" i="4"/>
  <c r="P2162" i="4"/>
  <c r="P2163" i="4"/>
  <c r="P2164" i="4"/>
  <c r="P2165" i="4"/>
  <c r="P2166" i="4"/>
  <c r="P2167" i="4"/>
  <c r="P2168" i="4"/>
  <c r="P2169" i="4"/>
  <c r="P2170" i="4"/>
  <c r="P2171" i="4"/>
  <c r="P2172" i="4"/>
  <c r="P2173" i="4"/>
  <c r="P2174" i="4"/>
  <c r="P2175" i="4"/>
  <c r="P2176" i="4"/>
  <c r="P2177" i="4"/>
  <c r="P2178" i="4"/>
  <c r="P2179" i="4"/>
  <c r="P2180" i="4"/>
  <c r="P2181" i="4"/>
  <c r="P2182" i="4"/>
  <c r="P2183" i="4"/>
  <c r="P2184" i="4"/>
  <c r="P2185" i="4"/>
  <c r="P2186" i="4"/>
  <c r="P2187" i="4"/>
  <c r="P2188" i="4"/>
  <c r="P2189" i="4"/>
  <c r="P2190" i="4"/>
  <c r="P2191" i="4"/>
  <c r="P2192" i="4"/>
  <c r="P2193" i="4"/>
  <c r="P2194" i="4"/>
  <c r="P2195" i="4"/>
  <c r="P2196" i="4"/>
  <c r="P2197" i="4"/>
  <c r="P2198" i="4"/>
  <c r="P2199" i="4"/>
  <c r="P2200" i="4"/>
  <c r="P2201" i="4"/>
  <c r="P2202" i="4"/>
  <c r="P2203" i="4"/>
  <c r="P2204" i="4"/>
  <c r="P2205" i="4"/>
  <c r="P2206" i="4"/>
  <c r="P2207" i="4"/>
  <c r="P2208" i="4"/>
  <c r="P2209" i="4"/>
  <c r="P2210" i="4"/>
  <c r="P2211" i="4"/>
  <c r="P2212" i="4"/>
  <c r="P2213" i="4"/>
  <c r="P2214" i="4"/>
  <c r="P2215" i="4"/>
  <c r="P2216" i="4"/>
  <c r="P2217" i="4"/>
  <c r="P2218" i="4"/>
  <c r="P2219" i="4"/>
  <c r="P2220" i="4"/>
  <c r="P2221" i="4"/>
  <c r="P2222" i="4"/>
  <c r="P2223" i="4"/>
  <c r="P2224" i="4"/>
  <c r="P2225" i="4"/>
  <c r="P2226" i="4"/>
  <c r="P2227" i="4"/>
  <c r="P2228" i="4"/>
  <c r="P2229" i="4"/>
  <c r="P2230" i="4"/>
  <c r="P2231" i="4"/>
  <c r="P2232" i="4"/>
  <c r="P2233" i="4"/>
  <c r="P2234" i="4"/>
  <c r="P2235" i="4"/>
  <c r="P2236" i="4"/>
  <c r="P2237" i="4"/>
  <c r="P2238" i="4"/>
  <c r="P2239" i="4"/>
  <c r="P2240" i="4"/>
  <c r="P2241" i="4"/>
  <c r="P2242" i="4"/>
  <c r="P2243" i="4"/>
  <c r="P2244" i="4"/>
  <c r="P2245" i="4"/>
  <c r="P2246" i="4"/>
  <c r="P2247" i="4"/>
  <c r="P2248" i="4"/>
  <c r="P2249" i="4"/>
  <c r="P2250" i="4"/>
  <c r="P2251" i="4"/>
  <c r="P2252" i="4"/>
  <c r="P2253" i="4"/>
  <c r="P2254" i="4"/>
  <c r="P2255" i="4"/>
  <c r="P2256" i="4"/>
  <c r="P2257" i="4"/>
  <c r="P2258" i="4"/>
  <c r="P2259" i="4"/>
  <c r="P2260" i="4"/>
  <c r="P2261" i="4"/>
  <c r="P2262" i="4"/>
  <c r="P2263" i="4"/>
  <c r="P2264" i="4"/>
  <c r="P2265" i="4"/>
  <c r="P2266" i="4"/>
  <c r="P2267" i="4"/>
  <c r="P2268" i="4"/>
  <c r="P2269" i="4"/>
  <c r="P2270" i="4"/>
  <c r="P2271" i="4"/>
  <c r="P2272" i="4"/>
  <c r="P2273" i="4"/>
  <c r="P2274" i="4"/>
  <c r="P2275" i="4"/>
  <c r="P2276" i="4"/>
  <c r="P2277" i="4"/>
  <c r="P2278" i="4"/>
  <c r="P2279" i="4"/>
  <c r="P2280" i="4"/>
  <c r="P2281" i="4"/>
  <c r="P2282" i="4"/>
  <c r="P2283" i="4"/>
  <c r="P2284" i="4"/>
  <c r="P2285" i="4"/>
  <c r="P2286" i="4"/>
  <c r="P2287" i="4"/>
  <c r="P2288" i="4"/>
  <c r="P2289" i="4"/>
  <c r="P2290" i="4"/>
  <c r="P2291" i="4"/>
  <c r="P2292" i="4"/>
  <c r="P2293" i="4"/>
  <c r="P2294" i="4"/>
  <c r="P2295" i="4"/>
  <c r="P2296" i="4"/>
  <c r="P2297" i="4"/>
  <c r="P2298" i="4"/>
  <c r="P2299" i="4"/>
  <c r="P2300" i="4"/>
  <c r="P2301" i="4"/>
  <c r="P2302" i="4"/>
  <c r="P2303" i="4"/>
  <c r="P2304" i="4"/>
  <c r="P2305" i="4"/>
  <c r="P2306" i="4"/>
  <c r="P2307" i="4"/>
  <c r="P2308" i="4"/>
  <c r="P2309" i="4"/>
  <c r="P2310" i="4"/>
  <c r="P2311" i="4"/>
  <c r="P2312" i="4"/>
  <c r="P2313" i="4"/>
  <c r="P2314" i="4"/>
  <c r="P2315" i="4"/>
  <c r="P2316" i="4"/>
  <c r="P2317" i="4"/>
  <c r="P2318" i="4"/>
  <c r="P2319" i="4"/>
  <c r="P2320" i="4"/>
  <c r="P2321" i="4"/>
  <c r="P7" i="4"/>
  <c r="T7" i="4" s="1"/>
  <c r="P8" i="4"/>
  <c r="T8" i="4" s="1"/>
  <c r="P9" i="4"/>
  <c r="T9" i="4" s="1"/>
  <c r="P6" i="4"/>
  <c r="P4" i="4"/>
  <c r="P6" i="3"/>
  <c r="P7" i="3"/>
  <c r="P8" i="3"/>
  <c r="P9" i="3"/>
  <c r="P10" i="3"/>
  <c r="P11" i="3"/>
  <c r="P12" i="3"/>
  <c r="P13" i="3"/>
  <c r="P14" i="3"/>
  <c r="T14" i="3" s="1"/>
  <c r="P15" i="3"/>
  <c r="P16" i="3"/>
  <c r="T16" i="3" s="1"/>
  <c r="P17" i="3"/>
  <c r="T17" i="3" s="1"/>
  <c r="P18" i="3"/>
  <c r="T18" i="3" s="1"/>
  <c r="P19" i="3"/>
  <c r="T19" i="3" s="1"/>
  <c r="P20" i="3"/>
  <c r="T20" i="3" s="1"/>
  <c r="P21" i="3"/>
  <c r="T21" i="3" s="1"/>
  <c r="P22" i="3"/>
  <c r="T22" i="3" s="1"/>
  <c r="P23" i="3"/>
  <c r="T23" i="3" s="1"/>
  <c r="P24" i="3"/>
  <c r="T24" i="3" s="1"/>
  <c r="P25" i="3"/>
  <c r="T25" i="3" s="1"/>
  <c r="P26" i="3"/>
  <c r="T26" i="3" s="1"/>
  <c r="P27" i="3"/>
  <c r="T27" i="3" s="1"/>
  <c r="P28" i="3"/>
  <c r="T28" i="3" s="1"/>
  <c r="P29" i="3"/>
  <c r="T29" i="3" s="1"/>
  <c r="P30" i="3"/>
  <c r="T30" i="3" s="1"/>
  <c r="P31" i="3"/>
  <c r="T31" i="3" s="1"/>
  <c r="P32" i="3"/>
  <c r="T32" i="3" s="1"/>
  <c r="P33" i="3"/>
  <c r="T33" i="3" s="1"/>
  <c r="P34" i="3"/>
  <c r="T34" i="3" s="1"/>
  <c r="P35" i="3"/>
  <c r="T35" i="3" s="1"/>
  <c r="P36" i="3"/>
  <c r="T36" i="3" s="1"/>
  <c r="P37" i="3"/>
  <c r="T37" i="3" s="1"/>
  <c r="P38" i="3"/>
  <c r="T38" i="3" s="1"/>
  <c r="P39" i="3"/>
  <c r="T39" i="3" s="1"/>
  <c r="P40" i="3"/>
  <c r="T40" i="3" s="1"/>
  <c r="P41" i="3"/>
  <c r="T41" i="3" s="1"/>
  <c r="P42" i="3"/>
  <c r="T42" i="3" s="1"/>
  <c r="P43" i="3"/>
  <c r="T43" i="3" s="1"/>
  <c r="P44" i="3"/>
  <c r="T44" i="3" s="1"/>
  <c r="P45" i="3"/>
  <c r="T45" i="3" s="1"/>
  <c r="P46" i="3"/>
  <c r="T46" i="3" s="1"/>
  <c r="P47" i="3"/>
  <c r="T47" i="3" s="1"/>
  <c r="P48" i="3"/>
  <c r="P49" i="3"/>
  <c r="T49" i="3" s="1"/>
  <c r="P50" i="3"/>
  <c r="T50" i="3" s="1"/>
  <c r="P51" i="3"/>
  <c r="T51" i="3" s="1"/>
  <c r="P52" i="3"/>
  <c r="T52" i="3" s="1"/>
  <c r="P53" i="3"/>
  <c r="T53" i="3" s="1"/>
  <c r="P54" i="3"/>
  <c r="T54" i="3" s="1"/>
  <c r="P55" i="3"/>
  <c r="T55" i="3" s="1"/>
  <c r="P56" i="3"/>
  <c r="T56" i="3" s="1"/>
  <c r="P57" i="3"/>
  <c r="T57" i="3" s="1"/>
  <c r="P58" i="3"/>
  <c r="T58" i="3" s="1"/>
  <c r="P59" i="3"/>
  <c r="T59" i="3" s="1"/>
  <c r="P60" i="3"/>
  <c r="T60" i="3" s="1"/>
  <c r="P61" i="3"/>
  <c r="T61" i="3" s="1"/>
  <c r="P62" i="3"/>
  <c r="T62" i="3" s="1"/>
  <c r="P63" i="3"/>
  <c r="T63" i="3" s="1"/>
  <c r="P64" i="3"/>
  <c r="T64" i="3" s="1"/>
  <c r="P65" i="3"/>
  <c r="T65" i="3" s="1"/>
  <c r="P66" i="3"/>
  <c r="T66" i="3" s="1"/>
  <c r="P67" i="3"/>
  <c r="T67" i="3" s="1"/>
  <c r="P68" i="3"/>
  <c r="T68" i="3" s="1"/>
  <c r="P69" i="3"/>
  <c r="T69" i="3" s="1"/>
  <c r="P70" i="3"/>
  <c r="T70" i="3" s="1"/>
  <c r="P71" i="3"/>
  <c r="T71" i="3" s="1"/>
  <c r="P72" i="3"/>
  <c r="T72" i="3" s="1"/>
  <c r="P73" i="3"/>
  <c r="T73" i="3" s="1"/>
  <c r="P74" i="3"/>
  <c r="T74" i="3" s="1"/>
  <c r="P75" i="3"/>
  <c r="T75" i="3" s="1"/>
  <c r="P76" i="3"/>
  <c r="T76" i="3" s="1"/>
  <c r="P77" i="3"/>
  <c r="T77" i="3" s="1"/>
  <c r="P78" i="3"/>
  <c r="T78" i="3" s="1"/>
  <c r="P79" i="3"/>
  <c r="T79" i="3" s="1"/>
  <c r="P80" i="3"/>
  <c r="T80" i="3" s="1"/>
  <c r="P81" i="3"/>
  <c r="T81" i="3" s="1"/>
  <c r="P82" i="3"/>
  <c r="T82" i="3" s="1"/>
  <c r="P83" i="3"/>
  <c r="T83" i="3" s="1"/>
  <c r="P84" i="3"/>
  <c r="T84" i="3" s="1"/>
  <c r="P85" i="3"/>
  <c r="T85" i="3" s="1"/>
  <c r="P86" i="3"/>
  <c r="T86" i="3" s="1"/>
  <c r="P87" i="3"/>
  <c r="T87" i="3" s="1"/>
  <c r="P88" i="3"/>
  <c r="T88" i="3" s="1"/>
  <c r="P89" i="3"/>
  <c r="T89" i="3" s="1"/>
  <c r="P90" i="3"/>
  <c r="T90" i="3" s="1"/>
  <c r="P91" i="3"/>
  <c r="T91" i="3" s="1"/>
  <c r="P92" i="3"/>
  <c r="T92" i="3" s="1"/>
  <c r="P93" i="3"/>
  <c r="T93" i="3" s="1"/>
  <c r="P94" i="3"/>
  <c r="T94" i="3" s="1"/>
  <c r="P95" i="3"/>
  <c r="T95" i="3" s="1"/>
  <c r="P96" i="3"/>
  <c r="T96" i="3" s="1"/>
  <c r="P97" i="3"/>
  <c r="T97" i="3" s="1"/>
  <c r="P98" i="3"/>
  <c r="T98" i="3" s="1"/>
  <c r="P99" i="3"/>
  <c r="T99" i="3" s="1"/>
  <c r="P100" i="3"/>
  <c r="T100" i="3" s="1"/>
  <c r="P101" i="3"/>
  <c r="P102" i="3"/>
  <c r="T102" i="3" s="1"/>
  <c r="P103" i="3"/>
  <c r="P104" i="3"/>
  <c r="T104" i="3" s="1"/>
  <c r="P105" i="3"/>
  <c r="P106" i="3"/>
  <c r="T106" i="3" s="1"/>
  <c r="P107" i="3"/>
  <c r="T107" i="3" s="1"/>
  <c r="P108" i="3"/>
  <c r="P109" i="3"/>
  <c r="P110" i="3"/>
  <c r="P111" i="3"/>
  <c r="P112" i="3"/>
  <c r="P113" i="3"/>
  <c r="P114" i="3"/>
  <c r="P115" i="3"/>
  <c r="T115" i="3" s="1"/>
  <c r="P116" i="3"/>
  <c r="T116" i="3" s="1"/>
  <c r="P117" i="3"/>
  <c r="P118" i="3"/>
  <c r="T118" i="3" s="1"/>
  <c r="P119" i="3"/>
  <c r="P120" i="3"/>
  <c r="T120" i="3" s="1"/>
  <c r="P121" i="3"/>
  <c r="P122" i="3"/>
  <c r="T122" i="3" s="1"/>
  <c r="P123" i="3"/>
  <c r="T123" i="3" s="1"/>
  <c r="P124" i="3"/>
  <c r="P125" i="3"/>
  <c r="P126" i="3"/>
  <c r="T126" i="3" s="1"/>
  <c r="P127" i="3"/>
  <c r="P128" i="3"/>
  <c r="P129" i="3"/>
  <c r="P130" i="3"/>
  <c r="T130" i="3" s="1"/>
  <c r="P131" i="3"/>
  <c r="T131" i="3" s="1"/>
  <c r="P132" i="3"/>
  <c r="T132" i="3" s="1"/>
  <c r="P133" i="3"/>
  <c r="P134" i="3"/>
  <c r="T134" i="3" s="1"/>
  <c r="P135" i="3"/>
  <c r="P136" i="3"/>
  <c r="T136" i="3" s="1"/>
  <c r="P137" i="3"/>
  <c r="P138" i="3"/>
  <c r="T138" i="3" s="1"/>
  <c r="P139" i="3"/>
  <c r="T139" i="3" s="1"/>
  <c r="P140" i="3"/>
  <c r="P141" i="3"/>
  <c r="P142" i="3"/>
  <c r="P143" i="3"/>
  <c r="P144" i="3"/>
  <c r="P145" i="3"/>
  <c r="P146" i="3"/>
  <c r="P147" i="3"/>
  <c r="T147" i="3" s="1"/>
  <c r="P148" i="3"/>
  <c r="T148" i="3" s="1"/>
  <c r="P149" i="3"/>
  <c r="P150" i="3"/>
  <c r="T150" i="3" s="1"/>
  <c r="P151" i="3"/>
  <c r="P152" i="3"/>
  <c r="T152" i="3" s="1"/>
  <c r="P153" i="3"/>
  <c r="P154" i="3"/>
  <c r="T154" i="3" s="1"/>
  <c r="P155" i="3"/>
  <c r="T155" i="3" s="1"/>
  <c r="P156" i="3"/>
  <c r="P157" i="3"/>
  <c r="P158" i="3"/>
  <c r="T158" i="3" s="1"/>
  <c r="P159" i="3"/>
  <c r="P160" i="3"/>
  <c r="P161" i="3"/>
  <c r="P162" i="3"/>
  <c r="T162" i="3" s="1"/>
  <c r="P163" i="3"/>
  <c r="T163" i="3" s="1"/>
  <c r="P164" i="3"/>
  <c r="T164" i="3" s="1"/>
  <c r="P165" i="3"/>
  <c r="P166" i="3"/>
  <c r="T166" i="3" s="1"/>
  <c r="P167" i="3"/>
  <c r="P168" i="3"/>
  <c r="T168" i="3" s="1"/>
  <c r="P169" i="3"/>
  <c r="P170" i="3"/>
  <c r="T170" i="3" s="1"/>
  <c r="P171" i="3"/>
  <c r="T171" i="3" s="1"/>
  <c r="P172" i="3"/>
  <c r="P173" i="3"/>
  <c r="P174" i="3"/>
  <c r="P175" i="3"/>
  <c r="P176" i="3"/>
  <c r="P177" i="3"/>
  <c r="P178" i="3"/>
  <c r="P179" i="3"/>
  <c r="T179" i="3" s="1"/>
  <c r="P180" i="3"/>
  <c r="T180" i="3" s="1"/>
  <c r="P181" i="3"/>
  <c r="P182" i="3"/>
  <c r="T182" i="3" s="1"/>
  <c r="P183" i="3"/>
  <c r="P184" i="3"/>
  <c r="T184" i="3" s="1"/>
  <c r="P185" i="3"/>
  <c r="P186" i="3"/>
  <c r="T186" i="3" s="1"/>
  <c r="P187" i="3"/>
  <c r="T187" i="3" s="1"/>
  <c r="P188" i="3"/>
  <c r="P189" i="3"/>
  <c r="P190" i="3"/>
  <c r="T190" i="3" s="1"/>
  <c r="P191" i="3"/>
  <c r="P192" i="3"/>
  <c r="P193" i="3"/>
  <c r="P194" i="3"/>
  <c r="T194" i="3" s="1"/>
  <c r="P195" i="3"/>
  <c r="T195" i="3" s="1"/>
  <c r="P196" i="3"/>
  <c r="T196" i="3" s="1"/>
  <c r="P197" i="3"/>
  <c r="P198" i="3"/>
  <c r="T198" i="3" s="1"/>
  <c r="P199" i="3"/>
  <c r="P200" i="3"/>
  <c r="T200" i="3" s="1"/>
  <c r="P201" i="3"/>
  <c r="P202" i="3"/>
  <c r="T202" i="3" s="1"/>
  <c r="P203" i="3"/>
  <c r="T203" i="3" s="1"/>
  <c r="P204" i="3"/>
  <c r="P205" i="3"/>
  <c r="P206" i="3"/>
  <c r="P207" i="3"/>
  <c r="P208" i="3"/>
  <c r="P209" i="3"/>
  <c r="P210" i="3"/>
  <c r="P211" i="3"/>
  <c r="T211" i="3" s="1"/>
  <c r="P212" i="3"/>
  <c r="T212" i="3" s="1"/>
  <c r="P213" i="3"/>
  <c r="P214" i="3"/>
  <c r="T214" i="3" s="1"/>
  <c r="P215" i="3"/>
  <c r="P216" i="3"/>
  <c r="T216" i="3" s="1"/>
  <c r="P217" i="3"/>
  <c r="P218" i="3"/>
  <c r="T218" i="3" s="1"/>
  <c r="P219" i="3"/>
  <c r="T219" i="3" s="1"/>
  <c r="P220" i="3"/>
  <c r="P221" i="3"/>
  <c r="P222" i="3"/>
  <c r="T222" i="3" s="1"/>
  <c r="P223" i="3"/>
  <c r="P224" i="3"/>
  <c r="P225" i="3"/>
  <c r="P226" i="3"/>
  <c r="T226" i="3" s="1"/>
  <c r="P227" i="3"/>
  <c r="T227" i="3" s="1"/>
  <c r="P228" i="3"/>
  <c r="T228" i="3" s="1"/>
  <c r="P229" i="3"/>
  <c r="P230" i="3"/>
  <c r="T230" i="3" s="1"/>
  <c r="P231" i="3"/>
  <c r="P232" i="3"/>
  <c r="T232" i="3" s="1"/>
  <c r="P233" i="3"/>
  <c r="P234" i="3"/>
  <c r="T234" i="3" s="1"/>
  <c r="P235" i="3"/>
  <c r="T235" i="3" s="1"/>
  <c r="P236" i="3"/>
  <c r="P237" i="3"/>
  <c r="P238" i="3"/>
  <c r="P239" i="3"/>
  <c r="P240" i="3"/>
  <c r="P241" i="3"/>
  <c r="P242" i="3"/>
  <c r="P243" i="3"/>
  <c r="T243" i="3" s="1"/>
  <c r="P244" i="3"/>
  <c r="T244" i="3" s="1"/>
  <c r="P245" i="3"/>
  <c r="P246" i="3"/>
  <c r="T246" i="3" s="1"/>
  <c r="P247" i="3"/>
  <c r="P248" i="3"/>
  <c r="T248" i="3" s="1"/>
  <c r="P249" i="3"/>
  <c r="P250" i="3"/>
  <c r="T250" i="3" s="1"/>
  <c r="P251" i="3"/>
  <c r="T251" i="3" s="1"/>
  <c r="P252" i="3"/>
  <c r="P253" i="3"/>
  <c r="P254" i="3"/>
  <c r="T254" i="3" s="1"/>
  <c r="P255" i="3"/>
  <c r="P256" i="3"/>
  <c r="P257" i="3"/>
  <c r="P258" i="3"/>
  <c r="T258" i="3" s="1"/>
  <c r="P259" i="3"/>
  <c r="T259" i="3" s="1"/>
  <c r="P260" i="3"/>
  <c r="T260" i="3" s="1"/>
  <c r="P261" i="3"/>
  <c r="P262" i="3"/>
  <c r="T262" i="3" s="1"/>
  <c r="P263" i="3"/>
  <c r="P264" i="3"/>
  <c r="T264" i="3" s="1"/>
  <c r="P265" i="3"/>
  <c r="P266" i="3"/>
  <c r="T266" i="3" s="1"/>
  <c r="P267" i="3"/>
  <c r="T267" i="3" s="1"/>
  <c r="P268" i="3"/>
  <c r="P269" i="3"/>
  <c r="P270" i="3"/>
  <c r="P271" i="3"/>
  <c r="P272" i="3"/>
  <c r="P273" i="3"/>
  <c r="P274" i="3"/>
  <c r="P275" i="3"/>
  <c r="T275" i="3" s="1"/>
  <c r="P276" i="3"/>
  <c r="T276" i="3" s="1"/>
  <c r="P277" i="3"/>
  <c r="P278" i="3"/>
  <c r="T278" i="3" s="1"/>
  <c r="P279" i="3"/>
  <c r="P280" i="3"/>
  <c r="T280" i="3" s="1"/>
  <c r="P281" i="3"/>
  <c r="P282" i="3"/>
  <c r="T282" i="3" s="1"/>
  <c r="P283" i="3"/>
  <c r="T283" i="3" s="1"/>
  <c r="P284" i="3"/>
  <c r="P285" i="3"/>
  <c r="P286" i="3"/>
  <c r="T286" i="3" s="1"/>
  <c r="P287" i="3"/>
  <c r="P288" i="3"/>
  <c r="P289" i="3"/>
  <c r="P290" i="3"/>
  <c r="T290" i="3" s="1"/>
  <c r="P291" i="3"/>
  <c r="T291" i="3" s="1"/>
  <c r="P292" i="3"/>
  <c r="T292" i="3" s="1"/>
  <c r="P293" i="3"/>
  <c r="P294" i="3"/>
  <c r="T294" i="3" s="1"/>
  <c r="P295" i="3"/>
  <c r="P296" i="3"/>
  <c r="T296" i="3" s="1"/>
  <c r="P297" i="3"/>
  <c r="P298" i="3"/>
  <c r="T298" i="3" s="1"/>
  <c r="P299" i="3"/>
  <c r="T299" i="3" s="1"/>
  <c r="P300" i="3"/>
  <c r="P301" i="3"/>
  <c r="P302" i="3"/>
  <c r="P303" i="3"/>
  <c r="P304" i="3"/>
  <c r="P305" i="3"/>
  <c r="P306" i="3"/>
  <c r="P307" i="3"/>
  <c r="T307" i="3" s="1"/>
  <c r="P308" i="3"/>
  <c r="T308" i="3" s="1"/>
  <c r="P309" i="3"/>
  <c r="P310" i="3"/>
  <c r="T310" i="3" s="1"/>
  <c r="P311" i="3"/>
  <c r="P312" i="3"/>
  <c r="T312" i="3" s="1"/>
  <c r="P313" i="3"/>
  <c r="P314" i="3"/>
  <c r="T314" i="3" s="1"/>
  <c r="P315" i="3"/>
  <c r="T315" i="3" s="1"/>
  <c r="P316" i="3"/>
  <c r="P317" i="3"/>
  <c r="P318" i="3"/>
  <c r="T318" i="3" s="1"/>
  <c r="P319" i="3"/>
  <c r="P320" i="3"/>
  <c r="P321" i="3"/>
  <c r="P322" i="3"/>
  <c r="T322" i="3" s="1"/>
  <c r="P323" i="3"/>
  <c r="T323" i="3" s="1"/>
  <c r="P324" i="3"/>
  <c r="T324" i="3" s="1"/>
  <c r="P325" i="3"/>
  <c r="P326" i="3"/>
  <c r="T326" i="3" s="1"/>
  <c r="P327" i="3"/>
  <c r="P328" i="3"/>
  <c r="T328" i="3" s="1"/>
  <c r="P329" i="3"/>
  <c r="P330" i="3"/>
  <c r="T330" i="3" s="1"/>
  <c r="P331" i="3"/>
  <c r="T331" i="3" s="1"/>
  <c r="P332" i="3"/>
  <c r="P333" i="3"/>
  <c r="P334" i="3"/>
  <c r="P335" i="3"/>
  <c r="P336" i="3"/>
  <c r="P337" i="3"/>
  <c r="P338" i="3"/>
  <c r="P339" i="3"/>
  <c r="T339" i="3" s="1"/>
  <c r="P340" i="3"/>
  <c r="T340" i="3" s="1"/>
  <c r="P341" i="3"/>
  <c r="P342" i="3"/>
  <c r="T342" i="3" s="1"/>
  <c r="P343" i="3"/>
  <c r="P344" i="3"/>
  <c r="T344" i="3" s="1"/>
  <c r="P345" i="3"/>
  <c r="P346" i="3"/>
  <c r="T346" i="3" s="1"/>
  <c r="P347" i="3"/>
  <c r="T347" i="3" s="1"/>
  <c r="P348" i="3"/>
  <c r="P349" i="3"/>
  <c r="P350" i="3"/>
  <c r="T350" i="3" s="1"/>
  <c r="P351" i="3"/>
  <c r="P352" i="3"/>
  <c r="P353" i="3"/>
  <c r="P354" i="3"/>
  <c r="T354" i="3" s="1"/>
  <c r="P355" i="3"/>
  <c r="T355" i="3" s="1"/>
  <c r="P356" i="3"/>
  <c r="T356" i="3" s="1"/>
  <c r="P357" i="3"/>
  <c r="P358" i="3"/>
  <c r="T358" i="3" s="1"/>
  <c r="P359" i="3"/>
  <c r="P360" i="3"/>
  <c r="T360" i="3" s="1"/>
  <c r="P361" i="3"/>
  <c r="P362" i="3"/>
  <c r="T362" i="3" s="1"/>
  <c r="P363" i="3"/>
  <c r="T363" i="3" s="1"/>
  <c r="P364" i="3"/>
  <c r="P365" i="3"/>
  <c r="P366" i="3"/>
  <c r="P367" i="3"/>
  <c r="P368" i="3"/>
  <c r="P369" i="3"/>
  <c r="P370" i="3"/>
  <c r="P371" i="3"/>
  <c r="T371" i="3" s="1"/>
  <c r="P372" i="3"/>
  <c r="T372" i="3" s="1"/>
  <c r="P373" i="3"/>
  <c r="P374" i="3"/>
  <c r="T374" i="3" s="1"/>
  <c r="P375" i="3"/>
  <c r="P376" i="3"/>
  <c r="T376" i="3" s="1"/>
  <c r="P377" i="3"/>
  <c r="P378" i="3"/>
  <c r="T378" i="3" s="1"/>
  <c r="P379" i="3"/>
  <c r="T379" i="3" s="1"/>
  <c r="P380" i="3"/>
  <c r="P381" i="3"/>
  <c r="P382" i="3"/>
  <c r="T382" i="3" s="1"/>
  <c r="P383" i="3"/>
  <c r="P384" i="3"/>
  <c r="P385" i="3"/>
  <c r="P386" i="3"/>
  <c r="T386" i="3" s="1"/>
  <c r="P387" i="3"/>
  <c r="T387" i="3" s="1"/>
  <c r="P388" i="3"/>
  <c r="T388" i="3" s="1"/>
  <c r="P389" i="3"/>
  <c r="P390" i="3"/>
  <c r="T390" i="3" s="1"/>
  <c r="P391" i="3"/>
  <c r="P392" i="3"/>
  <c r="T392" i="3" s="1"/>
  <c r="P393" i="3"/>
  <c r="P394" i="3"/>
  <c r="T394" i="3" s="1"/>
  <c r="P395" i="3"/>
  <c r="T395" i="3" s="1"/>
  <c r="P396" i="3"/>
  <c r="P397" i="3"/>
  <c r="P398" i="3"/>
  <c r="P399" i="3"/>
  <c r="P400" i="3"/>
  <c r="P401" i="3"/>
  <c r="P402" i="3"/>
  <c r="P403" i="3"/>
  <c r="T403" i="3" s="1"/>
  <c r="P404" i="3"/>
  <c r="T404" i="3" s="1"/>
  <c r="P405" i="3"/>
  <c r="P406" i="3"/>
  <c r="T406" i="3" s="1"/>
  <c r="P407" i="3"/>
  <c r="P408" i="3"/>
  <c r="T408" i="3" s="1"/>
  <c r="P409" i="3"/>
  <c r="P410" i="3"/>
  <c r="T410" i="3" s="1"/>
  <c r="P411" i="3"/>
  <c r="T411" i="3" s="1"/>
  <c r="P412" i="3"/>
  <c r="P413" i="3"/>
  <c r="P414" i="3"/>
  <c r="T414" i="3" s="1"/>
  <c r="P415" i="3"/>
  <c r="P416" i="3"/>
  <c r="P417" i="3"/>
  <c r="P418" i="3"/>
  <c r="T418" i="3" s="1"/>
  <c r="P419" i="3"/>
  <c r="T419" i="3" s="1"/>
  <c r="P420" i="3"/>
  <c r="T420" i="3" s="1"/>
  <c r="P421" i="3"/>
  <c r="P422" i="3"/>
  <c r="T422" i="3" s="1"/>
  <c r="P423" i="3"/>
  <c r="P424" i="3"/>
  <c r="T424" i="3" s="1"/>
  <c r="P425" i="3"/>
  <c r="P426" i="3"/>
  <c r="T426" i="3" s="1"/>
  <c r="P427" i="3"/>
  <c r="T427" i="3" s="1"/>
  <c r="P428" i="3"/>
  <c r="P429" i="3"/>
  <c r="P430" i="3"/>
  <c r="P431" i="3"/>
  <c r="P432" i="3"/>
  <c r="P433" i="3"/>
  <c r="P434" i="3"/>
  <c r="P435" i="3"/>
  <c r="T435" i="3" s="1"/>
  <c r="P436" i="3"/>
  <c r="T436" i="3" s="1"/>
  <c r="P437" i="3"/>
  <c r="P438" i="3"/>
  <c r="T438" i="3" s="1"/>
  <c r="P439" i="3"/>
  <c r="P440" i="3"/>
  <c r="T440" i="3" s="1"/>
  <c r="P441" i="3"/>
  <c r="P442" i="3"/>
  <c r="T442" i="3" s="1"/>
  <c r="P443" i="3"/>
  <c r="T443" i="3" s="1"/>
  <c r="P444" i="3"/>
  <c r="P445" i="3"/>
  <c r="P446" i="3"/>
  <c r="T446" i="3" s="1"/>
  <c r="P447" i="3"/>
  <c r="P448" i="3"/>
  <c r="P449" i="3"/>
  <c r="P450" i="3"/>
  <c r="T450" i="3" s="1"/>
  <c r="P451" i="3"/>
  <c r="T451" i="3" s="1"/>
  <c r="P452" i="3"/>
  <c r="T452" i="3" s="1"/>
  <c r="P453" i="3"/>
  <c r="P454" i="3"/>
  <c r="T454" i="3" s="1"/>
  <c r="P455" i="3"/>
  <c r="P456" i="3"/>
  <c r="T456" i="3" s="1"/>
  <c r="P457" i="3"/>
  <c r="P458" i="3"/>
  <c r="T458" i="3" s="1"/>
  <c r="P459" i="3"/>
  <c r="T459" i="3" s="1"/>
  <c r="P460" i="3"/>
  <c r="P461" i="3"/>
  <c r="P462" i="3"/>
  <c r="P463" i="3"/>
  <c r="T463" i="3" s="1"/>
  <c r="P464" i="3"/>
  <c r="T464" i="3" s="1"/>
  <c r="P465" i="3"/>
  <c r="T465" i="3" s="1"/>
  <c r="P466" i="3"/>
  <c r="T466" i="3" s="1"/>
  <c r="P467" i="3"/>
  <c r="T467" i="3" s="1"/>
  <c r="P468" i="3"/>
  <c r="T468" i="3" s="1"/>
  <c r="P469" i="3"/>
  <c r="T469" i="3" s="1"/>
  <c r="P470" i="3"/>
  <c r="T470" i="3" s="1"/>
  <c r="P471" i="3"/>
  <c r="T471" i="3" s="1"/>
  <c r="P472" i="3"/>
  <c r="T472" i="3" s="1"/>
  <c r="P473" i="3"/>
  <c r="T473" i="3" s="1"/>
  <c r="P474" i="3"/>
  <c r="T474" i="3" s="1"/>
  <c r="P475" i="3"/>
  <c r="T475" i="3" s="1"/>
  <c r="P476" i="3"/>
  <c r="T476" i="3" s="1"/>
  <c r="P477" i="3"/>
  <c r="T477" i="3" s="1"/>
  <c r="P478" i="3"/>
  <c r="T478" i="3" s="1"/>
  <c r="P479" i="3"/>
  <c r="T479" i="3" s="1"/>
  <c r="P480" i="3"/>
  <c r="T480" i="3" s="1"/>
  <c r="P481" i="3"/>
  <c r="T481" i="3" s="1"/>
  <c r="P482" i="3"/>
  <c r="T482" i="3" s="1"/>
  <c r="P483" i="3"/>
  <c r="T483" i="3" s="1"/>
  <c r="P484" i="3"/>
  <c r="T484" i="3" s="1"/>
  <c r="P485" i="3"/>
  <c r="T485" i="3" s="1"/>
  <c r="P486" i="3"/>
  <c r="T486" i="3" s="1"/>
  <c r="P487" i="3"/>
  <c r="T487" i="3" s="1"/>
  <c r="P488" i="3"/>
  <c r="T488" i="3" s="1"/>
  <c r="P489" i="3"/>
  <c r="T489" i="3" s="1"/>
  <c r="P490" i="3"/>
  <c r="T490" i="3" s="1"/>
  <c r="P491" i="3"/>
  <c r="T491" i="3" s="1"/>
  <c r="P492" i="3"/>
  <c r="T492" i="3" s="1"/>
  <c r="P493" i="3"/>
  <c r="T493" i="3" s="1"/>
  <c r="P494" i="3"/>
  <c r="T494" i="3" s="1"/>
  <c r="P495" i="3"/>
  <c r="T495" i="3" s="1"/>
  <c r="P496" i="3"/>
  <c r="T496" i="3" s="1"/>
  <c r="P497" i="3"/>
  <c r="T497" i="3" s="1"/>
  <c r="P498" i="3"/>
  <c r="T498" i="3" s="1"/>
  <c r="P499" i="3"/>
  <c r="T499" i="3" s="1"/>
  <c r="P500" i="3"/>
  <c r="T500" i="3" s="1"/>
  <c r="P501" i="3"/>
  <c r="T501" i="3" s="1"/>
  <c r="P502" i="3"/>
  <c r="T502" i="3" s="1"/>
  <c r="P503" i="3"/>
  <c r="T503" i="3" s="1"/>
  <c r="P504" i="3"/>
  <c r="T504" i="3" s="1"/>
  <c r="P505" i="3"/>
  <c r="T505" i="3" s="1"/>
  <c r="P506" i="3"/>
  <c r="T506" i="3" s="1"/>
  <c r="P507" i="3"/>
  <c r="T507" i="3" s="1"/>
  <c r="P508" i="3"/>
  <c r="T508" i="3" s="1"/>
  <c r="P509" i="3"/>
  <c r="T509" i="3" s="1"/>
  <c r="P510" i="3"/>
  <c r="T510" i="3" s="1"/>
  <c r="P511" i="3"/>
  <c r="T511" i="3" s="1"/>
  <c r="P512" i="3"/>
  <c r="T512" i="3" s="1"/>
  <c r="P513" i="3"/>
  <c r="T513" i="3" s="1"/>
  <c r="P514" i="3"/>
  <c r="T514" i="3" s="1"/>
  <c r="P515" i="3"/>
  <c r="T515" i="3" s="1"/>
  <c r="P516" i="3"/>
  <c r="T516" i="3" s="1"/>
  <c r="P517" i="3"/>
  <c r="T517" i="3" s="1"/>
  <c r="P518" i="3"/>
  <c r="T518" i="3" s="1"/>
  <c r="P519" i="3"/>
  <c r="T519" i="3" s="1"/>
  <c r="P520" i="3"/>
  <c r="T520" i="3" s="1"/>
  <c r="P521" i="3"/>
  <c r="T521" i="3" s="1"/>
  <c r="P522" i="3"/>
  <c r="T522" i="3" s="1"/>
  <c r="P523" i="3"/>
  <c r="T523" i="3" s="1"/>
  <c r="P524" i="3"/>
  <c r="T524" i="3" s="1"/>
  <c r="P525" i="3"/>
  <c r="T525" i="3" s="1"/>
  <c r="P526" i="3"/>
  <c r="T526" i="3" s="1"/>
  <c r="P527" i="3"/>
  <c r="T527" i="3" s="1"/>
  <c r="P528" i="3"/>
  <c r="T528" i="3" s="1"/>
  <c r="P529" i="3"/>
  <c r="T529" i="3" s="1"/>
  <c r="P530" i="3"/>
  <c r="T530" i="3" s="1"/>
  <c r="P531" i="3"/>
  <c r="T531" i="3" s="1"/>
  <c r="P532" i="3"/>
  <c r="T532" i="3" s="1"/>
  <c r="P533" i="3"/>
  <c r="T533" i="3" s="1"/>
  <c r="P534" i="3"/>
  <c r="T534" i="3" s="1"/>
  <c r="P535" i="3"/>
  <c r="T535" i="3" s="1"/>
  <c r="P536" i="3"/>
  <c r="T536" i="3" s="1"/>
  <c r="P537" i="3"/>
  <c r="T537" i="3" s="1"/>
  <c r="P538" i="3"/>
  <c r="T538" i="3" s="1"/>
  <c r="P539" i="3"/>
  <c r="T539" i="3" s="1"/>
  <c r="P540" i="3"/>
  <c r="T540" i="3" s="1"/>
  <c r="P541" i="3"/>
  <c r="T541" i="3" s="1"/>
  <c r="P542" i="3"/>
  <c r="T542" i="3" s="1"/>
  <c r="P543" i="3"/>
  <c r="T543" i="3" s="1"/>
  <c r="P544" i="3"/>
  <c r="T544" i="3" s="1"/>
  <c r="P545" i="3"/>
  <c r="T545" i="3" s="1"/>
  <c r="P546" i="3"/>
  <c r="T546" i="3" s="1"/>
  <c r="P547" i="3"/>
  <c r="T547" i="3" s="1"/>
  <c r="P548" i="3"/>
  <c r="T548" i="3" s="1"/>
  <c r="P549" i="3"/>
  <c r="T549" i="3" s="1"/>
  <c r="P550" i="3"/>
  <c r="T550" i="3" s="1"/>
  <c r="P551" i="3"/>
  <c r="T551" i="3" s="1"/>
  <c r="P552" i="3"/>
  <c r="T552" i="3" s="1"/>
  <c r="P553" i="3"/>
  <c r="T553" i="3" s="1"/>
  <c r="P554" i="3"/>
  <c r="T554" i="3" s="1"/>
  <c r="P555" i="3"/>
  <c r="T555" i="3" s="1"/>
  <c r="P556" i="3"/>
  <c r="T556" i="3" s="1"/>
  <c r="P557" i="3"/>
  <c r="T557" i="3" s="1"/>
  <c r="P558" i="3"/>
  <c r="T558" i="3" s="1"/>
  <c r="P559" i="3"/>
  <c r="T559" i="3" s="1"/>
  <c r="P560" i="3"/>
  <c r="T560" i="3" s="1"/>
  <c r="P561" i="3"/>
  <c r="T561" i="3" s="1"/>
  <c r="P562" i="3"/>
  <c r="T562" i="3" s="1"/>
  <c r="P563" i="3"/>
  <c r="T563" i="3" s="1"/>
  <c r="P564" i="3"/>
  <c r="T564" i="3" s="1"/>
  <c r="P565" i="3"/>
  <c r="T565" i="3" s="1"/>
  <c r="P566" i="3"/>
  <c r="T566" i="3" s="1"/>
  <c r="P567" i="3"/>
  <c r="T567" i="3" s="1"/>
  <c r="P568" i="3"/>
  <c r="T568" i="3" s="1"/>
  <c r="P569" i="3"/>
  <c r="T569" i="3" s="1"/>
  <c r="P570" i="3"/>
  <c r="T570" i="3" s="1"/>
  <c r="P571" i="3"/>
  <c r="T571" i="3" s="1"/>
  <c r="P572" i="3"/>
  <c r="T572" i="3" s="1"/>
  <c r="P573" i="3"/>
  <c r="T573" i="3" s="1"/>
  <c r="P574" i="3"/>
  <c r="T574" i="3" s="1"/>
  <c r="P575" i="3"/>
  <c r="T575" i="3" s="1"/>
  <c r="P576" i="3"/>
  <c r="T576" i="3" s="1"/>
  <c r="P577" i="3"/>
  <c r="T577" i="3" s="1"/>
  <c r="P578" i="3"/>
  <c r="T578" i="3" s="1"/>
  <c r="P579" i="3"/>
  <c r="T579" i="3" s="1"/>
  <c r="P580" i="3"/>
  <c r="T580" i="3" s="1"/>
  <c r="P581" i="3"/>
  <c r="T581" i="3" s="1"/>
  <c r="P582" i="3"/>
  <c r="T582" i="3" s="1"/>
  <c r="P583" i="3"/>
  <c r="T583" i="3" s="1"/>
  <c r="P584" i="3"/>
  <c r="T584" i="3" s="1"/>
  <c r="P585" i="3"/>
  <c r="T585" i="3" s="1"/>
  <c r="P586" i="3"/>
  <c r="T586" i="3" s="1"/>
  <c r="P587" i="3"/>
  <c r="T587" i="3" s="1"/>
  <c r="P588" i="3"/>
  <c r="T588" i="3" s="1"/>
  <c r="P589" i="3"/>
  <c r="T589" i="3" s="1"/>
  <c r="P590" i="3"/>
  <c r="T590" i="3" s="1"/>
  <c r="P591" i="3"/>
  <c r="T591" i="3" s="1"/>
  <c r="P592" i="3"/>
  <c r="T592" i="3" s="1"/>
  <c r="P593" i="3"/>
  <c r="T593" i="3" s="1"/>
  <c r="P594" i="3"/>
  <c r="T594" i="3" s="1"/>
  <c r="P595" i="3"/>
  <c r="T595" i="3" s="1"/>
  <c r="P596" i="3"/>
  <c r="T596" i="3" s="1"/>
  <c r="P597" i="3"/>
  <c r="T597" i="3" s="1"/>
  <c r="P598" i="3"/>
  <c r="T598" i="3" s="1"/>
  <c r="P599" i="3"/>
  <c r="T599" i="3" s="1"/>
  <c r="P600" i="3"/>
  <c r="T600" i="3" s="1"/>
  <c r="P601" i="3"/>
  <c r="T601" i="3" s="1"/>
  <c r="P602" i="3"/>
  <c r="T602" i="3" s="1"/>
  <c r="P603" i="3"/>
  <c r="T603" i="3" s="1"/>
  <c r="P604" i="3"/>
  <c r="T604" i="3" s="1"/>
  <c r="P605" i="3"/>
  <c r="T605" i="3" s="1"/>
  <c r="P606" i="3"/>
  <c r="T606" i="3" s="1"/>
  <c r="P607" i="3"/>
  <c r="T607" i="3" s="1"/>
  <c r="P608" i="3"/>
  <c r="T608" i="3" s="1"/>
  <c r="P609" i="3"/>
  <c r="T609" i="3" s="1"/>
  <c r="P610" i="3"/>
  <c r="T610" i="3" s="1"/>
  <c r="P611" i="3"/>
  <c r="T611" i="3" s="1"/>
  <c r="P612" i="3"/>
  <c r="T612" i="3" s="1"/>
  <c r="P613" i="3"/>
  <c r="T613" i="3" s="1"/>
  <c r="P614" i="3"/>
  <c r="T614" i="3" s="1"/>
  <c r="P615" i="3"/>
  <c r="T615" i="3" s="1"/>
  <c r="P616" i="3"/>
  <c r="T616" i="3" s="1"/>
  <c r="P617" i="3"/>
  <c r="T617" i="3" s="1"/>
  <c r="P618" i="3"/>
  <c r="T618" i="3" s="1"/>
  <c r="P619" i="3"/>
  <c r="T619" i="3" s="1"/>
  <c r="P620" i="3"/>
  <c r="T620" i="3" s="1"/>
  <c r="P621" i="3"/>
  <c r="T621" i="3" s="1"/>
  <c r="P622" i="3"/>
  <c r="T622" i="3" s="1"/>
  <c r="P623" i="3"/>
  <c r="T623" i="3" s="1"/>
  <c r="P624" i="3"/>
  <c r="T624" i="3" s="1"/>
  <c r="P625" i="3"/>
  <c r="T625" i="3" s="1"/>
  <c r="P626" i="3"/>
  <c r="T626" i="3" s="1"/>
  <c r="P627" i="3"/>
  <c r="T627" i="3" s="1"/>
  <c r="P628" i="3"/>
  <c r="T628" i="3" s="1"/>
  <c r="P629" i="3"/>
  <c r="T629" i="3" s="1"/>
  <c r="P630" i="3"/>
  <c r="T630" i="3" s="1"/>
  <c r="P631" i="3"/>
  <c r="T631" i="3" s="1"/>
  <c r="P632" i="3"/>
  <c r="T632" i="3" s="1"/>
  <c r="P633" i="3"/>
  <c r="T633" i="3" s="1"/>
  <c r="P634" i="3"/>
  <c r="T634" i="3" s="1"/>
  <c r="P635" i="3"/>
  <c r="T635" i="3" s="1"/>
  <c r="P636" i="3"/>
  <c r="T636" i="3" s="1"/>
  <c r="P637" i="3"/>
  <c r="T637" i="3" s="1"/>
  <c r="P638" i="3"/>
  <c r="T638" i="3" s="1"/>
  <c r="P639" i="3"/>
  <c r="T639" i="3" s="1"/>
  <c r="P640" i="3"/>
  <c r="T640" i="3" s="1"/>
  <c r="P641" i="3"/>
  <c r="T641" i="3" s="1"/>
  <c r="P642" i="3"/>
  <c r="T642" i="3" s="1"/>
  <c r="P643" i="3"/>
  <c r="T643" i="3" s="1"/>
  <c r="P644" i="3"/>
  <c r="T644" i="3" s="1"/>
  <c r="P645" i="3"/>
  <c r="T645" i="3" s="1"/>
  <c r="P646" i="3"/>
  <c r="T646" i="3" s="1"/>
  <c r="P647" i="3"/>
  <c r="T647" i="3" s="1"/>
  <c r="P648" i="3"/>
  <c r="T648" i="3" s="1"/>
  <c r="P649" i="3"/>
  <c r="T649" i="3" s="1"/>
  <c r="P650" i="3"/>
  <c r="T650" i="3" s="1"/>
  <c r="P651" i="3"/>
  <c r="T651" i="3" s="1"/>
  <c r="P652" i="3"/>
  <c r="T652" i="3" s="1"/>
  <c r="P653" i="3"/>
  <c r="T653" i="3" s="1"/>
  <c r="P654" i="3"/>
  <c r="T654" i="3" s="1"/>
  <c r="P655" i="3"/>
  <c r="T655" i="3" s="1"/>
  <c r="P656" i="3"/>
  <c r="T656" i="3" s="1"/>
  <c r="P657" i="3"/>
  <c r="T657" i="3" s="1"/>
  <c r="P658" i="3"/>
  <c r="T658" i="3" s="1"/>
  <c r="P659" i="3"/>
  <c r="T659" i="3" s="1"/>
  <c r="P660" i="3"/>
  <c r="T660" i="3" s="1"/>
  <c r="P661" i="3"/>
  <c r="T661" i="3" s="1"/>
  <c r="P662" i="3"/>
  <c r="T662" i="3" s="1"/>
  <c r="P663" i="3"/>
  <c r="T663" i="3" s="1"/>
  <c r="P664" i="3"/>
  <c r="T664" i="3" s="1"/>
  <c r="P665" i="3"/>
  <c r="T665" i="3" s="1"/>
  <c r="P666" i="3"/>
  <c r="T666" i="3" s="1"/>
  <c r="P667" i="3"/>
  <c r="T667" i="3" s="1"/>
  <c r="P668" i="3"/>
  <c r="T668" i="3" s="1"/>
  <c r="P669" i="3"/>
  <c r="T669" i="3" s="1"/>
  <c r="P670" i="3"/>
  <c r="T670" i="3" s="1"/>
  <c r="P671" i="3"/>
  <c r="T671" i="3" s="1"/>
  <c r="P672" i="3"/>
  <c r="T672" i="3" s="1"/>
  <c r="P673" i="3"/>
  <c r="T673" i="3" s="1"/>
  <c r="P674" i="3"/>
  <c r="T674" i="3" s="1"/>
  <c r="P675" i="3"/>
  <c r="T675" i="3" s="1"/>
  <c r="P676" i="3"/>
  <c r="T676" i="3" s="1"/>
  <c r="P677" i="3"/>
  <c r="T677" i="3" s="1"/>
  <c r="P678" i="3"/>
  <c r="T678" i="3" s="1"/>
  <c r="P679" i="3"/>
  <c r="T679" i="3" s="1"/>
  <c r="P680" i="3"/>
  <c r="T680" i="3" s="1"/>
  <c r="P681" i="3"/>
  <c r="T681" i="3" s="1"/>
  <c r="P682" i="3"/>
  <c r="T682" i="3" s="1"/>
  <c r="P683" i="3"/>
  <c r="T683" i="3" s="1"/>
  <c r="P684" i="3"/>
  <c r="T684" i="3" s="1"/>
  <c r="P685" i="3"/>
  <c r="T685" i="3" s="1"/>
  <c r="P686" i="3"/>
  <c r="T686" i="3" s="1"/>
  <c r="P687" i="3"/>
  <c r="T687" i="3" s="1"/>
  <c r="P688" i="3"/>
  <c r="T688" i="3" s="1"/>
  <c r="P689" i="3"/>
  <c r="T689" i="3" s="1"/>
  <c r="P690" i="3"/>
  <c r="T690" i="3" s="1"/>
  <c r="P691" i="3"/>
  <c r="T691" i="3" s="1"/>
  <c r="P692" i="3"/>
  <c r="T692" i="3" s="1"/>
  <c r="P693" i="3"/>
  <c r="T693" i="3" s="1"/>
  <c r="P694" i="3"/>
  <c r="T694" i="3" s="1"/>
  <c r="P695" i="3"/>
  <c r="T695" i="3" s="1"/>
  <c r="P696" i="3"/>
  <c r="T696" i="3" s="1"/>
  <c r="P697" i="3"/>
  <c r="T697" i="3" s="1"/>
  <c r="P698" i="3"/>
  <c r="T698" i="3" s="1"/>
  <c r="P699" i="3"/>
  <c r="T699" i="3" s="1"/>
  <c r="P700" i="3"/>
  <c r="T700" i="3" s="1"/>
  <c r="P701" i="3"/>
  <c r="T701" i="3" s="1"/>
  <c r="P702" i="3"/>
  <c r="T702" i="3" s="1"/>
  <c r="P703" i="3"/>
  <c r="T703" i="3" s="1"/>
  <c r="P704" i="3"/>
  <c r="T704" i="3" s="1"/>
  <c r="P705" i="3"/>
  <c r="T705" i="3" s="1"/>
  <c r="P706" i="3"/>
  <c r="T706" i="3" s="1"/>
  <c r="P707" i="3"/>
  <c r="T707" i="3" s="1"/>
  <c r="P708" i="3"/>
  <c r="T708" i="3" s="1"/>
  <c r="P709" i="3"/>
  <c r="T709" i="3" s="1"/>
  <c r="P710" i="3"/>
  <c r="T710" i="3" s="1"/>
  <c r="P711" i="3"/>
  <c r="T711" i="3" s="1"/>
  <c r="P712" i="3"/>
  <c r="T712" i="3" s="1"/>
  <c r="P713" i="3"/>
  <c r="T713" i="3" s="1"/>
  <c r="P714" i="3"/>
  <c r="T714" i="3" s="1"/>
  <c r="P715" i="3"/>
  <c r="T715" i="3" s="1"/>
  <c r="P716" i="3"/>
  <c r="T716" i="3" s="1"/>
  <c r="P717" i="3"/>
  <c r="T717" i="3" s="1"/>
  <c r="P718" i="3"/>
  <c r="T718" i="3" s="1"/>
  <c r="P719" i="3"/>
  <c r="T719" i="3" s="1"/>
  <c r="P720" i="3"/>
  <c r="T720" i="3" s="1"/>
  <c r="P721" i="3"/>
  <c r="T721" i="3" s="1"/>
  <c r="P722" i="3"/>
  <c r="T722" i="3" s="1"/>
  <c r="P723" i="3"/>
  <c r="T723" i="3" s="1"/>
  <c r="P724" i="3"/>
  <c r="T724" i="3" s="1"/>
  <c r="P725" i="3"/>
  <c r="T725" i="3" s="1"/>
  <c r="P726" i="3"/>
  <c r="T726" i="3" s="1"/>
  <c r="P727" i="3"/>
  <c r="T727" i="3" s="1"/>
  <c r="P728" i="3"/>
  <c r="T728" i="3" s="1"/>
  <c r="P729" i="3"/>
  <c r="T729" i="3" s="1"/>
  <c r="P730" i="3"/>
  <c r="T730" i="3" s="1"/>
  <c r="P731" i="3"/>
  <c r="T731" i="3" s="1"/>
  <c r="P732" i="3"/>
  <c r="T732" i="3" s="1"/>
  <c r="P733" i="3"/>
  <c r="T733" i="3" s="1"/>
  <c r="P734" i="3"/>
  <c r="T734" i="3" s="1"/>
  <c r="P735" i="3"/>
  <c r="T735" i="3" s="1"/>
  <c r="P736" i="3"/>
  <c r="T736" i="3" s="1"/>
  <c r="P737" i="3"/>
  <c r="T737" i="3" s="1"/>
  <c r="P738" i="3"/>
  <c r="T738" i="3" s="1"/>
  <c r="P739" i="3"/>
  <c r="T739" i="3" s="1"/>
  <c r="P740" i="3"/>
  <c r="T740" i="3" s="1"/>
  <c r="P741" i="3"/>
  <c r="T741" i="3" s="1"/>
  <c r="P742" i="3"/>
  <c r="T742" i="3" s="1"/>
  <c r="P743" i="3"/>
  <c r="T743" i="3" s="1"/>
  <c r="P744" i="3"/>
  <c r="T744" i="3" s="1"/>
  <c r="P745" i="3"/>
  <c r="T745" i="3" s="1"/>
  <c r="P746" i="3"/>
  <c r="T746" i="3" s="1"/>
  <c r="P747" i="3"/>
  <c r="T747" i="3" s="1"/>
  <c r="P748" i="3"/>
  <c r="T748" i="3" s="1"/>
  <c r="P749" i="3"/>
  <c r="T749" i="3" s="1"/>
  <c r="P750" i="3"/>
  <c r="T750" i="3" s="1"/>
  <c r="P751" i="3"/>
  <c r="T751" i="3" s="1"/>
  <c r="P752" i="3"/>
  <c r="T752" i="3" s="1"/>
  <c r="P753" i="3"/>
  <c r="T753" i="3" s="1"/>
  <c r="P754" i="3"/>
  <c r="T754" i="3" s="1"/>
  <c r="P755" i="3"/>
  <c r="T755" i="3" s="1"/>
  <c r="P756" i="3"/>
  <c r="T756" i="3" s="1"/>
  <c r="P757" i="3"/>
  <c r="T757" i="3" s="1"/>
  <c r="P758" i="3"/>
  <c r="T758" i="3" s="1"/>
  <c r="P759" i="3"/>
  <c r="T759" i="3" s="1"/>
  <c r="P760" i="3"/>
  <c r="T760" i="3" s="1"/>
  <c r="P761" i="3"/>
  <c r="T761" i="3" s="1"/>
  <c r="P762" i="3"/>
  <c r="T762" i="3" s="1"/>
  <c r="P763" i="3"/>
  <c r="T763" i="3" s="1"/>
  <c r="P764" i="3"/>
  <c r="T764" i="3" s="1"/>
  <c r="P765" i="3"/>
  <c r="T765" i="3" s="1"/>
  <c r="P766" i="3"/>
  <c r="T766" i="3" s="1"/>
  <c r="P767" i="3"/>
  <c r="T767" i="3" s="1"/>
  <c r="P768" i="3"/>
  <c r="T768" i="3" s="1"/>
  <c r="P769" i="3"/>
  <c r="T769" i="3" s="1"/>
  <c r="P770" i="3"/>
  <c r="T770" i="3" s="1"/>
  <c r="P771" i="3"/>
  <c r="T771" i="3" s="1"/>
  <c r="P772" i="3"/>
  <c r="T772" i="3" s="1"/>
  <c r="P773" i="3"/>
  <c r="T773" i="3" s="1"/>
  <c r="P774" i="3"/>
  <c r="T774" i="3" s="1"/>
  <c r="P775" i="3"/>
  <c r="T775" i="3" s="1"/>
  <c r="P776" i="3"/>
  <c r="T776" i="3" s="1"/>
  <c r="P777" i="3"/>
  <c r="T777" i="3" s="1"/>
  <c r="P778" i="3"/>
  <c r="T778" i="3" s="1"/>
  <c r="P779" i="3"/>
  <c r="T779" i="3" s="1"/>
  <c r="P780" i="3"/>
  <c r="T780" i="3" s="1"/>
  <c r="P781" i="3"/>
  <c r="T781" i="3" s="1"/>
  <c r="P782" i="3"/>
  <c r="T782" i="3" s="1"/>
  <c r="P783" i="3"/>
  <c r="T783" i="3" s="1"/>
  <c r="P784" i="3"/>
  <c r="T784" i="3" s="1"/>
  <c r="P785" i="3"/>
  <c r="T785" i="3" s="1"/>
  <c r="P786" i="3"/>
  <c r="T786" i="3" s="1"/>
  <c r="P787" i="3"/>
  <c r="T787" i="3" s="1"/>
  <c r="P788" i="3"/>
  <c r="T788" i="3" s="1"/>
  <c r="P789" i="3"/>
  <c r="T789" i="3" s="1"/>
  <c r="P790" i="3"/>
  <c r="T790" i="3" s="1"/>
  <c r="P791" i="3"/>
  <c r="T791" i="3" s="1"/>
  <c r="P792" i="3"/>
  <c r="T792" i="3" s="1"/>
  <c r="P793" i="3"/>
  <c r="T793" i="3" s="1"/>
  <c r="P794" i="3"/>
  <c r="T794" i="3" s="1"/>
  <c r="P795" i="3"/>
  <c r="T795" i="3" s="1"/>
  <c r="P796" i="3"/>
  <c r="T796" i="3" s="1"/>
  <c r="P797" i="3"/>
  <c r="T797" i="3" s="1"/>
  <c r="P798" i="3"/>
  <c r="T798" i="3" s="1"/>
  <c r="P799" i="3"/>
  <c r="T799" i="3" s="1"/>
  <c r="P800" i="3"/>
  <c r="T800" i="3" s="1"/>
  <c r="P801" i="3"/>
  <c r="T801" i="3" s="1"/>
  <c r="P802" i="3"/>
  <c r="T802" i="3" s="1"/>
  <c r="P803" i="3"/>
  <c r="T803" i="3" s="1"/>
  <c r="P804" i="3"/>
  <c r="T804" i="3" s="1"/>
  <c r="P805" i="3"/>
  <c r="T805" i="3" s="1"/>
  <c r="P806" i="3"/>
  <c r="T806" i="3" s="1"/>
  <c r="P807" i="3"/>
  <c r="T807" i="3" s="1"/>
  <c r="P808" i="3"/>
  <c r="T808" i="3" s="1"/>
  <c r="P809" i="3"/>
  <c r="T809" i="3" s="1"/>
  <c r="P810" i="3"/>
  <c r="T810" i="3" s="1"/>
  <c r="P811" i="3"/>
  <c r="T811" i="3" s="1"/>
  <c r="P812" i="3"/>
  <c r="T812" i="3" s="1"/>
  <c r="P813" i="3"/>
  <c r="T813" i="3" s="1"/>
  <c r="P814" i="3"/>
  <c r="T814" i="3" s="1"/>
  <c r="P815" i="3"/>
  <c r="T815" i="3" s="1"/>
  <c r="P816" i="3"/>
  <c r="T816" i="3" s="1"/>
  <c r="P817" i="3"/>
  <c r="T817" i="3" s="1"/>
  <c r="P818" i="3"/>
  <c r="T818" i="3" s="1"/>
  <c r="P819" i="3"/>
  <c r="T819" i="3" s="1"/>
  <c r="P820" i="3"/>
  <c r="T820" i="3" s="1"/>
  <c r="P821" i="3"/>
  <c r="T821" i="3" s="1"/>
  <c r="P822" i="3"/>
  <c r="T822" i="3" s="1"/>
  <c r="P823" i="3"/>
  <c r="T823" i="3" s="1"/>
  <c r="P824" i="3"/>
  <c r="T824" i="3" s="1"/>
  <c r="P825" i="3"/>
  <c r="T825" i="3" s="1"/>
  <c r="P826" i="3"/>
  <c r="T826" i="3" s="1"/>
  <c r="P827" i="3"/>
  <c r="T827" i="3" s="1"/>
  <c r="P828" i="3"/>
  <c r="T828" i="3" s="1"/>
  <c r="P829" i="3"/>
  <c r="T829" i="3" s="1"/>
  <c r="P830" i="3"/>
  <c r="T830" i="3" s="1"/>
  <c r="P831" i="3"/>
  <c r="T831" i="3" s="1"/>
  <c r="P832" i="3"/>
  <c r="T832" i="3" s="1"/>
  <c r="P833" i="3"/>
  <c r="T833" i="3" s="1"/>
  <c r="P834" i="3"/>
  <c r="T834" i="3" s="1"/>
  <c r="P835" i="3"/>
  <c r="T835" i="3" s="1"/>
  <c r="P836" i="3"/>
  <c r="T836" i="3" s="1"/>
  <c r="P837" i="3"/>
  <c r="T837" i="3" s="1"/>
  <c r="P838" i="3"/>
  <c r="T838" i="3" s="1"/>
  <c r="P839" i="3"/>
  <c r="T839" i="3" s="1"/>
  <c r="P840" i="3"/>
  <c r="T840" i="3" s="1"/>
  <c r="P841" i="3"/>
  <c r="T841" i="3" s="1"/>
  <c r="P842" i="3"/>
  <c r="T842" i="3" s="1"/>
  <c r="P843" i="3"/>
  <c r="T843" i="3" s="1"/>
  <c r="P844" i="3"/>
  <c r="T844" i="3" s="1"/>
  <c r="P845" i="3"/>
  <c r="T845" i="3" s="1"/>
  <c r="P846" i="3"/>
  <c r="T846" i="3" s="1"/>
  <c r="P847" i="3"/>
  <c r="T847" i="3" s="1"/>
  <c r="P848" i="3"/>
  <c r="T848" i="3" s="1"/>
  <c r="P849" i="3"/>
  <c r="T849" i="3" s="1"/>
  <c r="P850" i="3"/>
  <c r="T850" i="3" s="1"/>
  <c r="P851" i="3"/>
  <c r="T851" i="3" s="1"/>
  <c r="P852" i="3"/>
  <c r="T852" i="3" s="1"/>
  <c r="P853" i="3"/>
  <c r="T853" i="3" s="1"/>
  <c r="P854" i="3"/>
  <c r="T854" i="3" s="1"/>
  <c r="P855" i="3"/>
  <c r="T855" i="3" s="1"/>
  <c r="P856" i="3"/>
  <c r="T856" i="3" s="1"/>
  <c r="P857" i="3"/>
  <c r="T857" i="3" s="1"/>
  <c r="P858" i="3"/>
  <c r="T858" i="3" s="1"/>
  <c r="P859" i="3"/>
  <c r="T859" i="3" s="1"/>
  <c r="P860" i="3"/>
  <c r="T860" i="3" s="1"/>
  <c r="P861" i="3"/>
  <c r="T861" i="3" s="1"/>
  <c r="P862" i="3"/>
  <c r="T862" i="3" s="1"/>
  <c r="P863" i="3"/>
  <c r="T863" i="3" s="1"/>
  <c r="P864" i="3"/>
  <c r="T864" i="3" s="1"/>
  <c r="P865" i="3"/>
  <c r="T865" i="3" s="1"/>
  <c r="P866" i="3"/>
  <c r="T866" i="3" s="1"/>
  <c r="P867" i="3"/>
  <c r="T867" i="3" s="1"/>
  <c r="P868" i="3"/>
  <c r="T868" i="3" s="1"/>
  <c r="P869" i="3"/>
  <c r="T869" i="3" s="1"/>
  <c r="P870" i="3"/>
  <c r="T870" i="3" s="1"/>
  <c r="P871" i="3"/>
  <c r="T871" i="3" s="1"/>
  <c r="P872" i="3"/>
  <c r="T872" i="3" s="1"/>
  <c r="P873" i="3"/>
  <c r="T873" i="3" s="1"/>
  <c r="P874" i="3"/>
  <c r="T874" i="3" s="1"/>
  <c r="P875" i="3"/>
  <c r="T875" i="3" s="1"/>
  <c r="P876" i="3"/>
  <c r="T876" i="3" s="1"/>
  <c r="P877" i="3"/>
  <c r="T877" i="3" s="1"/>
  <c r="P878" i="3"/>
  <c r="T878" i="3" s="1"/>
  <c r="P879" i="3"/>
  <c r="T879" i="3" s="1"/>
  <c r="P880" i="3"/>
  <c r="T880" i="3" s="1"/>
  <c r="P881" i="3"/>
  <c r="T881" i="3" s="1"/>
  <c r="P882" i="3"/>
  <c r="T882" i="3" s="1"/>
  <c r="P883" i="3"/>
  <c r="T883" i="3" s="1"/>
  <c r="P884" i="3"/>
  <c r="T884" i="3" s="1"/>
  <c r="P885" i="3"/>
  <c r="T885" i="3" s="1"/>
  <c r="P886" i="3"/>
  <c r="T886" i="3" s="1"/>
  <c r="P887" i="3"/>
  <c r="T887" i="3" s="1"/>
  <c r="P888" i="3"/>
  <c r="T888" i="3" s="1"/>
  <c r="P889" i="3"/>
  <c r="T889" i="3" s="1"/>
  <c r="P890" i="3"/>
  <c r="T890" i="3" s="1"/>
  <c r="P891" i="3"/>
  <c r="T891" i="3" s="1"/>
  <c r="P892" i="3"/>
  <c r="T892" i="3" s="1"/>
  <c r="P893" i="3"/>
  <c r="T893" i="3" s="1"/>
  <c r="P894" i="3"/>
  <c r="T894" i="3" s="1"/>
  <c r="P895" i="3"/>
  <c r="T895" i="3" s="1"/>
  <c r="P896" i="3"/>
  <c r="T896" i="3" s="1"/>
  <c r="P897" i="3"/>
  <c r="T897" i="3" s="1"/>
  <c r="P898" i="3"/>
  <c r="T898" i="3" s="1"/>
  <c r="P899" i="3"/>
  <c r="T899" i="3" s="1"/>
  <c r="P900" i="3"/>
  <c r="T900" i="3" s="1"/>
  <c r="P901" i="3"/>
  <c r="T901" i="3" s="1"/>
  <c r="P902" i="3"/>
  <c r="T902" i="3" s="1"/>
  <c r="P903" i="3"/>
  <c r="T903" i="3" s="1"/>
  <c r="P904" i="3"/>
  <c r="T904" i="3" s="1"/>
  <c r="P905" i="3"/>
  <c r="T905" i="3" s="1"/>
  <c r="P906" i="3"/>
  <c r="T906" i="3" s="1"/>
  <c r="P907" i="3"/>
  <c r="T907" i="3" s="1"/>
  <c r="P908" i="3"/>
  <c r="T908" i="3" s="1"/>
  <c r="P909" i="3"/>
  <c r="T909" i="3" s="1"/>
  <c r="P910" i="3"/>
  <c r="T910" i="3" s="1"/>
  <c r="P911" i="3"/>
  <c r="T911" i="3" s="1"/>
  <c r="P912" i="3"/>
  <c r="T912" i="3" s="1"/>
  <c r="P913" i="3"/>
  <c r="T913" i="3" s="1"/>
  <c r="P914" i="3"/>
  <c r="T914" i="3" s="1"/>
  <c r="P915" i="3"/>
  <c r="T915" i="3" s="1"/>
  <c r="P916" i="3"/>
  <c r="T916" i="3" s="1"/>
  <c r="P917" i="3"/>
  <c r="T917" i="3" s="1"/>
  <c r="P918" i="3"/>
  <c r="T918" i="3" s="1"/>
  <c r="P919" i="3"/>
  <c r="T919" i="3" s="1"/>
  <c r="P920" i="3"/>
  <c r="T920" i="3" s="1"/>
  <c r="P921" i="3"/>
  <c r="T921" i="3" s="1"/>
  <c r="P922" i="3"/>
  <c r="T922" i="3" s="1"/>
  <c r="P923" i="3"/>
  <c r="T923" i="3" s="1"/>
  <c r="P924" i="3"/>
  <c r="T924" i="3" s="1"/>
  <c r="P925" i="3"/>
  <c r="T925" i="3" s="1"/>
  <c r="P926" i="3"/>
  <c r="T926" i="3" s="1"/>
  <c r="P927" i="3"/>
  <c r="T927" i="3" s="1"/>
  <c r="P928" i="3"/>
  <c r="T928" i="3" s="1"/>
  <c r="P929" i="3"/>
  <c r="T929" i="3" s="1"/>
  <c r="P930" i="3"/>
  <c r="T930" i="3" s="1"/>
  <c r="P931" i="3"/>
  <c r="T931" i="3" s="1"/>
  <c r="P932" i="3"/>
  <c r="T932" i="3" s="1"/>
  <c r="P933" i="3"/>
  <c r="T933" i="3" s="1"/>
  <c r="P934" i="3"/>
  <c r="T934" i="3" s="1"/>
  <c r="P935" i="3"/>
  <c r="T935" i="3" s="1"/>
  <c r="P936" i="3"/>
  <c r="T936" i="3" s="1"/>
  <c r="P937" i="3"/>
  <c r="T937" i="3" s="1"/>
  <c r="P938" i="3"/>
  <c r="T938" i="3" s="1"/>
  <c r="P939" i="3"/>
  <c r="T939" i="3" s="1"/>
  <c r="P940" i="3"/>
  <c r="T940" i="3" s="1"/>
  <c r="P941" i="3"/>
  <c r="T941" i="3" s="1"/>
  <c r="P942" i="3"/>
  <c r="T942" i="3" s="1"/>
  <c r="P943" i="3"/>
  <c r="T943" i="3" s="1"/>
  <c r="P944" i="3"/>
  <c r="T944" i="3" s="1"/>
  <c r="P945" i="3"/>
  <c r="T945" i="3" s="1"/>
  <c r="P946" i="3"/>
  <c r="T946" i="3" s="1"/>
  <c r="P947" i="3"/>
  <c r="T947" i="3" s="1"/>
  <c r="P948" i="3"/>
  <c r="T948" i="3" s="1"/>
  <c r="P949" i="3"/>
  <c r="T949" i="3" s="1"/>
  <c r="P950" i="3"/>
  <c r="T950" i="3" s="1"/>
  <c r="P951" i="3"/>
  <c r="T951" i="3" s="1"/>
  <c r="P952" i="3"/>
  <c r="T952" i="3" s="1"/>
  <c r="P953" i="3"/>
  <c r="T953" i="3" s="1"/>
  <c r="P954" i="3"/>
  <c r="T954" i="3" s="1"/>
  <c r="P955" i="3"/>
  <c r="T955" i="3" s="1"/>
  <c r="P956" i="3"/>
  <c r="T956" i="3" s="1"/>
  <c r="P957" i="3"/>
  <c r="T957" i="3" s="1"/>
  <c r="P958" i="3"/>
  <c r="T958" i="3" s="1"/>
  <c r="P959" i="3"/>
  <c r="T959" i="3" s="1"/>
  <c r="P960" i="3"/>
  <c r="T960" i="3" s="1"/>
  <c r="P961" i="3"/>
  <c r="T961" i="3" s="1"/>
  <c r="P962" i="3"/>
  <c r="T962" i="3" s="1"/>
  <c r="P963" i="3"/>
  <c r="T963" i="3" s="1"/>
  <c r="P964" i="3"/>
  <c r="T964" i="3" s="1"/>
  <c r="P965" i="3"/>
  <c r="T965" i="3" s="1"/>
  <c r="P966" i="3"/>
  <c r="T966" i="3" s="1"/>
  <c r="P967" i="3"/>
  <c r="T967" i="3" s="1"/>
  <c r="P968" i="3"/>
  <c r="T968" i="3" s="1"/>
  <c r="P969" i="3"/>
  <c r="T969" i="3" s="1"/>
  <c r="P970" i="3"/>
  <c r="T970" i="3" s="1"/>
  <c r="P971" i="3"/>
  <c r="T971" i="3" s="1"/>
  <c r="P972" i="3"/>
  <c r="T972" i="3" s="1"/>
  <c r="P973" i="3"/>
  <c r="T973" i="3" s="1"/>
  <c r="P974" i="3"/>
  <c r="T974" i="3" s="1"/>
  <c r="P975" i="3"/>
  <c r="T975" i="3" s="1"/>
  <c r="P976" i="3"/>
  <c r="T976" i="3" s="1"/>
  <c r="P977" i="3"/>
  <c r="T977" i="3" s="1"/>
  <c r="P978" i="3"/>
  <c r="T978" i="3" s="1"/>
  <c r="P979" i="3"/>
  <c r="T979" i="3" s="1"/>
  <c r="P980" i="3"/>
  <c r="T980" i="3" s="1"/>
  <c r="P981" i="3"/>
  <c r="T981" i="3" s="1"/>
  <c r="P982" i="3"/>
  <c r="T982" i="3" s="1"/>
  <c r="P983" i="3"/>
  <c r="T983" i="3" s="1"/>
  <c r="P984" i="3"/>
  <c r="T984" i="3" s="1"/>
  <c r="P985" i="3"/>
  <c r="T985" i="3" s="1"/>
  <c r="P986" i="3"/>
  <c r="T986" i="3" s="1"/>
  <c r="P987" i="3"/>
  <c r="T987" i="3" s="1"/>
  <c r="P988" i="3"/>
  <c r="T988" i="3" s="1"/>
  <c r="P989" i="3"/>
  <c r="T989" i="3" s="1"/>
  <c r="P990" i="3"/>
  <c r="T990" i="3" s="1"/>
  <c r="P991" i="3"/>
  <c r="T991" i="3" s="1"/>
  <c r="P992" i="3"/>
  <c r="T992" i="3" s="1"/>
  <c r="P993" i="3"/>
  <c r="T993" i="3" s="1"/>
  <c r="P994" i="3"/>
  <c r="T994" i="3" s="1"/>
  <c r="P995" i="3"/>
  <c r="T995" i="3" s="1"/>
  <c r="P996" i="3"/>
  <c r="T996" i="3" s="1"/>
  <c r="P997" i="3"/>
  <c r="T997" i="3" s="1"/>
  <c r="P998" i="3"/>
  <c r="T998" i="3" s="1"/>
  <c r="P999" i="3"/>
  <c r="T999" i="3" s="1"/>
  <c r="P1000" i="3"/>
  <c r="T1000" i="3" s="1"/>
  <c r="P1001" i="3"/>
  <c r="T1001" i="3" s="1"/>
  <c r="P1002" i="3"/>
  <c r="T1002" i="3" s="1"/>
  <c r="P1003" i="3"/>
  <c r="T1003" i="3" s="1"/>
  <c r="P1004" i="3"/>
  <c r="T1004" i="3" s="1"/>
  <c r="P1005" i="3"/>
  <c r="T1005" i="3" s="1"/>
  <c r="P1006" i="3"/>
  <c r="T1006" i="3" s="1"/>
  <c r="P1007" i="3"/>
  <c r="T1007" i="3" s="1"/>
  <c r="P1008" i="3"/>
  <c r="T1008" i="3" s="1"/>
  <c r="P1009" i="3"/>
  <c r="T1009" i="3" s="1"/>
  <c r="P1010" i="3"/>
  <c r="T1010" i="3" s="1"/>
  <c r="P1011" i="3"/>
  <c r="T1011" i="3" s="1"/>
  <c r="P1012" i="3"/>
  <c r="T1012" i="3" s="1"/>
  <c r="P1013" i="3"/>
  <c r="T1013" i="3" s="1"/>
  <c r="P1014" i="3"/>
  <c r="T1014" i="3" s="1"/>
  <c r="P1015" i="3"/>
  <c r="T1015" i="3" s="1"/>
  <c r="P1016" i="3"/>
  <c r="T1016" i="3" s="1"/>
  <c r="P1017" i="3"/>
  <c r="T1017" i="3" s="1"/>
  <c r="P1018" i="3"/>
  <c r="T1018" i="3" s="1"/>
  <c r="P1019" i="3"/>
  <c r="T1019" i="3" s="1"/>
  <c r="P1020" i="3"/>
  <c r="T1020" i="3" s="1"/>
  <c r="P1021" i="3"/>
  <c r="T1021" i="3" s="1"/>
  <c r="P1022" i="3"/>
  <c r="T1022" i="3" s="1"/>
  <c r="P1023" i="3"/>
  <c r="T1023" i="3" s="1"/>
  <c r="P1024" i="3"/>
  <c r="T1024" i="3" s="1"/>
  <c r="P1025" i="3"/>
  <c r="T1025" i="3" s="1"/>
  <c r="P1026" i="3"/>
  <c r="T1026" i="3" s="1"/>
  <c r="P1027" i="3"/>
  <c r="T1027" i="3" s="1"/>
  <c r="P1028" i="3"/>
  <c r="T1028" i="3" s="1"/>
  <c r="P1029" i="3"/>
  <c r="T1029" i="3" s="1"/>
  <c r="P1030" i="3"/>
  <c r="T1030" i="3" s="1"/>
  <c r="P1031" i="3"/>
  <c r="T1031" i="3" s="1"/>
  <c r="P1032" i="3"/>
  <c r="T1032" i="3" s="1"/>
  <c r="P1033" i="3"/>
  <c r="T1033" i="3" s="1"/>
  <c r="P1034" i="3"/>
  <c r="T1034" i="3" s="1"/>
  <c r="P1035" i="3"/>
  <c r="T1035" i="3" s="1"/>
  <c r="P1036" i="3"/>
  <c r="T1036" i="3" s="1"/>
  <c r="P1037" i="3"/>
  <c r="T1037" i="3" s="1"/>
  <c r="P1038" i="3"/>
  <c r="T1038" i="3" s="1"/>
  <c r="P1039" i="3"/>
  <c r="T1039" i="3" s="1"/>
  <c r="P1040" i="3"/>
  <c r="T1040" i="3" s="1"/>
  <c r="P1041" i="3"/>
  <c r="T1041" i="3" s="1"/>
  <c r="P1042" i="3"/>
  <c r="T1042" i="3" s="1"/>
  <c r="P1043" i="3"/>
  <c r="T1043" i="3" s="1"/>
  <c r="P1044" i="3"/>
  <c r="T1044" i="3" s="1"/>
  <c r="P1045" i="3"/>
  <c r="T1045" i="3" s="1"/>
  <c r="P1046" i="3"/>
  <c r="T1046" i="3" s="1"/>
  <c r="P1047" i="3"/>
  <c r="T1047" i="3" s="1"/>
  <c r="P1048" i="3"/>
  <c r="T1048" i="3" s="1"/>
  <c r="P1049" i="3"/>
  <c r="T1049" i="3" s="1"/>
  <c r="P1050" i="3"/>
  <c r="T1050" i="3" s="1"/>
  <c r="P1051" i="3"/>
  <c r="T1051" i="3" s="1"/>
  <c r="P1052" i="3"/>
  <c r="T1052" i="3" s="1"/>
  <c r="P1053" i="3"/>
  <c r="T1053" i="3" s="1"/>
  <c r="P1054" i="3"/>
  <c r="T1054" i="3" s="1"/>
  <c r="P1055" i="3"/>
  <c r="T1055" i="3" s="1"/>
  <c r="P1056" i="3"/>
  <c r="T1056" i="3" s="1"/>
  <c r="P1057" i="3"/>
  <c r="T1057" i="3" s="1"/>
  <c r="P1058" i="3"/>
  <c r="T1058" i="3" s="1"/>
  <c r="P1059" i="3"/>
  <c r="T1059" i="3" s="1"/>
  <c r="P1060" i="3"/>
  <c r="T1060" i="3" s="1"/>
  <c r="P1061" i="3"/>
  <c r="T1061" i="3" s="1"/>
  <c r="P1062" i="3"/>
  <c r="T1062" i="3" s="1"/>
  <c r="P1063" i="3"/>
  <c r="T1063" i="3" s="1"/>
  <c r="P1064" i="3"/>
  <c r="T1064" i="3" s="1"/>
  <c r="P1065" i="3"/>
  <c r="T1065" i="3" s="1"/>
  <c r="P1066" i="3"/>
  <c r="T1066" i="3" s="1"/>
  <c r="P1067" i="3"/>
  <c r="T1067" i="3" s="1"/>
  <c r="P1068" i="3"/>
  <c r="T1068" i="3" s="1"/>
  <c r="P1069" i="3"/>
  <c r="T1069" i="3" s="1"/>
  <c r="P1070" i="3"/>
  <c r="T1070" i="3" s="1"/>
  <c r="P1071" i="3"/>
  <c r="T1071" i="3" s="1"/>
  <c r="P1072" i="3"/>
  <c r="T1072" i="3" s="1"/>
  <c r="P1073" i="3"/>
  <c r="T1073" i="3" s="1"/>
  <c r="P1074" i="3"/>
  <c r="T1074" i="3" s="1"/>
  <c r="P1075" i="3"/>
  <c r="T1075" i="3" s="1"/>
  <c r="P1076" i="3"/>
  <c r="T1076" i="3" s="1"/>
  <c r="P1077" i="3"/>
  <c r="T1077" i="3" s="1"/>
  <c r="P1078" i="3"/>
  <c r="T1078" i="3" s="1"/>
  <c r="P1079" i="3"/>
  <c r="T1079" i="3" s="1"/>
  <c r="P1080" i="3"/>
  <c r="T1080" i="3" s="1"/>
  <c r="P1081" i="3"/>
  <c r="T1081" i="3" s="1"/>
  <c r="P1082" i="3"/>
  <c r="T1082" i="3" s="1"/>
  <c r="P1083" i="3"/>
  <c r="T1083" i="3" s="1"/>
  <c r="P1084" i="3"/>
  <c r="T1084" i="3" s="1"/>
  <c r="P1085" i="3"/>
  <c r="T1085" i="3" s="1"/>
  <c r="P1086" i="3"/>
  <c r="T1086" i="3" s="1"/>
  <c r="P1087" i="3"/>
  <c r="T1087" i="3" s="1"/>
  <c r="P1088" i="3"/>
  <c r="T1088" i="3" s="1"/>
  <c r="P1089" i="3"/>
  <c r="T1089" i="3" s="1"/>
  <c r="P1090" i="3"/>
  <c r="T1090" i="3" s="1"/>
  <c r="P1091" i="3"/>
  <c r="T1091" i="3" s="1"/>
  <c r="P1092" i="3"/>
  <c r="T1092" i="3" s="1"/>
  <c r="P1093" i="3"/>
  <c r="T1093" i="3" s="1"/>
  <c r="P1094" i="3"/>
  <c r="T1094" i="3" s="1"/>
  <c r="P1095" i="3"/>
  <c r="T1095" i="3" s="1"/>
  <c r="P1096" i="3"/>
  <c r="T1096" i="3" s="1"/>
  <c r="P1097" i="3"/>
  <c r="T1097" i="3" s="1"/>
  <c r="P1098" i="3"/>
  <c r="T1098" i="3" s="1"/>
  <c r="P1099" i="3"/>
  <c r="T1099" i="3" s="1"/>
  <c r="P1100" i="3"/>
  <c r="T1100" i="3" s="1"/>
  <c r="P1101" i="3"/>
  <c r="T1101" i="3" s="1"/>
  <c r="P1102" i="3"/>
  <c r="T1102" i="3" s="1"/>
  <c r="P1103" i="3"/>
  <c r="T1103" i="3" s="1"/>
  <c r="P1104" i="3"/>
  <c r="T1104" i="3" s="1"/>
  <c r="P1105" i="3"/>
  <c r="T1105" i="3" s="1"/>
  <c r="P1106" i="3"/>
  <c r="T1106" i="3" s="1"/>
  <c r="P1107" i="3"/>
  <c r="T1107" i="3" s="1"/>
  <c r="P1108" i="3"/>
  <c r="T1108" i="3" s="1"/>
  <c r="P1109" i="3"/>
  <c r="T1109" i="3" s="1"/>
  <c r="P1110" i="3"/>
  <c r="T1110" i="3" s="1"/>
  <c r="P1111" i="3"/>
  <c r="T1111" i="3" s="1"/>
  <c r="P1112" i="3"/>
  <c r="T1112" i="3" s="1"/>
  <c r="P1113" i="3"/>
  <c r="T1113" i="3" s="1"/>
  <c r="P1114" i="3"/>
  <c r="T1114" i="3" s="1"/>
  <c r="P1115" i="3"/>
  <c r="T1115" i="3" s="1"/>
  <c r="P1116" i="3"/>
  <c r="T1116" i="3" s="1"/>
  <c r="P1117" i="3"/>
  <c r="T1117" i="3" s="1"/>
  <c r="P1118" i="3"/>
  <c r="T1118" i="3" s="1"/>
  <c r="P1119" i="3"/>
  <c r="T1119" i="3" s="1"/>
  <c r="P1120" i="3"/>
  <c r="T1120" i="3" s="1"/>
  <c r="P1121" i="3"/>
  <c r="T1121" i="3" s="1"/>
  <c r="P1122" i="3"/>
  <c r="T1122" i="3" s="1"/>
  <c r="P1123" i="3"/>
  <c r="T1123" i="3" s="1"/>
  <c r="P1124" i="3"/>
  <c r="T1124" i="3" s="1"/>
  <c r="P1125" i="3"/>
  <c r="T1125" i="3" s="1"/>
  <c r="P1126" i="3"/>
  <c r="T1126" i="3" s="1"/>
  <c r="P1127" i="3"/>
  <c r="T1127" i="3" s="1"/>
  <c r="P1128" i="3"/>
  <c r="T1128" i="3" s="1"/>
  <c r="P1129" i="3"/>
  <c r="T1129" i="3" s="1"/>
  <c r="P1130" i="3"/>
  <c r="T1130" i="3" s="1"/>
  <c r="P1131" i="3"/>
  <c r="T1131" i="3" s="1"/>
  <c r="P1132" i="3"/>
  <c r="T1132" i="3" s="1"/>
  <c r="P1133" i="3"/>
  <c r="T1133" i="3" s="1"/>
  <c r="P1134" i="3"/>
  <c r="T1134" i="3" s="1"/>
  <c r="P1135" i="3"/>
  <c r="T1135" i="3" s="1"/>
  <c r="P1136" i="3"/>
  <c r="T1136" i="3" s="1"/>
  <c r="P1137" i="3"/>
  <c r="T1137" i="3" s="1"/>
  <c r="P1138" i="3"/>
  <c r="T1138" i="3" s="1"/>
  <c r="P1139" i="3"/>
  <c r="T1139" i="3" s="1"/>
  <c r="P1140" i="3"/>
  <c r="T1140" i="3" s="1"/>
  <c r="P1141" i="3"/>
  <c r="T1141" i="3" s="1"/>
  <c r="P1142" i="3"/>
  <c r="T1142" i="3" s="1"/>
  <c r="P1143" i="3"/>
  <c r="T1143" i="3" s="1"/>
  <c r="P1144" i="3"/>
  <c r="T1144" i="3" s="1"/>
  <c r="P1145" i="3"/>
  <c r="T1145" i="3" s="1"/>
  <c r="P1146" i="3"/>
  <c r="T1146" i="3" s="1"/>
  <c r="P1147" i="3"/>
  <c r="T1147" i="3" s="1"/>
  <c r="P1148" i="3"/>
  <c r="T1148" i="3" s="1"/>
  <c r="P1149" i="3"/>
  <c r="T1149" i="3" s="1"/>
  <c r="P1150" i="3"/>
  <c r="T1150" i="3" s="1"/>
  <c r="P1151" i="3"/>
  <c r="T1151" i="3" s="1"/>
  <c r="P1152" i="3"/>
  <c r="T1152" i="3" s="1"/>
  <c r="P1153" i="3"/>
  <c r="T1153" i="3" s="1"/>
  <c r="P1154" i="3"/>
  <c r="T1154" i="3" s="1"/>
  <c r="P1155" i="3"/>
  <c r="T1155" i="3" s="1"/>
  <c r="P1156" i="3"/>
  <c r="T1156" i="3" s="1"/>
  <c r="P1157" i="3"/>
  <c r="T1157" i="3" s="1"/>
  <c r="P1158" i="3"/>
  <c r="T1158" i="3" s="1"/>
  <c r="P1159" i="3"/>
  <c r="T1159" i="3" s="1"/>
  <c r="P1160" i="3"/>
  <c r="T1160" i="3" s="1"/>
  <c r="P1161" i="3"/>
  <c r="T1161" i="3" s="1"/>
  <c r="P1162" i="3"/>
  <c r="T1162" i="3" s="1"/>
  <c r="P1163" i="3"/>
  <c r="T1163" i="3" s="1"/>
  <c r="P1164" i="3"/>
  <c r="T1164" i="3" s="1"/>
  <c r="P1165" i="3"/>
  <c r="T1165" i="3" s="1"/>
  <c r="P1166" i="3"/>
  <c r="T1166" i="3" s="1"/>
  <c r="P1167" i="3"/>
  <c r="T1167" i="3" s="1"/>
  <c r="P1168" i="3"/>
  <c r="T1168" i="3" s="1"/>
  <c r="P1169" i="3"/>
  <c r="T1169" i="3" s="1"/>
  <c r="P1170" i="3"/>
  <c r="T1170" i="3" s="1"/>
  <c r="P1171" i="3"/>
  <c r="T1171" i="3" s="1"/>
  <c r="P1172" i="3"/>
  <c r="T1172" i="3" s="1"/>
  <c r="P1173" i="3"/>
  <c r="T1173" i="3" s="1"/>
  <c r="P1174" i="3"/>
  <c r="T1174" i="3" s="1"/>
  <c r="P1175" i="3"/>
  <c r="T1175" i="3" s="1"/>
  <c r="P1176" i="3"/>
  <c r="T1176" i="3" s="1"/>
  <c r="P1177" i="3"/>
  <c r="T1177" i="3" s="1"/>
  <c r="P1178" i="3"/>
  <c r="T1178" i="3" s="1"/>
  <c r="P1179" i="3"/>
  <c r="T1179" i="3" s="1"/>
  <c r="P1180" i="3"/>
  <c r="T1180" i="3" s="1"/>
  <c r="P1181" i="3"/>
  <c r="T1181" i="3" s="1"/>
  <c r="P1182" i="3"/>
  <c r="T1182" i="3" s="1"/>
  <c r="P1183" i="3"/>
  <c r="T1183" i="3" s="1"/>
  <c r="P1184" i="3"/>
  <c r="T1184" i="3" s="1"/>
  <c r="P1185" i="3"/>
  <c r="T1185" i="3" s="1"/>
  <c r="P1186" i="3"/>
  <c r="T1186" i="3" s="1"/>
  <c r="P1187" i="3"/>
  <c r="T1187" i="3" s="1"/>
  <c r="P1188" i="3"/>
  <c r="T1188" i="3" s="1"/>
  <c r="P1189" i="3"/>
  <c r="T1189" i="3" s="1"/>
  <c r="P1190" i="3"/>
  <c r="T1190" i="3" s="1"/>
  <c r="P1191" i="3"/>
  <c r="T1191" i="3" s="1"/>
  <c r="P1192" i="3"/>
  <c r="T1192" i="3" s="1"/>
  <c r="P1193" i="3"/>
  <c r="T1193" i="3" s="1"/>
  <c r="P1194" i="3"/>
  <c r="T1194" i="3" s="1"/>
  <c r="P1195" i="3"/>
  <c r="T1195" i="3" s="1"/>
  <c r="P1196" i="3"/>
  <c r="T1196" i="3" s="1"/>
  <c r="P1197" i="3"/>
  <c r="T1197" i="3" s="1"/>
  <c r="P1198" i="3"/>
  <c r="T1198" i="3" s="1"/>
  <c r="P1199" i="3"/>
  <c r="T1199" i="3" s="1"/>
  <c r="P1200" i="3"/>
  <c r="T1200" i="3" s="1"/>
  <c r="P1201" i="3"/>
  <c r="T1201" i="3" s="1"/>
  <c r="P1202" i="3"/>
  <c r="T1202" i="3" s="1"/>
  <c r="P1203" i="3"/>
  <c r="T1203" i="3" s="1"/>
  <c r="P1204" i="3"/>
  <c r="T1204" i="3" s="1"/>
  <c r="P1205" i="3"/>
  <c r="T1205" i="3" s="1"/>
  <c r="P1206" i="3"/>
  <c r="T1206" i="3" s="1"/>
  <c r="P1207" i="3"/>
  <c r="T1207" i="3" s="1"/>
  <c r="P1208" i="3"/>
  <c r="T1208" i="3" s="1"/>
  <c r="P1209" i="3"/>
  <c r="T1209" i="3" s="1"/>
  <c r="P1210" i="3"/>
  <c r="T1210" i="3" s="1"/>
  <c r="P1211" i="3"/>
  <c r="T1211" i="3" s="1"/>
  <c r="P1212" i="3"/>
  <c r="T1212" i="3" s="1"/>
  <c r="P1213" i="3"/>
  <c r="T1213" i="3" s="1"/>
  <c r="P1214" i="3"/>
  <c r="T1214" i="3" s="1"/>
  <c r="P1215" i="3"/>
  <c r="T1215" i="3" s="1"/>
  <c r="P1216" i="3"/>
  <c r="T1216" i="3" s="1"/>
  <c r="P1217" i="3"/>
  <c r="T1217" i="3" s="1"/>
  <c r="P1218" i="3"/>
  <c r="T1218" i="3" s="1"/>
  <c r="P1219" i="3"/>
  <c r="T1219" i="3" s="1"/>
  <c r="P1220" i="3"/>
  <c r="T1220" i="3" s="1"/>
  <c r="P1221" i="3"/>
  <c r="T1221" i="3" s="1"/>
  <c r="P1222" i="3"/>
  <c r="T1222" i="3" s="1"/>
  <c r="P1223" i="3"/>
  <c r="T1223" i="3" s="1"/>
  <c r="P1224" i="3"/>
  <c r="T1224" i="3" s="1"/>
  <c r="P1225" i="3"/>
  <c r="T1225" i="3" s="1"/>
  <c r="P1226" i="3"/>
  <c r="T1226" i="3" s="1"/>
  <c r="P1227" i="3"/>
  <c r="T1227" i="3" s="1"/>
  <c r="P1228" i="3"/>
  <c r="T1228" i="3" s="1"/>
  <c r="P1229" i="3"/>
  <c r="T1229" i="3" s="1"/>
  <c r="P1230" i="3"/>
  <c r="T1230" i="3" s="1"/>
  <c r="P1231" i="3"/>
  <c r="T1231" i="3" s="1"/>
  <c r="P1232" i="3"/>
  <c r="T1232" i="3" s="1"/>
  <c r="P1233" i="3"/>
  <c r="T1233" i="3" s="1"/>
  <c r="P1234" i="3"/>
  <c r="T1234" i="3" s="1"/>
  <c r="P1235" i="3"/>
  <c r="T1235" i="3" s="1"/>
  <c r="P1236" i="3"/>
  <c r="T1236" i="3" s="1"/>
  <c r="P1237" i="3"/>
  <c r="T1237" i="3" s="1"/>
  <c r="P1238" i="3"/>
  <c r="T1238" i="3" s="1"/>
  <c r="P1239" i="3"/>
  <c r="T1239" i="3" s="1"/>
  <c r="P1240" i="3"/>
  <c r="T1240" i="3" s="1"/>
  <c r="P1241" i="3"/>
  <c r="T1241" i="3" s="1"/>
  <c r="P1242" i="3"/>
  <c r="T1242" i="3" s="1"/>
  <c r="P1243" i="3"/>
  <c r="T1243" i="3" s="1"/>
  <c r="P1244" i="3"/>
  <c r="T1244" i="3" s="1"/>
  <c r="P1245" i="3"/>
  <c r="T1245" i="3" s="1"/>
  <c r="P1246" i="3"/>
  <c r="T1246" i="3" s="1"/>
  <c r="P1247" i="3"/>
  <c r="T1247" i="3" s="1"/>
  <c r="P1248" i="3"/>
  <c r="T1248" i="3" s="1"/>
  <c r="P1249" i="3"/>
  <c r="T1249" i="3" s="1"/>
  <c r="P1250" i="3"/>
  <c r="T1250" i="3" s="1"/>
  <c r="P1251" i="3"/>
  <c r="T1251" i="3" s="1"/>
  <c r="P1252" i="3"/>
  <c r="T1252" i="3" s="1"/>
  <c r="P1253" i="3"/>
  <c r="T1253" i="3" s="1"/>
  <c r="P1254" i="3"/>
  <c r="T1254" i="3" s="1"/>
  <c r="P1255" i="3"/>
  <c r="T1255" i="3" s="1"/>
  <c r="P1256" i="3"/>
  <c r="T1256" i="3" s="1"/>
  <c r="P1257" i="3"/>
  <c r="T1257" i="3" s="1"/>
  <c r="P1258" i="3"/>
  <c r="T1258" i="3" s="1"/>
  <c r="P1259" i="3"/>
  <c r="T1259" i="3" s="1"/>
  <c r="P1260" i="3"/>
  <c r="T1260" i="3" s="1"/>
  <c r="P1261" i="3"/>
  <c r="T1261" i="3" s="1"/>
  <c r="P1262" i="3"/>
  <c r="T1262" i="3" s="1"/>
  <c r="P1263" i="3"/>
  <c r="T1263" i="3" s="1"/>
  <c r="P1264" i="3"/>
  <c r="T1264" i="3" s="1"/>
  <c r="P1265" i="3"/>
  <c r="T1265" i="3" s="1"/>
  <c r="P1266" i="3"/>
  <c r="T1266" i="3" s="1"/>
  <c r="P1267" i="3"/>
  <c r="T1267" i="3" s="1"/>
  <c r="P1268" i="3"/>
  <c r="T1268" i="3" s="1"/>
  <c r="P1269" i="3"/>
  <c r="T1269" i="3" s="1"/>
  <c r="P1270" i="3"/>
  <c r="T1270" i="3" s="1"/>
  <c r="P1271" i="3"/>
  <c r="T1271" i="3" s="1"/>
  <c r="P1272" i="3"/>
  <c r="T1272" i="3" s="1"/>
  <c r="P1273" i="3"/>
  <c r="T1273" i="3" s="1"/>
  <c r="P1274" i="3"/>
  <c r="T1274" i="3" s="1"/>
  <c r="P1275" i="3"/>
  <c r="T1275" i="3" s="1"/>
  <c r="P1276" i="3"/>
  <c r="T1276" i="3" s="1"/>
  <c r="P1277" i="3"/>
  <c r="T1277" i="3" s="1"/>
  <c r="P1278" i="3"/>
  <c r="T1278" i="3" s="1"/>
  <c r="P1279" i="3"/>
  <c r="T1279" i="3" s="1"/>
  <c r="P1280" i="3"/>
  <c r="T1280" i="3" s="1"/>
  <c r="P1281" i="3"/>
  <c r="T1281" i="3" s="1"/>
  <c r="P1282" i="3"/>
  <c r="T1282" i="3" s="1"/>
  <c r="P1283" i="3"/>
  <c r="T1283" i="3" s="1"/>
  <c r="P1284" i="3"/>
  <c r="T1284" i="3" s="1"/>
  <c r="P1285" i="3"/>
  <c r="T1285" i="3" s="1"/>
  <c r="P1286" i="3"/>
  <c r="T1286" i="3" s="1"/>
  <c r="P1287" i="3"/>
  <c r="T1287" i="3" s="1"/>
  <c r="P1288" i="3"/>
  <c r="T1288" i="3" s="1"/>
  <c r="P1289" i="3"/>
  <c r="T1289" i="3" s="1"/>
  <c r="P1290" i="3"/>
  <c r="T1290" i="3" s="1"/>
  <c r="P1291" i="3"/>
  <c r="T1291" i="3" s="1"/>
  <c r="P1292" i="3"/>
  <c r="T1292" i="3" s="1"/>
  <c r="P1293" i="3"/>
  <c r="T1293" i="3" s="1"/>
  <c r="P1294" i="3"/>
  <c r="T1294" i="3" s="1"/>
  <c r="P1295" i="3"/>
  <c r="T1295" i="3" s="1"/>
  <c r="P1296" i="3"/>
  <c r="T1296" i="3" s="1"/>
  <c r="P1297" i="3"/>
  <c r="T1297" i="3" s="1"/>
  <c r="P1298" i="3"/>
  <c r="T1298" i="3" s="1"/>
  <c r="P1299" i="3"/>
  <c r="T1299" i="3" s="1"/>
  <c r="P1300" i="3"/>
  <c r="T1300" i="3" s="1"/>
  <c r="P1301" i="3"/>
  <c r="T1301" i="3" s="1"/>
  <c r="P1302" i="3"/>
  <c r="T1302" i="3" s="1"/>
  <c r="P1303" i="3"/>
  <c r="T1303" i="3" s="1"/>
  <c r="P1304" i="3"/>
  <c r="T1304" i="3" s="1"/>
  <c r="P1305" i="3"/>
  <c r="T1305" i="3" s="1"/>
  <c r="P1306" i="3"/>
  <c r="T1306" i="3" s="1"/>
  <c r="P1307" i="3"/>
  <c r="T1307" i="3" s="1"/>
  <c r="P1308" i="3"/>
  <c r="T1308" i="3" s="1"/>
  <c r="P1309" i="3"/>
  <c r="T1309" i="3" s="1"/>
  <c r="P1310" i="3"/>
  <c r="T1310" i="3" s="1"/>
  <c r="P1311" i="3"/>
  <c r="T1311" i="3" s="1"/>
  <c r="P1312" i="3"/>
  <c r="T1312" i="3" s="1"/>
  <c r="P1313" i="3"/>
  <c r="T1313" i="3" s="1"/>
  <c r="P1314" i="3"/>
  <c r="T1314" i="3" s="1"/>
  <c r="P1315" i="3"/>
  <c r="T1315" i="3" s="1"/>
  <c r="P1316" i="3"/>
  <c r="T1316" i="3" s="1"/>
  <c r="P1317" i="3"/>
  <c r="T1317" i="3" s="1"/>
  <c r="P1318" i="3"/>
  <c r="T1318" i="3" s="1"/>
  <c r="P1319" i="3"/>
  <c r="T1319" i="3" s="1"/>
  <c r="P1320" i="3"/>
  <c r="T1320" i="3" s="1"/>
  <c r="P1321" i="3"/>
  <c r="T1321" i="3" s="1"/>
  <c r="P1322" i="3"/>
  <c r="T1322" i="3" s="1"/>
  <c r="P1323" i="3"/>
  <c r="T1323" i="3" s="1"/>
  <c r="P1324" i="3"/>
  <c r="T1324" i="3" s="1"/>
  <c r="P1325" i="3"/>
  <c r="T1325" i="3" s="1"/>
  <c r="P1326" i="3"/>
  <c r="T1326" i="3" s="1"/>
  <c r="P1327" i="3"/>
  <c r="T1327" i="3" s="1"/>
  <c r="P1328" i="3"/>
  <c r="T1328" i="3" s="1"/>
  <c r="P1329" i="3"/>
  <c r="T1329" i="3" s="1"/>
  <c r="P1330" i="3"/>
  <c r="T1330" i="3" s="1"/>
  <c r="P1331" i="3"/>
  <c r="T1331" i="3" s="1"/>
  <c r="P1332" i="3"/>
  <c r="T1332" i="3" s="1"/>
  <c r="P1333" i="3"/>
  <c r="T1333" i="3" s="1"/>
  <c r="P1334" i="3"/>
  <c r="T1334" i="3" s="1"/>
  <c r="P1335" i="3"/>
  <c r="T1335" i="3" s="1"/>
  <c r="P1336" i="3"/>
  <c r="T1336" i="3" s="1"/>
  <c r="P1337" i="3"/>
  <c r="T1337" i="3" s="1"/>
  <c r="P1338" i="3"/>
  <c r="T1338" i="3" s="1"/>
  <c r="P1339" i="3"/>
  <c r="T1339" i="3" s="1"/>
  <c r="P1340" i="3"/>
  <c r="T1340" i="3" s="1"/>
  <c r="P1341" i="3"/>
  <c r="T1341" i="3" s="1"/>
  <c r="P1342" i="3"/>
  <c r="T1342" i="3" s="1"/>
  <c r="P1343" i="3"/>
  <c r="T1343" i="3" s="1"/>
  <c r="P1344" i="3"/>
  <c r="T1344" i="3" s="1"/>
  <c r="P1345" i="3"/>
  <c r="T1345" i="3" s="1"/>
  <c r="P1346" i="3"/>
  <c r="T1346" i="3" s="1"/>
  <c r="P1347" i="3"/>
  <c r="T1347" i="3" s="1"/>
  <c r="P1348" i="3"/>
  <c r="T1348" i="3" s="1"/>
  <c r="P1349" i="3"/>
  <c r="T1349" i="3" s="1"/>
  <c r="P1350" i="3"/>
  <c r="T1350" i="3" s="1"/>
  <c r="P1351" i="3"/>
  <c r="T1351" i="3" s="1"/>
  <c r="P1352" i="3"/>
  <c r="T1352" i="3" s="1"/>
  <c r="P1353" i="3"/>
  <c r="T1353" i="3" s="1"/>
  <c r="P1354" i="3"/>
  <c r="T1354" i="3" s="1"/>
  <c r="P1355" i="3"/>
  <c r="T1355" i="3" s="1"/>
  <c r="P1356" i="3"/>
  <c r="T1356" i="3" s="1"/>
  <c r="P1357" i="3"/>
  <c r="T1357" i="3" s="1"/>
  <c r="P1358" i="3"/>
  <c r="T1358" i="3" s="1"/>
  <c r="P1359" i="3"/>
  <c r="T1359" i="3" s="1"/>
  <c r="P1360" i="3"/>
  <c r="T1360" i="3" s="1"/>
  <c r="P1361" i="3"/>
  <c r="T1361" i="3" s="1"/>
  <c r="P1362" i="3"/>
  <c r="T1362" i="3" s="1"/>
  <c r="P1363" i="3"/>
  <c r="T1363" i="3" s="1"/>
  <c r="P1364" i="3"/>
  <c r="T1364" i="3" s="1"/>
  <c r="P1365" i="3"/>
  <c r="T1365" i="3" s="1"/>
  <c r="P1366" i="3"/>
  <c r="T1366" i="3" s="1"/>
  <c r="P1367" i="3"/>
  <c r="T1367" i="3" s="1"/>
  <c r="P1368" i="3"/>
  <c r="T1368" i="3" s="1"/>
  <c r="P1369" i="3"/>
  <c r="T1369" i="3" s="1"/>
  <c r="P1370" i="3"/>
  <c r="T1370" i="3" s="1"/>
  <c r="P1371" i="3"/>
  <c r="T1371" i="3" s="1"/>
  <c r="P1372" i="3"/>
  <c r="T1372" i="3" s="1"/>
  <c r="P1373" i="3"/>
  <c r="T1373" i="3" s="1"/>
  <c r="P1374" i="3"/>
  <c r="T1374" i="3" s="1"/>
  <c r="P1375" i="3"/>
  <c r="T1375" i="3" s="1"/>
  <c r="P1376" i="3"/>
  <c r="T1376" i="3" s="1"/>
  <c r="P1377" i="3"/>
  <c r="T1377" i="3" s="1"/>
  <c r="P1378" i="3"/>
  <c r="T1378" i="3" s="1"/>
  <c r="P1379" i="3"/>
  <c r="T1379" i="3" s="1"/>
  <c r="P1380" i="3"/>
  <c r="T1380" i="3" s="1"/>
  <c r="P1381" i="3"/>
  <c r="T1381" i="3" s="1"/>
  <c r="P1382" i="3"/>
  <c r="T1382" i="3" s="1"/>
  <c r="P1383" i="3"/>
  <c r="T1383" i="3" s="1"/>
  <c r="P1384" i="3"/>
  <c r="T1384" i="3" s="1"/>
  <c r="P1385" i="3"/>
  <c r="T1385" i="3" s="1"/>
  <c r="P1386" i="3"/>
  <c r="T1386" i="3" s="1"/>
  <c r="P1387" i="3"/>
  <c r="T1387" i="3" s="1"/>
  <c r="P1388" i="3"/>
  <c r="T1388" i="3" s="1"/>
  <c r="P1389" i="3"/>
  <c r="T1389" i="3" s="1"/>
  <c r="P1390" i="3"/>
  <c r="T1390" i="3" s="1"/>
  <c r="P1391" i="3"/>
  <c r="T1391" i="3" s="1"/>
  <c r="P1392" i="3"/>
  <c r="T1392" i="3" s="1"/>
  <c r="P1393" i="3"/>
  <c r="T1393" i="3" s="1"/>
  <c r="P1394" i="3"/>
  <c r="T1394" i="3" s="1"/>
  <c r="P1395" i="3"/>
  <c r="T1395" i="3" s="1"/>
  <c r="P1396" i="3"/>
  <c r="T1396" i="3" s="1"/>
  <c r="P1397" i="3"/>
  <c r="T1397" i="3" s="1"/>
  <c r="P1398" i="3"/>
  <c r="T1398" i="3" s="1"/>
  <c r="P1399" i="3"/>
  <c r="T1399" i="3" s="1"/>
  <c r="P1400" i="3"/>
  <c r="T1400" i="3" s="1"/>
  <c r="P1401" i="3"/>
  <c r="T1401" i="3" s="1"/>
  <c r="P1402" i="3"/>
  <c r="T1402" i="3" s="1"/>
  <c r="P1403" i="3"/>
  <c r="T1403" i="3" s="1"/>
  <c r="P1404" i="3"/>
  <c r="T1404" i="3" s="1"/>
  <c r="P1405" i="3"/>
  <c r="T1405" i="3" s="1"/>
  <c r="P1406" i="3"/>
  <c r="T1406" i="3" s="1"/>
  <c r="P1407" i="3"/>
  <c r="T1407" i="3" s="1"/>
  <c r="P1408" i="3"/>
  <c r="T1408" i="3" s="1"/>
  <c r="P1409" i="3"/>
  <c r="T1409" i="3" s="1"/>
  <c r="P1410" i="3"/>
  <c r="T1410" i="3" s="1"/>
  <c r="P1411" i="3"/>
  <c r="T1411" i="3" s="1"/>
  <c r="P1412" i="3"/>
  <c r="T1412" i="3" s="1"/>
  <c r="P1413" i="3"/>
  <c r="T1413" i="3" s="1"/>
  <c r="P1414" i="3"/>
  <c r="T1414" i="3" s="1"/>
  <c r="P1415" i="3"/>
  <c r="T1415" i="3" s="1"/>
  <c r="P1416" i="3"/>
  <c r="T1416" i="3" s="1"/>
  <c r="P1417" i="3"/>
  <c r="T1417" i="3" s="1"/>
  <c r="P1418" i="3"/>
  <c r="T1418" i="3" s="1"/>
  <c r="P1419" i="3"/>
  <c r="T1419" i="3" s="1"/>
  <c r="P1420" i="3"/>
  <c r="T1420" i="3" s="1"/>
  <c r="P1421" i="3"/>
  <c r="T1421" i="3" s="1"/>
  <c r="P1422" i="3"/>
  <c r="T1422" i="3" s="1"/>
  <c r="P1423" i="3"/>
  <c r="T1423" i="3" s="1"/>
  <c r="P1424" i="3"/>
  <c r="T1424" i="3" s="1"/>
  <c r="P1425" i="3"/>
  <c r="T1425" i="3" s="1"/>
  <c r="P1426" i="3"/>
  <c r="T1426" i="3" s="1"/>
  <c r="P1427" i="3"/>
  <c r="T1427" i="3" s="1"/>
  <c r="P1428" i="3"/>
  <c r="T1428" i="3" s="1"/>
  <c r="P1429" i="3"/>
  <c r="T1429" i="3" s="1"/>
  <c r="P1430" i="3"/>
  <c r="T1430" i="3" s="1"/>
  <c r="P1431" i="3"/>
  <c r="T1431" i="3" s="1"/>
  <c r="P1432" i="3"/>
  <c r="T1432" i="3" s="1"/>
  <c r="P1433" i="3"/>
  <c r="T1433" i="3" s="1"/>
  <c r="P1434" i="3"/>
  <c r="T1434" i="3" s="1"/>
  <c r="P1435" i="3"/>
  <c r="T1435" i="3" s="1"/>
  <c r="P1436" i="3"/>
  <c r="T1436" i="3" s="1"/>
  <c r="P1437" i="3"/>
  <c r="T1437" i="3" s="1"/>
  <c r="P1438" i="3"/>
  <c r="T1438" i="3" s="1"/>
  <c r="P1439" i="3"/>
  <c r="T1439" i="3" s="1"/>
  <c r="P1440" i="3"/>
  <c r="T1440" i="3" s="1"/>
  <c r="P1441" i="3"/>
  <c r="T1441" i="3" s="1"/>
  <c r="P1442" i="3"/>
  <c r="T1442" i="3" s="1"/>
  <c r="P1443" i="3"/>
  <c r="T1443" i="3" s="1"/>
  <c r="P1444" i="3"/>
  <c r="T1444" i="3" s="1"/>
  <c r="P1445" i="3"/>
  <c r="T1445" i="3" s="1"/>
  <c r="P1446" i="3"/>
  <c r="T1446" i="3" s="1"/>
  <c r="P1447" i="3"/>
  <c r="T1447" i="3" s="1"/>
  <c r="P1448" i="3"/>
  <c r="T1448" i="3" s="1"/>
  <c r="P1449" i="3"/>
  <c r="T1449" i="3" s="1"/>
  <c r="P1450" i="3"/>
  <c r="T1450" i="3" s="1"/>
  <c r="P1451" i="3"/>
  <c r="T1451" i="3" s="1"/>
  <c r="P1452" i="3"/>
  <c r="T1452" i="3" s="1"/>
  <c r="P1453" i="3"/>
  <c r="T1453" i="3" s="1"/>
  <c r="P1454" i="3"/>
  <c r="T1454" i="3" s="1"/>
  <c r="P1455" i="3"/>
  <c r="T1455" i="3" s="1"/>
  <c r="P1456" i="3"/>
  <c r="T1456" i="3" s="1"/>
  <c r="P1457" i="3"/>
  <c r="T1457" i="3" s="1"/>
  <c r="P1458" i="3"/>
  <c r="T1458" i="3" s="1"/>
  <c r="P1459" i="3"/>
  <c r="T1459" i="3" s="1"/>
  <c r="P1460" i="3"/>
  <c r="T1460" i="3" s="1"/>
  <c r="P1461" i="3"/>
  <c r="T1461" i="3" s="1"/>
  <c r="P1462" i="3"/>
  <c r="T1462" i="3" s="1"/>
  <c r="P1463" i="3"/>
  <c r="T1463" i="3" s="1"/>
  <c r="P1464" i="3"/>
  <c r="T1464" i="3" s="1"/>
  <c r="P1465" i="3"/>
  <c r="T1465" i="3" s="1"/>
  <c r="P1466" i="3"/>
  <c r="T1466" i="3" s="1"/>
  <c r="P1467" i="3"/>
  <c r="T1467" i="3" s="1"/>
  <c r="P1468" i="3"/>
  <c r="T1468" i="3" s="1"/>
  <c r="P1469" i="3"/>
  <c r="T1469" i="3" s="1"/>
  <c r="P1470" i="3"/>
  <c r="T1470" i="3" s="1"/>
  <c r="P1471" i="3"/>
  <c r="T1471" i="3" s="1"/>
  <c r="P1472" i="3"/>
  <c r="T1472" i="3" s="1"/>
  <c r="P1473" i="3"/>
  <c r="T1473" i="3" s="1"/>
  <c r="P1474" i="3"/>
  <c r="T1474" i="3" s="1"/>
  <c r="P1475" i="3"/>
  <c r="T1475" i="3" s="1"/>
  <c r="P1476" i="3"/>
  <c r="T1476" i="3" s="1"/>
  <c r="P1477" i="3"/>
  <c r="T1477" i="3" s="1"/>
  <c r="P1478" i="3"/>
  <c r="T1478" i="3" s="1"/>
  <c r="P1479" i="3"/>
  <c r="T1479" i="3" s="1"/>
  <c r="P1480" i="3"/>
  <c r="T1480" i="3" s="1"/>
  <c r="P1481" i="3"/>
  <c r="T1481" i="3" s="1"/>
  <c r="P1482" i="3"/>
  <c r="T1482" i="3" s="1"/>
  <c r="P1483" i="3"/>
  <c r="T1483" i="3" s="1"/>
  <c r="P1484" i="3"/>
  <c r="T1484" i="3" s="1"/>
  <c r="P1485" i="3"/>
  <c r="T1485" i="3" s="1"/>
  <c r="P1486" i="3"/>
  <c r="T1486" i="3" s="1"/>
  <c r="P1487" i="3"/>
  <c r="T1487" i="3" s="1"/>
  <c r="P1488" i="3"/>
  <c r="T1488" i="3" s="1"/>
  <c r="P1489" i="3"/>
  <c r="T1489" i="3" s="1"/>
  <c r="P1490" i="3"/>
  <c r="T1490" i="3" s="1"/>
  <c r="P1491" i="3"/>
  <c r="T1491" i="3" s="1"/>
  <c r="P1492" i="3"/>
  <c r="T1492" i="3" s="1"/>
  <c r="P1493" i="3"/>
  <c r="T1493" i="3" s="1"/>
  <c r="P1494" i="3"/>
  <c r="T1494" i="3" s="1"/>
  <c r="P1495" i="3"/>
  <c r="T1495" i="3" s="1"/>
  <c r="P1496" i="3"/>
  <c r="T1496" i="3" s="1"/>
  <c r="P1497" i="3"/>
  <c r="T1497" i="3" s="1"/>
  <c r="P1498" i="3"/>
  <c r="T1498" i="3" s="1"/>
  <c r="P1499" i="3"/>
  <c r="T1499" i="3" s="1"/>
  <c r="P1500" i="3"/>
  <c r="T1500" i="3" s="1"/>
  <c r="P1501" i="3"/>
  <c r="T1501" i="3" s="1"/>
  <c r="P1502" i="3"/>
  <c r="T1502" i="3" s="1"/>
  <c r="P1503" i="3"/>
  <c r="T1503" i="3" s="1"/>
  <c r="P1504" i="3"/>
  <c r="T1504" i="3" s="1"/>
  <c r="P1505" i="3"/>
  <c r="T1505" i="3" s="1"/>
  <c r="P1506" i="3"/>
  <c r="T1506" i="3" s="1"/>
  <c r="P1507" i="3"/>
  <c r="T1507" i="3" s="1"/>
  <c r="P1508" i="3"/>
  <c r="T1508" i="3" s="1"/>
  <c r="P1509" i="3"/>
  <c r="T1509" i="3" s="1"/>
  <c r="P1510" i="3"/>
  <c r="T1510" i="3" s="1"/>
  <c r="P1511" i="3"/>
  <c r="T1511" i="3" s="1"/>
  <c r="P1512" i="3"/>
  <c r="T1512" i="3" s="1"/>
  <c r="P1513" i="3"/>
  <c r="T1513" i="3" s="1"/>
  <c r="P1514" i="3"/>
  <c r="T1514" i="3" s="1"/>
  <c r="P1515" i="3"/>
  <c r="T1515" i="3" s="1"/>
  <c r="P1516" i="3"/>
  <c r="T1516" i="3" s="1"/>
  <c r="P1517" i="3"/>
  <c r="T1517" i="3" s="1"/>
  <c r="P1518" i="3"/>
  <c r="T1518" i="3" s="1"/>
  <c r="P1519" i="3"/>
  <c r="T1519" i="3" s="1"/>
  <c r="P1520" i="3"/>
  <c r="T1520" i="3" s="1"/>
  <c r="P1521" i="3"/>
  <c r="T1521" i="3" s="1"/>
  <c r="P1522" i="3"/>
  <c r="T1522" i="3" s="1"/>
  <c r="P1523" i="3"/>
  <c r="T1523" i="3" s="1"/>
  <c r="P1524" i="3"/>
  <c r="T1524" i="3" s="1"/>
  <c r="P1525" i="3"/>
  <c r="T1525" i="3" s="1"/>
  <c r="P1526" i="3"/>
  <c r="T1526" i="3" s="1"/>
  <c r="P1527" i="3"/>
  <c r="T1527" i="3" s="1"/>
  <c r="P1528" i="3"/>
  <c r="T1528" i="3" s="1"/>
  <c r="P1529" i="3"/>
  <c r="T1529" i="3" s="1"/>
  <c r="P1530" i="3"/>
  <c r="T1530" i="3" s="1"/>
  <c r="P1531" i="3"/>
  <c r="T1531" i="3" s="1"/>
  <c r="P1532" i="3"/>
  <c r="T1532" i="3" s="1"/>
  <c r="P1533" i="3"/>
  <c r="T1533" i="3" s="1"/>
  <c r="P1534" i="3"/>
  <c r="T1534" i="3" s="1"/>
  <c r="P1535" i="3"/>
  <c r="T1535" i="3" s="1"/>
  <c r="P1536" i="3"/>
  <c r="T1536" i="3" s="1"/>
  <c r="P1537" i="3"/>
  <c r="T1537" i="3" s="1"/>
  <c r="P1538" i="3"/>
  <c r="T1538" i="3" s="1"/>
  <c r="P1539" i="3"/>
  <c r="T1539" i="3" s="1"/>
  <c r="P1540" i="3"/>
  <c r="T1540" i="3" s="1"/>
  <c r="P1541" i="3"/>
  <c r="T1541" i="3" s="1"/>
  <c r="P1542" i="3"/>
  <c r="T1542" i="3" s="1"/>
  <c r="P1543" i="3"/>
  <c r="T1543" i="3" s="1"/>
  <c r="P1544" i="3"/>
  <c r="T1544" i="3" s="1"/>
  <c r="P1545" i="3"/>
  <c r="T1545" i="3" s="1"/>
  <c r="P1546" i="3"/>
  <c r="T1546" i="3" s="1"/>
  <c r="P1547" i="3"/>
  <c r="T1547" i="3" s="1"/>
  <c r="P1548" i="3"/>
  <c r="T1548" i="3" s="1"/>
  <c r="P1549" i="3"/>
  <c r="T1549" i="3" s="1"/>
  <c r="P1550" i="3"/>
  <c r="T1550" i="3" s="1"/>
  <c r="P1551" i="3"/>
  <c r="T1551" i="3" s="1"/>
  <c r="P1552" i="3"/>
  <c r="T1552" i="3" s="1"/>
  <c r="P1553" i="3"/>
  <c r="T1553" i="3" s="1"/>
  <c r="P1554" i="3"/>
  <c r="T1554" i="3" s="1"/>
  <c r="P1555" i="3"/>
  <c r="T1555" i="3" s="1"/>
  <c r="P1556" i="3"/>
  <c r="T1556" i="3" s="1"/>
  <c r="P1557" i="3"/>
  <c r="T1557" i="3" s="1"/>
  <c r="P1558" i="3"/>
  <c r="T1558" i="3" s="1"/>
  <c r="P1559" i="3"/>
  <c r="T1559" i="3" s="1"/>
  <c r="P1560" i="3"/>
  <c r="T1560" i="3" s="1"/>
  <c r="P1561" i="3"/>
  <c r="T1561" i="3" s="1"/>
  <c r="P1562" i="3"/>
  <c r="T1562" i="3" s="1"/>
  <c r="P1563" i="3"/>
  <c r="T1563" i="3" s="1"/>
  <c r="P1564" i="3"/>
  <c r="T1564" i="3" s="1"/>
  <c r="P1565" i="3"/>
  <c r="T1565" i="3" s="1"/>
  <c r="P1566" i="3"/>
  <c r="T1566" i="3" s="1"/>
  <c r="P1567" i="3"/>
  <c r="T1567" i="3" s="1"/>
  <c r="P1568" i="3"/>
  <c r="T1568" i="3" s="1"/>
  <c r="P1569" i="3"/>
  <c r="T1569" i="3" s="1"/>
  <c r="P1570" i="3"/>
  <c r="T1570" i="3" s="1"/>
  <c r="P1571" i="3"/>
  <c r="T1571" i="3" s="1"/>
  <c r="P1572" i="3"/>
  <c r="T1572" i="3" s="1"/>
  <c r="P1573" i="3"/>
  <c r="T1573" i="3" s="1"/>
  <c r="P1574" i="3"/>
  <c r="T1574" i="3" s="1"/>
  <c r="P1575" i="3"/>
  <c r="T1575" i="3" s="1"/>
  <c r="P1576" i="3"/>
  <c r="T1576" i="3" s="1"/>
  <c r="P1577" i="3"/>
  <c r="T1577" i="3" s="1"/>
  <c r="P1578" i="3"/>
  <c r="T1578" i="3" s="1"/>
  <c r="P1579" i="3"/>
  <c r="T1579" i="3" s="1"/>
  <c r="P1580" i="3"/>
  <c r="T1580" i="3" s="1"/>
  <c r="P1581" i="3"/>
  <c r="T1581" i="3" s="1"/>
  <c r="P1582" i="3"/>
  <c r="T1582" i="3" s="1"/>
  <c r="P1583" i="3"/>
  <c r="T1583" i="3" s="1"/>
  <c r="P1584" i="3"/>
  <c r="T1584" i="3" s="1"/>
  <c r="P1585" i="3"/>
  <c r="T1585" i="3" s="1"/>
  <c r="P1586" i="3"/>
  <c r="T1586" i="3" s="1"/>
  <c r="P1587" i="3"/>
  <c r="T1587" i="3" s="1"/>
  <c r="P1588" i="3"/>
  <c r="T1588" i="3" s="1"/>
  <c r="P1589" i="3"/>
  <c r="T1589" i="3" s="1"/>
  <c r="P1590" i="3"/>
  <c r="T1590" i="3" s="1"/>
  <c r="P1591" i="3"/>
  <c r="T1591" i="3" s="1"/>
  <c r="P1592" i="3"/>
  <c r="T1592" i="3" s="1"/>
  <c r="P1593" i="3"/>
  <c r="T1593" i="3" s="1"/>
  <c r="P1594" i="3"/>
  <c r="T1594" i="3" s="1"/>
  <c r="P1595" i="3"/>
  <c r="T1595" i="3" s="1"/>
  <c r="P1596" i="3"/>
  <c r="T1596" i="3" s="1"/>
  <c r="P1597" i="3"/>
  <c r="T1597" i="3" s="1"/>
  <c r="P1598" i="3"/>
  <c r="T1598" i="3" s="1"/>
  <c r="P1599" i="3"/>
  <c r="T1599" i="3" s="1"/>
  <c r="P1600" i="3"/>
  <c r="T1600" i="3" s="1"/>
  <c r="P1601" i="3"/>
  <c r="T1601" i="3" s="1"/>
  <c r="P1602" i="3"/>
  <c r="T1602" i="3" s="1"/>
  <c r="P1603" i="3"/>
  <c r="T1603" i="3" s="1"/>
  <c r="P1604" i="3"/>
  <c r="T1604" i="3" s="1"/>
  <c r="P1605" i="3"/>
  <c r="T1605" i="3" s="1"/>
  <c r="P1606" i="3"/>
  <c r="T1606" i="3" s="1"/>
  <c r="P1607" i="3"/>
  <c r="T1607" i="3" s="1"/>
  <c r="P1608" i="3"/>
  <c r="T1608" i="3" s="1"/>
  <c r="P1609" i="3"/>
  <c r="T1609" i="3" s="1"/>
  <c r="P1610" i="3"/>
  <c r="T1610" i="3" s="1"/>
  <c r="P1611" i="3"/>
  <c r="T1611" i="3" s="1"/>
  <c r="P1612" i="3"/>
  <c r="T1612" i="3" s="1"/>
  <c r="P1613" i="3"/>
  <c r="T1613" i="3" s="1"/>
  <c r="P1614" i="3"/>
  <c r="T1614" i="3" s="1"/>
  <c r="P1615" i="3"/>
  <c r="T1615" i="3" s="1"/>
  <c r="P1616" i="3"/>
  <c r="T1616" i="3" s="1"/>
  <c r="P1617" i="3"/>
  <c r="T1617" i="3" s="1"/>
  <c r="P1618" i="3"/>
  <c r="T1618" i="3" s="1"/>
  <c r="P1619" i="3"/>
  <c r="T1619" i="3" s="1"/>
  <c r="P1620" i="3"/>
  <c r="T1620" i="3" s="1"/>
  <c r="P1621" i="3"/>
  <c r="T1621" i="3" s="1"/>
  <c r="P1622" i="3"/>
  <c r="T1622" i="3" s="1"/>
  <c r="P1623" i="3"/>
  <c r="T1623" i="3" s="1"/>
  <c r="P1624" i="3"/>
  <c r="T1624" i="3" s="1"/>
  <c r="P1625" i="3"/>
  <c r="T1625" i="3" s="1"/>
  <c r="P1626" i="3"/>
  <c r="T1626" i="3" s="1"/>
  <c r="P1627" i="3"/>
  <c r="T1627" i="3" s="1"/>
  <c r="P1628" i="3"/>
  <c r="T1628" i="3" s="1"/>
  <c r="P1629" i="3"/>
  <c r="T1629" i="3" s="1"/>
  <c r="P1630" i="3"/>
  <c r="T1630" i="3" s="1"/>
  <c r="P1631" i="3"/>
  <c r="T1631" i="3" s="1"/>
  <c r="P1632" i="3"/>
  <c r="T1632" i="3" s="1"/>
  <c r="P1633" i="3"/>
  <c r="T1633" i="3" s="1"/>
  <c r="P1634" i="3"/>
  <c r="T1634" i="3" s="1"/>
  <c r="P1635" i="3"/>
  <c r="T1635" i="3" s="1"/>
  <c r="P1636" i="3"/>
  <c r="T1636" i="3" s="1"/>
  <c r="P1637" i="3"/>
  <c r="T1637" i="3" s="1"/>
  <c r="P1638" i="3"/>
  <c r="T1638" i="3" s="1"/>
  <c r="P1639" i="3"/>
  <c r="T1639" i="3" s="1"/>
  <c r="P1640" i="3"/>
  <c r="T1640" i="3" s="1"/>
  <c r="P1641" i="3"/>
  <c r="T1641" i="3" s="1"/>
  <c r="P1642" i="3"/>
  <c r="T1642" i="3" s="1"/>
  <c r="P1643" i="3"/>
  <c r="T1643" i="3" s="1"/>
  <c r="P1644" i="3"/>
  <c r="T1644" i="3" s="1"/>
  <c r="P1645" i="3"/>
  <c r="T1645" i="3" s="1"/>
  <c r="P1646" i="3"/>
  <c r="T1646" i="3" s="1"/>
  <c r="P1647" i="3"/>
  <c r="T1647" i="3" s="1"/>
  <c r="P1648" i="3"/>
  <c r="T1648" i="3" s="1"/>
  <c r="P1649" i="3"/>
  <c r="T1649" i="3" s="1"/>
  <c r="P1650" i="3"/>
  <c r="T1650" i="3" s="1"/>
  <c r="P1651" i="3"/>
  <c r="T1651" i="3" s="1"/>
  <c r="P1652" i="3"/>
  <c r="T1652" i="3" s="1"/>
  <c r="P1653" i="3"/>
  <c r="T1653" i="3" s="1"/>
  <c r="P1654" i="3"/>
  <c r="T1654" i="3" s="1"/>
  <c r="P1655" i="3"/>
  <c r="T1655" i="3" s="1"/>
  <c r="P1656" i="3"/>
  <c r="T1656" i="3" s="1"/>
  <c r="P1657" i="3"/>
  <c r="T1657" i="3" s="1"/>
  <c r="P1658" i="3"/>
  <c r="T1658" i="3" s="1"/>
  <c r="P1659" i="3"/>
  <c r="T1659" i="3" s="1"/>
  <c r="P1660" i="3"/>
  <c r="T1660" i="3" s="1"/>
  <c r="P1661" i="3"/>
  <c r="T1661" i="3" s="1"/>
  <c r="P1662" i="3"/>
  <c r="T1662" i="3" s="1"/>
  <c r="P1663" i="3"/>
  <c r="T1663" i="3" s="1"/>
  <c r="P1664" i="3"/>
  <c r="T1664" i="3" s="1"/>
  <c r="P1665" i="3"/>
  <c r="T1665" i="3" s="1"/>
  <c r="P1666" i="3"/>
  <c r="T1666" i="3" s="1"/>
  <c r="P1667" i="3"/>
  <c r="T1667" i="3" s="1"/>
  <c r="P1668" i="3"/>
  <c r="T1668" i="3" s="1"/>
  <c r="P1669" i="3"/>
  <c r="T1669" i="3" s="1"/>
  <c r="P1670" i="3"/>
  <c r="T1670" i="3" s="1"/>
  <c r="P1671" i="3"/>
  <c r="T1671" i="3" s="1"/>
  <c r="P1672" i="3"/>
  <c r="T1672" i="3" s="1"/>
  <c r="P1673" i="3"/>
  <c r="T1673" i="3" s="1"/>
  <c r="P1674" i="3"/>
  <c r="T1674" i="3" s="1"/>
  <c r="P1675" i="3"/>
  <c r="T1675" i="3" s="1"/>
  <c r="P1676" i="3"/>
  <c r="T1676" i="3" s="1"/>
  <c r="P1677" i="3"/>
  <c r="T1677" i="3" s="1"/>
  <c r="P1678" i="3"/>
  <c r="T1678" i="3" s="1"/>
  <c r="P1679" i="3"/>
  <c r="T1679" i="3" s="1"/>
  <c r="P1680" i="3"/>
  <c r="T1680" i="3" s="1"/>
  <c r="P1681" i="3"/>
  <c r="T1681" i="3" s="1"/>
  <c r="P1682" i="3"/>
  <c r="T1682" i="3" s="1"/>
  <c r="P1683" i="3"/>
  <c r="T1683" i="3" s="1"/>
  <c r="P1684" i="3"/>
  <c r="T1684" i="3" s="1"/>
  <c r="P1685" i="3"/>
  <c r="T1685" i="3" s="1"/>
  <c r="P1686" i="3"/>
  <c r="T1686" i="3" s="1"/>
  <c r="P1687" i="3"/>
  <c r="T1687" i="3" s="1"/>
  <c r="P1688" i="3"/>
  <c r="T1688" i="3" s="1"/>
  <c r="P1689" i="3"/>
  <c r="T1689" i="3" s="1"/>
  <c r="P1690" i="3"/>
  <c r="T1690" i="3" s="1"/>
  <c r="P1691" i="3"/>
  <c r="T1691" i="3" s="1"/>
  <c r="P1692" i="3"/>
  <c r="T1692" i="3" s="1"/>
  <c r="P1693" i="3"/>
  <c r="T1693" i="3" s="1"/>
  <c r="P1694" i="3"/>
  <c r="T1694" i="3" s="1"/>
  <c r="P1695" i="3"/>
  <c r="T1695" i="3" s="1"/>
  <c r="P1696" i="3"/>
  <c r="T1696" i="3" s="1"/>
  <c r="P1697" i="3"/>
  <c r="T1697" i="3" s="1"/>
  <c r="P1698" i="3"/>
  <c r="T1698" i="3" s="1"/>
  <c r="P1699" i="3"/>
  <c r="T1699" i="3" s="1"/>
  <c r="P1700" i="3"/>
  <c r="T1700" i="3" s="1"/>
  <c r="P1701" i="3"/>
  <c r="T1701" i="3" s="1"/>
  <c r="P1702" i="3"/>
  <c r="T1702" i="3" s="1"/>
  <c r="P1703" i="3"/>
  <c r="T1703" i="3" s="1"/>
  <c r="P1704" i="3"/>
  <c r="T1704" i="3" s="1"/>
  <c r="P1705" i="3"/>
  <c r="T1705" i="3" s="1"/>
  <c r="P1706" i="3"/>
  <c r="T1706" i="3" s="1"/>
  <c r="P1707" i="3"/>
  <c r="T1707" i="3" s="1"/>
  <c r="P1708" i="3"/>
  <c r="T1708" i="3" s="1"/>
  <c r="P1709" i="3"/>
  <c r="T1709" i="3" s="1"/>
  <c r="P1710" i="3"/>
  <c r="T1710" i="3" s="1"/>
  <c r="P1711" i="3"/>
  <c r="T1711" i="3" s="1"/>
  <c r="P1712" i="3"/>
  <c r="T1712" i="3" s="1"/>
  <c r="P1713" i="3"/>
  <c r="T1713" i="3" s="1"/>
  <c r="P1714" i="3"/>
  <c r="T1714" i="3" s="1"/>
  <c r="P1715" i="3"/>
  <c r="T1715" i="3" s="1"/>
  <c r="P1716" i="3"/>
  <c r="T1716" i="3" s="1"/>
  <c r="P1717" i="3"/>
  <c r="T1717" i="3" s="1"/>
  <c r="P1718" i="3"/>
  <c r="T1718" i="3" s="1"/>
  <c r="P1719" i="3"/>
  <c r="T1719" i="3" s="1"/>
  <c r="P1720" i="3"/>
  <c r="T1720" i="3" s="1"/>
  <c r="P1721" i="3"/>
  <c r="T1721" i="3" s="1"/>
  <c r="P1722" i="3"/>
  <c r="T1722" i="3" s="1"/>
  <c r="P1723" i="3"/>
  <c r="T1723" i="3" s="1"/>
  <c r="P1724" i="3"/>
  <c r="T1724" i="3" s="1"/>
  <c r="P1725" i="3"/>
  <c r="T1725" i="3" s="1"/>
  <c r="P1726" i="3"/>
  <c r="T1726" i="3" s="1"/>
  <c r="P1727" i="3"/>
  <c r="T1727" i="3" s="1"/>
  <c r="P1728" i="3"/>
  <c r="T1728" i="3" s="1"/>
  <c r="P1729" i="3"/>
  <c r="T1729" i="3" s="1"/>
  <c r="P1730" i="3"/>
  <c r="T1730" i="3" s="1"/>
  <c r="P1731" i="3"/>
  <c r="T1731" i="3" s="1"/>
  <c r="P1732" i="3"/>
  <c r="T1732" i="3" s="1"/>
  <c r="P1733" i="3"/>
  <c r="T1733" i="3" s="1"/>
  <c r="P1734" i="3"/>
  <c r="T1734" i="3" s="1"/>
  <c r="P1735" i="3"/>
  <c r="T1735" i="3" s="1"/>
  <c r="P1736" i="3"/>
  <c r="T1736" i="3" s="1"/>
  <c r="P1737" i="3"/>
  <c r="T1737" i="3" s="1"/>
  <c r="P1738" i="3"/>
  <c r="T1738" i="3" s="1"/>
  <c r="P1739" i="3"/>
  <c r="T1739" i="3" s="1"/>
  <c r="P1740" i="3"/>
  <c r="T1740" i="3" s="1"/>
  <c r="P1741" i="3"/>
  <c r="T1741" i="3" s="1"/>
  <c r="P1742" i="3"/>
  <c r="T1742" i="3" s="1"/>
  <c r="P1743" i="3"/>
  <c r="T1743" i="3" s="1"/>
  <c r="P1744" i="3"/>
  <c r="T1744" i="3" s="1"/>
  <c r="P1745" i="3"/>
  <c r="T1745" i="3" s="1"/>
  <c r="P1746" i="3"/>
  <c r="T1746" i="3" s="1"/>
  <c r="P1747" i="3"/>
  <c r="T1747" i="3" s="1"/>
  <c r="P1748" i="3"/>
  <c r="T1748" i="3" s="1"/>
  <c r="P1749" i="3"/>
  <c r="T1749" i="3" s="1"/>
  <c r="P1750" i="3"/>
  <c r="T1750" i="3" s="1"/>
  <c r="P1751" i="3"/>
  <c r="T1751" i="3" s="1"/>
  <c r="P1752" i="3"/>
  <c r="T1752" i="3" s="1"/>
  <c r="P1753" i="3"/>
  <c r="T1753" i="3" s="1"/>
  <c r="P1754" i="3"/>
  <c r="T1754" i="3" s="1"/>
  <c r="P1755" i="3"/>
  <c r="T1755" i="3" s="1"/>
  <c r="P1756" i="3"/>
  <c r="T1756" i="3" s="1"/>
  <c r="P1757" i="3"/>
  <c r="T1757" i="3" s="1"/>
  <c r="P1758" i="3"/>
  <c r="T1758" i="3" s="1"/>
  <c r="P1759" i="3"/>
  <c r="T1759" i="3" s="1"/>
  <c r="P1760" i="3"/>
  <c r="T1760" i="3" s="1"/>
  <c r="P1761" i="3"/>
  <c r="T1761" i="3" s="1"/>
  <c r="P1762" i="3"/>
  <c r="T1762" i="3" s="1"/>
  <c r="P1763" i="3"/>
  <c r="T1763" i="3" s="1"/>
  <c r="P1764" i="3"/>
  <c r="T1764" i="3" s="1"/>
  <c r="P1765" i="3"/>
  <c r="T1765" i="3" s="1"/>
  <c r="P1766" i="3"/>
  <c r="T1766" i="3" s="1"/>
  <c r="P1767" i="3"/>
  <c r="T1767" i="3" s="1"/>
  <c r="P1768" i="3"/>
  <c r="T1768" i="3" s="1"/>
  <c r="P1769" i="3"/>
  <c r="T1769" i="3" s="1"/>
  <c r="P1770" i="3"/>
  <c r="T1770" i="3" s="1"/>
  <c r="P1771" i="3"/>
  <c r="T1771" i="3" s="1"/>
  <c r="P1772" i="3"/>
  <c r="T1772" i="3" s="1"/>
  <c r="P1773" i="3"/>
  <c r="T1773" i="3" s="1"/>
  <c r="P1774" i="3"/>
  <c r="T1774" i="3" s="1"/>
  <c r="P1775" i="3"/>
  <c r="T1775" i="3" s="1"/>
  <c r="P1776" i="3"/>
  <c r="T1776" i="3" s="1"/>
  <c r="P1777" i="3"/>
  <c r="T1777" i="3" s="1"/>
  <c r="P1778" i="3"/>
  <c r="T1778" i="3" s="1"/>
  <c r="P1779" i="3"/>
  <c r="T1779" i="3" s="1"/>
  <c r="P1780" i="3"/>
  <c r="T1780" i="3" s="1"/>
  <c r="P1781" i="3"/>
  <c r="T1781" i="3" s="1"/>
  <c r="P1782" i="3"/>
  <c r="T1782" i="3" s="1"/>
  <c r="P1783" i="3"/>
  <c r="T1783" i="3" s="1"/>
  <c r="P1784" i="3"/>
  <c r="T1784" i="3" s="1"/>
  <c r="P1785" i="3"/>
  <c r="T1785" i="3" s="1"/>
  <c r="P1786" i="3"/>
  <c r="T1786" i="3" s="1"/>
  <c r="P1787" i="3"/>
  <c r="T1787" i="3" s="1"/>
  <c r="P1788" i="3"/>
  <c r="T1788" i="3" s="1"/>
  <c r="P1789" i="3"/>
  <c r="T1789" i="3" s="1"/>
  <c r="P1790" i="3"/>
  <c r="T1790" i="3" s="1"/>
  <c r="P1791" i="3"/>
  <c r="T1791" i="3" s="1"/>
  <c r="P1792" i="3"/>
  <c r="T1792" i="3" s="1"/>
  <c r="P1793" i="3"/>
  <c r="T1793" i="3" s="1"/>
  <c r="P1794" i="3"/>
  <c r="T1794" i="3" s="1"/>
  <c r="P1795" i="3"/>
  <c r="T1795" i="3" s="1"/>
  <c r="P1796" i="3"/>
  <c r="T1796" i="3" s="1"/>
  <c r="P1797" i="3"/>
  <c r="T1797" i="3" s="1"/>
  <c r="P1798" i="3"/>
  <c r="T1798" i="3" s="1"/>
  <c r="P1799" i="3"/>
  <c r="T1799" i="3" s="1"/>
  <c r="P1800" i="3"/>
  <c r="T1800" i="3" s="1"/>
  <c r="P1801" i="3"/>
  <c r="T1801" i="3" s="1"/>
  <c r="P1802" i="3"/>
  <c r="T1802" i="3" s="1"/>
  <c r="P1803" i="3"/>
  <c r="T1803" i="3" s="1"/>
  <c r="P1804" i="3"/>
  <c r="T1804" i="3" s="1"/>
  <c r="P1805" i="3"/>
  <c r="T1805" i="3" s="1"/>
  <c r="P1806" i="3"/>
  <c r="T1806" i="3" s="1"/>
  <c r="P1807" i="3"/>
  <c r="T1807" i="3" s="1"/>
  <c r="P1808" i="3"/>
  <c r="T1808" i="3" s="1"/>
  <c r="P1809" i="3"/>
  <c r="T1809" i="3" s="1"/>
  <c r="P1810" i="3"/>
  <c r="T1810" i="3" s="1"/>
  <c r="P1811" i="3"/>
  <c r="T1811" i="3" s="1"/>
  <c r="P1812" i="3"/>
  <c r="T1812" i="3" s="1"/>
  <c r="P1813" i="3"/>
  <c r="T1813" i="3" s="1"/>
  <c r="P1814" i="3"/>
  <c r="T1814" i="3" s="1"/>
  <c r="P1815" i="3"/>
  <c r="T1815" i="3" s="1"/>
  <c r="P1816" i="3"/>
  <c r="T1816" i="3" s="1"/>
  <c r="P1817" i="3"/>
  <c r="T1817" i="3" s="1"/>
  <c r="P1818" i="3"/>
  <c r="T1818" i="3" s="1"/>
  <c r="P1819" i="3"/>
  <c r="T1819" i="3" s="1"/>
  <c r="P1820" i="3"/>
  <c r="T1820" i="3" s="1"/>
  <c r="P1821" i="3"/>
  <c r="T1821" i="3" s="1"/>
  <c r="P1822" i="3"/>
  <c r="T1822" i="3" s="1"/>
  <c r="P1823" i="3"/>
  <c r="T1823" i="3" s="1"/>
  <c r="P1824" i="3"/>
  <c r="T1824" i="3" s="1"/>
  <c r="P1825" i="3"/>
  <c r="T1825" i="3" s="1"/>
  <c r="P1826" i="3"/>
  <c r="T1826" i="3" s="1"/>
  <c r="P1827" i="3"/>
  <c r="T1827" i="3" s="1"/>
  <c r="P1828" i="3"/>
  <c r="T1828" i="3" s="1"/>
  <c r="P1829" i="3"/>
  <c r="T1829" i="3" s="1"/>
  <c r="P1830" i="3"/>
  <c r="T1830" i="3" s="1"/>
  <c r="P1831" i="3"/>
  <c r="T1831" i="3" s="1"/>
  <c r="P1832" i="3"/>
  <c r="T1832" i="3" s="1"/>
  <c r="P1833" i="3"/>
  <c r="T1833" i="3" s="1"/>
  <c r="P1834" i="3"/>
  <c r="T1834" i="3" s="1"/>
  <c r="P1835" i="3"/>
  <c r="T1835" i="3" s="1"/>
  <c r="P1836" i="3"/>
  <c r="T1836" i="3" s="1"/>
  <c r="P1837" i="3"/>
  <c r="T1837" i="3" s="1"/>
  <c r="P1838" i="3"/>
  <c r="T1838" i="3" s="1"/>
  <c r="P1839" i="3"/>
  <c r="T1839" i="3" s="1"/>
  <c r="P1840" i="3"/>
  <c r="T1840" i="3" s="1"/>
  <c r="P1841" i="3"/>
  <c r="T1841" i="3" s="1"/>
  <c r="P1842" i="3"/>
  <c r="T1842" i="3" s="1"/>
  <c r="P1843" i="3"/>
  <c r="T1843" i="3" s="1"/>
  <c r="P1844" i="3"/>
  <c r="T1844" i="3" s="1"/>
  <c r="P1845" i="3"/>
  <c r="T1845" i="3" s="1"/>
  <c r="P1846" i="3"/>
  <c r="T1846" i="3" s="1"/>
  <c r="P1847" i="3"/>
  <c r="T1847" i="3" s="1"/>
  <c r="P1848" i="3"/>
  <c r="T1848" i="3" s="1"/>
  <c r="P1849" i="3"/>
  <c r="T1849" i="3" s="1"/>
  <c r="P1850" i="3"/>
  <c r="T1850" i="3" s="1"/>
  <c r="P1851" i="3"/>
  <c r="T1851" i="3" s="1"/>
  <c r="P1852" i="3"/>
  <c r="T1852" i="3" s="1"/>
  <c r="P1853" i="3"/>
  <c r="T1853" i="3" s="1"/>
  <c r="P1854" i="3"/>
  <c r="T1854" i="3" s="1"/>
  <c r="P1855" i="3"/>
  <c r="T1855" i="3" s="1"/>
  <c r="P1856" i="3"/>
  <c r="T1856" i="3" s="1"/>
  <c r="P1857" i="3"/>
  <c r="T1857" i="3" s="1"/>
  <c r="P1858" i="3"/>
  <c r="T1858" i="3" s="1"/>
  <c r="P1859" i="3"/>
  <c r="T1859" i="3" s="1"/>
  <c r="P1860" i="3"/>
  <c r="T1860" i="3" s="1"/>
  <c r="P1861" i="3"/>
  <c r="T1861" i="3" s="1"/>
  <c r="P1862" i="3"/>
  <c r="T1862" i="3" s="1"/>
  <c r="P1863" i="3"/>
  <c r="T1863" i="3" s="1"/>
  <c r="P1864" i="3"/>
  <c r="T1864" i="3" s="1"/>
  <c r="P1865" i="3"/>
  <c r="T1865" i="3" s="1"/>
  <c r="P1866" i="3"/>
  <c r="T1866" i="3" s="1"/>
  <c r="P1867" i="3"/>
  <c r="T1867" i="3" s="1"/>
  <c r="P1868" i="3"/>
  <c r="T1868" i="3" s="1"/>
  <c r="P1869" i="3"/>
  <c r="T1869" i="3" s="1"/>
  <c r="P1870" i="3"/>
  <c r="T1870" i="3" s="1"/>
  <c r="P1871" i="3"/>
  <c r="T1871" i="3" s="1"/>
  <c r="P1872" i="3"/>
  <c r="T1872" i="3" s="1"/>
  <c r="P1873" i="3"/>
  <c r="T1873" i="3" s="1"/>
  <c r="P1874" i="3"/>
  <c r="T1874" i="3" s="1"/>
  <c r="P1875" i="3"/>
  <c r="T1875" i="3" s="1"/>
  <c r="P1876" i="3"/>
  <c r="T1876" i="3" s="1"/>
  <c r="P1877" i="3"/>
  <c r="T1877" i="3" s="1"/>
  <c r="P1878" i="3"/>
  <c r="T1878" i="3" s="1"/>
  <c r="P1879" i="3"/>
  <c r="T1879" i="3" s="1"/>
  <c r="P1880" i="3"/>
  <c r="T1880" i="3" s="1"/>
  <c r="P1881" i="3"/>
  <c r="T1881" i="3" s="1"/>
  <c r="P1882" i="3"/>
  <c r="T1882" i="3" s="1"/>
  <c r="P1883" i="3"/>
  <c r="T1883" i="3" s="1"/>
  <c r="P1884" i="3"/>
  <c r="T1884" i="3" s="1"/>
  <c r="P1885" i="3"/>
  <c r="T1885" i="3" s="1"/>
  <c r="P1886" i="3"/>
  <c r="T1886" i="3" s="1"/>
  <c r="P1887" i="3"/>
  <c r="T1887" i="3" s="1"/>
  <c r="P1888" i="3"/>
  <c r="T1888" i="3" s="1"/>
  <c r="P1889" i="3"/>
  <c r="T1889" i="3" s="1"/>
  <c r="P1890" i="3"/>
  <c r="T1890" i="3" s="1"/>
  <c r="P1891" i="3"/>
  <c r="T1891" i="3" s="1"/>
  <c r="P1892" i="3"/>
  <c r="T1892" i="3" s="1"/>
  <c r="P1893" i="3"/>
  <c r="T1893" i="3" s="1"/>
  <c r="P1894" i="3"/>
  <c r="T1894" i="3" s="1"/>
  <c r="P1895" i="3"/>
  <c r="T1895" i="3" s="1"/>
  <c r="P1896" i="3"/>
  <c r="T1896" i="3" s="1"/>
  <c r="P1897" i="3"/>
  <c r="T1897" i="3" s="1"/>
  <c r="P1898" i="3"/>
  <c r="T1898" i="3" s="1"/>
  <c r="P1899" i="3"/>
  <c r="T1899" i="3" s="1"/>
  <c r="P1900" i="3"/>
  <c r="T1900" i="3" s="1"/>
  <c r="P1901" i="3"/>
  <c r="T1901" i="3" s="1"/>
  <c r="P1902" i="3"/>
  <c r="T1902" i="3" s="1"/>
  <c r="P1903" i="3"/>
  <c r="T1903" i="3" s="1"/>
  <c r="P1904" i="3"/>
  <c r="T1904" i="3" s="1"/>
  <c r="P1905" i="3"/>
  <c r="T1905" i="3" s="1"/>
  <c r="P1906" i="3"/>
  <c r="T1906" i="3" s="1"/>
  <c r="P1907" i="3"/>
  <c r="T1907" i="3" s="1"/>
  <c r="P1908" i="3"/>
  <c r="T1908" i="3" s="1"/>
  <c r="P1909" i="3"/>
  <c r="T1909" i="3" s="1"/>
  <c r="P1910" i="3"/>
  <c r="T1910" i="3" s="1"/>
  <c r="P1911" i="3"/>
  <c r="T1911" i="3" s="1"/>
  <c r="P1912" i="3"/>
  <c r="T1912" i="3" s="1"/>
  <c r="P1913" i="3"/>
  <c r="T1913" i="3" s="1"/>
  <c r="P1914" i="3"/>
  <c r="T1914" i="3" s="1"/>
  <c r="P1915" i="3"/>
  <c r="T1915" i="3" s="1"/>
  <c r="P1916" i="3"/>
  <c r="T1916" i="3" s="1"/>
  <c r="P1917" i="3"/>
  <c r="T1917" i="3" s="1"/>
  <c r="P1918" i="3"/>
  <c r="T1918" i="3" s="1"/>
  <c r="P1919" i="3"/>
  <c r="T1919" i="3" s="1"/>
  <c r="P1920" i="3"/>
  <c r="T1920" i="3" s="1"/>
  <c r="P1921" i="3"/>
  <c r="T1921" i="3" s="1"/>
  <c r="P1922" i="3"/>
  <c r="T1922" i="3" s="1"/>
  <c r="P1923" i="3"/>
  <c r="T1923" i="3" s="1"/>
  <c r="P1924" i="3"/>
  <c r="T1924" i="3" s="1"/>
  <c r="P1925" i="3"/>
  <c r="T1925" i="3" s="1"/>
  <c r="P1926" i="3"/>
  <c r="T1926" i="3" s="1"/>
  <c r="P1927" i="3"/>
  <c r="T1927" i="3" s="1"/>
  <c r="P1928" i="3"/>
  <c r="T1928" i="3" s="1"/>
  <c r="P1929" i="3"/>
  <c r="T1929" i="3" s="1"/>
  <c r="P1930" i="3"/>
  <c r="T1930" i="3" s="1"/>
  <c r="P1931" i="3"/>
  <c r="T1931" i="3" s="1"/>
  <c r="P1932" i="3"/>
  <c r="T1932" i="3" s="1"/>
  <c r="P1933" i="3"/>
  <c r="T1933" i="3" s="1"/>
  <c r="P1934" i="3"/>
  <c r="T1934" i="3" s="1"/>
  <c r="P1935" i="3"/>
  <c r="T1935" i="3" s="1"/>
  <c r="P1936" i="3"/>
  <c r="T1936" i="3" s="1"/>
  <c r="P1937" i="3"/>
  <c r="T1937" i="3" s="1"/>
  <c r="P1938" i="3"/>
  <c r="T1938" i="3" s="1"/>
  <c r="P1939" i="3"/>
  <c r="T1939" i="3" s="1"/>
  <c r="P1940" i="3"/>
  <c r="T1940" i="3" s="1"/>
  <c r="P1941" i="3"/>
  <c r="T1941" i="3" s="1"/>
  <c r="P1942" i="3"/>
  <c r="T1942" i="3" s="1"/>
  <c r="P1943" i="3"/>
  <c r="T1943" i="3" s="1"/>
  <c r="P1944" i="3"/>
  <c r="T1944" i="3" s="1"/>
  <c r="P1945" i="3"/>
  <c r="T1945" i="3" s="1"/>
  <c r="P1946" i="3"/>
  <c r="T1946" i="3" s="1"/>
  <c r="P1947" i="3"/>
  <c r="T1947" i="3" s="1"/>
  <c r="P1948" i="3"/>
  <c r="T1948" i="3" s="1"/>
  <c r="P1949" i="3"/>
  <c r="T1949" i="3" s="1"/>
  <c r="P1950" i="3"/>
  <c r="T1950" i="3" s="1"/>
  <c r="P1951" i="3"/>
  <c r="T1951" i="3" s="1"/>
  <c r="P1952" i="3"/>
  <c r="T1952" i="3" s="1"/>
  <c r="P1953" i="3"/>
  <c r="T1953" i="3" s="1"/>
  <c r="P1954" i="3"/>
  <c r="T1954" i="3" s="1"/>
  <c r="P1955" i="3"/>
  <c r="T1955" i="3" s="1"/>
  <c r="P1956" i="3"/>
  <c r="T1956" i="3" s="1"/>
  <c r="P1957" i="3"/>
  <c r="T1957" i="3" s="1"/>
  <c r="P1958" i="3"/>
  <c r="T1958" i="3" s="1"/>
  <c r="P1959" i="3"/>
  <c r="T1959" i="3" s="1"/>
  <c r="P1960" i="3"/>
  <c r="T1960" i="3" s="1"/>
  <c r="P1961" i="3"/>
  <c r="T1961" i="3" s="1"/>
  <c r="P1962" i="3"/>
  <c r="T1962" i="3" s="1"/>
  <c r="P1963" i="3"/>
  <c r="T1963" i="3" s="1"/>
  <c r="P1964" i="3"/>
  <c r="T1964" i="3" s="1"/>
  <c r="P1965" i="3"/>
  <c r="T1965" i="3" s="1"/>
  <c r="P1966" i="3"/>
  <c r="T1966" i="3" s="1"/>
  <c r="P1967" i="3"/>
  <c r="T1967" i="3" s="1"/>
  <c r="P1968" i="3"/>
  <c r="T1968" i="3" s="1"/>
  <c r="P1969" i="3"/>
  <c r="T1969" i="3" s="1"/>
  <c r="P1970" i="3"/>
  <c r="T1970" i="3" s="1"/>
  <c r="P1971" i="3"/>
  <c r="T1971" i="3" s="1"/>
  <c r="P1972" i="3"/>
  <c r="T1972" i="3" s="1"/>
  <c r="P1973" i="3"/>
  <c r="T1973" i="3" s="1"/>
  <c r="P1974" i="3"/>
  <c r="T1974" i="3" s="1"/>
  <c r="P1975" i="3"/>
  <c r="T1975" i="3" s="1"/>
  <c r="P1976" i="3"/>
  <c r="T1976" i="3" s="1"/>
  <c r="P1977" i="3"/>
  <c r="T1977" i="3" s="1"/>
  <c r="P1978" i="3"/>
  <c r="T1978" i="3" s="1"/>
  <c r="P1979" i="3"/>
  <c r="T1979" i="3" s="1"/>
  <c r="P1980" i="3"/>
  <c r="T1980" i="3" s="1"/>
  <c r="P1981" i="3"/>
  <c r="T1981" i="3" s="1"/>
  <c r="P1982" i="3"/>
  <c r="T1982" i="3" s="1"/>
  <c r="P1983" i="3"/>
  <c r="T1983" i="3" s="1"/>
  <c r="P1984" i="3"/>
  <c r="T1984" i="3" s="1"/>
  <c r="P1985" i="3"/>
  <c r="T1985" i="3" s="1"/>
  <c r="P1986" i="3"/>
  <c r="T1986" i="3" s="1"/>
  <c r="P1987" i="3"/>
  <c r="T1987" i="3" s="1"/>
  <c r="P1988" i="3"/>
  <c r="T1988" i="3" s="1"/>
  <c r="P1989" i="3"/>
  <c r="T1989" i="3" s="1"/>
  <c r="P1990" i="3"/>
  <c r="T1990" i="3" s="1"/>
  <c r="P1991" i="3"/>
  <c r="T1991" i="3" s="1"/>
  <c r="P1992" i="3"/>
  <c r="T1992" i="3" s="1"/>
  <c r="P1993" i="3"/>
  <c r="T1993" i="3" s="1"/>
  <c r="P1994" i="3"/>
  <c r="T1994" i="3" s="1"/>
  <c r="P1995" i="3"/>
  <c r="T1995" i="3" s="1"/>
  <c r="P1996" i="3"/>
  <c r="T1996" i="3" s="1"/>
  <c r="P1997" i="3"/>
  <c r="T1997" i="3" s="1"/>
  <c r="P1998" i="3"/>
  <c r="T1998" i="3" s="1"/>
  <c r="P1999" i="3"/>
  <c r="T1999" i="3" s="1"/>
  <c r="P2000" i="3"/>
  <c r="T2000" i="3" s="1"/>
  <c r="P2001" i="3"/>
  <c r="T2001" i="3" s="1"/>
  <c r="P2002" i="3"/>
  <c r="T2002" i="3" s="1"/>
  <c r="P2003" i="3"/>
  <c r="T2003" i="3" s="1"/>
  <c r="P2004" i="3"/>
  <c r="T2004" i="3" s="1"/>
  <c r="P2005" i="3"/>
  <c r="T2005" i="3" s="1"/>
  <c r="P2006" i="3"/>
  <c r="T2006" i="3" s="1"/>
  <c r="P2007" i="3"/>
  <c r="T2007" i="3" s="1"/>
  <c r="P2008" i="3"/>
  <c r="T2008" i="3" s="1"/>
  <c r="P2009" i="3"/>
  <c r="T2009" i="3" s="1"/>
  <c r="P2010" i="3"/>
  <c r="T2010" i="3" s="1"/>
  <c r="P2011" i="3"/>
  <c r="T2011" i="3" s="1"/>
  <c r="P2012" i="3"/>
  <c r="T2012" i="3" s="1"/>
  <c r="P2013" i="3"/>
  <c r="T2013" i="3" s="1"/>
  <c r="P2014" i="3"/>
  <c r="T2014" i="3" s="1"/>
  <c r="P2015" i="3"/>
  <c r="T2015" i="3" s="1"/>
  <c r="P2016" i="3"/>
  <c r="T2016" i="3" s="1"/>
  <c r="P2017" i="3"/>
  <c r="T2017" i="3" s="1"/>
  <c r="P2018" i="3"/>
  <c r="T2018" i="3" s="1"/>
  <c r="P2019" i="3"/>
  <c r="T2019" i="3" s="1"/>
  <c r="P2020" i="3"/>
  <c r="T2020" i="3" s="1"/>
  <c r="P2021" i="3"/>
  <c r="T2021" i="3" s="1"/>
  <c r="P2022" i="3"/>
  <c r="T2022" i="3" s="1"/>
  <c r="P2023" i="3"/>
  <c r="T2023" i="3" s="1"/>
  <c r="P2024" i="3"/>
  <c r="T2024" i="3" s="1"/>
  <c r="P2025" i="3"/>
  <c r="T2025" i="3" s="1"/>
  <c r="P2026" i="3"/>
  <c r="T2026" i="3" s="1"/>
  <c r="P2027" i="3"/>
  <c r="T2027" i="3" s="1"/>
  <c r="P2028" i="3"/>
  <c r="T2028" i="3" s="1"/>
  <c r="P2029" i="3"/>
  <c r="T2029" i="3" s="1"/>
  <c r="P2030" i="3"/>
  <c r="T2030" i="3" s="1"/>
  <c r="P2031" i="3"/>
  <c r="T2031" i="3" s="1"/>
  <c r="P2032" i="3"/>
  <c r="T2032" i="3" s="1"/>
  <c r="P2033" i="3"/>
  <c r="T2033" i="3" s="1"/>
  <c r="P2034" i="3"/>
  <c r="T2034" i="3" s="1"/>
  <c r="P2035" i="3"/>
  <c r="T2035" i="3" s="1"/>
  <c r="P2036" i="3"/>
  <c r="T2036" i="3" s="1"/>
  <c r="P2037" i="3"/>
  <c r="T2037" i="3" s="1"/>
  <c r="P2038" i="3"/>
  <c r="T2038" i="3" s="1"/>
  <c r="P2039" i="3"/>
  <c r="T2039" i="3" s="1"/>
  <c r="P2040" i="3"/>
  <c r="T2040" i="3" s="1"/>
  <c r="P2041" i="3"/>
  <c r="T2041" i="3" s="1"/>
  <c r="P2042" i="3"/>
  <c r="T2042" i="3" s="1"/>
  <c r="P2043" i="3"/>
  <c r="T2043" i="3" s="1"/>
  <c r="P2044" i="3"/>
  <c r="T2044" i="3" s="1"/>
  <c r="P2045" i="3"/>
  <c r="T2045" i="3" s="1"/>
  <c r="P2046" i="3"/>
  <c r="T2046" i="3" s="1"/>
  <c r="P2047" i="3"/>
  <c r="T2047" i="3" s="1"/>
  <c r="P2048" i="3"/>
  <c r="T2048" i="3" s="1"/>
  <c r="P2049" i="3"/>
  <c r="T2049" i="3" s="1"/>
  <c r="P2050" i="3"/>
  <c r="T2050" i="3" s="1"/>
  <c r="P2051" i="3"/>
  <c r="T2051" i="3" s="1"/>
  <c r="P2052" i="3"/>
  <c r="T2052" i="3" s="1"/>
  <c r="P2053" i="3"/>
  <c r="T2053" i="3" s="1"/>
  <c r="P2054" i="3"/>
  <c r="T2054" i="3" s="1"/>
  <c r="P2055" i="3"/>
  <c r="T2055" i="3" s="1"/>
  <c r="P2056" i="3"/>
  <c r="T2056" i="3" s="1"/>
  <c r="P2057" i="3"/>
  <c r="T2057" i="3" s="1"/>
  <c r="P2058" i="3"/>
  <c r="T2058" i="3" s="1"/>
  <c r="P2059" i="3"/>
  <c r="T2059" i="3" s="1"/>
  <c r="P2060" i="3"/>
  <c r="T2060" i="3" s="1"/>
  <c r="P2061" i="3"/>
  <c r="T2061" i="3" s="1"/>
  <c r="P2062" i="3"/>
  <c r="T2062" i="3" s="1"/>
  <c r="P2063" i="3"/>
  <c r="T2063" i="3" s="1"/>
  <c r="P2064" i="3"/>
  <c r="T2064" i="3" s="1"/>
  <c r="P2065" i="3"/>
  <c r="T2065" i="3" s="1"/>
  <c r="P2066" i="3"/>
  <c r="T2066" i="3" s="1"/>
  <c r="P2067" i="3"/>
  <c r="T2067" i="3" s="1"/>
  <c r="P2068" i="3"/>
  <c r="T2068" i="3" s="1"/>
  <c r="P2069" i="3"/>
  <c r="T2069" i="3" s="1"/>
  <c r="P2070" i="3"/>
  <c r="T2070" i="3" s="1"/>
  <c r="P2071" i="3"/>
  <c r="T2071" i="3" s="1"/>
  <c r="P2072" i="3"/>
  <c r="T2072" i="3" s="1"/>
  <c r="P2073" i="3"/>
  <c r="T2073" i="3" s="1"/>
  <c r="P2074" i="3"/>
  <c r="T2074" i="3" s="1"/>
  <c r="P2075" i="3"/>
  <c r="T2075" i="3" s="1"/>
  <c r="P2076" i="3"/>
  <c r="T2076" i="3" s="1"/>
  <c r="P2077" i="3"/>
  <c r="T2077" i="3" s="1"/>
  <c r="P2078" i="3"/>
  <c r="T2078" i="3" s="1"/>
  <c r="P2079" i="3"/>
  <c r="T2079" i="3" s="1"/>
  <c r="P2080" i="3"/>
  <c r="T2080" i="3" s="1"/>
  <c r="P2081" i="3"/>
  <c r="T2081" i="3" s="1"/>
  <c r="P2082" i="3"/>
  <c r="T2082" i="3" s="1"/>
  <c r="P2083" i="3"/>
  <c r="T2083" i="3" s="1"/>
  <c r="P2084" i="3"/>
  <c r="T2084" i="3" s="1"/>
  <c r="P2085" i="3"/>
  <c r="T2085" i="3" s="1"/>
  <c r="P2086" i="3"/>
  <c r="T2086" i="3" s="1"/>
  <c r="P2087" i="3"/>
  <c r="T2087" i="3" s="1"/>
  <c r="P2088" i="3"/>
  <c r="T2088" i="3" s="1"/>
  <c r="P2089" i="3"/>
  <c r="T2089" i="3" s="1"/>
  <c r="P2090" i="3"/>
  <c r="T2090" i="3" s="1"/>
  <c r="P2091" i="3"/>
  <c r="T2091" i="3" s="1"/>
  <c r="P2092" i="3"/>
  <c r="T2092" i="3" s="1"/>
  <c r="P2093" i="3"/>
  <c r="T2093" i="3" s="1"/>
  <c r="P2094" i="3"/>
  <c r="T2094" i="3" s="1"/>
  <c r="P2095" i="3"/>
  <c r="T2095" i="3" s="1"/>
  <c r="P2096" i="3"/>
  <c r="T2096" i="3" s="1"/>
  <c r="P2097" i="3"/>
  <c r="T2097" i="3" s="1"/>
  <c r="P2098" i="3"/>
  <c r="T2098" i="3" s="1"/>
  <c r="P2099" i="3"/>
  <c r="T2099" i="3" s="1"/>
  <c r="P2100" i="3"/>
  <c r="T2100" i="3" s="1"/>
  <c r="P2101" i="3"/>
  <c r="T2101" i="3" s="1"/>
  <c r="P2102" i="3"/>
  <c r="T2102" i="3" s="1"/>
  <c r="T15" i="3"/>
  <c r="T48" i="3"/>
  <c r="T101" i="3"/>
  <c r="T103" i="3"/>
  <c r="T105" i="3"/>
  <c r="T108" i="3"/>
  <c r="T109" i="3"/>
  <c r="T110" i="3"/>
  <c r="T111" i="3"/>
  <c r="T112" i="3"/>
  <c r="T113" i="3"/>
  <c r="T114" i="3"/>
  <c r="T117" i="3"/>
  <c r="T119" i="3"/>
  <c r="T121" i="3"/>
  <c r="T124" i="3"/>
  <c r="T125" i="3"/>
  <c r="T127" i="3"/>
  <c r="T128" i="3"/>
  <c r="T129" i="3"/>
  <c r="T133" i="3"/>
  <c r="T135" i="3"/>
  <c r="T137" i="3"/>
  <c r="T140" i="3"/>
  <c r="T141" i="3"/>
  <c r="T142" i="3"/>
  <c r="T143" i="3"/>
  <c r="T144" i="3"/>
  <c r="T145" i="3"/>
  <c r="T146" i="3"/>
  <c r="T149" i="3"/>
  <c r="T151" i="3"/>
  <c r="T153" i="3"/>
  <c r="T156" i="3"/>
  <c r="T157" i="3"/>
  <c r="T159" i="3"/>
  <c r="T160" i="3"/>
  <c r="T161" i="3"/>
  <c r="T165" i="3"/>
  <c r="T167" i="3"/>
  <c r="T169" i="3"/>
  <c r="T172" i="3"/>
  <c r="T173" i="3"/>
  <c r="T174" i="3"/>
  <c r="T175" i="3"/>
  <c r="T176" i="3"/>
  <c r="T177" i="3"/>
  <c r="T178" i="3"/>
  <c r="T181" i="3"/>
  <c r="T183" i="3"/>
  <c r="T185" i="3"/>
  <c r="T188" i="3"/>
  <c r="T189" i="3"/>
  <c r="T191" i="3"/>
  <c r="T192" i="3"/>
  <c r="T193" i="3"/>
  <c r="T197" i="3"/>
  <c r="T199" i="3"/>
  <c r="T201" i="3"/>
  <c r="T204" i="3"/>
  <c r="T205" i="3"/>
  <c r="T206" i="3"/>
  <c r="T207" i="3"/>
  <c r="T208" i="3"/>
  <c r="T209" i="3"/>
  <c r="T210" i="3"/>
  <c r="T213" i="3"/>
  <c r="T215" i="3"/>
  <c r="T217" i="3"/>
  <c r="T220" i="3"/>
  <c r="T221" i="3"/>
  <c r="T223" i="3"/>
  <c r="T224" i="3"/>
  <c r="T225" i="3"/>
  <c r="T229" i="3"/>
  <c r="T231" i="3"/>
  <c r="T233" i="3"/>
  <c r="T236" i="3"/>
  <c r="T237" i="3"/>
  <c r="T238" i="3"/>
  <c r="T239" i="3"/>
  <c r="T240" i="3"/>
  <c r="T241" i="3"/>
  <c r="T242" i="3"/>
  <c r="T245" i="3"/>
  <c r="T247" i="3"/>
  <c r="T249" i="3"/>
  <c r="T252" i="3"/>
  <c r="T253" i="3"/>
  <c r="T255" i="3"/>
  <c r="T256" i="3"/>
  <c r="T257" i="3"/>
  <c r="T261" i="3"/>
  <c r="T263" i="3"/>
  <c r="T265" i="3"/>
  <c r="T268" i="3"/>
  <c r="T269" i="3"/>
  <c r="T270" i="3"/>
  <c r="T271" i="3"/>
  <c r="T272" i="3"/>
  <c r="T273" i="3"/>
  <c r="T274" i="3"/>
  <c r="T277" i="3"/>
  <c r="T279" i="3"/>
  <c r="T281" i="3"/>
  <c r="T284" i="3"/>
  <c r="T285" i="3"/>
  <c r="T287" i="3"/>
  <c r="T288" i="3"/>
  <c r="T289" i="3"/>
  <c r="T293" i="3"/>
  <c r="T295" i="3"/>
  <c r="T297" i="3"/>
  <c r="T300" i="3"/>
  <c r="T301" i="3"/>
  <c r="T302" i="3"/>
  <c r="T303" i="3"/>
  <c r="T304" i="3"/>
  <c r="T305" i="3"/>
  <c r="T306" i="3"/>
  <c r="T309" i="3"/>
  <c r="T311" i="3"/>
  <c r="T313" i="3"/>
  <c r="T316" i="3"/>
  <c r="T317" i="3"/>
  <c r="T319" i="3"/>
  <c r="T320" i="3"/>
  <c r="T321" i="3"/>
  <c r="T325" i="3"/>
  <c r="T327" i="3"/>
  <c r="T329" i="3"/>
  <c r="T332" i="3"/>
  <c r="T333" i="3"/>
  <c r="T334" i="3"/>
  <c r="T335" i="3"/>
  <c r="T336" i="3"/>
  <c r="T337" i="3"/>
  <c r="T338" i="3"/>
  <c r="T341" i="3"/>
  <c r="T343" i="3"/>
  <c r="T345" i="3"/>
  <c r="T348" i="3"/>
  <c r="T349" i="3"/>
  <c r="T351" i="3"/>
  <c r="T352" i="3"/>
  <c r="T353" i="3"/>
  <c r="T357" i="3"/>
  <c r="T359" i="3"/>
  <c r="T361" i="3"/>
  <c r="T364" i="3"/>
  <c r="T365" i="3"/>
  <c r="T366" i="3"/>
  <c r="T367" i="3"/>
  <c r="T368" i="3"/>
  <c r="T369" i="3"/>
  <c r="T370" i="3"/>
  <c r="T373" i="3"/>
  <c r="T375" i="3"/>
  <c r="T377" i="3"/>
  <c r="T380" i="3"/>
  <c r="T381" i="3"/>
  <c r="T383" i="3"/>
  <c r="T384" i="3"/>
  <c r="T385" i="3"/>
  <c r="T389" i="3"/>
  <c r="T391" i="3"/>
  <c r="T393" i="3"/>
  <c r="T396" i="3"/>
  <c r="T397" i="3"/>
  <c r="T398" i="3"/>
  <c r="T399" i="3"/>
  <c r="T400" i="3"/>
  <c r="T401" i="3"/>
  <c r="T402" i="3"/>
  <c r="T405" i="3"/>
  <c r="T407" i="3"/>
  <c r="T409" i="3"/>
  <c r="T412" i="3"/>
  <c r="T413" i="3"/>
  <c r="T415" i="3"/>
  <c r="T416" i="3"/>
  <c r="T417" i="3"/>
  <c r="T421" i="3"/>
  <c r="T423" i="3"/>
  <c r="T425" i="3"/>
  <c r="T428" i="3"/>
  <c r="T429" i="3"/>
  <c r="T430" i="3"/>
  <c r="T431" i="3"/>
  <c r="T432" i="3"/>
  <c r="T433" i="3"/>
  <c r="T434" i="3"/>
  <c r="T437" i="3"/>
  <c r="T439" i="3"/>
  <c r="T441" i="3"/>
  <c r="T444" i="3"/>
  <c r="T445" i="3"/>
  <c r="T447" i="3"/>
  <c r="T448" i="3"/>
  <c r="T449" i="3"/>
  <c r="T453" i="3"/>
  <c r="T455" i="3"/>
  <c r="T457" i="3"/>
  <c r="T460" i="3"/>
  <c r="T461" i="3"/>
  <c r="T462" i="3"/>
  <c r="S6" i="4" l="1"/>
  <c r="S4" i="4"/>
  <c r="R6" i="4"/>
  <c r="R4" i="4"/>
  <c r="T6" i="4"/>
  <c r="T4" i="4"/>
  <c r="B5" i="8" l="1"/>
  <c r="X9" i="4" l="1"/>
  <c r="X12" i="4"/>
  <c r="X13" i="4"/>
  <c r="X6" i="4"/>
  <c r="X4" i="4"/>
  <c r="X5" i="4"/>
  <c r="X7" i="4"/>
  <c r="X8" i="4"/>
  <c r="X10" i="4"/>
  <c r="X11" i="4"/>
  <c r="X14" i="4"/>
  <c r="X15" i="4"/>
  <c r="X16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X33" i="4"/>
  <c r="X34" i="4"/>
  <c r="X35" i="4"/>
  <c r="X36" i="4"/>
  <c r="X37" i="4"/>
  <c r="X38" i="4"/>
  <c r="X39" i="4"/>
  <c r="X40" i="4"/>
  <c r="X41" i="4"/>
  <c r="X42" i="4"/>
  <c r="X43" i="4"/>
  <c r="X44" i="4"/>
  <c r="X45" i="4"/>
  <c r="X46" i="4"/>
  <c r="X47" i="4"/>
  <c r="X48" i="4"/>
  <c r="X49" i="4"/>
  <c r="X50" i="4"/>
  <c r="X51" i="4"/>
  <c r="X52" i="4"/>
  <c r="X53" i="4"/>
  <c r="X54" i="4"/>
  <c r="X55" i="4"/>
  <c r="X56" i="4"/>
  <c r="X57" i="4"/>
  <c r="X58" i="4"/>
  <c r="X59" i="4"/>
  <c r="X60" i="4"/>
  <c r="X61" i="4"/>
  <c r="X62" i="4"/>
  <c r="X63" i="4"/>
  <c r="X64" i="4"/>
  <c r="X65" i="4"/>
  <c r="X66" i="4"/>
  <c r="X67" i="4"/>
  <c r="X68" i="4"/>
  <c r="X69" i="4"/>
  <c r="X70" i="4"/>
  <c r="X71" i="4"/>
  <c r="X72" i="4"/>
  <c r="X73" i="4"/>
  <c r="X74" i="4"/>
  <c r="X75" i="4"/>
  <c r="X76" i="4"/>
  <c r="X77" i="4"/>
  <c r="X78" i="4"/>
  <c r="X79" i="4"/>
  <c r="X80" i="4"/>
  <c r="X81" i="4"/>
  <c r="X82" i="4"/>
  <c r="X83" i="4"/>
  <c r="X84" i="4"/>
  <c r="X85" i="4"/>
  <c r="X86" i="4"/>
  <c r="X87" i="4"/>
  <c r="X88" i="4"/>
  <c r="X89" i="4"/>
  <c r="X90" i="4"/>
  <c r="X91" i="4"/>
  <c r="X92" i="4"/>
  <c r="X93" i="4"/>
  <c r="X94" i="4"/>
  <c r="X95" i="4"/>
  <c r="X96" i="4"/>
  <c r="X97" i="4"/>
  <c r="X98" i="4"/>
  <c r="X99" i="4"/>
  <c r="X100" i="4"/>
  <c r="X101" i="4"/>
  <c r="X102" i="4"/>
  <c r="X103" i="4"/>
  <c r="X104" i="4"/>
  <c r="X105" i="4"/>
  <c r="X106" i="4"/>
  <c r="X107" i="4"/>
  <c r="X108" i="4"/>
  <c r="X109" i="4"/>
  <c r="X110" i="4"/>
  <c r="X111" i="4"/>
  <c r="X112" i="4"/>
  <c r="X113" i="4"/>
  <c r="X114" i="4"/>
  <c r="X115" i="4"/>
  <c r="X116" i="4"/>
  <c r="X117" i="4"/>
  <c r="X118" i="4"/>
  <c r="X119" i="4"/>
  <c r="X120" i="4"/>
  <c r="X121" i="4"/>
  <c r="X122" i="4"/>
  <c r="X123" i="4"/>
  <c r="X124" i="4"/>
  <c r="X125" i="4"/>
  <c r="X126" i="4"/>
  <c r="X127" i="4"/>
  <c r="X128" i="4"/>
  <c r="X129" i="4"/>
  <c r="X130" i="4"/>
  <c r="X131" i="4"/>
  <c r="X132" i="4"/>
  <c r="X133" i="4"/>
  <c r="X134" i="4"/>
  <c r="X135" i="4"/>
  <c r="X136" i="4"/>
  <c r="X137" i="4"/>
  <c r="X138" i="4"/>
  <c r="X139" i="4"/>
  <c r="X140" i="4"/>
  <c r="X141" i="4"/>
  <c r="X142" i="4"/>
  <c r="X143" i="4"/>
  <c r="X144" i="4"/>
  <c r="X145" i="4"/>
  <c r="X146" i="4"/>
  <c r="X147" i="4"/>
  <c r="X148" i="4"/>
  <c r="X149" i="4"/>
  <c r="X150" i="4"/>
  <c r="X151" i="4"/>
  <c r="X152" i="4"/>
  <c r="X153" i="4"/>
  <c r="X154" i="4"/>
  <c r="X155" i="4"/>
  <c r="X156" i="4"/>
  <c r="X157" i="4"/>
  <c r="X158" i="4"/>
  <c r="X159" i="4"/>
  <c r="X160" i="4"/>
  <c r="X161" i="4"/>
  <c r="X162" i="4"/>
  <c r="X163" i="4"/>
  <c r="X164" i="4"/>
  <c r="X165" i="4"/>
  <c r="X166" i="4"/>
  <c r="X167" i="4"/>
  <c r="X168" i="4"/>
  <c r="X169" i="4"/>
  <c r="X170" i="4"/>
  <c r="X171" i="4"/>
  <c r="X172" i="4"/>
  <c r="X173" i="4"/>
  <c r="X174" i="4"/>
  <c r="X175" i="4"/>
  <c r="X176" i="4"/>
  <c r="X177" i="4"/>
  <c r="X178" i="4"/>
  <c r="X179" i="4"/>
  <c r="X180" i="4"/>
  <c r="X181" i="4"/>
  <c r="X182" i="4"/>
  <c r="X183" i="4"/>
  <c r="X184" i="4"/>
  <c r="X185" i="4"/>
  <c r="X186" i="4"/>
  <c r="X187" i="4"/>
  <c r="X188" i="4"/>
  <c r="X189" i="4"/>
  <c r="X190" i="4"/>
  <c r="X191" i="4"/>
  <c r="X192" i="4"/>
  <c r="X193" i="4"/>
  <c r="X194" i="4"/>
  <c r="X195" i="4"/>
  <c r="X196" i="4"/>
  <c r="X197" i="4"/>
  <c r="X198" i="4"/>
  <c r="X199" i="4"/>
  <c r="X200" i="4"/>
  <c r="X201" i="4"/>
  <c r="X202" i="4"/>
  <c r="X203" i="4"/>
  <c r="X204" i="4"/>
  <c r="X205" i="4"/>
  <c r="X206" i="4"/>
  <c r="X207" i="4"/>
  <c r="X208" i="4"/>
  <c r="X209" i="4"/>
  <c r="X210" i="4"/>
  <c r="X211" i="4"/>
  <c r="X212" i="4"/>
  <c r="X213" i="4"/>
  <c r="X214" i="4"/>
  <c r="X215" i="4"/>
  <c r="X216" i="4"/>
  <c r="X217" i="4"/>
  <c r="X218" i="4"/>
  <c r="X219" i="4"/>
  <c r="X220" i="4"/>
  <c r="X221" i="4"/>
  <c r="X222" i="4"/>
  <c r="X223" i="4"/>
  <c r="X224" i="4"/>
  <c r="X225" i="4"/>
  <c r="X226" i="4"/>
  <c r="X227" i="4"/>
  <c r="X228" i="4"/>
  <c r="X229" i="4"/>
  <c r="X230" i="4"/>
  <c r="X231" i="4"/>
  <c r="X232" i="4"/>
  <c r="X233" i="4"/>
  <c r="X234" i="4"/>
  <c r="X235" i="4"/>
  <c r="X236" i="4"/>
  <c r="X237" i="4"/>
  <c r="X238" i="4"/>
  <c r="X239" i="4"/>
  <c r="X240" i="4"/>
  <c r="X241" i="4"/>
  <c r="X242" i="4"/>
  <c r="X243" i="4"/>
  <c r="X244" i="4"/>
  <c r="X245" i="4"/>
  <c r="X246" i="4"/>
  <c r="X247" i="4"/>
  <c r="X248" i="4"/>
  <c r="X249" i="4"/>
  <c r="X250" i="4"/>
  <c r="X251" i="4"/>
  <c r="X252" i="4"/>
  <c r="X253" i="4"/>
  <c r="X254" i="4"/>
  <c r="X255" i="4"/>
  <c r="X256" i="4"/>
  <c r="X257" i="4"/>
  <c r="X258" i="4"/>
  <c r="X259" i="4"/>
  <c r="X260" i="4"/>
  <c r="X261" i="4"/>
  <c r="X262" i="4"/>
  <c r="X263" i="4"/>
  <c r="X264" i="4"/>
  <c r="X265" i="4"/>
  <c r="X266" i="4"/>
  <c r="X267" i="4"/>
  <c r="X268" i="4"/>
  <c r="X269" i="4"/>
  <c r="X270" i="4"/>
  <c r="X271" i="4"/>
  <c r="X272" i="4"/>
  <c r="X273" i="4"/>
  <c r="X274" i="4"/>
  <c r="X275" i="4"/>
  <c r="X276" i="4"/>
  <c r="X277" i="4"/>
  <c r="X278" i="4"/>
  <c r="X279" i="4"/>
  <c r="X280" i="4"/>
  <c r="X281" i="4"/>
  <c r="X282" i="4"/>
  <c r="X283" i="4"/>
  <c r="X284" i="4"/>
  <c r="X285" i="4"/>
  <c r="X286" i="4"/>
  <c r="X287" i="4"/>
  <c r="X288" i="4"/>
  <c r="X289" i="4"/>
  <c r="X290" i="4"/>
  <c r="X291" i="4"/>
  <c r="X292" i="4"/>
  <c r="X293" i="4"/>
  <c r="X294" i="4"/>
  <c r="X295" i="4"/>
  <c r="X296" i="4"/>
  <c r="X297" i="4"/>
  <c r="X298" i="4"/>
  <c r="X299" i="4"/>
  <c r="X300" i="4"/>
  <c r="X301" i="4"/>
  <c r="X302" i="4"/>
  <c r="X303" i="4"/>
  <c r="X304" i="4"/>
  <c r="X305" i="4"/>
  <c r="X306" i="4"/>
  <c r="X307" i="4"/>
  <c r="X308" i="4"/>
  <c r="X309" i="4"/>
  <c r="X310" i="4"/>
  <c r="X311" i="4"/>
  <c r="X312" i="4"/>
  <c r="X313" i="4"/>
  <c r="X314" i="4"/>
  <c r="X315" i="4"/>
  <c r="X316" i="4"/>
  <c r="X317" i="4"/>
  <c r="X318" i="4"/>
  <c r="X319" i="4"/>
  <c r="X320" i="4"/>
  <c r="X321" i="4"/>
  <c r="X322" i="4"/>
  <c r="X323" i="4"/>
  <c r="X324" i="4"/>
  <c r="X325" i="4"/>
  <c r="X326" i="4"/>
  <c r="X327" i="4"/>
  <c r="X328" i="4"/>
  <c r="X329" i="4"/>
  <c r="X330" i="4"/>
  <c r="X331" i="4"/>
  <c r="X332" i="4"/>
  <c r="X333" i="4"/>
  <c r="X334" i="4"/>
  <c r="X335" i="4"/>
  <c r="X336" i="4"/>
  <c r="X337" i="4"/>
  <c r="X338" i="4"/>
  <c r="X339" i="4"/>
  <c r="X340" i="4"/>
  <c r="X341" i="4"/>
  <c r="X342" i="4"/>
  <c r="X343" i="4"/>
  <c r="X344" i="4"/>
  <c r="X345" i="4"/>
  <c r="X346" i="4"/>
  <c r="X347" i="4"/>
  <c r="X348" i="4"/>
  <c r="X349" i="4"/>
  <c r="X350" i="4"/>
  <c r="X351" i="4"/>
  <c r="X352" i="4"/>
  <c r="X353" i="4"/>
  <c r="X354" i="4"/>
  <c r="X355" i="4"/>
  <c r="X356" i="4"/>
  <c r="X357" i="4"/>
  <c r="X358" i="4"/>
  <c r="X359" i="4"/>
  <c r="X360" i="4"/>
  <c r="X361" i="4"/>
  <c r="X362" i="4"/>
  <c r="X363" i="4"/>
  <c r="X364" i="4"/>
  <c r="X365" i="4"/>
  <c r="X366" i="4"/>
  <c r="X367" i="4"/>
  <c r="X368" i="4"/>
  <c r="X369" i="4"/>
  <c r="X370" i="4"/>
  <c r="X371" i="4"/>
  <c r="X372" i="4"/>
  <c r="X373" i="4"/>
  <c r="X374" i="4"/>
  <c r="X375" i="4"/>
  <c r="X376" i="4"/>
  <c r="X377" i="4"/>
  <c r="X378" i="4"/>
  <c r="X379" i="4"/>
  <c r="X380" i="4"/>
  <c r="X381" i="4"/>
  <c r="X382" i="4"/>
  <c r="X383" i="4"/>
  <c r="X384" i="4"/>
  <c r="X385" i="4"/>
  <c r="X386" i="4"/>
  <c r="X387" i="4"/>
  <c r="X388" i="4"/>
  <c r="X389" i="4"/>
  <c r="X390" i="4"/>
  <c r="X391" i="4"/>
  <c r="X392" i="4"/>
  <c r="X393" i="4"/>
  <c r="X394" i="4"/>
  <c r="X395" i="4"/>
  <c r="X396" i="4"/>
  <c r="X397" i="4"/>
  <c r="X398" i="4"/>
  <c r="X399" i="4"/>
  <c r="X400" i="4"/>
  <c r="X401" i="4"/>
  <c r="X402" i="4"/>
  <c r="X403" i="4"/>
  <c r="X404" i="4"/>
  <c r="X405" i="4"/>
  <c r="X406" i="4"/>
  <c r="X407" i="4"/>
  <c r="X408" i="4"/>
  <c r="X409" i="4"/>
  <c r="X410" i="4"/>
  <c r="X411" i="4"/>
  <c r="X412" i="4"/>
  <c r="X413" i="4"/>
  <c r="X414" i="4"/>
  <c r="X415" i="4"/>
  <c r="X416" i="4"/>
  <c r="X417" i="4"/>
  <c r="X418" i="4"/>
  <c r="X419" i="4"/>
  <c r="X420" i="4"/>
  <c r="X421" i="4"/>
  <c r="X422" i="4"/>
  <c r="X423" i="4"/>
  <c r="X424" i="4"/>
  <c r="X425" i="4"/>
  <c r="X426" i="4"/>
  <c r="X427" i="4"/>
  <c r="X428" i="4"/>
  <c r="X429" i="4"/>
  <c r="X430" i="4"/>
  <c r="X431" i="4"/>
  <c r="X432" i="4"/>
  <c r="X433" i="4"/>
  <c r="X434" i="4"/>
  <c r="X435" i="4"/>
  <c r="X436" i="4"/>
  <c r="X437" i="4"/>
  <c r="X438" i="4"/>
  <c r="X439" i="4"/>
  <c r="X440" i="4"/>
  <c r="X441" i="4"/>
  <c r="X442" i="4"/>
  <c r="X443" i="4"/>
  <c r="X444" i="4"/>
  <c r="X445" i="4"/>
  <c r="X446" i="4"/>
  <c r="X447" i="4"/>
  <c r="X448" i="4"/>
  <c r="X449" i="4"/>
  <c r="X450" i="4"/>
  <c r="X451" i="4"/>
  <c r="X452" i="4"/>
  <c r="X453" i="4"/>
  <c r="X454" i="4"/>
  <c r="X455" i="4"/>
  <c r="X456" i="4"/>
  <c r="X457" i="4"/>
  <c r="X458" i="4"/>
  <c r="X459" i="4"/>
  <c r="X460" i="4"/>
  <c r="X461" i="4"/>
  <c r="X462" i="4"/>
  <c r="X463" i="4"/>
  <c r="X464" i="4"/>
  <c r="X465" i="4"/>
  <c r="X466" i="4"/>
  <c r="X467" i="4"/>
  <c r="X468" i="4"/>
  <c r="X469" i="4"/>
  <c r="X470" i="4"/>
  <c r="X471" i="4"/>
  <c r="X472" i="4"/>
  <c r="X473" i="4"/>
  <c r="X474" i="4"/>
  <c r="X475" i="4"/>
  <c r="X476" i="4"/>
  <c r="X477" i="4"/>
  <c r="X478" i="4"/>
  <c r="X479" i="4"/>
  <c r="X480" i="4"/>
  <c r="X481" i="4"/>
  <c r="X482" i="4"/>
  <c r="X483" i="4"/>
  <c r="X484" i="4"/>
  <c r="X485" i="4"/>
  <c r="X486" i="4"/>
  <c r="X487" i="4"/>
  <c r="X488" i="4"/>
  <c r="X489" i="4"/>
  <c r="X490" i="4"/>
  <c r="X491" i="4"/>
  <c r="X492" i="4"/>
  <c r="X493" i="4"/>
  <c r="X494" i="4"/>
  <c r="X495" i="4"/>
  <c r="X496" i="4"/>
  <c r="X497" i="4"/>
  <c r="X498" i="4"/>
  <c r="X499" i="4"/>
  <c r="X500" i="4"/>
  <c r="X501" i="4"/>
  <c r="X502" i="4"/>
  <c r="X503" i="4"/>
  <c r="X504" i="4"/>
  <c r="X505" i="4"/>
  <c r="X506" i="4"/>
  <c r="X507" i="4"/>
  <c r="X508" i="4"/>
  <c r="X509" i="4"/>
  <c r="X510" i="4"/>
  <c r="X511" i="4"/>
  <c r="X512" i="4"/>
  <c r="X513" i="4"/>
  <c r="X514" i="4"/>
  <c r="X515" i="4"/>
  <c r="X516" i="4"/>
  <c r="X517" i="4"/>
  <c r="X518" i="4"/>
  <c r="X519" i="4"/>
  <c r="X520" i="4"/>
  <c r="X521" i="4"/>
  <c r="X522" i="4"/>
  <c r="X523" i="4"/>
  <c r="X524" i="4"/>
  <c r="X525" i="4"/>
  <c r="X526" i="4"/>
  <c r="X527" i="4"/>
  <c r="X528" i="4"/>
  <c r="X529" i="4"/>
  <c r="X530" i="4"/>
  <c r="X531" i="4"/>
  <c r="X532" i="4"/>
  <c r="X533" i="4"/>
  <c r="X534" i="4"/>
  <c r="X535" i="4"/>
  <c r="X536" i="4"/>
  <c r="X537" i="4"/>
  <c r="X538" i="4"/>
  <c r="X539" i="4"/>
  <c r="X540" i="4"/>
  <c r="X541" i="4"/>
  <c r="X542" i="4"/>
  <c r="X543" i="4"/>
  <c r="X544" i="4"/>
  <c r="X545" i="4"/>
  <c r="X546" i="4"/>
  <c r="X547" i="4"/>
  <c r="X548" i="4"/>
  <c r="X549" i="4"/>
  <c r="X550" i="4"/>
  <c r="X551" i="4"/>
  <c r="X552" i="4"/>
  <c r="X553" i="4"/>
  <c r="X554" i="4"/>
  <c r="X555" i="4"/>
  <c r="X556" i="4"/>
  <c r="X557" i="4"/>
  <c r="X558" i="4"/>
  <c r="X559" i="4"/>
  <c r="X560" i="4"/>
  <c r="X561" i="4"/>
  <c r="X562" i="4"/>
  <c r="X563" i="4"/>
  <c r="X564" i="4"/>
  <c r="X565" i="4"/>
  <c r="X566" i="4"/>
  <c r="X567" i="4"/>
  <c r="X568" i="4"/>
  <c r="X569" i="4"/>
  <c r="X570" i="4"/>
  <c r="X571" i="4"/>
  <c r="X572" i="4"/>
  <c r="X573" i="4"/>
  <c r="X574" i="4"/>
  <c r="X575" i="4"/>
  <c r="X576" i="4"/>
  <c r="X577" i="4"/>
  <c r="X578" i="4"/>
  <c r="X579" i="4"/>
  <c r="X580" i="4"/>
  <c r="X581" i="4"/>
  <c r="X582" i="4"/>
  <c r="X583" i="4"/>
  <c r="X584" i="4"/>
  <c r="X585" i="4"/>
  <c r="X586" i="4"/>
  <c r="X587" i="4"/>
  <c r="X588" i="4"/>
  <c r="X589" i="4"/>
  <c r="X590" i="4"/>
  <c r="X591" i="4"/>
  <c r="X592" i="4"/>
  <c r="X593" i="4"/>
  <c r="X594" i="4"/>
  <c r="X595" i="4"/>
  <c r="X596" i="4"/>
  <c r="X597" i="4"/>
  <c r="X598" i="4"/>
  <c r="X599" i="4"/>
  <c r="X600" i="4"/>
  <c r="X601" i="4"/>
  <c r="X602" i="4"/>
  <c r="X603" i="4"/>
  <c r="X604" i="4"/>
  <c r="X605" i="4"/>
  <c r="X606" i="4"/>
  <c r="X607" i="4"/>
  <c r="X608" i="4"/>
  <c r="X609" i="4"/>
  <c r="X610" i="4"/>
  <c r="X611" i="4"/>
  <c r="X612" i="4"/>
  <c r="X613" i="4"/>
  <c r="X614" i="4"/>
  <c r="X615" i="4"/>
  <c r="X616" i="4"/>
  <c r="X617" i="4"/>
  <c r="X618" i="4"/>
  <c r="X619" i="4"/>
  <c r="X620" i="4"/>
  <c r="X621" i="4"/>
  <c r="X622" i="4"/>
  <c r="X623" i="4"/>
  <c r="X624" i="4"/>
  <c r="X625" i="4"/>
  <c r="X626" i="4"/>
  <c r="X627" i="4"/>
  <c r="X628" i="4"/>
  <c r="X629" i="4"/>
  <c r="X630" i="4"/>
  <c r="X631" i="4"/>
  <c r="X632" i="4"/>
  <c r="X633" i="4"/>
  <c r="X634" i="4"/>
  <c r="X635" i="4"/>
  <c r="X636" i="4"/>
  <c r="X637" i="4"/>
  <c r="X638" i="4"/>
  <c r="X639" i="4"/>
  <c r="X640" i="4"/>
  <c r="X641" i="4"/>
  <c r="X642" i="4"/>
  <c r="X643" i="4"/>
  <c r="X644" i="4"/>
  <c r="X645" i="4"/>
  <c r="X646" i="4"/>
  <c r="X647" i="4"/>
  <c r="X648" i="4"/>
  <c r="X649" i="4"/>
  <c r="X650" i="4"/>
  <c r="X651" i="4"/>
  <c r="X652" i="4"/>
  <c r="X653" i="4"/>
  <c r="X654" i="4"/>
  <c r="X655" i="4"/>
  <c r="X656" i="4"/>
  <c r="X657" i="4"/>
  <c r="X658" i="4"/>
  <c r="X659" i="4"/>
  <c r="X660" i="4"/>
  <c r="X661" i="4"/>
  <c r="X662" i="4"/>
  <c r="X663" i="4"/>
  <c r="X664" i="4"/>
  <c r="X665" i="4"/>
  <c r="X666" i="4"/>
  <c r="X667" i="4"/>
  <c r="X668" i="4"/>
  <c r="X669" i="4"/>
  <c r="X670" i="4"/>
  <c r="X671" i="4"/>
  <c r="X672" i="4"/>
  <c r="X673" i="4"/>
  <c r="X674" i="4"/>
  <c r="X675" i="4"/>
  <c r="X676" i="4"/>
  <c r="X677" i="4"/>
  <c r="X678" i="4"/>
  <c r="X679" i="4"/>
  <c r="X680" i="4"/>
  <c r="X681" i="4"/>
  <c r="X682" i="4"/>
  <c r="X683" i="4"/>
  <c r="X684" i="4"/>
  <c r="X685" i="4"/>
  <c r="X686" i="4"/>
  <c r="X687" i="4"/>
  <c r="X688" i="4"/>
  <c r="X689" i="4"/>
  <c r="X690" i="4"/>
  <c r="X691" i="4"/>
  <c r="X692" i="4"/>
  <c r="X693" i="4"/>
  <c r="X694" i="4"/>
  <c r="X695" i="4"/>
  <c r="X696" i="4"/>
  <c r="X697" i="4"/>
  <c r="X698" i="4"/>
  <c r="X699" i="4"/>
  <c r="X700" i="4"/>
  <c r="X701" i="4"/>
  <c r="X702" i="4"/>
  <c r="X703" i="4"/>
  <c r="X704" i="4"/>
  <c r="X705" i="4"/>
  <c r="X706" i="4"/>
  <c r="X707" i="4"/>
  <c r="X708" i="4"/>
  <c r="X709" i="4"/>
  <c r="X710" i="4"/>
  <c r="X711" i="4"/>
  <c r="X712" i="4"/>
  <c r="X713" i="4"/>
  <c r="X714" i="4"/>
  <c r="X715" i="4"/>
  <c r="X716" i="4"/>
  <c r="X717" i="4"/>
  <c r="X718" i="4"/>
  <c r="X719" i="4"/>
  <c r="X720" i="4"/>
  <c r="X721" i="4"/>
  <c r="X722" i="4"/>
  <c r="X723" i="4"/>
  <c r="X724" i="4"/>
  <c r="X725" i="4"/>
  <c r="X726" i="4"/>
  <c r="X727" i="4"/>
  <c r="X728" i="4"/>
  <c r="X729" i="4"/>
  <c r="X730" i="4"/>
  <c r="X731" i="4"/>
  <c r="X732" i="4"/>
  <c r="X733" i="4"/>
  <c r="X734" i="4"/>
  <c r="X735" i="4"/>
  <c r="X736" i="4"/>
  <c r="X737" i="4"/>
  <c r="X738" i="4"/>
  <c r="X739" i="4"/>
  <c r="X740" i="4"/>
  <c r="X741" i="4"/>
  <c r="X742" i="4"/>
  <c r="X743" i="4"/>
  <c r="X744" i="4"/>
  <c r="X745" i="4"/>
  <c r="X746" i="4"/>
  <c r="X747" i="4"/>
  <c r="X748" i="4"/>
  <c r="X749" i="4"/>
  <c r="X750" i="4"/>
  <c r="X751" i="4"/>
  <c r="X752" i="4"/>
  <c r="X753" i="4"/>
  <c r="X754" i="4"/>
  <c r="X755" i="4"/>
  <c r="X756" i="4"/>
  <c r="X757" i="4"/>
  <c r="X758" i="4"/>
  <c r="X759" i="4"/>
  <c r="X760" i="4"/>
  <c r="X761" i="4"/>
  <c r="X762" i="4"/>
  <c r="X763" i="4"/>
  <c r="X764" i="4"/>
  <c r="X765" i="4"/>
  <c r="X766" i="4"/>
  <c r="X767" i="4"/>
  <c r="X768" i="4"/>
  <c r="X769" i="4"/>
  <c r="X770" i="4"/>
  <c r="X771" i="4"/>
  <c r="X772" i="4"/>
  <c r="X773" i="4"/>
  <c r="X774" i="4"/>
  <c r="X775" i="4"/>
  <c r="X776" i="4"/>
  <c r="X777" i="4"/>
  <c r="X778" i="4"/>
  <c r="X779" i="4"/>
  <c r="X780" i="4"/>
  <c r="X781" i="4"/>
  <c r="X782" i="4"/>
  <c r="X783" i="4"/>
  <c r="X784" i="4"/>
  <c r="X785" i="4"/>
  <c r="X786" i="4"/>
  <c r="X787" i="4"/>
  <c r="X788" i="4"/>
  <c r="X789" i="4"/>
  <c r="X790" i="4"/>
  <c r="X791" i="4"/>
  <c r="X792" i="4"/>
  <c r="X793" i="4"/>
  <c r="X794" i="4"/>
  <c r="X795" i="4"/>
  <c r="X796" i="4"/>
  <c r="X797" i="4"/>
  <c r="X798" i="4"/>
  <c r="X799" i="4"/>
  <c r="X800" i="4"/>
  <c r="X801" i="4"/>
  <c r="X802" i="4"/>
  <c r="X803" i="4"/>
  <c r="X804" i="4"/>
  <c r="X805" i="4"/>
  <c r="X806" i="4"/>
  <c r="X807" i="4"/>
  <c r="X808" i="4"/>
  <c r="X809" i="4"/>
  <c r="X810" i="4"/>
  <c r="X811" i="4"/>
  <c r="X812" i="4"/>
  <c r="X813" i="4"/>
  <c r="X814" i="4"/>
  <c r="X815" i="4"/>
  <c r="X816" i="4"/>
  <c r="X817" i="4"/>
  <c r="X818" i="4"/>
  <c r="X819" i="4"/>
  <c r="X820" i="4"/>
  <c r="X821" i="4"/>
  <c r="X822" i="4"/>
  <c r="X823" i="4"/>
  <c r="X824" i="4"/>
  <c r="X825" i="4"/>
  <c r="X826" i="4"/>
  <c r="X827" i="4"/>
  <c r="X828" i="4"/>
  <c r="X829" i="4"/>
  <c r="X830" i="4"/>
  <c r="X831" i="4"/>
  <c r="X832" i="4"/>
  <c r="X833" i="4"/>
  <c r="X834" i="4"/>
  <c r="X835" i="4"/>
  <c r="X836" i="4"/>
  <c r="X837" i="4"/>
  <c r="X838" i="4"/>
  <c r="X839" i="4"/>
  <c r="X840" i="4"/>
  <c r="X841" i="4"/>
  <c r="X842" i="4"/>
  <c r="X843" i="4"/>
  <c r="X844" i="4"/>
  <c r="X845" i="4"/>
  <c r="X846" i="4"/>
  <c r="X847" i="4"/>
  <c r="X848" i="4"/>
  <c r="X849" i="4"/>
  <c r="X850" i="4"/>
  <c r="X851" i="4"/>
  <c r="X852" i="4"/>
  <c r="X853" i="4"/>
  <c r="X854" i="4"/>
  <c r="X855" i="4"/>
  <c r="X856" i="4"/>
  <c r="X857" i="4"/>
  <c r="X858" i="4"/>
  <c r="X859" i="4"/>
  <c r="X860" i="4"/>
  <c r="X861" i="4"/>
  <c r="X862" i="4"/>
  <c r="X863" i="4"/>
  <c r="X864" i="4"/>
  <c r="X865" i="4"/>
  <c r="X866" i="4"/>
  <c r="X867" i="4"/>
  <c r="X868" i="4"/>
  <c r="X869" i="4"/>
  <c r="X870" i="4"/>
  <c r="X871" i="4"/>
  <c r="X872" i="4"/>
  <c r="X873" i="4"/>
  <c r="X874" i="4"/>
  <c r="X875" i="4"/>
  <c r="X876" i="4"/>
  <c r="X877" i="4"/>
  <c r="X878" i="4"/>
  <c r="X879" i="4"/>
  <c r="X880" i="4"/>
  <c r="X881" i="4"/>
  <c r="X882" i="4"/>
  <c r="X883" i="4"/>
  <c r="X884" i="4"/>
  <c r="X885" i="4"/>
  <c r="X886" i="4"/>
  <c r="X887" i="4"/>
  <c r="X888" i="4"/>
  <c r="X889" i="4"/>
  <c r="X890" i="4"/>
  <c r="X891" i="4"/>
  <c r="X892" i="4"/>
  <c r="X893" i="4"/>
  <c r="X894" i="4"/>
  <c r="X895" i="4"/>
  <c r="X896" i="4"/>
  <c r="X897" i="4"/>
  <c r="X898" i="4"/>
  <c r="X899" i="4"/>
  <c r="X900" i="4"/>
  <c r="X901" i="4"/>
  <c r="X902" i="4"/>
  <c r="X903" i="4"/>
  <c r="X904" i="4"/>
  <c r="X905" i="4"/>
  <c r="X906" i="4"/>
  <c r="X907" i="4"/>
  <c r="X908" i="4"/>
  <c r="X909" i="4"/>
  <c r="X910" i="4"/>
  <c r="X911" i="4"/>
  <c r="X912" i="4"/>
  <c r="X913" i="4"/>
  <c r="X914" i="4"/>
  <c r="X915" i="4"/>
  <c r="X916" i="4"/>
  <c r="X917" i="4"/>
  <c r="X918" i="4"/>
  <c r="X919" i="4"/>
  <c r="X920" i="4"/>
  <c r="X921" i="4"/>
  <c r="X922" i="4"/>
  <c r="X923" i="4"/>
  <c r="X924" i="4"/>
  <c r="X925" i="4"/>
  <c r="X926" i="4"/>
  <c r="X927" i="4"/>
  <c r="X928" i="4"/>
  <c r="X929" i="4"/>
  <c r="X930" i="4"/>
  <c r="X931" i="4"/>
  <c r="X932" i="4"/>
  <c r="X933" i="4"/>
  <c r="X934" i="4"/>
  <c r="X935" i="4"/>
  <c r="X936" i="4"/>
  <c r="X937" i="4"/>
  <c r="X938" i="4"/>
  <c r="X939" i="4"/>
  <c r="X940" i="4"/>
  <c r="X941" i="4"/>
  <c r="X942" i="4"/>
  <c r="X943" i="4"/>
  <c r="X944" i="4"/>
  <c r="X945" i="4"/>
  <c r="X946" i="4"/>
  <c r="X947" i="4"/>
  <c r="X948" i="4"/>
  <c r="X949" i="4"/>
  <c r="X950" i="4"/>
  <c r="X951" i="4"/>
  <c r="X952" i="4"/>
  <c r="X953" i="4"/>
  <c r="X954" i="4"/>
  <c r="X955" i="4"/>
  <c r="X956" i="4"/>
  <c r="X957" i="4"/>
  <c r="X958" i="4"/>
  <c r="X959" i="4"/>
  <c r="X960" i="4"/>
  <c r="X961" i="4"/>
  <c r="X962" i="4"/>
  <c r="X963" i="4"/>
  <c r="X964" i="4"/>
  <c r="X965" i="4"/>
  <c r="X966" i="4"/>
  <c r="X967" i="4"/>
  <c r="X968" i="4"/>
  <c r="X969" i="4"/>
  <c r="X970" i="4"/>
  <c r="X971" i="4"/>
  <c r="X972" i="4"/>
  <c r="X973" i="4"/>
  <c r="X974" i="4"/>
  <c r="X975" i="4"/>
  <c r="X976" i="4"/>
  <c r="X977" i="4"/>
  <c r="X978" i="4"/>
  <c r="X979" i="4"/>
  <c r="X980" i="4"/>
  <c r="X981" i="4"/>
  <c r="X982" i="4"/>
  <c r="X983" i="4"/>
  <c r="X984" i="4"/>
  <c r="X985" i="4"/>
  <c r="X986" i="4"/>
  <c r="X987" i="4"/>
  <c r="X988" i="4"/>
  <c r="X989" i="4"/>
  <c r="X990" i="4"/>
  <c r="X991" i="4"/>
  <c r="X992" i="4"/>
  <c r="X993" i="4"/>
  <c r="X994" i="4"/>
  <c r="X995" i="4"/>
  <c r="X996" i="4"/>
  <c r="X997" i="4"/>
  <c r="X998" i="4"/>
  <c r="X999" i="4"/>
  <c r="X1000" i="4"/>
  <c r="X1001" i="4"/>
  <c r="X1002" i="4"/>
  <c r="X1003" i="4"/>
  <c r="X1004" i="4"/>
  <c r="X1005" i="4"/>
  <c r="X1006" i="4"/>
  <c r="X1007" i="4"/>
  <c r="X1008" i="4"/>
  <c r="X1009" i="4"/>
  <c r="X1010" i="4"/>
  <c r="X1011" i="4"/>
  <c r="X1012" i="4"/>
  <c r="X1013" i="4"/>
  <c r="X1014" i="4"/>
  <c r="X1015" i="4"/>
  <c r="X1016" i="4"/>
  <c r="X1017" i="4"/>
  <c r="X1018" i="4"/>
  <c r="X1019" i="4"/>
  <c r="X1020" i="4"/>
  <c r="X1021" i="4"/>
  <c r="X1022" i="4"/>
  <c r="X1023" i="4"/>
  <c r="X1024" i="4"/>
  <c r="X1025" i="4"/>
  <c r="X1026" i="4"/>
  <c r="X1027" i="4"/>
  <c r="X1028" i="4"/>
  <c r="X1029" i="4"/>
  <c r="X1030" i="4"/>
  <c r="X1031" i="4"/>
  <c r="X1032" i="4"/>
  <c r="X1033" i="4"/>
  <c r="X1034" i="4"/>
  <c r="X1035" i="4"/>
  <c r="X1036" i="4"/>
  <c r="X1037" i="4"/>
  <c r="X1038" i="4"/>
  <c r="X1039" i="4"/>
  <c r="X1040" i="4"/>
  <c r="X1041" i="4"/>
  <c r="X1042" i="4"/>
  <c r="X1043" i="4"/>
  <c r="X1044" i="4"/>
  <c r="X1045" i="4"/>
  <c r="X1046" i="4"/>
  <c r="X1047" i="4"/>
  <c r="X1048" i="4"/>
  <c r="X1049" i="4"/>
  <c r="X1050" i="4"/>
  <c r="X1051" i="4"/>
  <c r="X1052" i="4"/>
  <c r="X1053" i="4"/>
  <c r="X1054" i="4"/>
  <c r="X1055" i="4"/>
  <c r="X1056" i="4"/>
  <c r="X1057" i="4"/>
  <c r="X1058" i="4"/>
  <c r="X1059" i="4"/>
  <c r="X1060" i="4"/>
  <c r="X1061" i="4"/>
  <c r="X1062" i="4"/>
  <c r="X1063" i="4"/>
  <c r="X1064" i="4"/>
  <c r="X1065" i="4"/>
  <c r="X1066" i="4"/>
  <c r="X1067" i="4"/>
  <c r="X1068" i="4"/>
  <c r="X1069" i="4"/>
  <c r="X1070" i="4"/>
  <c r="X1071" i="4"/>
  <c r="X1072" i="4"/>
  <c r="X1073" i="4"/>
  <c r="X1074" i="4"/>
  <c r="X1075" i="4"/>
  <c r="X1076" i="4"/>
  <c r="X1077" i="4"/>
  <c r="X1078" i="4"/>
  <c r="X1079" i="4"/>
  <c r="X1080" i="4"/>
  <c r="X1081" i="4"/>
  <c r="X1082" i="4"/>
  <c r="X1083" i="4"/>
  <c r="X1084" i="4"/>
  <c r="X1085" i="4"/>
  <c r="X1086" i="4"/>
  <c r="X1087" i="4"/>
  <c r="X1088" i="4"/>
  <c r="X1089" i="4"/>
  <c r="X1090" i="4"/>
  <c r="X1091" i="4"/>
  <c r="X1092" i="4"/>
  <c r="X1093" i="4"/>
  <c r="X1094" i="4"/>
  <c r="X1095" i="4"/>
  <c r="X1096" i="4"/>
  <c r="X1097" i="4"/>
  <c r="X1098" i="4"/>
  <c r="X1099" i="4"/>
  <c r="X1100" i="4"/>
  <c r="X1101" i="4"/>
  <c r="X1102" i="4"/>
  <c r="X1103" i="4"/>
  <c r="X1104" i="4"/>
  <c r="X1105" i="4"/>
  <c r="X1106" i="4"/>
  <c r="X1107" i="4"/>
  <c r="X1108" i="4"/>
  <c r="X1109" i="4"/>
  <c r="X1110" i="4"/>
  <c r="X1111" i="4"/>
  <c r="X1112" i="4"/>
  <c r="X1113" i="4"/>
  <c r="X1114" i="4"/>
  <c r="X1115" i="4"/>
  <c r="X1116" i="4"/>
  <c r="X1117" i="4"/>
  <c r="X1118" i="4"/>
  <c r="X1119" i="4"/>
  <c r="X1120" i="4"/>
  <c r="X1121" i="4"/>
  <c r="X1122" i="4"/>
  <c r="X1123" i="4"/>
  <c r="X1124" i="4"/>
  <c r="X1125" i="4"/>
  <c r="X1126" i="4"/>
  <c r="X1127" i="4"/>
  <c r="X1128" i="4"/>
  <c r="X1129" i="4"/>
  <c r="X1130" i="4"/>
  <c r="X1131" i="4"/>
  <c r="X1132" i="4"/>
  <c r="X1133" i="4"/>
  <c r="X1134" i="4"/>
  <c r="X1135" i="4"/>
  <c r="X1136" i="4"/>
  <c r="X1137" i="4"/>
  <c r="X1138" i="4"/>
  <c r="X1139" i="4"/>
  <c r="X1140" i="4"/>
  <c r="X1141" i="4"/>
  <c r="X1142" i="4"/>
  <c r="X1143" i="4"/>
  <c r="X1144" i="4"/>
  <c r="X1145" i="4"/>
  <c r="X1146" i="4"/>
  <c r="X1147" i="4"/>
  <c r="X1148" i="4"/>
  <c r="X1149" i="4"/>
  <c r="X1150" i="4"/>
  <c r="X1151" i="4"/>
  <c r="X1152" i="4"/>
  <c r="X1153" i="4"/>
  <c r="X1154" i="4"/>
  <c r="X1155" i="4"/>
  <c r="X1156" i="4"/>
  <c r="X1157" i="4"/>
  <c r="X1158" i="4"/>
  <c r="X1159" i="4"/>
  <c r="X1160" i="4"/>
  <c r="X1161" i="4"/>
  <c r="X1162" i="4"/>
  <c r="X1163" i="4"/>
  <c r="X1164" i="4"/>
  <c r="X1165" i="4"/>
  <c r="X1166" i="4"/>
  <c r="X1167" i="4"/>
  <c r="X1168" i="4"/>
  <c r="X1169" i="4"/>
  <c r="X1170" i="4"/>
  <c r="X1171" i="4"/>
  <c r="X1172" i="4"/>
  <c r="X1173" i="4"/>
  <c r="X1174" i="4"/>
  <c r="X1175" i="4"/>
  <c r="X1176" i="4"/>
  <c r="X1177" i="4"/>
  <c r="X1178" i="4"/>
  <c r="X1179" i="4"/>
  <c r="X1180" i="4"/>
  <c r="X1181" i="4"/>
  <c r="X1182" i="4"/>
  <c r="X1183" i="4"/>
  <c r="X1184" i="4"/>
  <c r="X1185" i="4"/>
  <c r="X1186" i="4"/>
  <c r="X1187" i="4"/>
  <c r="X1188" i="4"/>
  <c r="X1189" i="4"/>
  <c r="X1190" i="4"/>
  <c r="X1191" i="4"/>
  <c r="X1192" i="4"/>
  <c r="X1193" i="4"/>
  <c r="X1194" i="4"/>
  <c r="X1195" i="4"/>
  <c r="X1196" i="4"/>
  <c r="X1197" i="4"/>
  <c r="X1198" i="4"/>
  <c r="X1199" i="4"/>
  <c r="X1200" i="4"/>
  <c r="X1201" i="4"/>
  <c r="X1202" i="4"/>
  <c r="X1203" i="4"/>
  <c r="X1204" i="4"/>
  <c r="X1205" i="4"/>
  <c r="X1206" i="4"/>
  <c r="X1207" i="4"/>
  <c r="X1208" i="4"/>
  <c r="X1209" i="4"/>
  <c r="X1210" i="4"/>
  <c r="X1211" i="4"/>
  <c r="X1212" i="4"/>
  <c r="X1213" i="4"/>
  <c r="X1214" i="4"/>
  <c r="X1215" i="4"/>
  <c r="X1216" i="4"/>
  <c r="X1217" i="4"/>
  <c r="X1218" i="4"/>
  <c r="X1219" i="4"/>
  <c r="X1220" i="4"/>
  <c r="X1221" i="4"/>
  <c r="X1222" i="4"/>
  <c r="X1223" i="4"/>
  <c r="X1224" i="4"/>
  <c r="X1225" i="4"/>
  <c r="X1226" i="4"/>
  <c r="X1227" i="4"/>
  <c r="X1228" i="4"/>
  <c r="X1229" i="4"/>
  <c r="X1230" i="4"/>
  <c r="X1231" i="4"/>
  <c r="X1232" i="4"/>
  <c r="X1233" i="4"/>
  <c r="X1234" i="4"/>
  <c r="X1235" i="4"/>
  <c r="X1236" i="4"/>
  <c r="X1237" i="4"/>
  <c r="X1238" i="4"/>
  <c r="X1239" i="4"/>
  <c r="X1240" i="4"/>
  <c r="X1241" i="4"/>
  <c r="X1242" i="4"/>
  <c r="X1243" i="4"/>
  <c r="X1244" i="4"/>
  <c r="X1245" i="4"/>
  <c r="X1246" i="4"/>
  <c r="X1247" i="4"/>
  <c r="X1248" i="4"/>
  <c r="X1249" i="4"/>
  <c r="X1250" i="4"/>
  <c r="X1251" i="4"/>
  <c r="X1252" i="4"/>
  <c r="X1253" i="4"/>
  <c r="X1254" i="4"/>
  <c r="X1255" i="4"/>
  <c r="X1256" i="4"/>
  <c r="X1257" i="4"/>
  <c r="X1258" i="4"/>
  <c r="X1259" i="4"/>
  <c r="X1260" i="4"/>
  <c r="X1261" i="4"/>
  <c r="X1262" i="4"/>
  <c r="X1263" i="4"/>
  <c r="X1264" i="4"/>
  <c r="X1265" i="4"/>
  <c r="X1266" i="4"/>
  <c r="X1267" i="4"/>
  <c r="X1268" i="4"/>
  <c r="X1269" i="4"/>
  <c r="X1270" i="4"/>
  <c r="X1271" i="4"/>
  <c r="X1272" i="4"/>
  <c r="X1273" i="4"/>
  <c r="X1274" i="4"/>
  <c r="X1275" i="4"/>
  <c r="X1276" i="4"/>
  <c r="X1277" i="4"/>
  <c r="X1278" i="4"/>
  <c r="X1279" i="4"/>
  <c r="X1280" i="4"/>
  <c r="X1281" i="4"/>
  <c r="X1282" i="4"/>
  <c r="X1283" i="4"/>
  <c r="X1284" i="4"/>
  <c r="X1285" i="4"/>
  <c r="X1286" i="4"/>
  <c r="X1287" i="4"/>
  <c r="X1288" i="4"/>
  <c r="X1289" i="4"/>
  <c r="X1290" i="4"/>
  <c r="X1291" i="4"/>
  <c r="X1292" i="4"/>
  <c r="X1293" i="4"/>
  <c r="X1294" i="4"/>
  <c r="X1295" i="4"/>
  <c r="X1296" i="4"/>
  <c r="X1297" i="4"/>
  <c r="X1298" i="4"/>
  <c r="X1299" i="4"/>
  <c r="X1300" i="4"/>
  <c r="X1301" i="4"/>
  <c r="X1302" i="4"/>
  <c r="X1303" i="4"/>
  <c r="X1304" i="4"/>
  <c r="X1305" i="4"/>
  <c r="X1306" i="4"/>
  <c r="X1307" i="4"/>
  <c r="X1308" i="4"/>
  <c r="X1309" i="4"/>
  <c r="X1310" i="4"/>
  <c r="X1311" i="4"/>
  <c r="X1312" i="4"/>
  <c r="X1313" i="4"/>
  <c r="X1314" i="4"/>
  <c r="X1315" i="4"/>
  <c r="X1316" i="4"/>
  <c r="X1317" i="4"/>
  <c r="X1318" i="4"/>
  <c r="X1319" i="4"/>
  <c r="X1320" i="4"/>
  <c r="X1321" i="4"/>
  <c r="X1322" i="4"/>
  <c r="X1323" i="4"/>
  <c r="X1324" i="4"/>
  <c r="X1325" i="4"/>
  <c r="X1326" i="4"/>
  <c r="X1327" i="4"/>
  <c r="X1328" i="4"/>
  <c r="X1329" i="4"/>
  <c r="X1330" i="4"/>
  <c r="X1331" i="4"/>
  <c r="X1332" i="4"/>
  <c r="X1333" i="4"/>
  <c r="X1334" i="4"/>
  <c r="X1335" i="4"/>
  <c r="X1336" i="4"/>
  <c r="X1337" i="4"/>
  <c r="X1338" i="4"/>
  <c r="X1339" i="4"/>
  <c r="X1340" i="4"/>
  <c r="X1341" i="4"/>
  <c r="X1342" i="4"/>
  <c r="X1343" i="4"/>
  <c r="X1344" i="4"/>
  <c r="X1345" i="4"/>
  <c r="X1346" i="4"/>
  <c r="X1347" i="4"/>
  <c r="X1348" i="4"/>
  <c r="X1349" i="4"/>
  <c r="X1350" i="4"/>
  <c r="X1351" i="4"/>
  <c r="X1352" i="4"/>
  <c r="X1353" i="4"/>
  <c r="X1354" i="4"/>
  <c r="X1355" i="4"/>
  <c r="X1356" i="4"/>
  <c r="X1357" i="4"/>
  <c r="X1358" i="4"/>
  <c r="X1359" i="4"/>
  <c r="X1360" i="4"/>
  <c r="X1361" i="4"/>
  <c r="X1362" i="4"/>
  <c r="X1363" i="4"/>
  <c r="X1364" i="4"/>
  <c r="X1365" i="4"/>
  <c r="X1366" i="4"/>
  <c r="X1367" i="4"/>
  <c r="X1368" i="4"/>
  <c r="X1369" i="4"/>
  <c r="X1370" i="4"/>
  <c r="X1371" i="4"/>
  <c r="X1372" i="4"/>
  <c r="X1373" i="4"/>
  <c r="X1374" i="4"/>
  <c r="X1375" i="4"/>
  <c r="X1376" i="4"/>
  <c r="X1377" i="4"/>
  <c r="X1378" i="4"/>
  <c r="X1379" i="4"/>
  <c r="X1380" i="4"/>
  <c r="X1381" i="4"/>
  <c r="X1382" i="4"/>
  <c r="X1383" i="4"/>
  <c r="X1384" i="4"/>
  <c r="X1385" i="4"/>
  <c r="X1386" i="4"/>
  <c r="X1387" i="4"/>
  <c r="X1388" i="4"/>
  <c r="X1389" i="4"/>
  <c r="X1390" i="4"/>
  <c r="X1391" i="4"/>
  <c r="X1392" i="4"/>
  <c r="X1393" i="4"/>
  <c r="X1394" i="4"/>
  <c r="X1395" i="4"/>
  <c r="X1396" i="4"/>
  <c r="X1397" i="4"/>
  <c r="X1398" i="4"/>
  <c r="X1399" i="4"/>
  <c r="X1400" i="4"/>
  <c r="X1401" i="4"/>
  <c r="X1402" i="4"/>
  <c r="X1403" i="4"/>
  <c r="X1404" i="4"/>
  <c r="X1405" i="4"/>
  <c r="X1406" i="4"/>
  <c r="X1407" i="4"/>
  <c r="X1408" i="4"/>
  <c r="X1409" i="4"/>
  <c r="X1410" i="4"/>
  <c r="X1411" i="4"/>
  <c r="X1412" i="4"/>
  <c r="X1413" i="4"/>
  <c r="X1414" i="4"/>
  <c r="X1415" i="4"/>
  <c r="X1416" i="4"/>
  <c r="X1417" i="4"/>
  <c r="X1418" i="4"/>
  <c r="X1419" i="4"/>
  <c r="X1420" i="4"/>
  <c r="X1421" i="4"/>
  <c r="X1422" i="4"/>
  <c r="X1423" i="4"/>
  <c r="X1424" i="4"/>
  <c r="X1425" i="4"/>
  <c r="X1426" i="4"/>
  <c r="X1427" i="4"/>
  <c r="X1428" i="4"/>
  <c r="X1429" i="4"/>
  <c r="X1430" i="4"/>
  <c r="X1431" i="4"/>
  <c r="X1432" i="4"/>
  <c r="X1433" i="4"/>
  <c r="X1434" i="4"/>
  <c r="X1435" i="4"/>
  <c r="X1436" i="4"/>
  <c r="X1437" i="4"/>
  <c r="X1438" i="4"/>
  <c r="X1439" i="4"/>
  <c r="X1440" i="4"/>
  <c r="X1441" i="4"/>
  <c r="X1442" i="4"/>
  <c r="X1443" i="4"/>
  <c r="X1444" i="4"/>
  <c r="X1445" i="4"/>
  <c r="X1446" i="4"/>
  <c r="X1447" i="4"/>
  <c r="X1448" i="4"/>
  <c r="X1449" i="4"/>
  <c r="X1450" i="4"/>
  <c r="X1451" i="4"/>
  <c r="X1452" i="4"/>
  <c r="X1453" i="4"/>
  <c r="X1454" i="4"/>
  <c r="X1455" i="4"/>
  <c r="X1456" i="4"/>
  <c r="X1457" i="4"/>
  <c r="X1458" i="4"/>
  <c r="X1459" i="4"/>
  <c r="X1460" i="4"/>
  <c r="X1461" i="4"/>
  <c r="X1462" i="4"/>
  <c r="X1463" i="4"/>
  <c r="X1464" i="4"/>
  <c r="X1465" i="4"/>
  <c r="X1466" i="4"/>
  <c r="X1467" i="4"/>
  <c r="X1468" i="4"/>
  <c r="X1469" i="4"/>
  <c r="X1470" i="4"/>
  <c r="X1471" i="4"/>
  <c r="X1472" i="4"/>
  <c r="X1473" i="4"/>
  <c r="X1474" i="4"/>
  <c r="X1475" i="4"/>
  <c r="X1476" i="4"/>
  <c r="X1477" i="4"/>
  <c r="X1478" i="4"/>
  <c r="X1479" i="4"/>
  <c r="X1480" i="4"/>
  <c r="X1481" i="4"/>
  <c r="X1482" i="4"/>
  <c r="X1483" i="4"/>
  <c r="X1484" i="4"/>
  <c r="X1485" i="4"/>
  <c r="X1486" i="4"/>
  <c r="X1487" i="4"/>
  <c r="X1488" i="4"/>
  <c r="X1489" i="4"/>
  <c r="X1490" i="4"/>
  <c r="X1491" i="4"/>
  <c r="X1492" i="4"/>
  <c r="X1493" i="4"/>
  <c r="X1494" i="4"/>
  <c r="X1495" i="4"/>
  <c r="X1496" i="4"/>
  <c r="X1497" i="4"/>
  <c r="X1498" i="4"/>
  <c r="X1499" i="4"/>
  <c r="X1500" i="4"/>
  <c r="X1501" i="4"/>
  <c r="X1502" i="4"/>
  <c r="X1503" i="4"/>
  <c r="X1504" i="4"/>
  <c r="X1505" i="4"/>
  <c r="X1506" i="4"/>
  <c r="X1507" i="4"/>
  <c r="X1508" i="4"/>
  <c r="X1509" i="4"/>
  <c r="X1510" i="4"/>
  <c r="X1511" i="4"/>
  <c r="X1512" i="4"/>
  <c r="X1513" i="4"/>
  <c r="X1514" i="4"/>
  <c r="X1515" i="4"/>
  <c r="X1516" i="4"/>
  <c r="X1517" i="4"/>
  <c r="X1518" i="4"/>
  <c r="X1519" i="4"/>
  <c r="X1520" i="4"/>
  <c r="X1521" i="4"/>
  <c r="X1522" i="4"/>
  <c r="X1523" i="4"/>
  <c r="X1524" i="4"/>
  <c r="X1525" i="4"/>
  <c r="X1526" i="4"/>
  <c r="X1527" i="4"/>
  <c r="X1528" i="4"/>
  <c r="X1529" i="4"/>
  <c r="X1530" i="4"/>
  <c r="X1531" i="4"/>
  <c r="X1532" i="4"/>
  <c r="X1533" i="4"/>
  <c r="X1534" i="4"/>
  <c r="X1535" i="4"/>
  <c r="X1536" i="4"/>
  <c r="X1537" i="4"/>
  <c r="X1538" i="4"/>
  <c r="X1539" i="4"/>
  <c r="X1540" i="4"/>
  <c r="X1541" i="4"/>
  <c r="X1542" i="4"/>
  <c r="X1543" i="4"/>
  <c r="X1544" i="4"/>
  <c r="X1545" i="4"/>
  <c r="X1546" i="4"/>
  <c r="X1547" i="4"/>
  <c r="X1548" i="4"/>
  <c r="X1549" i="4"/>
  <c r="X1550" i="4"/>
  <c r="X1551" i="4"/>
  <c r="X1552" i="4"/>
  <c r="X1553" i="4"/>
  <c r="X1554" i="4"/>
  <c r="X1555" i="4"/>
  <c r="X1556" i="4"/>
  <c r="X1557" i="4"/>
  <c r="X1558" i="4"/>
  <c r="X1559" i="4"/>
  <c r="X1560" i="4"/>
  <c r="X1561" i="4"/>
  <c r="X1562" i="4"/>
  <c r="X1563" i="4"/>
  <c r="X1564" i="4"/>
  <c r="X1565" i="4"/>
  <c r="X1566" i="4"/>
  <c r="X1567" i="4"/>
  <c r="X1568" i="4"/>
  <c r="X1569" i="4"/>
  <c r="X1570" i="4"/>
  <c r="X1571" i="4"/>
  <c r="X1572" i="4"/>
  <c r="X1573" i="4"/>
  <c r="X1574" i="4"/>
  <c r="X1575" i="4"/>
  <c r="X1576" i="4"/>
  <c r="X1577" i="4"/>
  <c r="X1578" i="4"/>
  <c r="X1579" i="4"/>
  <c r="X1580" i="4"/>
  <c r="X1581" i="4"/>
  <c r="X1582" i="4"/>
  <c r="X1583" i="4"/>
  <c r="X1584" i="4"/>
  <c r="X1585" i="4"/>
  <c r="X1586" i="4"/>
  <c r="X1587" i="4"/>
  <c r="X1588" i="4"/>
  <c r="X1589" i="4"/>
  <c r="X1590" i="4"/>
  <c r="X1591" i="4"/>
  <c r="X1592" i="4"/>
  <c r="X1593" i="4"/>
  <c r="X1594" i="4"/>
  <c r="X1595" i="4"/>
  <c r="X1596" i="4"/>
  <c r="X1597" i="4"/>
  <c r="X1598" i="4"/>
  <c r="X1599" i="4"/>
  <c r="X1600" i="4"/>
  <c r="X1601" i="4"/>
  <c r="X1602" i="4"/>
  <c r="X1603" i="4"/>
  <c r="X1604" i="4"/>
  <c r="X1605" i="4"/>
  <c r="X1606" i="4"/>
  <c r="X1607" i="4"/>
  <c r="X1608" i="4"/>
  <c r="X1609" i="4"/>
  <c r="X1610" i="4"/>
  <c r="X1611" i="4"/>
  <c r="X1612" i="4"/>
  <c r="X1613" i="4"/>
  <c r="X1614" i="4"/>
  <c r="X1615" i="4"/>
  <c r="X1616" i="4"/>
  <c r="X1617" i="4"/>
  <c r="X1618" i="4"/>
  <c r="X1619" i="4"/>
  <c r="X1620" i="4"/>
  <c r="X1621" i="4"/>
  <c r="X1622" i="4"/>
  <c r="X1623" i="4"/>
  <c r="X1624" i="4"/>
  <c r="X1625" i="4"/>
  <c r="X1626" i="4"/>
  <c r="X1627" i="4"/>
  <c r="X1628" i="4"/>
  <c r="X1629" i="4"/>
  <c r="X1630" i="4"/>
  <c r="X1631" i="4"/>
  <c r="X1632" i="4"/>
  <c r="X1633" i="4"/>
  <c r="X1634" i="4"/>
  <c r="X1635" i="4"/>
  <c r="X1636" i="4"/>
  <c r="X1637" i="4"/>
  <c r="X1638" i="4"/>
  <c r="X1639" i="4"/>
  <c r="X1640" i="4"/>
  <c r="X1641" i="4"/>
  <c r="X1642" i="4"/>
  <c r="X1643" i="4"/>
  <c r="X1644" i="4"/>
  <c r="X1645" i="4"/>
  <c r="X1646" i="4"/>
  <c r="X1647" i="4"/>
  <c r="X1648" i="4"/>
  <c r="X1649" i="4"/>
  <c r="X1650" i="4"/>
  <c r="X1651" i="4"/>
  <c r="X1652" i="4"/>
  <c r="X1653" i="4"/>
  <c r="X1654" i="4"/>
  <c r="X1655" i="4"/>
  <c r="X1656" i="4"/>
  <c r="X1657" i="4"/>
  <c r="X1658" i="4"/>
  <c r="X1659" i="4"/>
  <c r="X1660" i="4"/>
  <c r="X1661" i="4"/>
  <c r="X1662" i="4"/>
  <c r="X1663" i="4"/>
  <c r="X1664" i="4"/>
  <c r="X1665" i="4"/>
  <c r="X1666" i="4"/>
  <c r="X1667" i="4"/>
  <c r="X1668" i="4"/>
  <c r="X1669" i="4"/>
  <c r="X1670" i="4"/>
  <c r="X1671" i="4"/>
  <c r="X1672" i="4"/>
  <c r="X1673" i="4"/>
  <c r="X1674" i="4"/>
  <c r="X1675" i="4"/>
  <c r="X1676" i="4"/>
  <c r="X1677" i="4"/>
  <c r="X1678" i="4"/>
  <c r="X1679" i="4"/>
  <c r="X1680" i="4"/>
  <c r="X1681" i="4"/>
  <c r="X1682" i="4"/>
  <c r="X1683" i="4"/>
  <c r="X1684" i="4"/>
  <c r="X1685" i="4"/>
  <c r="X1686" i="4"/>
  <c r="X1687" i="4"/>
  <c r="X1688" i="4"/>
  <c r="X1689" i="4"/>
  <c r="X1690" i="4"/>
  <c r="X1691" i="4"/>
  <c r="X1692" i="4"/>
  <c r="X1693" i="4"/>
  <c r="X1694" i="4"/>
  <c r="X1695" i="4"/>
  <c r="X1696" i="4"/>
  <c r="X1697" i="4"/>
  <c r="X1698" i="4"/>
  <c r="X1699" i="4"/>
  <c r="X1700" i="4"/>
  <c r="X1701" i="4"/>
  <c r="X1702" i="4"/>
  <c r="X1703" i="4"/>
  <c r="X1704" i="4"/>
  <c r="X1705" i="4"/>
  <c r="X1706" i="4"/>
  <c r="X1707" i="4"/>
  <c r="X1708" i="4"/>
  <c r="X1709" i="4"/>
  <c r="X1710" i="4"/>
  <c r="X1711" i="4"/>
  <c r="X1712" i="4"/>
  <c r="X1713" i="4"/>
  <c r="X1714" i="4"/>
  <c r="X1715" i="4"/>
  <c r="X1716" i="4"/>
  <c r="X1717" i="4"/>
  <c r="X1718" i="4"/>
  <c r="X1719" i="4"/>
  <c r="X1720" i="4"/>
  <c r="X1721" i="4"/>
  <c r="X1722" i="4"/>
  <c r="X1723" i="4"/>
  <c r="X1724" i="4"/>
  <c r="X1725" i="4"/>
  <c r="X1726" i="4"/>
  <c r="X1727" i="4"/>
  <c r="X1728" i="4"/>
  <c r="X1729" i="4"/>
  <c r="X1730" i="4"/>
  <c r="X1731" i="4"/>
  <c r="X1732" i="4"/>
  <c r="X1733" i="4"/>
  <c r="X1734" i="4"/>
  <c r="X1735" i="4"/>
  <c r="X1736" i="4"/>
  <c r="X1737" i="4"/>
  <c r="X1738" i="4"/>
  <c r="X1739" i="4"/>
  <c r="X1740" i="4"/>
  <c r="X1741" i="4"/>
  <c r="X1742" i="4"/>
  <c r="X1743" i="4"/>
  <c r="X1744" i="4"/>
  <c r="X1745" i="4"/>
  <c r="X1746" i="4"/>
  <c r="X1747" i="4"/>
  <c r="X1748" i="4"/>
  <c r="X1749" i="4"/>
  <c r="X1750" i="4"/>
  <c r="X1751" i="4"/>
  <c r="X1752" i="4"/>
  <c r="X1753" i="4"/>
  <c r="X1754" i="4"/>
  <c r="X1755" i="4"/>
  <c r="X1756" i="4"/>
  <c r="X1757" i="4"/>
  <c r="X1758" i="4"/>
  <c r="X1759" i="4"/>
  <c r="X1760" i="4"/>
  <c r="X1761" i="4"/>
  <c r="X1762" i="4"/>
  <c r="X1763" i="4"/>
  <c r="X1764" i="4"/>
  <c r="X1765" i="4"/>
  <c r="X1766" i="4"/>
  <c r="X1767" i="4"/>
  <c r="X1768" i="4"/>
  <c r="X1769" i="4"/>
  <c r="X1770" i="4"/>
  <c r="X1771" i="4"/>
  <c r="X1772" i="4"/>
  <c r="X1773" i="4"/>
  <c r="X1774" i="4"/>
  <c r="X1775" i="4"/>
  <c r="X1776" i="4"/>
  <c r="X1777" i="4"/>
  <c r="X1778" i="4"/>
  <c r="X1779" i="4"/>
  <c r="X1780" i="4"/>
  <c r="X1781" i="4"/>
  <c r="X1782" i="4"/>
  <c r="X1783" i="4"/>
  <c r="X1784" i="4"/>
  <c r="X1785" i="4"/>
  <c r="X1786" i="4"/>
  <c r="X1787" i="4"/>
  <c r="X1788" i="4"/>
  <c r="X1789" i="4"/>
  <c r="X1790" i="4"/>
  <c r="X1791" i="4"/>
  <c r="X1792" i="4"/>
  <c r="X1793" i="4"/>
  <c r="X1794" i="4"/>
  <c r="X1795" i="4"/>
  <c r="X1796" i="4"/>
  <c r="X1797" i="4"/>
  <c r="X1798" i="4"/>
  <c r="X1799" i="4"/>
  <c r="X1800" i="4"/>
  <c r="X1801" i="4"/>
  <c r="X1802" i="4"/>
  <c r="X1803" i="4"/>
  <c r="X1804" i="4"/>
  <c r="X1805" i="4"/>
  <c r="X1806" i="4"/>
  <c r="X1807" i="4"/>
  <c r="X1808" i="4"/>
  <c r="X1809" i="4"/>
  <c r="X1810" i="4"/>
  <c r="X1811" i="4"/>
  <c r="X1812" i="4"/>
  <c r="X1813" i="4"/>
  <c r="X1814" i="4"/>
  <c r="X1815" i="4"/>
  <c r="X1816" i="4"/>
  <c r="X1817" i="4"/>
  <c r="X1818" i="4"/>
  <c r="X1819" i="4"/>
  <c r="X1820" i="4"/>
  <c r="X1821" i="4"/>
  <c r="X1822" i="4"/>
  <c r="X1823" i="4"/>
  <c r="X1824" i="4"/>
  <c r="X1825" i="4"/>
  <c r="X1826" i="4"/>
  <c r="X1827" i="4"/>
  <c r="X1828" i="4"/>
  <c r="X1829" i="4"/>
  <c r="X1830" i="4"/>
  <c r="X1831" i="4"/>
  <c r="X1832" i="4"/>
  <c r="X1833" i="4"/>
  <c r="X1834" i="4"/>
  <c r="X1835" i="4"/>
  <c r="X1836" i="4"/>
  <c r="X1837" i="4"/>
  <c r="X1838" i="4"/>
  <c r="X1839" i="4"/>
  <c r="X1840" i="4"/>
  <c r="X1841" i="4"/>
  <c r="X1842" i="4"/>
  <c r="X1843" i="4"/>
  <c r="X1844" i="4"/>
  <c r="X1845" i="4"/>
  <c r="X1846" i="4"/>
  <c r="X1847" i="4"/>
  <c r="X1848" i="4"/>
  <c r="X1849" i="4"/>
  <c r="X1850" i="4"/>
  <c r="X1851" i="4"/>
  <c r="X1852" i="4"/>
  <c r="X1853" i="4"/>
  <c r="X1854" i="4"/>
  <c r="X1855" i="4"/>
  <c r="X1856" i="4"/>
  <c r="X1857" i="4"/>
  <c r="X1858" i="4"/>
  <c r="X1859" i="4"/>
  <c r="X1860" i="4"/>
  <c r="X1861" i="4"/>
  <c r="X1862" i="4"/>
  <c r="X1863" i="4"/>
  <c r="X1864" i="4"/>
  <c r="X1865" i="4"/>
  <c r="X1866" i="4"/>
  <c r="X1867" i="4"/>
  <c r="X1868" i="4"/>
  <c r="X1869" i="4"/>
  <c r="X1870" i="4"/>
  <c r="X1871" i="4"/>
  <c r="X1872" i="4"/>
  <c r="X1873" i="4"/>
  <c r="X1874" i="4"/>
  <c r="X1875" i="4"/>
  <c r="X1876" i="4"/>
  <c r="X1877" i="4"/>
  <c r="X1878" i="4"/>
  <c r="X1879" i="4"/>
  <c r="X1880" i="4"/>
  <c r="X1881" i="4"/>
  <c r="X1882" i="4"/>
  <c r="X1883" i="4"/>
  <c r="X1884" i="4"/>
  <c r="X1885" i="4"/>
  <c r="X1886" i="4"/>
  <c r="X1887" i="4"/>
  <c r="X1888" i="4"/>
  <c r="X1889" i="4"/>
  <c r="X1890" i="4"/>
  <c r="X1891" i="4"/>
  <c r="X1892" i="4"/>
  <c r="X1893" i="4"/>
  <c r="X1894" i="4"/>
  <c r="X1895" i="4"/>
  <c r="X1896" i="4"/>
  <c r="X1897" i="4"/>
  <c r="X1898" i="4"/>
  <c r="X1899" i="4"/>
  <c r="X1900" i="4"/>
  <c r="X1901" i="4"/>
  <c r="X1902" i="4"/>
  <c r="X1903" i="4"/>
  <c r="X1904" i="4"/>
  <c r="X1905" i="4"/>
  <c r="X1906" i="4"/>
  <c r="X1907" i="4"/>
  <c r="X1908" i="4"/>
  <c r="X1909" i="4"/>
  <c r="X1910" i="4"/>
  <c r="X1911" i="4"/>
  <c r="X1912" i="4"/>
  <c r="X1913" i="4"/>
  <c r="X1914" i="4"/>
  <c r="X1915" i="4"/>
  <c r="X1916" i="4"/>
  <c r="X1917" i="4"/>
  <c r="X1918" i="4"/>
  <c r="X1919" i="4"/>
  <c r="X1920" i="4"/>
  <c r="X1921" i="4"/>
  <c r="X1922" i="4"/>
  <c r="X1923" i="4"/>
  <c r="X1924" i="4"/>
  <c r="X1925" i="4"/>
  <c r="X1926" i="4"/>
  <c r="X1927" i="4"/>
  <c r="X1928" i="4"/>
  <c r="X1929" i="4"/>
  <c r="X1930" i="4"/>
  <c r="X1931" i="4"/>
  <c r="X1932" i="4"/>
  <c r="X1933" i="4"/>
  <c r="X1934" i="4"/>
  <c r="X1935" i="4"/>
  <c r="X1936" i="4"/>
  <c r="X1937" i="4"/>
  <c r="X1938" i="4"/>
  <c r="X1939" i="4"/>
  <c r="X1940" i="4"/>
  <c r="X1941" i="4"/>
  <c r="X1942" i="4"/>
  <c r="X1943" i="4"/>
  <c r="X1944" i="4"/>
  <c r="X1945" i="4"/>
  <c r="X1946" i="4"/>
  <c r="X1947" i="4"/>
  <c r="X1948" i="4"/>
  <c r="X1949" i="4"/>
  <c r="X1950" i="4"/>
  <c r="X1951" i="4"/>
  <c r="X1952" i="4"/>
  <c r="X1953" i="4"/>
  <c r="X1954" i="4"/>
  <c r="X1955" i="4"/>
  <c r="X1956" i="4"/>
  <c r="X1957" i="4"/>
  <c r="X1958" i="4"/>
  <c r="X1959" i="4"/>
  <c r="X1960" i="4"/>
  <c r="X1961" i="4"/>
  <c r="X1962" i="4"/>
  <c r="X1963" i="4"/>
  <c r="X1964" i="4"/>
  <c r="X1965" i="4"/>
  <c r="X1966" i="4"/>
  <c r="X1967" i="4"/>
  <c r="X1968" i="4"/>
  <c r="X1969" i="4"/>
  <c r="X1970" i="4"/>
  <c r="X1971" i="4"/>
  <c r="X1972" i="4"/>
  <c r="X1973" i="4"/>
  <c r="X1974" i="4"/>
  <c r="X1975" i="4"/>
  <c r="X1976" i="4"/>
  <c r="X1977" i="4"/>
  <c r="X1978" i="4"/>
  <c r="X1979" i="4"/>
  <c r="X1980" i="4"/>
  <c r="X1981" i="4"/>
  <c r="X1982" i="4"/>
  <c r="X1983" i="4"/>
  <c r="X1984" i="4"/>
  <c r="X1985" i="4"/>
  <c r="X1986" i="4"/>
  <c r="X1987" i="4"/>
  <c r="X1988" i="4"/>
  <c r="X1989" i="4"/>
  <c r="X1990" i="4"/>
  <c r="X1991" i="4"/>
  <c r="X1992" i="4"/>
  <c r="X1993" i="4"/>
  <c r="X1994" i="4"/>
  <c r="X1995" i="4"/>
  <c r="X1996" i="4"/>
  <c r="X1997" i="4"/>
  <c r="X1998" i="4"/>
  <c r="X1999" i="4"/>
  <c r="X2000" i="4"/>
  <c r="X2001" i="4"/>
  <c r="X2002" i="4"/>
  <c r="X2003" i="4"/>
  <c r="X2004" i="4"/>
  <c r="X2005" i="4"/>
  <c r="X2006" i="4"/>
  <c r="X2007" i="4"/>
  <c r="X2008" i="4"/>
  <c r="X2009" i="4"/>
  <c r="X2010" i="4"/>
  <c r="X2011" i="4"/>
  <c r="X2012" i="4"/>
  <c r="X2013" i="4"/>
  <c r="X2014" i="4"/>
  <c r="X2015" i="4"/>
  <c r="X2016" i="4"/>
  <c r="X2017" i="4"/>
  <c r="X2018" i="4"/>
  <c r="X2019" i="4"/>
  <c r="X2020" i="4"/>
  <c r="X2021" i="4"/>
  <c r="X2022" i="4"/>
  <c r="X2023" i="4"/>
  <c r="X2024" i="4"/>
  <c r="X2025" i="4"/>
  <c r="X2026" i="4"/>
  <c r="X2027" i="4"/>
  <c r="X2028" i="4"/>
  <c r="X2029" i="4"/>
  <c r="X2030" i="4"/>
  <c r="X2031" i="4"/>
  <c r="X2032" i="4"/>
  <c r="X2033" i="4"/>
  <c r="X2034" i="4"/>
  <c r="X2035" i="4"/>
  <c r="X2036" i="4"/>
  <c r="X2037" i="4"/>
  <c r="X2038" i="4"/>
  <c r="X2039" i="4"/>
  <c r="X2040" i="4"/>
  <c r="X2041" i="4"/>
  <c r="X2042" i="4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6" i="5"/>
  <c r="X7" i="5"/>
  <c r="X5" i="5"/>
  <c r="X4" i="5"/>
  <c r="X8" i="5"/>
  <c r="X9" i="5"/>
  <c r="X10" i="5"/>
  <c r="X11" i="5"/>
  <c r="X12" i="5"/>
  <c r="X13" i="5"/>
  <c r="X14" i="5"/>
  <c r="X15" i="5"/>
  <c r="X16" i="5"/>
  <c r="X17" i="5"/>
  <c r="X18" i="5"/>
  <c r="X19" i="5"/>
  <c r="X20" i="5"/>
  <c r="X21" i="5"/>
  <c r="X22" i="5"/>
  <c r="X23" i="5"/>
  <c r="X24" i="5"/>
  <c r="X25" i="5"/>
  <c r="X26" i="5"/>
  <c r="X27" i="5"/>
  <c r="X28" i="5"/>
  <c r="X29" i="5"/>
  <c r="X30" i="5"/>
  <c r="X31" i="5"/>
  <c r="X32" i="5"/>
  <c r="X33" i="5"/>
  <c r="X34" i="5"/>
  <c r="X35" i="5"/>
  <c r="X36" i="5"/>
  <c r="X37" i="5"/>
  <c r="X38" i="5"/>
  <c r="X39" i="5"/>
  <c r="X40" i="5"/>
  <c r="X41" i="5"/>
  <c r="X42" i="5"/>
  <c r="X43" i="5"/>
  <c r="X44" i="5"/>
  <c r="X45" i="5"/>
  <c r="X46" i="5"/>
  <c r="X47" i="5"/>
  <c r="X48" i="5"/>
  <c r="X49" i="5"/>
  <c r="X50" i="5"/>
  <c r="X51" i="5"/>
  <c r="X52" i="5"/>
  <c r="X53" i="5"/>
  <c r="X54" i="5"/>
  <c r="X55" i="5"/>
  <c r="X56" i="5"/>
  <c r="X57" i="5"/>
  <c r="X58" i="5"/>
  <c r="X59" i="5"/>
  <c r="X60" i="5"/>
  <c r="X61" i="5"/>
  <c r="X62" i="5"/>
  <c r="X63" i="5"/>
  <c r="X64" i="5"/>
  <c r="X65" i="5"/>
  <c r="X66" i="5"/>
  <c r="X67" i="5"/>
  <c r="X68" i="5"/>
  <c r="X69" i="5"/>
  <c r="X70" i="5"/>
  <c r="X71" i="5"/>
  <c r="X72" i="5"/>
  <c r="X73" i="5"/>
  <c r="X74" i="5"/>
  <c r="X75" i="5"/>
  <c r="X76" i="5"/>
  <c r="X77" i="5"/>
  <c r="X78" i="5"/>
  <c r="X79" i="5"/>
  <c r="X80" i="5"/>
  <c r="X81" i="5"/>
  <c r="X82" i="5"/>
  <c r="X83" i="5"/>
  <c r="X84" i="5"/>
  <c r="X85" i="5"/>
  <c r="X86" i="5"/>
  <c r="X87" i="5"/>
  <c r="X88" i="5"/>
  <c r="X89" i="5"/>
  <c r="X90" i="5"/>
  <c r="X91" i="5"/>
  <c r="X92" i="5"/>
  <c r="X93" i="5"/>
  <c r="X94" i="5"/>
  <c r="X95" i="5"/>
  <c r="X96" i="5"/>
  <c r="X97" i="5"/>
  <c r="X98" i="5"/>
  <c r="X99" i="5"/>
  <c r="X100" i="5"/>
  <c r="X101" i="5"/>
  <c r="X102" i="5"/>
  <c r="X103" i="5"/>
  <c r="X104" i="5"/>
  <c r="X105" i="5"/>
  <c r="X106" i="5"/>
  <c r="X107" i="5"/>
  <c r="X108" i="5"/>
  <c r="X109" i="5"/>
  <c r="X110" i="5"/>
  <c r="X111" i="5"/>
  <c r="X112" i="5"/>
  <c r="X113" i="5"/>
  <c r="X114" i="5"/>
  <c r="X115" i="5"/>
  <c r="X116" i="5"/>
  <c r="X117" i="5"/>
  <c r="X118" i="5"/>
  <c r="X119" i="5"/>
  <c r="X120" i="5"/>
  <c r="X121" i="5"/>
  <c r="X122" i="5"/>
  <c r="X123" i="5"/>
  <c r="X124" i="5"/>
  <c r="X125" i="5"/>
  <c r="X126" i="5"/>
  <c r="X127" i="5"/>
  <c r="X128" i="5"/>
  <c r="X129" i="5"/>
  <c r="X130" i="5"/>
  <c r="X131" i="5"/>
  <c r="X132" i="5"/>
  <c r="X133" i="5"/>
  <c r="X134" i="5"/>
  <c r="X135" i="5"/>
  <c r="X136" i="5"/>
  <c r="X137" i="5"/>
  <c r="X138" i="5"/>
  <c r="X139" i="5"/>
  <c r="X140" i="5"/>
  <c r="X141" i="5"/>
  <c r="X142" i="5"/>
  <c r="X143" i="5"/>
  <c r="X144" i="5"/>
  <c r="X145" i="5"/>
  <c r="X146" i="5"/>
  <c r="X147" i="5"/>
  <c r="X148" i="5"/>
  <c r="X149" i="5"/>
  <c r="X150" i="5"/>
  <c r="X151" i="5"/>
  <c r="X152" i="5"/>
  <c r="X153" i="5"/>
  <c r="X154" i="5"/>
  <c r="X155" i="5"/>
  <c r="X156" i="5"/>
  <c r="X157" i="5"/>
  <c r="X158" i="5"/>
  <c r="X159" i="5"/>
  <c r="X160" i="5"/>
  <c r="X161" i="5"/>
  <c r="X162" i="5"/>
  <c r="X163" i="5"/>
  <c r="X164" i="5"/>
  <c r="X165" i="5"/>
  <c r="X166" i="5"/>
  <c r="X167" i="5"/>
  <c r="X168" i="5"/>
  <c r="X169" i="5"/>
  <c r="X170" i="5"/>
  <c r="X171" i="5"/>
  <c r="X172" i="5"/>
  <c r="X173" i="5"/>
  <c r="X174" i="5"/>
  <c r="X175" i="5"/>
  <c r="X176" i="5"/>
  <c r="X177" i="5"/>
  <c r="X178" i="5"/>
  <c r="X179" i="5"/>
  <c r="X180" i="5"/>
  <c r="X181" i="5"/>
  <c r="X182" i="5"/>
  <c r="X183" i="5"/>
  <c r="X184" i="5"/>
  <c r="X185" i="5"/>
  <c r="X186" i="5"/>
  <c r="X187" i="5"/>
  <c r="X188" i="5"/>
  <c r="X189" i="5"/>
  <c r="X190" i="5"/>
  <c r="X191" i="5"/>
  <c r="X192" i="5"/>
  <c r="X193" i="5"/>
  <c r="X194" i="5"/>
  <c r="X195" i="5"/>
  <c r="X196" i="5"/>
  <c r="X197" i="5"/>
  <c r="X198" i="5"/>
  <c r="X199" i="5"/>
  <c r="X200" i="5"/>
  <c r="X201" i="5"/>
  <c r="X202" i="5"/>
  <c r="X203" i="5"/>
  <c r="X204" i="5"/>
  <c r="X205" i="5"/>
  <c r="X206" i="5"/>
  <c r="X207" i="5"/>
  <c r="X208" i="5"/>
  <c r="X209" i="5"/>
  <c r="X210" i="5"/>
  <c r="X211" i="5"/>
  <c r="X212" i="5"/>
  <c r="X213" i="5"/>
  <c r="X214" i="5"/>
  <c r="X215" i="5"/>
  <c r="X216" i="5"/>
  <c r="X217" i="5"/>
  <c r="X218" i="5"/>
  <c r="X219" i="5"/>
  <c r="X220" i="5"/>
  <c r="X221" i="5"/>
  <c r="X222" i="5"/>
  <c r="X223" i="5"/>
  <c r="X224" i="5"/>
  <c r="X225" i="5"/>
  <c r="X226" i="5"/>
  <c r="X227" i="5"/>
  <c r="X228" i="5"/>
  <c r="X229" i="5"/>
  <c r="X230" i="5"/>
  <c r="X231" i="5"/>
  <c r="X232" i="5"/>
  <c r="X233" i="5"/>
  <c r="X234" i="5"/>
  <c r="X235" i="5"/>
  <c r="X236" i="5"/>
  <c r="X237" i="5"/>
  <c r="X238" i="5"/>
  <c r="X239" i="5"/>
  <c r="X240" i="5"/>
  <c r="X241" i="5"/>
  <c r="X242" i="5"/>
  <c r="X243" i="5"/>
  <c r="X244" i="5"/>
  <c r="X245" i="5"/>
  <c r="X246" i="5"/>
  <c r="X247" i="5"/>
  <c r="X248" i="5"/>
  <c r="X249" i="5"/>
  <c r="X250" i="5"/>
  <c r="X251" i="5"/>
  <c r="X252" i="5"/>
  <c r="X253" i="5"/>
  <c r="X254" i="5"/>
  <c r="X255" i="5"/>
  <c r="X256" i="5"/>
  <c r="X257" i="5"/>
  <c r="X258" i="5"/>
  <c r="X259" i="5"/>
  <c r="X260" i="5"/>
  <c r="X261" i="5"/>
  <c r="X262" i="5"/>
  <c r="X263" i="5"/>
  <c r="X264" i="5"/>
  <c r="X265" i="5"/>
  <c r="X266" i="5"/>
  <c r="X267" i="5"/>
  <c r="X268" i="5"/>
  <c r="X269" i="5"/>
  <c r="X270" i="5"/>
  <c r="X271" i="5"/>
  <c r="X272" i="5"/>
  <c r="X273" i="5"/>
  <c r="X274" i="5"/>
  <c r="X275" i="5"/>
  <c r="X276" i="5"/>
  <c r="X277" i="5"/>
  <c r="X278" i="5"/>
  <c r="X279" i="5"/>
  <c r="X280" i="5"/>
  <c r="X281" i="5"/>
  <c r="X282" i="5"/>
  <c r="X283" i="5"/>
  <c r="X284" i="5"/>
  <c r="X285" i="5"/>
  <c r="X286" i="5"/>
  <c r="X287" i="5"/>
  <c r="X288" i="5"/>
  <c r="X289" i="5"/>
  <c r="X290" i="5"/>
  <c r="X291" i="5"/>
  <c r="X292" i="5"/>
  <c r="X293" i="5"/>
  <c r="X294" i="5"/>
  <c r="X295" i="5"/>
  <c r="X296" i="5"/>
  <c r="X297" i="5"/>
  <c r="X298" i="5"/>
  <c r="X299" i="5"/>
  <c r="X300" i="5"/>
  <c r="X301" i="5"/>
  <c r="X302" i="5"/>
  <c r="X303" i="5"/>
  <c r="X304" i="5"/>
  <c r="X305" i="5"/>
  <c r="X306" i="5"/>
  <c r="X307" i="5"/>
  <c r="X308" i="5"/>
  <c r="X309" i="5"/>
  <c r="X310" i="5"/>
  <c r="X311" i="5"/>
  <c r="X312" i="5"/>
  <c r="X313" i="5"/>
  <c r="X314" i="5"/>
  <c r="X315" i="5"/>
  <c r="X316" i="5"/>
  <c r="X317" i="5"/>
  <c r="X318" i="5"/>
  <c r="X319" i="5"/>
  <c r="X320" i="5"/>
  <c r="X321" i="5"/>
  <c r="X322" i="5"/>
  <c r="X323" i="5"/>
  <c r="X324" i="5"/>
  <c r="X325" i="5"/>
  <c r="X326" i="5"/>
  <c r="X327" i="5"/>
  <c r="X328" i="5"/>
  <c r="X329" i="5"/>
  <c r="X330" i="5"/>
  <c r="X331" i="5"/>
  <c r="X332" i="5"/>
  <c r="X333" i="5"/>
  <c r="X334" i="5"/>
  <c r="X335" i="5"/>
  <c r="X336" i="5"/>
  <c r="X337" i="5"/>
  <c r="X338" i="5"/>
  <c r="X339" i="5"/>
  <c r="X340" i="5"/>
  <c r="X341" i="5"/>
  <c r="X342" i="5"/>
  <c r="X343" i="5"/>
  <c r="X344" i="5"/>
  <c r="X345" i="5"/>
  <c r="X346" i="5"/>
  <c r="X347" i="5"/>
  <c r="X348" i="5"/>
  <c r="X349" i="5"/>
  <c r="X350" i="5"/>
  <c r="X351" i="5"/>
  <c r="X352" i="5"/>
  <c r="X353" i="5"/>
  <c r="X354" i="5"/>
  <c r="X355" i="5"/>
  <c r="X356" i="5"/>
  <c r="X357" i="5"/>
  <c r="X358" i="5"/>
  <c r="X359" i="5"/>
  <c r="X360" i="5"/>
  <c r="X361" i="5"/>
  <c r="X362" i="5"/>
  <c r="X363" i="5"/>
  <c r="X364" i="5"/>
  <c r="X365" i="5"/>
  <c r="X366" i="5"/>
  <c r="X367" i="5"/>
  <c r="X368" i="5"/>
  <c r="X369" i="5"/>
  <c r="X370" i="5"/>
  <c r="X371" i="5"/>
  <c r="X372" i="5"/>
  <c r="X373" i="5"/>
  <c r="X374" i="5"/>
  <c r="X375" i="5"/>
  <c r="X376" i="5"/>
  <c r="X377" i="5"/>
  <c r="X378" i="5"/>
  <c r="X379" i="5"/>
  <c r="X380" i="5"/>
  <c r="X381" i="5"/>
  <c r="X382" i="5"/>
  <c r="X383" i="5"/>
  <c r="X384" i="5"/>
  <c r="X385" i="5"/>
  <c r="X386" i="5"/>
  <c r="X387" i="5"/>
  <c r="X388" i="5"/>
  <c r="X389" i="5"/>
  <c r="X390" i="5"/>
  <c r="X391" i="5"/>
  <c r="X392" i="5"/>
  <c r="X393" i="5"/>
  <c r="X394" i="5"/>
  <c r="X395" i="5"/>
  <c r="X396" i="5"/>
  <c r="X397" i="5"/>
  <c r="X398" i="5"/>
  <c r="X399" i="5"/>
  <c r="X400" i="5"/>
  <c r="X401" i="5"/>
  <c r="X402" i="5"/>
  <c r="X403" i="5"/>
  <c r="X404" i="5"/>
  <c r="X405" i="5"/>
  <c r="X406" i="5"/>
  <c r="X407" i="5"/>
  <c r="X408" i="5"/>
  <c r="X409" i="5"/>
  <c r="X410" i="5"/>
  <c r="X411" i="5"/>
  <c r="X412" i="5"/>
  <c r="X413" i="5"/>
  <c r="X414" i="5"/>
  <c r="X415" i="5"/>
  <c r="X416" i="5"/>
  <c r="X417" i="5"/>
  <c r="X418" i="5"/>
  <c r="X419" i="5"/>
  <c r="X420" i="5"/>
  <c r="X421" i="5"/>
  <c r="X422" i="5"/>
  <c r="X423" i="5"/>
  <c r="X424" i="5"/>
  <c r="X425" i="5"/>
  <c r="X426" i="5"/>
  <c r="X427" i="5"/>
  <c r="X428" i="5"/>
  <c r="X429" i="5"/>
  <c r="X430" i="5"/>
  <c r="X431" i="5"/>
  <c r="X432" i="5"/>
  <c r="X433" i="5"/>
  <c r="X434" i="5"/>
  <c r="X435" i="5"/>
  <c r="X436" i="5"/>
  <c r="X437" i="5"/>
  <c r="X438" i="5"/>
  <c r="X439" i="5"/>
  <c r="X440" i="5"/>
  <c r="X441" i="5"/>
  <c r="X442" i="5"/>
  <c r="X443" i="5"/>
  <c r="X444" i="5"/>
  <c r="X445" i="5"/>
  <c r="X446" i="5"/>
  <c r="X447" i="5"/>
  <c r="X448" i="5"/>
  <c r="X449" i="5"/>
  <c r="X450" i="5"/>
  <c r="X451" i="5"/>
  <c r="X452" i="5"/>
  <c r="X453" i="5"/>
  <c r="X454" i="5"/>
  <c r="X455" i="5"/>
  <c r="X456" i="5"/>
  <c r="X457" i="5"/>
  <c r="X458" i="5"/>
  <c r="X459" i="5"/>
  <c r="X460" i="5"/>
  <c r="X461" i="5"/>
  <c r="X462" i="5"/>
  <c r="X463" i="5"/>
  <c r="X464" i="5"/>
  <c r="X465" i="5"/>
  <c r="X466" i="5"/>
  <c r="X467" i="5"/>
  <c r="X468" i="5"/>
  <c r="X469" i="5"/>
  <c r="X470" i="5"/>
  <c r="X471" i="5"/>
  <c r="X472" i="5"/>
  <c r="X473" i="5"/>
  <c r="X474" i="5"/>
  <c r="X475" i="5"/>
  <c r="X476" i="5"/>
  <c r="X477" i="5"/>
  <c r="X478" i="5"/>
  <c r="X479" i="5"/>
  <c r="X480" i="5"/>
  <c r="X481" i="5"/>
  <c r="X482" i="5"/>
  <c r="X483" i="5"/>
  <c r="X484" i="5"/>
  <c r="X485" i="5"/>
  <c r="X486" i="5"/>
  <c r="X487" i="5"/>
  <c r="X488" i="5"/>
  <c r="X489" i="5"/>
  <c r="X490" i="5"/>
  <c r="X491" i="5"/>
  <c r="X492" i="5"/>
  <c r="X493" i="5"/>
  <c r="X494" i="5"/>
  <c r="X495" i="5"/>
  <c r="X496" i="5"/>
  <c r="X497" i="5"/>
  <c r="X498" i="5"/>
  <c r="X499" i="5"/>
  <c r="X500" i="5"/>
  <c r="X501" i="5"/>
  <c r="X502" i="5"/>
  <c r="X503" i="5"/>
  <c r="X504" i="5"/>
  <c r="X505" i="5"/>
  <c r="X506" i="5"/>
  <c r="X507" i="5"/>
  <c r="X508" i="5"/>
  <c r="X509" i="5"/>
  <c r="X510" i="5"/>
  <c r="X511" i="5"/>
  <c r="X512" i="5"/>
  <c r="X513" i="5"/>
  <c r="X514" i="5"/>
  <c r="X515" i="5"/>
  <c r="X516" i="5"/>
  <c r="X517" i="5"/>
  <c r="X518" i="5"/>
  <c r="X519" i="5"/>
  <c r="X520" i="5"/>
  <c r="X521" i="5"/>
  <c r="X522" i="5"/>
  <c r="X523" i="5"/>
  <c r="X524" i="5"/>
  <c r="X525" i="5"/>
  <c r="X526" i="5"/>
  <c r="X527" i="5"/>
  <c r="X528" i="5"/>
  <c r="X529" i="5"/>
  <c r="X530" i="5"/>
  <c r="X531" i="5"/>
  <c r="X532" i="5"/>
  <c r="X533" i="5"/>
  <c r="X534" i="5"/>
  <c r="X535" i="5"/>
  <c r="X536" i="5"/>
  <c r="X537" i="5"/>
  <c r="X538" i="5"/>
  <c r="X539" i="5"/>
  <c r="X540" i="5"/>
  <c r="X541" i="5"/>
  <c r="X542" i="5"/>
  <c r="X543" i="5"/>
  <c r="X544" i="5"/>
  <c r="X545" i="5"/>
  <c r="X546" i="5"/>
  <c r="X547" i="5"/>
  <c r="X548" i="5"/>
  <c r="X549" i="5"/>
  <c r="X550" i="5"/>
  <c r="X551" i="5"/>
  <c r="X552" i="5"/>
  <c r="X553" i="5"/>
  <c r="X554" i="5"/>
  <c r="X555" i="5"/>
  <c r="X556" i="5"/>
  <c r="X557" i="5"/>
  <c r="X558" i="5"/>
  <c r="X559" i="5"/>
  <c r="X560" i="5"/>
  <c r="X561" i="5"/>
  <c r="X562" i="5"/>
  <c r="X563" i="5"/>
  <c r="X564" i="5"/>
  <c r="X565" i="5"/>
  <c r="X566" i="5"/>
  <c r="X567" i="5"/>
  <c r="X568" i="5"/>
  <c r="X569" i="5"/>
  <c r="X570" i="5"/>
  <c r="X571" i="5"/>
  <c r="X572" i="5"/>
  <c r="X573" i="5"/>
  <c r="X574" i="5"/>
  <c r="X575" i="5"/>
  <c r="X576" i="5"/>
  <c r="X577" i="5"/>
  <c r="X578" i="5"/>
  <c r="X579" i="5"/>
  <c r="X580" i="5"/>
  <c r="X581" i="5"/>
  <c r="X582" i="5"/>
  <c r="X583" i="5"/>
  <c r="X584" i="5"/>
  <c r="X585" i="5"/>
  <c r="X586" i="5"/>
  <c r="X587" i="5"/>
  <c r="X588" i="5"/>
  <c r="X589" i="5"/>
  <c r="X590" i="5"/>
  <c r="X591" i="5"/>
  <c r="X592" i="5"/>
  <c r="X593" i="5"/>
  <c r="X594" i="5"/>
  <c r="X595" i="5"/>
  <c r="X596" i="5"/>
  <c r="X597" i="5"/>
  <c r="X598" i="5"/>
  <c r="X599" i="5"/>
  <c r="X600" i="5"/>
  <c r="X601" i="5"/>
  <c r="X602" i="5"/>
  <c r="X603" i="5"/>
  <c r="X604" i="5"/>
  <c r="X605" i="5"/>
  <c r="X606" i="5"/>
  <c r="X607" i="5"/>
  <c r="X608" i="5"/>
  <c r="X609" i="5"/>
  <c r="X610" i="5"/>
  <c r="X611" i="5"/>
  <c r="X612" i="5"/>
  <c r="X613" i="5"/>
  <c r="X614" i="5"/>
  <c r="X615" i="5"/>
  <c r="X616" i="5"/>
  <c r="X617" i="5"/>
  <c r="X618" i="5"/>
  <c r="X619" i="5"/>
  <c r="X620" i="5"/>
  <c r="X621" i="5"/>
  <c r="X622" i="5"/>
  <c r="X623" i="5"/>
  <c r="X624" i="5"/>
  <c r="X625" i="5"/>
  <c r="X626" i="5"/>
  <c r="X627" i="5"/>
  <c r="X628" i="5"/>
  <c r="X629" i="5"/>
  <c r="X630" i="5"/>
  <c r="X631" i="5"/>
  <c r="X632" i="5"/>
  <c r="X633" i="5"/>
  <c r="X634" i="5"/>
  <c r="X635" i="5"/>
  <c r="X636" i="5"/>
  <c r="X637" i="5"/>
  <c r="X638" i="5"/>
  <c r="X639" i="5"/>
  <c r="X640" i="5"/>
  <c r="X641" i="5"/>
  <c r="X642" i="5"/>
  <c r="X643" i="5"/>
  <c r="X644" i="5"/>
  <c r="X645" i="5"/>
  <c r="X646" i="5"/>
  <c r="X647" i="5"/>
  <c r="X648" i="5"/>
  <c r="X649" i="5"/>
  <c r="X650" i="5"/>
  <c r="X651" i="5"/>
  <c r="X652" i="5"/>
  <c r="X653" i="5"/>
  <c r="X654" i="5"/>
  <c r="X655" i="5"/>
  <c r="X656" i="5"/>
  <c r="X657" i="5"/>
  <c r="X658" i="5"/>
  <c r="X659" i="5"/>
  <c r="X660" i="5"/>
  <c r="X661" i="5"/>
  <c r="X662" i="5"/>
  <c r="X663" i="5"/>
  <c r="X664" i="5"/>
  <c r="X665" i="5"/>
  <c r="X666" i="5"/>
  <c r="X667" i="5"/>
  <c r="X668" i="5"/>
  <c r="X669" i="5"/>
  <c r="X670" i="5"/>
  <c r="X671" i="5"/>
  <c r="X672" i="5"/>
  <c r="X673" i="5"/>
  <c r="X674" i="5"/>
  <c r="X675" i="5"/>
  <c r="X676" i="5"/>
  <c r="X677" i="5"/>
  <c r="X678" i="5"/>
  <c r="X679" i="5"/>
  <c r="X680" i="5"/>
  <c r="X681" i="5"/>
  <c r="X682" i="5"/>
  <c r="X683" i="5"/>
  <c r="X684" i="5"/>
  <c r="X685" i="5"/>
  <c r="X686" i="5"/>
  <c r="X687" i="5"/>
  <c r="X688" i="5"/>
  <c r="X689" i="5"/>
  <c r="X690" i="5"/>
  <c r="X691" i="5"/>
  <c r="X692" i="5"/>
  <c r="X693" i="5"/>
  <c r="X694" i="5"/>
  <c r="X695" i="5"/>
  <c r="X696" i="5"/>
  <c r="X697" i="5"/>
  <c r="X698" i="5"/>
  <c r="X699" i="5"/>
  <c r="X700" i="5"/>
  <c r="X701" i="5"/>
  <c r="X702" i="5"/>
  <c r="X703" i="5"/>
  <c r="X704" i="5"/>
  <c r="X705" i="5"/>
  <c r="X706" i="5"/>
  <c r="X707" i="5"/>
  <c r="X708" i="5"/>
  <c r="X709" i="5"/>
  <c r="X710" i="5"/>
  <c r="X711" i="5"/>
  <c r="X712" i="5"/>
  <c r="X713" i="5"/>
  <c r="X714" i="5"/>
  <c r="X715" i="5"/>
  <c r="X716" i="5"/>
  <c r="X717" i="5"/>
  <c r="X718" i="5"/>
  <c r="X719" i="5"/>
  <c r="X720" i="5"/>
  <c r="X721" i="5"/>
  <c r="X722" i="5"/>
  <c r="X723" i="5"/>
  <c r="X724" i="5"/>
  <c r="X725" i="5"/>
  <c r="X726" i="5"/>
  <c r="X727" i="5"/>
  <c r="X728" i="5"/>
  <c r="X729" i="5"/>
  <c r="X730" i="5"/>
  <c r="X731" i="5"/>
  <c r="X732" i="5"/>
  <c r="X733" i="5"/>
  <c r="X734" i="5"/>
  <c r="X735" i="5"/>
  <c r="X736" i="5"/>
  <c r="X737" i="5"/>
  <c r="X738" i="5"/>
  <c r="X739" i="5"/>
  <c r="X740" i="5"/>
  <c r="X741" i="5"/>
  <c r="X742" i="5"/>
  <c r="X743" i="5"/>
  <c r="X744" i="5"/>
  <c r="X745" i="5"/>
  <c r="X746" i="5"/>
  <c r="X747" i="5"/>
  <c r="X748" i="5"/>
  <c r="X749" i="5"/>
  <c r="X750" i="5"/>
  <c r="X751" i="5"/>
  <c r="X752" i="5"/>
  <c r="X753" i="5"/>
  <c r="X754" i="5"/>
  <c r="X755" i="5"/>
  <c r="X756" i="5"/>
  <c r="X757" i="5"/>
  <c r="X758" i="5"/>
  <c r="X759" i="5"/>
  <c r="X760" i="5"/>
  <c r="X761" i="5"/>
  <c r="X762" i="5"/>
  <c r="X763" i="5"/>
  <c r="X764" i="5"/>
  <c r="X765" i="5"/>
  <c r="X766" i="5"/>
  <c r="X767" i="5"/>
  <c r="X768" i="5"/>
  <c r="X769" i="5"/>
  <c r="X770" i="5"/>
  <c r="X771" i="5"/>
  <c r="X772" i="5"/>
  <c r="X773" i="5"/>
  <c r="X774" i="5"/>
  <c r="X775" i="5"/>
  <c r="X776" i="5"/>
  <c r="X777" i="5"/>
  <c r="X778" i="5"/>
  <c r="X779" i="5"/>
  <c r="X780" i="5"/>
  <c r="X781" i="5"/>
  <c r="X782" i="5"/>
  <c r="X783" i="5"/>
  <c r="X784" i="5"/>
  <c r="X785" i="5"/>
  <c r="X786" i="5"/>
  <c r="X787" i="5"/>
  <c r="X788" i="5"/>
  <c r="X789" i="5"/>
  <c r="X790" i="5"/>
  <c r="X791" i="5"/>
  <c r="X792" i="5"/>
  <c r="X793" i="5"/>
  <c r="X794" i="5"/>
  <c r="X795" i="5"/>
  <c r="X796" i="5"/>
  <c r="X797" i="5"/>
  <c r="X798" i="5"/>
  <c r="X799" i="5"/>
  <c r="X800" i="5"/>
  <c r="X801" i="5"/>
  <c r="X802" i="5"/>
  <c r="X803" i="5"/>
  <c r="X804" i="5"/>
  <c r="X805" i="5"/>
  <c r="X806" i="5"/>
  <c r="X807" i="5"/>
  <c r="X808" i="5"/>
  <c r="X809" i="5"/>
  <c r="X810" i="5"/>
  <c r="X811" i="5"/>
  <c r="X812" i="5"/>
  <c r="X813" i="5"/>
  <c r="X814" i="5"/>
  <c r="X815" i="5"/>
  <c r="X816" i="5"/>
  <c r="X817" i="5"/>
  <c r="X818" i="5"/>
  <c r="X819" i="5"/>
  <c r="X820" i="5"/>
  <c r="X821" i="5"/>
  <c r="X822" i="5"/>
  <c r="X823" i="5"/>
  <c r="X824" i="5"/>
  <c r="X825" i="5"/>
  <c r="X826" i="5"/>
  <c r="X827" i="5"/>
  <c r="X828" i="5"/>
  <c r="X829" i="5"/>
  <c r="X830" i="5"/>
  <c r="X831" i="5"/>
  <c r="X832" i="5"/>
  <c r="X833" i="5"/>
  <c r="X834" i="5"/>
  <c r="X835" i="5"/>
  <c r="X836" i="5"/>
  <c r="X837" i="5"/>
  <c r="X838" i="5"/>
  <c r="X839" i="5"/>
  <c r="X840" i="5"/>
  <c r="X841" i="5"/>
  <c r="X842" i="5"/>
  <c r="X843" i="5"/>
  <c r="X844" i="5"/>
  <c r="X845" i="5"/>
  <c r="X846" i="5"/>
  <c r="X847" i="5"/>
  <c r="X848" i="5"/>
  <c r="X849" i="5"/>
  <c r="X850" i="5"/>
  <c r="X851" i="5"/>
  <c r="X852" i="5"/>
  <c r="X853" i="5"/>
  <c r="X854" i="5"/>
  <c r="X855" i="5"/>
  <c r="X856" i="5"/>
  <c r="X857" i="5"/>
  <c r="X858" i="5"/>
  <c r="X859" i="5"/>
  <c r="X860" i="5"/>
  <c r="X861" i="5"/>
  <c r="X862" i="5"/>
  <c r="X863" i="5"/>
  <c r="X864" i="5"/>
  <c r="X865" i="5"/>
  <c r="X866" i="5"/>
  <c r="X867" i="5"/>
  <c r="X868" i="5"/>
  <c r="X869" i="5"/>
  <c r="X870" i="5"/>
  <c r="X871" i="5"/>
  <c r="X872" i="5"/>
  <c r="X873" i="5"/>
  <c r="X874" i="5"/>
  <c r="X875" i="5"/>
  <c r="X876" i="5"/>
  <c r="X877" i="5"/>
  <c r="X878" i="5"/>
  <c r="X879" i="5"/>
  <c r="X880" i="5"/>
  <c r="X881" i="5"/>
  <c r="X882" i="5"/>
  <c r="X883" i="5"/>
  <c r="X884" i="5"/>
  <c r="X885" i="5"/>
  <c r="X886" i="5"/>
  <c r="X887" i="5"/>
  <c r="X888" i="5"/>
  <c r="X889" i="5"/>
  <c r="X890" i="5"/>
  <c r="X891" i="5"/>
  <c r="X892" i="5"/>
  <c r="X893" i="5"/>
  <c r="X894" i="5"/>
  <c r="X895" i="5"/>
  <c r="X896" i="5"/>
  <c r="X897" i="5"/>
  <c r="X898" i="5"/>
  <c r="X899" i="5"/>
  <c r="X900" i="5"/>
  <c r="X901" i="5"/>
  <c r="X902" i="5"/>
  <c r="X903" i="5"/>
  <c r="X904" i="5"/>
  <c r="X905" i="5"/>
  <c r="X906" i="5"/>
  <c r="X907" i="5"/>
  <c r="X908" i="5"/>
  <c r="X909" i="5"/>
  <c r="X910" i="5"/>
  <c r="X911" i="5"/>
  <c r="X912" i="5"/>
  <c r="X913" i="5"/>
  <c r="X914" i="5"/>
  <c r="X915" i="5"/>
  <c r="X916" i="5"/>
  <c r="X917" i="5"/>
  <c r="X918" i="5"/>
  <c r="X919" i="5"/>
  <c r="X920" i="5"/>
  <c r="X921" i="5"/>
  <c r="X922" i="5"/>
  <c r="X923" i="5"/>
  <c r="X924" i="5"/>
  <c r="X925" i="5"/>
  <c r="X926" i="5"/>
  <c r="X927" i="5"/>
  <c r="X928" i="5"/>
  <c r="X929" i="5"/>
  <c r="X930" i="5"/>
  <c r="X931" i="5"/>
  <c r="X932" i="5"/>
  <c r="X933" i="5"/>
  <c r="X934" i="5"/>
  <c r="X935" i="5"/>
  <c r="X936" i="5"/>
  <c r="X937" i="5"/>
  <c r="X938" i="5"/>
  <c r="X939" i="5"/>
  <c r="X940" i="5"/>
  <c r="X941" i="5"/>
  <c r="X942" i="5"/>
  <c r="X943" i="5"/>
  <c r="X944" i="5"/>
  <c r="X945" i="5"/>
  <c r="X946" i="5"/>
  <c r="X947" i="5"/>
  <c r="X948" i="5"/>
  <c r="X949" i="5"/>
  <c r="X950" i="5"/>
  <c r="X951" i="5"/>
  <c r="X952" i="5"/>
  <c r="X953" i="5"/>
  <c r="X954" i="5"/>
  <c r="X955" i="5"/>
  <c r="X956" i="5"/>
  <c r="X957" i="5"/>
  <c r="X958" i="5"/>
  <c r="X959" i="5"/>
  <c r="X960" i="5"/>
  <c r="X961" i="5"/>
  <c r="X962" i="5"/>
  <c r="X963" i="5"/>
  <c r="X964" i="5"/>
  <c r="X965" i="5"/>
  <c r="X966" i="5"/>
  <c r="X967" i="5"/>
  <c r="X968" i="5"/>
  <c r="X969" i="5"/>
  <c r="X970" i="5"/>
  <c r="X971" i="5"/>
  <c r="X972" i="5"/>
  <c r="X973" i="5"/>
  <c r="X974" i="5"/>
  <c r="X975" i="5"/>
  <c r="X976" i="5"/>
  <c r="X977" i="5"/>
  <c r="X978" i="5"/>
  <c r="X979" i="5"/>
  <c r="X980" i="5"/>
  <c r="X981" i="5"/>
  <c r="X982" i="5"/>
  <c r="X983" i="5"/>
  <c r="X984" i="5"/>
  <c r="X985" i="5"/>
  <c r="X986" i="5"/>
  <c r="X987" i="5"/>
  <c r="X988" i="5"/>
  <c r="X989" i="5"/>
  <c r="X990" i="5"/>
  <c r="X991" i="5"/>
  <c r="X992" i="5"/>
  <c r="X993" i="5"/>
  <c r="X994" i="5"/>
  <c r="X995" i="5"/>
  <c r="X996" i="5"/>
  <c r="X997" i="5"/>
  <c r="X998" i="5"/>
  <c r="X999" i="5"/>
  <c r="X1000" i="5"/>
  <c r="X1001" i="5"/>
  <c r="X1002" i="5"/>
  <c r="X1003" i="5"/>
  <c r="X1004" i="5"/>
  <c r="X1005" i="5"/>
  <c r="X1006" i="5"/>
  <c r="X1007" i="5"/>
  <c r="X1008" i="5"/>
  <c r="X1009" i="5"/>
  <c r="X1010" i="5"/>
  <c r="X1011" i="5"/>
  <c r="X1012" i="5"/>
  <c r="X1013" i="5"/>
  <c r="X1014" i="5"/>
  <c r="X1015" i="5"/>
  <c r="X1016" i="5"/>
  <c r="X1017" i="5"/>
  <c r="X1018" i="5"/>
  <c r="X1019" i="5"/>
  <c r="X1020" i="5"/>
  <c r="X1021" i="5"/>
  <c r="X1022" i="5"/>
  <c r="X1023" i="5"/>
  <c r="X1024" i="5"/>
  <c r="X1025" i="5"/>
  <c r="X1026" i="5"/>
  <c r="X1027" i="5"/>
  <c r="X1028" i="5"/>
  <c r="X1029" i="5"/>
  <c r="X1030" i="5"/>
  <c r="X1031" i="5"/>
  <c r="X1032" i="5"/>
  <c r="X1033" i="5"/>
  <c r="X1034" i="5"/>
  <c r="X1035" i="5"/>
  <c r="X1036" i="5"/>
  <c r="X1037" i="5"/>
  <c r="X1038" i="5"/>
  <c r="X1039" i="5"/>
  <c r="X1040" i="5"/>
  <c r="X1041" i="5"/>
  <c r="X1042" i="5"/>
  <c r="X1043" i="5"/>
  <c r="X1044" i="5"/>
  <c r="X1045" i="5"/>
  <c r="X1046" i="5"/>
  <c r="X1047" i="5"/>
  <c r="X1048" i="5"/>
  <c r="X1049" i="5"/>
  <c r="X1050" i="5"/>
  <c r="X1051" i="5"/>
  <c r="X1052" i="5"/>
  <c r="X1053" i="5"/>
  <c r="X1054" i="5"/>
  <c r="X1055" i="5"/>
  <c r="X1056" i="5"/>
  <c r="X1057" i="5"/>
  <c r="X1058" i="5"/>
  <c r="X1059" i="5"/>
  <c r="X1060" i="5"/>
  <c r="X1061" i="5"/>
  <c r="X1062" i="5"/>
  <c r="X1063" i="5"/>
  <c r="X1064" i="5"/>
  <c r="X1065" i="5"/>
  <c r="X1066" i="5"/>
  <c r="X1067" i="5"/>
  <c r="X1068" i="5"/>
  <c r="X1069" i="5"/>
  <c r="X1070" i="5"/>
  <c r="X1071" i="5"/>
  <c r="X1072" i="5"/>
  <c r="X1073" i="5"/>
  <c r="X1074" i="5"/>
  <c r="X1075" i="5"/>
  <c r="X1076" i="5"/>
  <c r="X1077" i="5"/>
  <c r="X1078" i="5"/>
  <c r="X1079" i="5"/>
  <c r="X1080" i="5"/>
  <c r="X1081" i="5"/>
  <c r="X1082" i="5"/>
  <c r="X1083" i="5"/>
  <c r="X1084" i="5"/>
  <c r="X1085" i="5"/>
  <c r="X1086" i="5"/>
  <c r="X1087" i="5"/>
  <c r="X1088" i="5"/>
  <c r="X1089" i="5"/>
  <c r="X1090" i="5"/>
  <c r="X1091" i="5"/>
  <c r="X1092" i="5"/>
  <c r="X1093" i="5"/>
  <c r="X1094" i="5"/>
  <c r="X1095" i="5"/>
  <c r="X1096" i="5"/>
  <c r="X1097" i="5"/>
  <c r="X1098" i="5"/>
  <c r="X1099" i="5"/>
  <c r="X1100" i="5"/>
  <c r="X1101" i="5"/>
  <c r="X1102" i="5"/>
  <c r="X1103" i="5"/>
  <c r="X1104" i="5"/>
  <c r="X1105" i="5"/>
  <c r="X1106" i="5"/>
  <c r="X1107" i="5"/>
  <c r="X1108" i="5"/>
  <c r="X1109" i="5"/>
  <c r="X1110" i="5"/>
  <c r="X1111" i="5"/>
  <c r="X1112" i="5"/>
  <c r="X1113" i="5"/>
  <c r="X1114" i="5"/>
  <c r="X1115" i="5"/>
  <c r="X1116" i="5"/>
  <c r="X1117" i="5"/>
  <c r="X1118" i="5"/>
  <c r="X1119" i="5"/>
  <c r="X1120" i="5"/>
  <c r="X1121" i="5"/>
  <c r="X1122" i="5"/>
  <c r="X1123" i="5"/>
  <c r="X1124" i="5"/>
  <c r="X1125" i="5"/>
  <c r="X1126" i="5"/>
  <c r="X1127" i="5"/>
  <c r="X1128" i="5"/>
  <c r="X1129" i="5"/>
  <c r="X1130" i="5"/>
  <c r="X1131" i="5"/>
  <c r="X1132" i="5"/>
  <c r="X1133" i="5"/>
  <c r="X1134" i="5"/>
  <c r="X1135" i="5"/>
  <c r="J15" i="8" l="1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460" i="8"/>
  <c r="J461" i="8"/>
  <c r="J462" i="8"/>
  <c r="J463" i="8"/>
  <c r="J464" i="8"/>
  <c r="J465" i="8"/>
  <c r="J466" i="8"/>
  <c r="J467" i="8"/>
  <c r="J468" i="8"/>
  <c r="J469" i="8"/>
  <c r="J470" i="8"/>
  <c r="J471" i="8"/>
  <c r="J472" i="8"/>
  <c r="J473" i="8"/>
  <c r="J474" i="8"/>
  <c r="J475" i="8"/>
  <c r="J476" i="8"/>
  <c r="J477" i="8"/>
  <c r="J478" i="8"/>
  <c r="J479" i="8"/>
  <c r="J480" i="8"/>
  <c r="J481" i="8"/>
  <c r="J482" i="8"/>
  <c r="J483" i="8"/>
  <c r="J484" i="8"/>
  <c r="J485" i="8"/>
  <c r="J486" i="8"/>
  <c r="J487" i="8"/>
  <c r="J488" i="8"/>
  <c r="J489" i="8"/>
  <c r="J490" i="8"/>
  <c r="J491" i="8"/>
  <c r="J492" i="8"/>
  <c r="J493" i="8"/>
  <c r="J494" i="8"/>
  <c r="J495" i="8"/>
  <c r="J496" i="8"/>
  <c r="J497" i="8"/>
  <c r="J498" i="8"/>
  <c r="J499" i="8"/>
  <c r="J500" i="8"/>
  <c r="J501" i="8"/>
  <c r="J502" i="8"/>
  <c r="J503" i="8"/>
  <c r="J504" i="8"/>
  <c r="J505" i="8"/>
  <c r="J506" i="8"/>
  <c r="J507" i="8"/>
  <c r="J508" i="8"/>
  <c r="J509" i="8"/>
  <c r="J510" i="8"/>
  <c r="J511" i="8"/>
  <c r="J512" i="8"/>
  <c r="J513" i="8"/>
  <c r="J514" i="8"/>
  <c r="J515" i="8"/>
  <c r="J516" i="8"/>
  <c r="J517" i="8"/>
  <c r="J518" i="8"/>
  <c r="J519" i="8"/>
  <c r="J520" i="8"/>
  <c r="J521" i="8"/>
  <c r="J522" i="8"/>
  <c r="J523" i="8"/>
  <c r="J524" i="8"/>
  <c r="J525" i="8"/>
  <c r="J526" i="8"/>
  <c r="J527" i="8"/>
  <c r="J528" i="8"/>
  <c r="J529" i="8"/>
  <c r="J530" i="8"/>
  <c r="J531" i="8"/>
  <c r="J532" i="8"/>
  <c r="J533" i="8"/>
  <c r="J534" i="8"/>
  <c r="J535" i="8"/>
  <c r="J536" i="8"/>
  <c r="J537" i="8"/>
  <c r="J538" i="8"/>
  <c r="J539" i="8"/>
  <c r="J540" i="8"/>
  <c r="J541" i="8"/>
  <c r="J542" i="8"/>
  <c r="J543" i="8"/>
  <c r="J544" i="8"/>
  <c r="J545" i="8"/>
  <c r="J546" i="8"/>
  <c r="J547" i="8"/>
  <c r="J548" i="8"/>
  <c r="J549" i="8"/>
  <c r="J550" i="8"/>
  <c r="J551" i="8"/>
  <c r="J552" i="8"/>
  <c r="J553" i="8"/>
  <c r="J554" i="8"/>
  <c r="J555" i="8"/>
  <c r="J556" i="8"/>
  <c r="J557" i="8"/>
  <c r="J558" i="8"/>
  <c r="J559" i="8"/>
  <c r="J560" i="8"/>
  <c r="J561" i="8"/>
  <c r="J562" i="8"/>
  <c r="J563" i="8"/>
  <c r="J564" i="8"/>
  <c r="J565" i="8"/>
  <c r="J566" i="8"/>
  <c r="J567" i="8"/>
  <c r="J568" i="8"/>
  <c r="J569" i="8"/>
  <c r="J570" i="8"/>
  <c r="J571" i="8"/>
  <c r="J572" i="8"/>
  <c r="J573" i="8"/>
  <c r="J574" i="8"/>
  <c r="J575" i="8"/>
  <c r="J576" i="8"/>
  <c r="J577" i="8"/>
  <c r="J578" i="8"/>
  <c r="J579" i="8"/>
  <c r="J580" i="8"/>
  <c r="J581" i="8"/>
  <c r="J582" i="8"/>
  <c r="J583" i="8"/>
  <c r="J584" i="8"/>
  <c r="J585" i="8"/>
  <c r="J586" i="8"/>
  <c r="J587" i="8"/>
  <c r="J588" i="8"/>
  <c r="J589" i="8"/>
  <c r="J590" i="8"/>
  <c r="J591" i="8"/>
  <c r="J592" i="8"/>
  <c r="J593" i="8"/>
  <c r="J594" i="8"/>
  <c r="J595" i="8"/>
  <c r="J596" i="8"/>
  <c r="J597" i="8"/>
  <c r="J598" i="8"/>
  <c r="J599" i="8"/>
  <c r="J600" i="8"/>
  <c r="J601" i="8"/>
  <c r="J602" i="8"/>
  <c r="J603" i="8"/>
  <c r="J604" i="8"/>
  <c r="J605" i="8"/>
  <c r="J606" i="8"/>
  <c r="J607" i="8"/>
  <c r="J608" i="8"/>
  <c r="J609" i="8"/>
  <c r="J610" i="8"/>
  <c r="J611" i="8"/>
  <c r="J612" i="8"/>
  <c r="J613" i="8"/>
  <c r="J614" i="8"/>
  <c r="J615" i="8"/>
  <c r="J616" i="8"/>
  <c r="J617" i="8"/>
  <c r="J618" i="8"/>
  <c r="J619" i="8"/>
  <c r="J620" i="8"/>
  <c r="J621" i="8"/>
  <c r="J622" i="8"/>
  <c r="J623" i="8"/>
  <c r="J624" i="8"/>
  <c r="J625" i="8"/>
  <c r="J626" i="8"/>
  <c r="J627" i="8"/>
  <c r="J628" i="8"/>
  <c r="J629" i="8"/>
  <c r="J630" i="8"/>
  <c r="J631" i="8"/>
  <c r="J632" i="8"/>
  <c r="J633" i="8"/>
  <c r="J634" i="8"/>
  <c r="J635" i="8"/>
  <c r="J636" i="8"/>
  <c r="J637" i="8"/>
  <c r="J638" i="8"/>
  <c r="J639" i="8"/>
  <c r="J640" i="8"/>
  <c r="J641" i="8"/>
  <c r="J642" i="8"/>
  <c r="J643" i="8"/>
  <c r="J644" i="8"/>
  <c r="J645" i="8"/>
  <c r="J646" i="8"/>
  <c r="J647" i="8"/>
  <c r="J648" i="8"/>
  <c r="J649" i="8"/>
  <c r="J650" i="8"/>
  <c r="J651" i="8"/>
  <c r="J652" i="8"/>
  <c r="J653" i="8"/>
  <c r="J654" i="8"/>
  <c r="J655" i="8"/>
  <c r="J656" i="8"/>
  <c r="J657" i="8"/>
  <c r="J658" i="8"/>
  <c r="J659" i="8"/>
  <c r="J660" i="8"/>
  <c r="J661" i="8"/>
  <c r="J662" i="8"/>
  <c r="J663" i="8"/>
  <c r="J664" i="8"/>
  <c r="J665" i="8"/>
  <c r="J666" i="8"/>
  <c r="J667" i="8"/>
  <c r="J668" i="8"/>
  <c r="J669" i="8"/>
  <c r="J670" i="8"/>
  <c r="J671" i="8"/>
  <c r="J672" i="8"/>
  <c r="J673" i="8"/>
  <c r="J674" i="8"/>
  <c r="J675" i="8"/>
  <c r="J676" i="8"/>
  <c r="J677" i="8"/>
  <c r="J678" i="8"/>
  <c r="J679" i="8"/>
  <c r="J680" i="8"/>
  <c r="J681" i="8"/>
  <c r="J682" i="8"/>
  <c r="J683" i="8"/>
  <c r="J684" i="8"/>
  <c r="J685" i="8"/>
  <c r="J686" i="8"/>
  <c r="J687" i="8"/>
  <c r="J688" i="8"/>
  <c r="J689" i="8"/>
  <c r="J690" i="8"/>
  <c r="J691" i="8"/>
  <c r="J692" i="8"/>
  <c r="J693" i="8"/>
  <c r="J694" i="8"/>
  <c r="J695" i="8"/>
  <c r="J696" i="8"/>
  <c r="J697" i="8"/>
  <c r="J698" i="8"/>
  <c r="J699" i="8"/>
  <c r="J700" i="8"/>
  <c r="J701" i="8"/>
  <c r="J702" i="8"/>
  <c r="J703" i="8"/>
  <c r="J704" i="8"/>
  <c r="J705" i="8"/>
  <c r="J706" i="8"/>
  <c r="J707" i="8"/>
  <c r="J708" i="8"/>
  <c r="J709" i="8"/>
  <c r="J710" i="8"/>
  <c r="J711" i="8"/>
  <c r="J712" i="8"/>
  <c r="J713" i="8"/>
  <c r="J714" i="8"/>
  <c r="J715" i="8"/>
  <c r="J716" i="8"/>
  <c r="J717" i="8"/>
  <c r="J718" i="8"/>
  <c r="J719" i="8"/>
  <c r="J720" i="8"/>
  <c r="J721" i="8"/>
  <c r="J722" i="8"/>
  <c r="J723" i="8"/>
  <c r="J724" i="8"/>
  <c r="J725" i="8"/>
  <c r="J726" i="8"/>
  <c r="J727" i="8"/>
  <c r="J728" i="8"/>
  <c r="J729" i="8"/>
  <c r="J730" i="8"/>
  <c r="J731" i="8"/>
  <c r="J732" i="8"/>
  <c r="J733" i="8"/>
  <c r="J734" i="8"/>
  <c r="J735" i="8"/>
  <c r="J736" i="8"/>
  <c r="J737" i="8"/>
  <c r="J738" i="8"/>
  <c r="J739" i="8"/>
  <c r="J740" i="8"/>
  <c r="J741" i="8"/>
  <c r="J742" i="8"/>
  <c r="J743" i="8"/>
  <c r="J744" i="8"/>
  <c r="J745" i="8"/>
  <c r="J746" i="8"/>
  <c r="J747" i="8"/>
  <c r="J748" i="8"/>
  <c r="J749" i="8"/>
  <c r="J750" i="8"/>
  <c r="J751" i="8"/>
  <c r="J752" i="8"/>
  <c r="J753" i="8"/>
  <c r="J754" i="8"/>
  <c r="J755" i="8"/>
  <c r="J756" i="8"/>
  <c r="J757" i="8"/>
  <c r="J758" i="8"/>
  <c r="J759" i="8"/>
  <c r="J760" i="8"/>
  <c r="J761" i="8"/>
  <c r="J762" i="8"/>
  <c r="J763" i="8"/>
  <c r="J764" i="8"/>
  <c r="J765" i="8"/>
  <c r="J766" i="8"/>
  <c r="J767" i="8"/>
  <c r="J768" i="8"/>
  <c r="J769" i="8"/>
  <c r="J770" i="8"/>
  <c r="J771" i="8"/>
  <c r="J772" i="8"/>
  <c r="J773" i="8"/>
  <c r="J774" i="8"/>
  <c r="J775" i="8"/>
  <c r="J776" i="8"/>
  <c r="J777" i="8"/>
  <c r="J778" i="8"/>
  <c r="J779" i="8"/>
  <c r="J780" i="8"/>
  <c r="J781" i="8"/>
  <c r="J782" i="8"/>
  <c r="J783" i="8"/>
  <c r="J784" i="8"/>
  <c r="J785" i="8"/>
  <c r="J786" i="8"/>
  <c r="J787" i="8"/>
  <c r="J788" i="8"/>
  <c r="J789" i="8"/>
  <c r="J790" i="8"/>
  <c r="J791" i="8"/>
  <c r="J792" i="8"/>
  <c r="J793" i="8"/>
  <c r="J794" i="8"/>
  <c r="J795" i="8"/>
  <c r="J796" i="8"/>
  <c r="J797" i="8"/>
  <c r="J798" i="8"/>
  <c r="J799" i="8"/>
  <c r="J800" i="8"/>
  <c r="J801" i="8"/>
  <c r="J802" i="8"/>
  <c r="J803" i="8"/>
  <c r="J804" i="8"/>
  <c r="J805" i="8"/>
  <c r="J806" i="8"/>
  <c r="J807" i="8"/>
  <c r="J808" i="8"/>
  <c r="J809" i="8"/>
  <c r="J810" i="8"/>
  <c r="J811" i="8"/>
  <c r="J812" i="8"/>
  <c r="J813" i="8"/>
  <c r="J814" i="8"/>
  <c r="J815" i="8"/>
  <c r="J816" i="8"/>
  <c r="J817" i="8"/>
  <c r="J818" i="8"/>
  <c r="J819" i="8"/>
  <c r="J820" i="8"/>
  <c r="J821" i="8"/>
  <c r="J822" i="8"/>
  <c r="J823" i="8"/>
  <c r="J824" i="8"/>
  <c r="J825" i="8"/>
  <c r="J826" i="8"/>
  <c r="J827" i="8"/>
  <c r="J828" i="8"/>
  <c r="J829" i="8"/>
  <c r="J830" i="8"/>
  <c r="J831" i="8"/>
  <c r="J832" i="8"/>
  <c r="J833" i="8"/>
  <c r="J834" i="8"/>
  <c r="J835" i="8"/>
  <c r="J836" i="8"/>
  <c r="J837" i="8"/>
  <c r="J838" i="8"/>
  <c r="J839" i="8"/>
  <c r="J840" i="8"/>
  <c r="J841" i="8"/>
  <c r="J842" i="8"/>
  <c r="J843" i="8"/>
  <c r="J844" i="8"/>
  <c r="J845" i="8"/>
  <c r="J846" i="8"/>
  <c r="J847" i="8"/>
  <c r="J848" i="8"/>
  <c r="J849" i="8"/>
  <c r="J850" i="8"/>
  <c r="J851" i="8"/>
  <c r="J852" i="8"/>
  <c r="J853" i="8"/>
  <c r="J854" i="8"/>
  <c r="J855" i="8"/>
  <c r="J856" i="8"/>
  <c r="J857" i="8"/>
  <c r="J858" i="8"/>
  <c r="J859" i="8"/>
  <c r="J860" i="8"/>
  <c r="J861" i="8"/>
  <c r="J862" i="8"/>
  <c r="J863" i="8"/>
  <c r="J864" i="8"/>
  <c r="J865" i="8"/>
  <c r="J866" i="8"/>
  <c r="J867" i="8"/>
  <c r="J868" i="8"/>
  <c r="J869" i="8"/>
  <c r="J870" i="8"/>
  <c r="J871" i="8"/>
  <c r="J872" i="8"/>
  <c r="J873" i="8"/>
  <c r="J874" i="8"/>
  <c r="J875" i="8"/>
  <c r="J876" i="8"/>
  <c r="J877" i="8"/>
  <c r="J878" i="8"/>
  <c r="J879" i="8"/>
  <c r="J880" i="8"/>
  <c r="J881" i="8"/>
  <c r="J882" i="8"/>
  <c r="J883" i="8"/>
  <c r="J884" i="8"/>
  <c r="J885" i="8"/>
  <c r="J886" i="8"/>
  <c r="J887" i="8"/>
  <c r="J888" i="8"/>
  <c r="J889" i="8"/>
  <c r="J890" i="8"/>
  <c r="J891" i="8"/>
  <c r="J892" i="8"/>
  <c r="J893" i="8"/>
  <c r="J894" i="8"/>
  <c r="J895" i="8"/>
  <c r="J896" i="8"/>
  <c r="J897" i="8"/>
  <c r="J898" i="8"/>
  <c r="J899" i="8"/>
  <c r="J900" i="8"/>
  <c r="J901" i="8"/>
  <c r="J902" i="8"/>
  <c r="J903" i="8"/>
  <c r="J904" i="8"/>
  <c r="J905" i="8"/>
  <c r="J906" i="8"/>
  <c r="J907" i="8"/>
  <c r="J908" i="8"/>
  <c r="J909" i="8"/>
  <c r="J910" i="8"/>
  <c r="J911" i="8"/>
  <c r="J912" i="8"/>
  <c r="J913" i="8"/>
  <c r="J914" i="8"/>
  <c r="J915" i="8"/>
  <c r="J916" i="8"/>
  <c r="J917" i="8"/>
  <c r="J918" i="8"/>
  <c r="J919" i="8"/>
  <c r="J920" i="8"/>
  <c r="J921" i="8"/>
  <c r="J922" i="8"/>
  <c r="J923" i="8"/>
  <c r="J924" i="8"/>
  <c r="J925" i="8"/>
  <c r="J926" i="8"/>
  <c r="J927" i="8"/>
  <c r="J928" i="8"/>
  <c r="J929" i="8"/>
  <c r="J930" i="8"/>
  <c r="J931" i="8"/>
  <c r="J932" i="8"/>
  <c r="J933" i="8"/>
  <c r="J934" i="8"/>
  <c r="J935" i="8"/>
  <c r="J936" i="8"/>
  <c r="J937" i="8"/>
  <c r="J938" i="8"/>
  <c r="J939" i="8"/>
  <c r="J940" i="8"/>
  <c r="J941" i="8"/>
  <c r="J942" i="8"/>
  <c r="J943" i="8"/>
  <c r="J944" i="8"/>
  <c r="J945" i="8"/>
  <c r="J946" i="8"/>
  <c r="J947" i="8"/>
  <c r="J948" i="8"/>
  <c r="J949" i="8"/>
  <c r="J950" i="8"/>
  <c r="J951" i="8"/>
  <c r="J952" i="8"/>
  <c r="J953" i="8"/>
  <c r="J954" i="8"/>
  <c r="J955" i="8"/>
  <c r="J956" i="8"/>
  <c r="J957" i="8"/>
  <c r="J958" i="8"/>
  <c r="J959" i="8"/>
  <c r="J960" i="8"/>
  <c r="J961" i="8"/>
  <c r="J962" i="8"/>
  <c r="J963" i="8"/>
  <c r="J964" i="8"/>
  <c r="J965" i="8"/>
  <c r="J966" i="8"/>
  <c r="J967" i="8"/>
  <c r="J968" i="8"/>
  <c r="J969" i="8"/>
  <c r="J970" i="8"/>
  <c r="J971" i="8"/>
  <c r="J972" i="8"/>
  <c r="J973" i="8"/>
  <c r="J974" i="8"/>
  <c r="J975" i="8"/>
  <c r="J976" i="8"/>
  <c r="J977" i="8"/>
  <c r="J978" i="8"/>
  <c r="J979" i="8"/>
  <c r="J980" i="8"/>
  <c r="J981" i="8"/>
  <c r="J982" i="8"/>
  <c r="J983" i="8"/>
  <c r="J984" i="8"/>
  <c r="J985" i="8"/>
  <c r="J986" i="8"/>
  <c r="J987" i="8"/>
  <c r="J988" i="8"/>
  <c r="J989" i="8"/>
  <c r="J990" i="8"/>
  <c r="J991" i="8"/>
  <c r="J992" i="8"/>
  <c r="J993" i="8"/>
  <c r="J994" i="8"/>
  <c r="J995" i="8"/>
  <c r="J996" i="8"/>
  <c r="J997" i="8"/>
  <c r="J998" i="8"/>
  <c r="J999" i="8"/>
  <c r="J1000" i="8"/>
  <c r="J1001" i="8"/>
  <c r="J1002" i="8"/>
  <c r="J1003" i="8"/>
  <c r="J1004" i="8"/>
  <c r="J1005" i="8"/>
  <c r="J1006" i="8"/>
  <c r="J1007" i="8"/>
  <c r="J1008" i="8"/>
  <c r="J1009" i="8"/>
  <c r="J1010" i="8"/>
  <c r="J1011" i="8"/>
  <c r="J1012" i="8"/>
  <c r="J1013" i="8"/>
  <c r="J1014" i="8"/>
  <c r="J1015" i="8"/>
  <c r="J1016" i="8"/>
  <c r="J1017" i="8"/>
  <c r="J1018" i="8"/>
  <c r="J1019" i="8"/>
  <c r="J1020" i="8"/>
  <c r="J1021" i="8"/>
  <c r="J1022" i="8"/>
  <c r="J1023" i="8"/>
  <c r="J1024" i="8"/>
  <c r="J1025" i="8"/>
  <c r="J1026" i="8"/>
  <c r="J1027" i="8"/>
  <c r="J1028" i="8"/>
  <c r="J1029" i="8"/>
  <c r="J1030" i="8"/>
  <c r="J1031" i="8"/>
  <c r="J1032" i="8"/>
  <c r="J1033" i="8"/>
  <c r="J1034" i="8"/>
  <c r="J1035" i="8"/>
  <c r="J1036" i="8"/>
  <c r="J1037" i="8"/>
  <c r="J1038" i="8"/>
  <c r="J1039" i="8"/>
  <c r="J1040" i="8"/>
  <c r="J1041" i="8"/>
  <c r="J1042" i="8"/>
  <c r="J1043" i="8"/>
  <c r="J1044" i="8"/>
  <c r="J1045" i="8"/>
  <c r="J1046" i="8"/>
  <c r="J1047" i="8"/>
  <c r="J1048" i="8"/>
  <c r="J1049" i="8"/>
  <c r="J1050" i="8"/>
  <c r="J1051" i="8"/>
  <c r="J1052" i="8"/>
  <c r="J1053" i="8"/>
  <c r="J1054" i="8"/>
  <c r="J1055" i="8"/>
  <c r="J1056" i="8"/>
  <c r="J1057" i="8"/>
  <c r="J1058" i="8"/>
  <c r="J1059" i="8"/>
  <c r="J1060" i="8"/>
  <c r="J1061" i="8"/>
  <c r="J1062" i="8"/>
  <c r="J1063" i="8"/>
  <c r="J1064" i="8"/>
  <c r="J1065" i="8"/>
  <c r="J1066" i="8"/>
  <c r="J1067" i="8"/>
  <c r="J1068" i="8"/>
  <c r="J1069" i="8"/>
  <c r="J1070" i="8"/>
  <c r="J1071" i="8"/>
  <c r="J1072" i="8"/>
  <c r="J1073" i="8"/>
  <c r="J1074" i="8"/>
  <c r="J1075" i="8"/>
  <c r="J1076" i="8"/>
  <c r="J1077" i="8"/>
  <c r="J1078" i="8"/>
  <c r="J1079" i="8"/>
  <c r="J1080" i="8"/>
  <c r="J1081" i="8"/>
  <c r="J1082" i="8"/>
  <c r="J1083" i="8"/>
  <c r="J1084" i="8"/>
  <c r="J1085" i="8"/>
  <c r="J1086" i="8"/>
  <c r="J1087" i="8"/>
  <c r="J1088" i="8"/>
  <c r="J1089" i="8"/>
  <c r="J1090" i="8"/>
  <c r="J1091" i="8"/>
  <c r="J1092" i="8"/>
  <c r="J1093" i="8"/>
  <c r="J1094" i="8"/>
  <c r="J1095" i="8"/>
  <c r="J1096" i="8"/>
  <c r="J1097" i="8"/>
  <c r="J1098" i="8"/>
  <c r="J1099" i="8"/>
  <c r="J1100" i="8"/>
  <c r="J1101" i="8"/>
  <c r="J1102" i="8"/>
  <c r="J1103" i="8"/>
  <c r="J1104" i="8"/>
  <c r="J1105" i="8"/>
  <c r="J1106" i="8"/>
  <c r="J1107" i="8"/>
  <c r="J1108" i="8"/>
  <c r="J1109" i="8"/>
  <c r="J1110" i="8"/>
  <c r="J1111" i="8"/>
  <c r="J1112" i="8"/>
  <c r="J1113" i="8"/>
  <c r="J1114" i="8"/>
  <c r="J1115" i="8"/>
  <c r="J1116" i="8"/>
  <c r="J1117" i="8"/>
  <c r="J1118" i="8"/>
  <c r="J1119" i="8"/>
  <c r="J1120" i="8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290" i="3"/>
  <c r="R291" i="3"/>
  <c r="R292" i="3"/>
  <c r="R293" i="3"/>
  <c r="R294" i="3"/>
  <c r="R295" i="3"/>
  <c r="R296" i="3"/>
  <c r="R297" i="3"/>
  <c r="R298" i="3"/>
  <c r="R299" i="3"/>
  <c r="R300" i="3"/>
  <c r="R301" i="3"/>
  <c r="R302" i="3"/>
  <c r="R303" i="3"/>
  <c r="R304" i="3"/>
  <c r="R305" i="3"/>
  <c r="R306" i="3"/>
  <c r="R307" i="3"/>
  <c r="R308" i="3"/>
  <c r="R309" i="3"/>
  <c r="R310" i="3"/>
  <c r="R311" i="3"/>
  <c r="R312" i="3"/>
  <c r="R313" i="3"/>
  <c r="R314" i="3"/>
  <c r="R315" i="3"/>
  <c r="R316" i="3"/>
  <c r="R317" i="3"/>
  <c r="R318" i="3"/>
  <c r="R319" i="3"/>
  <c r="R320" i="3"/>
  <c r="R321" i="3"/>
  <c r="R322" i="3"/>
  <c r="R323" i="3"/>
  <c r="R324" i="3"/>
  <c r="R325" i="3"/>
  <c r="R326" i="3"/>
  <c r="R327" i="3"/>
  <c r="R328" i="3"/>
  <c r="R329" i="3"/>
  <c r="R330" i="3"/>
  <c r="R331" i="3"/>
  <c r="R332" i="3"/>
  <c r="R333" i="3"/>
  <c r="R334" i="3"/>
  <c r="R335" i="3"/>
  <c r="R336" i="3"/>
  <c r="R337" i="3"/>
  <c r="R338" i="3"/>
  <c r="R339" i="3"/>
  <c r="R340" i="3"/>
  <c r="R341" i="3"/>
  <c r="R342" i="3"/>
  <c r="R343" i="3"/>
  <c r="R344" i="3"/>
  <c r="R345" i="3"/>
  <c r="R346" i="3"/>
  <c r="R347" i="3"/>
  <c r="R348" i="3"/>
  <c r="R349" i="3"/>
  <c r="R350" i="3"/>
  <c r="R351" i="3"/>
  <c r="R352" i="3"/>
  <c r="R353" i="3"/>
  <c r="R354" i="3"/>
  <c r="R355" i="3"/>
  <c r="R356" i="3"/>
  <c r="R357" i="3"/>
  <c r="R358" i="3"/>
  <c r="R359" i="3"/>
  <c r="R360" i="3"/>
  <c r="R361" i="3"/>
  <c r="R362" i="3"/>
  <c r="R363" i="3"/>
  <c r="R364" i="3"/>
  <c r="R365" i="3"/>
  <c r="R366" i="3"/>
  <c r="R367" i="3"/>
  <c r="R368" i="3"/>
  <c r="R369" i="3"/>
  <c r="R370" i="3"/>
  <c r="R371" i="3"/>
  <c r="R372" i="3"/>
  <c r="R373" i="3"/>
  <c r="R374" i="3"/>
  <c r="R375" i="3"/>
  <c r="R376" i="3"/>
  <c r="R377" i="3"/>
  <c r="R378" i="3"/>
  <c r="R379" i="3"/>
  <c r="R380" i="3"/>
  <c r="R381" i="3"/>
  <c r="R382" i="3"/>
  <c r="R383" i="3"/>
  <c r="R384" i="3"/>
  <c r="R385" i="3"/>
  <c r="R386" i="3"/>
  <c r="R387" i="3"/>
  <c r="R388" i="3"/>
  <c r="R389" i="3"/>
  <c r="R390" i="3"/>
  <c r="R391" i="3"/>
  <c r="R392" i="3"/>
  <c r="R393" i="3"/>
  <c r="R394" i="3"/>
  <c r="R395" i="3"/>
  <c r="R396" i="3"/>
  <c r="R397" i="3"/>
  <c r="R398" i="3"/>
  <c r="R399" i="3"/>
  <c r="R400" i="3"/>
  <c r="R401" i="3"/>
  <c r="R402" i="3"/>
  <c r="R403" i="3"/>
  <c r="R404" i="3"/>
  <c r="R405" i="3"/>
  <c r="R406" i="3"/>
  <c r="R407" i="3"/>
  <c r="R408" i="3"/>
  <c r="R409" i="3"/>
  <c r="R410" i="3"/>
  <c r="R411" i="3"/>
  <c r="R412" i="3"/>
  <c r="R413" i="3"/>
  <c r="R414" i="3"/>
  <c r="R415" i="3"/>
  <c r="R416" i="3"/>
  <c r="R417" i="3"/>
  <c r="R418" i="3"/>
  <c r="R419" i="3"/>
  <c r="R420" i="3"/>
  <c r="R421" i="3"/>
  <c r="R422" i="3"/>
  <c r="R423" i="3"/>
  <c r="R424" i="3"/>
  <c r="R425" i="3"/>
  <c r="R426" i="3"/>
  <c r="R427" i="3"/>
  <c r="R428" i="3"/>
  <c r="R429" i="3"/>
  <c r="R430" i="3"/>
  <c r="R431" i="3"/>
  <c r="R432" i="3"/>
  <c r="R433" i="3"/>
  <c r="R434" i="3"/>
  <c r="R435" i="3"/>
  <c r="R436" i="3"/>
  <c r="R437" i="3"/>
  <c r="R438" i="3"/>
  <c r="R439" i="3"/>
  <c r="R440" i="3"/>
  <c r="R441" i="3"/>
  <c r="R442" i="3"/>
  <c r="R443" i="3"/>
  <c r="R444" i="3"/>
  <c r="R445" i="3"/>
  <c r="R446" i="3"/>
  <c r="R447" i="3"/>
  <c r="R448" i="3"/>
  <c r="R449" i="3"/>
  <c r="R450" i="3"/>
  <c r="R451" i="3"/>
  <c r="R452" i="3"/>
  <c r="R453" i="3"/>
  <c r="R454" i="3"/>
  <c r="R455" i="3"/>
  <c r="R456" i="3"/>
  <c r="R457" i="3"/>
  <c r="R458" i="3"/>
  <c r="R459" i="3"/>
  <c r="R460" i="3"/>
  <c r="R461" i="3"/>
  <c r="R462" i="3"/>
  <c r="R463" i="3"/>
  <c r="R464" i="3"/>
  <c r="R465" i="3"/>
  <c r="R466" i="3"/>
  <c r="R467" i="3"/>
  <c r="R468" i="3"/>
  <c r="R469" i="3"/>
  <c r="R470" i="3"/>
  <c r="R471" i="3"/>
  <c r="R472" i="3"/>
  <c r="R473" i="3"/>
  <c r="R474" i="3"/>
  <c r="R475" i="3"/>
  <c r="R476" i="3"/>
  <c r="R477" i="3"/>
  <c r="R478" i="3"/>
  <c r="R479" i="3"/>
  <c r="R480" i="3"/>
  <c r="R481" i="3"/>
  <c r="R482" i="3"/>
  <c r="R483" i="3"/>
  <c r="R484" i="3"/>
  <c r="R485" i="3"/>
  <c r="R486" i="3"/>
  <c r="R487" i="3"/>
  <c r="R488" i="3"/>
  <c r="R489" i="3"/>
  <c r="R490" i="3"/>
  <c r="R491" i="3"/>
  <c r="R492" i="3"/>
  <c r="R493" i="3"/>
  <c r="R494" i="3"/>
  <c r="R495" i="3"/>
  <c r="R496" i="3"/>
  <c r="R497" i="3"/>
  <c r="R498" i="3"/>
  <c r="R499" i="3"/>
  <c r="R500" i="3"/>
  <c r="R501" i="3"/>
  <c r="R502" i="3"/>
  <c r="R503" i="3"/>
  <c r="R504" i="3"/>
  <c r="R505" i="3"/>
  <c r="R506" i="3"/>
  <c r="R507" i="3"/>
  <c r="R508" i="3"/>
  <c r="R509" i="3"/>
  <c r="R510" i="3"/>
  <c r="R511" i="3"/>
  <c r="R512" i="3"/>
  <c r="R513" i="3"/>
  <c r="R514" i="3"/>
  <c r="R515" i="3"/>
  <c r="R516" i="3"/>
  <c r="R517" i="3"/>
  <c r="R518" i="3"/>
  <c r="R519" i="3"/>
  <c r="R520" i="3"/>
  <c r="R521" i="3"/>
  <c r="R522" i="3"/>
  <c r="R523" i="3"/>
  <c r="R524" i="3"/>
  <c r="R525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T5" i="3"/>
  <c r="T6" i="3"/>
  <c r="T7" i="3"/>
  <c r="T8" i="3"/>
  <c r="T9" i="3"/>
  <c r="T10" i="3"/>
  <c r="T11" i="3"/>
  <c r="T12" i="3"/>
  <c r="T13" i="3"/>
  <c r="J5" i="8" l="1"/>
  <c r="J7" i="8"/>
  <c r="J6" i="8"/>
  <c r="J8" i="8"/>
  <c r="J9" i="8"/>
  <c r="J11" i="8"/>
  <c r="J10" i="8"/>
  <c r="J12" i="8"/>
  <c r="J13" i="8"/>
  <c r="J14" i="8"/>
  <c r="J4" i="8"/>
  <c r="O1" i="8"/>
  <c r="K3" i="1" l="1"/>
  <c r="K2" i="1" l="1"/>
  <c r="O1143" i="5"/>
  <c r="O1151" i="5"/>
  <c r="O1159" i="5"/>
  <c r="O1167" i="5"/>
  <c r="O1175" i="5"/>
  <c r="O1183" i="5"/>
  <c r="O1191" i="5"/>
  <c r="O1199" i="5"/>
  <c r="O1207" i="5"/>
  <c r="O1215" i="5"/>
  <c r="O1223" i="5"/>
  <c r="O1231" i="5"/>
  <c r="O1239" i="5"/>
  <c r="O1247" i="5"/>
  <c r="O1255" i="5"/>
  <c r="O1263" i="5"/>
  <c r="O1271" i="5"/>
  <c r="O1279" i="5"/>
  <c r="O1287" i="5"/>
  <c r="O1295" i="5"/>
  <c r="O1303" i="5"/>
  <c r="O1311" i="5"/>
  <c r="O1319" i="5"/>
  <c r="O1327" i="5"/>
  <c r="O1335" i="5"/>
  <c r="O1343" i="5"/>
  <c r="O1351" i="5"/>
  <c r="O1359" i="5"/>
  <c r="O1367" i="5"/>
  <c r="O1375" i="5"/>
  <c r="O1383" i="5"/>
  <c r="O1391" i="5"/>
  <c r="O1399" i="5"/>
  <c r="O1407" i="5"/>
  <c r="O1415" i="5"/>
  <c r="O1423" i="5"/>
  <c r="O1431" i="5"/>
  <c r="O1439" i="5"/>
  <c r="O1447" i="5"/>
  <c r="O1455" i="5"/>
  <c r="O1463" i="5"/>
  <c r="O1471" i="5"/>
  <c r="O1479" i="5"/>
  <c r="O1487" i="5"/>
  <c r="O1495" i="5"/>
  <c r="O1503" i="5"/>
  <c r="O1511" i="5"/>
  <c r="O1519" i="5"/>
  <c r="O1527" i="5"/>
  <c r="O1535" i="5"/>
  <c r="O1543" i="5"/>
  <c r="O1551" i="5"/>
  <c r="O1559" i="5"/>
  <c r="O1567" i="5"/>
  <c r="O1575" i="5"/>
  <c r="O1583" i="5"/>
  <c r="O1591" i="5"/>
  <c r="O1599" i="5"/>
  <c r="O1607" i="5"/>
  <c r="O1615" i="5"/>
  <c r="O1623" i="5"/>
  <c r="O1631" i="5"/>
  <c r="O1639" i="5"/>
  <c r="O1647" i="5"/>
  <c r="O1655" i="5"/>
  <c r="O1663" i="5"/>
  <c r="O1671" i="5"/>
  <c r="O1679" i="5"/>
  <c r="O1687" i="5"/>
  <c r="O1695" i="5"/>
  <c r="O1703" i="5"/>
  <c r="O1711" i="5"/>
  <c r="O1719" i="5"/>
  <c r="O1727" i="5"/>
  <c r="O1735" i="5"/>
  <c r="O1743" i="5"/>
  <c r="O1751" i="5"/>
  <c r="O1759" i="5"/>
  <c r="O1137" i="5"/>
  <c r="O1145" i="5"/>
  <c r="O1153" i="5"/>
  <c r="O1161" i="5"/>
  <c r="O1169" i="5"/>
  <c r="O1177" i="5"/>
  <c r="O1185" i="5"/>
  <c r="O1193" i="5"/>
  <c r="O1201" i="5"/>
  <c r="O1209" i="5"/>
  <c r="O1217" i="5"/>
  <c r="O1225" i="5"/>
  <c r="O1233" i="5"/>
  <c r="O1241" i="5"/>
  <c r="O1249" i="5"/>
  <c r="O1257" i="5"/>
  <c r="O1265" i="5"/>
  <c r="O1273" i="5"/>
  <c r="O1281" i="5"/>
  <c r="O1289" i="5"/>
  <c r="O1297" i="5"/>
  <c r="O1305" i="5"/>
  <c r="O1313" i="5"/>
  <c r="O1321" i="5"/>
  <c r="O1329" i="5"/>
  <c r="O1337" i="5"/>
  <c r="O1345" i="5"/>
  <c r="O1353" i="5"/>
  <c r="O1361" i="5"/>
  <c r="O1369" i="5"/>
  <c r="O1377" i="5"/>
  <c r="O1385" i="5"/>
  <c r="O1393" i="5"/>
  <c r="O1401" i="5"/>
  <c r="O1409" i="5"/>
  <c r="O1417" i="5"/>
  <c r="O1425" i="5"/>
  <c r="O1433" i="5"/>
  <c r="O1441" i="5"/>
  <c r="O1449" i="5"/>
  <c r="O1457" i="5"/>
  <c r="O1465" i="5"/>
  <c r="O1473" i="5"/>
  <c r="O1481" i="5"/>
  <c r="O1489" i="5"/>
  <c r="O1497" i="5"/>
  <c r="O1505" i="5"/>
  <c r="O1513" i="5"/>
  <c r="O1521" i="5"/>
  <c r="O1529" i="5"/>
  <c r="O1537" i="5"/>
  <c r="O1545" i="5"/>
  <c r="O1553" i="5"/>
  <c r="O1561" i="5"/>
  <c r="O1569" i="5"/>
  <c r="O1577" i="5"/>
  <c r="O1585" i="5"/>
  <c r="O1593" i="5"/>
  <c r="O1601" i="5"/>
  <c r="O1609" i="5"/>
  <c r="O1617" i="5"/>
  <c r="O1625" i="5"/>
  <c r="O1633" i="5"/>
  <c r="O1641" i="5"/>
  <c r="O1649" i="5"/>
  <c r="O1657" i="5"/>
  <c r="O1665" i="5"/>
  <c r="O1673" i="5"/>
  <c r="O1681" i="5"/>
  <c r="O1689" i="5"/>
  <c r="O1697" i="5"/>
  <c r="O1705" i="5"/>
  <c r="O1713" i="5"/>
  <c r="O1721" i="5"/>
  <c r="O1729" i="5"/>
  <c r="O1737" i="5"/>
  <c r="O1745" i="5"/>
  <c r="O1753" i="5"/>
  <c r="O1761" i="5"/>
  <c r="O1769" i="5"/>
  <c r="O1777" i="5"/>
  <c r="O1785" i="5"/>
  <c r="O1793" i="5"/>
  <c r="O1801" i="5"/>
  <c r="O1138" i="5"/>
  <c r="O1146" i="5"/>
  <c r="O1154" i="5"/>
  <c r="O1162" i="5"/>
  <c r="O1170" i="5"/>
  <c r="O1178" i="5"/>
  <c r="O1186" i="5"/>
  <c r="O1194" i="5"/>
  <c r="O1202" i="5"/>
  <c r="O1210" i="5"/>
  <c r="O1218" i="5"/>
  <c r="O1226" i="5"/>
  <c r="O1234" i="5"/>
  <c r="O1242" i="5"/>
  <c r="O1250" i="5"/>
  <c r="O1258" i="5"/>
  <c r="O1266" i="5"/>
  <c r="O1274" i="5"/>
  <c r="O1282" i="5"/>
  <c r="O1290" i="5"/>
  <c r="O1298" i="5"/>
  <c r="O1148" i="5"/>
  <c r="O1160" i="5"/>
  <c r="O1173" i="5"/>
  <c r="O1187" i="5"/>
  <c r="O1198" i="5"/>
  <c r="O1212" i="5"/>
  <c r="O1224" i="5"/>
  <c r="O1237" i="5"/>
  <c r="O1251" i="5"/>
  <c r="O1262" i="5"/>
  <c r="O1276" i="5"/>
  <c r="O1288" i="5"/>
  <c r="O1301" i="5"/>
  <c r="O1312" i="5"/>
  <c r="O1323" i="5"/>
  <c r="O1333" i="5"/>
  <c r="O1344" i="5"/>
  <c r="O1355" i="5"/>
  <c r="O1365" i="5"/>
  <c r="O1376" i="5"/>
  <c r="O1387" i="5"/>
  <c r="O1397" i="5"/>
  <c r="O1408" i="5"/>
  <c r="O1419" i="5"/>
  <c r="O1429" i="5"/>
  <c r="O1440" i="5"/>
  <c r="O1451" i="5"/>
  <c r="O1461" i="5"/>
  <c r="O1472" i="5"/>
  <c r="O1483" i="5"/>
  <c r="O1493" i="5"/>
  <c r="O1504" i="5"/>
  <c r="O1515" i="5"/>
  <c r="O1525" i="5"/>
  <c r="O1536" i="5"/>
  <c r="O1547" i="5"/>
  <c r="O1557" i="5"/>
  <c r="O1568" i="5"/>
  <c r="O1579" i="5"/>
  <c r="O1589" i="5"/>
  <c r="O1600" i="5"/>
  <c r="O1611" i="5"/>
  <c r="O1621" i="5"/>
  <c r="O1632" i="5"/>
  <c r="O1643" i="5"/>
  <c r="O1653" i="5"/>
  <c r="O1664" i="5"/>
  <c r="O1675" i="5"/>
  <c r="O1685" i="5"/>
  <c r="O1696" i="5"/>
  <c r="O1707" i="5"/>
  <c r="O1717" i="5"/>
  <c r="O1728" i="5"/>
  <c r="O1739" i="5"/>
  <c r="O1749" i="5"/>
  <c r="O1760" i="5"/>
  <c r="O1770" i="5"/>
  <c r="O1779" i="5"/>
  <c r="O1788" i="5"/>
  <c r="O1797" i="5"/>
  <c r="O1806" i="5"/>
  <c r="O1814" i="5"/>
  <c r="O1822" i="5"/>
  <c r="O1830" i="5"/>
  <c r="O1838" i="5"/>
  <c r="O1846" i="5"/>
  <c r="O1854" i="5"/>
  <c r="O1862" i="5"/>
  <c r="O1870" i="5"/>
  <c r="O1878" i="5"/>
  <c r="O1886" i="5"/>
  <c r="O1894" i="5"/>
  <c r="O1902" i="5"/>
  <c r="O1910" i="5"/>
  <c r="O1918" i="5"/>
  <c r="O1926" i="5"/>
  <c r="O1934" i="5"/>
  <c r="O1942" i="5"/>
  <c r="O1950" i="5"/>
  <c r="O1958" i="5"/>
  <c r="O1966" i="5"/>
  <c r="O1974" i="5"/>
  <c r="O1982" i="5"/>
  <c r="O1990" i="5"/>
  <c r="O1998" i="5"/>
  <c r="O1140" i="5"/>
  <c r="O1152" i="5"/>
  <c r="O1165" i="5"/>
  <c r="O1179" i="5"/>
  <c r="O1190" i="5"/>
  <c r="O1204" i="5"/>
  <c r="O1216" i="5"/>
  <c r="O1229" i="5"/>
  <c r="O1243" i="5"/>
  <c r="O1254" i="5"/>
  <c r="O1268" i="5"/>
  <c r="O1280" i="5"/>
  <c r="O1293" i="5"/>
  <c r="O1306" i="5"/>
  <c r="O1316" i="5"/>
  <c r="O1326" i="5"/>
  <c r="O1338" i="5"/>
  <c r="O1348" i="5"/>
  <c r="O1358" i="5"/>
  <c r="O1370" i="5"/>
  <c r="O1380" i="5"/>
  <c r="O1390" i="5"/>
  <c r="O1402" i="5"/>
  <c r="O1412" i="5"/>
  <c r="O1422" i="5"/>
  <c r="O1434" i="5"/>
  <c r="O1444" i="5"/>
  <c r="O1454" i="5"/>
  <c r="O1466" i="5"/>
  <c r="O1476" i="5"/>
  <c r="O1486" i="5"/>
  <c r="O1498" i="5"/>
  <c r="O1508" i="5"/>
  <c r="O1518" i="5"/>
  <c r="O1530" i="5"/>
  <c r="O1540" i="5"/>
  <c r="O1550" i="5"/>
  <c r="O1562" i="5"/>
  <c r="O1572" i="5"/>
  <c r="O1582" i="5"/>
  <c r="O1594" i="5"/>
  <c r="O1604" i="5"/>
  <c r="O1614" i="5"/>
  <c r="O1626" i="5"/>
  <c r="O1636" i="5"/>
  <c r="O1646" i="5"/>
  <c r="O1658" i="5"/>
  <c r="O1668" i="5"/>
  <c r="O1678" i="5"/>
  <c r="O1690" i="5"/>
  <c r="O1700" i="5"/>
  <c r="O1710" i="5"/>
  <c r="O1722" i="5"/>
  <c r="O1732" i="5"/>
  <c r="O1742" i="5"/>
  <c r="O1754" i="5"/>
  <c r="O1764" i="5"/>
  <c r="O1773" i="5"/>
  <c r="O1782" i="5"/>
  <c r="O1791" i="5"/>
  <c r="O1800" i="5"/>
  <c r="O1809" i="5"/>
  <c r="O1817" i="5"/>
  <c r="O1825" i="5"/>
  <c r="O1833" i="5"/>
  <c r="O1841" i="5"/>
  <c r="O1849" i="5"/>
  <c r="O1857" i="5"/>
  <c r="O1865" i="5"/>
  <c r="O1873" i="5"/>
  <c r="O1881" i="5"/>
  <c r="O1889" i="5"/>
  <c r="O1897" i="5"/>
  <c r="O1905" i="5"/>
  <c r="O1913" i="5"/>
  <c r="O1921" i="5"/>
  <c r="O1929" i="5"/>
  <c r="O1937" i="5"/>
  <c r="O1945" i="5"/>
  <c r="O1953" i="5"/>
  <c r="O1961" i="5"/>
  <c r="O1969" i="5"/>
  <c r="O1977" i="5"/>
  <c r="O1985" i="5"/>
  <c r="O1993" i="5"/>
  <c r="O1150" i="5"/>
  <c r="O1168" i="5"/>
  <c r="O1184" i="5"/>
  <c r="O1203" i="5"/>
  <c r="O1220" i="5"/>
  <c r="O1236" i="5"/>
  <c r="O1253" i="5"/>
  <c r="O1270" i="5"/>
  <c r="O1286" i="5"/>
  <c r="O1304" i="5"/>
  <c r="O1318" i="5"/>
  <c r="O1332" i="5"/>
  <c r="O1347" i="5"/>
  <c r="O1362" i="5"/>
  <c r="O1374" i="5"/>
  <c r="O1389" i="5"/>
  <c r="O1404" i="5"/>
  <c r="O1418" i="5"/>
  <c r="O1432" i="5"/>
  <c r="O1446" i="5"/>
  <c r="O1460" i="5"/>
  <c r="O1475" i="5"/>
  <c r="O1490" i="5"/>
  <c r="O1502" i="5"/>
  <c r="O1517" i="5"/>
  <c r="O1532" i="5"/>
  <c r="O1546" i="5"/>
  <c r="O1560" i="5"/>
  <c r="O1574" i="5"/>
  <c r="O1588" i="5"/>
  <c r="O1603" i="5"/>
  <c r="O1618" i="5"/>
  <c r="O1630" i="5"/>
  <c r="O1645" i="5"/>
  <c r="O1660" i="5"/>
  <c r="O1674" i="5"/>
  <c r="O1688" i="5"/>
  <c r="O1702" i="5"/>
  <c r="O1716" i="5"/>
  <c r="O1731" i="5"/>
  <c r="O1746" i="5"/>
  <c r="O1758" i="5"/>
  <c r="O1772" i="5"/>
  <c r="O1784" i="5"/>
  <c r="O1796" i="5"/>
  <c r="O1808" i="5"/>
  <c r="O1819" i="5"/>
  <c r="O1829" i="5"/>
  <c r="O1840" i="5"/>
  <c r="O1851" i="5"/>
  <c r="O1861" i="5"/>
  <c r="O1872" i="5"/>
  <c r="O1883" i="5"/>
  <c r="O1893" i="5"/>
  <c r="O1904" i="5"/>
  <c r="O1915" i="5"/>
  <c r="O1925" i="5"/>
  <c r="O1936" i="5"/>
  <c r="O1947" i="5"/>
  <c r="O1957" i="5"/>
  <c r="O1968" i="5"/>
  <c r="O1979" i="5"/>
  <c r="O1989" i="5"/>
  <c r="O2000" i="5"/>
  <c r="O2008" i="5"/>
  <c r="O2016" i="5"/>
  <c r="O2024" i="5"/>
  <c r="O2032" i="5"/>
  <c r="O2040" i="5"/>
  <c r="O2048" i="5"/>
  <c r="O2056" i="5"/>
  <c r="O2064" i="5"/>
  <c r="O2072" i="5"/>
  <c r="O2080" i="5"/>
  <c r="O2088" i="5"/>
  <c r="O2096" i="5"/>
  <c r="O2104" i="5"/>
  <c r="O2112" i="5"/>
  <c r="O2120" i="5"/>
  <c r="O2128" i="5"/>
  <c r="O2136" i="5"/>
  <c r="O2144" i="5"/>
  <c r="O2152" i="5"/>
  <c r="O2160" i="5"/>
  <c r="O2168" i="5"/>
  <c r="O1139" i="5"/>
  <c r="O1156" i="5"/>
  <c r="O1172" i="5"/>
  <c r="O1189" i="5"/>
  <c r="O1206" i="5"/>
  <c r="O1222" i="5"/>
  <c r="O1240" i="5"/>
  <c r="O1259" i="5"/>
  <c r="O1275" i="5"/>
  <c r="O1292" i="5"/>
  <c r="O1308" i="5"/>
  <c r="O1322" i="5"/>
  <c r="O1336" i="5"/>
  <c r="O1350" i="5"/>
  <c r="O1364" i="5"/>
  <c r="O1379" i="5"/>
  <c r="O1394" i="5"/>
  <c r="O1406" i="5"/>
  <c r="O1421" i="5"/>
  <c r="O1436" i="5"/>
  <c r="O1450" i="5"/>
  <c r="O1464" i="5"/>
  <c r="O1478" i="5"/>
  <c r="O1492" i="5"/>
  <c r="O1507" i="5"/>
  <c r="O1522" i="5"/>
  <c r="O1534" i="5"/>
  <c r="O1549" i="5"/>
  <c r="O1564" i="5"/>
  <c r="O1578" i="5"/>
  <c r="O1592" i="5"/>
  <c r="O1606" i="5"/>
  <c r="O1620" i="5"/>
  <c r="O1635" i="5"/>
  <c r="O1650" i="5"/>
  <c r="O1662" i="5"/>
  <c r="O1677" i="5"/>
  <c r="O1692" i="5"/>
  <c r="O1706" i="5"/>
  <c r="O1720" i="5"/>
  <c r="O1734" i="5"/>
  <c r="O1748" i="5"/>
  <c r="O1763" i="5"/>
  <c r="O1775" i="5"/>
  <c r="O1787" i="5"/>
  <c r="O1799" i="5"/>
  <c r="O1811" i="5"/>
  <c r="O1821" i="5"/>
  <c r="O1832" i="5"/>
  <c r="O1843" i="5"/>
  <c r="O1853" i="5"/>
  <c r="O1864" i="5"/>
  <c r="O1875" i="5"/>
  <c r="O1885" i="5"/>
  <c r="O1896" i="5"/>
  <c r="O1907" i="5"/>
  <c r="O1917" i="5"/>
  <c r="O1928" i="5"/>
  <c r="O1939" i="5"/>
  <c r="O1949" i="5"/>
  <c r="O1960" i="5"/>
  <c r="O1971" i="5"/>
  <c r="O1981" i="5"/>
  <c r="O1992" i="5"/>
  <c r="O2002" i="5"/>
  <c r="O2010" i="5"/>
  <c r="O2018" i="5"/>
  <c r="O2026" i="5"/>
  <c r="O2034" i="5"/>
  <c r="O2042" i="5"/>
  <c r="O2050" i="5"/>
  <c r="O2058" i="5"/>
  <c r="O2066" i="5"/>
  <c r="O2074" i="5"/>
  <c r="O2082" i="5"/>
  <c r="O2090" i="5"/>
  <c r="O2098" i="5"/>
  <c r="O2106" i="5"/>
  <c r="O2114" i="5"/>
  <c r="O2122" i="5"/>
  <c r="O2130" i="5"/>
  <c r="O2138" i="5"/>
  <c r="O2146" i="5"/>
  <c r="O2154" i="5"/>
  <c r="O2162" i="5"/>
  <c r="O1141" i="5"/>
  <c r="O1157" i="5"/>
  <c r="O1174" i="5"/>
  <c r="O1192" i="5"/>
  <c r="O1208" i="5"/>
  <c r="O1227" i="5"/>
  <c r="O1244" i="5"/>
  <c r="O1260" i="5"/>
  <c r="O1277" i="5"/>
  <c r="O1294" i="5"/>
  <c r="O1309" i="5"/>
  <c r="O1324" i="5"/>
  <c r="O1339" i="5"/>
  <c r="O1352" i="5"/>
  <c r="O1366" i="5"/>
  <c r="O1381" i="5"/>
  <c r="O1395" i="5"/>
  <c r="O1410" i="5"/>
  <c r="O1424" i="5"/>
  <c r="O1437" i="5"/>
  <c r="O1452" i="5"/>
  <c r="O1467" i="5"/>
  <c r="O1480" i="5"/>
  <c r="O1494" i="5"/>
  <c r="O1509" i="5"/>
  <c r="O1523" i="5"/>
  <c r="O1538" i="5"/>
  <c r="O1552" i="5"/>
  <c r="O1565" i="5"/>
  <c r="O1580" i="5"/>
  <c r="O1595" i="5"/>
  <c r="O1608" i="5"/>
  <c r="O1622" i="5"/>
  <c r="O1637" i="5"/>
  <c r="O1651" i="5"/>
  <c r="O1666" i="5"/>
  <c r="O1680" i="5"/>
  <c r="O1693" i="5"/>
  <c r="O1708" i="5"/>
  <c r="O1723" i="5"/>
  <c r="O1736" i="5"/>
  <c r="O1750" i="5"/>
  <c r="O1765" i="5"/>
  <c r="O1776" i="5"/>
  <c r="O1789" i="5"/>
  <c r="O1802" i="5"/>
  <c r="O1812" i="5"/>
  <c r="O1823" i="5"/>
  <c r="O1834" i="5"/>
  <c r="O1844" i="5"/>
  <c r="O1855" i="5"/>
  <c r="O1866" i="5"/>
  <c r="O1876" i="5"/>
  <c r="O1887" i="5"/>
  <c r="O1898" i="5"/>
  <c r="O1908" i="5"/>
  <c r="O1919" i="5"/>
  <c r="O1144" i="5"/>
  <c r="O1163" i="5"/>
  <c r="O1180" i="5"/>
  <c r="O1196" i="5"/>
  <c r="O1213" i="5"/>
  <c r="O1230" i="5"/>
  <c r="O1246" i="5"/>
  <c r="O1264" i="5"/>
  <c r="O1283" i="5"/>
  <c r="O1299" i="5"/>
  <c r="O1314" i="5"/>
  <c r="O1328" i="5"/>
  <c r="O1341" i="5"/>
  <c r="O1356" i="5"/>
  <c r="O1371" i="5"/>
  <c r="O1384" i="5"/>
  <c r="O1398" i="5"/>
  <c r="O1413" i="5"/>
  <c r="O1427" i="5"/>
  <c r="O1442" i="5"/>
  <c r="O1456" i="5"/>
  <c r="O1469" i="5"/>
  <c r="O1484" i="5"/>
  <c r="O1499" i="5"/>
  <c r="O1512" i="5"/>
  <c r="O1526" i="5"/>
  <c r="O1541" i="5"/>
  <c r="O1555" i="5"/>
  <c r="O1570" i="5"/>
  <c r="O1584" i="5"/>
  <c r="O1597" i="5"/>
  <c r="O1612" i="5"/>
  <c r="O1627" i="5"/>
  <c r="O1640" i="5"/>
  <c r="O1166" i="5"/>
  <c r="O1200" i="5"/>
  <c r="O1235" i="5"/>
  <c r="O1269" i="5"/>
  <c r="O1302" i="5"/>
  <c r="O1331" i="5"/>
  <c r="O1360" i="5"/>
  <c r="O1388" i="5"/>
  <c r="O1416" i="5"/>
  <c r="O1445" i="5"/>
  <c r="O1474" i="5"/>
  <c r="O1501" i="5"/>
  <c r="O1531" i="5"/>
  <c r="O1558" i="5"/>
  <c r="O1587" i="5"/>
  <c r="O1616" i="5"/>
  <c r="O1644" i="5"/>
  <c r="O1669" i="5"/>
  <c r="O1691" i="5"/>
  <c r="O1714" i="5"/>
  <c r="O1738" i="5"/>
  <c r="O1757" i="5"/>
  <c r="O1780" i="5"/>
  <c r="O1798" i="5"/>
  <c r="O1816" i="5"/>
  <c r="O1835" i="5"/>
  <c r="O1850" i="5"/>
  <c r="O1868" i="5"/>
  <c r="O1884" i="5"/>
  <c r="O1901" i="5"/>
  <c r="O1920" i="5"/>
  <c r="O1933" i="5"/>
  <c r="O1948" i="5"/>
  <c r="O1963" i="5"/>
  <c r="O1976" i="5"/>
  <c r="O1991" i="5"/>
  <c r="O2004" i="5"/>
  <c r="O2014" i="5"/>
  <c r="O2025" i="5"/>
  <c r="O2036" i="5"/>
  <c r="O2046" i="5"/>
  <c r="O2057" i="5"/>
  <c r="O2068" i="5"/>
  <c r="O2078" i="5"/>
  <c r="O2089" i="5"/>
  <c r="O2100" i="5"/>
  <c r="O2110" i="5"/>
  <c r="O2121" i="5"/>
  <c r="O2132" i="5"/>
  <c r="O2142" i="5"/>
  <c r="O2153" i="5"/>
  <c r="O2164" i="5"/>
  <c r="O2173" i="5"/>
  <c r="O6" i="5"/>
  <c r="O14" i="5"/>
  <c r="O22" i="5"/>
  <c r="O30" i="5"/>
  <c r="O38" i="5"/>
  <c r="O46" i="5"/>
  <c r="O54" i="5"/>
  <c r="O62" i="5"/>
  <c r="O70" i="5"/>
  <c r="O78" i="5"/>
  <c r="O86" i="5"/>
  <c r="O94" i="5"/>
  <c r="O102" i="5"/>
  <c r="O110" i="5"/>
  <c r="O118" i="5"/>
  <c r="O126" i="5"/>
  <c r="O134" i="5"/>
  <c r="O142" i="5"/>
  <c r="O150" i="5"/>
  <c r="O158" i="5"/>
  <c r="O166" i="5"/>
  <c r="O174" i="5"/>
  <c r="O182" i="5"/>
  <c r="O190" i="5"/>
  <c r="O198" i="5"/>
  <c r="O206" i="5"/>
  <c r="O214" i="5"/>
  <c r="O222" i="5"/>
  <c r="O230" i="5"/>
  <c r="O238" i="5"/>
  <c r="O246" i="5"/>
  <c r="O254" i="5"/>
  <c r="O1142" i="5"/>
  <c r="O1176" i="5"/>
  <c r="O1211" i="5"/>
  <c r="O1245" i="5"/>
  <c r="O1278" i="5"/>
  <c r="O1310" i="5"/>
  <c r="O1340" i="5"/>
  <c r="O1368" i="5"/>
  <c r="O1396" i="5"/>
  <c r="O1426" i="5"/>
  <c r="O1453" i="5"/>
  <c r="O1482" i="5"/>
  <c r="O1510" i="5"/>
  <c r="O1539" i="5"/>
  <c r="O1566" i="5"/>
  <c r="O1596" i="5"/>
  <c r="O1624" i="5"/>
  <c r="O1652" i="5"/>
  <c r="O1672" i="5"/>
  <c r="O1698" i="5"/>
  <c r="O1718" i="5"/>
  <c r="O1741" i="5"/>
  <c r="O1766" i="5"/>
  <c r="O1783" i="5"/>
  <c r="O1804" i="5"/>
  <c r="O1820" i="5"/>
  <c r="O1837" i="5"/>
  <c r="O1856" i="5"/>
  <c r="O1871" i="5"/>
  <c r="O1890" i="5"/>
  <c r="O1906" i="5"/>
  <c r="O1923" i="5"/>
  <c r="O1938" i="5"/>
  <c r="O1952" i="5"/>
  <c r="O1965" i="5"/>
  <c r="O1980" i="5"/>
  <c r="O1995" i="5"/>
  <c r="O2006" i="5"/>
  <c r="O2017" i="5"/>
  <c r="O2028" i="5"/>
  <c r="O2038" i="5"/>
  <c r="O2049" i="5"/>
  <c r="O2060" i="5"/>
  <c r="O2070" i="5"/>
  <c r="O2081" i="5"/>
  <c r="O2092" i="5"/>
  <c r="O2102" i="5"/>
  <c r="O2113" i="5"/>
  <c r="O2124" i="5"/>
  <c r="O2134" i="5"/>
  <c r="O2145" i="5"/>
  <c r="O2156" i="5"/>
  <c r="O2166" i="5"/>
  <c r="O2175" i="5"/>
  <c r="O8" i="5"/>
  <c r="O16" i="5"/>
  <c r="O24" i="5"/>
  <c r="O32" i="5"/>
  <c r="O40" i="5"/>
  <c r="O48" i="5"/>
  <c r="O56" i="5"/>
  <c r="O64" i="5"/>
  <c r="O72" i="5"/>
  <c r="O80" i="5"/>
  <c r="O88" i="5"/>
  <c r="O96" i="5"/>
  <c r="O104" i="5"/>
  <c r="O112" i="5"/>
  <c r="O120" i="5"/>
  <c r="O128" i="5"/>
  <c r="O136" i="5"/>
  <c r="O144" i="5"/>
  <c r="O152" i="5"/>
  <c r="O160" i="5"/>
  <c r="O168" i="5"/>
  <c r="O176" i="5"/>
  <c r="O184" i="5"/>
  <c r="O192" i="5"/>
  <c r="O200" i="5"/>
  <c r="O208" i="5"/>
  <c r="O216" i="5"/>
  <c r="O224" i="5"/>
  <c r="O232" i="5"/>
  <c r="O240" i="5"/>
  <c r="O248" i="5"/>
  <c r="O256" i="5"/>
  <c r="O264" i="5"/>
  <c r="O1147" i="5"/>
  <c r="O1181" i="5"/>
  <c r="O1214" i="5"/>
  <c r="O1248" i="5"/>
  <c r="O1284" i="5"/>
  <c r="O1315" i="5"/>
  <c r="O1342" i="5"/>
  <c r="O1372" i="5"/>
  <c r="O1400" i="5"/>
  <c r="O1428" i="5"/>
  <c r="O1458" i="5"/>
  <c r="O1485" i="5"/>
  <c r="O1514" i="5"/>
  <c r="O1542" i="5"/>
  <c r="O1571" i="5"/>
  <c r="O1598" i="5"/>
  <c r="O1628" i="5"/>
  <c r="O1654" i="5"/>
  <c r="O1676" i="5"/>
  <c r="O1699" i="5"/>
  <c r="O1724" i="5"/>
  <c r="O1744" i="5"/>
  <c r="O1767" i="5"/>
  <c r="O1786" i="5"/>
  <c r="O1805" i="5"/>
  <c r="O1824" i="5"/>
  <c r="O1839" i="5"/>
  <c r="O1858" i="5"/>
  <c r="O1874" i="5"/>
  <c r="O1891" i="5"/>
  <c r="O1909" i="5"/>
  <c r="O1924" i="5"/>
  <c r="O1940" i="5"/>
  <c r="O1954" i="5"/>
  <c r="O1967" i="5"/>
  <c r="O1983" i="5"/>
  <c r="O1996" i="5"/>
  <c r="O2007" i="5"/>
  <c r="O2019" i="5"/>
  <c r="O2029" i="5"/>
  <c r="O2039" i="5"/>
  <c r="O2051" i="5"/>
  <c r="O2061" i="5"/>
  <c r="O2071" i="5"/>
  <c r="O2083" i="5"/>
  <c r="O2093" i="5"/>
  <c r="O2103" i="5"/>
  <c r="O2115" i="5"/>
  <c r="O2125" i="5"/>
  <c r="O2135" i="5"/>
  <c r="O2147" i="5"/>
  <c r="O2157" i="5"/>
  <c r="O2167" i="5"/>
  <c r="O2176" i="5"/>
  <c r="O9" i="5"/>
  <c r="O1155" i="5"/>
  <c r="O1188" i="5"/>
  <c r="O1221" i="5"/>
  <c r="O1256" i="5"/>
  <c r="O1291" i="5"/>
  <c r="O1320" i="5"/>
  <c r="O1349" i="5"/>
  <c r="O1378" i="5"/>
  <c r="O1405" i="5"/>
  <c r="O1435" i="5"/>
  <c r="O1462" i="5"/>
  <c r="O1491" i="5"/>
  <c r="O1520" i="5"/>
  <c r="O1548" i="5"/>
  <c r="O1576" i="5"/>
  <c r="O1605" i="5"/>
  <c r="O1634" i="5"/>
  <c r="O1659" i="5"/>
  <c r="O1683" i="5"/>
  <c r="O1704" i="5"/>
  <c r="O1726" i="5"/>
  <c r="O1752" i="5"/>
  <c r="O1771" i="5"/>
  <c r="O1792" i="5"/>
  <c r="O1810" i="5"/>
  <c r="O1827" i="5"/>
  <c r="O1845" i="5"/>
  <c r="O1860" i="5"/>
  <c r="O1879" i="5"/>
  <c r="O1895" i="5"/>
  <c r="O1912" i="5"/>
  <c r="O1930" i="5"/>
  <c r="O1943" i="5"/>
  <c r="O1956" i="5"/>
  <c r="O1972" i="5"/>
  <c r="O1986" i="5"/>
  <c r="O1999" i="5"/>
  <c r="O2011" i="5"/>
  <c r="O2021" i="5"/>
  <c r="O2031" i="5"/>
  <c r="O2043" i="5"/>
  <c r="O2053" i="5"/>
  <c r="O2063" i="5"/>
  <c r="O2075" i="5"/>
  <c r="O2085" i="5"/>
  <c r="O2095" i="5"/>
  <c r="O2107" i="5"/>
  <c r="O2117" i="5"/>
  <c r="O2127" i="5"/>
  <c r="O2139" i="5"/>
  <c r="O2149" i="5"/>
  <c r="O2159" i="5"/>
  <c r="O2170" i="5"/>
  <c r="O2178" i="5"/>
  <c r="O11" i="5"/>
  <c r="O19" i="5"/>
  <c r="O1197" i="5"/>
  <c r="O1267" i="5"/>
  <c r="O1330" i="5"/>
  <c r="O1386" i="5"/>
  <c r="O1443" i="5"/>
  <c r="O1500" i="5"/>
  <c r="O1556" i="5"/>
  <c r="O1613" i="5"/>
  <c r="O1667" i="5"/>
  <c r="O1712" i="5"/>
  <c r="O1756" i="5"/>
  <c r="O1795" i="5"/>
  <c r="O1831" i="5"/>
  <c r="O1867" i="5"/>
  <c r="O1900" i="5"/>
  <c r="O1932" i="5"/>
  <c r="O1962" i="5"/>
  <c r="O1988" i="5"/>
  <c r="O2013" i="5"/>
  <c r="O2035" i="5"/>
  <c r="O2055" i="5"/>
  <c r="O2077" i="5"/>
  <c r="O2099" i="5"/>
  <c r="O2119" i="5"/>
  <c r="O2141" i="5"/>
  <c r="O2163" i="5"/>
  <c r="O1149" i="5"/>
  <c r="O1219" i="5"/>
  <c r="O1285" i="5"/>
  <c r="O1346" i="5"/>
  <c r="O1403" i="5"/>
  <c r="O1459" i="5"/>
  <c r="O1516" i="5"/>
  <c r="O1573" i="5"/>
  <c r="O1629" i="5"/>
  <c r="O1682" i="5"/>
  <c r="O1725" i="5"/>
  <c r="O1768" i="5"/>
  <c r="O1807" i="5"/>
  <c r="O1842" i="5"/>
  <c r="O1877" i="5"/>
  <c r="O1911" i="5"/>
  <c r="O1941" i="5"/>
  <c r="O1970" i="5"/>
  <c r="O1997" i="5"/>
  <c r="O2020" i="5"/>
  <c r="O2041" i="5"/>
  <c r="O2062" i="5"/>
  <c r="O2084" i="5"/>
  <c r="O2105" i="5"/>
  <c r="O2126" i="5"/>
  <c r="O2148" i="5"/>
  <c r="O2169" i="5"/>
  <c r="O1158" i="5"/>
  <c r="O1228" i="5"/>
  <c r="O1296" i="5"/>
  <c r="O1354" i="5"/>
  <c r="O1411" i="5"/>
  <c r="O1468" i="5"/>
  <c r="O1524" i="5"/>
  <c r="O1581" i="5"/>
  <c r="O1638" i="5"/>
  <c r="O1684" i="5"/>
  <c r="O1730" i="5"/>
  <c r="O1774" i="5"/>
  <c r="O1813" i="5"/>
  <c r="O1847" i="5"/>
  <c r="O1880" i="5"/>
  <c r="O1914" i="5"/>
  <c r="O1944" i="5"/>
  <c r="O1973" i="5"/>
  <c r="O2001" i="5"/>
  <c r="O2022" i="5"/>
  <c r="O2044" i="5"/>
  <c r="O2065" i="5"/>
  <c r="O2086" i="5"/>
  <c r="O2108" i="5"/>
  <c r="O2129" i="5"/>
  <c r="O2150" i="5"/>
  <c r="O2171" i="5"/>
  <c r="O13" i="5"/>
  <c r="O26" i="5"/>
  <c r="O36" i="5"/>
  <c r="O47" i="5"/>
  <c r="O58" i="5"/>
  <c r="O68" i="5"/>
  <c r="O79" i="5"/>
  <c r="O90" i="5"/>
  <c r="O100" i="5"/>
  <c r="O111" i="5"/>
  <c r="O122" i="5"/>
  <c r="O132" i="5"/>
  <c r="O143" i="5"/>
  <c r="O154" i="5"/>
  <c r="O164" i="5"/>
  <c r="O175" i="5"/>
  <c r="O186" i="5"/>
  <c r="O196" i="5"/>
  <c r="O207" i="5"/>
  <c r="O218" i="5"/>
  <c r="O228" i="5"/>
  <c r="O239" i="5"/>
  <c r="O250" i="5"/>
  <c r="O260" i="5"/>
  <c r="O269" i="5"/>
  <c r="O277" i="5"/>
  <c r="O285" i="5"/>
  <c r="O293" i="5"/>
  <c r="O301" i="5"/>
  <c r="O309" i="5"/>
  <c r="O317" i="5"/>
  <c r="O325" i="5"/>
  <c r="O333" i="5"/>
  <c r="O341" i="5"/>
  <c r="O349" i="5"/>
  <c r="O357" i="5"/>
  <c r="O365" i="5"/>
  <c r="O373" i="5"/>
  <c r="O381" i="5"/>
  <c r="O389" i="5"/>
  <c r="O397" i="5"/>
  <c r="O405" i="5"/>
  <c r="O413" i="5"/>
  <c r="O421" i="5"/>
  <c r="O429" i="5"/>
  <c r="O437" i="5"/>
  <c r="O445" i="5"/>
  <c r="O453" i="5"/>
  <c r="O461" i="5"/>
  <c r="O469" i="5"/>
  <c r="O477" i="5"/>
  <c r="O485" i="5"/>
  <c r="O493" i="5"/>
  <c r="O501" i="5"/>
  <c r="O509" i="5"/>
  <c r="O517" i="5"/>
  <c r="O525" i="5"/>
  <c r="O533" i="5"/>
  <c r="O541" i="5"/>
  <c r="O549" i="5"/>
  <c r="O557" i="5"/>
  <c r="O565" i="5"/>
  <c r="O573" i="5"/>
  <c r="O581" i="5"/>
  <c r="O589" i="5"/>
  <c r="O597" i="5"/>
  <c r="O605" i="5"/>
  <c r="O613" i="5"/>
  <c r="O621" i="5"/>
  <c r="O629" i="5"/>
  <c r="O637" i="5"/>
  <c r="O645" i="5"/>
  <c r="O653" i="5"/>
  <c r="O661" i="5"/>
  <c r="O669" i="5"/>
  <c r="O677" i="5"/>
  <c r="O685" i="5"/>
  <c r="O693" i="5"/>
  <c r="O701" i="5"/>
  <c r="O709" i="5"/>
  <c r="O717" i="5"/>
  <c r="O725" i="5"/>
  <c r="O733" i="5"/>
  <c r="O741" i="5"/>
  <c r="O749" i="5"/>
  <c r="O757" i="5"/>
  <c r="O765" i="5"/>
  <c r="O773" i="5"/>
  <c r="O781" i="5"/>
  <c r="O789" i="5"/>
  <c r="O797" i="5"/>
  <c r="O805" i="5"/>
  <c r="O813" i="5"/>
  <c r="O821" i="5"/>
  <c r="O829" i="5"/>
  <c r="O837" i="5"/>
  <c r="O845" i="5"/>
  <c r="O853" i="5"/>
  <c r="O861" i="5"/>
  <c r="O869" i="5"/>
  <c r="O877" i="5"/>
  <c r="O885" i="5"/>
  <c r="O893" i="5"/>
  <c r="O901" i="5"/>
  <c r="O909" i="5"/>
  <c r="O917" i="5"/>
  <c r="O925" i="5"/>
  <c r="O933" i="5"/>
  <c r="O941" i="5"/>
  <c r="O949" i="5"/>
  <c r="O957" i="5"/>
  <c r="O965" i="5"/>
  <c r="O973" i="5"/>
  <c r="O981" i="5"/>
  <c r="O989" i="5"/>
  <c r="O997" i="5"/>
  <c r="O1005" i="5"/>
  <c r="O1013" i="5"/>
  <c r="O1021" i="5"/>
  <c r="O1029" i="5"/>
  <c r="O1037" i="5"/>
  <c r="O1045" i="5"/>
  <c r="O1053" i="5"/>
  <c r="O1061" i="5"/>
  <c r="O1069" i="5"/>
  <c r="O1077" i="5"/>
  <c r="O1085" i="5"/>
  <c r="O1093" i="5"/>
  <c r="O1101" i="5"/>
  <c r="O1109" i="5"/>
  <c r="O1117" i="5"/>
  <c r="O1125" i="5"/>
  <c r="O1133" i="5"/>
  <c r="J7" i="5"/>
  <c r="J15" i="5"/>
  <c r="J23" i="5"/>
  <c r="J31" i="5"/>
  <c r="J39" i="5"/>
  <c r="J47" i="5"/>
  <c r="J55" i="5"/>
  <c r="J63" i="5"/>
  <c r="J71" i="5"/>
  <c r="J79" i="5"/>
  <c r="O1171" i="5"/>
  <c r="O1238" i="5"/>
  <c r="O1307" i="5"/>
  <c r="O1363" i="5"/>
  <c r="O1420" i="5"/>
  <c r="O1477" i="5"/>
  <c r="O1533" i="5"/>
  <c r="O1590" i="5"/>
  <c r="O1648" i="5"/>
  <c r="O1694" i="5"/>
  <c r="O1740" i="5"/>
  <c r="O1781" i="5"/>
  <c r="O1818" i="5"/>
  <c r="O1852" i="5"/>
  <c r="O1888" i="5"/>
  <c r="O1922" i="5"/>
  <c r="O1951" i="5"/>
  <c r="O1978" i="5"/>
  <c r="O2005" i="5"/>
  <c r="O2027" i="5"/>
  <c r="O2047" i="5"/>
  <c r="O2069" i="5"/>
  <c r="O2091" i="5"/>
  <c r="O2111" i="5"/>
  <c r="O2133" i="5"/>
  <c r="O2155" i="5"/>
  <c r="O2174" i="5"/>
  <c r="O1182" i="5"/>
  <c r="O1252" i="5"/>
  <c r="O1317" i="5"/>
  <c r="O1373" i="5"/>
  <c r="O1430" i="5"/>
  <c r="O1488" i="5"/>
  <c r="O1544" i="5"/>
  <c r="O1602" i="5"/>
  <c r="O1656" i="5"/>
  <c r="O1701" i="5"/>
  <c r="O1747" i="5"/>
  <c r="O1790" i="5"/>
  <c r="O1826" i="5"/>
  <c r="O1859" i="5"/>
  <c r="O1892" i="5"/>
  <c r="O1927" i="5"/>
  <c r="O1955" i="5"/>
  <c r="O1984" i="5"/>
  <c r="O2009" i="5"/>
  <c r="O2030" i="5"/>
  <c r="O2052" i="5"/>
  <c r="O2073" i="5"/>
  <c r="O2094" i="5"/>
  <c r="O2116" i="5"/>
  <c r="O2137" i="5"/>
  <c r="O2158" i="5"/>
  <c r="O2177" i="5"/>
  <c r="O1300" i="5"/>
  <c r="O1448" i="5"/>
  <c r="O1610" i="5"/>
  <c r="O1733" i="5"/>
  <c r="O1836" i="5"/>
  <c r="O1931" i="5"/>
  <c r="O2003" i="5"/>
  <c r="O2059" i="5"/>
  <c r="O2118" i="5"/>
  <c r="O2172" i="5"/>
  <c r="O4" i="5"/>
  <c r="O20" i="5"/>
  <c r="O33" i="5"/>
  <c r="O44" i="5"/>
  <c r="O57" i="5"/>
  <c r="O69" i="5"/>
  <c r="O82" i="5"/>
  <c r="O93" i="5"/>
  <c r="O106" i="5"/>
  <c r="O117" i="5"/>
  <c r="O130" i="5"/>
  <c r="O141" i="5"/>
  <c r="O155" i="5"/>
  <c r="O167" i="5"/>
  <c r="O179" i="5"/>
  <c r="O191" i="5"/>
  <c r="O203" i="5"/>
  <c r="O215" i="5"/>
  <c r="O227" i="5"/>
  <c r="O241" i="5"/>
  <c r="O252" i="5"/>
  <c r="O263" i="5"/>
  <c r="O273" i="5"/>
  <c r="O282" i="5"/>
  <c r="O291" i="5"/>
  <c r="O300" i="5"/>
  <c r="O310" i="5"/>
  <c r="O319" i="5"/>
  <c r="O328" i="5"/>
  <c r="O337" i="5"/>
  <c r="O346" i="5"/>
  <c r="O355" i="5"/>
  <c r="O364" i="5"/>
  <c r="O374" i="5"/>
  <c r="O383" i="5"/>
  <c r="O392" i="5"/>
  <c r="O401" i="5"/>
  <c r="O410" i="5"/>
  <c r="O419" i="5"/>
  <c r="O428" i="5"/>
  <c r="O438" i="5"/>
  <c r="O447" i="5"/>
  <c r="O456" i="5"/>
  <c r="O465" i="5"/>
  <c r="O474" i="5"/>
  <c r="O483" i="5"/>
  <c r="O492" i="5"/>
  <c r="O502" i="5"/>
  <c r="O511" i="5"/>
  <c r="O520" i="5"/>
  <c r="O529" i="5"/>
  <c r="O538" i="5"/>
  <c r="O547" i="5"/>
  <c r="O556" i="5"/>
  <c r="O566" i="5"/>
  <c r="O575" i="5"/>
  <c r="O584" i="5"/>
  <c r="O593" i="5"/>
  <c r="O602" i="5"/>
  <c r="O611" i="5"/>
  <c r="O620" i="5"/>
  <c r="O630" i="5"/>
  <c r="O639" i="5"/>
  <c r="O648" i="5"/>
  <c r="O657" i="5"/>
  <c r="O666" i="5"/>
  <c r="O1164" i="5"/>
  <c r="O1334" i="5"/>
  <c r="O1496" i="5"/>
  <c r="O1642" i="5"/>
  <c r="O1762" i="5"/>
  <c r="O1863" i="5"/>
  <c r="O1946" i="5"/>
  <c r="O2015" i="5"/>
  <c r="O2076" i="5"/>
  <c r="O2131" i="5"/>
  <c r="O7" i="5"/>
  <c r="O23" i="5"/>
  <c r="O35" i="5"/>
  <c r="O49" i="5"/>
  <c r="O1195" i="5"/>
  <c r="O1357" i="5"/>
  <c r="O1506" i="5"/>
  <c r="O1661" i="5"/>
  <c r="O1778" i="5"/>
  <c r="O1869" i="5"/>
  <c r="O1959" i="5"/>
  <c r="O2023" i="5"/>
  <c r="O2079" i="5"/>
  <c r="O2140" i="5"/>
  <c r="O10" i="5"/>
  <c r="O25" i="5"/>
  <c r="O37" i="5"/>
  <c r="O50" i="5"/>
  <c r="O61" i="5"/>
  <c r="O74" i="5"/>
  <c r="O85" i="5"/>
  <c r="O98" i="5"/>
  <c r="O109" i="5"/>
  <c r="O123" i="5"/>
  <c r="O135" i="5"/>
  <c r="O147" i="5"/>
  <c r="O159" i="5"/>
  <c r="O171" i="5"/>
  <c r="O183" i="5"/>
  <c r="O195" i="5"/>
  <c r="O209" i="5"/>
  <c r="O220" i="5"/>
  <c r="O233" i="5"/>
  <c r="O244" i="5"/>
  <c r="O257" i="5"/>
  <c r="O267" i="5"/>
  <c r="O276" i="5"/>
  <c r="O286" i="5"/>
  <c r="O295" i="5"/>
  <c r="O304" i="5"/>
  <c r="O313" i="5"/>
  <c r="O322" i="5"/>
  <c r="O331" i="5"/>
  <c r="O340" i="5"/>
  <c r="O350" i="5"/>
  <c r="O359" i="5"/>
  <c r="O368" i="5"/>
  <c r="O377" i="5"/>
  <c r="O386" i="5"/>
  <c r="O395" i="5"/>
  <c r="O404" i="5"/>
  <c r="O414" i="5"/>
  <c r="O423" i="5"/>
  <c r="O432" i="5"/>
  <c r="O441" i="5"/>
  <c r="O450" i="5"/>
  <c r="O459" i="5"/>
  <c r="O468" i="5"/>
  <c r="O478" i="5"/>
  <c r="O487" i="5"/>
  <c r="O496" i="5"/>
  <c r="O505" i="5"/>
  <c r="O514" i="5"/>
  <c r="O523" i="5"/>
  <c r="O532" i="5"/>
  <c r="O542" i="5"/>
  <c r="O551" i="5"/>
  <c r="O560" i="5"/>
  <c r="O569" i="5"/>
  <c r="O578" i="5"/>
  <c r="O587" i="5"/>
  <c r="O596" i="5"/>
  <c r="O606" i="5"/>
  <c r="O615" i="5"/>
  <c r="O624" i="5"/>
  <c r="O633" i="5"/>
  <c r="O642" i="5"/>
  <c r="O651" i="5"/>
  <c r="O660" i="5"/>
  <c r="O670" i="5"/>
  <c r="O679" i="5"/>
  <c r="O688" i="5"/>
  <c r="O697" i="5"/>
  <c r="O706" i="5"/>
  <c r="O1232" i="5"/>
  <c r="O1392" i="5"/>
  <c r="O1554" i="5"/>
  <c r="O1686" i="5"/>
  <c r="O1803" i="5"/>
  <c r="O1899" i="5"/>
  <c r="O1975" i="5"/>
  <c r="O2037" i="5"/>
  <c r="O2097" i="5"/>
  <c r="O2151" i="5"/>
  <c r="O15" i="5"/>
  <c r="O28" i="5"/>
  <c r="O41" i="5"/>
  <c r="O52" i="5"/>
  <c r="O65" i="5"/>
  <c r="O76" i="5"/>
  <c r="O89" i="5"/>
  <c r="O101" i="5"/>
  <c r="O114" i="5"/>
  <c r="O125" i="5"/>
  <c r="O138" i="5"/>
  <c r="O149" i="5"/>
  <c r="O162" i="5"/>
  <c r="O173" i="5"/>
  <c r="O187" i="5"/>
  <c r="O199" i="5"/>
  <c r="O211" i="5"/>
  <c r="O223" i="5"/>
  <c r="O235" i="5"/>
  <c r="O247" i="5"/>
  <c r="O259" i="5"/>
  <c r="O270" i="5"/>
  <c r="O279" i="5"/>
  <c r="O288" i="5"/>
  <c r="O297" i="5"/>
  <c r="O306" i="5"/>
  <c r="O315" i="5"/>
  <c r="O324" i="5"/>
  <c r="O334" i="5"/>
  <c r="O343" i="5"/>
  <c r="O352" i="5"/>
  <c r="O361" i="5"/>
  <c r="O370" i="5"/>
  <c r="O379" i="5"/>
  <c r="O388" i="5"/>
  <c r="O398" i="5"/>
  <c r="O407" i="5"/>
  <c r="O416" i="5"/>
  <c r="O425" i="5"/>
  <c r="O434" i="5"/>
  <c r="O443" i="5"/>
  <c r="O452" i="5"/>
  <c r="O462" i="5"/>
  <c r="O471" i="5"/>
  <c r="O480" i="5"/>
  <c r="O489" i="5"/>
  <c r="O498" i="5"/>
  <c r="O507" i="5"/>
  <c r="O516" i="5"/>
  <c r="O526" i="5"/>
  <c r="O535" i="5"/>
  <c r="O544" i="5"/>
  <c r="O553" i="5"/>
  <c r="O562" i="5"/>
  <c r="O571" i="5"/>
  <c r="O580" i="5"/>
  <c r="O590" i="5"/>
  <c r="O599" i="5"/>
  <c r="O608" i="5"/>
  <c r="O617" i="5"/>
  <c r="O626" i="5"/>
  <c r="O635" i="5"/>
  <c r="O644" i="5"/>
  <c r="O654" i="5"/>
  <c r="O663" i="5"/>
  <c r="O672" i="5"/>
  <c r="O681" i="5"/>
  <c r="O690" i="5"/>
  <c r="O699" i="5"/>
  <c r="O708" i="5"/>
  <c r="O718" i="5"/>
  <c r="O727" i="5"/>
  <c r="O736" i="5"/>
  <c r="O1261" i="5"/>
  <c r="O1414" i="5"/>
  <c r="O1563" i="5"/>
  <c r="O1709" i="5"/>
  <c r="O1815" i="5"/>
  <c r="O1903" i="5"/>
  <c r="O1987" i="5"/>
  <c r="O2045" i="5"/>
  <c r="O2101" i="5"/>
  <c r="O2161" i="5"/>
  <c r="O17" i="5"/>
  <c r="O29" i="5"/>
  <c r="O42" i="5"/>
  <c r="O53" i="5"/>
  <c r="O66" i="5"/>
  <c r="O77" i="5"/>
  <c r="O91" i="5"/>
  <c r="O103" i="5"/>
  <c r="O115" i="5"/>
  <c r="O127" i="5"/>
  <c r="O139" i="5"/>
  <c r="O151" i="5"/>
  <c r="O163" i="5"/>
  <c r="O177" i="5"/>
  <c r="O188" i="5"/>
  <c r="O201" i="5"/>
  <c r="O212" i="5"/>
  <c r="O225" i="5"/>
  <c r="O236" i="5"/>
  <c r="O249" i="5"/>
  <c r="O261" i="5"/>
  <c r="O271" i="5"/>
  <c r="O280" i="5"/>
  <c r="O289" i="5"/>
  <c r="O298" i="5"/>
  <c r="O307" i="5"/>
  <c r="O316" i="5"/>
  <c r="O326" i="5"/>
  <c r="O335" i="5"/>
  <c r="O344" i="5"/>
  <c r="O353" i="5"/>
  <c r="O362" i="5"/>
  <c r="O371" i="5"/>
  <c r="O380" i="5"/>
  <c r="O390" i="5"/>
  <c r="O399" i="5"/>
  <c r="O408" i="5"/>
  <c r="O417" i="5"/>
  <c r="O426" i="5"/>
  <c r="O435" i="5"/>
  <c r="O444" i="5"/>
  <c r="O454" i="5"/>
  <c r="O463" i="5"/>
  <c r="O472" i="5"/>
  <c r="O481" i="5"/>
  <c r="O490" i="5"/>
  <c r="O499" i="5"/>
  <c r="O508" i="5"/>
  <c r="O518" i="5"/>
  <c r="O527" i="5"/>
  <c r="O536" i="5"/>
  <c r="O545" i="5"/>
  <c r="O554" i="5"/>
  <c r="O563" i="5"/>
  <c r="O572" i="5"/>
  <c r="O582" i="5"/>
  <c r="O591" i="5"/>
  <c r="O600" i="5"/>
  <c r="O609" i="5"/>
  <c r="O618" i="5"/>
  <c r="O627" i="5"/>
  <c r="O636" i="5"/>
  <c r="O646" i="5"/>
  <c r="O655" i="5"/>
  <c r="O664" i="5"/>
  <c r="O673" i="5"/>
  <c r="O682" i="5"/>
  <c r="O691" i="5"/>
  <c r="O700" i="5"/>
  <c r="O710" i="5"/>
  <c r="O719" i="5"/>
  <c r="O728" i="5"/>
  <c r="O737" i="5"/>
  <c r="O746" i="5"/>
  <c r="O755" i="5"/>
  <c r="O1528" i="5"/>
  <c r="O1848" i="5"/>
  <c r="O2054" i="5"/>
  <c r="O18" i="5"/>
  <c r="O51" i="5"/>
  <c r="O75" i="5"/>
  <c r="O99" i="5"/>
  <c r="O124" i="5"/>
  <c r="O148" i="5"/>
  <c r="O172" i="5"/>
  <c r="O197" i="5"/>
  <c r="O221" i="5"/>
  <c r="O245" i="5"/>
  <c r="O268" i="5"/>
  <c r="O287" i="5"/>
  <c r="O305" i="5"/>
  <c r="O323" i="5"/>
  <c r="O342" i="5"/>
  <c r="O360" i="5"/>
  <c r="O378" i="5"/>
  <c r="O396" i="5"/>
  <c r="O415" i="5"/>
  <c r="O433" i="5"/>
  <c r="O451" i="5"/>
  <c r="O470" i="5"/>
  <c r="O488" i="5"/>
  <c r="O506" i="5"/>
  <c r="O524" i="5"/>
  <c r="O543" i="5"/>
  <c r="O561" i="5"/>
  <c r="O579" i="5"/>
  <c r="O598" i="5"/>
  <c r="O616" i="5"/>
  <c r="O634" i="5"/>
  <c r="O652" i="5"/>
  <c r="O671" i="5"/>
  <c r="O686" i="5"/>
  <c r="O702" i="5"/>
  <c r="O714" i="5"/>
  <c r="O726" i="5"/>
  <c r="O739" i="5"/>
  <c r="O750" i="5"/>
  <c r="O760" i="5"/>
  <c r="O769" i="5"/>
  <c r="O778" i="5"/>
  <c r="O787" i="5"/>
  <c r="O796" i="5"/>
  <c r="O806" i="5"/>
  <c r="O815" i="5"/>
  <c r="O824" i="5"/>
  <c r="O833" i="5"/>
  <c r="O842" i="5"/>
  <c r="O851" i="5"/>
  <c r="O860" i="5"/>
  <c r="O870" i="5"/>
  <c r="O879" i="5"/>
  <c r="O888" i="5"/>
  <c r="O897" i="5"/>
  <c r="O906" i="5"/>
  <c r="O915" i="5"/>
  <c r="O924" i="5"/>
  <c r="O934" i="5"/>
  <c r="O943" i="5"/>
  <c r="O952" i="5"/>
  <c r="O961" i="5"/>
  <c r="O970" i="5"/>
  <c r="O979" i="5"/>
  <c r="O988" i="5"/>
  <c r="O998" i="5"/>
  <c r="O1007" i="5"/>
  <c r="O1016" i="5"/>
  <c r="O1025" i="5"/>
  <c r="O1034" i="5"/>
  <c r="O1043" i="5"/>
  <c r="O1052" i="5"/>
  <c r="O1136" i="5"/>
  <c r="O1586" i="5"/>
  <c r="O1882" i="5"/>
  <c r="O2067" i="5"/>
  <c r="O21" i="5"/>
  <c r="O55" i="5"/>
  <c r="O81" i="5"/>
  <c r="O105" i="5"/>
  <c r="O129" i="5"/>
  <c r="O153" i="5"/>
  <c r="O178" i="5"/>
  <c r="O202" i="5"/>
  <c r="O226" i="5"/>
  <c r="O251" i="5"/>
  <c r="O272" i="5"/>
  <c r="O290" i="5"/>
  <c r="O308" i="5"/>
  <c r="O327" i="5"/>
  <c r="O345" i="5"/>
  <c r="O363" i="5"/>
  <c r="O382" i="5"/>
  <c r="O400" i="5"/>
  <c r="O418" i="5"/>
  <c r="O436" i="5"/>
  <c r="O455" i="5"/>
  <c r="O473" i="5"/>
  <c r="O491" i="5"/>
  <c r="O510" i="5"/>
  <c r="O528" i="5"/>
  <c r="O546" i="5"/>
  <c r="O564" i="5"/>
  <c r="O583" i="5"/>
  <c r="O601" i="5"/>
  <c r="O619" i="5"/>
  <c r="O638" i="5"/>
  <c r="O656" i="5"/>
  <c r="O674" i="5"/>
  <c r="O687" i="5"/>
  <c r="O703" i="5"/>
  <c r="O715" i="5"/>
  <c r="O729" i="5"/>
  <c r="O740" i="5"/>
  <c r="O751" i="5"/>
  <c r="O761" i="5"/>
  <c r="O770" i="5"/>
  <c r="O779" i="5"/>
  <c r="O788" i="5"/>
  <c r="O798" i="5"/>
  <c r="O807" i="5"/>
  <c r="O816" i="5"/>
  <c r="O825" i="5"/>
  <c r="O834" i="5"/>
  <c r="O843" i="5"/>
  <c r="O852" i="5"/>
  <c r="O862" i="5"/>
  <c r="O871" i="5"/>
  <c r="O880" i="5"/>
  <c r="O889" i="5"/>
  <c r="O898" i="5"/>
  <c r="O907" i="5"/>
  <c r="O916" i="5"/>
  <c r="O926" i="5"/>
  <c r="O935" i="5"/>
  <c r="O944" i="5"/>
  <c r="O953" i="5"/>
  <c r="O962" i="5"/>
  <c r="O971" i="5"/>
  <c r="O980" i="5"/>
  <c r="O990" i="5"/>
  <c r="O999" i="5"/>
  <c r="O1008" i="5"/>
  <c r="O1017" i="5"/>
  <c r="O1026" i="5"/>
  <c r="O1035" i="5"/>
  <c r="O1044" i="5"/>
  <c r="O1054" i="5"/>
  <c r="O1063" i="5"/>
  <c r="O1072" i="5"/>
  <c r="O1081" i="5"/>
  <c r="O1090" i="5"/>
  <c r="O1099" i="5"/>
  <c r="O1108" i="5"/>
  <c r="O1118" i="5"/>
  <c r="O1127" i="5"/>
  <c r="O1205" i="5"/>
  <c r="O1619" i="5"/>
  <c r="O1916" i="5"/>
  <c r="O2087" i="5"/>
  <c r="O27" i="5"/>
  <c r="O59" i="5"/>
  <c r="O83" i="5"/>
  <c r="O107" i="5"/>
  <c r="O131" i="5"/>
  <c r="O156" i="5"/>
  <c r="O180" i="5"/>
  <c r="O204" i="5"/>
  <c r="O229" i="5"/>
  <c r="O253" i="5"/>
  <c r="O274" i="5"/>
  <c r="O292" i="5"/>
  <c r="O311" i="5"/>
  <c r="O329" i="5"/>
  <c r="O347" i="5"/>
  <c r="O366" i="5"/>
  <c r="O384" i="5"/>
  <c r="O402" i="5"/>
  <c r="O420" i="5"/>
  <c r="O439" i="5"/>
  <c r="O1272" i="5"/>
  <c r="O1670" i="5"/>
  <c r="O1935" i="5"/>
  <c r="O2109" i="5"/>
  <c r="O31" i="5"/>
  <c r="O60" i="5"/>
  <c r="O84" i="5"/>
  <c r="O108" i="5"/>
  <c r="O133" i="5"/>
  <c r="O157" i="5"/>
  <c r="O181" i="5"/>
  <c r="O205" i="5"/>
  <c r="O231" i="5"/>
  <c r="O255" i="5"/>
  <c r="O275" i="5"/>
  <c r="O294" i="5"/>
  <c r="O312" i="5"/>
  <c r="O330" i="5"/>
  <c r="O348" i="5"/>
  <c r="O367" i="5"/>
  <c r="O385" i="5"/>
  <c r="O403" i="5"/>
  <c r="O422" i="5"/>
  <c r="O440" i="5"/>
  <c r="O458" i="5"/>
  <c r="O476" i="5"/>
  <c r="O495" i="5"/>
  <c r="O513" i="5"/>
  <c r="O531" i="5"/>
  <c r="O550" i="5"/>
  <c r="O568" i="5"/>
  <c r="O586" i="5"/>
  <c r="O604" i="5"/>
  <c r="O623" i="5"/>
  <c r="O641" i="5"/>
  <c r="O659" i="5"/>
  <c r="O676" i="5"/>
  <c r="O692" i="5"/>
  <c r="O705" i="5"/>
  <c r="O720" i="5"/>
  <c r="O731" i="5"/>
  <c r="O743" i="5"/>
  <c r="O753" i="5"/>
  <c r="O763" i="5"/>
  <c r="O772" i="5"/>
  <c r="O782" i="5"/>
  <c r="O791" i="5"/>
  <c r="O800" i="5"/>
  <c r="O809" i="5"/>
  <c r="O818" i="5"/>
  <c r="O827" i="5"/>
  <c r="O836" i="5"/>
  <c r="O846" i="5"/>
  <c r="O855" i="5"/>
  <c r="O864" i="5"/>
  <c r="O873" i="5"/>
  <c r="O882" i="5"/>
  <c r="O891" i="5"/>
  <c r="O900" i="5"/>
  <c r="O910" i="5"/>
  <c r="O919" i="5"/>
  <c r="O928" i="5"/>
  <c r="O937" i="5"/>
  <c r="O946" i="5"/>
  <c r="O955" i="5"/>
  <c r="O964" i="5"/>
  <c r="O974" i="5"/>
  <c r="O983" i="5"/>
  <c r="O992" i="5"/>
  <c r="O1001" i="5"/>
  <c r="O1010" i="5"/>
  <c r="O1019" i="5"/>
  <c r="O1028" i="5"/>
  <c r="O1038" i="5"/>
  <c r="O1047" i="5"/>
  <c r="O1056" i="5"/>
  <c r="O1065" i="5"/>
  <c r="O1074" i="5"/>
  <c r="O1083" i="5"/>
  <c r="O1092" i="5"/>
  <c r="O1102" i="5"/>
  <c r="O1111" i="5"/>
  <c r="O1120" i="5"/>
  <c r="O1129" i="5"/>
  <c r="O1382" i="5"/>
  <c r="O1755" i="5"/>
  <c r="O1994" i="5"/>
  <c r="O2143" i="5"/>
  <c r="O39" i="5"/>
  <c r="O67" i="5"/>
  <c r="O92" i="5"/>
  <c r="O116" i="5"/>
  <c r="O140" i="5"/>
  <c r="O165" i="5"/>
  <c r="O189" i="5"/>
  <c r="O213" i="5"/>
  <c r="O237" i="5"/>
  <c r="O262" i="5"/>
  <c r="O281" i="5"/>
  <c r="O299" i="5"/>
  <c r="O318" i="5"/>
  <c r="O336" i="5"/>
  <c r="O354" i="5"/>
  <c r="O372" i="5"/>
  <c r="O391" i="5"/>
  <c r="O409" i="5"/>
  <c r="O427" i="5"/>
  <c r="O446" i="5"/>
  <c r="O464" i="5"/>
  <c r="O482" i="5"/>
  <c r="O500" i="5"/>
  <c r="O519" i="5"/>
  <c r="O537" i="5"/>
  <c r="O555" i="5"/>
  <c r="O1438" i="5"/>
  <c r="O1794" i="5"/>
  <c r="O2012" i="5"/>
  <c r="O2165" i="5"/>
  <c r="O5" i="5"/>
  <c r="O43" i="5"/>
  <c r="O71" i="5"/>
  <c r="O95" i="5"/>
  <c r="O119" i="5"/>
  <c r="O145" i="5"/>
  <c r="O169" i="5"/>
  <c r="O193" i="5"/>
  <c r="O217" i="5"/>
  <c r="O242" i="5"/>
  <c r="O265" i="5"/>
  <c r="O283" i="5"/>
  <c r="O302" i="5"/>
  <c r="O320" i="5"/>
  <c r="O338" i="5"/>
  <c r="O356" i="5"/>
  <c r="O375" i="5"/>
  <c r="O393" i="5"/>
  <c r="O411" i="5"/>
  <c r="O430" i="5"/>
  <c r="O448" i="5"/>
  <c r="O466" i="5"/>
  <c r="O484" i="5"/>
  <c r="O503" i="5"/>
  <c r="O521" i="5"/>
  <c r="O539" i="5"/>
  <c r="O558" i="5"/>
  <c r="O576" i="5"/>
  <c r="O594" i="5"/>
  <c r="O612" i="5"/>
  <c r="O631" i="5"/>
  <c r="O649" i="5"/>
  <c r="O667" i="5"/>
  <c r="O683" i="5"/>
  <c r="O696" i="5"/>
  <c r="O712" i="5"/>
  <c r="O723" i="5"/>
  <c r="O735" i="5"/>
  <c r="O747" i="5"/>
  <c r="O758" i="5"/>
  <c r="O767" i="5"/>
  <c r="O776" i="5"/>
  <c r="O785" i="5"/>
  <c r="O794" i="5"/>
  <c r="O803" i="5"/>
  <c r="O812" i="5"/>
  <c r="O822" i="5"/>
  <c r="O831" i="5"/>
  <c r="O840" i="5"/>
  <c r="O849" i="5"/>
  <c r="O858" i="5"/>
  <c r="O867" i="5"/>
  <c r="O876" i="5"/>
  <c r="O886" i="5"/>
  <c r="O895" i="5"/>
  <c r="O904" i="5"/>
  <c r="O913" i="5"/>
  <c r="O922" i="5"/>
  <c r="O931" i="5"/>
  <c r="O940" i="5"/>
  <c r="O950" i="5"/>
  <c r="O959" i="5"/>
  <c r="O968" i="5"/>
  <c r="O977" i="5"/>
  <c r="O986" i="5"/>
  <c r="O995" i="5"/>
  <c r="O1004" i="5"/>
  <c r="O1014" i="5"/>
  <c r="O1023" i="5"/>
  <c r="O1032" i="5"/>
  <c r="O1041" i="5"/>
  <c r="O1050" i="5"/>
  <c r="O1059" i="5"/>
  <c r="O1068" i="5"/>
  <c r="O1078" i="5"/>
  <c r="O1087" i="5"/>
  <c r="O1096" i="5"/>
  <c r="O1105" i="5"/>
  <c r="O1114" i="5"/>
  <c r="O1123" i="5"/>
  <c r="O1132" i="5"/>
  <c r="J8" i="5"/>
  <c r="J17" i="5"/>
  <c r="J26" i="5"/>
  <c r="O1325" i="5"/>
  <c r="O45" i="5"/>
  <c r="O146" i="5"/>
  <c r="O243" i="5"/>
  <c r="O321" i="5"/>
  <c r="O394" i="5"/>
  <c r="O460" i="5"/>
  <c r="O512" i="5"/>
  <c r="O559" i="5"/>
  <c r="O595" i="5"/>
  <c r="O632" i="5"/>
  <c r="O668" i="5"/>
  <c r="O698" i="5"/>
  <c r="O724" i="5"/>
  <c r="O748" i="5"/>
  <c r="O768" i="5"/>
  <c r="O786" i="5"/>
  <c r="O804" i="5"/>
  <c r="O823" i="5"/>
  <c r="O841" i="5"/>
  <c r="O859" i="5"/>
  <c r="O878" i="5"/>
  <c r="O896" i="5"/>
  <c r="O914" i="5"/>
  <c r="O932" i="5"/>
  <c r="O951" i="5"/>
  <c r="O969" i="5"/>
  <c r="O987" i="5"/>
  <c r="O1006" i="5"/>
  <c r="O1024" i="5"/>
  <c r="O1042" i="5"/>
  <c r="O1060" i="5"/>
  <c r="O1075" i="5"/>
  <c r="O1089" i="5"/>
  <c r="O1104" i="5"/>
  <c r="O1119" i="5"/>
  <c r="O1134" i="5"/>
  <c r="J11" i="5"/>
  <c r="J21" i="5"/>
  <c r="J32" i="5"/>
  <c r="J41" i="5"/>
  <c r="J50" i="5"/>
  <c r="J59" i="5"/>
  <c r="J68" i="5"/>
  <c r="J77" i="5"/>
  <c r="J86" i="5"/>
  <c r="J94" i="5"/>
  <c r="J102" i="5"/>
  <c r="J110" i="5"/>
  <c r="J118" i="5"/>
  <c r="J126" i="5"/>
  <c r="J134" i="5"/>
  <c r="J142" i="5"/>
  <c r="J150" i="5"/>
  <c r="J158" i="5"/>
  <c r="J166" i="5"/>
  <c r="J174" i="5"/>
  <c r="J182" i="5"/>
  <c r="J190" i="5"/>
  <c r="J198" i="5"/>
  <c r="J206" i="5"/>
  <c r="J214" i="5"/>
  <c r="J222" i="5"/>
  <c r="J230" i="5"/>
  <c r="J238" i="5"/>
  <c r="J246" i="5"/>
  <c r="J254" i="5"/>
  <c r="J262" i="5"/>
  <c r="J270" i="5"/>
  <c r="J278" i="5"/>
  <c r="J286" i="5"/>
  <c r="J294" i="5"/>
  <c r="J302" i="5"/>
  <c r="J310" i="5"/>
  <c r="J318" i="5"/>
  <c r="J326" i="5"/>
  <c r="J334" i="5"/>
  <c r="J342" i="5"/>
  <c r="J350" i="5"/>
  <c r="J358" i="5"/>
  <c r="J366" i="5"/>
  <c r="J374" i="5"/>
  <c r="J382" i="5"/>
  <c r="J390" i="5"/>
  <c r="J398" i="5"/>
  <c r="O1470" i="5"/>
  <c r="O63" i="5"/>
  <c r="O161" i="5"/>
  <c r="O258" i="5"/>
  <c r="O332" i="5"/>
  <c r="O406" i="5"/>
  <c r="O467" i="5"/>
  <c r="O515" i="5"/>
  <c r="O567" i="5"/>
  <c r="O603" i="5"/>
  <c r="O640" i="5"/>
  <c r="O675" i="5"/>
  <c r="O704" i="5"/>
  <c r="O730" i="5"/>
  <c r="O752" i="5"/>
  <c r="O771" i="5"/>
  <c r="O790" i="5"/>
  <c r="O808" i="5"/>
  <c r="O826" i="5"/>
  <c r="O844" i="5"/>
  <c r="O863" i="5"/>
  <c r="O881" i="5"/>
  <c r="O899" i="5"/>
  <c r="O918" i="5"/>
  <c r="O936" i="5"/>
  <c r="O954" i="5"/>
  <c r="O972" i="5"/>
  <c r="O991" i="5"/>
  <c r="O1009" i="5"/>
  <c r="O1027" i="5"/>
  <c r="O1046" i="5"/>
  <c r="O1062" i="5"/>
  <c r="O1076" i="5"/>
  <c r="O1091" i="5"/>
  <c r="O1106" i="5"/>
  <c r="O1121" i="5"/>
  <c r="O1135" i="5"/>
  <c r="J12" i="5"/>
  <c r="J22" i="5"/>
  <c r="J33" i="5"/>
  <c r="J42" i="5"/>
  <c r="J51" i="5"/>
  <c r="J60" i="5"/>
  <c r="J69" i="5"/>
  <c r="J78" i="5"/>
  <c r="J87" i="5"/>
  <c r="J95" i="5"/>
  <c r="J103" i="5"/>
  <c r="J111" i="5"/>
  <c r="J119" i="5"/>
  <c r="J127" i="5"/>
  <c r="J135" i="5"/>
  <c r="J143" i="5"/>
  <c r="J151" i="5"/>
  <c r="J159" i="5"/>
  <c r="J167" i="5"/>
  <c r="J175" i="5"/>
  <c r="J183" i="5"/>
  <c r="J191" i="5"/>
  <c r="J199" i="5"/>
  <c r="J207" i="5"/>
  <c r="J215" i="5"/>
  <c r="J223" i="5"/>
  <c r="J231" i="5"/>
  <c r="J239" i="5"/>
  <c r="J247" i="5"/>
  <c r="J255" i="5"/>
  <c r="J263" i="5"/>
  <c r="J271" i="5"/>
  <c r="J279" i="5"/>
  <c r="J287" i="5"/>
  <c r="J295" i="5"/>
  <c r="J303" i="5"/>
  <c r="J311" i="5"/>
  <c r="J319" i="5"/>
  <c r="J327" i="5"/>
  <c r="J335" i="5"/>
  <c r="J343" i="5"/>
  <c r="J351" i="5"/>
  <c r="J359" i="5"/>
  <c r="J367" i="5"/>
  <c r="J375" i="5"/>
  <c r="J383" i="5"/>
  <c r="J391" i="5"/>
  <c r="J399" i="5"/>
  <c r="J407" i="5"/>
  <c r="J415" i="5"/>
  <c r="J423" i="5"/>
  <c r="J431" i="5"/>
  <c r="J439" i="5"/>
  <c r="J447" i="5"/>
  <c r="J455" i="5"/>
  <c r="O1715" i="5"/>
  <c r="O73" i="5"/>
  <c r="O170" i="5"/>
  <c r="O266" i="5"/>
  <c r="O339" i="5"/>
  <c r="O412" i="5"/>
  <c r="O475" i="5"/>
  <c r="O522" i="5"/>
  <c r="O570" i="5"/>
  <c r="O607" i="5"/>
  <c r="O643" i="5"/>
  <c r="O678" i="5"/>
  <c r="O707" i="5"/>
  <c r="O732" i="5"/>
  <c r="O754" i="5"/>
  <c r="O774" i="5"/>
  <c r="O792" i="5"/>
  <c r="O810" i="5"/>
  <c r="O828" i="5"/>
  <c r="O847" i="5"/>
  <c r="O865" i="5"/>
  <c r="O883" i="5"/>
  <c r="O902" i="5"/>
  <c r="O920" i="5"/>
  <c r="O938" i="5"/>
  <c r="O956" i="5"/>
  <c r="O975" i="5"/>
  <c r="O993" i="5"/>
  <c r="O1011" i="5"/>
  <c r="O1030" i="5"/>
  <c r="O1048" i="5"/>
  <c r="O1064" i="5"/>
  <c r="O1079" i="5"/>
  <c r="O1094" i="5"/>
  <c r="O1964" i="5"/>
  <c r="O97" i="5"/>
  <c r="O194" i="5"/>
  <c r="O284" i="5"/>
  <c r="O358" i="5"/>
  <c r="O431" i="5"/>
  <c r="O486" i="5"/>
  <c r="O534" i="5"/>
  <c r="O577" i="5"/>
  <c r="O614" i="5"/>
  <c r="O650" i="5"/>
  <c r="O684" i="5"/>
  <c r="O713" i="5"/>
  <c r="O738" i="5"/>
  <c r="O759" i="5"/>
  <c r="O777" i="5"/>
  <c r="O795" i="5"/>
  <c r="O814" i="5"/>
  <c r="O832" i="5"/>
  <c r="O850" i="5"/>
  <c r="O868" i="5"/>
  <c r="O887" i="5"/>
  <c r="O905" i="5"/>
  <c r="O923" i="5"/>
  <c r="O942" i="5"/>
  <c r="O960" i="5"/>
  <c r="O978" i="5"/>
  <c r="O996" i="5"/>
  <c r="O1015" i="5"/>
  <c r="O1033" i="5"/>
  <c r="O1051" i="5"/>
  <c r="O1067" i="5"/>
  <c r="O1082" i="5"/>
  <c r="O1097" i="5"/>
  <c r="O1112" i="5"/>
  <c r="O1126" i="5"/>
  <c r="J5" i="5"/>
  <c r="J16" i="5"/>
  <c r="J27" i="5"/>
  <c r="J36" i="5"/>
  <c r="J45" i="5"/>
  <c r="J54" i="5"/>
  <c r="J64" i="5"/>
  <c r="J73" i="5"/>
  <c r="J82" i="5"/>
  <c r="J90" i="5"/>
  <c r="J98" i="5"/>
  <c r="J106" i="5"/>
  <c r="J114" i="5"/>
  <c r="J122" i="5"/>
  <c r="J130" i="5"/>
  <c r="J138" i="5"/>
  <c r="J146" i="5"/>
  <c r="J154" i="5"/>
  <c r="J162" i="5"/>
  <c r="J170" i="5"/>
  <c r="J178" i="5"/>
  <c r="J186" i="5"/>
  <c r="J194" i="5"/>
  <c r="J202" i="5"/>
  <c r="J210" i="5"/>
  <c r="J218" i="5"/>
  <c r="J226" i="5"/>
  <c r="J234" i="5"/>
  <c r="J242" i="5"/>
  <c r="J250" i="5"/>
  <c r="J258" i="5"/>
  <c r="J266" i="5"/>
  <c r="J274" i="5"/>
  <c r="J282" i="5"/>
  <c r="J290" i="5"/>
  <c r="J298" i="5"/>
  <c r="J306" i="5"/>
  <c r="J314" i="5"/>
  <c r="J322" i="5"/>
  <c r="J330" i="5"/>
  <c r="J338" i="5"/>
  <c r="J346" i="5"/>
  <c r="J354" i="5"/>
  <c r="J362" i="5"/>
  <c r="J370" i="5"/>
  <c r="J378" i="5"/>
  <c r="J386" i="5"/>
  <c r="J394" i="5"/>
  <c r="J402" i="5"/>
  <c r="O2033" i="5"/>
  <c r="O113" i="5"/>
  <c r="O210" i="5"/>
  <c r="O296" i="5"/>
  <c r="O369" i="5"/>
  <c r="O442" i="5"/>
  <c r="O494" i="5"/>
  <c r="O540" i="5"/>
  <c r="O585" i="5"/>
  <c r="O622" i="5"/>
  <c r="O658" i="5"/>
  <c r="O689" i="5"/>
  <c r="O716" i="5"/>
  <c r="O742" i="5"/>
  <c r="O762" i="5"/>
  <c r="O780" i="5"/>
  <c r="O799" i="5"/>
  <c r="O817" i="5"/>
  <c r="O835" i="5"/>
  <c r="O854" i="5"/>
  <c r="O872" i="5"/>
  <c r="O890" i="5"/>
  <c r="O908" i="5"/>
  <c r="O927" i="5"/>
  <c r="O945" i="5"/>
  <c r="O963" i="5"/>
  <c r="O982" i="5"/>
  <c r="O1000" i="5"/>
  <c r="O1018" i="5"/>
  <c r="O1036" i="5"/>
  <c r="O1055" i="5"/>
  <c r="O1070" i="5"/>
  <c r="O1084" i="5"/>
  <c r="O1098" i="5"/>
  <c r="O1113" i="5"/>
  <c r="O1128" i="5"/>
  <c r="J6" i="5"/>
  <c r="J18" i="5"/>
  <c r="J28" i="5"/>
  <c r="J37" i="5"/>
  <c r="J46" i="5"/>
  <c r="J56" i="5"/>
  <c r="J65" i="5"/>
  <c r="J74" i="5"/>
  <c r="J83" i="5"/>
  <c r="J91" i="5"/>
  <c r="J99" i="5"/>
  <c r="J107" i="5"/>
  <c r="J115" i="5"/>
  <c r="J123" i="5"/>
  <c r="J131" i="5"/>
  <c r="J139" i="5"/>
  <c r="J147" i="5"/>
  <c r="J155" i="5"/>
  <c r="J163" i="5"/>
  <c r="J171" i="5"/>
  <c r="J179" i="5"/>
  <c r="J187" i="5"/>
  <c r="J195" i="5"/>
  <c r="J203" i="5"/>
  <c r="J211" i="5"/>
  <c r="J219" i="5"/>
  <c r="J227" i="5"/>
  <c r="J235" i="5"/>
  <c r="J243" i="5"/>
  <c r="J251" i="5"/>
  <c r="J259" i="5"/>
  <c r="J267" i="5"/>
  <c r="J275" i="5"/>
  <c r="J283" i="5"/>
  <c r="J291" i="5"/>
  <c r="J299" i="5"/>
  <c r="J307" i="5"/>
  <c r="J315" i="5"/>
  <c r="J323" i="5"/>
  <c r="J331" i="5"/>
  <c r="J339" i="5"/>
  <c r="J347" i="5"/>
  <c r="J355" i="5"/>
  <c r="J363" i="5"/>
  <c r="J371" i="5"/>
  <c r="J379" i="5"/>
  <c r="J387" i="5"/>
  <c r="J395" i="5"/>
  <c r="J403" i="5"/>
  <c r="J411" i="5"/>
  <c r="J419" i="5"/>
  <c r="J427" i="5"/>
  <c r="J435" i="5"/>
  <c r="J443" i="5"/>
  <c r="J451" i="5"/>
  <c r="J459" i="5"/>
  <c r="O219" i="5"/>
  <c r="O424" i="5"/>
  <c r="O552" i="5"/>
  <c r="O662" i="5"/>
  <c r="O734" i="5"/>
  <c r="O784" i="5"/>
  <c r="O838" i="5"/>
  <c r="O884" i="5"/>
  <c r="O930" i="5"/>
  <c r="O984" i="5"/>
  <c r="O1031" i="5"/>
  <c r="O1073" i="5"/>
  <c r="O1110" i="5"/>
  <c r="J4" i="5"/>
  <c r="J25" i="5"/>
  <c r="J44" i="5"/>
  <c r="J62" i="5"/>
  <c r="J81" i="5"/>
  <c r="J97" i="5"/>
  <c r="J113" i="5"/>
  <c r="J129" i="5"/>
  <c r="J145" i="5"/>
  <c r="J161" i="5"/>
  <c r="J177" i="5"/>
  <c r="J193" i="5"/>
  <c r="J209" i="5"/>
  <c r="J225" i="5"/>
  <c r="J241" i="5"/>
  <c r="J257" i="5"/>
  <c r="J273" i="5"/>
  <c r="J289" i="5"/>
  <c r="J305" i="5"/>
  <c r="J321" i="5"/>
  <c r="J337" i="5"/>
  <c r="J353" i="5"/>
  <c r="J369" i="5"/>
  <c r="J385" i="5"/>
  <c r="J401" i="5"/>
  <c r="J413" i="5"/>
  <c r="J424" i="5"/>
  <c r="J434" i="5"/>
  <c r="J445" i="5"/>
  <c r="J456" i="5"/>
  <c r="J465" i="5"/>
  <c r="J473" i="5"/>
  <c r="J481" i="5"/>
  <c r="J489" i="5"/>
  <c r="J497" i="5"/>
  <c r="J505" i="5"/>
  <c r="J513" i="5"/>
  <c r="J521" i="5"/>
  <c r="J529" i="5"/>
  <c r="J537" i="5"/>
  <c r="J545" i="5"/>
  <c r="J553" i="5"/>
  <c r="J561" i="5"/>
  <c r="J569" i="5"/>
  <c r="J577" i="5"/>
  <c r="J585" i="5"/>
  <c r="J593" i="5"/>
  <c r="J601" i="5"/>
  <c r="J609" i="5"/>
  <c r="J617" i="5"/>
  <c r="J625" i="5"/>
  <c r="J633" i="5"/>
  <c r="J641" i="5"/>
  <c r="J649" i="5"/>
  <c r="J657" i="5"/>
  <c r="J665" i="5"/>
  <c r="J673" i="5"/>
  <c r="J681" i="5"/>
  <c r="J689" i="5"/>
  <c r="J697" i="5"/>
  <c r="J705" i="5"/>
  <c r="J713" i="5"/>
  <c r="J721" i="5"/>
  <c r="J729" i="5"/>
  <c r="J737" i="5"/>
  <c r="J745" i="5"/>
  <c r="J753" i="5"/>
  <c r="J761" i="5"/>
  <c r="J769" i="5"/>
  <c r="J777" i="5"/>
  <c r="J785" i="5"/>
  <c r="J793" i="5"/>
  <c r="J801" i="5"/>
  <c r="J809" i="5"/>
  <c r="J817" i="5"/>
  <c r="J825" i="5"/>
  <c r="J833" i="5"/>
  <c r="J841" i="5"/>
  <c r="J849" i="5"/>
  <c r="J857" i="5"/>
  <c r="J865" i="5"/>
  <c r="J873" i="5"/>
  <c r="J881" i="5"/>
  <c r="J889" i="5"/>
  <c r="J897" i="5"/>
  <c r="J905" i="5"/>
  <c r="J913" i="5"/>
  <c r="J921" i="5"/>
  <c r="J929" i="5"/>
  <c r="J937" i="5"/>
  <c r="J945" i="5"/>
  <c r="J953" i="5"/>
  <c r="J961" i="5"/>
  <c r="J969" i="5"/>
  <c r="J977" i="5"/>
  <c r="J985" i="5"/>
  <c r="J993" i="5"/>
  <c r="J1001" i="5"/>
  <c r="J1009" i="5"/>
  <c r="J1017" i="5"/>
  <c r="J1025" i="5"/>
  <c r="J1033" i="5"/>
  <c r="J1041" i="5"/>
  <c r="J1049" i="5"/>
  <c r="J1057" i="5"/>
  <c r="J1065" i="5"/>
  <c r="J1073" i="5"/>
  <c r="J1081" i="5"/>
  <c r="J1089" i="5"/>
  <c r="J1097" i="5"/>
  <c r="J1105" i="5"/>
  <c r="J1113" i="5"/>
  <c r="J1121" i="5"/>
  <c r="J1129" i="5"/>
  <c r="J1137" i="5"/>
  <c r="J1145" i="5"/>
  <c r="J1153" i="5"/>
  <c r="J1161" i="5"/>
  <c r="J1169" i="5"/>
  <c r="J1177" i="5"/>
  <c r="J1185" i="5"/>
  <c r="J1193" i="5"/>
  <c r="J1201" i="5"/>
  <c r="J1209" i="5"/>
  <c r="J1217" i="5"/>
  <c r="J1225" i="5"/>
  <c r="J1233" i="5"/>
  <c r="J1241" i="5"/>
  <c r="J1249" i="5"/>
  <c r="J1257" i="5"/>
  <c r="J1265" i="5"/>
  <c r="J1273" i="5"/>
  <c r="J1281" i="5"/>
  <c r="J1289" i="5"/>
  <c r="J1297" i="5"/>
  <c r="J1305" i="5"/>
  <c r="J1313" i="5"/>
  <c r="J1321" i="5"/>
  <c r="J1329" i="5"/>
  <c r="J1337" i="5"/>
  <c r="J1345" i="5"/>
  <c r="J1353" i="5"/>
  <c r="O1828" i="5"/>
  <c r="O234" i="5"/>
  <c r="O449" i="5"/>
  <c r="O574" i="5"/>
  <c r="O665" i="5"/>
  <c r="O744" i="5"/>
  <c r="O793" i="5"/>
  <c r="O839" i="5"/>
  <c r="O892" i="5"/>
  <c r="O939" i="5"/>
  <c r="O985" i="5"/>
  <c r="O1039" i="5"/>
  <c r="O1080" i="5"/>
  <c r="O1115" i="5"/>
  <c r="J9" i="5"/>
  <c r="J29" i="5"/>
  <c r="J48" i="5"/>
  <c r="J66" i="5"/>
  <c r="J84" i="5"/>
  <c r="J100" i="5"/>
  <c r="J116" i="5"/>
  <c r="J132" i="5"/>
  <c r="J148" i="5"/>
  <c r="J164" i="5"/>
  <c r="J180" i="5"/>
  <c r="J196" i="5"/>
  <c r="J212" i="5"/>
  <c r="J228" i="5"/>
  <c r="J244" i="5"/>
  <c r="J260" i="5"/>
  <c r="J276" i="5"/>
  <c r="J292" i="5"/>
  <c r="J308" i="5"/>
  <c r="J324" i="5"/>
  <c r="J340" i="5"/>
  <c r="J356" i="5"/>
  <c r="J372" i="5"/>
  <c r="J388" i="5"/>
  <c r="J404" i="5"/>
  <c r="J414" i="5"/>
  <c r="J425" i="5"/>
  <c r="J436" i="5"/>
  <c r="J446" i="5"/>
  <c r="J457" i="5"/>
  <c r="J466" i="5"/>
  <c r="J474" i="5"/>
  <c r="J482" i="5"/>
  <c r="J490" i="5"/>
  <c r="J498" i="5"/>
  <c r="J506" i="5"/>
  <c r="J514" i="5"/>
  <c r="J522" i="5"/>
  <c r="J530" i="5"/>
  <c r="J538" i="5"/>
  <c r="J546" i="5"/>
  <c r="J554" i="5"/>
  <c r="J562" i="5"/>
  <c r="J570" i="5"/>
  <c r="J578" i="5"/>
  <c r="J586" i="5"/>
  <c r="J594" i="5"/>
  <c r="J602" i="5"/>
  <c r="J610" i="5"/>
  <c r="J618" i="5"/>
  <c r="J626" i="5"/>
  <c r="J634" i="5"/>
  <c r="J642" i="5"/>
  <c r="J650" i="5"/>
  <c r="J658" i="5"/>
  <c r="J666" i="5"/>
  <c r="J674" i="5"/>
  <c r="J682" i="5"/>
  <c r="J690" i="5"/>
  <c r="J698" i="5"/>
  <c r="J706" i="5"/>
  <c r="J714" i="5"/>
  <c r="J722" i="5"/>
  <c r="J730" i="5"/>
  <c r="J738" i="5"/>
  <c r="J746" i="5"/>
  <c r="J754" i="5"/>
  <c r="J762" i="5"/>
  <c r="J770" i="5"/>
  <c r="J778" i="5"/>
  <c r="J786" i="5"/>
  <c r="J794" i="5"/>
  <c r="J802" i="5"/>
  <c r="J810" i="5"/>
  <c r="J818" i="5"/>
  <c r="J826" i="5"/>
  <c r="J834" i="5"/>
  <c r="J842" i="5"/>
  <c r="J850" i="5"/>
  <c r="J858" i="5"/>
  <c r="J866" i="5"/>
  <c r="J874" i="5"/>
  <c r="J882" i="5"/>
  <c r="J890" i="5"/>
  <c r="J898" i="5"/>
  <c r="J906" i="5"/>
  <c r="J914" i="5"/>
  <c r="J922" i="5"/>
  <c r="J930" i="5"/>
  <c r="J938" i="5"/>
  <c r="J946" i="5"/>
  <c r="J954" i="5"/>
  <c r="J962" i="5"/>
  <c r="J970" i="5"/>
  <c r="J978" i="5"/>
  <c r="J986" i="5"/>
  <c r="J994" i="5"/>
  <c r="J1002" i="5"/>
  <c r="J1010" i="5"/>
  <c r="J1018" i="5"/>
  <c r="J1026" i="5"/>
  <c r="J1034" i="5"/>
  <c r="J1042" i="5"/>
  <c r="J1050" i="5"/>
  <c r="J1058" i="5"/>
  <c r="J1066" i="5"/>
  <c r="J1074" i="5"/>
  <c r="J1082" i="5"/>
  <c r="J1090" i="5"/>
  <c r="J1098" i="5"/>
  <c r="J1106" i="5"/>
  <c r="J1114" i="5"/>
  <c r="J1122" i="5"/>
  <c r="J1130" i="5"/>
  <c r="J1138" i="5"/>
  <c r="J1146" i="5"/>
  <c r="J1154" i="5"/>
  <c r="J1162" i="5"/>
  <c r="J1170" i="5"/>
  <c r="J1178" i="5"/>
  <c r="J1186" i="5"/>
  <c r="J1194" i="5"/>
  <c r="J1202" i="5"/>
  <c r="J1210" i="5"/>
  <c r="J1218" i="5"/>
  <c r="J1226" i="5"/>
  <c r="J1234" i="5"/>
  <c r="J1242" i="5"/>
  <c r="J1250" i="5"/>
  <c r="J1258" i="5"/>
  <c r="J1266" i="5"/>
  <c r="J1274" i="5"/>
  <c r="J1282" i="5"/>
  <c r="J1290" i="5"/>
  <c r="J1298" i="5"/>
  <c r="J1306" i="5"/>
  <c r="J1314" i="5"/>
  <c r="J1322" i="5"/>
  <c r="J1330" i="5"/>
  <c r="J1338" i="5"/>
  <c r="O2123" i="5"/>
  <c r="O12" i="5"/>
  <c r="O278" i="5"/>
  <c r="O457" i="5"/>
  <c r="O588" i="5"/>
  <c r="O680" i="5"/>
  <c r="O745" i="5"/>
  <c r="O801" i="5"/>
  <c r="O848" i="5"/>
  <c r="O894" i="5"/>
  <c r="O947" i="5"/>
  <c r="O994" i="5"/>
  <c r="O1040" i="5"/>
  <c r="O1086" i="5"/>
  <c r="O1116" i="5"/>
  <c r="J10" i="5"/>
  <c r="J30" i="5"/>
  <c r="J49" i="5"/>
  <c r="J67" i="5"/>
  <c r="J85" i="5"/>
  <c r="J101" i="5"/>
  <c r="J117" i="5"/>
  <c r="J133" i="5"/>
  <c r="J149" i="5"/>
  <c r="J165" i="5"/>
  <c r="J181" i="5"/>
  <c r="J197" i="5"/>
  <c r="J213" i="5"/>
  <c r="J229" i="5"/>
  <c r="J245" i="5"/>
  <c r="J261" i="5"/>
  <c r="J277" i="5"/>
  <c r="J293" i="5"/>
  <c r="J309" i="5"/>
  <c r="J325" i="5"/>
  <c r="J341" i="5"/>
  <c r="J357" i="5"/>
  <c r="J373" i="5"/>
  <c r="J389" i="5"/>
  <c r="J405" i="5"/>
  <c r="J416" i="5"/>
  <c r="J426" i="5"/>
  <c r="J437" i="5"/>
  <c r="J448" i="5"/>
  <c r="J458" i="5"/>
  <c r="J467" i="5"/>
  <c r="J475" i="5"/>
  <c r="J483" i="5"/>
  <c r="J491" i="5"/>
  <c r="J499" i="5"/>
  <c r="J507" i="5"/>
  <c r="J515" i="5"/>
  <c r="J523" i="5"/>
  <c r="J531" i="5"/>
  <c r="J539" i="5"/>
  <c r="J547" i="5"/>
  <c r="J555" i="5"/>
  <c r="J563" i="5"/>
  <c r="J571" i="5"/>
  <c r="J579" i="5"/>
  <c r="J587" i="5"/>
  <c r="J595" i="5"/>
  <c r="J603" i="5"/>
  <c r="J611" i="5"/>
  <c r="J619" i="5"/>
  <c r="J627" i="5"/>
  <c r="J635" i="5"/>
  <c r="J643" i="5"/>
  <c r="J651" i="5"/>
  <c r="J659" i="5"/>
  <c r="J667" i="5"/>
  <c r="J675" i="5"/>
  <c r="J683" i="5"/>
  <c r="J691" i="5"/>
  <c r="J699" i="5"/>
  <c r="J707" i="5"/>
  <c r="J715" i="5"/>
  <c r="J723" i="5"/>
  <c r="J731" i="5"/>
  <c r="J739" i="5"/>
  <c r="J747" i="5"/>
  <c r="J755" i="5"/>
  <c r="J763" i="5"/>
  <c r="J771" i="5"/>
  <c r="J779" i="5"/>
  <c r="J787" i="5"/>
  <c r="J795" i="5"/>
  <c r="J803" i="5"/>
  <c r="J811" i="5"/>
  <c r="J819" i="5"/>
  <c r="J827" i="5"/>
  <c r="J835" i="5"/>
  <c r="J843" i="5"/>
  <c r="J851" i="5"/>
  <c r="J859" i="5"/>
  <c r="J867" i="5"/>
  <c r="J875" i="5"/>
  <c r="J883" i="5"/>
  <c r="J891" i="5"/>
  <c r="J899" i="5"/>
  <c r="J907" i="5"/>
  <c r="J915" i="5"/>
  <c r="J923" i="5"/>
  <c r="J931" i="5"/>
  <c r="J939" i="5"/>
  <c r="J947" i="5"/>
  <c r="J955" i="5"/>
  <c r="J963" i="5"/>
  <c r="J971" i="5"/>
  <c r="J979" i="5"/>
  <c r="J987" i="5"/>
  <c r="J995" i="5"/>
  <c r="J1003" i="5"/>
  <c r="J1011" i="5"/>
  <c r="J1019" i="5"/>
  <c r="J1027" i="5"/>
  <c r="J1035" i="5"/>
  <c r="J1043" i="5"/>
  <c r="J1051" i="5"/>
  <c r="J1059" i="5"/>
  <c r="J1067" i="5"/>
  <c r="J1075" i="5"/>
  <c r="J1083" i="5"/>
  <c r="J1091" i="5"/>
  <c r="J1099" i="5"/>
  <c r="J1107" i="5"/>
  <c r="J1115" i="5"/>
  <c r="J1123" i="5"/>
  <c r="J1131" i="5"/>
  <c r="J1139" i="5"/>
  <c r="J1147" i="5"/>
  <c r="J1155" i="5"/>
  <c r="J1163" i="5"/>
  <c r="J1171" i="5"/>
  <c r="J1179" i="5"/>
  <c r="J1187" i="5"/>
  <c r="J1195" i="5"/>
  <c r="J1203" i="5"/>
  <c r="J1211" i="5"/>
  <c r="J1219" i="5"/>
  <c r="J1227" i="5"/>
  <c r="J1235" i="5"/>
  <c r="J1243" i="5"/>
  <c r="J1251" i="5"/>
  <c r="J1259" i="5"/>
  <c r="J1267" i="5"/>
  <c r="J1275" i="5"/>
  <c r="J1283" i="5"/>
  <c r="J1291" i="5"/>
  <c r="J1299" i="5"/>
  <c r="J1307" i="5"/>
  <c r="J1315" i="5"/>
  <c r="J1323" i="5"/>
  <c r="J1331" i="5"/>
  <c r="J1339" i="5"/>
  <c r="J1347" i="5"/>
  <c r="J1355" i="5"/>
  <c r="J1363" i="5"/>
  <c r="J1371" i="5"/>
  <c r="J1379" i="5"/>
  <c r="J1387" i="5"/>
  <c r="O34" i="5"/>
  <c r="O303" i="5"/>
  <c r="O479" i="5"/>
  <c r="O592" i="5"/>
  <c r="O694" i="5"/>
  <c r="O756" i="5"/>
  <c r="O802" i="5"/>
  <c r="O856" i="5"/>
  <c r="O903" i="5"/>
  <c r="O948" i="5"/>
  <c r="O1002" i="5"/>
  <c r="O1049" i="5"/>
  <c r="O1088" i="5"/>
  <c r="O1122" i="5"/>
  <c r="J13" i="5"/>
  <c r="J34" i="5"/>
  <c r="J52" i="5"/>
  <c r="J70" i="5"/>
  <c r="J88" i="5"/>
  <c r="J104" i="5"/>
  <c r="J120" i="5"/>
  <c r="J136" i="5"/>
  <c r="J152" i="5"/>
  <c r="J168" i="5"/>
  <c r="J184" i="5"/>
  <c r="J200" i="5"/>
  <c r="J216" i="5"/>
  <c r="J232" i="5"/>
  <c r="J248" i="5"/>
  <c r="J264" i="5"/>
  <c r="J280" i="5"/>
  <c r="J296" i="5"/>
  <c r="J312" i="5"/>
  <c r="J328" i="5"/>
  <c r="J344" i="5"/>
  <c r="J360" i="5"/>
  <c r="J376" i="5"/>
  <c r="J392" i="5"/>
  <c r="J406" i="5"/>
  <c r="J417" i="5"/>
  <c r="J428" i="5"/>
  <c r="J438" i="5"/>
  <c r="O121" i="5"/>
  <c r="O351" i="5"/>
  <c r="O504" i="5"/>
  <c r="O625" i="5"/>
  <c r="O711" i="5"/>
  <c r="O766" i="5"/>
  <c r="O819" i="5"/>
  <c r="O866" i="5"/>
  <c r="O912" i="5"/>
  <c r="O966" i="5"/>
  <c r="O1012" i="5"/>
  <c r="O1058" i="5"/>
  <c r="O1100" i="5"/>
  <c r="O1130" i="5"/>
  <c r="J19" i="5"/>
  <c r="J38" i="5"/>
  <c r="J57" i="5"/>
  <c r="J75" i="5"/>
  <c r="J92" i="5"/>
  <c r="J108" i="5"/>
  <c r="J124" i="5"/>
  <c r="J140" i="5"/>
  <c r="J156" i="5"/>
  <c r="J172" i="5"/>
  <c r="J188" i="5"/>
  <c r="J204" i="5"/>
  <c r="J220" i="5"/>
  <c r="J236" i="5"/>
  <c r="J252" i="5"/>
  <c r="J268" i="5"/>
  <c r="J284" i="5"/>
  <c r="J300" i="5"/>
  <c r="J316" i="5"/>
  <c r="J332" i="5"/>
  <c r="J348" i="5"/>
  <c r="J364" i="5"/>
  <c r="J380" i="5"/>
  <c r="J396" i="5"/>
  <c r="J409" i="5"/>
  <c r="J420" i="5"/>
  <c r="J430" i="5"/>
  <c r="J441" i="5"/>
  <c r="J452" i="5"/>
  <c r="J462" i="5"/>
  <c r="J470" i="5"/>
  <c r="J478" i="5"/>
  <c r="J486" i="5"/>
  <c r="J494" i="5"/>
  <c r="J502" i="5"/>
  <c r="J510" i="5"/>
  <c r="J518" i="5"/>
  <c r="J526" i="5"/>
  <c r="J534" i="5"/>
  <c r="J542" i="5"/>
  <c r="J550" i="5"/>
  <c r="J558" i="5"/>
  <c r="J566" i="5"/>
  <c r="J574" i="5"/>
  <c r="J582" i="5"/>
  <c r="J590" i="5"/>
  <c r="J598" i="5"/>
  <c r="J606" i="5"/>
  <c r="J614" i="5"/>
  <c r="J622" i="5"/>
  <c r="J630" i="5"/>
  <c r="J638" i="5"/>
  <c r="J646" i="5"/>
  <c r="J654" i="5"/>
  <c r="J662" i="5"/>
  <c r="J670" i="5"/>
  <c r="J678" i="5"/>
  <c r="J686" i="5"/>
  <c r="J694" i="5"/>
  <c r="J702" i="5"/>
  <c r="J710" i="5"/>
  <c r="J718" i="5"/>
  <c r="J726" i="5"/>
  <c r="J734" i="5"/>
  <c r="J742" i="5"/>
  <c r="J750" i="5"/>
  <c r="J758" i="5"/>
  <c r="J766" i="5"/>
  <c r="J774" i="5"/>
  <c r="J782" i="5"/>
  <c r="J790" i="5"/>
  <c r="J798" i="5"/>
  <c r="J806" i="5"/>
  <c r="J814" i="5"/>
  <c r="J822" i="5"/>
  <c r="J830" i="5"/>
  <c r="J838" i="5"/>
  <c r="J846" i="5"/>
  <c r="J854" i="5"/>
  <c r="J862" i="5"/>
  <c r="J870" i="5"/>
  <c r="J878" i="5"/>
  <c r="J886" i="5"/>
  <c r="J894" i="5"/>
  <c r="J902" i="5"/>
  <c r="J910" i="5"/>
  <c r="J918" i="5"/>
  <c r="J926" i="5"/>
  <c r="J934" i="5"/>
  <c r="J942" i="5"/>
  <c r="J950" i="5"/>
  <c r="J958" i="5"/>
  <c r="J966" i="5"/>
  <c r="J974" i="5"/>
  <c r="J982" i="5"/>
  <c r="J990" i="5"/>
  <c r="J998" i="5"/>
  <c r="J1006" i="5"/>
  <c r="J1014" i="5"/>
  <c r="J1022" i="5"/>
  <c r="J1030" i="5"/>
  <c r="J1038" i="5"/>
  <c r="J1046" i="5"/>
  <c r="J1054" i="5"/>
  <c r="J1062" i="5"/>
  <c r="J1070" i="5"/>
  <c r="J1078" i="5"/>
  <c r="J1086" i="5"/>
  <c r="J1094" i="5"/>
  <c r="J1102" i="5"/>
  <c r="J1110" i="5"/>
  <c r="J1118" i="5"/>
  <c r="J1126" i="5"/>
  <c r="J1134" i="5"/>
  <c r="J1142" i="5"/>
  <c r="J1150" i="5"/>
  <c r="J1158" i="5"/>
  <c r="J1166" i="5"/>
  <c r="J1174" i="5"/>
  <c r="J1182" i="5"/>
  <c r="J1190" i="5"/>
  <c r="J1198" i="5"/>
  <c r="J1206" i="5"/>
  <c r="J1214" i="5"/>
  <c r="J1222" i="5"/>
  <c r="J1230" i="5"/>
  <c r="J1238" i="5"/>
  <c r="J1246" i="5"/>
  <c r="J1254" i="5"/>
  <c r="J1262" i="5"/>
  <c r="J1270" i="5"/>
  <c r="J1278" i="5"/>
  <c r="J1286" i="5"/>
  <c r="J1294" i="5"/>
  <c r="J1302" i="5"/>
  <c r="J1310" i="5"/>
  <c r="J1318" i="5"/>
  <c r="J1326" i="5"/>
  <c r="J1334" i="5"/>
  <c r="J1342" i="5"/>
  <c r="J1350" i="5"/>
  <c r="J1358" i="5"/>
  <c r="J1366" i="5"/>
  <c r="J1374" i="5"/>
  <c r="J1382" i="5"/>
  <c r="J1390" i="5"/>
  <c r="J1398" i="5"/>
  <c r="J1406" i="5"/>
  <c r="J1414" i="5"/>
  <c r="J1422" i="5"/>
  <c r="J1430" i="5"/>
  <c r="J1438" i="5"/>
  <c r="J1446" i="5"/>
  <c r="J1454" i="5"/>
  <c r="J1462" i="5"/>
  <c r="J1470" i="5"/>
  <c r="O137" i="5"/>
  <c r="O376" i="5"/>
  <c r="O530" i="5"/>
  <c r="O628" i="5"/>
  <c r="O721" i="5"/>
  <c r="O775" i="5"/>
  <c r="O820" i="5"/>
  <c r="O874" i="5"/>
  <c r="O921" i="5"/>
  <c r="O967" i="5"/>
  <c r="O1020" i="5"/>
  <c r="O1066" i="5"/>
  <c r="O1103" i="5"/>
  <c r="O1131" i="5"/>
  <c r="J20" i="5"/>
  <c r="J40" i="5"/>
  <c r="J58" i="5"/>
  <c r="J76" i="5"/>
  <c r="J93" i="5"/>
  <c r="J109" i="5"/>
  <c r="J125" i="5"/>
  <c r="J141" i="5"/>
  <c r="J157" i="5"/>
  <c r="J173" i="5"/>
  <c r="J189" i="5"/>
  <c r="J205" i="5"/>
  <c r="J221" i="5"/>
  <c r="J237" i="5"/>
  <c r="J253" i="5"/>
  <c r="J269" i="5"/>
  <c r="J285" i="5"/>
  <c r="J301" i="5"/>
  <c r="J317" i="5"/>
  <c r="J333" i="5"/>
  <c r="J349" i="5"/>
  <c r="J365" i="5"/>
  <c r="J381" i="5"/>
  <c r="J397" i="5"/>
  <c r="J410" i="5"/>
  <c r="J421" i="5"/>
  <c r="J432" i="5"/>
  <c r="J442" i="5"/>
  <c r="J453" i="5"/>
  <c r="J463" i="5"/>
  <c r="J471" i="5"/>
  <c r="J479" i="5"/>
  <c r="J487" i="5"/>
  <c r="J495" i="5"/>
  <c r="J503" i="5"/>
  <c r="J511" i="5"/>
  <c r="J519" i="5"/>
  <c r="J527" i="5"/>
  <c r="J535" i="5"/>
  <c r="J543" i="5"/>
  <c r="J551" i="5"/>
  <c r="J559" i="5"/>
  <c r="J567" i="5"/>
  <c r="J575" i="5"/>
  <c r="J583" i="5"/>
  <c r="J591" i="5"/>
  <c r="J599" i="5"/>
  <c r="J607" i="5"/>
  <c r="J615" i="5"/>
  <c r="J623" i="5"/>
  <c r="J631" i="5"/>
  <c r="J639" i="5"/>
  <c r="J647" i="5"/>
  <c r="J655" i="5"/>
  <c r="J663" i="5"/>
  <c r="J671" i="5"/>
  <c r="J679" i="5"/>
  <c r="J687" i="5"/>
  <c r="J695" i="5"/>
  <c r="J703" i="5"/>
  <c r="J711" i="5"/>
  <c r="J719" i="5"/>
  <c r="J727" i="5"/>
  <c r="J735" i="5"/>
  <c r="J743" i="5"/>
  <c r="J751" i="5"/>
  <c r="J759" i="5"/>
  <c r="J767" i="5"/>
  <c r="J775" i="5"/>
  <c r="J783" i="5"/>
  <c r="J791" i="5"/>
  <c r="J799" i="5"/>
  <c r="J807" i="5"/>
  <c r="J815" i="5"/>
  <c r="J823" i="5"/>
  <c r="J831" i="5"/>
  <c r="J839" i="5"/>
  <c r="J847" i="5"/>
  <c r="J855" i="5"/>
  <c r="J863" i="5"/>
  <c r="J871" i="5"/>
  <c r="J879" i="5"/>
  <c r="J887" i="5"/>
  <c r="J895" i="5"/>
  <c r="J903" i="5"/>
  <c r="J911" i="5"/>
  <c r="J919" i="5"/>
  <c r="J927" i="5"/>
  <c r="J935" i="5"/>
  <c r="J943" i="5"/>
  <c r="J951" i="5"/>
  <c r="J959" i="5"/>
  <c r="J967" i="5"/>
  <c r="J975" i="5"/>
  <c r="J983" i="5"/>
  <c r="J991" i="5"/>
  <c r="J999" i="5"/>
  <c r="J1007" i="5"/>
  <c r="J1015" i="5"/>
  <c r="J1023" i="5"/>
  <c r="J1031" i="5"/>
  <c r="J1039" i="5"/>
  <c r="J1047" i="5"/>
  <c r="J1055" i="5"/>
  <c r="J1063" i="5"/>
  <c r="J1071" i="5"/>
  <c r="J1079" i="5"/>
  <c r="J1087" i="5"/>
  <c r="J1095" i="5"/>
  <c r="J1103" i="5"/>
  <c r="J1111" i="5"/>
  <c r="J1119" i="5"/>
  <c r="J1127" i="5"/>
  <c r="J1135" i="5"/>
  <c r="J1143" i="5"/>
  <c r="J1151" i="5"/>
  <c r="J1159" i="5"/>
  <c r="J1167" i="5"/>
  <c r="J1175" i="5"/>
  <c r="J1183" i="5"/>
  <c r="J1191" i="5"/>
  <c r="J1199" i="5"/>
  <c r="J1207" i="5"/>
  <c r="J1215" i="5"/>
  <c r="J1223" i="5"/>
  <c r="J1231" i="5"/>
  <c r="J1239" i="5"/>
  <c r="J1247" i="5"/>
  <c r="J1255" i="5"/>
  <c r="J1263" i="5"/>
  <c r="J1271" i="5"/>
  <c r="J1279" i="5"/>
  <c r="J1287" i="5"/>
  <c r="J1295" i="5"/>
  <c r="J1303" i="5"/>
  <c r="J1311" i="5"/>
  <c r="J1319" i="5"/>
  <c r="J1327" i="5"/>
  <c r="J1335" i="5"/>
  <c r="J1343" i="5"/>
  <c r="J1351" i="5"/>
  <c r="J1359" i="5"/>
  <c r="J1367" i="5"/>
  <c r="J1375" i="5"/>
  <c r="J1383" i="5"/>
  <c r="O87" i="5"/>
  <c r="O695" i="5"/>
  <c r="O911" i="5"/>
  <c r="O1095" i="5"/>
  <c r="J53" i="5"/>
  <c r="J121" i="5"/>
  <c r="J185" i="5"/>
  <c r="J249" i="5"/>
  <c r="J313" i="5"/>
  <c r="J377" i="5"/>
  <c r="J429" i="5"/>
  <c r="J461" i="5"/>
  <c r="J484" i="5"/>
  <c r="J504" i="5"/>
  <c r="J525" i="5"/>
  <c r="J548" i="5"/>
  <c r="J568" i="5"/>
  <c r="J589" i="5"/>
  <c r="J612" i="5"/>
  <c r="J632" i="5"/>
  <c r="J653" i="5"/>
  <c r="J676" i="5"/>
  <c r="J696" i="5"/>
  <c r="J717" i="5"/>
  <c r="J740" i="5"/>
  <c r="J760" i="5"/>
  <c r="J781" i="5"/>
  <c r="J804" i="5"/>
  <c r="J824" i="5"/>
  <c r="J845" i="5"/>
  <c r="J868" i="5"/>
  <c r="J888" i="5"/>
  <c r="J909" i="5"/>
  <c r="J932" i="5"/>
  <c r="J952" i="5"/>
  <c r="J973" i="5"/>
  <c r="J996" i="5"/>
  <c r="J1016" i="5"/>
  <c r="J1037" i="5"/>
  <c r="J1060" i="5"/>
  <c r="J1080" i="5"/>
  <c r="J1101" i="5"/>
  <c r="J1124" i="5"/>
  <c r="J1144" i="5"/>
  <c r="J1165" i="5"/>
  <c r="J1188" i="5"/>
  <c r="J1208" i="5"/>
  <c r="J1229" i="5"/>
  <c r="J1252" i="5"/>
  <c r="J1272" i="5"/>
  <c r="J1293" i="5"/>
  <c r="J1316" i="5"/>
  <c r="J1336" i="5"/>
  <c r="J1354" i="5"/>
  <c r="J1368" i="5"/>
  <c r="J1380" i="5"/>
  <c r="J1392" i="5"/>
  <c r="J1401" i="5"/>
  <c r="J1410" i="5"/>
  <c r="J1419" i="5"/>
  <c r="J1428" i="5"/>
  <c r="J1437" i="5"/>
  <c r="J1447" i="5"/>
  <c r="J1456" i="5"/>
  <c r="J1465" i="5"/>
  <c r="J1474" i="5"/>
  <c r="J1482" i="5"/>
  <c r="J1490" i="5"/>
  <c r="J1498" i="5"/>
  <c r="J1506" i="5"/>
  <c r="J1514" i="5"/>
  <c r="J1522" i="5"/>
  <c r="J1530" i="5"/>
  <c r="J1538" i="5"/>
  <c r="J1546" i="5"/>
  <c r="J1554" i="5"/>
  <c r="J1562" i="5"/>
  <c r="J1570" i="5"/>
  <c r="J1578" i="5"/>
  <c r="J1586" i="5"/>
  <c r="J1594" i="5"/>
  <c r="J1602" i="5"/>
  <c r="J1610" i="5"/>
  <c r="J1618" i="5"/>
  <c r="J1626" i="5"/>
  <c r="J1634" i="5"/>
  <c r="J1642" i="5"/>
  <c r="J1650" i="5"/>
  <c r="J1658" i="5"/>
  <c r="J1666" i="5"/>
  <c r="J1674" i="5"/>
  <c r="J1682" i="5"/>
  <c r="J1690" i="5"/>
  <c r="J1698" i="5"/>
  <c r="J1706" i="5"/>
  <c r="J1714" i="5"/>
  <c r="J1722" i="5"/>
  <c r="J1730" i="5"/>
  <c r="J1738" i="5"/>
  <c r="J1746" i="5"/>
  <c r="J1754" i="5"/>
  <c r="J1762" i="5"/>
  <c r="J1770" i="5"/>
  <c r="J1778" i="5"/>
  <c r="J1786" i="5"/>
  <c r="J1794" i="5"/>
  <c r="J1802" i="5"/>
  <c r="J1810" i="5"/>
  <c r="J1818" i="5"/>
  <c r="J1826" i="5"/>
  <c r="J1834" i="5"/>
  <c r="J1842" i="5"/>
  <c r="J1850" i="5"/>
  <c r="J1858" i="5"/>
  <c r="J1866" i="5"/>
  <c r="J1874" i="5"/>
  <c r="J1882" i="5"/>
  <c r="J1890" i="5"/>
  <c r="J1898" i="5"/>
  <c r="J1906" i="5"/>
  <c r="J1914" i="5"/>
  <c r="J1922" i="5"/>
  <c r="J1930" i="5"/>
  <c r="J1938" i="5"/>
  <c r="J1946" i="5"/>
  <c r="J1954" i="5"/>
  <c r="J1962" i="5"/>
  <c r="J1970" i="5"/>
  <c r="J1978" i="5"/>
  <c r="J1986" i="5"/>
  <c r="J1994" i="5"/>
  <c r="J2002" i="5"/>
  <c r="J2010" i="5"/>
  <c r="J2018" i="5"/>
  <c r="J2026" i="5"/>
  <c r="J2034" i="5"/>
  <c r="J2042" i="5"/>
  <c r="J2050" i="5"/>
  <c r="J2058" i="5"/>
  <c r="J2066" i="5"/>
  <c r="J2074" i="5"/>
  <c r="J2082" i="5"/>
  <c r="J2090" i="5"/>
  <c r="J2098" i="5"/>
  <c r="J2106" i="5"/>
  <c r="J2114" i="5"/>
  <c r="J2122" i="5"/>
  <c r="J2130" i="5"/>
  <c r="J2138" i="5"/>
  <c r="J2146" i="5"/>
  <c r="J2154" i="5"/>
  <c r="J2162" i="5"/>
  <c r="J2170" i="5"/>
  <c r="J2178" i="5"/>
  <c r="O185" i="5"/>
  <c r="O722" i="5"/>
  <c r="O929" i="5"/>
  <c r="O1107" i="5"/>
  <c r="J61" i="5"/>
  <c r="J128" i="5"/>
  <c r="J192" i="5"/>
  <c r="J256" i="5"/>
  <c r="J320" i="5"/>
  <c r="J384" i="5"/>
  <c r="J433" i="5"/>
  <c r="J464" i="5"/>
  <c r="J485" i="5"/>
  <c r="J508" i="5"/>
  <c r="J528" i="5"/>
  <c r="J549" i="5"/>
  <c r="J572" i="5"/>
  <c r="J592" i="5"/>
  <c r="J613" i="5"/>
  <c r="J636" i="5"/>
  <c r="J656" i="5"/>
  <c r="J677" i="5"/>
  <c r="J700" i="5"/>
  <c r="J720" i="5"/>
  <c r="J741" i="5"/>
  <c r="J764" i="5"/>
  <c r="J784" i="5"/>
  <c r="J805" i="5"/>
  <c r="J828" i="5"/>
  <c r="J848" i="5"/>
  <c r="J869" i="5"/>
  <c r="J892" i="5"/>
  <c r="J912" i="5"/>
  <c r="J933" i="5"/>
  <c r="J956" i="5"/>
  <c r="J976" i="5"/>
  <c r="J997" i="5"/>
  <c r="J1020" i="5"/>
  <c r="J1040" i="5"/>
  <c r="J1061" i="5"/>
  <c r="J1084" i="5"/>
  <c r="J1104" i="5"/>
  <c r="J1125" i="5"/>
  <c r="J1148" i="5"/>
  <c r="J1168" i="5"/>
  <c r="J1189" i="5"/>
  <c r="J1212" i="5"/>
  <c r="J1232" i="5"/>
  <c r="J1253" i="5"/>
  <c r="J1276" i="5"/>
  <c r="J1296" i="5"/>
  <c r="J1317" i="5"/>
  <c r="J1340" i="5"/>
  <c r="J1356" i="5"/>
  <c r="J1369" i="5"/>
  <c r="J1381" i="5"/>
  <c r="J1393" i="5"/>
  <c r="J1402" i="5"/>
  <c r="J1411" i="5"/>
  <c r="J1420" i="5"/>
  <c r="J1429" i="5"/>
  <c r="J1439" i="5"/>
  <c r="J1448" i="5"/>
  <c r="J1457" i="5"/>
  <c r="J1466" i="5"/>
  <c r="J1475" i="5"/>
  <c r="J1483" i="5"/>
  <c r="J1491" i="5"/>
  <c r="J1499" i="5"/>
  <c r="J1507" i="5"/>
  <c r="J1515" i="5"/>
  <c r="J1523" i="5"/>
  <c r="J1531" i="5"/>
  <c r="J1539" i="5"/>
  <c r="J1547" i="5"/>
  <c r="J1555" i="5"/>
  <c r="J1563" i="5"/>
  <c r="J1571" i="5"/>
  <c r="J1579" i="5"/>
  <c r="J1587" i="5"/>
  <c r="J1595" i="5"/>
  <c r="J1603" i="5"/>
  <c r="J1611" i="5"/>
  <c r="J1619" i="5"/>
  <c r="J1627" i="5"/>
  <c r="J1635" i="5"/>
  <c r="J1643" i="5"/>
  <c r="J1651" i="5"/>
  <c r="J1659" i="5"/>
  <c r="J1667" i="5"/>
  <c r="J1675" i="5"/>
  <c r="J1683" i="5"/>
  <c r="J1691" i="5"/>
  <c r="J1699" i="5"/>
  <c r="J1707" i="5"/>
  <c r="J1715" i="5"/>
  <c r="J1723" i="5"/>
  <c r="J1731" i="5"/>
  <c r="J1739" i="5"/>
  <c r="J1747" i="5"/>
  <c r="J1755" i="5"/>
  <c r="J1763" i="5"/>
  <c r="J1771" i="5"/>
  <c r="J1779" i="5"/>
  <c r="J1787" i="5"/>
  <c r="J1795" i="5"/>
  <c r="J1803" i="5"/>
  <c r="J1811" i="5"/>
  <c r="J1819" i="5"/>
  <c r="J1827" i="5"/>
  <c r="J1835" i="5"/>
  <c r="J1843" i="5"/>
  <c r="J1851" i="5"/>
  <c r="J1859" i="5"/>
  <c r="J1867" i="5"/>
  <c r="J1875" i="5"/>
  <c r="J1883" i="5"/>
  <c r="J1891" i="5"/>
  <c r="J1899" i="5"/>
  <c r="J1907" i="5"/>
  <c r="J1915" i="5"/>
  <c r="J1923" i="5"/>
  <c r="J1931" i="5"/>
  <c r="J1939" i="5"/>
  <c r="J1947" i="5"/>
  <c r="J1955" i="5"/>
  <c r="J1963" i="5"/>
  <c r="J1971" i="5"/>
  <c r="J1979" i="5"/>
  <c r="J1987" i="5"/>
  <c r="J1995" i="5"/>
  <c r="J2003" i="5"/>
  <c r="J2011" i="5"/>
  <c r="J2019" i="5"/>
  <c r="J2027" i="5"/>
  <c r="J2035" i="5"/>
  <c r="J2043" i="5"/>
  <c r="J2051" i="5"/>
  <c r="J2059" i="5"/>
  <c r="J2067" i="5"/>
  <c r="J2075" i="5"/>
  <c r="J2083" i="5"/>
  <c r="J2091" i="5"/>
  <c r="J2099" i="5"/>
  <c r="J2107" i="5"/>
  <c r="J2115" i="5"/>
  <c r="J2123" i="5"/>
  <c r="J2131" i="5"/>
  <c r="J2139" i="5"/>
  <c r="J2147" i="5"/>
  <c r="J2155" i="5"/>
  <c r="J2163" i="5"/>
  <c r="J2171" i="5"/>
  <c r="O314" i="5"/>
  <c r="O764" i="5"/>
  <c r="O958" i="5"/>
  <c r="O1124" i="5"/>
  <c r="J72" i="5"/>
  <c r="J137" i="5"/>
  <c r="J201" i="5"/>
  <c r="J265" i="5"/>
  <c r="J329" i="5"/>
  <c r="J393" i="5"/>
  <c r="J440" i="5"/>
  <c r="J468" i="5"/>
  <c r="J488" i="5"/>
  <c r="J509" i="5"/>
  <c r="J532" i="5"/>
  <c r="J552" i="5"/>
  <c r="J573" i="5"/>
  <c r="J596" i="5"/>
  <c r="J616" i="5"/>
  <c r="J637" i="5"/>
  <c r="J660" i="5"/>
  <c r="J680" i="5"/>
  <c r="J701" i="5"/>
  <c r="J724" i="5"/>
  <c r="J744" i="5"/>
  <c r="J765" i="5"/>
  <c r="J788" i="5"/>
  <c r="J808" i="5"/>
  <c r="J829" i="5"/>
  <c r="J852" i="5"/>
  <c r="J872" i="5"/>
  <c r="J893" i="5"/>
  <c r="J916" i="5"/>
  <c r="J936" i="5"/>
  <c r="J957" i="5"/>
  <c r="J980" i="5"/>
  <c r="J1000" i="5"/>
  <c r="J1021" i="5"/>
  <c r="J1044" i="5"/>
  <c r="J1064" i="5"/>
  <c r="J1085" i="5"/>
  <c r="J1108" i="5"/>
  <c r="J1128" i="5"/>
  <c r="J1149" i="5"/>
  <c r="J1172" i="5"/>
  <c r="J1192" i="5"/>
  <c r="J1213" i="5"/>
  <c r="J1236" i="5"/>
  <c r="J1256" i="5"/>
  <c r="J1277" i="5"/>
  <c r="J1300" i="5"/>
  <c r="J1320" i="5"/>
  <c r="J1341" i="5"/>
  <c r="J1357" i="5"/>
  <c r="J1370" i="5"/>
  <c r="J1384" i="5"/>
  <c r="J1394" i="5"/>
  <c r="J1403" i="5"/>
  <c r="J1412" i="5"/>
  <c r="J1421" i="5"/>
  <c r="J1431" i="5"/>
  <c r="J1440" i="5"/>
  <c r="J1449" i="5"/>
  <c r="J1458" i="5"/>
  <c r="J1467" i="5"/>
  <c r="J1476" i="5"/>
  <c r="J1484" i="5"/>
  <c r="J1492" i="5"/>
  <c r="J1500" i="5"/>
  <c r="J1508" i="5"/>
  <c r="J1516" i="5"/>
  <c r="J1524" i="5"/>
  <c r="J1532" i="5"/>
  <c r="J1540" i="5"/>
  <c r="J1548" i="5"/>
  <c r="J1556" i="5"/>
  <c r="J1564" i="5"/>
  <c r="J1572" i="5"/>
  <c r="J1580" i="5"/>
  <c r="J1588" i="5"/>
  <c r="J1596" i="5"/>
  <c r="J1604" i="5"/>
  <c r="J1612" i="5"/>
  <c r="J1620" i="5"/>
  <c r="J1628" i="5"/>
  <c r="J1636" i="5"/>
  <c r="J1644" i="5"/>
  <c r="J1652" i="5"/>
  <c r="J1660" i="5"/>
  <c r="J1668" i="5"/>
  <c r="J1676" i="5"/>
  <c r="J1684" i="5"/>
  <c r="J1692" i="5"/>
  <c r="J1700" i="5"/>
  <c r="J1708" i="5"/>
  <c r="J1716" i="5"/>
  <c r="J1724" i="5"/>
  <c r="J1732" i="5"/>
  <c r="J1740" i="5"/>
  <c r="J1748" i="5"/>
  <c r="J1756" i="5"/>
  <c r="J1764" i="5"/>
  <c r="J1772" i="5"/>
  <c r="J1780" i="5"/>
  <c r="J1788" i="5"/>
  <c r="J1796" i="5"/>
  <c r="J1804" i="5"/>
  <c r="J1812" i="5"/>
  <c r="J1820" i="5"/>
  <c r="J1828" i="5"/>
  <c r="J1836" i="5"/>
  <c r="J1844" i="5"/>
  <c r="J1852" i="5"/>
  <c r="J1860" i="5"/>
  <c r="J1868" i="5"/>
  <c r="J1876" i="5"/>
  <c r="J1884" i="5"/>
  <c r="J1892" i="5"/>
  <c r="J1900" i="5"/>
  <c r="J1908" i="5"/>
  <c r="J1916" i="5"/>
  <c r="J1924" i="5"/>
  <c r="J1932" i="5"/>
  <c r="J1940" i="5"/>
  <c r="J1948" i="5"/>
  <c r="J1956" i="5"/>
  <c r="J1964" i="5"/>
  <c r="J1972" i="5"/>
  <c r="J1980" i="5"/>
  <c r="J1988" i="5"/>
  <c r="J1996" i="5"/>
  <c r="J2004" i="5"/>
  <c r="J2012" i="5"/>
  <c r="J2020" i="5"/>
  <c r="J2028" i="5"/>
  <c r="J2036" i="5"/>
  <c r="J2044" i="5"/>
  <c r="J2052" i="5"/>
  <c r="J2060" i="5"/>
  <c r="J2068" i="5"/>
  <c r="J2076" i="5"/>
  <c r="J2084" i="5"/>
  <c r="J2092" i="5"/>
  <c r="J2100" i="5"/>
  <c r="J2108" i="5"/>
  <c r="J2116" i="5"/>
  <c r="J2124" i="5"/>
  <c r="J2132" i="5"/>
  <c r="J2140" i="5"/>
  <c r="J2148" i="5"/>
  <c r="J2156" i="5"/>
  <c r="J2164" i="5"/>
  <c r="J2172" i="5"/>
  <c r="O387" i="5"/>
  <c r="O783" i="5"/>
  <c r="O976" i="5"/>
  <c r="J80" i="5"/>
  <c r="J144" i="5"/>
  <c r="J208" i="5"/>
  <c r="J272" i="5"/>
  <c r="J336" i="5"/>
  <c r="J400" i="5"/>
  <c r="J444" i="5"/>
  <c r="J469" i="5"/>
  <c r="J492" i="5"/>
  <c r="J512" i="5"/>
  <c r="J533" i="5"/>
  <c r="J556" i="5"/>
  <c r="J576" i="5"/>
  <c r="J597" i="5"/>
  <c r="J620" i="5"/>
  <c r="J640" i="5"/>
  <c r="J661" i="5"/>
  <c r="J684" i="5"/>
  <c r="J704" i="5"/>
  <c r="J725" i="5"/>
  <c r="J748" i="5"/>
  <c r="J768" i="5"/>
  <c r="J789" i="5"/>
  <c r="J812" i="5"/>
  <c r="J832" i="5"/>
  <c r="J853" i="5"/>
  <c r="J876" i="5"/>
  <c r="J896" i="5"/>
  <c r="J917" i="5"/>
  <c r="J940" i="5"/>
  <c r="J960" i="5"/>
  <c r="J981" i="5"/>
  <c r="J1004" i="5"/>
  <c r="J1024" i="5"/>
  <c r="J1045" i="5"/>
  <c r="J1068" i="5"/>
  <c r="J1088" i="5"/>
  <c r="J1109" i="5"/>
  <c r="J1132" i="5"/>
  <c r="J1152" i="5"/>
  <c r="J1173" i="5"/>
  <c r="J1196" i="5"/>
  <c r="J1216" i="5"/>
  <c r="J1237" i="5"/>
  <c r="J1260" i="5"/>
  <c r="J1280" i="5"/>
  <c r="J1301" i="5"/>
  <c r="J1324" i="5"/>
  <c r="J1344" i="5"/>
  <c r="J1360" i="5"/>
  <c r="J1372" i="5"/>
  <c r="J1385" i="5"/>
  <c r="J1395" i="5"/>
  <c r="J1404" i="5"/>
  <c r="J1413" i="5"/>
  <c r="J1423" i="5"/>
  <c r="J1432" i="5"/>
  <c r="J1441" i="5"/>
  <c r="J1450" i="5"/>
  <c r="J1459" i="5"/>
  <c r="J1468" i="5"/>
  <c r="J1477" i="5"/>
  <c r="J1485" i="5"/>
  <c r="J1493" i="5"/>
  <c r="J1501" i="5"/>
  <c r="J1509" i="5"/>
  <c r="J1517" i="5"/>
  <c r="J1525" i="5"/>
  <c r="J1533" i="5"/>
  <c r="J1541" i="5"/>
  <c r="J1549" i="5"/>
  <c r="J1557" i="5"/>
  <c r="J1565" i="5"/>
  <c r="J1573" i="5"/>
  <c r="J1581" i="5"/>
  <c r="J1589" i="5"/>
  <c r="J1597" i="5"/>
  <c r="J1605" i="5"/>
  <c r="J1613" i="5"/>
  <c r="J1621" i="5"/>
  <c r="J1629" i="5"/>
  <c r="J1637" i="5"/>
  <c r="J1645" i="5"/>
  <c r="J1653" i="5"/>
  <c r="J1661" i="5"/>
  <c r="J1669" i="5"/>
  <c r="J1677" i="5"/>
  <c r="J1685" i="5"/>
  <c r="J1693" i="5"/>
  <c r="J1701" i="5"/>
  <c r="J1709" i="5"/>
  <c r="J1717" i="5"/>
  <c r="J1725" i="5"/>
  <c r="J1733" i="5"/>
  <c r="J1741" i="5"/>
  <c r="J1749" i="5"/>
  <c r="J1757" i="5"/>
  <c r="J1765" i="5"/>
  <c r="J1773" i="5"/>
  <c r="J1781" i="5"/>
  <c r="J1789" i="5"/>
  <c r="J1797" i="5"/>
  <c r="J1805" i="5"/>
  <c r="J1813" i="5"/>
  <c r="J1821" i="5"/>
  <c r="J1829" i="5"/>
  <c r="J1837" i="5"/>
  <c r="J1845" i="5"/>
  <c r="J1853" i="5"/>
  <c r="J1861" i="5"/>
  <c r="J1869" i="5"/>
  <c r="J1877" i="5"/>
  <c r="J1885" i="5"/>
  <c r="J1893" i="5"/>
  <c r="J1901" i="5"/>
  <c r="J1909" i="5"/>
  <c r="J1917" i="5"/>
  <c r="J1925" i="5"/>
  <c r="J1933" i="5"/>
  <c r="J1941" i="5"/>
  <c r="J1949" i="5"/>
  <c r="J1957" i="5"/>
  <c r="J1965" i="5"/>
  <c r="J1973" i="5"/>
  <c r="J1981" i="5"/>
  <c r="J1989" i="5"/>
  <c r="J1997" i="5"/>
  <c r="J2005" i="5"/>
  <c r="J2013" i="5"/>
  <c r="J2021" i="5"/>
  <c r="J2029" i="5"/>
  <c r="J2037" i="5"/>
  <c r="J2045" i="5"/>
  <c r="J2053" i="5"/>
  <c r="J2061" i="5"/>
  <c r="J2069" i="5"/>
  <c r="J2077" i="5"/>
  <c r="J2085" i="5"/>
  <c r="J2093" i="5"/>
  <c r="J2101" i="5"/>
  <c r="J2109" i="5"/>
  <c r="J2117" i="5"/>
  <c r="J2125" i="5"/>
  <c r="J2133" i="5"/>
  <c r="J2141" i="5"/>
  <c r="J2149" i="5"/>
  <c r="J2157" i="5"/>
  <c r="J2165" i="5"/>
  <c r="J2173" i="5"/>
  <c r="O548" i="5"/>
  <c r="O830" i="5"/>
  <c r="O1022" i="5"/>
  <c r="J24" i="5"/>
  <c r="J96" i="5"/>
  <c r="J160" i="5"/>
  <c r="J224" i="5"/>
  <c r="J288" i="5"/>
  <c r="J352" i="5"/>
  <c r="J412" i="5"/>
  <c r="J450" i="5"/>
  <c r="J476" i="5"/>
  <c r="J496" i="5"/>
  <c r="J517" i="5"/>
  <c r="J540" i="5"/>
  <c r="J560" i="5"/>
  <c r="J581" i="5"/>
  <c r="J604" i="5"/>
  <c r="J624" i="5"/>
  <c r="J645" i="5"/>
  <c r="J668" i="5"/>
  <c r="J688" i="5"/>
  <c r="J709" i="5"/>
  <c r="J732" i="5"/>
  <c r="J752" i="5"/>
  <c r="J773" i="5"/>
  <c r="J796" i="5"/>
  <c r="J816" i="5"/>
  <c r="J837" i="5"/>
  <c r="J860" i="5"/>
  <c r="J880" i="5"/>
  <c r="J901" i="5"/>
  <c r="J924" i="5"/>
  <c r="J944" i="5"/>
  <c r="J965" i="5"/>
  <c r="J988" i="5"/>
  <c r="J1008" i="5"/>
  <c r="J1029" i="5"/>
  <c r="J1052" i="5"/>
  <c r="J1072" i="5"/>
  <c r="J1093" i="5"/>
  <c r="J1116" i="5"/>
  <c r="J1136" i="5"/>
  <c r="J1157" i="5"/>
  <c r="J1180" i="5"/>
  <c r="J1200" i="5"/>
  <c r="J1221" i="5"/>
  <c r="J1244" i="5"/>
  <c r="J1264" i="5"/>
  <c r="J1285" i="5"/>
  <c r="J1308" i="5"/>
  <c r="J1328" i="5"/>
  <c r="J1348" i="5"/>
  <c r="J1362" i="5"/>
  <c r="J1376" i="5"/>
  <c r="J1388" i="5"/>
  <c r="J1397" i="5"/>
  <c r="J1407" i="5"/>
  <c r="J1416" i="5"/>
  <c r="J1425" i="5"/>
  <c r="J1434" i="5"/>
  <c r="J1443" i="5"/>
  <c r="J1452" i="5"/>
  <c r="J1461" i="5"/>
  <c r="J1471" i="5"/>
  <c r="J1479" i="5"/>
  <c r="J1487" i="5"/>
  <c r="J1495" i="5"/>
  <c r="J1503" i="5"/>
  <c r="J1511" i="5"/>
  <c r="J1519" i="5"/>
  <c r="J1527" i="5"/>
  <c r="J1535" i="5"/>
  <c r="J1543" i="5"/>
  <c r="J1551" i="5"/>
  <c r="J1559" i="5"/>
  <c r="J1567" i="5"/>
  <c r="J1575" i="5"/>
  <c r="J1583" i="5"/>
  <c r="J1591" i="5"/>
  <c r="J1599" i="5"/>
  <c r="J1607" i="5"/>
  <c r="J1615" i="5"/>
  <c r="J1623" i="5"/>
  <c r="J1631" i="5"/>
  <c r="J1639" i="5"/>
  <c r="J1647" i="5"/>
  <c r="J1655" i="5"/>
  <c r="J1663" i="5"/>
  <c r="J1671" i="5"/>
  <c r="J1679" i="5"/>
  <c r="J1687" i="5"/>
  <c r="J1695" i="5"/>
  <c r="J1703" i="5"/>
  <c r="J1711" i="5"/>
  <c r="J1719" i="5"/>
  <c r="J1727" i="5"/>
  <c r="J1735" i="5"/>
  <c r="J1743" i="5"/>
  <c r="J1751" i="5"/>
  <c r="J1759" i="5"/>
  <c r="J1767" i="5"/>
  <c r="J1775" i="5"/>
  <c r="J1783" i="5"/>
  <c r="J1791" i="5"/>
  <c r="J1799" i="5"/>
  <c r="J1807" i="5"/>
  <c r="J1815" i="5"/>
  <c r="J1823" i="5"/>
  <c r="J1831" i="5"/>
  <c r="J1839" i="5"/>
  <c r="J1847" i="5"/>
  <c r="J1855" i="5"/>
  <c r="J1863" i="5"/>
  <c r="J1871" i="5"/>
  <c r="J1879" i="5"/>
  <c r="J1887" i="5"/>
  <c r="J1895" i="5"/>
  <c r="J1903" i="5"/>
  <c r="J1911" i="5"/>
  <c r="J1919" i="5"/>
  <c r="J1927" i="5"/>
  <c r="J1935" i="5"/>
  <c r="J1943" i="5"/>
  <c r="J1951" i="5"/>
  <c r="J1959" i="5"/>
  <c r="J1967" i="5"/>
  <c r="J1975" i="5"/>
  <c r="J1983" i="5"/>
  <c r="J1991" i="5"/>
  <c r="J1999" i="5"/>
  <c r="J2007" i="5"/>
  <c r="J2015" i="5"/>
  <c r="J2023" i="5"/>
  <c r="J2031" i="5"/>
  <c r="J2039" i="5"/>
  <c r="J2047" i="5"/>
  <c r="J2055" i="5"/>
  <c r="J2063" i="5"/>
  <c r="J2071" i="5"/>
  <c r="J2079" i="5"/>
  <c r="J2087" i="5"/>
  <c r="J2095" i="5"/>
  <c r="J2103" i="5"/>
  <c r="J2111" i="5"/>
  <c r="J2119" i="5"/>
  <c r="J2127" i="5"/>
  <c r="J2135" i="5"/>
  <c r="J2143" i="5"/>
  <c r="J2151" i="5"/>
  <c r="J2159" i="5"/>
  <c r="J2167" i="5"/>
  <c r="J2175" i="5"/>
  <c r="O610" i="5"/>
  <c r="O857" i="5"/>
  <c r="O1057" i="5"/>
  <c r="J35" i="5"/>
  <c r="J105" i="5"/>
  <c r="J169" i="5"/>
  <c r="J233" i="5"/>
  <c r="J297" i="5"/>
  <c r="J361" i="5"/>
  <c r="J418" i="5"/>
  <c r="J454" i="5"/>
  <c r="J477" i="5"/>
  <c r="J500" i="5"/>
  <c r="J520" i="5"/>
  <c r="J541" i="5"/>
  <c r="J564" i="5"/>
  <c r="J584" i="5"/>
  <c r="J605" i="5"/>
  <c r="J628" i="5"/>
  <c r="J648" i="5"/>
  <c r="J669" i="5"/>
  <c r="J692" i="5"/>
  <c r="J712" i="5"/>
  <c r="J733" i="5"/>
  <c r="J756" i="5"/>
  <c r="J776" i="5"/>
  <c r="J797" i="5"/>
  <c r="J820" i="5"/>
  <c r="J840" i="5"/>
  <c r="J861" i="5"/>
  <c r="J884" i="5"/>
  <c r="J904" i="5"/>
  <c r="J925" i="5"/>
  <c r="J948" i="5"/>
  <c r="J968" i="5"/>
  <c r="J989" i="5"/>
  <c r="J1012" i="5"/>
  <c r="J1032" i="5"/>
  <c r="J1053" i="5"/>
  <c r="J1076" i="5"/>
  <c r="J1096" i="5"/>
  <c r="J1117" i="5"/>
  <c r="J1140" i="5"/>
  <c r="J1160" i="5"/>
  <c r="J1181" i="5"/>
  <c r="J1204" i="5"/>
  <c r="J1224" i="5"/>
  <c r="J1245" i="5"/>
  <c r="J1268" i="5"/>
  <c r="J1288" i="5"/>
  <c r="J1309" i="5"/>
  <c r="J1332" i="5"/>
  <c r="J1349" i="5"/>
  <c r="J1364" i="5"/>
  <c r="J1377" i="5"/>
  <c r="J1389" i="5"/>
  <c r="J1399" i="5"/>
  <c r="J1408" i="5"/>
  <c r="J1417" i="5"/>
  <c r="J1426" i="5"/>
  <c r="J1435" i="5"/>
  <c r="J1444" i="5"/>
  <c r="J1453" i="5"/>
  <c r="J1463" i="5"/>
  <c r="J1472" i="5"/>
  <c r="J1480" i="5"/>
  <c r="J1488" i="5"/>
  <c r="J1496" i="5"/>
  <c r="J1504" i="5"/>
  <c r="J1512" i="5"/>
  <c r="J1520" i="5"/>
  <c r="J1528" i="5"/>
  <c r="J1536" i="5"/>
  <c r="J1544" i="5"/>
  <c r="J1552" i="5"/>
  <c r="J1560" i="5"/>
  <c r="J1568" i="5"/>
  <c r="J1576" i="5"/>
  <c r="J1584" i="5"/>
  <c r="J1592" i="5"/>
  <c r="J1600" i="5"/>
  <c r="J1608" i="5"/>
  <c r="J1616" i="5"/>
  <c r="J1624" i="5"/>
  <c r="J1632" i="5"/>
  <c r="J1640" i="5"/>
  <c r="J1648" i="5"/>
  <c r="J1656" i="5"/>
  <c r="J1664" i="5"/>
  <c r="J1672" i="5"/>
  <c r="J1680" i="5"/>
  <c r="J1688" i="5"/>
  <c r="J1696" i="5"/>
  <c r="J1704" i="5"/>
  <c r="J1712" i="5"/>
  <c r="J1720" i="5"/>
  <c r="J1728" i="5"/>
  <c r="J1736" i="5"/>
  <c r="J1744" i="5"/>
  <c r="J1752" i="5"/>
  <c r="J1760" i="5"/>
  <c r="J1768" i="5"/>
  <c r="J1776" i="5"/>
  <c r="J1784" i="5"/>
  <c r="J1792" i="5"/>
  <c r="J1800" i="5"/>
  <c r="J1808" i="5"/>
  <c r="J1816" i="5"/>
  <c r="J1824" i="5"/>
  <c r="J1832" i="5"/>
  <c r="J1840" i="5"/>
  <c r="J1848" i="5"/>
  <c r="J1856" i="5"/>
  <c r="J1864" i="5"/>
  <c r="J1872" i="5"/>
  <c r="J1880" i="5"/>
  <c r="J1888" i="5"/>
  <c r="J1896" i="5"/>
  <c r="J1904" i="5"/>
  <c r="J1912" i="5"/>
  <c r="J1920" i="5"/>
  <c r="J1928" i="5"/>
  <c r="J1936" i="5"/>
  <c r="J1944" i="5"/>
  <c r="J1952" i="5"/>
  <c r="J1960" i="5"/>
  <c r="J1968" i="5"/>
  <c r="J1976" i="5"/>
  <c r="J1984" i="5"/>
  <c r="J1992" i="5"/>
  <c r="J2000" i="5"/>
  <c r="J2008" i="5"/>
  <c r="J2016" i="5"/>
  <c r="J2024" i="5"/>
  <c r="J2032" i="5"/>
  <c r="J2040" i="5"/>
  <c r="J2048" i="5"/>
  <c r="J2056" i="5"/>
  <c r="J2064" i="5"/>
  <c r="J2072" i="5"/>
  <c r="J2080" i="5"/>
  <c r="J2088" i="5"/>
  <c r="J2096" i="5"/>
  <c r="J2104" i="5"/>
  <c r="J2112" i="5"/>
  <c r="J2120" i="5"/>
  <c r="J2128" i="5"/>
  <c r="J2136" i="5"/>
  <c r="J2144" i="5"/>
  <c r="J2152" i="5"/>
  <c r="J2160" i="5"/>
  <c r="J2168" i="5"/>
  <c r="J2176" i="5"/>
  <c r="O647" i="5"/>
  <c r="O875" i="5"/>
  <c r="O1071" i="5"/>
  <c r="J43" i="5"/>
  <c r="J112" i="5"/>
  <c r="J176" i="5"/>
  <c r="J240" i="5"/>
  <c r="J304" i="5"/>
  <c r="J368" i="5"/>
  <c r="J422" i="5"/>
  <c r="J460" i="5"/>
  <c r="J480" i="5"/>
  <c r="J501" i="5"/>
  <c r="J524" i="5"/>
  <c r="J544" i="5"/>
  <c r="J565" i="5"/>
  <c r="J588" i="5"/>
  <c r="J608" i="5"/>
  <c r="J629" i="5"/>
  <c r="J652" i="5"/>
  <c r="J672" i="5"/>
  <c r="J693" i="5"/>
  <c r="J716" i="5"/>
  <c r="J736" i="5"/>
  <c r="J757" i="5"/>
  <c r="J780" i="5"/>
  <c r="J800" i="5"/>
  <c r="J821" i="5"/>
  <c r="J844" i="5"/>
  <c r="J864" i="5"/>
  <c r="J885" i="5"/>
  <c r="J908" i="5"/>
  <c r="J928" i="5"/>
  <c r="J949" i="5"/>
  <c r="J972" i="5"/>
  <c r="J992" i="5"/>
  <c r="J1013" i="5"/>
  <c r="J1036" i="5"/>
  <c r="J1056" i="5"/>
  <c r="J1077" i="5"/>
  <c r="J1100" i="5"/>
  <c r="J1120" i="5"/>
  <c r="J1141" i="5"/>
  <c r="J1164" i="5"/>
  <c r="J1184" i="5"/>
  <c r="J1205" i="5"/>
  <c r="J1228" i="5"/>
  <c r="J1248" i="5"/>
  <c r="J1269" i="5"/>
  <c r="J1292" i="5"/>
  <c r="J1312" i="5"/>
  <c r="J1333" i="5"/>
  <c r="J1352" i="5"/>
  <c r="J1365" i="5"/>
  <c r="J1378" i="5"/>
  <c r="J1391" i="5"/>
  <c r="J1400" i="5"/>
  <c r="J1409" i="5"/>
  <c r="J1418" i="5"/>
  <c r="J1427" i="5"/>
  <c r="J1436" i="5"/>
  <c r="J1445" i="5"/>
  <c r="J1455" i="5"/>
  <c r="J1464" i="5"/>
  <c r="J1473" i="5"/>
  <c r="J1481" i="5"/>
  <c r="J1489" i="5"/>
  <c r="J1497" i="5"/>
  <c r="J1505" i="5"/>
  <c r="J1513" i="5"/>
  <c r="J1521" i="5"/>
  <c r="J1529" i="5"/>
  <c r="J1537" i="5"/>
  <c r="J1545" i="5"/>
  <c r="J1553" i="5"/>
  <c r="J1561" i="5"/>
  <c r="J1569" i="5"/>
  <c r="J1577" i="5"/>
  <c r="J1585" i="5"/>
  <c r="J1593" i="5"/>
  <c r="J1601" i="5"/>
  <c r="J1609" i="5"/>
  <c r="J1617" i="5"/>
  <c r="J1625" i="5"/>
  <c r="J1633" i="5"/>
  <c r="O497" i="5"/>
  <c r="J345" i="5"/>
  <c r="J580" i="5"/>
  <c r="J749" i="5"/>
  <c r="J920" i="5"/>
  <c r="J1092" i="5"/>
  <c r="J1261" i="5"/>
  <c r="J1396" i="5"/>
  <c r="J1469" i="5"/>
  <c r="J1534" i="5"/>
  <c r="J1598" i="5"/>
  <c r="J1649" i="5"/>
  <c r="J1681" i="5"/>
  <c r="J1713" i="5"/>
  <c r="J1745" i="5"/>
  <c r="J1777" i="5"/>
  <c r="J1809" i="5"/>
  <c r="J1841" i="5"/>
  <c r="J1873" i="5"/>
  <c r="J1905" i="5"/>
  <c r="J1937" i="5"/>
  <c r="J1969" i="5"/>
  <c r="J2001" i="5"/>
  <c r="J2033" i="5"/>
  <c r="J2065" i="5"/>
  <c r="J2097" i="5"/>
  <c r="J2129" i="5"/>
  <c r="J2161" i="5"/>
  <c r="J103" i="4"/>
  <c r="J111" i="4"/>
  <c r="J119" i="4"/>
  <c r="J127" i="4"/>
  <c r="J135" i="4"/>
  <c r="J143" i="4"/>
  <c r="J151" i="4"/>
  <c r="J159" i="4"/>
  <c r="J167" i="4"/>
  <c r="J175" i="4"/>
  <c r="J183" i="4"/>
  <c r="J191" i="4"/>
  <c r="J199" i="4"/>
  <c r="J207" i="4"/>
  <c r="J215" i="4"/>
  <c r="J223" i="4"/>
  <c r="J231" i="4"/>
  <c r="J239" i="4"/>
  <c r="J247" i="4"/>
  <c r="J255" i="4"/>
  <c r="J263" i="4"/>
  <c r="J271" i="4"/>
  <c r="J279" i="4"/>
  <c r="J287" i="4"/>
  <c r="J295" i="4"/>
  <c r="J303" i="4"/>
  <c r="J311" i="4"/>
  <c r="J319" i="4"/>
  <c r="J327" i="4"/>
  <c r="J335" i="4"/>
  <c r="J343" i="4"/>
  <c r="J351" i="4"/>
  <c r="J359" i="4"/>
  <c r="J367" i="4"/>
  <c r="J375" i="4"/>
  <c r="J383" i="4"/>
  <c r="J391" i="4"/>
  <c r="J399" i="4"/>
  <c r="J407" i="4"/>
  <c r="J415" i="4"/>
  <c r="J423" i="4"/>
  <c r="J431" i="4"/>
  <c r="J439" i="4"/>
  <c r="J447" i="4"/>
  <c r="J455" i="4"/>
  <c r="J463" i="4"/>
  <c r="J471" i="4"/>
  <c r="J479" i="4"/>
  <c r="J487" i="4"/>
  <c r="J495" i="4"/>
  <c r="J503" i="4"/>
  <c r="J511" i="4"/>
  <c r="J519" i="4"/>
  <c r="J527" i="4"/>
  <c r="J535" i="4"/>
  <c r="J543" i="4"/>
  <c r="J551" i="4"/>
  <c r="J559" i="4"/>
  <c r="J567" i="4"/>
  <c r="J575" i="4"/>
  <c r="J583" i="4"/>
  <c r="O811" i="5"/>
  <c r="J408" i="5"/>
  <c r="J600" i="5"/>
  <c r="J772" i="5"/>
  <c r="J941" i="5"/>
  <c r="J1112" i="5"/>
  <c r="J1284" i="5"/>
  <c r="J1405" i="5"/>
  <c r="J1478" i="5"/>
  <c r="J1542" i="5"/>
  <c r="J1606" i="5"/>
  <c r="J1654" i="5"/>
  <c r="J1686" i="5"/>
  <c r="J1718" i="5"/>
  <c r="J1750" i="5"/>
  <c r="J1782" i="5"/>
  <c r="J1814" i="5"/>
  <c r="J1846" i="5"/>
  <c r="J1878" i="5"/>
  <c r="J1910" i="5"/>
  <c r="J1942" i="5"/>
  <c r="J1974" i="5"/>
  <c r="J2006" i="5"/>
  <c r="J2038" i="5"/>
  <c r="J2070" i="5"/>
  <c r="J2102" i="5"/>
  <c r="J2134" i="5"/>
  <c r="J2166" i="5"/>
  <c r="O1003" i="5"/>
  <c r="J449" i="5"/>
  <c r="J621" i="5"/>
  <c r="J792" i="5"/>
  <c r="J964" i="5"/>
  <c r="J1133" i="5"/>
  <c r="J1304" i="5"/>
  <c r="J1415" i="5"/>
  <c r="J1486" i="5"/>
  <c r="J1550" i="5"/>
  <c r="J1614" i="5"/>
  <c r="J1657" i="5"/>
  <c r="J1689" i="5"/>
  <c r="J1721" i="5"/>
  <c r="J1753" i="5"/>
  <c r="J1785" i="5"/>
  <c r="J1817" i="5"/>
  <c r="J1849" i="5"/>
  <c r="J1881" i="5"/>
  <c r="J1913" i="5"/>
  <c r="J1945" i="5"/>
  <c r="J1977" i="5"/>
  <c r="J2009" i="5"/>
  <c r="J2041" i="5"/>
  <c r="J2073" i="5"/>
  <c r="J2105" i="5"/>
  <c r="J2137" i="5"/>
  <c r="J2169" i="5"/>
  <c r="J105" i="4"/>
  <c r="J113" i="4"/>
  <c r="J121" i="4"/>
  <c r="J129" i="4"/>
  <c r="J137" i="4"/>
  <c r="J145" i="4"/>
  <c r="J153" i="4"/>
  <c r="J161" i="4"/>
  <c r="J169" i="4"/>
  <c r="J177" i="4"/>
  <c r="J185" i="4"/>
  <c r="J193" i="4"/>
  <c r="J201" i="4"/>
  <c r="J209" i="4"/>
  <c r="J217" i="4"/>
  <c r="J225" i="4"/>
  <c r="J233" i="4"/>
  <c r="J241" i="4"/>
  <c r="J249" i="4"/>
  <c r="J257" i="4"/>
  <c r="J265" i="4"/>
  <c r="J273" i="4"/>
  <c r="J281" i="4"/>
  <c r="J289" i="4"/>
  <c r="J297" i="4"/>
  <c r="J305" i="4"/>
  <c r="J313" i="4"/>
  <c r="J321" i="4"/>
  <c r="J329" i="4"/>
  <c r="J337" i="4"/>
  <c r="J345" i="4"/>
  <c r="J353" i="4"/>
  <c r="J361" i="4"/>
  <c r="J369" i="4"/>
  <c r="J377" i="4"/>
  <c r="J385" i="4"/>
  <c r="J393" i="4"/>
  <c r="J401" i="4"/>
  <c r="J409" i="4"/>
  <c r="J417" i="4"/>
  <c r="J425" i="4"/>
  <c r="J433" i="4"/>
  <c r="J441" i="4"/>
  <c r="J449" i="4"/>
  <c r="J457" i="4"/>
  <c r="J465" i="4"/>
  <c r="J473" i="4"/>
  <c r="J481" i="4"/>
  <c r="J489" i="4"/>
  <c r="J497" i="4"/>
  <c r="J505" i="4"/>
  <c r="J513" i="4"/>
  <c r="J521" i="4"/>
  <c r="J529" i="4"/>
  <c r="J537" i="4"/>
  <c r="J545" i="4"/>
  <c r="J553" i="4"/>
  <c r="J561" i="4"/>
  <c r="J569" i="4"/>
  <c r="J577" i="4"/>
  <c r="J585" i="4"/>
  <c r="J593" i="4"/>
  <c r="J601" i="4"/>
  <c r="J609" i="4"/>
  <c r="J617" i="4"/>
  <c r="J625" i="4"/>
  <c r="J633" i="4"/>
  <c r="J641" i="4"/>
  <c r="J649" i="4"/>
  <c r="J657" i="4"/>
  <c r="J665" i="4"/>
  <c r="J673" i="4"/>
  <c r="J681" i="4"/>
  <c r="J689" i="4"/>
  <c r="J697" i="4"/>
  <c r="J705" i="4"/>
  <c r="J713" i="4"/>
  <c r="J721" i="4"/>
  <c r="J729" i="4"/>
  <c r="J737" i="4"/>
  <c r="J745" i="4"/>
  <c r="J753" i="4"/>
  <c r="J761" i="4"/>
  <c r="J14" i="5"/>
  <c r="J472" i="5"/>
  <c r="J644" i="5"/>
  <c r="J813" i="5"/>
  <c r="J984" i="5"/>
  <c r="J1156" i="5"/>
  <c r="J1325" i="5"/>
  <c r="J1424" i="5"/>
  <c r="J1494" i="5"/>
  <c r="J1558" i="5"/>
  <c r="J1622" i="5"/>
  <c r="J1662" i="5"/>
  <c r="J1694" i="5"/>
  <c r="J1726" i="5"/>
  <c r="J1758" i="5"/>
  <c r="J1790" i="5"/>
  <c r="J1822" i="5"/>
  <c r="J1854" i="5"/>
  <c r="J1886" i="5"/>
  <c r="J1918" i="5"/>
  <c r="J1950" i="5"/>
  <c r="J1982" i="5"/>
  <c r="J2014" i="5"/>
  <c r="J2046" i="5"/>
  <c r="J2078" i="5"/>
  <c r="J2110" i="5"/>
  <c r="J2142" i="5"/>
  <c r="J2174" i="5"/>
  <c r="J106" i="4"/>
  <c r="J114" i="4"/>
  <c r="J122" i="4"/>
  <c r="J130" i="4"/>
  <c r="J138" i="4"/>
  <c r="J146" i="4"/>
  <c r="J154" i="4"/>
  <c r="J162" i="4"/>
  <c r="J170" i="4"/>
  <c r="J178" i="4"/>
  <c r="J186" i="4"/>
  <c r="J194" i="4"/>
  <c r="J202" i="4"/>
  <c r="J210" i="4"/>
  <c r="J218" i="4"/>
  <c r="J226" i="4"/>
  <c r="J234" i="4"/>
  <c r="J242" i="4"/>
  <c r="J250" i="4"/>
  <c r="J258" i="4"/>
  <c r="J266" i="4"/>
  <c r="J274" i="4"/>
  <c r="J282" i="4"/>
  <c r="J290" i="4"/>
  <c r="J298" i="4"/>
  <c r="J306" i="4"/>
  <c r="J314" i="4"/>
  <c r="J322" i="4"/>
  <c r="J330" i="4"/>
  <c r="J338" i="4"/>
  <c r="J346" i="4"/>
  <c r="J354" i="4"/>
  <c r="J362" i="4"/>
  <c r="J370" i="4"/>
  <c r="J378" i="4"/>
  <c r="J386" i="4"/>
  <c r="J394" i="4"/>
  <c r="J402" i="4"/>
  <c r="J410" i="4"/>
  <c r="J418" i="4"/>
  <c r="J426" i="4"/>
  <c r="J434" i="4"/>
  <c r="J442" i="4"/>
  <c r="J450" i="4"/>
  <c r="J458" i="4"/>
  <c r="J466" i="4"/>
  <c r="J474" i="4"/>
  <c r="J482" i="4"/>
  <c r="J490" i="4"/>
  <c r="J498" i="4"/>
  <c r="J506" i="4"/>
  <c r="J514" i="4"/>
  <c r="J522" i="4"/>
  <c r="J530" i="4"/>
  <c r="J538" i="4"/>
  <c r="J546" i="4"/>
  <c r="J554" i="4"/>
  <c r="J562" i="4"/>
  <c r="J570" i="4"/>
  <c r="J578" i="4"/>
  <c r="J586" i="4"/>
  <c r="J594" i="4"/>
  <c r="J602" i="4"/>
  <c r="J610" i="4"/>
  <c r="J618" i="4"/>
  <c r="J626" i="4"/>
  <c r="J634" i="4"/>
  <c r="J642" i="4"/>
  <c r="J650" i="4"/>
  <c r="J658" i="4"/>
  <c r="J666" i="4"/>
  <c r="J674" i="4"/>
  <c r="J682" i="4"/>
  <c r="J690" i="4"/>
  <c r="J698" i="4"/>
  <c r="J706" i="4"/>
  <c r="J714" i="4"/>
  <c r="J722" i="4"/>
  <c r="J730" i="4"/>
  <c r="J738" i="4"/>
  <c r="J746" i="4"/>
  <c r="J754" i="4"/>
  <c r="J762" i="4"/>
  <c r="J89" i="5"/>
  <c r="J493" i="5"/>
  <c r="J664" i="5"/>
  <c r="J836" i="5"/>
  <c r="J1005" i="5"/>
  <c r="J1176" i="5"/>
  <c r="J1346" i="5"/>
  <c r="J1433" i="5"/>
  <c r="J1502" i="5"/>
  <c r="J1566" i="5"/>
  <c r="J1630" i="5"/>
  <c r="J1665" i="5"/>
  <c r="J1697" i="5"/>
  <c r="J1729" i="5"/>
  <c r="J1761" i="5"/>
  <c r="J1793" i="5"/>
  <c r="J1825" i="5"/>
  <c r="J1857" i="5"/>
  <c r="J1889" i="5"/>
  <c r="J1921" i="5"/>
  <c r="J1953" i="5"/>
  <c r="J1985" i="5"/>
  <c r="J2017" i="5"/>
  <c r="J2049" i="5"/>
  <c r="J2081" i="5"/>
  <c r="J2113" i="5"/>
  <c r="J2145" i="5"/>
  <c r="J2177" i="5"/>
  <c r="J153" i="5"/>
  <c r="J516" i="5"/>
  <c r="J685" i="5"/>
  <c r="J856" i="5"/>
  <c r="J1028" i="5"/>
  <c r="J1197" i="5"/>
  <c r="J1361" i="5"/>
  <c r="J1442" i="5"/>
  <c r="J1510" i="5"/>
  <c r="J1574" i="5"/>
  <c r="J1638" i="5"/>
  <c r="J1670" i="5"/>
  <c r="J1702" i="5"/>
  <c r="J1734" i="5"/>
  <c r="J1766" i="5"/>
  <c r="J1798" i="5"/>
  <c r="J1830" i="5"/>
  <c r="J1862" i="5"/>
  <c r="J1894" i="5"/>
  <c r="J1926" i="5"/>
  <c r="J1958" i="5"/>
  <c r="J1990" i="5"/>
  <c r="J2022" i="5"/>
  <c r="J2054" i="5"/>
  <c r="J2086" i="5"/>
  <c r="J2118" i="5"/>
  <c r="J2150" i="5"/>
  <c r="J108" i="4"/>
  <c r="J116" i="4"/>
  <c r="J124" i="4"/>
  <c r="J132" i="4"/>
  <c r="J140" i="4"/>
  <c r="J148" i="4"/>
  <c r="J156" i="4"/>
  <c r="J164" i="4"/>
  <c r="J172" i="4"/>
  <c r="J180" i="4"/>
  <c r="J188" i="4"/>
  <c r="J196" i="4"/>
  <c r="J204" i="4"/>
  <c r="J212" i="4"/>
  <c r="J220" i="4"/>
  <c r="J228" i="4"/>
  <c r="J236" i="4"/>
  <c r="J244" i="4"/>
  <c r="J252" i="4"/>
  <c r="J260" i="4"/>
  <c r="J268" i="4"/>
  <c r="J276" i="4"/>
  <c r="J284" i="4"/>
  <c r="J292" i="4"/>
  <c r="J300" i="4"/>
  <c r="J308" i="4"/>
  <c r="J316" i="4"/>
  <c r="J324" i="4"/>
  <c r="J332" i="4"/>
  <c r="J340" i="4"/>
  <c r="J348" i="4"/>
  <c r="J356" i="4"/>
  <c r="J364" i="4"/>
  <c r="J372" i="4"/>
  <c r="J380" i="4"/>
  <c r="J388" i="4"/>
  <c r="J396" i="4"/>
  <c r="J404" i="4"/>
  <c r="J412" i="4"/>
  <c r="J420" i="4"/>
  <c r="J428" i="4"/>
  <c r="J436" i="4"/>
  <c r="J444" i="4"/>
  <c r="J452" i="4"/>
  <c r="J460" i="4"/>
  <c r="J468" i="4"/>
  <c r="J476" i="4"/>
  <c r="J484" i="4"/>
  <c r="J492" i="4"/>
  <c r="J500" i="4"/>
  <c r="J508" i="4"/>
  <c r="J516" i="4"/>
  <c r="J524" i="4"/>
  <c r="J532" i="4"/>
  <c r="J540" i="4"/>
  <c r="J548" i="4"/>
  <c r="J556" i="4"/>
  <c r="J564" i="4"/>
  <c r="J572" i="4"/>
  <c r="J580" i="4"/>
  <c r="J588" i="4"/>
  <c r="J596" i="4"/>
  <c r="J604" i="4"/>
  <c r="J612" i="4"/>
  <c r="J620" i="4"/>
  <c r="J628" i="4"/>
  <c r="J636" i="4"/>
  <c r="J644" i="4"/>
  <c r="J652" i="4"/>
  <c r="J660" i="4"/>
  <c r="J668" i="4"/>
  <c r="J676" i="4"/>
  <c r="J684" i="4"/>
  <c r="J692" i="4"/>
  <c r="J700" i="4"/>
  <c r="J708" i="4"/>
  <c r="J716" i="4"/>
  <c r="J724" i="4"/>
  <c r="J217" i="5"/>
  <c r="J536" i="5"/>
  <c r="J708" i="5"/>
  <c r="J877" i="5"/>
  <c r="J1048" i="5"/>
  <c r="J1220" i="5"/>
  <c r="J1373" i="5"/>
  <c r="J1451" i="5"/>
  <c r="J1518" i="5"/>
  <c r="J1582" i="5"/>
  <c r="J1641" i="5"/>
  <c r="J1673" i="5"/>
  <c r="J1705" i="5"/>
  <c r="J1737" i="5"/>
  <c r="J1769" i="5"/>
  <c r="J1801" i="5"/>
  <c r="J1833" i="5"/>
  <c r="J1865" i="5"/>
  <c r="J1897" i="5"/>
  <c r="J1929" i="5"/>
  <c r="J1961" i="5"/>
  <c r="J1993" i="5"/>
  <c r="J2025" i="5"/>
  <c r="J2057" i="5"/>
  <c r="J2089" i="5"/>
  <c r="J2121" i="5"/>
  <c r="J2153" i="5"/>
  <c r="J281" i="5"/>
  <c r="J557" i="5"/>
  <c r="J728" i="5"/>
  <c r="J900" i="5"/>
  <c r="J1069" i="5"/>
  <c r="J1240" i="5"/>
  <c r="J1386" i="5"/>
  <c r="J1460" i="5"/>
  <c r="J1526" i="5"/>
  <c r="J1590" i="5"/>
  <c r="J1646" i="5"/>
  <c r="J1678" i="5"/>
  <c r="J1710" i="5"/>
  <c r="J1742" i="5"/>
  <c r="J1774" i="5"/>
  <c r="J1806" i="5"/>
  <c r="J1838" i="5"/>
  <c r="J1870" i="5"/>
  <c r="J1902" i="5"/>
  <c r="J1934" i="5"/>
  <c r="J1966" i="5"/>
  <c r="J1998" i="5"/>
  <c r="J2030" i="5"/>
  <c r="J2062" i="5"/>
  <c r="J2094" i="5"/>
  <c r="J2126" i="5"/>
  <c r="J2158" i="5"/>
  <c r="J102" i="4"/>
  <c r="J110" i="4"/>
  <c r="J118" i="4"/>
  <c r="J126" i="4"/>
  <c r="J134" i="4"/>
  <c r="J142" i="4"/>
  <c r="J150" i="4"/>
  <c r="J158" i="4"/>
  <c r="J166" i="4"/>
  <c r="J174" i="4"/>
  <c r="J182" i="4"/>
  <c r="J190" i="4"/>
  <c r="J198" i="4"/>
  <c r="J206" i="4"/>
  <c r="J214" i="4"/>
  <c r="J222" i="4"/>
  <c r="J230" i="4"/>
  <c r="J238" i="4"/>
  <c r="J246" i="4"/>
  <c r="J254" i="4"/>
  <c r="J262" i="4"/>
  <c r="J270" i="4"/>
  <c r="J278" i="4"/>
  <c r="J286" i="4"/>
  <c r="J294" i="4"/>
  <c r="J302" i="4"/>
  <c r="J310" i="4"/>
  <c r="J318" i="4"/>
  <c r="J326" i="4"/>
  <c r="J334" i="4"/>
  <c r="J342" i="4"/>
  <c r="J350" i="4"/>
  <c r="J358" i="4"/>
  <c r="J366" i="4"/>
  <c r="J374" i="4"/>
  <c r="J382" i="4"/>
  <c r="J390" i="4"/>
  <c r="J398" i="4"/>
  <c r="J406" i="4"/>
  <c r="J414" i="4"/>
  <c r="J422" i="4"/>
  <c r="J430" i="4"/>
  <c r="J438" i="4"/>
  <c r="J446" i="4"/>
  <c r="J454" i="4"/>
  <c r="J462" i="4"/>
  <c r="J470" i="4"/>
  <c r="J478" i="4"/>
  <c r="J486" i="4"/>
  <c r="J494" i="4"/>
  <c r="J502" i="4"/>
  <c r="J510" i="4"/>
  <c r="J518" i="4"/>
  <c r="J526" i="4"/>
  <c r="J534" i="4"/>
  <c r="J542" i="4"/>
  <c r="J550" i="4"/>
  <c r="J558" i="4"/>
  <c r="J566" i="4"/>
  <c r="J574" i="4"/>
  <c r="J582" i="4"/>
  <c r="J590" i="4"/>
  <c r="J598" i="4"/>
  <c r="J606" i="4"/>
  <c r="J614" i="4"/>
  <c r="J622" i="4"/>
  <c r="J630" i="4"/>
  <c r="J638" i="4"/>
  <c r="J646" i="4"/>
  <c r="J654" i="4"/>
  <c r="J662" i="4"/>
  <c r="J670" i="4"/>
  <c r="J678" i="4"/>
  <c r="J686" i="4"/>
  <c r="J694" i="4"/>
  <c r="J702" i="4"/>
  <c r="J710" i="4"/>
  <c r="J718" i="4"/>
  <c r="J726" i="4"/>
  <c r="J734" i="4"/>
  <c r="J742" i="4"/>
  <c r="J750" i="4"/>
  <c r="J758" i="4"/>
  <c r="J766" i="4"/>
  <c r="J774" i="4"/>
  <c r="J782" i="4"/>
  <c r="J790" i="4"/>
  <c r="J798" i="4"/>
  <c r="J806" i="4"/>
  <c r="J814" i="4"/>
  <c r="J822" i="4"/>
  <c r="J830" i="4"/>
  <c r="J838" i="4"/>
  <c r="J846" i="4"/>
  <c r="J854" i="4"/>
  <c r="J862" i="4"/>
  <c r="J870" i="4"/>
  <c r="J878" i="4"/>
  <c r="J886" i="4"/>
  <c r="J894" i="4"/>
  <c r="J902" i="4"/>
  <c r="J910" i="4"/>
  <c r="J918" i="4"/>
  <c r="J926" i="4"/>
  <c r="J934" i="4"/>
  <c r="J942" i="4"/>
  <c r="J950" i="4"/>
  <c r="J958" i="4"/>
  <c r="J966" i="4"/>
  <c r="J974" i="4"/>
  <c r="J982" i="4"/>
  <c r="J990" i="4"/>
  <c r="J998" i="4"/>
  <c r="J1006" i="4"/>
  <c r="J1014" i="4"/>
  <c r="J1022" i="4"/>
  <c r="J1030" i="4"/>
  <c r="J1038" i="4"/>
  <c r="J1046" i="4"/>
  <c r="J1054" i="4"/>
  <c r="J1062" i="4"/>
  <c r="J1070" i="4"/>
  <c r="J1078" i="4"/>
  <c r="J1086" i="4"/>
  <c r="J1094" i="4"/>
  <c r="J1102" i="4"/>
  <c r="J1110" i="4"/>
  <c r="J1118" i="4"/>
  <c r="J1126" i="4"/>
  <c r="J1134" i="4"/>
  <c r="J1142" i="4"/>
  <c r="J1150" i="4"/>
  <c r="J1158" i="4"/>
  <c r="J1166" i="4"/>
  <c r="J1174" i="4"/>
  <c r="J1182" i="4"/>
  <c r="J1190" i="4"/>
  <c r="J1198" i="4"/>
  <c r="J1206" i="4"/>
  <c r="J1214" i="4"/>
  <c r="J1222" i="4"/>
  <c r="J1230" i="4"/>
  <c r="J1238" i="4"/>
  <c r="J120" i="4"/>
  <c r="J141" i="4"/>
  <c r="J163" i="4"/>
  <c r="J184" i="4"/>
  <c r="J205" i="4"/>
  <c r="J227" i="4"/>
  <c r="J248" i="4"/>
  <c r="J269" i="4"/>
  <c r="J291" i="4"/>
  <c r="J312" i="4"/>
  <c r="J333" i="4"/>
  <c r="J355" i="4"/>
  <c r="J376" i="4"/>
  <c r="J397" i="4"/>
  <c r="J419" i="4"/>
  <c r="J440" i="4"/>
  <c r="J461" i="4"/>
  <c r="J483" i="4"/>
  <c r="J504" i="4"/>
  <c r="J525" i="4"/>
  <c r="J547" i="4"/>
  <c r="J568" i="4"/>
  <c r="J589" i="4"/>
  <c r="J605" i="4"/>
  <c r="J621" i="4"/>
  <c r="J637" i="4"/>
  <c r="J653" i="4"/>
  <c r="J669" i="4"/>
  <c r="J685" i="4"/>
  <c r="J701" i="4"/>
  <c r="J717" i="4"/>
  <c r="J732" i="4"/>
  <c r="J744" i="4"/>
  <c r="J757" i="4"/>
  <c r="J769" i="4"/>
  <c r="J778" i="4"/>
  <c r="J787" i="4"/>
  <c r="J796" i="4"/>
  <c r="J805" i="4"/>
  <c r="J815" i="4"/>
  <c r="J824" i="4"/>
  <c r="J833" i="4"/>
  <c r="J842" i="4"/>
  <c r="J851" i="4"/>
  <c r="J860" i="4"/>
  <c r="J869" i="4"/>
  <c r="J879" i="4"/>
  <c r="J888" i="4"/>
  <c r="J897" i="4"/>
  <c r="J906" i="4"/>
  <c r="J915" i="4"/>
  <c r="J924" i="4"/>
  <c r="J933" i="4"/>
  <c r="J943" i="4"/>
  <c r="J952" i="4"/>
  <c r="J961" i="4"/>
  <c r="J970" i="4"/>
  <c r="J979" i="4"/>
  <c r="J988" i="4"/>
  <c r="J997" i="4"/>
  <c r="J1007" i="4"/>
  <c r="J1016" i="4"/>
  <c r="J1025" i="4"/>
  <c r="J1034" i="4"/>
  <c r="J1043" i="4"/>
  <c r="J1052" i="4"/>
  <c r="J1061" i="4"/>
  <c r="J1071" i="4"/>
  <c r="J1080" i="4"/>
  <c r="J1089" i="4"/>
  <c r="J1098" i="4"/>
  <c r="J1107" i="4"/>
  <c r="J1116" i="4"/>
  <c r="J1125" i="4"/>
  <c r="J1135" i="4"/>
  <c r="J1144" i="4"/>
  <c r="J1153" i="4"/>
  <c r="J1162" i="4"/>
  <c r="J1171" i="4"/>
  <c r="J1180" i="4"/>
  <c r="J1189" i="4"/>
  <c r="J1199" i="4"/>
  <c r="J1208" i="4"/>
  <c r="J1217" i="4"/>
  <c r="J1226" i="4"/>
  <c r="J1235" i="4"/>
  <c r="J1244" i="4"/>
  <c r="J1252" i="4"/>
  <c r="J1260" i="4"/>
  <c r="J1268" i="4"/>
  <c r="J1276" i="4"/>
  <c r="J1284" i="4"/>
  <c r="J1292" i="4"/>
  <c r="J1300" i="4"/>
  <c r="J1308" i="4"/>
  <c r="J1316" i="4"/>
  <c r="J1324" i="4"/>
  <c r="J1332" i="4"/>
  <c r="J101" i="4"/>
  <c r="J123" i="4"/>
  <c r="J144" i="4"/>
  <c r="J165" i="4"/>
  <c r="J187" i="4"/>
  <c r="J208" i="4"/>
  <c r="J229" i="4"/>
  <c r="J251" i="4"/>
  <c r="J272" i="4"/>
  <c r="J293" i="4"/>
  <c r="J315" i="4"/>
  <c r="J336" i="4"/>
  <c r="J357" i="4"/>
  <c r="J379" i="4"/>
  <c r="J400" i="4"/>
  <c r="J421" i="4"/>
  <c r="J443" i="4"/>
  <c r="J464" i="4"/>
  <c r="J485" i="4"/>
  <c r="J507" i="4"/>
  <c r="J528" i="4"/>
  <c r="J549" i="4"/>
  <c r="J571" i="4"/>
  <c r="J591" i="4"/>
  <c r="J607" i="4"/>
  <c r="J623" i="4"/>
  <c r="J639" i="4"/>
  <c r="J655" i="4"/>
  <c r="J671" i="4"/>
  <c r="J687" i="4"/>
  <c r="J104" i="4"/>
  <c r="J125" i="4"/>
  <c r="J147" i="4"/>
  <c r="J168" i="4"/>
  <c r="J189" i="4"/>
  <c r="J211" i="4"/>
  <c r="J232" i="4"/>
  <c r="J253" i="4"/>
  <c r="J275" i="4"/>
  <c r="J296" i="4"/>
  <c r="J317" i="4"/>
  <c r="J339" i="4"/>
  <c r="J360" i="4"/>
  <c r="J381" i="4"/>
  <c r="J403" i="4"/>
  <c r="J424" i="4"/>
  <c r="J445" i="4"/>
  <c r="J467" i="4"/>
  <c r="J488" i="4"/>
  <c r="J509" i="4"/>
  <c r="J531" i="4"/>
  <c r="J552" i="4"/>
  <c r="J573" i="4"/>
  <c r="J592" i="4"/>
  <c r="J608" i="4"/>
  <c r="J624" i="4"/>
  <c r="J107" i="4"/>
  <c r="J128" i="4"/>
  <c r="J149" i="4"/>
  <c r="J171" i="4"/>
  <c r="J192" i="4"/>
  <c r="J213" i="4"/>
  <c r="J235" i="4"/>
  <c r="J256" i="4"/>
  <c r="J277" i="4"/>
  <c r="J299" i="4"/>
  <c r="J320" i="4"/>
  <c r="J341" i="4"/>
  <c r="J363" i="4"/>
  <c r="J384" i="4"/>
  <c r="J405" i="4"/>
  <c r="J427" i="4"/>
  <c r="J448" i="4"/>
  <c r="J469" i="4"/>
  <c r="J491" i="4"/>
  <c r="J512" i="4"/>
  <c r="J533" i="4"/>
  <c r="J555" i="4"/>
  <c r="J576" i="4"/>
  <c r="J595" i="4"/>
  <c r="J611" i="4"/>
  <c r="J627" i="4"/>
  <c r="J643" i="4"/>
  <c r="J659" i="4"/>
  <c r="J675" i="4"/>
  <c r="J691" i="4"/>
  <c r="J707" i="4"/>
  <c r="J723" i="4"/>
  <c r="J736" i="4"/>
  <c r="J749" i="4"/>
  <c r="J763" i="4"/>
  <c r="J772" i="4"/>
  <c r="J781" i="4"/>
  <c r="J791" i="4"/>
  <c r="J800" i="4"/>
  <c r="J809" i="4"/>
  <c r="J818" i="4"/>
  <c r="J827" i="4"/>
  <c r="J836" i="4"/>
  <c r="J845" i="4"/>
  <c r="J855" i="4"/>
  <c r="J864" i="4"/>
  <c r="J873" i="4"/>
  <c r="J882" i="4"/>
  <c r="J891" i="4"/>
  <c r="J900" i="4"/>
  <c r="J909" i="4"/>
  <c r="J919" i="4"/>
  <c r="J928" i="4"/>
  <c r="J937" i="4"/>
  <c r="J946" i="4"/>
  <c r="J955" i="4"/>
  <c r="J964" i="4"/>
  <c r="J973" i="4"/>
  <c r="J983" i="4"/>
  <c r="J992" i="4"/>
  <c r="J1001" i="4"/>
  <c r="J1010" i="4"/>
  <c r="J1019" i="4"/>
  <c r="J1028" i="4"/>
  <c r="J1037" i="4"/>
  <c r="J1047" i="4"/>
  <c r="J1056" i="4"/>
  <c r="J1065" i="4"/>
  <c r="J1074" i="4"/>
  <c r="J1083" i="4"/>
  <c r="J1092" i="4"/>
  <c r="J1101" i="4"/>
  <c r="J1111" i="4"/>
  <c r="J1120" i="4"/>
  <c r="J1129" i="4"/>
  <c r="J1138" i="4"/>
  <c r="J1147" i="4"/>
  <c r="J1156" i="4"/>
  <c r="J1165" i="4"/>
  <c r="J1175" i="4"/>
  <c r="J1184" i="4"/>
  <c r="J1193" i="4"/>
  <c r="J1202" i="4"/>
  <c r="J1211" i="4"/>
  <c r="J109" i="4"/>
  <c r="J131" i="4"/>
  <c r="J152" i="4"/>
  <c r="J173" i="4"/>
  <c r="J195" i="4"/>
  <c r="J216" i="4"/>
  <c r="J237" i="4"/>
  <c r="J259" i="4"/>
  <c r="J280" i="4"/>
  <c r="J301" i="4"/>
  <c r="J323" i="4"/>
  <c r="J344" i="4"/>
  <c r="J365" i="4"/>
  <c r="J387" i="4"/>
  <c r="J408" i="4"/>
  <c r="J429" i="4"/>
  <c r="J451" i="4"/>
  <c r="J472" i="4"/>
  <c r="J493" i="4"/>
  <c r="J515" i="4"/>
  <c r="J536" i="4"/>
  <c r="J557" i="4"/>
  <c r="J579" i="4"/>
  <c r="J597" i="4"/>
  <c r="J613" i="4"/>
  <c r="J629" i="4"/>
  <c r="J645" i="4"/>
  <c r="J661" i="4"/>
  <c r="J677" i="4"/>
  <c r="J693" i="4"/>
  <c r="J709" i="4"/>
  <c r="J725" i="4"/>
  <c r="J739" i="4"/>
  <c r="J751" i="4"/>
  <c r="J764" i="4"/>
  <c r="J112" i="4"/>
  <c r="J133" i="4"/>
  <c r="J155" i="4"/>
  <c r="J176" i="4"/>
  <c r="J197" i="4"/>
  <c r="J219" i="4"/>
  <c r="J240" i="4"/>
  <c r="J261" i="4"/>
  <c r="J283" i="4"/>
  <c r="J304" i="4"/>
  <c r="J325" i="4"/>
  <c r="J347" i="4"/>
  <c r="J368" i="4"/>
  <c r="J389" i="4"/>
  <c r="J411" i="4"/>
  <c r="J432" i="4"/>
  <c r="J453" i="4"/>
  <c r="J475" i="4"/>
  <c r="J496" i="4"/>
  <c r="J517" i="4"/>
  <c r="J539" i="4"/>
  <c r="J560" i="4"/>
  <c r="J581" i="4"/>
  <c r="J599" i="4"/>
  <c r="J615" i="4"/>
  <c r="J631" i="4"/>
  <c r="J647" i="4"/>
  <c r="J663" i="4"/>
  <c r="J679" i="4"/>
  <c r="J695" i="4"/>
  <c r="J711" i="4"/>
  <c r="J727" i="4"/>
  <c r="J740" i="4"/>
  <c r="J752" i="4"/>
  <c r="J765" i="4"/>
  <c r="J775" i="4"/>
  <c r="J784" i="4"/>
  <c r="J793" i="4"/>
  <c r="J802" i="4"/>
  <c r="J811" i="4"/>
  <c r="J820" i="4"/>
  <c r="J829" i="4"/>
  <c r="J839" i="4"/>
  <c r="J848" i="4"/>
  <c r="J857" i="4"/>
  <c r="J866" i="4"/>
  <c r="J875" i="4"/>
  <c r="J884" i="4"/>
  <c r="J893" i="4"/>
  <c r="J903" i="4"/>
  <c r="J912" i="4"/>
  <c r="J921" i="4"/>
  <c r="J930" i="4"/>
  <c r="J939" i="4"/>
  <c r="J948" i="4"/>
  <c r="J957" i="4"/>
  <c r="J967" i="4"/>
  <c r="J976" i="4"/>
  <c r="J985" i="4"/>
  <c r="J994" i="4"/>
  <c r="J1003" i="4"/>
  <c r="J1012" i="4"/>
  <c r="J1021" i="4"/>
  <c r="J1031" i="4"/>
  <c r="J1040" i="4"/>
  <c r="J1049" i="4"/>
  <c r="J1058" i="4"/>
  <c r="J1067" i="4"/>
  <c r="J1076" i="4"/>
  <c r="J1085" i="4"/>
  <c r="J1095" i="4"/>
  <c r="J1104" i="4"/>
  <c r="J1113" i="4"/>
  <c r="J1122" i="4"/>
  <c r="J1131" i="4"/>
  <c r="J1140" i="4"/>
  <c r="J1149" i="4"/>
  <c r="J1159" i="4"/>
  <c r="J1168" i="4"/>
  <c r="J1177" i="4"/>
  <c r="J1186" i="4"/>
  <c r="J1195" i="4"/>
  <c r="J1204" i="4"/>
  <c r="J1213" i="4"/>
  <c r="J1223" i="4"/>
  <c r="J1232" i="4"/>
  <c r="J1241" i="4"/>
  <c r="J1249" i="4"/>
  <c r="J1257" i="4"/>
  <c r="J1265" i="4"/>
  <c r="J1273" i="4"/>
  <c r="J1281" i="4"/>
  <c r="J1289" i="4"/>
  <c r="J1297" i="4"/>
  <c r="J1305" i="4"/>
  <c r="J1313" i="4"/>
  <c r="J1321" i="4"/>
  <c r="J1329" i="4"/>
  <c r="J1337" i="4"/>
  <c r="J1345" i="4"/>
  <c r="J1353" i="4"/>
  <c r="J1361" i="4"/>
  <c r="J1369" i="4"/>
  <c r="J1377" i="4"/>
  <c r="J1385" i="4"/>
  <c r="J1393" i="4"/>
  <c r="J1401" i="4"/>
  <c r="J1409" i="4"/>
  <c r="J1417" i="4"/>
  <c r="J1425" i="4"/>
  <c r="J1433" i="4"/>
  <c r="J1441" i="4"/>
  <c r="J1449" i="4"/>
  <c r="J1457" i="4"/>
  <c r="J1465" i="4"/>
  <c r="J1473" i="4"/>
  <c r="J1481" i="4"/>
  <c r="J1489" i="4"/>
  <c r="J1497" i="4"/>
  <c r="J1505" i="4"/>
  <c r="J1513" i="4"/>
  <c r="J1521" i="4"/>
  <c r="J1529" i="4"/>
  <c r="J1537" i="4"/>
  <c r="J1545" i="4"/>
  <c r="J1553" i="4"/>
  <c r="J1561" i="4"/>
  <c r="J1569" i="4"/>
  <c r="J1577" i="4"/>
  <c r="J1585" i="4"/>
  <c r="J1593" i="4"/>
  <c r="J1601" i="4"/>
  <c r="J1609" i="4"/>
  <c r="J115" i="4"/>
  <c r="J136" i="4"/>
  <c r="J157" i="4"/>
  <c r="J179" i="4"/>
  <c r="J200" i="4"/>
  <c r="J221" i="4"/>
  <c r="J243" i="4"/>
  <c r="J264" i="4"/>
  <c r="J285" i="4"/>
  <c r="J307" i="4"/>
  <c r="J328" i="4"/>
  <c r="J349" i="4"/>
  <c r="J371" i="4"/>
  <c r="J392" i="4"/>
  <c r="J413" i="4"/>
  <c r="J435" i="4"/>
  <c r="J456" i="4"/>
  <c r="J477" i="4"/>
  <c r="J499" i="4"/>
  <c r="J520" i="4"/>
  <c r="J541" i="4"/>
  <c r="J563" i="4"/>
  <c r="J584" i="4"/>
  <c r="J600" i="4"/>
  <c r="J616" i="4"/>
  <c r="J632" i="4"/>
  <c r="J648" i="4"/>
  <c r="J664" i="4"/>
  <c r="J680" i="4"/>
  <c r="J696" i="4"/>
  <c r="J712" i="4"/>
  <c r="J728" i="4"/>
  <c r="J741" i="4"/>
  <c r="J755" i="4"/>
  <c r="J767" i="4"/>
  <c r="J776" i="4"/>
  <c r="J785" i="4"/>
  <c r="J794" i="4"/>
  <c r="J803" i="4"/>
  <c r="J812" i="4"/>
  <c r="J821" i="4"/>
  <c r="J831" i="4"/>
  <c r="J840" i="4"/>
  <c r="J849" i="4"/>
  <c r="J858" i="4"/>
  <c r="J867" i="4"/>
  <c r="J876" i="4"/>
  <c r="J885" i="4"/>
  <c r="J895" i="4"/>
  <c r="J904" i="4"/>
  <c r="J913" i="4"/>
  <c r="J922" i="4"/>
  <c r="J931" i="4"/>
  <c r="J940" i="4"/>
  <c r="J949" i="4"/>
  <c r="J959" i="4"/>
  <c r="J968" i="4"/>
  <c r="J977" i="4"/>
  <c r="J986" i="4"/>
  <c r="J995" i="4"/>
  <c r="J1004" i="4"/>
  <c r="J1013" i="4"/>
  <c r="J1023" i="4"/>
  <c r="J1032" i="4"/>
  <c r="J1041" i="4"/>
  <c r="J1050" i="4"/>
  <c r="J1059" i="4"/>
  <c r="J1068" i="4"/>
  <c r="J1077" i="4"/>
  <c r="J1087" i="4"/>
  <c r="J1096" i="4"/>
  <c r="J1105" i="4"/>
  <c r="J1114" i="4"/>
  <c r="J1123" i="4"/>
  <c r="J1132" i="4"/>
  <c r="J1141" i="4"/>
  <c r="J1151" i="4"/>
  <c r="J1160" i="4"/>
  <c r="J1169" i="4"/>
  <c r="J1178" i="4"/>
  <c r="J1187" i="4"/>
  <c r="J1196" i="4"/>
  <c r="J1205" i="4"/>
  <c r="J1215" i="4"/>
  <c r="J1224" i="4"/>
  <c r="J1233" i="4"/>
  <c r="J1242" i="4"/>
  <c r="J1250" i="4"/>
  <c r="J1258" i="4"/>
  <c r="J1266" i="4"/>
  <c r="J1274" i="4"/>
  <c r="J1282" i="4"/>
  <c r="J1290" i="4"/>
  <c r="J1298" i="4"/>
  <c r="J1306" i="4"/>
  <c r="J1314" i="4"/>
  <c r="J1322" i="4"/>
  <c r="J1330" i="4"/>
  <c r="J1338" i="4"/>
  <c r="J1346" i="4"/>
  <c r="J1354" i="4"/>
  <c r="J1362" i="4"/>
  <c r="J1370" i="4"/>
  <c r="J1378" i="4"/>
  <c r="J1386" i="4"/>
  <c r="J1394" i="4"/>
  <c r="J1402" i="4"/>
  <c r="J1410" i="4"/>
  <c r="J1418" i="4"/>
  <c r="J1426" i="4"/>
  <c r="J1434" i="4"/>
  <c r="J1442" i="4"/>
  <c r="J1450" i="4"/>
  <c r="J1458" i="4"/>
  <c r="J1466" i="4"/>
  <c r="J1474" i="4"/>
  <c r="J1482" i="4"/>
  <c r="J1490" i="4"/>
  <c r="J1498" i="4"/>
  <c r="J1506" i="4"/>
  <c r="J1514" i="4"/>
  <c r="J1522" i="4"/>
  <c r="J1530" i="4"/>
  <c r="J1538" i="4"/>
  <c r="J1546" i="4"/>
  <c r="J1554" i="4"/>
  <c r="J1562" i="4"/>
  <c r="J1570" i="4"/>
  <c r="J1578" i="4"/>
  <c r="J1586" i="4"/>
  <c r="J1594" i="4"/>
  <c r="J1602" i="4"/>
  <c r="J1610" i="4"/>
  <c r="J1618" i="4"/>
  <c r="J1626" i="4"/>
  <c r="J1634" i="4"/>
  <c r="J1642" i="4"/>
  <c r="J1650" i="4"/>
  <c r="J1658" i="4"/>
  <c r="J1666" i="4"/>
  <c r="J1674" i="4"/>
  <c r="J1682" i="4"/>
  <c r="J1690" i="4"/>
  <c r="J1698" i="4"/>
  <c r="J1706" i="4"/>
  <c r="J1714" i="4"/>
  <c r="J1722" i="4"/>
  <c r="J1730" i="4"/>
  <c r="J1738" i="4"/>
  <c r="J1746" i="4"/>
  <c r="J1754" i="4"/>
  <c r="J1762" i="4"/>
  <c r="J1770" i="4"/>
  <c r="J1778" i="4"/>
  <c r="J1786" i="4"/>
  <c r="J1794" i="4"/>
  <c r="J1802" i="4"/>
  <c r="J1810" i="4"/>
  <c r="J1818" i="4"/>
  <c r="J1826" i="4"/>
  <c r="J1834" i="4"/>
  <c r="J1842" i="4"/>
  <c r="J1850" i="4"/>
  <c r="J1858" i="4"/>
  <c r="J1866" i="4"/>
  <c r="J1874" i="4"/>
  <c r="J1882" i="4"/>
  <c r="J1890" i="4"/>
  <c r="J1898" i="4"/>
  <c r="J1906" i="4"/>
  <c r="J117" i="4"/>
  <c r="J139" i="4"/>
  <c r="J160" i="4"/>
  <c r="J181" i="4"/>
  <c r="J203" i="4"/>
  <c r="J224" i="4"/>
  <c r="J245" i="4"/>
  <c r="J267" i="4"/>
  <c r="J288" i="4"/>
  <c r="J309" i="4"/>
  <c r="J331" i="4"/>
  <c r="J352" i="4"/>
  <c r="J373" i="4"/>
  <c r="J395" i="4"/>
  <c r="J416" i="4"/>
  <c r="J437" i="4"/>
  <c r="J459" i="4"/>
  <c r="J480" i="4"/>
  <c r="J501" i="4"/>
  <c r="J523" i="4"/>
  <c r="J544" i="4"/>
  <c r="J565" i="4"/>
  <c r="J587" i="4"/>
  <c r="J603" i="4"/>
  <c r="J619" i="4"/>
  <c r="J635" i="4"/>
  <c r="J651" i="4"/>
  <c r="J667" i="4"/>
  <c r="J683" i="4"/>
  <c r="J699" i="4"/>
  <c r="J715" i="4"/>
  <c r="J731" i="4"/>
  <c r="J743" i="4"/>
  <c r="J756" i="4"/>
  <c r="J768" i="4"/>
  <c r="J777" i="4"/>
  <c r="J786" i="4"/>
  <c r="J795" i="4"/>
  <c r="J804" i="4"/>
  <c r="J813" i="4"/>
  <c r="J823" i="4"/>
  <c r="J832" i="4"/>
  <c r="J841" i="4"/>
  <c r="J850" i="4"/>
  <c r="J859" i="4"/>
  <c r="J868" i="4"/>
  <c r="J877" i="4"/>
  <c r="J887" i="4"/>
  <c r="J896" i="4"/>
  <c r="J905" i="4"/>
  <c r="J914" i="4"/>
  <c r="J923" i="4"/>
  <c r="J932" i="4"/>
  <c r="J941" i="4"/>
  <c r="J951" i="4"/>
  <c r="J960" i="4"/>
  <c r="J969" i="4"/>
  <c r="J978" i="4"/>
  <c r="J987" i="4"/>
  <c r="J996" i="4"/>
  <c r="J1005" i="4"/>
  <c r="J1015" i="4"/>
  <c r="J1024" i="4"/>
  <c r="J1033" i="4"/>
  <c r="J1042" i="4"/>
  <c r="J1051" i="4"/>
  <c r="J1060" i="4"/>
  <c r="J1069" i="4"/>
  <c r="J1079" i="4"/>
  <c r="J1088" i="4"/>
  <c r="J1097" i="4"/>
  <c r="J1106" i="4"/>
  <c r="J1115" i="4"/>
  <c r="J1124" i="4"/>
  <c r="J1133" i="4"/>
  <c r="J1143" i="4"/>
  <c r="J1152" i="4"/>
  <c r="J1161" i="4"/>
  <c r="J1170" i="4"/>
  <c r="J1179" i="4"/>
  <c r="J1188" i="4"/>
  <c r="J1197" i="4"/>
  <c r="J1207" i="4"/>
  <c r="J1216" i="4"/>
  <c r="J1225" i="4"/>
  <c r="J1234" i="4"/>
  <c r="J1243" i="4"/>
  <c r="J1251" i="4"/>
  <c r="J1259" i="4"/>
  <c r="J1267" i="4"/>
  <c r="J1275" i="4"/>
  <c r="J1283" i="4"/>
  <c r="J1291" i="4"/>
  <c r="J1299" i="4"/>
  <c r="J1307" i="4"/>
  <c r="J1315" i="4"/>
  <c r="J1323" i="4"/>
  <c r="J1331" i="4"/>
  <c r="J1339" i="4"/>
  <c r="J1347" i="4"/>
  <c r="J1355" i="4"/>
  <c r="J1363" i="4"/>
  <c r="J1371" i="4"/>
  <c r="J1379" i="4"/>
  <c r="J1387" i="4"/>
  <c r="J1395" i="4"/>
  <c r="J1403" i="4"/>
  <c r="J1411" i="4"/>
  <c r="J1419" i="4"/>
  <c r="J1427" i="4"/>
  <c r="J1435" i="4"/>
  <c r="J1443" i="4"/>
  <c r="J1451" i="4"/>
  <c r="J1459" i="4"/>
  <c r="J720" i="4"/>
  <c r="J771" i="4"/>
  <c r="J797" i="4"/>
  <c r="J819" i="4"/>
  <c r="J844" i="4"/>
  <c r="J871" i="4"/>
  <c r="J892" i="4"/>
  <c r="J917" i="4"/>
  <c r="J944" i="4"/>
  <c r="J965" i="4"/>
  <c r="J991" i="4"/>
  <c r="J1017" i="4"/>
  <c r="J1039" i="4"/>
  <c r="J1064" i="4"/>
  <c r="J1090" i="4"/>
  <c r="J1112" i="4"/>
  <c r="J1137" i="4"/>
  <c r="J1163" i="4"/>
  <c r="J1185" i="4"/>
  <c r="J1210" i="4"/>
  <c r="J1229" i="4"/>
  <c r="J1247" i="4"/>
  <c r="J1263" i="4"/>
  <c r="J1279" i="4"/>
  <c r="J1295" i="4"/>
  <c r="J1311" i="4"/>
  <c r="J1327" i="4"/>
  <c r="J1342" i="4"/>
  <c r="J1356" i="4"/>
  <c r="J1367" i="4"/>
  <c r="J1381" i="4"/>
  <c r="J1392" i="4"/>
  <c r="J1406" i="4"/>
  <c r="J1420" i="4"/>
  <c r="J1431" i="4"/>
  <c r="J1445" i="4"/>
  <c r="J1456" i="4"/>
  <c r="J1469" i="4"/>
  <c r="J1479" i="4"/>
  <c r="J1491" i="4"/>
  <c r="J1501" i="4"/>
  <c r="J1511" i="4"/>
  <c r="J1523" i="4"/>
  <c r="J1533" i="4"/>
  <c r="J1543" i="4"/>
  <c r="J1555" i="4"/>
  <c r="J1565" i="4"/>
  <c r="J1575" i="4"/>
  <c r="J1587" i="4"/>
  <c r="J1597" i="4"/>
  <c r="J1607" i="4"/>
  <c r="J1617" i="4"/>
  <c r="J1627" i="4"/>
  <c r="J1636" i="4"/>
  <c r="J1645" i="4"/>
  <c r="J1654" i="4"/>
  <c r="J1663" i="4"/>
  <c r="J1672" i="4"/>
  <c r="J1681" i="4"/>
  <c r="J1691" i="4"/>
  <c r="J1700" i="4"/>
  <c r="J1709" i="4"/>
  <c r="J1718" i="4"/>
  <c r="J1727" i="4"/>
  <c r="J1736" i="4"/>
  <c r="J1745" i="4"/>
  <c r="J1755" i="4"/>
  <c r="J1764" i="4"/>
  <c r="J1773" i="4"/>
  <c r="J1782" i="4"/>
  <c r="J1791" i="4"/>
  <c r="J1800" i="4"/>
  <c r="J1809" i="4"/>
  <c r="J1819" i="4"/>
  <c r="J1828" i="4"/>
  <c r="J1837" i="4"/>
  <c r="J1846" i="4"/>
  <c r="J1855" i="4"/>
  <c r="J1864" i="4"/>
  <c r="J1873" i="4"/>
  <c r="J1883" i="4"/>
  <c r="J1892" i="4"/>
  <c r="J1901" i="4"/>
  <c r="J1910" i="4"/>
  <c r="J1918" i="4"/>
  <c r="J1926" i="4"/>
  <c r="J1934" i="4"/>
  <c r="J1942" i="4"/>
  <c r="J1950" i="4"/>
  <c r="J1958" i="4"/>
  <c r="J1966" i="4"/>
  <c r="J1974" i="4"/>
  <c r="J1982" i="4"/>
  <c r="J1990" i="4"/>
  <c r="J1998" i="4"/>
  <c r="J2006" i="4"/>
  <c r="J2014" i="4"/>
  <c r="J2022" i="4"/>
  <c r="J2030" i="4"/>
  <c r="J2038" i="4"/>
  <c r="J2046" i="4"/>
  <c r="J2054" i="4"/>
  <c r="J2062" i="4"/>
  <c r="J2070" i="4"/>
  <c r="J2078" i="4"/>
  <c r="J2086" i="4"/>
  <c r="J640" i="4"/>
  <c r="J733" i="4"/>
  <c r="J773" i="4"/>
  <c r="J799" i="4"/>
  <c r="J825" i="4"/>
  <c r="J847" i="4"/>
  <c r="J872" i="4"/>
  <c r="J898" i="4"/>
  <c r="J920" i="4"/>
  <c r="J945" i="4"/>
  <c r="J971" i="4"/>
  <c r="J993" i="4"/>
  <c r="J1018" i="4"/>
  <c r="J1044" i="4"/>
  <c r="J1066" i="4"/>
  <c r="J1091" i="4"/>
  <c r="J1117" i="4"/>
  <c r="J1139" i="4"/>
  <c r="J1164" i="4"/>
  <c r="J1191" i="4"/>
  <c r="J1212" i="4"/>
  <c r="J1231" i="4"/>
  <c r="J1248" i="4"/>
  <c r="J1264" i="4"/>
  <c r="J1280" i="4"/>
  <c r="J1296" i="4"/>
  <c r="J1312" i="4"/>
  <c r="J1328" i="4"/>
  <c r="J1343" i="4"/>
  <c r="J1357" i="4"/>
  <c r="J1368" i="4"/>
  <c r="J1382" i="4"/>
  <c r="J1396" i="4"/>
  <c r="J1407" i="4"/>
  <c r="J1421" i="4"/>
  <c r="J1432" i="4"/>
  <c r="J1446" i="4"/>
  <c r="J1460" i="4"/>
  <c r="J1470" i="4"/>
  <c r="J1480" i="4"/>
  <c r="J1492" i="4"/>
  <c r="J1502" i="4"/>
  <c r="J1512" i="4"/>
  <c r="J1524" i="4"/>
  <c r="J1534" i="4"/>
  <c r="J1544" i="4"/>
  <c r="J1556" i="4"/>
  <c r="J1566" i="4"/>
  <c r="J1576" i="4"/>
  <c r="J1588" i="4"/>
  <c r="J1598" i="4"/>
  <c r="J1608" i="4"/>
  <c r="J1619" i="4"/>
  <c r="J1628" i="4"/>
  <c r="J1637" i="4"/>
  <c r="J1646" i="4"/>
  <c r="J1655" i="4"/>
  <c r="J1664" i="4"/>
  <c r="J1673" i="4"/>
  <c r="J1683" i="4"/>
  <c r="J1692" i="4"/>
  <c r="J1701" i="4"/>
  <c r="J1710" i="4"/>
  <c r="J1719" i="4"/>
  <c r="J1728" i="4"/>
  <c r="J1737" i="4"/>
  <c r="J1747" i="4"/>
  <c r="J1756" i="4"/>
  <c r="J1765" i="4"/>
  <c r="J1774" i="4"/>
  <c r="J1783" i="4"/>
  <c r="J1792" i="4"/>
  <c r="J1801" i="4"/>
  <c r="J1811" i="4"/>
  <c r="J1820" i="4"/>
  <c r="J1829" i="4"/>
  <c r="J1838" i="4"/>
  <c r="J1847" i="4"/>
  <c r="J1856" i="4"/>
  <c r="J1865" i="4"/>
  <c r="J1875" i="4"/>
  <c r="J1884" i="4"/>
  <c r="J1893" i="4"/>
  <c r="J1902" i="4"/>
  <c r="J1911" i="4"/>
  <c r="J1919" i="4"/>
  <c r="J1927" i="4"/>
  <c r="J1935" i="4"/>
  <c r="J1943" i="4"/>
  <c r="J1951" i="4"/>
  <c r="J1959" i="4"/>
  <c r="J1967" i="4"/>
  <c r="J1975" i="4"/>
  <c r="J1983" i="4"/>
  <c r="J1991" i="4"/>
  <c r="J1999" i="4"/>
  <c r="J2007" i="4"/>
  <c r="J2015" i="4"/>
  <c r="J2023" i="4"/>
  <c r="J2031" i="4"/>
  <c r="J2039" i="4"/>
  <c r="J2047" i="4"/>
  <c r="J656" i="4"/>
  <c r="J735" i="4"/>
  <c r="J779" i="4"/>
  <c r="J801" i="4"/>
  <c r="J826" i="4"/>
  <c r="J852" i="4"/>
  <c r="J874" i="4"/>
  <c r="J899" i="4"/>
  <c r="J925" i="4"/>
  <c r="J947" i="4"/>
  <c r="J972" i="4"/>
  <c r="J999" i="4"/>
  <c r="J1020" i="4"/>
  <c r="J1045" i="4"/>
  <c r="J1072" i="4"/>
  <c r="J1093" i="4"/>
  <c r="J1119" i="4"/>
  <c r="J1145" i="4"/>
  <c r="J1167" i="4"/>
  <c r="J1192" i="4"/>
  <c r="J1218" i="4"/>
  <c r="J1236" i="4"/>
  <c r="J1253" i="4"/>
  <c r="J1269" i="4"/>
  <c r="J1285" i="4"/>
  <c r="J1301" i="4"/>
  <c r="J1317" i="4"/>
  <c r="J1333" i="4"/>
  <c r="J1344" i="4"/>
  <c r="J1358" i="4"/>
  <c r="J1372" i="4"/>
  <c r="J1383" i="4"/>
  <c r="J1397" i="4"/>
  <c r="J1408" i="4"/>
  <c r="J1422" i="4"/>
  <c r="J1436" i="4"/>
  <c r="J1447" i="4"/>
  <c r="J1461" i="4"/>
  <c r="J1471" i="4"/>
  <c r="J1483" i="4"/>
  <c r="J1493" i="4"/>
  <c r="J1503" i="4"/>
  <c r="J1515" i="4"/>
  <c r="J1525" i="4"/>
  <c r="J1535" i="4"/>
  <c r="J1547" i="4"/>
  <c r="J1557" i="4"/>
  <c r="J1567" i="4"/>
  <c r="J1579" i="4"/>
  <c r="J1589" i="4"/>
  <c r="J1599" i="4"/>
  <c r="J1611" i="4"/>
  <c r="J1620" i="4"/>
  <c r="J1629" i="4"/>
  <c r="J1638" i="4"/>
  <c r="J1647" i="4"/>
  <c r="J1656" i="4"/>
  <c r="J1665" i="4"/>
  <c r="J1675" i="4"/>
  <c r="J1684" i="4"/>
  <c r="J1693" i="4"/>
  <c r="J1702" i="4"/>
  <c r="J1711" i="4"/>
  <c r="J1720" i="4"/>
  <c r="J1729" i="4"/>
  <c r="J1739" i="4"/>
  <c r="J1748" i="4"/>
  <c r="J1757" i="4"/>
  <c r="J1766" i="4"/>
  <c r="J1775" i="4"/>
  <c r="J1784" i="4"/>
  <c r="J1793" i="4"/>
  <c r="J1803" i="4"/>
  <c r="J1812" i="4"/>
  <c r="J1821" i="4"/>
  <c r="J1830" i="4"/>
  <c r="J1839" i="4"/>
  <c r="J1848" i="4"/>
  <c r="J1857" i="4"/>
  <c r="J1867" i="4"/>
  <c r="J1876" i="4"/>
  <c r="J1885" i="4"/>
  <c r="J1894" i="4"/>
  <c r="J1903" i="4"/>
  <c r="J1912" i="4"/>
  <c r="J1920" i="4"/>
  <c r="J1928" i="4"/>
  <c r="J1936" i="4"/>
  <c r="J1944" i="4"/>
  <c r="J1952" i="4"/>
  <c r="J1960" i="4"/>
  <c r="J1968" i="4"/>
  <c r="J1976" i="4"/>
  <c r="J1984" i="4"/>
  <c r="J1992" i="4"/>
  <c r="J2000" i="4"/>
  <c r="J2008" i="4"/>
  <c r="J2016" i="4"/>
  <c r="J2024" i="4"/>
  <c r="J2032" i="4"/>
  <c r="J2040" i="4"/>
  <c r="J672" i="4"/>
  <c r="J747" i="4"/>
  <c r="J780" i="4"/>
  <c r="J807" i="4"/>
  <c r="J828" i="4"/>
  <c r="J853" i="4"/>
  <c r="J880" i="4"/>
  <c r="J901" i="4"/>
  <c r="J927" i="4"/>
  <c r="J953" i="4"/>
  <c r="J975" i="4"/>
  <c r="J1000" i="4"/>
  <c r="J1026" i="4"/>
  <c r="J1048" i="4"/>
  <c r="J1073" i="4"/>
  <c r="J1099" i="4"/>
  <c r="J1121" i="4"/>
  <c r="J1146" i="4"/>
  <c r="J1172" i="4"/>
  <c r="J1194" i="4"/>
  <c r="J1219" i="4"/>
  <c r="J1237" i="4"/>
  <c r="J1254" i="4"/>
  <c r="J1270" i="4"/>
  <c r="J1286" i="4"/>
  <c r="J1302" i="4"/>
  <c r="J1318" i="4"/>
  <c r="J1334" i="4"/>
  <c r="J1348" i="4"/>
  <c r="J1359" i="4"/>
  <c r="J1373" i="4"/>
  <c r="J1384" i="4"/>
  <c r="J1398" i="4"/>
  <c r="J1412" i="4"/>
  <c r="J1423" i="4"/>
  <c r="J1437" i="4"/>
  <c r="J1448" i="4"/>
  <c r="J1462" i="4"/>
  <c r="J1472" i="4"/>
  <c r="J1484" i="4"/>
  <c r="J1494" i="4"/>
  <c r="J1504" i="4"/>
  <c r="J1516" i="4"/>
  <c r="J1526" i="4"/>
  <c r="J1536" i="4"/>
  <c r="J1548" i="4"/>
  <c r="J1558" i="4"/>
  <c r="J1568" i="4"/>
  <c r="J1580" i="4"/>
  <c r="J1590" i="4"/>
  <c r="J1600" i="4"/>
  <c r="J1612" i="4"/>
  <c r="J1621" i="4"/>
  <c r="J1630" i="4"/>
  <c r="J1639" i="4"/>
  <c r="J1648" i="4"/>
  <c r="J1657" i="4"/>
  <c r="J1667" i="4"/>
  <c r="J1676" i="4"/>
  <c r="J1685" i="4"/>
  <c r="J1694" i="4"/>
  <c r="J1703" i="4"/>
  <c r="J1712" i="4"/>
  <c r="J1721" i="4"/>
  <c r="J1731" i="4"/>
  <c r="J1740" i="4"/>
  <c r="J1749" i="4"/>
  <c r="J1758" i="4"/>
  <c r="J1767" i="4"/>
  <c r="J1776" i="4"/>
  <c r="J1785" i="4"/>
  <c r="J1795" i="4"/>
  <c r="J1804" i="4"/>
  <c r="J1813" i="4"/>
  <c r="J1822" i="4"/>
  <c r="J1831" i="4"/>
  <c r="J1840" i="4"/>
  <c r="J1849" i="4"/>
  <c r="J1859" i="4"/>
  <c r="J1868" i="4"/>
  <c r="J1877" i="4"/>
  <c r="J1886" i="4"/>
  <c r="J1895" i="4"/>
  <c r="J1904" i="4"/>
  <c r="J1913" i="4"/>
  <c r="J1921" i="4"/>
  <c r="J1929" i="4"/>
  <c r="J1937" i="4"/>
  <c r="J1945" i="4"/>
  <c r="J1953" i="4"/>
  <c r="J1961" i="4"/>
  <c r="J1969" i="4"/>
  <c r="J1977" i="4"/>
  <c r="J1985" i="4"/>
  <c r="J1993" i="4"/>
  <c r="J2001" i="4"/>
  <c r="J2009" i="4"/>
  <c r="J2017" i="4"/>
  <c r="J2025" i="4"/>
  <c r="J2033" i="4"/>
  <c r="J2041" i="4"/>
  <c r="J688" i="4"/>
  <c r="J748" i="4"/>
  <c r="J783" i="4"/>
  <c r="J808" i="4"/>
  <c r="J834" i="4"/>
  <c r="J856" i="4"/>
  <c r="J881" i="4"/>
  <c r="J907" i="4"/>
  <c r="J929" i="4"/>
  <c r="J954" i="4"/>
  <c r="J980" i="4"/>
  <c r="J1002" i="4"/>
  <c r="J1027" i="4"/>
  <c r="J1053" i="4"/>
  <c r="J1075" i="4"/>
  <c r="J1100" i="4"/>
  <c r="J1127" i="4"/>
  <c r="J1148" i="4"/>
  <c r="J1173" i="4"/>
  <c r="J1200" i="4"/>
  <c r="J1220" i="4"/>
  <c r="J1239" i="4"/>
  <c r="J1255" i="4"/>
  <c r="J1271" i="4"/>
  <c r="J1287" i="4"/>
  <c r="J1303" i="4"/>
  <c r="J1319" i="4"/>
  <c r="J1335" i="4"/>
  <c r="J1349" i="4"/>
  <c r="J1360" i="4"/>
  <c r="J1374" i="4"/>
  <c r="J1388" i="4"/>
  <c r="J1399" i="4"/>
  <c r="J1413" i="4"/>
  <c r="J1424" i="4"/>
  <c r="J1438" i="4"/>
  <c r="J1452" i="4"/>
  <c r="J1463" i="4"/>
  <c r="J1475" i="4"/>
  <c r="J1485" i="4"/>
  <c r="J1495" i="4"/>
  <c r="J1507" i="4"/>
  <c r="J1517" i="4"/>
  <c r="J1527" i="4"/>
  <c r="J1539" i="4"/>
  <c r="J1549" i="4"/>
  <c r="J1559" i="4"/>
  <c r="J1571" i="4"/>
  <c r="J1581" i="4"/>
  <c r="J1591" i="4"/>
  <c r="J1603" i="4"/>
  <c r="J1613" i="4"/>
  <c r="J1622" i="4"/>
  <c r="J1631" i="4"/>
  <c r="J1640" i="4"/>
  <c r="J1649" i="4"/>
  <c r="J1659" i="4"/>
  <c r="J1668" i="4"/>
  <c r="J1677" i="4"/>
  <c r="J1686" i="4"/>
  <c r="J1695" i="4"/>
  <c r="J1704" i="4"/>
  <c r="J1713" i="4"/>
  <c r="J1723" i="4"/>
  <c r="J1732" i="4"/>
  <c r="J1741" i="4"/>
  <c r="J1750" i="4"/>
  <c r="J1759" i="4"/>
  <c r="J1768" i="4"/>
  <c r="J1777" i="4"/>
  <c r="J1787" i="4"/>
  <c r="J1796" i="4"/>
  <c r="J1805" i="4"/>
  <c r="J1814" i="4"/>
  <c r="J1823" i="4"/>
  <c r="J1832" i="4"/>
  <c r="J1841" i="4"/>
  <c r="J1851" i="4"/>
  <c r="J1860" i="4"/>
  <c r="J1869" i="4"/>
  <c r="J1878" i="4"/>
  <c r="J1887" i="4"/>
  <c r="J1896" i="4"/>
  <c r="J1905" i="4"/>
  <c r="J1914" i="4"/>
  <c r="J1922" i="4"/>
  <c r="J1930" i="4"/>
  <c r="J1938" i="4"/>
  <c r="J1946" i="4"/>
  <c r="J1954" i="4"/>
  <c r="J1962" i="4"/>
  <c r="J1970" i="4"/>
  <c r="J1978" i="4"/>
  <c r="J1986" i="4"/>
  <c r="J1994" i="4"/>
  <c r="J2002" i="4"/>
  <c r="J2010" i="4"/>
  <c r="J2018" i="4"/>
  <c r="J2026" i="4"/>
  <c r="J2034" i="4"/>
  <c r="J2042" i="4"/>
  <c r="J2050" i="4"/>
  <c r="J2058" i="4"/>
  <c r="J2066" i="4"/>
  <c r="J2074" i="4"/>
  <c r="J2082" i="4"/>
  <c r="J2090" i="4"/>
  <c r="J2098" i="4"/>
  <c r="J2106" i="4"/>
  <c r="J703" i="4"/>
  <c r="J759" i="4"/>
  <c r="J788" i="4"/>
  <c r="J810" i="4"/>
  <c r="J835" i="4"/>
  <c r="J861" i="4"/>
  <c r="J883" i="4"/>
  <c r="J908" i="4"/>
  <c r="J935" i="4"/>
  <c r="J956" i="4"/>
  <c r="J981" i="4"/>
  <c r="J1008" i="4"/>
  <c r="J1029" i="4"/>
  <c r="J1055" i="4"/>
  <c r="J1081" i="4"/>
  <c r="J1103" i="4"/>
  <c r="J1128" i="4"/>
  <c r="J1154" i="4"/>
  <c r="J1176" i="4"/>
  <c r="J1201" i="4"/>
  <c r="J1221" i="4"/>
  <c r="J1240" i="4"/>
  <c r="J1256" i="4"/>
  <c r="J1272" i="4"/>
  <c r="J1288" i="4"/>
  <c r="J1304" i="4"/>
  <c r="J1320" i="4"/>
  <c r="J1336" i="4"/>
  <c r="J1350" i="4"/>
  <c r="J1364" i="4"/>
  <c r="J1375" i="4"/>
  <c r="J1389" i="4"/>
  <c r="J1400" i="4"/>
  <c r="J1414" i="4"/>
  <c r="J1428" i="4"/>
  <c r="J1439" i="4"/>
  <c r="J1453" i="4"/>
  <c r="J1464" i="4"/>
  <c r="J1476" i="4"/>
  <c r="J1486" i="4"/>
  <c r="J1496" i="4"/>
  <c r="J1508" i="4"/>
  <c r="J1518" i="4"/>
  <c r="J1528" i="4"/>
  <c r="J1540" i="4"/>
  <c r="J1550" i="4"/>
  <c r="J1560" i="4"/>
  <c r="J1572" i="4"/>
  <c r="J1582" i="4"/>
  <c r="J1592" i="4"/>
  <c r="J1604" i="4"/>
  <c r="J1614" i="4"/>
  <c r="J1623" i="4"/>
  <c r="J1632" i="4"/>
  <c r="J1641" i="4"/>
  <c r="J1651" i="4"/>
  <c r="J1660" i="4"/>
  <c r="J1669" i="4"/>
  <c r="J1678" i="4"/>
  <c r="J1687" i="4"/>
  <c r="J1696" i="4"/>
  <c r="J1705" i="4"/>
  <c r="J1715" i="4"/>
  <c r="J1724" i="4"/>
  <c r="J1733" i="4"/>
  <c r="J1742" i="4"/>
  <c r="J1751" i="4"/>
  <c r="J1760" i="4"/>
  <c r="J1769" i="4"/>
  <c r="J1779" i="4"/>
  <c r="J1788" i="4"/>
  <c r="J1797" i="4"/>
  <c r="J1806" i="4"/>
  <c r="J1815" i="4"/>
  <c r="J1824" i="4"/>
  <c r="J1833" i="4"/>
  <c r="J1843" i="4"/>
  <c r="J1852" i="4"/>
  <c r="J1861" i="4"/>
  <c r="J1870" i="4"/>
  <c r="J1879" i="4"/>
  <c r="J1888" i="4"/>
  <c r="J1897" i="4"/>
  <c r="J1907" i="4"/>
  <c r="J1915" i="4"/>
  <c r="J1923" i="4"/>
  <c r="J1931" i="4"/>
  <c r="J1939" i="4"/>
  <c r="J1947" i="4"/>
  <c r="J1955" i="4"/>
  <c r="J1963" i="4"/>
  <c r="J1971" i="4"/>
  <c r="J1979" i="4"/>
  <c r="J1987" i="4"/>
  <c r="J1995" i="4"/>
  <c r="J2003" i="4"/>
  <c r="J2011" i="4"/>
  <c r="J2019" i="4"/>
  <c r="J2027" i="4"/>
  <c r="J2035" i="4"/>
  <c r="J2043" i="4"/>
  <c r="J2051" i="4"/>
  <c r="J2059" i="4"/>
  <c r="J2067" i="4"/>
  <c r="J2075" i="4"/>
  <c r="J2083" i="4"/>
  <c r="J2091" i="4"/>
  <c r="J704" i="4"/>
  <c r="J760" i="4"/>
  <c r="J789" i="4"/>
  <c r="J816" i="4"/>
  <c r="J837" i="4"/>
  <c r="J863" i="4"/>
  <c r="J889" i="4"/>
  <c r="J911" i="4"/>
  <c r="J936" i="4"/>
  <c r="J962" i="4"/>
  <c r="J984" i="4"/>
  <c r="J1009" i="4"/>
  <c r="J1035" i="4"/>
  <c r="J1057" i="4"/>
  <c r="J1082" i="4"/>
  <c r="J1108" i="4"/>
  <c r="J1130" i="4"/>
  <c r="J1155" i="4"/>
  <c r="J1181" i="4"/>
  <c r="J1203" i="4"/>
  <c r="J1227" i="4"/>
  <c r="J1245" i="4"/>
  <c r="J1261" i="4"/>
  <c r="J1277" i="4"/>
  <c r="J1293" i="4"/>
  <c r="J1309" i="4"/>
  <c r="J1325" i="4"/>
  <c r="J1340" i="4"/>
  <c r="J1351" i="4"/>
  <c r="J1365" i="4"/>
  <c r="J1376" i="4"/>
  <c r="J1390" i="4"/>
  <c r="J1404" i="4"/>
  <c r="J1415" i="4"/>
  <c r="J1429" i="4"/>
  <c r="J1440" i="4"/>
  <c r="J1454" i="4"/>
  <c r="J1467" i="4"/>
  <c r="J1477" i="4"/>
  <c r="J1487" i="4"/>
  <c r="J1499" i="4"/>
  <c r="J1509" i="4"/>
  <c r="J1519" i="4"/>
  <c r="J1531" i="4"/>
  <c r="J1541" i="4"/>
  <c r="J1551" i="4"/>
  <c r="J1563" i="4"/>
  <c r="J1573" i="4"/>
  <c r="J1583" i="4"/>
  <c r="J1595" i="4"/>
  <c r="J1605" i="4"/>
  <c r="J1615" i="4"/>
  <c r="J1624" i="4"/>
  <c r="J1633" i="4"/>
  <c r="J1643" i="4"/>
  <c r="J1652" i="4"/>
  <c r="J1661" i="4"/>
  <c r="J1670" i="4"/>
  <c r="J1679" i="4"/>
  <c r="J1688" i="4"/>
  <c r="J1697" i="4"/>
  <c r="J1707" i="4"/>
  <c r="J1716" i="4"/>
  <c r="J1725" i="4"/>
  <c r="J1734" i="4"/>
  <c r="J1743" i="4"/>
  <c r="J1752" i="4"/>
  <c r="J1761" i="4"/>
  <c r="J1771" i="4"/>
  <c r="J1780" i="4"/>
  <c r="J1789" i="4"/>
  <c r="J1798" i="4"/>
  <c r="J1807" i="4"/>
  <c r="J1816" i="4"/>
  <c r="J1825" i="4"/>
  <c r="J1835" i="4"/>
  <c r="J1844" i="4"/>
  <c r="J1853" i="4"/>
  <c r="J1862" i="4"/>
  <c r="J1871" i="4"/>
  <c r="J1880" i="4"/>
  <c r="J1889" i="4"/>
  <c r="J1899" i="4"/>
  <c r="J1908" i="4"/>
  <c r="J1916" i="4"/>
  <c r="J1924" i="4"/>
  <c r="J1932" i="4"/>
  <c r="J1940" i="4"/>
  <c r="J1948" i="4"/>
  <c r="J1956" i="4"/>
  <c r="J1964" i="4"/>
  <c r="J1972" i="4"/>
  <c r="J1980" i="4"/>
  <c r="J1988" i="4"/>
  <c r="J1996" i="4"/>
  <c r="J2004" i="4"/>
  <c r="J2012" i="4"/>
  <c r="J2020" i="4"/>
  <c r="J2028" i="4"/>
  <c r="J2036" i="4"/>
  <c r="J2044" i="4"/>
  <c r="J719" i="4"/>
  <c r="J770" i="4"/>
  <c r="J792" i="4"/>
  <c r="J817" i="4"/>
  <c r="J843" i="4"/>
  <c r="J865" i="4"/>
  <c r="J890" i="4"/>
  <c r="J916" i="4"/>
  <c r="J938" i="4"/>
  <c r="J963" i="4"/>
  <c r="J989" i="4"/>
  <c r="J1011" i="4"/>
  <c r="J1036" i="4"/>
  <c r="J1063" i="4"/>
  <c r="J1084" i="4"/>
  <c r="J1109" i="4"/>
  <c r="J1136" i="4"/>
  <c r="J1157" i="4"/>
  <c r="J1183" i="4"/>
  <c r="J1209" i="4"/>
  <c r="J1228" i="4"/>
  <c r="J1246" i="4"/>
  <c r="J1262" i="4"/>
  <c r="J1278" i="4"/>
  <c r="J1294" i="4"/>
  <c r="J1310" i="4"/>
  <c r="J1326" i="4"/>
  <c r="J1341" i="4"/>
  <c r="J1352" i="4"/>
  <c r="J1366" i="4"/>
  <c r="J1380" i="4"/>
  <c r="J1391" i="4"/>
  <c r="J1405" i="4"/>
  <c r="J1416" i="4"/>
  <c r="J1430" i="4"/>
  <c r="J1444" i="4"/>
  <c r="J1455" i="4"/>
  <c r="J1468" i="4"/>
  <c r="J1478" i="4"/>
  <c r="J1488" i="4"/>
  <c r="J1500" i="4"/>
  <c r="J1510" i="4"/>
  <c r="J1520" i="4"/>
  <c r="J1532" i="4"/>
  <c r="J1542" i="4"/>
  <c r="J1552" i="4"/>
  <c r="J1564" i="4"/>
  <c r="J1574" i="4"/>
  <c r="J1584" i="4"/>
  <c r="J1596" i="4"/>
  <c r="J1606" i="4"/>
  <c r="J1616" i="4"/>
  <c r="J1625" i="4"/>
  <c r="J1635" i="4"/>
  <c r="J1644" i="4"/>
  <c r="J1653" i="4"/>
  <c r="J1662" i="4"/>
  <c r="J1671" i="4"/>
  <c r="J1680" i="4"/>
  <c r="J1689" i="4"/>
  <c r="J1699" i="4"/>
  <c r="J1708" i="4"/>
  <c r="J1717" i="4"/>
  <c r="J1726" i="4"/>
  <c r="J1735" i="4"/>
  <c r="J1744" i="4"/>
  <c r="J1753" i="4"/>
  <c r="J1763" i="4"/>
  <c r="J1772" i="4"/>
  <c r="J1781" i="4"/>
  <c r="J1790" i="4"/>
  <c r="J1799" i="4"/>
  <c r="J1808" i="4"/>
  <c r="J1817" i="4"/>
  <c r="J1827" i="4"/>
  <c r="J1836" i="4"/>
  <c r="J1845" i="4"/>
  <c r="J1854" i="4"/>
  <c r="J1863" i="4"/>
  <c r="J1872" i="4"/>
  <c r="J1881" i="4"/>
  <c r="J1891" i="4"/>
  <c r="J1900" i="4"/>
  <c r="J1909" i="4"/>
  <c r="J1917" i="4"/>
  <c r="J1925" i="4"/>
  <c r="J1933" i="4"/>
  <c r="J1941" i="4"/>
  <c r="J1949" i="4"/>
  <c r="J1957" i="4"/>
  <c r="J1965" i="4"/>
  <c r="J1973" i="4"/>
  <c r="J1981" i="4"/>
  <c r="J1989" i="4"/>
  <c r="J1997" i="4"/>
  <c r="J2005" i="4"/>
  <c r="J2013" i="4"/>
  <c r="J2021" i="4"/>
  <c r="J2029" i="4"/>
  <c r="J2037" i="4"/>
  <c r="J2045" i="4"/>
  <c r="J2053" i="4"/>
  <c r="J2061" i="4"/>
  <c r="J2069" i="4"/>
  <c r="J2077" i="4"/>
  <c r="J2085" i="4"/>
  <c r="J2093" i="4"/>
  <c r="J2101" i="4"/>
  <c r="J2063" i="4"/>
  <c r="J2079" i="4"/>
  <c r="J2094" i="4"/>
  <c r="J2104" i="4"/>
  <c r="J2048" i="4"/>
  <c r="J2064" i="4"/>
  <c r="J2080" i="4"/>
  <c r="J2095" i="4"/>
  <c r="J2105" i="4"/>
  <c r="J2049" i="4"/>
  <c r="J2065" i="4"/>
  <c r="J2081" i="4"/>
  <c r="J2096" i="4"/>
  <c r="J2107" i="4"/>
  <c r="J2052" i="4"/>
  <c r="J2068" i="4"/>
  <c r="J2084" i="4"/>
  <c r="J2097" i="4"/>
  <c r="J2055" i="4"/>
  <c r="J2071" i="4"/>
  <c r="J2087" i="4"/>
  <c r="J2099" i="4"/>
  <c r="J2056" i="4"/>
  <c r="J2072" i="4"/>
  <c r="J2088" i="4"/>
  <c r="J2100" i="4"/>
  <c r="J2057" i="4"/>
  <c r="J2073" i="4"/>
  <c r="J2089" i="4"/>
  <c r="J2102" i="4"/>
  <c r="J2060" i="4"/>
  <c r="J2076" i="4"/>
  <c r="J2092" i="4"/>
  <c r="J2103" i="4"/>
  <c r="O527" i="3"/>
  <c r="O535" i="3"/>
  <c r="O543" i="3"/>
  <c r="O551" i="3"/>
  <c r="O559" i="3"/>
  <c r="O567" i="3"/>
  <c r="O575" i="3"/>
  <c r="O583" i="3"/>
  <c r="O591" i="3"/>
  <c r="O599" i="3"/>
  <c r="O607" i="3"/>
  <c r="O615" i="3"/>
  <c r="O623" i="3"/>
  <c r="O631" i="3"/>
  <c r="O639" i="3"/>
  <c r="O647" i="3"/>
  <c r="O655" i="3"/>
  <c r="O663" i="3"/>
  <c r="O671" i="3"/>
  <c r="O679" i="3"/>
  <c r="O687" i="3"/>
  <c r="O695" i="3"/>
  <c r="O703" i="3"/>
  <c r="O711" i="3"/>
  <c r="O719" i="3"/>
  <c r="O727" i="3"/>
  <c r="O735" i="3"/>
  <c r="O743" i="3"/>
  <c r="O751" i="3"/>
  <c r="O759" i="3"/>
  <c r="O767" i="3"/>
  <c r="O775" i="3"/>
  <c r="O783" i="3"/>
  <c r="O791" i="3"/>
  <c r="O799" i="3"/>
  <c r="O807" i="3"/>
  <c r="O815" i="3"/>
  <c r="O823" i="3"/>
  <c r="O831" i="3"/>
  <c r="O839" i="3"/>
  <c r="O847" i="3"/>
  <c r="O855" i="3"/>
  <c r="O863" i="3"/>
  <c r="O871" i="3"/>
  <c r="O879" i="3"/>
  <c r="O887" i="3"/>
  <c r="O895" i="3"/>
  <c r="O903" i="3"/>
  <c r="O911" i="3"/>
  <c r="O919" i="3"/>
  <c r="O927" i="3"/>
  <c r="O935" i="3"/>
  <c r="O943" i="3"/>
  <c r="O951" i="3"/>
  <c r="O959" i="3"/>
  <c r="O967" i="3"/>
  <c r="O975" i="3"/>
  <c r="O983" i="3"/>
  <c r="O991" i="3"/>
  <c r="O999" i="3"/>
  <c r="O1007" i="3"/>
  <c r="O1015" i="3"/>
  <c r="O1023" i="3"/>
  <c r="O1031" i="3"/>
  <c r="O1039" i="3"/>
  <c r="O1047" i="3"/>
  <c r="O1055" i="3"/>
  <c r="O1063" i="3"/>
  <c r="O1071" i="3"/>
  <c r="O1079" i="3"/>
  <c r="O1087" i="3"/>
  <c r="O1095" i="3"/>
  <c r="O1103" i="3"/>
  <c r="O1111" i="3"/>
  <c r="O1119" i="3"/>
  <c r="O1127" i="3"/>
  <c r="O1135" i="3"/>
  <c r="O1143" i="3"/>
  <c r="O1151" i="3"/>
  <c r="O1159" i="3"/>
  <c r="O1167" i="3"/>
  <c r="O1175" i="3"/>
  <c r="O1183" i="3"/>
  <c r="O1191" i="3"/>
  <c r="O1199" i="3"/>
  <c r="O1207" i="3"/>
  <c r="O1215" i="3"/>
  <c r="O1223" i="3"/>
  <c r="O1231" i="3"/>
  <c r="O1239" i="3"/>
  <c r="O1247" i="3"/>
  <c r="O1255" i="3"/>
  <c r="O1263" i="3"/>
  <c r="O1271" i="3"/>
  <c r="O1279" i="3"/>
  <c r="O1287" i="3"/>
  <c r="O1295" i="3"/>
  <c r="O1303" i="3"/>
  <c r="O1311" i="3"/>
  <c r="O1319" i="3"/>
  <c r="O1327" i="3"/>
  <c r="O1335" i="3"/>
  <c r="O1343" i="3"/>
  <c r="O1351" i="3"/>
  <c r="O1359" i="3"/>
  <c r="O1367" i="3"/>
  <c r="O1375" i="3"/>
  <c r="O1383" i="3"/>
  <c r="O1391" i="3"/>
  <c r="O1399" i="3"/>
  <c r="O1407" i="3"/>
  <c r="O1415" i="3"/>
  <c r="O1423" i="3"/>
  <c r="O1431" i="3"/>
  <c r="O1439" i="3"/>
  <c r="O1447" i="3"/>
  <c r="O1455" i="3"/>
  <c r="O1463" i="3"/>
  <c r="O1471" i="3"/>
  <c r="O1479" i="3"/>
  <c r="O1487" i="3"/>
  <c r="O1495" i="3"/>
  <c r="O1503" i="3"/>
  <c r="O1511" i="3"/>
  <c r="O1519" i="3"/>
  <c r="O1527" i="3"/>
  <c r="O1535" i="3"/>
  <c r="O1543" i="3"/>
  <c r="O1551" i="3"/>
  <c r="O1559" i="3"/>
  <c r="O1567" i="3"/>
  <c r="O1575" i="3"/>
  <c r="O1583" i="3"/>
  <c r="O1591" i="3"/>
  <c r="O1599" i="3"/>
  <c r="O1607" i="3"/>
  <c r="O1615" i="3"/>
  <c r="O1623" i="3"/>
  <c r="O1631" i="3"/>
  <c r="O1639" i="3"/>
  <c r="O1647" i="3"/>
  <c r="O1655" i="3"/>
  <c r="O1663" i="3"/>
  <c r="O1671" i="3"/>
  <c r="O1679" i="3"/>
  <c r="O1687" i="3"/>
  <c r="O1695" i="3"/>
  <c r="O1703" i="3"/>
  <c r="O1711" i="3"/>
  <c r="O1719" i="3"/>
  <c r="O1727" i="3"/>
  <c r="O1735" i="3"/>
  <c r="O1743" i="3"/>
  <c r="O1751" i="3"/>
  <c r="O1759" i="3"/>
  <c r="O1767" i="3"/>
  <c r="O1775" i="3"/>
  <c r="O1783" i="3"/>
  <c r="O1791" i="3"/>
  <c r="O1799" i="3"/>
  <c r="O1807" i="3"/>
  <c r="O1815" i="3"/>
  <c r="O1823" i="3"/>
  <c r="O1831" i="3"/>
  <c r="O1839" i="3"/>
  <c r="O520" i="3"/>
  <c r="O528" i="3"/>
  <c r="O536" i="3"/>
  <c r="O544" i="3"/>
  <c r="O552" i="3"/>
  <c r="O560" i="3"/>
  <c r="O568" i="3"/>
  <c r="O576" i="3"/>
  <c r="O584" i="3"/>
  <c r="O592" i="3"/>
  <c r="O600" i="3"/>
  <c r="O608" i="3"/>
  <c r="O616" i="3"/>
  <c r="O624" i="3"/>
  <c r="O632" i="3"/>
  <c r="O640" i="3"/>
  <c r="O648" i="3"/>
  <c r="O656" i="3"/>
  <c r="O664" i="3"/>
  <c r="O672" i="3"/>
  <c r="O680" i="3"/>
  <c r="O688" i="3"/>
  <c r="O696" i="3"/>
  <c r="O704" i="3"/>
  <c r="O712" i="3"/>
  <c r="O720" i="3"/>
  <c r="O728" i="3"/>
  <c r="O736" i="3"/>
  <c r="O744" i="3"/>
  <c r="O752" i="3"/>
  <c r="O760" i="3"/>
  <c r="O768" i="3"/>
  <c r="O776" i="3"/>
  <c r="O784" i="3"/>
  <c r="O792" i="3"/>
  <c r="O800" i="3"/>
  <c r="O808" i="3"/>
  <c r="O816" i="3"/>
  <c r="O824" i="3"/>
  <c r="O832" i="3"/>
  <c r="O840" i="3"/>
  <c r="O848" i="3"/>
  <c r="O856" i="3"/>
  <c r="O864" i="3"/>
  <c r="O872" i="3"/>
  <c r="O880" i="3"/>
  <c r="O888" i="3"/>
  <c r="O896" i="3"/>
  <c r="O904" i="3"/>
  <c r="O912" i="3"/>
  <c r="O920" i="3"/>
  <c r="O928" i="3"/>
  <c r="O936" i="3"/>
  <c r="O944" i="3"/>
  <c r="O952" i="3"/>
  <c r="O960" i="3"/>
  <c r="O968" i="3"/>
  <c r="O976" i="3"/>
  <c r="O984" i="3"/>
  <c r="O992" i="3"/>
  <c r="O1000" i="3"/>
  <c r="O1008" i="3"/>
  <c r="O1016" i="3"/>
  <c r="O1024" i="3"/>
  <c r="O1032" i="3"/>
  <c r="O1040" i="3"/>
  <c r="O1048" i="3"/>
  <c r="O1056" i="3"/>
  <c r="O1064" i="3"/>
  <c r="O1072" i="3"/>
  <c r="O1080" i="3"/>
  <c r="O1088" i="3"/>
  <c r="O1096" i="3"/>
  <c r="O1104" i="3"/>
  <c r="O1112" i="3"/>
  <c r="O1120" i="3"/>
  <c r="O1128" i="3"/>
  <c r="O1136" i="3"/>
  <c r="O1144" i="3"/>
  <c r="O1152" i="3"/>
  <c r="O1160" i="3"/>
  <c r="O1168" i="3"/>
  <c r="O1176" i="3"/>
  <c r="O1184" i="3"/>
  <c r="O1192" i="3"/>
  <c r="O1200" i="3"/>
  <c r="O1208" i="3"/>
  <c r="O1216" i="3"/>
  <c r="O1224" i="3"/>
  <c r="O1232" i="3"/>
  <c r="O1240" i="3"/>
  <c r="O1248" i="3"/>
  <c r="O1256" i="3"/>
  <c r="O1264" i="3"/>
  <c r="O1272" i="3"/>
  <c r="O1280" i="3"/>
  <c r="O1288" i="3"/>
  <c r="O1296" i="3"/>
  <c r="O1304" i="3"/>
  <c r="O1312" i="3"/>
  <c r="O1320" i="3"/>
  <c r="O1328" i="3"/>
  <c r="O1336" i="3"/>
  <c r="O1344" i="3"/>
  <c r="O1352" i="3"/>
  <c r="O1360" i="3"/>
  <c r="O1368" i="3"/>
  <c r="O1376" i="3"/>
  <c r="O1384" i="3"/>
  <c r="O1392" i="3"/>
  <c r="O1400" i="3"/>
  <c r="O1408" i="3"/>
  <c r="O1416" i="3"/>
  <c r="O1424" i="3"/>
  <c r="O1432" i="3"/>
  <c r="O1440" i="3"/>
  <c r="O1448" i="3"/>
  <c r="O1456" i="3"/>
  <c r="O1464" i="3"/>
  <c r="O1472" i="3"/>
  <c r="O1480" i="3"/>
  <c r="O1488" i="3"/>
  <c r="O1496" i="3"/>
  <c r="O1504" i="3"/>
  <c r="O1512" i="3"/>
  <c r="O1520" i="3"/>
  <c r="O1528" i="3"/>
  <c r="O1536" i="3"/>
  <c r="O1544" i="3"/>
  <c r="O521" i="3"/>
  <c r="O529" i="3"/>
  <c r="O537" i="3"/>
  <c r="O545" i="3"/>
  <c r="O553" i="3"/>
  <c r="O561" i="3"/>
  <c r="O569" i="3"/>
  <c r="O577" i="3"/>
  <c r="O585" i="3"/>
  <c r="O593" i="3"/>
  <c r="O601" i="3"/>
  <c r="O609" i="3"/>
  <c r="O617" i="3"/>
  <c r="O625" i="3"/>
  <c r="O633" i="3"/>
  <c r="O641" i="3"/>
  <c r="O649" i="3"/>
  <c r="O657" i="3"/>
  <c r="O665" i="3"/>
  <c r="O673" i="3"/>
  <c r="O681" i="3"/>
  <c r="O689" i="3"/>
  <c r="O697" i="3"/>
  <c r="O705" i="3"/>
  <c r="O713" i="3"/>
  <c r="O721" i="3"/>
  <c r="O729" i="3"/>
  <c r="O737" i="3"/>
  <c r="O745" i="3"/>
  <c r="O753" i="3"/>
  <c r="O761" i="3"/>
  <c r="O769" i="3"/>
  <c r="O777" i="3"/>
  <c r="O785" i="3"/>
  <c r="O793" i="3"/>
  <c r="O801" i="3"/>
  <c r="O809" i="3"/>
  <c r="O817" i="3"/>
  <c r="O825" i="3"/>
  <c r="O833" i="3"/>
  <c r="O841" i="3"/>
  <c r="O849" i="3"/>
  <c r="O857" i="3"/>
  <c r="O865" i="3"/>
  <c r="O873" i="3"/>
  <c r="O881" i="3"/>
  <c r="O889" i="3"/>
  <c r="O897" i="3"/>
  <c r="O905" i="3"/>
  <c r="O913" i="3"/>
  <c r="O921" i="3"/>
  <c r="O929" i="3"/>
  <c r="O937" i="3"/>
  <c r="O945" i="3"/>
  <c r="O953" i="3"/>
  <c r="O961" i="3"/>
  <c r="O969" i="3"/>
  <c r="O977" i="3"/>
  <c r="O985" i="3"/>
  <c r="O993" i="3"/>
  <c r="O1001" i="3"/>
  <c r="O1009" i="3"/>
  <c r="O1017" i="3"/>
  <c r="O1025" i="3"/>
  <c r="O1033" i="3"/>
  <c r="O1041" i="3"/>
  <c r="O1049" i="3"/>
  <c r="O1057" i="3"/>
  <c r="O1065" i="3"/>
  <c r="O1073" i="3"/>
  <c r="O1081" i="3"/>
  <c r="O1089" i="3"/>
  <c r="O1097" i="3"/>
  <c r="O1105" i="3"/>
  <c r="O1113" i="3"/>
  <c r="O1121" i="3"/>
  <c r="O1129" i="3"/>
  <c r="O1137" i="3"/>
  <c r="O1145" i="3"/>
  <c r="O1153" i="3"/>
  <c r="O1161" i="3"/>
  <c r="O1169" i="3"/>
  <c r="O1177" i="3"/>
  <c r="O1185" i="3"/>
  <c r="O1193" i="3"/>
  <c r="O1201" i="3"/>
  <c r="O1209" i="3"/>
  <c r="O1217" i="3"/>
  <c r="O1225" i="3"/>
  <c r="O1233" i="3"/>
  <c r="O1241" i="3"/>
  <c r="O1249" i="3"/>
  <c r="O1257" i="3"/>
  <c r="O1265" i="3"/>
  <c r="O1273" i="3"/>
  <c r="O1281" i="3"/>
  <c r="O1289" i="3"/>
  <c r="O1297" i="3"/>
  <c r="O1305" i="3"/>
  <c r="O1313" i="3"/>
  <c r="O1321" i="3"/>
  <c r="O1329" i="3"/>
  <c r="O1337" i="3"/>
  <c r="O1345" i="3"/>
  <c r="O1353" i="3"/>
  <c r="O1361" i="3"/>
  <c r="O1369" i="3"/>
  <c r="O1377" i="3"/>
  <c r="O1385" i="3"/>
  <c r="O1393" i="3"/>
  <c r="O1401" i="3"/>
  <c r="O1409" i="3"/>
  <c r="O1417" i="3"/>
  <c r="O1425" i="3"/>
  <c r="O1433" i="3"/>
  <c r="O1441" i="3"/>
  <c r="O1449" i="3"/>
  <c r="O1457" i="3"/>
  <c r="O1465" i="3"/>
  <c r="O1473" i="3"/>
  <c r="O1481" i="3"/>
  <c r="O1489" i="3"/>
  <c r="O1497" i="3"/>
  <c r="O1505" i="3"/>
  <c r="O1513" i="3"/>
  <c r="O1521" i="3"/>
  <c r="O1529" i="3"/>
  <c r="O1537" i="3"/>
  <c r="O1545" i="3"/>
  <c r="O1553" i="3"/>
  <c r="O1561" i="3"/>
  <c r="O1569" i="3"/>
  <c r="O1577" i="3"/>
  <c r="O1585" i="3"/>
  <c r="O1593" i="3"/>
  <c r="O1601" i="3"/>
  <c r="O1609" i="3"/>
  <c r="O1617" i="3"/>
  <c r="O1625" i="3"/>
  <c r="O522" i="3"/>
  <c r="O530" i="3"/>
  <c r="O538" i="3"/>
  <c r="O546" i="3"/>
  <c r="O554" i="3"/>
  <c r="O562" i="3"/>
  <c r="O570" i="3"/>
  <c r="O578" i="3"/>
  <c r="O586" i="3"/>
  <c r="O594" i="3"/>
  <c r="O602" i="3"/>
  <c r="O610" i="3"/>
  <c r="O618" i="3"/>
  <c r="O626" i="3"/>
  <c r="O634" i="3"/>
  <c r="O642" i="3"/>
  <c r="O650" i="3"/>
  <c r="O658" i="3"/>
  <c r="O666" i="3"/>
  <c r="O674" i="3"/>
  <c r="O682" i="3"/>
  <c r="O690" i="3"/>
  <c r="O698" i="3"/>
  <c r="O706" i="3"/>
  <c r="O714" i="3"/>
  <c r="O722" i="3"/>
  <c r="O730" i="3"/>
  <c r="O738" i="3"/>
  <c r="O746" i="3"/>
  <c r="O754" i="3"/>
  <c r="O762" i="3"/>
  <c r="O770" i="3"/>
  <c r="O778" i="3"/>
  <c r="O786" i="3"/>
  <c r="O794" i="3"/>
  <c r="O802" i="3"/>
  <c r="O810" i="3"/>
  <c r="O818" i="3"/>
  <c r="O826" i="3"/>
  <c r="O834" i="3"/>
  <c r="O842" i="3"/>
  <c r="O850" i="3"/>
  <c r="O858" i="3"/>
  <c r="O866" i="3"/>
  <c r="O874" i="3"/>
  <c r="O882" i="3"/>
  <c r="O890" i="3"/>
  <c r="O898" i="3"/>
  <c r="O906" i="3"/>
  <c r="O914" i="3"/>
  <c r="O922" i="3"/>
  <c r="O930" i="3"/>
  <c r="O938" i="3"/>
  <c r="O946" i="3"/>
  <c r="O954" i="3"/>
  <c r="O962" i="3"/>
  <c r="O970" i="3"/>
  <c r="O978" i="3"/>
  <c r="O986" i="3"/>
  <c r="O994" i="3"/>
  <c r="O1002" i="3"/>
  <c r="O1010" i="3"/>
  <c r="O1018" i="3"/>
  <c r="O1026" i="3"/>
  <c r="O1034" i="3"/>
  <c r="O1042" i="3"/>
  <c r="O1050" i="3"/>
  <c r="O1058" i="3"/>
  <c r="O1066" i="3"/>
  <c r="O1074" i="3"/>
  <c r="O1082" i="3"/>
  <c r="O1090" i="3"/>
  <c r="O1098" i="3"/>
  <c r="O1106" i="3"/>
  <c r="O1114" i="3"/>
  <c r="O1122" i="3"/>
  <c r="O1130" i="3"/>
  <c r="O1138" i="3"/>
  <c r="O1146" i="3"/>
  <c r="O1154" i="3"/>
  <c r="O1162" i="3"/>
  <c r="O1170" i="3"/>
  <c r="O1178" i="3"/>
  <c r="O1186" i="3"/>
  <c r="O1194" i="3"/>
  <c r="O1202" i="3"/>
  <c r="O1210" i="3"/>
  <c r="O1218" i="3"/>
  <c r="O1226" i="3"/>
  <c r="O1234" i="3"/>
  <c r="O1242" i="3"/>
  <c r="O1250" i="3"/>
  <c r="O1258" i="3"/>
  <c r="O1266" i="3"/>
  <c r="O1274" i="3"/>
  <c r="O1282" i="3"/>
  <c r="O1290" i="3"/>
  <c r="O1298" i="3"/>
  <c r="O1306" i="3"/>
  <c r="O1314" i="3"/>
  <c r="O1322" i="3"/>
  <c r="O1330" i="3"/>
  <c r="O1338" i="3"/>
  <c r="O1346" i="3"/>
  <c r="O1354" i="3"/>
  <c r="O1362" i="3"/>
  <c r="O1370" i="3"/>
  <c r="O1378" i="3"/>
  <c r="O1386" i="3"/>
  <c r="O1394" i="3"/>
  <c r="O1402" i="3"/>
  <c r="O1410" i="3"/>
  <c r="O1418" i="3"/>
  <c r="O1426" i="3"/>
  <c r="O1434" i="3"/>
  <c r="O1442" i="3"/>
  <c r="O1450" i="3"/>
  <c r="O1458" i="3"/>
  <c r="O1466" i="3"/>
  <c r="O1474" i="3"/>
  <c r="O1482" i="3"/>
  <c r="O1490" i="3"/>
  <c r="O1498" i="3"/>
  <c r="O1506" i="3"/>
  <c r="O1514" i="3"/>
  <c r="O1522" i="3"/>
  <c r="O1530" i="3"/>
  <c r="O1538" i="3"/>
  <c r="O1546" i="3"/>
  <c r="O1554" i="3"/>
  <c r="O1562" i="3"/>
  <c r="O1570" i="3"/>
  <c r="O1578" i="3"/>
  <c r="O1586" i="3"/>
  <c r="O1594" i="3"/>
  <c r="O1602" i="3"/>
  <c r="O1610" i="3"/>
  <c r="O1618" i="3"/>
  <c r="O1626" i="3"/>
  <c r="O1634" i="3"/>
  <c r="O1642" i="3"/>
  <c r="O1650" i="3"/>
  <c r="O1658" i="3"/>
  <c r="O1666" i="3"/>
  <c r="O1674" i="3"/>
  <c r="O1682" i="3"/>
  <c r="O1690" i="3"/>
  <c r="O1698" i="3"/>
  <c r="O1706" i="3"/>
  <c r="O1714" i="3"/>
  <c r="O1722" i="3"/>
  <c r="O1730" i="3"/>
  <c r="O1738" i="3"/>
  <c r="O1746" i="3"/>
  <c r="O1754" i="3"/>
  <c r="O1762" i="3"/>
  <c r="O1770" i="3"/>
  <c r="O1778" i="3"/>
  <c r="O1786" i="3"/>
  <c r="O1794" i="3"/>
  <c r="O1802" i="3"/>
  <c r="O1810" i="3"/>
  <c r="O1818" i="3"/>
  <c r="O1826" i="3"/>
  <c r="O1834" i="3"/>
  <c r="O1842" i="3"/>
  <c r="O1850" i="3"/>
  <c r="O523" i="3"/>
  <c r="O531" i="3"/>
  <c r="O539" i="3"/>
  <c r="O547" i="3"/>
  <c r="O555" i="3"/>
  <c r="O563" i="3"/>
  <c r="O571" i="3"/>
  <c r="O579" i="3"/>
  <c r="O587" i="3"/>
  <c r="O595" i="3"/>
  <c r="O603" i="3"/>
  <c r="O611" i="3"/>
  <c r="O619" i="3"/>
  <c r="O627" i="3"/>
  <c r="O635" i="3"/>
  <c r="O643" i="3"/>
  <c r="O651" i="3"/>
  <c r="O659" i="3"/>
  <c r="O667" i="3"/>
  <c r="O675" i="3"/>
  <c r="O683" i="3"/>
  <c r="O691" i="3"/>
  <c r="O699" i="3"/>
  <c r="O707" i="3"/>
  <c r="O715" i="3"/>
  <c r="O723" i="3"/>
  <c r="O731" i="3"/>
  <c r="O739" i="3"/>
  <c r="O747" i="3"/>
  <c r="O755" i="3"/>
  <c r="O763" i="3"/>
  <c r="O771" i="3"/>
  <c r="O779" i="3"/>
  <c r="O787" i="3"/>
  <c r="O795" i="3"/>
  <c r="O803" i="3"/>
  <c r="O811" i="3"/>
  <c r="O819" i="3"/>
  <c r="O827" i="3"/>
  <c r="O835" i="3"/>
  <c r="O843" i="3"/>
  <c r="O851" i="3"/>
  <c r="O859" i="3"/>
  <c r="O867" i="3"/>
  <c r="O875" i="3"/>
  <c r="O883" i="3"/>
  <c r="O891" i="3"/>
  <c r="O899" i="3"/>
  <c r="O907" i="3"/>
  <c r="O915" i="3"/>
  <c r="O923" i="3"/>
  <c r="O931" i="3"/>
  <c r="O939" i="3"/>
  <c r="O947" i="3"/>
  <c r="O955" i="3"/>
  <c r="O963" i="3"/>
  <c r="O971" i="3"/>
  <c r="O979" i="3"/>
  <c r="O987" i="3"/>
  <c r="O995" i="3"/>
  <c r="O1003" i="3"/>
  <c r="O1011" i="3"/>
  <c r="O1019" i="3"/>
  <c r="O1027" i="3"/>
  <c r="O1035" i="3"/>
  <c r="O1043" i="3"/>
  <c r="O1051" i="3"/>
  <c r="O1059" i="3"/>
  <c r="O1067" i="3"/>
  <c r="O1075" i="3"/>
  <c r="O1083" i="3"/>
  <c r="O1091" i="3"/>
  <c r="O1099" i="3"/>
  <c r="O1107" i="3"/>
  <c r="O1115" i="3"/>
  <c r="O1123" i="3"/>
  <c r="O1131" i="3"/>
  <c r="O1139" i="3"/>
  <c r="O1147" i="3"/>
  <c r="O1155" i="3"/>
  <c r="O1163" i="3"/>
  <c r="O1171" i="3"/>
  <c r="O1179" i="3"/>
  <c r="O1187" i="3"/>
  <c r="O1195" i="3"/>
  <c r="O1203" i="3"/>
  <c r="O1211" i="3"/>
  <c r="O1219" i="3"/>
  <c r="O1227" i="3"/>
  <c r="O1235" i="3"/>
  <c r="O1243" i="3"/>
  <c r="O1251" i="3"/>
  <c r="O1259" i="3"/>
  <c r="O1267" i="3"/>
  <c r="O1275" i="3"/>
  <c r="O1283" i="3"/>
  <c r="O1291" i="3"/>
  <c r="O1299" i="3"/>
  <c r="O1307" i="3"/>
  <c r="O1315" i="3"/>
  <c r="O1323" i="3"/>
  <c r="O1331" i="3"/>
  <c r="O1339" i="3"/>
  <c r="O1347" i="3"/>
  <c r="O1355" i="3"/>
  <c r="O1363" i="3"/>
  <c r="O1371" i="3"/>
  <c r="O1379" i="3"/>
  <c r="O1387" i="3"/>
  <c r="O1395" i="3"/>
  <c r="O1403" i="3"/>
  <c r="O1411" i="3"/>
  <c r="O1419" i="3"/>
  <c r="O1427" i="3"/>
  <c r="O1435" i="3"/>
  <c r="O1443" i="3"/>
  <c r="O1451" i="3"/>
  <c r="O1459" i="3"/>
  <c r="O1467" i="3"/>
  <c r="O1475" i="3"/>
  <c r="O1483" i="3"/>
  <c r="O1491" i="3"/>
  <c r="O1499" i="3"/>
  <c r="O1507" i="3"/>
  <c r="O1515" i="3"/>
  <c r="O1523" i="3"/>
  <c r="O1531" i="3"/>
  <c r="O1539" i="3"/>
  <c r="O1547" i="3"/>
  <c r="O1555" i="3"/>
  <c r="O1563" i="3"/>
  <c r="O1571" i="3"/>
  <c r="O1579" i="3"/>
  <c r="O1587" i="3"/>
  <c r="O1595" i="3"/>
  <c r="O1603" i="3"/>
  <c r="O1611" i="3"/>
  <c r="O1619" i="3"/>
  <c r="O1627" i="3"/>
  <c r="O1635" i="3"/>
  <c r="O1643" i="3"/>
  <c r="O1651" i="3"/>
  <c r="O1659" i="3"/>
  <c r="O1667" i="3"/>
  <c r="O1675" i="3"/>
  <c r="O1683" i="3"/>
  <c r="O1691" i="3"/>
  <c r="O1699" i="3"/>
  <c r="O1707" i="3"/>
  <c r="O1715" i="3"/>
  <c r="O1723" i="3"/>
  <c r="O1731" i="3"/>
  <c r="O1739" i="3"/>
  <c r="O1747" i="3"/>
  <c r="O1755" i="3"/>
  <c r="O1763" i="3"/>
  <c r="O1771" i="3"/>
  <c r="O1779" i="3"/>
  <c r="O1787" i="3"/>
  <c r="O1795" i="3"/>
  <c r="O1803" i="3"/>
  <c r="O1811" i="3"/>
  <c r="O1819" i="3"/>
  <c r="O1827" i="3"/>
  <c r="O1835" i="3"/>
  <c r="O1843" i="3"/>
  <c r="O1851" i="3"/>
  <c r="O524" i="3"/>
  <c r="O532" i="3"/>
  <c r="O540" i="3"/>
  <c r="O548" i="3"/>
  <c r="O556" i="3"/>
  <c r="O564" i="3"/>
  <c r="O572" i="3"/>
  <c r="O580" i="3"/>
  <c r="O588" i="3"/>
  <c r="O596" i="3"/>
  <c r="O604" i="3"/>
  <c r="O612" i="3"/>
  <c r="O620" i="3"/>
  <c r="O628" i="3"/>
  <c r="O636" i="3"/>
  <c r="O644" i="3"/>
  <c r="O652" i="3"/>
  <c r="O660" i="3"/>
  <c r="O668" i="3"/>
  <c r="O676" i="3"/>
  <c r="O684" i="3"/>
  <c r="O692" i="3"/>
  <c r="O700" i="3"/>
  <c r="O708" i="3"/>
  <c r="O716" i="3"/>
  <c r="O724" i="3"/>
  <c r="O732" i="3"/>
  <c r="O740" i="3"/>
  <c r="O748" i="3"/>
  <c r="O756" i="3"/>
  <c r="O764" i="3"/>
  <c r="O772" i="3"/>
  <c r="O780" i="3"/>
  <c r="O788" i="3"/>
  <c r="O796" i="3"/>
  <c r="O804" i="3"/>
  <c r="O812" i="3"/>
  <c r="O820" i="3"/>
  <c r="O828" i="3"/>
  <c r="O836" i="3"/>
  <c r="O844" i="3"/>
  <c r="O852" i="3"/>
  <c r="O860" i="3"/>
  <c r="O868" i="3"/>
  <c r="O876" i="3"/>
  <c r="O884" i="3"/>
  <c r="O892" i="3"/>
  <c r="O900" i="3"/>
  <c r="O908" i="3"/>
  <c r="O916" i="3"/>
  <c r="O924" i="3"/>
  <c r="O932" i="3"/>
  <c r="O940" i="3"/>
  <c r="O948" i="3"/>
  <c r="O956" i="3"/>
  <c r="O964" i="3"/>
  <c r="O972" i="3"/>
  <c r="O980" i="3"/>
  <c r="O988" i="3"/>
  <c r="O996" i="3"/>
  <c r="O1004" i="3"/>
  <c r="O1012" i="3"/>
  <c r="O1020" i="3"/>
  <c r="O1028" i="3"/>
  <c r="O1036" i="3"/>
  <c r="O1044" i="3"/>
  <c r="O1052" i="3"/>
  <c r="O1060" i="3"/>
  <c r="O1068" i="3"/>
  <c r="O1076" i="3"/>
  <c r="O1084" i="3"/>
  <c r="O1092" i="3"/>
  <c r="O1100" i="3"/>
  <c r="O1108" i="3"/>
  <c r="O1116" i="3"/>
  <c r="O1124" i="3"/>
  <c r="O1132" i="3"/>
  <c r="O1140" i="3"/>
  <c r="O1148" i="3"/>
  <c r="O1156" i="3"/>
  <c r="O1164" i="3"/>
  <c r="O1172" i="3"/>
  <c r="O1180" i="3"/>
  <c r="O1188" i="3"/>
  <c r="O1196" i="3"/>
  <c r="O1204" i="3"/>
  <c r="O1212" i="3"/>
  <c r="O1220" i="3"/>
  <c r="O1228" i="3"/>
  <c r="O1236" i="3"/>
  <c r="O1244" i="3"/>
  <c r="O1252" i="3"/>
  <c r="O1260" i="3"/>
  <c r="O1268" i="3"/>
  <c r="O1276" i="3"/>
  <c r="O1284" i="3"/>
  <c r="O1292" i="3"/>
  <c r="O1300" i="3"/>
  <c r="O1308" i="3"/>
  <c r="O1316" i="3"/>
  <c r="O1324" i="3"/>
  <c r="O1332" i="3"/>
  <c r="O1340" i="3"/>
  <c r="O1348" i="3"/>
  <c r="O1356" i="3"/>
  <c r="O1364" i="3"/>
  <c r="O1372" i="3"/>
  <c r="O1380" i="3"/>
  <c r="O1388" i="3"/>
  <c r="O1396" i="3"/>
  <c r="O1404" i="3"/>
  <c r="O1412" i="3"/>
  <c r="O1420" i="3"/>
  <c r="O1428" i="3"/>
  <c r="O1436" i="3"/>
  <c r="O1444" i="3"/>
  <c r="O1452" i="3"/>
  <c r="O1460" i="3"/>
  <c r="O1468" i="3"/>
  <c r="O1476" i="3"/>
  <c r="O1484" i="3"/>
  <c r="O1492" i="3"/>
  <c r="O1500" i="3"/>
  <c r="O1508" i="3"/>
  <c r="O1516" i="3"/>
  <c r="O1524" i="3"/>
  <c r="O1532" i="3"/>
  <c r="O1540" i="3"/>
  <c r="O1548" i="3"/>
  <c r="O1556" i="3"/>
  <c r="O1564" i="3"/>
  <c r="O1572" i="3"/>
  <c r="O1580" i="3"/>
  <c r="O1588" i="3"/>
  <c r="O1596" i="3"/>
  <c r="O1604" i="3"/>
  <c r="O1612" i="3"/>
  <c r="O1620" i="3"/>
  <c r="O1628" i="3"/>
  <c r="O1636" i="3"/>
  <c r="O1644" i="3"/>
  <c r="O1652" i="3"/>
  <c r="O1660" i="3"/>
  <c r="O1668" i="3"/>
  <c r="O1676" i="3"/>
  <c r="O1684" i="3"/>
  <c r="O1692" i="3"/>
  <c r="O1700" i="3"/>
  <c r="O1708" i="3"/>
  <c r="O1716" i="3"/>
  <c r="O1724" i="3"/>
  <c r="O1732" i="3"/>
  <c r="O1740" i="3"/>
  <c r="O1748" i="3"/>
  <c r="O1756" i="3"/>
  <c r="O1764" i="3"/>
  <c r="O1772" i="3"/>
  <c r="O1780" i="3"/>
  <c r="O1788" i="3"/>
  <c r="O1796" i="3"/>
  <c r="O1804" i="3"/>
  <c r="O1812" i="3"/>
  <c r="O1820" i="3"/>
  <c r="O1828" i="3"/>
  <c r="O1836" i="3"/>
  <c r="O1844" i="3"/>
  <c r="O1852" i="3"/>
  <c r="O1860" i="3"/>
  <c r="O1868" i="3"/>
  <c r="O1876" i="3"/>
  <c r="O1884" i="3"/>
  <c r="O1892" i="3"/>
  <c r="O1900" i="3"/>
  <c r="O1908" i="3"/>
  <c r="O1916" i="3"/>
  <c r="O1924" i="3"/>
  <c r="O525" i="3"/>
  <c r="O533" i="3"/>
  <c r="O541" i="3"/>
  <c r="O549" i="3"/>
  <c r="O557" i="3"/>
  <c r="O565" i="3"/>
  <c r="O573" i="3"/>
  <c r="O581" i="3"/>
  <c r="O589" i="3"/>
  <c r="O597" i="3"/>
  <c r="O605" i="3"/>
  <c r="O613" i="3"/>
  <c r="O621" i="3"/>
  <c r="O629" i="3"/>
  <c r="O637" i="3"/>
  <c r="O645" i="3"/>
  <c r="O653" i="3"/>
  <c r="O661" i="3"/>
  <c r="O669" i="3"/>
  <c r="O677" i="3"/>
  <c r="O685" i="3"/>
  <c r="O693" i="3"/>
  <c r="O701" i="3"/>
  <c r="O709" i="3"/>
  <c r="O717" i="3"/>
  <c r="O725" i="3"/>
  <c r="O733" i="3"/>
  <c r="O741" i="3"/>
  <c r="O749" i="3"/>
  <c r="O757" i="3"/>
  <c r="O765" i="3"/>
  <c r="O773" i="3"/>
  <c r="O781" i="3"/>
  <c r="O789" i="3"/>
  <c r="O797" i="3"/>
  <c r="O805" i="3"/>
  <c r="O813" i="3"/>
  <c r="O821" i="3"/>
  <c r="O829" i="3"/>
  <c r="O837" i="3"/>
  <c r="O845" i="3"/>
  <c r="O853" i="3"/>
  <c r="O861" i="3"/>
  <c r="O869" i="3"/>
  <c r="O877" i="3"/>
  <c r="O885" i="3"/>
  <c r="O893" i="3"/>
  <c r="O901" i="3"/>
  <c r="O909" i="3"/>
  <c r="O917" i="3"/>
  <c r="O925" i="3"/>
  <c r="O933" i="3"/>
  <c r="O941" i="3"/>
  <c r="O949" i="3"/>
  <c r="O957" i="3"/>
  <c r="O965" i="3"/>
  <c r="O973" i="3"/>
  <c r="O981" i="3"/>
  <c r="O989" i="3"/>
  <c r="O997" i="3"/>
  <c r="O1005" i="3"/>
  <c r="O1013" i="3"/>
  <c r="O1021" i="3"/>
  <c r="O1029" i="3"/>
  <c r="O1037" i="3"/>
  <c r="O1045" i="3"/>
  <c r="O1053" i="3"/>
  <c r="O1061" i="3"/>
  <c r="O1069" i="3"/>
  <c r="O1077" i="3"/>
  <c r="O1085" i="3"/>
  <c r="O1093" i="3"/>
  <c r="O1101" i="3"/>
  <c r="O1109" i="3"/>
  <c r="O1117" i="3"/>
  <c r="O1125" i="3"/>
  <c r="O1133" i="3"/>
  <c r="O1141" i="3"/>
  <c r="O1149" i="3"/>
  <c r="O1157" i="3"/>
  <c r="O1165" i="3"/>
  <c r="O1173" i="3"/>
  <c r="O1181" i="3"/>
  <c r="O1189" i="3"/>
  <c r="O1197" i="3"/>
  <c r="O1205" i="3"/>
  <c r="O1213" i="3"/>
  <c r="O1221" i="3"/>
  <c r="O1229" i="3"/>
  <c r="O1237" i="3"/>
  <c r="O1245" i="3"/>
  <c r="O1253" i="3"/>
  <c r="O1261" i="3"/>
  <c r="O1269" i="3"/>
  <c r="O1277" i="3"/>
  <c r="O1285" i="3"/>
  <c r="O1293" i="3"/>
  <c r="O1301" i="3"/>
  <c r="O1309" i="3"/>
  <c r="O1317" i="3"/>
  <c r="O1325" i="3"/>
  <c r="O1333" i="3"/>
  <c r="O1341" i="3"/>
  <c r="O1349" i="3"/>
  <c r="O1357" i="3"/>
  <c r="O1365" i="3"/>
  <c r="O1373" i="3"/>
  <c r="O1381" i="3"/>
  <c r="O1389" i="3"/>
  <c r="O1397" i="3"/>
  <c r="O1405" i="3"/>
  <c r="O1413" i="3"/>
  <c r="O1421" i="3"/>
  <c r="O1429" i="3"/>
  <c r="O1437" i="3"/>
  <c r="O1445" i="3"/>
  <c r="O1453" i="3"/>
  <c r="O1461" i="3"/>
  <c r="O1469" i="3"/>
  <c r="O1477" i="3"/>
  <c r="O1485" i="3"/>
  <c r="O1493" i="3"/>
  <c r="O1501" i="3"/>
  <c r="O1509" i="3"/>
  <c r="O1517" i="3"/>
  <c r="O1525" i="3"/>
  <c r="O1533" i="3"/>
  <c r="O1541" i="3"/>
  <c r="O526" i="3"/>
  <c r="O534" i="3"/>
  <c r="O542" i="3"/>
  <c r="O550" i="3"/>
  <c r="O558" i="3"/>
  <c r="O566" i="3"/>
  <c r="O574" i="3"/>
  <c r="O582" i="3"/>
  <c r="O590" i="3"/>
  <c r="O598" i="3"/>
  <c r="O606" i="3"/>
  <c r="O614" i="3"/>
  <c r="O622" i="3"/>
  <c r="O630" i="3"/>
  <c r="O638" i="3"/>
  <c r="O646" i="3"/>
  <c r="O654" i="3"/>
  <c r="O662" i="3"/>
  <c r="O670" i="3"/>
  <c r="O678" i="3"/>
  <c r="O686" i="3"/>
  <c r="O694" i="3"/>
  <c r="O702" i="3"/>
  <c r="O710" i="3"/>
  <c r="O718" i="3"/>
  <c r="O726" i="3"/>
  <c r="O734" i="3"/>
  <c r="O742" i="3"/>
  <c r="O750" i="3"/>
  <c r="O758" i="3"/>
  <c r="O766" i="3"/>
  <c r="O774" i="3"/>
  <c r="O782" i="3"/>
  <c r="O790" i="3"/>
  <c r="O798" i="3"/>
  <c r="O806" i="3"/>
  <c r="O814" i="3"/>
  <c r="O822" i="3"/>
  <c r="O830" i="3"/>
  <c r="O838" i="3"/>
  <c r="O846" i="3"/>
  <c r="O854" i="3"/>
  <c r="O862" i="3"/>
  <c r="O870" i="3"/>
  <c r="O878" i="3"/>
  <c r="O886" i="3"/>
  <c r="O894" i="3"/>
  <c r="O902" i="3"/>
  <c r="O910" i="3"/>
  <c r="O918" i="3"/>
  <c r="O926" i="3"/>
  <c r="O934" i="3"/>
  <c r="O942" i="3"/>
  <c r="O950" i="3"/>
  <c r="O958" i="3"/>
  <c r="O966" i="3"/>
  <c r="O974" i="3"/>
  <c r="O982" i="3"/>
  <c r="O990" i="3"/>
  <c r="O998" i="3"/>
  <c r="O1006" i="3"/>
  <c r="O1014" i="3"/>
  <c r="O1022" i="3"/>
  <c r="O1030" i="3"/>
  <c r="O1038" i="3"/>
  <c r="O1046" i="3"/>
  <c r="O1054" i="3"/>
  <c r="O1062" i="3"/>
  <c r="O1070" i="3"/>
  <c r="O1078" i="3"/>
  <c r="O1086" i="3"/>
  <c r="O1094" i="3"/>
  <c r="O1102" i="3"/>
  <c r="O1110" i="3"/>
  <c r="O1118" i="3"/>
  <c r="O1126" i="3"/>
  <c r="O1134" i="3"/>
  <c r="O1142" i="3"/>
  <c r="O1150" i="3"/>
  <c r="O1158" i="3"/>
  <c r="O1166" i="3"/>
  <c r="O1174" i="3"/>
  <c r="O1182" i="3"/>
  <c r="O1190" i="3"/>
  <c r="O1198" i="3"/>
  <c r="O1206" i="3"/>
  <c r="O1214" i="3"/>
  <c r="O1222" i="3"/>
  <c r="O1230" i="3"/>
  <c r="O1238" i="3"/>
  <c r="O1246" i="3"/>
  <c r="O1254" i="3"/>
  <c r="O1262" i="3"/>
  <c r="O1270" i="3"/>
  <c r="O1278" i="3"/>
  <c r="O1286" i="3"/>
  <c r="O1294" i="3"/>
  <c r="O1302" i="3"/>
  <c r="O1310" i="3"/>
  <c r="O1318" i="3"/>
  <c r="O1326" i="3"/>
  <c r="O1334" i="3"/>
  <c r="O1342" i="3"/>
  <c r="O1350" i="3"/>
  <c r="O1358" i="3"/>
  <c r="O1366" i="3"/>
  <c r="O1374" i="3"/>
  <c r="O1382" i="3"/>
  <c r="O1390" i="3"/>
  <c r="O1398" i="3"/>
  <c r="O1406" i="3"/>
  <c r="O1414" i="3"/>
  <c r="O1422" i="3"/>
  <c r="O1430" i="3"/>
  <c r="O1438" i="3"/>
  <c r="O1446" i="3"/>
  <c r="O1454" i="3"/>
  <c r="O1462" i="3"/>
  <c r="O1470" i="3"/>
  <c r="O1478" i="3"/>
  <c r="O1486" i="3"/>
  <c r="O1494" i="3"/>
  <c r="O1502" i="3"/>
  <c r="O1510" i="3"/>
  <c r="O1518" i="3"/>
  <c r="O1526" i="3"/>
  <c r="O1534" i="3"/>
  <c r="O1542" i="3"/>
  <c r="O1550" i="3"/>
  <c r="O1558" i="3"/>
  <c r="O1566" i="3"/>
  <c r="O1574" i="3"/>
  <c r="O1582" i="3"/>
  <c r="O1590" i="3"/>
  <c r="O1598" i="3"/>
  <c r="O1606" i="3"/>
  <c r="O1614" i="3"/>
  <c r="O1622" i="3"/>
  <c r="O1630" i="3"/>
  <c r="O1638" i="3"/>
  <c r="O1646" i="3"/>
  <c r="O1654" i="3"/>
  <c r="O1662" i="3"/>
  <c r="O1670" i="3"/>
  <c r="O1678" i="3"/>
  <c r="O1686" i="3"/>
  <c r="O1694" i="3"/>
  <c r="O1702" i="3"/>
  <c r="O1710" i="3"/>
  <c r="O1718" i="3"/>
  <c r="O1726" i="3"/>
  <c r="O1734" i="3"/>
  <c r="O1742" i="3"/>
  <c r="O1750" i="3"/>
  <c r="O1758" i="3"/>
  <c r="O1766" i="3"/>
  <c r="O1774" i="3"/>
  <c r="O1782" i="3"/>
  <c r="O1790" i="3"/>
  <c r="O1798" i="3"/>
  <c r="O1806" i="3"/>
  <c r="O1814" i="3"/>
  <c r="O1822" i="3"/>
  <c r="O1830" i="3"/>
  <c r="O1838" i="3"/>
  <c r="O1846" i="3"/>
  <c r="O1854" i="3"/>
  <c r="O1862" i="3"/>
  <c r="O1870" i="3"/>
  <c r="O1878" i="3"/>
  <c r="O1886" i="3"/>
  <c r="O1894" i="3"/>
  <c r="O1902" i="3"/>
  <c r="O1910" i="3"/>
  <c r="O1918" i="3"/>
  <c r="O1926" i="3"/>
  <c r="O1565" i="3"/>
  <c r="O1597" i="3"/>
  <c r="O1629" i="3"/>
  <c r="O1649" i="3"/>
  <c r="O1672" i="3"/>
  <c r="O1693" i="3"/>
  <c r="O1713" i="3"/>
  <c r="O1736" i="3"/>
  <c r="O1757" i="3"/>
  <c r="O1777" i="3"/>
  <c r="O1800" i="3"/>
  <c r="O1821" i="3"/>
  <c r="O1841" i="3"/>
  <c r="O1857" i="3"/>
  <c r="O1867" i="3"/>
  <c r="O1879" i="3"/>
  <c r="O1889" i="3"/>
  <c r="O1899" i="3"/>
  <c r="O1911" i="3"/>
  <c r="O1921" i="3"/>
  <c r="O1931" i="3"/>
  <c r="O1939" i="3"/>
  <c r="O1947" i="3"/>
  <c r="O1955" i="3"/>
  <c r="O1963" i="3"/>
  <c r="O1971" i="3"/>
  <c r="O1979" i="3"/>
  <c r="O1987" i="3"/>
  <c r="O1995" i="3"/>
  <c r="O2003" i="3"/>
  <c r="O2011" i="3"/>
  <c r="O2019" i="3"/>
  <c r="O2027" i="3"/>
  <c r="O2035" i="3"/>
  <c r="O2043" i="3"/>
  <c r="O2051" i="3"/>
  <c r="O2059" i="3"/>
  <c r="O2067" i="3"/>
  <c r="O2075" i="3"/>
  <c r="O2083" i="3"/>
  <c r="O2091" i="3"/>
  <c r="O2099" i="3"/>
  <c r="J1100" i="3"/>
  <c r="J1108" i="3"/>
  <c r="J1116" i="3"/>
  <c r="J1124" i="3"/>
  <c r="J1132" i="3"/>
  <c r="J1140" i="3"/>
  <c r="J1148" i="3"/>
  <c r="J1156" i="3"/>
  <c r="J1164" i="3"/>
  <c r="J1172" i="3"/>
  <c r="J1180" i="3"/>
  <c r="J1188" i="3"/>
  <c r="J1196" i="3"/>
  <c r="J1204" i="3"/>
  <c r="J1212" i="3"/>
  <c r="J1220" i="3"/>
  <c r="J1228" i="3"/>
  <c r="J1236" i="3"/>
  <c r="J1244" i="3"/>
  <c r="J1252" i="3"/>
  <c r="J1260" i="3"/>
  <c r="J1268" i="3"/>
  <c r="J1276" i="3"/>
  <c r="J1284" i="3"/>
  <c r="J1292" i="3"/>
  <c r="J1300" i="3"/>
  <c r="J1308" i="3"/>
  <c r="J1316" i="3"/>
  <c r="J1324" i="3"/>
  <c r="J1332" i="3"/>
  <c r="J1340" i="3"/>
  <c r="J1348" i="3"/>
  <c r="J1356" i="3"/>
  <c r="J1364" i="3"/>
  <c r="J1372" i="3"/>
  <c r="J1380" i="3"/>
  <c r="J1388" i="3"/>
  <c r="J1396" i="3"/>
  <c r="J1404" i="3"/>
  <c r="J1412" i="3"/>
  <c r="J1420" i="3"/>
  <c r="J1428" i="3"/>
  <c r="J1436" i="3"/>
  <c r="J1444" i="3"/>
  <c r="J1452" i="3"/>
  <c r="J1460" i="3"/>
  <c r="J1468" i="3"/>
  <c r="J1476" i="3"/>
  <c r="J1484" i="3"/>
  <c r="J1492" i="3"/>
  <c r="J1500" i="3"/>
  <c r="J1508" i="3"/>
  <c r="J1516" i="3"/>
  <c r="J1524" i="3"/>
  <c r="J1532" i="3"/>
  <c r="J1540" i="3"/>
  <c r="J1548" i="3"/>
  <c r="J1556" i="3"/>
  <c r="J1564" i="3"/>
  <c r="J1572" i="3"/>
  <c r="J1580" i="3"/>
  <c r="J1588" i="3"/>
  <c r="J1596" i="3"/>
  <c r="J1604" i="3"/>
  <c r="J1612" i="3"/>
  <c r="J1620" i="3"/>
  <c r="J1628" i="3"/>
  <c r="J1636" i="3"/>
  <c r="J1644" i="3"/>
  <c r="J1652" i="3"/>
  <c r="J1660" i="3"/>
  <c r="J1668" i="3"/>
  <c r="J1676" i="3"/>
  <c r="J1684" i="3"/>
  <c r="J1692" i="3"/>
  <c r="J1700" i="3"/>
  <c r="J1708" i="3"/>
  <c r="J1716" i="3"/>
  <c r="J1724" i="3"/>
  <c r="J1732" i="3"/>
  <c r="J1740" i="3"/>
  <c r="J1748" i="3"/>
  <c r="J1756" i="3"/>
  <c r="O1568" i="3"/>
  <c r="O1600" i="3"/>
  <c r="O1632" i="3"/>
  <c r="O1653" i="3"/>
  <c r="O1673" i="3"/>
  <c r="O1696" i="3"/>
  <c r="O1717" i="3"/>
  <c r="O1737" i="3"/>
  <c r="O1760" i="3"/>
  <c r="O1781" i="3"/>
  <c r="O1801" i="3"/>
  <c r="O1824" i="3"/>
  <c r="O1845" i="3"/>
  <c r="O1858" i="3"/>
  <c r="O1869" i="3"/>
  <c r="O1880" i="3"/>
  <c r="O1890" i="3"/>
  <c r="O1901" i="3"/>
  <c r="O1912" i="3"/>
  <c r="O1922" i="3"/>
  <c r="O1932" i="3"/>
  <c r="O1940" i="3"/>
  <c r="O1948" i="3"/>
  <c r="O1956" i="3"/>
  <c r="O1964" i="3"/>
  <c r="O1972" i="3"/>
  <c r="O1980" i="3"/>
  <c r="O1988" i="3"/>
  <c r="O1996" i="3"/>
  <c r="O2004" i="3"/>
  <c r="O2012" i="3"/>
  <c r="O2020" i="3"/>
  <c r="O2028" i="3"/>
  <c r="O2036" i="3"/>
  <c r="O2044" i="3"/>
  <c r="O2052" i="3"/>
  <c r="O2060" i="3"/>
  <c r="O2068" i="3"/>
  <c r="O2076" i="3"/>
  <c r="O2084" i="3"/>
  <c r="O2092" i="3"/>
  <c r="O2100" i="3"/>
  <c r="J1101" i="3"/>
  <c r="J1109" i="3"/>
  <c r="J1117" i="3"/>
  <c r="J1125" i="3"/>
  <c r="J1133" i="3"/>
  <c r="J1141" i="3"/>
  <c r="J1149" i="3"/>
  <c r="J1157" i="3"/>
  <c r="J1165" i="3"/>
  <c r="J1173" i="3"/>
  <c r="J1181" i="3"/>
  <c r="J1189" i="3"/>
  <c r="J1197" i="3"/>
  <c r="J1205" i="3"/>
  <c r="J1213" i="3"/>
  <c r="J1221" i="3"/>
  <c r="J1229" i="3"/>
  <c r="J1237" i="3"/>
  <c r="J1245" i="3"/>
  <c r="J1253" i="3"/>
  <c r="J1261" i="3"/>
  <c r="J1269" i="3"/>
  <c r="J1277" i="3"/>
  <c r="J1285" i="3"/>
  <c r="J1293" i="3"/>
  <c r="J1301" i="3"/>
  <c r="J1309" i="3"/>
  <c r="J1317" i="3"/>
  <c r="J1325" i="3"/>
  <c r="J1333" i="3"/>
  <c r="J1341" i="3"/>
  <c r="J1349" i="3"/>
  <c r="J1357" i="3"/>
  <c r="J1365" i="3"/>
  <c r="J1373" i="3"/>
  <c r="J1381" i="3"/>
  <c r="J1389" i="3"/>
  <c r="J1397" i="3"/>
  <c r="J1405" i="3"/>
  <c r="J1413" i="3"/>
  <c r="J1421" i="3"/>
  <c r="J1429" i="3"/>
  <c r="J1437" i="3"/>
  <c r="J1445" i="3"/>
  <c r="J1453" i="3"/>
  <c r="J1461" i="3"/>
  <c r="J1469" i="3"/>
  <c r="J1477" i="3"/>
  <c r="J1485" i="3"/>
  <c r="J1493" i="3"/>
  <c r="J1501" i="3"/>
  <c r="J1509" i="3"/>
  <c r="J1517" i="3"/>
  <c r="J1525" i="3"/>
  <c r="J1533" i="3"/>
  <c r="J1541" i="3"/>
  <c r="J1549" i="3"/>
  <c r="J1557" i="3"/>
  <c r="J1565" i="3"/>
  <c r="J1573" i="3"/>
  <c r="J1581" i="3"/>
  <c r="J1589" i="3"/>
  <c r="J1597" i="3"/>
  <c r="J1605" i="3"/>
  <c r="J1613" i="3"/>
  <c r="J1621" i="3"/>
  <c r="J1629" i="3"/>
  <c r="J1637" i="3"/>
  <c r="J1645" i="3"/>
  <c r="J1653" i="3"/>
  <c r="J1661" i="3"/>
  <c r="J1669" i="3"/>
  <c r="J1677" i="3"/>
  <c r="J1685" i="3"/>
  <c r="J1693" i="3"/>
  <c r="J1701" i="3"/>
  <c r="J1709" i="3"/>
  <c r="J1717" i="3"/>
  <c r="J1725" i="3"/>
  <c r="J1733" i="3"/>
  <c r="J1741" i="3"/>
  <c r="J1749" i="3"/>
  <c r="J1757" i="3"/>
  <c r="J1765" i="3"/>
  <c r="J1773" i="3"/>
  <c r="J1781" i="3"/>
  <c r="J1789" i="3"/>
  <c r="J1797" i="3"/>
  <c r="J1805" i="3"/>
  <c r="J1813" i="3"/>
  <c r="J1821" i="3"/>
  <c r="J1829" i="3"/>
  <c r="J1837" i="3"/>
  <c r="J1845" i="3"/>
  <c r="J1853" i="3"/>
  <c r="J1861" i="3"/>
  <c r="J1869" i="3"/>
  <c r="J1877" i="3"/>
  <c r="J1885" i="3"/>
  <c r="J1893" i="3"/>
  <c r="J1901" i="3"/>
  <c r="J1909" i="3"/>
  <c r="J1917" i="3"/>
  <c r="J1925" i="3"/>
  <c r="J1933" i="3"/>
  <c r="J1941" i="3"/>
  <c r="J1949" i="3"/>
  <c r="J1957" i="3"/>
  <c r="J1965" i="3"/>
  <c r="J1973" i="3"/>
  <c r="J1981" i="3"/>
  <c r="J1989" i="3"/>
  <c r="J1997" i="3"/>
  <c r="J2005" i="3"/>
  <c r="J2013" i="3"/>
  <c r="J2021" i="3"/>
  <c r="J2029" i="3"/>
  <c r="J2037" i="3"/>
  <c r="J2045" i="3"/>
  <c r="J2053" i="3"/>
  <c r="J2061" i="3"/>
  <c r="J2069" i="3"/>
  <c r="J2077" i="3"/>
  <c r="J2085" i="3"/>
  <c r="J2093" i="3"/>
  <c r="J2101" i="3"/>
  <c r="J10" i="3"/>
  <c r="J18" i="3"/>
  <c r="O1573" i="3"/>
  <c r="O1605" i="3"/>
  <c r="O1633" i="3"/>
  <c r="O1656" i="3"/>
  <c r="O1677" i="3"/>
  <c r="O1697" i="3"/>
  <c r="O1720" i="3"/>
  <c r="O1741" i="3"/>
  <c r="O1761" i="3"/>
  <c r="O1784" i="3"/>
  <c r="O1805" i="3"/>
  <c r="O1825" i="3"/>
  <c r="O1847" i="3"/>
  <c r="O1859" i="3"/>
  <c r="O1871" i="3"/>
  <c r="O1881" i="3"/>
  <c r="O1891" i="3"/>
  <c r="O1903" i="3"/>
  <c r="O1913" i="3"/>
  <c r="O1923" i="3"/>
  <c r="O1933" i="3"/>
  <c r="O1941" i="3"/>
  <c r="O1949" i="3"/>
  <c r="O1957" i="3"/>
  <c r="O1965" i="3"/>
  <c r="O1973" i="3"/>
  <c r="O1981" i="3"/>
  <c r="O1989" i="3"/>
  <c r="O1997" i="3"/>
  <c r="O2005" i="3"/>
  <c r="O2013" i="3"/>
  <c r="O2021" i="3"/>
  <c r="O2029" i="3"/>
  <c r="O2037" i="3"/>
  <c r="O2045" i="3"/>
  <c r="O2053" i="3"/>
  <c r="O2061" i="3"/>
  <c r="O2069" i="3"/>
  <c r="O2077" i="3"/>
  <c r="O2085" i="3"/>
  <c r="O2093" i="3"/>
  <c r="O2101" i="3"/>
  <c r="J1102" i="3"/>
  <c r="J1110" i="3"/>
  <c r="J1118" i="3"/>
  <c r="J1126" i="3"/>
  <c r="J1134" i="3"/>
  <c r="J1142" i="3"/>
  <c r="J1150" i="3"/>
  <c r="J1158" i="3"/>
  <c r="J1166" i="3"/>
  <c r="J1174" i="3"/>
  <c r="J1182" i="3"/>
  <c r="J1190" i="3"/>
  <c r="J1198" i="3"/>
  <c r="J1206" i="3"/>
  <c r="J1214" i="3"/>
  <c r="J1222" i="3"/>
  <c r="J1230" i="3"/>
  <c r="J1238" i="3"/>
  <c r="J1246" i="3"/>
  <c r="J1254" i="3"/>
  <c r="J1262" i="3"/>
  <c r="J1270" i="3"/>
  <c r="J1278" i="3"/>
  <c r="J1286" i="3"/>
  <c r="J1294" i="3"/>
  <c r="J1302" i="3"/>
  <c r="J1310" i="3"/>
  <c r="J1318" i="3"/>
  <c r="J1326" i="3"/>
  <c r="J1334" i="3"/>
  <c r="J1342" i="3"/>
  <c r="J1350" i="3"/>
  <c r="J1358" i="3"/>
  <c r="J1366" i="3"/>
  <c r="J1374" i="3"/>
  <c r="J1382" i="3"/>
  <c r="J1390" i="3"/>
  <c r="J1398" i="3"/>
  <c r="J1406" i="3"/>
  <c r="J1414" i="3"/>
  <c r="J1422" i="3"/>
  <c r="J1430" i="3"/>
  <c r="J1438" i="3"/>
  <c r="J1446" i="3"/>
  <c r="J1454" i="3"/>
  <c r="J1462" i="3"/>
  <c r="J1470" i="3"/>
  <c r="J1478" i="3"/>
  <c r="J1486" i="3"/>
  <c r="J1494" i="3"/>
  <c r="J1502" i="3"/>
  <c r="J1510" i="3"/>
  <c r="J1518" i="3"/>
  <c r="J1526" i="3"/>
  <c r="J1534" i="3"/>
  <c r="J1542" i="3"/>
  <c r="J1550" i="3"/>
  <c r="J1558" i="3"/>
  <c r="J1566" i="3"/>
  <c r="J1574" i="3"/>
  <c r="J1582" i="3"/>
  <c r="J1590" i="3"/>
  <c r="J1598" i="3"/>
  <c r="J1606" i="3"/>
  <c r="J1614" i="3"/>
  <c r="J1622" i="3"/>
  <c r="J1630" i="3"/>
  <c r="J1638" i="3"/>
  <c r="J1646" i="3"/>
  <c r="J1654" i="3"/>
  <c r="J1662" i="3"/>
  <c r="J1670" i="3"/>
  <c r="J1678" i="3"/>
  <c r="J1686" i="3"/>
  <c r="J1694" i="3"/>
  <c r="J1702" i="3"/>
  <c r="J1710" i="3"/>
  <c r="J1718" i="3"/>
  <c r="J1726" i="3"/>
  <c r="J1734" i="3"/>
  <c r="J1742" i="3"/>
  <c r="J1750" i="3"/>
  <c r="J1758" i="3"/>
  <c r="J1766" i="3"/>
  <c r="J1774" i="3"/>
  <c r="J1782" i="3"/>
  <c r="J1790" i="3"/>
  <c r="J1798" i="3"/>
  <c r="J1806" i="3"/>
  <c r="J1814" i="3"/>
  <c r="J1822" i="3"/>
  <c r="J1830" i="3"/>
  <c r="J1838" i="3"/>
  <c r="J1846" i="3"/>
  <c r="J1854" i="3"/>
  <c r="J1862" i="3"/>
  <c r="J1870" i="3"/>
  <c r="J1878" i="3"/>
  <c r="J1886" i="3"/>
  <c r="J1894" i="3"/>
  <c r="J1902" i="3"/>
  <c r="J1910" i="3"/>
  <c r="J1918" i="3"/>
  <c r="J1926" i="3"/>
  <c r="J1934" i="3"/>
  <c r="J1942" i="3"/>
  <c r="J1950" i="3"/>
  <c r="J1958" i="3"/>
  <c r="J1966" i="3"/>
  <c r="J1974" i="3"/>
  <c r="J1982" i="3"/>
  <c r="J1990" i="3"/>
  <c r="J1998" i="3"/>
  <c r="J2006" i="3"/>
  <c r="J2014" i="3"/>
  <c r="J2022" i="3"/>
  <c r="J2030" i="3"/>
  <c r="J2038" i="3"/>
  <c r="J2046" i="3"/>
  <c r="J2054" i="3"/>
  <c r="J2062" i="3"/>
  <c r="J2070" i="3"/>
  <c r="J2078" i="3"/>
  <c r="J2086" i="3"/>
  <c r="J2094" i="3"/>
  <c r="J2102" i="3"/>
  <c r="J11" i="3"/>
  <c r="J19" i="3"/>
  <c r="J27" i="3"/>
  <c r="J35" i="3"/>
  <c r="J43" i="3"/>
  <c r="J51" i="3"/>
  <c r="J59" i="3"/>
  <c r="J67" i="3"/>
  <c r="J75" i="3"/>
  <c r="J83" i="3"/>
  <c r="J91" i="3"/>
  <c r="J99" i="3"/>
  <c r="O1576" i="3"/>
  <c r="O1608" i="3"/>
  <c r="O1637" i="3"/>
  <c r="O1657" i="3"/>
  <c r="O1680" i="3"/>
  <c r="O1701" i="3"/>
  <c r="O1721" i="3"/>
  <c r="O1744" i="3"/>
  <c r="O1765" i="3"/>
  <c r="O1785" i="3"/>
  <c r="O1808" i="3"/>
  <c r="O1829" i="3"/>
  <c r="O1848" i="3"/>
  <c r="O1861" i="3"/>
  <c r="O1872" i="3"/>
  <c r="O1882" i="3"/>
  <c r="O1893" i="3"/>
  <c r="O1904" i="3"/>
  <c r="O1914" i="3"/>
  <c r="O1925" i="3"/>
  <c r="O1934" i="3"/>
  <c r="O1942" i="3"/>
  <c r="O1950" i="3"/>
  <c r="O1958" i="3"/>
  <c r="O1966" i="3"/>
  <c r="O1974" i="3"/>
  <c r="O1982" i="3"/>
  <c r="O1990" i="3"/>
  <c r="O1998" i="3"/>
  <c r="O2006" i="3"/>
  <c r="O2014" i="3"/>
  <c r="O2022" i="3"/>
  <c r="O2030" i="3"/>
  <c r="O2038" i="3"/>
  <c r="O2046" i="3"/>
  <c r="O2054" i="3"/>
  <c r="O2062" i="3"/>
  <c r="O2070" i="3"/>
  <c r="O2078" i="3"/>
  <c r="O2086" i="3"/>
  <c r="O2094" i="3"/>
  <c r="O2102" i="3"/>
  <c r="J1103" i="3"/>
  <c r="J1111" i="3"/>
  <c r="J1119" i="3"/>
  <c r="J1127" i="3"/>
  <c r="J1135" i="3"/>
  <c r="J1143" i="3"/>
  <c r="J1151" i="3"/>
  <c r="J1159" i="3"/>
  <c r="J1167" i="3"/>
  <c r="J1175" i="3"/>
  <c r="J1183" i="3"/>
  <c r="J1191" i="3"/>
  <c r="J1199" i="3"/>
  <c r="J1207" i="3"/>
  <c r="J1215" i="3"/>
  <c r="J1223" i="3"/>
  <c r="J1231" i="3"/>
  <c r="J1239" i="3"/>
  <c r="J1247" i="3"/>
  <c r="J1255" i="3"/>
  <c r="J1263" i="3"/>
  <c r="J1271" i="3"/>
  <c r="J1279" i="3"/>
  <c r="J1287" i="3"/>
  <c r="J1295" i="3"/>
  <c r="J1303" i="3"/>
  <c r="J1311" i="3"/>
  <c r="J1319" i="3"/>
  <c r="J1327" i="3"/>
  <c r="J1335" i="3"/>
  <c r="J1343" i="3"/>
  <c r="J1351" i="3"/>
  <c r="J1359" i="3"/>
  <c r="J1367" i="3"/>
  <c r="J1375" i="3"/>
  <c r="J1383" i="3"/>
  <c r="J1391" i="3"/>
  <c r="J1399" i="3"/>
  <c r="J1407" i="3"/>
  <c r="J1415" i="3"/>
  <c r="J1423" i="3"/>
  <c r="J1431" i="3"/>
  <c r="J1439" i="3"/>
  <c r="J1447" i="3"/>
  <c r="J1455" i="3"/>
  <c r="J1463" i="3"/>
  <c r="J1471" i="3"/>
  <c r="J1479" i="3"/>
  <c r="J1487" i="3"/>
  <c r="J1495" i="3"/>
  <c r="J1503" i="3"/>
  <c r="J1511" i="3"/>
  <c r="J1519" i="3"/>
  <c r="J1527" i="3"/>
  <c r="J1535" i="3"/>
  <c r="J1543" i="3"/>
  <c r="J1551" i="3"/>
  <c r="J1559" i="3"/>
  <c r="J1567" i="3"/>
  <c r="J1575" i="3"/>
  <c r="J1583" i="3"/>
  <c r="J1591" i="3"/>
  <c r="J1599" i="3"/>
  <c r="J1607" i="3"/>
  <c r="J1615" i="3"/>
  <c r="J1623" i="3"/>
  <c r="J1631" i="3"/>
  <c r="J1639" i="3"/>
  <c r="J1647" i="3"/>
  <c r="J1655" i="3"/>
  <c r="J1663" i="3"/>
  <c r="J1671" i="3"/>
  <c r="J1679" i="3"/>
  <c r="J1687" i="3"/>
  <c r="J1695" i="3"/>
  <c r="J1703" i="3"/>
  <c r="J1711" i="3"/>
  <c r="J1719" i="3"/>
  <c r="J1727" i="3"/>
  <c r="J1735" i="3"/>
  <c r="J1743" i="3"/>
  <c r="J1751" i="3"/>
  <c r="J1759" i="3"/>
  <c r="J1767" i="3"/>
  <c r="J1775" i="3"/>
  <c r="J1783" i="3"/>
  <c r="J1791" i="3"/>
  <c r="J1799" i="3"/>
  <c r="J1807" i="3"/>
  <c r="J1815" i="3"/>
  <c r="J1823" i="3"/>
  <c r="J1831" i="3"/>
  <c r="J1839" i="3"/>
  <c r="J1847" i="3"/>
  <c r="J1855" i="3"/>
  <c r="J1863" i="3"/>
  <c r="J1871" i="3"/>
  <c r="J1879" i="3"/>
  <c r="J1887" i="3"/>
  <c r="J1895" i="3"/>
  <c r="J1903" i="3"/>
  <c r="J1911" i="3"/>
  <c r="J1919" i="3"/>
  <c r="J1927" i="3"/>
  <c r="J1935" i="3"/>
  <c r="J1943" i="3"/>
  <c r="J1951" i="3"/>
  <c r="J1959" i="3"/>
  <c r="J1967" i="3"/>
  <c r="J1975" i="3"/>
  <c r="J1983" i="3"/>
  <c r="J1991" i="3"/>
  <c r="J1999" i="3"/>
  <c r="J2007" i="3"/>
  <c r="O1549" i="3"/>
  <c r="O1581" i="3"/>
  <c r="O1613" i="3"/>
  <c r="O1640" i="3"/>
  <c r="O1661" i="3"/>
  <c r="O1681" i="3"/>
  <c r="O1704" i="3"/>
  <c r="O1725" i="3"/>
  <c r="O1745" i="3"/>
  <c r="O1768" i="3"/>
  <c r="O1789" i="3"/>
  <c r="O1809" i="3"/>
  <c r="O1832" i="3"/>
  <c r="O1849" i="3"/>
  <c r="O1863" i="3"/>
  <c r="O1873" i="3"/>
  <c r="O1883" i="3"/>
  <c r="O1895" i="3"/>
  <c r="O1905" i="3"/>
  <c r="O1915" i="3"/>
  <c r="O1927" i="3"/>
  <c r="O1935" i="3"/>
  <c r="O1943" i="3"/>
  <c r="O1951" i="3"/>
  <c r="O1959" i="3"/>
  <c r="O1967" i="3"/>
  <c r="O1975" i="3"/>
  <c r="O1983" i="3"/>
  <c r="O1991" i="3"/>
  <c r="O1999" i="3"/>
  <c r="O2007" i="3"/>
  <c r="O2015" i="3"/>
  <c r="O2023" i="3"/>
  <c r="O2031" i="3"/>
  <c r="O2039" i="3"/>
  <c r="O2047" i="3"/>
  <c r="O2055" i="3"/>
  <c r="O2063" i="3"/>
  <c r="O2071" i="3"/>
  <c r="O2079" i="3"/>
  <c r="O2087" i="3"/>
  <c r="O2095" i="3"/>
  <c r="O519" i="3"/>
  <c r="J1104" i="3"/>
  <c r="J1112" i="3"/>
  <c r="J1120" i="3"/>
  <c r="J1128" i="3"/>
  <c r="J1136" i="3"/>
  <c r="J1144" i="3"/>
  <c r="J1152" i="3"/>
  <c r="J1160" i="3"/>
  <c r="J1168" i="3"/>
  <c r="J1176" i="3"/>
  <c r="J1184" i="3"/>
  <c r="J1192" i="3"/>
  <c r="J1200" i="3"/>
  <c r="J1208" i="3"/>
  <c r="J1216" i="3"/>
  <c r="J1224" i="3"/>
  <c r="J1232" i="3"/>
  <c r="J1240" i="3"/>
  <c r="J1248" i="3"/>
  <c r="J1256" i="3"/>
  <c r="J1264" i="3"/>
  <c r="J1272" i="3"/>
  <c r="J1280" i="3"/>
  <c r="J1288" i="3"/>
  <c r="J1296" i="3"/>
  <c r="J1304" i="3"/>
  <c r="J1312" i="3"/>
  <c r="J1320" i="3"/>
  <c r="J1328" i="3"/>
  <c r="J1336" i="3"/>
  <c r="J1344" i="3"/>
  <c r="J1352" i="3"/>
  <c r="J1360" i="3"/>
  <c r="J1368" i="3"/>
  <c r="J1376" i="3"/>
  <c r="J1384" i="3"/>
  <c r="J1392" i="3"/>
  <c r="J1400" i="3"/>
  <c r="J1408" i="3"/>
  <c r="J1416" i="3"/>
  <c r="J1424" i="3"/>
  <c r="J1432" i="3"/>
  <c r="J1440" i="3"/>
  <c r="J1448" i="3"/>
  <c r="J1456" i="3"/>
  <c r="J1464" i="3"/>
  <c r="J1472" i="3"/>
  <c r="J1480" i="3"/>
  <c r="J1488" i="3"/>
  <c r="J1496" i="3"/>
  <c r="J1504" i="3"/>
  <c r="J1512" i="3"/>
  <c r="J1520" i="3"/>
  <c r="J1528" i="3"/>
  <c r="J1536" i="3"/>
  <c r="J1544" i="3"/>
  <c r="J1552" i="3"/>
  <c r="J1560" i="3"/>
  <c r="J1568" i="3"/>
  <c r="J1576" i="3"/>
  <c r="J1584" i="3"/>
  <c r="J1592" i="3"/>
  <c r="J1600" i="3"/>
  <c r="J1608" i="3"/>
  <c r="J1616" i="3"/>
  <c r="J1624" i="3"/>
  <c r="J1632" i="3"/>
  <c r="J1640" i="3"/>
  <c r="J1648" i="3"/>
  <c r="J1656" i="3"/>
  <c r="J1664" i="3"/>
  <c r="J1672" i="3"/>
  <c r="J1680" i="3"/>
  <c r="J1688" i="3"/>
  <c r="J1696" i="3"/>
  <c r="J1704" i="3"/>
  <c r="J1712" i="3"/>
  <c r="J1720" i="3"/>
  <c r="J1728" i="3"/>
  <c r="J1736" i="3"/>
  <c r="J1744" i="3"/>
  <c r="J1752" i="3"/>
  <c r="J1760" i="3"/>
  <c r="J1768" i="3"/>
  <c r="J1776" i="3"/>
  <c r="J1784" i="3"/>
  <c r="J1792" i="3"/>
  <c r="J1800" i="3"/>
  <c r="J1808" i="3"/>
  <c r="J1816" i="3"/>
  <c r="J1824" i="3"/>
  <c r="J1832" i="3"/>
  <c r="J1840" i="3"/>
  <c r="J1848" i="3"/>
  <c r="J1856" i="3"/>
  <c r="J1864" i="3"/>
  <c r="J1872" i="3"/>
  <c r="J1880" i="3"/>
  <c r="J1888" i="3"/>
  <c r="J1896" i="3"/>
  <c r="J1904" i="3"/>
  <c r="J1912" i="3"/>
  <c r="J1920" i="3"/>
  <c r="J1928" i="3"/>
  <c r="J1936" i="3"/>
  <c r="J1944" i="3"/>
  <c r="J1952" i="3"/>
  <c r="J1960" i="3"/>
  <c r="J1968" i="3"/>
  <c r="J1976" i="3"/>
  <c r="J1984" i="3"/>
  <c r="J1992" i="3"/>
  <c r="J2000" i="3"/>
  <c r="J2008" i="3"/>
  <c r="J2016" i="3"/>
  <c r="J2024" i="3"/>
  <c r="J2032" i="3"/>
  <c r="J2040" i="3"/>
  <c r="J2048" i="3"/>
  <c r="J2056" i="3"/>
  <c r="J2064" i="3"/>
  <c r="J2072" i="3"/>
  <c r="J2080" i="3"/>
  <c r="J2088" i="3"/>
  <c r="J2096" i="3"/>
  <c r="J5" i="3"/>
  <c r="J13" i="3"/>
  <c r="J21" i="3"/>
  <c r="J29" i="3"/>
  <c r="J37" i="3"/>
  <c r="J45" i="3"/>
  <c r="J53" i="3"/>
  <c r="J61" i="3"/>
  <c r="J69" i="3"/>
  <c r="J77" i="3"/>
  <c r="J85" i="3"/>
  <c r="J93" i="3"/>
  <c r="J101" i="3"/>
  <c r="J109" i="3"/>
  <c r="J117" i="3"/>
  <c r="J125" i="3"/>
  <c r="J133" i="3"/>
  <c r="J141" i="3"/>
  <c r="J149" i="3"/>
  <c r="J157" i="3"/>
  <c r="J165" i="3"/>
  <c r="O1552" i="3"/>
  <c r="O1584" i="3"/>
  <c r="O1616" i="3"/>
  <c r="O1641" i="3"/>
  <c r="O1664" i="3"/>
  <c r="O1685" i="3"/>
  <c r="O1705" i="3"/>
  <c r="O1728" i="3"/>
  <c r="O1749" i="3"/>
  <c r="O1769" i="3"/>
  <c r="O1792" i="3"/>
  <c r="O1813" i="3"/>
  <c r="O1833" i="3"/>
  <c r="O1853" i="3"/>
  <c r="O1864" i="3"/>
  <c r="O1874" i="3"/>
  <c r="O1885" i="3"/>
  <c r="O1896" i="3"/>
  <c r="O1906" i="3"/>
  <c r="O1917" i="3"/>
  <c r="O1928" i="3"/>
  <c r="O1936" i="3"/>
  <c r="O1944" i="3"/>
  <c r="O1952" i="3"/>
  <c r="O1960" i="3"/>
  <c r="O1968" i="3"/>
  <c r="O1976" i="3"/>
  <c r="O1984" i="3"/>
  <c r="O1992" i="3"/>
  <c r="O2000" i="3"/>
  <c r="O2008" i="3"/>
  <c r="O2016" i="3"/>
  <c r="O2024" i="3"/>
  <c r="O2032" i="3"/>
  <c r="O2040" i="3"/>
  <c r="O2048" i="3"/>
  <c r="O2056" i="3"/>
  <c r="O2064" i="3"/>
  <c r="O2072" i="3"/>
  <c r="O2080" i="3"/>
  <c r="O2088" i="3"/>
  <c r="O2096" i="3"/>
  <c r="J1097" i="3"/>
  <c r="J1105" i="3"/>
  <c r="J1113" i="3"/>
  <c r="J1121" i="3"/>
  <c r="J1129" i="3"/>
  <c r="J1137" i="3"/>
  <c r="J1145" i="3"/>
  <c r="J1153" i="3"/>
  <c r="J1161" i="3"/>
  <c r="J1169" i="3"/>
  <c r="J1177" i="3"/>
  <c r="J1185" i="3"/>
  <c r="J1193" i="3"/>
  <c r="J1201" i="3"/>
  <c r="J1209" i="3"/>
  <c r="J1217" i="3"/>
  <c r="J1225" i="3"/>
  <c r="J1233" i="3"/>
  <c r="J1241" i="3"/>
  <c r="J1249" i="3"/>
  <c r="J1257" i="3"/>
  <c r="J1265" i="3"/>
  <c r="J1273" i="3"/>
  <c r="J1281" i="3"/>
  <c r="J1289" i="3"/>
  <c r="J1297" i="3"/>
  <c r="J1305" i="3"/>
  <c r="J1313" i="3"/>
  <c r="J1321" i="3"/>
  <c r="J1329" i="3"/>
  <c r="J1337" i="3"/>
  <c r="J1345" i="3"/>
  <c r="J1353" i="3"/>
  <c r="J1361" i="3"/>
  <c r="J1369" i="3"/>
  <c r="J1377" i="3"/>
  <c r="J1385" i="3"/>
  <c r="J1393" i="3"/>
  <c r="J1401" i="3"/>
  <c r="J1409" i="3"/>
  <c r="J1417" i="3"/>
  <c r="J1425" i="3"/>
  <c r="J1433" i="3"/>
  <c r="J1441" i="3"/>
  <c r="J1449" i="3"/>
  <c r="J1457" i="3"/>
  <c r="J1465" i="3"/>
  <c r="J1473" i="3"/>
  <c r="J1481" i="3"/>
  <c r="J1489" i="3"/>
  <c r="J1497" i="3"/>
  <c r="J1505" i="3"/>
  <c r="J1513" i="3"/>
  <c r="J1521" i="3"/>
  <c r="J1529" i="3"/>
  <c r="J1537" i="3"/>
  <c r="J1545" i="3"/>
  <c r="J1553" i="3"/>
  <c r="J1561" i="3"/>
  <c r="J1569" i="3"/>
  <c r="J1577" i="3"/>
  <c r="J1585" i="3"/>
  <c r="J1593" i="3"/>
  <c r="J1601" i="3"/>
  <c r="J1609" i="3"/>
  <c r="J1617" i="3"/>
  <c r="J1625" i="3"/>
  <c r="J1633" i="3"/>
  <c r="J1641" i="3"/>
  <c r="J1649" i="3"/>
  <c r="J1657" i="3"/>
  <c r="J1665" i="3"/>
  <c r="J1673" i="3"/>
  <c r="J1681" i="3"/>
  <c r="J1689" i="3"/>
  <c r="J1697" i="3"/>
  <c r="J1705" i="3"/>
  <c r="J1713" i="3"/>
  <c r="J1721" i="3"/>
  <c r="J1729" i="3"/>
  <c r="J1737" i="3"/>
  <c r="J1745" i="3"/>
  <c r="J1753" i="3"/>
  <c r="J1761" i="3"/>
  <c r="J1769" i="3"/>
  <c r="J1777" i="3"/>
  <c r="J1785" i="3"/>
  <c r="J1793" i="3"/>
  <c r="J1801" i="3"/>
  <c r="J1809" i="3"/>
  <c r="J1817" i="3"/>
  <c r="J1825" i="3"/>
  <c r="J1833" i="3"/>
  <c r="J1841" i="3"/>
  <c r="J1849" i="3"/>
  <c r="J1857" i="3"/>
  <c r="J1865" i="3"/>
  <c r="J1873" i="3"/>
  <c r="J1881" i="3"/>
  <c r="J1889" i="3"/>
  <c r="J1897" i="3"/>
  <c r="J1905" i="3"/>
  <c r="J1913" i="3"/>
  <c r="J1921" i="3"/>
  <c r="J1929" i="3"/>
  <c r="J1937" i="3"/>
  <c r="J1945" i="3"/>
  <c r="O1557" i="3"/>
  <c r="O1589" i="3"/>
  <c r="O1621" i="3"/>
  <c r="O1645" i="3"/>
  <c r="O1665" i="3"/>
  <c r="O1688" i="3"/>
  <c r="O1709" i="3"/>
  <c r="O1729" i="3"/>
  <c r="O1752" i="3"/>
  <c r="O1773" i="3"/>
  <c r="O1793" i="3"/>
  <c r="O1816" i="3"/>
  <c r="O1837" i="3"/>
  <c r="O1855" i="3"/>
  <c r="O1865" i="3"/>
  <c r="O1875" i="3"/>
  <c r="O1887" i="3"/>
  <c r="O1897" i="3"/>
  <c r="O1907" i="3"/>
  <c r="O1919" i="3"/>
  <c r="O1929" i="3"/>
  <c r="O1937" i="3"/>
  <c r="O1945" i="3"/>
  <c r="O1953" i="3"/>
  <c r="O1961" i="3"/>
  <c r="O1969" i="3"/>
  <c r="O1977" i="3"/>
  <c r="O1985" i="3"/>
  <c r="O1993" i="3"/>
  <c r="O2001" i="3"/>
  <c r="O2009" i="3"/>
  <c r="O2017" i="3"/>
  <c r="O2025" i="3"/>
  <c r="O2033" i="3"/>
  <c r="O2041" i="3"/>
  <c r="O2049" i="3"/>
  <c r="O2057" i="3"/>
  <c r="O2065" i="3"/>
  <c r="O2073" i="3"/>
  <c r="O2081" i="3"/>
  <c r="O2089" i="3"/>
  <c r="O2097" i="3"/>
  <c r="J1098" i="3"/>
  <c r="J1106" i="3"/>
  <c r="J1114" i="3"/>
  <c r="J1122" i="3"/>
  <c r="J1130" i="3"/>
  <c r="J1138" i="3"/>
  <c r="J1146" i="3"/>
  <c r="J1154" i="3"/>
  <c r="J1162" i="3"/>
  <c r="J1170" i="3"/>
  <c r="J1178" i="3"/>
  <c r="J1186" i="3"/>
  <c r="J1194" i="3"/>
  <c r="J1202" i="3"/>
  <c r="J1210" i="3"/>
  <c r="J1218" i="3"/>
  <c r="J1226" i="3"/>
  <c r="J1234" i="3"/>
  <c r="J1242" i="3"/>
  <c r="J1250" i="3"/>
  <c r="J1258" i="3"/>
  <c r="J1266" i="3"/>
  <c r="J1274" i="3"/>
  <c r="J1282" i="3"/>
  <c r="J1290" i="3"/>
  <c r="J1298" i="3"/>
  <c r="J1306" i="3"/>
  <c r="J1314" i="3"/>
  <c r="J1322" i="3"/>
  <c r="J1330" i="3"/>
  <c r="J1338" i="3"/>
  <c r="J1346" i="3"/>
  <c r="J1354" i="3"/>
  <c r="J1362" i="3"/>
  <c r="J1370" i="3"/>
  <c r="J1378" i="3"/>
  <c r="J1386" i="3"/>
  <c r="J1394" i="3"/>
  <c r="J1402" i="3"/>
  <c r="J1410" i="3"/>
  <c r="J1418" i="3"/>
  <c r="J1426" i="3"/>
  <c r="J1434" i="3"/>
  <c r="J1442" i="3"/>
  <c r="J1450" i="3"/>
  <c r="J1458" i="3"/>
  <c r="J1466" i="3"/>
  <c r="J1474" i="3"/>
  <c r="J1482" i="3"/>
  <c r="J1490" i="3"/>
  <c r="J1498" i="3"/>
  <c r="J1506" i="3"/>
  <c r="J1514" i="3"/>
  <c r="J1522" i="3"/>
  <c r="J1530" i="3"/>
  <c r="J1538" i="3"/>
  <c r="J1546" i="3"/>
  <c r="J1554" i="3"/>
  <c r="J1562" i="3"/>
  <c r="J1570" i="3"/>
  <c r="J1578" i="3"/>
  <c r="J1586" i="3"/>
  <c r="J1594" i="3"/>
  <c r="J1602" i="3"/>
  <c r="J1610" i="3"/>
  <c r="J1618" i="3"/>
  <c r="J1626" i="3"/>
  <c r="J1634" i="3"/>
  <c r="J1642" i="3"/>
  <c r="J1650" i="3"/>
  <c r="J1658" i="3"/>
  <c r="J1666" i="3"/>
  <c r="J1674" i="3"/>
  <c r="J1682" i="3"/>
  <c r="J1690" i="3"/>
  <c r="J1698" i="3"/>
  <c r="J1706" i="3"/>
  <c r="J1714" i="3"/>
  <c r="J1722" i="3"/>
  <c r="J1730" i="3"/>
  <c r="J1738" i="3"/>
  <c r="J1746" i="3"/>
  <c r="J1754" i="3"/>
  <c r="J1762" i="3"/>
  <c r="J1770" i="3"/>
  <c r="J1778" i="3"/>
  <c r="J1786" i="3"/>
  <c r="J1794" i="3"/>
  <c r="J1802" i="3"/>
  <c r="J1810" i="3"/>
  <c r="J1818" i="3"/>
  <c r="J1826" i="3"/>
  <c r="J1834" i="3"/>
  <c r="J1842" i="3"/>
  <c r="J1850" i="3"/>
  <c r="J1858" i="3"/>
  <c r="J1866" i="3"/>
  <c r="J1874" i="3"/>
  <c r="J1882" i="3"/>
  <c r="J1890" i="3"/>
  <c r="J1898" i="3"/>
  <c r="J1906" i="3"/>
  <c r="O1560" i="3"/>
  <c r="O1592" i="3"/>
  <c r="O1624" i="3"/>
  <c r="O1648" i="3"/>
  <c r="O1669" i="3"/>
  <c r="O1689" i="3"/>
  <c r="O1712" i="3"/>
  <c r="O1733" i="3"/>
  <c r="O1753" i="3"/>
  <c r="O1776" i="3"/>
  <c r="O1797" i="3"/>
  <c r="O1817" i="3"/>
  <c r="O1840" i="3"/>
  <c r="O1856" i="3"/>
  <c r="O1866" i="3"/>
  <c r="O1877" i="3"/>
  <c r="O1888" i="3"/>
  <c r="O1898" i="3"/>
  <c r="O1909" i="3"/>
  <c r="O1920" i="3"/>
  <c r="O1930" i="3"/>
  <c r="O1938" i="3"/>
  <c r="O1946" i="3"/>
  <c r="O1954" i="3"/>
  <c r="O1962" i="3"/>
  <c r="O1970" i="3"/>
  <c r="O1978" i="3"/>
  <c r="O1986" i="3"/>
  <c r="O1994" i="3"/>
  <c r="O2002" i="3"/>
  <c r="O2010" i="3"/>
  <c r="O2018" i="3"/>
  <c r="O2026" i="3"/>
  <c r="O2034" i="3"/>
  <c r="O2042" i="3"/>
  <c r="O2050" i="3"/>
  <c r="O2058" i="3"/>
  <c r="O2066" i="3"/>
  <c r="O2074" i="3"/>
  <c r="O2082" i="3"/>
  <c r="O2090" i="3"/>
  <c r="O2098" i="3"/>
  <c r="J1099" i="3"/>
  <c r="J1107" i="3"/>
  <c r="J1115" i="3"/>
  <c r="J1123" i="3"/>
  <c r="J1131" i="3"/>
  <c r="J1139" i="3"/>
  <c r="J1147" i="3"/>
  <c r="J1155" i="3"/>
  <c r="J1163" i="3"/>
  <c r="J1171" i="3"/>
  <c r="J1179" i="3"/>
  <c r="J1187" i="3"/>
  <c r="J1195" i="3"/>
  <c r="J1203" i="3"/>
  <c r="J1211" i="3"/>
  <c r="J1219" i="3"/>
  <c r="J1227" i="3"/>
  <c r="J1235" i="3"/>
  <c r="J1243" i="3"/>
  <c r="J1251" i="3"/>
  <c r="J1259" i="3"/>
  <c r="J1267" i="3"/>
  <c r="J1275" i="3"/>
  <c r="J1283" i="3"/>
  <c r="J1291" i="3"/>
  <c r="J1299" i="3"/>
  <c r="J1307" i="3"/>
  <c r="J1315" i="3"/>
  <c r="J1323" i="3"/>
  <c r="J1331" i="3"/>
  <c r="J1339" i="3"/>
  <c r="J1347" i="3"/>
  <c r="J1355" i="3"/>
  <c r="J1363" i="3"/>
  <c r="J1371" i="3"/>
  <c r="J1379" i="3"/>
  <c r="J1387" i="3"/>
  <c r="J1395" i="3"/>
  <c r="J1403" i="3"/>
  <c r="J1411" i="3"/>
  <c r="J1419" i="3"/>
  <c r="J1427" i="3"/>
  <c r="J1435" i="3"/>
  <c r="J1443" i="3"/>
  <c r="J1451" i="3"/>
  <c r="J1459" i="3"/>
  <c r="J1467" i="3"/>
  <c r="J1475" i="3"/>
  <c r="J1483" i="3"/>
  <c r="J1491" i="3"/>
  <c r="J1499" i="3"/>
  <c r="J1507" i="3"/>
  <c r="J1515" i="3"/>
  <c r="J1523" i="3"/>
  <c r="J1531" i="3"/>
  <c r="J1539" i="3"/>
  <c r="J1547" i="3"/>
  <c r="J1555" i="3"/>
  <c r="J1563" i="3"/>
  <c r="J1571" i="3"/>
  <c r="J1579" i="3"/>
  <c r="J1619" i="3"/>
  <c r="J1683" i="3"/>
  <c r="J1747" i="3"/>
  <c r="J1787" i="3"/>
  <c r="J1819" i="3"/>
  <c r="J1851" i="3"/>
  <c r="J1883" i="3"/>
  <c r="J1914" i="3"/>
  <c r="J1932" i="3"/>
  <c r="J1954" i="3"/>
  <c r="J1970" i="3"/>
  <c r="J1986" i="3"/>
  <c r="J2002" i="3"/>
  <c r="J2017" i="3"/>
  <c r="J2028" i="3"/>
  <c r="J2042" i="3"/>
  <c r="J2055" i="3"/>
  <c r="J2067" i="3"/>
  <c r="J2081" i="3"/>
  <c r="J2092" i="3"/>
  <c r="J7" i="3"/>
  <c r="J20" i="3"/>
  <c r="J31" i="3"/>
  <c r="J41" i="3"/>
  <c r="J52" i="3"/>
  <c r="J63" i="3"/>
  <c r="J73" i="3"/>
  <c r="J84" i="3"/>
  <c r="J95" i="3"/>
  <c r="J105" i="3"/>
  <c r="J114" i="3"/>
  <c r="J123" i="3"/>
  <c r="J132" i="3"/>
  <c r="J142" i="3"/>
  <c r="J151" i="3"/>
  <c r="J160" i="3"/>
  <c r="J169" i="3"/>
  <c r="J177" i="3"/>
  <c r="J185" i="3"/>
  <c r="J193" i="3"/>
  <c r="J201" i="3"/>
  <c r="J209" i="3"/>
  <c r="J217" i="3"/>
  <c r="J225" i="3"/>
  <c r="J233" i="3"/>
  <c r="J241" i="3"/>
  <c r="J249" i="3"/>
  <c r="J257" i="3"/>
  <c r="J265" i="3"/>
  <c r="J281" i="3"/>
  <c r="J289" i="3"/>
  <c r="J297" i="3"/>
  <c r="J305" i="3"/>
  <c r="J313" i="3"/>
  <c r="J321" i="3"/>
  <c r="J329" i="3"/>
  <c r="J337" i="3"/>
  <c r="J345" i="3"/>
  <c r="J353" i="3"/>
  <c r="J369" i="3"/>
  <c r="J385" i="3"/>
  <c r="J401" i="3"/>
  <c r="J417" i="3"/>
  <c r="J425" i="3"/>
  <c r="J441" i="3"/>
  <c r="J457" i="3"/>
  <c r="J473" i="3"/>
  <c r="J489" i="3"/>
  <c r="J505" i="3"/>
  <c r="J521" i="3"/>
  <c r="J537" i="3"/>
  <c r="J553" i="3"/>
  <c r="J577" i="3"/>
  <c r="J593" i="3"/>
  <c r="J609" i="3"/>
  <c r="J745" i="3"/>
  <c r="J753" i="3"/>
  <c r="J761" i="3"/>
  <c r="J769" i="3"/>
  <c r="J777" i="3"/>
  <c r="J785" i="3"/>
  <c r="J793" i="3"/>
  <c r="J801" i="3"/>
  <c r="J809" i="3"/>
  <c r="J817" i="3"/>
  <c r="J825" i="3"/>
  <c r="J833" i="3"/>
  <c r="J841" i="3"/>
  <c r="J849" i="3"/>
  <c r="J857" i="3"/>
  <c r="J865" i="3"/>
  <c r="J873" i="3"/>
  <c r="J881" i="3"/>
  <c r="J889" i="3"/>
  <c r="J897" i="3"/>
  <c r="J905" i="3"/>
  <c r="J913" i="3"/>
  <c r="J921" i="3"/>
  <c r="J929" i="3"/>
  <c r="J937" i="3"/>
  <c r="J945" i="3"/>
  <c r="J953" i="3"/>
  <c r="J961" i="3"/>
  <c r="J969" i="3"/>
  <c r="J977" i="3"/>
  <c r="J985" i="3"/>
  <c r="J993" i="3"/>
  <c r="J1001" i="3"/>
  <c r="J1009" i="3"/>
  <c r="J1017" i="3"/>
  <c r="J1025" i="3"/>
  <c r="J1033" i="3"/>
  <c r="J1041" i="3"/>
  <c r="J1049" i="3"/>
  <c r="J1057" i="3"/>
  <c r="J1065" i="3"/>
  <c r="J1073" i="3"/>
  <c r="J1081" i="3"/>
  <c r="J1089" i="3"/>
  <c r="J1779" i="3"/>
  <c r="J1627" i="3"/>
  <c r="J1691" i="3"/>
  <c r="J1755" i="3"/>
  <c r="J1788" i="3"/>
  <c r="J1820" i="3"/>
  <c r="J1852" i="3"/>
  <c r="J1884" i="3"/>
  <c r="J1915" i="3"/>
  <c r="J1938" i="3"/>
  <c r="J1955" i="3"/>
  <c r="J1971" i="3"/>
  <c r="J1987" i="3"/>
  <c r="J2003" i="3"/>
  <c r="J2018" i="3"/>
  <c r="J2031" i="3"/>
  <c r="J2043" i="3"/>
  <c r="J2057" i="3"/>
  <c r="J2068" i="3"/>
  <c r="J2082" i="3"/>
  <c r="J2095" i="3"/>
  <c r="J8" i="3"/>
  <c r="J22" i="3"/>
  <c r="J32" i="3"/>
  <c r="J42" i="3"/>
  <c r="J54" i="3"/>
  <c r="J64" i="3"/>
  <c r="J74" i="3"/>
  <c r="J86" i="3"/>
  <c r="J96" i="3"/>
  <c r="J106" i="3"/>
  <c r="J115" i="3"/>
  <c r="J124" i="3"/>
  <c r="J134" i="3"/>
  <c r="J143" i="3"/>
  <c r="J152" i="3"/>
  <c r="J161" i="3"/>
  <c r="J170" i="3"/>
  <c r="J178" i="3"/>
  <c r="J186" i="3"/>
  <c r="J194" i="3"/>
  <c r="J202" i="3"/>
  <c r="J210" i="3"/>
  <c r="J218" i="3"/>
  <c r="J226" i="3"/>
  <c r="J234" i="3"/>
  <c r="J242" i="3"/>
  <c r="J250" i="3"/>
  <c r="J258" i="3"/>
  <c r="J266" i="3"/>
  <c r="J274" i="3"/>
  <c r="J282" i="3"/>
  <c r="J290" i="3"/>
  <c r="J298" i="3"/>
  <c r="J306" i="3"/>
  <c r="J314" i="3"/>
  <c r="J322" i="3"/>
  <c r="J330" i="3"/>
  <c r="J338" i="3"/>
  <c r="J346" i="3"/>
  <c r="J354" i="3"/>
  <c r="J362" i="3"/>
  <c r="J370" i="3"/>
  <c r="J378" i="3"/>
  <c r="J386" i="3"/>
  <c r="J394" i="3"/>
  <c r="J402" i="3"/>
  <c r="J410" i="3"/>
  <c r="J418" i="3"/>
  <c r="J426" i="3"/>
  <c r="J434" i="3"/>
  <c r="J442" i="3"/>
  <c r="J450" i="3"/>
  <c r="J458" i="3"/>
  <c r="J466" i="3"/>
  <c r="J474" i="3"/>
  <c r="J482" i="3"/>
  <c r="J490" i="3"/>
  <c r="J498" i="3"/>
  <c r="J506" i="3"/>
  <c r="J514" i="3"/>
  <c r="J522" i="3"/>
  <c r="J530" i="3"/>
  <c r="J538" i="3"/>
  <c r="J546" i="3"/>
  <c r="J554" i="3"/>
  <c r="J562" i="3"/>
  <c r="J570" i="3"/>
  <c r="J578" i="3"/>
  <c r="J586" i="3"/>
  <c r="J594" i="3"/>
  <c r="J602" i="3"/>
  <c r="J610" i="3"/>
  <c r="J618" i="3"/>
  <c r="J626" i="3"/>
  <c r="J634" i="3"/>
  <c r="J642" i="3"/>
  <c r="J650" i="3"/>
  <c r="J658" i="3"/>
  <c r="J666" i="3"/>
  <c r="J674" i="3"/>
  <c r="J682" i="3"/>
  <c r="J690" i="3"/>
  <c r="J698" i="3"/>
  <c r="J706" i="3"/>
  <c r="J714" i="3"/>
  <c r="J722" i="3"/>
  <c r="J730" i="3"/>
  <c r="J738" i="3"/>
  <c r="J746" i="3"/>
  <c r="J754" i="3"/>
  <c r="J762" i="3"/>
  <c r="J770" i="3"/>
  <c r="J778" i="3"/>
  <c r="J786" i="3"/>
  <c r="J794" i="3"/>
  <c r="J802" i="3"/>
  <c r="J810" i="3"/>
  <c r="J818" i="3"/>
  <c r="J826" i="3"/>
  <c r="J834" i="3"/>
  <c r="J842" i="3"/>
  <c r="J850" i="3"/>
  <c r="J858" i="3"/>
  <c r="J866" i="3"/>
  <c r="J874" i="3"/>
  <c r="J882" i="3"/>
  <c r="J890" i="3"/>
  <c r="J898" i="3"/>
  <c r="J906" i="3"/>
  <c r="J914" i="3"/>
  <c r="J922" i="3"/>
  <c r="J930" i="3"/>
  <c r="J938" i="3"/>
  <c r="J946" i="3"/>
  <c r="J954" i="3"/>
  <c r="J962" i="3"/>
  <c r="J970" i="3"/>
  <c r="J978" i="3"/>
  <c r="J986" i="3"/>
  <c r="J994" i="3"/>
  <c r="J1002" i="3"/>
  <c r="J1010" i="3"/>
  <c r="J1018" i="3"/>
  <c r="J1026" i="3"/>
  <c r="J1034" i="3"/>
  <c r="J1042" i="3"/>
  <c r="J1050" i="3"/>
  <c r="J1058" i="3"/>
  <c r="J1066" i="3"/>
  <c r="J1074" i="3"/>
  <c r="J1082" i="3"/>
  <c r="J1090" i="3"/>
  <c r="J700" i="3"/>
  <c r="J756" i="3"/>
  <c r="J780" i="3"/>
  <c r="J788" i="3"/>
  <c r="J812" i="3"/>
  <c r="J828" i="3"/>
  <c r="J852" i="3"/>
  <c r="J876" i="3"/>
  <c r="J892" i="3"/>
  <c r="J916" i="3"/>
  <c r="J940" i="3"/>
  <c r="J948" i="3"/>
  <c r="J972" i="3"/>
  <c r="J988" i="3"/>
  <c r="J1012" i="3"/>
  <c r="J1028" i="3"/>
  <c r="J1052" i="3"/>
  <c r="J1060" i="3"/>
  <c r="J1084" i="3"/>
  <c r="J1005" i="3"/>
  <c r="J1037" i="3"/>
  <c r="J1069" i="3"/>
  <c r="J1085" i="3"/>
  <c r="J167" i="3"/>
  <c r="J807" i="3"/>
  <c r="J959" i="3"/>
  <c r="J1007" i="3"/>
  <c r="J1039" i="3"/>
  <c r="J1071" i="3"/>
  <c r="J1635" i="3"/>
  <c r="J1699" i="3"/>
  <c r="J1763" i="3"/>
  <c r="J1795" i="3"/>
  <c r="J1827" i="3"/>
  <c r="J1859" i="3"/>
  <c r="J1891" i="3"/>
  <c r="J1916" i="3"/>
  <c r="J1939" i="3"/>
  <c r="J1956" i="3"/>
  <c r="J1972" i="3"/>
  <c r="J1988" i="3"/>
  <c r="J2004" i="3"/>
  <c r="J2019" i="3"/>
  <c r="J2033" i="3"/>
  <c r="J2044" i="3"/>
  <c r="J2058" i="3"/>
  <c r="J2071" i="3"/>
  <c r="J2083" i="3"/>
  <c r="J2097" i="3"/>
  <c r="J9" i="3"/>
  <c r="J23" i="3"/>
  <c r="J33" i="3"/>
  <c r="J44" i="3"/>
  <c r="J55" i="3"/>
  <c r="J65" i="3"/>
  <c r="J76" i="3"/>
  <c r="J87" i="3"/>
  <c r="J97" i="3"/>
  <c r="J107" i="3"/>
  <c r="J116" i="3"/>
  <c r="J126" i="3"/>
  <c r="J135" i="3"/>
  <c r="J144" i="3"/>
  <c r="J153" i="3"/>
  <c r="J162" i="3"/>
  <c r="J171" i="3"/>
  <c r="J179" i="3"/>
  <c r="J187" i="3"/>
  <c r="J195" i="3"/>
  <c r="J203" i="3"/>
  <c r="J211" i="3"/>
  <c r="J219" i="3"/>
  <c r="J227" i="3"/>
  <c r="J235" i="3"/>
  <c r="J243" i="3"/>
  <c r="J251" i="3"/>
  <c r="J259" i="3"/>
  <c r="J267" i="3"/>
  <c r="J275" i="3"/>
  <c r="J283" i="3"/>
  <c r="J291" i="3"/>
  <c r="J299" i="3"/>
  <c r="J307" i="3"/>
  <c r="J315" i="3"/>
  <c r="J323" i="3"/>
  <c r="J331" i="3"/>
  <c r="J339" i="3"/>
  <c r="J347" i="3"/>
  <c r="J355" i="3"/>
  <c r="J363" i="3"/>
  <c r="J371" i="3"/>
  <c r="J379" i="3"/>
  <c r="J387" i="3"/>
  <c r="J395" i="3"/>
  <c r="J403" i="3"/>
  <c r="J411" i="3"/>
  <c r="J419" i="3"/>
  <c r="J427" i="3"/>
  <c r="J435" i="3"/>
  <c r="J443" i="3"/>
  <c r="J451" i="3"/>
  <c r="J459" i="3"/>
  <c r="J467" i="3"/>
  <c r="J475" i="3"/>
  <c r="J483" i="3"/>
  <c r="J491" i="3"/>
  <c r="J499" i="3"/>
  <c r="J507" i="3"/>
  <c r="J515" i="3"/>
  <c r="J523" i="3"/>
  <c r="J531" i="3"/>
  <c r="J539" i="3"/>
  <c r="J547" i="3"/>
  <c r="J555" i="3"/>
  <c r="J563" i="3"/>
  <c r="J571" i="3"/>
  <c r="J579" i="3"/>
  <c r="J587" i="3"/>
  <c r="J595" i="3"/>
  <c r="J603" i="3"/>
  <c r="J611" i="3"/>
  <c r="J619" i="3"/>
  <c r="J627" i="3"/>
  <c r="J635" i="3"/>
  <c r="J643" i="3"/>
  <c r="J651" i="3"/>
  <c r="J659" i="3"/>
  <c r="J667" i="3"/>
  <c r="J675" i="3"/>
  <c r="J683" i="3"/>
  <c r="J691" i="3"/>
  <c r="J699" i="3"/>
  <c r="J707" i="3"/>
  <c r="J715" i="3"/>
  <c r="J723" i="3"/>
  <c r="J731" i="3"/>
  <c r="J739" i="3"/>
  <c r="J747" i="3"/>
  <c r="J755" i="3"/>
  <c r="J763" i="3"/>
  <c r="J771" i="3"/>
  <c r="J779" i="3"/>
  <c r="J787" i="3"/>
  <c r="J795" i="3"/>
  <c r="J803" i="3"/>
  <c r="J811" i="3"/>
  <c r="J819" i="3"/>
  <c r="J827" i="3"/>
  <c r="J835" i="3"/>
  <c r="J843" i="3"/>
  <c r="J851" i="3"/>
  <c r="J859" i="3"/>
  <c r="J867" i="3"/>
  <c r="J875" i="3"/>
  <c r="J883" i="3"/>
  <c r="J891" i="3"/>
  <c r="J899" i="3"/>
  <c r="J907" i="3"/>
  <c r="J915" i="3"/>
  <c r="J923" i="3"/>
  <c r="J931" i="3"/>
  <c r="J939" i="3"/>
  <c r="J947" i="3"/>
  <c r="J955" i="3"/>
  <c r="J963" i="3"/>
  <c r="J971" i="3"/>
  <c r="J979" i="3"/>
  <c r="J987" i="3"/>
  <c r="J995" i="3"/>
  <c r="J1003" i="3"/>
  <c r="J1011" i="3"/>
  <c r="J1019" i="3"/>
  <c r="J1027" i="3"/>
  <c r="J1035" i="3"/>
  <c r="J1043" i="3"/>
  <c r="J1051" i="3"/>
  <c r="J1059" i="3"/>
  <c r="J1067" i="3"/>
  <c r="J1075" i="3"/>
  <c r="J1083" i="3"/>
  <c r="J1091" i="3"/>
  <c r="J66" i="3"/>
  <c r="J180" i="3"/>
  <c r="J204" i="3"/>
  <c r="J220" i="3"/>
  <c r="J236" i="3"/>
  <c r="J252" i="3"/>
  <c r="J276" i="3"/>
  <c r="J292" i="3"/>
  <c r="J308" i="3"/>
  <c r="J324" i="3"/>
  <c r="J340" i="3"/>
  <c r="J356" i="3"/>
  <c r="J372" i="3"/>
  <c r="J388" i="3"/>
  <c r="J404" i="3"/>
  <c r="J428" i="3"/>
  <c r="J444" i="3"/>
  <c r="J460" i="3"/>
  <c r="J476" i="3"/>
  <c r="J492" i="3"/>
  <c r="J516" i="3"/>
  <c r="J532" i="3"/>
  <c r="J548" i="3"/>
  <c r="J564" i="3"/>
  <c r="J580" i="3"/>
  <c r="J596" i="3"/>
  <c r="J612" i="3"/>
  <c r="J628" i="3"/>
  <c r="J652" i="3"/>
  <c r="J668" i="3"/>
  <c r="J684" i="3"/>
  <c r="J708" i="3"/>
  <c r="J724" i="3"/>
  <c r="J740" i="3"/>
  <c r="J764" i="3"/>
  <c r="J804" i="3"/>
  <c r="J836" i="3"/>
  <c r="J868" i="3"/>
  <c r="J900" i="3"/>
  <c r="J924" i="3"/>
  <c r="J964" i="3"/>
  <c r="J996" i="3"/>
  <c r="J1036" i="3"/>
  <c r="J1068" i="3"/>
  <c r="J1013" i="3"/>
  <c r="J1053" i="3"/>
  <c r="J1093" i="3"/>
  <c r="J71" i="3"/>
  <c r="J415" i="3"/>
  <c r="J455" i="3"/>
  <c r="J471" i="3"/>
  <c r="J487" i="3"/>
  <c r="J503" i="3"/>
  <c r="J519" i="3"/>
  <c r="J535" i="3"/>
  <c r="J551" i="3"/>
  <c r="J567" i="3"/>
  <c r="J583" i="3"/>
  <c r="J599" i="3"/>
  <c r="J615" i="3"/>
  <c r="J631" i="3"/>
  <c r="J647" i="3"/>
  <c r="J663" i="3"/>
  <c r="J679" i="3"/>
  <c r="J695" i="3"/>
  <c r="J711" i="3"/>
  <c r="J727" i="3"/>
  <c r="J743" i="3"/>
  <c r="J759" i="3"/>
  <c r="J775" i="3"/>
  <c r="J791" i="3"/>
  <c r="J815" i="3"/>
  <c r="J831" i="3"/>
  <c r="J847" i="3"/>
  <c r="J871" i="3"/>
  <c r="J887" i="3"/>
  <c r="J903" i="3"/>
  <c r="J919" i="3"/>
  <c r="J935" i="3"/>
  <c r="J951" i="3"/>
  <c r="J975" i="3"/>
  <c r="J999" i="3"/>
  <c r="J1023" i="3"/>
  <c r="J1055" i="3"/>
  <c r="J1079" i="3"/>
  <c r="J1643" i="3"/>
  <c r="J1707" i="3"/>
  <c r="J1764" i="3"/>
  <c r="J1796" i="3"/>
  <c r="J1828" i="3"/>
  <c r="J1860" i="3"/>
  <c r="J1892" i="3"/>
  <c r="J1922" i="3"/>
  <c r="J1940" i="3"/>
  <c r="J1961" i="3"/>
  <c r="J1977" i="3"/>
  <c r="J1993" i="3"/>
  <c r="J2009" i="3"/>
  <c r="J2020" i="3"/>
  <c r="J2034" i="3"/>
  <c r="J2047" i="3"/>
  <c r="J2059" i="3"/>
  <c r="J2073" i="3"/>
  <c r="J2084" i="3"/>
  <c r="J2098" i="3"/>
  <c r="J12" i="3"/>
  <c r="J24" i="3"/>
  <c r="J34" i="3"/>
  <c r="J46" i="3"/>
  <c r="J56" i="3"/>
  <c r="J78" i="3"/>
  <c r="J88" i="3"/>
  <c r="J98" i="3"/>
  <c r="J108" i="3"/>
  <c r="J118" i="3"/>
  <c r="J127" i="3"/>
  <c r="J136" i="3"/>
  <c r="J145" i="3"/>
  <c r="J154" i="3"/>
  <c r="J163" i="3"/>
  <c r="J172" i="3"/>
  <c r="J188" i="3"/>
  <c r="J196" i="3"/>
  <c r="J212" i="3"/>
  <c r="J228" i="3"/>
  <c r="J244" i="3"/>
  <c r="J260" i="3"/>
  <c r="J268" i="3"/>
  <c r="J284" i="3"/>
  <c r="J300" i="3"/>
  <c r="J316" i="3"/>
  <c r="J332" i="3"/>
  <c r="J348" i="3"/>
  <c r="J364" i="3"/>
  <c r="J380" i="3"/>
  <c r="J396" i="3"/>
  <c r="J412" i="3"/>
  <c r="J420" i="3"/>
  <c r="J436" i="3"/>
  <c r="J452" i="3"/>
  <c r="J468" i="3"/>
  <c r="J484" i="3"/>
  <c r="J500" i="3"/>
  <c r="J508" i="3"/>
  <c r="J524" i="3"/>
  <c r="J540" i="3"/>
  <c r="J556" i="3"/>
  <c r="J572" i="3"/>
  <c r="J588" i="3"/>
  <c r="J604" i="3"/>
  <c r="J620" i="3"/>
  <c r="J636" i="3"/>
  <c r="J644" i="3"/>
  <c r="J660" i="3"/>
  <c r="J676" i="3"/>
  <c r="J692" i="3"/>
  <c r="J716" i="3"/>
  <c r="J732" i="3"/>
  <c r="J748" i="3"/>
  <c r="J772" i="3"/>
  <c r="J796" i="3"/>
  <c r="J820" i="3"/>
  <c r="J844" i="3"/>
  <c r="J860" i="3"/>
  <c r="J884" i="3"/>
  <c r="J908" i="3"/>
  <c r="J932" i="3"/>
  <c r="J956" i="3"/>
  <c r="J980" i="3"/>
  <c r="J1004" i="3"/>
  <c r="J1020" i="3"/>
  <c r="J1044" i="3"/>
  <c r="J1076" i="3"/>
  <c r="J1092" i="3"/>
  <c r="J1021" i="3"/>
  <c r="J1045" i="3"/>
  <c r="J1077" i="3"/>
  <c r="J1587" i="3"/>
  <c r="J1651" i="3"/>
  <c r="J1715" i="3"/>
  <c r="J1771" i="3"/>
  <c r="J1803" i="3"/>
  <c r="J1835" i="3"/>
  <c r="J1867" i="3"/>
  <c r="J1899" i="3"/>
  <c r="J1923" i="3"/>
  <c r="J1946" i="3"/>
  <c r="J1962" i="3"/>
  <c r="J1978" i="3"/>
  <c r="J1994" i="3"/>
  <c r="J2010" i="3"/>
  <c r="J2023" i="3"/>
  <c r="J2035" i="3"/>
  <c r="J2049" i="3"/>
  <c r="J2060" i="3"/>
  <c r="J2074" i="3"/>
  <c r="J2087" i="3"/>
  <c r="J2099" i="3"/>
  <c r="J14" i="3"/>
  <c r="J25" i="3"/>
  <c r="J36" i="3"/>
  <c r="J47" i="3"/>
  <c r="J57" i="3"/>
  <c r="J68" i="3"/>
  <c r="J79" i="3"/>
  <c r="J89" i="3"/>
  <c r="J100" i="3"/>
  <c r="J110" i="3"/>
  <c r="J119" i="3"/>
  <c r="J128" i="3"/>
  <c r="J137" i="3"/>
  <c r="J146" i="3"/>
  <c r="J155" i="3"/>
  <c r="J164" i="3"/>
  <c r="J173" i="3"/>
  <c r="J181" i="3"/>
  <c r="J189" i="3"/>
  <c r="J197" i="3"/>
  <c r="J205" i="3"/>
  <c r="J213" i="3"/>
  <c r="J221" i="3"/>
  <c r="J229" i="3"/>
  <c r="J237" i="3"/>
  <c r="J245" i="3"/>
  <c r="J253" i="3"/>
  <c r="J261" i="3"/>
  <c r="J269" i="3"/>
  <c r="J277" i="3"/>
  <c r="J285" i="3"/>
  <c r="J293" i="3"/>
  <c r="J301" i="3"/>
  <c r="J309" i="3"/>
  <c r="J317" i="3"/>
  <c r="J325" i="3"/>
  <c r="J333" i="3"/>
  <c r="J341" i="3"/>
  <c r="J349" i="3"/>
  <c r="J357" i="3"/>
  <c r="J365" i="3"/>
  <c r="J373" i="3"/>
  <c r="J381" i="3"/>
  <c r="J389" i="3"/>
  <c r="J397" i="3"/>
  <c r="J405" i="3"/>
  <c r="J413" i="3"/>
  <c r="J421" i="3"/>
  <c r="J429" i="3"/>
  <c r="J437" i="3"/>
  <c r="J445" i="3"/>
  <c r="J453" i="3"/>
  <c r="J461" i="3"/>
  <c r="J469" i="3"/>
  <c r="J477" i="3"/>
  <c r="J485" i="3"/>
  <c r="J493" i="3"/>
  <c r="J501" i="3"/>
  <c r="J509" i="3"/>
  <c r="J517" i="3"/>
  <c r="J525" i="3"/>
  <c r="J533" i="3"/>
  <c r="J541" i="3"/>
  <c r="J549" i="3"/>
  <c r="J557" i="3"/>
  <c r="J565" i="3"/>
  <c r="J573" i="3"/>
  <c r="J581" i="3"/>
  <c r="J589" i="3"/>
  <c r="J597" i="3"/>
  <c r="J605" i="3"/>
  <c r="J613" i="3"/>
  <c r="J621" i="3"/>
  <c r="J629" i="3"/>
  <c r="J637" i="3"/>
  <c r="J645" i="3"/>
  <c r="J653" i="3"/>
  <c r="J661" i="3"/>
  <c r="J669" i="3"/>
  <c r="J677" i="3"/>
  <c r="J685" i="3"/>
  <c r="J693" i="3"/>
  <c r="J701" i="3"/>
  <c r="J709" i="3"/>
  <c r="J717" i="3"/>
  <c r="J725" i="3"/>
  <c r="J733" i="3"/>
  <c r="J741" i="3"/>
  <c r="J749" i="3"/>
  <c r="J757" i="3"/>
  <c r="J765" i="3"/>
  <c r="J773" i="3"/>
  <c r="J781" i="3"/>
  <c r="J789" i="3"/>
  <c r="J797" i="3"/>
  <c r="J805" i="3"/>
  <c r="J813" i="3"/>
  <c r="J821" i="3"/>
  <c r="J829" i="3"/>
  <c r="J837" i="3"/>
  <c r="J845" i="3"/>
  <c r="J853" i="3"/>
  <c r="J861" i="3"/>
  <c r="J869" i="3"/>
  <c r="J877" i="3"/>
  <c r="J885" i="3"/>
  <c r="J893" i="3"/>
  <c r="J901" i="3"/>
  <c r="J909" i="3"/>
  <c r="J917" i="3"/>
  <c r="J925" i="3"/>
  <c r="J933" i="3"/>
  <c r="J941" i="3"/>
  <c r="J949" i="3"/>
  <c r="J957" i="3"/>
  <c r="J965" i="3"/>
  <c r="J973" i="3"/>
  <c r="J981" i="3"/>
  <c r="J989" i="3"/>
  <c r="J997" i="3"/>
  <c r="J1029" i="3"/>
  <c r="J1061" i="3"/>
  <c r="J239" i="3"/>
  <c r="J1595" i="3"/>
  <c r="J1659" i="3"/>
  <c r="J1723" i="3"/>
  <c r="J1772" i="3"/>
  <c r="J1804" i="3"/>
  <c r="J1836" i="3"/>
  <c r="J1868" i="3"/>
  <c r="J1900" i="3"/>
  <c r="J1924" i="3"/>
  <c r="J1947" i="3"/>
  <c r="J1963" i="3"/>
  <c r="J1979" i="3"/>
  <c r="J1995" i="3"/>
  <c r="J2011" i="3"/>
  <c r="J2025" i="3"/>
  <c r="J2036" i="3"/>
  <c r="J2050" i="3"/>
  <c r="J2063" i="3"/>
  <c r="J2075" i="3"/>
  <c r="J2089" i="3"/>
  <c r="J2100" i="3"/>
  <c r="J15" i="3"/>
  <c r="J26" i="3"/>
  <c r="J38" i="3"/>
  <c r="J48" i="3"/>
  <c r="J58" i="3"/>
  <c r="J70" i="3"/>
  <c r="J80" i="3"/>
  <c r="J90" i="3"/>
  <c r="J102" i="3"/>
  <c r="J111" i="3"/>
  <c r="J120" i="3"/>
  <c r="J129" i="3"/>
  <c r="J138" i="3"/>
  <c r="J147" i="3"/>
  <c r="J156" i="3"/>
  <c r="J166" i="3"/>
  <c r="J174" i="3"/>
  <c r="J182" i="3"/>
  <c r="J190" i="3"/>
  <c r="J198" i="3"/>
  <c r="J206" i="3"/>
  <c r="J214" i="3"/>
  <c r="J222" i="3"/>
  <c r="J230" i="3"/>
  <c r="J238" i="3"/>
  <c r="J246" i="3"/>
  <c r="J254" i="3"/>
  <c r="J262" i="3"/>
  <c r="J270" i="3"/>
  <c r="J278" i="3"/>
  <c r="J286" i="3"/>
  <c r="J294" i="3"/>
  <c r="J302" i="3"/>
  <c r="J310" i="3"/>
  <c r="J318" i="3"/>
  <c r="J326" i="3"/>
  <c r="J334" i="3"/>
  <c r="J342" i="3"/>
  <c r="J350" i="3"/>
  <c r="J358" i="3"/>
  <c r="J366" i="3"/>
  <c r="J374" i="3"/>
  <c r="J382" i="3"/>
  <c r="J390" i="3"/>
  <c r="J398" i="3"/>
  <c r="J406" i="3"/>
  <c r="J414" i="3"/>
  <c r="J422" i="3"/>
  <c r="J430" i="3"/>
  <c r="J438" i="3"/>
  <c r="J446" i="3"/>
  <c r="J454" i="3"/>
  <c r="J462" i="3"/>
  <c r="J470" i="3"/>
  <c r="J478" i="3"/>
  <c r="J486" i="3"/>
  <c r="J494" i="3"/>
  <c r="J502" i="3"/>
  <c r="J510" i="3"/>
  <c r="J518" i="3"/>
  <c r="J526" i="3"/>
  <c r="J534" i="3"/>
  <c r="J542" i="3"/>
  <c r="J550" i="3"/>
  <c r="J558" i="3"/>
  <c r="J566" i="3"/>
  <c r="J574" i="3"/>
  <c r="J582" i="3"/>
  <c r="J590" i="3"/>
  <c r="J598" i="3"/>
  <c r="J606" i="3"/>
  <c r="J614" i="3"/>
  <c r="J622" i="3"/>
  <c r="J630" i="3"/>
  <c r="J638" i="3"/>
  <c r="J646" i="3"/>
  <c r="J654" i="3"/>
  <c r="J662" i="3"/>
  <c r="J670" i="3"/>
  <c r="J678" i="3"/>
  <c r="J686" i="3"/>
  <c r="J694" i="3"/>
  <c r="J702" i="3"/>
  <c r="J710" i="3"/>
  <c r="J718" i="3"/>
  <c r="J726" i="3"/>
  <c r="J734" i="3"/>
  <c r="J742" i="3"/>
  <c r="J750" i="3"/>
  <c r="J758" i="3"/>
  <c r="J766" i="3"/>
  <c r="J774" i="3"/>
  <c r="J782" i="3"/>
  <c r="J790" i="3"/>
  <c r="J798" i="3"/>
  <c r="J806" i="3"/>
  <c r="J814" i="3"/>
  <c r="J822" i="3"/>
  <c r="J830" i="3"/>
  <c r="J838" i="3"/>
  <c r="J846" i="3"/>
  <c r="J854" i="3"/>
  <c r="J862" i="3"/>
  <c r="J870" i="3"/>
  <c r="J878" i="3"/>
  <c r="J886" i="3"/>
  <c r="J894" i="3"/>
  <c r="J902" i="3"/>
  <c r="J910" i="3"/>
  <c r="J918" i="3"/>
  <c r="J926" i="3"/>
  <c r="J934" i="3"/>
  <c r="J942" i="3"/>
  <c r="J950" i="3"/>
  <c r="J958" i="3"/>
  <c r="J966" i="3"/>
  <c r="J974" i="3"/>
  <c r="J982" i="3"/>
  <c r="J990" i="3"/>
  <c r="J998" i="3"/>
  <c r="J1006" i="3"/>
  <c r="J1014" i="3"/>
  <c r="J1022" i="3"/>
  <c r="J1030" i="3"/>
  <c r="J1038" i="3"/>
  <c r="J1046" i="3"/>
  <c r="J1054" i="3"/>
  <c r="J1062" i="3"/>
  <c r="J1070" i="3"/>
  <c r="J1078" i="3"/>
  <c r="J1086" i="3"/>
  <c r="J1094" i="3"/>
  <c r="J1603" i="3"/>
  <c r="J1667" i="3"/>
  <c r="J1731" i="3"/>
  <c r="J1811" i="3"/>
  <c r="J1843" i="3"/>
  <c r="J1875" i="3"/>
  <c r="J1907" i="3"/>
  <c r="J1930" i="3"/>
  <c r="J1948" i="3"/>
  <c r="J1964" i="3"/>
  <c r="J1996" i="3"/>
  <c r="J2012" i="3"/>
  <c r="J2026" i="3"/>
  <c r="J2039" i="3"/>
  <c r="J2051" i="3"/>
  <c r="J2065" i="3"/>
  <c r="J2076" i="3"/>
  <c r="J2090" i="3"/>
  <c r="J16" i="3"/>
  <c r="J28" i="3"/>
  <c r="J39" i="3"/>
  <c r="J49" i="3"/>
  <c r="J60" i="3"/>
  <c r="J81" i="3"/>
  <c r="J92" i="3"/>
  <c r="J103" i="3"/>
  <c r="J112" i="3"/>
  <c r="J121" i="3"/>
  <c r="J130" i="3"/>
  <c r="J139" i="3"/>
  <c r="J148" i="3"/>
  <c r="J158" i="3"/>
  <c r="J175" i="3"/>
  <c r="J183" i="3"/>
  <c r="J191" i="3"/>
  <c r="J199" i="3"/>
  <c r="J207" i="3"/>
  <c r="J215" i="3"/>
  <c r="J223" i="3"/>
  <c r="J231" i="3"/>
  <c r="J247" i="3"/>
  <c r="J255" i="3"/>
  <c r="J263" i="3"/>
  <c r="J271" i="3"/>
  <c r="J279" i="3"/>
  <c r="J287" i="3"/>
  <c r="J295" i="3"/>
  <c r="J303" i="3"/>
  <c r="J311" i="3"/>
  <c r="J319" i="3"/>
  <c r="J327" i="3"/>
  <c r="J335" i="3"/>
  <c r="J343" i="3"/>
  <c r="J351" i="3"/>
  <c r="J359" i="3"/>
  <c r="J367" i="3"/>
  <c r="J375" i="3"/>
  <c r="J383" i="3"/>
  <c r="J391" i="3"/>
  <c r="J399" i="3"/>
  <c r="J407" i="3"/>
  <c r="J423" i="3"/>
  <c r="J431" i="3"/>
  <c r="J439" i="3"/>
  <c r="J447" i="3"/>
  <c r="J463" i="3"/>
  <c r="J479" i="3"/>
  <c r="J495" i="3"/>
  <c r="J511" i="3"/>
  <c r="J527" i="3"/>
  <c r="J543" i="3"/>
  <c r="J559" i="3"/>
  <c r="J575" i="3"/>
  <c r="J591" i="3"/>
  <c r="J607" i="3"/>
  <c r="J623" i="3"/>
  <c r="J639" i="3"/>
  <c r="J655" i="3"/>
  <c r="J671" i="3"/>
  <c r="J687" i="3"/>
  <c r="J703" i="3"/>
  <c r="J719" i="3"/>
  <c r="J735" i="3"/>
  <c r="J751" i="3"/>
  <c r="J767" i="3"/>
  <c r="J783" i="3"/>
  <c r="J799" i="3"/>
  <c r="J823" i="3"/>
  <c r="J839" i="3"/>
  <c r="J855" i="3"/>
  <c r="J879" i="3"/>
  <c r="J895" i="3"/>
  <c r="J911" i="3"/>
  <c r="J927" i="3"/>
  <c r="J943" i="3"/>
  <c r="J967" i="3"/>
  <c r="J991" i="3"/>
  <c r="J1015" i="3"/>
  <c r="J1047" i="3"/>
  <c r="J1087" i="3"/>
  <c r="J1611" i="3"/>
  <c r="J1675" i="3"/>
  <c r="J1739" i="3"/>
  <c r="J1780" i="3"/>
  <c r="J1812" i="3"/>
  <c r="J1844" i="3"/>
  <c r="J1876" i="3"/>
  <c r="J1908" i="3"/>
  <c r="J1931" i="3"/>
  <c r="J1953" i="3"/>
  <c r="J1969" i="3"/>
  <c r="J1985" i="3"/>
  <c r="J2001" i="3"/>
  <c r="J2015" i="3"/>
  <c r="J2027" i="3"/>
  <c r="J2041" i="3"/>
  <c r="J2052" i="3"/>
  <c r="J2066" i="3"/>
  <c r="J2079" i="3"/>
  <c r="J2091" i="3"/>
  <c r="J6" i="3"/>
  <c r="J17" i="3"/>
  <c r="J30" i="3"/>
  <c r="J40" i="3"/>
  <c r="J50" i="3"/>
  <c r="J62" i="3"/>
  <c r="J72" i="3"/>
  <c r="J82" i="3"/>
  <c r="J94" i="3"/>
  <c r="J104" i="3"/>
  <c r="J113" i="3"/>
  <c r="J122" i="3"/>
  <c r="J131" i="3"/>
  <c r="J140" i="3"/>
  <c r="J150" i="3"/>
  <c r="J159" i="3"/>
  <c r="J168" i="3"/>
  <c r="J176" i="3"/>
  <c r="J184" i="3"/>
  <c r="J192" i="3"/>
  <c r="J200" i="3"/>
  <c r="J208" i="3"/>
  <c r="J216" i="3"/>
  <c r="J224" i="3"/>
  <c r="J232" i="3"/>
  <c r="J240" i="3"/>
  <c r="J248" i="3"/>
  <c r="J256" i="3"/>
  <c r="J264" i="3"/>
  <c r="J272" i="3"/>
  <c r="J280" i="3"/>
  <c r="J288" i="3"/>
  <c r="J296" i="3"/>
  <c r="J304" i="3"/>
  <c r="J312" i="3"/>
  <c r="J320" i="3"/>
  <c r="J328" i="3"/>
  <c r="J336" i="3"/>
  <c r="J344" i="3"/>
  <c r="J352" i="3"/>
  <c r="J360" i="3"/>
  <c r="J368" i="3"/>
  <c r="J376" i="3"/>
  <c r="J384" i="3"/>
  <c r="J392" i="3"/>
  <c r="J400" i="3"/>
  <c r="J408" i="3"/>
  <c r="J416" i="3"/>
  <c r="J424" i="3"/>
  <c r="J432" i="3"/>
  <c r="J440" i="3"/>
  <c r="J448" i="3"/>
  <c r="J456" i="3"/>
  <c r="J464" i="3"/>
  <c r="J472" i="3"/>
  <c r="J480" i="3"/>
  <c r="J488" i="3"/>
  <c r="J496" i="3"/>
  <c r="J504" i="3"/>
  <c r="J512" i="3"/>
  <c r="J520" i="3"/>
  <c r="J528" i="3"/>
  <c r="J536" i="3"/>
  <c r="J544" i="3"/>
  <c r="J552" i="3"/>
  <c r="J560" i="3"/>
  <c r="J568" i="3"/>
  <c r="J576" i="3"/>
  <c r="J584" i="3"/>
  <c r="J592" i="3"/>
  <c r="J600" i="3"/>
  <c r="J608" i="3"/>
  <c r="J616" i="3"/>
  <c r="J624" i="3"/>
  <c r="J632" i="3"/>
  <c r="J640" i="3"/>
  <c r="J648" i="3"/>
  <c r="J656" i="3"/>
  <c r="J664" i="3"/>
  <c r="J672" i="3"/>
  <c r="J680" i="3"/>
  <c r="J688" i="3"/>
  <c r="J696" i="3"/>
  <c r="J704" i="3"/>
  <c r="J712" i="3"/>
  <c r="J720" i="3"/>
  <c r="J728" i="3"/>
  <c r="J736" i="3"/>
  <c r="J744" i="3"/>
  <c r="J752" i="3"/>
  <c r="J760" i="3"/>
  <c r="J768" i="3"/>
  <c r="J776" i="3"/>
  <c r="J784" i="3"/>
  <c r="J792" i="3"/>
  <c r="J800" i="3"/>
  <c r="J808" i="3"/>
  <c r="J816" i="3"/>
  <c r="J824" i="3"/>
  <c r="J832" i="3"/>
  <c r="J840" i="3"/>
  <c r="J848" i="3"/>
  <c r="J856" i="3"/>
  <c r="J864" i="3"/>
  <c r="J872" i="3"/>
  <c r="J880" i="3"/>
  <c r="J888" i="3"/>
  <c r="J896" i="3"/>
  <c r="J904" i="3"/>
  <c r="J912" i="3"/>
  <c r="J920" i="3"/>
  <c r="J928" i="3"/>
  <c r="J936" i="3"/>
  <c r="J944" i="3"/>
  <c r="J952" i="3"/>
  <c r="J960" i="3"/>
  <c r="J968" i="3"/>
  <c r="J976" i="3"/>
  <c r="J984" i="3"/>
  <c r="J992" i="3"/>
  <c r="J1000" i="3"/>
  <c r="J1008" i="3"/>
  <c r="J1016" i="3"/>
  <c r="J1024" i="3"/>
  <c r="J1032" i="3"/>
  <c r="J1040" i="3"/>
  <c r="J1048" i="3"/>
  <c r="J1056" i="3"/>
  <c r="J1064" i="3"/>
  <c r="J1072" i="3"/>
  <c r="J1080" i="3"/>
  <c r="J1088" i="3"/>
  <c r="J1096" i="3"/>
  <c r="J273" i="3"/>
  <c r="J361" i="3"/>
  <c r="J377" i="3"/>
  <c r="J393" i="3"/>
  <c r="J409" i="3"/>
  <c r="J433" i="3"/>
  <c r="J449" i="3"/>
  <c r="J465" i="3"/>
  <c r="J481" i="3"/>
  <c r="J497" i="3"/>
  <c r="J513" i="3"/>
  <c r="J529" i="3"/>
  <c r="J545" i="3"/>
  <c r="J561" i="3"/>
  <c r="J569" i="3"/>
  <c r="J585" i="3"/>
  <c r="J601" i="3"/>
  <c r="J617" i="3"/>
  <c r="J625" i="3"/>
  <c r="J633" i="3"/>
  <c r="J641" i="3"/>
  <c r="J649" i="3"/>
  <c r="J657" i="3"/>
  <c r="J665" i="3"/>
  <c r="J673" i="3"/>
  <c r="J681" i="3"/>
  <c r="J689" i="3"/>
  <c r="J697" i="3"/>
  <c r="J705" i="3"/>
  <c r="J713" i="3"/>
  <c r="J721" i="3"/>
  <c r="J729" i="3"/>
  <c r="J737" i="3"/>
  <c r="J1980" i="3"/>
  <c r="J863" i="3"/>
  <c r="J983" i="3"/>
  <c r="J1031" i="3"/>
  <c r="J1063" i="3"/>
  <c r="J1095" i="3"/>
  <c r="J14" i="4"/>
  <c r="J22" i="4"/>
  <c r="J30" i="4"/>
  <c r="J54" i="4"/>
  <c r="J78" i="4"/>
  <c r="J4" i="4"/>
  <c r="J55" i="4"/>
  <c r="J87" i="4"/>
  <c r="J72" i="4"/>
  <c r="J57" i="4"/>
  <c r="J97" i="4"/>
  <c r="J15" i="4"/>
  <c r="J23" i="4"/>
  <c r="J39" i="4"/>
  <c r="J79" i="4"/>
  <c r="J64" i="4"/>
  <c r="J7" i="4"/>
  <c r="J89" i="4"/>
  <c r="J16" i="4"/>
  <c r="J24" i="4"/>
  <c r="J32" i="4"/>
  <c r="J40" i="4"/>
  <c r="J80" i="4"/>
  <c r="J8" i="4"/>
  <c r="J17" i="4"/>
  <c r="J25" i="4"/>
  <c r="J33" i="4"/>
  <c r="J41" i="4"/>
  <c r="J49" i="4"/>
  <c r="J65" i="4"/>
  <c r="J10" i="4"/>
  <c r="J18" i="4"/>
  <c r="J26" i="4"/>
  <c r="J34" i="4"/>
  <c r="J42" i="4"/>
  <c r="J50" i="4"/>
  <c r="J58" i="4"/>
  <c r="J66" i="4"/>
  <c r="J74" i="4"/>
  <c r="J82" i="4"/>
  <c r="J90" i="4"/>
  <c r="J98" i="4"/>
  <c r="J91" i="4"/>
  <c r="J11" i="4"/>
  <c r="J19" i="4"/>
  <c r="J27" i="4"/>
  <c r="J35" i="4"/>
  <c r="J43" i="4"/>
  <c r="J51" i="4"/>
  <c r="J59" i="4"/>
  <c r="J67" i="4"/>
  <c r="J75" i="4"/>
  <c r="J83" i="4"/>
  <c r="J99" i="4"/>
  <c r="J12" i="4"/>
  <c r="J20" i="4"/>
  <c r="J28" i="4"/>
  <c r="J36" i="4"/>
  <c r="J44" i="4"/>
  <c r="J52" i="4"/>
  <c r="J60" i="4"/>
  <c r="J68" i="4"/>
  <c r="J76" i="4"/>
  <c r="J84" i="4"/>
  <c r="J92" i="4"/>
  <c r="J100" i="4"/>
  <c r="J9" i="4"/>
  <c r="J46" i="4"/>
  <c r="J62" i="4"/>
  <c r="J86" i="4"/>
  <c r="J31" i="4"/>
  <c r="J63" i="4"/>
  <c r="J95" i="4"/>
  <c r="J56" i="4"/>
  <c r="J96" i="4"/>
  <c r="J81" i="4"/>
  <c r="J13" i="4"/>
  <c r="J21" i="4"/>
  <c r="J29" i="4"/>
  <c r="J37" i="4"/>
  <c r="J45" i="4"/>
  <c r="J53" i="4"/>
  <c r="J61" i="4"/>
  <c r="J69" i="4"/>
  <c r="J77" i="4"/>
  <c r="J85" i="4"/>
  <c r="J93" i="4"/>
  <c r="J6" i="4"/>
  <c r="O4" i="4"/>
  <c r="J38" i="4"/>
  <c r="J70" i="4"/>
  <c r="J94" i="4"/>
  <c r="J47" i="4"/>
  <c r="J71" i="4"/>
  <c r="J48" i="4"/>
  <c r="J88" i="4"/>
  <c r="J73" i="4"/>
  <c r="N2" i="1"/>
  <c r="N3" i="1"/>
  <c r="P2" i="1"/>
  <c r="P3" i="1"/>
  <c r="P4" i="1"/>
  <c r="O2" i="1"/>
  <c r="O3" i="1"/>
  <c r="O4" i="1"/>
  <c r="P5" i="1"/>
  <c r="N4" i="1"/>
  <c r="P9" i="1"/>
  <c r="P10" i="1"/>
  <c r="O9" i="1"/>
  <c r="O10" i="1"/>
  <c r="O11" i="1"/>
  <c r="N9" i="1"/>
  <c r="N10" i="1"/>
  <c r="K27" i="1"/>
  <c r="K16" i="1"/>
  <c r="K13" i="1"/>
  <c r="K20" i="1"/>
  <c r="K21" i="1"/>
  <c r="K31" i="1"/>
  <c r="K30" i="1"/>
  <c r="K11" i="1"/>
  <c r="K26" i="1"/>
  <c r="K15" i="1"/>
  <c r="K29" i="1"/>
  <c r="K4" i="1"/>
  <c r="K12" i="1"/>
  <c r="K8" i="1"/>
  <c r="K9" i="1"/>
  <c r="P12" i="1"/>
  <c r="O18" i="1"/>
  <c r="O19" i="1"/>
  <c r="O12" i="1"/>
  <c r="P8" i="1"/>
  <c r="O7" i="1"/>
  <c r="O8" i="1"/>
  <c r="P13" i="1"/>
  <c r="P14" i="1"/>
  <c r="O20" i="1"/>
  <c r="O6" i="1"/>
  <c r="O15" i="1"/>
  <c r="P6" i="1"/>
  <c r="P7" i="1"/>
  <c r="O5" i="1"/>
  <c r="O13" i="1"/>
  <c r="O21" i="1"/>
  <c r="O14" i="1"/>
  <c r="O17" i="1"/>
  <c r="N11" i="1"/>
  <c r="O16" i="1"/>
  <c r="P11" i="1"/>
  <c r="P25" i="1"/>
  <c r="P28" i="1"/>
  <c r="P26" i="1"/>
  <c r="P29" i="1"/>
  <c r="N27" i="1"/>
  <c r="P30" i="1"/>
  <c r="N30" i="1"/>
  <c r="N31" i="1"/>
  <c r="O25" i="1"/>
  <c r="O27" i="1"/>
  <c r="O28" i="1"/>
  <c r="O29" i="1"/>
  <c r="P27" i="1"/>
  <c r="N24" i="1"/>
  <c r="O24" i="1"/>
  <c r="N28" i="1"/>
  <c r="P31" i="1"/>
  <c r="N29" i="1"/>
  <c r="N26" i="1"/>
  <c r="O23" i="1"/>
  <c r="O30" i="1"/>
  <c r="N25" i="1"/>
  <c r="P24" i="1"/>
  <c r="O26" i="1"/>
  <c r="P23" i="1"/>
  <c r="K19" i="1"/>
  <c r="K18" i="1"/>
  <c r="K25" i="1"/>
  <c r="K14" i="1"/>
  <c r="K17" i="1"/>
  <c r="K10" i="1"/>
  <c r="K28" i="1"/>
  <c r="K24" i="1"/>
  <c r="O182" i="3"/>
  <c r="O183" i="3"/>
  <c r="O191" i="3"/>
  <c r="O199" i="3"/>
  <c r="O207" i="3"/>
  <c r="O215" i="3"/>
  <c r="O223" i="3"/>
  <c r="O231" i="3"/>
  <c r="O239" i="3"/>
  <c r="O247" i="3"/>
  <c r="O255" i="3"/>
  <c r="O263" i="3"/>
  <c r="O271" i="3"/>
  <c r="O279" i="3"/>
  <c r="O287" i="3"/>
  <c r="O295" i="3"/>
  <c r="O303" i="3"/>
  <c r="O311" i="3"/>
  <c r="O319" i="3"/>
  <c r="O327" i="3"/>
  <c r="O335" i="3"/>
  <c r="O343" i="3"/>
  <c r="O351" i="3"/>
  <c r="O359" i="3"/>
  <c r="O367" i="3"/>
  <c r="O375" i="3"/>
  <c r="O383" i="3"/>
  <c r="O391" i="3"/>
  <c r="O399" i="3"/>
  <c r="O407" i="3"/>
  <c r="O415" i="3"/>
  <c r="O423" i="3"/>
  <c r="O431" i="3"/>
  <c r="O439" i="3"/>
  <c r="O447" i="3"/>
  <c r="O455" i="3"/>
  <c r="O463" i="3"/>
  <c r="O471" i="3"/>
  <c r="O479" i="3"/>
  <c r="O487" i="3"/>
  <c r="O495" i="3"/>
  <c r="O503" i="3"/>
  <c r="O511" i="3"/>
  <c r="O184" i="3"/>
  <c r="O185" i="3"/>
  <c r="O193" i="3"/>
  <c r="O201" i="3"/>
  <c r="O209" i="3"/>
  <c r="O217" i="3"/>
  <c r="O225" i="3"/>
  <c r="O233" i="3"/>
  <c r="O241" i="3"/>
  <c r="O249" i="3"/>
  <c r="O257" i="3"/>
  <c r="O265" i="3"/>
  <c r="O273" i="3"/>
  <c r="O281" i="3"/>
  <c r="O289" i="3"/>
  <c r="O297" i="3"/>
  <c r="O305" i="3"/>
  <c r="O313" i="3"/>
  <c r="O321" i="3"/>
  <c r="O329" i="3"/>
  <c r="O337" i="3"/>
  <c r="O345" i="3"/>
  <c r="O353" i="3"/>
  <c r="O361" i="3"/>
  <c r="O369" i="3"/>
  <c r="O377" i="3"/>
  <c r="O385" i="3"/>
  <c r="O393" i="3"/>
  <c r="O401" i="3"/>
  <c r="O409" i="3"/>
  <c r="O417" i="3"/>
  <c r="O425" i="3"/>
  <c r="O433" i="3"/>
  <c r="O441" i="3"/>
  <c r="O449" i="3"/>
  <c r="O457" i="3"/>
  <c r="O465" i="3"/>
  <c r="O473" i="3"/>
  <c r="O481" i="3"/>
  <c r="O489" i="3"/>
  <c r="O497" i="3"/>
  <c r="O505" i="3"/>
  <c r="O513" i="3"/>
  <c r="O190" i="3"/>
  <c r="O202" i="3"/>
  <c r="O212" i="3"/>
  <c r="O222" i="3"/>
  <c r="O234" i="3"/>
  <c r="O244" i="3"/>
  <c r="O254" i="3"/>
  <c r="O266" i="3"/>
  <c r="O276" i="3"/>
  <c r="O286" i="3"/>
  <c r="O298" i="3"/>
  <c r="O308" i="3"/>
  <c r="O318" i="3"/>
  <c r="O330" i="3"/>
  <c r="O340" i="3"/>
  <c r="O350" i="3"/>
  <c r="O362" i="3"/>
  <c r="O372" i="3"/>
  <c r="O382" i="3"/>
  <c r="O394" i="3"/>
  <c r="O404" i="3"/>
  <c r="O414" i="3"/>
  <c r="O426" i="3"/>
  <c r="O436" i="3"/>
  <c r="O446" i="3"/>
  <c r="O458" i="3"/>
  <c r="O468" i="3"/>
  <c r="O478" i="3"/>
  <c r="O490" i="3"/>
  <c r="O500" i="3"/>
  <c r="O510" i="3"/>
  <c r="O192" i="3"/>
  <c r="O203" i="3"/>
  <c r="O213" i="3"/>
  <c r="O224" i="3"/>
  <c r="O235" i="3"/>
  <c r="O245" i="3"/>
  <c r="O256" i="3"/>
  <c r="O267" i="3"/>
  <c r="O277" i="3"/>
  <c r="O288" i="3"/>
  <c r="O299" i="3"/>
  <c r="O309" i="3"/>
  <c r="O320" i="3"/>
  <c r="O331" i="3"/>
  <c r="O341" i="3"/>
  <c r="O352" i="3"/>
  <c r="O363" i="3"/>
  <c r="O373" i="3"/>
  <c r="O384" i="3"/>
  <c r="O395" i="3"/>
  <c r="O405" i="3"/>
  <c r="O416" i="3"/>
  <c r="O427" i="3"/>
  <c r="O437" i="3"/>
  <c r="O448" i="3"/>
  <c r="O459" i="3"/>
  <c r="O469" i="3"/>
  <c r="O480" i="3"/>
  <c r="O491" i="3"/>
  <c r="O501" i="3"/>
  <c r="O512" i="3"/>
  <c r="O194" i="3"/>
  <c r="O204" i="3"/>
  <c r="O214" i="3"/>
  <c r="O226" i="3"/>
  <c r="O236" i="3"/>
  <c r="O246" i="3"/>
  <c r="O258" i="3"/>
  <c r="O268" i="3"/>
  <c r="O278" i="3"/>
  <c r="O290" i="3"/>
  <c r="O300" i="3"/>
  <c r="O310" i="3"/>
  <c r="O322" i="3"/>
  <c r="O332" i="3"/>
  <c r="O342" i="3"/>
  <c r="O354" i="3"/>
  <c r="O364" i="3"/>
  <c r="O374" i="3"/>
  <c r="O386" i="3"/>
  <c r="O396" i="3"/>
  <c r="O406" i="3"/>
  <c r="O418" i="3"/>
  <c r="O428" i="3"/>
  <c r="O438" i="3"/>
  <c r="O450" i="3"/>
  <c r="O460" i="3"/>
  <c r="O470" i="3"/>
  <c r="O482" i="3"/>
  <c r="O492" i="3"/>
  <c r="O502" i="3"/>
  <c r="O514" i="3"/>
  <c r="O195" i="3"/>
  <c r="O205" i="3"/>
  <c r="O216" i="3"/>
  <c r="O227" i="3"/>
  <c r="O237" i="3"/>
  <c r="O248" i="3"/>
  <c r="O259" i="3"/>
  <c r="O269" i="3"/>
  <c r="O280" i="3"/>
  <c r="O291" i="3"/>
  <c r="O301" i="3"/>
  <c r="O312" i="3"/>
  <c r="O323" i="3"/>
  <c r="O333" i="3"/>
  <c r="O344" i="3"/>
  <c r="O355" i="3"/>
  <c r="O365" i="3"/>
  <c r="O376" i="3"/>
  <c r="O387" i="3"/>
  <c r="O397" i="3"/>
  <c r="O408" i="3"/>
  <c r="O419" i="3"/>
  <c r="O429" i="3"/>
  <c r="O440" i="3"/>
  <c r="O451" i="3"/>
  <c r="O461" i="3"/>
  <c r="O472" i="3"/>
  <c r="O483" i="3"/>
  <c r="O493" i="3"/>
  <c r="O504" i="3"/>
  <c r="O515" i="3"/>
  <c r="O186" i="3"/>
  <c r="O196" i="3"/>
  <c r="O206" i="3"/>
  <c r="O218" i="3"/>
  <c r="O228" i="3"/>
  <c r="O238" i="3"/>
  <c r="O250" i="3"/>
  <c r="O260" i="3"/>
  <c r="O270" i="3"/>
  <c r="O282" i="3"/>
  <c r="O292" i="3"/>
  <c r="O302" i="3"/>
  <c r="O314" i="3"/>
  <c r="O324" i="3"/>
  <c r="O334" i="3"/>
  <c r="O346" i="3"/>
  <c r="O356" i="3"/>
  <c r="O366" i="3"/>
  <c r="O378" i="3"/>
  <c r="O388" i="3"/>
  <c r="O398" i="3"/>
  <c r="O410" i="3"/>
  <c r="O420" i="3"/>
  <c r="O430" i="3"/>
  <c r="O442" i="3"/>
  <c r="O452" i="3"/>
  <c r="O462" i="3"/>
  <c r="O474" i="3"/>
  <c r="O484" i="3"/>
  <c r="O494" i="3"/>
  <c r="O187" i="3"/>
  <c r="O197" i="3"/>
  <c r="O208" i="3"/>
  <c r="O219" i="3"/>
  <c r="O229" i="3"/>
  <c r="O240" i="3"/>
  <c r="O251" i="3"/>
  <c r="O261" i="3"/>
  <c r="O272" i="3"/>
  <c r="O283" i="3"/>
  <c r="O293" i="3"/>
  <c r="O304" i="3"/>
  <c r="O315" i="3"/>
  <c r="O325" i="3"/>
  <c r="O336" i="3"/>
  <c r="O347" i="3"/>
  <c r="O357" i="3"/>
  <c r="O368" i="3"/>
  <c r="O379" i="3"/>
  <c r="O389" i="3"/>
  <c r="O400" i="3"/>
  <c r="O411" i="3"/>
  <c r="O421" i="3"/>
  <c r="O432" i="3"/>
  <c r="O443" i="3"/>
  <c r="O453" i="3"/>
  <c r="O464" i="3"/>
  <c r="O475" i="3"/>
  <c r="O485" i="3"/>
  <c r="O496" i="3"/>
  <c r="O507" i="3"/>
  <c r="O517" i="3"/>
  <c r="O188" i="3"/>
  <c r="O198" i="3"/>
  <c r="O210" i="3"/>
  <c r="O220" i="3"/>
  <c r="O230" i="3"/>
  <c r="O242" i="3"/>
  <c r="O252" i="3"/>
  <c r="O262" i="3"/>
  <c r="O274" i="3"/>
  <c r="O284" i="3"/>
  <c r="O294" i="3"/>
  <c r="O306" i="3"/>
  <c r="O316" i="3"/>
  <c r="O326" i="3"/>
  <c r="O338" i="3"/>
  <c r="O348" i="3"/>
  <c r="O358" i="3"/>
  <c r="O370" i="3"/>
  <c r="O380" i="3"/>
  <c r="O390" i="3"/>
  <c r="O402" i="3"/>
  <c r="O412" i="3"/>
  <c r="O422" i="3"/>
  <c r="O434" i="3"/>
  <c r="O444" i="3"/>
  <c r="O454" i="3"/>
  <c r="O466" i="3"/>
  <c r="O476" i="3"/>
  <c r="O486" i="3"/>
  <c r="O498" i="3"/>
  <c r="O508" i="3"/>
  <c r="O518" i="3"/>
  <c r="O211" i="3"/>
  <c r="O296" i="3"/>
  <c r="O381" i="3"/>
  <c r="O467" i="3"/>
  <c r="O221" i="3"/>
  <c r="O307" i="3"/>
  <c r="O392" i="3"/>
  <c r="O477" i="3"/>
  <c r="O232" i="3"/>
  <c r="O317" i="3"/>
  <c r="O403" i="3"/>
  <c r="O488" i="3"/>
  <c r="O243" i="3"/>
  <c r="O328" i="3"/>
  <c r="O413" i="3"/>
  <c r="O499" i="3"/>
  <c r="O253" i="3"/>
  <c r="O339" i="3"/>
  <c r="O424" i="3"/>
  <c r="O506" i="3"/>
  <c r="O264" i="3"/>
  <c r="O349" i="3"/>
  <c r="O435" i="3"/>
  <c r="O509" i="3"/>
  <c r="O189" i="3"/>
  <c r="O275" i="3"/>
  <c r="O360" i="3"/>
  <c r="O445" i="3"/>
  <c r="O516" i="3"/>
  <c r="O200" i="3"/>
  <c r="O285" i="3"/>
  <c r="O456" i="3"/>
  <c r="O371" i="3"/>
  <c r="M10" i="8"/>
  <c r="M18" i="8"/>
  <c r="M26" i="8"/>
  <c r="M34" i="8"/>
  <c r="M42" i="8"/>
  <c r="M50" i="8"/>
  <c r="M58" i="8"/>
  <c r="M66" i="8"/>
  <c r="M74" i="8"/>
  <c r="M82" i="8"/>
  <c r="M90" i="8"/>
  <c r="M98" i="8"/>
  <c r="O11" i="3"/>
  <c r="O19" i="3"/>
  <c r="O27" i="3"/>
  <c r="O35" i="3"/>
  <c r="O43" i="3"/>
  <c r="O51" i="3"/>
  <c r="O59" i="3"/>
  <c r="O67" i="3"/>
  <c r="O75" i="3"/>
  <c r="O83" i="3"/>
  <c r="O91" i="3"/>
  <c r="O99" i="3"/>
  <c r="O107" i="3"/>
  <c r="O115" i="3"/>
  <c r="O123" i="3"/>
  <c r="O131" i="3"/>
  <c r="O139" i="3"/>
  <c r="O147" i="3"/>
  <c r="O155" i="3"/>
  <c r="O163" i="3"/>
  <c r="O171" i="3"/>
  <c r="O179" i="3"/>
  <c r="M5" i="8"/>
  <c r="M11" i="8"/>
  <c r="M19" i="8"/>
  <c r="M27" i="8"/>
  <c r="M35" i="8"/>
  <c r="M43" i="8"/>
  <c r="M51" i="8"/>
  <c r="M59" i="8"/>
  <c r="M67" i="8"/>
  <c r="M75" i="8"/>
  <c r="M83" i="8"/>
  <c r="M91" i="8"/>
  <c r="M4" i="8"/>
  <c r="O12" i="3"/>
  <c r="O20" i="3"/>
  <c r="O28" i="3"/>
  <c r="O36" i="3"/>
  <c r="O44" i="3"/>
  <c r="O52" i="3"/>
  <c r="O60" i="3"/>
  <c r="O68" i="3"/>
  <c r="O76" i="3"/>
  <c r="O84" i="3"/>
  <c r="O92" i="3"/>
  <c r="O100" i="3"/>
  <c r="O108" i="3"/>
  <c r="O116" i="3"/>
  <c r="O124" i="3"/>
  <c r="O132" i="3"/>
  <c r="O140" i="3"/>
  <c r="O148" i="3"/>
  <c r="O156" i="3"/>
  <c r="O164" i="3"/>
  <c r="O172" i="3"/>
  <c r="O180" i="3"/>
  <c r="O8" i="3"/>
  <c r="M6" i="8"/>
  <c r="M12" i="8"/>
  <c r="M20" i="8"/>
  <c r="M28" i="8"/>
  <c r="M36" i="8"/>
  <c r="M44" i="8"/>
  <c r="M52" i="8"/>
  <c r="M60" i="8"/>
  <c r="M68" i="8"/>
  <c r="M76" i="8"/>
  <c r="M84" i="8"/>
  <c r="M92" i="8"/>
  <c r="O5" i="3"/>
  <c r="O13" i="3"/>
  <c r="O21" i="3"/>
  <c r="O29" i="3"/>
  <c r="O37" i="3"/>
  <c r="O45" i="3"/>
  <c r="O53" i="3"/>
  <c r="O61" i="3"/>
  <c r="O69" i="3"/>
  <c r="O77" i="3"/>
  <c r="O85" i="3"/>
  <c r="O93" i="3"/>
  <c r="O101" i="3"/>
  <c r="O109" i="3"/>
  <c r="O117" i="3"/>
  <c r="O125" i="3"/>
  <c r="O133" i="3"/>
  <c r="O141" i="3"/>
  <c r="O149" i="3"/>
  <c r="O157" i="3"/>
  <c r="O165" i="3"/>
  <c r="O173" i="3"/>
  <c r="O181" i="3"/>
  <c r="M7" i="8"/>
  <c r="M13" i="8"/>
  <c r="M21" i="8"/>
  <c r="M29" i="8"/>
  <c r="M37" i="8"/>
  <c r="M45" i="8"/>
  <c r="M53" i="8"/>
  <c r="M61" i="8"/>
  <c r="M69" i="8"/>
  <c r="M77" i="8"/>
  <c r="M85" i="8"/>
  <c r="M93" i="8"/>
  <c r="O6" i="3"/>
  <c r="O14" i="3"/>
  <c r="O22" i="3"/>
  <c r="O30" i="3"/>
  <c r="O38" i="3"/>
  <c r="O46" i="3"/>
  <c r="O54" i="3"/>
  <c r="O62" i="3"/>
  <c r="O70" i="3"/>
  <c r="O78" i="3"/>
  <c r="O86" i="3"/>
  <c r="O94" i="3"/>
  <c r="O102" i="3"/>
  <c r="O110" i="3"/>
  <c r="O118" i="3"/>
  <c r="O126" i="3"/>
  <c r="O134" i="3"/>
  <c r="O142" i="3"/>
  <c r="O150" i="3"/>
  <c r="O158" i="3"/>
  <c r="O166" i="3"/>
  <c r="O174" i="3"/>
  <c r="O6" i="4"/>
  <c r="M9" i="8"/>
  <c r="M23" i="8"/>
  <c r="M39" i="8"/>
  <c r="M55" i="8"/>
  <c r="M71" i="8"/>
  <c r="M87" i="8"/>
  <c r="O24" i="3"/>
  <c r="O32" i="3"/>
  <c r="O48" i="3"/>
  <c r="O64" i="3"/>
  <c r="O80" i="3"/>
  <c r="O88" i="3"/>
  <c r="O104" i="3"/>
  <c r="O120" i="3"/>
  <c r="O136" i="3"/>
  <c r="O152" i="3"/>
  <c r="O168" i="3"/>
  <c r="O176" i="3"/>
  <c r="M8" i="8"/>
  <c r="M14" i="8"/>
  <c r="M22" i="8"/>
  <c r="M30" i="8"/>
  <c r="M38" i="8"/>
  <c r="M46" i="8"/>
  <c r="M54" i="8"/>
  <c r="M62" i="8"/>
  <c r="M70" i="8"/>
  <c r="M78" i="8"/>
  <c r="M86" i="8"/>
  <c r="M94" i="8"/>
  <c r="O7" i="3"/>
  <c r="O15" i="3"/>
  <c r="O23" i="3"/>
  <c r="O31" i="3"/>
  <c r="O39" i="3"/>
  <c r="O47" i="3"/>
  <c r="O55" i="3"/>
  <c r="O63" i="3"/>
  <c r="O71" i="3"/>
  <c r="O79" i="3"/>
  <c r="O87" i="3"/>
  <c r="O95" i="3"/>
  <c r="O103" i="3"/>
  <c r="O111" i="3"/>
  <c r="O119" i="3"/>
  <c r="O127" i="3"/>
  <c r="O135" i="3"/>
  <c r="O143" i="3"/>
  <c r="O151" i="3"/>
  <c r="O159" i="3"/>
  <c r="O167" i="3"/>
  <c r="O175" i="3"/>
  <c r="M15" i="8"/>
  <c r="M31" i="8"/>
  <c r="M47" i="8"/>
  <c r="M63" i="8"/>
  <c r="M79" i="8"/>
  <c r="M95" i="8"/>
  <c r="O16" i="3"/>
  <c r="O40" i="3"/>
  <c r="O56" i="3"/>
  <c r="O72" i="3"/>
  <c r="O96" i="3"/>
  <c r="O112" i="3"/>
  <c r="O128" i="3"/>
  <c r="O144" i="3"/>
  <c r="O160" i="3"/>
  <c r="M16" i="8"/>
  <c r="M24" i="8"/>
  <c r="M32" i="8"/>
  <c r="M40" i="8"/>
  <c r="M48" i="8"/>
  <c r="M56" i="8"/>
  <c r="M64" i="8"/>
  <c r="M72" i="8"/>
  <c r="M80" i="8"/>
  <c r="M88" i="8"/>
  <c r="M96" i="8"/>
  <c r="O9" i="3"/>
  <c r="O17" i="3"/>
  <c r="O25" i="3"/>
  <c r="O33" i="3"/>
  <c r="O41" i="3"/>
  <c r="O49" i="3"/>
  <c r="O57" i="3"/>
  <c r="O65" i="3"/>
  <c r="O73" i="3"/>
  <c r="O81" i="3"/>
  <c r="O89" i="3"/>
  <c r="O97" i="3"/>
  <c r="O105" i="3"/>
  <c r="O113" i="3"/>
  <c r="O121" i="3"/>
  <c r="O129" i="3"/>
  <c r="O137" i="3"/>
  <c r="O145" i="3"/>
  <c r="O153" i="3"/>
  <c r="O161" i="3"/>
  <c r="O169" i="3"/>
  <c r="O177" i="3"/>
  <c r="M17" i="8"/>
  <c r="M25" i="8"/>
  <c r="M33" i="8"/>
  <c r="M41" i="8"/>
  <c r="M49" i="8"/>
  <c r="M57" i="8"/>
  <c r="M65" i="8"/>
  <c r="M73" i="8"/>
  <c r="M81" i="8"/>
  <c r="M89" i="8"/>
  <c r="M97" i="8"/>
  <c r="O10" i="3"/>
  <c r="O18" i="3"/>
  <c r="O26" i="3"/>
  <c r="O34" i="3"/>
  <c r="O42" i="3"/>
  <c r="O50" i="3"/>
  <c r="O58" i="3"/>
  <c r="O66" i="3"/>
  <c r="O74" i="3"/>
  <c r="O82" i="3"/>
  <c r="O90" i="3"/>
  <c r="O98" i="3"/>
  <c r="O106" i="3"/>
  <c r="O114" i="3"/>
  <c r="O122" i="3"/>
  <c r="O130" i="3"/>
  <c r="O138" i="3"/>
  <c r="O146" i="3"/>
  <c r="O154" i="3"/>
  <c r="O162" i="3"/>
  <c r="O170" i="3"/>
  <c r="O178" i="3"/>
  <c r="K5" i="1"/>
  <c r="P18" i="1"/>
  <c r="N19" i="1"/>
  <c r="P19" i="1"/>
  <c r="N12" i="1"/>
  <c r="N20" i="1"/>
  <c r="P20" i="1"/>
  <c r="N5" i="1"/>
  <c r="N13" i="1"/>
  <c r="N21" i="1"/>
  <c r="P17" i="1"/>
  <c r="P21" i="1"/>
  <c r="N6" i="1"/>
  <c r="N14" i="1"/>
  <c r="N22" i="1"/>
  <c r="N18" i="1"/>
  <c r="P22" i="1"/>
  <c r="O22" i="1"/>
  <c r="N7" i="1"/>
  <c r="N15" i="1"/>
  <c r="N23" i="1"/>
  <c r="P15" i="1"/>
  <c r="N8" i="1"/>
  <c r="N16" i="1"/>
  <c r="P16" i="1"/>
  <c r="N17" i="1"/>
  <c r="K22" i="1"/>
  <c r="K23" i="1"/>
  <c r="K6" i="1"/>
  <c r="K7" i="1"/>
  <c r="B4" i="8" l="1"/>
  <c r="C6" i="4"/>
  <c r="C4" i="4"/>
  <c r="B4" i="4"/>
  <c r="B6" i="4"/>
  <c r="C18" i="8"/>
  <c r="C26" i="8"/>
  <c r="C34" i="8"/>
  <c r="C42" i="8"/>
  <c r="C50" i="8"/>
  <c r="C58" i="8"/>
  <c r="C66" i="8"/>
  <c r="C74" i="8"/>
  <c r="C82" i="8"/>
  <c r="C90" i="8"/>
  <c r="C98" i="8"/>
  <c r="C106" i="8"/>
  <c r="C114" i="8"/>
  <c r="C122" i="8"/>
  <c r="C130" i="8"/>
  <c r="C138" i="8"/>
  <c r="C146" i="8"/>
  <c r="C154" i="8"/>
  <c r="C162" i="8"/>
  <c r="C170" i="8"/>
  <c r="C178" i="8"/>
  <c r="C186" i="8"/>
  <c r="C194" i="8"/>
  <c r="C202" i="8"/>
  <c r="C210" i="8"/>
  <c r="C218" i="8"/>
  <c r="C226" i="8"/>
  <c r="C234" i="8"/>
  <c r="C242" i="8"/>
  <c r="C250" i="8"/>
  <c r="C258" i="8"/>
  <c r="C266" i="8"/>
  <c r="C274" i="8"/>
  <c r="C282" i="8"/>
  <c r="C290" i="8"/>
  <c r="C298" i="8"/>
  <c r="C306" i="8"/>
  <c r="C314" i="8"/>
  <c r="C322" i="8"/>
  <c r="C330" i="8"/>
  <c r="C338" i="8"/>
  <c r="C346" i="8"/>
  <c r="C354" i="8"/>
  <c r="C362" i="8"/>
  <c r="C370" i="8"/>
  <c r="C378" i="8"/>
  <c r="C386" i="8"/>
  <c r="C394" i="8"/>
  <c r="C402" i="8"/>
  <c r="C410" i="8"/>
  <c r="C418" i="8"/>
  <c r="C426" i="8"/>
  <c r="C434" i="8"/>
  <c r="C442" i="8"/>
  <c r="C450" i="8"/>
  <c r="C458" i="8"/>
  <c r="C466" i="8"/>
  <c r="C474" i="8"/>
  <c r="C482" i="8"/>
  <c r="C490" i="8"/>
  <c r="C498" i="8"/>
  <c r="C506" i="8"/>
  <c r="C514" i="8"/>
  <c r="C522" i="8"/>
  <c r="C530" i="8"/>
  <c r="C538" i="8"/>
  <c r="C546" i="8"/>
  <c r="C554" i="8"/>
  <c r="C562" i="8"/>
  <c r="C570" i="8"/>
  <c r="C578" i="8"/>
  <c r="C586" i="8"/>
  <c r="C594" i="8"/>
  <c r="C602" i="8"/>
  <c r="C610" i="8"/>
  <c r="C618" i="8"/>
  <c r="C626" i="8"/>
  <c r="C634" i="8"/>
  <c r="C642" i="8"/>
  <c r="C650" i="8"/>
  <c r="C658" i="8"/>
  <c r="C666" i="8"/>
  <c r="C674" i="8"/>
  <c r="C682" i="8"/>
  <c r="C690" i="8"/>
  <c r="C19" i="8"/>
  <c r="C27" i="8"/>
  <c r="C35" i="8"/>
  <c r="C43" i="8"/>
  <c r="C51" i="8"/>
  <c r="C59" i="8"/>
  <c r="C67" i="8"/>
  <c r="C75" i="8"/>
  <c r="C83" i="8"/>
  <c r="C91" i="8"/>
  <c r="C99" i="8"/>
  <c r="C107" i="8"/>
  <c r="C115" i="8"/>
  <c r="C123" i="8"/>
  <c r="C131" i="8"/>
  <c r="C139" i="8"/>
  <c r="C147" i="8"/>
  <c r="C155" i="8"/>
  <c r="C163" i="8"/>
  <c r="C171" i="8"/>
  <c r="C179" i="8"/>
  <c r="C187" i="8"/>
  <c r="C195" i="8"/>
  <c r="C203" i="8"/>
  <c r="C211" i="8"/>
  <c r="C219" i="8"/>
  <c r="C227" i="8"/>
  <c r="C235" i="8"/>
  <c r="C243" i="8"/>
  <c r="C251" i="8"/>
  <c r="C259" i="8"/>
  <c r="C267" i="8"/>
  <c r="C275" i="8"/>
  <c r="C283" i="8"/>
  <c r="C291" i="8"/>
  <c r="C299" i="8"/>
  <c r="C307" i="8"/>
  <c r="C315" i="8"/>
  <c r="C323" i="8"/>
  <c r="C331" i="8"/>
  <c r="C339" i="8"/>
  <c r="C347" i="8"/>
  <c r="C355" i="8"/>
  <c r="C363" i="8"/>
  <c r="C371" i="8"/>
  <c r="C379" i="8"/>
  <c r="C387" i="8"/>
  <c r="C395" i="8"/>
  <c r="C403" i="8"/>
  <c r="C411" i="8"/>
  <c r="C419" i="8"/>
  <c r="C427" i="8"/>
  <c r="C435" i="8"/>
  <c r="C443" i="8"/>
  <c r="C451" i="8"/>
  <c r="C459" i="8"/>
  <c r="C467" i="8"/>
  <c r="C475" i="8"/>
  <c r="C483" i="8"/>
  <c r="C491" i="8"/>
  <c r="C499" i="8"/>
  <c r="C507" i="8"/>
  <c r="C515" i="8"/>
  <c r="C523" i="8"/>
  <c r="C531" i="8"/>
  <c r="C539" i="8"/>
  <c r="C547" i="8"/>
  <c r="C555" i="8"/>
  <c r="C563" i="8"/>
  <c r="C571" i="8"/>
  <c r="C579" i="8"/>
  <c r="C587" i="8"/>
  <c r="C595" i="8"/>
  <c r="C603" i="8"/>
  <c r="C611" i="8"/>
  <c r="C619" i="8"/>
  <c r="C627" i="8"/>
  <c r="C635" i="8"/>
  <c r="C643" i="8"/>
  <c r="C651" i="8"/>
  <c r="C659" i="8"/>
  <c r="C667" i="8"/>
  <c r="C675" i="8"/>
  <c r="C683" i="8"/>
  <c r="C691" i="8"/>
  <c r="C12" i="8"/>
  <c r="C20" i="8"/>
  <c r="C28" i="8"/>
  <c r="C36" i="8"/>
  <c r="C44" i="8"/>
  <c r="C52" i="8"/>
  <c r="C60" i="8"/>
  <c r="C68" i="8"/>
  <c r="C76" i="8"/>
  <c r="C84" i="8"/>
  <c r="C92" i="8"/>
  <c r="C100" i="8"/>
  <c r="C108" i="8"/>
  <c r="C116" i="8"/>
  <c r="C124" i="8"/>
  <c r="C132" i="8"/>
  <c r="C140" i="8"/>
  <c r="C148" i="8"/>
  <c r="C156" i="8"/>
  <c r="C164" i="8"/>
  <c r="C172" i="8"/>
  <c r="C180" i="8"/>
  <c r="C188" i="8"/>
  <c r="C196" i="8"/>
  <c r="C204" i="8"/>
  <c r="C212" i="8"/>
  <c r="C220" i="8"/>
  <c r="C228" i="8"/>
  <c r="C236" i="8"/>
  <c r="C244" i="8"/>
  <c r="C252" i="8"/>
  <c r="C260" i="8"/>
  <c r="C268" i="8"/>
  <c r="C276" i="8"/>
  <c r="C284" i="8"/>
  <c r="C292" i="8"/>
  <c r="C300" i="8"/>
  <c r="C308" i="8"/>
  <c r="C316" i="8"/>
  <c r="C324" i="8"/>
  <c r="C332" i="8"/>
  <c r="C340" i="8"/>
  <c r="C348" i="8"/>
  <c r="C356" i="8"/>
  <c r="C364" i="8"/>
  <c r="C372" i="8"/>
  <c r="C380" i="8"/>
  <c r="C388" i="8"/>
  <c r="C396" i="8"/>
  <c r="C404" i="8"/>
  <c r="C412" i="8"/>
  <c r="C420" i="8"/>
  <c r="C428" i="8"/>
  <c r="C436" i="8"/>
  <c r="C444" i="8"/>
  <c r="C452" i="8"/>
  <c r="C460" i="8"/>
  <c r="C468" i="8"/>
  <c r="C476" i="8"/>
  <c r="C484" i="8"/>
  <c r="C492" i="8"/>
  <c r="C500" i="8"/>
  <c r="C508" i="8"/>
  <c r="C516" i="8"/>
  <c r="C524" i="8"/>
  <c r="C532" i="8"/>
  <c r="C540" i="8"/>
  <c r="C548" i="8"/>
  <c r="C556" i="8"/>
  <c r="C564" i="8"/>
  <c r="C572" i="8"/>
  <c r="C580" i="8"/>
  <c r="C588" i="8"/>
  <c r="C596" i="8"/>
  <c r="C604" i="8"/>
  <c r="C612" i="8"/>
  <c r="C620" i="8"/>
  <c r="C628" i="8"/>
  <c r="C636" i="8"/>
  <c r="C644" i="8"/>
  <c r="C652" i="8"/>
  <c r="C660" i="8"/>
  <c r="C668" i="8"/>
  <c r="C676" i="8"/>
  <c r="C684" i="8"/>
  <c r="C692" i="8"/>
  <c r="C700" i="8"/>
  <c r="C13" i="8"/>
  <c r="C21" i="8"/>
  <c r="C29" i="8"/>
  <c r="C37" i="8"/>
  <c r="C45" i="8"/>
  <c r="C53" i="8"/>
  <c r="C61" i="8"/>
  <c r="C69" i="8"/>
  <c r="C77" i="8"/>
  <c r="C85" i="8"/>
  <c r="C93" i="8"/>
  <c r="C101" i="8"/>
  <c r="C109" i="8"/>
  <c r="C117" i="8"/>
  <c r="C125" i="8"/>
  <c r="C133" i="8"/>
  <c r="C141" i="8"/>
  <c r="C149" i="8"/>
  <c r="C157" i="8"/>
  <c r="C165" i="8"/>
  <c r="C173" i="8"/>
  <c r="C181" i="8"/>
  <c r="C189" i="8"/>
  <c r="C197" i="8"/>
  <c r="C205" i="8"/>
  <c r="C213" i="8"/>
  <c r="C221" i="8"/>
  <c r="C229" i="8"/>
  <c r="C237" i="8"/>
  <c r="C245" i="8"/>
  <c r="C253" i="8"/>
  <c r="C261" i="8"/>
  <c r="C269" i="8"/>
  <c r="C277" i="8"/>
  <c r="C285" i="8"/>
  <c r="C293" i="8"/>
  <c r="C301" i="8"/>
  <c r="C309" i="8"/>
  <c r="C317" i="8"/>
  <c r="C325" i="8"/>
  <c r="C333" i="8"/>
  <c r="C341" i="8"/>
  <c r="C349" i="8"/>
  <c r="C357" i="8"/>
  <c r="C365" i="8"/>
  <c r="C373" i="8"/>
  <c r="C381" i="8"/>
  <c r="C389" i="8"/>
  <c r="C397" i="8"/>
  <c r="C405" i="8"/>
  <c r="C413" i="8"/>
  <c r="C421" i="8"/>
  <c r="C429" i="8"/>
  <c r="C437" i="8"/>
  <c r="C445" i="8"/>
  <c r="C453" i="8"/>
  <c r="C461" i="8"/>
  <c r="C469" i="8"/>
  <c r="C477" i="8"/>
  <c r="C485" i="8"/>
  <c r="C493" i="8"/>
  <c r="C501" i="8"/>
  <c r="C509" i="8"/>
  <c r="C517" i="8"/>
  <c r="C525" i="8"/>
  <c r="C533" i="8"/>
  <c r="C541" i="8"/>
  <c r="C549" i="8"/>
  <c r="C557" i="8"/>
  <c r="C565" i="8"/>
  <c r="C573" i="8"/>
  <c r="C581" i="8"/>
  <c r="C589" i="8"/>
  <c r="C597" i="8"/>
  <c r="C605" i="8"/>
  <c r="C613" i="8"/>
  <c r="C621" i="8"/>
  <c r="C629" i="8"/>
  <c r="C637" i="8"/>
  <c r="C645" i="8"/>
  <c r="C653" i="8"/>
  <c r="C661" i="8"/>
  <c r="C669" i="8"/>
  <c r="C677" i="8"/>
  <c r="C685" i="8"/>
  <c r="C14" i="8"/>
  <c r="C22" i="8"/>
  <c r="C30" i="8"/>
  <c r="C38" i="8"/>
  <c r="C46" i="8"/>
  <c r="C54" i="8"/>
  <c r="C62" i="8"/>
  <c r="C70" i="8"/>
  <c r="C78" i="8"/>
  <c r="C86" i="8"/>
  <c r="C94" i="8"/>
  <c r="C102" i="8"/>
  <c r="C110" i="8"/>
  <c r="C118" i="8"/>
  <c r="C126" i="8"/>
  <c r="C134" i="8"/>
  <c r="C142" i="8"/>
  <c r="C150" i="8"/>
  <c r="C158" i="8"/>
  <c r="C166" i="8"/>
  <c r="C174" i="8"/>
  <c r="C182" i="8"/>
  <c r="C190" i="8"/>
  <c r="C198" i="8"/>
  <c r="C206" i="8"/>
  <c r="C214" i="8"/>
  <c r="C222" i="8"/>
  <c r="C230" i="8"/>
  <c r="C238" i="8"/>
  <c r="C246" i="8"/>
  <c r="C254" i="8"/>
  <c r="C262" i="8"/>
  <c r="C270" i="8"/>
  <c r="C278" i="8"/>
  <c r="C286" i="8"/>
  <c r="C294" i="8"/>
  <c r="C302" i="8"/>
  <c r="C310" i="8"/>
  <c r="C318" i="8"/>
  <c r="C326" i="8"/>
  <c r="C334" i="8"/>
  <c r="C342" i="8"/>
  <c r="C350" i="8"/>
  <c r="C358" i="8"/>
  <c r="C366" i="8"/>
  <c r="C374" i="8"/>
  <c r="C382" i="8"/>
  <c r="C390" i="8"/>
  <c r="C398" i="8"/>
  <c r="C406" i="8"/>
  <c r="C414" i="8"/>
  <c r="C422" i="8"/>
  <c r="C430" i="8"/>
  <c r="C438" i="8"/>
  <c r="C446" i="8"/>
  <c r="C454" i="8"/>
  <c r="C462" i="8"/>
  <c r="C470" i="8"/>
  <c r="C478" i="8"/>
  <c r="C486" i="8"/>
  <c r="C494" i="8"/>
  <c r="C502" i="8"/>
  <c r="C510" i="8"/>
  <c r="C518" i="8"/>
  <c r="C526" i="8"/>
  <c r="C534" i="8"/>
  <c r="C542" i="8"/>
  <c r="C550" i="8"/>
  <c r="C558" i="8"/>
  <c r="C566" i="8"/>
  <c r="C574" i="8"/>
  <c r="C582" i="8"/>
  <c r="C590" i="8"/>
  <c r="C598" i="8"/>
  <c r="C606" i="8"/>
  <c r="C614" i="8"/>
  <c r="C622" i="8"/>
  <c r="C630" i="8"/>
  <c r="C638" i="8"/>
  <c r="C646" i="8"/>
  <c r="C654" i="8"/>
  <c r="C662" i="8"/>
  <c r="C16" i="8"/>
  <c r="C24" i="8"/>
  <c r="C32" i="8"/>
  <c r="C40" i="8"/>
  <c r="C48" i="8"/>
  <c r="C56" i="8"/>
  <c r="C64" i="8"/>
  <c r="C72" i="8"/>
  <c r="C80" i="8"/>
  <c r="C88" i="8"/>
  <c r="C96" i="8"/>
  <c r="C104" i="8"/>
  <c r="C112" i="8"/>
  <c r="C120" i="8"/>
  <c r="C128" i="8"/>
  <c r="C136" i="8"/>
  <c r="C144" i="8"/>
  <c r="C152" i="8"/>
  <c r="C160" i="8"/>
  <c r="C168" i="8"/>
  <c r="C176" i="8"/>
  <c r="C184" i="8"/>
  <c r="C192" i="8"/>
  <c r="C200" i="8"/>
  <c r="C208" i="8"/>
  <c r="C216" i="8"/>
  <c r="C224" i="8"/>
  <c r="C232" i="8"/>
  <c r="C240" i="8"/>
  <c r="C248" i="8"/>
  <c r="C256" i="8"/>
  <c r="C264" i="8"/>
  <c r="C272" i="8"/>
  <c r="C280" i="8"/>
  <c r="C288" i="8"/>
  <c r="C296" i="8"/>
  <c r="C304" i="8"/>
  <c r="C312" i="8"/>
  <c r="C320" i="8"/>
  <c r="C328" i="8"/>
  <c r="C336" i="8"/>
  <c r="C344" i="8"/>
  <c r="C352" i="8"/>
  <c r="C360" i="8"/>
  <c r="C368" i="8"/>
  <c r="C376" i="8"/>
  <c r="C384" i="8"/>
  <c r="C392" i="8"/>
  <c r="C400" i="8"/>
  <c r="C408" i="8"/>
  <c r="C416" i="8"/>
  <c r="C424" i="8"/>
  <c r="C432" i="8"/>
  <c r="C440" i="8"/>
  <c r="C448" i="8"/>
  <c r="C456" i="8"/>
  <c r="C464" i="8"/>
  <c r="C472" i="8"/>
  <c r="C480" i="8"/>
  <c r="C488" i="8"/>
  <c r="C496" i="8"/>
  <c r="C504" i="8"/>
  <c r="C512" i="8"/>
  <c r="C520" i="8"/>
  <c r="C528" i="8"/>
  <c r="C536" i="8"/>
  <c r="C544" i="8"/>
  <c r="C552" i="8"/>
  <c r="C560" i="8"/>
  <c r="C568" i="8"/>
  <c r="C576" i="8"/>
  <c r="C584" i="8"/>
  <c r="C592" i="8"/>
  <c r="C600" i="8"/>
  <c r="C608" i="8"/>
  <c r="C616" i="8"/>
  <c r="C624" i="8"/>
  <c r="C632" i="8"/>
  <c r="C640" i="8"/>
  <c r="C648" i="8"/>
  <c r="C656" i="8"/>
  <c r="C664" i="8"/>
  <c r="C672" i="8"/>
  <c r="C680" i="8"/>
  <c r="C17" i="8"/>
  <c r="C25" i="8"/>
  <c r="C33" i="8"/>
  <c r="C41" i="8"/>
  <c r="C49" i="8"/>
  <c r="C57" i="8"/>
  <c r="C65" i="8"/>
  <c r="C73" i="8"/>
  <c r="C81" i="8"/>
  <c r="C89" i="8"/>
  <c r="C97" i="8"/>
  <c r="C105" i="8"/>
  <c r="C113" i="8"/>
  <c r="C121" i="8"/>
  <c r="C129" i="8"/>
  <c r="C137" i="8"/>
  <c r="C145" i="8"/>
  <c r="C153" i="8"/>
  <c r="C161" i="8"/>
  <c r="C169" i="8"/>
  <c r="C177" i="8"/>
  <c r="C185" i="8"/>
  <c r="C193" i="8"/>
  <c r="C201" i="8"/>
  <c r="C209" i="8"/>
  <c r="C217" i="8"/>
  <c r="C225" i="8"/>
  <c r="C233" i="8"/>
  <c r="C241" i="8"/>
  <c r="C249" i="8"/>
  <c r="C257" i="8"/>
  <c r="C265" i="8"/>
  <c r="C273" i="8"/>
  <c r="C281" i="8"/>
  <c r="C289" i="8"/>
  <c r="C297" i="8"/>
  <c r="C305" i="8"/>
  <c r="C313" i="8"/>
  <c r="C321" i="8"/>
  <c r="C329" i="8"/>
  <c r="C337" i="8"/>
  <c r="C345" i="8"/>
  <c r="C353" i="8"/>
  <c r="C361" i="8"/>
  <c r="C369" i="8"/>
  <c r="C377" i="8"/>
  <c r="C385" i="8"/>
  <c r="C393" i="8"/>
  <c r="C401" i="8"/>
  <c r="C409" i="8"/>
  <c r="C417" i="8"/>
  <c r="C425" i="8"/>
  <c r="C433" i="8"/>
  <c r="C441" i="8"/>
  <c r="C449" i="8"/>
  <c r="C457" i="8"/>
  <c r="C465" i="8"/>
  <c r="C473" i="8"/>
  <c r="C481" i="8"/>
  <c r="C489" i="8"/>
  <c r="C497" i="8"/>
  <c r="C505" i="8"/>
  <c r="C513" i="8"/>
  <c r="C521" i="8"/>
  <c r="C529" i="8"/>
  <c r="C537" i="8"/>
  <c r="C545" i="8"/>
  <c r="C553" i="8"/>
  <c r="C561" i="8"/>
  <c r="C569" i="8"/>
  <c r="C577" i="8"/>
  <c r="C585" i="8"/>
  <c r="C593" i="8"/>
  <c r="C601" i="8"/>
  <c r="C609" i="8"/>
  <c r="C617" i="8"/>
  <c r="C625" i="8"/>
  <c r="C633" i="8"/>
  <c r="C641" i="8"/>
  <c r="C649" i="8"/>
  <c r="C657" i="8"/>
  <c r="C665" i="8"/>
  <c r="C673" i="8"/>
  <c r="C681" i="8"/>
  <c r="C689" i="8"/>
  <c r="C63" i="8"/>
  <c r="C127" i="8"/>
  <c r="C191" i="8"/>
  <c r="C255" i="8"/>
  <c r="C319" i="8"/>
  <c r="C383" i="8"/>
  <c r="C447" i="8"/>
  <c r="C511" i="8"/>
  <c r="C575" i="8"/>
  <c r="C639" i="8"/>
  <c r="C686" i="8"/>
  <c r="C698" i="8"/>
  <c r="C707" i="8"/>
  <c r="C715" i="8"/>
  <c r="C723" i="8"/>
  <c r="C731" i="8"/>
  <c r="C739" i="8"/>
  <c r="C747" i="8"/>
  <c r="C755" i="8"/>
  <c r="C763" i="8"/>
  <c r="C771" i="8"/>
  <c r="C779" i="8"/>
  <c r="C787" i="8"/>
  <c r="C795" i="8"/>
  <c r="C803" i="8"/>
  <c r="C811" i="8"/>
  <c r="C819" i="8"/>
  <c r="C827" i="8"/>
  <c r="C835" i="8"/>
  <c r="C843" i="8"/>
  <c r="C851" i="8"/>
  <c r="C859" i="8"/>
  <c r="C867" i="8"/>
  <c r="C875" i="8"/>
  <c r="C883" i="8"/>
  <c r="C891" i="8"/>
  <c r="C899" i="8"/>
  <c r="C907" i="8"/>
  <c r="C915" i="8"/>
  <c r="C923" i="8"/>
  <c r="C931" i="8"/>
  <c r="C939" i="8"/>
  <c r="C947" i="8"/>
  <c r="C955" i="8"/>
  <c r="C963" i="8"/>
  <c r="C971" i="8"/>
  <c r="C979" i="8"/>
  <c r="C987" i="8"/>
  <c r="C995" i="8"/>
  <c r="C1003" i="8"/>
  <c r="C1011" i="8"/>
  <c r="C1019" i="8"/>
  <c r="C1027" i="8"/>
  <c r="C1035" i="8"/>
  <c r="C1043" i="8"/>
  <c r="C1051" i="8"/>
  <c r="C1059" i="8"/>
  <c r="C1067" i="8"/>
  <c r="C1075" i="8"/>
  <c r="C1083" i="8"/>
  <c r="C1091" i="8"/>
  <c r="C1099" i="8"/>
  <c r="C1107" i="8"/>
  <c r="C1115" i="8"/>
  <c r="B19" i="8"/>
  <c r="B27" i="8"/>
  <c r="B35" i="8"/>
  <c r="B43" i="8"/>
  <c r="B51" i="8"/>
  <c r="B59" i="8"/>
  <c r="B67" i="8"/>
  <c r="C71" i="8"/>
  <c r="C135" i="8"/>
  <c r="C199" i="8"/>
  <c r="C263" i="8"/>
  <c r="C327" i="8"/>
  <c r="C391" i="8"/>
  <c r="C455" i="8"/>
  <c r="C519" i="8"/>
  <c r="C583" i="8"/>
  <c r="C647" i="8"/>
  <c r="C687" i="8"/>
  <c r="C699" i="8"/>
  <c r="C708" i="8"/>
  <c r="C716" i="8"/>
  <c r="C724" i="8"/>
  <c r="C732" i="8"/>
  <c r="C740" i="8"/>
  <c r="C748" i="8"/>
  <c r="C756" i="8"/>
  <c r="C764" i="8"/>
  <c r="C772" i="8"/>
  <c r="C780" i="8"/>
  <c r="C788" i="8"/>
  <c r="C796" i="8"/>
  <c r="C804" i="8"/>
  <c r="C812" i="8"/>
  <c r="C820" i="8"/>
  <c r="C828" i="8"/>
  <c r="C836" i="8"/>
  <c r="C844" i="8"/>
  <c r="C852" i="8"/>
  <c r="C860" i="8"/>
  <c r="C868" i="8"/>
  <c r="C876" i="8"/>
  <c r="C884" i="8"/>
  <c r="C892" i="8"/>
  <c r="C900" i="8"/>
  <c r="C908" i="8"/>
  <c r="C916" i="8"/>
  <c r="C924" i="8"/>
  <c r="C932" i="8"/>
  <c r="C940" i="8"/>
  <c r="C948" i="8"/>
  <c r="C956" i="8"/>
  <c r="C964" i="8"/>
  <c r="C972" i="8"/>
  <c r="C980" i="8"/>
  <c r="C988" i="8"/>
  <c r="C996" i="8"/>
  <c r="C1004" i="8"/>
  <c r="C1012" i="8"/>
  <c r="C1020" i="8"/>
  <c r="C1028" i="8"/>
  <c r="C1036" i="8"/>
  <c r="C1044" i="8"/>
  <c r="C1052" i="8"/>
  <c r="C1060" i="8"/>
  <c r="C1068" i="8"/>
  <c r="C1076" i="8"/>
  <c r="C1084" i="8"/>
  <c r="C1092" i="8"/>
  <c r="C1100" i="8"/>
  <c r="C1108" i="8"/>
  <c r="C1116" i="8"/>
  <c r="B20" i="8"/>
  <c r="B28" i="8"/>
  <c r="B36" i="8"/>
  <c r="B44" i="8"/>
  <c r="B52" i="8"/>
  <c r="B60" i="8"/>
  <c r="B68" i="8"/>
  <c r="C15" i="8"/>
  <c r="C79" i="8"/>
  <c r="C143" i="8"/>
  <c r="C207" i="8"/>
  <c r="C271" i="8"/>
  <c r="C335" i="8"/>
  <c r="C399" i="8"/>
  <c r="C463" i="8"/>
  <c r="C527" i="8"/>
  <c r="C591" i="8"/>
  <c r="C655" i="8"/>
  <c r="C688" i="8"/>
  <c r="C701" i="8"/>
  <c r="C709" i="8"/>
  <c r="C717" i="8"/>
  <c r="C725" i="8"/>
  <c r="C733" i="8"/>
  <c r="C741" i="8"/>
  <c r="C749" i="8"/>
  <c r="C757" i="8"/>
  <c r="C765" i="8"/>
  <c r="C773" i="8"/>
  <c r="C781" i="8"/>
  <c r="C789" i="8"/>
  <c r="C797" i="8"/>
  <c r="C805" i="8"/>
  <c r="C813" i="8"/>
  <c r="C821" i="8"/>
  <c r="C829" i="8"/>
  <c r="C837" i="8"/>
  <c r="C845" i="8"/>
  <c r="C853" i="8"/>
  <c r="C861" i="8"/>
  <c r="C869" i="8"/>
  <c r="C877" i="8"/>
  <c r="C885" i="8"/>
  <c r="C893" i="8"/>
  <c r="C901" i="8"/>
  <c r="C909" i="8"/>
  <c r="C917" i="8"/>
  <c r="C925" i="8"/>
  <c r="C933" i="8"/>
  <c r="C941" i="8"/>
  <c r="C949" i="8"/>
  <c r="C957" i="8"/>
  <c r="C965" i="8"/>
  <c r="C973" i="8"/>
  <c r="C981" i="8"/>
  <c r="C989" i="8"/>
  <c r="C997" i="8"/>
  <c r="C1005" i="8"/>
  <c r="C1013" i="8"/>
  <c r="C1021" i="8"/>
  <c r="C1029" i="8"/>
  <c r="C1037" i="8"/>
  <c r="C1045" i="8"/>
  <c r="C1053" i="8"/>
  <c r="C1061" i="8"/>
  <c r="C1069" i="8"/>
  <c r="C1077" i="8"/>
  <c r="C1085" i="8"/>
  <c r="C1093" i="8"/>
  <c r="C1101" i="8"/>
  <c r="C1109" i="8"/>
  <c r="B13" i="8"/>
  <c r="B21" i="8"/>
  <c r="B29" i="8"/>
  <c r="B37" i="8"/>
  <c r="B45" i="8"/>
  <c r="C23" i="8"/>
  <c r="C87" i="8"/>
  <c r="C151" i="8"/>
  <c r="C215" i="8"/>
  <c r="C279" i="8"/>
  <c r="C343" i="8"/>
  <c r="C407" i="8"/>
  <c r="C471" i="8"/>
  <c r="C535" i="8"/>
  <c r="C599" i="8"/>
  <c r="C663" i="8"/>
  <c r="C693" i="8"/>
  <c r="C702" i="8"/>
  <c r="C710" i="8"/>
  <c r="C718" i="8"/>
  <c r="C726" i="8"/>
  <c r="C734" i="8"/>
  <c r="C742" i="8"/>
  <c r="C750" i="8"/>
  <c r="C758" i="8"/>
  <c r="C766" i="8"/>
  <c r="C774" i="8"/>
  <c r="C782" i="8"/>
  <c r="C790" i="8"/>
  <c r="C798" i="8"/>
  <c r="C806" i="8"/>
  <c r="C814" i="8"/>
  <c r="C822" i="8"/>
  <c r="C830" i="8"/>
  <c r="C838" i="8"/>
  <c r="C846" i="8"/>
  <c r="C854" i="8"/>
  <c r="C862" i="8"/>
  <c r="C870" i="8"/>
  <c r="C878" i="8"/>
  <c r="C886" i="8"/>
  <c r="C894" i="8"/>
  <c r="C902" i="8"/>
  <c r="C910" i="8"/>
  <c r="C918" i="8"/>
  <c r="C926" i="8"/>
  <c r="C934" i="8"/>
  <c r="C942" i="8"/>
  <c r="C950" i="8"/>
  <c r="C958" i="8"/>
  <c r="C966" i="8"/>
  <c r="C974" i="8"/>
  <c r="C982" i="8"/>
  <c r="C990" i="8"/>
  <c r="C998" i="8"/>
  <c r="C1006" i="8"/>
  <c r="C1014" i="8"/>
  <c r="C1022" i="8"/>
  <c r="C1030" i="8"/>
  <c r="C1038" i="8"/>
  <c r="C1046" i="8"/>
  <c r="C1054" i="8"/>
  <c r="C1062" i="8"/>
  <c r="C1070" i="8"/>
  <c r="C1078" i="8"/>
  <c r="C1086" i="8"/>
  <c r="C1094" i="8"/>
  <c r="C1102" i="8"/>
  <c r="C1110" i="8"/>
  <c r="B14" i="8"/>
  <c r="B22" i="8"/>
  <c r="B30" i="8"/>
  <c r="B38" i="8"/>
  <c r="B46" i="8"/>
  <c r="B54" i="8"/>
  <c r="B62" i="8"/>
  <c r="B70" i="8"/>
  <c r="B78" i="8"/>
  <c r="B86" i="8"/>
  <c r="B94" i="8"/>
  <c r="B102" i="8"/>
  <c r="B110" i="8"/>
  <c r="B118" i="8"/>
  <c r="B126" i="8"/>
  <c r="B134" i="8"/>
  <c r="B142" i="8"/>
  <c r="B150" i="8"/>
  <c r="B158" i="8"/>
  <c r="B166" i="8"/>
  <c r="B174" i="8"/>
  <c r="C31" i="8"/>
  <c r="C95" i="8"/>
  <c r="C159" i="8"/>
  <c r="C223" i="8"/>
  <c r="C287" i="8"/>
  <c r="C351" i="8"/>
  <c r="C415" i="8"/>
  <c r="C479" i="8"/>
  <c r="C543" i="8"/>
  <c r="C607" i="8"/>
  <c r="C670" i="8"/>
  <c r="C694" i="8"/>
  <c r="C703" i="8"/>
  <c r="C711" i="8"/>
  <c r="C719" i="8"/>
  <c r="C727" i="8"/>
  <c r="C735" i="8"/>
  <c r="C743" i="8"/>
  <c r="C751" i="8"/>
  <c r="C759" i="8"/>
  <c r="C767" i="8"/>
  <c r="C775" i="8"/>
  <c r="C783" i="8"/>
  <c r="C791" i="8"/>
  <c r="C799" i="8"/>
  <c r="C807" i="8"/>
  <c r="C815" i="8"/>
  <c r="C823" i="8"/>
  <c r="C831" i="8"/>
  <c r="C839" i="8"/>
  <c r="C847" i="8"/>
  <c r="C855" i="8"/>
  <c r="C863" i="8"/>
  <c r="C871" i="8"/>
  <c r="C879" i="8"/>
  <c r="C887" i="8"/>
  <c r="C895" i="8"/>
  <c r="C903" i="8"/>
  <c r="C911" i="8"/>
  <c r="C919" i="8"/>
  <c r="C927" i="8"/>
  <c r="C935" i="8"/>
  <c r="C943" i="8"/>
  <c r="C951" i="8"/>
  <c r="C959" i="8"/>
  <c r="C967" i="8"/>
  <c r="C975" i="8"/>
  <c r="C983" i="8"/>
  <c r="C991" i="8"/>
  <c r="C999" i="8"/>
  <c r="C1007" i="8"/>
  <c r="C1015" i="8"/>
  <c r="C1023" i="8"/>
  <c r="C1031" i="8"/>
  <c r="C1039" i="8"/>
  <c r="C1047" i="8"/>
  <c r="C1055" i="8"/>
  <c r="C1063" i="8"/>
  <c r="C1071" i="8"/>
  <c r="C1079" i="8"/>
  <c r="C1087" i="8"/>
  <c r="C1095" i="8"/>
  <c r="C1103" i="8"/>
  <c r="C1111" i="8"/>
  <c r="B15" i="8"/>
  <c r="B23" i="8"/>
  <c r="B31" i="8"/>
  <c r="B39" i="8"/>
  <c r="C47" i="8"/>
  <c r="C111" i="8"/>
  <c r="C175" i="8"/>
  <c r="C239" i="8"/>
  <c r="C303" i="8"/>
  <c r="C367" i="8"/>
  <c r="C431" i="8"/>
  <c r="C495" i="8"/>
  <c r="C559" i="8"/>
  <c r="C623" i="8"/>
  <c r="C678" i="8"/>
  <c r="C696" i="8"/>
  <c r="C705" i="8"/>
  <c r="C713" i="8"/>
  <c r="C721" i="8"/>
  <c r="C729" i="8"/>
  <c r="C737" i="8"/>
  <c r="C745" i="8"/>
  <c r="C753" i="8"/>
  <c r="C761" i="8"/>
  <c r="C769" i="8"/>
  <c r="C777" i="8"/>
  <c r="C785" i="8"/>
  <c r="C793" i="8"/>
  <c r="C801" i="8"/>
  <c r="C809" i="8"/>
  <c r="C817" i="8"/>
  <c r="C825" i="8"/>
  <c r="C833" i="8"/>
  <c r="C841" i="8"/>
  <c r="C849" i="8"/>
  <c r="C857" i="8"/>
  <c r="C865" i="8"/>
  <c r="C873" i="8"/>
  <c r="C881" i="8"/>
  <c r="C889" i="8"/>
  <c r="C897" i="8"/>
  <c r="C905" i="8"/>
  <c r="C913" i="8"/>
  <c r="C921" i="8"/>
  <c r="C929" i="8"/>
  <c r="C937" i="8"/>
  <c r="C945" i="8"/>
  <c r="C953" i="8"/>
  <c r="C961" i="8"/>
  <c r="C969" i="8"/>
  <c r="C977" i="8"/>
  <c r="C985" i="8"/>
  <c r="C993" i="8"/>
  <c r="C1001" i="8"/>
  <c r="C1009" i="8"/>
  <c r="C1017" i="8"/>
  <c r="C1025" i="8"/>
  <c r="C1033" i="8"/>
  <c r="C1041" i="8"/>
  <c r="C1049" i="8"/>
  <c r="C1057" i="8"/>
  <c r="C1065" i="8"/>
  <c r="C1073" i="8"/>
  <c r="C1081" i="8"/>
  <c r="C1089" i="8"/>
  <c r="C1097" i="8"/>
  <c r="C1105" i="8"/>
  <c r="C1113" i="8"/>
  <c r="B17" i="8"/>
  <c r="B25" i="8"/>
  <c r="B33" i="8"/>
  <c r="B41" i="8"/>
  <c r="C55" i="8"/>
  <c r="C119" i="8"/>
  <c r="C183" i="8"/>
  <c r="C247" i="8"/>
  <c r="C311" i="8"/>
  <c r="C375" i="8"/>
  <c r="C439" i="8"/>
  <c r="C503" i="8"/>
  <c r="C567" i="8"/>
  <c r="C631" i="8"/>
  <c r="C679" i="8"/>
  <c r="C697" i="8"/>
  <c r="C706" i="8"/>
  <c r="C714" i="8"/>
  <c r="C722" i="8"/>
  <c r="C730" i="8"/>
  <c r="C738" i="8"/>
  <c r="C746" i="8"/>
  <c r="C754" i="8"/>
  <c r="C762" i="8"/>
  <c r="C770" i="8"/>
  <c r="C778" i="8"/>
  <c r="C786" i="8"/>
  <c r="C794" i="8"/>
  <c r="C802" i="8"/>
  <c r="C810" i="8"/>
  <c r="C818" i="8"/>
  <c r="C826" i="8"/>
  <c r="C834" i="8"/>
  <c r="C842" i="8"/>
  <c r="C850" i="8"/>
  <c r="C858" i="8"/>
  <c r="C866" i="8"/>
  <c r="C874" i="8"/>
  <c r="C882" i="8"/>
  <c r="C890" i="8"/>
  <c r="C898" i="8"/>
  <c r="C906" i="8"/>
  <c r="C914" i="8"/>
  <c r="C922" i="8"/>
  <c r="C930" i="8"/>
  <c r="C938" i="8"/>
  <c r="C946" i="8"/>
  <c r="C954" i="8"/>
  <c r="C962" i="8"/>
  <c r="C970" i="8"/>
  <c r="C978" i="8"/>
  <c r="C986" i="8"/>
  <c r="C994" i="8"/>
  <c r="C1002" i="8"/>
  <c r="C1010" i="8"/>
  <c r="C1018" i="8"/>
  <c r="C1026" i="8"/>
  <c r="C1034" i="8"/>
  <c r="C1042" i="8"/>
  <c r="C1050" i="8"/>
  <c r="C1058" i="8"/>
  <c r="C1066" i="8"/>
  <c r="C1074" i="8"/>
  <c r="C1082" i="8"/>
  <c r="C1090" i="8"/>
  <c r="C1098" i="8"/>
  <c r="C1106" i="8"/>
  <c r="C1114" i="8"/>
  <c r="B18" i="8"/>
  <c r="B26" i="8"/>
  <c r="B34" i="8"/>
  <c r="B42" i="8"/>
  <c r="B50" i="8"/>
  <c r="B58" i="8"/>
  <c r="B66" i="8"/>
  <c r="B74" i="8"/>
  <c r="B82" i="8"/>
  <c r="B90" i="8"/>
  <c r="B98" i="8"/>
  <c r="B106" i="8"/>
  <c r="B114" i="8"/>
  <c r="B122" i="8"/>
  <c r="B130" i="8"/>
  <c r="B138" i="8"/>
  <c r="B146" i="8"/>
  <c r="B154" i="8"/>
  <c r="B162" i="8"/>
  <c r="B170" i="8"/>
  <c r="B178" i="8"/>
  <c r="C423" i="8"/>
  <c r="C720" i="8"/>
  <c r="C784" i="8"/>
  <c r="C848" i="8"/>
  <c r="C912" i="8"/>
  <c r="C976" i="8"/>
  <c r="C1040" i="8"/>
  <c r="C1104" i="8"/>
  <c r="B49" i="8"/>
  <c r="B65" i="8"/>
  <c r="B79" i="8"/>
  <c r="B89" i="8"/>
  <c r="B100" i="8"/>
  <c r="B111" i="8"/>
  <c r="B121" i="8"/>
  <c r="B132" i="8"/>
  <c r="B143" i="8"/>
  <c r="B153" i="8"/>
  <c r="B164" i="8"/>
  <c r="B175" i="8"/>
  <c r="B184" i="8"/>
  <c r="B192" i="8"/>
  <c r="B200" i="8"/>
  <c r="B208" i="8"/>
  <c r="B216" i="8"/>
  <c r="B224" i="8"/>
  <c r="B232" i="8"/>
  <c r="B240" i="8"/>
  <c r="B248" i="8"/>
  <c r="B256" i="8"/>
  <c r="B264" i="8"/>
  <c r="B272" i="8"/>
  <c r="B280" i="8"/>
  <c r="B288" i="8"/>
  <c r="B296" i="8"/>
  <c r="B304" i="8"/>
  <c r="B312" i="8"/>
  <c r="B320" i="8"/>
  <c r="B328" i="8"/>
  <c r="B336" i="8"/>
  <c r="B344" i="8"/>
  <c r="B352" i="8"/>
  <c r="B360" i="8"/>
  <c r="B368" i="8"/>
  <c r="B376" i="8"/>
  <c r="B384" i="8"/>
  <c r="B392" i="8"/>
  <c r="B400" i="8"/>
  <c r="B408" i="8"/>
  <c r="B416" i="8"/>
  <c r="B424" i="8"/>
  <c r="B432" i="8"/>
  <c r="B440" i="8"/>
  <c r="B448" i="8"/>
  <c r="B456" i="8"/>
  <c r="B464" i="8"/>
  <c r="B472" i="8"/>
  <c r="B480" i="8"/>
  <c r="B488" i="8"/>
  <c r="B496" i="8"/>
  <c r="B504" i="8"/>
  <c r="B512" i="8"/>
  <c r="B520" i="8"/>
  <c r="B528" i="8"/>
  <c r="B536" i="8"/>
  <c r="B544" i="8"/>
  <c r="B552" i="8"/>
  <c r="B560" i="8"/>
  <c r="B568" i="8"/>
  <c r="B576" i="8"/>
  <c r="B584" i="8"/>
  <c r="B592" i="8"/>
  <c r="B600" i="8"/>
  <c r="B608" i="8"/>
  <c r="B616" i="8"/>
  <c r="B624" i="8"/>
  <c r="B632" i="8"/>
  <c r="B640" i="8"/>
  <c r="B648" i="8"/>
  <c r="B656" i="8"/>
  <c r="B664" i="8"/>
  <c r="B672" i="8"/>
  <c r="B680" i="8"/>
  <c r="B688" i="8"/>
  <c r="B696" i="8"/>
  <c r="B704" i="8"/>
  <c r="C487" i="8"/>
  <c r="C728" i="8"/>
  <c r="C792" i="8"/>
  <c r="C856" i="8"/>
  <c r="C920" i="8"/>
  <c r="C984" i="8"/>
  <c r="C1048" i="8"/>
  <c r="C1112" i="8"/>
  <c r="B53" i="8"/>
  <c r="B69" i="8"/>
  <c r="B80" i="8"/>
  <c r="B91" i="8"/>
  <c r="B101" i="8"/>
  <c r="B112" i="8"/>
  <c r="B123" i="8"/>
  <c r="B133" i="8"/>
  <c r="B144" i="8"/>
  <c r="B155" i="8"/>
  <c r="B165" i="8"/>
  <c r="B176" i="8"/>
  <c r="B185" i="8"/>
  <c r="B193" i="8"/>
  <c r="B201" i="8"/>
  <c r="B209" i="8"/>
  <c r="B217" i="8"/>
  <c r="B225" i="8"/>
  <c r="B233" i="8"/>
  <c r="B241" i="8"/>
  <c r="B249" i="8"/>
  <c r="B257" i="8"/>
  <c r="B265" i="8"/>
  <c r="B273" i="8"/>
  <c r="B281" i="8"/>
  <c r="B289" i="8"/>
  <c r="B297" i="8"/>
  <c r="B305" i="8"/>
  <c r="B313" i="8"/>
  <c r="B321" i="8"/>
  <c r="B329" i="8"/>
  <c r="B337" i="8"/>
  <c r="B345" i="8"/>
  <c r="B353" i="8"/>
  <c r="B361" i="8"/>
  <c r="B369" i="8"/>
  <c r="B377" i="8"/>
  <c r="B385" i="8"/>
  <c r="B393" i="8"/>
  <c r="B401" i="8"/>
  <c r="B409" i="8"/>
  <c r="B417" i="8"/>
  <c r="B425" i="8"/>
  <c r="B433" i="8"/>
  <c r="B441" i="8"/>
  <c r="B449" i="8"/>
  <c r="B457" i="8"/>
  <c r="B465" i="8"/>
  <c r="B473" i="8"/>
  <c r="B481" i="8"/>
  <c r="B489" i="8"/>
  <c r="B497" i="8"/>
  <c r="B505" i="8"/>
  <c r="B513" i="8"/>
  <c r="B521" i="8"/>
  <c r="B529" i="8"/>
  <c r="B537" i="8"/>
  <c r="B545" i="8"/>
  <c r="B553" i="8"/>
  <c r="B561" i="8"/>
  <c r="B569" i="8"/>
  <c r="B577" i="8"/>
  <c r="B585" i="8"/>
  <c r="B593" i="8"/>
  <c r="B601" i="8"/>
  <c r="B609" i="8"/>
  <c r="B617" i="8"/>
  <c r="B625" i="8"/>
  <c r="B633" i="8"/>
  <c r="B641" i="8"/>
  <c r="B649" i="8"/>
  <c r="B657" i="8"/>
  <c r="B665" i="8"/>
  <c r="B673" i="8"/>
  <c r="B681" i="8"/>
  <c r="B689" i="8"/>
  <c r="B697" i="8"/>
  <c r="C39" i="8"/>
  <c r="C551" i="8"/>
  <c r="C736" i="8"/>
  <c r="C800" i="8"/>
  <c r="C864" i="8"/>
  <c r="C928" i="8"/>
  <c r="C992" i="8"/>
  <c r="C1056" i="8"/>
  <c r="B16" i="8"/>
  <c r="B55" i="8"/>
  <c r="B71" i="8"/>
  <c r="B81" i="8"/>
  <c r="B92" i="8"/>
  <c r="B103" i="8"/>
  <c r="B113" i="8"/>
  <c r="B124" i="8"/>
  <c r="B135" i="8"/>
  <c r="B145" i="8"/>
  <c r="B156" i="8"/>
  <c r="B167" i="8"/>
  <c r="B177" i="8"/>
  <c r="B186" i="8"/>
  <c r="B194" i="8"/>
  <c r="B202" i="8"/>
  <c r="B210" i="8"/>
  <c r="B218" i="8"/>
  <c r="B226" i="8"/>
  <c r="B234" i="8"/>
  <c r="B242" i="8"/>
  <c r="B250" i="8"/>
  <c r="B258" i="8"/>
  <c r="B266" i="8"/>
  <c r="B274" i="8"/>
  <c r="B282" i="8"/>
  <c r="B290" i="8"/>
  <c r="B298" i="8"/>
  <c r="B306" i="8"/>
  <c r="B314" i="8"/>
  <c r="B322" i="8"/>
  <c r="B330" i="8"/>
  <c r="B338" i="8"/>
  <c r="B346" i="8"/>
  <c r="B354" i="8"/>
  <c r="B362" i="8"/>
  <c r="B370" i="8"/>
  <c r="B378" i="8"/>
  <c r="B386" i="8"/>
  <c r="B394" i="8"/>
  <c r="B402" i="8"/>
  <c r="B410" i="8"/>
  <c r="B418" i="8"/>
  <c r="B426" i="8"/>
  <c r="B434" i="8"/>
  <c r="B442" i="8"/>
  <c r="B450" i="8"/>
  <c r="B458" i="8"/>
  <c r="B466" i="8"/>
  <c r="B474" i="8"/>
  <c r="B482" i="8"/>
  <c r="B490" i="8"/>
  <c r="B498" i="8"/>
  <c r="B506" i="8"/>
  <c r="B514" i="8"/>
  <c r="B522" i="8"/>
  <c r="B530" i="8"/>
  <c r="B538" i="8"/>
  <c r="B546" i="8"/>
  <c r="B554" i="8"/>
  <c r="B562" i="8"/>
  <c r="B570" i="8"/>
  <c r="B578" i="8"/>
  <c r="B586" i="8"/>
  <c r="B594" i="8"/>
  <c r="B602" i="8"/>
  <c r="B610" i="8"/>
  <c r="B618" i="8"/>
  <c r="B626" i="8"/>
  <c r="C103" i="8"/>
  <c r="C615" i="8"/>
  <c r="C744" i="8"/>
  <c r="C808" i="8"/>
  <c r="C872" i="8"/>
  <c r="C936" i="8"/>
  <c r="C1000" i="8"/>
  <c r="C1064" i="8"/>
  <c r="B24" i="8"/>
  <c r="B56" i="8"/>
  <c r="B72" i="8"/>
  <c r="B83" i="8"/>
  <c r="B93" i="8"/>
  <c r="B104" i="8"/>
  <c r="B115" i="8"/>
  <c r="B125" i="8"/>
  <c r="B136" i="8"/>
  <c r="B147" i="8"/>
  <c r="B157" i="8"/>
  <c r="B168" i="8"/>
  <c r="B179" i="8"/>
  <c r="B187" i="8"/>
  <c r="B195" i="8"/>
  <c r="B203" i="8"/>
  <c r="B211" i="8"/>
  <c r="B219" i="8"/>
  <c r="B227" i="8"/>
  <c r="B235" i="8"/>
  <c r="B243" i="8"/>
  <c r="B251" i="8"/>
  <c r="B259" i="8"/>
  <c r="B267" i="8"/>
  <c r="B275" i="8"/>
  <c r="B283" i="8"/>
  <c r="B291" i="8"/>
  <c r="B299" i="8"/>
  <c r="B307" i="8"/>
  <c r="B315" i="8"/>
  <c r="B323" i="8"/>
  <c r="B331" i="8"/>
  <c r="B339" i="8"/>
  <c r="B347" i="8"/>
  <c r="B355" i="8"/>
  <c r="B363" i="8"/>
  <c r="B371" i="8"/>
  <c r="B379" i="8"/>
  <c r="B387" i="8"/>
  <c r="B395" i="8"/>
  <c r="B403" i="8"/>
  <c r="B411" i="8"/>
  <c r="B419" i="8"/>
  <c r="B427" i="8"/>
  <c r="B435" i="8"/>
  <c r="B443" i="8"/>
  <c r="B451" i="8"/>
  <c r="B459" i="8"/>
  <c r="B467" i="8"/>
  <c r="B475" i="8"/>
  <c r="B483" i="8"/>
  <c r="B491" i="8"/>
  <c r="B499" i="8"/>
  <c r="B507" i="8"/>
  <c r="B515" i="8"/>
  <c r="B523" i="8"/>
  <c r="B531" i="8"/>
  <c r="B539" i="8"/>
  <c r="B547" i="8"/>
  <c r="B555" i="8"/>
  <c r="B563" i="8"/>
  <c r="B571" i="8"/>
  <c r="B579" i="8"/>
  <c r="B587" i="8"/>
  <c r="B595" i="8"/>
  <c r="B603" i="8"/>
  <c r="B611" i="8"/>
  <c r="B619" i="8"/>
  <c r="B627" i="8"/>
  <c r="B635" i="8"/>
  <c r="B643" i="8"/>
  <c r="B651" i="8"/>
  <c r="B659" i="8"/>
  <c r="C167" i="8"/>
  <c r="C671" i="8"/>
  <c r="C752" i="8"/>
  <c r="C816" i="8"/>
  <c r="C880" i="8"/>
  <c r="C944" i="8"/>
  <c r="C1008" i="8"/>
  <c r="C1072" i="8"/>
  <c r="B32" i="8"/>
  <c r="B57" i="8"/>
  <c r="B73" i="8"/>
  <c r="B84" i="8"/>
  <c r="B95" i="8"/>
  <c r="B105" i="8"/>
  <c r="B116" i="8"/>
  <c r="B127" i="8"/>
  <c r="B137" i="8"/>
  <c r="B148" i="8"/>
  <c r="B159" i="8"/>
  <c r="B169" i="8"/>
  <c r="B180" i="8"/>
  <c r="B188" i="8"/>
  <c r="B196" i="8"/>
  <c r="B204" i="8"/>
  <c r="B212" i="8"/>
  <c r="B220" i="8"/>
  <c r="B228" i="8"/>
  <c r="B236" i="8"/>
  <c r="B244" i="8"/>
  <c r="B252" i="8"/>
  <c r="B260" i="8"/>
  <c r="B268" i="8"/>
  <c r="B276" i="8"/>
  <c r="B284" i="8"/>
  <c r="B292" i="8"/>
  <c r="B300" i="8"/>
  <c r="B308" i="8"/>
  <c r="B316" i="8"/>
  <c r="B324" i="8"/>
  <c r="B332" i="8"/>
  <c r="B340" i="8"/>
  <c r="B348" i="8"/>
  <c r="B356" i="8"/>
  <c r="B364" i="8"/>
  <c r="B372" i="8"/>
  <c r="B380" i="8"/>
  <c r="B388" i="8"/>
  <c r="B396" i="8"/>
  <c r="B404" i="8"/>
  <c r="B412" i="8"/>
  <c r="B420" i="8"/>
  <c r="B428" i="8"/>
  <c r="B436" i="8"/>
  <c r="B444" i="8"/>
  <c r="B452" i="8"/>
  <c r="B460" i="8"/>
  <c r="B468" i="8"/>
  <c r="B476" i="8"/>
  <c r="B484" i="8"/>
  <c r="B492" i="8"/>
  <c r="B500" i="8"/>
  <c r="B508" i="8"/>
  <c r="B516" i="8"/>
  <c r="B524" i="8"/>
  <c r="B532" i="8"/>
  <c r="B540" i="8"/>
  <c r="B548" i="8"/>
  <c r="B556" i="8"/>
  <c r="B564" i="8"/>
  <c r="B572" i="8"/>
  <c r="B580" i="8"/>
  <c r="B588" i="8"/>
  <c r="B596" i="8"/>
  <c r="B604" i="8"/>
  <c r="C295" i="8"/>
  <c r="C704" i="8"/>
  <c r="C768" i="8"/>
  <c r="C832" i="8"/>
  <c r="C896" i="8"/>
  <c r="C960" i="8"/>
  <c r="C1024" i="8"/>
  <c r="C1088" i="8"/>
  <c r="B47" i="8"/>
  <c r="B63" i="8"/>
  <c r="B76" i="8"/>
  <c r="B87" i="8"/>
  <c r="B97" i="8"/>
  <c r="B108" i="8"/>
  <c r="B119" i="8"/>
  <c r="B129" i="8"/>
  <c r="B140" i="8"/>
  <c r="B151" i="8"/>
  <c r="B161" i="8"/>
  <c r="B172" i="8"/>
  <c r="B182" i="8"/>
  <c r="B190" i="8"/>
  <c r="B198" i="8"/>
  <c r="B206" i="8"/>
  <c r="B214" i="8"/>
  <c r="B222" i="8"/>
  <c r="B230" i="8"/>
  <c r="B238" i="8"/>
  <c r="B246" i="8"/>
  <c r="B254" i="8"/>
  <c r="B262" i="8"/>
  <c r="B270" i="8"/>
  <c r="B278" i="8"/>
  <c r="B286" i="8"/>
  <c r="B294" i="8"/>
  <c r="B302" i="8"/>
  <c r="B310" i="8"/>
  <c r="B318" i="8"/>
  <c r="B326" i="8"/>
  <c r="B334" i="8"/>
  <c r="B342" i="8"/>
  <c r="B350" i="8"/>
  <c r="B358" i="8"/>
  <c r="B366" i="8"/>
  <c r="B374" i="8"/>
  <c r="B382" i="8"/>
  <c r="B390" i="8"/>
  <c r="B398" i="8"/>
  <c r="B406" i="8"/>
  <c r="B414" i="8"/>
  <c r="B422" i="8"/>
  <c r="B430" i="8"/>
  <c r="B438" i="8"/>
  <c r="B446" i="8"/>
  <c r="B454" i="8"/>
  <c r="B462" i="8"/>
  <c r="B470" i="8"/>
  <c r="B478" i="8"/>
  <c r="B486" i="8"/>
  <c r="B494" i="8"/>
  <c r="B502" i="8"/>
  <c r="B510" i="8"/>
  <c r="B518" i="8"/>
  <c r="B526" i="8"/>
  <c r="B534" i="8"/>
  <c r="B542" i="8"/>
  <c r="B550" i="8"/>
  <c r="B558" i="8"/>
  <c r="B566" i="8"/>
  <c r="B574" i="8"/>
  <c r="B582" i="8"/>
  <c r="B590" i="8"/>
  <c r="B598" i="8"/>
  <c r="B606" i="8"/>
  <c r="B614" i="8"/>
  <c r="B622" i="8"/>
  <c r="B630" i="8"/>
  <c r="B638" i="8"/>
  <c r="B646" i="8"/>
  <c r="B654" i="8"/>
  <c r="C824" i="8"/>
  <c r="C1080" i="8"/>
  <c r="B85" i="8"/>
  <c r="B128" i="8"/>
  <c r="B171" i="8"/>
  <c r="B205" i="8"/>
  <c r="B237" i="8"/>
  <c r="B269" i="8"/>
  <c r="B301" i="8"/>
  <c r="B333" i="8"/>
  <c r="B365" i="8"/>
  <c r="B397" i="8"/>
  <c r="B429" i="8"/>
  <c r="B461" i="8"/>
  <c r="B493" i="8"/>
  <c r="B525" i="8"/>
  <c r="B557" i="8"/>
  <c r="B589" i="8"/>
  <c r="B615" i="8"/>
  <c r="B636" i="8"/>
  <c r="B652" i="8"/>
  <c r="B666" i="8"/>
  <c r="B676" i="8"/>
  <c r="B686" i="8"/>
  <c r="B698" i="8"/>
  <c r="B707" i="8"/>
  <c r="B715" i="8"/>
  <c r="B723" i="8"/>
  <c r="B731" i="8"/>
  <c r="B739" i="8"/>
  <c r="B747" i="8"/>
  <c r="B755" i="8"/>
  <c r="B763" i="8"/>
  <c r="B771" i="8"/>
  <c r="B779" i="8"/>
  <c r="B787" i="8"/>
  <c r="B795" i="8"/>
  <c r="B803" i="8"/>
  <c r="B811" i="8"/>
  <c r="B819" i="8"/>
  <c r="B827" i="8"/>
  <c r="B835" i="8"/>
  <c r="B843" i="8"/>
  <c r="B851" i="8"/>
  <c r="B859" i="8"/>
  <c r="B867" i="8"/>
  <c r="B875" i="8"/>
  <c r="B883" i="8"/>
  <c r="B891" i="8"/>
  <c r="B899" i="8"/>
  <c r="B907" i="8"/>
  <c r="B915" i="8"/>
  <c r="B923" i="8"/>
  <c r="B931" i="8"/>
  <c r="B939" i="8"/>
  <c r="B947" i="8"/>
  <c r="B955" i="8"/>
  <c r="B963" i="8"/>
  <c r="B971" i="8"/>
  <c r="B979" i="8"/>
  <c r="B987" i="8"/>
  <c r="B995" i="8"/>
  <c r="B1003" i="8"/>
  <c r="B1011" i="8"/>
  <c r="B1019" i="8"/>
  <c r="B1027" i="8"/>
  <c r="B1035" i="8"/>
  <c r="B1043" i="8"/>
  <c r="B1051" i="8"/>
  <c r="B1059" i="8"/>
  <c r="B1067" i="8"/>
  <c r="B1075" i="8"/>
  <c r="B1083" i="8"/>
  <c r="B1091" i="8"/>
  <c r="B1099" i="8"/>
  <c r="B1107" i="8"/>
  <c r="B1115" i="8"/>
  <c r="C840" i="8"/>
  <c r="C1096" i="8"/>
  <c r="B88" i="8"/>
  <c r="B131" i="8"/>
  <c r="B173" i="8"/>
  <c r="B207" i="8"/>
  <c r="B239" i="8"/>
  <c r="B271" i="8"/>
  <c r="B303" i="8"/>
  <c r="B335" i="8"/>
  <c r="B367" i="8"/>
  <c r="B399" i="8"/>
  <c r="B431" i="8"/>
  <c r="B463" i="8"/>
  <c r="B495" i="8"/>
  <c r="B527" i="8"/>
  <c r="B559" i="8"/>
  <c r="B591" i="8"/>
  <c r="B620" i="8"/>
  <c r="B637" i="8"/>
  <c r="B653" i="8"/>
  <c r="B667" i="8"/>
  <c r="B677" i="8"/>
  <c r="B687" i="8"/>
  <c r="B699" i="8"/>
  <c r="B708" i="8"/>
  <c r="B716" i="8"/>
  <c r="B724" i="8"/>
  <c r="B732" i="8"/>
  <c r="B740" i="8"/>
  <c r="B748" i="8"/>
  <c r="B756" i="8"/>
  <c r="B764" i="8"/>
  <c r="B772" i="8"/>
  <c r="B780" i="8"/>
  <c r="B788" i="8"/>
  <c r="B796" i="8"/>
  <c r="B804" i="8"/>
  <c r="B812" i="8"/>
  <c r="B820" i="8"/>
  <c r="B828" i="8"/>
  <c r="B836" i="8"/>
  <c r="B844" i="8"/>
  <c r="B852" i="8"/>
  <c r="B860" i="8"/>
  <c r="B868" i="8"/>
  <c r="B876" i="8"/>
  <c r="B884" i="8"/>
  <c r="B892" i="8"/>
  <c r="B900" i="8"/>
  <c r="B908" i="8"/>
  <c r="B916" i="8"/>
  <c r="B924" i="8"/>
  <c r="B932" i="8"/>
  <c r="B940" i="8"/>
  <c r="B948" i="8"/>
  <c r="B956" i="8"/>
  <c r="B964" i="8"/>
  <c r="B972" i="8"/>
  <c r="B980" i="8"/>
  <c r="B988" i="8"/>
  <c r="B996" i="8"/>
  <c r="B1004" i="8"/>
  <c r="B1012" i="8"/>
  <c r="B1020" i="8"/>
  <c r="B1028" i="8"/>
  <c r="B1036" i="8"/>
  <c r="B1044" i="8"/>
  <c r="B1052" i="8"/>
  <c r="B1060" i="8"/>
  <c r="B1068" i="8"/>
  <c r="B1076" i="8"/>
  <c r="B1084" i="8"/>
  <c r="B1092" i="8"/>
  <c r="B1100" i="8"/>
  <c r="B1108" i="8"/>
  <c r="B1116" i="8"/>
  <c r="C98" i="3"/>
  <c r="C106" i="3"/>
  <c r="C114" i="3"/>
  <c r="C122" i="3"/>
  <c r="C130" i="3"/>
  <c r="C138" i="3"/>
  <c r="C146" i="3"/>
  <c r="C154" i="3"/>
  <c r="C231" i="8"/>
  <c r="C888" i="8"/>
  <c r="B40" i="8"/>
  <c r="B96" i="8"/>
  <c r="B139" i="8"/>
  <c r="B181" i="8"/>
  <c r="B213" i="8"/>
  <c r="B245" i="8"/>
  <c r="B277" i="8"/>
  <c r="B309" i="8"/>
  <c r="B341" i="8"/>
  <c r="B373" i="8"/>
  <c r="B405" i="8"/>
  <c r="B437" i="8"/>
  <c r="B469" i="8"/>
  <c r="B501" i="8"/>
  <c r="B533" i="8"/>
  <c r="B565" i="8"/>
  <c r="B597" i="8"/>
  <c r="B621" i="8"/>
  <c r="B639" i="8"/>
  <c r="B655" i="8"/>
  <c r="B668" i="8"/>
  <c r="B678" i="8"/>
  <c r="B690" i="8"/>
  <c r="B700" i="8"/>
  <c r="B709" i="8"/>
  <c r="B717" i="8"/>
  <c r="B725" i="8"/>
  <c r="B733" i="8"/>
  <c r="B741" i="8"/>
  <c r="B749" i="8"/>
  <c r="B757" i="8"/>
  <c r="B765" i="8"/>
  <c r="B773" i="8"/>
  <c r="B781" i="8"/>
  <c r="B789" i="8"/>
  <c r="B797" i="8"/>
  <c r="B805" i="8"/>
  <c r="B813" i="8"/>
  <c r="B821" i="8"/>
  <c r="B829" i="8"/>
  <c r="B837" i="8"/>
  <c r="B845" i="8"/>
  <c r="B853" i="8"/>
  <c r="B861" i="8"/>
  <c r="B869" i="8"/>
  <c r="B877" i="8"/>
  <c r="B885" i="8"/>
  <c r="B893" i="8"/>
  <c r="B901" i="8"/>
  <c r="B909" i="8"/>
  <c r="B917" i="8"/>
  <c r="B925" i="8"/>
  <c r="B933" i="8"/>
  <c r="B941" i="8"/>
  <c r="B949" i="8"/>
  <c r="B957" i="8"/>
  <c r="B965" i="8"/>
  <c r="B973" i="8"/>
  <c r="B981" i="8"/>
  <c r="B989" i="8"/>
  <c r="B997" i="8"/>
  <c r="B1005" i="8"/>
  <c r="B1013" i="8"/>
  <c r="B1021" i="8"/>
  <c r="B1029" i="8"/>
  <c r="B1037" i="8"/>
  <c r="B1045" i="8"/>
  <c r="B1053" i="8"/>
  <c r="B1061" i="8"/>
  <c r="B1069" i="8"/>
  <c r="B1077" i="8"/>
  <c r="B1085" i="8"/>
  <c r="B1093" i="8"/>
  <c r="B1101" i="8"/>
  <c r="B1109" i="8"/>
  <c r="B1117" i="8"/>
  <c r="C359" i="8"/>
  <c r="C904" i="8"/>
  <c r="B48" i="8"/>
  <c r="B99" i="8"/>
  <c r="B141" i="8"/>
  <c r="B183" i="8"/>
  <c r="B215" i="8"/>
  <c r="B247" i="8"/>
  <c r="B279" i="8"/>
  <c r="B311" i="8"/>
  <c r="B343" i="8"/>
  <c r="B375" i="8"/>
  <c r="B407" i="8"/>
  <c r="B439" i="8"/>
  <c r="B471" i="8"/>
  <c r="B503" i="8"/>
  <c r="B535" i="8"/>
  <c r="B567" i="8"/>
  <c r="B599" i="8"/>
  <c r="B623" i="8"/>
  <c r="B642" i="8"/>
  <c r="B658" i="8"/>
  <c r="B669" i="8"/>
  <c r="B679" i="8"/>
  <c r="B691" i="8"/>
  <c r="B701" i="8"/>
  <c r="B710" i="8"/>
  <c r="B718" i="8"/>
  <c r="B726" i="8"/>
  <c r="B734" i="8"/>
  <c r="B742" i="8"/>
  <c r="B750" i="8"/>
  <c r="B758" i="8"/>
  <c r="B766" i="8"/>
  <c r="B774" i="8"/>
  <c r="B782" i="8"/>
  <c r="B790" i="8"/>
  <c r="B798" i="8"/>
  <c r="B806" i="8"/>
  <c r="B814" i="8"/>
  <c r="B822" i="8"/>
  <c r="B830" i="8"/>
  <c r="B838" i="8"/>
  <c r="B846" i="8"/>
  <c r="B854" i="8"/>
  <c r="B862" i="8"/>
  <c r="B870" i="8"/>
  <c r="B878" i="8"/>
  <c r="B886" i="8"/>
  <c r="B894" i="8"/>
  <c r="B902" i="8"/>
  <c r="B910" i="8"/>
  <c r="B918" i="8"/>
  <c r="B926" i="8"/>
  <c r="B934" i="8"/>
  <c r="B942" i="8"/>
  <c r="B950" i="8"/>
  <c r="B958" i="8"/>
  <c r="B966" i="8"/>
  <c r="B974" i="8"/>
  <c r="B982" i="8"/>
  <c r="B990" i="8"/>
  <c r="B998" i="8"/>
  <c r="B1006" i="8"/>
  <c r="B1014" i="8"/>
  <c r="B1022" i="8"/>
  <c r="B1030" i="8"/>
  <c r="B1038" i="8"/>
  <c r="B1046" i="8"/>
  <c r="B1054" i="8"/>
  <c r="B1062" i="8"/>
  <c r="B1070" i="8"/>
  <c r="B1078" i="8"/>
  <c r="B1086" i="8"/>
  <c r="B1094" i="8"/>
  <c r="B1102" i="8"/>
  <c r="B1110" i="8"/>
  <c r="B1118" i="8"/>
  <c r="C695" i="8"/>
  <c r="C952" i="8"/>
  <c r="B61" i="8"/>
  <c r="B107" i="8"/>
  <c r="B149" i="8"/>
  <c r="B189" i="8"/>
  <c r="B221" i="8"/>
  <c r="B253" i="8"/>
  <c r="B285" i="8"/>
  <c r="B317" i="8"/>
  <c r="B349" i="8"/>
  <c r="B381" i="8"/>
  <c r="B413" i="8"/>
  <c r="B445" i="8"/>
  <c r="B477" i="8"/>
  <c r="B509" i="8"/>
  <c r="B541" i="8"/>
  <c r="B573" i="8"/>
  <c r="B605" i="8"/>
  <c r="B628" i="8"/>
  <c r="B644" i="8"/>
  <c r="B660" i="8"/>
  <c r="B670" i="8"/>
  <c r="B682" i="8"/>
  <c r="B692" i="8"/>
  <c r="B702" i="8"/>
  <c r="B711" i="8"/>
  <c r="B719" i="8"/>
  <c r="B727" i="8"/>
  <c r="B735" i="8"/>
  <c r="B743" i="8"/>
  <c r="B751" i="8"/>
  <c r="B759" i="8"/>
  <c r="B767" i="8"/>
  <c r="B775" i="8"/>
  <c r="B783" i="8"/>
  <c r="B791" i="8"/>
  <c r="B799" i="8"/>
  <c r="B807" i="8"/>
  <c r="B815" i="8"/>
  <c r="B823" i="8"/>
  <c r="B831" i="8"/>
  <c r="B839" i="8"/>
  <c r="B847" i="8"/>
  <c r="B855" i="8"/>
  <c r="B863" i="8"/>
  <c r="B871" i="8"/>
  <c r="B879" i="8"/>
  <c r="B887" i="8"/>
  <c r="B895" i="8"/>
  <c r="B903" i="8"/>
  <c r="B911" i="8"/>
  <c r="B919" i="8"/>
  <c r="B927" i="8"/>
  <c r="B935" i="8"/>
  <c r="B943" i="8"/>
  <c r="B951" i="8"/>
  <c r="B959" i="8"/>
  <c r="B967" i="8"/>
  <c r="B975" i="8"/>
  <c r="B983" i="8"/>
  <c r="B991" i="8"/>
  <c r="B999" i="8"/>
  <c r="B1007" i="8"/>
  <c r="B1015" i="8"/>
  <c r="B1023" i="8"/>
  <c r="B1031" i="8"/>
  <c r="B1039" i="8"/>
  <c r="B1047" i="8"/>
  <c r="B1055" i="8"/>
  <c r="B1063" i="8"/>
  <c r="B1071" i="8"/>
  <c r="B1079" i="8"/>
  <c r="B1087" i="8"/>
  <c r="B1095" i="8"/>
  <c r="B1103" i="8"/>
  <c r="B1111" i="8"/>
  <c r="B1119" i="8"/>
  <c r="C712" i="8"/>
  <c r="C968" i="8"/>
  <c r="B64" i="8"/>
  <c r="B109" i="8"/>
  <c r="B152" i="8"/>
  <c r="B191" i="8"/>
  <c r="B223" i="8"/>
  <c r="B255" i="8"/>
  <c r="B287" i="8"/>
  <c r="B319" i="8"/>
  <c r="B351" i="8"/>
  <c r="B383" i="8"/>
  <c r="B415" i="8"/>
  <c r="B447" i="8"/>
  <c r="B479" i="8"/>
  <c r="B511" i="8"/>
  <c r="B543" i="8"/>
  <c r="B575" i="8"/>
  <c r="B607" i="8"/>
  <c r="B629" i="8"/>
  <c r="B645" i="8"/>
  <c r="B661" i="8"/>
  <c r="B671" i="8"/>
  <c r="B683" i="8"/>
  <c r="B693" i="8"/>
  <c r="B703" i="8"/>
  <c r="B712" i="8"/>
  <c r="B720" i="8"/>
  <c r="B728" i="8"/>
  <c r="B736" i="8"/>
  <c r="B744" i="8"/>
  <c r="B752" i="8"/>
  <c r="B760" i="8"/>
  <c r="B768" i="8"/>
  <c r="B776" i="8"/>
  <c r="B784" i="8"/>
  <c r="B792" i="8"/>
  <c r="B800" i="8"/>
  <c r="B808" i="8"/>
  <c r="B816" i="8"/>
  <c r="B824" i="8"/>
  <c r="B832" i="8"/>
  <c r="B840" i="8"/>
  <c r="B848" i="8"/>
  <c r="B856" i="8"/>
  <c r="B864" i="8"/>
  <c r="B872" i="8"/>
  <c r="B880" i="8"/>
  <c r="B888" i="8"/>
  <c r="B896" i="8"/>
  <c r="B904" i="8"/>
  <c r="B912" i="8"/>
  <c r="B920" i="8"/>
  <c r="B928" i="8"/>
  <c r="B936" i="8"/>
  <c r="B944" i="8"/>
  <c r="B952" i="8"/>
  <c r="B960" i="8"/>
  <c r="B968" i="8"/>
  <c r="B976" i="8"/>
  <c r="B984" i="8"/>
  <c r="B992" i="8"/>
  <c r="B1000" i="8"/>
  <c r="B1008" i="8"/>
  <c r="B1016" i="8"/>
  <c r="B1024" i="8"/>
  <c r="B1032" i="8"/>
  <c r="B1040" i="8"/>
  <c r="B1048" i="8"/>
  <c r="B1056" i="8"/>
  <c r="B1064" i="8"/>
  <c r="B1072" i="8"/>
  <c r="B1080" i="8"/>
  <c r="B1088" i="8"/>
  <c r="B1096" i="8"/>
  <c r="B1104" i="8"/>
  <c r="B1112" i="8"/>
  <c r="B1120" i="8"/>
  <c r="C760" i="8"/>
  <c r="C1016" i="8"/>
  <c r="B75" i="8"/>
  <c r="B117" i="8"/>
  <c r="B160" i="8"/>
  <c r="B197" i="8"/>
  <c r="B229" i="8"/>
  <c r="B261" i="8"/>
  <c r="B293" i="8"/>
  <c r="B325" i="8"/>
  <c r="B357" i="8"/>
  <c r="B389" i="8"/>
  <c r="B421" i="8"/>
  <c r="B453" i="8"/>
  <c r="B485" i="8"/>
  <c r="B517" i="8"/>
  <c r="B549" i="8"/>
  <c r="B581" i="8"/>
  <c r="B612" i="8"/>
  <c r="B631" i="8"/>
  <c r="B647" i="8"/>
  <c r="B662" i="8"/>
  <c r="B674" i="8"/>
  <c r="B684" i="8"/>
  <c r="B694" i="8"/>
  <c r="B705" i="8"/>
  <c r="B713" i="8"/>
  <c r="B721" i="8"/>
  <c r="B729" i="8"/>
  <c r="B737" i="8"/>
  <c r="B745" i="8"/>
  <c r="B753" i="8"/>
  <c r="B761" i="8"/>
  <c r="B769" i="8"/>
  <c r="B777" i="8"/>
  <c r="B785" i="8"/>
  <c r="B793" i="8"/>
  <c r="B801" i="8"/>
  <c r="B809" i="8"/>
  <c r="B817" i="8"/>
  <c r="B825" i="8"/>
  <c r="B833" i="8"/>
  <c r="B841" i="8"/>
  <c r="B849" i="8"/>
  <c r="B857" i="8"/>
  <c r="B865" i="8"/>
  <c r="B873" i="8"/>
  <c r="B881" i="8"/>
  <c r="B889" i="8"/>
  <c r="B897" i="8"/>
  <c r="B905" i="8"/>
  <c r="B913" i="8"/>
  <c r="B921" i="8"/>
  <c r="B929" i="8"/>
  <c r="B937" i="8"/>
  <c r="B945" i="8"/>
  <c r="B953" i="8"/>
  <c r="B961" i="8"/>
  <c r="B969" i="8"/>
  <c r="B977" i="8"/>
  <c r="B985" i="8"/>
  <c r="B993" i="8"/>
  <c r="B1001" i="8"/>
  <c r="B1009" i="8"/>
  <c r="B1017" i="8"/>
  <c r="B1025" i="8"/>
  <c r="B1033" i="8"/>
  <c r="B1041" i="8"/>
  <c r="B1049" i="8"/>
  <c r="B1057" i="8"/>
  <c r="B1065" i="8"/>
  <c r="B1073" i="8"/>
  <c r="B1081" i="8"/>
  <c r="B1089" i="8"/>
  <c r="B1097" i="8"/>
  <c r="B1105" i="8"/>
  <c r="B1113" i="8"/>
  <c r="C95" i="3"/>
  <c r="C103" i="3"/>
  <c r="C111" i="3"/>
  <c r="C119" i="3"/>
  <c r="C127" i="3"/>
  <c r="C135" i="3"/>
  <c r="C143" i="3"/>
  <c r="C151" i="3"/>
  <c r="C776" i="8"/>
  <c r="C1032" i="8"/>
  <c r="B77" i="8"/>
  <c r="B120" i="8"/>
  <c r="B163" i="8"/>
  <c r="B199" i="8"/>
  <c r="B231" i="8"/>
  <c r="B263" i="8"/>
  <c r="B295" i="8"/>
  <c r="B327" i="8"/>
  <c r="B359" i="8"/>
  <c r="B391" i="8"/>
  <c r="B423" i="8"/>
  <c r="B455" i="8"/>
  <c r="B487" i="8"/>
  <c r="B519" i="8"/>
  <c r="B551" i="8"/>
  <c r="B583" i="8"/>
  <c r="B613" i="8"/>
  <c r="B634" i="8"/>
  <c r="B650" i="8"/>
  <c r="B663" i="8"/>
  <c r="B675" i="8"/>
  <c r="B685" i="8"/>
  <c r="B695" i="8"/>
  <c r="B706" i="8"/>
  <c r="B714" i="8"/>
  <c r="B722" i="8"/>
  <c r="B730" i="8"/>
  <c r="B738" i="8"/>
  <c r="B746" i="8"/>
  <c r="B754" i="8"/>
  <c r="B762" i="8"/>
  <c r="B770" i="8"/>
  <c r="B778" i="8"/>
  <c r="B786" i="8"/>
  <c r="B794" i="8"/>
  <c r="B802" i="8"/>
  <c r="B810" i="8"/>
  <c r="B818" i="8"/>
  <c r="B826" i="8"/>
  <c r="B834" i="8"/>
  <c r="B842" i="8"/>
  <c r="B850" i="8"/>
  <c r="B858" i="8"/>
  <c r="B866" i="8"/>
  <c r="B874" i="8"/>
  <c r="B882" i="8"/>
  <c r="B890" i="8"/>
  <c r="B898" i="8"/>
  <c r="B906" i="8"/>
  <c r="B914" i="8"/>
  <c r="B922" i="8"/>
  <c r="B930" i="8"/>
  <c r="B938" i="8"/>
  <c r="B946" i="8"/>
  <c r="B954" i="8"/>
  <c r="B962" i="8"/>
  <c r="B970" i="8"/>
  <c r="B978" i="8"/>
  <c r="B986" i="8"/>
  <c r="B994" i="8"/>
  <c r="B1002" i="8"/>
  <c r="B1010" i="8"/>
  <c r="B1018" i="8"/>
  <c r="B1026" i="8"/>
  <c r="B1034" i="8"/>
  <c r="B1042" i="8"/>
  <c r="B1050" i="8"/>
  <c r="B1058" i="8"/>
  <c r="B1066" i="8"/>
  <c r="B1074" i="8"/>
  <c r="B1082" i="8"/>
  <c r="B1090" i="8"/>
  <c r="B1098" i="8"/>
  <c r="B1106" i="8"/>
  <c r="B1114" i="8"/>
  <c r="C93" i="3"/>
  <c r="C104" i="3"/>
  <c r="C115" i="3"/>
  <c r="C125" i="3"/>
  <c r="C136" i="3"/>
  <c r="C147" i="3"/>
  <c r="C157" i="3"/>
  <c r="C165" i="3"/>
  <c r="C173" i="3"/>
  <c r="C181" i="3"/>
  <c r="C189" i="3"/>
  <c r="C197" i="3"/>
  <c r="C205" i="3"/>
  <c r="C213" i="3"/>
  <c r="C221" i="3"/>
  <c r="C229" i="3"/>
  <c r="C237" i="3"/>
  <c r="C245" i="3"/>
  <c r="C253" i="3"/>
  <c r="C261" i="3"/>
  <c r="C269" i="3"/>
  <c r="C277" i="3"/>
  <c r="C285" i="3"/>
  <c r="C293" i="3"/>
  <c r="C301" i="3"/>
  <c r="C309" i="3"/>
  <c r="C317" i="3"/>
  <c r="C325" i="3"/>
  <c r="C333" i="3"/>
  <c r="C341" i="3"/>
  <c r="C349" i="3"/>
  <c r="C357" i="3"/>
  <c r="C365" i="3"/>
  <c r="C373" i="3"/>
  <c r="C381" i="3"/>
  <c r="C389" i="3"/>
  <c r="C397" i="3"/>
  <c r="C405" i="3"/>
  <c r="C413" i="3"/>
  <c r="C421" i="3"/>
  <c r="C429" i="3"/>
  <c r="C437" i="3"/>
  <c r="C445" i="3"/>
  <c r="C453" i="3"/>
  <c r="C461" i="3"/>
  <c r="C469" i="3"/>
  <c r="C477" i="3"/>
  <c r="C485" i="3"/>
  <c r="C493" i="3"/>
  <c r="C501" i="3"/>
  <c r="C509" i="3"/>
  <c r="C517" i="3"/>
  <c r="B96" i="3"/>
  <c r="B104" i="3"/>
  <c r="B112" i="3"/>
  <c r="B120" i="3"/>
  <c r="B128" i="3"/>
  <c r="B136" i="3"/>
  <c r="B144" i="3"/>
  <c r="B152" i="3"/>
  <c r="B160" i="3"/>
  <c r="B168" i="3"/>
  <c r="B176" i="3"/>
  <c r="B184" i="3"/>
  <c r="B192" i="3"/>
  <c r="B200" i="3"/>
  <c r="B208" i="3"/>
  <c r="B216" i="3"/>
  <c r="B224" i="3"/>
  <c r="B232" i="3"/>
  <c r="B240" i="3"/>
  <c r="B248" i="3"/>
  <c r="B256" i="3"/>
  <c r="B264" i="3"/>
  <c r="B272" i="3"/>
  <c r="B280" i="3"/>
  <c r="B288" i="3"/>
  <c r="B296" i="3"/>
  <c r="B304" i="3"/>
  <c r="B312" i="3"/>
  <c r="B320" i="3"/>
  <c r="B328" i="3"/>
  <c r="B336" i="3"/>
  <c r="B344" i="3"/>
  <c r="B352" i="3"/>
  <c r="B360" i="3"/>
  <c r="B368" i="3"/>
  <c r="B376" i="3"/>
  <c r="B384" i="3"/>
  <c r="B392" i="3"/>
  <c r="B400" i="3"/>
  <c r="B408" i="3"/>
  <c r="B416" i="3"/>
  <c r="B424" i="3"/>
  <c r="B432" i="3"/>
  <c r="B440" i="3"/>
  <c r="B448" i="3"/>
  <c r="B456" i="3"/>
  <c r="B464" i="3"/>
  <c r="B472" i="3"/>
  <c r="B480" i="3"/>
  <c r="B488" i="3"/>
  <c r="B496" i="3"/>
  <c r="B504" i="3"/>
  <c r="B512" i="3"/>
  <c r="C94" i="3"/>
  <c r="C105" i="3"/>
  <c r="C116" i="3"/>
  <c r="C126" i="3"/>
  <c r="C137" i="3"/>
  <c r="C148" i="3"/>
  <c r="C158" i="3"/>
  <c r="C166" i="3"/>
  <c r="C174" i="3"/>
  <c r="C182" i="3"/>
  <c r="C190" i="3"/>
  <c r="C198" i="3"/>
  <c r="C206" i="3"/>
  <c r="C214" i="3"/>
  <c r="C222" i="3"/>
  <c r="C230" i="3"/>
  <c r="C238" i="3"/>
  <c r="C246" i="3"/>
  <c r="C254" i="3"/>
  <c r="C262" i="3"/>
  <c r="C270" i="3"/>
  <c r="C278" i="3"/>
  <c r="C286" i="3"/>
  <c r="C294" i="3"/>
  <c r="C302" i="3"/>
  <c r="C310" i="3"/>
  <c r="C318" i="3"/>
  <c r="C326" i="3"/>
  <c r="C334" i="3"/>
  <c r="C342" i="3"/>
  <c r="C350" i="3"/>
  <c r="C358" i="3"/>
  <c r="C366" i="3"/>
  <c r="C374" i="3"/>
  <c r="C382" i="3"/>
  <c r="C390" i="3"/>
  <c r="C398" i="3"/>
  <c r="C406" i="3"/>
  <c r="C414" i="3"/>
  <c r="C422" i="3"/>
  <c r="C430" i="3"/>
  <c r="C438" i="3"/>
  <c r="C446" i="3"/>
  <c r="C454" i="3"/>
  <c r="C462" i="3"/>
  <c r="C470" i="3"/>
  <c r="C478" i="3"/>
  <c r="C486" i="3"/>
  <c r="C494" i="3"/>
  <c r="C502" i="3"/>
  <c r="C510" i="3"/>
  <c r="C518" i="3"/>
  <c r="B97" i="3"/>
  <c r="B105" i="3"/>
  <c r="B113" i="3"/>
  <c r="B121" i="3"/>
  <c r="B129" i="3"/>
  <c r="B137" i="3"/>
  <c r="B145" i="3"/>
  <c r="B153" i="3"/>
  <c r="B161" i="3"/>
  <c r="B169" i="3"/>
  <c r="B177" i="3"/>
  <c r="B185" i="3"/>
  <c r="B193" i="3"/>
  <c r="B201" i="3"/>
  <c r="B209" i="3"/>
  <c r="B217" i="3"/>
  <c r="B225" i="3"/>
  <c r="B233" i="3"/>
  <c r="B241" i="3"/>
  <c r="B249" i="3"/>
  <c r="B257" i="3"/>
  <c r="B265" i="3"/>
  <c r="B273" i="3"/>
  <c r="B281" i="3"/>
  <c r="B289" i="3"/>
  <c r="B297" i="3"/>
  <c r="B305" i="3"/>
  <c r="B313" i="3"/>
  <c r="B321" i="3"/>
  <c r="B329" i="3"/>
  <c r="B337" i="3"/>
  <c r="B345" i="3"/>
  <c r="B353" i="3"/>
  <c r="B361" i="3"/>
  <c r="B369" i="3"/>
  <c r="B377" i="3"/>
  <c r="B385" i="3"/>
  <c r="B393" i="3"/>
  <c r="B401" i="3"/>
  <c r="B409" i="3"/>
  <c r="B417" i="3"/>
  <c r="B425" i="3"/>
  <c r="B433" i="3"/>
  <c r="B441" i="3"/>
  <c r="B449" i="3"/>
  <c r="B457" i="3"/>
  <c r="B465" i="3"/>
  <c r="B473" i="3"/>
  <c r="B481" i="3"/>
  <c r="B489" i="3"/>
  <c r="B497" i="3"/>
  <c r="B505" i="3"/>
  <c r="B513" i="3"/>
  <c r="C96" i="3"/>
  <c r="C107" i="3"/>
  <c r="C117" i="3"/>
  <c r="C128" i="3"/>
  <c r="C139" i="3"/>
  <c r="C149" i="3"/>
  <c r="C159" i="3"/>
  <c r="C167" i="3"/>
  <c r="C175" i="3"/>
  <c r="C183" i="3"/>
  <c r="C191" i="3"/>
  <c r="C199" i="3"/>
  <c r="C207" i="3"/>
  <c r="C215" i="3"/>
  <c r="C223" i="3"/>
  <c r="C231" i="3"/>
  <c r="C239" i="3"/>
  <c r="C247" i="3"/>
  <c r="C255" i="3"/>
  <c r="C263" i="3"/>
  <c r="C271" i="3"/>
  <c r="C279" i="3"/>
  <c r="C287" i="3"/>
  <c r="C295" i="3"/>
  <c r="C303" i="3"/>
  <c r="C311" i="3"/>
  <c r="C319" i="3"/>
  <c r="C327" i="3"/>
  <c r="C335" i="3"/>
  <c r="C343" i="3"/>
  <c r="C351" i="3"/>
  <c r="C359" i="3"/>
  <c r="C367" i="3"/>
  <c r="C375" i="3"/>
  <c r="C383" i="3"/>
  <c r="C391" i="3"/>
  <c r="C399" i="3"/>
  <c r="C407" i="3"/>
  <c r="C415" i="3"/>
  <c r="C423" i="3"/>
  <c r="C431" i="3"/>
  <c r="C439" i="3"/>
  <c r="C447" i="3"/>
  <c r="C455" i="3"/>
  <c r="C463" i="3"/>
  <c r="C471" i="3"/>
  <c r="C479" i="3"/>
  <c r="C487" i="3"/>
  <c r="C495" i="3"/>
  <c r="C503" i="3"/>
  <c r="C511" i="3"/>
  <c r="C519" i="3"/>
  <c r="B98" i="3"/>
  <c r="B106" i="3"/>
  <c r="B114" i="3"/>
  <c r="B122" i="3"/>
  <c r="B130" i="3"/>
  <c r="B138" i="3"/>
  <c r="B146" i="3"/>
  <c r="B154" i="3"/>
  <c r="B162" i="3"/>
  <c r="B170" i="3"/>
  <c r="B178" i="3"/>
  <c r="B186" i="3"/>
  <c r="B194" i="3"/>
  <c r="B202" i="3"/>
  <c r="B210" i="3"/>
  <c r="B218" i="3"/>
  <c r="B226" i="3"/>
  <c r="B234" i="3"/>
  <c r="B242" i="3"/>
  <c r="B250" i="3"/>
  <c r="B258" i="3"/>
  <c r="B266" i="3"/>
  <c r="B274" i="3"/>
  <c r="B282" i="3"/>
  <c r="B290" i="3"/>
  <c r="B298" i="3"/>
  <c r="B306" i="3"/>
  <c r="B314" i="3"/>
  <c r="B322" i="3"/>
  <c r="B330" i="3"/>
  <c r="B338" i="3"/>
  <c r="B346" i="3"/>
  <c r="B354" i="3"/>
  <c r="B362" i="3"/>
  <c r="B370" i="3"/>
  <c r="B378" i="3"/>
  <c r="B386" i="3"/>
  <c r="B394" i="3"/>
  <c r="B402" i="3"/>
  <c r="B410" i="3"/>
  <c r="B418" i="3"/>
  <c r="B426" i="3"/>
  <c r="B434" i="3"/>
  <c r="B442" i="3"/>
  <c r="B450" i="3"/>
  <c r="B458" i="3"/>
  <c r="B466" i="3"/>
  <c r="B474" i="3"/>
  <c r="B482" i="3"/>
  <c r="B490" i="3"/>
  <c r="B498" i="3"/>
  <c r="B506" i="3"/>
  <c r="B514" i="3"/>
  <c r="C97" i="3"/>
  <c r="C108" i="3"/>
  <c r="C118" i="3"/>
  <c r="C129" i="3"/>
  <c r="C140" i="3"/>
  <c r="C150" i="3"/>
  <c r="C160" i="3"/>
  <c r="C168" i="3"/>
  <c r="C176" i="3"/>
  <c r="C184" i="3"/>
  <c r="C192" i="3"/>
  <c r="C200" i="3"/>
  <c r="C208" i="3"/>
  <c r="C216" i="3"/>
  <c r="C224" i="3"/>
  <c r="C232" i="3"/>
  <c r="C240" i="3"/>
  <c r="C248" i="3"/>
  <c r="C256" i="3"/>
  <c r="C264" i="3"/>
  <c r="C272" i="3"/>
  <c r="C280" i="3"/>
  <c r="C288" i="3"/>
  <c r="C296" i="3"/>
  <c r="C304" i="3"/>
  <c r="C312" i="3"/>
  <c r="C320" i="3"/>
  <c r="C328" i="3"/>
  <c r="C336" i="3"/>
  <c r="C344" i="3"/>
  <c r="C352" i="3"/>
  <c r="C360" i="3"/>
  <c r="C368" i="3"/>
  <c r="C376" i="3"/>
  <c r="C384" i="3"/>
  <c r="C392" i="3"/>
  <c r="C400" i="3"/>
  <c r="C408" i="3"/>
  <c r="C416" i="3"/>
  <c r="C424" i="3"/>
  <c r="C432" i="3"/>
  <c r="C440" i="3"/>
  <c r="C448" i="3"/>
  <c r="C456" i="3"/>
  <c r="C464" i="3"/>
  <c r="C472" i="3"/>
  <c r="C480" i="3"/>
  <c r="C488" i="3"/>
  <c r="C496" i="3"/>
  <c r="C504" i="3"/>
  <c r="C512" i="3"/>
  <c r="B99" i="3"/>
  <c r="B107" i="3"/>
  <c r="B115" i="3"/>
  <c r="B123" i="3"/>
  <c r="B131" i="3"/>
  <c r="B139" i="3"/>
  <c r="B147" i="3"/>
  <c r="B155" i="3"/>
  <c r="B163" i="3"/>
  <c r="B171" i="3"/>
  <c r="B179" i="3"/>
  <c r="B187" i="3"/>
  <c r="B195" i="3"/>
  <c r="B203" i="3"/>
  <c r="B211" i="3"/>
  <c r="B219" i="3"/>
  <c r="B227" i="3"/>
  <c r="B235" i="3"/>
  <c r="B243" i="3"/>
  <c r="B251" i="3"/>
  <c r="B259" i="3"/>
  <c r="B267" i="3"/>
  <c r="B275" i="3"/>
  <c r="B283" i="3"/>
  <c r="B291" i="3"/>
  <c r="B299" i="3"/>
  <c r="B307" i="3"/>
  <c r="B315" i="3"/>
  <c r="B323" i="3"/>
  <c r="B331" i="3"/>
  <c r="B339" i="3"/>
  <c r="B347" i="3"/>
  <c r="B355" i="3"/>
  <c r="B363" i="3"/>
  <c r="B371" i="3"/>
  <c r="B379" i="3"/>
  <c r="B387" i="3"/>
  <c r="B395" i="3"/>
  <c r="B403" i="3"/>
  <c r="B411" i="3"/>
  <c r="B419" i="3"/>
  <c r="B427" i="3"/>
  <c r="B435" i="3"/>
  <c r="B443" i="3"/>
  <c r="B451" i="3"/>
  <c r="B459" i="3"/>
  <c r="B467" i="3"/>
  <c r="B475" i="3"/>
  <c r="B483" i="3"/>
  <c r="B491" i="3"/>
  <c r="B499" i="3"/>
  <c r="B507" i="3"/>
  <c r="B515" i="3"/>
  <c r="C100" i="3"/>
  <c r="C110" i="3"/>
  <c r="C121" i="3"/>
  <c r="C132" i="3"/>
  <c r="C142" i="3"/>
  <c r="C153" i="3"/>
  <c r="C162" i="3"/>
  <c r="C170" i="3"/>
  <c r="C178" i="3"/>
  <c r="C186" i="3"/>
  <c r="C194" i="3"/>
  <c r="C202" i="3"/>
  <c r="C210" i="3"/>
  <c r="C218" i="3"/>
  <c r="C226" i="3"/>
  <c r="C234" i="3"/>
  <c r="C242" i="3"/>
  <c r="C250" i="3"/>
  <c r="C258" i="3"/>
  <c r="C266" i="3"/>
  <c r="C274" i="3"/>
  <c r="C282" i="3"/>
  <c r="C290" i="3"/>
  <c r="C298" i="3"/>
  <c r="C306" i="3"/>
  <c r="C314" i="3"/>
  <c r="C322" i="3"/>
  <c r="C330" i="3"/>
  <c r="C338" i="3"/>
  <c r="C346" i="3"/>
  <c r="C354" i="3"/>
  <c r="C362" i="3"/>
  <c r="C370" i="3"/>
  <c r="C378" i="3"/>
  <c r="C386" i="3"/>
  <c r="C394" i="3"/>
  <c r="C402" i="3"/>
  <c r="C410" i="3"/>
  <c r="C418" i="3"/>
  <c r="C426" i="3"/>
  <c r="C434" i="3"/>
  <c r="C442" i="3"/>
  <c r="C450" i="3"/>
  <c r="C458" i="3"/>
  <c r="C466" i="3"/>
  <c r="C474" i="3"/>
  <c r="C482" i="3"/>
  <c r="C490" i="3"/>
  <c r="C498" i="3"/>
  <c r="C506" i="3"/>
  <c r="C514" i="3"/>
  <c r="B93" i="3"/>
  <c r="B101" i="3"/>
  <c r="B109" i="3"/>
  <c r="B117" i="3"/>
  <c r="B125" i="3"/>
  <c r="B133" i="3"/>
  <c r="B141" i="3"/>
  <c r="B149" i="3"/>
  <c r="B157" i="3"/>
  <c r="B165" i="3"/>
  <c r="B173" i="3"/>
  <c r="B181" i="3"/>
  <c r="B189" i="3"/>
  <c r="B197" i="3"/>
  <c r="B205" i="3"/>
  <c r="B213" i="3"/>
  <c r="B221" i="3"/>
  <c r="B229" i="3"/>
  <c r="B237" i="3"/>
  <c r="B245" i="3"/>
  <c r="B253" i="3"/>
  <c r="B261" i="3"/>
  <c r="B269" i="3"/>
  <c r="B277" i="3"/>
  <c r="B285" i="3"/>
  <c r="B293" i="3"/>
  <c r="B301" i="3"/>
  <c r="B309" i="3"/>
  <c r="B317" i="3"/>
  <c r="B325" i="3"/>
  <c r="B333" i="3"/>
  <c r="B341" i="3"/>
  <c r="B349" i="3"/>
  <c r="B357" i="3"/>
  <c r="C91" i="3"/>
  <c r="C101" i="3"/>
  <c r="C112" i="3"/>
  <c r="C123" i="3"/>
  <c r="C133" i="3"/>
  <c r="C144" i="3"/>
  <c r="C155" i="3"/>
  <c r="C163" i="3"/>
  <c r="C171" i="3"/>
  <c r="C179" i="3"/>
  <c r="C187" i="3"/>
  <c r="C195" i="3"/>
  <c r="C203" i="3"/>
  <c r="C211" i="3"/>
  <c r="C219" i="3"/>
  <c r="C227" i="3"/>
  <c r="C235" i="3"/>
  <c r="C243" i="3"/>
  <c r="C251" i="3"/>
  <c r="C102" i="3"/>
  <c r="C145" i="3"/>
  <c r="C180" i="3"/>
  <c r="C212" i="3"/>
  <c r="C244" i="3"/>
  <c r="C268" i="3"/>
  <c r="C291" i="3"/>
  <c r="C313" i="3"/>
  <c r="C332" i="3"/>
  <c r="C355" i="3"/>
  <c r="C377" i="3"/>
  <c r="C396" i="3"/>
  <c r="C419" i="3"/>
  <c r="C441" i="3"/>
  <c r="C460" i="3"/>
  <c r="C483" i="3"/>
  <c r="C505" i="3"/>
  <c r="B95" i="3"/>
  <c r="B118" i="3"/>
  <c r="B140" i="3"/>
  <c r="B159" i="3"/>
  <c r="B182" i="3"/>
  <c r="B204" i="3"/>
  <c r="B223" i="3"/>
  <c r="B246" i="3"/>
  <c r="B268" i="3"/>
  <c r="B287" i="3"/>
  <c r="B310" i="3"/>
  <c r="B332" i="3"/>
  <c r="B351" i="3"/>
  <c r="B372" i="3"/>
  <c r="B388" i="3"/>
  <c r="B404" i="3"/>
  <c r="B420" i="3"/>
  <c r="B436" i="3"/>
  <c r="B452" i="3"/>
  <c r="B468" i="3"/>
  <c r="B484" i="3"/>
  <c r="B500" i="3"/>
  <c r="B516" i="3"/>
  <c r="C109" i="3"/>
  <c r="C152" i="3"/>
  <c r="C185" i="3"/>
  <c r="C217" i="3"/>
  <c r="C249" i="3"/>
  <c r="C273" i="3"/>
  <c r="C292" i="3"/>
  <c r="C315" i="3"/>
  <c r="C337" i="3"/>
  <c r="C356" i="3"/>
  <c r="C379" i="3"/>
  <c r="C401" i="3"/>
  <c r="C420" i="3"/>
  <c r="C443" i="3"/>
  <c r="C465" i="3"/>
  <c r="C484" i="3"/>
  <c r="C507" i="3"/>
  <c r="B100" i="3"/>
  <c r="B119" i="3"/>
  <c r="B142" i="3"/>
  <c r="B164" i="3"/>
  <c r="B183" i="3"/>
  <c r="B206" i="3"/>
  <c r="B228" i="3"/>
  <c r="B247" i="3"/>
  <c r="B270" i="3"/>
  <c r="B292" i="3"/>
  <c r="B311" i="3"/>
  <c r="B334" i="3"/>
  <c r="B356" i="3"/>
  <c r="B373" i="3"/>
  <c r="B389" i="3"/>
  <c r="B405" i="3"/>
  <c r="B421" i="3"/>
  <c r="B437" i="3"/>
  <c r="B453" i="3"/>
  <c r="B469" i="3"/>
  <c r="B485" i="3"/>
  <c r="B501" i="3"/>
  <c r="B517" i="3"/>
  <c r="C113" i="3"/>
  <c r="C156" i="3"/>
  <c r="C188" i="3"/>
  <c r="C220" i="3"/>
  <c r="C252" i="3"/>
  <c r="C275" i="3"/>
  <c r="C297" i="3"/>
  <c r="C316" i="3"/>
  <c r="C339" i="3"/>
  <c r="C361" i="3"/>
  <c r="C380" i="3"/>
  <c r="C403" i="3"/>
  <c r="C425" i="3"/>
  <c r="C444" i="3"/>
  <c r="C467" i="3"/>
  <c r="C489" i="3"/>
  <c r="C508" i="3"/>
  <c r="B102" i="3"/>
  <c r="B124" i="3"/>
  <c r="B143" i="3"/>
  <c r="B166" i="3"/>
  <c r="B188" i="3"/>
  <c r="B207" i="3"/>
  <c r="B230" i="3"/>
  <c r="B252" i="3"/>
  <c r="B271" i="3"/>
  <c r="B294" i="3"/>
  <c r="B316" i="3"/>
  <c r="B335" i="3"/>
  <c r="B358" i="3"/>
  <c r="B374" i="3"/>
  <c r="B390" i="3"/>
  <c r="B406" i="3"/>
  <c r="B422" i="3"/>
  <c r="B438" i="3"/>
  <c r="B454" i="3"/>
  <c r="B470" i="3"/>
  <c r="B486" i="3"/>
  <c r="B502" i="3"/>
  <c r="B518" i="3"/>
  <c r="C120" i="3"/>
  <c r="C161" i="3"/>
  <c r="C193" i="3"/>
  <c r="C225" i="3"/>
  <c r="C257" i="3"/>
  <c r="C276" i="3"/>
  <c r="C299" i="3"/>
  <c r="C321" i="3"/>
  <c r="C340" i="3"/>
  <c r="C363" i="3"/>
  <c r="C385" i="3"/>
  <c r="C404" i="3"/>
  <c r="C427" i="3"/>
  <c r="C449" i="3"/>
  <c r="C468" i="3"/>
  <c r="C491" i="3"/>
  <c r="C513" i="3"/>
  <c r="B103" i="3"/>
  <c r="B126" i="3"/>
  <c r="B148" i="3"/>
  <c r="B167" i="3"/>
  <c r="B190" i="3"/>
  <c r="B212" i="3"/>
  <c r="B231" i="3"/>
  <c r="B254" i="3"/>
  <c r="B276" i="3"/>
  <c r="B295" i="3"/>
  <c r="B318" i="3"/>
  <c r="B340" i="3"/>
  <c r="B359" i="3"/>
  <c r="B375" i="3"/>
  <c r="B391" i="3"/>
  <c r="B407" i="3"/>
  <c r="B423" i="3"/>
  <c r="B439" i="3"/>
  <c r="B455" i="3"/>
  <c r="B471" i="3"/>
  <c r="B487" i="3"/>
  <c r="B503" i="3"/>
  <c r="B519" i="3"/>
  <c r="C124" i="3"/>
  <c r="C164" i="3"/>
  <c r="C196" i="3"/>
  <c r="C228" i="3"/>
  <c r="C259" i="3"/>
  <c r="C281" i="3"/>
  <c r="C300" i="3"/>
  <c r="C323" i="3"/>
  <c r="C345" i="3"/>
  <c r="C364" i="3"/>
  <c r="C387" i="3"/>
  <c r="C409" i="3"/>
  <c r="C428" i="3"/>
  <c r="C451" i="3"/>
  <c r="C473" i="3"/>
  <c r="C492" i="3"/>
  <c r="C515" i="3"/>
  <c r="B108" i="3"/>
  <c r="B127" i="3"/>
  <c r="B150" i="3"/>
  <c r="B172" i="3"/>
  <c r="B191" i="3"/>
  <c r="B214" i="3"/>
  <c r="B236" i="3"/>
  <c r="B255" i="3"/>
  <c r="B278" i="3"/>
  <c r="B300" i="3"/>
  <c r="B319" i="3"/>
  <c r="B342" i="3"/>
  <c r="B364" i="3"/>
  <c r="B380" i="3"/>
  <c r="B396" i="3"/>
  <c r="B412" i="3"/>
  <c r="B428" i="3"/>
  <c r="B444" i="3"/>
  <c r="B460" i="3"/>
  <c r="B476" i="3"/>
  <c r="B492" i="3"/>
  <c r="B508" i="3"/>
  <c r="C131" i="3"/>
  <c r="C169" i="3"/>
  <c r="C201" i="3"/>
  <c r="C233" i="3"/>
  <c r="C260" i="3"/>
  <c r="C283" i="3"/>
  <c r="C305" i="3"/>
  <c r="C324" i="3"/>
  <c r="C347" i="3"/>
  <c r="C369" i="3"/>
  <c r="C388" i="3"/>
  <c r="C411" i="3"/>
  <c r="C433" i="3"/>
  <c r="C452" i="3"/>
  <c r="C475" i="3"/>
  <c r="C497" i="3"/>
  <c r="C516" i="3"/>
  <c r="B110" i="3"/>
  <c r="B132" i="3"/>
  <c r="B151" i="3"/>
  <c r="B174" i="3"/>
  <c r="B196" i="3"/>
  <c r="B215" i="3"/>
  <c r="B238" i="3"/>
  <c r="B260" i="3"/>
  <c r="B279" i="3"/>
  <c r="B302" i="3"/>
  <c r="B324" i="3"/>
  <c r="B343" i="3"/>
  <c r="B365" i="3"/>
  <c r="B381" i="3"/>
  <c r="B397" i="3"/>
  <c r="B413" i="3"/>
  <c r="B429" i="3"/>
  <c r="B445" i="3"/>
  <c r="B461" i="3"/>
  <c r="B477" i="3"/>
  <c r="B493" i="3"/>
  <c r="B509" i="3"/>
  <c r="C92" i="3"/>
  <c r="C134" i="3"/>
  <c r="C172" i="3"/>
  <c r="C204" i="3"/>
  <c r="C236" i="3"/>
  <c r="C265" i="3"/>
  <c r="C284" i="3"/>
  <c r="C307" i="3"/>
  <c r="C329" i="3"/>
  <c r="C348" i="3"/>
  <c r="C371" i="3"/>
  <c r="C393" i="3"/>
  <c r="C412" i="3"/>
  <c r="C435" i="3"/>
  <c r="C457" i="3"/>
  <c r="C476" i="3"/>
  <c r="C499" i="3"/>
  <c r="B111" i="3"/>
  <c r="B134" i="3"/>
  <c r="B156" i="3"/>
  <c r="B175" i="3"/>
  <c r="B198" i="3"/>
  <c r="B220" i="3"/>
  <c r="B239" i="3"/>
  <c r="B262" i="3"/>
  <c r="B284" i="3"/>
  <c r="B303" i="3"/>
  <c r="B326" i="3"/>
  <c r="B348" i="3"/>
  <c r="B366" i="3"/>
  <c r="B382" i="3"/>
  <c r="B398" i="3"/>
  <c r="B414" i="3"/>
  <c r="B430" i="3"/>
  <c r="B446" i="3"/>
  <c r="B462" i="3"/>
  <c r="B478" i="3"/>
  <c r="B494" i="3"/>
  <c r="B510" i="3"/>
  <c r="C177" i="3"/>
  <c r="C372" i="3"/>
  <c r="B116" i="3"/>
  <c r="B286" i="3"/>
  <c r="B431" i="3"/>
  <c r="C209" i="3"/>
  <c r="C395" i="3"/>
  <c r="B135" i="3"/>
  <c r="B308" i="3"/>
  <c r="B447" i="3"/>
  <c r="C241" i="3"/>
  <c r="C417" i="3"/>
  <c r="B158" i="3"/>
  <c r="B327" i="3"/>
  <c r="B463" i="3"/>
  <c r="C267" i="3"/>
  <c r="C436" i="3"/>
  <c r="B180" i="3"/>
  <c r="B350" i="3"/>
  <c r="B479" i="3"/>
  <c r="C289" i="3"/>
  <c r="C459" i="3"/>
  <c r="B199" i="3"/>
  <c r="B367" i="3"/>
  <c r="B495" i="3"/>
  <c r="C308" i="3"/>
  <c r="C481" i="3"/>
  <c r="B222" i="3"/>
  <c r="B383" i="3"/>
  <c r="B511" i="3"/>
  <c r="C99" i="3"/>
  <c r="C331" i="3"/>
  <c r="C500" i="3"/>
  <c r="B244" i="3"/>
  <c r="B399" i="3"/>
  <c r="B94" i="3"/>
  <c r="B263" i="3"/>
  <c r="B415" i="3"/>
  <c r="C141" i="3"/>
  <c r="C353" i="3"/>
  <c r="C9" i="8"/>
  <c r="B6" i="8"/>
  <c r="C11" i="8"/>
  <c r="B8" i="8"/>
  <c r="B9" i="8"/>
  <c r="B11" i="8"/>
  <c r="C5" i="8"/>
  <c r="C10" i="8"/>
  <c r="C4" i="8"/>
  <c r="C6" i="8"/>
  <c r="B10" i="8"/>
  <c r="C7" i="8"/>
  <c r="C8" i="8"/>
  <c r="B7" i="8"/>
  <c r="B12" i="8"/>
  <c r="C8" i="3"/>
  <c r="C16" i="3"/>
  <c r="C24" i="3"/>
  <c r="C32" i="3"/>
  <c r="C40" i="3"/>
  <c r="C48" i="3"/>
  <c r="C56" i="3"/>
  <c r="C64" i="3"/>
  <c r="C72" i="3"/>
  <c r="C80" i="3"/>
  <c r="C88" i="3"/>
  <c r="B11" i="3"/>
  <c r="B19" i="3"/>
  <c r="B27" i="3"/>
  <c r="B35" i="3"/>
  <c r="B43" i="3"/>
  <c r="B51" i="3"/>
  <c r="B59" i="3"/>
  <c r="B67" i="3"/>
  <c r="B75" i="3"/>
  <c r="B83" i="3"/>
  <c r="B91" i="3"/>
  <c r="C9" i="3"/>
  <c r="C17" i="3"/>
  <c r="C25" i="3"/>
  <c r="C33" i="3"/>
  <c r="C41" i="3"/>
  <c r="C49" i="3"/>
  <c r="C57" i="3"/>
  <c r="C65" i="3"/>
  <c r="C73" i="3"/>
  <c r="C81" i="3"/>
  <c r="C89" i="3"/>
  <c r="B12" i="3"/>
  <c r="B20" i="3"/>
  <c r="B28" i="3"/>
  <c r="B36" i="3"/>
  <c r="B44" i="3"/>
  <c r="B52" i="3"/>
  <c r="B60" i="3"/>
  <c r="B68" i="3"/>
  <c r="B76" i="3"/>
  <c r="B84" i="3"/>
  <c r="B92" i="3"/>
  <c r="C23" i="3"/>
  <c r="C79" i="3"/>
  <c r="B26" i="3"/>
  <c r="B82" i="3"/>
  <c r="C10" i="3"/>
  <c r="C18" i="3"/>
  <c r="C26" i="3"/>
  <c r="C34" i="3"/>
  <c r="C42" i="3"/>
  <c r="C50" i="3"/>
  <c r="C58" i="3"/>
  <c r="C66" i="3"/>
  <c r="C74" i="3"/>
  <c r="C82" i="3"/>
  <c r="C90" i="3"/>
  <c r="B5" i="3"/>
  <c r="B13" i="3"/>
  <c r="B21" i="3"/>
  <c r="B29" i="3"/>
  <c r="B37" i="3"/>
  <c r="B45" i="3"/>
  <c r="B53" i="3"/>
  <c r="B61" i="3"/>
  <c r="B69" i="3"/>
  <c r="B77" i="3"/>
  <c r="B85" i="3"/>
  <c r="C47" i="3"/>
  <c r="B18" i="3"/>
  <c r="B66" i="3"/>
  <c r="C11" i="3"/>
  <c r="C19" i="3"/>
  <c r="C27" i="3"/>
  <c r="C35" i="3"/>
  <c r="C43" i="3"/>
  <c r="C51" i="3"/>
  <c r="C59" i="3"/>
  <c r="C67" i="3"/>
  <c r="C75" i="3"/>
  <c r="C83" i="3"/>
  <c r="B6" i="3"/>
  <c r="B14" i="3"/>
  <c r="B22" i="3"/>
  <c r="B30" i="3"/>
  <c r="B38" i="3"/>
  <c r="B46" i="3"/>
  <c r="B54" i="3"/>
  <c r="B62" i="3"/>
  <c r="B70" i="3"/>
  <c r="B78" i="3"/>
  <c r="B86" i="3"/>
  <c r="C55" i="3"/>
  <c r="B10" i="3"/>
  <c r="B58" i="3"/>
  <c r="C12" i="3"/>
  <c r="C20" i="3"/>
  <c r="C28" i="3"/>
  <c r="C36" i="3"/>
  <c r="C44" i="3"/>
  <c r="C52" i="3"/>
  <c r="C60" i="3"/>
  <c r="C68" i="3"/>
  <c r="C76" i="3"/>
  <c r="C84" i="3"/>
  <c r="C5" i="5"/>
  <c r="B7" i="3"/>
  <c r="B15" i="3"/>
  <c r="B23" i="3"/>
  <c r="B31" i="3"/>
  <c r="B39" i="3"/>
  <c r="B47" i="3"/>
  <c r="B55" i="3"/>
  <c r="B63" i="3"/>
  <c r="B71" i="3"/>
  <c r="B79" i="3"/>
  <c r="B87" i="3"/>
  <c r="C7" i="3"/>
  <c r="C39" i="3"/>
  <c r="C87" i="3"/>
  <c r="B34" i="3"/>
  <c r="B90" i="3"/>
  <c r="C5" i="3"/>
  <c r="C13" i="3"/>
  <c r="C21" i="3"/>
  <c r="C29" i="3"/>
  <c r="C37" i="3"/>
  <c r="C45" i="3"/>
  <c r="C53" i="3"/>
  <c r="C61" i="3"/>
  <c r="C69" i="3"/>
  <c r="C77" i="3"/>
  <c r="C85" i="3"/>
  <c r="C4" i="5"/>
  <c r="B8" i="3"/>
  <c r="B16" i="3"/>
  <c r="B24" i="3"/>
  <c r="B32" i="3"/>
  <c r="B40" i="3"/>
  <c r="B48" i="3"/>
  <c r="B56" i="3"/>
  <c r="B64" i="3"/>
  <c r="B72" i="3"/>
  <c r="B80" i="3"/>
  <c r="B88" i="3"/>
  <c r="C31" i="3"/>
  <c r="C71" i="3"/>
  <c r="B50" i="3"/>
  <c r="C6" i="3"/>
  <c r="C14" i="3"/>
  <c r="C22" i="3"/>
  <c r="C30" i="3"/>
  <c r="C38" i="3"/>
  <c r="C46" i="3"/>
  <c r="C54" i="3"/>
  <c r="C62" i="3"/>
  <c r="C70" i="3"/>
  <c r="C78" i="3"/>
  <c r="C86" i="3"/>
  <c r="B9" i="3"/>
  <c r="B17" i="3"/>
  <c r="B25" i="3"/>
  <c r="B33" i="3"/>
  <c r="B41" i="3"/>
  <c r="B49" i="3"/>
  <c r="B57" i="3"/>
  <c r="B65" i="3"/>
  <c r="B73" i="3"/>
  <c r="B81" i="3"/>
  <c r="B89" i="3"/>
  <c r="C15" i="3"/>
  <c r="C63" i="3"/>
  <c r="B42" i="3"/>
  <c r="B74" i="3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</calcChain>
</file>

<file path=xl/sharedStrings.xml><?xml version="1.0" encoding="utf-8"?>
<sst xmlns="http://schemas.openxmlformats.org/spreadsheetml/2006/main" count="390" uniqueCount="156">
  <si>
    <t>Part Name</t>
  </si>
  <si>
    <t>Operation Number</t>
  </si>
  <si>
    <t>Service Time</t>
  </si>
  <si>
    <t>Model</t>
  </si>
  <si>
    <t>CM Number</t>
  </si>
  <si>
    <t>Reason For Inspection</t>
  </si>
  <si>
    <t>M/C Number</t>
  </si>
  <si>
    <t>Part In Time</t>
  </si>
  <si>
    <t>Part Loading Time</t>
  </si>
  <si>
    <t>Inspection Start Time</t>
  </si>
  <si>
    <t>Excepted End Time</t>
  </si>
  <si>
    <t>Inspection End Time</t>
  </si>
  <si>
    <t>Delay</t>
  </si>
  <si>
    <t>Completed</t>
  </si>
  <si>
    <t>Waiting Time</t>
  </si>
  <si>
    <t>082-L001E103</t>
  </si>
  <si>
    <t>Dwg No.</t>
  </si>
  <si>
    <t>Description</t>
  </si>
  <si>
    <t>Atlas1.2</t>
  </si>
  <si>
    <t>Housing</t>
  </si>
  <si>
    <t>PLC</t>
  </si>
  <si>
    <t>TA</t>
  </si>
  <si>
    <t>Ring Wheel</t>
  </si>
  <si>
    <t>Hollow Shaft</t>
  </si>
  <si>
    <t>Sun Shaft</t>
  </si>
  <si>
    <t>Int.Shaft</t>
  </si>
  <si>
    <t>Atlas1.2-50Hz</t>
  </si>
  <si>
    <t>Pinion shaft</t>
  </si>
  <si>
    <t>Atlas1.2-60Hz</t>
  </si>
  <si>
    <t>Planet Shaft</t>
  </si>
  <si>
    <t>ISS Wheel</t>
  </si>
  <si>
    <t>LSS Wheel</t>
  </si>
  <si>
    <t>Planet Wheel</t>
  </si>
  <si>
    <t>L17-W111E055</t>
  </si>
  <si>
    <t>EH811</t>
  </si>
  <si>
    <t>PLCstg1</t>
  </si>
  <si>
    <t>082-C001E002</t>
  </si>
  <si>
    <t>PLC stg2</t>
  </si>
  <si>
    <t>L79-W110E063</t>
  </si>
  <si>
    <t>L73-WP300E054</t>
  </si>
  <si>
    <t>IMF</t>
  </si>
  <si>
    <t>027-L1600E102R</t>
  </si>
  <si>
    <t>Ring Wheel 42Crm stg1</t>
  </si>
  <si>
    <t>027-C0900E102R</t>
  </si>
  <si>
    <t>Ring Wheel 42Crm stg2</t>
  </si>
  <si>
    <t>L26-W710E071</t>
  </si>
  <si>
    <t>027-L1621E212</t>
  </si>
  <si>
    <t>Sun Shaft stg1</t>
  </si>
  <si>
    <t>027-C0922E202</t>
  </si>
  <si>
    <t>Sun Shaft stg2</t>
  </si>
  <si>
    <t>L27-0734E151</t>
  </si>
  <si>
    <t>L26-W830E102</t>
  </si>
  <si>
    <t>Planet Shaft stg1</t>
  </si>
  <si>
    <t>L26-W830E112</t>
  </si>
  <si>
    <t>Planet Shaft stg2</t>
  </si>
  <si>
    <t>L26-W840E132</t>
  </si>
  <si>
    <t>Support Shaft 42cr</t>
  </si>
  <si>
    <t>L27-0799E051</t>
  </si>
  <si>
    <t>027-L1640E002</t>
  </si>
  <si>
    <t>Planet Wheel stg1</t>
  </si>
  <si>
    <t>027-C0949E002</t>
  </si>
  <si>
    <t>Planet Wheel stg2</t>
  </si>
  <si>
    <t>GP409341</t>
  </si>
  <si>
    <t>EH862B-XTR</t>
  </si>
  <si>
    <t>GP218701</t>
  </si>
  <si>
    <t>EH862A</t>
  </si>
  <si>
    <t>GP226653</t>
  </si>
  <si>
    <t>GP218704</t>
  </si>
  <si>
    <t>GP409338</t>
  </si>
  <si>
    <t>GP421148</t>
  </si>
  <si>
    <t>Ring Wheel 42Cr</t>
  </si>
  <si>
    <t>GP370382</t>
  </si>
  <si>
    <t>GP218711</t>
  </si>
  <si>
    <t>GP218710</t>
  </si>
  <si>
    <t>GP331235</t>
  </si>
  <si>
    <t>GP330964</t>
  </si>
  <si>
    <t>GP226687</t>
  </si>
  <si>
    <t>GP330981</t>
  </si>
  <si>
    <t>GP330979</t>
  </si>
  <si>
    <t>ISS Wheel assly</t>
  </si>
  <si>
    <t>GP330965</t>
  </si>
  <si>
    <t>GP226686</t>
  </si>
  <si>
    <t>GP273977</t>
  </si>
  <si>
    <t>EH861</t>
  </si>
  <si>
    <t>GP273978</t>
  </si>
  <si>
    <t>GP273980</t>
  </si>
  <si>
    <t>GP218715</t>
  </si>
  <si>
    <t>GP218712</t>
  </si>
  <si>
    <t>GP276781</t>
  </si>
  <si>
    <t>Part Number</t>
  </si>
  <si>
    <t>Serial Number</t>
  </si>
  <si>
    <t>Order Number</t>
  </si>
  <si>
    <t>Operation Name</t>
  </si>
  <si>
    <t>Machine</t>
  </si>
  <si>
    <t>Operator ID</t>
  </si>
  <si>
    <t>Process Events Codes</t>
  </si>
  <si>
    <t>Inspection Time Characteristic</t>
  </si>
  <si>
    <t>Inspection time</t>
  </si>
  <si>
    <t>Wenzel</t>
  </si>
  <si>
    <t>Leitz</t>
  </si>
  <si>
    <t>Zeiss</t>
  </si>
  <si>
    <t>WENZEL Feasibility</t>
  </si>
  <si>
    <t>LEITZ Feasibility</t>
  </si>
  <si>
    <t>ZEISS Feasibility</t>
  </si>
  <si>
    <t>Feasible Machines</t>
  </si>
  <si>
    <t>s1 Value=</t>
  </si>
  <si>
    <t>s2 Value=</t>
  </si>
  <si>
    <t>s3 Value=</t>
  </si>
  <si>
    <t>Operation number</t>
  </si>
  <si>
    <t>SET FREQ priority</t>
  </si>
  <si>
    <t>Server</t>
  </si>
  <si>
    <t>Dimentions Remarks:</t>
  </si>
  <si>
    <t>Lead time</t>
  </si>
  <si>
    <t>Lead Time</t>
  </si>
  <si>
    <t>CMM Inspection Request Queue</t>
  </si>
  <si>
    <t>CMM INSPECTION</t>
  </si>
  <si>
    <t>CMM INSPECTION REQUISTION SYSTEM</t>
  </si>
  <si>
    <t>Emp ID</t>
  </si>
  <si>
    <t>RR</t>
  </si>
  <si>
    <t>RRR</t>
  </si>
  <si>
    <t>s</t>
  </si>
  <si>
    <t>Process Time</t>
  </si>
  <si>
    <t>Excepted Arrival Time</t>
  </si>
  <si>
    <t>Expected Arrival Time</t>
  </si>
  <si>
    <t>Inspection Date Characteristic</t>
  </si>
  <si>
    <t>&lt;-  SET2 Value</t>
  </si>
  <si>
    <t>&lt;-  SET3 Value</t>
  </si>
  <si>
    <t>&lt;-  SET1 Value</t>
  </si>
  <si>
    <t>0030</t>
  </si>
  <si>
    <t>CM1441</t>
  </si>
  <si>
    <t>20542527</t>
  </si>
  <si>
    <t>MMH011</t>
  </si>
  <si>
    <t>STRD,IGSE</t>
  </si>
  <si>
    <t/>
  </si>
  <si>
    <t>N17-W211E078</t>
  </si>
  <si>
    <t>MMH004</t>
  </si>
  <si>
    <t>PALLET_2</t>
  </si>
  <si>
    <t>CM0036</t>
  </si>
  <si>
    <t>MMLV011</t>
  </si>
  <si>
    <t>CM0716</t>
  </si>
  <si>
    <t>0020</t>
  </si>
  <si>
    <t>0040</t>
  </si>
  <si>
    <t>PALLET_1</t>
  </si>
  <si>
    <t>CM0766</t>
  </si>
  <si>
    <t>082-C001E003</t>
  </si>
  <si>
    <t>MMLV014</t>
  </si>
  <si>
    <t>CM0084</t>
  </si>
  <si>
    <t>MMLV033</t>
  </si>
  <si>
    <t>CM0683</t>
  </si>
  <si>
    <t>0010</t>
  </si>
  <si>
    <t>Emp ID End</t>
  </si>
  <si>
    <t>Material number</t>
  </si>
  <si>
    <t>P100L</t>
  </si>
  <si>
    <t>P100</t>
  </si>
  <si>
    <t>TIPC</t>
  </si>
  <si>
    <t>P65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</si>
</sst>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F400]h:mm:ss\ AM/PM"/>
    <numFmt numFmtId="165" formatCode="hh:mm:ss;@"/>
    <numFmt numFmtId="166" formatCode="dd/mm/yyyy\ hh:mm:ss"/>
    <numFmt numFmtId="167" formatCode="dd\-mm\-yyyy;@"/>
    <numFmt numFmtId="168" formatCode="[$-14009]hh:mm:ss;@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Tahoma"/>
      <family val="2"/>
    </font>
    <font>
      <sz val="11"/>
      <color theme="1"/>
      <name val="Tahoma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Tahoma"/>
      <family val="2"/>
    </font>
    <font>
      <sz val="28"/>
      <color theme="1"/>
      <name val="Book Antiqua"/>
      <family val="1"/>
    </font>
    <font>
      <sz val="26"/>
      <color theme="1"/>
      <name val="Bookman Old Style"/>
      <family val="1"/>
    </font>
    <font>
      <sz val="20"/>
      <color theme="0"/>
      <name val="Tahoma"/>
      <family val="2"/>
    </font>
    <font>
      <sz val="22"/>
      <color theme="0"/>
      <name val="Tahoma"/>
      <family val="2"/>
    </font>
    <font>
      <sz val="8"/>
      <color rgb="FFFFFFFF"/>
      <name val="Arial"/>
      <family val="2"/>
    </font>
    <font>
      <sz val="26"/>
      <color theme="0"/>
      <name val="Tahoma"/>
      <family val="2"/>
    </font>
    <font>
      <sz val="26"/>
      <color theme="1"/>
      <name val="Tahoma"/>
      <family val="2"/>
    </font>
    <font>
      <sz val="10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/>
      <right/>
      <top style="thin">
        <color theme="4" tint="0.7999816888943144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3">
    <xf numFmtId="0" fontId="0" fillId="0" borderId="0" xfId="0"/>
    <xf numFmtId="0" fontId="0" fillId="0" borderId="0" xfId="0" applyBorder="1"/>
    <xf numFmtId="164" fontId="0" fillId="0" borderId="0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Font="1" applyBorder="1" applyAlignment="1">
      <alignment horizontal="center"/>
    </xf>
    <xf numFmtId="164" fontId="0" fillId="0" borderId="0" xfId="0" applyNumberFormat="1"/>
    <xf numFmtId="0" fontId="0" fillId="0" borderId="0" xfId="0" applyFill="1" applyBorder="1"/>
    <xf numFmtId="0" fontId="0" fillId="0" borderId="0" xfId="0" applyNumberFormat="1" applyBorder="1" applyAlignment="1">
      <alignment horizontal="center"/>
    </xf>
    <xf numFmtId="19" fontId="0" fillId="0" borderId="0" xfId="0" applyNumberFormat="1" applyBorder="1" applyAlignment="1">
      <alignment horizontal="center"/>
    </xf>
    <xf numFmtId="22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Fill="1"/>
    <xf numFmtId="0" fontId="0" fillId="0" borderId="0" xfId="0" applyBorder="1" applyAlignment="1">
      <alignment horizontal="center"/>
    </xf>
    <xf numFmtId="0" fontId="0" fillId="4" borderId="2" xfId="0" applyFill="1" applyBorder="1" applyAlignment="1">
      <alignment vertical="center"/>
    </xf>
    <xf numFmtId="0" fontId="0" fillId="0" borderId="2" xfId="0" applyBorder="1" applyAlignment="1">
      <alignment vertical="center"/>
    </xf>
    <xf numFmtId="0" fontId="0" fillId="5" borderId="2" xfId="0" applyFill="1" applyBorder="1" applyAlignment="1">
      <alignment vertical="center"/>
    </xf>
    <xf numFmtId="0" fontId="4" fillId="0" borderId="0" xfId="0" applyFont="1" applyBorder="1" applyAlignment="1">
      <alignment horizontal="center" vertical="center" wrapText="1"/>
    </xf>
    <xf numFmtId="164" fontId="4" fillId="0" borderId="0" xfId="0" applyNumberFormat="1" applyFont="1" applyBorder="1" applyAlignment="1">
      <alignment horizontal="center" vertical="center" wrapText="1"/>
    </xf>
    <xf numFmtId="0" fontId="3" fillId="0" borderId="0" xfId="0" applyFont="1" applyBorder="1" applyAlignment="1">
      <alignment vertical="center" wrapText="1"/>
    </xf>
    <xf numFmtId="0" fontId="4" fillId="0" borderId="0" xfId="0" applyFont="1" applyBorder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0" fillId="0" borderId="0" xfId="0" applyFont="1" applyBorder="1" applyAlignment="1">
      <alignment horizontal="right"/>
    </xf>
    <xf numFmtId="21" fontId="0" fillId="0" borderId="0" xfId="0" applyNumberFormat="1" applyFill="1"/>
    <xf numFmtId="49" fontId="0" fillId="0" borderId="0" xfId="0" applyNumberFormat="1"/>
    <xf numFmtId="49" fontId="4" fillId="0" borderId="0" xfId="0" applyNumberFormat="1" applyFont="1" applyBorder="1" applyAlignment="1">
      <alignment horizontal="center" vertical="center" wrapText="1"/>
    </xf>
    <xf numFmtId="49" fontId="0" fillId="0" borderId="0" xfId="0" applyNumberFormat="1" applyFill="1"/>
    <xf numFmtId="0" fontId="5" fillId="3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6" borderId="2" xfId="0" applyFill="1" applyBorder="1" applyAlignment="1">
      <alignment vertical="center"/>
    </xf>
    <xf numFmtId="0" fontId="0" fillId="4" borderId="2" xfId="0" applyFill="1" applyBorder="1" applyAlignment="1">
      <alignment horizontal="center" vertical="center"/>
    </xf>
    <xf numFmtId="0" fontId="0" fillId="0" borderId="2" xfId="0" applyBorder="1"/>
    <xf numFmtId="0" fontId="3" fillId="7" borderId="2" xfId="0" applyFont="1" applyFill="1" applyBorder="1" applyAlignment="1">
      <alignment horizontal="center" vertical="center" wrapText="1"/>
    </xf>
    <xf numFmtId="164" fontId="3" fillId="7" borderId="2" xfId="0" applyNumberFormat="1" applyFont="1" applyFill="1" applyBorder="1" applyAlignment="1">
      <alignment horizontal="center" vertical="center" wrapText="1"/>
    </xf>
    <xf numFmtId="0" fontId="0" fillId="0" borderId="0" xfId="0" applyAlignment="1"/>
    <xf numFmtId="0" fontId="7" fillId="0" borderId="0" xfId="0" applyFont="1" applyBorder="1" applyAlignment="1">
      <alignment vertical="center"/>
    </xf>
    <xf numFmtId="0" fontId="7" fillId="0" borderId="5" xfId="0" applyFont="1" applyBorder="1" applyAlignment="1">
      <alignment vertical="center"/>
    </xf>
    <xf numFmtId="0" fontId="0" fillId="0" borderId="7" xfId="0" applyFill="1" applyBorder="1" applyAlignment="1"/>
    <xf numFmtId="0" fontId="0" fillId="8" borderId="0" xfId="0" applyFill="1"/>
    <xf numFmtId="49" fontId="0" fillId="8" borderId="0" xfId="0" applyNumberFormat="1" applyFill="1"/>
    <xf numFmtId="0" fontId="11" fillId="0" borderId="0" xfId="0" applyFont="1"/>
    <xf numFmtId="0" fontId="0" fillId="8" borderId="6" xfId="0" applyFill="1" applyBorder="1" applyAlignment="1">
      <alignment vertical="center"/>
    </xf>
    <xf numFmtId="0" fontId="6" fillId="9" borderId="2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11" fillId="8" borderId="0" xfId="0" applyFont="1" applyFill="1"/>
    <xf numFmtId="0" fontId="0" fillId="0" borderId="0" xfId="0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  <xf numFmtId="164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Protection="1">
      <protection hidden="1"/>
    </xf>
    <xf numFmtId="0" fontId="0" fillId="0" borderId="0" xfId="0" applyBorder="1" applyProtection="1">
      <protection hidden="1"/>
    </xf>
    <xf numFmtId="0" fontId="0" fillId="0" borderId="1" xfId="0" applyBorder="1" applyAlignment="1" applyProtection="1">
      <alignment wrapText="1"/>
      <protection hidden="1"/>
    </xf>
    <xf numFmtId="164" fontId="0" fillId="0" borderId="1" xfId="0" applyNumberFormat="1" applyBorder="1" applyAlignment="1" applyProtection="1">
      <alignment horizontal="center" wrapText="1"/>
      <protection hidden="1"/>
    </xf>
    <xf numFmtId="164" fontId="0" fillId="0" borderId="1" xfId="0" applyNumberFormat="1" applyBorder="1" applyAlignment="1" applyProtection="1">
      <alignment horizont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0" xfId="0" applyFill="1" applyBorder="1" applyProtection="1">
      <protection hidden="1"/>
    </xf>
    <xf numFmtId="0" fontId="0" fillId="0" borderId="0" xfId="0" applyProtection="1"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4" xfId="0" applyBorder="1" applyProtection="1">
      <protection locked="0"/>
    </xf>
    <xf numFmtId="164" fontId="0" fillId="0" borderId="0" xfId="0" applyNumberFormat="1" applyAlignment="1" applyProtection="1">
      <alignment horizontal="center"/>
      <protection locked="0"/>
    </xf>
    <xf numFmtId="1" fontId="0" fillId="0" borderId="0" xfId="0" applyNumberFormat="1" applyFill="1" applyProtection="1">
      <protection locked="0"/>
    </xf>
    <xf numFmtId="0" fontId="0" fillId="0" borderId="0" xfId="0" applyProtection="1">
      <protection hidden="1"/>
    </xf>
    <xf numFmtId="0" fontId="0" fillId="0" borderId="4" xfId="0" applyBorder="1" applyProtection="1">
      <protection hidden="1"/>
    </xf>
    <xf numFmtId="164" fontId="0" fillId="0" borderId="0" xfId="0" applyNumberFormat="1" applyAlignment="1" applyProtection="1">
      <alignment horizontal="center"/>
      <protection hidden="1"/>
    </xf>
    <xf numFmtId="1" fontId="0" fillId="0" borderId="0" xfId="0" applyNumberFormat="1" applyFill="1" applyProtection="1">
      <protection hidden="1"/>
    </xf>
    <xf numFmtId="0" fontId="0" fillId="0" borderId="1" xfId="0" applyBorder="1" applyAlignment="1" applyProtection="1">
      <protection locked="0"/>
    </xf>
    <xf numFmtId="49" fontId="0" fillId="0" borderId="1" xfId="0" applyNumberFormat="1" applyBorder="1" applyProtection="1">
      <protection locked="0"/>
    </xf>
    <xf numFmtId="49" fontId="0" fillId="0" borderId="1" xfId="0" applyNumberFormat="1" applyBorder="1" applyProtection="1">
      <protection hidden="1"/>
    </xf>
    <xf numFmtId="0" fontId="0" fillId="8" borderId="7" xfId="0" applyFill="1" applyBorder="1" applyAlignment="1" applyProtection="1">
      <protection locked="0"/>
    </xf>
    <xf numFmtId="0" fontId="9" fillId="8" borderId="0" xfId="0" applyFont="1" applyFill="1" applyBorder="1" applyAlignment="1" applyProtection="1">
      <alignment vertical="center" wrapText="1"/>
      <protection locked="0"/>
    </xf>
    <xf numFmtId="0" fontId="9" fillId="8" borderId="0" xfId="0" applyFont="1" applyFill="1" applyBorder="1" applyAlignment="1" applyProtection="1">
      <alignment vertical="center"/>
      <protection locked="0"/>
    </xf>
    <xf numFmtId="0" fontId="6" fillId="2" borderId="2" xfId="0" applyFont="1" applyFill="1" applyBorder="1" applyAlignment="1" applyProtection="1">
      <alignment horizontal="center" vertical="center" wrapText="1"/>
      <protection locked="0"/>
    </xf>
    <xf numFmtId="0" fontId="6" fillId="2" borderId="3" xfId="0" applyFont="1" applyFill="1" applyBorder="1" applyAlignment="1" applyProtection="1">
      <alignment horizontal="center" vertical="center" wrapText="1"/>
      <protection locked="0"/>
    </xf>
    <xf numFmtId="164" fontId="6" fillId="2" borderId="2" xfId="0" applyNumberFormat="1" applyFont="1" applyFill="1" applyBorder="1" applyAlignment="1" applyProtection="1">
      <alignment horizontal="center" vertical="center" wrapText="1"/>
      <protection locked="0"/>
    </xf>
    <xf numFmtId="164" fontId="6" fillId="2" borderId="9" xfId="0" applyNumberFormat="1" applyFont="1" applyFill="1" applyBorder="1" applyAlignment="1" applyProtection="1">
      <alignment horizontal="center" vertical="center" wrapText="1"/>
      <protection locked="0"/>
    </xf>
    <xf numFmtId="0" fontId="6" fillId="2" borderId="9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Fill="1" applyBorder="1" applyAlignment="1" applyProtection="1">
      <alignment horizontal="center" vertical="center" wrapText="1"/>
      <protection locked="0"/>
    </xf>
    <xf numFmtId="0" fontId="8" fillId="8" borderId="0" xfId="0" applyFont="1" applyFill="1" applyBorder="1" applyAlignment="1" applyProtection="1">
      <alignment vertical="center" wrapText="1"/>
      <protection locked="0"/>
    </xf>
    <xf numFmtId="0" fontId="8" fillId="8" borderId="0" xfId="0" applyFont="1" applyFill="1" applyBorder="1" applyAlignment="1" applyProtection="1">
      <alignment vertical="center"/>
      <protection locked="0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64" fontId="0" fillId="0" borderId="1" xfId="0" applyNumberFormat="1" applyBorder="1" applyAlignment="1" applyProtection="1">
      <alignment horizontal="center" vertical="center" wrapText="1"/>
      <protection hidden="1"/>
    </xf>
    <xf numFmtId="164" fontId="0" fillId="0" borderId="1" xfId="0" applyNumberForma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 wrapText="1"/>
      <protection hidden="1"/>
    </xf>
    <xf numFmtId="164" fontId="0" fillId="0" borderId="0" xfId="0" applyNumberFormat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 vertical="center"/>
      <protection hidden="1"/>
    </xf>
    <xf numFmtId="1" fontId="0" fillId="0" borderId="0" xfId="0" applyNumberFormat="1" applyFill="1" applyAlignment="1" applyProtection="1">
      <alignment horizontal="center" vertical="center"/>
      <protection hidden="1"/>
    </xf>
    <xf numFmtId="49" fontId="0" fillId="0" borderId="1" xfId="0" applyNumberFormat="1" applyBorder="1" applyAlignment="1" applyProtection="1">
      <alignment horizontal="center" vertical="center"/>
      <protection hidden="1"/>
    </xf>
    <xf numFmtId="0" fontId="0" fillId="0" borderId="1" xfId="0" applyFill="1" applyBorder="1" applyAlignment="1" applyProtection="1">
      <alignment horizontal="center" vertical="center"/>
      <protection hidden="1"/>
    </xf>
    <xf numFmtId="0" fontId="6" fillId="2" borderId="14" xfId="0" applyFont="1" applyFill="1" applyBorder="1" applyAlignment="1" applyProtection="1">
      <alignment horizontal="center" vertical="center" wrapText="1"/>
      <protection locked="0"/>
    </xf>
    <xf numFmtId="0" fontId="6" fillId="9" borderId="14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165" fontId="0" fillId="0" borderId="0" xfId="0" applyNumberFormat="1"/>
    <xf numFmtId="165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65" fontId="0" fillId="0" borderId="1" xfId="0" applyNumberFormat="1" applyBorder="1" applyAlignment="1" applyProtection="1">
      <alignment horizontal="center" vertical="center" wrapText="1"/>
      <protection hidden="1"/>
    </xf>
    <xf numFmtId="165" fontId="6" fillId="2" borderId="2" xfId="0" applyNumberFormat="1" applyFont="1" applyFill="1" applyBorder="1" applyAlignment="1" applyProtection="1">
      <alignment horizontal="center" vertical="center" wrapText="1"/>
      <protection locked="0"/>
    </xf>
    <xf numFmtId="165" fontId="0" fillId="0" borderId="1" xfId="0" applyNumberFormat="1" applyBorder="1" applyAlignment="1" applyProtection="1">
      <alignment wrapText="1"/>
      <protection hidden="1"/>
    </xf>
    <xf numFmtId="165" fontId="0" fillId="0" borderId="1" xfId="0" applyNumberFormat="1" applyBorder="1" applyAlignment="1" applyProtection="1">
      <alignment horizontal="center" vertical="center"/>
      <protection hidden="1"/>
    </xf>
    <xf numFmtId="165" fontId="0" fillId="0" borderId="1" xfId="0" applyNumberFormat="1" applyBorder="1" applyProtection="1">
      <protection hidden="1"/>
    </xf>
    <xf numFmtId="165" fontId="0" fillId="0" borderId="1" xfId="0" applyNumberFormat="1" applyBorder="1" applyProtection="1">
      <protection locked="0"/>
    </xf>
    <xf numFmtId="22" fontId="0" fillId="0" borderId="1" xfId="0" applyNumberFormat="1" applyBorder="1" applyAlignment="1" applyProtection="1">
      <alignment horizontal="center" vertical="center"/>
      <protection hidden="1"/>
    </xf>
    <xf numFmtId="166" fontId="0" fillId="0" borderId="1" xfId="0" applyNumberFormat="1" applyBorder="1" applyAlignment="1" applyProtection="1">
      <alignment horizontal="center" vertical="center"/>
      <protection hidden="1"/>
    </xf>
    <xf numFmtId="167" fontId="0" fillId="0" borderId="0" xfId="0" applyNumberFormat="1" applyAlignment="1">
      <alignment horizontal="center" vertical="center"/>
    </xf>
    <xf numFmtId="21" fontId="0" fillId="0" borderId="0" xfId="0" applyNumberFormat="1" applyAlignment="1" applyProtection="1">
      <alignment horizontal="center" vertical="center"/>
      <protection hidden="1"/>
    </xf>
    <xf numFmtId="167" fontId="0" fillId="0" borderId="0" xfId="0" applyNumberFormat="1"/>
    <xf numFmtId="166" fontId="6" fillId="2" borderId="2" xfId="0" applyNumberFormat="1" applyFont="1" applyFill="1" applyBorder="1" applyAlignment="1" applyProtection="1">
      <alignment horizontal="center" vertical="center" wrapText="1"/>
      <protection locked="0"/>
    </xf>
    <xf numFmtId="166" fontId="0" fillId="0" borderId="1" xfId="0" applyNumberFormat="1" applyBorder="1" applyProtection="1">
      <protection hidden="1"/>
    </xf>
    <xf numFmtId="166" fontId="0" fillId="0" borderId="1" xfId="0" applyNumberFormat="1" applyBorder="1" applyProtection="1">
      <protection locked="0"/>
    </xf>
    <xf numFmtId="166" fontId="9" fillId="8" borderId="5" xfId="0" applyNumberFormat="1" applyFont="1" applyFill="1" applyBorder="1" applyAlignment="1" applyProtection="1">
      <alignment vertical="center"/>
      <protection locked="0"/>
    </xf>
    <xf numFmtId="166" fontId="0" fillId="8" borderId="7" xfId="0" applyNumberFormat="1" applyFill="1" applyBorder="1" applyAlignment="1" applyProtection="1">
      <protection locked="0"/>
    </xf>
    <xf numFmtId="166" fontId="0" fillId="0" borderId="1" xfId="0" applyNumberFormat="1" applyBorder="1" applyAlignment="1" applyProtection="1">
      <alignment horizontal="center"/>
      <protection hidden="1"/>
    </xf>
    <xf numFmtId="166" fontId="0" fillId="0" borderId="1" xfId="0" applyNumberFormat="1" applyBorder="1" applyAlignment="1" applyProtection="1">
      <alignment horizontal="center" vertical="center" wrapText="1"/>
      <protection hidden="1"/>
    </xf>
    <xf numFmtId="166" fontId="0" fillId="0" borderId="1" xfId="0" applyNumberFormat="1" applyBorder="1" applyAlignment="1" applyProtection="1">
      <alignment wrapText="1"/>
      <protection hidden="1"/>
    </xf>
    <xf numFmtId="166" fontId="8" fillId="8" borderId="5" xfId="0" applyNumberFormat="1" applyFont="1" applyFill="1" applyBorder="1" applyAlignment="1" applyProtection="1">
      <alignment vertical="center"/>
      <protection locked="0"/>
    </xf>
    <xf numFmtId="166" fontId="0" fillId="8" borderId="8" xfId="0" applyNumberFormat="1" applyFill="1" applyBorder="1" applyAlignment="1" applyProtection="1"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49" fontId="0" fillId="0" borderId="0" xfId="0" applyNumberFormat="1" applyBorder="1" applyAlignment="1" applyProtection="1">
      <alignment horizontal="center" vertical="center"/>
      <protection hidden="1"/>
    </xf>
    <xf numFmtId="165" fontId="1" fillId="0" borderId="0" xfId="0" applyNumberFormat="1" applyFont="1" applyBorder="1" applyAlignment="1">
      <alignment horizontal="center" vertical="center"/>
    </xf>
    <xf numFmtId="167" fontId="0" fillId="0" borderId="0" xfId="0" applyNumberFormat="1" applyBorder="1"/>
    <xf numFmtId="14" fontId="4" fillId="0" borderId="0" xfId="0" applyNumberFormat="1" applyFont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49" fontId="6" fillId="2" borderId="2" xfId="0" applyNumberFormat="1" applyFont="1" applyFill="1" applyBorder="1" applyAlignment="1" applyProtection="1">
      <alignment horizontal="center" vertical="center" wrapText="1"/>
      <protection locked="0"/>
    </xf>
    <xf numFmtId="0" fontId="9" fillId="8" borderId="12" xfId="0" applyFont="1" applyFill="1" applyBorder="1" applyAlignment="1">
      <alignment horizontal="center" vertical="center"/>
    </xf>
    <xf numFmtId="0" fontId="9" fillId="8" borderId="13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0" fillId="0" borderId="4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8" borderId="4" xfId="0" applyFill="1" applyBorder="1" applyAlignment="1" applyProtection="1">
      <alignment horizontal="center" vertical="center"/>
      <protection locked="0"/>
    </xf>
    <xf numFmtId="0" fontId="0" fillId="8" borderId="0" xfId="0" applyFill="1" applyBorder="1" applyAlignment="1" applyProtection="1">
      <alignment horizontal="center" vertical="center"/>
      <protection locked="0"/>
    </xf>
    <xf numFmtId="0" fontId="0" fillId="8" borderId="6" xfId="0" applyFill="1" applyBorder="1" applyAlignment="1" applyProtection="1">
      <alignment horizontal="center" vertical="center"/>
      <protection locked="0"/>
    </xf>
    <xf numFmtId="0" fontId="0" fillId="8" borderId="7" xfId="0" applyFill="1" applyBorder="1" applyAlignment="1" applyProtection="1">
      <alignment horizontal="center" vertical="center"/>
      <protection locked="0"/>
    </xf>
    <xf numFmtId="0" fontId="10" fillId="8" borderId="0" xfId="0" applyFont="1" applyFill="1" applyBorder="1" applyAlignment="1" applyProtection="1">
      <alignment horizontal="center" vertical="center"/>
      <protection locked="0"/>
    </xf>
    <xf numFmtId="0" fontId="10" fillId="8" borderId="7" xfId="0" applyFont="1" applyFill="1" applyBorder="1" applyAlignment="1" applyProtection="1">
      <alignment horizontal="center" vertical="center"/>
      <protection locked="0"/>
    </xf>
    <xf numFmtId="0" fontId="0" fillId="8" borderId="11" xfId="0" applyFill="1" applyBorder="1" applyAlignment="1" applyProtection="1">
      <alignment horizontal="center"/>
      <protection locked="0"/>
    </xf>
    <xf numFmtId="0" fontId="0" fillId="8" borderId="6" xfId="0" applyFill="1" applyBorder="1" applyAlignment="1" applyProtection="1">
      <alignment horizontal="center"/>
      <protection locked="0"/>
    </xf>
    <xf numFmtId="164" fontId="0" fillId="8" borderId="4" xfId="0" applyNumberFormat="1" applyFill="1" applyBorder="1" applyAlignment="1" applyProtection="1">
      <alignment horizontal="center"/>
      <protection locked="0"/>
    </xf>
    <xf numFmtId="164" fontId="0" fillId="8" borderId="0" xfId="0" applyNumberFormat="1" applyFill="1" applyBorder="1" applyAlignment="1" applyProtection="1">
      <alignment horizontal="center"/>
      <protection locked="0"/>
    </xf>
    <xf numFmtId="0" fontId="12" fillId="8" borderId="0" xfId="0" applyFont="1" applyFill="1" applyBorder="1" applyAlignment="1" applyProtection="1">
      <alignment horizontal="center" vertical="center"/>
      <protection locked="0"/>
    </xf>
    <xf numFmtId="0" fontId="13" fillId="8" borderId="0" xfId="0" applyFont="1" applyFill="1" applyBorder="1" applyAlignment="1" applyProtection="1">
      <alignment horizontal="center" vertical="center"/>
      <protection locked="0"/>
    </xf>
    <xf numFmtId="0" fontId="13" fillId="8" borderId="7" xfId="0" applyFont="1" applyFill="1" applyBorder="1" applyAlignment="1" applyProtection="1">
      <alignment horizontal="center" vertical="center"/>
      <protection locked="0"/>
    </xf>
    <xf numFmtId="166" fontId="0" fillId="8" borderId="10" xfId="0" applyNumberFormat="1" applyFill="1" applyBorder="1" applyAlignment="1" applyProtection="1">
      <alignment horizontal="center"/>
      <protection locked="0"/>
    </xf>
    <xf numFmtId="166" fontId="0" fillId="8" borderId="9" xfId="0" applyNumberFormat="1" applyFill="1" applyBorder="1" applyAlignment="1" applyProtection="1">
      <alignment horizontal="center"/>
      <protection locked="0"/>
    </xf>
    <xf numFmtId="0" fontId="1" fillId="10" borderId="2" xfId="0" applyFont="1" applyFill="1" applyBorder="1" applyAlignment="1">
      <alignment horizontal="center" vertical="center"/>
    </xf>
    <xf numFmtId="0" fontId="0" fillId="11" borderId="3" xfId="0" applyFill="1" applyBorder="1"/>
    <xf numFmtId="0" fontId="0" fillId="11" borderId="2" xfId="0" applyFill="1" applyBorder="1"/>
    <xf numFmtId="0" fontId="1" fillId="0" borderId="1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0" fillId="0" borderId="1" xfId="0" applyBorder="1"/>
    <xf numFmtId="168" fontId="0" fillId="0" borderId="1" xfId="0" applyNumberFormat="1" applyFont="1" applyBorder="1"/>
    <xf numFmtId="0" fontId="14" fillId="0" borderId="1" xfId="0" applyNumberFormat="1" applyFont="1" applyBorder="1"/>
    <xf numFmtId="0" fontId="14" fillId="0" borderId="1" xfId="0" applyNumberFormat="1" applyFont="1" applyFill="1" applyBorder="1"/>
    <xf numFmtId="0" fontId="0" fillId="0" borderId="0" xfId="0" applyBorder="1" applyAlignment="1">
      <alignment vertical="center"/>
    </xf>
  </cellXfs>
  <cellStyles count="1">
    <cellStyle name="Normal" xfId="0" builtinId="0"/>
  </cellStyles>
  <dxfs count="7">
    <dxf>
      <font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theme="1"/>
      </font>
    </dxf>
  </dxfs>
  <tableStyles count="0" defaultTableStyle="TableStyleMedium2" defaultPivotStyle="PivotStyleLight16"/>
  <colors>
    <mruColors>
      <color rgb="FF9D77FD"/>
      <color rgb="FF3F7FFF"/>
      <color rgb="FF004D9A"/>
      <color rgb="FFCCECFF"/>
      <color rgb="FFCCFFCC"/>
      <color rgb="FFA99E67"/>
      <color rgb="FFA0BE5E"/>
      <color rgb="FFFFFF3F"/>
      <color rgb="FFFFFF00"/>
      <color rgb="FF95B64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18" Type="http://schemas.openxmlformats.org/officeDocument/2006/relationships/customXml" Target="../customXml/item7.xml"/><Relationship Id="rId26" Type="http://schemas.openxmlformats.org/officeDocument/2006/relationships/customXml" Target="../customXml/item15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0.xml"/><Relationship Id="rId34" Type="http://schemas.openxmlformats.org/officeDocument/2006/relationships/customXml" Target="../customXml/item2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17" Type="http://schemas.openxmlformats.org/officeDocument/2006/relationships/customXml" Target="../customXml/item6.xml"/><Relationship Id="rId25" Type="http://schemas.openxmlformats.org/officeDocument/2006/relationships/customXml" Target="../customXml/item14.xml"/><Relationship Id="rId33" Type="http://schemas.openxmlformats.org/officeDocument/2006/relationships/customXml" Target="../customXml/item22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5.xml"/><Relationship Id="rId20" Type="http://schemas.openxmlformats.org/officeDocument/2006/relationships/customXml" Target="../customXml/item9.xml"/><Relationship Id="rId29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24" Type="http://schemas.openxmlformats.org/officeDocument/2006/relationships/customXml" Target="../customXml/item13.xml"/><Relationship Id="rId32" Type="http://schemas.openxmlformats.org/officeDocument/2006/relationships/customXml" Target="../customXml/item21.xml"/><Relationship Id="rId37" Type="http://schemas.openxmlformats.org/officeDocument/2006/relationships/customXml" Target="../customXml/item26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23" Type="http://schemas.openxmlformats.org/officeDocument/2006/relationships/customXml" Target="../customXml/item12.xml"/><Relationship Id="rId28" Type="http://schemas.openxmlformats.org/officeDocument/2006/relationships/customXml" Target="../customXml/item17.xml"/><Relationship Id="rId36" Type="http://schemas.openxmlformats.org/officeDocument/2006/relationships/customXml" Target="../customXml/item25.xml"/><Relationship Id="rId10" Type="http://schemas.openxmlformats.org/officeDocument/2006/relationships/sharedStrings" Target="sharedStrings.xml"/><Relationship Id="rId19" Type="http://schemas.openxmlformats.org/officeDocument/2006/relationships/customXml" Target="../customXml/item8.xml"/><Relationship Id="rId31" Type="http://schemas.openxmlformats.org/officeDocument/2006/relationships/customXml" Target="../customXml/item20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Relationship Id="rId22" Type="http://schemas.openxmlformats.org/officeDocument/2006/relationships/customXml" Target="../customXml/item11.xml"/><Relationship Id="rId27" Type="http://schemas.openxmlformats.org/officeDocument/2006/relationships/customXml" Target="../customXml/item16.xml"/><Relationship Id="rId30" Type="http://schemas.openxmlformats.org/officeDocument/2006/relationships/customXml" Target="../customXml/item19.xml"/><Relationship Id="rId35" Type="http://schemas.openxmlformats.org/officeDocument/2006/relationships/customXml" Target="../customXml/item2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6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4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4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4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4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3</xdr:row>
          <xdr:rowOff>95250</xdr:rowOff>
        </xdr:from>
        <xdr:to>
          <xdr:col>2</xdr:col>
          <xdr:colOff>133350</xdr:colOff>
          <xdr:row>3</xdr:row>
          <xdr:rowOff>676275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1</xdr:row>
          <xdr:rowOff>561975</xdr:rowOff>
        </xdr:from>
        <xdr:to>
          <xdr:col>2</xdr:col>
          <xdr:colOff>123825</xdr:colOff>
          <xdr:row>2</xdr:row>
          <xdr:rowOff>552450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4</xdr:row>
          <xdr:rowOff>171450</xdr:rowOff>
        </xdr:from>
        <xdr:to>
          <xdr:col>2</xdr:col>
          <xdr:colOff>171450</xdr:colOff>
          <xdr:row>4</xdr:row>
          <xdr:rowOff>771525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1390650</xdr:colOff>
          <xdr:row>1</xdr:row>
          <xdr:rowOff>619125</xdr:rowOff>
        </xdr:from>
        <xdr:to>
          <xdr:col>7</xdr:col>
          <xdr:colOff>171450</xdr:colOff>
          <xdr:row>2</xdr:row>
          <xdr:rowOff>628650</xdr:rowOff>
        </xdr:to>
        <xdr:sp macro="" textlink="">
          <xdr:nvSpPr>
            <xdr:cNvPr id="5124" name="CommandButton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1390650</xdr:colOff>
          <xdr:row>3</xdr:row>
          <xdr:rowOff>523875</xdr:rowOff>
        </xdr:from>
        <xdr:to>
          <xdr:col>7</xdr:col>
          <xdr:colOff>200025</xdr:colOff>
          <xdr:row>4</xdr:row>
          <xdr:rowOff>342900</xdr:rowOff>
        </xdr:to>
        <xdr:sp macro="" textlink="">
          <xdr:nvSpPr>
            <xdr:cNvPr id="5125" name="CommandButton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3</xdr:col>
      <xdr:colOff>419099</xdr:colOff>
      <xdr:row>2</xdr:row>
      <xdr:rowOff>99059</xdr:rowOff>
    </xdr:from>
    <xdr:to>
      <xdr:col>4</xdr:col>
      <xdr:colOff>510540</xdr:colOff>
      <xdr:row>4</xdr:row>
      <xdr:rowOff>223350</xdr:rowOff>
    </xdr:to>
    <xdr:pic macro="[0]!Refresh"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05199" y="1386839"/>
          <a:ext cx="1699261" cy="1594951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0</xdr:col>
      <xdr:colOff>205740</xdr:colOff>
      <xdr:row>0</xdr:row>
      <xdr:rowOff>0</xdr:rowOff>
    </xdr:from>
    <xdr:to>
      <xdr:col>0</xdr:col>
      <xdr:colOff>830580</xdr:colOff>
      <xdr:row>0</xdr:row>
      <xdr:rowOff>624840</xdr:rowOff>
    </xdr:to>
    <xdr:pic>
      <xdr:nvPicPr>
        <xdr:cNvPr id="11" name="Picture 10" descr="See the source image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05740" y="0"/>
          <a:ext cx="624840" cy="6248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0</xdr:row>
          <xdr:rowOff>390525</xdr:rowOff>
        </xdr:from>
        <xdr:to>
          <xdr:col>2</xdr:col>
          <xdr:colOff>933450</xdr:colOff>
          <xdr:row>1</xdr:row>
          <xdr:rowOff>323850</xdr:rowOff>
        </xdr:to>
        <xdr:sp macro="" textlink="">
          <xdr:nvSpPr>
            <xdr:cNvPr id="11265" name="HomeCommandButton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</xdr:row>
          <xdr:rowOff>342900</xdr:rowOff>
        </xdr:from>
        <xdr:to>
          <xdr:col>8</xdr:col>
          <xdr:colOff>1381125</xdr:colOff>
          <xdr:row>1</xdr:row>
          <xdr:rowOff>638175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0</xdr:row>
          <xdr:rowOff>542925</xdr:rowOff>
        </xdr:from>
        <xdr:to>
          <xdr:col>8</xdr:col>
          <xdr:colOff>1371600</xdr:colOff>
          <xdr:row>1</xdr:row>
          <xdr:rowOff>190500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0</xdr:row>
          <xdr:rowOff>104775</xdr:rowOff>
        </xdr:from>
        <xdr:to>
          <xdr:col>8</xdr:col>
          <xdr:colOff>1371600</xdr:colOff>
          <xdr:row>0</xdr:row>
          <xdr:rowOff>419100</xdr:rowOff>
        </xdr:to>
        <xdr:sp macro="" textlink="">
          <xdr:nvSpPr>
            <xdr:cNvPr id="11268" name="CommandButton3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0</xdr:col>
      <xdr:colOff>129540</xdr:colOff>
      <xdr:row>0</xdr:row>
      <xdr:rowOff>114300</xdr:rowOff>
    </xdr:from>
    <xdr:to>
      <xdr:col>1</xdr:col>
      <xdr:colOff>160020</xdr:colOff>
      <xdr:row>1</xdr:row>
      <xdr:rowOff>518160</xdr:rowOff>
    </xdr:to>
    <xdr:pic>
      <xdr:nvPicPr>
        <xdr:cNvPr id="6" name="Picture 5" descr="See the source image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29540" y="114300"/>
          <a:ext cx="1066800" cy="1066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0</xdr:row>
          <xdr:rowOff>123825</xdr:rowOff>
        </xdr:from>
        <xdr:to>
          <xdr:col>15</xdr:col>
          <xdr:colOff>1171575</xdr:colOff>
          <xdr:row>0</xdr:row>
          <xdr:rowOff>400050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171450</xdr:colOff>
          <xdr:row>1</xdr:row>
          <xdr:rowOff>371475</xdr:rowOff>
        </xdr:from>
        <xdr:to>
          <xdr:col>15</xdr:col>
          <xdr:colOff>1219200</xdr:colOff>
          <xdr:row>1</xdr:row>
          <xdr:rowOff>666750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171450</xdr:colOff>
          <xdr:row>0</xdr:row>
          <xdr:rowOff>476250</xdr:rowOff>
        </xdr:from>
        <xdr:to>
          <xdr:col>15</xdr:col>
          <xdr:colOff>1200150</xdr:colOff>
          <xdr:row>1</xdr:row>
          <xdr:rowOff>285750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590550</xdr:colOff>
          <xdr:row>0</xdr:row>
          <xdr:rowOff>200025</xdr:rowOff>
        </xdr:from>
        <xdr:to>
          <xdr:col>3</xdr:col>
          <xdr:colOff>457200</xdr:colOff>
          <xdr:row>1</xdr:row>
          <xdr:rowOff>323850</xdr:rowOff>
        </xdr:to>
        <xdr:sp macro="" textlink="">
          <xdr:nvSpPr>
            <xdr:cNvPr id="2053" name="CommandButton4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0</xdr:col>
      <xdr:colOff>198120</xdr:colOff>
      <xdr:row>0</xdr:row>
      <xdr:rowOff>91440</xdr:rowOff>
    </xdr:from>
    <xdr:to>
      <xdr:col>1</xdr:col>
      <xdr:colOff>36195</xdr:colOff>
      <xdr:row>1</xdr:row>
      <xdr:rowOff>510540</xdr:rowOff>
    </xdr:to>
    <xdr:pic>
      <xdr:nvPicPr>
        <xdr:cNvPr id="6" name="Picture 5" descr="See the source image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98120" y="91440"/>
          <a:ext cx="929640" cy="9296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171450</xdr:colOff>
          <xdr:row>0</xdr:row>
          <xdr:rowOff>66675</xdr:rowOff>
        </xdr:from>
        <xdr:to>
          <xdr:col>15</xdr:col>
          <xdr:colOff>1495425</xdr:colOff>
          <xdr:row>0</xdr:row>
          <xdr:rowOff>381000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190500</xdr:colOff>
          <xdr:row>1</xdr:row>
          <xdr:rowOff>361950</xdr:rowOff>
        </xdr:from>
        <xdr:to>
          <xdr:col>15</xdr:col>
          <xdr:colOff>1495425</xdr:colOff>
          <xdr:row>1</xdr:row>
          <xdr:rowOff>666750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190500</xdr:colOff>
          <xdr:row>0</xdr:row>
          <xdr:rowOff>438150</xdr:rowOff>
        </xdr:from>
        <xdr:to>
          <xdr:col>15</xdr:col>
          <xdr:colOff>1485900</xdr:colOff>
          <xdr:row>1</xdr:row>
          <xdr:rowOff>266700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457200</xdr:colOff>
          <xdr:row>0</xdr:row>
          <xdr:rowOff>314325</xdr:rowOff>
        </xdr:from>
        <xdr:to>
          <xdr:col>3</xdr:col>
          <xdr:colOff>209550</xdr:colOff>
          <xdr:row>1</xdr:row>
          <xdr:rowOff>476250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0</xdr:col>
      <xdr:colOff>342900</xdr:colOff>
      <xdr:row>0</xdr:row>
      <xdr:rowOff>91440</xdr:rowOff>
    </xdr:from>
    <xdr:to>
      <xdr:col>1</xdr:col>
      <xdr:colOff>388620</xdr:colOff>
      <xdr:row>1</xdr:row>
      <xdr:rowOff>518160</xdr:rowOff>
    </xdr:to>
    <xdr:pic>
      <xdr:nvPicPr>
        <xdr:cNvPr id="6" name="Picture 5" descr="See the source image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342900" y="91440"/>
          <a:ext cx="929640" cy="9296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171450</xdr:colOff>
          <xdr:row>0</xdr:row>
          <xdr:rowOff>85725</xdr:rowOff>
        </xdr:from>
        <xdr:to>
          <xdr:col>16</xdr:col>
          <xdr:colOff>419100</xdr:colOff>
          <xdr:row>0</xdr:row>
          <xdr:rowOff>361950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171450</xdr:colOff>
          <xdr:row>1</xdr:row>
          <xdr:rowOff>247650</xdr:rowOff>
        </xdr:from>
        <xdr:to>
          <xdr:col>16</xdr:col>
          <xdr:colOff>428625</xdr:colOff>
          <xdr:row>1</xdr:row>
          <xdr:rowOff>523875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171450</xdr:colOff>
          <xdr:row>0</xdr:row>
          <xdr:rowOff>438150</xdr:rowOff>
        </xdr:from>
        <xdr:to>
          <xdr:col>16</xdr:col>
          <xdr:colOff>400050</xdr:colOff>
          <xdr:row>1</xdr:row>
          <xdr:rowOff>161925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0</xdr:row>
          <xdr:rowOff>314325</xdr:rowOff>
        </xdr:from>
        <xdr:to>
          <xdr:col>3</xdr:col>
          <xdr:colOff>876300</xdr:colOff>
          <xdr:row>1</xdr:row>
          <xdr:rowOff>342900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0</xdr:col>
      <xdr:colOff>388620</xdr:colOff>
      <xdr:row>0</xdr:row>
      <xdr:rowOff>144780</xdr:rowOff>
    </xdr:from>
    <xdr:to>
      <xdr:col>1</xdr:col>
      <xdr:colOff>220980</xdr:colOff>
      <xdr:row>1</xdr:row>
      <xdr:rowOff>533400</xdr:rowOff>
    </xdr:to>
    <xdr:pic>
      <xdr:nvPicPr>
        <xdr:cNvPr id="6" name="Picture 5" descr="See the source image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388620" y="144780"/>
          <a:ext cx="929640" cy="9296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</xdr:row>
          <xdr:rowOff>76200</xdr:rowOff>
        </xdr:from>
        <xdr:to>
          <xdr:col>11</xdr:col>
          <xdr:colOff>1009650</xdr:colOff>
          <xdr:row>3</xdr:row>
          <xdr:rowOff>85725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5</xdr:row>
          <xdr:rowOff>133350</xdr:rowOff>
        </xdr:from>
        <xdr:to>
          <xdr:col>12</xdr:col>
          <xdr:colOff>38100</xdr:colOff>
          <xdr:row>8</xdr:row>
          <xdr:rowOff>142875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10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5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5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17.xml"/><Relationship Id="rId4" Type="http://schemas.openxmlformats.org/officeDocument/2006/relationships/control" Target="../activeX/activeX14.xml"/><Relationship Id="rId9" Type="http://schemas.openxmlformats.org/officeDocument/2006/relationships/image" Target="../media/image20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6.emf"/><Relationship Id="rId4" Type="http://schemas.openxmlformats.org/officeDocument/2006/relationships/control" Target="../activeX/activeX2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me"/>
  <dimension ref="A1:XFC150"/>
  <sheetViews>
    <sheetView workbookViewId="0">
      <selection activeCell="C5" sqref="C5"/>
    </sheetView>
  </sheetViews>
  <sheetFormatPr defaultColWidth="0" defaultRowHeight="12.75" customHeight="1" zeroHeight="1" x14ac:dyDescent="0.25"/>
  <cols>
    <col min="1" max="1" width="15" style="13" customWidth="1"/>
    <col min="2" max="2" width="15.42578125" style="13" customWidth="1"/>
    <col min="3" max="3" width="14.5703125" style="13" customWidth="1"/>
    <col min="4" max="4" width="23.42578125" style="13" customWidth="1"/>
    <col min="5" max="5" width="22.5703125" style="13" customWidth="1"/>
    <col min="6" max="8" width="9.140625" style="13" customWidth="1"/>
    <col min="9" max="16383" width="9.140625" style="13" hidden="1"/>
    <col min="16384" max="16384" width="6" style="13" hidden="1"/>
  </cols>
  <sheetData>
    <row r="1" spans="1:18" ht="51.75" customHeight="1" x14ac:dyDescent="0.3">
      <c r="A1" s="43"/>
      <c r="B1" s="131" t="s">
        <v>116</v>
      </c>
      <c r="C1" s="131"/>
      <c r="D1" s="131"/>
      <c r="E1" s="131"/>
      <c r="F1" s="131"/>
      <c r="G1" s="131"/>
      <c r="H1" s="131"/>
    </row>
    <row r="2" spans="1:18" s="6" customFormat="1" ht="50.25" customHeight="1" x14ac:dyDescent="0.3">
      <c r="A2" s="41"/>
      <c r="B2" s="41"/>
      <c r="C2" s="41"/>
      <c r="D2" s="42"/>
      <c r="E2" s="41"/>
      <c r="F2" s="41"/>
      <c r="G2" s="41"/>
      <c r="H2" s="41"/>
      <c r="I2"/>
      <c r="R2" s="6">
        <v>13200</v>
      </c>
    </row>
    <row r="3" spans="1:18" ht="53.25" customHeight="1" x14ac:dyDescent="0.3">
      <c r="A3" s="41"/>
      <c r="B3" s="41"/>
      <c r="C3" s="41"/>
      <c r="D3" s="42"/>
      <c r="E3" s="41"/>
      <c r="F3" s="41"/>
      <c r="G3" s="41"/>
      <c r="H3" s="41"/>
      <c r="I3"/>
      <c r="R3" s="13">
        <v>0</v>
      </c>
    </row>
    <row r="4" spans="1:18" ht="63" customHeight="1" x14ac:dyDescent="0.3">
      <c r="A4" s="41"/>
      <c r="B4" s="41"/>
      <c r="C4" s="41"/>
      <c r="D4" s="42"/>
      <c r="E4" s="41"/>
      <c r="F4" s="41"/>
      <c r="G4" s="41"/>
      <c r="H4" s="41"/>
      <c r="I4"/>
      <c r="J4" s="25"/>
    </row>
    <row r="5" spans="1:18" ht="114.75" customHeight="1" x14ac:dyDescent="0.3">
      <c r="A5" s="41"/>
      <c r="B5" s="41"/>
      <c r="C5" s="41"/>
      <c r="D5" s="42"/>
      <c r="E5" s="41"/>
      <c r="F5" s="41"/>
      <c r="G5" s="41"/>
      <c r="H5" s="41"/>
      <c r="I5"/>
    </row>
    <row r="6" spans="1:18" ht="4.5" customHeight="1" x14ac:dyDescent="0.3">
      <c r="A6" s="41"/>
      <c r="B6" s="41"/>
      <c r="C6" s="41"/>
      <c r="D6" s="42"/>
      <c r="E6" s="41"/>
      <c r="F6" s="41"/>
      <c r="G6" s="41"/>
      <c r="H6" s="41"/>
      <c r="I6"/>
    </row>
    <row r="7" spans="1:18" ht="12.75" hidden="1" customHeight="1" x14ac:dyDescent="0.3">
      <c r="A7"/>
      <c r="B7"/>
      <c r="C7"/>
      <c r="D7" s="26"/>
      <c r="E7"/>
      <c r="F7"/>
      <c r="G7"/>
      <c r="H7"/>
      <c r="I7"/>
    </row>
    <row r="8" spans="1:18" ht="12.75" hidden="1" customHeight="1" x14ac:dyDescent="0.3">
      <c r="A8"/>
      <c r="B8"/>
      <c r="C8"/>
      <c r="D8" s="26"/>
      <c r="E8"/>
      <c r="F8"/>
      <c r="G8"/>
      <c r="H8"/>
      <c r="I8"/>
    </row>
    <row r="9" spans="1:18" ht="12.75" hidden="1" customHeight="1" x14ac:dyDescent="0.3">
      <c r="A9"/>
      <c r="B9"/>
      <c r="C9"/>
      <c r="D9" s="26"/>
      <c r="E9"/>
      <c r="F9"/>
      <c r="G9"/>
      <c r="H9"/>
      <c r="I9"/>
    </row>
    <row r="10" spans="1:18" ht="12.75" hidden="1" customHeight="1" x14ac:dyDescent="0.3">
      <c r="A10" t="s">
        <v>120</v>
      </c>
      <c r="B10"/>
      <c r="C10"/>
      <c r="D10" s="26" t="s">
        <v>120</v>
      </c>
      <c r="E10" t="s">
        <v>120</v>
      </c>
      <c r="F10" t="s">
        <v>120</v>
      </c>
      <c r="G10"/>
      <c r="H10" t="s">
        <v>98</v>
      </c>
      <c r="I10"/>
    </row>
    <row r="11" spans="1:18" ht="12.75" hidden="1" customHeight="1" x14ac:dyDescent="0.3">
      <c r="A11" t="s">
        <v>118</v>
      </c>
      <c r="B11"/>
      <c r="C11"/>
      <c r="D11" s="26" t="s">
        <v>118</v>
      </c>
      <c r="E11" t="s">
        <v>118</v>
      </c>
      <c r="F11" t="s">
        <v>119</v>
      </c>
      <c r="G11"/>
      <c r="H11"/>
      <c r="I11"/>
    </row>
    <row r="12" spans="1:18" ht="12.75" hidden="1" customHeight="1" x14ac:dyDescent="0.3">
      <c r="A12"/>
      <c r="B12"/>
      <c r="C12"/>
      <c r="D12" s="26"/>
      <c r="E12"/>
      <c r="F12"/>
      <c r="G12"/>
      <c r="H12"/>
      <c r="I12"/>
    </row>
    <row r="13" spans="1:18" ht="12.75" hidden="1" customHeight="1" x14ac:dyDescent="0.3">
      <c r="A13"/>
      <c r="B13"/>
      <c r="C13"/>
      <c r="D13" s="26"/>
      <c r="E13"/>
      <c r="F13"/>
      <c r="G13"/>
      <c r="H13"/>
      <c r="I13"/>
    </row>
    <row r="14" spans="1:18" ht="12.75" hidden="1" customHeight="1" x14ac:dyDescent="0.3">
      <c r="A14"/>
      <c r="B14"/>
      <c r="C14"/>
      <c r="D14" s="26"/>
      <c r="E14"/>
      <c r="F14"/>
      <c r="G14"/>
      <c r="H14"/>
      <c r="I14"/>
    </row>
    <row r="15" spans="1:18" ht="12.75" hidden="1" customHeight="1" x14ac:dyDescent="0.3">
      <c r="A15"/>
      <c r="B15"/>
      <c r="C15"/>
      <c r="D15" s="26"/>
      <c r="E15"/>
      <c r="F15"/>
      <c r="G15"/>
      <c r="H15"/>
      <c r="I15"/>
    </row>
    <row r="16" spans="1:18" ht="12.75" hidden="1" customHeight="1" x14ac:dyDescent="0.3">
      <c r="A16"/>
      <c r="B16"/>
      <c r="C16"/>
      <c r="D16" s="26"/>
      <c r="E16"/>
      <c r="F16"/>
      <c r="G16"/>
      <c r="H16"/>
      <c r="I16"/>
    </row>
    <row r="17" spans="1:9" ht="12.75" hidden="1" customHeight="1" x14ac:dyDescent="0.3">
      <c r="A17"/>
      <c r="B17"/>
      <c r="C17"/>
      <c r="D17" s="26"/>
      <c r="E17"/>
      <c r="F17"/>
      <c r="G17"/>
      <c r="H17"/>
      <c r="I17"/>
    </row>
    <row r="18" spans="1:9" ht="12.75" hidden="1" customHeight="1" x14ac:dyDescent="0.3">
      <c r="A18"/>
      <c r="B18"/>
      <c r="C18"/>
      <c r="D18" s="26"/>
      <c r="E18"/>
      <c r="F18"/>
      <c r="G18"/>
      <c r="H18"/>
      <c r="I18"/>
    </row>
    <row r="19" spans="1:9" ht="12.75" hidden="1" customHeight="1" x14ac:dyDescent="0.3">
      <c r="A19"/>
      <c r="B19"/>
      <c r="C19"/>
      <c r="D19" s="26"/>
      <c r="E19"/>
      <c r="F19"/>
      <c r="G19"/>
      <c r="H19"/>
      <c r="I19"/>
    </row>
    <row r="20" spans="1:9" ht="12.75" hidden="1" customHeight="1" x14ac:dyDescent="0.3">
      <c r="A20"/>
      <c r="B20"/>
      <c r="C20"/>
      <c r="D20" s="26"/>
      <c r="E20"/>
      <c r="F20"/>
      <c r="G20"/>
      <c r="H20"/>
      <c r="I20"/>
    </row>
    <row r="21" spans="1:9" ht="12.75" hidden="1" customHeight="1" x14ac:dyDescent="0.3">
      <c r="A21"/>
      <c r="B21"/>
      <c r="C21"/>
      <c r="D21" s="26"/>
      <c r="E21"/>
      <c r="F21"/>
      <c r="G21"/>
      <c r="H21"/>
      <c r="I21"/>
    </row>
    <row r="22" spans="1:9" ht="12.75" hidden="1" customHeight="1" x14ac:dyDescent="0.3">
      <c r="A22"/>
      <c r="B22"/>
      <c r="C22"/>
      <c r="D22" s="26"/>
      <c r="E22"/>
      <c r="F22"/>
      <c r="G22"/>
      <c r="H22"/>
      <c r="I22"/>
    </row>
    <row r="23" spans="1:9" ht="12.75" hidden="1" customHeight="1" x14ac:dyDescent="0.3">
      <c r="A23"/>
      <c r="B23"/>
      <c r="C23"/>
      <c r="D23" s="26"/>
      <c r="E23"/>
      <c r="F23"/>
      <c r="G23"/>
      <c r="H23"/>
      <c r="I23"/>
    </row>
    <row r="24" spans="1:9" ht="12.75" hidden="1" customHeight="1" x14ac:dyDescent="0.3">
      <c r="A24"/>
      <c r="B24"/>
      <c r="C24"/>
      <c r="D24" s="26"/>
      <c r="E24"/>
      <c r="F24"/>
      <c r="G24"/>
      <c r="H24"/>
      <c r="I24"/>
    </row>
    <row r="25" spans="1:9" ht="12.75" hidden="1" customHeight="1" x14ac:dyDescent="0.3">
      <c r="A25"/>
      <c r="B25"/>
      <c r="C25"/>
      <c r="D25" s="26"/>
      <c r="E25"/>
      <c r="F25"/>
      <c r="G25"/>
      <c r="H25"/>
      <c r="I25"/>
    </row>
    <row r="26" spans="1:9" ht="12.75" hidden="1" customHeight="1" x14ac:dyDescent="0.3">
      <c r="A26"/>
      <c r="B26"/>
      <c r="C26"/>
      <c r="D26" s="26"/>
      <c r="E26"/>
      <c r="F26"/>
      <c r="G26"/>
      <c r="H26"/>
      <c r="I26"/>
    </row>
    <row r="27" spans="1:9" ht="12.75" hidden="1" customHeight="1" x14ac:dyDescent="0.3">
      <c r="A27"/>
      <c r="B27"/>
      <c r="C27"/>
      <c r="D27" s="26"/>
      <c r="E27"/>
      <c r="F27"/>
      <c r="G27"/>
      <c r="H27"/>
      <c r="I27"/>
    </row>
    <row r="28" spans="1:9" ht="12.75" hidden="1" customHeight="1" x14ac:dyDescent="0.3">
      <c r="A28"/>
      <c r="B28"/>
      <c r="C28"/>
      <c r="D28" s="26"/>
      <c r="E28"/>
      <c r="F28"/>
      <c r="G28"/>
      <c r="H28"/>
      <c r="I28"/>
    </row>
    <row r="29" spans="1:9" ht="12.75" hidden="1" customHeight="1" x14ac:dyDescent="0.3">
      <c r="A29"/>
      <c r="B29"/>
      <c r="C29"/>
      <c r="D29" s="26"/>
      <c r="E29"/>
      <c r="F29"/>
      <c r="G29"/>
      <c r="H29"/>
      <c r="I29"/>
    </row>
    <row r="30" spans="1:9" ht="12.75" hidden="1" customHeight="1" x14ac:dyDescent="0.3">
      <c r="A30"/>
      <c r="B30"/>
      <c r="C30"/>
      <c r="D30" s="26"/>
      <c r="E30"/>
      <c r="F30"/>
      <c r="G30"/>
      <c r="H30"/>
      <c r="I30"/>
    </row>
    <row r="31" spans="1:9" ht="12.75" hidden="1" customHeight="1" x14ac:dyDescent="0.3">
      <c r="A31"/>
      <c r="B31"/>
      <c r="C31"/>
      <c r="D31" s="26"/>
      <c r="E31"/>
      <c r="F31"/>
      <c r="G31"/>
      <c r="H31"/>
      <c r="I31"/>
    </row>
    <row r="32" spans="1:9" ht="12.75" hidden="1" customHeight="1" x14ac:dyDescent="0.3">
      <c r="A32"/>
      <c r="B32"/>
      <c r="C32"/>
      <c r="D32" s="26"/>
      <c r="E32"/>
      <c r="F32"/>
      <c r="G32"/>
      <c r="H32"/>
      <c r="I32"/>
    </row>
    <row r="33" spans="1:9" ht="12.75" hidden="1" customHeight="1" x14ac:dyDescent="0.3">
      <c r="A33"/>
      <c r="B33"/>
      <c r="C33"/>
      <c r="D33" s="26"/>
      <c r="E33"/>
      <c r="F33"/>
      <c r="G33"/>
      <c r="H33"/>
      <c r="I33"/>
    </row>
    <row r="34" spans="1:9" ht="12.75" hidden="1" customHeight="1" x14ac:dyDescent="0.3">
      <c r="A34"/>
      <c r="B34"/>
      <c r="C34"/>
      <c r="D34" s="26"/>
      <c r="E34"/>
      <c r="F34"/>
      <c r="G34"/>
      <c r="H34"/>
      <c r="I34"/>
    </row>
    <row r="35" spans="1:9" ht="12.75" hidden="1" customHeight="1" x14ac:dyDescent="0.3">
      <c r="A35"/>
      <c r="B35"/>
      <c r="C35"/>
      <c r="D35" s="26"/>
      <c r="E35"/>
      <c r="F35"/>
      <c r="G35"/>
      <c r="H35"/>
      <c r="I35"/>
    </row>
    <row r="36" spans="1:9" ht="12.75" hidden="1" customHeight="1" x14ac:dyDescent="0.3">
      <c r="A36"/>
      <c r="B36"/>
      <c r="C36"/>
      <c r="D36" s="26"/>
      <c r="E36"/>
      <c r="F36"/>
      <c r="G36"/>
      <c r="H36"/>
      <c r="I36"/>
    </row>
    <row r="37" spans="1:9" ht="12.75" hidden="1" customHeight="1" x14ac:dyDescent="0.3">
      <c r="A37"/>
      <c r="B37"/>
      <c r="C37"/>
      <c r="D37" s="26"/>
      <c r="E37"/>
      <c r="F37"/>
      <c r="G37"/>
      <c r="H37"/>
      <c r="I37"/>
    </row>
    <row r="38" spans="1:9" ht="12.75" hidden="1" customHeight="1" x14ac:dyDescent="0.3">
      <c r="A38"/>
      <c r="B38"/>
      <c r="C38"/>
      <c r="D38" s="26"/>
      <c r="E38"/>
      <c r="F38"/>
      <c r="G38"/>
      <c r="H38"/>
      <c r="I38"/>
    </row>
    <row r="39" spans="1:9" ht="12.75" hidden="1" customHeight="1" x14ac:dyDescent="0.3">
      <c r="A39"/>
      <c r="B39"/>
      <c r="C39"/>
      <c r="D39" s="26"/>
      <c r="E39"/>
      <c r="F39"/>
      <c r="G39"/>
      <c r="H39"/>
      <c r="I39"/>
    </row>
    <row r="40" spans="1:9" ht="12.75" hidden="1" customHeight="1" x14ac:dyDescent="0.3">
      <c r="A40"/>
      <c r="B40"/>
      <c r="C40"/>
      <c r="D40" s="26"/>
      <c r="E40"/>
      <c r="F40"/>
      <c r="G40"/>
      <c r="H40"/>
      <c r="I40"/>
    </row>
    <row r="41" spans="1:9" ht="12.75" hidden="1" customHeight="1" x14ac:dyDescent="0.3">
      <c r="A41"/>
      <c r="B41"/>
      <c r="C41"/>
      <c r="D41" s="26"/>
      <c r="E41"/>
      <c r="F41"/>
      <c r="G41"/>
      <c r="H41"/>
      <c r="I41"/>
    </row>
    <row r="42" spans="1:9" ht="12.75" hidden="1" customHeight="1" x14ac:dyDescent="0.3">
      <c r="A42"/>
      <c r="B42"/>
      <c r="C42"/>
      <c r="D42" s="26"/>
      <c r="E42"/>
      <c r="F42"/>
      <c r="G42"/>
      <c r="H42"/>
      <c r="I42"/>
    </row>
    <row r="43" spans="1:9" ht="12.75" hidden="1" customHeight="1" x14ac:dyDescent="0.3">
      <c r="A43"/>
      <c r="B43"/>
      <c r="C43"/>
      <c r="D43" s="26"/>
      <c r="E43"/>
      <c r="F43"/>
      <c r="G43"/>
      <c r="H43"/>
      <c r="I43"/>
    </row>
    <row r="44" spans="1:9" ht="12.75" hidden="1" customHeight="1" x14ac:dyDescent="0.3">
      <c r="A44"/>
      <c r="B44"/>
      <c r="C44"/>
      <c r="D44" s="26"/>
      <c r="E44"/>
      <c r="F44"/>
      <c r="G44"/>
      <c r="H44"/>
      <c r="I44"/>
    </row>
    <row r="45" spans="1:9" ht="12.75" hidden="1" customHeight="1" x14ac:dyDescent="0.3">
      <c r="A45"/>
      <c r="B45"/>
      <c r="C45"/>
      <c r="D45" s="26"/>
      <c r="E45"/>
      <c r="F45"/>
      <c r="G45"/>
      <c r="H45"/>
      <c r="I45"/>
    </row>
    <row r="46" spans="1:9" ht="12.75" hidden="1" customHeight="1" x14ac:dyDescent="0.3">
      <c r="A46"/>
      <c r="B46"/>
      <c r="C46"/>
      <c r="D46" s="26"/>
      <c r="E46"/>
      <c r="F46"/>
      <c r="G46"/>
      <c r="H46"/>
      <c r="I46"/>
    </row>
    <row r="47" spans="1:9" ht="12.75" hidden="1" customHeight="1" x14ac:dyDescent="0.3">
      <c r="A47"/>
      <c r="B47"/>
      <c r="C47"/>
      <c r="D47" s="26"/>
      <c r="E47"/>
      <c r="F47"/>
      <c r="G47"/>
      <c r="H47"/>
      <c r="I47"/>
    </row>
    <row r="48" spans="1:9" ht="12.75" hidden="1" customHeight="1" x14ac:dyDescent="0.3">
      <c r="A48"/>
      <c r="B48"/>
      <c r="C48"/>
      <c r="D48" s="26"/>
      <c r="E48"/>
      <c r="F48"/>
      <c r="G48"/>
      <c r="H48"/>
      <c r="I48"/>
    </row>
    <row r="49" spans="1:9" ht="12.75" hidden="1" customHeight="1" x14ac:dyDescent="0.3">
      <c r="A49"/>
      <c r="B49"/>
      <c r="C49"/>
      <c r="D49" s="26"/>
      <c r="E49"/>
      <c r="F49"/>
      <c r="G49"/>
      <c r="H49"/>
      <c r="I49"/>
    </row>
    <row r="50" spans="1:9" ht="12.75" hidden="1" customHeight="1" x14ac:dyDescent="0.3">
      <c r="A50"/>
      <c r="B50"/>
      <c r="C50"/>
      <c r="D50" s="26"/>
      <c r="E50"/>
      <c r="F50"/>
      <c r="G50"/>
      <c r="H50"/>
      <c r="I50"/>
    </row>
    <row r="51" spans="1:9" ht="12.75" hidden="1" customHeight="1" x14ac:dyDescent="0.3">
      <c r="D51" s="28"/>
    </row>
    <row r="52" spans="1:9" ht="12.75" hidden="1" customHeight="1" x14ac:dyDescent="0.3">
      <c r="D52" s="28"/>
    </row>
    <row r="53" spans="1:9" ht="12.75" hidden="1" customHeight="1" x14ac:dyDescent="0.3">
      <c r="D53" s="28"/>
    </row>
    <row r="54" spans="1:9" ht="12.75" hidden="1" customHeight="1" x14ac:dyDescent="0.3">
      <c r="D54" s="28"/>
    </row>
    <row r="55" spans="1:9" ht="12.75" hidden="1" customHeight="1" x14ac:dyDescent="0.3">
      <c r="D55" s="28"/>
    </row>
    <row r="56" spans="1:9" ht="12.75" hidden="1" customHeight="1" x14ac:dyDescent="0.3">
      <c r="D56" s="28"/>
    </row>
    <row r="57" spans="1:9" ht="12.75" hidden="1" customHeight="1" x14ac:dyDescent="0.3">
      <c r="D57" s="28"/>
    </row>
    <row r="58" spans="1:9" ht="12.75" hidden="1" customHeight="1" x14ac:dyDescent="0.3">
      <c r="D58" s="28"/>
    </row>
    <row r="59" spans="1:9" ht="12.75" hidden="1" customHeight="1" x14ac:dyDescent="0.3">
      <c r="D59" s="28"/>
    </row>
    <row r="60" spans="1:9" ht="12.75" hidden="1" customHeight="1" x14ac:dyDescent="0.3">
      <c r="D60" s="28"/>
    </row>
    <row r="61" spans="1:9" ht="12.75" hidden="1" customHeight="1" x14ac:dyDescent="0.3">
      <c r="D61" s="28"/>
    </row>
    <row r="62" spans="1:9" ht="12.75" hidden="1" customHeight="1" x14ac:dyDescent="0.3">
      <c r="D62" s="28"/>
    </row>
    <row r="63" spans="1:9" ht="12.75" hidden="1" customHeight="1" x14ac:dyDescent="0.3">
      <c r="D63" s="28"/>
    </row>
    <row r="64" spans="1:9" ht="12.75" hidden="1" customHeight="1" x14ac:dyDescent="0.3">
      <c r="D64" s="28"/>
    </row>
    <row r="65" spans="4:4" ht="12.75" hidden="1" customHeight="1" x14ac:dyDescent="0.3">
      <c r="D65" s="28"/>
    </row>
    <row r="66" spans="4:4" ht="12.75" hidden="1" customHeight="1" x14ac:dyDescent="0.3">
      <c r="D66" s="28"/>
    </row>
    <row r="67" spans="4:4" ht="12.75" hidden="1" customHeight="1" x14ac:dyDescent="0.3">
      <c r="D67" s="28"/>
    </row>
    <row r="68" spans="4:4" ht="12.75" hidden="1" customHeight="1" x14ac:dyDescent="0.3">
      <c r="D68" s="28"/>
    </row>
    <row r="69" spans="4:4" ht="12.75" hidden="1" customHeight="1" x14ac:dyDescent="0.3">
      <c r="D69" s="28"/>
    </row>
    <row r="70" spans="4:4" ht="12.75" hidden="1" customHeight="1" x14ac:dyDescent="0.3">
      <c r="D70" s="28"/>
    </row>
    <row r="71" spans="4:4" ht="12.75" hidden="1" customHeight="1" x14ac:dyDescent="0.3">
      <c r="D71" s="28"/>
    </row>
    <row r="72" spans="4:4" ht="12.75" hidden="1" customHeight="1" x14ac:dyDescent="0.3">
      <c r="D72" s="28"/>
    </row>
    <row r="73" spans="4:4" ht="12.75" hidden="1" customHeight="1" x14ac:dyDescent="0.3">
      <c r="D73" s="28"/>
    </row>
    <row r="74" spans="4:4" ht="12.75" hidden="1" customHeight="1" x14ac:dyDescent="0.3">
      <c r="D74" s="28"/>
    </row>
    <row r="75" spans="4:4" ht="12.75" hidden="1" customHeight="1" x14ac:dyDescent="0.3">
      <c r="D75" s="28"/>
    </row>
    <row r="76" spans="4:4" ht="12.75" hidden="1" customHeight="1" x14ac:dyDescent="0.3">
      <c r="D76" s="28"/>
    </row>
    <row r="77" spans="4:4" ht="12.75" hidden="1" customHeight="1" x14ac:dyDescent="0.3">
      <c r="D77" s="28"/>
    </row>
    <row r="78" spans="4:4" ht="12.75" hidden="1" customHeight="1" x14ac:dyDescent="0.3">
      <c r="D78" s="28"/>
    </row>
    <row r="79" spans="4:4" ht="12.75" hidden="1" customHeight="1" x14ac:dyDescent="0.3">
      <c r="D79" s="28"/>
    </row>
    <row r="80" spans="4:4" ht="12.75" hidden="1" customHeight="1" x14ac:dyDescent="0.3">
      <c r="D80" s="28"/>
    </row>
    <row r="81" spans="4:4" ht="12.75" hidden="1" customHeight="1" x14ac:dyDescent="0.3">
      <c r="D81" s="28"/>
    </row>
    <row r="82" spans="4:4" ht="12.75" hidden="1" customHeight="1" x14ac:dyDescent="0.3">
      <c r="D82" s="28"/>
    </row>
    <row r="83" spans="4:4" ht="12.75" hidden="1" customHeight="1" x14ac:dyDescent="0.3">
      <c r="D83" s="28"/>
    </row>
    <row r="84" spans="4:4" ht="12.75" hidden="1" customHeight="1" x14ac:dyDescent="0.3">
      <c r="D84" s="28"/>
    </row>
    <row r="85" spans="4:4" ht="12.75" hidden="1" customHeight="1" x14ac:dyDescent="0.3">
      <c r="D85" s="28"/>
    </row>
    <row r="86" spans="4:4" ht="12.75" hidden="1" customHeight="1" x14ac:dyDescent="0.3">
      <c r="D86" s="28"/>
    </row>
    <row r="87" spans="4:4" ht="12.75" hidden="1" customHeight="1" x14ac:dyDescent="0.3">
      <c r="D87" s="28"/>
    </row>
    <row r="88" spans="4:4" ht="12.75" hidden="1" customHeight="1" x14ac:dyDescent="0.3">
      <c r="D88" s="28"/>
    </row>
    <row r="89" spans="4:4" ht="12.75" hidden="1" customHeight="1" x14ac:dyDescent="0.3">
      <c r="D89" s="28"/>
    </row>
    <row r="90" spans="4:4" ht="12.75" hidden="1" customHeight="1" x14ac:dyDescent="0.3">
      <c r="D90" s="28"/>
    </row>
    <row r="91" spans="4:4" ht="12.75" hidden="1" customHeight="1" x14ac:dyDescent="0.3">
      <c r="D91" s="28"/>
    </row>
    <row r="92" spans="4:4" ht="12.75" hidden="1" customHeight="1" x14ac:dyDescent="0.3">
      <c r="D92" s="28"/>
    </row>
    <row r="93" spans="4:4" ht="12.75" hidden="1" customHeight="1" x14ac:dyDescent="0.3">
      <c r="D93" s="28"/>
    </row>
    <row r="94" spans="4:4" ht="12.75" hidden="1" customHeight="1" x14ac:dyDescent="0.3">
      <c r="D94" s="28"/>
    </row>
    <row r="95" spans="4:4" ht="12.75" hidden="1" customHeight="1" x14ac:dyDescent="0.3">
      <c r="D95" s="28"/>
    </row>
    <row r="96" spans="4:4" ht="12.75" hidden="1" customHeight="1" x14ac:dyDescent="0.3">
      <c r="D96" s="28"/>
    </row>
    <row r="97" spans="4:4" ht="12.75" hidden="1" customHeight="1" x14ac:dyDescent="0.3">
      <c r="D97" s="28"/>
    </row>
    <row r="98" spans="4:4" ht="12.75" hidden="1" customHeight="1" x14ac:dyDescent="0.3">
      <c r="D98" s="28"/>
    </row>
    <row r="99" spans="4:4" ht="12.75" hidden="1" customHeight="1" x14ac:dyDescent="0.3">
      <c r="D99" s="28"/>
    </row>
    <row r="100" spans="4:4" ht="12.75" hidden="1" customHeight="1" x14ac:dyDescent="0.3">
      <c r="D100" s="28"/>
    </row>
    <row r="101" spans="4:4" ht="12.75" hidden="1" customHeight="1" x14ac:dyDescent="0.3">
      <c r="D101" s="28"/>
    </row>
    <row r="102" spans="4:4" ht="12.75" hidden="1" customHeight="1" x14ac:dyDescent="0.3">
      <c r="D102" s="28"/>
    </row>
    <row r="103" spans="4:4" ht="12.75" hidden="1" customHeight="1" x14ac:dyDescent="0.3">
      <c r="D103" s="28"/>
    </row>
    <row r="104" spans="4:4" ht="12.75" hidden="1" customHeight="1" x14ac:dyDescent="0.3">
      <c r="D104" s="28"/>
    </row>
    <row r="105" spans="4:4" ht="12.75" hidden="1" customHeight="1" x14ac:dyDescent="0.3">
      <c r="D105" s="28"/>
    </row>
    <row r="106" spans="4:4" ht="12.75" hidden="1" customHeight="1" x14ac:dyDescent="0.3">
      <c r="D106" s="28"/>
    </row>
    <row r="107" spans="4:4" ht="12.75" hidden="1" customHeight="1" x14ac:dyDescent="0.3">
      <c r="D107" s="28"/>
    </row>
    <row r="108" spans="4:4" ht="12.75" hidden="1" customHeight="1" x14ac:dyDescent="0.3">
      <c r="D108" s="28"/>
    </row>
    <row r="109" spans="4:4" ht="12.75" hidden="1" customHeight="1" x14ac:dyDescent="0.3">
      <c r="D109" s="28"/>
    </row>
    <row r="110" spans="4:4" ht="12.75" hidden="1" customHeight="1" x14ac:dyDescent="0.3">
      <c r="D110" s="28"/>
    </row>
    <row r="111" spans="4:4" ht="12.75" hidden="1" customHeight="1" x14ac:dyDescent="0.3">
      <c r="D111" s="28"/>
    </row>
    <row r="112" spans="4:4" ht="12.75" hidden="1" customHeight="1" x14ac:dyDescent="0.3">
      <c r="D112" s="28"/>
    </row>
    <row r="113" spans="4:4" ht="12.75" hidden="1" customHeight="1" x14ac:dyDescent="0.3">
      <c r="D113" s="28"/>
    </row>
    <row r="114" spans="4:4" ht="12.75" hidden="1" customHeight="1" x14ac:dyDescent="0.3">
      <c r="D114" s="28"/>
    </row>
    <row r="115" spans="4:4" ht="12.75" hidden="1" customHeight="1" x14ac:dyDescent="0.3">
      <c r="D115" s="28"/>
    </row>
    <row r="116" spans="4:4" ht="12.75" hidden="1" customHeight="1" x14ac:dyDescent="0.3">
      <c r="D116" s="28"/>
    </row>
    <row r="117" spans="4:4" ht="12.75" hidden="1" customHeight="1" x14ac:dyDescent="0.3">
      <c r="D117" s="28"/>
    </row>
    <row r="118" spans="4:4" ht="12.75" hidden="1" customHeight="1" x14ac:dyDescent="0.3">
      <c r="D118" s="28"/>
    </row>
    <row r="119" spans="4:4" ht="12.75" hidden="1" customHeight="1" x14ac:dyDescent="0.3">
      <c r="D119" s="28"/>
    </row>
    <row r="120" spans="4:4" ht="12.75" hidden="1" customHeight="1" x14ac:dyDescent="0.3">
      <c r="D120" s="28"/>
    </row>
    <row r="121" spans="4:4" ht="12.75" hidden="1" customHeight="1" x14ac:dyDescent="0.3">
      <c r="D121" s="28"/>
    </row>
    <row r="122" spans="4:4" ht="12.75" hidden="1" customHeight="1" x14ac:dyDescent="0.3">
      <c r="D122" s="28"/>
    </row>
    <row r="123" spans="4:4" ht="12.75" hidden="1" customHeight="1" x14ac:dyDescent="0.3">
      <c r="D123" s="28"/>
    </row>
    <row r="124" spans="4:4" ht="12.75" hidden="1" customHeight="1" x14ac:dyDescent="0.3">
      <c r="D124" s="28"/>
    </row>
    <row r="125" spans="4:4" ht="12.75" hidden="1" customHeight="1" x14ac:dyDescent="0.3">
      <c r="D125" s="28"/>
    </row>
    <row r="126" spans="4:4" ht="12.75" hidden="1" customHeight="1" x14ac:dyDescent="0.3">
      <c r="D126" s="28"/>
    </row>
    <row r="127" spans="4:4" ht="12.75" hidden="1" customHeight="1" x14ac:dyDescent="0.3">
      <c r="D127" s="28"/>
    </row>
    <row r="128" spans="4:4" ht="12.75" hidden="1" customHeight="1" x14ac:dyDescent="0.3">
      <c r="D128" s="28"/>
    </row>
    <row r="129" spans="4:4" ht="12.75" hidden="1" customHeight="1" x14ac:dyDescent="0.3">
      <c r="D129" s="28"/>
    </row>
    <row r="130" spans="4:4" ht="12.75" hidden="1" customHeight="1" x14ac:dyDescent="0.3">
      <c r="D130" s="28"/>
    </row>
    <row r="131" spans="4:4" ht="12.75" hidden="1" customHeight="1" x14ac:dyDescent="0.3">
      <c r="D131" s="28"/>
    </row>
    <row r="132" spans="4:4" ht="12.75" hidden="1" customHeight="1" x14ac:dyDescent="0.3">
      <c r="D132" s="28"/>
    </row>
    <row r="133" spans="4:4" ht="12.75" hidden="1" customHeight="1" x14ac:dyDescent="0.3">
      <c r="D133" s="28"/>
    </row>
    <row r="134" spans="4:4" ht="12.75" hidden="1" customHeight="1" x14ac:dyDescent="0.3">
      <c r="D134" s="28"/>
    </row>
    <row r="135" spans="4:4" ht="12.75" hidden="1" customHeight="1" x14ac:dyDescent="0.3">
      <c r="D135" s="28"/>
    </row>
    <row r="136" spans="4:4" ht="12.75" hidden="1" customHeight="1" x14ac:dyDescent="0.3">
      <c r="D136" s="28"/>
    </row>
    <row r="137" spans="4:4" ht="12.75" hidden="1" customHeight="1" x14ac:dyDescent="0.3">
      <c r="D137" s="28"/>
    </row>
    <row r="138" spans="4:4" ht="12.75" hidden="1" customHeight="1" x14ac:dyDescent="0.3">
      <c r="D138" s="28"/>
    </row>
    <row r="139" spans="4:4" ht="12.75" hidden="1" customHeight="1" x14ac:dyDescent="0.3">
      <c r="D139" s="28"/>
    </row>
    <row r="140" spans="4:4" ht="12.75" hidden="1" customHeight="1" x14ac:dyDescent="0.3">
      <c r="D140" s="28"/>
    </row>
    <row r="141" spans="4:4" ht="12.75" hidden="1" customHeight="1" x14ac:dyDescent="0.3">
      <c r="D141" s="28"/>
    </row>
    <row r="142" spans="4:4" ht="12.75" hidden="1" customHeight="1" x14ac:dyDescent="0.3">
      <c r="D142" s="28"/>
    </row>
    <row r="143" spans="4:4" ht="12.75" hidden="1" customHeight="1" x14ac:dyDescent="0.3">
      <c r="D143" s="28"/>
    </row>
    <row r="144" spans="4:4" ht="12.75" hidden="1" customHeight="1" x14ac:dyDescent="0.3">
      <c r="D144" s="28"/>
    </row>
    <row r="145" spans="4:4" ht="12.75" hidden="1" customHeight="1" x14ac:dyDescent="0.3">
      <c r="D145" s="28"/>
    </row>
    <row r="146" spans="4:4" ht="12.75" hidden="1" customHeight="1" x14ac:dyDescent="0.3">
      <c r="D146" s="28"/>
    </row>
    <row r="147" spans="4:4" ht="12.75" hidden="1" customHeight="1" x14ac:dyDescent="0.3">
      <c r="D147" s="28"/>
    </row>
    <row r="148" spans="4:4" ht="12.75" hidden="1" customHeight="1" x14ac:dyDescent="0.3">
      <c r="D148" s="28"/>
    </row>
    <row r="149" spans="4:4" ht="12.75" hidden="1" customHeight="1" x14ac:dyDescent="0.3">
      <c r="D149" s="28"/>
    </row>
    <row r="150" spans="4:4" ht="12.75" hidden="1" customHeight="1" x14ac:dyDescent="0.3">
      <c r="D150" s="28"/>
    </row>
  </sheetData>
  <mergeCells count="1">
    <mergeCell ref="B1:H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5" r:id="rId4" name="CommandButton5">
          <controlPr defaultSize="0" autoLine="0" autoPict="0" r:id="rId5">
            <anchor moveWithCells="1">
              <from>
                <xdr:col>4</xdr:col>
                <xdr:colOff>1390650</xdr:colOff>
                <xdr:row>3</xdr:row>
                <xdr:rowOff>523875</xdr:rowOff>
              </from>
              <to>
                <xdr:col>7</xdr:col>
                <xdr:colOff>200025</xdr:colOff>
                <xdr:row>4</xdr:row>
                <xdr:rowOff>342900</xdr:rowOff>
              </to>
            </anchor>
          </controlPr>
        </control>
      </mc:Choice>
      <mc:Fallback>
        <control shapeId="5125" r:id="rId4" name="CommandButton5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0</xdr:col>
                <xdr:colOff>542925</xdr:colOff>
                <xdr:row>1</xdr:row>
                <xdr:rowOff>561975</xdr:rowOff>
              </from>
              <to>
                <xdr:col>2</xdr:col>
                <xdr:colOff>123825</xdr:colOff>
                <xdr:row>2</xdr:row>
                <xdr:rowOff>552450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2" r:id="rId8" name="CommandButton2">
          <controlPr defaultSize="0" autoLine="0" autoPict="0" r:id="rId9">
            <anchor moveWithCells="1">
              <from>
                <xdr:col>0</xdr:col>
                <xdr:colOff>581025</xdr:colOff>
                <xdr:row>3</xdr:row>
                <xdr:rowOff>95250</xdr:rowOff>
              </from>
              <to>
                <xdr:col>2</xdr:col>
                <xdr:colOff>133350</xdr:colOff>
                <xdr:row>3</xdr:row>
                <xdr:rowOff>676275</xdr:rowOff>
              </to>
            </anchor>
          </controlPr>
        </control>
      </mc:Choice>
      <mc:Fallback>
        <control shapeId="5122" r:id="rId8" name="CommandButton2"/>
      </mc:Fallback>
    </mc:AlternateContent>
    <mc:AlternateContent xmlns:mc="http://schemas.openxmlformats.org/markup-compatibility/2006">
      <mc:Choice Requires="x14">
        <control shapeId="5123" r:id="rId10" name="CommandButton3">
          <controlPr defaultSize="0" autoLine="0" autoPict="0" r:id="rId11">
            <anchor moveWithCells="1">
              <from>
                <xdr:col>0</xdr:col>
                <xdr:colOff>581025</xdr:colOff>
                <xdr:row>4</xdr:row>
                <xdr:rowOff>171450</xdr:rowOff>
              </from>
              <to>
                <xdr:col>2</xdr:col>
                <xdr:colOff>171450</xdr:colOff>
                <xdr:row>4</xdr:row>
                <xdr:rowOff>771525</xdr:rowOff>
              </to>
            </anchor>
          </controlPr>
        </control>
      </mc:Choice>
      <mc:Fallback>
        <control shapeId="5123" r:id="rId10" name="CommandButton3"/>
      </mc:Fallback>
    </mc:AlternateContent>
    <mc:AlternateContent xmlns:mc="http://schemas.openxmlformats.org/markup-compatibility/2006">
      <mc:Choice Requires="x14">
        <control shapeId="5124" r:id="rId12" name="CommandButton4">
          <controlPr defaultSize="0" autoLine="0" autoPict="0" r:id="rId13">
            <anchor moveWithCells="1">
              <from>
                <xdr:col>4</xdr:col>
                <xdr:colOff>1390650</xdr:colOff>
                <xdr:row>1</xdr:row>
                <xdr:rowOff>619125</xdr:rowOff>
              </from>
              <to>
                <xdr:col>7</xdr:col>
                <xdr:colOff>171450</xdr:colOff>
                <xdr:row>2</xdr:row>
                <xdr:rowOff>628650</xdr:rowOff>
              </to>
            </anchor>
          </controlPr>
        </control>
      </mc:Choice>
      <mc:Fallback>
        <control shapeId="5124" r:id="rId12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OverView"/>
  <dimension ref="A1:T1122"/>
  <sheetViews>
    <sheetView showGridLines="0" workbookViewId="0">
      <selection activeCell="A4" sqref="A4:A9"/>
    </sheetView>
  </sheetViews>
  <sheetFormatPr defaultColWidth="0" defaultRowHeight="15" zeroHeight="1" x14ac:dyDescent="0.25"/>
  <cols>
    <col min="1" max="1" width="15.140625" style="85" customWidth="1"/>
    <col min="2" max="2" width="12.28515625" style="85" customWidth="1"/>
    <col min="3" max="3" width="21.85546875" style="85" customWidth="1"/>
    <col min="4" max="4" width="11.42578125" style="85" customWidth="1"/>
    <col min="5" max="5" width="11.5703125" style="85" customWidth="1"/>
    <col min="6" max="6" width="12.5703125" style="98" customWidth="1"/>
    <col min="7" max="7" width="12.7109375" style="85" customWidth="1"/>
    <col min="8" max="8" width="37.28515625" style="85" customWidth="1"/>
    <col min="9" max="9" width="26" style="85" customWidth="1"/>
    <col min="10" max="10" width="14.7109375" hidden="1" customWidth="1"/>
    <col min="11" max="12" width="9.140625" hidden="1" customWidth="1"/>
    <col min="13" max="13" width="0" style="5" hidden="1" customWidth="1"/>
    <col min="14" max="14" width="17.140625" hidden="1" customWidth="1"/>
    <col min="15" max="20" width="9.140625" style="37" hidden="1" customWidth="1"/>
    <col min="21" max="16384" width="9.140625" hidden="1"/>
  </cols>
  <sheetData>
    <row r="1" spans="1:20" s="1" customFormat="1" ht="52.15" customHeight="1" x14ac:dyDescent="0.25">
      <c r="A1" s="47"/>
      <c r="B1" s="132" t="s">
        <v>115</v>
      </c>
      <c r="C1" s="132"/>
      <c r="D1" s="132"/>
      <c r="E1" s="132"/>
      <c r="F1" s="132"/>
      <c r="G1" s="132"/>
      <c r="H1" s="132"/>
      <c r="I1" s="132"/>
      <c r="J1" s="38"/>
      <c r="K1" s="38"/>
      <c r="L1" s="38"/>
      <c r="M1" s="38"/>
      <c r="N1" s="39"/>
      <c r="O1" s="37" t="str">
        <f>IF(O4-N4&gt;0,"YES",(IF(OR(EXACT(O4,""), EXACT(N4,"")),"","NO")))</f>
        <v/>
      </c>
      <c r="P1" s="37"/>
      <c r="Q1" s="37"/>
      <c r="R1" s="37"/>
      <c r="S1" s="37"/>
      <c r="T1" s="37"/>
    </row>
    <row r="2" spans="1:20" s="6" customFormat="1" ht="55.15" customHeight="1" x14ac:dyDescent="0.25">
      <c r="A2" s="44"/>
      <c r="B2" s="133"/>
      <c r="C2" s="133"/>
      <c r="D2" s="133"/>
      <c r="E2" s="133"/>
      <c r="F2" s="133"/>
      <c r="G2" s="133"/>
      <c r="H2" s="133"/>
      <c r="I2" s="133"/>
      <c r="J2" s="40"/>
      <c r="K2" s="40"/>
      <c r="L2" s="40"/>
      <c r="M2" s="40"/>
      <c r="N2" s="40"/>
      <c r="O2" s="37"/>
      <c r="P2" s="37"/>
      <c r="Q2" s="37"/>
      <c r="R2" s="37"/>
      <c r="S2" s="37"/>
      <c r="T2" s="37"/>
    </row>
    <row r="3" spans="1:20" s="23" customFormat="1" ht="62.25" customHeight="1" x14ac:dyDescent="0.3">
      <c r="A3" s="45" t="s">
        <v>89</v>
      </c>
      <c r="B3" s="45" t="s">
        <v>3</v>
      </c>
      <c r="C3" s="45" t="s">
        <v>0</v>
      </c>
      <c r="D3" s="45" t="s">
        <v>4</v>
      </c>
      <c r="E3" s="97" t="s">
        <v>6</v>
      </c>
      <c r="F3" s="45" t="s">
        <v>91</v>
      </c>
      <c r="G3" s="46" t="s">
        <v>108</v>
      </c>
      <c r="H3" s="45" t="s">
        <v>5</v>
      </c>
      <c r="I3" s="45" t="s">
        <v>110</v>
      </c>
      <c r="J3" s="35" t="s">
        <v>109</v>
      </c>
      <c r="K3" s="35"/>
      <c r="L3" s="35"/>
      <c r="M3" s="36"/>
      <c r="N3" s="36"/>
      <c r="O3" s="37"/>
      <c r="P3" s="37"/>
      <c r="Q3" s="37"/>
      <c r="R3" s="37"/>
      <c r="S3" s="37"/>
      <c r="T3" s="37"/>
    </row>
    <row r="4" spans="1:20" ht="14.45" x14ac:dyDescent="0.3">
      <c r="A4" s="85">
        <v>4178302059</v>
      </c>
      <c r="B4" s="85" t="str">
        <f>IFERROR(VLOOKUP(A4,Lookup!A:B,2,0),"")</f>
        <v/>
      </c>
      <c r="C4" s="85" t="str">
        <f>IFERROR(VLOOKUP(A4,Lookup!A:C,3,0),"")</f>
        <v/>
      </c>
      <c r="D4" s="85" t="s">
        <v>129</v>
      </c>
      <c r="E4" s="85" t="s">
        <v>131</v>
      </c>
      <c r="F4" s="98" t="s">
        <v>130</v>
      </c>
      <c r="G4" s="85" t="s">
        <v>128</v>
      </c>
      <c r="H4" s="85" t="s">
        <v>132</v>
      </c>
      <c r="I4" s="85" t="s">
        <v>98</v>
      </c>
      <c r="J4" s="84">
        <f t="shared" ref="J4:J35" si="0">IF(H4="SET",1,IF(H4="FREQ",3,IF(H4="",4,2)))</f>
        <v>2</v>
      </c>
      <c r="M4" s="5" t="str">
        <f>IFERROR(VLOOKUP(A4&amp;G4,Lookup!J:K,2,0),"")</f>
        <v/>
      </c>
    </row>
    <row r="5" spans="1:20" ht="14.45" x14ac:dyDescent="0.3">
      <c r="A5" s="85" t="s">
        <v>134</v>
      </c>
      <c r="B5" s="85" t="str">
        <f>IFERROR(VLOOKUP(A5,Lookup!A:B,2,0),"")</f>
        <v/>
      </c>
      <c r="C5" s="85" t="str">
        <f>IFERROR(VLOOKUP(A5,Lookup!A:C,3,0),"")</f>
        <v/>
      </c>
      <c r="D5" s="85" t="s">
        <v>137</v>
      </c>
      <c r="E5" s="85" t="s">
        <v>135</v>
      </c>
      <c r="F5" s="98">
        <v>20543400</v>
      </c>
      <c r="G5" s="85">
        <v>30</v>
      </c>
      <c r="H5" s="85" t="s">
        <v>136</v>
      </c>
      <c r="I5" s="85" t="s">
        <v>99</v>
      </c>
      <c r="J5" s="84">
        <f t="shared" si="0"/>
        <v>2</v>
      </c>
      <c r="M5" s="5" t="str">
        <f>IFERROR(VLOOKUP(A5&amp;G5,Lookup!J:K,2,0),"")</f>
        <v/>
      </c>
    </row>
    <row r="6" spans="1:20" ht="14.45" x14ac:dyDescent="0.3">
      <c r="A6" s="85" t="s">
        <v>39</v>
      </c>
      <c r="B6" s="85" t="str">
        <f>IFERROR(VLOOKUP(A6,Lookup!A:B,2,0),"")</f>
        <v>EH811</v>
      </c>
      <c r="C6" s="85" t="str">
        <f>IFERROR(VLOOKUP(A6,Lookup!A:C,3,0),"")</f>
        <v>IMF</v>
      </c>
      <c r="D6" s="85" t="s">
        <v>143</v>
      </c>
      <c r="E6" s="85" t="s">
        <v>135</v>
      </c>
      <c r="F6" s="98">
        <v>20523756</v>
      </c>
      <c r="G6" s="85">
        <v>40</v>
      </c>
      <c r="H6" s="85" t="s">
        <v>142</v>
      </c>
      <c r="I6" s="85" t="s">
        <v>100</v>
      </c>
      <c r="J6" s="84">
        <f t="shared" si="0"/>
        <v>2</v>
      </c>
      <c r="M6" s="5" t="str">
        <f>IFERROR(VLOOKUP(A6&amp;G6,Lookup!J:K,2,0),"")</f>
        <v/>
      </c>
    </row>
    <row r="7" spans="1:20" ht="14.45" x14ac:dyDescent="0.3">
      <c r="A7" s="85">
        <v>4178306014</v>
      </c>
      <c r="B7" s="85" t="str">
        <f>IFERROR(VLOOKUP(A7,Lookup!A:B,2,0),"")</f>
        <v/>
      </c>
      <c r="C7" s="85" t="str">
        <f>IFERROR(VLOOKUP(A7,Lookup!A:C,3,0),"")</f>
        <v/>
      </c>
      <c r="D7" s="85" t="s">
        <v>139</v>
      </c>
      <c r="E7" s="85" t="s">
        <v>138</v>
      </c>
      <c r="F7" s="98">
        <v>20544116</v>
      </c>
      <c r="G7" s="85">
        <v>716</v>
      </c>
      <c r="I7" s="85" t="s">
        <v>100</v>
      </c>
      <c r="J7" s="84">
        <f t="shared" si="0"/>
        <v>4</v>
      </c>
      <c r="M7" s="5" t="str">
        <f>IFERROR(VLOOKUP(A7&amp;G7,Lookup!J:K,2,0),"")</f>
        <v/>
      </c>
    </row>
    <row r="8" spans="1:20" ht="14.45" x14ac:dyDescent="0.3">
      <c r="A8" s="85" t="s">
        <v>144</v>
      </c>
      <c r="B8" s="85" t="str">
        <f>IFERROR(VLOOKUP(A8,Lookup!A:B,2,0),"")</f>
        <v/>
      </c>
      <c r="C8" s="85" t="str">
        <f>IFERROR(VLOOKUP(A8,Lookup!A:C,3,0),"")</f>
        <v/>
      </c>
      <c r="D8" s="85" t="s">
        <v>146</v>
      </c>
      <c r="E8" s="85" t="s">
        <v>145</v>
      </c>
      <c r="F8" s="98">
        <v>20544526</v>
      </c>
      <c r="G8" s="85">
        <v>10</v>
      </c>
      <c r="I8" s="85" t="s">
        <v>99</v>
      </c>
      <c r="J8" s="84">
        <f t="shared" si="0"/>
        <v>4</v>
      </c>
      <c r="M8" s="5" t="str">
        <f>IFERROR(VLOOKUP(A8&amp;G8,Lookup!J:K,2,0),"")</f>
        <v/>
      </c>
    </row>
    <row r="9" spans="1:20" ht="14.45" x14ac:dyDescent="0.3">
      <c r="A9" s="85" t="s">
        <v>43</v>
      </c>
      <c r="B9" s="85" t="str">
        <f>IFERROR(VLOOKUP(A9,Lookup!A:B,2,0),"")</f>
        <v>EH811</v>
      </c>
      <c r="C9" s="85" t="str">
        <f>IFERROR(VLOOKUP(A9,Lookup!A:C,3,0),"")</f>
        <v>Ring Wheel 42Crm stg2</v>
      </c>
      <c r="D9" s="85" t="s">
        <v>148</v>
      </c>
      <c r="E9" s="85" t="s">
        <v>147</v>
      </c>
      <c r="F9" s="98">
        <v>20543416</v>
      </c>
      <c r="G9" s="85">
        <v>40</v>
      </c>
      <c r="I9" s="85" t="s">
        <v>99</v>
      </c>
      <c r="J9" s="84">
        <f t="shared" si="0"/>
        <v>4</v>
      </c>
      <c r="M9" s="5" t="str">
        <f>IFERROR(VLOOKUP(A9&amp;G9,Lookup!J:K,2,0),"")</f>
        <v/>
      </c>
    </row>
    <row r="10" spans="1:20" ht="14.45" x14ac:dyDescent="0.3">
      <c r="B10" s="85" t="str">
        <f>IFERROR(VLOOKUP(A10,Lookup!A:B,2,0),"")</f>
        <v/>
      </c>
      <c r="C10" s="85" t="str">
        <f>IFERROR(VLOOKUP(A10,Lookup!A:C,3,0),"")</f>
        <v/>
      </c>
      <c r="J10" s="84">
        <f t="shared" si="0"/>
        <v>4</v>
      </c>
      <c r="M10" s="5">
        <f>IFERROR(VLOOKUP(A10&amp;G10,Lookup!J:K,2,0),"")</f>
        <v>0</v>
      </c>
    </row>
    <row r="11" spans="1:20" ht="14.45" x14ac:dyDescent="0.3">
      <c r="B11" s="85" t="str">
        <f>IFERROR(VLOOKUP(A11,Lookup!A:B,2,0),"")</f>
        <v/>
      </c>
      <c r="C11" s="85" t="str">
        <f>IFERROR(VLOOKUP(A11,Lookup!A:C,3,0),"")</f>
        <v/>
      </c>
      <c r="J11" s="84">
        <f t="shared" si="0"/>
        <v>4</v>
      </c>
      <c r="M11" s="5">
        <f>IFERROR(VLOOKUP(A11&amp;G11,Lookup!J:K,2,0),"")</f>
        <v>0</v>
      </c>
    </row>
    <row r="12" spans="1:20" ht="14.45" x14ac:dyDescent="0.3">
      <c r="B12" s="85" t="str">
        <f>IFERROR(VLOOKUP(A12,Lookup!A:B,2,0),"")</f>
        <v/>
      </c>
      <c r="C12" s="85" t="str">
        <f>IFERROR(VLOOKUP(A12,Lookup!A:C,3,0),"")</f>
        <v/>
      </c>
      <c r="J12" s="84">
        <f t="shared" si="0"/>
        <v>4</v>
      </c>
      <c r="M12" s="5">
        <f>IFERROR(VLOOKUP(A12&amp;G12,Lookup!J:K,2,0),"")</f>
        <v>0</v>
      </c>
    </row>
    <row r="13" spans="1:20" ht="14.45" x14ac:dyDescent="0.3">
      <c r="B13" s="85" t="str">
        <f>IFERROR(VLOOKUP(A13,Lookup!A:B,2,0),"")</f>
        <v/>
      </c>
      <c r="C13" s="85" t="str">
        <f>IFERROR(VLOOKUP(A13,Lookup!A:C,3,0),"")</f>
        <v/>
      </c>
      <c r="J13" s="84">
        <f t="shared" si="0"/>
        <v>4</v>
      </c>
      <c r="M13" s="5">
        <f>IFERROR(VLOOKUP(A13&amp;G13,Lookup!J:K,2,0),"")</f>
        <v>0</v>
      </c>
    </row>
    <row r="14" spans="1:20" ht="14.45" x14ac:dyDescent="0.3">
      <c r="B14" s="85" t="str">
        <f>IFERROR(VLOOKUP(A14,Lookup!A:B,2,0),"")</f>
        <v/>
      </c>
      <c r="C14" s="85" t="str">
        <f>IFERROR(VLOOKUP(A14,Lookup!A:C,3,0),"")</f>
        <v/>
      </c>
      <c r="J14" s="84">
        <f t="shared" si="0"/>
        <v>4</v>
      </c>
      <c r="M14" s="5">
        <f>IFERROR(VLOOKUP(A14&amp;G14,Lookup!J:K,2,0),"")</f>
        <v>0</v>
      </c>
    </row>
    <row r="15" spans="1:20" ht="14.45" x14ac:dyDescent="0.3">
      <c r="B15" s="85" t="str">
        <f>IFERROR(VLOOKUP(A15,Lookup!A:B,2,0),"")</f>
        <v/>
      </c>
      <c r="C15" s="85" t="str">
        <f>IFERROR(VLOOKUP(A15,Lookup!A:C,3,0),"")</f>
        <v/>
      </c>
      <c r="J15" s="84">
        <f t="shared" si="0"/>
        <v>4</v>
      </c>
      <c r="M15" s="5">
        <f>IFERROR(VLOOKUP(A15&amp;G15,Lookup!J:K,2,0),"")</f>
        <v>0</v>
      </c>
    </row>
    <row r="16" spans="1:20" ht="14.45" x14ac:dyDescent="0.3">
      <c r="B16" s="85" t="str">
        <f>IFERROR(VLOOKUP(A16,Lookup!A:B,2,0),"")</f>
        <v/>
      </c>
      <c r="C16" s="85" t="str">
        <f>IFERROR(VLOOKUP(A16,Lookup!A:C,3,0),"")</f>
        <v/>
      </c>
      <c r="J16" s="84">
        <f t="shared" si="0"/>
        <v>4</v>
      </c>
      <c r="M16" s="5">
        <f>IFERROR(VLOOKUP(A16&amp;G16,Lookup!J:K,2,0),"")</f>
        <v>0</v>
      </c>
    </row>
    <row r="17" spans="2:13" x14ac:dyDescent="0.25">
      <c r="B17" s="85" t="str">
        <f>IFERROR(VLOOKUP(A17,Lookup!A:B,2,0),"")</f>
        <v/>
      </c>
      <c r="C17" s="85" t="str">
        <f>IFERROR(VLOOKUP(A17,Lookup!A:C,3,0),"")</f>
        <v/>
      </c>
      <c r="J17" s="84">
        <f t="shared" si="0"/>
        <v>4</v>
      </c>
      <c r="M17" s="5">
        <f>IFERROR(VLOOKUP(A17&amp;G17,Lookup!J:K,2,0),"")</f>
        <v>0</v>
      </c>
    </row>
    <row r="18" spans="2:13" x14ac:dyDescent="0.25">
      <c r="B18" s="85" t="str">
        <f>IFERROR(VLOOKUP(A18,Lookup!A:B,2,0),"")</f>
        <v/>
      </c>
      <c r="C18" s="85" t="str">
        <f>IFERROR(VLOOKUP(A18,Lookup!A:C,3,0),"")</f>
        <v/>
      </c>
      <c r="J18" s="84">
        <f t="shared" si="0"/>
        <v>4</v>
      </c>
      <c r="M18" s="5">
        <f>IFERROR(VLOOKUP(A18&amp;G18,Lookup!J:K,2,0),"")</f>
        <v>0</v>
      </c>
    </row>
    <row r="19" spans="2:13" x14ac:dyDescent="0.25">
      <c r="B19" s="85" t="str">
        <f>IFERROR(VLOOKUP(A19,Lookup!A:B,2,0),"")</f>
        <v/>
      </c>
      <c r="C19" s="85" t="str">
        <f>IFERROR(VLOOKUP(A19,Lookup!A:C,3,0),"")</f>
        <v/>
      </c>
      <c r="J19" s="84">
        <f t="shared" si="0"/>
        <v>4</v>
      </c>
      <c r="M19" s="5">
        <f>IFERROR(VLOOKUP(A19&amp;G19,Lookup!J:K,2,0),"")</f>
        <v>0</v>
      </c>
    </row>
    <row r="20" spans="2:13" x14ac:dyDescent="0.25">
      <c r="B20" s="85" t="str">
        <f>IFERROR(VLOOKUP(A20,Lookup!A:B,2,0),"")</f>
        <v/>
      </c>
      <c r="C20" s="85" t="str">
        <f>IFERROR(VLOOKUP(A20,Lookup!A:C,3,0),"")</f>
        <v/>
      </c>
      <c r="J20" s="84">
        <f t="shared" si="0"/>
        <v>4</v>
      </c>
      <c r="M20" s="5">
        <f>IFERROR(VLOOKUP(A20&amp;G20,Lookup!J:K,2,0),"")</f>
        <v>0</v>
      </c>
    </row>
    <row r="21" spans="2:13" x14ac:dyDescent="0.25">
      <c r="B21" s="85" t="str">
        <f>IFERROR(VLOOKUP(A21,Lookup!A:B,2,0),"")</f>
        <v/>
      </c>
      <c r="C21" s="85" t="str">
        <f>IFERROR(VLOOKUP(A21,Lookup!A:C,3,0),"")</f>
        <v/>
      </c>
      <c r="J21" s="84">
        <f t="shared" si="0"/>
        <v>4</v>
      </c>
      <c r="M21" s="5">
        <f>IFERROR(VLOOKUP(A21&amp;G21,Lookup!J:K,2,0),"")</f>
        <v>0</v>
      </c>
    </row>
    <row r="22" spans="2:13" x14ac:dyDescent="0.25">
      <c r="B22" s="85" t="str">
        <f>IFERROR(VLOOKUP(A22,Lookup!A:B,2,0),"")</f>
        <v/>
      </c>
      <c r="C22" s="85" t="str">
        <f>IFERROR(VLOOKUP(A22,Lookup!A:C,3,0),"")</f>
        <v/>
      </c>
      <c r="J22" s="84">
        <f t="shared" si="0"/>
        <v>4</v>
      </c>
      <c r="M22" s="5">
        <f>IFERROR(VLOOKUP(A22&amp;G22,Lookup!J:K,2,0),"")</f>
        <v>0</v>
      </c>
    </row>
    <row r="23" spans="2:13" x14ac:dyDescent="0.25">
      <c r="B23" s="85" t="str">
        <f>IFERROR(VLOOKUP(A23,Lookup!A:B,2,0),"")</f>
        <v/>
      </c>
      <c r="C23" s="85" t="str">
        <f>IFERROR(VLOOKUP(A23,Lookup!A:C,3,0),"")</f>
        <v/>
      </c>
      <c r="J23" s="84">
        <f t="shared" si="0"/>
        <v>4</v>
      </c>
      <c r="M23" s="5">
        <f>IFERROR(VLOOKUP(A23&amp;G23,Lookup!J:K,2,0),"")</f>
        <v>0</v>
      </c>
    </row>
    <row r="24" spans="2:13" x14ac:dyDescent="0.25">
      <c r="B24" s="85" t="str">
        <f>IFERROR(VLOOKUP(A24,Lookup!A:B,2,0),"")</f>
        <v/>
      </c>
      <c r="C24" s="85" t="str">
        <f>IFERROR(VLOOKUP(A24,Lookup!A:C,3,0),"")</f>
        <v/>
      </c>
      <c r="J24" s="84">
        <f t="shared" si="0"/>
        <v>4</v>
      </c>
      <c r="M24" s="5">
        <f>IFERROR(VLOOKUP(A24&amp;G24,Lookup!J:K,2,0),"")</f>
        <v>0</v>
      </c>
    </row>
    <row r="25" spans="2:13" x14ac:dyDescent="0.25">
      <c r="B25" s="85" t="str">
        <f>IFERROR(VLOOKUP(A25,Lookup!A:B,2,0),"")</f>
        <v/>
      </c>
      <c r="C25" s="85" t="str">
        <f>IFERROR(VLOOKUP(A25,Lookup!A:C,3,0),"")</f>
        <v/>
      </c>
      <c r="J25" s="84">
        <f t="shared" si="0"/>
        <v>4</v>
      </c>
      <c r="M25" s="5">
        <f>IFERROR(VLOOKUP(A25&amp;G25,Lookup!J:K,2,0),"")</f>
        <v>0</v>
      </c>
    </row>
    <row r="26" spans="2:13" x14ac:dyDescent="0.25">
      <c r="B26" s="85" t="str">
        <f>IFERROR(VLOOKUP(A26,Lookup!A:B,2,0),"")</f>
        <v/>
      </c>
      <c r="C26" s="85" t="str">
        <f>IFERROR(VLOOKUP(A26,Lookup!A:C,3,0),"")</f>
        <v/>
      </c>
      <c r="J26" s="84">
        <f t="shared" si="0"/>
        <v>4</v>
      </c>
      <c r="M26" s="5">
        <f>IFERROR(VLOOKUP(A26&amp;G26,Lookup!J:K,2,0),"")</f>
        <v>0</v>
      </c>
    </row>
    <row r="27" spans="2:13" x14ac:dyDescent="0.25">
      <c r="B27" s="85" t="str">
        <f>IFERROR(VLOOKUP(A27,Lookup!A:B,2,0),"")</f>
        <v/>
      </c>
      <c r="C27" s="85" t="str">
        <f>IFERROR(VLOOKUP(A27,Lookup!A:C,3,0),"")</f>
        <v/>
      </c>
      <c r="J27" s="84">
        <f t="shared" si="0"/>
        <v>4</v>
      </c>
      <c r="M27" s="5">
        <f>IFERROR(VLOOKUP(A27&amp;G27,Lookup!J:K,2,0),"")</f>
        <v>0</v>
      </c>
    </row>
    <row r="28" spans="2:13" x14ac:dyDescent="0.25">
      <c r="B28" s="85" t="str">
        <f>IFERROR(VLOOKUP(A28,Lookup!A:B,2,0),"")</f>
        <v/>
      </c>
      <c r="C28" s="85" t="str">
        <f>IFERROR(VLOOKUP(A28,Lookup!A:C,3,0),"")</f>
        <v/>
      </c>
      <c r="J28" s="84">
        <f t="shared" si="0"/>
        <v>4</v>
      </c>
      <c r="M28" s="5">
        <f>IFERROR(VLOOKUP(A28&amp;G28,Lookup!J:K,2,0),"")</f>
        <v>0</v>
      </c>
    </row>
    <row r="29" spans="2:13" x14ac:dyDescent="0.25">
      <c r="B29" s="85" t="str">
        <f>IFERROR(VLOOKUP(A29,Lookup!A:B,2,0),"")</f>
        <v/>
      </c>
      <c r="C29" s="85" t="str">
        <f>IFERROR(VLOOKUP(A29,Lookup!A:C,3,0),"")</f>
        <v/>
      </c>
      <c r="J29" s="84">
        <f t="shared" si="0"/>
        <v>4</v>
      </c>
      <c r="M29" s="5">
        <f>IFERROR(VLOOKUP(A29&amp;G29,Lookup!J:K,2,0),"")</f>
        <v>0</v>
      </c>
    </row>
    <row r="30" spans="2:13" x14ac:dyDescent="0.25">
      <c r="B30" s="85" t="str">
        <f>IFERROR(VLOOKUP(A30,Lookup!A:B,2,0),"")</f>
        <v/>
      </c>
      <c r="C30" s="85" t="str">
        <f>IFERROR(VLOOKUP(A30,Lookup!A:C,3,0),"")</f>
        <v/>
      </c>
      <c r="J30" s="84">
        <f t="shared" si="0"/>
        <v>4</v>
      </c>
      <c r="M30" s="5">
        <f>IFERROR(VLOOKUP(A30&amp;G30,Lookup!J:K,2,0),"")</f>
        <v>0</v>
      </c>
    </row>
    <row r="31" spans="2:13" x14ac:dyDescent="0.25">
      <c r="B31" s="85" t="str">
        <f>IFERROR(VLOOKUP(A31,Lookup!A:B,2,0),"")</f>
        <v/>
      </c>
      <c r="C31" s="85" t="str">
        <f>IFERROR(VLOOKUP(A31,Lookup!A:C,3,0),"")</f>
        <v/>
      </c>
      <c r="J31" s="84">
        <f t="shared" si="0"/>
        <v>4</v>
      </c>
      <c r="M31" s="5">
        <f>IFERROR(VLOOKUP(A31&amp;G31,Lookup!J:K,2,0),"")</f>
        <v>0</v>
      </c>
    </row>
    <row r="32" spans="2:13" x14ac:dyDescent="0.25">
      <c r="B32" s="85" t="str">
        <f>IFERROR(VLOOKUP(A32,Lookup!A:B,2,0),"")</f>
        <v/>
      </c>
      <c r="C32" s="85" t="str">
        <f>IFERROR(VLOOKUP(A32,Lookup!A:C,3,0),"")</f>
        <v/>
      </c>
      <c r="J32" s="84">
        <f t="shared" si="0"/>
        <v>4</v>
      </c>
      <c r="M32" s="5">
        <f>IFERROR(VLOOKUP(A32&amp;G32,Lookup!J:K,2,0),"")</f>
        <v>0</v>
      </c>
    </row>
    <row r="33" spans="2:13" x14ac:dyDescent="0.25">
      <c r="B33" s="85" t="str">
        <f>IFERROR(VLOOKUP(A33,Lookup!A:B,2,0),"")</f>
        <v/>
      </c>
      <c r="C33" s="85" t="str">
        <f>IFERROR(VLOOKUP(A33,Lookup!A:C,3,0),"")</f>
        <v/>
      </c>
      <c r="J33" s="84">
        <f t="shared" si="0"/>
        <v>4</v>
      </c>
      <c r="M33" s="5">
        <f>IFERROR(VLOOKUP(A33&amp;G33,Lookup!J:K,2,0),"")</f>
        <v>0</v>
      </c>
    </row>
    <row r="34" spans="2:13" x14ac:dyDescent="0.25">
      <c r="B34" s="85" t="str">
        <f>IFERROR(VLOOKUP(A34,Lookup!A:B,2,0),"")</f>
        <v/>
      </c>
      <c r="C34" s="85" t="str">
        <f>IFERROR(VLOOKUP(A34,Lookup!A:C,3,0),"")</f>
        <v/>
      </c>
      <c r="J34" s="84">
        <f t="shared" si="0"/>
        <v>4</v>
      </c>
      <c r="M34" s="5">
        <f>IFERROR(VLOOKUP(A34&amp;G34,Lookup!J:K,2,0),"")</f>
        <v>0</v>
      </c>
    </row>
    <row r="35" spans="2:13" x14ac:dyDescent="0.25">
      <c r="B35" s="85" t="str">
        <f>IFERROR(VLOOKUP(A35,Lookup!A:B,2,0),"")</f>
        <v/>
      </c>
      <c r="C35" s="85" t="str">
        <f>IFERROR(VLOOKUP(A35,Lookup!A:C,3,0),"")</f>
        <v/>
      </c>
      <c r="J35" s="84">
        <f t="shared" si="0"/>
        <v>4</v>
      </c>
      <c r="M35" s="5">
        <f>IFERROR(VLOOKUP(A35&amp;G35,Lookup!J:K,2,0),"")</f>
        <v>0</v>
      </c>
    </row>
    <row r="36" spans="2:13" x14ac:dyDescent="0.25">
      <c r="B36" s="85" t="str">
        <f>IFERROR(VLOOKUP(A36,Lookup!A:B,2,0),"")</f>
        <v/>
      </c>
      <c r="C36" s="85" t="str">
        <f>IFERROR(VLOOKUP(A36,Lookup!A:C,3,0),"")</f>
        <v/>
      </c>
      <c r="J36" s="84">
        <f t="shared" ref="J36:J67" si="1">IF(H36="SET",1,IF(H36="FREQ",3,IF(H36="",4,2)))</f>
        <v>4</v>
      </c>
      <c r="M36" s="5">
        <f>IFERROR(VLOOKUP(A36&amp;G36,Lookup!J:K,2,0),"")</f>
        <v>0</v>
      </c>
    </row>
    <row r="37" spans="2:13" x14ac:dyDescent="0.25">
      <c r="B37" s="85" t="str">
        <f>IFERROR(VLOOKUP(A37,Lookup!A:B,2,0),"")</f>
        <v/>
      </c>
      <c r="C37" s="85" t="str">
        <f>IFERROR(VLOOKUP(A37,Lookup!A:C,3,0),"")</f>
        <v/>
      </c>
      <c r="J37" s="84">
        <f t="shared" si="1"/>
        <v>4</v>
      </c>
      <c r="M37" s="5">
        <f>IFERROR(VLOOKUP(A37&amp;G37,Lookup!J:K,2,0),"")</f>
        <v>0</v>
      </c>
    </row>
    <row r="38" spans="2:13" x14ac:dyDescent="0.25">
      <c r="B38" s="85" t="str">
        <f>IFERROR(VLOOKUP(A38,Lookup!A:B,2,0),"")</f>
        <v/>
      </c>
      <c r="C38" s="85" t="str">
        <f>IFERROR(VLOOKUP(A38,Lookup!A:C,3,0),"")</f>
        <v/>
      </c>
      <c r="J38" s="84">
        <f t="shared" si="1"/>
        <v>4</v>
      </c>
      <c r="M38" s="5">
        <f>IFERROR(VLOOKUP(A38&amp;G38,Lookup!J:K,2,0),"")</f>
        <v>0</v>
      </c>
    </row>
    <row r="39" spans="2:13" x14ac:dyDescent="0.25">
      <c r="B39" s="85" t="str">
        <f>IFERROR(VLOOKUP(A39,Lookup!A:B,2,0),"")</f>
        <v/>
      </c>
      <c r="C39" s="85" t="str">
        <f>IFERROR(VLOOKUP(A39,Lookup!A:C,3,0),"")</f>
        <v/>
      </c>
      <c r="J39" s="84">
        <f t="shared" si="1"/>
        <v>4</v>
      </c>
      <c r="M39" s="5">
        <f>IFERROR(VLOOKUP(A39&amp;G39,Lookup!J:K,2,0),"")</f>
        <v>0</v>
      </c>
    </row>
    <row r="40" spans="2:13" x14ac:dyDescent="0.25">
      <c r="B40" s="85" t="str">
        <f>IFERROR(VLOOKUP(A40,Lookup!A:B,2,0),"")</f>
        <v/>
      </c>
      <c r="C40" s="85" t="str">
        <f>IFERROR(VLOOKUP(A40,Lookup!A:C,3,0),"")</f>
        <v/>
      </c>
      <c r="J40" s="84">
        <f t="shared" si="1"/>
        <v>4</v>
      </c>
      <c r="M40" s="5">
        <f>IFERROR(VLOOKUP(A40&amp;G40,Lookup!J:K,2,0),"")</f>
        <v>0</v>
      </c>
    </row>
    <row r="41" spans="2:13" x14ac:dyDescent="0.25">
      <c r="B41" s="85" t="str">
        <f>IFERROR(VLOOKUP(A41,Lookup!A:B,2,0),"")</f>
        <v/>
      </c>
      <c r="C41" s="85" t="str">
        <f>IFERROR(VLOOKUP(A41,Lookup!A:C,3,0),"")</f>
        <v/>
      </c>
      <c r="J41" s="84">
        <f t="shared" si="1"/>
        <v>4</v>
      </c>
      <c r="M41" s="5">
        <f>IFERROR(VLOOKUP(A41&amp;G41,Lookup!J:K,2,0),"")</f>
        <v>0</v>
      </c>
    </row>
    <row r="42" spans="2:13" x14ac:dyDescent="0.25">
      <c r="B42" s="85" t="str">
        <f>IFERROR(VLOOKUP(A42,Lookup!A:B,2,0),"")</f>
        <v/>
      </c>
      <c r="C42" s="85" t="str">
        <f>IFERROR(VLOOKUP(A42,Lookup!A:C,3,0),"")</f>
        <v/>
      </c>
      <c r="J42" s="84">
        <f t="shared" si="1"/>
        <v>4</v>
      </c>
      <c r="M42" s="5">
        <f>IFERROR(VLOOKUP(A42&amp;G42,Lookup!J:K,2,0),"")</f>
        <v>0</v>
      </c>
    </row>
    <row r="43" spans="2:13" x14ac:dyDescent="0.25">
      <c r="B43" s="85" t="str">
        <f>IFERROR(VLOOKUP(A43,Lookup!A:B,2,0),"")</f>
        <v/>
      </c>
      <c r="C43" s="85" t="str">
        <f>IFERROR(VLOOKUP(A43,Lookup!A:C,3,0),"")</f>
        <v/>
      </c>
      <c r="J43" s="84">
        <f t="shared" si="1"/>
        <v>4</v>
      </c>
      <c r="M43" s="5">
        <f>IFERROR(VLOOKUP(A43&amp;G43,Lookup!J:K,2,0),"")</f>
        <v>0</v>
      </c>
    </row>
    <row r="44" spans="2:13" x14ac:dyDescent="0.25">
      <c r="B44" s="85" t="str">
        <f>IFERROR(VLOOKUP(A44,Lookup!A:B,2,0),"")</f>
        <v/>
      </c>
      <c r="C44" s="85" t="str">
        <f>IFERROR(VLOOKUP(A44,Lookup!A:C,3,0),"")</f>
        <v/>
      </c>
      <c r="J44" s="84">
        <f t="shared" si="1"/>
        <v>4</v>
      </c>
      <c r="M44" s="5">
        <f>IFERROR(VLOOKUP(A44&amp;G44,Lookup!J:K,2,0),"")</f>
        <v>0</v>
      </c>
    </row>
    <row r="45" spans="2:13" x14ac:dyDescent="0.25">
      <c r="B45" s="85" t="str">
        <f>IFERROR(VLOOKUP(A45,Lookup!A:B,2,0),"")</f>
        <v/>
      </c>
      <c r="C45" s="85" t="str">
        <f>IFERROR(VLOOKUP(A45,Lookup!A:C,3,0),"")</f>
        <v/>
      </c>
      <c r="J45" s="84">
        <f t="shared" si="1"/>
        <v>4</v>
      </c>
      <c r="M45" s="5">
        <f>IFERROR(VLOOKUP(A45&amp;G45,Lookup!J:K,2,0),"")</f>
        <v>0</v>
      </c>
    </row>
    <row r="46" spans="2:13" x14ac:dyDescent="0.25">
      <c r="B46" s="85" t="str">
        <f>IFERROR(VLOOKUP(A46,Lookup!A:B,2,0),"")</f>
        <v/>
      </c>
      <c r="C46" s="85" t="str">
        <f>IFERROR(VLOOKUP(A46,Lookup!A:C,3,0),"")</f>
        <v/>
      </c>
      <c r="J46" s="84">
        <f t="shared" si="1"/>
        <v>4</v>
      </c>
      <c r="M46" s="5">
        <f>IFERROR(VLOOKUP(A46&amp;G46,Lookup!J:K,2,0),"")</f>
        <v>0</v>
      </c>
    </row>
    <row r="47" spans="2:13" x14ac:dyDescent="0.25">
      <c r="B47" s="85" t="str">
        <f>IFERROR(VLOOKUP(A47,Lookup!A:B,2,0),"")</f>
        <v/>
      </c>
      <c r="C47" s="85" t="str">
        <f>IFERROR(VLOOKUP(A47,Lookup!A:C,3,0),"")</f>
        <v/>
      </c>
      <c r="J47" s="84">
        <f t="shared" si="1"/>
        <v>4</v>
      </c>
      <c r="M47" s="5">
        <f>IFERROR(VLOOKUP(A47&amp;G47,Lookup!J:K,2,0),"")</f>
        <v>0</v>
      </c>
    </row>
    <row r="48" spans="2:13" x14ac:dyDescent="0.25">
      <c r="B48" s="85" t="str">
        <f>IFERROR(VLOOKUP(A48,Lookup!A:B,2,0),"")</f>
        <v/>
      </c>
      <c r="C48" s="85" t="str">
        <f>IFERROR(VLOOKUP(A48,Lookup!A:C,3,0),"")</f>
        <v/>
      </c>
      <c r="J48" s="84">
        <f t="shared" si="1"/>
        <v>4</v>
      </c>
      <c r="M48" s="5">
        <f>IFERROR(VLOOKUP(A48&amp;G48,Lookup!J:K,2,0),"")</f>
        <v>0</v>
      </c>
    </row>
    <row r="49" spans="2:13" x14ac:dyDescent="0.25">
      <c r="B49" s="85" t="str">
        <f>IFERROR(VLOOKUP(A49,Lookup!A:B,2,0),"")</f>
        <v/>
      </c>
      <c r="C49" s="85" t="str">
        <f>IFERROR(VLOOKUP(A49,Lookup!A:C,3,0),"")</f>
        <v/>
      </c>
      <c r="J49" s="84">
        <f t="shared" si="1"/>
        <v>4</v>
      </c>
      <c r="M49" s="5">
        <f>IFERROR(VLOOKUP(A49&amp;G49,Lookup!J:K,2,0),"")</f>
        <v>0</v>
      </c>
    </row>
    <row r="50" spans="2:13" x14ac:dyDescent="0.25">
      <c r="B50" s="85" t="str">
        <f>IFERROR(VLOOKUP(A50,Lookup!A:B,2,0),"")</f>
        <v/>
      </c>
      <c r="C50" s="85" t="str">
        <f>IFERROR(VLOOKUP(A50,Lookup!A:C,3,0),"")</f>
        <v/>
      </c>
      <c r="J50" s="84">
        <f t="shared" si="1"/>
        <v>4</v>
      </c>
      <c r="M50" s="5">
        <f>IFERROR(VLOOKUP(A50&amp;G50,Lookup!J:K,2,0),"")</f>
        <v>0</v>
      </c>
    </row>
    <row r="51" spans="2:13" x14ac:dyDescent="0.25">
      <c r="B51" s="85" t="str">
        <f>IFERROR(VLOOKUP(A51,Lookup!A:B,2,0),"")</f>
        <v/>
      </c>
      <c r="C51" s="85" t="str">
        <f>IFERROR(VLOOKUP(A51,Lookup!A:C,3,0),"")</f>
        <v/>
      </c>
      <c r="J51" s="84">
        <f t="shared" si="1"/>
        <v>4</v>
      </c>
      <c r="M51" s="5">
        <f>IFERROR(VLOOKUP(A51&amp;G51,Lookup!J:K,2,0),"")</f>
        <v>0</v>
      </c>
    </row>
    <row r="52" spans="2:13" x14ac:dyDescent="0.25">
      <c r="B52" s="85" t="str">
        <f>IFERROR(VLOOKUP(A52,Lookup!A:B,2,0),"")</f>
        <v/>
      </c>
      <c r="C52" s="85" t="str">
        <f>IFERROR(VLOOKUP(A52,Lookup!A:C,3,0),"")</f>
        <v/>
      </c>
      <c r="J52" s="84">
        <f t="shared" si="1"/>
        <v>4</v>
      </c>
      <c r="M52" s="5">
        <f>IFERROR(VLOOKUP(A52&amp;G52,Lookup!J:K,2,0),"")</f>
        <v>0</v>
      </c>
    </row>
    <row r="53" spans="2:13" x14ac:dyDescent="0.25">
      <c r="B53" s="85" t="str">
        <f>IFERROR(VLOOKUP(A53,Lookup!A:B,2,0),"")</f>
        <v/>
      </c>
      <c r="C53" s="85" t="str">
        <f>IFERROR(VLOOKUP(A53,Lookup!A:C,3,0),"")</f>
        <v/>
      </c>
      <c r="J53" s="84">
        <f t="shared" si="1"/>
        <v>4</v>
      </c>
      <c r="M53" s="5">
        <f>IFERROR(VLOOKUP(A53&amp;G53,Lookup!J:K,2,0),"")</f>
        <v>0</v>
      </c>
    </row>
    <row r="54" spans="2:13" x14ac:dyDescent="0.25">
      <c r="B54" s="85" t="str">
        <f>IFERROR(VLOOKUP(A54,Lookup!A:B,2,0),"")</f>
        <v/>
      </c>
      <c r="C54" s="85" t="str">
        <f>IFERROR(VLOOKUP(A54,Lookup!A:C,3,0),"")</f>
        <v/>
      </c>
      <c r="J54" s="84">
        <f t="shared" si="1"/>
        <v>4</v>
      </c>
      <c r="M54" s="5">
        <f>IFERROR(VLOOKUP(A54&amp;G54,Lookup!J:K,2,0),"")</f>
        <v>0</v>
      </c>
    </row>
    <row r="55" spans="2:13" x14ac:dyDescent="0.25">
      <c r="B55" s="85" t="str">
        <f>IFERROR(VLOOKUP(A55,Lookup!A:B,2,0),"")</f>
        <v/>
      </c>
      <c r="C55" s="85" t="str">
        <f>IFERROR(VLOOKUP(A55,Lookup!A:C,3,0),"")</f>
        <v/>
      </c>
      <c r="J55" s="84">
        <f t="shared" si="1"/>
        <v>4</v>
      </c>
      <c r="M55" s="5">
        <f>IFERROR(VLOOKUP(A55&amp;G55,Lookup!J:K,2,0),"")</f>
        <v>0</v>
      </c>
    </row>
    <row r="56" spans="2:13" x14ac:dyDescent="0.25">
      <c r="B56" s="85" t="str">
        <f>IFERROR(VLOOKUP(A56,Lookup!A:B,2,0),"")</f>
        <v/>
      </c>
      <c r="C56" s="85" t="str">
        <f>IFERROR(VLOOKUP(A56,Lookup!A:C,3,0),"")</f>
        <v/>
      </c>
      <c r="J56" s="84">
        <f t="shared" si="1"/>
        <v>4</v>
      </c>
      <c r="M56" s="5">
        <f>IFERROR(VLOOKUP(A56&amp;G56,Lookup!J:K,2,0),"")</f>
        <v>0</v>
      </c>
    </row>
    <row r="57" spans="2:13" x14ac:dyDescent="0.25">
      <c r="B57" s="85" t="str">
        <f>IFERROR(VLOOKUP(A57,Lookup!A:B,2,0),"")</f>
        <v/>
      </c>
      <c r="C57" s="85" t="str">
        <f>IFERROR(VLOOKUP(A57,Lookup!A:C,3,0),"")</f>
        <v/>
      </c>
      <c r="J57" s="84">
        <f t="shared" si="1"/>
        <v>4</v>
      </c>
      <c r="M57" s="5">
        <f>IFERROR(VLOOKUP(A57&amp;G57,Lookup!J:K,2,0),"")</f>
        <v>0</v>
      </c>
    </row>
    <row r="58" spans="2:13" x14ac:dyDescent="0.25">
      <c r="B58" s="85" t="str">
        <f>IFERROR(VLOOKUP(A58,Lookup!A:B,2,0),"")</f>
        <v/>
      </c>
      <c r="C58" s="85" t="str">
        <f>IFERROR(VLOOKUP(A58,Lookup!A:C,3,0),"")</f>
        <v/>
      </c>
      <c r="J58" s="84">
        <f t="shared" si="1"/>
        <v>4</v>
      </c>
      <c r="M58" s="5">
        <f>IFERROR(VLOOKUP(A58&amp;G58,Lookup!J:K,2,0),"")</f>
        <v>0</v>
      </c>
    </row>
    <row r="59" spans="2:13" x14ac:dyDescent="0.25">
      <c r="B59" s="85" t="str">
        <f>IFERROR(VLOOKUP(A59,Lookup!A:B,2,0),"")</f>
        <v/>
      </c>
      <c r="C59" s="85" t="str">
        <f>IFERROR(VLOOKUP(A59,Lookup!A:C,3,0),"")</f>
        <v/>
      </c>
      <c r="J59" s="84">
        <f t="shared" si="1"/>
        <v>4</v>
      </c>
      <c r="M59" s="5">
        <f>IFERROR(VLOOKUP(A59&amp;G59,Lookup!J:K,2,0),"")</f>
        <v>0</v>
      </c>
    </row>
    <row r="60" spans="2:13" x14ac:dyDescent="0.25">
      <c r="B60" s="85" t="str">
        <f>IFERROR(VLOOKUP(A60,Lookup!A:B,2,0),"")</f>
        <v/>
      </c>
      <c r="C60" s="85" t="str">
        <f>IFERROR(VLOOKUP(A60,Lookup!A:C,3,0),"")</f>
        <v/>
      </c>
      <c r="J60" s="84">
        <f t="shared" si="1"/>
        <v>4</v>
      </c>
      <c r="M60" s="5">
        <f>IFERROR(VLOOKUP(A60&amp;G60,Lookup!J:K,2,0),"")</f>
        <v>0</v>
      </c>
    </row>
    <row r="61" spans="2:13" x14ac:dyDescent="0.25">
      <c r="B61" s="85" t="str">
        <f>IFERROR(VLOOKUP(A61,Lookup!A:B,2,0),"")</f>
        <v/>
      </c>
      <c r="C61" s="85" t="str">
        <f>IFERROR(VLOOKUP(A61,Lookup!A:C,3,0),"")</f>
        <v/>
      </c>
      <c r="J61" s="84">
        <f t="shared" si="1"/>
        <v>4</v>
      </c>
      <c r="M61" s="5">
        <f>IFERROR(VLOOKUP(A61&amp;G61,Lookup!J:K,2,0),"")</f>
        <v>0</v>
      </c>
    </row>
    <row r="62" spans="2:13" x14ac:dyDescent="0.25">
      <c r="B62" s="85" t="str">
        <f>IFERROR(VLOOKUP(A62,Lookup!A:B,2,0),"")</f>
        <v/>
      </c>
      <c r="C62" s="85" t="str">
        <f>IFERROR(VLOOKUP(A62,Lookup!A:C,3,0),"")</f>
        <v/>
      </c>
      <c r="J62" s="84">
        <f t="shared" si="1"/>
        <v>4</v>
      </c>
      <c r="M62" s="5">
        <f>IFERROR(VLOOKUP(A62&amp;G62,Lookup!J:K,2,0),"")</f>
        <v>0</v>
      </c>
    </row>
    <row r="63" spans="2:13" x14ac:dyDescent="0.25">
      <c r="B63" s="85" t="str">
        <f>IFERROR(VLOOKUP(A63,Lookup!A:B,2,0),"")</f>
        <v/>
      </c>
      <c r="C63" s="85" t="str">
        <f>IFERROR(VLOOKUP(A63,Lookup!A:C,3,0),"")</f>
        <v/>
      </c>
      <c r="J63" s="84">
        <f t="shared" si="1"/>
        <v>4</v>
      </c>
      <c r="M63" s="5">
        <f>IFERROR(VLOOKUP(A63&amp;G63,Lookup!J:K,2,0),"")</f>
        <v>0</v>
      </c>
    </row>
    <row r="64" spans="2:13" x14ac:dyDescent="0.25">
      <c r="B64" s="85" t="str">
        <f>IFERROR(VLOOKUP(A64,Lookup!A:B,2,0),"")</f>
        <v/>
      </c>
      <c r="C64" s="85" t="str">
        <f>IFERROR(VLOOKUP(A64,Lookup!A:C,3,0),"")</f>
        <v/>
      </c>
      <c r="J64" s="84">
        <f t="shared" si="1"/>
        <v>4</v>
      </c>
      <c r="M64" s="5">
        <f>IFERROR(VLOOKUP(A64&amp;G64,Lookup!J:K,2,0),"")</f>
        <v>0</v>
      </c>
    </row>
    <row r="65" spans="2:13" x14ac:dyDescent="0.25">
      <c r="B65" s="85" t="str">
        <f>IFERROR(VLOOKUP(A65,Lookup!A:B,2,0),"")</f>
        <v/>
      </c>
      <c r="C65" s="85" t="str">
        <f>IFERROR(VLOOKUP(A65,Lookup!A:C,3,0),"")</f>
        <v/>
      </c>
      <c r="J65" s="84">
        <f t="shared" si="1"/>
        <v>4</v>
      </c>
      <c r="M65" s="5">
        <f>IFERROR(VLOOKUP(A65&amp;G65,Lookup!J:K,2,0),"")</f>
        <v>0</v>
      </c>
    </row>
    <row r="66" spans="2:13" x14ac:dyDescent="0.25">
      <c r="B66" s="85" t="str">
        <f>IFERROR(VLOOKUP(A66,Lookup!A:B,2,0),"")</f>
        <v/>
      </c>
      <c r="C66" s="85" t="str">
        <f>IFERROR(VLOOKUP(A66,Lookup!A:C,3,0),"")</f>
        <v/>
      </c>
      <c r="J66" s="84">
        <f t="shared" si="1"/>
        <v>4</v>
      </c>
      <c r="M66" s="5">
        <f>IFERROR(VLOOKUP(A66&amp;G66,Lookup!J:K,2,0),"")</f>
        <v>0</v>
      </c>
    </row>
    <row r="67" spans="2:13" x14ac:dyDescent="0.25">
      <c r="B67" s="85" t="str">
        <f>IFERROR(VLOOKUP(A67,Lookup!A:B,2,0),"")</f>
        <v/>
      </c>
      <c r="C67" s="85" t="str">
        <f>IFERROR(VLOOKUP(A67,Lookup!A:C,3,0),"")</f>
        <v/>
      </c>
      <c r="J67" s="84">
        <f t="shared" si="1"/>
        <v>4</v>
      </c>
      <c r="M67" s="5">
        <f>IFERROR(VLOOKUP(A67&amp;G67,Lookup!J:K,2,0),"")</f>
        <v>0</v>
      </c>
    </row>
    <row r="68" spans="2:13" x14ac:dyDescent="0.25">
      <c r="B68" s="85" t="str">
        <f>IFERROR(VLOOKUP(A68,Lookup!A:B,2,0),"")</f>
        <v/>
      </c>
      <c r="C68" s="85" t="str">
        <f>IFERROR(VLOOKUP(A68,Lookup!A:C,3,0),"")</f>
        <v/>
      </c>
      <c r="J68" s="84">
        <f t="shared" ref="J68:J98" si="2">IF(H68="SET",1,IF(H68="FREQ",3,IF(H68="",4,2)))</f>
        <v>4</v>
      </c>
      <c r="M68" s="5">
        <f>IFERROR(VLOOKUP(A68&amp;G68,Lookup!J:K,2,0),"")</f>
        <v>0</v>
      </c>
    </row>
    <row r="69" spans="2:13" x14ac:dyDescent="0.25">
      <c r="B69" s="85" t="str">
        <f>IFERROR(VLOOKUP(A69,Lookup!A:B,2,0),"")</f>
        <v/>
      </c>
      <c r="C69" s="85" t="str">
        <f>IFERROR(VLOOKUP(A69,Lookup!A:C,3,0),"")</f>
        <v/>
      </c>
      <c r="J69" s="84">
        <f t="shared" si="2"/>
        <v>4</v>
      </c>
      <c r="M69" s="5">
        <f>IFERROR(VLOOKUP(A69&amp;G69,Lookup!J:K,2,0),"")</f>
        <v>0</v>
      </c>
    </row>
    <row r="70" spans="2:13" x14ac:dyDescent="0.25">
      <c r="B70" s="85" t="str">
        <f>IFERROR(VLOOKUP(A70,Lookup!A:B,2,0),"")</f>
        <v/>
      </c>
      <c r="C70" s="85" t="str">
        <f>IFERROR(VLOOKUP(A70,Lookup!A:C,3,0),"")</f>
        <v/>
      </c>
      <c r="J70" s="84">
        <f t="shared" si="2"/>
        <v>4</v>
      </c>
      <c r="M70" s="5">
        <f>IFERROR(VLOOKUP(A70&amp;G70,Lookup!J:K,2,0),"")</f>
        <v>0</v>
      </c>
    </row>
    <row r="71" spans="2:13" x14ac:dyDescent="0.25">
      <c r="B71" s="85" t="str">
        <f>IFERROR(VLOOKUP(A71,Lookup!A:B,2,0),"")</f>
        <v/>
      </c>
      <c r="C71" s="85" t="str">
        <f>IFERROR(VLOOKUP(A71,Lookup!A:C,3,0),"")</f>
        <v/>
      </c>
      <c r="J71" s="84">
        <f t="shared" si="2"/>
        <v>4</v>
      </c>
      <c r="M71" s="5">
        <f>IFERROR(VLOOKUP(A71&amp;G71,Lookup!J:K,2,0),"")</f>
        <v>0</v>
      </c>
    </row>
    <row r="72" spans="2:13" x14ac:dyDescent="0.25">
      <c r="B72" s="85" t="str">
        <f>IFERROR(VLOOKUP(A72,Lookup!A:B,2,0),"")</f>
        <v/>
      </c>
      <c r="C72" s="85" t="str">
        <f>IFERROR(VLOOKUP(A72,Lookup!A:C,3,0),"")</f>
        <v/>
      </c>
      <c r="J72" s="84">
        <f t="shared" si="2"/>
        <v>4</v>
      </c>
      <c r="M72" s="5">
        <f>IFERROR(VLOOKUP(A72&amp;G72,Lookup!J:K,2,0),"")</f>
        <v>0</v>
      </c>
    </row>
    <row r="73" spans="2:13" x14ac:dyDescent="0.25">
      <c r="B73" s="85" t="str">
        <f>IFERROR(VLOOKUP(A73,Lookup!A:B,2,0),"")</f>
        <v/>
      </c>
      <c r="C73" s="85" t="str">
        <f>IFERROR(VLOOKUP(A73,Lookup!A:C,3,0),"")</f>
        <v/>
      </c>
      <c r="J73" s="84">
        <f t="shared" si="2"/>
        <v>4</v>
      </c>
      <c r="M73" s="5">
        <f>IFERROR(VLOOKUP(A73&amp;G73,Lookup!J:K,2,0),"")</f>
        <v>0</v>
      </c>
    </row>
    <row r="74" spans="2:13" x14ac:dyDescent="0.25">
      <c r="B74" s="85" t="str">
        <f>IFERROR(VLOOKUP(A74,Lookup!A:B,2,0),"")</f>
        <v/>
      </c>
      <c r="C74" s="85" t="str">
        <f>IFERROR(VLOOKUP(A74,Lookup!A:C,3,0),"")</f>
        <v/>
      </c>
      <c r="J74" s="84">
        <f t="shared" si="2"/>
        <v>4</v>
      </c>
      <c r="M74" s="5">
        <f>IFERROR(VLOOKUP(A74&amp;G74,Lookup!J:K,2,0),"")</f>
        <v>0</v>
      </c>
    </row>
    <row r="75" spans="2:13" x14ac:dyDescent="0.25">
      <c r="B75" s="85" t="str">
        <f>IFERROR(VLOOKUP(A75,Lookup!A:B,2,0),"")</f>
        <v/>
      </c>
      <c r="C75" s="85" t="str">
        <f>IFERROR(VLOOKUP(A75,Lookup!A:C,3,0),"")</f>
        <v/>
      </c>
      <c r="J75" s="84">
        <f t="shared" si="2"/>
        <v>4</v>
      </c>
      <c r="M75" s="5">
        <f>IFERROR(VLOOKUP(A75&amp;G75,Lookup!J:K,2,0),"")</f>
        <v>0</v>
      </c>
    </row>
    <row r="76" spans="2:13" x14ac:dyDescent="0.25">
      <c r="B76" s="85" t="str">
        <f>IFERROR(VLOOKUP(A76,Lookup!A:B,2,0),"")</f>
        <v/>
      </c>
      <c r="C76" s="85" t="str">
        <f>IFERROR(VLOOKUP(A76,Lookup!A:C,3,0),"")</f>
        <v/>
      </c>
      <c r="J76" s="84">
        <f t="shared" si="2"/>
        <v>4</v>
      </c>
      <c r="M76" s="5">
        <f>IFERROR(VLOOKUP(A76&amp;G76,Lookup!J:K,2,0),"")</f>
        <v>0</v>
      </c>
    </row>
    <row r="77" spans="2:13" x14ac:dyDescent="0.25">
      <c r="B77" s="85" t="str">
        <f>IFERROR(VLOOKUP(A77,Lookup!A:B,2,0),"")</f>
        <v/>
      </c>
      <c r="C77" s="85" t="str">
        <f>IFERROR(VLOOKUP(A77,Lookup!A:C,3,0),"")</f>
        <v/>
      </c>
      <c r="J77" s="84">
        <f t="shared" si="2"/>
        <v>4</v>
      </c>
      <c r="M77" s="5">
        <f>IFERROR(VLOOKUP(A77&amp;G77,Lookup!J:K,2,0),"")</f>
        <v>0</v>
      </c>
    </row>
    <row r="78" spans="2:13" x14ac:dyDescent="0.25">
      <c r="B78" s="85" t="str">
        <f>IFERROR(VLOOKUP(A78,Lookup!A:B,2,0),"")</f>
        <v/>
      </c>
      <c r="C78" s="85" t="str">
        <f>IFERROR(VLOOKUP(A78,Lookup!A:C,3,0),"")</f>
        <v/>
      </c>
      <c r="J78" s="84">
        <f t="shared" si="2"/>
        <v>4</v>
      </c>
      <c r="M78" s="5">
        <f>IFERROR(VLOOKUP(A78&amp;G78,Lookup!J:K,2,0),"")</f>
        <v>0</v>
      </c>
    </row>
    <row r="79" spans="2:13" x14ac:dyDescent="0.25">
      <c r="B79" s="85" t="str">
        <f>IFERROR(VLOOKUP(A79,Lookup!A:B,2,0),"")</f>
        <v/>
      </c>
      <c r="C79" s="85" t="str">
        <f>IFERROR(VLOOKUP(A79,Lookup!A:C,3,0),"")</f>
        <v/>
      </c>
      <c r="J79" s="84">
        <f t="shared" si="2"/>
        <v>4</v>
      </c>
      <c r="M79" s="5">
        <f>IFERROR(VLOOKUP(A79&amp;G79,Lookup!J:K,2,0),"")</f>
        <v>0</v>
      </c>
    </row>
    <row r="80" spans="2:13" x14ac:dyDescent="0.25">
      <c r="B80" s="85" t="str">
        <f>IFERROR(VLOOKUP(A80,Lookup!A:B,2,0),"")</f>
        <v/>
      </c>
      <c r="C80" s="85" t="str">
        <f>IFERROR(VLOOKUP(A80,Lookup!A:C,3,0),"")</f>
        <v/>
      </c>
      <c r="J80" s="84">
        <f t="shared" si="2"/>
        <v>4</v>
      </c>
      <c r="M80" s="5">
        <f>IFERROR(VLOOKUP(A80&amp;G80,Lookup!J:K,2,0),"")</f>
        <v>0</v>
      </c>
    </row>
    <row r="81" spans="2:13" x14ac:dyDescent="0.25">
      <c r="B81" s="85" t="str">
        <f>IFERROR(VLOOKUP(A81,Lookup!A:B,2,0),"")</f>
        <v/>
      </c>
      <c r="C81" s="85" t="str">
        <f>IFERROR(VLOOKUP(A81,Lookup!A:C,3,0),"")</f>
        <v/>
      </c>
      <c r="J81" s="84">
        <f t="shared" si="2"/>
        <v>4</v>
      </c>
      <c r="M81" s="5">
        <f>IFERROR(VLOOKUP(A81&amp;G81,Lookup!J:K,2,0),"")</f>
        <v>0</v>
      </c>
    </row>
    <row r="82" spans="2:13" x14ac:dyDescent="0.25">
      <c r="B82" s="85" t="str">
        <f>IFERROR(VLOOKUP(A82,Lookup!A:B,2,0),"")</f>
        <v/>
      </c>
      <c r="C82" s="85" t="str">
        <f>IFERROR(VLOOKUP(A82,Lookup!A:C,3,0),"")</f>
        <v/>
      </c>
      <c r="J82" s="84">
        <f t="shared" si="2"/>
        <v>4</v>
      </c>
      <c r="M82" s="5">
        <f>IFERROR(VLOOKUP(A82&amp;G82,Lookup!J:K,2,0),"")</f>
        <v>0</v>
      </c>
    </row>
    <row r="83" spans="2:13" x14ac:dyDescent="0.25">
      <c r="B83" s="85" t="str">
        <f>IFERROR(VLOOKUP(A83,Lookup!A:B,2,0),"")</f>
        <v/>
      </c>
      <c r="C83" s="85" t="str">
        <f>IFERROR(VLOOKUP(A83,Lookup!A:C,3,0),"")</f>
        <v/>
      </c>
      <c r="J83" s="84">
        <f t="shared" si="2"/>
        <v>4</v>
      </c>
      <c r="M83" s="5">
        <f>IFERROR(VLOOKUP(A83&amp;G83,Lookup!J:K,2,0),"")</f>
        <v>0</v>
      </c>
    </row>
    <row r="84" spans="2:13" x14ac:dyDescent="0.25">
      <c r="B84" s="85" t="str">
        <f>IFERROR(VLOOKUP(A84,Lookup!A:B,2,0),"")</f>
        <v/>
      </c>
      <c r="C84" s="85" t="str">
        <f>IFERROR(VLOOKUP(A84,Lookup!A:C,3,0),"")</f>
        <v/>
      </c>
      <c r="J84" s="84">
        <f t="shared" si="2"/>
        <v>4</v>
      </c>
      <c r="M84" s="5">
        <f>IFERROR(VLOOKUP(A84&amp;G84,Lookup!J:K,2,0),"")</f>
        <v>0</v>
      </c>
    </row>
    <row r="85" spans="2:13" x14ac:dyDescent="0.25">
      <c r="B85" s="85" t="str">
        <f>IFERROR(VLOOKUP(A85,Lookup!A:B,2,0),"")</f>
        <v/>
      </c>
      <c r="C85" s="85" t="str">
        <f>IFERROR(VLOOKUP(A85,Lookup!A:C,3,0),"")</f>
        <v/>
      </c>
      <c r="J85" s="84">
        <f t="shared" si="2"/>
        <v>4</v>
      </c>
      <c r="M85" s="5">
        <f>IFERROR(VLOOKUP(A85&amp;G85,Lookup!J:K,2,0),"")</f>
        <v>0</v>
      </c>
    </row>
    <row r="86" spans="2:13" x14ac:dyDescent="0.25">
      <c r="B86" s="85" t="str">
        <f>IFERROR(VLOOKUP(A86,Lookup!A:B,2,0),"")</f>
        <v/>
      </c>
      <c r="C86" s="85" t="str">
        <f>IFERROR(VLOOKUP(A86,Lookup!A:C,3,0),"")</f>
        <v/>
      </c>
      <c r="J86" s="84">
        <f t="shared" si="2"/>
        <v>4</v>
      </c>
      <c r="M86" s="5">
        <f>IFERROR(VLOOKUP(A86&amp;G86,Lookup!J:K,2,0),"")</f>
        <v>0</v>
      </c>
    </row>
    <row r="87" spans="2:13" x14ac:dyDescent="0.25">
      <c r="B87" s="85" t="str">
        <f>IFERROR(VLOOKUP(A87,Lookup!A:B,2,0),"")</f>
        <v/>
      </c>
      <c r="C87" s="85" t="str">
        <f>IFERROR(VLOOKUP(A87,Lookup!A:C,3,0),"")</f>
        <v/>
      </c>
      <c r="J87" s="84">
        <f t="shared" si="2"/>
        <v>4</v>
      </c>
      <c r="M87" s="5">
        <f>IFERROR(VLOOKUP(A87&amp;G87,Lookup!J:K,2,0),"")</f>
        <v>0</v>
      </c>
    </row>
    <row r="88" spans="2:13" x14ac:dyDescent="0.25">
      <c r="B88" s="85" t="str">
        <f>IFERROR(VLOOKUP(A88,Lookup!A:B,2,0),"")</f>
        <v/>
      </c>
      <c r="C88" s="85" t="str">
        <f>IFERROR(VLOOKUP(A88,Lookup!A:C,3,0),"")</f>
        <v/>
      </c>
      <c r="J88" s="84">
        <f t="shared" si="2"/>
        <v>4</v>
      </c>
      <c r="M88" s="5">
        <f>IFERROR(VLOOKUP(A88&amp;G88,Lookup!J:K,2,0),"")</f>
        <v>0</v>
      </c>
    </row>
    <row r="89" spans="2:13" x14ac:dyDescent="0.25">
      <c r="B89" s="85" t="str">
        <f>IFERROR(VLOOKUP(A89,Lookup!A:B,2,0),"")</f>
        <v/>
      </c>
      <c r="C89" s="85" t="str">
        <f>IFERROR(VLOOKUP(A89,Lookup!A:C,3,0),"")</f>
        <v/>
      </c>
      <c r="J89" s="84">
        <f t="shared" si="2"/>
        <v>4</v>
      </c>
      <c r="M89" s="5">
        <f>IFERROR(VLOOKUP(A89&amp;G89,Lookup!J:K,2,0),"")</f>
        <v>0</v>
      </c>
    </row>
    <row r="90" spans="2:13" x14ac:dyDescent="0.25">
      <c r="B90" s="85" t="str">
        <f>IFERROR(VLOOKUP(A90,Lookup!A:B,2,0),"")</f>
        <v/>
      </c>
      <c r="C90" s="85" t="str">
        <f>IFERROR(VLOOKUP(A90,Lookup!A:C,3,0),"")</f>
        <v/>
      </c>
      <c r="J90" s="84">
        <f t="shared" si="2"/>
        <v>4</v>
      </c>
      <c r="M90" s="5">
        <f>IFERROR(VLOOKUP(A90&amp;G90,Lookup!J:K,2,0),"")</f>
        <v>0</v>
      </c>
    </row>
    <row r="91" spans="2:13" x14ac:dyDescent="0.25">
      <c r="B91" s="85" t="str">
        <f>IFERROR(VLOOKUP(A91,Lookup!A:B,2,0),"")</f>
        <v/>
      </c>
      <c r="C91" s="85" t="str">
        <f>IFERROR(VLOOKUP(A91,Lookup!A:C,3,0),"")</f>
        <v/>
      </c>
      <c r="J91" s="84">
        <f t="shared" si="2"/>
        <v>4</v>
      </c>
      <c r="M91" s="5">
        <f>IFERROR(VLOOKUP(A91&amp;G91,Lookup!J:K,2,0),"")</f>
        <v>0</v>
      </c>
    </row>
    <row r="92" spans="2:13" x14ac:dyDescent="0.25">
      <c r="B92" s="85" t="str">
        <f>IFERROR(VLOOKUP(A92,Lookup!A:B,2,0),"")</f>
        <v/>
      </c>
      <c r="C92" s="85" t="str">
        <f>IFERROR(VLOOKUP(A92,Lookup!A:C,3,0),"")</f>
        <v/>
      </c>
      <c r="J92" s="84">
        <f t="shared" si="2"/>
        <v>4</v>
      </c>
      <c r="M92" s="5">
        <f>IFERROR(VLOOKUP(A92&amp;G92,Lookup!J:K,2,0),"")</f>
        <v>0</v>
      </c>
    </row>
    <row r="93" spans="2:13" x14ac:dyDescent="0.25">
      <c r="B93" s="85" t="str">
        <f>IFERROR(VLOOKUP(A93,Lookup!A:B,2,0),"")</f>
        <v/>
      </c>
      <c r="C93" s="85" t="str">
        <f>IFERROR(VLOOKUP(A93,Lookup!A:C,3,0),"")</f>
        <v/>
      </c>
      <c r="J93" s="84">
        <f t="shared" si="2"/>
        <v>4</v>
      </c>
      <c r="M93" s="5">
        <f>IFERROR(VLOOKUP(A93&amp;G93,Lookup!J:K,2,0),"")</f>
        <v>0</v>
      </c>
    </row>
    <row r="94" spans="2:13" x14ac:dyDescent="0.25">
      <c r="B94" s="85" t="str">
        <f>IFERROR(VLOOKUP(A94,Lookup!A:B,2,0),"")</f>
        <v/>
      </c>
      <c r="C94" s="85" t="str">
        <f>IFERROR(VLOOKUP(A94,Lookup!A:C,3,0),"")</f>
        <v/>
      </c>
      <c r="J94" s="84">
        <f t="shared" si="2"/>
        <v>4</v>
      </c>
      <c r="M94" s="5">
        <f>IFERROR(VLOOKUP(A94&amp;G94,Lookup!J:K,2,0),"")</f>
        <v>0</v>
      </c>
    </row>
    <row r="95" spans="2:13" x14ac:dyDescent="0.25">
      <c r="B95" s="85" t="str">
        <f>IFERROR(VLOOKUP(A95,Lookup!A:B,2,0),"")</f>
        <v/>
      </c>
      <c r="C95" s="85" t="str">
        <f>IFERROR(VLOOKUP(A95,Lookup!A:C,3,0),"")</f>
        <v/>
      </c>
      <c r="J95" s="84">
        <f t="shared" si="2"/>
        <v>4</v>
      </c>
      <c r="M95" s="5">
        <f>IFERROR(VLOOKUP(A95&amp;G95,Lookup!J:K,2,0),"")</f>
        <v>0</v>
      </c>
    </row>
    <row r="96" spans="2:13" x14ac:dyDescent="0.25">
      <c r="B96" s="85" t="str">
        <f>IFERROR(VLOOKUP(A96,Lookup!A:B,2,0),"")</f>
        <v/>
      </c>
      <c r="C96" s="85" t="str">
        <f>IFERROR(VLOOKUP(A96,Lookup!A:C,3,0),"")</f>
        <v/>
      </c>
      <c r="J96" s="84">
        <f t="shared" si="2"/>
        <v>4</v>
      </c>
      <c r="M96" s="5">
        <f>IFERROR(VLOOKUP(A96&amp;G96,Lookup!J:K,2,0),"")</f>
        <v>0</v>
      </c>
    </row>
    <row r="97" spans="2:13" x14ac:dyDescent="0.25">
      <c r="B97" s="85" t="str">
        <f>IFERROR(VLOOKUP(A97,Lookup!A:B,2,0),"")</f>
        <v/>
      </c>
      <c r="C97" s="85" t="str">
        <f>IFERROR(VLOOKUP(A97,Lookup!A:C,3,0),"")</f>
        <v/>
      </c>
      <c r="J97" s="84">
        <f t="shared" si="2"/>
        <v>4</v>
      </c>
      <c r="M97" s="5">
        <f>IFERROR(VLOOKUP(A97&amp;G97,Lookup!J:K,2,0),"")</f>
        <v>0</v>
      </c>
    </row>
    <row r="98" spans="2:13" x14ac:dyDescent="0.25">
      <c r="B98" s="85" t="str">
        <f>IFERROR(VLOOKUP(A98,Lookup!A:B,2,0),"")</f>
        <v/>
      </c>
      <c r="C98" s="85" t="str">
        <f>IFERROR(VLOOKUP(A98,Lookup!A:C,3,0),"")</f>
        <v/>
      </c>
      <c r="J98" s="84">
        <f t="shared" si="2"/>
        <v>4</v>
      </c>
      <c r="M98" s="5">
        <f>IFERROR(VLOOKUP(A98&amp;G98,Lookup!J:K,2,0),"")</f>
        <v>0</v>
      </c>
    </row>
    <row r="99" spans="2:13" ht="14.45" hidden="1" x14ac:dyDescent="0.3">
      <c r="B99" s="85" t="str">
        <f>IFERROR(VLOOKUP(A99,Lookup!A:B,2,0),"")</f>
        <v/>
      </c>
      <c r="C99" s="85" t="str">
        <f>IFERROR(VLOOKUP(A99,Lookup!A:C,3,0),"")</f>
        <v/>
      </c>
      <c r="J99" s="84">
        <f t="shared" ref="J99:J129" si="3">IF(H99="SET",1,IF(H99="FREQ",3,IF(H99="",4,2)))</f>
        <v>4</v>
      </c>
    </row>
    <row r="100" spans="2:13" ht="14.45" hidden="1" x14ac:dyDescent="0.3">
      <c r="B100" s="85" t="str">
        <f>IFERROR(VLOOKUP(A100,Lookup!A:B,2,0),"")</f>
        <v/>
      </c>
      <c r="C100" s="85" t="str">
        <f>IFERROR(VLOOKUP(A100,Lookup!A:C,3,0),"")</f>
        <v/>
      </c>
      <c r="J100" s="84">
        <f t="shared" si="3"/>
        <v>4</v>
      </c>
    </row>
    <row r="101" spans="2:13" ht="14.45" hidden="1" x14ac:dyDescent="0.3">
      <c r="B101" s="85" t="str">
        <f>IFERROR(VLOOKUP(A101,Lookup!A:B,2,0),"")</f>
        <v/>
      </c>
      <c r="C101" s="85" t="str">
        <f>IFERROR(VLOOKUP(A101,Lookup!A:C,3,0),"")</f>
        <v/>
      </c>
      <c r="J101" s="84">
        <f t="shared" si="3"/>
        <v>4</v>
      </c>
    </row>
    <row r="102" spans="2:13" ht="14.45" hidden="1" x14ac:dyDescent="0.3">
      <c r="B102" s="85" t="str">
        <f>IFERROR(VLOOKUP(A102,Lookup!A:B,2,0),"")</f>
        <v/>
      </c>
      <c r="C102" s="85" t="str">
        <f>IFERROR(VLOOKUP(A102,Lookup!A:C,3,0),"")</f>
        <v/>
      </c>
      <c r="J102" s="84">
        <f t="shared" si="3"/>
        <v>4</v>
      </c>
    </row>
    <row r="103" spans="2:13" ht="14.45" hidden="1" x14ac:dyDescent="0.3">
      <c r="B103" s="85" t="str">
        <f>IFERROR(VLOOKUP(A103,Lookup!A:B,2,0),"")</f>
        <v/>
      </c>
      <c r="C103" s="85" t="str">
        <f>IFERROR(VLOOKUP(A103,Lookup!A:C,3,0),"")</f>
        <v/>
      </c>
      <c r="J103" s="84">
        <f t="shared" si="3"/>
        <v>4</v>
      </c>
    </row>
    <row r="104" spans="2:13" ht="14.45" hidden="1" x14ac:dyDescent="0.3">
      <c r="B104" s="85" t="str">
        <f>IFERROR(VLOOKUP(A104,Lookup!A:B,2,0),"")</f>
        <v/>
      </c>
      <c r="C104" s="85" t="str">
        <f>IFERROR(VLOOKUP(A104,Lookup!A:C,3,0),"")</f>
        <v/>
      </c>
      <c r="J104" s="84">
        <f t="shared" si="3"/>
        <v>4</v>
      </c>
    </row>
    <row r="105" spans="2:13" ht="14.45" hidden="1" x14ac:dyDescent="0.3">
      <c r="B105" s="85" t="str">
        <f>IFERROR(VLOOKUP(A105,Lookup!A:B,2,0),"")</f>
        <v/>
      </c>
      <c r="C105" s="85" t="str">
        <f>IFERROR(VLOOKUP(A105,Lookup!A:C,3,0),"")</f>
        <v/>
      </c>
      <c r="J105" s="84">
        <f t="shared" si="3"/>
        <v>4</v>
      </c>
    </row>
    <row r="106" spans="2:13" ht="14.45" hidden="1" x14ac:dyDescent="0.3">
      <c r="B106" s="85" t="str">
        <f>IFERROR(VLOOKUP(A106,Lookup!A:B,2,0),"")</f>
        <v/>
      </c>
      <c r="C106" s="85" t="str">
        <f>IFERROR(VLOOKUP(A106,Lookup!A:C,3,0),"")</f>
        <v/>
      </c>
      <c r="J106" s="84">
        <f t="shared" si="3"/>
        <v>4</v>
      </c>
    </row>
    <row r="107" spans="2:13" ht="14.45" hidden="1" x14ac:dyDescent="0.3">
      <c r="B107" s="85" t="str">
        <f>IFERROR(VLOOKUP(A107,Lookup!A:B,2,0),"")</f>
        <v/>
      </c>
      <c r="C107" s="85" t="str">
        <f>IFERROR(VLOOKUP(A107,Lookup!A:C,3,0),"")</f>
        <v/>
      </c>
      <c r="J107" s="84">
        <f t="shared" si="3"/>
        <v>4</v>
      </c>
    </row>
    <row r="108" spans="2:13" ht="14.45" hidden="1" x14ac:dyDescent="0.3">
      <c r="B108" s="85" t="str">
        <f>IFERROR(VLOOKUP(A108,Lookup!A:B,2,0),"")</f>
        <v/>
      </c>
      <c r="C108" s="85" t="str">
        <f>IFERROR(VLOOKUP(A108,Lookup!A:C,3,0),"")</f>
        <v/>
      </c>
      <c r="J108" s="84">
        <f t="shared" si="3"/>
        <v>4</v>
      </c>
    </row>
    <row r="109" spans="2:13" ht="14.45" hidden="1" x14ac:dyDescent="0.3">
      <c r="B109" s="85" t="str">
        <f>IFERROR(VLOOKUP(A109,Lookup!A:B,2,0),"")</f>
        <v/>
      </c>
      <c r="C109" s="85" t="str">
        <f>IFERROR(VLOOKUP(A109,Lookup!A:C,3,0),"")</f>
        <v/>
      </c>
      <c r="J109" s="84">
        <f t="shared" si="3"/>
        <v>4</v>
      </c>
    </row>
    <row r="110" spans="2:13" ht="14.45" hidden="1" x14ac:dyDescent="0.3">
      <c r="B110" s="85" t="str">
        <f>IFERROR(VLOOKUP(A110,Lookup!A:B,2,0),"")</f>
        <v/>
      </c>
      <c r="C110" s="85" t="str">
        <f>IFERROR(VLOOKUP(A110,Lookup!A:C,3,0),"")</f>
        <v/>
      </c>
      <c r="J110" s="84">
        <f t="shared" si="3"/>
        <v>4</v>
      </c>
    </row>
    <row r="111" spans="2:13" ht="14.45" hidden="1" x14ac:dyDescent="0.3">
      <c r="B111" s="85" t="str">
        <f>IFERROR(VLOOKUP(A111,Lookup!A:B,2,0),"")</f>
        <v/>
      </c>
      <c r="C111" s="85" t="str">
        <f>IFERROR(VLOOKUP(A111,Lookup!A:C,3,0),"")</f>
        <v/>
      </c>
      <c r="J111" s="84">
        <f t="shared" si="3"/>
        <v>4</v>
      </c>
    </row>
    <row r="112" spans="2:13" ht="14.45" hidden="1" x14ac:dyDescent="0.3">
      <c r="B112" s="85" t="str">
        <f>IFERROR(VLOOKUP(A112,Lookup!A:B,2,0),"")</f>
        <v/>
      </c>
      <c r="C112" s="85" t="str">
        <f>IFERROR(VLOOKUP(A112,Lookup!A:C,3,0),"")</f>
        <v/>
      </c>
      <c r="J112" s="84">
        <f t="shared" si="3"/>
        <v>4</v>
      </c>
    </row>
    <row r="113" spans="2:10" ht="14.45" hidden="1" x14ac:dyDescent="0.3">
      <c r="B113" s="85" t="str">
        <f>IFERROR(VLOOKUP(A113,Lookup!A:B,2,0),"")</f>
        <v/>
      </c>
      <c r="C113" s="85" t="str">
        <f>IFERROR(VLOOKUP(A113,Lookup!A:C,3,0),"")</f>
        <v/>
      </c>
      <c r="J113" s="84">
        <f t="shared" si="3"/>
        <v>4</v>
      </c>
    </row>
    <row r="114" spans="2:10" ht="14.45" hidden="1" x14ac:dyDescent="0.3">
      <c r="B114" s="85" t="str">
        <f>IFERROR(VLOOKUP(A114,Lookup!A:B,2,0),"")</f>
        <v/>
      </c>
      <c r="C114" s="85" t="str">
        <f>IFERROR(VLOOKUP(A114,Lookup!A:C,3,0),"")</f>
        <v/>
      </c>
      <c r="J114" s="84">
        <f t="shared" si="3"/>
        <v>4</v>
      </c>
    </row>
    <row r="115" spans="2:10" ht="14.45" hidden="1" x14ac:dyDescent="0.3">
      <c r="B115" s="85" t="str">
        <f>IFERROR(VLOOKUP(A115,Lookup!A:B,2,0),"")</f>
        <v/>
      </c>
      <c r="C115" s="85" t="str">
        <f>IFERROR(VLOOKUP(A115,Lookup!A:C,3,0),"")</f>
        <v/>
      </c>
      <c r="J115" s="84">
        <f t="shared" si="3"/>
        <v>4</v>
      </c>
    </row>
    <row r="116" spans="2:10" ht="14.45" hidden="1" x14ac:dyDescent="0.3">
      <c r="B116" s="85" t="str">
        <f>IFERROR(VLOOKUP(A116,Lookup!A:B,2,0),"")</f>
        <v/>
      </c>
      <c r="C116" s="85" t="str">
        <f>IFERROR(VLOOKUP(A116,Lookup!A:C,3,0),"")</f>
        <v/>
      </c>
      <c r="J116" s="84">
        <f t="shared" si="3"/>
        <v>4</v>
      </c>
    </row>
    <row r="117" spans="2:10" ht="14.45" hidden="1" x14ac:dyDescent="0.3">
      <c r="B117" s="85" t="str">
        <f>IFERROR(VLOOKUP(A117,Lookup!A:B,2,0),"")</f>
        <v/>
      </c>
      <c r="C117" s="85" t="str">
        <f>IFERROR(VLOOKUP(A117,Lookup!A:C,3,0),"")</f>
        <v/>
      </c>
      <c r="J117" s="84">
        <f t="shared" si="3"/>
        <v>4</v>
      </c>
    </row>
    <row r="118" spans="2:10" ht="14.45" hidden="1" x14ac:dyDescent="0.3">
      <c r="B118" s="85" t="str">
        <f>IFERROR(VLOOKUP(A118,Lookup!A:B,2,0),"")</f>
        <v/>
      </c>
      <c r="C118" s="85" t="str">
        <f>IFERROR(VLOOKUP(A118,Lookup!A:C,3,0),"")</f>
        <v/>
      </c>
      <c r="J118" s="84">
        <f t="shared" si="3"/>
        <v>4</v>
      </c>
    </row>
    <row r="119" spans="2:10" ht="14.45" hidden="1" x14ac:dyDescent="0.3">
      <c r="B119" s="85" t="str">
        <f>IFERROR(VLOOKUP(A119,Lookup!A:B,2,0),"")</f>
        <v/>
      </c>
      <c r="C119" s="85" t="str">
        <f>IFERROR(VLOOKUP(A119,Lookup!A:C,3,0),"")</f>
        <v/>
      </c>
      <c r="J119" s="84">
        <f t="shared" si="3"/>
        <v>4</v>
      </c>
    </row>
    <row r="120" spans="2:10" ht="14.45" hidden="1" x14ac:dyDescent="0.3">
      <c r="B120" s="85" t="str">
        <f>IFERROR(VLOOKUP(A120,Lookup!A:B,2,0),"")</f>
        <v/>
      </c>
      <c r="C120" s="85" t="str">
        <f>IFERROR(VLOOKUP(A120,Lookup!A:C,3,0),"")</f>
        <v/>
      </c>
      <c r="J120" s="84">
        <f t="shared" si="3"/>
        <v>4</v>
      </c>
    </row>
    <row r="121" spans="2:10" ht="14.45" hidden="1" x14ac:dyDescent="0.3">
      <c r="B121" s="85" t="str">
        <f>IFERROR(VLOOKUP(A121,Lookup!A:B,2,0),"")</f>
        <v/>
      </c>
      <c r="C121" s="85" t="str">
        <f>IFERROR(VLOOKUP(A121,Lookup!A:C,3,0),"")</f>
        <v/>
      </c>
      <c r="J121" s="84">
        <f t="shared" si="3"/>
        <v>4</v>
      </c>
    </row>
    <row r="122" spans="2:10" ht="14.45" hidden="1" x14ac:dyDescent="0.3">
      <c r="B122" s="85" t="str">
        <f>IFERROR(VLOOKUP(A122,Lookup!A:B,2,0),"")</f>
        <v/>
      </c>
      <c r="C122" s="85" t="str">
        <f>IFERROR(VLOOKUP(A122,Lookup!A:C,3,0),"")</f>
        <v/>
      </c>
      <c r="J122" s="84">
        <f t="shared" si="3"/>
        <v>4</v>
      </c>
    </row>
    <row r="123" spans="2:10" ht="14.45" hidden="1" x14ac:dyDescent="0.3">
      <c r="B123" s="85" t="str">
        <f>IFERROR(VLOOKUP(A123,Lookup!A:B,2,0),"")</f>
        <v/>
      </c>
      <c r="C123" s="85" t="str">
        <f>IFERROR(VLOOKUP(A123,Lookup!A:C,3,0),"")</f>
        <v/>
      </c>
      <c r="J123" s="84">
        <f t="shared" si="3"/>
        <v>4</v>
      </c>
    </row>
    <row r="124" spans="2:10" ht="14.45" hidden="1" x14ac:dyDescent="0.3">
      <c r="B124" s="85" t="str">
        <f>IFERROR(VLOOKUP(A124,Lookup!A:B,2,0),"")</f>
        <v/>
      </c>
      <c r="C124" s="85" t="str">
        <f>IFERROR(VLOOKUP(A124,Lookup!A:C,3,0),"")</f>
        <v/>
      </c>
      <c r="J124" s="84">
        <f t="shared" si="3"/>
        <v>4</v>
      </c>
    </row>
    <row r="125" spans="2:10" ht="14.45" hidden="1" x14ac:dyDescent="0.3">
      <c r="B125" s="85" t="str">
        <f>IFERROR(VLOOKUP(A125,Lookup!A:B,2,0),"")</f>
        <v/>
      </c>
      <c r="C125" s="85" t="str">
        <f>IFERROR(VLOOKUP(A125,Lookup!A:C,3,0),"")</f>
        <v/>
      </c>
      <c r="J125" s="84">
        <f t="shared" si="3"/>
        <v>4</v>
      </c>
    </row>
    <row r="126" spans="2:10" ht="14.45" hidden="1" x14ac:dyDescent="0.3">
      <c r="B126" s="85" t="str">
        <f>IFERROR(VLOOKUP(A126,Lookup!A:B,2,0),"")</f>
        <v/>
      </c>
      <c r="C126" s="85" t="str">
        <f>IFERROR(VLOOKUP(A126,Lookup!A:C,3,0),"")</f>
        <v/>
      </c>
      <c r="J126" s="84">
        <f t="shared" si="3"/>
        <v>4</v>
      </c>
    </row>
    <row r="127" spans="2:10" ht="14.45" hidden="1" x14ac:dyDescent="0.3">
      <c r="B127" s="85" t="str">
        <f>IFERROR(VLOOKUP(A127,Lookup!A:B,2,0),"")</f>
        <v/>
      </c>
      <c r="C127" s="85" t="str">
        <f>IFERROR(VLOOKUP(A127,Lookup!A:C,3,0),"")</f>
        <v/>
      </c>
      <c r="J127" s="84">
        <f t="shared" si="3"/>
        <v>4</v>
      </c>
    </row>
    <row r="128" spans="2:10" ht="14.45" hidden="1" x14ac:dyDescent="0.3">
      <c r="B128" s="85" t="str">
        <f>IFERROR(VLOOKUP(A128,Lookup!A:B,2,0),"")</f>
        <v/>
      </c>
      <c r="C128" s="85" t="str">
        <f>IFERROR(VLOOKUP(A128,Lookup!A:C,3,0),"")</f>
        <v/>
      </c>
      <c r="J128" s="84">
        <f t="shared" si="3"/>
        <v>4</v>
      </c>
    </row>
    <row r="129" spans="2:10" ht="14.45" hidden="1" x14ac:dyDescent="0.3">
      <c r="B129" s="85" t="str">
        <f>IFERROR(VLOOKUP(A129,Lookup!A:B,2,0),"")</f>
        <v/>
      </c>
      <c r="C129" s="85" t="str">
        <f>IFERROR(VLOOKUP(A129,Lookup!A:C,3,0),"")</f>
        <v/>
      </c>
      <c r="J129" s="84">
        <f t="shared" si="3"/>
        <v>4</v>
      </c>
    </row>
    <row r="130" spans="2:10" ht="14.45" hidden="1" x14ac:dyDescent="0.3">
      <c r="B130" s="85" t="str">
        <f>IFERROR(VLOOKUP(A130,Lookup!A:B,2,0),"")</f>
        <v/>
      </c>
      <c r="C130" s="85" t="str">
        <f>IFERROR(VLOOKUP(A130,Lookup!A:C,3,0),"")</f>
        <v/>
      </c>
      <c r="J130" s="84">
        <f t="shared" ref="J130:J161" si="4">IF(H130="SET",1,IF(H130="FREQ",3,IF(H130="",4,2)))</f>
        <v>4</v>
      </c>
    </row>
    <row r="131" spans="2:10" ht="14.45" hidden="1" x14ac:dyDescent="0.3">
      <c r="B131" s="85" t="str">
        <f>IFERROR(VLOOKUP(A131,Lookup!A:B,2,0),"")</f>
        <v/>
      </c>
      <c r="C131" s="85" t="str">
        <f>IFERROR(VLOOKUP(A131,Lookup!A:C,3,0),"")</f>
        <v/>
      </c>
      <c r="J131" s="84">
        <f t="shared" si="4"/>
        <v>4</v>
      </c>
    </row>
    <row r="132" spans="2:10" ht="14.45" hidden="1" x14ac:dyDescent="0.3">
      <c r="B132" s="85" t="str">
        <f>IFERROR(VLOOKUP(A132,Lookup!A:B,2,0),"")</f>
        <v/>
      </c>
      <c r="C132" s="85" t="str">
        <f>IFERROR(VLOOKUP(A132,Lookup!A:C,3,0),"")</f>
        <v/>
      </c>
      <c r="J132" s="84">
        <f t="shared" si="4"/>
        <v>4</v>
      </c>
    </row>
    <row r="133" spans="2:10" ht="14.45" hidden="1" x14ac:dyDescent="0.3">
      <c r="B133" s="85" t="str">
        <f>IFERROR(VLOOKUP(A133,Lookup!A:B,2,0),"")</f>
        <v/>
      </c>
      <c r="C133" s="85" t="str">
        <f>IFERROR(VLOOKUP(A133,Lookup!A:C,3,0),"")</f>
        <v/>
      </c>
      <c r="J133" s="84">
        <f t="shared" si="4"/>
        <v>4</v>
      </c>
    </row>
    <row r="134" spans="2:10" ht="14.45" hidden="1" x14ac:dyDescent="0.3">
      <c r="B134" s="85" t="str">
        <f>IFERROR(VLOOKUP(A134,Lookup!A:B,2,0),"")</f>
        <v/>
      </c>
      <c r="C134" s="85" t="str">
        <f>IFERROR(VLOOKUP(A134,Lookup!A:C,3,0),"")</f>
        <v/>
      </c>
      <c r="J134" s="84">
        <f t="shared" si="4"/>
        <v>4</v>
      </c>
    </row>
    <row r="135" spans="2:10" ht="14.45" hidden="1" x14ac:dyDescent="0.3">
      <c r="B135" s="85" t="str">
        <f>IFERROR(VLOOKUP(A135,Lookup!A:B,2,0),"")</f>
        <v/>
      </c>
      <c r="C135" s="85" t="str">
        <f>IFERROR(VLOOKUP(A135,Lookup!A:C,3,0),"")</f>
        <v/>
      </c>
      <c r="J135" s="84">
        <f t="shared" si="4"/>
        <v>4</v>
      </c>
    </row>
    <row r="136" spans="2:10" ht="14.45" hidden="1" x14ac:dyDescent="0.3">
      <c r="B136" s="85" t="str">
        <f>IFERROR(VLOOKUP(A136,Lookup!A:B,2,0),"")</f>
        <v/>
      </c>
      <c r="C136" s="85" t="str">
        <f>IFERROR(VLOOKUP(A136,Lookup!A:C,3,0),"")</f>
        <v/>
      </c>
      <c r="J136" s="84">
        <f t="shared" si="4"/>
        <v>4</v>
      </c>
    </row>
    <row r="137" spans="2:10" ht="14.45" hidden="1" x14ac:dyDescent="0.3">
      <c r="B137" s="85" t="str">
        <f>IFERROR(VLOOKUP(A137,Lookup!A:B,2,0),"")</f>
        <v/>
      </c>
      <c r="C137" s="85" t="str">
        <f>IFERROR(VLOOKUP(A137,Lookup!A:C,3,0),"")</f>
        <v/>
      </c>
      <c r="J137" s="84">
        <f t="shared" si="4"/>
        <v>4</v>
      </c>
    </row>
    <row r="138" spans="2:10" ht="14.45" hidden="1" x14ac:dyDescent="0.3">
      <c r="B138" s="85" t="str">
        <f>IFERROR(VLOOKUP(A138,Lookup!A:B,2,0),"")</f>
        <v/>
      </c>
      <c r="C138" s="85" t="str">
        <f>IFERROR(VLOOKUP(A138,Lookup!A:C,3,0),"")</f>
        <v/>
      </c>
      <c r="J138" s="84">
        <f t="shared" si="4"/>
        <v>4</v>
      </c>
    </row>
    <row r="139" spans="2:10" ht="14.45" hidden="1" x14ac:dyDescent="0.3">
      <c r="B139" s="85" t="str">
        <f>IFERROR(VLOOKUP(A139,Lookup!A:B,2,0),"")</f>
        <v/>
      </c>
      <c r="C139" s="85" t="str">
        <f>IFERROR(VLOOKUP(A139,Lookup!A:C,3,0),"")</f>
        <v/>
      </c>
      <c r="J139" s="84">
        <f t="shared" si="4"/>
        <v>4</v>
      </c>
    </row>
    <row r="140" spans="2:10" ht="14.45" hidden="1" x14ac:dyDescent="0.3">
      <c r="B140" s="85" t="str">
        <f>IFERROR(VLOOKUP(A140,Lookup!A:B,2,0),"")</f>
        <v/>
      </c>
      <c r="C140" s="85" t="str">
        <f>IFERROR(VLOOKUP(A140,Lookup!A:C,3,0),"")</f>
        <v/>
      </c>
      <c r="J140" s="84">
        <f t="shared" si="4"/>
        <v>4</v>
      </c>
    </row>
    <row r="141" spans="2:10" ht="14.45" hidden="1" x14ac:dyDescent="0.3">
      <c r="B141" s="85" t="str">
        <f>IFERROR(VLOOKUP(A141,Lookup!A:B,2,0),"")</f>
        <v/>
      </c>
      <c r="C141" s="85" t="str">
        <f>IFERROR(VLOOKUP(A141,Lookup!A:C,3,0),"")</f>
        <v/>
      </c>
      <c r="J141" s="84">
        <f t="shared" si="4"/>
        <v>4</v>
      </c>
    </row>
    <row r="142" spans="2:10" ht="14.45" hidden="1" x14ac:dyDescent="0.3">
      <c r="B142" s="85" t="str">
        <f>IFERROR(VLOOKUP(A142,Lookup!A:B,2,0),"")</f>
        <v/>
      </c>
      <c r="C142" s="85" t="str">
        <f>IFERROR(VLOOKUP(A142,Lookup!A:C,3,0),"")</f>
        <v/>
      </c>
      <c r="J142" s="84">
        <f t="shared" si="4"/>
        <v>4</v>
      </c>
    </row>
    <row r="143" spans="2:10" ht="14.45" hidden="1" x14ac:dyDescent="0.3">
      <c r="B143" s="85" t="str">
        <f>IFERROR(VLOOKUP(A143,Lookup!A:B,2,0),"")</f>
        <v/>
      </c>
      <c r="C143" s="85" t="str">
        <f>IFERROR(VLOOKUP(A143,Lookup!A:C,3,0),"")</f>
        <v/>
      </c>
      <c r="J143" s="84">
        <f t="shared" si="4"/>
        <v>4</v>
      </c>
    </row>
    <row r="144" spans="2:10" ht="14.45" hidden="1" x14ac:dyDescent="0.3">
      <c r="B144" s="85" t="str">
        <f>IFERROR(VLOOKUP(A144,Lookup!A:B,2,0),"")</f>
        <v/>
      </c>
      <c r="C144" s="85" t="str">
        <f>IFERROR(VLOOKUP(A144,Lookup!A:C,3,0),"")</f>
        <v/>
      </c>
      <c r="J144" s="84">
        <f t="shared" si="4"/>
        <v>4</v>
      </c>
    </row>
    <row r="145" spans="2:10" ht="14.45" hidden="1" x14ac:dyDescent="0.3">
      <c r="B145" s="85" t="str">
        <f>IFERROR(VLOOKUP(A145,Lookup!A:B,2,0),"")</f>
        <v/>
      </c>
      <c r="C145" s="85" t="str">
        <f>IFERROR(VLOOKUP(A145,Lookup!A:C,3,0),"")</f>
        <v/>
      </c>
      <c r="J145" s="84">
        <f t="shared" si="4"/>
        <v>4</v>
      </c>
    </row>
    <row r="146" spans="2:10" ht="14.45" hidden="1" x14ac:dyDescent="0.3">
      <c r="B146" s="85" t="str">
        <f>IFERROR(VLOOKUP(A146,Lookup!A:B,2,0),"")</f>
        <v/>
      </c>
      <c r="C146" s="85" t="str">
        <f>IFERROR(VLOOKUP(A146,Lookup!A:C,3,0),"")</f>
        <v/>
      </c>
      <c r="J146" s="84">
        <f t="shared" si="4"/>
        <v>4</v>
      </c>
    </row>
    <row r="147" spans="2:10" ht="14.45" hidden="1" x14ac:dyDescent="0.3">
      <c r="B147" s="85" t="str">
        <f>IFERROR(VLOOKUP(A147,Lookup!A:B,2,0),"")</f>
        <v/>
      </c>
      <c r="C147" s="85" t="str">
        <f>IFERROR(VLOOKUP(A147,Lookup!A:C,3,0),"")</f>
        <v/>
      </c>
      <c r="J147" s="84">
        <f t="shared" si="4"/>
        <v>4</v>
      </c>
    </row>
    <row r="148" spans="2:10" ht="14.45" hidden="1" x14ac:dyDescent="0.3">
      <c r="B148" s="85" t="str">
        <f>IFERROR(VLOOKUP(A148,Lookup!A:B,2,0),"")</f>
        <v/>
      </c>
      <c r="C148" s="85" t="str">
        <f>IFERROR(VLOOKUP(A148,Lookup!A:C,3,0),"")</f>
        <v/>
      </c>
      <c r="J148" s="84">
        <f t="shared" si="4"/>
        <v>4</v>
      </c>
    </row>
    <row r="149" spans="2:10" ht="14.45" hidden="1" x14ac:dyDescent="0.3">
      <c r="B149" s="85" t="str">
        <f>IFERROR(VLOOKUP(A149,Lookup!A:B,2,0),"")</f>
        <v/>
      </c>
      <c r="C149" s="85" t="str">
        <f>IFERROR(VLOOKUP(A149,Lookup!A:C,3,0),"")</f>
        <v/>
      </c>
      <c r="J149" s="84">
        <f t="shared" si="4"/>
        <v>4</v>
      </c>
    </row>
    <row r="150" spans="2:10" ht="14.45" hidden="1" x14ac:dyDescent="0.3">
      <c r="B150" s="85" t="str">
        <f>IFERROR(VLOOKUP(A150,Lookup!A:B,2,0),"")</f>
        <v/>
      </c>
      <c r="C150" s="85" t="str">
        <f>IFERROR(VLOOKUP(A150,Lookup!A:C,3,0),"")</f>
        <v/>
      </c>
      <c r="J150" s="84">
        <f t="shared" si="4"/>
        <v>4</v>
      </c>
    </row>
    <row r="151" spans="2:10" ht="14.45" hidden="1" x14ac:dyDescent="0.3">
      <c r="B151" s="85" t="str">
        <f>IFERROR(VLOOKUP(A151,Lookup!A:B,2,0),"")</f>
        <v/>
      </c>
      <c r="C151" s="85" t="str">
        <f>IFERROR(VLOOKUP(A151,Lookup!A:C,3,0),"")</f>
        <v/>
      </c>
      <c r="J151" s="84">
        <f t="shared" si="4"/>
        <v>4</v>
      </c>
    </row>
    <row r="152" spans="2:10" ht="14.45" hidden="1" x14ac:dyDescent="0.3">
      <c r="B152" s="85" t="str">
        <f>IFERROR(VLOOKUP(A152,Lookup!A:B,2,0),"")</f>
        <v/>
      </c>
      <c r="C152" s="85" t="str">
        <f>IFERROR(VLOOKUP(A152,Lookup!A:C,3,0),"")</f>
        <v/>
      </c>
      <c r="J152" s="84">
        <f t="shared" si="4"/>
        <v>4</v>
      </c>
    </row>
    <row r="153" spans="2:10" ht="14.45" hidden="1" x14ac:dyDescent="0.3">
      <c r="B153" s="85" t="str">
        <f>IFERROR(VLOOKUP(A153,Lookup!A:B,2,0),"")</f>
        <v/>
      </c>
      <c r="C153" s="85" t="str">
        <f>IFERROR(VLOOKUP(A153,Lookup!A:C,3,0),"")</f>
        <v/>
      </c>
      <c r="J153" s="84">
        <f t="shared" si="4"/>
        <v>4</v>
      </c>
    </row>
    <row r="154" spans="2:10" ht="14.45" hidden="1" x14ac:dyDescent="0.3">
      <c r="B154" s="85" t="str">
        <f>IFERROR(VLOOKUP(A154,Lookup!A:B,2,0),"")</f>
        <v/>
      </c>
      <c r="C154" s="85" t="str">
        <f>IFERROR(VLOOKUP(A154,Lookup!A:C,3,0),"")</f>
        <v/>
      </c>
      <c r="J154" s="84">
        <f t="shared" si="4"/>
        <v>4</v>
      </c>
    </row>
    <row r="155" spans="2:10" ht="14.45" hidden="1" x14ac:dyDescent="0.3">
      <c r="B155" s="85" t="str">
        <f>IFERROR(VLOOKUP(A155,Lookup!A:B,2,0),"")</f>
        <v/>
      </c>
      <c r="C155" s="85" t="str">
        <f>IFERROR(VLOOKUP(A155,Lookup!A:C,3,0),"")</f>
        <v/>
      </c>
      <c r="J155" s="84">
        <f t="shared" si="4"/>
        <v>4</v>
      </c>
    </row>
    <row r="156" spans="2:10" ht="14.45" hidden="1" x14ac:dyDescent="0.3">
      <c r="B156" s="85" t="str">
        <f>IFERROR(VLOOKUP(A156,Lookup!A:B,2,0),"")</f>
        <v/>
      </c>
      <c r="C156" s="85" t="str">
        <f>IFERROR(VLOOKUP(A156,Lookup!A:C,3,0),"")</f>
        <v/>
      </c>
      <c r="J156" s="84">
        <f t="shared" si="4"/>
        <v>4</v>
      </c>
    </row>
    <row r="157" spans="2:10" ht="14.45" hidden="1" x14ac:dyDescent="0.3">
      <c r="B157" s="85" t="str">
        <f>IFERROR(VLOOKUP(A157,Lookup!A:B,2,0),"")</f>
        <v/>
      </c>
      <c r="C157" s="85" t="str">
        <f>IFERROR(VLOOKUP(A157,Lookup!A:C,3,0),"")</f>
        <v/>
      </c>
      <c r="J157" s="84">
        <f t="shared" si="4"/>
        <v>4</v>
      </c>
    </row>
    <row r="158" spans="2:10" ht="14.45" hidden="1" x14ac:dyDescent="0.3">
      <c r="B158" s="85" t="str">
        <f>IFERROR(VLOOKUP(A158,Lookup!A:B,2,0),"")</f>
        <v/>
      </c>
      <c r="C158" s="85" t="str">
        <f>IFERROR(VLOOKUP(A158,Lookup!A:C,3,0),"")</f>
        <v/>
      </c>
      <c r="J158" s="84">
        <f t="shared" si="4"/>
        <v>4</v>
      </c>
    </row>
    <row r="159" spans="2:10" ht="14.45" hidden="1" x14ac:dyDescent="0.3">
      <c r="B159" s="85" t="str">
        <f>IFERROR(VLOOKUP(A159,Lookup!A:B,2,0),"")</f>
        <v/>
      </c>
      <c r="C159" s="85" t="str">
        <f>IFERROR(VLOOKUP(A159,Lookup!A:C,3,0),"")</f>
        <v/>
      </c>
      <c r="J159" s="84">
        <f t="shared" si="4"/>
        <v>4</v>
      </c>
    </row>
    <row r="160" spans="2:10" ht="14.45" hidden="1" x14ac:dyDescent="0.3">
      <c r="B160" s="85" t="str">
        <f>IFERROR(VLOOKUP(A160,Lookup!A:B,2,0),"")</f>
        <v/>
      </c>
      <c r="C160" s="85" t="str">
        <f>IFERROR(VLOOKUP(A160,Lookup!A:C,3,0),"")</f>
        <v/>
      </c>
      <c r="J160" s="84">
        <f t="shared" si="4"/>
        <v>4</v>
      </c>
    </row>
    <row r="161" spans="2:10" ht="14.45" hidden="1" x14ac:dyDescent="0.3">
      <c r="B161" s="85" t="str">
        <f>IFERROR(VLOOKUP(A161,Lookup!A:B,2,0),"")</f>
        <v/>
      </c>
      <c r="C161" s="85" t="str">
        <f>IFERROR(VLOOKUP(A161,Lookup!A:C,3,0),"")</f>
        <v/>
      </c>
      <c r="J161" s="84">
        <f t="shared" si="4"/>
        <v>4</v>
      </c>
    </row>
    <row r="162" spans="2:10" ht="14.45" hidden="1" x14ac:dyDescent="0.3">
      <c r="B162" s="85" t="str">
        <f>IFERROR(VLOOKUP(A162,Lookup!A:B,2,0),"")</f>
        <v/>
      </c>
      <c r="C162" s="85" t="str">
        <f>IFERROR(VLOOKUP(A162,Lookup!A:C,3,0),"")</f>
        <v/>
      </c>
      <c r="J162" s="84">
        <f t="shared" ref="J162:J198" si="5">IF(H162="SET",1,IF(H162="FREQ",3,IF(H162="",4,2)))</f>
        <v>4</v>
      </c>
    </row>
    <row r="163" spans="2:10" ht="14.45" hidden="1" x14ac:dyDescent="0.3">
      <c r="B163" s="85" t="str">
        <f>IFERROR(VLOOKUP(A163,Lookup!A:B,2,0),"")</f>
        <v/>
      </c>
      <c r="C163" s="85" t="str">
        <f>IFERROR(VLOOKUP(A163,Lookup!A:C,3,0),"")</f>
        <v/>
      </c>
      <c r="J163" s="84">
        <f t="shared" si="5"/>
        <v>4</v>
      </c>
    </row>
    <row r="164" spans="2:10" ht="14.45" hidden="1" x14ac:dyDescent="0.3">
      <c r="B164" s="85" t="str">
        <f>IFERROR(VLOOKUP(A164,Lookup!A:B,2,0),"")</f>
        <v/>
      </c>
      <c r="C164" s="85" t="str">
        <f>IFERROR(VLOOKUP(A164,Lookup!A:C,3,0),"")</f>
        <v/>
      </c>
      <c r="J164" s="84">
        <f t="shared" si="5"/>
        <v>4</v>
      </c>
    </row>
    <row r="165" spans="2:10" ht="14.45" hidden="1" x14ac:dyDescent="0.3">
      <c r="B165" s="85" t="str">
        <f>IFERROR(VLOOKUP(A165,Lookup!A:B,2,0),"")</f>
        <v/>
      </c>
      <c r="C165" s="85" t="str">
        <f>IFERROR(VLOOKUP(A165,Lookup!A:C,3,0),"")</f>
        <v/>
      </c>
      <c r="J165" s="84">
        <f t="shared" si="5"/>
        <v>4</v>
      </c>
    </row>
    <row r="166" spans="2:10" ht="14.45" hidden="1" x14ac:dyDescent="0.3">
      <c r="B166" s="85" t="str">
        <f>IFERROR(VLOOKUP(A166,Lookup!A:B,2,0),"")</f>
        <v/>
      </c>
      <c r="C166" s="85" t="str">
        <f>IFERROR(VLOOKUP(A166,Lookup!A:C,3,0),"")</f>
        <v/>
      </c>
      <c r="J166" s="84">
        <f t="shared" si="5"/>
        <v>4</v>
      </c>
    </row>
    <row r="167" spans="2:10" ht="14.45" hidden="1" x14ac:dyDescent="0.3">
      <c r="B167" s="85" t="str">
        <f>IFERROR(VLOOKUP(A167,Lookup!A:B,2,0),"")</f>
        <v/>
      </c>
      <c r="C167" s="85" t="str">
        <f>IFERROR(VLOOKUP(A167,Lookup!A:C,3,0),"")</f>
        <v/>
      </c>
      <c r="J167" s="84">
        <f t="shared" si="5"/>
        <v>4</v>
      </c>
    </row>
    <row r="168" spans="2:10" ht="14.45" hidden="1" x14ac:dyDescent="0.3">
      <c r="B168" s="85" t="str">
        <f>IFERROR(VLOOKUP(A168,Lookup!A:B,2,0),"")</f>
        <v/>
      </c>
      <c r="C168" s="85" t="str">
        <f>IFERROR(VLOOKUP(A168,Lookup!A:C,3,0),"")</f>
        <v/>
      </c>
      <c r="J168" s="84">
        <f t="shared" si="5"/>
        <v>4</v>
      </c>
    </row>
    <row r="169" spans="2:10" ht="14.45" hidden="1" x14ac:dyDescent="0.3">
      <c r="B169" s="85" t="str">
        <f>IFERROR(VLOOKUP(A169,Lookup!A:B,2,0),"")</f>
        <v/>
      </c>
      <c r="C169" s="85" t="str">
        <f>IFERROR(VLOOKUP(A169,Lookup!A:C,3,0),"")</f>
        <v/>
      </c>
      <c r="J169" s="84">
        <f t="shared" si="5"/>
        <v>4</v>
      </c>
    </row>
    <row r="170" spans="2:10" ht="14.45" hidden="1" x14ac:dyDescent="0.3">
      <c r="B170" s="85" t="str">
        <f>IFERROR(VLOOKUP(A170,Lookup!A:B,2,0),"")</f>
        <v/>
      </c>
      <c r="C170" s="85" t="str">
        <f>IFERROR(VLOOKUP(A170,Lookup!A:C,3,0),"")</f>
        <v/>
      </c>
      <c r="J170" s="84">
        <f t="shared" si="5"/>
        <v>4</v>
      </c>
    </row>
    <row r="171" spans="2:10" ht="14.45" hidden="1" x14ac:dyDescent="0.3">
      <c r="B171" s="85" t="str">
        <f>IFERROR(VLOOKUP(A171,Lookup!A:B,2,0),"")</f>
        <v/>
      </c>
      <c r="C171" s="85" t="str">
        <f>IFERROR(VLOOKUP(A171,Lookup!A:C,3,0),"")</f>
        <v/>
      </c>
      <c r="J171" s="84">
        <f t="shared" si="5"/>
        <v>4</v>
      </c>
    </row>
    <row r="172" spans="2:10" ht="14.45" hidden="1" x14ac:dyDescent="0.3">
      <c r="B172" s="85" t="str">
        <f>IFERROR(VLOOKUP(A172,Lookup!A:B,2,0),"")</f>
        <v/>
      </c>
      <c r="C172" s="85" t="str">
        <f>IFERROR(VLOOKUP(A172,Lookup!A:C,3,0),"")</f>
        <v/>
      </c>
      <c r="J172" s="84">
        <f t="shared" si="5"/>
        <v>4</v>
      </c>
    </row>
    <row r="173" spans="2:10" ht="14.45" hidden="1" x14ac:dyDescent="0.3">
      <c r="B173" s="85" t="str">
        <f>IFERROR(VLOOKUP(A173,Lookup!A:B,2,0),"")</f>
        <v/>
      </c>
      <c r="C173" s="85" t="str">
        <f>IFERROR(VLOOKUP(A173,Lookup!A:C,3,0),"")</f>
        <v/>
      </c>
      <c r="J173" s="84">
        <f t="shared" si="5"/>
        <v>4</v>
      </c>
    </row>
    <row r="174" spans="2:10" ht="14.45" hidden="1" x14ac:dyDescent="0.3">
      <c r="B174" s="85" t="str">
        <f>IFERROR(VLOOKUP(A174,Lookup!A:B,2,0),"")</f>
        <v/>
      </c>
      <c r="C174" s="85" t="str">
        <f>IFERROR(VLOOKUP(A174,Lookup!A:C,3,0),"")</f>
        <v/>
      </c>
      <c r="J174" s="84">
        <f t="shared" si="5"/>
        <v>4</v>
      </c>
    </row>
    <row r="175" spans="2:10" ht="14.45" hidden="1" x14ac:dyDescent="0.3">
      <c r="B175" s="85" t="str">
        <f>IFERROR(VLOOKUP(A175,Lookup!A:B,2,0),"")</f>
        <v/>
      </c>
      <c r="C175" s="85" t="str">
        <f>IFERROR(VLOOKUP(A175,Lookup!A:C,3,0),"")</f>
        <v/>
      </c>
      <c r="J175" s="84">
        <f t="shared" si="5"/>
        <v>4</v>
      </c>
    </row>
    <row r="176" spans="2:10" ht="14.45" hidden="1" x14ac:dyDescent="0.3">
      <c r="B176" s="85" t="str">
        <f>IFERROR(VLOOKUP(A176,Lookup!A:B,2,0),"")</f>
        <v/>
      </c>
      <c r="C176" s="85" t="str">
        <f>IFERROR(VLOOKUP(A176,Lookup!A:C,3,0),"")</f>
        <v/>
      </c>
      <c r="J176" s="84">
        <f t="shared" si="5"/>
        <v>4</v>
      </c>
    </row>
    <row r="177" spans="2:10" ht="14.45" hidden="1" x14ac:dyDescent="0.3">
      <c r="B177" s="85" t="str">
        <f>IFERROR(VLOOKUP(A177,Lookup!A:B,2,0),"")</f>
        <v/>
      </c>
      <c r="C177" s="85" t="str">
        <f>IFERROR(VLOOKUP(A177,Lookup!A:C,3,0),"")</f>
        <v/>
      </c>
      <c r="J177" s="84">
        <f t="shared" si="5"/>
        <v>4</v>
      </c>
    </row>
    <row r="178" spans="2:10" ht="14.45" hidden="1" x14ac:dyDescent="0.3">
      <c r="B178" s="85" t="str">
        <f>IFERROR(VLOOKUP(A178,Lookup!A:B,2,0),"")</f>
        <v/>
      </c>
      <c r="C178" s="85" t="str">
        <f>IFERROR(VLOOKUP(A178,Lookup!A:C,3,0),"")</f>
        <v/>
      </c>
      <c r="J178" s="84">
        <f t="shared" si="5"/>
        <v>4</v>
      </c>
    </row>
    <row r="179" spans="2:10" ht="14.45" hidden="1" x14ac:dyDescent="0.3">
      <c r="B179" s="85" t="str">
        <f>IFERROR(VLOOKUP(A179,Lookup!A:B,2,0),"")</f>
        <v/>
      </c>
      <c r="C179" s="85" t="str">
        <f>IFERROR(VLOOKUP(A179,Lookup!A:C,3,0),"")</f>
        <v/>
      </c>
      <c r="J179" s="84">
        <f t="shared" si="5"/>
        <v>4</v>
      </c>
    </row>
    <row r="180" spans="2:10" ht="14.45" hidden="1" x14ac:dyDescent="0.3">
      <c r="B180" s="85" t="str">
        <f>IFERROR(VLOOKUP(A180,Lookup!A:B,2,0),"")</f>
        <v/>
      </c>
      <c r="C180" s="85" t="str">
        <f>IFERROR(VLOOKUP(A180,Lookup!A:C,3,0),"")</f>
        <v/>
      </c>
      <c r="J180" s="84">
        <f t="shared" si="5"/>
        <v>4</v>
      </c>
    </row>
    <row r="181" spans="2:10" ht="14.45" hidden="1" x14ac:dyDescent="0.3">
      <c r="B181" s="85" t="str">
        <f>IFERROR(VLOOKUP(A181,Lookup!A:B,2,0),"")</f>
        <v/>
      </c>
      <c r="C181" s="85" t="str">
        <f>IFERROR(VLOOKUP(A181,Lookup!A:C,3,0),"")</f>
        <v/>
      </c>
      <c r="J181" s="84">
        <f t="shared" si="5"/>
        <v>4</v>
      </c>
    </row>
    <row r="182" spans="2:10" ht="14.45" hidden="1" x14ac:dyDescent="0.3">
      <c r="B182" s="85" t="str">
        <f>IFERROR(VLOOKUP(A182,Lookup!A:B,2,0),"")</f>
        <v/>
      </c>
      <c r="C182" s="85" t="str">
        <f>IFERROR(VLOOKUP(A182,Lookup!A:C,3,0),"")</f>
        <v/>
      </c>
      <c r="J182" s="84">
        <f t="shared" si="5"/>
        <v>4</v>
      </c>
    </row>
    <row r="183" spans="2:10" ht="14.45" hidden="1" x14ac:dyDescent="0.3">
      <c r="B183" s="85" t="str">
        <f>IFERROR(VLOOKUP(A183,Lookup!A:B,2,0),"")</f>
        <v/>
      </c>
      <c r="C183" s="85" t="str">
        <f>IFERROR(VLOOKUP(A183,Lookup!A:C,3,0),"")</f>
        <v/>
      </c>
      <c r="J183" s="84">
        <f t="shared" si="5"/>
        <v>4</v>
      </c>
    </row>
    <row r="184" spans="2:10" ht="14.45" hidden="1" x14ac:dyDescent="0.3">
      <c r="B184" s="85" t="str">
        <f>IFERROR(VLOOKUP(A184,Lookup!A:B,2,0),"")</f>
        <v/>
      </c>
      <c r="C184" s="85" t="str">
        <f>IFERROR(VLOOKUP(A184,Lookup!A:C,3,0),"")</f>
        <v/>
      </c>
      <c r="J184" s="84">
        <f t="shared" si="5"/>
        <v>4</v>
      </c>
    </row>
    <row r="185" spans="2:10" ht="14.45" hidden="1" x14ac:dyDescent="0.3">
      <c r="B185" s="85" t="str">
        <f>IFERROR(VLOOKUP(A185,Lookup!A:B,2,0),"")</f>
        <v/>
      </c>
      <c r="C185" s="85" t="str">
        <f>IFERROR(VLOOKUP(A185,Lookup!A:C,3,0),"")</f>
        <v/>
      </c>
      <c r="J185" s="84">
        <f t="shared" si="5"/>
        <v>4</v>
      </c>
    </row>
    <row r="186" spans="2:10" ht="14.45" hidden="1" x14ac:dyDescent="0.3">
      <c r="B186" s="85" t="str">
        <f>IFERROR(VLOOKUP(A186,Lookup!A:B,2,0),"")</f>
        <v/>
      </c>
      <c r="C186" s="85" t="str">
        <f>IFERROR(VLOOKUP(A186,Lookup!A:C,3,0),"")</f>
        <v/>
      </c>
      <c r="J186" s="84">
        <f t="shared" si="5"/>
        <v>4</v>
      </c>
    </row>
    <row r="187" spans="2:10" ht="14.45" hidden="1" x14ac:dyDescent="0.3">
      <c r="B187" s="85" t="str">
        <f>IFERROR(VLOOKUP(A187,Lookup!A:B,2,0),"")</f>
        <v/>
      </c>
      <c r="C187" s="85" t="str">
        <f>IFERROR(VLOOKUP(A187,Lookup!A:C,3,0),"")</f>
        <v/>
      </c>
      <c r="J187" s="84">
        <f t="shared" si="5"/>
        <v>4</v>
      </c>
    </row>
    <row r="188" spans="2:10" ht="14.45" hidden="1" x14ac:dyDescent="0.3">
      <c r="B188" s="85" t="str">
        <f>IFERROR(VLOOKUP(A188,Lookup!A:B,2,0),"")</f>
        <v/>
      </c>
      <c r="C188" s="85" t="str">
        <f>IFERROR(VLOOKUP(A188,Lookup!A:C,3,0),"")</f>
        <v/>
      </c>
      <c r="J188" s="84">
        <f t="shared" si="5"/>
        <v>4</v>
      </c>
    </row>
    <row r="189" spans="2:10" ht="14.45" hidden="1" x14ac:dyDescent="0.3">
      <c r="B189" s="85" t="str">
        <f>IFERROR(VLOOKUP(A189,Lookup!A:B,2,0),"")</f>
        <v/>
      </c>
      <c r="C189" s="85" t="str">
        <f>IFERROR(VLOOKUP(A189,Lookup!A:C,3,0),"")</f>
        <v/>
      </c>
      <c r="J189" s="84">
        <f t="shared" si="5"/>
        <v>4</v>
      </c>
    </row>
    <row r="190" spans="2:10" ht="14.45" hidden="1" x14ac:dyDescent="0.3">
      <c r="B190" s="85" t="str">
        <f>IFERROR(VLOOKUP(A190,Lookup!A:B,2,0),"")</f>
        <v/>
      </c>
      <c r="C190" s="85" t="str">
        <f>IFERROR(VLOOKUP(A190,Lookup!A:C,3,0),"")</f>
        <v/>
      </c>
      <c r="J190" s="84">
        <f t="shared" si="5"/>
        <v>4</v>
      </c>
    </row>
    <row r="191" spans="2:10" ht="14.45" hidden="1" x14ac:dyDescent="0.3">
      <c r="B191" s="85" t="str">
        <f>IFERROR(VLOOKUP(A191,Lookup!A:B,2,0),"")</f>
        <v/>
      </c>
      <c r="C191" s="85" t="str">
        <f>IFERROR(VLOOKUP(A191,Lookup!A:C,3,0),"")</f>
        <v/>
      </c>
      <c r="J191" s="84">
        <f t="shared" si="5"/>
        <v>4</v>
      </c>
    </row>
    <row r="192" spans="2:10" ht="14.45" hidden="1" x14ac:dyDescent="0.3">
      <c r="B192" s="85" t="str">
        <f>IFERROR(VLOOKUP(A192,Lookup!A:B,2,0),"")</f>
        <v/>
      </c>
      <c r="C192" s="85" t="str">
        <f>IFERROR(VLOOKUP(A192,Lookup!A:C,3,0),"")</f>
        <v/>
      </c>
      <c r="J192" s="84">
        <f t="shared" si="5"/>
        <v>4</v>
      </c>
    </row>
    <row r="193" spans="2:10" ht="14.45" hidden="1" x14ac:dyDescent="0.3">
      <c r="B193" s="85" t="str">
        <f>IFERROR(VLOOKUP(A193,Lookup!A:B,2,0),"")</f>
        <v/>
      </c>
      <c r="C193" s="85" t="str">
        <f>IFERROR(VLOOKUP(A193,Lookup!A:C,3,0),"")</f>
        <v/>
      </c>
      <c r="J193" s="84">
        <f t="shared" si="5"/>
        <v>4</v>
      </c>
    </row>
    <row r="194" spans="2:10" ht="14.45" hidden="1" x14ac:dyDescent="0.3">
      <c r="B194" s="85" t="str">
        <f>IFERROR(VLOOKUP(A194,Lookup!A:B,2,0),"")</f>
        <v/>
      </c>
      <c r="C194" s="85" t="str">
        <f>IFERROR(VLOOKUP(A194,Lookup!A:C,3,0),"")</f>
        <v/>
      </c>
      <c r="J194" s="84">
        <f t="shared" si="5"/>
        <v>4</v>
      </c>
    </row>
    <row r="195" spans="2:10" ht="14.45" hidden="1" x14ac:dyDescent="0.3">
      <c r="B195" s="85" t="str">
        <f>IFERROR(VLOOKUP(A195,Lookup!A:B,2,0),"")</f>
        <v/>
      </c>
      <c r="C195" s="85" t="str">
        <f>IFERROR(VLOOKUP(A195,Lookup!A:C,3,0),"")</f>
        <v/>
      </c>
      <c r="J195" s="84">
        <f t="shared" si="5"/>
        <v>4</v>
      </c>
    </row>
    <row r="196" spans="2:10" ht="14.45" hidden="1" x14ac:dyDescent="0.3">
      <c r="B196" s="85" t="str">
        <f>IFERROR(VLOOKUP(A196,Lookup!A:B,2,0),"")</f>
        <v/>
      </c>
      <c r="C196" s="85" t="str">
        <f>IFERROR(VLOOKUP(A196,Lookup!A:C,3,0),"")</f>
        <v/>
      </c>
      <c r="J196" s="84">
        <f t="shared" si="5"/>
        <v>4</v>
      </c>
    </row>
    <row r="197" spans="2:10" ht="14.45" hidden="1" x14ac:dyDescent="0.3">
      <c r="B197" s="85" t="str">
        <f>IFERROR(VLOOKUP(A197,Lookup!A:B,2,0),"")</f>
        <v/>
      </c>
      <c r="C197" s="85" t="str">
        <f>IFERROR(VLOOKUP(A197,Lookup!A:C,3,0),"")</f>
        <v/>
      </c>
      <c r="J197" s="84">
        <f t="shared" si="5"/>
        <v>4</v>
      </c>
    </row>
    <row r="198" spans="2:10" ht="14.45" hidden="1" x14ac:dyDescent="0.3">
      <c r="B198" s="85" t="str">
        <f>IFERROR(VLOOKUP(A198,Lookup!A:B,2,0),"")</f>
        <v/>
      </c>
      <c r="C198" s="85" t="str">
        <f>IFERROR(VLOOKUP(A198,Lookup!A:C,3,0),"")</f>
        <v/>
      </c>
      <c r="J198" s="84">
        <f t="shared" si="5"/>
        <v>4</v>
      </c>
    </row>
    <row r="199" spans="2:10" ht="14.45" hidden="1" x14ac:dyDescent="0.3">
      <c r="B199" s="85" t="str">
        <f>IFERROR(VLOOKUP(A199,Lookup!A:B,2,0),"")</f>
        <v/>
      </c>
      <c r="C199" s="85" t="str">
        <f>IFERROR(VLOOKUP(A199,Lookup!A:C,3,0),"")</f>
        <v/>
      </c>
      <c r="J199">
        <f t="shared" ref="J199:J206" si="6">IF(H199="SET",1,IF(H199="FREQ",3,IF(H199="",4,2)))</f>
        <v>4</v>
      </c>
    </row>
    <row r="200" spans="2:10" ht="14.45" hidden="1" x14ac:dyDescent="0.3">
      <c r="B200" s="85" t="str">
        <f>IFERROR(VLOOKUP(A200,Lookup!A:B,2,0),"")</f>
        <v/>
      </c>
      <c r="C200" s="85" t="str">
        <f>IFERROR(VLOOKUP(A200,Lookup!A:C,3,0),"")</f>
        <v/>
      </c>
      <c r="J200">
        <f t="shared" si="6"/>
        <v>4</v>
      </c>
    </row>
    <row r="201" spans="2:10" ht="14.45" hidden="1" x14ac:dyDescent="0.3">
      <c r="B201" s="85" t="str">
        <f>IFERROR(VLOOKUP(A201,Lookup!A:B,2,0),"")</f>
        <v/>
      </c>
      <c r="C201" s="85" t="str">
        <f>IFERROR(VLOOKUP(A201,Lookup!A:C,3,0),"")</f>
        <v/>
      </c>
      <c r="J201">
        <f t="shared" si="6"/>
        <v>4</v>
      </c>
    </row>
    <row r="202" spans="2:10" ht="14.45" hidden="1" x14ac:dyDescent="0.3">
      <c r="B202" s="85" t="str">
        <f>IFERROR(VLOOKUP(A202,Lookup!A:B,2,0),"")</f>
        <v/>
      </c>
      <c r="C202" s="85" t="str">
        <f>IFERROR(VLOOKUP(A202,Lookup!A:C,3,0),"")</f>
        <v/>
      </c>
      <c r="J202">
        <f t="shared" si="6"/>
        <v>4</v>
      </c>
    </row>
    <row r="203" spans="2:10" ht="14.45" hidden="1" x14ac:dyDescent="0.3">
      <c r="B203" s="85" t="str">
        <f>IFERROR(VLOOKUP(A203,Lookup!A:B,2,0),"")</f>
        <v/>
      </c>
      <c r="C203" s="85" t="str">
        <f>IFERROR(VLOOKUP(A203,Lookup!A:C,3,0),"")</f>
        <v/>
      </c>
      <c r="J203">
        <f t="shared" si="6"/>
        <v>4</v>
      </c>
    </row>
    <row r="204" spans="2:10" ht="14.45" hidden="1" x14ac:dyDescent="0.3">
      <c r="B204" s="85" t="str">
        <f>IFERROR(VLOOKUP(A204,Lookup!A:B,2,0),"")</f>
        <v/>
      </c>
      <c r="C204" s="85" t="str">
        <f>IFERROR(VLOOKUP(A204,Lookup!A:C,3,0),"")</f>
        <v/>
      </c>
      <c r="J204">
        <f t="shared" si="6"/>
        <v>4</v>
      </c>
    </row>
    <row r="205" spans="2:10" ht="14.45" hidden="1" x14ac:dyDescent="0.3">
      <c r="B205" s="85" t="str">
        <f>IFERROR(VLOOKUP(A205,Lookup!A:B,2,0),"")</f>
        <v/>
      </c>
      <c r="C205" s="85" t="str">
        <f>IFERROR(VLOOKUP(A205,Lookup!A:C,3,0),"")</f>
        <v/>
      </c>
      <c r="J205">
        <f t="shared" si="6"/>
        <v>4</v>
      </c>
    </row>
    <row r="206" spans="2:10" ht="14.45" hidden="1" x14ac:dyDescent="0.3">
      <c r="B206" s="85" t="str">
        <f>IFERROR(VLOOKUP(A206,Lookup!A:B,2,0),"")</f>
        <v/>
      </c>
      <c r="C206" s="85" t="str">
        <f>IFERROR(VLOOKUP(A206,Lookup!A:C,3,0),"")</f>
        <v/>
      </c>
      <c r="J206">
        <f t="shared" si="6"/>
        <v>4</v>
      </c>
    </row>
    <row r="207" spans="2:10" ht="14.45" hidden="1" x14ac:dyDescent="0.3">
      <c r="B207" s="85" t="str">
        <f>IFERROR(VLOOKUP(A207,Lookup!A:B,2,0),"")</f>
        <v/>
      </c>
      <c r="C207" s="85" t="str">
        <f>IFERROR(VLOOKUP(A207,Lookup!A:C,3,0),"")</f>
        <v/>
      </c>
      <c r="J207">
        <f t="shared" ref="J207:J270" si="7">IF(H207="SET",1,IF(H207="FREQ",3,IF(H207="",4,2)))</f>
        <v>4</v>
      </c>
    </row>
    <row r="208" spans="2:10" ht="14.45" hidden="1" x14ac:dyDescent="0.3">
      <c r="B208" s="85" t="str">
        <f>IFERROR(VLOOKUP(A208,Lookup!A:B,2,0),"")</f>
        <v/>
      </c>
      <c r="C208" s="85" t="str">
        <f>IFERROR(VLOOKUP(A208,Lookup!A:C,3,0),"")</f>
        <v/>
      </c>
      <c r="J208">
        <f t="shared" si="7"/>
        <v>4</v>
      </c>
    </row>
    <row r="209" spans="2:10" ht="14.45" hidden="1" x14ac:dyDescent="0.3">
      <c r="B209" s="85" t="str">
        <f>IFERROR(VLOOKUP(A209,Lookup!A:B,2,0),"")</f>
        <v/>
      </c>
      <c r="C209" s="85" t="str">
        <f>IFERROR(VLOOKUP(A209,Lookup!A:C,3,0),"")</f>
        <v/>
      </c>
      <c r="J209">
        <f t="shared" si="7"/>
        <v>4</v>
      </c>
    </row>
    <row r="210" spans="2:10" ht="14.45" hidden="1" x14ac:dyDescent="0.3">
      <c r="B210" s="85" t="str">
        <f>IFERROR(VLOOKUP(A210,Lookup!A:B,2,0),"")</f>
        <v/>
      </c>
      <c r="C210" s="85" t="str">
        <f>IFERROR(VLOOKUP(A210,Lookup!A:C,3,0),"")</f>
        <v/>
      </c>
      <c r="J210">
        <f t="shared" si="7"/>
        <v>4</v>
      </c>
    </row>
    <row r="211" spans="2:10" ht="14.45" hidden="1" x14ac:dyDescent="0.3">
      <c r="B211" s="85" t="str">
        <f>IFERROR(VLOOKUP(A211,Lookup!A:B,2,0),"")</f>
        <v/>
      </c>
      <c r="C211" s="85" t="str">
        <f>IFERROR(VLOOKUP(A211,Lookup!A:C,3,0),"")</f>
        <v/>
      </c>
      <c r="J211">
        <f t="shared" si="7"/>
        <v>4</v>
      </c>
    </row>
    <row r="212" spans="2:10" ht="14.45" hidden="1" x14ac:dyDescent="0.3">
      <c r="B212" s="85" t="str">
        <f>IFERROR(VLOOKUP(A212,Lookup!A:B,2,0),"")</f>
        <v/>
      </c>
      <c r="C212" s="85" t="str">
        <f>IFERROR(VLOOKUP(A212,Lookup!A:C,3,0),"")</f>
        <v/>
      </c>
      <c r="J212">
        <f t="shared" si="7"/>
        <v>4</v>
      </c>
    </row>
    <row r="213" spans="2:10" ht="14.45" hidden="1" x14ac:dyDescent="0.3">
      <c r="B213" s="85" t="str">
        <f>IFERROR(VLOOKUP(A213,Lookup!A:B,2,0),"")</f>
        <v/>
      </c>
      <c r="C213" s="85" t="str">
        <f>IFERROR(VLOOKUP(A213,Lookup!A:C,3,0),"")</f>
        <v/>
      </c>
      <c r="J213">
        <f t="shared" si="7"/>
        <v>4</v>
      </c>
    </row>
    <row r="214" spans="2:10" ht="14.45" hidden="1" x14ac:dyDescent="0.3">
      <c r="B214" s="85" t="str">
        <f>IFERROR(VLOOKUP(A214,Lookup!A:B,2,0),"")</f>
        <v/>
      </c>
      <c r="C214" s="85" t="str">
        <f>IFERROR(VLOOKUP(A214,Lookup!A:C,3,0),"")</f>
        <v/>
      </c>
      <c r="J214">
        <f t="shared" si="7"/>
        <v>4</v>
      </c>
    </row>
    <row r="215" spans="2:10" ht="14.45" hidden="1" x14ac:dyDescent="0.3">
      <c r="B215" s="85" t="str">
        <f>IFERROR(VLOOKUP(A215,Lookup!A:B,2,0),"")</f>
        <v/>
      </c>
      <c r="C215" s="85" t="str">
        <f>IFERROR(VLOOKUP(A215,Lookup!A:C,3,0),"")</f>
        <v/>
      </c>
      <c r="J215">
        <f t="shared" si="7"/>
        <v>4</v>
      </c>
    </row>
    <row r="216" spans="2:10" ht="14.45" hidden="1" x14ac:dyDescent="0.3">
      <c r="B216" s="85" t="str">
        <f>IFERROR(VLOOKUP(A216,Lookup!A:B,2,0),"")</f>
        <v/>
      </c>
      <c r="C216" s="85" t="str">
        <f>IFERROR(VLOOKUP(A216,Lookup!A:C,3,0),"")</f>
        <v/>
      </c>
      <c r="J216">
        <f t="shared" si="7"/>
        <v>4</v>
      </c>
    </row>
    <row r="217" spans="2:10" ht="14.45" hidden="1" x14ac:dyDescent="0.3">
      <c r="B217" s="85" t="str">
        <f>IFERROR(VLOOKUP(A217,Lookup!A:B,2,0),"")</f>
        <v/>
      </c>
      <c r="C217" s="85" t="str">
        <f>IFERROR(VLOOKUP(A217,Lookup!A:C,3,0),"")</f>
        <v/>
      </c>
      <c r="J217">
        <f t="shared" si="7"/>
        <v>4</v>
      </c>
    </row>
    <row r="218" spans="2:10" ht="14.45" hidden="1" x14ac:dyDescent="0.3">
      <c r="B218" s="85" t="str">
        <f>IFERROR(VLOOKUP(A218,Lookup!A:B,2,0),"")</f>
        <v/>
      </c>
      <c r="C218" s="85" t="str">
        <f>IFERROR(VLOOKUP(A218,Lookup!A:C,3,0),"")</f>
        <v/>
      </c>
      <c r="J218">
        <f t="shared" si="7"/>
        <v>4</v>
      </c>
    </row>
    <row r="219" spans="2:10" ht="14.45" hidden="1" x14ac:dyDescent="0.3">
      <c r="B219" s="85" t="str">
        <f>IFERROR(VLOOKUP(A219,Lookup!A:B,2,0),"")</f>
        <v/>
      </c>
      <c r="C219" s="85" t="str">
        <f>IFERROR(VLOOKUP(A219,Lookup!A:C,3,0),"")</f>
        <v/>
      </c>
      <c r="J219">
        <f t="shared" si="7"/>
        <v>4</v>
      </c>
    </row>
    <row r="220" spans="2:10" ht="14.45" hidden="1" x14ac:dyDescent="0.3">
      <c r="B220" s="85" t="str">
        <f>IFERROR(VLOOKUP(A220,Lookup!A:B,2,0),"")</f>
        <v/>
      </c>
      <c r="C220" s="85" t="str">
        <f>IFERROR(VLOOKUP(A220,Lookup!A:C,3,0),"")</f>
        <v/>
      </c>
      <c r="J220">
        <f t="shared" si="7"/>
        <v>4</v>
      </c>
    </row>
    <row r="221" spans="2:10" ht="14.45" hidden="1" x14ac:dyDescent="0.3">
      <c r="B221" s="85" t="str">
        <f>IFERROR(VLOOKUP(A221,Lookup!A:B,2,0),"")</f>
        <v/>
      </c>
      <c r="C221" s="85" t="str">
        <f>IFERROR(VLOOKUP(A221,Lookup!A:C,3,0),"")</f>
        <v/>
      </c>
      <c r="J221">
        <f t="shared" si="7"/>
        <v>4</v>
      </c>
    </row>
    <row r="222" spans="2:10" ht="14.45" hidden="1" x14ac:dyDescent="0.3">
      <c r="B222" s="85" t="str">
        <f>IFERROR(VLOOKUP(A222,Lookup!A:B,2,0),"")</f>
        <v/>
      </c>
      <c r="C222" s="85" t="str">
        <f>IFERROR(VLOOKUP(A222,Lookup!A:C,3,0),"")</f>
        <v/>
      </c>
      <c r="J222">
        <f t="shared" si="7"/>
        <v>4</v>
      </c>
    </row>
    <row r="223" spans="2:10" ht="14.45" hidden="1" x14ac:dyDescent="0.3">
      <c r="B223" s="85" t="str">
        <f>IFERROR(VLOOKUP(A223,Lookup!A:B,2,0),"")</f>
        <v/>
      </c>
      <c r="C223" s="85" t="str">
        <f>IFERROR(VLOOKUP(A223,Lookup!A:C,3,0),"")</f>
        <v/>
      </c>
      <c r="J223">
        <f t="shared" si="7"/>
        <v>4</v>
      </c>
    </row>
    <row r="224" spans="2:10" ht="14.45" hidden="1" x14ac:dyDescent="0.3">
      <c r="B224" s="85" t="str">
        <f>IFERROR(VLOOKUP(A224,Lookup!A:B,2,0),"")</f>
        <v/>
      </c>
      <c r="C224" s="85" t="str">
        <f>IFERROR(VLOOKUP(A224,Lookup!A:C,3,0),"")</f>
        <v/>
      </c>
      <c r="J224">
        <f t="shared" si="7"/>
        <v>4</v>
      </c>
    </row>
    <row r="225" spans="2:10" ht="14.45" hidden="1" x14ac:dyDescent="0.3">
      <c r="B225" s="85" t="str">
        <f>IFERROR(VLOOKUP(A225,Lookup!A:B,2,0),"")</f>
        <v/>
      </c>
      <c r="C225" s="85" t="str">
        <f>IFERROR(VLOOKUP(A225,Lookup!A:C,3,0),"")</f>
        <v/>
      </c>
      <c r="J225">
        <f t="shared" si="7"/>
        <v>4</v>
      </c>
    </row>
    <row r="226" spans="2:10" ht="14.45" hidden="1" x14ac:dyDescent="0.3">
      <c r="B226" s="85" t="str">
        <f>IFERROR(VLOOKUP(A226,Lookup!A:B,2,0),"")</f>
        <v/>
      </c>
      <c r="C226" s="85" t="str">
        <f>IFERROR(VLOOKUP(A226,Lookup!A:C,3,0),"")</f>
        <v/>
      </c>
      <c r="J226">
        <f t="shared" si="7"/>
        <v>4</v>
      </c>
    </row>
    <row r="227" spans="2:10" ht="14.45" hidden="1" x14ac:dyDescent="0.3">
      <c r="B227" s="85" t="str">
        <f>IFERROR(VLOOKUP(A227,Lookup!A:B,2,0),"")</f>
        <v/>
      </c>
      <c r="C227" s="85" t="str">
        <f>IFERROR(VLOOKUP(A227,Lookup!A:C,3,0),"")</f>
        <v/>
      </c>
      <c r="J227">
        <f t="shared" si="7"/>
        <v>4</v>
      </c>
    </row>
    <row r="228" spans="2:10" ht="14.45" hidden="1" x14ac:dyDescent="0.3">
      <c r="B228" s="85" t="str">
        <f>IFERROR(VLOOKUP(A228,Lookup!A:B,2,0),"")</f>
        <v/>
      </c>
      <c r="C228" s="85" t="str">
        <f>IFERROR(VLOOKUP(A228,Lookup!A:C,3,0),"")</f>
        <v/>
      </c>
      <c r="J228">
        <f t="shared" si="7"/>
        <v>4</v>
      </c>
    </row>
    <row r="229" spans="2:10" ht="14.45" hidden="1" x14ac:dyDescent="0.3">
      <c r="B229" s="85" t="str">
        <f>IFERROR(VLOOKUP(A229,Lookup!A:B,2,0),"")</f>
        <v/>
      </c>
      <c r="C229" s="85" t="str">
        <f>IFERROR(VLOOKUP(A229,Lookup!A:C,3,0),"")</f>
        <v/>
      </c>
      <c r="J229">
        <f t="shared" si="7"/>
        <v>4</v>
      </c>
    </row>
    <row r="230" spans="2:10" ht="14.45" hidden="1" x14ac:dyDescent="0.3">
      <c r="B230" s="85" t="str">
        <f>IFERROR(VLOOKUP(A230,Lookup!A:B,2,0),"")</f>
        <v/>
      </c>
      <c r="C230" s="85" t="str">
        <f>IFERROR(VLOOKUP(A230,Lookup!A:C,3,0),"")</f>
        <v/>
      </c>
      <c r="J230">
        <f t="shared" si="7"/>
        <v>4</v>
      </c>
    </row>
    <row r="231" spans="2:10" ht="14.45" hidden="1" x14ac:dyDescent="0.3">
      <c r="B231" s="85" t="str">
        <f>IFERROR(VLOOKUP(A231,Lookup!A:B,2,0),"")</f>
        <v/>
      </c>
      <c r="C231" s="85" t="str">
        <f>IFERROR(VLOOKUP(A231,Lookup!A:C,3,0),"")</f>
        <v/>
      </c>
      <c r="J231">
        <f t="shared" si="7"/>
        <v>4</v>
      </c>
    </row>
    <row r="232" spans="2:10" ht="14.45" hidden="1" x14ac:dyDescent="0.3">
      <c r="B232" s="85" t="str">
        <f>IFERROR(VLOOKUP(A232,Lookup!A:B,2,0),"")</f>
        <v/>
      </c>
      <c r="C232" s="85" t="str">
        <f>IFERROR(VLOOKUP(A232,Lookup!A:C,3,0),"")</f>
        <v/>
      </c>
      <c r="J232">
        <f t="shared" si="7"/>
        <v>4</v>
      </c>
    </row>
    <row r="233" spans="2:10" ht="14.45" hidden="1" x14ac:dyDescent="0.3">
      <c r="B233" s="85" t="str">
        <f>IFERROR(VLOOKUP(A233,Lookup!A:B,2,0),"")</f>
        <v/>
      </c>
      <c r="C233" s="85" t="str">
        <f>IFERROR(VLOOKUP(A233,Lookup!A:C,3,0),"")</f>
        <v/>
      </c>
      <c r="J233">
        <f t="shared" si="7"/>
        <v>4</v>
      </c>
    </row>
    <row r="234" spans="2:10" ht="14.45" hidden="1" x14ac:dyDescent="0.3">
      <c r="B234" s="85" t="str">
        <f>IFERROR(VLOOKUP(A234,Lookup!A:B,2,0),"")</f>
        <v/>
      </c>
      <c r="C234" s="85" t="str">
        <f>IFERROR(VLOOKUP(A234,Lookup!A:C,3,0),"")</f>
        <v/>
      </c>
      <c r="J234">
        <f t="shared" si="7"/>
        <v>4</v>
      </c>
    </row>
    <row r="235" spans="2:10" ht="14.45" hidden="1" x14ac:dyDescent="0.3">
      <c r="B235" s="85" t="str">
        <f>IFERROR(VLOOKUP(A235,Lookup!A:B,2,0),"")</f>
        <v/>
      </c>
      <c r="C235" s="85" t="str">
        <f>IFERROR(VLOOKUP(A235,Lookup!A:C,3,0),"")</f>
        <v/>
      </c>
      <c r="J235">
        <f t="shared" si="7"/>
        <v>4</v>
      </c>
    </row>
    <row r="236" spans="2:10" ht="14.45" hidden="1" x14ac:dyDescent="0.3">
      <c r="B236" s="85" t="str">
        <f>IFERROR(VLOOKUP(A236,Lookup!A:B,2,0),"")</f>
        <v/>
      </c>
      <c r="C236" s="85" t="str">
        <f>IFERROR(VLOOKUP(A236,Lookup!A:C,3,0),"")</f>
        <v/>
      </c>
      <c r="J236">
        <f t="shared" si="7"/>
        <v>4</v>
      </c>
    </row>
    <row r="237" spans="2:10" ht="14.45" hidden="1" x14ac:dyDescent="0.3">
      <c r="B237" s="85" t="str">
        <f>IFERROR(VLOOKUP(A237,Lookup!A:B,2,0),"")</f>
        <v/>
      </c>
      <c r="C237" s="85" t="str">
        <f>IFERROR(VLOOKUP(A237,Lookup!A:C,3,0),"")</f>
        <v/>
      </c>
      <c r="J237">
        <f t="shared" si="7"/>
        <v>4</v>
      </c>
    </row>
    <row r="238" spans="2:10" ht="14.45" hidden="1" x14ac:dyDescent="0.3">
      <c r="B238" s="85" t="str">
        <f>IFERROR(VLOOKUP(A238,Lookup!A:B,2,0),"")</f>
        <v/>
      </c>
      <c r="C238" s="85" t="str">
        <f>IFERROR(VLOOKUP(A238,Lookup!A:C,3,0),"")</f>
        <v/>
      </c>
      <c r="J238">
        <f t="shared" si="7"/>
        <v>4</v>
      </c>
    </row>
    <row r="239" spans="2:10" ht="14.45" hidden="1" x14ac:dyDescent="0.3">
      <c r="B239" s="85" t="str">
        <f>IFERROR(VLOOKUP(A239,Lookup!A:B,2,0),"")</f>
        <v/>
      </c>
      <c r="C239" s="85" t="str">
        <f>IFERROR(VLOOKUP(A239,Lookup!A:C,3,0),"")</f>
        <v/>
      </c>
      <c r="J239">
        <f t="shared" si="7"/>
        <v>4</v>
      </c>
    </row>
    <row r="240" spans="2:10" ht="14.45" hidden="1" x14ac:dyDescent="0.3">
      <c r="B240" s="85" t="str">
        <f>IFERROR(VLOOKUP(A240,Lookup!A:B,2,0),"")</f>
        <v/>
      </c>
      <c r="C240" s="85" t="str">
        <f>IFERROR(VLOOKUP(A240,Lookup!A:C,3,0),"")</f>
        <v/>
      </c>
      <c r="J240">
        <f t="shared" si="7"/>
        <v>4</v>
      </c>
    </row>
    <row r="241" spans="2:10" ht="14.45" hidden="1" x14ac:dyDescent="0.3">
      <c r="B241" s="85" t="str">
        <f>IFERROR(VLOOKUP(A241,Lookup!A:B,2,0),"")</f>
        <v/>
      </c>
      <c r="C241" s="85" t="str">
        <f>IFERROR(VLOOKUP(A241,Lookup!A:C,3,0),"")</f>
        <v/>
      </c>
      <c r="J241">
        <f t="shared" si="7"/>
        <v>4</v>
      </c>
    </row>
    <row r="242" spans="2:10" ht="14.45" hidden="1" x14ac:dyDescent="0.3">
      <c r="B242" s="85" t="str">
        <f>IFERROR(VLOOKUP(A242,Lookup!A:B,2,0),"")</f>
        <v/>
      </c>
      <c r="C242" s="85" t="str">
        <f>IFERROR(VLOOKUP(A242,Lookup!A:C,3,0),"")</f>
        <v/>
      </c>
      <c r="J242">
        <f t="shared" si="7"/>
        <v>4</v>
      </c>
    </row>
    <row r="243" spans="2:10" ht="14.45" hidden="1" x14ac:dyDescent="0.3">
      <c r="B243" s="85" t="str">
        <f>IFERROR(VLOOKUP(A243,Lookup!A:B,2,0),"")</f>
        <v/>
      </c>
      <c r="C243" s="85" t="str">
        <f>IFERROR(VLOOKUP(A243,Lookup!A:C,3,0),"")</f>
        <v/>
      </c>
      <c r="J243">
        <f t="shared" si="7"/>
        <v>4</v>
      </c>
    </row>
    <row r="244" spans="2:10" ht="14.45" hidden="1" x14ac:dyDescent="0.3">
      <c r="B244" s="85" t="str">
        <f>IFERROR(VLOOKUP(A244,Lookup!A:B,2,0),"")</f>
        <v/>
      </c>
      <c r="C244" s="85" t="str">
        <f>IFERROR(VLOOKUP(A244,Lookup!A:C,3,0),"")</f>
        <v/>
      </c>
      <c r="J244">
        <f t="shared" si="7"/>
        <v>4</v>
      </c>
    </row>
    <row r="245" spans="2:10" ht="14.45" hidden="1" x14ac:dyDescent="0.3">
      <c r="B245" s="85" t="str">
        <f>IFERROR(VLOOKUP(A245,Lookup!A:B,2,0),"")</f>
        <v/>
      </c>
      <c r="C245" s="85" t="str">
        <f>IFERROR(VLOOKUP(A245,Lookup!A:C,3,0),"")</f>
        <v/>
      </c>
      <c r="J245">
        <f t="shared" si="7"/>
        <v>4</v>
      </c>
    </row>
    <row r="246" spans="2:10" ht="14.45" hidden="1" x14ac:dyDescent="0.3">
      <c r="B246" s="85" t="str">
        <f>IFERROR(VLOOKUP(A246,Lookup!A:B,2,0),"")</f>
        <v/>
      </c>
      <c r="C246" s="85" t="str">
        <f>IFERROR(VLOOKUP(A246,Lookup!A:C,3,0),"")</f>
        <v/>
      </c>
      <c r="J246">
        <f t="shared" si="7"/>
        <v>4</v>
      </c>
    </row>
    <row r="247" spans="2:10" ht="14.45" hidden="1" x14ac:dyDescent="0.3">
      <c r="B247" s="85" t="str">
        <f>IFERROR(VLOOKUP(A247,Lookup!A:B,2,0),"")</f>
        <v/>
      </c>
      <c r="C247" s="85" t="str">
        <f>IFERROR(VLOOKUP(A247,Lookup!A:C,3,0),"")</f>
        <v/>
      </c>
      <c r="J247">
        <f t="shared" si="7"/>
        <v>4</v>
      </c>
    </row>
    <row r="248" spans="2:10" ht="14.45" hidden="1" x14ac:dyDescent="0.3">
      <c r="B248" s="85" t="str">
        <f>IFERROR(VLOOKUP(A248,Lookup!A:B,2,0),"")</f>
        <v/>
      </c>
      <c r="C248" s="85" t="str">
        <f>IFERROR(VLOOKUP(A248,Lookup!A:C,3,0),"")</f>
        <v/>
      </c>
      <c r="J248">
        <f t="shared" si="7"/>
        <v>4</v>
      </c>
    </row>
    <row r="249" spans="2:10" ht="14.45" hidden="1" x14ac:dyDescent="0.3">
      <c r="B249" s="85" t="str">
        <f>IFERROR(VLOOKUP(A249,Lookup!A:B,2,0),"")</f>
        <v/>
      </c>
      <c r="C249" s="85" t="str">
        <f>IFERROR(VLOOKUP(A249,Lookup!A:C,3,0),"")</f>
        <v/>
      </c>
      <c r="J249">
        <f t="shared" si="7"/>
        <v>4</v>
      </c>
    </row>
    <row r="250" spans="2:10" ht="14.45" hidden="1" x14ac:dyDescent="0.3">
      <c r="B250" s="85" t="str">
        <f>IFERROR(VLOOKUP(A250,Lookup!A:B,2,0),"")</f>
        <v/>
      </c>
      <c r="C250" s="85" t="str">
        <f>IFERROR(VLOOKUP(A250,Lookup!A:C,3,0),"")</f>
        <v/>
      </c>
      <c r="J250">
        <f t="shared" si="7"/>
        <v>4</v>
      </c>
    </row>
    <row r="251" spans="2:10" ht="14.45" hidden="1" x14ac:dyDescent="0.3">
      <c r="B251" s="85" t="str">
        <f>IFERROR(VLOOKUP(A251,Lookup!A:B,2,0),"")</f>
        <v/>
      </c>
      <c r="C251" s="85" t="str">
        <f>IFERROR(VLOOKUP(A251,Lookup!A:C,3,0),"")</f>
        <v/>
      </c>
      <c r="J251">
        <f t="shared" si="7"/>
        <v>4</v>
      </c>
    </row>
    <row r="252" spans="2:10" ht="14.45" hidden="1" x14ac:dyDescent="0.3">
      <c r="B252" s="85" t="str">
        <f>IFERROR(VLOOKUP(A252,Lookup!A:B,2,0),"")</f>
        <v/>
      </c>
      <c r="C252" s="85" t="str">
        <f>IFERROR(VLOOKUP(A252,Lookup!A:C,3,0),"")</f>
        <v/>
      </c>
      <c r="J252">
        <f t="shared" si="7"/>
        <v>4</v>
      </c>
    </row>
    <row r="253" spans="2:10" ht="14.45" hidden="1" x14ac:dyDescent="0.3">
      <c r="B253" s="85" t="str">
        <f>IFERROR(VLOOKUP(A253,Lookup!A:B,2,0),"")</f>
        <v/>
      </c>
      <c r="C253" s="85" t="str">
        <f>IFERROR(VLOOKUP(A253,Lookup!A:C,3,0),"")</f>
        <v/>
      </c>
      <c r="J253">
        <f t="shared" si="7"/>
        <v>4</v>
      </c>
    </row>
    <row r="254" spans="2:10" ht="14.45" hidden="1" x14ac:dyDescent="0.3">
      <c r="B254" s="85" t="str">
        <f>IFERROR(VLOOKUP(A254,Lookup!A:B,2,0),"")</f>
        <v/>
      </c>
      <c r="C254" s="85" t="str">
        <f>IFERROR(VLOOKUP(A254,Lookup!A:C,3,0),"")</f>
        <v/>
      </c>
      <c r="J254">
        <f t="shared" si="7"/>
        <v>4</v>
      </c>
    </row>
    <row r="255" spans="2:10" ht="14.45" hidden="1" x14ac:dyDescent="0.3">
      <c r="B255" s="85" t="str">
        <f>IFERROR(VLOOKUP(A255,Lookup!A:B,2,0),"")</f>
        <v/>
      </c>
      <c r="C255" s="85" t="str">
        <f>IFERROR(VLOOKUP(A255,Lookup!A:C,3,0),"")</f>
        <v/>
      </c>
      <c r="J255">
        <f t="shared" si="7"/>
        <v>4</v>
      </c>
    </row>
    <row r="256" spans="2:10" ht="14.45" hidden="1" x14ac:dyDescent="0.3">
      <c r="B256" s="85" t="str">
        <f>IFERROR(VLOOKUP(A256,Lookup!A:B,2,0),"")</f>
        <v/>
      </c>
      <c r="C256" s="85" t="str">
        <f>IFERROR(VLOOKUP(A256,Lookup!A:C,3,0),"")</f>
        <v/>
      </c>
      <c r="J256">
        <f t="shared" si="7"/>
        <v>4</v>
      </c>
    </row>
    <row r="257" spans="2:10" ht="14.45" hidden="1" x14ac:dyDescent="0.3">
      <c r="B257" s="85" t="str">
        <f>IFERROR(VLOOKUP(A257,Lookup!A:B,2,0),"")</f>
        <v/>
      </c>
      <c r="C257" s="85" t="str">
        <f>IFERROR(VLOOKUP(A257,Lookup!A:C,3,0),"")</f>
        <v/>
      </c>
      <c r="J257">
        <f t="shared" si="7"/>
        <v>4</v>
      </c>
    </row>
    <row r="258" spans="2:10" ht="14.45" hidden="1" x14ac:dyDescent="0.3">
      <c r="B258" s="85" t="str">
        <f>IFERROR(VLOOKUP(A258,Lookup!A:B,2,0),"")</f>
        <v/>
      </c>
      <c r="C258" s="85" t="str">
        <f>IFERROR(VLOOKUP(A258,Lookup!A:C,3,0),"")</f>
        <v/>
      </c>
      <c r="J258">
        <f t="shared" si="7"/>
        <v>4</v>
      </c>
    </row>
    <row r="259" spans="2:10" ht="14.45" hidden="1" x14ac:dyDescent="0.3">
      <c r="B259" s="85" t="str">
        <f>IFERROR(VLOOKUP(A259,Lookup!A:B,2,0),"")</f>
        <v/>
      </c>
      <c r="C259" s="85" t="str">
        <f>IFERROR(VLOOKUP(A259,Lookup!A:C,3,0),"")</f>
        <v/>
      </c>
      <c r="J259">
        <f t="shared" si="7"/>
        <v>4</v>
      </c>
    </row>
    <row r="260" spans="2:10" ht="14.45" hidden="1" x14ac:dyDescent="0.3">
      <c r="B260" s="85" t="str">
        <f>IFERROR(VLOOKUP(A260,Lookup!A:B,2,0),"")</f>
        <v/>
      </c>
      <c r="C260" s="85" t="str">
        <f>IFERROR(VLOOKUP(A260,Lookup!A:C,3,0),"")</f>
        <v/>
      </c>
      <c r="J260">
        <f t="shared" si="7"/>
        <v>4</v>
      </c>
    </row>
    <row r="261" spans="2:10" ht="14.45" hidden="1" x14ac:dyDescent="0.3">
      <c r="B261" s="85" t="str">
        <f>IFERROR(VLOOKUP(A261,Lookup!A:B,2,0),"")</f>
        <v/>
      </c>
      <c r="C261" s="85" t="str">
        <f>IFERROR(VLOOKUP(A261,Lookup!A:C,3,0),"")</f>
        <v/>
      </c>
      <c r="J261">
        <f t="shared" si="7"/>
        <v>4</v>
      </c>
    </row>
    <row r="262" spans="2:10" ht="14.45" hidden="1" x14ac:dyDescent="0.3">
      <c r="B262" s="85" t="str">
        <f>IFERROR(VLOOKUP(A262,Lookup!A:B,2,0),"")</f>
        <v/>
      </c>
      <c r="C262" s="85" t="str">
        <f>IFERROR(VLOOKUP(A262,Lookup!A:C,3,0),"")</f>
        <v/>
      </c>
      <c r="J262">
        <f t="shared" si="7"/>
        <v>4</v>
      </c>
    </row>
    <row r="263" spans="2:10" ht="14.45" hidden="1" x14ac:dyDescent="0.3">
      <c r="B263" s="85" t="str">
        <f>IFERROR(VLOOKUP(A263,Lookup!A:B,2,0),"")</f>
        <v/>
      </c>
      <c r="C263" s="85" t="str">
        <f>IFERROR(VLOOKUP(A263,Lookup!A:C,3,0),"")</f>
        <v/>
      </c>
      <c r="J263">
        <f t="shared" si="7"/>
        <v>4</v>
      </c>
    </row>
    <row r="264" spans="2:10" ht="14.45" hidden="1" x14ac:dyDescent="0.3">
      <c r="B264" s="85" t="str">
        <f>IFERROR(VLOOKUP(A264,Lookup!A:B,2,0),"")</f>
        <v/>
      </c>
      <c r="C264" s="85" t="str">
        <f>IFERROR(VLOOKUP(A264,Lookup!A:C,3,0),"")</f>
        <v/>
      </c>
      <c r="J264">
        <f t="shared" si="7"/>
        <v>4</v>
      </c>
    </row>
    <row r="265" spans="2:10" ht="14.45" hidden="1" x14ac:dyDescent="0.3">
      <c r="B265" s="85" t="str">
        <f>IFERROR(VLOOKUP(A265,Lookup!A:B,2,0),"")</f>
        <v/>
      </c>
      <c r="C265" s="85" t="str">
        <f>IFERROR(VLOOKUP(A265,Lookup!A:C,3,0),"")</f>
        <v/>
      </c>
      <c r="J265">
        <f t="shared" si="7"/>
        <v>4</v>
      </c>
    </row>
    <row r="266" spans="2:10" ht="14.45" hidden="1" x14ac:dyDescent="0.3">
      <c r="B266" s="85" t="str">
        <f>IFERROR(VLOOKUP(A266,Lookup!A:B,2,0),"")</f>
        <v/>
      </c>
      <c r="C266" s="85" t="str">
        <f>IFERROR(VLOOKUP(A266,Lookup!A:C,3,0),"")</f>
        <v/>
      </c>
      <c r="J266">
        <f t="shared" si="7"/>
        <v>4</v>
      </c>
    </row>
    <row r="267" spans="2:10" ht="14.45" hidden="1" x14ac:dyDescent="0.3">
      <c r="B267" s="85" t="str">
        <f>IFERROR(VLOOKUP(A267,Lookup!A:B,2,0),"")</f>
        <v/>
      </c>
      <c r="C267" s="85" t="str">
        <f>IFERROR(VLOOKUP(A267,Lookup!A:C,3,0),"")</f>
        <v/>
      </c>
      <c r="J267">
        <f t="shared" si="7"/>
        <v>4</v>
      </c>
    </row>
    <row r="268" spans="2:10" ht="14.45" hidden="1" x14ac:dyDescent="0.3">
      <c r="B268" s="85" t="str">
        <f>IFERROR(VLOOKUP(A268,Lookup!A:B,2,0),"")</f>
        <v/>
      </c>
      <c r="C268" s="85" t="str">
        <f>IFERROR(VLOOKUP(A268,Lookup!A:C,3,0),"")</f>
        <v/>
      </c>
      <c r="J268">
        <f t="shared" si="7"/>
        <v>4</v>
      </c>
    </row>
    <row r="269" spans="2:10" ht="14.45" hidden="1" x14ac:dyDescent="0.3">
      <c r="B269" s="85" t="str">
        <f>IFERROR(VLOOKUP(A269,Lookup!A:B,2,0),"")</f>
        <v/>
      </c>
      <c r="C269" s="85" t="str">
        <f>IFERROR(VLOOKUP(A269,Lookup!A:C,3,0),"")</f>
        <v/>
      </c>
      <c r="J269">
        <f t="shared" si="7"/>
        <v>4</v>
      </c>
    </row>
    <row r="270" spans="2:10" ht="14.45" hidden="1" x14ac:dyDescent="0.3">
      <c r="B270" s="85" t="str">
        <f>IFERROR(VLOOKUP(A270,Lookup!A:B,2,0),"")</f>
        <v/>
      </c>
      <c r="C270" s="85" t="str">
        <f>IFERROR(VLOOKUP(A270,Lookup!A:C,3,0),"")</f>
        <v/>
      </c>
      <c r="J270">
        <f t="shared" si="7"/>
        <v>4</v>
      </c>
    </row>
    <row r="271" spans="2:10" ht="14.45" hidden="1" x14ac:dyDescent="0.3">
      <c r="B271" s="85" t="str">
        <f>IFERROR(VLOOKUP(A271,Lookup!A:B,2,0),"")</f>
        <v/>
      </c>
      <c r="C271" s="85" t="str">
        <f>IFERROR(VLOOKUP(A271,Lookup!A:C,3,0),"")</f>
        <v/>
      </c>
      <c r="J271">
        <f t="shared" ref="J271:J334" si="8">IF(H271="SET",1,IF(H271="FREQ",3,IF(H271="",4,2)))</f>
        <v>4</v>
      </c>
    </row>
    <row r="272" spans="2:10" ht="14.45" hidden="1" x14ac:dyDescent="0.3">
      <c r="B272" s="85" t="str">
        <f>IFERROR(VLOOKUP(A272,Lookup!A:B,2,0),"")</f>
        <v/>
      </c>
      <c r="C272" s="85" t="str">
        <f>IFERROR(VLOOKUP(A272,Lookup!A:C,3,0),"")</f>
        <v/>
      </c>
      <c r="J272">
        <f t="shared" si="8"/>
        <v>4</v>
      </c>
    </row>
    <row r="273" spans="2:10" ht="14.45" hidden="1" x14ac:dyDescent="0.3">
      <c r="B273" s="85" t="str">
        <f>IFERROR(VLOOKUP(A273,Lookup!A:B,2,0),"")</f>
        <v/>
      </c>
      <c r="C273" s="85" t="str">
        <f>IFERROR(VLOOKUP(A273,Lookup!A:C,3,0),"")</f>
        <v/>
      </c>
      <c r="J273">
        <f t="shared" si="8"/>
        <v>4</v>
      </c>
    </row>
    <row r="274" spans="2:10" ht="14.45" hidden="1" x14ac:dyDescent="0.3">
      <c r="B274" s="85" t="str">
        <f>IFERROR(VLOOKUP(A274,Lookup!A:B,2,0),"")</f>
        <v/>
      </c>
      <c r="C274" s="85" t="str">
        <f>IFERROR(VLOOKUP(A274,Lookup!A:C,3,0),"")</f>
        <v/>
      </c>
      <c r="J274">
        <f t="shared" si="8"/>
        <v>4</v>
      </c>
    </row>
    <row r="275" spans="2:10" ht="14.45" hidden="1" x14ac:dyDescent="0.3">
      <c r="B275" s="85" t="str">
        <f>IFERROR(VLOOKUP(A275,Lookup!A:B,2,0),"")</f>
        <v/>
      </c>
      <c r="C275" s="85" t="str">
        <f>IFERROR(VLOOKUP(A275,Lookup!A:C,3,0),"")</f>
        <v/>
      </c>
      <c r="J275">
        <f t="shared" si="8"/>
        <v>4</v>
      </c>
    </row>
    <row r="276" spans="2:10" ht="14.45" hidden="1" x14ac:dyDescent="0.3">
      <c r="B276" s="85" t="str">
        <f>IFERROR(VLOOKUP(A276,Lookup!A:B,2,0),"")</f>
        <v/>
      </c>
      <c r="C276" s="85" t="str">
        <f>IFERROR(VLOOKUP(A276,Lookup!A:C,3,0),"")</f>
        <v/>
      </c>
      <c r="J276">
        <f t="shared" si="8"/>
        <v>4</v>
      </c>
    </row>
    <row r="277" spans="2:10" ht="14.45" hidden="1" x14ac:dyDescent="0.3">
      <c r="B277" s="85" t="str">
        <f>IFERROR(VLOOKUP(A277,Lookup!A:B,2,0),"")</f>
        <v/>
      </c>
      <c r="C277" s="85" t="str">
        <f>IFERROR(VLOOKUP(A277,Lookup!A:C,3,0),"")</f>
        <v/>
      </c>
      <c r="J277">
        <f t="shared" si="8"/>
        <v>4</v>
      </c>
    </row>
    <row r="278" spans="2:10" ht="14.45" hidden="1" x14ac:dyDescent="0.3">
      <c r="B278" s="85" t="str">
        <f>IFERROR(VLOOKUP(A278,Lookup!A:B,2,0),"")</f>
        <v/>
      </c>
      <c r="C278" s="85" t="str">
        <f>IFERROR(VLOOKUP(A278,Lookup!A:C,3,0),"")</f>
        <v/>
      </c>
      <c r="J278">
        <f t="shared" si="8"/>
        <v>4</v>
      </c>
    </row>
    <row r="279" spans="2:10" ht="14.45" hidden="1" x14ac:dyDescent="0.3">
      <c r="B279" s="85" t="str">
        <f>IFERROR(VLOOKUP(A279,Lookup!A:B,2,0),"")</f>
        <v/>
      </c>
      <c r="C279" s="85" t="str">
        <f>IFERROR(VLOOKUP(A279,Lookup!A:C,3,0),"")</f>
        <v/>
      </c>
      <c r="J279">
        <f t="shared" si="8"/>
        <v>4</v>
      </c>
    </row>
    <row r="280" spans="2:10" ht="14.45" hidden="1" x14ac:dyDescent="0.3">
      <c r="B280" s="85" t="str">
        <f>IFERROR(VLOOKUP(A280,Lookup!A:B,2,0),"")</f>
        <v/>
      </c>
      <c r="C280" s="85" t="str">
        <f>IFERROR(VLOOKUP(A280,Lookup!A:C,3,0),"")</f>
        <v/>
      </c>
      <c r="J280">
        <f t="shared" si="8"/>
        <v>4</v>
      </c>
    </row>
    <row r="281" spans="2:10" ht="14.45" hidden="1" x14ac:dyDescent="0.3">
      <c r="B281" s="85" t="str">
        <f>IFERROR(VLOOKUP(A281,Lookup!A:B,2,0),"")</f>
        <v/>
      </c>
      <c r="C281" s="85" t="str">
        <f>IFERROR(VLOOKUP(A281,Lookup!A:C,3,0),"")</f>
        <v/>
      </c>
      <c r="J281">
        <f t="shared" si="8"/>
        <v>4</v>
      </c>
    </row>
    <row r="282" spans="2:10" ht="14.45" hidden="1" x14ac:dyDescent="0.3">
      <c r="B282" s="85" t="str">
        <f>IFERROR(VLOOKUP(A282,Lookup!A:B,2,0),"")</f>
        <v/>
      </c>
      <c r="C282" s="85" t="str">
        <f>IFERROR(VLOOKUP(A282,Lookup!A:C,3,0),"")</f>
        <v/>
      </c>
      <c r="J282">
        <f t="shared" si="8"/>
        <v>4</v>
      </c>
    </row>
    <row r="283" spans="2:10" ht="14.45" hidden="1" x14ac:dyDescent="0.3">
      <c r="B283" s="85" t="str">
        <f>IFERROR(VLOOKUP(A283,Lookup!A:B,2,0),"")</f>
        <v/>
      </c>
      <c r="C283" s="85" t="str">
        <f>IFERROR(VLOOKUP(A283,Lookup!A:C,3,0),"")</f>
        <v/>
      </c>
      <c r="J283">
        <f t="shared" si="8"/>
        <v>4</v>
      </c>
    </row>
    <row r="284" spans="2:10" ht="14.45" hidden="1" x14ac:dyDescent="0.3">
      <c r="B284" s="85" t="str">
        <f>IFERROR(VLOOKUP(A284,Lookup!A:B,2,0),"")</f>
        <v/>
      </c>
      <c r="C284" s="85" t="str">
        <f>IFERROR(VLOOKUP(A284,Lookup!A:C,3,0),"")</f>
        <v/>
      </c>
      <c r="J284">
        <f t="shared" si="8"/>
        <v>4</v>
      </c>
    </row>
    <row r="285" spans="2:10" ht="14.45" hidden="1" x14ac:dyDescent="0.3">
      <c r="B285" s="85" t="str">
        <f>IFERROR(VLOOKUP(A285,Lookup!A:B,2,0),"")</f>
        <v/>
      </c>
      <c r="C285" s="85" t="str">
        <f>IFERROR(VLOOKUP(A285,Lookup!A:C,3,0),"")</f>
        <v/>
      </c>
      <c r="J285">
        <f t="shared" si="8"/>
        <v>4</v>
      </c>
    </row>
    <row r="286" spans="2:10" ht="14.45" hidden="1" x14ac:dyDescent="0.3">
      <c r="B286" s="85" t="str">
        <f>IFERROR(VLOOKUP(A286,Lookup!A:B,2,0),"")</f>
        <v/>
      </c>
      <c r="C286" s="85" t="str">
        <f>IFERROR(VLOOKUP(A286,Lookup!A:C,3,0),"")</f>
        <v/>
      </c>
      <c r="J286">
        <f t="shared" si="8"/>
        <v>4</v>
      </c>
    </row>
    <row r="287" spans="2:10" ht="14.45" hidden="1" x14ac:dyDescent="0.3">
      <c r="B287" s="85" t="str">
        <f>IFERROR(VLOOKUP(A287,Lookup!A:B,2,0),"")</f>
        <v/>
      </c>
      <c r="C287" s="85" t="str">
        <f>IFERROR(VLOOKUP(A287,Lookup!A:C,3,0),"")</f>
        <v/>
      </c>
      <c r="J287">
        <f t="shared" si="8"/>
        <v>4</v>
      </c>
    </row>
    <row r="288" spans="2:10" ht="14.45" hidden="1" x14ac:dyDescent="0.3">
      <c r="B288" s="85" t="str">
        <f>IFERROR(VLOOKUP(A288,Lookup!A:B,2,0),"")</f>
        <v/>
      </c>
      <c r="C288" s="85" t="str">
        <f>IFERROR(VLOOKUP(A288,Lookup!A:C,3,0),"")</f>
        <v/>
      </c>
      <c r="J288">
        <f t="shared" si="8"/>
        <v>4</v>
      </c>
    </row>
    <row r="289" spans="2:10" ht="14.45" hidden="1" x14ac:dyDescent="0.3">
      <c r="B289" s="85" t="str">
        <f>IFERROR(VLOOKUP(A289,Lookup!A:B,2,0),"")</f>
        <v/>
      </c>
      <c r="C289" s="85" t="str">
        <f>IFERROR(VLOOKUP(A289,Lookup!A:C,3,0),"")</f>
        <v/>
      </c>
      <c r="J289">
        <f t="shared" si="8"/>
        <v>4</v>
      </c>
    </row>
    <row r="290" spans="2:10" ht="14.45" hidden="1" x14ac:dyDescent="0.3">
      <c r="B290" s="85" t="str">
        <f>IFERROR(VLOOKUP(A290,Lookup!A:B,2,0),"")</f>
        <v/>
      </c>
      <c r="C290" s="85" t="str">
        <f>IFERROR(VLOOKUP(A290,Lookup!A:C,3,0),"")</f>
        <v/>
      </c>
      <c r="J290">
        <f t="shared" si="8"/>
        <v>4</v>
      </c>
    </row>
    <row r="291" spans="2:10" ht="14.45" hidden="1" x14ac:dyDescent="0.3">
      <c r="B291" s="85" t="str">
        <f>IFERROR(VLOOKUP(A291,Lookup!A:B,2,0),"")</f>
        <v/>
      </c>
      <c r="C291" s="85" t="str">
        <f>IFERROR(VLOOKUP(A291,Lookup!A:C,3,0),"")</f>
        <v/>
      </c>
      <c r="J291">
        <f t="shared" si="8"/>
        <v>4</v>
      </c>
    </row>
    <row r="292" spans="2:10" ht="14.45" hidden="1" x14ac:dyDescent="0.3">
      <c r="B292" s="85" t="str">
        <f>IFERROR(VLOOKUP(A292,Lookup!A:B,2,0),"")</f>
        <v/>
      </c>
      <c r="C292" s="85" t="str">
        <f>IFERROR(VLOOKUP(A292,Lookup!A:C,3,0),"")</f>
        <v/>
      </c>
      <c r="J292">
        <f t="shared" si="8"/>
        <v>4</v>
      </c>
    </row>
    <row r="293" spans="2:10" ht="14.45" hidden="1" x14ac:dyDescent="0.3">
      <c r="B293" s="85" t="str">
        <f>IFERROR(VLOOKUP(A293,Lookup!A:B,2,0),"")</f>
        <v/>
      </c>
      <c r="C293" s="85" t="str">
        <f>IFERROR(VLOOKUP(A293,Lookup!A:C,3,0),"")</f>
        <v/>
      </c>
      <c r="J293">
        <f t="shared" si="8"/>
        <v>4</v>
      </c>
    </row>
    <row r="294" spans="2:10" ht="14.45" hidden="1" x14ac:dyDescent="0.3">
      <c r="B294" s="85" t="str">
        <f>IFERROR(VLOOKUP(A294,Lookup!A:B,2,0),"")</f>
        <v/>
      </c>
      <c r="C294" s="85" t="str">
        <f>IFERROR(VLOOKUP(A294,Lookup!A:C,3,0),"")</f>
        <v/>
      </c>
      <c r="J294">
        <f t="shared" si="8"/>
        <v>4</v>
      </c>
    </row>
    <row r="295" spans="2:10" ht="14.45" hidden="1" x14ac:dyDescent="0.3">
      <c r="B295" s="85" t="str">
        <f>IFERROR(VLOOKUP(A295,Lookup!A:B,2,0),"")</f>
        <v/>
      </c>
      <c r="C295" s="85" t="str">
        <f>IFERROR(VLOOKUP(A295,Lookup!A:C,3,0),"")</f>
        <v/>
      </c>
      <c r="J295">
        <f t="shared" si="8"/>
        <v>4</v>
      </c>
    </row>
    <row r="296" spans="2:10" ht="14.45" hidden="1" x14ac:dyDescent="0.3">
      <c r="B296" s="85" t="str">
        <f>IFERROR(VLOOKUP(A296,Lookup!A:B,2,0),"")</f>
        <v/>
      </c>
      <c r="C296" s="85" t="str">
        <f>IFERROR(VLOOKUP(A296,Lookup!A:C,3,0),"")</f>
        <v/>
      </c>
      <c r="J296">
        <f t="shared" si="8"/>
        <v>4</v>
      </c>
    </row>
    <row r="297" spans="2:10" ht="14.45" hidden="1" x14ac:dyDescent="0.3">
      <c r="B297" s="85" t="str">
        <f>IFERROR(VLOOKUP(A297,Lookup!A:B,2,0),"")</f>
        <v/>
      </c>
      <c r="C297" s="85" t="str">
        <f>IFERROR(VLOOKUP(A297,Lookup!A:C,3,0),"")</f>
        <v/>
      </c>
      <c r="J297">
        <f t="shared" si="8"/>
        <v>4</v>
      </c>
    </row>
    <row r="298" spans="2:10" ht="14.45" hidden="1" x14ac:dyDescent="0.3">
      <c r="B298" s="85" t="str">
        <f>IFERROR(VLOOKUP(A298,Lookup!A:B,2,0),"")</f>
        <v/>
      </c>
      <c r="C298" s="85" t="str">
        <f>IFERROR(VLOOKUP(A298,Lookup!A:C,3,0),"")</f>
        <v/>
      </c>
      <c r="J298">
        <f t="shared" si="8"/>
        <v>4</v>
      </c>
    </row>
    <row r="299" spans="2:10" ht="14.45" hidden="1" x14ac:dyDescent="0.3">
      <c r="B299" s="85" t="str">
        <f>IFERROR(VLOOKUP(A299,Lookup!A:B,2,0),"")</f>
        <v/>
      </c>
      <c r="C299" s="85" t="str">
        <f>IFERROR(VLOOKUP(A299,Lookup!A:C,3,0),"")</f>
        <v/>
      </c>
      <c r="J299">
        <f t="shared" si="8"/>
        <v>4</v>
      </c>
    </row>
    <row r="300" spans="2:10" ht="14.45" hidden="1" x14ac:dyDescent="0.3">
      <c r="B300" s="85" t="str">
        <f>IFERROR(VLOOKUP(A300,Lookup!A:B,2,0),"")</f>
        <v/>
      </c>
      <c r="C300" s="85" t="str">
        <f>IFERROR(VLOOKUP(A300,Lookup!A:C,3,0),"")</f>
        <v/>
      </c>
      <c r="J300">
        <f t="shared" si="8"/>
        <v>4</v>
      </c>
    </row>
    <row r="301" spans="2:10" ht="14.45" hidden="1" x14ac:dyDescent="0.3">
      <c r="B301" s="85" t="str">
        <f>IFERROR(VLOOKUP(A301,Lookup!A:B,2,0),"")</f>
        <v/>
      </c>
      <c r="C301" s="85" t="str">
        <f>IFERROR(VLOOKUP(A301,Lookup!A:C,3,0),"")</f>
        <v/>
      </c>
      <c r="J301">
        <f t="shared" si="8"/>
        <v>4</v>
      </c>
    </row>
    <row r="302" spans="2:10" ht="14.45" hidden="1" x14ac:dyDescent="0.3">
      <c r="B302" s="85" t="str">
        <f>IFERROR(VLOOKUP(A302,Lookup!A:B,2,0),"")</f>
        <v/>
      </c>
      <c r="C302" s="85" t="str">
        <f>IFERROR(VLOOKUP(A302,Lookup!A:C,3,0),"")</f>
        <v/>
      </c>
      <c r="J302">
        <f t="shared" si="8"/>
        <v>4</v>
      </c>
    </row>
    <row r="303" spans="2:10" ht="14.45" hidden="1" x14ac:dyDescent="0.3">
      <c r="B303" s="85" t="str">
        <f>IFERROR(VLOOKUP(A303,Lookup!A:B,2,0),"")</f>
        <v/>
      </c>
      <c r="C303" s="85" t="str">
        <f>IFERROR(VLOOKUP(A303,Lookup!A:C,3,0),"")</f>
        <v/>
      </c>
      <c r="J303">
        <f t="shared" si="8"/>
        <v>4</v>
      </c>
    </row>
    <row r="304" spans="2:10" ht="14.45" hidden="1" x14ac:dyDescent="0.3">
      <c r="B304" s="85" t="str">
        <f>IFERROR(VLOOKUP(A304,Lookup!A:B,2,0),"")</f>
        <v/>
      </c>
      <c r="C304" s="85" t="str">
        <f>IFERROR(VLOOKUP(A304,Lookup!A:C,3,0),"")</f>
        <v/>
      </c>
      <c r="J304">
        <f t="shared" si="8"/>
        <v>4</v>
      </c>
    </row>
    <row r="305" spans="2:10" ht="14.45" hidden="1" x14ac:dyDescent="0.3">
      <c r="B305" s="85" t="str">
        <f>IFERROR(VLOOKUP(A305,Lookup!A:B,2,0),"")</f>
        <v/>
      </c>
      <c r="C305" s="85" t="str">
        <f>IFERROR(VLOOKUP(A305,Lookup!A:C,3,0),"")</f>
        <v/>
      </c>
      <c r="J305">
        <f t="shared" si="8"/>
        <v>4</v>
      </c>
    </row>
    <row r="306" spans="2:10" ht="14.45" hidden="1" x14ac:dyDescent="0.3">
      <c r="B306" s="85" t="str">
        <f>IFERROR(VLOOKUP(A306,Lookup!A:B,2,0),"")</f>
        <v/>
      </c>
      <c r="C306" s="85" t="str">
        <f>IFERROR(VLOOKUP(A306,Lookup!A:C,3,0),"")</f>
        <v/>
      </c>
      <c r="J306">
        <f t="shared" si="8"/>
        <v>4</v>
      </c>
    </row>
    <row r="307" spans="2:10" ht="14.45" hidden="1" x14ac:dyDescent="0.3">
      <c r="B307" s="85" t="str">
        <f>IFERROR(VLOOKUP(A307,Lookup!A:B,2,0),"")</f>
        <v/>
      </c>
      <c r="C307" s="85" t="str">
        <f>IFERROR(VLOOKUP(A307,Lookup!A:C,3,0),"")</f>
        <v/>
      </c>
      <c r="J307">
        <f t="shared" si="8"/>
        <v>4</v>
      </c>
    </row>
    <row r="308" spans="2:10" ht="14.45" hidden="1" x14ac:dyDescent="0.3">
      <c r="B308" s="85" t="str">
        <f>IFERROR(VLOOKUP(A308,Lookup!A:B,2,0),"")</f>
        <v/>
      </c>
      <c r="C308" s="85" t="str">
        <f>IFERROR(VLOOKUP(A308,Lookup!A:C,3,0),"")</f>
        <v/>
      </c>
      <c r="J308">
        <f t="shared" si="8"/>
        <v>4</v>
      </c>
    </row>
    <row r="309" spans="2:10" ht="14.45" hidden="1" x14ac:dyDescent="0.3">
      <c r="B309" s="85" t="str">
        <f>IFERROR(VLOOKUP(A309,Lookup!A:B,2,0),"")</f>
        <v/>
      </c>
      <c r="C309" s="85" t="str">
        <f>IFERROR(VLOOKUP(A309,Lookup!A:C,3,0),"")</f>
        <v/>
      </c>
      <c r="J309">
        <f t="shared" si="8"/>
        <v>4</v>
      </c>
    </row>
    <row r="310" spans="2:10" ht="14.45" hidden="1" x14ac:dyDescent="0.3">
      <c r="B310" s="85" t="str">
        <f>IFERROR(VLOOKUP(A310,Lookup!A:B,2,0),"")</f>
        <v/>
      </c>
      <c r="C310" s="85" t="str">
        <f>IFERROR(VLOOKUP(A310,Lookup!A:C,3,0),"")</f>
        <v/>
      </c>
      <c r="J310">
        <f t="shared" si="8"/>
        <v>4</v>
      </c>
    </row>
    <row r="311" spans="2:10" ht="14.45" hidden="1" x14ac:dyDescent="0.3">
      <c r="B311" s="85" t="str">
        <f>IFERROR(VLOOKUP(A311,Lookup!A:B,2,0),"")</f>
        <v/>
      </c>
      <c r="C311" s="85" t="str">
        <f>IFERROR(VLOOKUP(A311,Lookup!A:C,3,0),"")</f>
        <v/>
      </c>
      <c r="J311">
        <f t="shared" si="8"/>
        <v>4</v>
      </c>
    </row>
    <row r="312" spans="2:10" ht="14.45" hidden="1" x14ac:dyDescent="0.3">
      <c r="B312" s="85" t="str">
        <f>IFERROR(VLOOKUP(A312,Lookup!A:B,2,0),"")</f>
        <v/>
      </c>
      <c r="C312" s="85" t="str">
        <f>IFERROR(VLOOKUP(A312,Lookup!A:C,3,0),"")</f>
        <v/>
      </c>
      <c r="J312">
        <f t="shared" si="8"/>
        <v>4</v>
      </c>
    </row>
    <row r="313" spans="2:10" ht="14.45" hidden="1" x14ac:dyDescent="0.3">
      <c r="B313" s="85" t="str">
        <f>IFERROR(VLOOKUP(A313,Lookup!A:B,2,0),"")</f>
        <v/>
      </c>
      <c r="C313" s="85" t="str">
        <f>IFERROR(VLOOKUP(A313,Lookup!A:C,3,0),"")</f>
        <v/>
      </c>
      <c r="J313">
        <f t="shared" si="8"/>
        <v>4</v>
      </c>
    </row>
    <row r="314" spans="2:10" ht="14.45" hidden="1" x14ac:dyDescent="0.3">
      <c r="B314" s="85" t="str">
        <f>IFERROR(VLOOKUP(A314,Lookup!A:B,2,0),"")</f>
        <v/>
      </c>
      <c r="C314" s="85" t="str">
        <f>IFERROR(VLOOKUP(A314,Lookup!A:C,3,0),"")</f>
        <v/>
      </c>
      <c r="J314">
        <f t="shared" si="8"/>
        <v>4</v>
      </c>
    </row>
    <row r="315" spans="2:10" ht="14.45" hidden="1" x14ac:dyDescent="0.3">
      <c r="B315" s="85" t="str">
        <f>IFERROR(VLOOKUP(A315,Lookup!A:B,2,0),"")</f>
        <v/>
      </c>
      <c r="C315" s="85" t="str">
        <f>IFERROR(VLOOKUP(A315,Lookup!A:C,3,0),"")</f>
        <v/>
      </c>
      <c r="J315">
        <f t="shared" si="8"/>
        <v>4</v>
      </c>
    </row>
    <row r="316" spans="2:10" ht="14.45" hidden="1" x14ac:dyDescent="0.3">
      <c r="B316" s="85" t="str">
        <f>IFERROR(VLOOKUP(A316,Lookup!A:B,2,0),"")</f>
        <v/>
      </c>
      <c r="C316" s="85" t="str">
        <f>IFERROR(VLOOKUP(A316,Lookup!A:C,3,0),"")</f>
        <v/>
      </c>
      <c r="J316">
        <f t="shared" si="8"/>
        <v>4</v>
      </c>
    </row>
    <row r="317" spans="2:10" ht="14.45" hidden="1" x14ac:dyDescent="0.3">
      <c r="B317" s="85" t="str">
        <f>IFERROR(VLOOKUP(A317,Lookup!A:B,2,0),"")</f>
        <v/>
      </c>
      <c r="C317" s="85" t="str">
        <f>IFERROR(VLOOKUP(A317,Lookup!A:C,3,0),"")</f>
        <v/>
      </c>
      <c r="J317">
        <f t="shared" si="8"/>
        <v>4</v>
      </c>
    </row>
    <row r="318" spans="2:10" ht="14.45" hidden="1" x14ac:dyDescent="0.3">
      <c r="B318" s="85" t="str">
        <f>IFERROR(VLOOKUP(A318,Lookup!A:B,2,0),"")</f>
        <v/>
      </c>
      <c r="C318" s="85" t="str">
        <f>IFERROR(VLOOKUP(A318,Lookup!A:C,3,0),"")</f>
        <v/>
      </c>
      <c r="J318">
        <f t="shared" si="8"/>
        <v>4</v>
      </c>
    </row>
    <row r="319" spans="2:10" ht="14.45" hidden="1" x14ac:dyDescent="0.3">
      <c r="B319" s="85" t="str">
        <f>IFERROR(VLOOKUP(A319,Lookup!A:B,2,0),"")</f>
        <v/>
      </c>
      <c r="C319" s="85" t="str">
        <f>IFERROR(VLOOKUP(A319,Lookup!A:C,3,0),"")</f>
        <v/>
      </c>
      <c r="J319">
        <f t="shared" si="8"/>
        <v>4</v>
      </c>
    </row>
    <row r="320" spans="2:10" ht="14.45" hidden="1" x14ac:dyDescent="0.3">
      <c r="B320" s="85" t="str">
        <f>IFERROR(VLOOKUP(A320,Lookup!A:B,2,0),"")</f>
        <v/>
      </c>
      <c r="C320" s="85" t="str">
        <f>IFERROR(VLOOKUP(A320,Lookup!A:C,3,0),"")</f>
        <v/>
      </c>
      <c r="J320">
        <f t="shared" si="8"/>
        <v>4</v>
      </c>
    </row>
    <row r="321" spans="2:10" ht="14.45" hidden="1" x14ac:dyDescent="0.3">
      <c r="B321" s="85" t="str">
        <f>IFERROR(VLOOKUP(A321,Lookup!A:B,2,0),"")</f>
        <v/>
      </c>
      <c r="C321" s="85" t="str">
        <f>IFERROR(VLOOKUP(A321,Lookup!A:C,3,0),"")</f>
        <v/>
      </c>
      <c r="J321">
        <f t="shared" si="8"/>
        <v>4</v>
      </c>
    </row>
    <row r="322" spans="2:10" ht="14.45" hidden="1" x14ac:dyDescent="0.3">
      <c r="B322" s="85" t="str">
        <f>IFERROR(VLOOKUP(A322,Lookup!A:B,2,0),"")</f>
        <v/>
      </c>
      <c r="C322" s="85" t="str">
        <f>IFERROR(VLOOKUP(A322,Lookup!A:C,3,0),"")</f>
        <v/>
      </c>
      <c r="J322">
        <f t="shared" si="8"/>
        <v>4</v>
      </c>
    </row>
    <row r="323" spans="2:10" ht="14.45" hidden="1" x14ac:dyDescent="0.3">
      <c r="B323" s="85" t="str">
        <f>IFERROR(VLOOKUP(A323,Lookup!A:B,2,0),"")</f>
        <v/>
      </c>
      <c r="C323" s="85" t="str">
        <f>IFERROR(VLOOKUP(A323,Lookup!A:C,3,0),"")</f>
        <v/>
      </c>
      <c r="J323">
        <f t="shared" si="8"/>
        <v>4</v>
      </c>
    </row>
    <row r="324" spans="2:10" ht="14.45" hidden="1" x14ac:dyDescent="0.3">
      <c r="B324" s="85" t="str">
        <f>IFERROR(VLOOKUP(A324,Lookup!A:B,2,0),"")</f>
        <v/>
      </c>
      <c r="C324" s="85" t="str">
        <f>IFERROR(VLOOKUP(A324,Lookup!A:C,3,0),"")</f>
        <v/>
      </c>
      <c r="J324">
        <f t="shared" si="8"/>
        <v>4</v>
      </c>
    </row>
    <row r="325" spans="2:10" ht="14.45" hidden="1" x14ac:dyDescent="0.3">
      <c r="B325" s="85" t="str">
        <f>IFERROR(VLOOKUP(A325,Lookup!A:B,2,0),"")</f>
        <v/>
      </c>
      <c r="C325" s="85" t="str">
        <f>IFERROR(VLOOKUP(A325,Lookup!A:C,3,0),"")</f>
        <v/>
      </c>
      <c r="J325">
        <f t="shared" si="8"/>
        <v>4</v>
      </c>
    </row>
    <row r="326" spans="2:10" ht="14.45" hidden="1" x14ac:dyDescent="0.3">
      <c r="B326" s="85" t="str">
        <f>IFERROR(VLOOKUP(A326,Lookup!A:B,2,0),"")</f>
        <v/>
      </c>
      <c r="C326" s="85" t="str">
        <f>IFERROR(VLOOKUP(A326,Lookup!A:C,3,0),"")</f>
        <v/>
      </c>
      <c r="J326">
        <f t="shared" si="8"/>
        <v>4</v>
      </c>
    </row>
    <row r="327" spans="2:10" ht="14.45" hidden="1" x14ac:dyDescent="0.3">
      <c r="B327" s="85" t="str">
        <f>IFERROR(VLOOKUP(A327,Lookup!A:B,2,0),"")</f>
        <v/>
      </c>
      <c r="C327" s="85" t="str">
        <f>IFERROR(VLOOKUP(A327,Lookup!A:C,3,0),"")</f>
        <v/>
      </c>
      <c r="J327">
        <f t="shared" si="8"/>
        <v>4</v>
      </c>
    </row>
    <row r="328" spans="2:10" ht="14.45" hidden="1" x14ac:dyDescent="0.3">
      <c r="B328" s="85" t="str">
        <f>IFERROR(VLOOKUP(A328,Lookup!A:B,2,0),"")</f>
        <v/>
      </c>
      <c r="C328" s="85" t="str">
        <f>IFERROR(VLOOKUP(A328,Lookup!A:C,3,0),"")</f>
        <v/>
      </c>
      <c r="J328">
        <f t="shared" si="8"/>
        <v>4</v>
      </c>
    </row>
    <row r="329" spans="2:10" ht="14.45" hidden="1" x14ac:dyDescent="0.3">
      <c r="B329" s="85" t="str">
        <f>IFERROR(VLOOKUP(A329,Lookup!A:B,2,0),"")</f>
        <v/>
      </c>
      <c r="C329" s="85" t="str">
        <f>IFERROR(VLOOKUP(A329,Lookup!A:C,3,0),"")</f>
        <v/>
      </c>
      <c r="J329">
        <f t="shared" si="8"/>
        <v>4</v>
      </c>
    </row>
    <row r="330" spans="2:10" ht="14.45" hidden="1" x14ac:dyDescent="0.3">
      <c r="B330" s="85" t="str">
        <f>IFERROR(VLOOKUP(A330,Lookup!A:B,2,0),"")</f>
        <v/>
      </c>
      <c r="C330" s="85" t="str">
        <f>IFERROR(VLOOKUP(A330,Lookup!A:C,3,0),"")</f>
        <v/>
      </c>
      <c r="J330">
        <f t="shared" si="8"/>
        <v>4</v>
      </c>
    </row>
    <row r="331" spans="2:10" ht="14.45" hidden="1" x14ac:dyDescent="0.3">
      <c r="B331" s="85" t="str">
        <f>IFERROR(VLOOKUP(A331,Lookup!A:B,2,0),"")</f>
        <v/>
      </c>
      <c r="C331" s="85" t="str">
        <f>IFERROR(VLOOKUP(A331,Lookup!A:C,3,0),"")</f>
        <v/>
      </c>
      <c r="J331">
        <f t="shared" si="8"/>
        <v>4</v>
      </c>
    </row>
    <row r="332" spans="2:10" ht="14.45" hidden="1" x14ac:dyDescent="0.3">
      <c r="B332" s="85" t="str">
        <f>IFERROR(VLOOKUP(A332,Lookup!A:B,2,0),"")</f>
        <v/>
      </c>
      <c r="C332" s="85" t="str">
        <f>IFERROR(VLOOKUP(A332,Lookup!A:C,3,0),"")</f>
        <v/>
      </c>
      <c r="J332">
        <f t="shared" si="8"/>
        <v>4</v>
      </c>
    </row>
    <row r="333" spans="2:10" ht="14.45" hidden="1" x14ac:dyDescent="0.3">
      <c r="B333" s="85" t="str">
        <f>IFERROR(VLOOKUP(A333,Lookup!A:B,2,0),"")</f>
        <v/>
      </c>
      <c r="C333" s="85" t="str">
        <f>IFERROR(VLOOKUP(A333,Lookup!A:C,3,0),"")</f>
        <v/>
      </c>
      <c r="J333">
        <f t="shared" si="8"/>
        <v>4</v>
      </c>
    </row>
    <row r="334" spans="2:10" ht="14.45" hidden="1" x14ac:dyDescent="0.3">
      <c r="B334" s="85" t="str">
        <f>IFERROR(VLOOKUP(A334,Lookup!A:B,2,0),"")</f>
        <v/>
      </c>
      <c r="C334" s="85" t="str">
        <f>IFERROR(VLOOKUP(A334,Lookup!A:C,3,0),"")</f>
        <v/>
      </c>
      <c r="J334">
        <f t="shared" si="8"/>
        <v>4</v>
      </c>
    </row>
    <row r="335" spans="2:10" ht="14.45" hidden="1" x14ac:dyDescent="0.3">
      <c r="B335" s="85" t="str">
        <f>IFERROR(VLOOKUP(A335,Lookup!A:B,2,0),"")</f>
        <v/>
      </c>
      <c r="C335" s="85" t="str">
        <f>IFERROR(VLOOKUP(A335,Lookup!A:C,3,0),"")</f>
        <v/>
      </c>
      <c r="J335">
        <f t="shared" ref="J335:J398" si="9">IF(H335="SET",1,IF(H335="FREQ",3,IF(H335="",4,2)))</f>
        <v>4</v>
      </c>
    </row>
    <row r="336" spans="2:10" ht="14.45" hidden="1" x14ac:dyDescent="0.3">
      <c r="B336" s="85" t="str">
        <f>IFERROR(VLOOKUP(A336,Lookup!A:B,2,0),"")</f>
        <v/>
      </c>
      <c r="C336" s="85" t="str">
        <f>IFERROR(VLOOKUP(A336,Lookup!A:C,3,0),"")</f>
        <v/>
      </c>
      <c r="J336">
        <f t="shared" si="9"/>
        <v>4</v>
      </c>
    </row>
    <row r="337" spans="2:10" ht="14.45" hidden="1" x14ac:dyDescent="0.3">
      <c r="B337" s="85" t="str">
        <f>IFERROR(VLOOKUP(A337,Lookup!A:B,2,0),"")</f>
        <v/>
      </c>
      <c r="C337" s="85" t="str">
        <f>IFERROR(VLOOKUP(A337,Lookup!A:C,3,0),"")</f>
        <v/>
      </c>
      <c r="J337">
        <f t="shared" si="9"/>
        <v>4</v>
      </c>
    </row>
    <row r="338" spans="2:10" ht="14.45" hidden="1" x14ac:dyDescent="0.3">
      <c r="B338" s="85" t="str">
        <f>IFERROR(VLOOKUP(A338,Lookup!A:B,2,0),"")</f>
        <v/>
      </c>
      <c r="C338" s="85" t="str">
        <f>IFERROR(VLOOKUP(A338,Lookup!A:C,3,0),"")</f>
        <v/>
      </c>
      <c r="J338">
        <f t="shared" si="9"/>
        <v>4</v>
      </c>
    </row>
    <row r="339" spans="2:10" ht="14.45" hidden="1" x14ac:dyDescent="0.3">
      <c r="B339" s="85" t="str">
        <f>IFERROR(VLOOKUP(A339,Lookup!A:B,2,0),"")</f>
        <v/>
      </c>
      <c r="C339" s="85" t="str">
        <f>IFERROR(VLOOKUP(A339,Lookup!A:C,3,0),"")</f>
        <v/>
      </c>
      <c r="J339">
        <f t="shared" si="9"/>
        <v>4</v>
      </c>
    </row>
    <row r="340" spans="2:10" ht="14.45" hidden="1" x14ac:dyDescent="0.3">
      <c r="B340" s="85" t="str">
        <f>IFERROR(VLOOKUP(A340,Lookup!A:B,2,0),"")</f>
        <v/>
      </c>
      <c r="C340" s="85" t="str">
        <f>IFERROR(VLOOKUP(A340,Lookup!A:C,3,0),"")</f>
        <v/>
      </c>
      <c r="J340">
        <f t="shared" si="9"/>
        <v>4</v>
      </c>
    </row>
    <row r="341" spans="2:10" ht="14.45" hidden="1" x14ac:dyDescent="0.3">
      <c r="B341" s="85" t="str">
        <f>IFERROR(VLOOKUP(A341,Lookup!A:B,2,0),"")</f>
        <v/>
      </c>
      <c r="C341" s="85" t="str">
        <f>IFERROR(VLOOKUP(A341,Lookup!A:C,3,0),"")</f>
        <v/>
      </c>
      <c r="J341">
        <f t="shared" si="9"/>
        <v>4</v>
      </c>
    </row>
    <row r="342" spans="2:10" ht="14.45" hidden="1" x14ac:dyDescent="0.3">
      <c r="B342" s="85" t="str">
        <f>IFERROR(VLOOKUP(A342,Lookup!A:B,2,0),"")</f>
        <v/>
      </c>
      <c r="C342" s="85" t="str">
        <f>IFERROR(VLOOKUP(A342,Lookup!A:C,3,0),"")</f>
        <v/>
      </c>
      <c r="J342">
        <f t="shared" si="9"/>
        <v>4</v>
      </c>
    </row>
    <row r="343" spans="2:10" ht="14.45" hidden="1" x14ac:dyDescent="0.3">
      <c r="B343" s="85" t="str">
        <f>IFERROR(VLOOKUP(A343,Lookup!A:B,2,0),"")</f>
        <v/>
      </c>
      <c r="C343" s="85" t="str">
        <f>IFERROR(VLOOKUP(A343,Lookup!A:C,3,0),"")</f>
        <v/>
      </c>
      <c r="J343">
        <f t="shared" si="9"/>
        <v>4</v>
      </c>
    </row>
    <row r="344" spans="2:10" ht="14.45" hidden="1" x14ac:dyDescent="0.3">
      <c r="B344" s="85" t="str">
        <f>IFERROR(VLOOKUP(A344,Lookup!A:B,2,0),"")</f>
        <v/>
      </c>
      <c r="C344" s="85" t="str">
        <f>IFERROR(VLOOKUP(A344,Lookup!A:C,3,0),"")</f>
        <v/>
      </c>
      <c r="J344">
        <f t="shared" si="9"/>
        <v>4</v>
      </c>
    </row>
    <row r="345" spans="2:10" ht="14.45" hidden="1" x14ac:dyDescent="0.3">
      <c r="B345" s="85" t="str">
        <f>IFERROR(VLOOKUP(A345,Lookup!A:B,2,0),"")</f>
        <v/>
      </c>
      <c r="C345" s="85" t="str">
        <f>IFERROR(VLOOKUP(A345,Lookup!A:C,3,0),"")</f>
        <v/>
      </c>
      <c r="J345">
        <f t="shared" si="9"/>
        <v>4</v>
      </c>
    </row>
    <row r="346" spans="2:10" ht="14.45" hidden="1" x14ac:dyDescent="0.3">
      <c r="B346" s="85" t="str">
        <f>IFERROR(VLOOKUP(A346,Lookup!A:B,2,0),"")</f>
        <v/>
      </c>
      <c r="C346" s="85" t="str">
        <f>IFERROR(VLOOKUP(A346,Lookup!A:C,3,0),"")</f>
        <v/>
      </c>
      <c r="J346">
        <f t="shared" si="9"/>
        <v>4</v>
      </c>
    </row>
    <row r="347" spans="2:10" ht="14.45" hidden="1" x14ac:dyDescent="0.3">
      <c r="B347" s="85" t="str">
        <f>IFERROR(VLOOKUP(A347,Lookup!A:B,2,0),"")</f>
        <v/>
      </c>
      <c r="C347" s="85" t="str">
        <f>IFERROR(VLOOKUP(A347,Lookup!A:C,3,0),"")</f>
        <v/>
      </c>
      <c r="J347">
        <f t="shared" si="9"/>
        <v>4</v>
      </c>
    </row>
    <row r="348" spans="2:10" ht="14.45" hidden="1" x14ac:dyDescent="0.3">
      <c r="B348" s="85" t="str">
        <f>IFERROR(VLOOKUP(A348,Lookup!A:B,2,0),"")</f>
        <v/>
      </c>
      <c r="C348" s="85" t="str">
        <f>IFERROR(VLOOKUP(A348,Lookup!A:C,3,0),"")</f>
        <v/>
      </c>
      <c r="J348">
        <f t="shared" si="9"/>
        <v>4</v>
      </c>
    </row>
    <row r="349" spans="2:10" ht="14.45" hidden="1" x14ac:dyDescent="0.3">
      <c r="B349" s="85" t="str">
        <f>IFERROR(VLOOKUP(A349,Lookup!A:B,2,0),"")</f>
        <v/>
      </c>
      <c r="C349" s="85" t="str">
        <f>IFERROR(VLOOKUP(A349,Lookup!A:C,3,0),"")</f>
        <v/>
      </c>
      <c r="J349">
        <f t="shared" si="9"/>
        <v>4</v>
      </c>
    </row>
    <row r="350" spans="2:10" ht="14.45" hidden="1" x14ac:dyDescent="0.3">
      <c r="B350" s="85" t="str">
        <f>IFERROR(VLOOKUP(A350,Lookup!A:B,2,0),"")</f>
        <v/>
      </c>
      <c r="C350" s="85" t="str">
        <f>IFERROR(VLOOKUP(A350,Lookup!A:C,3,0),"")</f>
        <v/>
      </c>
      <c r="J350">
        <f t="shared" si="9"/>
        <v>4</v>
      </c>
    </row>
    <row r="351" spans="2:10" ht="14.45" hidden="1" x14ac:dyDescent="0.3">
      <c r="B351" s="85" t="str">
        <f>IFERROR(VLOOKUP(A351,Lookup!A:B,2,0),"")</f>
        <v/>
      </c>
      <c r="C351" s="85" t="str">
        <f>IFERROR(VLOOKUP(A351,Lookup!A:C,3,0),"")</f>
        <v/>
      </c>
      <c r="J351">
        <f t="shared" si="9"/>
        <v>4</v>
      </c>
    </row>
    <row r="352" spans="2:10" ht="14.45" hidden="1" x14ac:dyDescent="0.3">
      <c r="B352" s="85" t="str">
        <f>IFERROR(VLOOKUP(A352,Lookup!A:B,2,0),"")</f>
        <v/>
      </c>
      <c r="C352" s="85" t="str">
        <f>IFERROR(VLOOKUP(A352,Lookup!A:C,3,0),"")</f>
        <v/>
      </c>
      <c r="J352">
        <f t="shared" si="9"/>
        <v>4</v>
      </c>
    </row>
    <row r="353" spans="2:10" ht="14.45" hidden="1" x14ac:dyDescent="0.3">
      <c r="B353" s="85" t="str">
        <f>IFERROR(VLOOKUP(A353,Lookup!A:B,2,0),"")</f>
        <v/>
      </c>
      <c r="C353" s="85" t="str">
        <f>IFERROR(VLOOKUP(A353,Lookup!A:C,3,0),"")</f>
        <v/>
      </c>
      <c r="J353">
        <f t="shared" si="9"/>
        <v>4</v>
      </c>
    </row>
    <row r="354" spans="2:10" ht="14.45" hidden="1" x14ac:dyDescent="0.3">
      <c r="B354" s="85" t="str">
        <f>IFERROR(VLOOKUP(A354,Lookup!A:B,2,0),"")</f>
        <v/>
      </c>
      <c r="C354" s="85" t="str">
        <f>IFERROR(VLOOKUP(A354,Lookup!A:C,3,0),"")</f>
        <v/>
      </c>
      <c r="J354">
        <f t="shared" si="9"/>
        <v>4</v>
      </c>
    </row>
    <row r="355" spans="2:10" ht="14.45" hidden="1" x14ac:dyDescent="0.3">
      <c r="B355" s="85" t="str">
        <f>IFERROR(VLOOKUP(A355,Lookup!A:B,2,0),"")</f>
        <v/>
      </c>
      <c r="C355" s="85" t="str">
        <f>IFERROR(VLOOKUP(A355,Lookup!A:C,3,0),"")</f>
        <v/>
      </c>
      <c r="J355">
        <f t="shared" si="9"/>
        <v>4</v>
      </c>
    </row>
    <row r="356" spans="2:10" ht="14.45" hidden="1" x14ac:dyDescent="0.3">
      <c r="B356" s="85" t="str">
        <f>IFERROR(VLOOKUP(A356,Lookup!A:B,2,0),"")</f>
        <v/>
      </c>
      <c r="C356" s="85" t="str">
        <f>IFERROR(VLOOKUP(A356,Lookup!A:C,3,0),"")</f>
        <v/>
      </c>
      <c r="J356">
        <f t="shared" si="9"/>
        <v>4</v>
      </c>
    </row>
    <row r="357" spans="2:10" ht="14.45" hidden="1" x14ac:dyDescent="0.3">
      <c r="B357" s="85" t="str">
        <f>IFERROR(VLOOKUP(A357,Lookup!A:B,2,0),"")</f>
        <v/>
      </c>
      <c r="C357" s="85" t="str">
        <f>IFERROR(VLOOKUP(A357,Lookup!A:C,3,0),"")</f>
        <v/>
      </c>
      <c r="J357">
        <f t="shared" si="9"/>
        <v>4</v>
      </c>
    </row>
    <row r="358" spans="2:10" ht="14.45" hidden="1" x14ac:dyDescent="0.3">
      <c r="B358" s="85" t="str">
        <f>IFERROR(VLOOKUP(A358,Lookup!A:B,2,0),"")</f>
        <v/>
      </c>
      <c r="C358" s="85" t="str">
        <f>IFERROR(VLOOKUP(A358,Lookup!A:C,3,0),"")</f>
        <v/>
      </c>
      <c r="J358">
        <f t="shared" si="9"/>
        <v>4</v>
      </c>
    </row>
    <row r="359" spans="2:10" ht="14.45" hidden="1" x14ac:dyDescent="0.3">
      <c r="B359" s="85" t="str">
        <f>IFERROR(VLOOKUP(A359,Lookup!A:B,2,0),"")</f>
        <v/>
      </c>
      <c r="C359" s="85" t="str">
        <f>IFERROR(VLOOKUP(A359,Lookup!A:C,3,0),"")</f>
        <v/>
      </c>
      <c r="J359">
        <f t="shared" si="9"/>
        <v>4</v>
      </c>
    </row>
    <row r="360" spans="2:10" ht="14.45" hidden="1" x14ac:dyDescent="0.3">
      <c r="B360" s="85" t="str">
        <f>IFERROR(VLOOKUP(A360,Lookup!A:B,2,0),"")</f>
        <v/>
      </c>
      <c r="C360" s="85" t="str">
        <f>IFERROR(VLOOKUP(A360,Lookup!A:C,3,0),"")</f>
        <v/>
      </c>
      <c r="J360">
        <f t="shared" si="9"/>
        <v>4</v>
      </c>
    </row>
    <row r="361" spans="2:10" ht="14.45" hidden="1" x14ac:dyDescent="0.3">
      <c r="B361" s="85" t="str">
        <f>IFERROR(VLOOKUP(A361,Lookup!A:B,2,0),"")</f>
        <v/>
      </c>
      <c r="C361" s="85" t="str">
        <f>IFERROR(VLOOKUP(A361,Lookup!A:C,3,0),"")</f>
        <v/>
      </c>
      <c r="J361">
        <f t="shared" si="9"/>
        <v>4</v>
      </c>
    </row>
    <row r="362" spans="2:10" ht="14.45" hidden="1" x14ac:dyDescent="0.3">
      <c r="B362" s="85" t="str">
        <f>IFERROR(VLOOKUP(A362,Lookup!A:B,2,0),"")</f>
        <v/>
      </c>
      <c r="C362" s="85" t="str">
        <f>IFERROR(VLOOKUP(A362,Lookup!A:C,3,0),"")</f>
        <v/>
      </c>
      <c r="J362">
        <f t="shared" si="9"/>
        <v>4</v>
      </c>
    </row>
    <row r="363" spans="2:10" ht="14.45" hidden="1" x14ac:dyDescent="0.3">
      <c r="B363" s="85" t="str">
        <f>IFERROR(VLOOKUP(A363,Lookup!A:B,2,0),"")</f>
        <v/>
      </c>
      <c r="C363" s="85" t="str">
        <f>IFERROR(VLOOKUP(A363,Lookup!A:C,3,0),"")</f>
        <v/>
      </c>
      <c r="J363">
        <f t="shared" si="9"/>
        <v>4</v>
      </c>
    </row>
    <row r="364" spans="2:10" ht="14.45" hidden="1" x14ac:dyDescent="0.3">
      <c r="B364" s="85" t="str">
        <f>IFERROR(VLOOKUP(A364,Lookup!A:B,2,0),"")</f>
        <v/>
      </c>
      <c r="C364" s="85" t="str">
        <f>IFERROR(VLOOKUP(A364,Lookup!A:C,3,0),"")</f>
        <v/>
      </c>
      <c r="J364">
        <f t="shared" si="9"/>
        <v>4</v>
      </c>
    </row>
    <row r="365" spans="2:10" ht="14.45" hidden="1" x14ac:dyDescent="0.3">
      <c r="B365" s="85" t="str">
        <f>IFERROR(VLOOKUP(A365,Lookup!A:B,2,0),"")</f>
        <v/>
      </c>
      <c r="C365" s="85" t="str">
        <f>IFERROR(VLOOKUP(A365,Lookup!A:C,3,0),"")</f>
        <v/>
      </c>
      <c r="J365">
        <f t="shared" si="9"/>
        <v>4</v>
      </c>
    </row>
    <row r="366" spans="2:10" ht="14.45" hidden="1" x14ac:dyDescent="0.3">
      <c r="B366" s="85" t="str">
        <f>IFERROR(VLOOKUP(A366,Lookup!A:B,2,0),"")</f>
        <v/>
      </c>
      <c r="C366" s="85" t="str">
        <f>IFERROR(VLOOKUP(A366,Lookup!A:C,3,0),"")</f>
        <v/>
      </c>
      <c r="J366">
        <f t="shared" si="9"/>
        <v>4</v>
      </c>
    </row>
    <row r="367" spans="2:10" ht="14.45" hidden="1" x14ac:dyDescent="0.3">
      <c r="B367" s="85" t="str">
        <f>IFERROR(VLOOKUP(A367,Lookup!A:B,2,0),"")</f>
        <v/>
      </c>
      <c r="C367" s="85" t="str">
        <f>IFERROR(VLOOKUP(A367,Lookup!A:C,3,0),"")</f>
        <v/>
      </c>
      <c r="J367">
        <f t="shared" si="9"/>
        <v>4</v>
      </c>
    </row>
    <row r="368" spans="2:10" ht="14.45" hidden="1" x14ac:dyDescent="0.3">
      <c r="B368" s="85" t="str">
        <f>IFERROR(VLOOKUP(A368,Lookup!A:B,2,0),"")</f>
        <v/>
      </c>
      <c r="C368" s="85" t="str">
        <f>IFERROR(VLOOKUP(A368,Lookup!A:C,3,0),"")</f>
        <v/>
      </c>
      <c r="J368">
        <f t="shared" si="9"/>
        <v>4</v>
      </c>
    </row>
    <row r="369" spans="2:10" ht="14.45" hidden="1" x14ac:dyDescent="0.3">
      <c r="B369" s="85" t="str">
        <f>IFERROR(VLOOKUP(A369,Lookup!A:B,2,0),"")</f>
        <v/>
      </c>
      <c r="C369" s="85" t="str">
        <f>IFERROR(VLOOKUP(A369,Lookup!A:C,3,0),"")</f>
        <v/>
      </c>
      <c r="J369">
        <f t="shared" si="9"/>
        <v>4</v>
      </c>
    </row>
    <row r="370" spans="2:10" ht="14.45" hidden="1" x14ac:dyDescent="0.3">
      <c r="B370" s="85" t="str">
        <f>IFERROR(VLOOKUP(A370,Lookup!A:B,2,0),"")</f>
        <v/>
      </c>
      <c r="C370" s="85" t="str">
        <f>IFERROR(VLOOKUP(A370,Lookup!A:C,3,0),"")</f>
        <v/>
      </c>
      <c r="J370">
        <f t="shared" si="9"/>
        <v>4</v>
      </c>
    </row>
    <row r="371" spans="2:10" ht="14.45" hidden="1" x14ac:dyDescent="0.3">
      <c r="B371" s="85" t="str">
        <f>IFERROR(VLOOKUP(A371,Lookup!A:B,2,0),"")</f>
        <v/>
      </c>
      <c r="C371" s="85" t="str">
        <f>IFERROR(VLOOKUP(A371,Lookup!A:C,3,0),"")</f>
        <v/>
      </c>
      <c r="J371">
        <f t="shared" si="9"/>
        <v>4</v>
      </c>
    </row>
    <row r="372" spans="2:10" ht="14.45" hidden="1" x14ac:dyDescent="0.3">
      <c r="B372" s="85" t="str">
        <f>IFERROR(VLOOKUP(A372,Lookup!A:B,2,0),"")</f>
        <v/>
      </c>
      <c r="C372" s="85" t="str">
        <f>IFERROR(VLOOKUP(A372,Lookup!A:C,3,0),"")</f>
        <v/>
      </c>
      <c r="J372">
        <f t="shared" si="9"/>
        <v>4</v>
      </c>
    </row>
    <row r="373" spans="2:10" ht="14.45" hidden="1" x14ac:dyDescent="0.3">
      <c r="B373" s="85" t="str">
        <f>IFERROR(VLOOKUP(A373,Lookup!A:B,2,0),"")</f>
        <v/>
      </c>
      <c r="C373" s="85" t="str">
        <f>IFERROR(VLOOKUP(A373,Lookup!A:C,3,0),"")</f>
        <v/>
      </c>
      <c r="J373">
        <f t="shared" si="9"/>
        <v>4</v>
      </c>
    </row>
    <row r="374" spans="2:10" ht="14.45" hidden="1" x14ac:dyDescent="0.3">
      <c r="B374" s="85" t="str">
        <f>IFERROR(VLOOKUP(A374,Lookup!A:B,2,0),"")</f>
        <v/>
      </c>
      <c r="C374" s="85" t="str">
        <f>IFERROR(VLOOKUP(A374,Lookup!A:C,3,0),"")</f>
        <v/>
      </c>
      <c r="J374">
        <f t="shared" si="9"/>
        <v>4</v>
      </c>
    </row>
    <row r="375" spans="2:10" ht="14.45" hidden="1" x14ac:dyDescent="0.3">
      <c r="B375" s="85" t="str">
        <f>IFERROR(VLOOKUP(A375,Lookup!A:B,2,0),"")</f>
        <v/>
      </c>
      <c r="C375" s="85" t="str">
        <f>IFERROR(VLOOKUP(A375,Lookup!A:C,3,0),"")</f>
        <v/>
      </c>
      <c r="J375">
        <f t="shared" si="9"/>
        <v>4</v>
      </c>
    </row>
    <row r="376" spans="2:10" ht="14.45" hidden="1" x14ac:dyDescent="0.3">
      <c r="B376" s="85" t="str">
        <f>IFERROR(VLOOKUP(A376,Lookup!A:B,2,0),"")</f>
        <v/>
      </c>
      <c r="C376" s="85" t="str">
        <f>IFERROR(VLOOKUP(A376,Lookup!A:C,3,0),"")</f>
        <v/>
      </c>
      <c r="J376">
        <f t="shared" si="9"/>
        <v>4</v>
      </c>
    </row>
    <row r="377" spans="2:10" ht="14.45" hidden="1" x14ac:dyDescent="0.3">
      <c r="B377" s="85" t="str">
        <f>IFERROR(VLOOKUP(A377,Lookup!A:B,2,0),"")</f>
        <v/>
      </c>
      <c r="C377" s="85" t="str">
        <f>IFERROR(VLOOKUP(A377,Lookup!A:C,3,0),"")</f>
        <v/>
      </c>
      <c r="J377">
        <f t="shared" si="9"/>
        <v>4</v>
      </c>
    </row>
    <row r="378" spans="2:10" ht="14.45" hidden="1" x14ac:dyDescent="0.3">
      <c r="B378" s="85" t="str">
        <f>IFERROR(VLOOKUP(A378,Lookup!A:B,2,0),"")</f>
        <v/>
      </c>
      <c r="C378" s="85" t="str">
        <f>IFERROR(VLOOKUP(A378,Lookup!A:C,3,0),"")</f>
        <v/>
      </c>
      <c r="J378">
        <f t="shared" si="9"/>
        <v>4</v>
      </c>
    </row>
    <row r="379" spans="2:10" ht="14.45" hidden="1" x14ac:dyDescent="0.3">
      <c r="B379" s="85" t="str">
        <f>IFERROR(VLOOKUP(A379,Lookup!A:B,2,0),"")</f>
        <v/>
      </c>
      <c r="C379" s="85" t="str">
        <f>IFERROR(VLOOKUP(A379,Lookup!A:C,3,0),"")</f>
        <v/>
      </c>
      <c r="J379">
        <f t="shared" si="9"/>
        <v>4</v>
      </c>
    </row>
    <row r="380" spans="2:10" ht="14.45" hidden="1" x14ac:dyDescent="0.3">
      <c r="B380" s="85" t="str">
        <f>IFERROR(VLOOKUP(A380,Lookup!A:B,2,0),"")</f>
        <v/>
      </c>
      <c r="C380" s="85" t="str">
        <f>IFERROR(VLOOKUP(A380,Lookup!A:C,3,0),"")</f>
        <v/>
      </c>
      <c r="J380">
        <f t="shared" si="9"/>
        <v>4</v>
      </c>
    </row>
    <row r="381" spans="2:10" ht="14.45" hidden="1" x14ac:dyDescent="0.3">
      <c r="B381" s="85" t="str">
        <f>IFERROR(VLOOKUP(A381,Lookup!A:B,2,0),"")</f>
        <v/>
      </c>
      <c r="C381" s="85" t="str">
        <f>IFERROR(VLOOKUP(A381,Lookup!A:C,3,0),"")</f>
        <v/>
      </c>
      <c r="J381">
        <f t="shared" si="9"/>
        <v>4</v>
      </c>
    </row>
    <row r="382" spans="2:10" ht="14.45" hidden="1" x14ac:dyDescent="0.3">
      <c r="B382" s="85" t="str">
        <f>IFERROR(VLOOKUP(A382,Lookup!A:B,2,0),"")</f>
        <v/>
      </c>
      <c r="C382" s="85" t="str">
        <f>IFERROR(VLOOKUP(A382,Lookup!A:C,3,0),"")</f>
        <v/>
      </c>
      <c r="J382">
        <f t="shared" si="9"/>
        <v>4</v>
      </c>
    </row>
    <row r="383" spans="2:10" ht="14.45" hidden="1" x14ac:dyDescent="0.3">
      <c r="B383" s="85" t="str">
        <f>IFERROR(VLOOKUP(A383,Lookup!A:B,2,0),"")</f>
        <v/>
      </c>
      <c r="C383" s="85" t="str">
        <f>IFERROR(VLOOKUP(A383,Lookup!A:C,3,0),"")</f>
        <v/>
      </c>
      <c r="J383">
        <f t="shared" si="9"/>
        <v>4</v>
      </c>
    </row>
    <row r="384" spans="2:10" ht="14.45" hidden="1" x14ac:dyDescent="0.3">
      <c r="B384" s="85" t="str">
        <f>IFERROR(VLOOKUP(A384,Lookup!A:B,2,0),"")</f>
        <v/>
      </c>
      <c r="C384" s="85" t="str">
        <f>IFERROR(VLOOKUP(A384,Lookup!A:C,3,0),"")</f>
        <v/>
      </c>
      <c r="J384">
        <f t="shared" si="9"/>
        <v>4</v>
      </c>
    </row>
    <row r="385" spans="2:10" ht="14.45" hidden="1" x14ac:dyDescent="0.3">
      <c r="B385" s="85" t="str">
        <f>IFERROR(VLOOKUP(A385,Lookup!A:B,2,0),"")</f>
        <v/>
      </c>
      <c r="C385" s="85" t="str">
        <f>IFERROR(VLOOKUP(A385,Lookup!A:C,3,0),"")</f>
        <v/>
      </c>
      <c r="J385">
        <f t="shared" si="9"/>
        <v>4</v>
      </c>
    </row>
    <row r="386" spans="2:10" ht="14.45" hidden="1" x14ac:dyDescent="0.3">
      <c r="B386" s="85" t="str">
        <f>IFERROR(VLOOKUP(A386,Lookup!A:B,2,0),"")</f>
        <v/>
      </c>
      <c r="C386" s="85" t="str">
        <f>IFERROR(VLOOKUP(A386,Lookup!A:C,3,0),"")</f>
        <v/>
      </c>
      <c r="J386">
        <f t="shared" si="9"/>
        <v>4</v>
      </c>
    </row>
    <row r="387" spans="2:10" ht="14.45" hidden="1" x14ac:dyDescent="0.3">
      <c r="B387" s="85" t="str">
        <f>IFERROR(VLOOKUP(A387,Lookup!A:B,2,0),"")</f>
        <v/>
      </c>
      <c r="C387" s="85" t="str">
        <f>IFERROR(VLOOKUP(A387,Lookup!A:C,3,0),"")</f>
        <v/>
      </c>
      <c r="J387">
        <f t="shared" si="9"/>
        <v>4</v>
      </c>
    </row>
    <row r="388" spans="2:10" ht="14.45" hidden="1" x14ac:dyDescent="0.3">
      <c r="B388" s="85" t="str">
        <f>IFERROR(VLOOKUP(A388,Lookup!A:B,2,0),"")</f>
        <v/>
      </c>
      <c r="C388" s="85" t="str">
        <f>IFERROR(VLOOKUP(A388,Lookup!A:C,3,0),"")</f>
        <v/>
      </c>
      <c r="J388">
        <f t="shared" si="9"/>
        <v>4</v>
      </c>
    </row>
    <row r="389" spans="2:10" ht="14.45" hidden="1" x14ac:dyDescent="0.3">
      <c r="B389" s="85" t="str">
        <f>IFERROR(VLOOKUP(A389,Lookup!A:B,2,0),"")</f>
        <v/>
      </c>
      <c r="C389" s="85" t="str">
        <f>IFERROR(VLOOKUP(A389,Lookup!A:C,3,0),"")</f>
        <v/>
      </c>
      <c r="J389">
        <f t="shared" si="9"/>
        <v>4</v>
      </c>
    </row>
    <row r="390" spans="2:10" ht="14.45" hidden="1" x14ac:dyDescent="0.3">
      <c r="B390" s="85" t="str">
        <f>IFERROR(VLOOKUP(A390,Lookup!A:B,2,0),"")</f>
        <v/>
      </c>
      <c r="C390" s="85" t="str">
        <f>IFERROR(VLOOKUP(A390,Lookup!A:C,3,0),"")</f>
        <v/>
      </c>
      <c r="J390">
        <f t="shared" si="9"/>
        <v>4</v>
      </c>
    </row>
    <row r="391" spans="2:10" ht="14.45" hidden="1" x14ac:dyDescent="0.3">
      <c r="B391" s="85" t="str">
        <f>IFERROR(VLOOKUP(A391,Lookup!A:B,2,0),"")</f>
        <v/>
      </c>
      <c r="C391" s="85" t="str">
        <f>IFERROR(VLOOKUP(A391,Lookup!A:C,3,0),"")</f>
        <v/>
      </c>
      <c r="J391">
        <f t="shared" si="9"/>
        <v>4</v>
      </c>
    </row>
    <row r="392" spans="2:10" ht="14.45" hidden="1" x14ac:dyDescent="0.3">
      <c r="B392" s="85" t="str">
        <f>IFERROR(VLOOKUP(A392,Lookup!A:B,2,0),"")</f>
        <v/>
      </c>
      <c r="C392" s="85" t="str">
        <f>IFERROR(VLOOKUP(A392,Lookup!A:C,3,0),"")</f>
        <v/>
      </c>
      <c r="J392">
        <f t="shared" si="9"/>
        <v>4</v>
      </c>
    </row>
    <row r="393" spans="2:10" ht="14.45" hidden="1" x14ac:dyDescent="0.3">
      <c r="B393" s="85" t="str">
        <f>IFERROR(VLOOKUP(A393,Lookup!A:B,2,0),"")</f>
        <v/>
      </c>
      <c r="C393" s="85" t="str">
        <f>IFERROR(VLOOKUP(A393,Lookup!A:C,3,0),"")</f>
        <v/>
      </c>
      <c r="J393">
        <f t="shared" si="9"/>
        <v>4</v>
      </c>
    </row>
    <row r="394" spans="2:10" ht="14.45" hidden="1" x14ac:dyDescent="0.3">
      <c r="B394" s="85" t="str">
        <f>IFERROR(VLOOKUP(A394,Lookup!A:B,2,0),"")</f>
        <v/>
      </c>
      <c r="C394" s="85" t="str">
        <f>IFERROR(VLOOKUP(A394,Lookup!A:C,3,0),"")</f>
        <v/>
      </c>
      <c r="J394">
        <f t="shared" si="9"/>
        <v>4</v>
      </c>
    </row>
    <row r="395" spans="2:10" ht="14.45" hidden="1" x14ac:dyDescent="0.3">
      <c r="B395" s="85" t="str">
        <f>IFERROR(VLOOKUP(A395,Lookup!A:B,2,0),"")</f>
        <v/>
      </c>
      <c r="C395" s="85" t="str">
        <f>IFERROR(VLOOKUP(A395,Lookup!A:C,3,0),"")</f>
        <v/>
      </c>
      <c r="J395">
        <f t="shared" si="9"/>
        <v>4</v>
      </c>
    </row>
    <row r="396" spans="2:10" ht="14.45" hidden="1" x14ac:dyDescent="0.3">
      <c r="B396" s="85" t="str">
        <f>IFERROR(VLOOKUP(A396,Lookup!A:B,2,0),"")</f>
        <v/>
      </c>
      <c r="C396" s="85" t="str">
        <f>IFERROR(VLOOKUP(A396,Lookup!A:C,3,0),"")</f>
        <v/>
      </c>
      <c r="J396">
        <f t="shared" si="9"/>
        <v>4</v>
      </c>
    </row>
    <row r="397" spans="2:10" ht="14.45" hidden="1" x14ac:dyDescent="0.3">
      <c r="B397" s="85" t="str">
        <f>IFERROR(VLOOKUP(A397,Lookup!A:B,2,0),"")</f>
        <v/>
      </c>
      <c r="C397" s="85" t="str">
        <f>IFERROR(VLOOKUP(A397,Lookup!A:C,3,0),"")</f>
        <v/>
      </c>
      <c r="J397">
        <f t="shared" si="9"/>
        <v>4</v>
      </c>
    </row>
    <row r="398" spans="2:10" ht="14.45" hidden="1" x14ac:dyDescent="0.3">
      <c r="B398" s="85" t="str">
        <f>IFERROR(VLOOKUP(A398,Lookup!A:B,2,0),"")</f>
        <v/>
      </c>
      <c r="C398" s="85" t="str">
        <f>IFERROR(VLOOKUP(A398,Lookup!A:C,3,0),"")</f>
        <v/>
      </c>
      <c r="J398">
        <f t="shared" si="9"/>
        <v>4</v>
      </c>
    </row>
    <row r="399" spans="2:10" ht="14.45" hidden="1" x14ac:dyDescent="0.3">
      <c r="B399" s="85" t="str">
        <f>IFERROR(VLOOKUP(A399,Lookup!A:B,2,0),"")</f>
        <v/>
      </c>
      <c r="C399" s="85" t="str">
        <f>IFERROR(VLOOKUP(A399,Lookup!A:C,3,0),"")</f>
        <v/>
      </c>
      <c r="J399">
        <f t="shared" ref="J399:J462" si="10">IF(H399="SET",1,IF(H399="FREQ",3,IF(H399="",4,2)))</f>
        <v>4</v>
      </c>
    </row>
    <row r="400" spans="2:10" ht="14.45" hidden="1" x14ac:dyDescent="0.3">
      <c r="B400" s="85" t="str">
        <f>IFERROR(VLOOKUP(A400,Lookup!A:B,2,0),"")</f>
        <v/>
      </c>
      <c r="C400" s="85" t="str">
        <f>IFERROR(VLOOKUP(A400,Lookup!A:C,3,0),"")</f>
        <v/>
      </c>
      <c r="J400">
        <f t="shared" si="10"/>
        <v>4</v>
      </c>
    </row>
    <row r="401" spans="2:10" ht="14.45" hidden="1" x14ac:dyDescent="0.3">
      <c r="B401" s="85" t="str">
        <f>IFERROR(VLOOKUP(A401,Lookup!A:B,2,0),"")</f>
        <v/>
      </c>
      <c r="C401" s="85" t="str">
        <f>IFERROR(VLOOKUP(A401,Lookup!A:C,3,0),"")</f>
        <v/>
      </c>
      <c r="J401">
        <f t="shared" si="10"/>
        <v>4</v>
      </c>
    </row>
    <row r="402" spans="2:10" ht="14.45" hidden="1" x14ac:dyDescent="0.3">
      <c r="B402" s="85" t="str">
        <f>IFERROR(VLOOKUP(A402,Lookup!A:B,2,0),"")</f>
        <v/>
      </c>
      <c r="C402" s="85" t="str">
        <f>IFERROR(VLOOKUP(A402,Lookup!A:C,3,0),"")</f>
        <v/>
      </c>
      <c r="J402">
        <f t="shared" si="10"/>
        <v>4</v>
      </c>
    </row>
    <row r="403" spans="2:10" ht="14.45" hidden="1" x14ac:dyDescent="0.3">
      <c r="B403" s="85" t="str">
        <f>IFERROR(VLOOKUP(A403,Lookup!A:B,2,0),"")</f>
        <v/>
      </c>
      <c r="C403" s="85" t="str">
        <f>IFERROR(VLOOKUP(A403,Lookup!A:C,3,0),"")</f>
        <v/>
      </c>
      <c r="J403">
        <f t="shared" si="10"/>
        <v>4</v>
      </c>
    </row>
    <row r="404" spans="2:10" ht="14.45" hidden="1" x14ac:dyDescent="0.3">
      <c r="B404" s="85" t="str">
        <f>IFERROR(VLOOKUP(A404,Lookup!A:B,2,0),"")</f>
        <v/>
      </c>
      <c r="C404" s="85" t="str">
        <f>IFERROR(VLOOKUP(A404,Lookup!A:C,3,0),"")</f>
        <v/>
      </c>
      <c r="J404">
        <f t="shared" si="10"/>
        <v>4</v>
      </c>
    </row>
    <row r="405" spans="2:10" ht="14.45" hidden="1" x14ac:dyDescent="0.3">
      <c r="B405" s="85" t="str">
        <f>IFERROR(VLOOKUP(A405,Lookup!A:B,2,0),"")</f>
        <v/>
      </c>
      <c r="C405" s="85" t="str">
        <f>IFERROR(VLOOKUP(A405,Lookup!A:C,3,0),"")</f>
        <v/>
      </c>
      <c r="J405">
        <f t="shared" si="10"/>
        <v>4</v>
      </c>
    </row>
    <row r="406" spans="2:10" ht="14.45" hidden="1" x14ac:dyDescent="0.3">
      <c r="B406" s="85" t="str">
        <f>IFERROR(VLOOKUP(A406,Lookup!A:B,2,0),"")</f>
        <v/>
      </c>
      <c r="C406" s="85" t="str">
        <f>IFERROR(VLOOKUP(A406,Lookup!A:C,3,0),"")</f>
        <v/>
      </c>
      <c r="J406">
        <f t="shared" si="10"/>
        <v>4</v>
      </c>
    </row>
    <row r="407" spans="2:10" ht="14.45" hidden="1" x14ac:dyDescent="0.3">
      <c r="B407" s="85" t="str">
        <f>IFERROR(VLOOKUP(A407,Lookup!A:B,2,0),"")</f>
        <v/>
      </c>
      <c r="C407" s="85" t="str">
        <f>IFERROR(VLOOKUP(A407,Lookup!A:C,3,0),"")</f>
        <v/>
      </c>
      <c r="J407">
        <f t="shared" si="10"/>
        <v>4</v>
      </c>
    </row>
    <row r="408" spans="2:10" ht="14.45" hidden="1" x14ac:dyDescent="0.3">
      <c r="B408" s="85" t="str">
        <f>IFERROR(VLOOKUP(A408,Lookup!A:B,2,0),"")</f>
        <v/>
      </c>
      <c r="C408" s="85" t="str">
        <f>IFERROR(VLOOKUP(A408,Lookup!A:C,3,0),"")</f>
        <v/>
      </c>
      <c r="J408">
        <f t="shared" si="10"/>
        <v>4</v>
      </c>
    </row>
    <row r="409" spans="2:10" ht="14.45" hidden="1" x14ac:dyDescent="0.3">
      <c r="B409" s="85" t="str">
        <f>IFERROR(VLOOKUP(A409,Lookup!A:B,2,0),"")</f>
        <v/>
      </c>
      <c r="C409" s="85" t="str">
        <f>IFERROR(VLOOKUP(A409,Lookup!A:C,3,0),"")</f>
        <v/>
      </c>
      <c r="J409">
        <f t="shared" si="10"/>
        <v>4</v>
      </c>
    </row>
    <row r="410" spans="2:10" ht="14.45" hidden="1" x14ac:dyDescent="0.3">
      <c r="B410" s="85" t="str">
        <f>IFERROR(VLOOKUP(A410,Lookup!A:B,2,0),"")</f>
        <v/>
      </c>
      <c r="C410" s="85" t="str">
        <f>IFERROR(VLOOKUP(A410,Lookup!A:C,3,0),"")</f>
        <v/>
      </c>
      <c r="J410">
        <f t="shared" si="10"/>
        <v>4</v>
      </c>
    </row>
    <row r="411" spans="2:10" ht="14.45" hidden="1" x14ac:dyDescent="0.3">
      <c r="B411" s="85" t="str">
        <f>IFERROR(VLOOKUP(A411,Lookup!A:B,2,0),"")</f>
        <v/>
      </c>
      <c r="C411" s="85" t="str">
        <f>IFERROR(VLOOKUP(A411,Lookup!A:C,3,0),"")</f>
        <v/>
      </c>
      <c r="J411">
        <f t="shared" si="10"/>
        <v>4</v>
      </c>
    </row>
    <row r="412" spans="2:10" ht="14.45" hidden="1" x14ac:dyDescent="0.3">
      <c r="B412" s="85" t="str">
        <f>IFERROR(VLOOKUP(A412,Lookup!A:B,2,0),"")</f>
        <v/>
      </c>
      <c r="C412" s="85" t="str">
        <f>IFERROR(VLOOKUP(A412,Lookup!A:C,3,0),"")</f>
        <v/>
      </c>
      <c r="J412">
        <f t="shared" si="10"/>
        <v>4</v>
      </c>
    </row>
    <row r="413" spans="2:10" ht="14.45" hidden="1" x14ac:dyDescent="0.3">
      <c r="B413" s="85" t="str">
        <f>IFERROR(VLOOKUP(A413,Lookup!A:B,2,0),"")</f>
        <v/>
      </c>
      <c r="C413" s="85" t="str">
        <f>IFERROR(VLOOKUP(A413,Lookup!A:C,3,0),"")</f>
        <v/>
      </c>
      <c r="J413">
        <f t="shared" si="10"/>
        <v>4</v>
      </c>
    </row>
    <row r="414" spans="2:10" ht="14.45" hidden="1" x14ac:dyDescent="0.3">
      <c r="B414" s="85" t="str">
        <f>IFERROR(VLOOKUP(A414,Lookup!A:B,2,0),"")</f>
        <v/>
      </c>
      <c r="C414" s="85" t="str">
        <f>IFERROR(VLOOKUP(A414,Lookup!A:C,3,0),"")</f>
        <v/>
      </c>
      <c r="J414">
        <f t="shared" si="10"/>
        <v>4</v>
      </c>
    </row>
    <row r="415" spans="2:10" ht="14.45" hidden="1" x14ac:dyDescent="0.3">
      <c r="B415" s="85" t="str">
        <f>IFERROR(VLOOKUP(A415,Lookup!A:B,2,0),"")</f>
        <v/>
      </c>
      <c r="C415" s="85" t="str">
        <f>IFERROR(VLOOKUP(A415,Lookup!A:C,3,0),"")</f>
        <v/>
      </c>
      <c r="J415">
        <f t="shared" si="10"/>
        <v>4</v>
      </c>
    </row>
    <row r="416" spans="2:10" ht="14.45" hidden="1" x14ac:dyDescent="0.3">
      <c r="B416" s="85" t="str">
        <f>IFERROR(VLOOKUP(A416,Lookup!A:B,2,0),"")</f>
        <v/>
      </c>
      <c r="C416" s="85" t="str">
        <f>IFERROR(VLOOKUP(A416,Lookup!A:C,3,0),"")</f>
        <v/>
      </c>
      <c r="J416">
        <f t="shared" si="10"/>
        <v>4</v>
      </c>
    </row>
    <row r="417" spans="2:10" ht="14.45" hidden="1" x14ac:dyDescent="0.3">
      <c r="B417" s="85" t="str">
        <f>IFERROR(VLOOKUP(A417,Lookup!A:B,2,0),"")</f>
        <v/>
      </c>
      <c r="C417" s="85" t="str">
        <f>IFERROR(VLOOKUP(A417,Lookup!A:C,3,0),"")</f>
        <v/>
      </c>
      <c r="J417">
        <f t="shared" si="10"/>
        <v>4</v>
      </c>
    </row>
    <row r="418" spans="2:10" ht="14.45" hidden="1" x14ac:dyDescent="0.3">
      <c r="B418" s="85" t="str">
        <f>IFERROR(VLOOKUP(A418,Lookup!A:B,2,0),"")</f>
        <v/>
      </c>
      <c r="C418" s="85" t="str">
        <f>IFERROR(VLOOKUP(A418,Lookup!A:C,3,0),"")</f>
        <v/>
      </c>
      <c r="J418">
        <f t="shared" si="10"/>
        <v>4</v>
      </c>
    </row>
    <row r="419" spans="2:10" ht="14.45" hidden="1" x14ac:dyDescent="0.3">
      <c r="B419" s="85" t="str">
        <f>IFERROR(VLOOKUP(A419,Lookup!A:B,2,0),"")</f>
        <v/>
      </c>
      <c r="C419" s="85" t="str">
        <f>IFERROR(VLOOKUP(A419,Lookup!A:C,3,0),"")</f>
        <v/>
      </c>
      <c r="J419">
        <f t="shared" si="10"/>
        <v>4</v>
      </c>
    </row>
    <row r="420" spans="2:10" ht="14.45" hidden="1" x14ac:dyDescent="0.3">
      <c r="B420" s="85" t="str">
        <f>IFERROR(VLOOKUP(A420,Lookup!A:B,2,0),"")</f>
        <v/>
      </c>
      <c r="C420" s="85" t="str">
        <f>IFERROR(VLOOKUP(A420,Lookup!A:C,3,0),"")</f>
        <v/>
      </c>
      <c r="J420">
        <f t="shared" si="10"/>
        <v>4</v>
      </c>
    </row>
    <row r="421" spans="2:10" ht="14.45" hidden="1" x14ac:dyDescent="0.3">
      <c r="B421" s="85" t="str">
        <f>IFERROR(VLOOKUP(A421,Lookup!A:B,2,0),"")</f>
        <v/>
      </c>
      <c r="C421" s="85" t="str">
        <f>IFERROR(VLOOKUP(A421,Lookup!A:C,3,0),"")</f>
        <v/>
      </c>
      <c r="J421">
        <f t="shared" si="10"/>
        <v>4</v>
      </c>
    </row>
    <row r="422" spans="2:10" ht="14.45" hidden="1" x14ac:dyDescent="0.3">
      <c r="B422" s="85" t="str">
        <f>IFERROR(VLOOKUP(A422,Lookup!A:B,2,0),"")</f>
        <v/>
      </c>
      <c r="C422" s="85" t="str">
        <f>IFERROR(VLOOKUP(A422,Lookup!A:C,3,0),"")</f>
        <v/>
      </c>
      <c r="J422">
        <f t="shared" si="10"/>
        <v>4</v>
      </c>
    </row>
    <row r="423" spans="2:10" ht="14.45" hidden="1" x14ac:dyDescent="0.3">
      <c r="B423" s="85" t="str">
        <f>IFERROR(VLOOKUP(A423,Lookup!A:B,2,0),"")</f>
        <v/>
      </c>
      <c r="C423" s="85" t="str">
        <f>IFERROR(VLOOKUP(A423,Lookup!A:C,3,0),"")</f>
        <v/>
      </c>
      <c r="J423">
        <f t="shared" si="10"/>
        <v>4</v>
      </c>
    </row>
    <row r="424" spans="2:10" ht="14.45" hidden="1" x14ac:dyDescent="0.3">
      <c r="B424" s="85" t="str">
        <f>IFERROR(VLOOKUP(A424,Lookup!A:B,2,0),"")</f>
        <v/>
      </c>
      <c r="C424" s="85" t="str">
        <f>IFERROR(VLOOKUP(A424,Lookup!A:C,3,0),"")</f>
        <v/>
      </c>
      <c r="J424">
        <f t="shared" si="10"/>
        <v>4</v>
      </c>
    </row>
    <row r="425" spans="2:10" ht="14.45" hidden="1" x14ac:dyDescent="0.3">
      <c r="B425" s="85" t="str">
        <f>IFERROR(VLOOKUP(A425,Lookup!A:B,2,0),"")</f>
        <v/>
      </c>
      <c r="C425" s="85" t="str">
        <f>IFERROR(VLOOKUP(A425,Lookup!A:C,3,0),"")</f>
        <v/>
      </c>
      <c r="J425">
        <f t="shared" si="10"/>
        <v>4</v>
      </c>
    </row>
    <row r="426" spans="2:10" ht="14.45" hidden="1" x14ac:dyDescent="0.3">
      <c r="B426" s="85" t="str">
        <f>IFERROR(VLOOKUP(A426,Lookup!A:B,2,0),"")</f>
        <v/>
      </c>
      <c r="C426" s="85" t="str">
        <f>IFERROR(VLOOKUP(A426,Lookup!A:C,3,0),"")</f>
        <v/>
      </c>
      <c r="J426">
        <f t="shared" si="10"/>
        <v>4</v>
      </c>
    </row>
    <row r="427" spans="2:10" ht="14.45" hidden="1" x14ac:dyDescent="0.3">
      <c r="B427" s="85" t="str">
        <f>IFERROR(VLOOKUP(A427,Lookup!A:B,2,0),"")</f>
        <v/>
      </c>
      <c r="C427" s="85" t="str">
        <f>IFERROR(VLOOKUP(A427,Lookup!A:C,3,0),"")</f>
        <v/>
      </c>
      <c r="J427">
        <f t="shared" si="10"/>
        <v>4</v>
      </c>
    </row>
    <row r="428" spans="2:10" ht="14.45" hidden="1" x14ac:dyDescent="0.3">
      <c r="B428" s="85" t="str">
        <f>IFERROR(VLOOKUP(A428,Lookup!A:B,2,0),"")</f>
        <v/>
      </c>
      <c r="C428" s="85" t="str">
        <f>IFERROR(VLOOKUP(A428,Lookup!A:C,3,0),"")</f>
        <v/>
      </c>
      <c r="J428">
        <f t="shared" si="10"/>
        <v>4</v>
      </c>
    </row>
    <row r="429" spans="2:10" ht="14.45" hidden="1" x14ac:dyDescent="0.3">
      <c r="B429" s="85" t="str">
        <f>IFERROR(VLOOKUP(A429,Lookup!A:B,2,0),"")</f>
        <v/>
      </c>
      <c r="C429" s="85" t="str">
        <f>IFERROR(VLOOKUP(A429,Lookup!A:C,3,0),"")</f>
        <v/>
      </c>
      <c r="J429">
        <f t="shared" si="10"/>
        <v>4</v>
      </c>
    </row>
    <row r="430" spans="2:10" ht="14.45" hidden="1" x14ac:dyDescent="0.3">
      <c r="B430" s="85" t="str">
        <f>IFERROR(VLOOKUP(A430,Lookup!A:B,2,0),"")</f>
        <v/>
      </c>
      <c r="C430" s="85" t="str">
        <f>IFERROR(VLOOKUP(A430,Lookup!A:C,3,0),"")</f>
        <v/>
      </c>
      <c r="J430">
        <f t="shared" si="10"/>
        <v>4</v>
      </c>
    </row>
    <row r="431" spans="2:10" ht="14.45" hidden="1" x14ac:dyDescent="0.3">
      <c r="B431" s="85" t="str">
        <f>IFERROR(VLOOKUP(A431,Lookup!A:B,2,0),"")</f>
        <v/>
      </c>
      <c r="C431" s="85" t="str">
        <f>IFERROR(VLOOKUP(A431,Lookup!A:C,3,0),"")</f>
        <v/>
      </c>
      <c r="J431">
        <f t="shared" si="10"/>
        <v>4</v>
      </c>
    </row>
    <row r="432" spans="2:10" ht="14.45" hidden="1" x14ac:dyDescent="0.3">
      <c r="B432" s="85" t="str">
        <f>IFERROR(VLOOKUP(A432,Lookup!A:B,2,0),"")</f>
        <v/>
      </c>
      <c r="C432" s="85" t="str">
        <f>IFERROR(VLOOKUP(A432,Lookup!A:C,3,0),"")</f>
        <v/>
      </c>
      <c r="J432">
        <f t="shared" si="10"/>
        <v>4</v>
      </c>
    </row>
    <row r="433" spans="2:10" ht="14.45" hidden="1" x14ac:dyDescent="0.3">
      <c r="B433" s="85" t="str">
        <f>IFERROR(VLOOKUP(A433,Lookup!A:B,2,0),"")</f>
        <v/>
      </c>
      <c r="C433" s="85" t="str">
        <f>IFERROR(VLOOKUP(A433,Lookup!A:C,3,0),"")</f>
        <v/>
      </c>
      <c r="J433">
        <f t="shared" si="10"/>
        <v>4</v>
      </c>
    </row>
    <row r="434" spans="2:10" ht="14.45" hidden="1" x14ac:dyDescent="0.3">
      <c r="B434" s="85" t="str">
        <f>IFERROR(VLOOKUP(A434,Lookup!A:B,2,0),"")</f>
        <v/>
      </c>
      <c r="C434" s="85" t="str">
        <f>IFERROR(VLOOKUP(A434,Lookup!A:C,3,0),"")</f>
        <v/>
      </c>
      <c r="J434">
        <f t="shared" si="10"/>
        <v>4</v>
      </c>
    </row>
    <row r="435" spans="2:10" ht="14.45" hidden="1" x14ac:dyDescent="0.3">
      <c r="B435" s="85" t="str">
        <f>IFERROR(VLOOKUP(A435,Lookup!A:B,2,0),"")</f>
        <v/>
      </c>
      <c r="C435" s="85" t="str">
        <f>IFERROR(VLOOKUP(A435,Lookup!A:C,3,0),"")</f>
        <v/>
      </c>
      <c r="J435">
        <f t="shared" si="10"/>
        <v>4</v>
      </c>
    </row>
    <row r="436" spans="2:10" ht="14.45" hidden="1" x14ac:dyDescent="0.3">
      <c r="B436" s="85" t="str">
        <f>IFERROR(VLOOKUP(A436,Lookup!A:B,2,0),"")</f>
        <v/>
      </c>
      <c r="C436" s="85" t="str">
        <f>IFERROR(VLOOKUP(A436,Lookup!A:C,3,0),"")</f>
        <v/>
      </c>
      <c r="J436">
        <f t="shared" si="10"/>
        <v>4</v>
      </c>
    </row>
    <row r="437" spans="2:10" ht="14.45" hidden="1" x14ac:dyDescent="0.3">
      <c r="B437" s="85" t="str">
        <f>IFERROR(VLOOKUP(A437,Lookup!A:B,2,0),"")</f>
        <v/>
      </c>
      <c r="C437" s="85" t="str">
        <f>IFERROR(VLOOKUP(A437,Lookup!A:C,3,0),"")</f>
        <v/>
      </c>
      <c r="J437">
        <f t="shared" si="10"/>
        <v>4</v>
      </c>
    </row>
    <row r="438" spans="2:10" ht="14.45" hidden="1" x14ac:dyDescent="0.3">
      <c r="B438" s="85" t="str">
        <f>IFERROR(VLOOKUP(A438,Lookup!A:B,2,0),"")</f>
        <v/>
      </c>
      <c r="C438" s="85" t="str">
        <f>IFERROR(VLOOKUP(A438,Lookup!A:C,3,0),"")</f>
        <v/>
      </c>
      <c r="J438">
        <f t="shared" si="10"/>
        <v>4</v>
      </c>
    </row>
    <row r="439" spans="2:10" ht="14.45" hidden="1" x14ac:dyDescent="0.3">
      <c r="B439" s="85" t="str">
        <f>IFERROR(VLOOKUP(A439,Lookup!A:B,2,0),"")</f>
        <v/>
      </c>
      <c r="C439" s="85" t="str">
        <f>IFERROR(VLOOKUP(A439,Lookup!A:C,3,0),"")</f>
        <v/>
      </c>
      <c r="J439">
        <f t="shared" si="10"/>
        <v>4</v>
      </c>
    </row>
    <row r="440" spans="2:10" ht="14.45" hidden="1" x14ac:dyDescent="0.3">
      <c r="B440" s="85" t="str">
        <f>IFERROR(VLOOKUP(A440,Lookup!A:B,2,0),"")</f>
        <v/>
      </c>
      <c r="C440" s="85" t="str">
        <f>IFERROR(VLOOKUP(A440,Lookup!A:C,3,0),"")</f>
        <v/>
      </c>
      <c r="J440">
        <f t="shared" si="10"/>
        <v>4</v>
      </c>
    </row>
    <row r="441" spans="2:10" ht="14.45" hidden="1" x14ac:dyDescent="0.3">
      <c r="B441" s="85" t="str">
        <f>IFERROR(VLOOKUP(A441,Lookup!A:B,2,0),"")</f>
        <v/>
      </c>
      <c r="C441" s="85" t="str">
        <f>IFERROR(VLOOKUP(A441,Lookup!A:C,3,0),"")</f>
        <v/>
      </c>
      <c r="J441">
        <f t="shared" si="10"/>
        <v>4</v>
      </c>
    </row>
    <row r="442" spans="2:10" ht="14.45" hidden="1" x14ac:dyDescent="0.3">
      <c r="B442" s="85" t="str">
        <f>IFERROR(VLOOKUP(A442,Lookup!A:B,2,0),"")</f>
        <v/>
      </c>
      <c r="C442" s="85" t="str">
        <f>IFERROR(VLOOKUP(A442,Lookup!A:C,3,0),"")</f>
        <v/>
      </c>
      <c r="J442">
        <f t="shared" si="10"/>
        <v>4</v>
      </c>
    </row>
    <row r="443" spans="2:10" ht="14.45" hidden="1" x14ac:dyDescent="0.3">
      <c r="B443" s="85" t="str">
        <f>IFERROR(VLOOKUP(A443,Lookup!A:B,2,0),"")</f>
        <v/>
      </c>
      <c r="C443" s="85" t="str">
        <f>IFERROR(VLOOKUP(A443,Lookup!A:C,3,0),"")</f>
        <v/>
      </c>
      <c r="J443">
        <f t="shared" si="10"/>
        <v>4</v>
      </c>
    </row>
    <row r="444" spans="2:10" ht="14.45" hidden="1" x14ac:dyDescent="0.3">
      <c r="B444" s="85" t="str">
        <f>IFERROR(VLOOKUP(A444,Lookup!A:B,2,0),"")</f>
        <v/>
      </c>
      <c r="C444" s="85" t="str">
        <f>IFERROR(VLOOKUP(A444,Lookup!A:C,3,0),"")</f>
        <v/>
      </c>
      <c r="J444">
        <f t="shared" si="10"/>
        <v>4</v>
      </c>
    </row>
    <row r="445" spans="2:10" ht="14.45" hidden="1" x14ac:dyDescent="0.3">
      <c r="B445" s="85" t="str">
        <f>IFERROR(VLOOKUP(A445,Lookup!A:B,2,0),"")</f>
        <v/>
      </c>
      <c r="C445" s="85" t="str">
        <f>IFERROR(VLOOKUP(A445,Lookup!A:C,3,0),"")</f>
        <v/>
      </c>
      <c r="J445">
        <f t="shared" si="10"/>
        <v>4</v>
      </c>
    </row>
    <row r="446" spans="2:10" ht="14.45" hidden="1" x14ac:dyDescent="0.3">
      <c r="B446" s="85" t="str">
        <f>IFERROR(VLOOKUP(A446,Lookup!A:B,2,0),"")</f>
        <v/>
      </c>
      <c r="C446" s="85" t="str">
        <f>IFERROR(VLOOKUP(A446,Lookup!A:C,3,0),"")</f>
        <v/>
      </c>
      <c r="J446">
        <f t="shared" si="10"/>
        <v>4</v>
      </c>
    </row>
    <row r="447" spans="2:10" ht="14.45" hidden="1" x14ac:dyDescent="0.3">
      <c r="B447" s="85" t="str">
        <f>IFERROR(VLOOKUP(A447,Lookup!A:B,2,0),"")</f>
        <v/>
      </c>
      <c r="C447" s="85" t="str">
        <f>IFERROR(VLOOKUP(A447,Lookup!A:C,3,0),"")</f>
        <v/>
      </c>
      <c r="J447">
        <f t="shared" si="10"/>
        <v>4</v>
      </c>
    </row>
    <row r="448" spans="2:10" ht="14.45" hidden="1" x14ac:dyDescent="0.3">
      <c r="B448" s="85" t="str">
        <f>IFERROR(VLOOKUP(A448,Lookup!A:B,2,0),"")</f>
        <v/>
      </c>
      <c r="C448" s="85" t="str">
        <f>IFERROR(VLOOKUP(A448,Lookup!A:C,3,0),"")</f>
        <v/>
      </c>
      <c r="J448">
        <f t="shared" si="10"/>
        <v>4</v>
      </c>
    </row>
    <row r="449" spans="2:10" ht="14.45" hidden="1" x14ac:dyDescent="0.3">
      <c r="B449" s="85" t="str">
        <f>IFERROR(VLOOKUP(A449,Lookup!A:B,2,0),"")</f>
        <v/>
      </c>
      <c r="C449" s="85" t="str">
        <f>IFERROR(VLOOKUP(A449,Lookup!A:C,3,0),"")</f>
        <v/>
      </c>
      <c r="J449">
        <f t="shared" si="10"/>
        <v>4</v>
      </c>
    </row>
    <row r="450" spans="2:10" ht="14.45" hidden="1" x14ac:dyDescent="0.3">
      <c r="B450" s="85" t="str">
        <f>IFERROR(VLOOKUP(A450,Lookup!A:B,2,0),"")</f>
        <v/>
      </c>
      <c r="C450" s="85" t="str">
        <f>IFERROR(VLOOKUP(A450,Lookup!A:C,3,0),"")</f>
        <v/>
      </c>
      <c r="J450">
        <f t="shared" si="10"/>
        <v>4</v>
      </c>
    </row>
    <row r="451" spans="2:10" ht="14.45" hidden="1" x14ac:dyDescent="0.3">
      <c r="B451" s="85" t="str">
        <f>IFERROR(VLOOKUP(A451,Lookup!A:B,2,0),"")</f>
        <v/>
      </c>
      <c r="C451" s="85" t="str">
        <f>IFERROR(VLOOKUP(A451,Lookup!A:C,3,0),"")</f>
        <v/>
      </c>
      <c r="J451">
        <f t="shared" si="10"/>
        <v>4</v>
      </c>
    </row>
    <row r="452" spans="2:10" ht="14.45" hidden="1" x14ac:dyDescent="0.3">
      <c r="B452" s="85" t="str">
        <f>IFERROR(VLOOKUP(A452,Lookup!A:B,2,0),"")</f>
        <v/>
      </c>
      <c r="C452" s="85" t="str">
        <f>IFERROR(VLOOKUP(A452,Lookup!A:C,3,0),"")</f>
        <v/>
      </c>
      <c r="J452">
        <f t="shared" si="10"/>
        <v>4</v>
      </c>
    </row>
    <row r="453" spans="2:10" ht="14.45" hidden="1" x14ac:dyDescent="0.3">
      <c r="B453" s="85" t="str">
        <f>IFERROR(VLOOKUP(A453,Lookup!A:B,2,0),"")</f>
        <v/>
      </c>
      <c r="C453" s="85" t="str">
        <f>IFERROR(VLOOKUP(A453,Lookup!A:C,3,0),"")</f>
        <v/>
      </c>
      <c r="J453">
        <f t="shared" si="10"/>
        <v>4</v>
      </c>
    </row>
    <row r="454" spans="2:10" ht="14.45" hidden="1" x14ac:dyDescent="0.3">
      <c r="B454" s="85" t="str">
        <f>IFERROR(VLOOKUP(A454,Lookup!A:B,2,0),"")</f>
        <v/>
      </c>
      <c r="C454" s="85" t="str">
        <f>IFERROR(VLOOKUP(A454,Lookup!A:C,3,0),"")</f>
        <v/>
      </c>
      <c r="J454">
        <f t="shared" si="10"/>
        <v>4</v>
      </c>
    </row>
    <row r="455" spans="2:10" ht="14.45" hidden="1" x14ac:dyDescent="0.3">
      <c r="B455" s="85" t="str">
        <f>IFERROR(VLOOKUP(A455,Lookup!A:B,2,0),"")</f>
        <v/>
      </c>
      <c r="C455" s="85" t="str">
        <f>IFERROR(VLOOKUP(A455,Lookup!A:C,3,0),"")</f>
        <v/>
      </c>
      <c r="J455">
        <f t="shared" si="10"/>
        <v>4</v>
      </c>
    </row>
    <row r="456" spans="2:10" ht="14.45" hidden="1" x14ac:dyDescent="0.3">
      <c r="B456" s="85" t="str">
        <f>IFERROR(VLOOKUP(A456,Lookup!A:B,2,0),"")</f>
        <v/>
      </c>
      <c r="C456" s="85" t="str">
        <f>IFERROR(VLOOKUP(A456,Lookup!A:C,3,0),"")</f>
        <v/>
      </c>
      <c r="J456">
        <f t="shared" si="10"/>
        <v>4</v>
      </c>
    </row>
    <row r="457" spans="2:10" ht="14.45" hidden="1" x14ac:dyDescent="0.3">
      <c r="B457" s="85" t="str">
        <f>IFERROR(VLOOKUP(A457,Lookup!A:B,2,0),"")</f>
        <v/>
      </c>
      <c r="C457" s="85" t="str">
        <f>IFERROR(VLOOKUP(A457,Lookup!A:C,3,0),"")</f>
        <v/>
      </c>
      <c r="J457">
        <f t="shared" si="10"/>
        <v>4</v>
      </c>
    </row>
    <row r="458" spans="2:10" ht="14.45" hidden="1" x14ac:dyDescent="0.3">
      <c r="B458" s="85" t="str">
        <f>IFERROR(VLOOKUP(A458,Lookup!A:B,2,0),"")</f>
        <v/>
      </c>
      <c r="C458" s="85" t="str">
        <f>IFERROR(VLOOKUP(A458,Lookup!A:C,3,0),"")</f>
        <v/>
      </c>
      <c r="J458">
        <f t="shared" si="10"/>
        <v>4</v>
      </c>
    </row>
    <row r="459" spans="2:10" ht="14.45" hidden="1" x14ac:dyDescent="0.3">
      <c r="B459" s="85" t="str">
        <f>IFERROR(VLOOKUP(A459,Lookup!A:B,2,0),"")</f>
        <v/>
      </c>
      <c r="C459" s="85" t="str">
        <f>IFERROR(VLOOKUP(A459,Lookup!A:C,3,0),"")</f>
        <v/>
      </c>
      <c r="J459">
        <f t="shared" si="10"/>
        <v>4</v>
      </c>
    </row>
    <row r="460" spans="2:10" ht="14.45" hidden="1" x14ac:dyDescent="0.3">
      <c r="B460" s="85" t="str">
        <f>IFERROR(VLOOKUP(A460,Lookup!A:B,2,0),"")</f>
        <v/>
      </c>
      <c r="C460" s="85" t="str">
        <f>IFERROR(VLOOKUP(A460,Lookup!A:C,3,0),"")</f>
        <v/>
      </c>
      <c r="J460">
        <f t="shared" si="10"/>
        <v>4</v>
      </c>
    </row>
    <row r="461" spans="2:10" ht="14.45" hidden="1" x14ac:dyDescent="0.3">
      <c r="B461" s="85" t="str">
        <f>IFERROR(VLOOKUP(A461,Lookup!A:B,2,0),"")</f>
        <v/>
      </c>
      <c r="C461" s="85" t="str">
        <f>IFERROR(VLOOKUP(A461,Lookup!A:C,3,0),"")</f>
        <v/>
      </c>
      <c r="J461">
        <f t="shared" si="10"/>
        <v>4</v>
      </c>
    </row>
    <row r="462" spans="2:10" ht="14.45" hidden="1" x14ac:dyDescent="0.3">
      <c r="B462" s="85" t="str">
        <f>IFERROR(VLOOKUP(A462,Lookup!A:B,2,0),"")</f>
        <v/>
      </c>
      <c r="C462" s="85" t="str">
        <f>IFERROR(VLOOKUP(A462,Lookup!A:C,3,0),"")</f>
        <v/>
      </c>
      <c r="J462">
        <f t="shared" si="10"/>
        <v>4</v>
      </c>
    </row>
    <row r="463" spans="2:10" ht="14.45" hidden="1" x14ac:dyDescent="0.3">
      <c r="B463" s="85" t="str">
        <f>IFERROR(VLOOKUP(A463,Lookup!A:B,2,0),"")</f>
        <v/>
      </c>
      <c r="C463" s="85" t="str">
        <f>IFERROR(VLOOKUP(A463,Lookup!A:C,3,0),"")</f>
        <v/>
      </c>
      <c r="J463">
        <f t="shared" ref="J463:J526" si="11">IF(H463="SET",1,IF(H463="FREQ",3,IF(H463="",4,2)))</f>
        <v>4</v>
      </c>
    </row>
    <row r="464" spans="2:10" ht="14.45" hidden="1" x14ac:dyDescent="0.3">
      <c r="B464" s="85" t="str">
        <f>IFERROR(VLOOKUP(A464,Lookup!A:B,2,0),"")</f>
        <v/>
      </c>
      <c r="C464" s="85" t="str">
        <f>IFERROR(VLOOKUP(A464,Lookup!A:C,3,0),"")</f>
        <v/>
      </c>
      <c r="J464">
        <f t="shared" si="11"/>
        <v>4</v>
      </c>
    </row>
    <row r="465" spans="2:10" ht="14.45" hidden="1" x14ac:dyDescent="0.3">
      <c r="B465" s="85" t="str">
        <f>IFERROR(VLOOKUP(A465,Lookup!A:B,2,0),"")</f>
        <v/>
      </c>
      <c r="C465" s="85" t="str">
        <f>IFERROR(VLOOKUP(A465,Lookup!A:C,3,0),"")</f>
        <v/>
      </c>
      <c r="J465">
        <f t="shared" si="11"/>
        <v>4</v>
      </c>
    </row>
    <row r="466" spans="2:10" ht="14.45" hidden="1" x14ac:dyDescent="0.3">
      <c r="B466" s="85" t="str">
        <f>IFERROR(VLOOKUP(A466,Lookup!A:B,2,0),"")</f>
        <v/>
      </c>
      <c r="C466" s="85" t="str">
        <f>IFERROR(VLOOKUP(A466,Lookup!A:C,3,0),"")</f>
        <v/>
      </c>
      <c r="J466">
        <f t="shared" si="11"/>
        <v>4</v>
      </c>
    </row>
    <row r="467" spans="2:10" ht="14.45" hidden="1" x14ac:dyDescent="0.3">
      <c r="B467" s="85" t="str">
        <f>IFERROR(VLOOKUP(A467,Lookup!A:B,2,0),"")</f>
        <v/>
      </c>
      <c r="C467" s="85" t="str">
        <f>IFERROR(VLOOKUP(A467,Lookup!A:C,3,0),"")</f>
        <v/>
      </c>
      <c r="J467">
        <f t="shared" si="11"/>
        <v>4</v>
      </c>
    </row>
    <row r="468" spans="2:10" ht="14.45" hidden="1" x14ac:dyDescent="0.3">
      <c r="B468" s="85" t="str">
        <f>IFERROR(VLOOKUP(A468,Lookup!A:B,2,0),"")</f>
        <v/>
      </c>
      <c r="C468" s="85" t="str">
        <f>IFERROR(VLOOKUP(A468,Lookup!A:C,3,0),"")</f>
        <v/>
      </c>
      <c r="J468">
        <f t="shared" si="11"/>
        <v>4</v>
      </c>
    </row>
    <row r="469" spans="2:10" ht="14.45" hidden="1" x14ac:dyDescent="0.3">
      <c r="B469" s="85" t="str">
        <f>IFERROR(VLOOKUP(A469,Lookup!A:B,2,0),"")</f>
        <v/>
      </c>
      <c r="C469" s="85" t="str">
        <f>IFERROR(VLOOKUP(A469,Lookup!A:C,3,0),"")</f>
        <v/>
      </c>
      <c r="J469">
        <f t="shared" si="11"/>
        <v>4</v>
      </c>
    </row>
    <row r="470" spans="2:10" ht="14.45" hidden="1" x14ac:dyDescent="0.3">
      <c r="B470" s="85" t="str">
        <f>IFERROR(VLOOKUP(A470,Lookup!A:B,2,0),"")</f>
        <v/>
      </c>
      <c r="C470" s="85" t="str">
        <f>IFERROR(VLOOKUP(A470,Lookup!A:C,3,0),"")</f>
        <v/>
      </c>
      <c r="J470">
        <f t="shared" si="11"/>
        <v>4</v>
      </c>
    </row>
    <row r="471" spans="2:10" ht="14.45" hidden="1" x14ac:dyDescent="0.3">
      <c r="B471" s="85" t="str">
        <f>IFERROR(VLOOKUP(A471,Lookup!A:B,2,0),"")</f>
        <v/>
      </c>
      <c r="C471" s="85" t="str">
        <f>IFERROR(VLOOKUP(A471,Lookup!A:C,3,0),"")</f>
        <v/>
      </c>
      <c r="J471">
        <f t="shared" si="11"/>
        <v>4</v>
      </c>
    </row>
    <row r="472" spans="2:10" ht="14.45" hidden="1" x14ac:dyDescent="0.3">
      <c r="B472" s="85" t="str">
        <f>IFERROR(VLOOKUP(A472,Lookup!A:B,2,0),"")</f>
        <v/>
      </c>
      <c r="C472" s="85" t="str">
        <f>IFERROR(VLOOKUP(A472,Lookup!A:C,3,0),"")</f>
        <v/>
      </c>
      <c r="J472">
        <f t="shared" si="11"/>
        <v>4</v>
      </c>
    </row>
    <row r="473" spans="2:10" ht="14.45" hidden="1" x14ac:dyDescent="0.3">
      <c r="B473" s="85" t="str">
        <f>IFERROR(VLOOKUP(A473,Lookup!A:B,2,0),"")</f>
        <v/>
      </c>
      <c r="C473" s="85" t="str">
        <f>IFERROR(VLOOKUP(A473,Lookup!A:C,3,0),"")</f>
        <v/>
      </c>
      <c r="J473">
        <f t="shared" si="11"/>
        <v>4</v>
      </c>
    </row>
    <row r="474" spans="2:10" ht="14.45" hidden="1" x14ac:dyDescent="0.3">
      <c r="B474" s="85" t="str">
        <f>IFERROR(VLOOKUP(A474,Lookup!A:B,2,0),"")</f>
        <v/>
      </c>
      <c r="C474" s="85" t="str">
        <f>IFERROR(VLOOKUP(A474,Lookup!A:C,3,0),"")</f>
        <v/>
      </c>
      <c r="J474">
        <f t="shared" si="11"/>
        <v>4</v>
      </c>
    </row>
    <row r="475" spans="2:10" ht="14.45" hidden="1" x14ac:dyDescent="0.3">
      <c r="B475" s="85" t="str">
        <f>IFERROR(VLOOKUP(A475,Lookup!A:B,2,0),"")</f>
        <v/>
      </c>
      <c r="C475" s="85" t="str">
        <f>IFERROR(VLOOKUP(A475,Lookup!A:C,3,0),"")</f>
        <v/>
      </c>
      <c r="J475">
        <f t="shared" si="11"/>
        <v>4</v>
      </c>
    </row>
    <row r="476" spans="2:10" ht="14.45" hidden="1" x14ac:dyDescent="0.3">
      <c r="B476" s="85" t="str">
        <f>IFERROR(VLOOKUP(A476,Lookup!A:B,2,0),"")</f>
        <v/>
      </c>
      <c r="C476" s="85" t="str">
        <f>IFERROR(VLOOKUP(A476,Lookup!A:C,3,0),"")</f>
        <v/>
      </c>
      <c r="J476">
        <f t="shared" si="11"/>
        <v>4</v>
      </c>
    </row>
    <row r="477" spans="2:10" ht="14.45" hidden="1" x14ac:dyDescent="0.3">
      <c r="B477" s="85" t="str">
        <f>IFERROR(VLOOKUP(A477,Lookup!A:B,2,0),"")</f>
        <v/>
      </c>
      <c r="C477" s="85" t="str">
        <f>IFERROR(VLOOKUP(A477,Lookup!A:C,3,0),"")</f>
        <v/>
      </c>
      <c r="J477">
        <f t="shared" si="11"/>
        <v>4</v>
      </c>
    </row>
    <row r="478" spans="2:10" ht="14.45" hidden="1" x14ac:dyDescent="0.3">
      <c r="B478" s="85" t="str">
        <f>IFERROR(VLOOKUP(A478,Lookup!A:B,2,0),"")</f>
        <v/>
      </c>
      <c r="C478" s="85" t="str">
        <f>IFERROR(VLOOKUP(A478,Lookup!A:C,3,0),"")</f>
        <v/>
      </c>
      <c r="J478">
        <f t="shared" si="11"/>
        <v>4</v>
      </c>
    </row>
    <row r="479" spans="2:10" ht="14.45" hidden="1" x14ac:dyDescent="0.3">
      <c r="B479" s="85" t="str">
        <f>IFERROR(VLOOKUP(A479,Lookup!A:B,2,0),"")</f>
        <v/>
      </c>
      <c r="C479" s="85" t="str">
        <f>IFERROR(VLOOKUP(A479,Lookup!A:C,3,0),"")</f>
        <v/>
      </c>
      <c r="J479">
        <f t="shared" si="11"/>
        <v>4</v>
      </c>
    </row>
    <row r="480" spans="2:10" ht="14.45" hidden="1" x14ac:dyDescent="0.3">
      <c r="B480" s="85" t="str">
        <f>IFERROR(VLOOKUP(A480,Lookup!A:B,2,0),"")</f>
        <v/>
      </c>
      <c r="C480" s="85" t="str">
        <f>IFERROR(VLOOKUP(A480,Lookup!A:C,3,0),"")</f>
        <v/>
      </c>
      <c r="J480">
        <f t="shared" si="11"/>
        <v>4</v>
      </c>
    </row>
    <row r="481" spans="2:10" ht="14.45" hidden="1" x14ac:dyDescent="0.3">
      <c r="B481" s="85" t="str">
        <f>IFERROR(VLOOKUP(A481,Lookup!A:B,2,0),"")</f>
        <v/>
      </c>
      <c r="C481" s="85" t="str">
        <f>IFERROR(VLOOKUP(A481,Lookup!A:C,3,0),"")</f>
        <v/>
      </c>
      <c r="J481">
        <f t="shared" si="11"/>
        <v>4</v>
      </c>
    </row>
    <row r="482" spans="2:10" ht="14.45" hidden="1" x14ac:dyDescent="0.3">
      <c r="B482" s="85" t="str">
        <f>IFERROR(VLOOKUP(A482,Lookup!A:B,2,0),"")</f>
        <v/>
      </c>
      <c r="C482" s="85" t="str">
        <f>IFERROR(VLOOKUP(A482,Lookup!A:C,3,0),"")</f>
        <v/>
      </c>
      <c r="J482">
        <f t="shared" si="11"/>
        <v>4</v>
      </c>
    </row>
    <row r="483" spans="2:10" ht="14.45" hidden="1" x14ac:dyDescent="0.3">
      <c r="B483" s="85" t="str">
        <f>IFERROR(VLOOKUP(A483,Lookup!A:B,2,0),"")</f>
        <v/>
      </c>
      <c r="C483" s="85" t="str">
        <f>IFERROR(VLOOKUP(A483,Lookup!A:C,3,0),"")</f>
        <v/>
      </c>
      <c r="J483">
        <f t="shared" si="11"/>
        <v>4</v>
      </c>
    </row>
    <row r="484" spans="2:10" ht="14.45" hidden="1" x14ac:dyDescent="0.3">
      <c r="B484" s="85" t="str">
        <f>IFERROR(VLOOKUP(A484,Lookup!A:B,2,0),"")</f>
        <v/>
      </c>
      <c r="C484" s="85" t="str">
        <f>IFERROR(VLOOKUP(A484,Lookup!A:C,3,0),"")</f>
        <v/>
      </c>
      <c r="J484">
        <f t="shared" si="11"/>
        <v>4</v>
      </c>
    </row>
    <row r="485" spans="2:10" ht="14.45" hidden="1" x14ac:dyDescent="0.3">
      <c r="B485" s="85" t="str">
        <f>IFERROR(VLOOKUP(A485,Lookup!A:B,2,0),"")</f>
        <v/>
      </c>
      <c r="C485" s="85" t="str">
        <f>IFERROR(VLOOKUP(A485,Lookup!A:C,3,0),"")</f>
        <v/>
      </c>
      <c r="J485">
        <f t="shared" si="11"/>
        <v>4</v>
      </c>
    </row>
    <row r="486" spans="2:10" ht="14.45" hidden="1" x14ac:dyDescent="0.3">
      <c r="B486" s="85" t="str">
        <f>IFERROR(VLOOKUP(A486,Lookup!A:B,2,0),"")</f>
        <v/>
      </c>
      <c r="C486" s="85" t="str">
        <f>IFERROR(VLOOKUP(A486,Lookup!A:C,3,0),"")</f>
        <v/>
      </c>
      <c r="J486">
        <f t="shared" si="11"/>
        <v>4</v>
      </c>
    </row>
    <row r="487" spans="2:10" ht="14.45" hidden="1" x14ac:dyDescent="0.3">
      <c r="B487" s="85" t="str">
        <f>IFERROR(VLOOKUP(A487,Lookup!A:B,2,0),"")</f>
        <v/>
      </c>
      <c r="C487" s="85" t="str">
        <f>IFERROR(VLOOKUP(A487,Lookup!A:C,3,0),"")</f>
        <v/>
      </c>
      <c r="J487">
        <f t="shared" si="11"/>
        <v>4</v>
      </c>
    </row>
    <row r="488" spans="2:10" ht="14.45" hidden="1" x14ac:dyDescent="0.3">
      <c r="B488" s="85" t="str">
        <f>IFERROR(VLOOKUP(A488,Lookup!A:B,2,0),"")</f>
        <v/>
      </c>
      <c r="C488" s="85" t="str">
        <f>IFERROR(VLOOKUP(A488,Lookup!A:C,3,0),"")</f>
        <v/>
      </c>
      <c r="J488">
        <f t="shared" si="11"/>
        <v>4</v>
      </c>
    </row>
    <row r="489" spans="2:10" ht="14.45" hidden="1" x14ac:dyDescent="0.3">
      <c r="B489" s="85" t="str">
        <f>IFERROR(VLOOKUP(A489,Lookup!A:B,2,0),"")</f>
        <v/>
      </c>
      <c r="C489" s="85" t="str">
        <f>IFERROR(VLOOKUP(A489,Lookup!A:C,3,0),"")</f>
        <v/>
      </c>
      <c r="J489">
        <f t="shared" si="11"/>
        <v>4</v>
      </c>
    </row>
    <row r="490" spans="2:10" ht="14.45" hidden="1" x14ac:dyDescent="0.3">
      <c r="B490" s="85" t="str">
        <f>IFERROR(VLOOKUP(A490,Lookup!A:B,2,0),"")</f>
        <v/>
      </c>
      <c r="C490" s="85" t="str">
        <f>IFERROR(VLOOKUP(A490,Lookup!A:C,3,0),"")</f>
        <v/>
      </c>
      <c r="J490">
        <f t="shared" si="11"/>
        <v>4</v>
      </c>
    </row>
    <row r="491" spans="2:10" ht="14.45" hidden="1" x14ac:dyDescent="0.3">
      <c r="B491" s="85" t="str">
        <f>IFERROR(VLOOKUP(A491,Lookup!A:B,2,0),"")</f>
        <v/>
      </c>
      <c r="C491" s="85" t="str">
        <f>IFERROR(VLOOKUP(A491,Lookup!A:C,3,0),"")</f>
        <v/>
      </c>
      <c r="J491">
        <f t="shared" si="11"/>
        <v>4</v>
      </c>
    </row>
    <row r="492" spans="2:10" ht="14.45" hidden="1" x14ac:dyDescent="0.3">
      <c r="B492" s="85" t="str">
        <f>IFERROR(VLOOKUP(A492,Lookup!A:B,2,0),"")</f>
        <v/>
      </c>
      <c r="C492" s="85" t="str">
        <f>IFERROR(VLOOKUP(A492,Lookup!A:C,3,0),"")</f>
        <v/>
      </c>
      <c r="J492">
        <f t="shared" si="11"/>
        <v>4</v>
      </c>
    </row>
    <row r="493" spans="2:10" ht="14.45" hidden="1" x14ac:dyDescent="0.3">
      <c r="B493" s="85" t="str">
        <f>IFERROR(VLOOKUP(A493,Lookup!A:B,2,0),"")</f>
        <v/>
      </c>
      <c r="C493" s="85" t="str">
        <f>IFERROR(VLOOKUP(A493,Lookup!A:C,3,0),"")</f>
        <v/>
      </c>
      <c r="J493">
        <f t="shared" si="11"/>
        <v>4</v>
      </c>
    </row>
    <row r="494" spans="2:10" ht="14.45" hidden="1" x14ac:dyDescent="0.3">
      <c r="B494" s="85" t="str">
        <f>IFERROR(VLOOKUP(A494,Lookup!A:B,2,0),"")</f>
        <v/>
      </c>
      <c r="C494" s="85" t="str">
        <f>IFERROR(VLOOKUP(A494,Lookup!A:C,3,0),"")</f>
        <v/>
      </c>
      <c r="J494">
        <f t="shared" si="11"/>
        <v>4</v>
      </c>
    </row>
    <row r="495" spans="2:10" ht="14.45" hidden="1" x14ac:dyDescent="0.3">
      <c r="B495" s="85" t="str">
        <f>IFERROR(VLOOKUP(A495,Lookup!A:B,2,0),"")</f>
        <v/>
      </c>
      <c r="C495" s="85" t="str">
        <f>IFERROR(VLOOKUP(A495,Lookup!A:C,3,0),"")</f>
        <v/>
      </c>
      <c r="J495">
        <f t="shared" si="11"/>
        <v>4</v>
      </c>
    </row>
    <row r="496" spans="2:10" ht="14.45" hidden="1" x14ac:dyDescent="0.3">
      <c r="B496" s="85" t="str">
        <f>IFERROR(VLOOKUP(A496,Lookup!A:B,2,0),"")</f>
        <v/>
      </c>
      <c r="C496" s="85" t="str">
        <f>IFERROR(VLOOKUP(A496,Lookup!A:C,3,0),"")</f>
        <v/>
      </c>
      <c r="J496">
        <f t="shared" si="11"/>
        <v>4</v>
      </c>
    </row>
    <row r="497" spans="2:10" ht="14.45" hidden="1" x14ac:dyDescent="0.3">
      <c r="B497" s="85" t="str">
        <f>IFERROR(VLOOKUP(A497,Lookup!A:B,2,0),"")</f>
        <v/>
      </c>
      <c r="C497" s="85" t="str">
        <f>IFERROR(VLOOKUP(A497,Lookup!A:C,3,0),"")</f>
        <v/>
      </c>
      <c r="J497">
        <f t="shared" si="11"/>
        <v>4</v>
      </c>
    </row>
    <row r="498" spans="2:10" ht="14.45" hidden="1" x14ac:dyDescent="0.3">
      <c r="B498" s="85" t="str">
        <f>IFERROR(VLOOKUP(A498,Lookup!A:B,2,0),"")</f>
        <v/>
      </c>
      <c r="C498" s="85" t="str">
        <f>IFERROR(VLOOKUP(A498,Lookup!A:C,3,0),"")</f>
        <v/>
      </c>
      <c r="J498">
        <f t="shared" si="11"/>
        <v>4</v>
      </c>
    </row>
    <row r="499" spans="2:10" ht="14.45" hidden="1" x14ac:dyDescent="0.3">
      <c r="B499" s="85" t="str">
        <f>IFERROR(VLOOKUP(A499,Lookup!A:B,2,0),"")</f>
        <v/>
      </c>
      <c r="C499" s="85" t="str">
        <f>IFERROR(VLOOKUP(A499,Lookup!A:C,3,0),"")</f>
        <v/>
      </c>
      <c r="J499">
        <f t="shared" si="11"/>
        <v>4</v>
      </c>
    </row>
    <row r="500" spans="2:10" ht="14.45" hidden="1" x14ac:dyDescent="0.3">
      <c r="B500" s="85" t="str">
        <f>IFERROR(VLOOKUP(A500,Lookup!A:B,2,0),"")</f>
        <v/>
      </c>
      <c r="C500" s="85" t="str">
        <f>IFERROR(VLOOKUP(A500,Lookup!A:C,3,0),"")</f>
        <v/>
      </c>
      <c r="J500">
        <f t="shared" si="11"/>
        <v>4</v>
      </c>
    </row>
    <row r="501" spans="2:10" ht="14.45" hidden="1" x14ac:dyDescent="0.3">
      <c r="B501" s="85" t="str">
        <f>IFERROR(VLOOKUP(A501,Lookup!A:B,2,0),"")</f>
        <v/>
      </c>
      <c r="C501" s="85" t="str">
        <f>IFERROR(VLOOKUP(A501,Lookup!A:C,3,0),"")</f>
        <v/>
      </c>
      <c r="J501">
        <f t="shared" si="11"/>
        <v>4</v>
      </c>
    </row>
    <row r="502" spans="2:10" ht="14.45" hidden="1" x14ac:dyDescent="0.3">
      <c r="B502" s="85" t="str">
        <f>IFERROR(VLOOKUP(A502,Lookup!A:B,2,0),"")</f>
        <v/>
      </c>
      <c r="C502" s="85" t="str">
        <f>IFERROR(VLOOKUP(A502,Lookup!A:C,3,0),"")</f>
        <v/>
      </c>
      <c r="J502">
        <f t="shared" si="11"/>
        <v>4</v>
      </c>
    </row>
    <row r="503" spans="2:10" ht="14.45" hidden="1" x14ac:dyDescent="0.3">
      <c r="B503" s="85" t="str">
        <f>IFERROR(VLOOKUP(A503,Lookup!A:B,2,0),"")</f>
        <v/>
      </c>
      <c r="C503" s="85" t="str">
        <f>IFERROR(VLOOKUP(A503,Lookup!A:C,3,0),"")</f>
        <v/>
      </c>
      <c r="J503">
        <f t="shared" si="11"/>
        <v>4</v>
      </c>
    </row>
    <row r="504" spans="2:10" ht="14.45" hidden="1" x14ac:dyDescent="0.3">
      <c r="B504" s="85" t="str">
        <f>IFERROR(VLOOKUP(A504,Lookup!A:B,2,0),"")</f>
        <v/>
      </c>
      <c r="C504" s="85" t="str">
        <f>IFERROR(VLOOKUP(A504,Lookup!A:C,3,0),"")</f>
        <v/>
      </c>
      <c r="J504">
        <f t="shared" si="11"/>
        <v>4</v>
      </c>
    </row>
    <row r="505" spans="2:10" ht="14.45" hidden="1" x14ac:dyDescent="0.3">
      <c r="B505" s="85" t="str">
        <f>IFERROR(VLOOKUP(A505,Lookup!A:B,2,0),"")</f>
        <v/>
      </c>
      <c r="C505" s="85" t="str">
        <f>IFERROR(VLOOKUP(A505,Lookup!A:C,3,0),"")</f>
        <v/>
      </c>
      <c r="J505">
        <f t="shared" si="11"/>
        <v>4</v>
      </c>
    </row>
    <row r="506" spans="2:10" ht="14.45" hidden="1" x14ac:dyDescent="0.3">
      <c r="B506" s="85" t="str">
        <f>IFERROR(VLOOKUP(A506,Lookup!A:B,2,0),"")</f>
        <v/>
      </c>
      <c r="C506" s="85" t="str">
        <f>IFERROR(VLOOKUP(A506,Lookup!A:C,3,0),"")</f>
        <v/>
      </c>
      <c r="J506">
        <f t="shared" si="11"/>
        <v>4</v>
      </c>
    </row>
    <row r="507" spans="2:10" ht="14.45" hidden="1" x14ac:dyDescent="0.3">
      <c r="B507" s="85" t="str">
        <f>IFERROR(VLOOKUP(A507,Lookup!A:B,2,0),"")</f>
        <v/>
      </c>
      <c r="C507" s="85" t="str">
        <f>IFERROR(VLOOKUP(A507,Lookup!A:C,3,0),"")</f>
        <v/>
      </c>
      <c r="J507">
        <f t="shared" si="11"/>
        <v>4</v>
      </c>
    </row>
    <row r="508" spans="2:10" ht="14.45" hidden="1" x14ac:dyDescent="0.3">
      <c r="B508" s="85" t="str">
        <f>IFERROR(VLOOKUP(A508,Lookup!A:B,2,0),"")</f>
        <v/>
      </c>
      <c r="C508" s="85" t="str">
        <f>IFERROR(VLOOKUP(A508,Lookup!A:C,3,0),"")</f>
        <v/>
      </c>
      <c r="J508">
        <f t="shared" si="11"/>
        <v>4</v>
      </c>
    </row>
    <row r="509" spans="2:10" ht="14.45" hidden="1" x14ac:dyDescent="0.3">
      <c r="B509" s="85" t="str">
        <f>IFERROR(VLOOKUP(A509,Lookup!A:B,2,0),"")</f>
        <v/>
      </c>
      <c r="C509" s="85" t="str">
        <f>IFERROR(VLOOKUP(A509,Lookup!A:C,3,0),"")</f>
        <v/>
      </c>
      <c r="J509">
        <f t="shared" si="11"/>
        <v>4</v>
      </c>
    </row>
    <row r="510" spans="2:10" ht="14.45" hidden="1" x14ac:dyDescent="0.3">
      <c r="B510" s="85" t="str">
        <f>IFERROR(VLOOKUP(A510,Lookup!A:B,2,0),"")</f>
        <v/>
      </c>
      <c r="C510" s="85" t="str">
        <f>IFERROR(VLOOKUP(A510,Lookup!A:C,3,0),"")</f>
        <v/>
      </c>
      <c r="J510">
        <f t="shared" si="11"/>
        <v>4</v>
      </c>
    </row>
    <row r="511" spans="2:10" ht="14.45" hidden="1" x14ac:dyDescent="0.3">
      <c r="B511" s="85" t="str">
        <f>IFERROR(VLOOKUP(A511,Lookup!A:B,2,0),"")</f>
        <v/>
      </c>
      <c r="C511" s="85" t="str">
        <f>IFERROR(VLOOKUP(A511,Lookup!A:C,3,0),"")</f>
        <v/>
      </c>
      <c r="J511">
        <f t="shared" si="11"/>
        <v>4</v>
      </c>
    </row>
    <row r="512" spans="2:10" ht="14.45" hidden="1" x14ac:dyDescent="0.3">
      <c r="B512" s="85" t="str">
        <f>IFERROR(VLOOKUP(A512,Lookup!A:B,2,0),"")</f>
        <v/>
      </c>
      <c r="C512" s="85" t="str">
        <f>IFERROR(VLOOKUP(A512,Lookup!A:C,3,0),"")</f>
        <v/>
      </c>
      <c r="J512">
        <f t="shared" si="11"/>
        <v>4</v>
      </c>
    </row>
    <row r="513" spans="2:10" ht="14.45" hidden="1" x14ac:dyDescent="0.3">
      <c r="B513" s="85" t="str">
        <f>IFERROR(VLOOKUP(A513,Lookup!A:B,2,0),"")</f>
        <v/>
      </c>
      <c r="C513" s="85" t="str">
        <f>IFERROR(VLOOKUP(A513,Lookup!A:C,3,0),"")</f>
        <v/>
      </c>
      <c r="J513">
        <f t="shared" si="11"/>
        <v>4</v>
      </c>
    </row>
    <row r="514" spans="2:10" ht="14.45" hidden="1" x14ac:dyDescent="0.3">
      <c r="B514" s="85" t="str">
        <f>IFERROR(VLOOKUP(A514,Lookup!A:B,2,0),"")</f>
        <v/>
      </c>
      <c r="C514" s="85" t="str">
        <f>IFERROR(VLOOKUP(A514,Lookup!A:C,3,0),"")</f>
        <v/>
      </c>
      <c r="J514">
        <f t="shared" si="11"/>
        <v>4</v>
      </c>
    </row>
    <row r="515" spans="2:10" ht="14.45" hidden="1" x14ac:dyDescent="0.3">
      <c r="B515" s="85" t="str">
        <f>IFERROR(VLOOKUP(A515,Lookup!A:B,2,0),"")</f>
        <v/>
      </c>
      <c r="C515" s="85" t="str">
        <f>IFERROR(VLOOKUP(A515,Lookup!A:C,3,0),"")</f>
        <v/>
      </c>
      <c r="J515">
        <f t="shared" si="11"/>
        <v>4</v>
      </c>
    </row>
    <row r="516" spans="2:10" ht="14.45" hidden="1" x14ac:dyDescent="0.3">
      <c r="B516" s="85" t="str">
        <f>IFERROR(VLOOKUP(A516,Lookup!A:B,2,0),"")</f>
        <v/>
      </c>
      <c r="C516" s="85" t="str">
        <f>IFERROR(VLOOKUP(A516,Lookup!A:C,3,0),"")</f>
        <v/>
      </c>
      <c r="J516">
        <f t="shared" si="11"/>
        <v>4</v>
      </c>
    </row>
    <row r="517" spans="2:10" ht="14.45" hidden="1" x14ac:dyDescent="0.3">
      <c r="B517" s="85" t="str">
        <f>IFERROR(VLOOKUP(A517,Lookup!A:B,2,0),"")</f>
        <v/>
      </c>
      <c r="C517" s="85" t="str">
        <f>IFERROR(VLOOKUP(A517,Lookup!A:C,3,0),"")</f>
        <v/>
      </c>
      <c r="J517">
        <f t="shared" si="11"/>
        <v>4</v>
      </c>
    </row>
    <row r="518" spans="2:10" ht="14.45" hidden="1" x14ac:dyDescent="0.3">
      <c r="B518" s="85" t="str">
        <f>IFERROR(VLOOKUP(A518,Lookup!A:B,2,0),"")</f>
        <v/>
      </c>
      <c r="C518" s="85" t="str">
        <f>IFERROR(VLOOKUP(A518,Lookup!A:C,3,0),"")</f>
        <v/>
      </c>
      <c r="J518">
        <f t="shared" si="11"/>
        <v>4</v>
      </c>
    </row>
    <row r="519" spans="2:10" ht="14.45" hidden="1" x14ac:dyDescent="0.3">
      <c r="B519" s="85" t="str">
        <f>IFERROR(VLOOKUP(A519,Lookup!A:B,2,0),"")</f>
        <v/>
      </c>
      <c r="C519" s="85" t="str">
        <f>IFERROR(VLOOKUP(A519,Lookup!A:C,3,0),"")</f>
        <v/>
      </c>
      <c r="J519">
        <f t="shared" si="11"/>
        <v>4</v>
      </c>
    </row>
    <row r="520" spans="2:10" ht="14.45" hidden="1" x14ac:dyDescent="0.3">
      <c r="B520" s="85" t="str">
        <f>IFERROR(VLOOKUP(A520,Lookup!A:B,2,0),"")</f>
        <v/>
      </c>
      <c r="C520" s="85" t="str">
        <f>IFERROR(VLOOKUP(A520,Lookup!A:C,3,0),"")</f>
        <v/>
      </c>
      <c r="J520">
        <f t="shared" si="11"/>
        <v>4</v>
      </c>
    </row>
    <row r="521" spans="2:10" ht="14.45" hidden="1" x14ac:dyDescent="0.3">
      <c r="B521" s="85" t="str">
        <f>IFERROR(VLOOKUP(A521,Lookup!A:B,2,0),"")</f>
        <v/>
      </c>
      <c r="C521" s="85" t="str">
        <f>IFERROR(VLOOKUP(A521,Lookup!A:C,3,0),"")</f>
        <v/>
      </c>
      <c r="J521">
        <f t="shared" si="11"/>
        <v>4</v>
      </c>
    </row>
    <row r="522" spans="2:10" ht="14.45" hidden="1" x14ac:dyDescent="0.3">
      <c r="B522" s="85" t="str">
        <f>IFERROR(VLOOKUP(A522,Lookup!A:B,2,0),"")</f>
        <v/>
      </c>
      <c r="C522" s="85" t="str">
        <f>IFERROR(VLOOKUP(A522,Lookup!A:C,3,0),"")</f>
        <v/>
      </c>
      <c r="J522">
        <f t="shared" si="11"/>
        <v>4</v>
      </c>
    </row>
    <row r="523" spans="2:10" ht="14.45" hidden="1" x14ac:dyDescent="0.3">
      <c r="B523" s="85" t="str">
        <f>IFERROR(VLOOKUP(A523,Lookup!A:B,2,0),"")</f>
        <v/>
      </c>
      <c r="C523" s="85" t="str">
        <f>IFERROR(VLOOKUP(A523,Lookup!A:C,3,0),"")</f>
        <v/>
      </c>
      <c r="J523">
        <f t="shared" si="11"/>
        <v>4</v>
      </c>
    </row>
    <row r="524" spans="2:10" ht="14.45" hidden="1" x14ac:dyDescent="0.3">
      <c r="B524" s="85" t="str">
        <f>IFERROR(VLOOKUP(A524,Lookup!A:B,2,0),"")</f>
        <v/>
      </c>
      <c r="C524" s="85" t="str">
        <f>IFERROR(VLOOKUP(A524,Lookup!A:C,3,0),"")</f>
        <v/>
      </c>
      <c r="J524">
        <f t="shared" si="11"/>
        <v>4</v>
      </c>
    </row>
    <row r="525" spans="2:10" ht="14.45" hidden="1" x14ac:dyDescent="0.3">
      <c r="B525" s="85" t="str">
        <f>IFERROR(VLOOKUP(A525,Lookup!A:B,2,0),"")</f>
        <v/>
      </c>
      <c r="C525" s="85" t="str">
        <f>IFERROR(VLOOKUP(A525,Lookup!A:C,3,0),"")</f>
        <v/>
      </c>
      <c r="J525">
        <f t="shared" si="11"/>
        <v>4</v>
      </c>
    </row>
    <row r="526" spans="2:10" ht="14.45" hidden="1" x14ac:dyDescent="0.3">
      <c r="B526" s="85" t="str">
        <f>IFERROR(VLOOKUP(A526,Lookup!A:B,2,0),"")</f>
        <v/>
      </c>
      <c r="C526" s="85" t="str">
        <f>IFERROR(VLOOKUP(A526,Lookup!A:C,3,0),"")</f>
        <v/>
      </c>
      <c r="J526">
        <f t="shared" si="11"/>
        <v>4</v>
      </c>
    </row>
    <row r="527" spans="2:10" ht="14.45" hidden="1" x14ac:dyDescent="0.3">
      <c r="B527" s="85" t="str">
        <f>IFERROR(VLOOKUP(A527,Lookup!A:B,2,0),"")</f>
        <v/>
      </c>
      <c r="C527" s="85" t="str">
        <f>IFERROR(VLOOKUP(A527,Lookup!A:C,3,0),"")</f>
        <v/>
      </c>
      <c r="J527">
        <f t="shared" ref="J527:J590" si="12">IF(H527="SET",1,IF(H527="FREQ",3,IF(H527="",4,2)))</f>
        <v>4</v>
      </c>
    </row>
    <row r="528" spans="2:10" ht="14.45" hidden="1" x14ac:dyDescent="0.3">
      <c r="B528" s="85" t="str">
        <f>IFERROR(VLOOKUP(A528,Lookup!A:B,2,0),"")</f>
        <v/>
      </c>
      <c r="C528" s="85" t="str">
        <f>IFERROR(VLOOKUP(A528,Lookup!A:C,3,0),"")</f>
        <v/>
      </c>
      <c r="J528">
        <f t="shared" si="12"/>
        <v>4</v>
      </c>
    </row>
    <row r="529" spans="2:10" ht="14.45" hidden="1" x14ac:dyDescent="0.3">
      <c r="B529" s="85" t="str">
        <f>IFERROR(VLOOKUP(A529,Lookup!A:B,2,0),"")</f>
        <v/>
      </c>
      <c r="C529" s="85" t="str">
        <f>IFERROR(VLOOKUP(A529,Lookup!A:C,3,0),"")</f>
        <v/>
      </c>
      <c r="J529">
        <f t="shared" si="12"/>
        <v>4</v>
      </c>
    </row>
    <row r="530" spans="2:10" ht="14.45" hidden="1" x14ac:dyDescent="0.3">
      <c r="B530" s="85" t="str">
        <f>IFERROR(VLOOKUP(A530,Lookup!A:B,2,0),"")</f>
        <v/>
      </c>
      <c r="C530" s="85" t="str">
        <f>IFERROR(VLOOKUP(A530,Lookup!A:C,3,0),"")</f>
        <v/>
      </c>
      <c r="J530">
        <f t="shared" si="12"/>
        <v>4</v>
      </c>
    </row>
    <row r="531" spans="2:10" ht="14.45" hidden="1" x14ac:dyDescent="0.3">
      <c r="B531" s="85" t="str">
        <f>IFERROR(VLOOKUP(A531,Lookup!A:B,2,0),"")</f>
        <v/>
      </c>
      <c r="C531" s="85" t="str">
        <f>IFERROR(VLOOKUP(A531,Lookup!A:C,3,0),"")</f>
        <v/>
      </c>
      <c r="J531">
        <f t="shared" si="12"/>
        <v>4</v>
      </c>
    </row>
    <row r="532" spans="2:10" ht="14.45" hidden="1" x14ac:dyDescent="0.3">
      <c r="B532" s="85" t="str">
        <f>IFERROR(VLOOKUP(A532,Lookup!A:B,2,0),"")</f>
        <v/>
      </c>
      <c r="C532" s="85" t="str">
        <f>IFERROR(VLOOKUP(A532,Lookup!A:C,3,0),"")</f>
        <v/>
      </c>
      <c r="J532">
        <f t="shared" si="12"/>
        <v>4</v>
      </c>
    </row>
    <row r="533" spans="2:10" ht="14.45" hidden="1" x14ac:dyDescent="0.3">
      <c r="B533" s="85" t="str">
        <f>IFERROR(VLOOKUP(A533,Lookup!A:B,2,0),"")</f>
        <v/>
      </c>
      <c r="C533" s="85" t="str">
        <f>IFERROR(VLOOKUP(A533,Lookup!A:C,3,0),"")</f>
        <v/>
      </c>
      <c r="J533">
        <f t="shared" si="12"/>
        <v>4</v>
      </c>
    </row>
    <row r="534" spans="2:10" ht="14.45" hidden="1" x14ac:dyDescent="0.3">
      <c r="B534" s="85" t="str">
        <f>IFERROR(VLOOKUP(A534,Lookup!A:B,2,0),"")</f>
        <v/>
      </c>
      <c r="C534" s="85" t="str">
        <f>IFERROR(VLOOKUP(A534,Lookup!A:C,3,0),"")</f>
        <v/>
      </c>
      <c r="J534">
        <f t="shared" si="12"/>
        <v>4</v>
      </c>
    </row>
    <row r="535" spans="2:10" ht="14.45" hidden="1" x14ac:dyDescent="0.3">
      <c r="B535" s="85" t="str">
        <f>IFERROR(VLOOKUP(A535,Lookup!A:B,2,0),"")</f>
        <v/>
      </c>
      <c r="C535" s="85" t="str">
        <f>IFERROR(VLOOKUP(A535,Lookup!A:C,3,0),"")</f>
        <v/>
      </c>
      <c r="J535">
        <f t="shared" si="12"/>
        <v>4</v>
      </c>
    </row>
    <row r="536" spans="2:10" ht="14.45" hidden="1" x14ac:dyDescent="0.3">
      <c r="B536" s="85" t="str">
        <f>IFERROR(VLOOKUP(A536,Lookup!A:B,2,0),"")</f>
        <v/>
      </c>
      <c r="C536" s="85" t="str">
        <f>IFERROR(VLOOKUP(A536,Lookup!A:C,3,0),"")</f>
        <v/>
      </c>
      <c r="J536">
        <f t="shared" si="12"/>
        <v>4</v>
      </c>
    </row>
    <row r="537" spans="2:10" ht="14.45" hidden="1" x14ac:dyDescent="0.3">
      <c r="B537" s="85" t="str">
        <f>IFERROR(VLOOKUP(A537,Lookup!A:B,2,0),"")</f>
        <v/>
      </c>
      <c r="C537" s="85" t="str">
        <f>IFERROR(VLOOKUP(A537,Lookup!A:C,3,0),"")</f>
        <v/>
      </c>
      <c r="J537">
        <f t="shared" si="12"/>
        <v>4</v>
      </c>
    </row>
    <row r="538" spans="2:10" ht="14.45" hidden="1" x14ac:dyDescent="0.3">
      <c r="B538" s="85" t="str">
        <f>IFERROR(VLOOKUP(A538,Lookup!A:B,2,0),"")</f>
        <v/>
      </c>
      <c r="C538" s="85" t="str">
        <f>IFERROR(VLOOKUP(A538,Lookup!A:C,3,0),"")</f>
        <v/>
      </c>
      <c r="J538">
        <f t="shared" si="12"/>
        <v>4</v>
      </c>
    </row>
    <row r="539" spans="2:10" ht="14.45" hidden="1" x14ac:dyDescent="0.3">
      <c r="B539" s="85" t="str">
        <f>IFERROR(VLOOKUP(A539,Lookup!A:B,2,0),"")</f>
        <v/>
      </c>
      <c r="C539" s="85" t="str">
        <f>IFERROR(VLOOKUP(A539,Lookup!A:C,3,0),"")</f>
        <v/>
      </c>
      <c r="J539">
        <f t="shared" si="12"/>
        <v>4</v>
      </c>
    </row>
    <row r="540" spans="2:10" ht="14.45" hidden="1" x14ac:dyDescent="0.3">
      <c r="B540" s="85" t="str">
        <f>IFERROR(VLOOKUP(A540,Lookup!A:B,2,0),"")</f>
        <v/>
      </c>
      <c r="C540" s="85" t="str">
        <f>IFERROR(VLOOKUP(A540,Lookup!A:C,3,0),"")</f>
        <v/>
      </c>
      <c r="J540">
        <f t="shared" si="12"/>
        <v>4</v>
      </c>
    </row>
    <row r="541" spans="2:10" ht="14.45" hidden="1" x14ac:dyDescent="0.3">
      <c r="B541" s="85" t="str">
        <f>IFERROR(VLOOKUP(A541,Lookup!A:B,2,0),"")</f>
        <v/>
      </c>
      <c r="C541" s="85" t="str">
        <f>IFERROR(VLOOKUP(A541,Lookup!A:C,3,0),"")</f>
        <v/>
      </c>
      <c r="J541">
        <f t="shared" si="12"/>
        <v>4</v>
      </c>
    </row>
    <row r="542" spans="2:10" ht="14.45" hidden="1" x14ac:dyDescent="0.3">
      <c r="B542" s="85" t="str">
        <f>IFERROR(VLOOKUP(A542,Lookup!A:B,2,0),"")</f>
        <v/>
      </c>
      <c r="C542" s="85" t="str">
        <f>IFERROR(VLOOKUP(A542,Lookup!A:C,3,0),"")</f>
        <v/>
      </c>
      <c r="J542">
        <f t="shared" si="12"/>
        <v>4</v>
      </c>
    </row>
    <row r="543" spans="2:10" ht="14.45" hidden="1" x14ac:dyDescent="0.3">
      <c r="B543" s="85" t="str">
        <f>IFERROR(VLOOKUP(A543,Lookup!A:B,2,0),"")</f>
        <v/>
      </c>
      <c r="C543" s="85" t="str">
        <f>IFERROR(VLOOKUP(A543,Lookup!A:C,3,0),"")</f>
        <v/>
      </c>
      <c r="J543">
        <f t="shared" si="12"/>
        <v>4</v>
      </c>
    </row>
    <row r="544" spans="2:10" ht="14.45" hidden="1" x14ac:dyDescent="0.3">
      <c r="B544" s="85" t="str">
        <f>IFERROR(VLOOKUP(A544,Lookup!A:B,2,0),"")</f>
        <v/>
      </c>
      <c r="C544" s="85" t="str">
        <f>IFERROR(VLOOKUP(A544,Lookup!A:C,3,0),"")</f>
        <v/>
      </c>
      <c r="J544">
        <f t="shared" si="12"/>
        <v>4</v>
      </c>
    </row>
    <row r="545" spans="2:10" ht="14.45" hidden="1" x14ac:dyDescent="0.3">
      <c r="B545" s="85" t="str">
        <f>IFERROR(VLOOKUP(A545,Lookup!A:B,2,0),"")</f>
        <v/>
      </c>
      <c r="C545" s="85" t="str">
        <f>IFERROR(VLOOKUP(A545,Lookup!A:C,3,0),"")</f>
        <v/>
      </c>
      <c r="J545">
        <f t="shared" si="12"/>
        <v>4</v>
      </c>
    </row>
    <row r="546" spans="2:10" ht="14.45" hidden="1" x14ac:dyDescent="0.3">
      <c r="B546" s="85" t="str">
        <f>IFERROR(VLOOKUP(A546,Lookup!A:B,2,0),"")</f>
        <v/>
      </c>
      <c r="C546" s="85" t="str">
        <f>IFERROR(VLOOKUP(A546,Lookup!A:C,3,0),"")</f>
        <v/>
      </c>
      <c r="J546">
        <f t="shared" si="12"/>
        <v>4</v>
      </c>
    </row>
    <row r="547" spans="2:10" ht="14.45" hidden="1" x14ac:dyDescent="0.3">
      <c r="B547" s="85" t="str">
        <f>IFERROR(VLOOKUP(A547,Lookup!A:B,2,0),"")</f>
        <v/>
      </c>
      <c r="C547" s="85" t="str">
        <f>IFERROR(VLOOKUP(A547,Lookup!A:C,3,0),"")</f>
        <v/>
      </c>
      <c r="J547">
        <f t="shared" si="12"/>
        <v>4</v>
      </c>
    </row>
    <row r="548" spans="2:10" ht="14.45" hidden="1" x14ac:dyDescent="0.3">
      <c r="B548" s="85" t="str">
        <f>IFERROR(VLOOKUP(A548,Lookup!A:B,2,0),"")</f>
        <v/>
      </c>
      <c r="C548" s="85" t="str">
        <f>IFERROR(VLOOKUP(A548,Lookup!A:C,3,0),"")</f>
        <v/>
      </c>
      <c r="J548">
        <f t="shared" si="12"/>
        <v>4</v>
      </c>
    </row>
    <row r="549" spans="2:10" ht="14.45" hidden="1" x14ac:dyDescent="0.3">
      <c r="B549" s="85" t="str">
        <f>IFERROR(VLOOKUP(A549,Lookup!A:B,2,0),"")</f>
        <v/>
      </c>
      <c r="C549" s="85" t="str">
        <f>IFERROR(VLOOKUP(A549,Lookup!A:C,3,0),"")</f>
        <v/>
      </c>
      <c r="J549">
        <f t="shared" si="12"/>
        <v>4</v>
      </c>
    </row>
    <row r="550" spans="2:10" ht="14.45" hidden="1" x14ac:dyDescent="0.3">
      <c r="B550" s="85" t="str">
        <f>IFERROR(VLOOKUP(A550,Lookup!A:B,2,0),"")</f>
        <v/>
      </c>
      <c r="C550" s="85" t="str">
        <f>IFERROR(VLOOKUP(A550,Lookup!A:C,3,0),"")</f>
        <v/>
      </c>
      <c r="J550">
        <f t="shared" si="12"/>
        <v>4</v>
      </c>
    </row>
    <row r="551" spans="2:10" ht="14.45" hidden="1" x14ac:dyDescent="0.3">
      <c r="B551" s="85" t="str">
        <f>IFERROR(VLOOKUP(A551,Lookup!A:B,2,0),"")</f>
        <v/>
      </c>
      <c r="C551" s="85" t="str">
        <f>IFERROR(VLOOKUP(A551,Lookup!A:C,3,0),"")</f>
        <v/>
      </c>
      <c r="J551">
        <f t="shared" si="12"/>
        <v>4</v>
      </c>
    </row>
    <row r="552" spans="2:10" ht="14.45" hidden="1" x14ac:dyDescent="0.3">
      <c r="B552" s="85" t="str">
        <f>IFERROR(VLOOKUP(A552,Lookup!A:B,2,0),"")</f>
        <v/>
      </c>
      <c r="C552" s="85" t="str">
        <f>IFERROR(VLOOKUP(A552,Lookup!A:C,3,0),"")</f>
        <v/>
      </c>
      <c r="J552">
        <f t="shared" si="12"/>
        <v>4</v>
      </c>
    </row>
    <row r="553" spans="2:10" ht="14.45" hidden="1" x14ac:dyDescent="0.3">
      <c r="B553" s="85" t="str">
        <f>IFERROR(VLOOKUP(A553,Lookup!A:B,2,0),"")</f>
        <v/>
      </c>
      <c r="C553" s="85" t="str">
        <f>IFERROR(VLOOKUP(A553,Lookup!A:C,3,0),"")</f>
        <v/>
      </c>
      <c r="J553">
        <f t="shared" si="12"/>
        <v>4</v>
      </c>
    </row>
    <row r="554" spans="2:10" ht="14.45" hidden="1" x14ac:dyDescent="0.3">
      <c r="B554" s="85" t="str">
        <f>IFERROR(VLOOKUP(A554,Lookup!A:B,2,0),"")</f>
        <v/>
      </c>
      <c r="C554" s="85" t="str">
        <f>IFERROR(VLOOKUP(A554,Lookup!A:C,3,0),"")</f>
        <v/>
      </c>
      <c r="J554">
        <f t="shared" si="12"/>
        <v>4</v>
      </c>
    </row>
    <row r="555" spans="2:10" ht="14.45" hidden="1" x14ac:dyDescent="0.3">
      <c r="B555" s="85" t="str">
        <f>IFERROR(VLOOKUP(A555,Lookup!A:B,2,0),"")</f>
        <v/>
      </c>
      <c r="C555" s="85" t="str">
        <f>IFERROR(VLOOKUP(A555,Lookup!A:C,3,0),"")</f>
        <v/>
      </c>
      <c r="J555">
        <f t="shared" si="12"/>
        <v>4</v>
      </c>
    </row>
    <row r="556" spans="2:10" ht="14.45" hidden="1" x14ac:dyDescent="0.3">
      <c r="B556" s="85" t="str">
        <f>IFERROR(VLOOKUP(A556,Lookup!A:B,2,0),"")</f>
        <v/>
      </c>
      <c r="C556" s="85" t="str">
        <f>IFERROR(VLOOKUP(A556,Lookup!A:C,3,0),"")</f>
        <v/>
      </c>
      <c r="J556">
        <f t="shared" si="12"/>
        <v>4</v>
      </c>
    </row>
    <row r="557" spans="2:10" ht="14.45" hidden="1" x14ac:dyDescent="0.3">
      <c r="B557" s="85" t="str">
        <f>IFERROR(VLOOKUP(A557,Lookup!A:B,2,0),"")</f>
        <v/>
      </c>
      <c r="C557" s="85" t="str">
        <f>IFERROR(VLOOKUP(A557,Lookup!A:C,3,0),"")</f>
        <v/>
      </c>
      <c r="J557">
        <f t="shared" si="12"/>
        <v>4</v>
      </c>
    </row>
    <row r="558" spans="2:10" ht="14.45" hidden="1" x14ac:dyDescent="0.3">
      <c r="B558" s="85" t="str">
        <f>IFERROR(VLOOKUP(A558,Lookup!A:B,2,0),"")</f>
        <v/>
      </c>
      <c r="C558" s="85" t="str">
        <f>IFERROR(VLOOKUP(A558,Lookup!A:C,3,0),"")</f>
        <v/>
      </c>
      <c r="J558">
        <f t="shared" si="12"/>
        <v>4</v>
      </c>
    </row>
    <row r="559" spans="2:10" ht="14.45" hidden="1" x14ac:dyDescent="0.3">
      <c r="B559" s="85" t="str">
        <f>IFERROR(VLOOKUP(A559,Lookup!A:B,2,0),"")</f>
        <v/>
      </c>
      <c r="C559" s="85" t="str">
        <f>IFERROR(VLOOKUP(A559,Lookup!A:C,3,0),"")</f>
        <v/>
      </c>
      <c r="J559">
        <f t="shared" si="12"/>
        <v>4</v>
      </c>
    </row>
    <row r="560" spans="2:10" ht="14.45" hidden="1" x14ac:dyDescent="0.3">
      <c r="B560" s="85" t="str">
        <f>IFERROR(VLOOKUP(A560,Lookup!A:B,2,0),"")</f>
        <v/>
      </c>
      <c r="C560" s="85" t="str">
        <f>IFERROR(VLOOKUP(A560,Lookup!A:C,3,0),"")</f>
        <v/>
      </c>
      <c r="J560">
        <f t="shared" si="12"/>
        <v>4</v>
      </c>
    </row>
    <row r="561" spans="2:10" ht="14.45" hidden="1" x14ac:dyDescent="0.3">
      <c r="B561" s="85" t="str">
        <f>IFERROR(VLOOKUP(A561,Lookup!A:B,2,0),"")</f>
        <v/>
      </c>
      <c r="C561" s="85" t="str">
        <f>IFERROR(VLOOKUP(A561,Lookup!A:C,3,0),"")</f>
        <v/>
      </c>
      <c r="J561">
        <f t="shared" si="12"/>
        <v>4</v>
      </c>
    </row>
    <row r="562" spans="2:10" ht="14.45" hidden="1" x14ac:dyDescent="0.3">
      <c r="B562" s="85" t="str">
        <f>IFERROR(VLOOKUP(A562,Lookup!A:B,2,0),"")</f>
        <v/>
      </c>
      <c r="C562" s="85" t="str">
        <f>IFERROR(VLOOKUP(A562,Lookup!A:C,3,0),"")</f>
        <v/>
      </c>
      <c r="J562">
        <f t="shared" si="12"/>
        <v>4</v>
      </c>
    </row>
    <row r="563" spans="2:10" ht="14.45" hidden="1" x14ac:dyDescent="0.3">
      <c r="B563" s="85" t="str">
        <f>IFERROR(VLOOKUP(A563,Lookup!A:B,2,0),"")</f>
        <v/>
      </c>
      <c r="C563" s="85" t="str">
        <f>IFERROR(VLOOKUP(A563,Lookup!A:C,3,0),"")</f>
        <v/>
      </c>
      <c r="J563">
        <f t="shared" si="12"/>
        <v>4</v>
      </c>
    </row>
    <row r="564" spans="2:10" ht="14.45" hidden="1" x14ac:dyDescent="0.3">
      <c r="B564" s="85" t="str">
        <f>IFERROR(VLOOKUP(A564,Lookup!A:B,2,0),"")</f>
        <v/>
      </c>
      <c r="C564" s="85" t="str">
        <f>IFERROR(VLOOKUP(A564,Lookup!A:C,3,0),"")</f>
        <v/>
      </c>
      <c r="J564">
        <f t="shared" si="12"/>
        <v>4</v>
      </c>
    </row>
    <row r="565" spans="2:10" ht="14.45" hidden="1" x14ac:dyDescent="0.3">
      <c r="B565" s="85" t="str">
        <f>IFERROR(VLOOKUP(A565,Lookup!A:B,2,0),"")</f>
        <v/>
      </c>
      <c r="C565" s="85" t="str">
        <f>IFERROR(VLOOKUP(A565,Lookup!A:C,3,0),"")</f>
        <v/>
      </c>
      <c r="J565">
        <f t="shared" si="12"/>
        <v>4</v>
      </c>
    </row>
    <row r="566" spans="2:10" ht="14.45" hidden="1" x14ac:dyDescent="0.3">
      <c r="B566" s="85" t="str">
        <f>IFERROR(VLOOKUP(A566,Lookup!A:B,2,0),"")</f>
        <v/>
      </c>
      <c r="C566" s="85" t="str">
        <f>IFERROR(VLOOKUP(A566,Lookup!A:C,3,0),"")</f>
        <v/>
      </c>
      <c r="J566">
        <f t="shared" si="12"/>
        <v>4</v>
      </c>
    </row>
    <row r="567" spans="2:10" ht="14.45" hidden="1" x14ac:dyDescent="0.3">
      <c r="B567" s="85" t="str">
        <f>IFERROR(VLOOKUP(A567,Lookup!A:B,2,0),"")</f>
        <v/>
      </c>
      <c r="C567" s="85" t="str">
        <f>IFERROR(VLOOKUP(A567,Lookup!A:C,3,0),"")</f>
        <v/>
      </c>
      <c r="J567">
        <f t="shared" si="12"/>
        <v>4</v>
      </c>
    </row>
    <row r="568" spans="2:10" ht="14.45" hidden="1" x14ac:dyDescent="0.3">
      <c r="B568" s="85" t="str">
        <f>IFERROR(VLOOKUP(A568,Lookup!A:B,2,0),"")</f>
        <v/>
      </c>
      <c r="C568" s="85" t="str">
        <f>IFERROR(VLOOKUP(A568,Lookup!A:C,3,0),"")</f>
        <v/>
      </c>
      <c r="J568">
        <f t="shared" si="12"/>
        <v>4</v>
      </c>
    </row>
    <row r="569" spans="2:10" ht="14.45" hidden="1" x14ac:dyDescent="0.3">
      <c r="B569" s="85" t="str">
        <f>IFERROR(VLOOKUP(A569,Lookup!A:B,2,0),"")</f>
        <v/>
      </c>
      <c r="C569" s="85" t="str">
        <f>IFERROR(VLOOKUP(A569,Lookup!A:C,3,0),"")</f>
        <v/>
      </c>
      <c r="J569">
        <f t="shared" si="12"/>
        <v>4</v>
      </c>
    </row>
    <row r="570" spans="2:10" ht="14.45" hidden="1" x14ac:dyDescent="0.3">
      <c r="B570" s="85" t="str">
        <f>IFERROR(VLOOKUP(A570,Lookup!A:B,2,0),"")</f>
        <v/>
      </c>
      <c r="C570" s="85" t="str">
        <f>IFERROR(VLOOKUP(A570,Lookup!A:C,3,0),"")</f>
        <v/>
      </c>
      <c r="J570">
        <f t="shared" si="12"/>
        <v>4</v>
      </c>
    </row>
    <row r="571" spans="2:10" ht="14.45" hidden="1" x14ac:dyDescent="0.3">
      <c r="B571" s="85" t="str">
        <f>IFERROR(VLOOKUP(A571,Lookup!A:B,2,0),"")</f>
        <v/>
      </c>
      <c r="C571" s="85" t="str">
        <f>IFERROR(VLOOKUP(A571,Lookup!A:C,3,0),"")</f>
        <v/>
      </c>
      <c r="J571">
        <f t="shared" si="12"/>
        <v>4</v>
      </c>
    </row>
    <row r="572" spans="2:10" ht="14.45" hidden="1" x14ac:dyDescent="0.3">
      <c r="B572" s="85" t="str">
        <f>IFERROR(VLOOKUP(A572,Lookup!A:B,2,0),"")</f>
        <v/>
      </c>
      <c r="C572" s="85" t="str">
        <f>IFERROR(VLOOKUP(A572,Lookup!A:C,3,0),"")</f>
        <v/>
      </c>
      <c r="J572">
        <f t="shared" si="12"/>
        <v>4</v>
      </c>
    </row>
    <row r="573" spans="2:10" ht="14.45" hidden="1" x14ac:dyDescent="0.3">
      <c r="B573" s="85" t="str">
        <f>IFERROR(VLOOKUP(A573,Lookup!A:B,2,0),"")</f>
        <v/>
      </c>
      <c r="C573" s="85" t="str">
        <f>IFERROR(VLOOKUP(A573,Lookup!A:C,3,0),"")</f>
        <v/>
      </c>
      <c r="J573">
        <f t="shared" si="12"/>
        <v>4</v>
      </c>
    </row>
    <row r="574" spans="2:10" ht="14.45" hidden="1" x14ac:dyDescent="0.3">
      <c r="B574" s="85" t="str">
        <f>IFERROR(VLOOKUP(A574,Lookup!A:B,2,0),"")</f>
        <v/>
      </c>
      <c r="C574" s="85" t="str">
        <f>IFERROR(VLOOKUP(A574,Lookup!A:C,3,0),"")</f>
        <v/>
      </c>
      <c r="J574">
        <f t="shared" si="12"/>
        <v>4</v>
      </c>
    </row>
    <row r="575" spans="2:10" ht="14.45" hidden="1" x14ac:dyDescent="0.3">
      <c r="B575" s="85" t="str">
        <f>IFERROR(VLOOKUP(A575,Lookup!A:B,2,0),"")</f>
        <v/>
      </c>
      <c r="C575" s="85" t="str">
        <f>IFERROR(VLOOKUP(A575,Lookup!A:C,3,0),"")</f>
        <v/>
      </c>
      <c r="J575">
        <f t="shared" si="12"/>
        <v>4</v>
      </c>
    </row>
    <row r="576" spans="2:10" ht="14.45" hidden="1" x14ac:dyDescent="0.3">
      <c r="B576" s="85" t="str">
        <f>IFERROR(VLOOKUP(A576,Lookup!A:B,2,0),"")</f>
        <v/>
      </c>
      <c r="C576" s="85" t="str">
        <f>IFERROR(VLOOKUP(A576,Lookup!A:C,3,0),"")</f>
        <v/>
      </c>
      <c r="J576">
        <f t="shared" si="12"/>
        <v>4</v>
      </c>
    </row>
    <row r="577" spans="2:10" ht="14.45" hidden="1" x14ac:dyDescent="0.3">
      <c r="B577" s="85" t="str">
        <f>IFERROR(VLOOKUP(A577,Lookup!A:B,2,0),"")</f>
        <v/>
      </c>
      <c r="C577" s="85" t="str">
        <f>IFERROR(VLOOKUP(A577,Lookup!A:C,3,0),"")</f>
        <v/>
      </c>
      <c r="J577">
        <f t="shared" si="12"/>
        <v>4</v>
      </c>
    </row>
    <row r="578" spans="2:10" ht="14.45" hidden="1" x14ac:dyDescent="0.3">
      <c r="B578" s="85" t="str">
        <f>IFERROR(VLOOKUP(A578,Lookup!A:B,2,0),"")</f>
        <v/>
      </c>
      <c r="C578" s="85" t="str">
        <f>IFERROR(VLOOKUP(A578,Lookup!A:C,3,0),"")</f>
        <v/>
      </c>
      <c r="J578">
        <f t="shared" si="12"/>
        <v>4</v>
      </c>
    </row>
    <row r="579" spans="2:10" ht="14.45" hidden="1" x14ac:dyDescent="0.3">
      <c r="B579" s="85" t="str">
        <f>IFERROR(VLOOKUP(A579,Lookup!A:B,2,0),"")</f>
        <v/>
      </c>
      <c r="C579" s="85" t="str">
        <f>IFERROR(VLOOKUP(A579,Lookup!A:C,3,0),"")</f>
        <v/>
      </c>
      <c r="J579">
        <f t="shared" si="12"/>
        <v>4</v>
      </c>
    </row>
    <row r="580" spans="2:10" ht="14.45" hidden="1" x14ac:dyDescent="0.3">
      <c r="B580" s="85" t="str">
        <f>IFERROR(VLOOKUP(A580,Lookup!A:B,2,0),"")</f>
        <v/>
      </c>
      <c r="C580" s="85" t="str">
        <f>IFERROR(VLOOKUP(A580,Lookup!A:C,3,0),"")</f>
        <v/>
      </c>
      <c r="J580">
        <f t="shared" si="12"/>
        <v>4</v>
      </c>
    </row>
    <row r="581" spans="2:10" ht="14.45" hidden="1" x14ac:dyDescent="0.3">
      <c r="B581" s="85" t="str">
        <f>IFERROR(VLOOKUP(A581,Lookup!A:B,2,0),"")</f>
        <v/>
      </c>
      <c r="C581" s="85" t="str">
        <f>IFERROR(VLOOKUP(A581,Lookup!A:C,3,0),"")</f>
        <v/>
      </c>
      <c r="J581">
        <f t="shared" si="12"/>
        <v>4</v>
      </c>
    </row>
    <row r="582" spans="2:10" ht="14.45" hidden="1" x14ac:dyDescent="0.3">
      <c r="B582" s="85" t="str">
        <f>IFERROR(VLOOKUP(A582,Lookup!A:B,2,0),"")</f>
        <v/>
      </c>
      <c r="C582" s="85" t="str">
        <f>IFERROR(VLOOKUP(A582,Lookup!A:C,3,0),"")</f>
        <v/>
      </c>
      <c r="J582">
        <f t="shared" si="12"/>
        <v>4</v>
      </c>
    </row>
    <row r="583" spans="2:10" ht="14.45" hidden="1" x14ac:dyDescent="0.3">
      <c r="B583" s="85" t="str">
        <f>IFERROR(VLOOKUP(A583,Lookup!A:B,2,0),"")</f>
        <v/>
      </c>
      <c r="C583" s="85" t="str">
        <f>IFERROR(VLOOKUP(A583,Lookup!A:C,3,0),"")</f>
        <v/>
      </c>
      <c r="J583">
        <f t="shared" si="12"/>
        <v>4</v>
      </c>
    </row>
    <row r="584" spans="2:10" ht="14.45" hidden="1" x14ac:dyDescent="0.3">
      <c r="B584" s="85" t="str">
        <f>IFERROR(VLOOKUP(A584,Lookup!A:B,2,0),"")</f>
        <v/>
      </c>
      <c r="C584" s="85" t="str">
        <f>IFERROR(VLOOKUP(A584,Lookup!A:C,3,0),"")</f>
        <v/>
      </c>
      <c r="J584">
        <f t="shared" si="12"/>
        <v>4</v>
      </c>
    </row>
    <row r="585" spans="2:10" ht="14.45" hidden="1" x14ac:dyDescent="0.3">
      <c r="B585" s="85" t="str">
        <f>IFERROR(VLOOKUP(A585,Lookup!A:B,2,0),"")</f>
        <v/>
      </c>
      <c r="C585" s="85" t="str">
        <f>IFERROR(VLOOKUP(A585,Lookup!A:C,3,0),"")</f>
        <v/>
      </c>
      <c r="J585">
        <f t="shared" si="12"/>
        <v>4</v>
      </c>
    </row>
    <row r="586" spans="2:10" ht="14.45" hidden="1" x14ac:dyDescent="0.3">
      <c r="B586" s="85" t="str">
        <f>IFERROR(VLOOKUP(A586,Lookup!A:B,2,0),"")</f>
        <v/>
      </c>
      <c r="C586" s="85" t="str">
        <f>IFERROR(VLOOKUP(A586,Lookup!A:C,3,0),"")</f>
        <v/>
      </c>
      <c r="J586">
        <f t="shared" si="12"/>
        <v>4</v>
      </c>
    </row>
    <row r="587" spans="2:10" ht="14.45" hidden="1" x14ac:dyDescent="0.3">
      <c r="B587" s="85" t="str">
        <f>IFERROR(VLOOKUP(A587,Lookup!A:B,2,0),"")</f>
        <v/>
      </c>
      <c r="C587" s="85" t="str">
        <f>IFERROR(VLOOKUP(A587,Lookup!A:C,3,0),"")</f>
        <v/>
      </c>
      <c r="J587">
        <f t="shared" si="12"/>
        <v>4</v>
      </c>
    </row>
    <row r="588" spans="2:10" ht="14.45" hidden="1" x14ac:dyDescent="0.3">
      <c r="B588" s="85" t="str">
        <f>IFERROR(VLOOKUP(A588,Lookup!A:B,2,0),"")</f>
        <v/>
      </c>
      <c r="C588" s="85" t="str">
        <f>IFERROR(VLOOKUP(A588,Lookup!A:C,3,0),"")</f>
        <v/>
      </c>
      <c r="J588">
        <f t="shared" si="12"/>
        <v>4</v>
      </c>
    </row>
    <row r="589" spans="2:10" ht="14.45" hidden="1" x14ac:dyDescent="0.3">
      <c r="B589" s="85" t="str">
        <f>IFERROR(VLOOKUP(A589,Lookup!A:B,2,0),"")</f>
        <v/>
      </c>
      <c r="C589" s="85" t="str">
        <f>IFERROR(VLOOKUP(A589,Lookup!A:C,3,0),"")</f>
        <v/>
      </c>
      <c r="J589">
        <f t="shared" si="12"/>
        <v>4</v>
      </c>
    </row>
    <row r="590" spans="2:10" ht="14.45" hidden="1" x14ac:dyDescent="0.3">
      <c r="B590" s="85" t="str">
        <f>IFERROR(VLOOKUP(A590,Lookup!A:B,2,0),"")</f>
        <v/>
      </c>
      <c r="C590" s="85" t="str">
        <f>IFERROR(VLOOKUP(A590,Lookup!A:C,3,0),"")</f>
        <v/>
      </c>
      <c r="J590">
        <f t="shared" si="12"/>
        <v>4</v>
      </c>
    </row>
    <row r="591" spans="2:10" ht="14.45" hidden="1" x14ac:dyDescent="0.3">
      <c r="B591" s="85" t="str">
        <f>IFERROR(VLOOKUP(A591,Lookup!A:B,2,0),"")</f>
        <v/>
      </c>
      <c r="C591" s="85" t="str">
        <f>IFERROR(VLOOKUP(A591,Lookup!A:C,3,0),"")</f>
        <v/>
      </c>
      <c r="J591">
        <f t="shared" ref="J591:J654" si="13">IF(H591="SET",1,IF(H591="FREQ",3,IF(H591="",4,2)))</f>
        <v>4</v>
      </c>
    </row>
    <row r="592" spans="2:10" ht="14.45" hidden="1" x14ac:dyDescent="0.3">
      <c r="B592" s="85" t="str">
        <f>IFERROR(VLOOKUP(A592,Lookup!A:B,2,0),"")</f>
        <v/>
      </c>
      <c r="C592" s="85" t="str">
        <f>IFERROR(VLOOKUP(A592,Lookup!A:C,3,0),"")</f>
        <v/>
      </c>
      <c r="J592">
        <f t="shared" si="13"/>
        <v>4</v>
      </c>
    </row>
    <row r="593" spans="2:10" ht="14.45" hidden="1" x14ac:dyDescent="0.3">
      <c r="B593" s="85" t="str">
        <f>IFERROR(VLOOKUP(A593,Lookup!A:B,2,0),"")</f>
        <v/>
      </c>
      <c r="C593" s="85" t="str">
        <f>IFERROR(VLOOKUP(A593,Lookup!A:C,3,0),"")</f>
        <v/>
      </c>
      <c r="J593">
        <f t="shared" si="13"/>
        <v>4</v>
      </c>
    </row>
    <row r="594" spans="2:10" ht="14.45" hidden="1" x14ac:dyDescent="0.3">
      <c r="B594" s="85" t="str">
        <f>IFERROR(VLOOKUP(A594,Lookup!A:B,2,0),"")</f>
        <v/>
      </c>
      <c r="C594" s="85" t="str">
        <f>IFERROR(VLOOKUP(A594,Lookup!A:C,3,0),"")</f>
        <v/>
      </c>
      <c r="J594">
        <f t="shared" si="13"/>
        <v>4</v>
      </c>
    </row>
    <row r="595" spans="2:10" ht="14.45" hidden="1" x14ac:dyDescent="0.3">
      <c r="B595" s="85" t="str">
        <f>IFERROR(VLOOKUP(A595,Lookup!A:B,2,0),"")</f>
        <v/>
      </c>
      <c r="C595" s="85" t="str">
        <f>IFERROR(VLOOKUP(A595,Lookup!A:C,3,0),"")</f>
        <v/>
      </c>
      <c r="J595">
        <f t="shared" si="13"/>
        <v>4</v>
      </c>
    </row>
    <row r="596" spans="2:10" ht="14.45" hidden="1" x14ac:dyDescent="0.3">
      <c r="B596" s="85" t="str">
        <f>IFERROR(VLOOKUP(A596,Lookup!A:B,2,0),"")</f>
        <v/>
      </c>
      <c r="C596" s="85" t="str">
        <f>IFERROR(VLOOKUP(A596,Lookup!A:C,3,0),"")</f>
        <v/>
      </c>
      <c r="J596">
        <f t="shared" si="13"/>
        <v>4</v>
      </c>
    </row>
    <row r="597" spans="2:10" ht="14.45" hidden="1" x14ac:dyDescent="0.3">
      <c r="B597" s="85" t="str">
        <f>IFERROR(VLOOKUP(A597,Lookup!A:B,2,0),"")</f>
        <v/>
      </c>
      <c r="C597" s="85" t="str">
        <f>IFERROR(VLOOKUP(A597,Lookup!A:C,3,0),"")</f>
        <v/>
      </c>
      <c r="J597">
        <f t="shared" si="13"/>
        <v>4</v>
      </c>
    </row>
    <row r="598" spans="2:10" ht="14.45" hidden="1" x14ac:dyDescent="0.3">
      <c r="B598" s="85" t="str">
        <f>IFERROR(VLOOKUP(A598,Lookup!A:B,2,0),"")</f>
        <v/>
      </c>
      <c r="C598" s="85" t="str">
        <f>IFERROR(VLOOKUP(A598,Lookup!A:C,3,0),"")</f>
        <v/>
      </c>
      <c r="J598">
        <f t="shared" si="13"/>
        <v>4</v>
      </c>
    </row>
    <row r="599" spans="2:10" ht="14.45" hidden="1" x14ac:dyDescent="0.3">
      <c r="B599" s="85" t="str">
        <f>IFERROR(VLOOKUP(A599,Lookup!A:B,2,0),"")</f>
        <v/>
      </c>
      <c r="C599" s="85" t="str">
        <f>IFERROR(VLOOKUP(A599,Lookup!A:C,3,0),"")</f>
        <v/>
      </c>
      <c r="J599">
        <f t="shared" si="13"/>
        <v>4</v>
      </c>
    </row>
    <row r="600" spans="2:10" ht="14.45" hidden="1" x14ac:dyDescent="0.3">
      <c r="B600" s="85" t="str">
        <f>IFERROR(VLOOKUP(A600,Lookup!A:B,2,0),"")</f>
        <v/>
      </c>
      <c r="C600" s="85" t="str">
        <f>IFERROR(VLOOKUP(A600,Lookup!A:C,3,0),"")</f>
        <v/>
      </c>
      <c r="J600">
        <f t="shared" si="13"/>
        <v>4</v>
      </c>
    </row>
    <row r="601" spans="2:10" ht="14.45" hidden="1" x14ac:dyDescent="0.3">
      <c r="B601" s="85" t="str">
        <f>IFERROR(VLOOKUP(A601,Lookup!A:B,2,0),"")</f>
        <v/>
      </c>
      <c r="C601" s="85" t="str">
        <f>IFERROR(VLOOKUP(A601,Lookup!A:C,3,0),"")</f>
        <v/>
      </c>
      <c r="J601">
        <f t="shared" si="13"/>
        <v>4</v>
      </c>
    </row>
    <row r="602" spans="2:10" ht="14.45" hidden="1" x14ac:dyDescent="0.3">
      <c r="B602" s="85" t="str">
        <f>IFERROR(VLOOKUP(A602,Lookup!A:B,2,0),"")</f>
        <v/>
      </c>
      <c r="C602" s="85" t="str">
        <f>IFERROR(VLOOKUP(A602,Lookup!A:C,3,0),"")</f>
        <v/>
      </c>
      <c r="J602">
        <f t="shared" si="13"/>
        <v>4</v>
      </c>
    </row>
    <row r="603" spans="2:10" ht="14.45" hidden="1" x14ac:dyDescent="0.3">
      <c r="B603" s="85" t="str">
        <f>IFERROR(VLOOKUP(A603,Lookup!A:B,2,0),"")</f>
        <v/>
      </c>
      <c r="C603" s="85" t="str">
        <f>IFERROR(VLOOKUP(A603,Lookup!A:C,3,0),"")</f>
        <v/>
      </c>
      <c r="J603">
        <f t="shared" si="13"/>
        <v>4</v>
      </c>
    </row>
    <row r="604" spans="2:10" ht="14.45" hidden="1" x14ac:dyDescent="0.3">
      <c r="B604" s="85" t="str">
        <f>IFERROR(VLOOKUP(A604,Lookup!A:B,2,0),"")</f>
        <v/>
      </c>
      <c r="C604" s="85" t="str">
        <f>IFERROR(VLOOKUP(A604,Lookup!A:C,3,0),"")</f>
        <v/>
      </c>
      <c r="J604">
        <f t="shared" si="13"/>
        <v>4</v>
      </c>
    </row>
    <row r="605" spans="2:10" ht="14.45" hidden="1" x14ac:dyDescent="0.3">
      <c r="B605" s="85" t="str">
        <f>IFERROR(VLOOKUP(A605,Lookup!A:B,2,0),"")</f>
        <v/>
      </c>
      <c r="C605" s="85" t="str">
        <f>IFERROR(VLOOKUP(A605,Lookup!A:C,3,0),"")</f>
        <v/>
      </c>
      <c r="J605">
        <f t="shared" si="13"/>
        <v>4</v>
      </c>
    </row>
    <row r="606" spans="2:10" ht="14.45" hidden="1" x14ac:dyDescent="0.3">
      <c r="B606" s="85" t="str">
        <f>IFERROR(VLOOKUP(A606,Lookup!A:B,2,0),"")</f>
        <v/>
      </c>
      <c r="C606" s="85" t="str">
        <f>IFERROR(VLOOKUP(A606,Lookup!A:C,3,0),"")</f>
        <v/>
      </c>
      <c r="J606">
        <f t="shared" si="13"/>
        <v>4</v>
      </c>
    </row>
    <row r="607" spans="2:10" ht="14.45" hidden="1" x14ac:dyDescent="0.3">
      <c r="B607" s="85" t="str">
        <f>IFERROR(VLOOKUP(A607,Lookup!A:B,2,0),"")</f>
        <v/>
      </c>
      <c r="C607" s="85" t="str">
        <f>IFERROR(VLOOKUP(A607,Lookup!A:C,3,0),"")</f>
        <v/>
      </c>
      <c r="J607">
        <f t="shared" si="13"/>
        <v>4</v>
      </c>
    </row>
    <row r="608" spans="2:10" ht="14.45" hidden="1" x14ac:dyDescent="0.3">
      <c r="B608" s="85" t="str">
        <f>IFERROR(VLOOKUP(A608,Lookup!A:B,2,0),"")</f>
        <v/>
      </c>
      <c r="C608" s="85" t="str">
        <f>IFERROR(VLOOKUP(A608,Lookup!A:C,3,0),"")</f>
        <v/>
      </c>
      <c r="J608">
        <f t="shared" si="13"/>
        <v>4</v>
      </c>
    </row>
    <row r="609" spans="2:10" ht="14.45" hidden="1" x14ac:dyDescent="0.3">
      <c r="B609" s="85" t="str">
        <f>IFERROR(VLOOKUP(A609,Lookup!A:B,2,0),"")</f>
        <v/>
      </c>
      <c r="C609" s="85" t="str">
        <f>IFERROR(VLOOKUP(A609,Lookup!A:C,3,0),"")</f>
        <v/>
      </c>
      <c r="J609">
        <f t="shared" si="13"/>
        <v>4</v>
      </c>
    </row>
    <row r="610" spans="2:10" ht="14.45" hidden="1" x14ac:dyDescent="0.3">
      <c r="B610" s="85" t="str">
        <f>IFERROR(VLOOKUP(A610,Lookup!A:B,2,0),"")</f>
        <v/>
      </c>
      <c r="C610" s="85" t="str">
        <f>IFERROR(VLOOKUP(A610,Lookup!A:C,3,0),"")</f>
        <v/>
      </c>
      <c r="J610">
        <f t="shared" si="13"/>
        <v>4</v>
      </c>
    </row>
    <row r="611" spans="2:10" ht="14.45" hidden="1" x14ac:dyDescent="0.3">
      <c r="B611" s="85" t="str">
        <f>IFERROR(VLOOKUP(A611,Lookup!A:B,2,0),"")</f>
        <v/>
      </c>
      <c r="C611" s="85" t="str">
        <f>IFERROR(VLOOKUP(A611,Lookup!A:C,3,0),"")</f>
        <v/>
      </c>
      <c r="J611">
        <f t="shared" si="13"/>
        <v>4</v>
      </c>
    </row>
    <row r="612" spans="2:10" ht="14.45" hidden="1" x14ac:dyDescent="0.3">
      <c r="B612" s="85" t="str">
        <f>IFERROR(VLOOKUP(A612,Lookup!A:B,2,0),"")</f>
        <v/>
      </c>
      <c r="C612" s="85" t="str">
        <f>IFERROR(VLOOKUP(A612,Lookup!A:C,3,0),"")</f>
        <v/>
      </c>
      <c r="J612">
        <f t="shared" si="13"/>
        <v>4</v>
      </c>
    </row>
    <row r="613" spans="2:10" ht="14.45" hidden="1" x14ac:dyDescent="0.3">
      <c r="B613" s="85" t="str">
        <f>IFERROR(VLOOKUP(A613,Lookup!A:B,2,0),"")</f>
        <v/>
      </c>
      <c r="C613" s="85" t="str">
        <f>IFERROR(VLOOKUP(A613,Lookup!A:C,3,0),"")</f>
        <v/>
      </c>
      <c r="J613">
        <f t="shared" si="13"/>
        <v>4</v>
      </c>
    </row>
    <row r="614" spans="2:10" ht="14.45" hidden="1" x14ac:dyDescent="0.3">
      <c r="B614" s="85" t="str">
        <f>IFERROR(VLOOKUP(A614,Lookup!A:B,2,0),"")</f>
        <v/>
      </c>
      <c r="C614" s="85" t="str">
        <f>IFERROR(VLOOKUP(A614,Lookup!A:C,3,0),"")</f>
        <v/>
      </c>
      <c r="J614">
        <f t="shared" si="13"/>
        <v>4</v>
      </c>
    </row>
    <row r="615" spans="2:10" ht="14.45" hidden="1" x14ac:dyDescent="0.3">
      <c r="B615" s="85" t="str">
        <f>IFERROR(VLOOKUP(A615,Lookup!A:B,2,0),"")</f>
        <v/>
      </c>
      <c r="C615" s="85" t="str">
        <f>IFERROR(VLOOKUP(A615,Lookup!A:C,3,0),"")</f>
        <v/>
      </c>
      <c r="J615">
        <f t="shared" si="13"/>
        <v>4</v>
      </c>
    </row>
    <row r="616" spans="2:10" ht="14.45" hidden="1" x14ac:dyDescent="0.3">
      <c r="B616" s="85" t="str">
        <f>IFERROR(VLOOKUP(A616,Lookup!A:B,2,0),"")</f>
        <v/>
      </c>
      <c r="C616" s="85" t="str">
        <f>IFERROR(VLOOKUP(A616,Lookup!A:C,3,0),"")</f>
        <v/>
      </c>
      <c r="J616">
        <f t="shared" si="13"/>
        <v>4</v>
      </c>
    </row>
    <row r="617" spans="2:10" ht="14.45" hidden="1" x14ac:dyDescent="0.3">
      <c r="B617" s="85" t="str">
        <f>IFERROR(VLOOKUP(A617,Lookup!A:B,2,0),"")</f>
        <v/>
      </c>
      <c r="C617" s="85" t="str">
        <f>IFERROR(VLOOKUP(A617,Lookup!A:C,3,0),"")</f>
        <v/>
      </c>
      <c r="J617">
        <f t="shared" si="13"/>
        <v>4</v>
      </c>
    </row>
    <row r="618" spans="2:10" ht="14.45" hidden="1" x14ac:dyDescent="0.3">
      <c r="B618" s="85" t="str">
        <f>IFERROR(VLOOKUP(A618,Lookup!A:B,2,0),"")</f>
        <v/>
      </c>
      <c r="C618" s="85" t="str">
        <f>IFERROR(VLOOKUP(A618,Lookup!A:C,3,0),"")</f>
        <v/>
      </c>
      <c r="J618">
        <f t="shared" si="13"/>
        <v>4</v>
      </c>
    </row>
    <row r="619" spans="2:10" ht="14.45" hidden="1" x14ac:dyDescent="0.3">
      <c r="B619" s="85" t="str">
        <f>IFERROR(VLOOKUP(A619,Lookup!A:B,2,0),"")</f>
        <v/>
      </c>
      <c r="C619" s="85" t="str">
        <f>IFERROR(VLOOKUP(A619,Lookup!A:C,3,0),"")</f>
        <v/>
      </c>
      <c r="J619">
        <f t="shared" si="13"/>
        <v>4</v>
      </c>
    </row>
    <row r="620" spans="2:10" ht="14.45" hidden="1" x14ac:dyDescent="0.3">
      <c r="B620" s="85" t="str">
        <f>IFERROR(VLOOKUP(A620,Lookup!A:B,2,0),"")</f>
        <v/>
      </c>
      <c r="C620" s="85" t="str">
        <f>IFERROR(VLOOKUP(A620,Lookup!A:C,3,0),"")</f>
        <v/>
      </c>
      <c r="J620">
        <f t="shared" si="13"/>
        <v>4</v>
      </c>
    </row>
    <row r="621" spans="2:10" ht="14.45" hidden="1" x14ac:dyDescent="0.3">
      <c r="B621" s="85" t="str">
        <f>IFERROR(VLOOKUP(A621,Lookup!A:B,2,0),"")</f>
        <v/>
      </c>
      <c r="C621" s="85" t="str">
        <f>IFERROR(VLOOKUP(A621,Lookup!A:C,3,0),"")</f>
        <v/>
      </c>
      <c r="J621">
        <f t="shared" si="13"/>
        <v>4</v>
      </c>
    </row>
    <row r="622" spans="2:10" ht="14.45" hidden="1" x14ac:dyDescent="0.3">
      <c r="B622" s="85" t="str">
        <f>IFERROR(VLOOKUP(A622,Lookup!A:B,2,0),"")</f>
        <v/>
      </c>
      <c r="C622" s="85" t="str">
        <f>IFERROR(VLOOKUP(A622,Lookup!A:C,3,0),"")</f>
        <v/>
      </c>
      <c r="J622">
        <f t="shared" si="13"/>
        <v>4</v>
      </c>
    </row>
    <row r="623" spans="2:10" ht="14.45" hidden="1" x14ac:dyDescent="0.3">
      <c r="B623" s="85" t="str">
        <f>IFERROR(VLOOKUP(A623,Lookup!A:B,2,0),"")</f>
        <v/>
      </c>
      <c r="C623" s="85" t="str">
        <f>IFERROR(VLOOKUP(A623,Lookup!A:C,3,0),"")</f>
        <v/>
      </c>
      <c r="J623">
        <f t="shared" si="13"/>
        <v>4</v>
      </c>
    </row>
    <row r="624" spans="2:10" ht="14.45" hidden="1" x14ac:dyDescent="0.3">
      <c r="B624" s="85" t="str">
        <f>IFERROR(VLOOKUP(A624,Lookup!A:B,2,0),"")</f>
        <v/>
      </c>
      <c r="C624" s="85" t="str">
        <f>IFERROR(VLOOKUP(A624,Lookup!A:C,3,0),"")</f>
        <v/>
      </c>
      <c r="J624">
        <f t="shared" si="13"/>
        <v>4</v>
      </c>
    </row>
    <row r="625" spans="2:10" ht="14.45" hidden="1" x14ac:dyDescent="0.3">
      <c r="B625" s="85" t="str">
        <f>IFERROR(VLOOKUP(A625,Lookup!A:B,2,0),"")</f>
        <v/>
      </c>
      <c r="C625" s="85" t="str">
        <f>IFERROR(VLOOKUP(A625,Lookup!A:C,3,0),"")</f>
        <v/>
      </c>
      <c r="J625">
        <f t="shared" si="13"/>
        <v>4</v>
      </c>
    </row>
    <row r="626" spans="2:10" ht="14.45" hidden="1" x14ac:dyDescent="0.3">
      <c r="B626" s="85" t="str">
        <f>IFERROR(VLOOKUP(A626,Lookup!A:B,2,0),"")</f>
        <v/>
      </c>
      <c r="C626" s="85" t="str">
        <f>IFERROR(VLOOKUP(A626,Lookup!A:C,3,0),"")</f>
        <v/>
      </c>
      <c r="J626">
        <f t="shared" si="13"/>
        <v>4</v>
      </c>
    </row>
    <row r="627" spans="2:10" ht="14.45" hidden="1" x14ac:dyDescent="0.3">
      <c r="B627" s="85" t="str">
        <f>IFERROR(VLOOKUP(A627,Lookup!A:B,2,0),"")</f>
        <v/>
      </c>
      <c r="C627" s="85" t="str">
        <f>IFERROR(VLOOKUP(A627,Lookup!A:C,3,0),"")</f>
        <v/>
      </c>
      <c r="J627">
        <f t="shared" si="13"/>
        <v>4</v>
      </c>
    </row>
    <row r="628" spans="2:10" ht="14.45" hidden="1" x14ac:dyDescent="0.3">
      <c r="B628" s="85" t="str">
        <f>IFERROR(VLOOKUP(A628,Lookup!A:B,2,0),"")</f>
        <v/>
      </c>
      <c r="C628" s="85" t="str">
        <f>IFERROR(VLOOKUP(A628,Lookup!A:C,3,0),"")</f>
        <v/>
      </c>
      <c r="J628">
        <f t="shared" si="13"/>
        <v>4</v>
      </c>
    </row>
    <row r="629" spans="2:10" ht="14.45" hidden="1" x14ac:dyDescent="0.3">
      <c r="B629" s="85" t="str">
        <f>IFERROR(VLOOKUP(A629,Lookup!A:B,2,0),"")</f>
        <v/>
      </c>
      <c r="C629" s="85" t="str">
        <f>IFERROR(VLOOKUP(A629,Lookup!A:C,3,0),"")</f>
        <v/>
      </c>
      <c r="J629">
        <f t="shared" si="13"/>
        <v>4</v>
      </c>
    </row>
    <row r="630" spans="2:10" ht="14.45" hidden="1" x14ac:dyDescent="0.3">
      <c r="B630" s="85" t="str">
        <f>IFERROR(VLOOKUP(A630,Lookup!A:B,2,0),"")</f>
        <v/>
      </c>
      <c r="C630" s="85" t="str">
        <f>IFERROR(VLOOKUP(A630,Lookup!A:C,3,0),"")</f>
        <v/>
      </c>
      <c r="J630">
        <f t="shared" si="13"/>
        <v>4</v>
      </c>
    </row>
    <row r="631" spans="2:10" ht="14.45" hidden="1" x14ac:dyDescent="0.3">
      <c r="B631" s="85" t="str">
        <f>IFERROR(VLOOKUP(A631,Lookup!A:B,2,0),"")</f>
        <v/>
      </c>
      <c r="C631" s="85" t="str">
        <f>IFERROR(VLOOKUP(A631,Lookup!A:C,3,0),"")</f>
        <v/>
      </c>
      <c r="J631">
        <f t="shared" si="13"/>
        <v>4</v>
      </c>
    </row>
    <row r="632" spans="2:10" ht="14.45" hidden="1" x14ac:dyDescent="0.3">
      <c r="B632" s="85" t="str">
        <f>IFERROR(VLOOKUP(A632,Lookup!A:B,2,0),"")</f>
        <v/>
      </c>
      <c r="C632" s="85" t="str">
        <f>IFERROR(VLOOKUP(A632,Lookup!A:C,3,0),"")</f>
        <v/>
      </c>
      <c r="J632">
        <f t="shared" si="13"/>
        <v>4</v>
      </c>
    </row>
    <row r="633" spans="2:10" ht="14.45" hidden="1" x14ac:dyDescent="0.3">
      <c r="B633" s="85" t="str">
        <f>IFERROR(VLOOKUP(A633,Lookup!A:B,2,0),"")</f>
        <v/>
      </c>
      <c r="C633" s="85" t="str">
        <f>IFERROR(VLOOKUP(A633,Lookup!A:C,3,0),"")</f>
        <v/>
      </c>
      <c r="J633">
        <f t="shared" si="13"/>
        <v>4</v>
      </c>
    </row>
    <row r="634" spans="2:10" ht="14.45" hidden="1" x14ac:dyDescent="0.3">
      <c r="B634" s="85" t="str">
        <f>IFERROR(VLOOKUP(A634,Lookup!A:B,2,0),"")</f>
        <v/>
      </c>
      <c r="C634" s="85" t="str">
        <f>IFERROR(VLOOKUP(A634,Lookup!A:C,3,0),"")</f>
        <v/>
      </c>
      <c r="J634">
        <f t="shared" si="13"/>
        <v>4</v>
      </c>
    </row>
    <row r="635" spans="2:10" ht="14.45" hidden="1" x14ac:dyDescent="0.3">
      <c r="B635" s="85" t="str">
        <f>IFERROR(VLOOKUP(A635,Lookup!A:B,2,0),"")</f>
        <v/>
      </c>
      <c r="C635" s="85" t="str">
        <f>IFERROR(VLOOKUP(A635,Lookup!A:C,3,0),"")</f>
        <v/>
      </c>
      <c r="J635">
        <f t="shared" si="13"/>
        <v>4</v>
      </c>
    </row>
    <row r="636" spans="2:10" ht="14.45" hidden="1" x14ac:dyDescent="0.3">
      <c r="B636" s="85" t="str">
        <f>IFERROR(VLOOKUP(A636,Lookup!A:B,2,0),"")</f>
        <v/>
      </c>
      <c r="C636" s="85" t="str">
        <f>IFERROR(VLOOKUP(A636,Lookup!A:C,3,0),"")</f>
        <v/>
      </c>
      <c r="J636">
        <f t="shared" si="13"/>
        <v>4</v>
      </c>
    </row>
    <row r="637" spans="2:10" ht="14.45" hidden="1" x14ac:dyDescent="0.3">
      <c r="B637" s="85" t="str">
        <f>IFERROR(VLOOKUP(A637,Lookup!A:B,2,0),"")</f>
        <v/>
      </c>
      <c r="C637" s="85" t="str">
        <f>IFERROR(VLOOKUP(A637,Lookup!A:C,3,0),"")</f>
        <v/>
      </c>
      <c r="J637">
        <f t="shared" si="13"/>
        <v>4</v>
      </c>
    </row>
    <row r="638" spans="2:10" ht="14.45" hidden="1" x14ac:dyDescent="0.3">
      <c r="B638" s="85" t="str">
        <f>IFERROR(VLOOKUP(A638,Lookup!A:B,2,0),"")</f>
        <v/>
      </c>
      <c r="C638" s="85" t="str">
        <f>IFERROR(VLOOKUP(A638,Lookup!A:C,3,0),"")</f>
        <v/>
      </c>
      <c r="J638">
        <f t="shared" si="13"/>
        <v>4</v>
      </c>
    </row>
    <row r="639" spans="2:10" ht="14.45" hidden="1" x14ac:dyDescent="0.3">
      <c r="B639" s="85" t="str">
        <f>IFERROR(VLOOKUP(A639,Lookup!A:B,2,0),"")</f>
        <v/>
      </c>
      <c r="C639" s="85" t="str">
        <f>IFERROR(VLOOKUP(A639,Lookup!A:C,3,0),"")</f>
        <v/>
      </c>
      <c r="J639">
        <f t="shared" si="13"/>
        <v>4</v>
      </c>
    </row>
    <row r="640" spans="2:10" ht="14.45" hidden="1" x14ac:dyDescent="0.3">
      <c r="B640" s="85" t="str">
        <f>IFERROR(VLOOKUP(A640,Lookup!A:B,2,0),"")</f>
        <v/>
      </c>
      <c r="C640" s="85" t="str">
        <f>IFERROR(VLOOKUP(A640,Lookup!A:C,3,0),"")</f>
        <v/>
      </c>
      <c r="J640">
        <f t="shared" si="13"/>
        <v>4</v>
      </c>
    </row>
    <row r="641" spans="2:10" ht="14.45" hidden="1" x14ac:dyDescent="0.3">
      <c r="B641" s="85" t="str">
        <f>IFERROR(VLOOKUP(A641,Lookup!A:B,2,0),"")</f>
        <v/>
      </c>
      <c r="C641" s="85" t="str">
        <f>IFERROR(VLOOKUP(A641,Lookup!A:C,3,0),"")</f>
        <v/>
      </c>
      <c r="J641">
        <f t="shared" si="13"/>
        <v>4</v>
      </c>
    </row>
    <row r="642" spans="2:10" ht="14.45" hidden="1" x14ac:dyDescent="0.3">
      <c r="B642" s="85" t="str">
        <f>IFERROR(VLOOKUP(A642,Lookup!A:B,2,0),"")</f>
        <v/>
      </c>
      <c r="C642" s="85" t="str">
        <f>IFERROR(VLOOKUP(A642,Lookup!A:C,3,0),"")</f>
        <v/>
      </c>
      <c r="J642">
        <f t="shared" si="13"/>
        <v>4</v>
      </c>
    </row>
    <row r="643" spans="2:10" ht="14.45" hidden="1" x14ac:dyDescent="0.3">
      <c r="B643" s="85" t="str">
        <f>IFERROR(VLOOKUP(A643,Lookup!A:B,2,0),"")</f>
        <v/>
      </c>
      <c r="C643" s="85" t="str">
        <f>IFERROR(VLOOKUP(A643,Lookup!A:C,3,0),"")</f>
        <v/>
      </c>
      <c r="J643">
        <f t="shared" si="13"/>
        <v>4</v>
      </c>
    </row>
    <row r="644" spans="2:10" ht="14.45" hidden="1" x14ac:dyDescent="0.3">
      <c r="B644" s="85" t="str">
        <f>IFERROR(VLOOKUP(A644,Lookup!A:B,2,0),"")</f>
        <v/>
      </c>
      <c r="C644" s="85" t="str">
        <f>IFERROR(VLOOKUP(A644,Lookup!A:C,3,0),"")</f>
        <v/>
      </c>
      <c r="J644">
        <f t="shared" si="13"/>
        <v>4</v>
      </c>
    </row>
    <row r="645" spans="2:10" ht="14.45" hidden="1" x14ac:dyDescent="0.3">
      <c r="B645" s="85" t="str">
        <f>IFERROR(VLOOKUP(A645,Lookup!A:B,2,0),"")</f>
        <v/>
      </c>
      <c r="C645" s="85" t="str">
        <f>IFERROR(VLOOKUP(A645,Lookup!A:C,3,0),"")</f>
        <v/>
      </c>
      <c r="J645">
        <f t="shared" si="13"/>
        <v>4</v>
      </c>
    </row>
    <row r="646" spans="2:10" ht="14.45" hidden="1" x14ac:dyDescent="0.3">
      <c r="B646" s="85" t="str">
        <f>IFERROR(VLOOKUP(A646,Lookup!A:B,2,0),"")</f>
        <v/>
      </c>
      <c r="C646" s="85" t="str">
        <f>IFERROR(VLOOKUP(A646,Lookup!A:C,3,0),"")</f>
        <v/>
      </c>
      <c r="J646">
        <f t="shared" si="13"/>
        <v>4</v>
      </c>
    </row>
    <row r="647" spans="2:10" ht="14.45" hidden="1" x14ac:dyDescent="0.3">
      <c r="B647" s="85" t="str">
        <f>IFERROR(VLOOKUP(A647,Lookup!A:B,2,0),"")</f>
        <v/>
      </c>
      <c r="C647" s="85" t="str">
        <f>IFERROR(VLOOKUP(A647,Lookup!A:C,3,0),"")</f>
        <v/>
      </c>
      <c r="J647">
        <f t="shared" si="13"/>
        <v>4</v>
      </c>
    </row>
    <row r="648" spans="2:10" ht="14.45" hidden="1" x14ac:dyDescent="0.3">
      <c r="B648" s="85" t="str">
        <f>IFERROR(VLOOKUP(A648,Lookup!A:B,2,0),"")</f>
        <v/>
      </c>
      <c r="C648" s="85" t="str">
        <f>IFERROR(VLOOKUP(A648,Lookup!A:C,3,0),"")</f>
        <v/>
      </c>
      <c r="J648">
        <f t="shared" si="13"/>
        <v>4</v>
      </c>
    </row>
    <row r="649" spans="2:10" ht="14.45" hidden="1" x14ac:dyDescent="0.3">
      <c r="B649" s="85" t="str">
        <f>IFERROR(VLOOKUP(A649,Lookup!A:B,2,0),"")</f>
        <v/>
      </c>
      <c r="C649" s="85" t="str">
        <f>IFERROR(VLOOKUP(A649,Lookup!A:C,3,0),"")</f>
        <v/>
      </c>
      <c r="J649">
        <f t="shared" si="13"/>
        <v>4</v>
      </c>
    </row>
    <row r="650" spans="2:10" ht="14.45" hidden="1" x14ac:dyDescent="0.3">
      <c r="B650" s="85" t="str">
        <f>IFERROR(VLOOKUP(A650,Lookup!A:B,2,0),"")</f>
        <v/>
      </c>
      <c r="C650" s="85" t="str">
        <f>IFERROR(VLOOKUP(A650,Lookup!A:C,3,0),"")</f>
        <v/>
      </c>
      <c r="J650">
        <f t="shared" si="13"/>
        <v>4</v>
      </c>
    </row>
    <row r="651" spans="2:10" ht="14.45" hidden="1" x14ac:dyDescent="0.3">
      <c r="B651" s="85" t="str">
        <f>IFERROR(VLOOKUP(A651,Lookup!A:B,2,0),"")</f>
        <v/>
      </c>
      <c r="C651" s="85" t="str">
        <f>IFERROR(VLOOKUP(A651,Lookup!A:C,3,0),"")</f>
        <v/>
      </c>
      <c r="J651">
        <f t="shared" si="13"/>
        <v>4</v>
      </c>
    </row>
    <row r="652" spans="2:10" ht="14.45" hidden="1" x14ac:dyDescent="0.3">
      <c r="B652" s="85" t="str">
        <f>IFERROR(VLOOKUP(A652,Lookup!A:B,2,0),"")</f>
        <v/>
      </c>
      <c r="C652" s="85" t="str">
        <f>IFERROR(VLOOKUP(A652,Lookup!A:C,3,0),"")</f>
        <v/>
      </c>
      <c r="J652">
        <f t="shared" si="13"/>
        <v>4</v>
      </c>
    </row>
    <row r="653" spans="2:10" ht="14.45" hidden="1" x14ac:dyDescent="0.3">
      <c r="B653" s="85" t="str">
        <f>IFERROR(VLOOKUP(A653,Lookup!A:B,2,0),"")</f>
        <v/>
      </c>
      <c r="C653" s="85" t="str">
        <f>IFERROR(VLOOKUP(A653,Lookup!A:C,3,0),"")</f>
        <v/>
      </c>
      <c r="J653">
        <f t="shared" si="13"/>
        <v>4</v>
      </c>
    </row>
    <row r="654" spans="2:10" ht="14.45" hidden="1" x14ac:dyDescent="0.3">
      <c r="B654" s="85" t="str">
        <f>IFERROR(VLOOKUP(A654,Lookup!A:B,2,0),"")</f>
        <v/>
      </c>
      <c r="C654" s="85" t="str">
        <f>IFERROR(VLOOKUP(A654,Lookup!A:C,3,0),"")</f>
        <v/>
      </c>
      <c r="J654">
        <f t="shared" si="13"/>
        <v>4</v>
      </c>
    </row>
    <row r="655" spans="2:10" ht="14.45" hidden="1" x14ac:dyDescent="0.3">
      <c r="B655" s="85" t="str">
        <f>IFERROR(VLOOKUP(A655,Lookup!A:B,2,0),"")</f>
        <v/>
      </c>
      <c r="C655" s="85" t="str">
        <f>IFERROR(VLOOKUP(A655,Lookup!A:C,3,0),"")</f>
        <v/>
      </c>
      <c r="J655">
        <f t="shared" ref="J655:J718" si="14">IF(H655="SET",1,IF(H655="FREQ",3,IF(H655="",4,2)))</f>
        <v>4</v>
      </c>
    </row>
    <row r="656" spans="2:10" ht="14.45" hidden="1" x14ac:dyDescent="0.3">
      <c r="B656" s="85" t="str">
        <f>IFERROR(VLOOKUP(A656,Lookup!A:B,2,0),"")</f>
        <v/>
      </c>
      <c r="C656" s="85" t="str">
        <f>IFERROR(VLOOKUP(A656,Lookup!A:C,3,0),"")</f>
        <v/>
      </c>
      <c r="J656">
        <f t="shared" si="14"/>
        <v>4</v>
      </c>
    </row>
    <row r="657" spans="2:10" ht="14.45" hidden="1" x14ac:dyDescent="0.3">
      <c r="B657" s="85" t="str">
        <f>IFERROR(VLOOKUP(A657,Lookup!A:B,2,0),"")</f>
        <v/>
      </c>
      <c r="C657" s="85" t="str">
        <f>IFERROR(VLOOKUP(A657,Lookup!A:C,3,0),"")</f>
        <v/>
      </c>
      <c r="J657">
        <f t="shared" si="14"/>
        <v>4</v>
      </c>
    </row>
    <row r="658" spans="2:10" ht="14.45" hidden="1" x14ac:dyDescent="0.3">
      <c r="B658" s="85" t="str">
        <f>IFERROR(VLOOKUP(A658,Lookup!A:B,2,0),"")</f>
        <v/>
      </c>
      <c r="C658" s="85" t="str">
        <f>IFERROR(VLOOKUP(A658,Lookup!A:C,3,0),"")</f>
        <v/>
      </c>
      <c r="J658">
        <f t="shared" si="14"/>
        <v>4</v>
      </c>
    </row>
    <row r="659" spans="2:10" ht="14.45" hidden="1" x14ac:dyDescent="0.3">
      <c r="B659" s="85" t="str">
        <f>IFERROR(VLOOKUP(A659,Lookup!A:B,2,0),"")</f>
        <v/>
      </c>
      <c r="C659" s="85" t="str">
        <f>IFERROR(VLOOKUP(A659,Lookup!A:C,3,0),"")</f>
        <v/>
      </c>
      <c r="J659">
        <f t="shared" si="14"/>
        <v>4</v>
      </c>
    </row>
    <row r="660" spans="2:10" ht="14.45" hidden="1" x14ac:dyDescent="0.3">
      <c r="B660" s="85" t="str">
        <f>IFERROR(VLOOKUP(A660,Lookup!A:B,2,0),"")</f>
        <v/>
      </c>
      <c r="C660" s="85" t="str">
        <f>IFERROR(VLOOKUP(A660,Lookup!A:C,3,0),"")</f>
        <v/>
      </c>
      <c r="J660">
        <f t="shared" si="14"/>
        <v>4</v>
      </c>
    </row>
    <row r="661" spans="2:10" ht="14.45" hidden="1" x14ac:dyDescent="0.3">
      <c r="B661" s="85" t="str">
        <f>IFERROR(VLOOKUP(A661,Lookup!A:B,2,0),"")</f>
        <v/>
      </c>
      <c r="C661" s="85" t="str">
        <f>IFERROR(VLOOKUP(A661,Lookup!A:C,3,0),"")</f>
        <v/>
      </c>
      <c r="J661">
        <f t="shared" si="14"/>
        <v>4</v>
      </c>
    </row>
    <row r="662" spans="2:10" ht="14.45" hidden="1" x14ac:dyDescent="0.3">
      <c r="B662" s="85" t="str">
        <f>IFERROR(VLOOKUP(A662,Lookup!A:B,2,0),"")</f>
        <v/>
      </c>
      <c r="C662" s="85" t="str">
        <f>IFERROR(VLOOKUP(A662,Lookup!A:C,3,0),"")</f>
        <v/>
      </c>
      <c r="J662">
        <f t="shared" si="14"/>
        <v>4</v>
      </c>
    </row>
    <row r="663" spans="2:10" ht="14.45" hidden="1" x14ac:dyDescent="0.3">
      <c r="B663" s="85" t="str">
        <f>IFERROR(VLOOKUP(A663,Lookup!A:B,2,0),"")</f>
        <v/>
      </c>
      <c r="C663" s="85" t="str">
        <f>IFERROR(VLOOKUP(A663,Lookup!A:C,3,0),"")</f>
        <v/>
      </c>
      <c r="J663">
        <f t="shared" si="14"/>
        <v>4</v>
      </c>
    </row>
    <row r="664" spans="2:10" ht="14.45" hidden="1" x14ac:dyDescent="0.3">
      <c r="B664" s="85" t="str">
        <f>IFERROR(VLOOKUP(A664,Lookup!A:B,2,0),"")</f>
        <v/>
      </c>
      <c r="C664" s="85" t="str">
        <f>IFERROR(VLOOKUP(A664,Lookup!A:C,3,0),"")</f>
        <v/>
      </c>
      <c r="J664">
        <f t="shared" si="14"/>
        <v>4</v>
      </c>
    </row>
    <row r="665" spans="2:10" ht="14.45" hidden="1" x14ac:dyDescent="0.3">
      <c r="B665" s="85" t="str">
        <f>IFERROR(VLOOKUP(A665,Lookup!A:B,2,0),"")</f>
        <v/>
      </c>
      <c r="C665" s="85" t="str">
        <f>IFERROR(VLOOKUP(A665,Lookup!A:C,3,0),"")</f>
        <v/>
      </c>
      <c r="J665">
        <f t="shared" si="14"/>
        <v>4</v>
      </c>
    </row>
    <row r="666" spans="2:10" ht="14.45" hidden="1" x14ac:dyDescent="0.3">
      <c r="B666" s="85" t="str">
        <f>IFERROR(VLOOKUP(A666,Lookup!A:B,2,0),"")</f>
        <v/>
      </c>
      <c r="C666" s="85" t="str">
        <f>IFERROR(VLOOKUP(A666,Lookup!A:C,3,0),"")</f>
        <v/>
      </c>
      <c r="J666">
        <f t="shared" si="14"/>
        <v>4</v>
      </c>
    </row>
    <row r="667" spans="2:10" ht="14.45" hidden="1" x14ac:dyDescent="0.3">
      <c r="B667" s="85" t="str">
        <f>IFERROR(VLOOKUP(A667,Lookup!A:B,2,0),"")</f>
        <v/>
      </c>
      <c r="C667" s="85" t="str">
        <f>IFERROR(VLOOKUP(A667,Lookup!A:C,3,0),"")</f>
        <v/>
      </c>
      <c r="J667">
        <f t="shared" si="14"/>
        <v>4</v>
      </c>
    </row>
    <row r="668" spans="2:10" ht="14.45" hidden="1" x14ac:dyDescent="0.3">
      <c r="B668" s="85" t="str">
        <f>IFERROR(VLOOKUP(A668,Lookup!A:B,2,0),"")</f>
        <v/>
      </c>
      <c r="C668" s="85" t="str">
        <f>IFERROR(VLOOKUP(A668,Lookup!A:C,3,0),"")</f>
        <v/>
      </c>
      <c r="J668">
        <f t="shared" si="14"/>
        <v>4</v>
      </c>
    </row>
    <row r="669" spans="2:10" ht="14.45" hidden="1" x14ac:dyDescent="0.3">
      <c r="B669" s="85" t="str">
        <f>IFERROR(VLOOKUP(A669,Lookup!A:B,2,0),"")</f>
        <v/>
      </c>
      <c r="C669" s="85" t="str">
        <f>IFERROR(VLOOKUP(A669,Lookup!A:C,3,0),"")</f>
        <v/>
      </c>
      <c r="J669">
        <f t="shared" si="14"/>
        <v>4</v>
      </c>
    </row>
    <row r="670" spans="2:10" ht="14.45" hidden="1" x14ac:dyDescent="0.3">
      <c r="B670" s="85" t="str">
        <f>IFERROR(VLOOKUP(A670,Lookup!A:B,2,0),"")</f>
        <v/>
      </c>
      <c r="C670" s="85" t="str">
        <f>IFERROR(VLOOKUP(A670,Lookup!A:C,3,0),"")</f>
        <v/>
      </c>
      <c r="J670">
        <f t="shared" si="14"/>
        <v>4</v>
      </c>
    </row>
    <row r="671" spans="2:10" ht="14.45" hidden="1" x14ac:dyDescent="0.3">
      <c r="B671" s="85" t="str">
        <f>IFERROR(VLOOKUP(A671,Lookup!A:B,2,0),"")</f>
        <v/>
      </c>
      <c r="C671" s="85" t="str">
        <f>IFERROR(VLOOKUP(A671,Lookup!A:C,3,0),"")</f>
        <v/>
      </c>
      <c r="J671">
        <f t="shared" si="14"/>
        <v>4</v>
      </c>
    </row>
    <row r="672" spans="2:10" ht="14.45" hidden="1" x14ac:dyDescent="0.3">
      <c r="B672" s="85" t="str">
        <f>IFERROR(VLOOKUP(A672,Lookup!A:B,2,0),"")</f>
        <v/>
      </c>
      <c r="C672" s="85" t="str">
        <f>IFERROR(VLOOKUP(A672,Lookup!A:C,3,0),"")</f>
        <v/>
      </c>
      <c r="J672">
        <f t="shared" si="14"/>
        <v>4</v>
      </c>
    </row>
    <row r="673" spans="2:10" ht="14.45" hidden="1" x14ac:dyDescent="0.3">
      <c r="B673" s="85" t="str">
        <f>IFERROR(VLOOKUP(A673,Lookup!A:B,2,0),"")</f>
        <v/>
      </c>
      <c r="C673" s="85" t="str">
        <f>IFERROR(VLOOKUP(A673,Lookup!A:C,3,0),"")</f>
        <v/>
      </c>
      <c r="J673">
        <f t="shared" si="14"/>
        <v>4</v>
      </c>
    </row>
    <row r="674" spans="2:10" ht="14.45" hidden="1" x14ac:dyDescent="0.3">
      <c r="B674" s="85" t="str">
        <f>IFERROR(VLOOKUP(A674,Lookup!A:B,2,0),"")</f>
        <v/>
      </c>
      <c r="C674" s="85" t="str">
        <f>IFERROR(VLOOKUP(A674,Lookup!A:C,3,0),"")</f>
        <v/>
      </c>
      <c r="J674">
        <f t="shared" si="14"/>
        <v>4</v>
      </c>
    </row>
    <row r="675" spans="2:10" ht="14.45" hidden="1" x14ac:dyDescent="0.3">
      <c r="B675" s="85" t="str">
        <f>IFERROR(VLOOKUP(A675,Lookup!A:B,2,0),"")</f>
        <v/>
      </c>
      <c r="C675" s="85" t="str">
        <f>IFERROR(VLOOKUP(A675,Lookup!A:C,3,0),"")</f>
        <v/>
      </c>
      <c r="J675">
        <f t="shared" si="14"/>
        <v>4</v>
      </c>
    </row>
    <row r="676" spans="2:10" ht="14.45" hidden="1" x14ac:dyDescent="0.3">
      <c r="B676" s="85" t="str">
        <f>IFERROR(VLOOKUP(A676,Lookup!A:B,2,0),"")</f>
        <v/>
      </c>
      <c r="C676" s="85" t="str">
        <f>IFERROR(VLOOKUP(A676,Lookup!A:C,3,0),"")</f>
        <v/>
      </c>
      <c r="J676">
        <f t="shared" si="14"/>
        <v>4</v>
      </c>
    </row>
    <row r="677" spans="2:10" ht="14.45" hidden="1" x14ac:dyDescent="0.3">
      <c r="B677" s="85" t="str">
        <f>IFERROR(VLOOKUP(A677,Lookup!A:B,2,0),"")</f>
        <v/>
      </c>
      <c r="C677" s="85" t="str">
        <f>IFERROR(VLOOKUP(A677,Lookup!A:C,3,0),"")</f>
        <v/>
      </c>
      <c r="J677">
        <f t="shared" si="14"/>
        <v>4</v>
      </c>
    </row>
    <row r="678" spans="2:10" ht="14.45" hidden="1" x14ac:dyDescent="0.3">
      <c r="B678" s="85" t="str">
        <f>IFERROR(VLOOKUP(A678,Lookup!A:B,2,0),"")</f>
        <v/>
      </c>
      <c r="C678" s="85" t="str">
        <f>IFERROR(VLOOKUP(A678,Lookup!A:C,3,0),"")</f>
        <v/>
      </c>
      <c r="J678">
        <f t="shared" si="14"/>
        <v>4</v>
      </c>
    </row>
    <row r="679" spans="2:10" ht="14.45" hidden="1" x14ac:dyDescent="0.3">
      <c r="B679" s="85" t="str">
        <f>IFERROR(VLOOKUP(A679,Lookup!A:B,2,0),"")</f>
        <v/>
      </c>
      <c r="C679" s="85" t="str">
        <f>IFERROR(VLOOKUP(A679,Lookup!A:C,3,0),"")</f>
        <v/>
      </c>
      <c r="J679">
        <f t="shared" si="14"/>
        <v>4</v>
      </c>
    </row>
    <row r="680" spans="2:10" ht="14.45" hidden="1" x14ac:dyDescent="0.3">
      <c r="B680" s="85" t="str">
        <f>IFERROR(VLOOKUP(A680,Lookup!A:B,2,0),"")</f>
        <v/>
      </c>
      <c r="C680" s="85" t="str">
        <f>IFERROR(VLOOKUP(A680,Lookup!A:C,3,0),"")</f>
        <v/>
      </c>
      <c r="J680">
        <f t="shared" si="14"/>
        <v>4</v>
      </c>
    </row>
    <row r="681" spans="2:10" ht="14.45" hidden="1" x14ac:dyDescent="0.3">
      <c r="B681" s="85" t="str">
        <f>IFERROR(VLOOKUP(A681,Lookup!A:B,2,0),"")</f>
        <v/>
      </c>
      <c r="C681" s="85" t="str">
        <f>IFERROR(VLOOKUP(A681,Lookup!A:C,3,0),"")</f>
        <v/>
      </c>
      <c r="J681">
        <f t="shared" si="14"/>
        <v>4</v>
      </c>
    </row>
    <row r="682" spans="2:10" ht="14.45" hidden="1" x14ac:dyDescent="0.3">
      <c r="B682" s="85" t="str">
        <f>IFERROR(VLOOKUP(A682,Lookup!A:B,2,0),"")</f>
        <v/>
      </c>
      <c r="C682" s="85" t="str">
        <f>IFERROR(VLOOKUP(A682,Lookup!A:C,3,0),"")</f>
        <v/>
      </c>
      <c r="J682">
        <f t="shared" si="14"/>
        <v>4</v>
      </c>
    </row>
    <row r="683" spans="2:10" ht="14.45" hidden="1" x14ac:dyDescent="0.3">
      <c r="B683" s="85" t="str">
        <f>IFERROR(VLOOKUP(A683,Lookup!A:B,2,0),"")</f>
        <v/>
      </c>
      <c r="C683" s="85" t="str">
        <f>IFERROR(VLOOKUP(A683,Lookup!A:C,3,0),"")</f>
        <v/>
      </c>
      <c r="J683">
        <f t="shared" si="14"/>
        <v>4</v>
      </c>
    </row>
    <row r="684" spans="2:10" ht="14.45" hidden="1" x14ac:dyDescent="0.3">
      <c r="B684" s="85" t="str">
        <f>IFERROR(VLOOKUP(A684,Lookup!A:B,2,0),"")</f>
        <v/>
      </c>
      <c r="C684" s="85" t="str">
        <f>IFERROR(VLOOKUP(A684,Lookup!A:C,3,0),"")</f>
        <v/>
      </c>
      <c r="J684">
        <f t="shared" si="14"/>
        <v>4</v>
      </c>
    </row>
    <row r="685" spans="2:10" ht="14.45" hidden="1" x14ac:dyDescent="0.3">
      <c r="B685" s="85" t="str">
        <f>IFERROR(VLOOKUP(A685,Lookup!A:B,2,0),"")</f>
        <v/>
      </c>
      <c r="C685" s="85" t="str">
        <f>IFERROR(VLOOKUP(A685,Lookup!A:C,3,0),"")</f>
        <v/>
      </c>
      <c r="J685">
        <f t="shared" si="14"/>
        <v>4</v>
      </c>
    </row>
    <row r="686" spans="2:10" ht="14.45" hidden="1" x14ac:dyDescent="0.3">
      <c r="B686" s="85" t="str">
        <f>IFERROR(VLOOKUP(A686,Lookup!A:B,2,0),"")</f>
        <v/>
      </c>
      <c r="C686" s="85" t="str">
        <f>IFERROR(VLOOKUP(A686,Lookup!A:C,3,0),"")</f>
        <v/>
      </c>
      <c r="J686">
        <f t="shared" si="14"/>
        <v>4</v>
      </c>
    </row>
    <row r="687" spans="2:10" ht="14.45" hidden="1" x14ac:dyDescent="0.3">
      <c r="B687" s="85" t="str">
        <f>IFERROR(VLOOKUP(A687,Lookup!A:B,2,0),"")</f>
        <v/>
      </c>
      <c r="C687" s="85" t="str">
        <f>IFERROR(VLOOKUP(A687,Lookup!A:C,3,0),"")</f>
        <v/>
      </c>
      <c r="J687">
        <f t="shared" si="14"/>
        <v>4</v>
      </c>
    </row>
    <row r="688" spans="2:10" ht="14.45" hidden="1" x14ac:dyDescent="0.3">
      <c r="B688" s="85" t="str">
        <f>IFERROR(VLOOKUP(A688,Lookup!A:B,2,0),"")</f>
        <v/>
      </c>
      <c r="C688" s="85" t="str">
        <f>IFERROR(VLOOKUP(A688,Lookup!A:C,3,0),"")</f>
        <v/>
      </c>
      <c r="J688">
        <f t="shared" si="14"/>
        <v>4</v>
      </c>
    </row>
    <row r="689" spans="2:10" ht="14.45" hidden="1" x14ac:dyDescent="0.3">
      <c r="B689" s="85" t="str">
        <f>IFERROR(VLOOKUP(A689,Lookup!A:B,2,0),"")</f>
        <v/>
      </c>
      <c r="C689" s="85" t="str">
        <f>IFERROR(VLOOKUP(A689,Lookup!A:C,3,0),"")</f>
        <v/>
      </c>
      <c r="J689">
        <f t="shared" si="14"/>
        <v>4</v>
      </c>
    </row>
    <row r="690" spans="2:10" ht="14.45" hidden="1" x14ac:dyDescent="0.3">
      <c r="B690" s="85" t="str">
        <f>IFERROR(VLOOKUP(A690,Lookup!A:B,2,0),"")</f>
        <v/>
      </c>
      <c r="C690" s="85" t="str">
        <f>IFERROR(VLOOKUP(A690,Lookup!A:C,3,0),"")</f>
        <v/>
      </c>
      <c r="J690">
        <f t="shared" si="14"/>
        <v>4</v>
      </c>
    </row>
    <row r="691" spans="2:10" ht="14.45" hidden="1" x14ac:dyDescent="0.3">
      <c r="B691" s="85" t="str">
        <f>IFERROR(VLOOKUP(A691,Lookup!A:B,2,0),"")</f>
        <v/>
      </c>
      <c r="C691" s="85" t="str">
        <f>IFERROR(VLOOKUP(A691,Lookup!A:C,3,0),"")</f>
        <v/>
      </c>
      <c r="J691">
        <f t="shared" si="14"/>
        <v>4</v>
      </c>
    </row>
    <row r="692" spans="2:10" ht="14.45" hidden="1" x14ac:dyDescent="0.3">
      <c r="B692" s="85" t="str">
        <f>IFERROR(VLOOKUP(A692,Lookup!A:B,2,0),"")</f>
        <v/>
      </c>
      <c r="C692" s="85" t="str">
        <f>IFERROR(VLOOKUP(A692,Lookup!A:C,3,0),"")</f>
        <v/>
      </c>
      <c r="J692">
        <f t="shared" si="14"/>
        <v>4</v>
      </c>
    </row>
    <row r="693" spans="2:10" ht="14.45" hidden="1" x14ac:dyDescent="0.3">
      <c r="B693" s="85" t="str">
        <f>IFERROR(VLOOKUP(A693,Lookup!A:B,2,0),"")</f>
        <v/>
      </c>
      <c r="C693" s="85" t="str">
        <f>IFERROR(VLOOKUP(A693,Lookup!A:C,3,0),"")</f>
        <v/>
      </c>
      <c r="J693">
        <f t="shared" si="14"/>
        <v>4</v>
      </c>
    </row>
    <row r="694" spans="2:10" ht="14.45" hidden="1" x14ac:dyDescent="0.3">
      <c r="B694" s="85" t="str">
        <f>IFERROR(VLOOKUP(A694,Lookup!A:B,2,0),"")</f>
        <v/>
      </c>
      <c r="C694" s="85" t="str">
        <f>IFERROR(VLOOKUP(A694,Lookup!A:C,3,0),"")</f>
        <v/>
      </c>
      <c r="J694">
        <f t="shared" si="14"/>
        <v>4</v>
      </c>
    </row>
    <row r="695" spans="2:10" ht="14.45" hidden="1" x14ac:dyDescent="0.3">
      <c r="B695" s="85" t="str">
        <f>IFERROR(VLOOKUP(A695,Lookup!A:B,2,0),"")</f>
        <v/>
      </c>
      <c r="C695" s="85" t="str">
        <f>IFERROR(VLOOKUP(A695,Lookup!A:C,3,0),"")</f>
        <v/>
      </c>
      <c r="J695">
        <f t="shared" si="14"/>
        <v>4</v>
      </c>
    </row>
    <row r="696" spans="2:10" ht="14.45" hidden="1" x14ac:dyDescent="0.3">
      <c r="B696" s="85" t="str">
        <f>IFERROR(VLOOKUP(A696,Lookup!A:B,2,0),"")</f>
        <v/>
      </c>
      <c r="C696" s="85" t="str">
        <f>IFERROR(VLOOKUP(A696,Lookup!A:C,3,0),"")</f>
        <v/>
      </c>
      <c r="J696">
        <f t="shared" si="14"/>
        <v>4</v>
      </c>
    </row>
    <row r="697" spans="2:10" ht="14.45" hidden="1" x14ac:dyDescent="0.3">
      <c r="B697" s="85" t="str">
        <f>IFERROR(VLOOKUP(A697,Lookup!A:B,2,0),"")</f>
        <v/>
      </c>
      <c r="C697" s="85" t="str">
        <f>IFERROR(VLOOKUP(A697,Lookup!A:C,3,0),"")</f>
        <v/>
      </c>
      <c r="J697">
        <f t="shared" si="14"/>
        <v>4</v>
      </c>
    </row>
    <row r="698" spans="2:10" ht="14.45" hidden="1" x14ac:dyDescent="0.3">
      <c r="B698" s="85" t="str">
        <f>IFERROR(VLOOKUP(A698,Lookup!A:B,2,0),"")</f>
        <v/>
      </c>
      <c r="C698" s="85" t="str">
        <f>IFERROR(VLOOKUP(A698,Lookup!A:C,3,0),"")</f>
        <v/>
      </c>
      <c r="J698">
        <f t="shared" si="14"/>
        <v>4</v>
      </c>
    </row>
    <row r="699" spans="2:10" ht="14.45" hidden="1" x14ac:dyDescent="0.3">
      <c r="B699" s="85" t="str">
        <f>IFERROR(VLOOKUP(A699,Lookup!A:B,2,0),"")</f>
        <v/>
      </c>
      <c r="C699" s="85" t="str">
        <f>IFERROR(VLOOKUP(A699,Lookup!A:C,3,0),"")</f>
        <v/>
      </c>
      <c r="J699">
        <f t="shared" si="14"/>
        <v>4</v>
      </c>
    </row>
    <row r="700" spans="2:10" ht="14.45" hidden="1" x14ac:dyDescent="0.3">
      <c r="B700" s="85" t="str">
        <f>IFERROR(VLOOKUP(A700,Lookup!A:B,2,0),"")</f>
        <v/>
      </c>
      <c r="C700" s="85" t="str">
        <f>IFERROR(VLOOKUP(A700,Lookup!A:C,3,0),"")</f>
        <v/>
      </c>
      <c r="J700">
        <f t="shared" si="14"/>
        <v>4</v>
      </c>
    </row>
    <row r="701" spans="2:10" ht="14.45" hidden="1" x14ac:dyDescent="0.3">
      <c r="B701" s="85" t="str">
        <f>IFERROR(VLOOKUP(A701,Lookup!A:B,2,0),"")</f>
        <v/>
      </c>
      <c r="C701" s="85" t="str">
        <f>IFERROR(VLOOKUP(A701,Lookup!A:C,3,0),"")</f>
        <v/>
      </c>
      <c r="J701">
        <f t="shared" si="14"/>
        <v>4</v>
      </c>
    </row>
    <row r="702" spans="2:10" ht="14.45" hidden="1" x14ac:dyDescent="0.3">
      <c r="B702" s="85" t="str">
        <f>IFERROR(VLOOKUP(A702,Lookup!A:B,2,0),"")</f>
        <v/>
      </c>
      <c r="C702" s="85" t="str">
        <f>IFERROR(VLOOKUP(A702,Lookup!A:C,3,0),"")</f>
        <v/>
      </c>
      <c r="J702">
        <f t="shared" si="14"/>
        <v>4</v>
      </c>
    </row>
    <row r="703" spans="2:10" ht="14.45" hidden="1" x14ac:dyDescent="0.3">
      <c r="B703" s="85" t="str">
        <f>IFERROR(VLOOKUP(A703,Lookup!A:B,2,0),"")</f>
        <v/>
      </c>
      <c r="C703" s="85" t="str">
        <f>IFERROR(VLOOKUP(A703,Lookup!A:C,3,0),"")</f>
        <v/>
      </c>
      <c r="J703">
        <f t="shared" si="14"/>
        <v>4</v>
      </c>
    </row>
    <row r="704" spans="2:10" ht="14.45" hidden="1" x14ac:dyDescent="0.3">
      <c r="B704" s="85" t="str">
        <f>IFERROR(VLOOKUP(A704,Lookup!A:B,2,0),"")</f>
        <v/>
      </c>
      <c r="C704" s="85" t="str">
        <f>IFERROR(VLOOKUP(A704,Lookup!A:C,3,0),"")</f>
        <v/>
      </c>
      <c r="J704">
        <f t="shared" si="14"/>
        <v>4</v>
      </c>
    </row>
    <row r="705" spans="2:10" ht="14.45" hidden="1" x14ac:dyDescent="0.3">
      <c r="B705" s="85" t="str">
        <f>IFERROR(VLOOKUP(A705,Lookup!A:B,2,0),"")</f>
        <v/>
      </c>
      <c r="C705" s="85" t="str">
        <f>IFERROR(VLOOKUP(A705,Lookup!A:C,3,0),"")</f>
        <v/>
      </c>
      <c r="J705">
        <f t="shared" si="14"/>
        <v>4</v>
      </c>
    </row>
    <row r="706" spans="2:10" ht="14.45" hidden="1" x14ac:dyDescent="0.3">
      <c r="B706" s="85" t="str">
        <f>IFERROR(VLOOKUP(A706,Lookup!A:B,2,0),"")</f>
        <v/>
      </c>
      <c r="C706" s="85" t="str">
        <f>IFERROR(VLOOKUP(A706,Lookup!A:C,3,0),"")</f>
        <v/>
      </c>
      <c r="J706">
        <f t="shared" si="14"/>
        <v>4</v>
      </c>
    </row>
    <row r="707" spans="2:10" ht="14.45" hidden="1" x14ac:dyDescent="0.3">
      <c r="B707" s="85" t="str">
        <f>IFERROR(VLOOKUP(A707,Lookup!A:B,2,0),"")</f>
        <v/>
      </c>
      <c r="C707" s="85" t="str">
        <f>IFERROR(VLOOKUP(A707,Lookup!A:C,3,0),"")</f>
        <v/>
      </c>
      <c r="J707">
        <f t="shared" si="14"/>
        <v>4</v>
      </c>
    </row>
    <row r="708" spans="2:10" ht="14.45" hidden="1" x14ac:dyDescent="0.3">
      <c r="B708" s="85" t="str">
        <f>IFERROR(VLOOKUP(A708,Lookup!A:B,2,0),"")</f>
        <v/>
      </c>
      <c r="C708" s="85" t="str">
        <f>IFERROR(VLOOKUP(A708,Lookup!A:C,3,0),"")</f>
        <v/>
      </c>
      <c r="J708">
        <f t="shared" si="14"/>
        <v>4</v>
      </c>
    </row>
    <row r="709" spans="2:10" ht="14.45" hidden="1" x14ac:dyDescent="0.3">
      <c r="B709" s="85" t="str">
        <f>IFERROR(VLOOKUP(A709,Lookup!A:B,2,0),"")</f>
        <v/>
      </c>
      <c r="C709" s="85" t="str">
        <f>IFERROR(VLOOKUP(A709,Lookup!A:C,3,0),"")</f>
        <v/>
      </c>
      <c r="J709">
        <f t="shared" si="14"/>
        <v>4</v>
      </c>
    </row>
    <row r="710" spans="2:10" ht="14.45" hidden="1" x14ac:dyDescent="0.3">
      <c r="B710" s="85" t="str">
        <f>IFERROR(VLOOKUP(A710,Lookup!A:B,2,0),"")</f>
        <v/>
      </c>
      <c r="C710" s="85" t="str">
        <f>IFERROR(VLOOKUP(A710,Lookup!A:C,3,0),"")</f>
        <v/>
      </c>
      <c r="J710">
        <f t="shared" si="14"/>
        <v>4</v>
      </c>
    </row>
    <row r="711" spans="2:10" ht="14.45" hidden="1" x14ac:dyDescent="0.3">
      <c r="B711" s="85" t="str">
        <f>IFERROR(VLOOKUP(A711,Lookup!A:B,2,0),"")</f>
        <v/>
      </c>
      <c r="C711" s="85" t="str">
        <f>IFERROR(VLOOKUP(A711,Lookup!A:C,3,0),"")</f>
        <v/>
      </c>
      <c r="J711">
        <f t="shared" si="14"/>
        <v>4</v>
      </c>
    </row>
    <row r="712" spans="2:10" ht="14.45" hidden="1" x14ac:dyDescent="0.3">
      <c r="B712" s="85" t="str">
        <f>IFERROR(VLOOKUP(A712,Lookup!A:B,2,0),"")</f>
        <v/>
      </c>
      <c r="C712" s="85" t="str">
        <f>IFERROR(VLOOKUP(A712,Lookup!A:C,3,0),"")</f>
        <v/>
      </c>
      <c r="J712">
        <f t="shared" si="14"/>
        <v>4</v>
      </c>
    </row>
    <row r="713" spans="2:10" ht="14.45" hidden="1" x14ac:dyDescent="0.3">
      <c r="B713" s="85" t="str">
        <f>IFERROR(VLOOKUP(A713,Lookup!A:B,2,0),"")</f>
        <v/>
      </c>
      <c r="C713" s="85" t="str">
        <f>IFERROR(VLOOKUP(A713,Lookup!A:C,3,0),"")</f>
        <v/>
      </c>
      <c r="J713">
        <f t="shared" si="14"/>
        <v>4</v>
      </c>
    </row>
    <row r="714" spans="2:10" ht="14.45" hidden="1" x14ac:dyDescent="0.3">
      <c r="B714" s="85" t="str">
        <f>IFERROR(VLOOKUP(A714,Lookup!A:B,2,0),"")</f>
        <v/>
      </c>
      <c r="C714" s="85" t="str">
        <f>IFERROR(VLOOKUP(A714,Lookup!A:C,3,0),"")</f>
        <v/>
      </c>
      <c r="J714">
        <f t="shared" si="14"/>
        <v>4</v>
      </c>
    </row>
    <row r="715" spans="2:10" ht="14.45" hidden="1" x14ac:dyDescent="0.3">
      <c r="B715" s="85" t="str">
        <f>IFERROR(VLOOKUP(A715,Lookup!A:B,2,0),"")</f>
        <v/>
      </c>
      <c r="C715" s="85" t="str">
        <f>IFERROR(VLOOKUP(A715,Lookup!A:C,3,0),"")</f>
        <v/>
      </c>
      <c r="J715">
        <f t="shared" si="14"/>
        <v>4</v>
      </c>
    </row>
    <row r="716" spans="2:10" ht="14.45" hidden="1" x14ac:dyDescent="0.3">
      <c r="B716" s="85" t="str">
        <f>IFERROR(VLOOKUP(A716,Lookup!A:B,2,0),"")</f>
        <v/>
      </c>
      <c r="C716" s="85" t="str">
        <f>IFERROR(VLOOKUP(A716,Lookup!A:C,3,0),"")</f>
        <v/>
      </c>
      <c r="J716">
        <f t="shared" si="14"/>
        <v>4</v>
      </c>
    </row>
    <row r="717" spans="2:10" ht="14.45" hidden="1" x14ac:dyDescent="0.3">
      <c r="B717" s="85" t="str">
        <f>IFERROR(VLOOKUP(A717,Lookup!A:B,2,0),"")</f>
        <v/>
      </c>
      <c r="C717" s="85" t="str">
        <f>IFERROR(VLOOKUP(A717,Lookup!A:C,3,0),"")</f>
        <v/>
      </c>
      <c r="J717">
        <f t="shared" si="14"/>
        <v>4</v>
      </c>
    </row>
    <row r="718" spans="2:10" ht="14.45" hidden="1" x14ac:dyDescent="0.3">
      <c r="B718" s="85" t="str">
        <f>IFERROR(VLOOKUP(A718,Lookup!A:B,2,0),"")</f>
        <v/>
      </c>
      <c r="C718" s="85" t="str">
        <f>IFERROR(VLOOKUP(A718,Lookup!A:C,3,0),"")</f>
        <v/>
      </c>
      <c r="J718">
        <f t="shared" si="14"/>
        <v>4</v>
      </c>
    </row>
    <row r="719" spans="2:10" ht="14.45" hidden="1" x14ac:dyDescent="0.3">
      <c r="B719" s="85" t="str">
        <f>IFERROR(VLOOKUP(A719,Lookup!A:B,2,0),"")</f>
        <v/>
      </c>
      <c r="C719" s="85" t="str">
        <f>IFERROR(VLOOKUP(A719,Lookup!A:C,3,0),"")</f>
        <v/>
      </c>
      <c r="J719">
        <f t="shared" ref="J719:J782" si="15">IF(H719="SET",1,IF(H719="FREQ",3,IF(H719="",4,2)))</f>
        <v>4</v>
      </c>
    </row>
    <row r="720" spans="2:10" ht="14.45" hidden="1" x14ac:dyDescent="0.3">
      <c r="B720" s="85" t="str">
        <f>IFERROR(VLOOKUP(A720,Lookup!A:B,2,0),"")</f>
        <v/>
      </c>
      <c r="C720" s="85" t="str">
        <f>IFERROR(VLOOKUP(A720,Lookup!A:C,3,0),"")</f>
        <v/>
      </c>
      <c r="J720">
        <f t="shared" si="15"/>
        <v>4</v>
      </c>
    </row>
    <row r="721" spans="2:10" ht="14.45" hidden="1" x14ac:dyDescent="0.3">
      <c r="B721" s="85" t="str">
        <f>IFERROR(VLOOKUP(A721,Lookup!A:B,2,0),"")</f>
        <v/>
      </c>
      <c r="C721" s="85" t="str">
        <f>IFERROR(VLOOKUP(A721,Lookup!A:C,3,0),"")</f>
        <v/>
      </c>
      <c r="J721">
        <f t="shared" si="15"/>
        <v>4</v>
      </c>
    </row>
    <row r="722" spans="2:10" ht="14.45" hidden="1" x14ac:dyDescent="0.3">
      <c r="B722" s="85" t="str">
        <f>IFERROR(VLOOKUP(A722,Lookup!A:B,2,0),"")</f>
        <v/>
      </c>
      <c r="C722" s="85" t="str">
        <f>IFERROR(VLOOKUP(A722,Lookup!A:C,3,0),"")</f>
        <v/>
      </c>
      <c r="J722">
        <f t="shared" si="15"/>
        <v>4</v>
      </c>
    </row>
    <row r="723" spans="2:10" ht="14.45" hidden="1" x14ac:dyDescent="0.3">
      <c r="B723" s="85" t="str">
        <f>IFERROR(VLOOKUP(A723,Lookup!A:B,2,0),"")</f>
        <v/>
      </c>
      <c r="C723" s="85" t="str">
        <f>IFERROR(VLOOKUP(A723,Lookup!A:C,3,0),"")</f>
        <v/>
      </c>
      <c r="J723">
        <f t="shared" si="15"/>
        <v>4</v>
      </c>
    </row>
    <row r="724" spans="2:10" ht="14.45" hidden="1" x14ac:dyDescent="0.3">
      <c r="B724" s="85" t="str">
        <f>IFERROR(VLOOKUP(A724,Lookup!A:B,2,0),"")</f>
        <v/>
      </c>
      <c r="C724" s="85" t="str">
        <f>IFERROR(VLOOKUP(A724,Lookup!A:C,3,0),"")</f>
        <v/>
      </c>
      <c r="J724">
        <f t="shared" si="15"/>
        <v>4</v>
      </c>
    </row>
    <row r="725" spans="2:10" ht="14.45" hidden="1" x14ac:dyDescent="0.3">
      <c r="B725" s="85" t="str">
        <f>IFERROR(VLOOKUP(A725,Lookup!A:B,2,0),"")</f>
        <v/>
      </c>
      <c r="C725" s="85" t="str">
        <f>IFERROR(VLOOKUP(A725,Lookup!A:C,3,0),"")</f>
        <v/>
      </c>
      <c r="J725">
        <f t="shared" si="15"/>
        <v>4</v>
      </c>
    </row>
    <row r="726" spans="2:10" ht="14.45" hidden="1" x14ac:dyDescent="0.3">
      <c r="B726" s="85" t="str">
        <f>IFERROR(VLOOKUP(A726,Lookup!A:B,2,0),"")</f>
        <v/>
      </c>
      <c r="C726" s="85" t="str">
        <f>IFERROR(VLOOKUP(A726,Lookup!A:C,3,0),"")</f>
        <v/>
      </c>
      <c r="J726">
        <f t="shared" si="15"/>
        <v>4</v>
      </c>
    </row>
    <row r="727" spans="2:10" ht="14.45" hidden="1" x14ac:dyDescent="0.3">
      <c r="B727" s="85" t="str">
        <f>IFERROR(VLOOKUP(A727,Lookup!A:B,2,0),"")</f>
        <v/>
      </c>
      <c r="C727" s="85" t="str">
        <f>IFERROR(VLOOKUP(A727,Lookup!A:C,3,0),"")</f>
        <v/>
      </c>
      <c r="J727">
        <f t="shared" si="15"/>
        <v>4</v>
      </c>
    </row>
    <row r="728" spans="2:10" ht="14.45" hidden="1" x14ac:dyDescent="0.3">
      <c r="B728" s="85" t="str">
        <f>IFERROR(VLOOKUP(A728,Lookup!A:B,2,0),"")</f>
        <v/>
      </c>
      <c r="C728" s="85" t="str">
        <f>IFERROR(VLOOKUP(A728,Lookup!A:C,3,0),"")</f>
        <v/>
      </c>
      <c r="J728">
        <f t="shared" si="15"/>
        <v>4</v>
      </c>
    </row>
    <row r="729" spans="2:10" ht="14.45" hidden="1" x14ac:dyDescent="0.3">
      <c r="B729" s="85" t="str">
        <f>IFERROR(VLOOKUP(A729,Lookup!A:B,2,0),"")</f>
        <v/>
      </c>
      <c r="C729" s="85" t="str">
        <f>IFERROR(VLOOKUP(A729,Lookup!A:C,3,0),"")</f>
        <v/>
      </c>
      <c r="J729">
        <f t="shared" si="15"/>
        <v>4</v>
      </c>
    </row>
    <row r="730" spans="2:10" ht="14.45" hidden="1" x14ac:dyDescent="0.3">
      <c r="B730" s="85" t="str">
        <f>IFERROR(VLOOKUP(A730,Lookup!A:B,2,0),"")</f>
        <v/>
      </c>
      <c r="C730" s="85" t="str">
        <f>IFERROR(VLOOKUP(A730,Lookup!A:C,3,0),"")</f>
        <v/>
      </c>
      <c r="J730">
        <f t="shared" si="15"/>
        <v>4</v>
      </c>
    </row>
    <row r="731" spans="2:10" ht="14.45" hidden="1" x14ac:dyDescent="0.3">
      <c r="B731" s="85" t="str">
        <f>IFERROR(VLOOKUP(A731,Lookup!A:B,2,0),"")</f>
        <v/>
      </c>
      <c r="C731" s="85" t="str">
        <f>IFERROR(VLOOKUP(A731,Lookup!A:C,3,0),"")</f>
        <v/>
      </c>
      <c r="J731">
        <f t="shared" si="15"/>
        <v>4</v>
      </c>
    </row>
    <row r="732" spans="2:10" ht="14.45" hidden="1" x14ac:dyDescent="0.3">
      <c r="B732" s="85" t="str">
        <f>IFERROR(VLOOKUP(A732,Lookup!A:B,2,0),"")</f>
        <v/>
      </c>
      <c r="C732" s="85" t="str">
        <f>IFERROR(VLOOKUP(A732,Lookup!A:C,3,0),"")</f>
        <v/>
      </c>
      <c r="J732">
        <f t="shared" si="15"/>
        <v>4</v>
      </c>
    </row>
    <row r="733" spans="2:10" ht="14.45" hidden="1" x14ac:dyDescent="0.3">
      <c r="B733" s="85" t="str">
        <f>IFERROR(VLOOKUP(A733,Lookup!A:B,2,0),"")</f>
        <v/>
      </c>
      <c r="C733" s="85" t="str">
        <f>IFERROR(VLOOKUP(A733,Lookup!A:C,3,0),"")</f>
        <v/>
      </c>
      <c r="J733">
        <f t="shared" si="15"/>
        <v>4</v>
      </c>
    </row>
    <row r="734" spans="2:10" ht="14.45" hidden="1" x14ac:dyDescent="0.3">
      <c r="B734" s="85" t="str">
        <f>IFERROR(VLOOKUP(A734,Lookup!A:B,2,0),"")</f>
        <v/>
      </c>
      <c r="C734" s="85" t="str">
        <f>IFERROR(VLOOKUP(A734,Lookup!A:C,3,0),"")</f>
        <v/>
      </c>
      <c r="J734">
        <f t="shared" si="15"/>
        <v>4</v>
      </c>
    </row>
    <row r="735" spans="2:10" ht="14.45" hidden="1" x14ac:dyDescent="0.3">
      <c r="B735" s="85" t="str">
        <f>IFERROR(VLOOKUP(A735,Lookup!A:B,2,0),"")</f>
        <v/>
      </c>
      <c r="C735" s="85" t="str">
        <f>IFERROR(VLOOKUP(A735,Lookup!A:C,3,0),"")</f>
        <v/>
      </c>
      <c r="J735">
        <f t="shared" si="15"/>
        <v>4</v>
      </c>
    </row>
    <row r="736" spans="2:10" ht="14.45" hidden="1" x14ac:dyDescent="0.3">
      <c r="B736" s="85" t="str">
        <f>IFERROR(VLOOKUP(A736,Lookup!A:B,2,0),"")</f>
        <v/>
      </c>
      <c r="C736" s="85" t="str">
        <f>IFERROR(VLOOKUP(A736,Lookup!A:C,3,0),"")</f>
        <v/>
      </c>
      <c r="J736">
        <f t="shared" si="15"/>
        <v>4</v>
      </c>
    </row>
    <row r="737" spans="2:10" ht="14.45" hidden="1" x14ac:dyDescent="0.3">
      <c r="B737" s="85" t="str">
        <f>IFERROR(VLOOKUP(A737,Lookup!A:B,2,0),"")</f>
        <v/>
      </c>
      <c r="C737" s="85" t="str">
        <f>IFERROR(VLOOKUP(A737,Lookup!A:C,3,0),"")</f>
        <v/>
      </c>
      <c r="J737">
        <f t="shared" si="15"/>
        <v>4</v>
      </c>
    </row>
    <row r="738" spans="2:10" ht="14.45" hidden="1" x14ac:dyDescent="0.3">
      <c r="B738" s="85" t="str">
        <f>IFERROR(VLOOKUP(A738,Lookup!A:B,2,0),"")</f>
        <v/>
      </c>
      <c r="C738" s="85" t="str">
        <f>IFERROR(VLOOKUP(A738,Lookup!A:C,3,0),"")</f>
        <v/>
      </c>
      <c r="J738">
        <f t="shared" si="15"/>
        <v>4</v>
      </c>
    </row>
    <row r="739" spans="2:10" ht="14.45" hidden="1" x14ac:dyDescent="0.3">
      <c r="B739" s="85" t="str">
        <f>IFERROR(VLOOKUP(A739,Lookup!A:B,2,0),"")</f>
        <v/>
      </c>
      <c r="C739" s="85" t="str">
        <f>IFERROR(VLOOKUP(A739,Lookup!A:C,3,0),"")</f>
        <v/>
      </c>
      <c r="J739">
        <f t="shared" si="15"/>
        <v>4</v>
      </c>
    </row>
    <row r="740" spans="2:10" ht="14.45" hidden="1" x14ac:dyDescent="0.3">
      <c r="B740" s="85" t="str">
        <f>IFERROR(VLOOKUP(A740,Lookup!A:B,2,0),"")</f>
        <v/>
      </c>
      <c r="C740" s="85" t="str">
        <f>IFERROR(VLOOKUP(A740,Lookup!A:C,3,0),"")</f>
        <v/>
      </c>
      <c r="J740">
        <f t="shared" si="15"/>
        <v>4</v>
      </c>
    </row>
    <row r="741" spans="2:10" ht="14.45" hidden="1" x14ac:dyDescent="0.3">
      <c r="B741" s="85" t="str">
        <f>IFERROR(VLOOKUP(A741,Lookup!A:B,2,0),"")</f>
        <v/>
      </c>
      <c r="C741" s="85" t="str">
        <f>IFERROR(VLOOKUP(A741,Lookup!A:C,3,0),"")</f>
        <v/>
      </c>
      <c r="J741">
        <f t="shared" si="15"/>
        <v>4</v>
      </c>
    </row>
    <row r="742" spans="2:10" ht="14.45" hidden="1" x14ac:dyDescent="0.3">
      <c r="B742" s="85" t="str">
        <f>IFERROR(VLOOKUP(A742,Lookup!A:B,2,0),"")</f>
        <v/>
      </c>
      <c r="C742" s="85" t="str">
        <f>IFERROR(VLOOKUP(A742,Lookup!A:C,3,0),"")</f>
        <v/>
      </c>
      <c r="J742">
        <f t="shared" si="15"/>
        <v>4</v>
      </c>
    </row>
    <row r="743" spans="2:10" ht="14.45" hidden="1" x14ac:dyDescent="0.3">
      <c r="B743" s="85" t="str">
        <f>IFERROR(VLOOKUP(A743,Lookup!A:B,2,0),"")</f>
        <v/>
      </c>
      <c r="C743" s="85" t="str">
        <f>IFERROR(VLOOKUP(A743,Lookup!A:C,3,0),"")</f>
        <v/>
      </c>
      <c r="J743">
        <f t="shared" si="15"/>
        <v>4</v>
      </c>
    </row>
    <row r="744" spans="2:10" ht="14.45" hidden="1" x14ac:dyDescent="0.3">
      <c r="B744" s="85" t="str">
        <f>IFERROR(VLOOKUP(A744,Lookup!A:B,2,0),"")</f>
        <v/>
      </c>
      <c r="C744" s="85" t="str">
        <f>IFERROR(VLOOKUP(A744,Lookup!A:C,3,0),"")</f>
        <v/>
      </c>
      <c r="J744">
        <f t="shared" si="15"/>
        <v>4</v>
      </c>
    </row>
    <row r="745" spans="2:10" ht="14.45" hidden="1" x14ac:dyDescent="0.3">
      <c r="B745" s="85" t="str">
        <f>IFERROR(VLOOKUP(A745,Lookup!A:B,2,0),"")</f>
        <v/>
      </c>
      <c r="C745" s="85" t="str">
        <f>IFERROR(VLOOKUP(A745,Lookup!A:C,3,0),"")</f>
        <v/>
      </c>
      <c r="J745">
        <f t="shared" si="15"/>
        <v>4</v>
      </c>
    </row>
    <row r="746" spans="2:10" ht="14.45" hidden="1" x14ac:dyDescent="0.3">
      <c r="B746" s="85" t="str">
        <f>IFERROR(VLOOKUP(A746,Lookup!A:B,2,0),"")</f>
        <v/>
      </c>
      <c r="C746" s="85" t="str">
        <f>IFERROR(VLOOKUP(A746,Lookup!A:C,3,0),"")</f>
        <v/>
      </c>
      <c r="J746">
        <f t="shared" si="15"/>
        <v>4</v>
      </c>
    </row>
    <row r="747" spans="2:10" ht="14.45" hidden="1" x14ac:dyDescent="0.3">
      <c r="B747" s="85" t="str">
        <f>IFERROR(VLOOKUP(A747,Lookup!A:B,2,0),"")</f>
        <v/>
      </c>
      <c r="C747" s="85" t="str">
        <f>IFERROR(VLOOKUP(A747,Lookup!A:C,3,0),"")</f>
        <v/>
      </c>
      <c r="J747">
        <f t="shared" si="15"/>
        <v>4</v>
      </c>
    </row>
    <row r="748" spans="2:10" ht="14.45" hidden="1" x14ac:dyDescent="0.3">
      <c r="B748" s="85" t="str">
        <f>IFERROR(VLOOKUP(A748,Lookup!A:B,2,0),"")</f>
        <v/>
      </c>
      <c r="C748" s="85" t="str">
        <f>IFERROR(VLOOKUP(A748,Lookup!A:C,3,0),"")</f>
        <v/>
      </c>
      <c r="J748">
        <f t="shared" si="15"/>
        <v>4</v>
      </c>
    </row>
    <row r="749" spans="2:10" ht="14.45" hidden="1" x14ac:dyDescent="0.3">
      <c r="B749" s="85" t="str">
        <f>IFERROR(VLOOKUP(A749,Lookup!A:B,2,0),"")</f>
        <v/>
      </c>
      <c r="C749" s="85" t="str">
        <f>IFERROR(VLOOKUP(A749,Lookup!A:C,3,0),"")</f>
        <v/>
      </c>
      <c r="J749">
        <f t="shared" si="15"/>
        <v>4</v>
      </c>
    </row>
    <row r="750" spans="2:10" ht="14.45" hidden="1" x14ac:dyDescent="0.3">
      <c r="B750" s="85" t="str">
        <f>IFERROR(VLOOKUP(A750,Lookup!A:B,2,0),"")</f>
        <v/>
      </c>
      <c r="C750" s="85" t="str">
        <f>IFERROR(VLOOKUP(A750,Lookup!A:C,3,0),"")</f>
        <v/>
      </c>
      <c r="J750">
        <f t="shared" si="15"/>
        <v>4</v>
      </c>
    </row>
    <row r="751" spans="2:10" ht="14.45" hidden="1" x14ac:dyDescent="0.3">
      <c r="B751" s="85" t="str">
        <f>IFERROR(VLOOKUP(A751,Lookup!A:B,2,0),"")</f>
        <v/>
      </c>
      <c r="C751" s="85" t="str">
        <f>IFERROR(VLOOKUP(A751,Lookup!A:C,3,0),"")</f>
        <v/>
      </c>
      <c r="J751">
        <f t="shared" si="15"/>
        <v>4</v>
      </c>
    </row>
    <row r="752" spans="2:10" ht="14.45" hidden="1" x14ac:dyDescent="0.3">
      <c r="B752" s="85" t="str">
        <f>IFERROR(VLOOKUP(A752,Lookup!A:B,2,0),"")</f>
        <v/>
      </c>
      <c r="C752" s="85" t="str">
        <f>IFERROR(VLOOKUP(A752,Lookup!A:C,3,0),"")</f>
        <v/>
      </c>
      <c r="J752">
        <f t="shared" si="15"/>
        <v>4</v>
      </c>
    </row>
    <row r="753" spans="2:10" ht="14.45" hidden="1" x14ac:dyDescent="0.3">
      <c r="B753" s="85" t="str">
        <f>IFERROR(VLOOKUP(A753,Lookup!A:B,2,0),"")</f>
        <v/>
      </c>
      <c r="C753" s="85" t="str">
        <f>IFERROR(VLOOKUP(A753,Lookup!A:C,3,0),"")</f>
        <v/>
      </c>
      <c r="J753">
        <f t="shared" si="15"/>
        <v>4</v>
      </c>
    </row>
    <row r="754" spans="2:10" ht="14.45" hidden="1" x14ac:dyDescent="0.3">
      <c r="B754" s="85" t="str">
        <f>IFERROR(VLOOKUP(A754,Lookup!A:B,2,0),"")</f>
        <v/>
      </c>
      <c r="C754" s="85" t="str">
        <f>IFERROR(VLOOKUP(A754,Lookup!A:C,3,0),"")</f>
        <v/>
      </c>
      <c r="J754">
        <f t="shared" si="15"/>
        <v>4</v>
      </c>
    </row>
    <row r="755" spans="2:10" ht="14.45" hidden="1" x14ac:dyDescent="0.3">
      <c r="B755" s="85" t="str">
        <f>IFERROR(VLOOKUP(A755,Lookup!A:B,2,0),"")</f>
        <v/>
      </c>
      <c r="C755" s="85" t="str">
        <f>IFERROR(VLOOKUP(A755,Lookup!A:C,3,0),"")</f>
        <v/>
      </c>
      <c r="J755">
        <f t="shared" si="15"/>
        <v>4</v>
      </c>
    </row>
    <row r="756" spans="2:10" ht="14.45" hidden="1" x14ac:dyDescent="0.3">
      <c r="B756" s="85" t="str">
        <f>IFERROR(VLOOKUP(A756,Lookup!A:B,2,0),"")</f>
        <v/>
      </c>
      <c r="C756" s="85" t="str">
        <f>IFERROR(VLOOKUP(A756,Lookup!A:C,3,0),"")</f>
        <v/>
      </c>
      <c r="J756">
        <f t="shared" si="15"/>
        <v>4</v>
      </c>
    </row>
    <row r="757" spans="2:10" ht="14.45" hidden="1" x14ac:dyDescent="0.3">
      <c r="B757" s="85" t="str">
        <f>IFERROR(VLOOKUP(A757,Lookup!A:B,2,0),"")</f>
        <v/>
      </c>
      <c r="C757" s="85" t="str">
        <f>IFERROR(VLOOKUP(A757,Lookup!A:C,3,0),"")</f>
        <v/>
      </c>
      <c r="J757">
        <f t="shared" si="15"/>
        <v>4</v>
      </c>
    </row>
    <row r="758" spans="2:10" ht="14.45" hidden="1" x14ac:dyDescent="0.3">
      <c r="B758" s="85" t="str">
        <f>IFERROR(VLOOKUP(A758,Lookup!A:B,2,0),"")</f>
        <v/>
      </c>
      <c r="C758" s="85" t="str">
        <f>IFERROR(VLOOKUP(A758,Lookup!A:C,3,0),"")</f>
        <v/>
      </c>
      <c r="J758">
        <f t="shared" si="15"/>
        <v>4</v>
      </c>
    </row>
    <row r="759" spans="2:10" ht="14.45" hidden="1" x14ac:dyDescent="0.3">
      <c r="B759" s="85" t="str">
        <f>IFERROR(VLOOKUP(A759,Lookup!A:B,2,0),"")</f>
        <v/>
      </c>
      <c r="C759" s="85" t="str">
        <f>IFERROR(VLOOKUP(A759,Lookup!A:C,3,0),"")</f>
        <v/>
      </c>
      <c r="J759">
        <f t="shared" si="15"/>
        <v>4</v>
      </c>
    </row>
    <row r="760" spans="2:10" ht="14.45" hidden="1" x14ac:dyDescent="0.3">
      <c r="B760" s="85" t="str">
        <f>IFERROR(VLOOKUP(A760,Lookup!A:B,2,0),"")</f>
        <v/>
      </c>
      <c r="C760" s="85" t="str">
        <f>IFERROR(VLOOKUP(A760,Lookup!A:C,3,0),"")</f>
        <v/>
      </c>
      <c r="J760">
        <f t="shared" si="15"/>
        <v>4</v>
      </c>
    </row>
    <row r="761" spans="2:10" ht="14.45" hidden="1" x14ac:dyDescent="0.3">
      <c r="B761" s="85" t="str">
        <f>IFERROR(VLOOKUP(A761,Lookup!A:B,2,0),"")</f>
        <v/>
      </c>
      <c r="C761" s="85" t="str">
        <f>IFERROR(VLOOKUP(A761,Lookup!A:C,3,0),"")</f>
        <v/>
      </c>
      <c r="J761">
        <f t="shared" si="15"/>
        <v>4</v>
      </c>
    </row>
    <row r="762" spans="2:10" ht="14.45" hidden="1" x14ac:dyDescent="0.3">
      <c r="B762" s="85" t="str">
        <f>IFERROR(VLOOKUP(A762,Lookup!A:B,2,0),"")</f>
        <v/>
      </c>
      <c r="C762" s="85" t="str">
        <f>IFERROR(VLOOKUP(A762,Lookup!A:C,3,0),"")</f>
        <v/>
      </c>
      <c r="J762">
        <f t="shared" si="15"/>
        <v>4</v>
      </c>
    </row>
    <row r="763" spans="2:10" ht="14.45" hidden="1" x14ac:dyDescent="0.3">
      <c r="B763" s="85" t="str">
        <f>IFERROR(VLOOKUP(A763,Lookup!A:B,2,0),"")</f>
        <v/>
      </c>
      <c r="C763" s="85" t="str">
        <f>IFERROR(VLOOKUP(A763,Lookup!A:C,3,0),"")</f>
        <v/>
      </c>
      <c r="J763">
        <f t="shared" si="15"/>
        <v>4</v>
      </c>
    </row>
    <row r="764" spans="2:10" ht="14.45" hidden="1" x14ac:dyDescent="0.3">
      <c r="B764" s="85" t="str">
        <f>IFERROR(VLOOKUP(A764,Lookup!A:B,2,0),"")</f>
        <v/>
      </c>
      <c r="C764" s="85" t="str">
        <f>IFERROR(VLOOKUP(A764,Lookup!A:C,3,0),"")</f>
        <v/>
      </c>
      <c r="J764">
        <f t="shared" si="15"/>
        <v>4</v>
      </c>
    </row>
    <row r="765" spans="2:10" ht="14.45" hidden="1" x14ac:dyDescent="0.3">
      <c r="B765" s="85" t="str">
        <f>IFERROR(VLOOKUP(A765,Lookup!A:B,2,0),"")</f>
        <v/>
      </c>
      <c r="C765" s="85" t="str">
        <f>IFERROR(VLOOKUP(A765,Lookup!A:C,3,0),"")</f>
        <v/>
      </c>
      <c r="J765">
        <f t="shared" si="15"/>
        <v>4</v>
      </c>
    </row>
    <row r="766" spans="2:10" ht="14.45" hidden="1" x14ac:dyDescent="0.3">
      <c r="B766" s="85" t="str">
        <f>IFERROR(VLOOKUP(A766,Lookup!A:B,2,0),"")</f>
        <v/>
      </c>
      <c r="C766" s="85" t="str">
        <f>IFERROR(VLOOKUP(A766,Lookup!A:C,3,0),"")</f>
        <v/>
      </c>
      <c r="J766">
        <f t="shared" si="15"/>
        <v>4</v>
      </c>
    </row>
    <row r="767" spans="2:10" ht="14.45" hidden="1" x14ac:dyDescent="0.3">
      <c r="B767" s="85" t="str">
        <f>IFERROR(VLOOKUP(A767,Lookup!A:B,2,0),"")</f>
        <v/>
      </c>
      <c r="C767" s="85" t="str">
        <f>IFERROR(VLOOKUP(A767,Lookup!A:C,3,0),"")</f>
        <v/>
      </c>
      <c r="J767">
        <f t="shared" si="15"/>
        <v>4</v>
      </c>
    </row>
    <row r="768" spans="2:10" ht="14.45" hidden="1" x14ac:dyDescent="0.3">
      <c r="B768" s="85" t="str">
        <f>IFERROR(VLOOKUP(A768,Lookup!A:B,2,0),"")</f>
        <v/>
      </c>
      <c r="C768" s="85" t="str">
        <f>IFERROR(VLOOKUP(A768,Lookup!A:C,3,0),"")</f>
        <v/>
      </c>
      <c r="J768">
        <f t="shared" si="15"/>
        <v>4</v>
      </c>
    </row>
    <row r="769" spans="2:10" ht="14.45" hidden="1" x14ac:dyDescent="0.3">
      <c r="B769" s="85" t="str">
        <f>IFERROR(VLOOKUP(A769,Lookup!A:B,2,0),"")</f>
        <v/>
      </c>
      <c r="C769" s="85" t="str">
        <f>IFERROR(VLOOKUP(A769,Lookup!A:C,3,0),"")</f>
        <v/>
      </c>
      <c r="J769">
        <f t="shared" si="15"/>
        <v>4</v>
      </c>
    </row>
    <row r="770" spans="2:10" ht="14.45" hidden="1" x14ac:dyDescent="0.3">
      <c r="B770" s="85" t="str">
        <f>IFERROR(VLOOKUP(A770,Lookup!A:B,2,0),"")</f>
        <v/>
      </c>
      <c r="C770" s="85" t="str">
        <f>IFERROR(VLOOKUP(A770,Lookup!A:C,3,0),"")</f>
        <v/>
      </c>
      <c r="J770">
        <f t="shared" si="15"/>
        <v>4</v>
      </c>
    </row>
    <row r="771" spans="2:10" ht="14.45" hidden="1" x14ac:dyDescent="0.3">
      <c r="B771" s="85" t="str">
        <f>IFERROR(VLOOKUP(A771,Lookup!A:B,2,0),"")</f>
        <v/>
      </c>
      <c r="C771" s="85" t="str">
        <f>IFERROR(VLOOKUP(A771,Lookup!A:C,3,0),"")</f>
        <v/>
      </c>
      <c r="J771">
        <f t="shared" si="15"/>
        <v>4</v>
      </c>
    </row>
    <row r="772" spans="2:10" ht="14.45" hidden="1" x14ac:dyDescent="0.3">
      <c r="B772" s="85" t="str">
        <f>IFERROR(VLOOKUP(A772,Lookup!A:B,2,0),"")</f>
        <v/>
      </c>
      <c r="C772" s="85" t="str">
        <f>IFERROR(VLOOKUP(A772,Lookup!A:C,3,0),"")</f>
        <v/>
      </c>
      <c r="J772">
        <f t="shared" si="15"/>
        <v>4</v>
      </c>
    </row>
    <row r="773" spans="2:10" ht="14.45" hidden="1" x14ac:dyDescent="0.3">
      <c r="B773" s="85" t="str">
        <f>IFERROR(VLOOKUP(A773,Lookup!A:B,2,0),"")</f>
        <v/>
      </c>
      <c r="C773" s="85" t="str">
        <f>IFERROR(VLOOKUP(A773,Lookup!A:C,3,0),"")</f>
        <v/>
      </c>
      <c r="J773">
        <f t="shared" si="15"/>
        <v>4</v>
      </c>
    </row>
    <row r="774" spans="2:10" ht="14.45" hidden="1" x14ac:dyDescent="0.3">
      <c r="B774" s="85" t="str">
        <f>IFERROR(VLOOKUP(A774,Lookup!A:B,2,0),"")</f>
        <v/>
      </c>
      <c r="C774" s="85" t="str">
        <f>IFERROR(VLOOKUP(A774,Lookup!A:C,3,0),"")</f>
        <v/>
      </c>
      <c r="J774">
        <f t="shared" si="15"/>
        <v>4</v>
      </c>
    </row>
    <row r="775" spans="2:10" ht="14.45" hidden="1" x14ac:dyDescent="0.3">
      <c r="B775" s="85" t="str">
        <f>IFERROR(VLOOKUP(A775,Lookup!A:B,2,0),"")</f>
        <v/>
      </c>
      <c r="C775" s="85" t="str">
        <f>IFERROR(VLOOKUP(A775,Lookup!A:C,3,0),"")</f>
        <v/>
      </c>
      <c r="J775">
        <f t="shared" si="15"/>
        <v>4</v>
      </c>
    </row>
    <row r="776" spans="2:10" ht="14.45" hidden="1" x14ac:dyDescent="0.3">
      <c r="B776" s="85" t="str">
        <f>IFERROR(VLOOKUP(A776,Lookup!A:B,2,0),"")</f>
        <v/>
      </c>
      <c r="C776" s="85" t="str">
        <f>IFERROR(VLOOKUP(A776,Lookup!A:C,3,0),"")</f>
        <v/>
      </c>
      <c r="J776">
        <f t="shared" si="15"/>
        <v>4</v>
      </c>
    </row>
    <row r="777" spans="2:10" ht="14.45" hidden="1" x14ac:dyDescent="0.3">
      <c r="B777" s="85" t="str">
        <f>IFERROR(VLOOKUP(A777,Lookup!A:B,2,0),"")</f>
        <v/>
      </c>
      <c r="C777" s="85" t="str">
        <f>IFERROR(VLOOKUP(A777,Lookup!A:C,3,0),"")</f>
        <v/>
      </c>
      <c r="J777">
        <f t="shared" si="15"/>
        <v>4</v>
      </c>
    </row>
    <row r="778" spans="2:10" ht="14.45" hidden="1" x14ac:dyDescent="0.3">
      <c r="B778" s="85" t="str">
        <f>IFERROR(VLOOKUP(A778,Lookup!A:B,2,0),"")</f>
        <v/>
      </c>
      <c r="C778" s="85" t="str">
        <f>IFERROR(VLOOKUP(A778,Lookup!A:C,3,0),"")</f>
        <v/>
      </c>
      <c r="J778">
        <f t="shared" si="15"/>
        <v>4</v>
      </c>
    </row>
    <row r="779" spans="2:10" ht="14.45" hidden="1" x14ac:dyDescent="0.3">
      <c r="B779" s="85" t="str">
        <f>IFERROR(VLOOKUP(A779,Lookup!A:B,2,0),"")</f>
        <v/>
      </c>
      <c r="C779" s="85" t="str">
        <f>IFERROR(VLOOKUP(A779,Lookup!A:C,3,0),"")</f>
        <v/>
      </c>
      <c r="J779">
        <f t="shared" si="15"/>
        <v>4</v>
      </c>
    </row>
    <row r="780" spans="2:10" ht="14.45" hidden="1" x14ac:dyDescent="0.3">
      <c r="B780" s="85" t="str">
        <f>IFERROR(VLOOKUP(A780,Lookup!A:B,2,0),"")</f>
        <v/>
      </c>
      <c r="C780" s="85" t="str">
        <f>IFERROR(VLOOKUP(A780,Lookup!A:C,3,0),"")</f>
        <v/>
      </c>
      <c r="J780">
        <f t="shared" si="15"/>
        <v>4</v>
      </c>
    </row>
    <row r="781" spans="2:10" ht="14.45" hidden="1" x14ac:dyDescent="0.3">
      <c r="B781" s="85" t="str">
        <f>IFERROR(VLOOKUP(A781,Lookup!A:B,2,0),"")</f>
        <v/>
      </c>
      <c r="C781" s="85" t="str">
        <f>IFERROR(VLOOKUP(A781,Lookup!A:C,3,0),"")</f>
        <v/>
      </c>
      <c r="J781">
        <f t="shared" si="15"/>
        <v>4</v>
      </c>
    </row>
    <row r="782" spans="2:10" ht="14.45" hidden="1" x14ac:dyDescent="0.3">
      <c r="B782" s="85" t="str">
        <f>IFERROR(VLOOKUP(A782,Lookup!A:B,2,0),"")</f>
        <v/>
      </c>
      <c r="C782" s="85" t="str">
        <f>IFERROR(VLOOKUP(A782,Lookup!A:C,3,0),"")</f>
        <v/>
      </c>
      <c r="J782">
        <f t="shared" si="15"/>
        <v>4</v>
      </c>
    </row>
    <row r="783" spans="2:10" ht="14.45" hidden="1" x14ac:dyDescent="0.3">
      <c r="B783" s="85" t="str">
        <f>IFERROR(VLOOKUP(A783,Lookup!A:B,2,0),"")</f>
        <v/>
      </c>
      <c r="C783" s="85" t="str">
        <f>IFERROR(VLOOKUP(A783,Lookup!A:C,3,0),"")</f>
        <v/>
      </c>
      <c r="J783">
        <f t="shared" ref="J783:J846" si="16">IF(H783="SET",1,IF(H783="FREQ",3,IF(H783="",4,2)))</f>
        <v>4</v>
      </c>
    </row>
    <row r="784" spans="2:10" ht="14.45" hidden="1" x14ac:dyDescent="0.3">
      <c r="B784" s="85" t="str">
        <f>IFERROR(VLOOKUP(A784,Lookup!A:B,2,0),"")</f>
        <v/>
      </c>
      <c r="C784" s="85" t="str">
        <f>IFERROR(VLOOKUP(A784,Lookup!A:C,3,0),"")</f>
        <v/>
      </c>
      <c r="J784">
        <f t="shared" si="16"/>
        <v>4</v>
      </c>
    </row>
    <row r="785" spans="2:10" ht="14.45" hidden="1" x14ac:dyDescent="0.3">
      <c r="B785" s="85" t="str">
        <f>IFERROR(VLOOKUP(A785,Lookup!A:B,2,0),"")</f>
        <v/>
      </c>
      <c r="C785" s="85" t="str">
        <f>IFERROR(VLOOKUP(A785,Lookup!A:C,3,0),"")</f>
        <v/>
      </c>
      <c r="J785">
        <f t="shared" si="16"/>
        <v>4</v>
      </c>
    </row>
    <row r="786" spans="2:10" ht="14.45" hidden="1" x14ac:dyDescent="0.3">
      <c r="B786" s="85" t="str">
        <f>IFERROR(VLOOKUP(A786,Lookup!A:B,2,0),"")</f>
        <v/>
      </c>
      <c r="C786" s="85" t="str">
        <f>IFERROR(VLOOKUP(A786,Lookup!A:C,3,0),"")</f>
        <v/>
      </c>
      <c r="J786">
        <f t="shared" si="16"/>
        <v>4</v>
      </c>
    </row>
    <row r="787" spans="2:10" ht="14.45" hidden="1" x14ac:dyDescent="0.3">
      <c r="B787" s="85" t="str">
        <f>IFERROR(VLOOKUP(A787,Lookup!A:B,2,0),"")</f>
        <v/>
      </c>
      <c r="C787" s="85" t="str">
        <f>IFERROR(VLOOKUP(A787,Lookup!A:C,3,0),"")</f>
        <v/>
      </c>
      <c r="J787">
        <f t="shared" si="16"/>
        <v>4</v>
      </c>
    </row>
    <row r="788" spans="2:10" ht="14.45" hidden="1" x14ac:dyDescent="0.3">
      <c r="B788" s="85" t="str">
        <f>IFERROR(VLOOKUP(A788,Lookup!A:B,2,0),"")</f>
        <v/>
      </c>
      <c r="C788" s="85" t="str">
        <f>IFERROR(VLOOKUP(A788,Lookup!A:C,3,0),"")</f>
        <v/>
      </c>
      <c r="J788">
        <f t="shared" si="16"/>
        <v>4</v>
      </c>
    </row>
    <row r="789" spans="2:10" ht="14.45" hidden="1" x14ac:dyDescent="0.3">
      <c r="B789" s="85" t="str">
        <f>IFERROR(VLOOKUP(A789,Lookup!A:B,2,0),"")</f>
        <v/>
      </c>
      <c r="C789" s="85" t="str">
        <f>IFERROR(VLOOKUP(A789,Lookup!A:C,3,0),"")</f>
        <v/>
      </c>
      <c r="J789">
        <f t="shared" si="16"/>
        <v>4</v>
      </c>
    </row>
    <row r="790" spans="2:10" ht="14.45" hidden="1" x14ac:dyDescent="0.3">
      <c r="B790" s="85" t="str">
        <f>IFERROR(VLOOKUP(A790,Lookup!A:B,2,0),"")</f>
        <v/>
      </c>
      <c r="C790" s="85" t="str">
        <f>IFERROR(VLOOKUP(A790,Lookup!A:C,3,0),"")</f>
        <v/>
      </c>
      <c r="J790">
        <f t="shared" si="16"/>
        <v>4</v>
      </c>
    </row>
    <row r="791" spans="2:10" ht="14.45" hidden="1" x14ac:dyDescent="0.3">
      <c r="B791" s="85" t="str">
        <f>IFERROR(VLOOKUP(A791,Lookup!A:B,2,0),"")</f>
        <v/>
      </c>
      <c r="C791" s="85" t="str">
        <f>IFERROR(VLOOKUP(A791,Lookup!A:C,3,0),"")</f>
        <v/>
      </c>
      <c r="J791">
        <f t="shared" si="16"/>
        <v>4</v>
      </c>
    </row>
    <row r="792" spans="2:10" ht="14.45" hidden="1" x14ac:dyDescent="0.3">
      <c r="B792" s="85" t="str">
        <f>IFERROR(VLOOKUP(A792,Lookup!A:B,2,0),"")</f>
        <v/>
      </c>
      <c r="C792" s="85" t="str">
        <f>IFERROR(VLOOKUP(A792,Lookup!A:C,3,0),"")</f>
        <v/>
      </c>
      <c r="J792">
        <f t="shared" si="16"/>
        <v>4</v>
      </c>
    </row>
    <row r="793" spans="2:10" ht="14.45" hidden="1" x14ac:dyDescent="0.3">
      <c r="B793" s="85" t="str">
        <f>IFERROR(VLOOKUP(A793,Lookup!A:B,2,0),"")</f>
        <v/>
      </c>
      <c r="C793" s="85" t="str">
        <f>IFERROR(VLOOKUP(A793,Lookup!A:C,3,0),"")</f>
        <v/>
      </c>
      <c r="J793">
        <f t="shared" si="16"/>
        <v>4</v>
      </c>
    </row>
    <row r="794" spans="2:10" ht="14.45" hidden="1" x14ac:dyDescent="0.3">
      <c r="B794" s="85" t="str">
        <f>IFERROR(VLOOKUP(A794,Lookup!A:B,2,0),"")</f>
        <v/>
      </c>
      <c r="C794" s="85" t="str">
        <f>IFERROR(VLOOKUP(A794,Lookup!A:C,3,0),"")</f>
        <v/>
      </c>
      <c r="J794">
        <f t="shared" si="16"/>
        <v>4</v>
      </c>
    </row>
    <row r="795" spans="2:10" ht="14.45" hidden="1" x14ac:dyDescent="0.3">
      <c r="B795" s="85" t="str">
        <f>IFERROR(VLOOKUP(A795,Lookup!A:B,2,0),"")</f>
        <v/>
      </c>
      <c r="C795" s="85" t="str">
        <f>IFERROR(VLOOKUP(A795,Lookup!A:C,3,0),"")</f>
        <v/>
      </c>
      <c r="J795">
        <f t="shared" si="16"/>
        <v>4</v>
      </c>
    </row>
    <row r="796" spans="2:10" ht="14.45" hidden="1" x14ac:dyDescent="0.3">
      <c r="B796" s="85" t="str">
        <f>IFERROR(VLOOKUP(A796,Lookup!A:B,2,0),"")</f>
        <v/>
      </c>
      <c r="C796" s="85" t="str">
        <f>IFERROR(VLOOKUP(A796,Lookup!A:C,3,0),"")</f>
        <v/>
      </c>
      <c r="J796">
        <f t="shared" si="16"/>
        <v>4</v>
      </c>
    </row>
    <row r="797" spans="2:10" ht="14.45" hidden="1" x14ac:dyDescent="0.3">
      <c r="B797" s="85" t="str">
        <f>IFERROR(VLOOKUP(A797,Lookup!A:B,2,0),"")</f>
        <v/>
      </c>
      <c r="C797" s="85" t="str">
        <f>IFERROR(VLOOKUP(A797,Lookup!A:C,3,0),"")</f>
        <v/>
      </c>
      <c r="J797">
        <f t="shared" si="16"/>
        <v>4</v>
      </c>
    </row>
    <row r="798" spans="2:10" ht="14.45" hidden="1" x14ac:dyDescent="0.3">
      <c r="B798" s="85" t="str">
        <f>IFERROR(VLOOKUP(A798,Lookup!A:B,2,0),"")</f>
        <v/>
      </c>
      <c r="C798" s="85" t="str">
        <f>IFERROR(VLOOKUP(A798,Lookup!A:C,3,0),"")</f>
        <v/>
      </c>
      <c r="J798">
        <f t="shared" si="16"/>
        <v>4</v>
      </c>
    </row>
    <row r="799" spans="2:10" ht="14.45" hidden="1" x14ac:dyDescent="0.3">
      <c r="B799" s="85" t="str">
        <f>IFERROR(VLOOKUP(A799,Lookup!A:B,2,0),"")</f>
        <v/>
      </c>
      <c r="C799" s="85" t="str">
        <f>IFERROR(VLOOKUP(A799,Lookup!A:C,3,0),"")</f>
        <v/>
      </c>
      <c r="J799">
        <f t="shared" si="16"/>
        <v>4</v>
      </c>
    </row>
    <row r="800" spans="2:10" ht="14.45" hidden="1" x14ac:dyDescent="0.3">
      <c r="B800" s="85" t="str">
        <f>IFERROR(VLOOKUP(A800,Lookup!A:B,2,0),"")</f>
        <v/>
      </c>
      <c r="C800" s="85" t="str">
        <f>IFERROR(VLOOKUP(A800,Lookup!A:C,3,0),"")</f>
        <v/>
      </c>
      <c r="J800">
        <f t="shared" si="16"/>
        <v>4</v>
      </c>
    </row>
    <row r="801" spans="2:10" ht="14.45" hidden="1" x14ac:dyDescent="0.3">
      <c r="B801" s="85" t="str">
        <f>IFERROR(VLOOKUP(A801,Lookup!A:B,2,0),"")</f>
        <v/>
      </c>
      <c r="C801" s="85" t="str">
        <f>IFERROR(VLOOKUP(A801,Lookup!A:C,3,0),"")</f>
        <v/>
      </c>
      <c r="J801">
        <f t="shared" si="16"/>
        <v>4</v>
      </c>
    </row>
    <row r="802" spans="2:10" ht="14.45" hidden="1" x14ac:dyDescent="0.3">
      <c r="B802" s="85" t="str">
        <f>IFERROR(VLOOKUP(A802,Lookup!A:B,2,0),"")</f>
        <v/>
      </c>
      <c r="C802" s="85" t="str">
        <f>IFERROR(VLOOKUP(A802,Lookup!A:C,3,0),"")</f>
        <v/>
      </c>
      <c r="J802">
        <f t="shared" si="16"/>
        <v>4</v>
      </c>
    </row>
    <row r="803" spans="2:10" ht="14.45" hidden="1" x14ac:dyDescent="0.3">
      <c r="B803" s="85" t="str">
        <f>IFERROR(VLOOKUP(A803,Lookup!A:B,2,0),"")</f>
        <v/>
      </c>
      <c r="C803" s="85" t="str">
        <f>IFERROR(VLOOKUP(A803,Lookup!A:C,3,0),"")</f>
        <v/>
      </c>
      <c r="J803">
        <f t="shared" si="16"/>
        <v>4</v>
      </c>
    </row>
    <row r="804" spans="2:10" ht="14.45" hidden="1" x14ac:dyDescent="0.3">
      <c r="B804" s="85" t="str">
        <f>IFERROR(VLOOKUP(A804,Lookup!A:B,2,0),"")</f>
        <v/>
      </c>
      <c r="C804" s="85" t="str">
        <f>IFERROR(VLOOKUP(A804,Lookup!A:C,3,0),"")</f>
        <v/>
      </c>
      <c r="J804">
        <f t="shared" si="16"/>
        <v>4</v>
      </c>
    </row>
    <row r="805" spans="2:10" ht="14.45" hidden="1" x14ac:dyDescent="0.3">
      <c r="B805" s="85" t="str">
        <f>IFERROR(VLOOKUP(A805,Lookup!A:B,2,0),"")</f>
        <v/>
      </c>
      <c r="C805" s="85" t="str">
        <f>IFERROR(VLOOKUP(A805,Lookup!A:C,3,0),"")</f>
        <v/>
      </c>
      <c r="J805">
        <f t="shared" si="16"/>
        <v>4</v>
      </c>
    </row>
    <row r="806" spans="2:10" ht="14.45" hidden="1" x14ac:dyDescent="0.3">
      <c r="B806" s="85" t="str">
        <f>IFERROR(VLOOKUP(A806,Lookup!A:B,2,0),"")</f>
        <v/>
      </c>
      <c r="C806" s="85" t="str">
        <f>IFERROR(VLOOKUP(A806,Lookup!A:C,3,0),"")</f>
        <v/>
      </c>
      <c r="J806">
        <f t="shared" si="16"/>
        <v>4</v>
      </c>
    </row>
    <row r="807" spans="2:10" ht="14.45" hidden="1" x14ac:dyDescent="0.3">
      <c r="B807" s="85" t="str">
        <f>IFERROR(VLOOKUP(A807,Lookup!A:B,2,0),"")</f>
        <v/>
      </c>
      <c r="C807" s="85" t="str">
        <f>IFERROR(VLOOKUP(A807,Lookup!A:C,3,0),"")</f>
        <v/>
      </c>
      <c r="J807">
        <f t="shared" si="16"/>
        <v>4</v>
      </c>
    </row>
    <row r="808" spans="2:10" ht="14.45" hidden="1" x14ac:dyDescent="0.3">
      <c r="B808" s="85" t="str">
        <f>IFERROR(VLOOKUP(A808,Lookup!A:B,2,0),"")</f>
        <v/>
      </c>
      <c r="C808" s="85" t="str">
        <f>IFERROR(VLOOKUP(A808,Lookup!A:C,3,0),"")</f>
        <v/>
      </c>
      <c r="J808">
        <f t="shared" si="16"/>
        <v>4</v>
      </c>
    </row>
    <row r="809" spans="2:10" ht="14.45" hidden="1" x14ac:dyDescent="0.3">
      <c r="B809" s="85" t="str">
        <f>IFERROR(VLOOKUP(A809,Lookup!A:B,2,0),"")</f>
        <v/>
      </c>
      <c r="C809" s="85" t="str">
        <f>IFERROR(VLOOKUP(A809,Lookup!A:C,3,0),"")</f>
        <v/>
      </c>
      <c r="J809">
        <f t="shared" si="16"/>
        <v>4</v>
      </c>
    </row>
    <row r="810" spans="2:10" ht="14.45" hidden="1" x14ac:dyDescent="0.3">
      <c r="B810" s="85" t="str">
        <f>IFERROR(VLOOKUP(A810,Lookup!A:B,2,0),"")</f>
        <v/>
      </c>
      <c r="C810" s="85" t="str">
        <f>IFERROR(VLOOKUP(A810,Lookup!A:C,3,0),"")</f>
        <v/>
      </c>
      <c r="J810">
        <f t="shared" si="16"/>
        <v>4</v>
      </c>
    </row>
    <row r="811" spans="2:10" ht="14.45" hidden="1" x14ac:dyDescent="0.3">
      <c r="B811" s="85" t="str">
        <f>IFERROR(VLOOKUP(A811,Lookup!A:B,2,0),"")</f>
        <v/>
      </c>
      <c r="C811" s="85" t="str">
        <f>IFERROR(VLOOKUP(A811,Lookup!A:C,3,0),"")</f>
        <v/>
      </c>
      <c r="J811">
        <f t="shared" si="16"/>
        <v>4</v>
      </c>
    </row>
    <row r="812" spans="2:10" ht="14.45" hidden="1" x14ac:dyDescent="0.3">
      <c r="B812" s="85" t="str">
        <f>IFERROR(VLOOKUP(A812,Lookup!A:B,2,0),"")</f>
        <v/>
      </c>
      <c r="C812" s="85" t="str">
        <f>IFERROR(VLOOKUP(A812,Lookup!A:C,3,0),"")</f>
        <v/>
      </c>
      <c r="J812">
        <f t="shared" si="16"/>
        <v>4</v>
      </c>
    </row>
    <row r="813" spans="2:10" ht="14.45" hidden="1" x14ac:dyDescent="0.3">
      <c r="B813" s="85" t="str">
        <f>IFERROR(VLOOKUP(A813,Lookup!A:B,2,0),"")</f>
        <v/>
      </c>
      <c r="C813" s="85" t="str">
        <f>IFERROR(VLOOKUP(A813,Lookup!A:C,3,0),"")</f>
        <v/>
      </c>
      <c r="J813">
        <f t="shared" si="16"/>
        <v>4</v>
      </c>
    </row>
    <row r="814" spans="2:10" ht="14.45" hidden="1" x14ac:dyDescent="0.3">
      <c r="B814" s="85" t="str">
        <f>IFERROR(VLOOKUP(A814,Lookup!A:B,2,0),"")</f>
        <v/>
      </c>
      <c r="C814" s="85" t="str">
        <f>IFERROR(VLOOKUP(A814,Lookup!A:C,3,0),"")</f>
        <v/>
      </c>
      <c r="J814">
        <f t="shared" si="16"/>
        <v>4</v>
      </c>
    </row>
    <row r="815" spans="2:10" ht="14.45" hidden="1" x14ac:dyDescent="0.3">
      <c r="B815" s="85" t="str">
        <f>IFERROR(VLOOKUP(A815,Lookup!A:B,2,0),"")</f>
        <v/>
      </c>
      <c r="C815" s="85" t="str">
        <f>IFERROR(VLOOKUP(A815,Lookup!A:C,3,0),"")</f>
        <v/>
      </c>
      <c r="J815">
        <f t="shared" si="16"/>
        <v>4</v>
      </c>
    </row>
    <row r="816" spans="2:10" ht="14.45" hidden="1" x14ac:dyDescent="0.3">
      <c r="B816" s="85" t="str">
        <f>IFERROR(VLOOKUP(A816,Lookup!A:B,2,0),"")</f>
        <v/>
      </c>
      <c r="C816" s="85" t="str">
        <f>IFERROR(VLOOKUP(A816,Lookup!A:C,3,0),"")</f>
        <v/>
      </c>
      <c r="J816">
        <f t="shared" si="16"/>
        <v>4</v>
      </c>
    </row>
    <row r="817" spans="2:10" ht="14.45" hidden="1" x14ac:dyDescent="0.3">
      <c r="B817" s="85" t="str">
        <f>IFERROR(VLOOKUP(A817,Lookup!A:B,2,0),"")</f>
        <v/>
      </c>
      <c r="C817" s="85" t="str">
        <f>IFERROR(VLOOKUP(A817,Lookup!A:C,3,0),"")</f>
        <v/>
      </c>
      <c r="J817">
        <f t="shared" si="16"/>
        <v>4</v>
      </c>
    </row>
    <row r="818" spans="2:10" ht="14.45" hidden="1" x14ac:dyDescent="0.3">
      <c r="B818" s="85" t="str">
        <f>IFERROR(VLOOKUP(A818,Lookup!A:B,2,0),"")</f>
        <v/>
      </c>
      <c r="C818" s="85" t="str">
        <f>IFERROR(VLOOKUP(A818,Lookup!A:C,3,0),"")</f>
        <v/>
      </c>
      <c r="J818">
        <f t="shared" si="16"/>
        <v>4</v>
      </c>
    </row>
    <row r="819" spans="2:10" ht="14.45" hidden="1" x14ac:dyDescent="0.3">
      <c r="B819" s="85" t="str">
        <f>IFERROR(VLOOKUP(A819,Lookup!A:B,2,0),"")</f>
        <v/>
      </c>
      <c r="C819" s="85" t="str">
        <f>IFERROR(VLOOKUP(A819,Lookup!A:C,3,0),"")</f>
        <v/>
      </c>
      <c r="J819">
        <f t="shared" si="16"/>
        <v>4</v>
      </c>
    </row>
    <row r="820" spans="2:10" ht="14.45" hidden="1" x14ac:dyDescent="0.3">
      <c r="B820" s="85" t="str">
        <f>IFERROR(VLOOKUP(A820,Lookup!A:B,2,0),"")</f>
        <v/>
      </c>
      <c r="C820" s="85" t="str">
        <f>IFERROR(VLOOKUP(A820,Lookup!A:C,3,0),"")</f>
        <v/>
      </c>
      <c r="J820">
        <f t="shared" si="16"/>
        <v>4</v>
      </c>
    </row>
    <row r="821" spans="2:10" ht="14.45" hidden="1" x14ac:dyDescent="0.3">
      <c r="B821" s="85" t="str">
        <f>IFERROR(VLOOKUP(A821,Lookup!A:B,2,0),"")</f>
        <v/>
      </c>
      <c r="C821" s="85" t="str">
        <f>IFERROR(VLOOKUP(A821,Lookup!A:C,3,0),"")</f>
        <v/>
      </c>
      <c r="J821">
        <f t="shared" si="16"/>
        <v>4</v>
      </c>
    </row>
    <row r="822" spans="2:10" ht="14.45" hidden="1" x14ac:dyDescent="0.3">
      <c r="B822" s="85" t="str">
        <f>IFERROR(VLOOKUP(A822,Lookup!A:B,2,0),"")</f>
        <v/>
      </c>
      <c r="C822" s="85" t="str">
        <f>IFERROR(VLOOKUP(A822,Lookup!A:C,3,0),"")</f>
        <v/>
      </c>
      <c r="J822">
        <f t="shared" si="16"/>
        <v>4</v>
      </c>
    </row>
    <row r="823" spans="2:10" ht="14.45" hidden="1" x14ac:dyDescent="0.3">
      <c r="B823" s="85" t="str">
        <f>IFERROR(VLOOKUP(A823,Lookup!A:B,2,0),"")</f>
        <v/>
      </c>
      <c r="C823" s="85" t="str">
        <f>IFERROR(VLOOKUP(A823,Lookup!A:C,3,0),"")</f>
        <v/>
      </c>
      <c r="J823">
        <f t="shared" si="16"/>
        <v>4</v>
      </c>
    </row>
    <row r="824" spans="2:10" ht="14.45" hidden="1" x14ac:dyDescent="0.3">
      <c r="B824" s="85" t="str">
        <f>IFERROR(VLOOKUP(A824,Lookup!A:B,2,0),"")</f>
        <v/>
      </c>
      <c r="C824" s="85" t="str">
        <f>IFERROR(VLOOKUP(A824,Lookup!A:C,3,0),"")</f>
        <v/>
      </c>
      <c r="J824">
        <f t="shared" si="16"/>
        <v>4</v>
      </c>
    </row>
    <row r="825" spans="2:10" ht="14.45" hidden="1" x14ac:dyDescent="0.3">
      <c r="B825" s="85" t="str">
        <f>IFERROR(VLOOKUP(A825,Lookup!A:B,2,0),"")</f>
        <v/>
      </c>
      <c r="C825" s="85" t="str">
        <f>IFERROR(VLOOKUP(A825,Lookup!A:C,3,0),"")</f>
        <v/>
      </c>
      <c r="J825">
        <f t="shared" si="16"/>
        <v>4</v>
      </c>
    </row>
    <row r="826" spans="2:10" ht="14.45" hidden="1" x14ac:dyDescent="0.3">
      <c r="B826" s="85" t="str">
        <f>IFERROR(VLOOKUP(A826,Lookup!A:B,2,0),"")</f>
        <v/>
      </c>
      <c r="C826" s="85" t="str">
        <f>IFERROR(VLOOKUP(A826,Lookup!A:C,3,0),"")</f>
        <v/>
      </c>
      <c r="J826">
        <f t="shared" si="16"/>
        <v>4</v>
      </c>
    </row>
    <row r="827" spans="2:10" ht="14.45" hidden="1" x14ac:dyDescent="0.3">
      <c r="B827" s="85" t="str">
        <f>IFERROR(VLOOKUP(A827,Lookup!A:B,2,0),"")</f>
        <v/>
      </c>
      <c r="C827" s="85" t="str">
        <f>IFERROR(VLOOKUP(A827,Lookup!A:C,3,0),"")</f>
        <v/>
      </c>
      <c r="J827">
        <f t="shared" si="16"/>
        <v>4</v>
      </c>
    </row>
    <row r="828" spans="2:10" ht="14.45" hidden="1" x14ac:dyDescent="0.3">
      <c r="B828" s="85" t="str">
        <f>IFERROR(VLOOKUP(A828,Lookup!A:B,2,0),"")</f>
        <v/>
      </c>
      <c r="C828" s="85" t="str">
        <f>IFERROR(VLOOKUP(A828,Lookup!A:C,3,0),"")</f>
        <v/>
      </c>
      <c r="J828">
        <f t="shared" si="16"/>
        <v>4</v>
      </c>
    </row>
    <row r="829" spans="2:10" ht="14.45" hidden="1" x14ac:dyDescent="0.3">
      <c r="B829" s="85" t="str">
        <f>IFERROR(VLOOKUP(A829,Lookup!A:B,2,0),"")</f>
        <v/>
      </c>
      <c r="C829" s="85" t="str">
        <f>IFERROR(VLOOKUP(A829,Lookup!A:C,3,0),"")</f>
        <v/>
      </c>
      <c r="J829">
        <f t="shared" si="16"/>
        <v>4</v>
      </c>
    </row>
    <row r="830" spans="2:10" ht="14.45" hidden="1" x14ac:dyDescent="0.3">
      <c r="B830" s="85" t="str">
        <f>IFERROR(VLOOKUP(A830,Lookup!A:B,2,0),"")</f>
        <v/>
      </c>
      <c r="C830" s="85" t="str">
        <f>IFERROR(VLOOKUP(A830,Lookup!A:C,3,0),"")</f>
        <v/>
      </c>
      <c r="J830">
        <f t="shared" si="16"/>
        <v>4</v>
      </c>
    </row>
    <row r="831" spans="2:10" ht="14.45" hidden="1" x14ac:dyDescent="0.3">
      <c r="B831" s="85" t="str">
        <f>IFERROR(VLOOKUP(A831,Lookup!A:B,2,0),"")</f>
        <v/>
      </c>
      <c r="C831" s="85" t="str">
        <f>IFERROR(VLOOKUP(A831,Lookup!A:C,3,0),"")</f>
        <v/>
      </c>
      <c r="J831">
        <f t="shared" si="16"/>
        <v>4</v>
      </c>
    </row>
    <row r="832" spans="2:10" ht="14.45" hidden="1" x14ac:dyDescent="0.3">
      <c r="B832" s="85" t="str">
        <f>IFERROR(VLOOKUP(A832,Lookup!A:B,2,0),"")</f>
        <v/>
      </c>
      <c r="C832" s="85" t="str">
        <f>IFERROR(VLOOKUP(A832,Lookup!A:C,3,0),"")</f>
        <v/>
      </c>
      <c r="J832">
        <f t="shared" si="16"/>
        <v>4</v>
      </c>
    </row>
    <row r="833" spans="2:10" ht="14.45" hidden="1" x14ac:dyDescent="0.3">
      <c r="B833" s="85" t="str">
        <f>IFERROR(VLOOKUP(A833,Lookup!A:B,2,0),"")</f>
        <v/>
      </c>
      <c r="C833" s="85" t="str">
        <f>IFERROR(VLOOKUP(A833,Lookup!A:C,3,0),"")</f>
        <v/>
      </c>
      <c r="J833">
        <f t="shared" si="16"/>
        <v>4</v>
      </c>
    </row>
    <row r="834" spans="2:10" ht="14.45" hidden="1" x14ac:dyDescent="0.3">
      <c r="B834" s="85" t="str">
        <f>IFERROR(VLOOKUP(A834,Lookup!A:B,2,0),"")</f>
        <v/>
      </c>
      <c r="C834" s="85" t="str">
        <f>IFERROR(VLOOKUP(A834,Lookup!A:C,3,0),"")</f>
        <v/>
      </c>
      <c r="J834">
        <f t="shared" si="16"/>
        <v>4</v>
      </c>
    </row>
    <row r="835" spans="2:10" ht="14.45" hidden="1" x14ac:dyDescent="0.3">
      <c r="B835" s="85" t="str">
        <f>IFERROR(VLOOKUP(A835,Lookup!A:B,2,0),"")</f>
        <v/>
      </c>
      <c r="C835" s="85" t="str">
        <f>IFERROR(VLOOKUP(A835,Lookup!A:C,3,0),"")</f>
        <v/>
      </c>
      <c r="J835">
        <f t="shared" si="16"/>
        <v>4</v>
      </c>
    </row>
    <row r="836" spans="2:10" ht="14.45" hidden="1" x14ac:dyDescent="0.3">
      <c r="B836" s="85" t="str">
        <f>IFERROR(VLOOKUP(A836,Lookup!A:B,2,0),"")</f>
        <v/>
      </c>
      <c r="C836" s="85" t="str">
        <f>IFERROR(VLOOKUP(A836,Lookup!A:C,3,0),"")</f>
        <v/>
      </c>
      <c r="J836">
        <f t="shared" si="16"/>
        <v>4</v>
      </c>
    </row>
    <row r="837" spans="2:10" ht="14.45" hidden="1" x14ac:dyDescent="0.3">
      <c r="B837" s="85" t="str">
        <f>IFERROR(VLOOKUP(A837,Lookup!A:B,2,0),"")</f>
        <v/>
      </c>
      <c r="C837" s="85" t="str">
        <f>IFERROR(VLOOKUP(A837,Lookup!A:C,3,0),"")</f>
        <v/>
      </c>
      <c r="J837">
        <f t="shared" si="16"/>
        <v>4</v>
      </c>
    </row>
    <row r="838" spans="2:10" ht="14.45" hidden="1" x14ac:dyDescent="0.3">
      <c r="B838" s="85" t="str">
        <f>IFERROR(VLOOKUP(A838,Lookup!A:B,2,0),"")</f>
        <v/>
      </c>
      <c r="C838" s="85" t="str">
        <f>IFERROR(VLOOKUP(A838,Lookup!A:C,3,0),"")</f>
        <v/>
      </c>
      <c r="J838">
        <f t="shared" si="16"/>
        <v>4</v>
      </c>
    </row>
    <row r="839" spans="2:10" ht="14.45" hidden="1" x14ac:dyDescent="0.3">
      <c r="B839" s="85" t="str">
        <f>IFERROR(VLOOKUP(A839,Lookup!A:B,2,0),"")</f>
        <v/>
      </c>
      <c r="C839" s="85" t="str">
        <f>IFERROR(VLOOKUP(A839,Lookup!A:C,3,0),"")</f>
        <v/>
      </c>
      <c r="J839">
        <f t="shared" si="16"/>
        <v>4</v>
      </c>
    </row>
    <row r="840" spans="2:10" ht="14.45" hidden="1" x14ac:dyDescent="0.3">
      <c r="B840" s="85" t="str">
        <f>IFERROR(VLOOKUP(A840,Lookup!A:B,2,0),"")</f>
        <v/>
      </c>
      <c r="C840" s="85" t="str">
        <f>IFERROR(VLOOKUP(A840,Lookup!A:C,3,0),"")</f>
        <v/>
      </c>
      <c r="J840">
        <f t="shared" si="16"/>
        <v>4</v>
      </c>
    </row>
    <row r="841" spans="2:10" ht="14.45" hidden="1" x14ac:dyDescent="0.3">
      <c r="B841" s="85" t="str">
        <f>IFERROR(VLOOKUP(A841,Lookup!A:B,2,0),"")</f>
        <v/>
      </c>
      <c r="C841" s="85" t="str">
        <f>IFERROR(VLOOKUP(A841,Lookup!A:C,3,0),"")</f>
        <v/>
      </c>
      <c r="J841">
        <f t="shared" si="16"/>
        <v>4</v>
      </c>
    </row>
    <row r="842" spans="2:10" ht="14.45" hidden="1" x14ac:dyDescent="0.3">
      <c r="B842" s="85" t="str">
        <f>IFERROR(VLOOKUP(A842,Lookup!A:B,2,0),"")</f>
        <v/>
      </c>
      <c r="C842" s="85" t="str">
        <f>IFERROR(VLOOKUP(A842,Lookup!A:C,3,0),"")</f>
        <v/>
      </c>
      <c r="J842">
        <f t="shared" si="16"/>
        <v>4</v>
      </c>
    </row>
    <row r="843" spans="2:10" ht="14.45" hidden="1" x14ac:dyDescent="0.3">
      <c r="B843" s="85" t="str">
        <f>IFERROR(VLOOKUP(A843,Lookup!A:B,2,0),"")</f>
        <v/>
      </c>
      <c r="C843" s="85" t="str">
        <f>IFERROR(VLOOKUP(A843,Lookup!A:C,3,0),"")</f>
        <v/>
      </c>
      <c r="J843">
        <f t="shared" si="16"/>
        <v>4</v>
      </c>
    </row>
    <row r="844" spans="2:10" ht="14.45" hidden="1" x14ac:dyDescent="0.3">
      <c r="B844" s="85" t="str">
        <f>IFERROR(VLOOKUP(A844,Lookup!A:B,2,0),"")</f>
        <v/>
      </c>
      <c r="C844" s="85" t="str">
        <f>IFERROR(VLOOKUP(A844,Lookup!A:C,3,0),"")</f>
        <v/>
      </c>
      <c r="J844">
        <f t="shared" si="16"/>
        <v>4</v>
      </c>
    </row>
    <row r="845" spans="2:10" ht="14.45" hidden="1" x14ac:dyDescent="0.3">
      <c r="B845" s="85" t="str">
        <f>IFERROR(VLOOKUP(A845,Lookup!A:B,2,0),"")</f>
        <v/>
      </c>
      <c r="C845" s="85" t="str">
        <f>IFERROR(VLOOKUP(A845,Lookup!A:C,3,0),"")</f>
        <v/>
      </c>
      <c r="J845">
        <f t="shared" si="16"/>
        <v>4</v>
      </c>
    </row>
    <row r="846" spans="2:10" ht="14.45" hidden="1" x14ac:dyDescent="0.3">
      <c r="B846" s="85" t="str">
        <f>IFERROR(VLOOKUP(A846,Lookup!A:B,2,0),"")</f>
        <v/>
      </c>
      <c r="C846" s="85" t="str">
        <f>IFERROR(VLOOKUP(A846,Lookup!A:C,3,0),"")</f>
        <v/>
      </c>
      <c r="J846">
        <f t="shared" si="16"/>
        <v>4</v>
      </c>
    </row>
    <row r="847" spans="2:10" ht="14.45" hidden="1" x14ac:dyDescent="0.3">
      <c r="B847" s="85" t="str">
        <f>IFERROR(VLOOKUP(A847,Lookup!A:B,2,0),"")</f>
        <v/>
      </c>
      <c r="C847" s="85" t="str">
        <f>IFERROR(VLOOKUP(A847,Lookup!A:C,3,0),"")</f>
        <v/>
      </c>
      <c r="J847">
        <f t="shared" ref="J847:J910" si="17">IF(H847="SET",1,IF(H847="FREQ",3,IF(H847="",4,2)))</f>
        <v>4</v>
      </c>
    </row>
    <row r="848" spans="2:10" ht="14.45" hidden="1" x14ac:dyDescent="0.3">
      <c r="B848" s="85" t="str">
        <f>IFERROR(VLOOKUP(A848,Lookup!A:B,2,0),"")</f>
        <v/>
      </c>
      <c r="C848" s="85" t="str">
        <f>IFERROR(VLOOKUP(A848,Lookup!A:C,3,0),"")</f>
        <v/>
      </c>
      <c r="J848">
        <f t="shared" si="17"/>
        <v>4</v>
      </c>
    </row>
    <row r="849" spans="2:10" ht="14.45" hidden="1" x14ac:dyDescent="0.3">
      <c r="B849" s="85" t="str">
        <f>IFERROR(VLOOKUP(A849,Lookup!A:B,2,0),"")</f>
        <v/>
      </c>
      <c r="C849" s="85" t="str">
        <f>IFERROR(VLOOKUP(A849,Lookup!A:C,3,0),"")</f>
        <v/>
      </c>
      <c r="J849">
        <f t="shared" si="17"/>
        <v>4</v>
      </c>
    </row>
    <row r="850" spans="2:10" ht="14.45" hidden="1" x14ac:dyDescent="0.3">
      <c r="B850" s="85" t="str">
        <f>IFERROR(VLOOKUP(A850,Lookup!A:B,2,0),"")</f>
        <v/>
      </c>
      <c r="C850" s="85" t="str">
        <f>IFERROR(VLOOKUP(A850,Lookup!A:C,3,0),"")</f>
        <v/>
      </c>
      <c r="J850">
        <f t="shared" si="17"/>
        <v>4</v>
      </c>
    </row>
    <row r="851" spans="2:10" ht="14.45" hidden="1" x14ac:dyDescent="0.3">
      <c r="B851" s="85" t="str">
        <f>IFERROR(VLOOKUP(A851,Lookup!A:B,2,0),"")</f>
        <v/>
      </c>
      <c r="C851" s="85" t="str">
        <f>IFERROR(VLOOKUP(A851,Lookup!A:C,3,0),"")</f>
        <v/>
      </c>
      <c r="J851">
        <f t="shared" si="17"/>
        <v>4</v>
      </c>
    </row>
    <row r="852" spans="2:10" ht="14.45" hidden="1" x14ac:dyDescent="0.3">
      <c r="B852" s="85" t="str">
        <f>IFERROR(VLOOKUP(A852,Lookup!A:B,2,0),"")</f>
        <v/>
      </c>
      <c r="C852" s="85" t="str">
        <f>IFERROR(VLOOKUP(A852,Lookup!A:C,3,0),"")</f>
        <v/>
      </c>
      <c r="J852">
        <f t="shared" si="17"/>
        <v>4</v>
      </c>
    </row>
    <row r="853" spans="2:10" ht="14.45" hidden="1" x14ac:dyDescent="0.3">
      <c r="B853" s="85" t="str">
        <f>IFERROR(VLOOKUP(A853,Lookup!A:B,2,0),"")</f>
        <v/>
      </c>
      <c r="C853" s="85" t="str">
        <f>IFERROR(VLOOKUP(A853,Lookup!A:C,3,0),"")</f>
        <v/>
      </c>
      <c r="J853">
        <f t="shared" si="17"/>
        <v>4</v>
      </c>
    </row>
    <row r="854" spans="2:10" ht="14.45" hidden="1" x14ac:dyDescent="0.3">
      <c r="B854" s="85" t="str">
        <f>IFERROR(VLOOKUP(A854,Lookup!A:B,2,0),"")</f>
        <v/>
      </c>
      <c r="C854" s="85" t="str">
        <f>IFERROR(VLOOKUP(A854,Lookup!A:C,3,0),"")</f>
        <v/>
      </c>
      <c r="J854">
        <f t="shared" si="17"/>
        <v>4</v>
      </c>
    </row>
    <row r="855" spans="2:10" ht="14.45" hidden="1" x14ac:dyDescent="0.3">
      <c r="B855" s="85" t="str">
        <f>IFERROR(VLOOKUP(A855,Lookup!A:B,2,0),"")</f>
        <v/>
      </c>
      <c r="C855" s="85" t="str">
        <f>IFERROR(VLOOKUP(A855,Lookup!A:C,3,0),"")</f>
        <v/>
      </c>
      <c r="J855">
        <f t="shared" si="17"/>
        <v>4</v>
      </c>
    </row>
    <row r="856" spans="2:10" ht="14.45" hidden="1" x14ac:dyDescent="0.3">
      <c r="B856" s="85" t="str">
        <f>IFERROR(VLOOKUP(A856,Lookup!A:B,2,0),"")</f>
        <v/>
      </c>
      <c r="C856" s="85" t="str">
        <f>IFERROR(VLOOKUP(A856,Lookup!A:C,3,0),"")</f>
        <v/>
      </c>
      <c r="J856">
        <f t="shared" si="17"/>
        <v>4</v>
      </c>
    </row>
    <row r="857" spans="2:10" ht="14.45" hidden="1" x14ac:dyDescent="0.3">
      <c r="B857" s="85" t="str">
        <f>IFERROR(VLOOKUP(A857,Lookup!A:B,2,0),"")</f>
        <v/>
      </c>
      <c r="C857" s="85" t="str">
        <f>IFERROR(VLOOKUP(A857,Lookup!A:C,3,0),"")</f>
        <v/>
      </c>
      <c r="J857">
        <f t="shared" si="17"/>
        <v>4</v>
      </c>
    </row>
    <row r="858" spans="2:10" ht="14.45" hidden="1" x14ac:dyDescent="0.3">
      <c r="B858" s="85" t="str">
        <f>IFERROR(VLOOKUP(A858,Lookup!A:B,2,0),"")</f>
        <v/>
      </c>
      <c r="C858" s="85" t="str">
        <f>IFERROR(VLOOKUP(A858,Lookup!A:C,3,0),"")</f>
        <v/>
      </c>
      <c r="J858">
        <f t="shared" si="17"/>
        <v>4</v>
      </c>
    </row>
    <row r="859" spans="2:10" ht="14.45" hidden="1" x14ac:dyDescent="0.3">
      <c r="B859" s="85" t="str">
        <f>IFERROR(VLOOKUP(A859,Lookup!A:B,2,0),"")</f>
        <v/>
      </c>
      <c r="C859" s="85" t="str">
        <f>IFERROR(VLOOKUP(A859,Lookup!A:C,3,0),"")</f>
        <v/>
      </c>
      <c r="J859">
        <f t="shared" si="17"/>
        <v>4</v>
      </c>
    </row>
    <row r="860" spans="2:10" ht="14.45" hidden="1" x14ac:dyDescent="0.3">
      <c r="B860" s="85" t="str">
        <f>IFERROR(VLOOKUP(A860,Lookup!A:B,2,0),"")</f>
        <v/>
      </c>
      <c r="C860" s="85" t="str">
        <f>IFERROR(VLOOKUP(A860,Lookup!A:C,3,0),"")</f>
        <v/>
      </c>
      <c r="J860">
        <f t="shared" si="17"/>
        <v>4</v>
      </c>
    </row>
    <row r="861" spans="2:10" ht="14.45" hidden="1" x14ac:dyDescent="0.3">
      <c r="B861" s="85" t="str">
        <f>IFERROR(VLOOKUP(A861,Lookup!A:B,2,0),"")</f>
        <v/>
      </c>
      <c r="C861" s="85" t="str">
        <f>IFERROR(VLOOKUP(A861,Lookup!A:C,3,0),"")</f>
        <v/>
      </c>
      <c r="J861">
        <f t="shared" si="17"/>
        <v>4</v>
      </c>
    </row>
    <row r="862" spans="2:10" ht="14.45" hidden="1" x14ac:dyDescent="0.3">
      <c r="B862" s="85" t="str">
        <f>IFERROR(VLOOKUP(A862,Lookup!A:B,2,0),"")</f>
        <v/>
      </c>
      <c r="C862" s="85" t="str">
        <f>IFERROR(VLOOKUP(A862,Lookup!A:C,3,0),"")</f>
        <v/>
      </c>
      <c r="J862">
        <f t="shared" si="17"/>
        <v>4</v>
      </c>
    </row>
    <row r="863" spans="2:10" ht="14.45" hidden="1" x14ac:dyDescent="0.3">
      <c r="B863" s="85" t="str">
        <f>IFERROR(VLOOKUP(A863,Lookup!A:B,2,0),"")</f>
        <v/>
      </c>
      <c r="C863" s="85" t="str">
        <f>IFERROR(VLOOKUP(A863,Lookup!A:C,3,0),"")</f>
        <v/>
      </c>
      <c r="J863">
        <f t="shared" si="17"/>
        <v>4</v>
      </c>
    </row>
    <row r="864" spans="2:10" ht="14.45" hidden="1" x14ac:dyDescent="0.3">
      <c r="B864" s="85" t="str">
        <f>IFERROR(VLOOKUP(A864,Lookup!A:B,2,0),"")</f>
        <v/>
      </c>
      <c r="C864" s="85" t="str">
        <f>IFERROR(VLOOKUP(A864,Lookup!A:C,3,0),"")</f>
        <v/>
      </c>
      <c r="J864">
        <f t="shared" si="17"/>
        <v>4</v>
      </c>
    </row>
    <row r="865" spans="2:10" ht="14.45" hidden="1" x14ac:dyDescent="0.3">
      <c r="B865" s="85" t="str">
        <f>IFERROR(VLOOKUP(A865,Lookup!A:B,2,0),"")</f>
        <v/>
      </c>
      <c r="C865" s="85" t="str">
        <f>IFERROR(VLOOKUP(A865,Lookup!A:C,3,0),"")</f>
        <v/>
      </c>
      <c r="J865">
        <f t="shared" si="17"/>
        <v>4</v>
      </c>
    </row>
    <row r="866" spans="2:10" ht="14.45" hidden="1" x14ac:dyDescent="0.3">
      <c r="B866" s="85" t="str">
        <f>IFERROR(VLOOKUP(A866,Lookup!A:B,2,0),"")</f>
        <v/>
      </c>
      <c r="C866" s="85" t="str">
        <f>IFERROR(VLOOKUP(A866,Lookup!A:C,3,0),"")</f>
        <v/>
      </c>
      <c r="J866">
        <f t="shared" si="17"/>
        <v>4</v>
      </c>
    </row>
    <row r="867" spans="2:10" ht="14.45" hidden="1" x14ac:dyDescent="0.3">
      <c r="B867" s="85" t="str">
        <f>IFERROR(VLOOKUP(A867,Lookup!A:B,2,0),"")</f>
        <v/>
      </c>
      <c r="C867" s="85" t="str">
        <f>IFERROR(VLOOKUP(A867,Lookup!A:C,3,0),"")</f>
        <v/>
      </c>
      <c r="J867">
        <f t="shared" si="17"/>
        <v>4</v>
      </c>
    </row>
    <row r="868" spans="2:10" ht="14.45" hidden="1" x14ac:dyDescent="0.3">
      <c r="B868" s="85" t="str">
        <f>IFERROR(VLOOKUP(A868,Lookup!A:B,2,0),"")</f>
        <v/>
      </c>
      <c r="C868" s="85" t="str">
        <f>IFERROR(VLOOKUP(A868,Lookup!A:C,3,0),"")</f>
        <v/>
      </c>
      <c r="J868">
        <f t="shared" si="17"/>
        <v>4</v>
      </c>
    </row>
    <row r="869" spans="2:10" ht="14.45" hidden="1" x14ac:dyDescent="0.3">
      <c r="B869" s="85" t="str">
        <f>IFERROR(VLOOKUP(A869,Lookup!A:B,2,0),"")</f>
        <v/>
      </c>
      <c r="C869" s="85" t="str">
        <f>IFERROR(VLOOKUP(A869,Lookup!A:C,3,0),"")</f>
        <v/>
      </c>
      <c r="J869">
        <f t="shared" si="17"/>
        <v>4</v>
      </c>
    </row>
    <row r="870" spans="2:10" ht="14.45" hidden="1" x14ac:dyDescent="0.3">
      <c r="B870" s="85" t="str">
        <f>IFERROR(VLOOKUP(A870,Lookup!A:B,2,0),"")</f>
        <v/>
      </c>
      <c r="C870" s="85" t="str">
        <f>IFERROR(VLOOKUP(A870,Lookup!A:C,3,0),"")</f>
        <v/>
      </c>
      <c r="J870">
        <f t="shared" si="17"/>
        <v>4</v>
      </c>
    </row>
    <row r="871" spans="2:10" ht="14.45" hidden="1" x14ac:dyDescent="0.3">
      <c r="B871" s="85" t="str">
        <f>IFERROR(VLOOKUP(A871,Lookup!A:B,2,0),"")</f>
        <v/>
      </c>
      <c r="C871" s="85" t="str">
        <f>IFERROR(VLOOKUP(A871,Lookup!A:C,3,0),"")</f>
        <v/>
      </c>
      <c r="J871">
        <f t="shared" si="17"/>
        <v>4</v>
      </c>
    </row>
    <row r="872" spans="2:10" ht="14.45" hidden="1" x14ac:dyDescent="0.3">
      <c r="B872" s="85" t="str">
        <f>IFERROR(VLOOKUP(A872,Lookup!A:B,2,0),"")</f>
        <v/>
      </c>
      <c r="C872" s="85" t="str">
        <f>IFERROR(VLOOKUP(A872,Lookup!A:C,3,0),"")</f>
        <v/>
      </c>
      <c r="J872">
        <f t="shared" si="17"/>
        <v>4</v>
      </c>
    </row>
    <row r="873" spans="2:10" ht="14.45" hidden="1" x14ac:dyDescent="0.3">
      <c r="B873" s="85" t="str">
        <f>IFERROR(VLOOKUP(A873,Lookup!A:B,2,0),"")</f>
        <v/>
      </c>
      <c r="C873" s="85" t="str">
        <f>IFERROR(VLOOKUP(A873,Lookup!A:C,3,0),"")</f>
        <v/>
      </c>
      <c r="J873">
        <f t="shared" si="17"/>
        <v>4</v>
      </c>
    </row>
    <row r="874" spans="2:10" ht="14.45" hidden="1" x14ac:dyDescent="0.3">
      <c r="B874" s="85" t="str">
        <f>IFERROR(VLOOKUP(A874,Lookup!A:B,2,0),"")</f>
        <v/>
      </c>
      <c r="C874" s="85" t="str">
        <f>IFERROR(VLOOKUP(A874,Lookup!A:C,3,0),"")</f>
        <v/>
      </c>
      <c r="J874">
        <f t="shared" si="17"/>
        <v>4</v>
      </c>
    </row>
    <row r="875" spans="2:10" ht="14.45" hidden="1" x14ac:dyDescent="0.3">
      <c r="B875" s="85" t="str">
        <f>IFERROR(VLOOKUP(A875,Lookup!A:B,2,0),"")</f>
        <v/>
      </c>
      <c r="C875" s="85" t="str">
        <f>IFERROR(VLOOKUP(A875,Lookup!A:C,3,0),"")</f>
        <v/>
      </c>
      <c r="J875">
        <f t="shared" si="17"/>
        <v>4</v>
      </c>
    </row>
    <row r="876" spans="2:10" ht="14.45" hidden="1" x14ac:dyDescent="0.3">
      <c r="B876" s="85" t="str">
        <f>IFERROR(VLOOKUP(A876,Lookup!A:B,2,0),"")</f>
        <v/>
      </c>
      <c r="C876" s="85" t="str">
        <f>IFERROR(VLOOKUP(A876,Lookup!A:C,3,0),"")</f>
        <v/>
      </c>
      <c r="J876">
        <f t="shared" si="17"/>
        <v>4</v>
      </c>
    </row>
    <row r="877" spans="2:10" ht="14.45" hidden="1" x14ac:dyDescent="0.3">
      <c r="B877" s="85" t="str">
        <f>IFERROR(VLOOKUP(A877,Lookup!A:B,2,0),"")</f>
        <v/>
      </c>
      <c r="C877" s="85" t="str">
        <f>IFERROR(VLOOKUP(A877,Lookup!A:C,3,0),"")</f>
        <v/>
      </c>
      <c r="J877">
        <f t="shared" si="17"/>
        <v>4</v>
      </c>
    </row>
    <row r="878" spans="2:10" ht="14.45" hidden="1" x14ac:dyDescent="0.3">
      <c r="B878" s="85" t="str">
        <f>IFERROR(VLOOKUP(A878,Lookup!A:B,2,0),"")</f>
        <v/>
      </c>
      <c r="C878" s="85" t="str">
        <f>IFERROR(VLOOKUP(A878,Lookup!A:C,3,0),"")</f>
        <v/>
      </c>
      <c r="J878">
        <f t="shared" si="17"/>
        <v>4</v>
      </c>
    </row>
    <row r="879" spans="2:10" ht="14.45" hidden="1" x14ac:dyDescent="0.3">
      <c r="B879" s="85" t="str">
        <f>IFERROR(VLOOKUP(A879,Lookup!A:B,2,0),"")</f>
        <v/>
      </c>
      <c r="C879" s="85" t="str">
        <f>IFERROR(VLOOKUP(A879,Lookup!A:C,3,0),"")</f>
        <v/>
      </c>
      <c r="J879">
        <f t="shared" si="17"/>
        <v>4</v>
      </c>
    </row>
    <row r="880" spans="2:10" ht="14.45" hidden="1" x14ac:dyDescent="0.3">
      <c r="B880" s="85" t="str">
        <f>IFERROR(VLOOKUP(A880,Lookup!A:B,2,0),"")</f>
        <v/>
      </c>
      <c r="C880" s="85" t="str">
        <f>IFERROR(VLOOKUP(A880,Lookup!A:C,3,0),"")</f>
        <v/>
      </c>
      <c r="J880">
        <f t="shared" si="17"/>
        <v>4</v>
      </c>
    </row>
    <row r="881" spans="2:10" ht="14.45" hidden="1" x14ac:dyDescent="0.3">
      <c r="B881" s="85" t="str">
        <f>IFERROR(VLOOKUP(A881,Lookup!A:B,2,0),"")</f>
        <v/>
      </c>
      <c r="C881" s="85" t="str">
        <f>IFERROR(VLOOKUP(A881,Lookup!A:C,3,0),"")</f>
        <v/>
      </c>
      <c r="J881">
        <f t="shared" si="17"/>
        <v>4</v>
      </c>
    </row>
    <row r="882" spans="2:10" ht="14.45" hidden="1" x14ac:dyDescent="0.3">
      <c r="B882" s="85" t="str">
        <f>IFERROR(VLOOKUP(A882,Lookup!A:B,2,0),"")</f>
        <v/>
      </c>
      <c r="C882" s="85" t="str">
        <f>IFERROR(VLOOKUP(A882,Lookup!A:C,3,0),"")</f>
        <v/>
      </c>
      <c r="J882">
        <f t="shared" si="17"/>
        <v>4</v>
      </c>
    </row>
    <row r="883" spans="2:10" ht="14.45" hidden="1" x14ac:dyDescent="0.3">
      <c r="B883" s="85" t="str">
        <f>IFERROR(VLOOKUP(A883,Lookup!A:B,2,0),"")</f>
        <v/>
      </c>
      <c r="C883" s="85" t="str">
        <f>IFERROR(VLOOKUP(A883,Lookup!A:C,3,0),"")</f>
        <v/>
      </c>
      <c r="J883">
        <f t="shared" si="17"/>
        <v>4</v>
      </c>
    </row>
    <row r="884" spans="2:10" ht="14.45" hidden="1" x14ac:dyDescent="0.3">
      <c r="B884" s="85" t="str">
        <f>IFERROR(VLOOKUP(A884,Lookup!A:B,2,0),"")</f>
        <v/>
      </c>
      <c r="C884" s="85" t="str">
        <f>IFERROR(VLOOKUP(A884,Lookup!A:C,3,0),"")</f>
        <v/>
      </c>
      <c r="J884">
        <f t="shared" si="17"/>
        <v>4</v>
      </c>
    </row>
    <row r="885" spans="2:10" ht="14.45" hidden="1" x14ac:dyDescent="0.3">
      <c r="B885" s="85" t="str">
        <f>IFERROR(VLOOKUP(A885,Lookup!A:B,2,0),"")</f>
        <v/>
      </c>
      <c r="C885" s="85" t="str">
        <f>IFERROR(VLOOKUP(A885,Lookup!A:C,3,0),"")</f>
        <v/>
      </c>
      <c r="J885">
        <f t="shared" si="17"/>
        <v>4</v>
      </c>
    </row>
    <row r="886" spans="2:10" ht="14.45" hidden="1" x14ac:dyDescent="0.3">
      <c r="B886" s="85" t="str">
        <f>IFERROR(VLOOKUP(A886,Lookup!A:B,2,0),"")</f>
        <v/>
      </c>
      <c r="C886" s="85" t="str">
        <f>IFERROR(VLOOKUP(A886,Lookup!A:C,3,0),"")</f>
        <v/>
      </c>
      <c r="J886">
        <f t="shared" si="17"/>
        <v>4</v>
      </c>
    </row>
    <row r="887" spans="2:10" ht="14.45" hidden="1" x14ac:dyDescent="0.3">
      <c r="B887" s="85" t="str">
        <f>IFERROR(VLOOKUP(A887,Lookup!A:B,2,0),"")</f>
        <v/>
      </c>
      <c r="C887" s="85" t="str">
        <f>IFERROR(VLOOKUP(A887,Lookup!A:C,3,0),"")</f>
        <v/>
      </c>
      <c r="J887">
        <f t="shared" si="17"/>
        <v>4</v>
      </c>
    </row>
    <row r="888" spans="2:10" ht="14.45" hidden="1" x14ac:dyDescent="0.3">
      <c r="B888" s="85" t="str">
        <f>IFERROR(VLOOKUP(A888,Lookup!A:B,2,0),"")</f>
        <v/>
      </c>
      <c r="C888" s="85" t="str">
        <f>IFERROR(VLOOKUP(A888,Lookup!A:C,3,0),"")</f>
        <v/>
      </c>
      <c r="J888">
        <f t="shared" si="17"/>
        <v>4</v>
      </c>
    </row>
    <row r="889" spans="2:10" ht="14.45" hidden="1" x14ac:dyDescent="0.3">
      <c r="B889" s="85" t="str">
        <f>IFERROR(VLOOKUP(A889,Lookup!A:B,2,0),"")</f>
        <v/>
      </c>
      <c r="C889" s="85" t="str">
        <f>IFERROR(VLOOKUP(A889,Lookup!A:C,3,0),"")</f>
        <v/>
      </c>
      <c r="J889">
        <f t="shared" si="17"/>
        <v>4</v>
      </c>
    </row>
    <row r="890" spans="2:10" ht="14.45" hidden="1" x14ac:dyDescent="0.3">
      <c r="B890" s="85" t="str">
        <f>IFERROR(VLOOKUP(A890,Lookup!A:B,2,0),"")</f>
        <v/>
      </c>
      <c r="C890" s="85" t="str">
        <f>IFERROR(VLOOKUP(A890,Lookup!A:C,3,0),"")</f>
        <v/>
      </c>
      <c r="J890">
        <f t="shared" si="17"/>
        <v>4</v>
      </c>
    </row>
    <row r="891" spans="2:10" ht="14.45" hidden="1" x14ac:dyDescent="0.3">
      <c r="B891" s="85" t="str">
        <f>IFERROR(VLOOKUP(A891,Lookup!A:B,2,0),"")</f>
        <v/>
      </c>
      <c r="C891" s="85" t="str">
        <f>IFERROR(VLOOKUP(A891,Lookup!A:C,3,0),"")</f>
        <v/>
      </c>
      <c r="J891">
        <f t="shared" si="17"/>
        <v>4</v>
      </c>
    </row>
    <row r="892" spans="2:10" ht="14.45" hidden="1" x14ac:dyDescent="0.3">
      <c r="B892" s="85" t="str">
        <f>IFERROR(VLOOKUP(A892,Lookup!A:B,2,0),"")</f>
        <v/>
      </c>
      <c r="C892" s="85" t="str">
        <f>IFERROR(VLOOKUP(A892,Lookup!A:C,3,0),"")</f>
        <v/>
      </c>
      <c r="J892">
        <f t="shared" si="17"/>
        <v>4</v>
      </c>
    </row>
    <row r="893" spans="2:10" ht="14.45" hidden="1" x14ac:dyDescent="0.3">
      <c r="B893" s="85" t="str">
        <f>IFERROR(VLOOKUP(A893,Lookup!A:B,2,0),"")</f>
        <v/>
      </c>
      <c r="C893" s="85" t="str">
        <f>IFERROR(VLOOKUP(A893,Lookup!A:C,3,0),"")</f>
        <v/>
      </c>
      <c r="J893">
        <f t="shared" si="17"/>
        <v>4</v>
      </c>
    </row>
    <row r="894" spans="2:10" ht="14.45" hidden="1" x14ac:dyDescent="0.3">
      <c r="B894" s="85" t="str">
        <f>IFERROR(VLOOKUP(A894,Lookup!A:B,2,0),"")</f>
        <v/>
      </c>
      <c r="C894" s="85" t="str">
        <f>IFERROR(VLOOKUP(A894,Lookup!A:C,3,0),"")</f>
        <v/>
      </c>
      <c r="J894">
        <f t="shared" si="17"/>
        <v>4</v>
      </c>
    </row>
    <row r="895" spans="2:10" ht="14.45" hidden="1" x14ac:dyDescent="0.3">
      <c r="B895" s="85" t="str">
        <f>IFERROR(VLOOKUP(A895,Lookup!A:B,2,0),"")</f>
        <v/>
      </c>
      <c r="C895" s="85" t="str">
        <f>IFERROR(VLOOKUP(A895,Lookup!A:C,3,0),"")</f>
        <v/>
      </c>
      <c r="J895">
        <f t="shared" si="17"/>
        <v>4</v>
      </c>
    </row>
    <row r="896" spans="2:10" ht="14.45" hidden="1" x14ac:dyDescent="0.3">
      <c r="B896" s="85" t="str">
        <f>IFERROR(VLOOKUP(A896,Lookup!A:B,2,0),"")</f>
        <v/>
      </c>
      <c r="C896" s="85" t="str">
        <f>IFERROR(VLOOKUP(A896,Lookup!A:C,3,0),"")</f>
        <v/>
      </c>
      <c r="J896">
        <f t="shared" si="17"/>
        <v>4</v>
      </c>
    </row>
    <row r="897" spans="2:10" ht="14.45" hidden="1" x14ac:dyDescent="0.3">
      <c r="B897" s="85" t="str">
        <f>IFERROR(VLOOKUP(A897,Lookup!A:B,2,0),"")</f>
        <v/>
      </c>
      <c r="C897" s="85" t="str">
        <f>IFERROR(VLOOKUP(A897,Lookup!A:C,3,0),"")</f>
        <v/>
      </c>
      <c r="J897">
        <f t="shared" si="17"/>
        <v>4</v>
      </c>
    </row>
    <row r="898" spans="2:10" ht="14.45" hidden="1" x14ac:dyDescent="0.3">
      <c r="B898" s="85" t="str">
        <f>IFERROR(VLOOKUP(A898,Lookup!A:B,2,0),"")</f>
        <v/>
      </c>
      <c r="C898" s="85" t="str">
        <f>IFERROR(VLOOKUP(A898,Lookup!A:C,3,0),"")</f>
        <v/>
      </c>
      <c r="J898">
        <f t="shared" si="17"/>
        <v>4</v>
      </c>
    </row>
    <row r="899" spans="2:10" ht="14.45" hidden="1" x14ac:dyDescent="0.3">
      <c r="B899" s="85" t="str">
        <f>IFERROR(VLOOKUP(A899,Lookup!A:B,2,0),"")</f>
        <v/>
      </c>
      <c r="C899" s="85" t="str">
        <f>IFERROR(VLOOKUP(A899,Lookup!A:C,3,0),"")</f>
        <v/>
      </c>
      <c r="J899">
        <f t="shared" si="17"/>
        <v>4</v>
      </c>
    </row>
    <row r="900" spans="2:10" ht="14.45" hidden="1" x14ac:dyDescent="0.3">
      <c r="B900" s="85" t="str">
        <f>IFERROR(VLOOKUP(A900,Lookup!A:B,2,0),"")</f>
        <v/>
      </c>
      <c r="C900" s="85" t="str">
        <f>IFERROR(VLOOKUP(A900,Lookup!A:C,3,0),"")</f>
        <v/>
      </c>
      <c r="J900">
        <f t="shared" si="17"/>
        <v>4</v>
      </c>
    </row>
    <row r="901" spans="2:10" ht="14.45" hidden="1" x14ac:dyDescent="0.3">
      <c r="B901" s="85" t="str">
        <f>IFERROR(VLOOKUP(A901,Lookup!A:B,2,0),"")</f>
        <v/>
      </c>
      <c r="C901" s="85" t="str">
        <f>IFERROR(VLOOKUP(A901,Lookup!A:C,3,0),"")</f>
        <v/>
      </c>
      <c r="J901">
        <f t="shared" si="17"/>
        <v>4</v>
      </c>
    </row>
    <row r="902" spans="2:10" ht="14.45" hidden="1" x14ac:dyDescent="0.3">
      <c r="B902" s="85" t="str">
        <f>IFERROR(VLOOKUP(A902,Lookup!A:B,2,0),"")</f>
        <v/>
      </c>
      <c r="C902" s="85" t="str">
        <f>IFERROR(VLOOKUP(A902,Lookup!A:C,3,0),"")</f>
        <v/>
      </c>
      <c r="J902">
        <f t="shared" si="17"/>
        <v>4</v>
      </c>
    </row>
    <row r="903" spans="2:10" ht="14.45" hidden="1" x14ac:dyDescent="0.3">
      <c r="B903" s="85" t="str">
        <f>IFERROR(VLOOKUP(A903,Lookup!A:B,2,0),"")</f>
        <v/>
      </c>
      <c r="C903" s="85" t="str">
        <f>IFERROR(VLOOKUP(A903,Lookup!A:C,3,0),"")</f>
        <v/>
      </c>
      <c r="J903">
        <f t="shared" si="17"/>
        <v>4</v>
      </c>
    </row>
    <row r="904" spans="2:10" ht="14.45" hidden="1" x14ac:dyDescent="0.3">
      <c r="B904" s="85" t="str">
        <f>IFERROR(VLOOKUP(A904,Lookup!A:B,2,0),"")</f>
        <v/>
      </c>
      <c r="C904" s="85" t="str">
        <f>IFERROR(VLOOKUP(A904,Lookup!A:C,3,0),"")</f>
        <v/>
      </c>
      <c r="J904">
        <f t="shared" si="17"/>
        <v>4</v>
      </c>
    </row>
    <row r="905" spans="2:10" ht="14.45" hidden="1" x14ac:dyDescent="0.3">
      <c r="B905" s="85" t="str">
        <f>IFERROR(VLOOKUP(A905,Lookup!A:B,2,0),"")</f>
        <v/>
      </c>
      <c r="C905" s="85" t="str">
        <f>IFERROR(VLOOKUP(A905,Lookup!A:C,3,0),"")</f>
        <v/>
      </c>
      <c r="J905">
        <f t="shared" si="17"/>
        <v>4</v>
      </c>
    </row>
    <row r="906" spans="2:10" ht="14.45" hidden="1" x14ac:dyDescent="0.3">
      <c r="B906" s="85" t="str">
        <f>IFERROR(VLOOKUP(A906,Lookup!A:B,2,0),"")</f>
        <v/>
      </c>
      <c r="C906" s="85" t="str">
        <f>IFERROR(VLOOKUP(A906,Lookup!A:C,3,0),"")</f>
        <v/>
      </c>
      <c r="J906">
        <f t="shared" si="17"/>
        <v>4</v>
      </c>
    </row>
    <row r="907" spans="2:10" ht="14.45" hidden="1" x14ac:dyDescent="0.3">
      <c r="B907" s="85" t="str">
        <f>IFERROR(VLOOKUP(A907,Lookup!A:B,2,0),"")</f>
        <v/>
      </c>
      <c r="C907" s="85" t="str">
        <f>IFERROR(VLOOKUP(A907,Lookup!A:C,3,0),"")</f>
        <v/>
      </c>
      <c r="J907">
        <f t="shared" si="17"/>
        <v>4</v>
      </c>
    </row>
    <row r="908" spans="2:10" ht="14.45" hidden="1" x14ac:dyDescent="0.3">
      <c r="B908" s="85" t="str">
        <f>IFERROR(VLOOKUP(A908,Lookup!A:B,2,0),"")</f>
        <v/>
      </c>
      <c r="C908" s="85" t="str">
        <f>IFERROR(VLOOKUP(A908,Lookup!A:C,3,0),"")</f>
        <v/>
      </c>
      <c r="J908">
        <f t="shared" si="17"/>
        <v>4</v>
      </c>
    </row>
    <row r="909" spans="2:10" ht="14.45" hidden="1" x14ac:dyDescent="0.3">
      <c r="B909" s="85" t="str">
        <f>IFERROR(VLOOKUP(A909,Lookup!A:B,2,0),"")</f>
        <v/>
      </c>
      <c r="C909" s="85" t="str">
        <f>IFERROR(VLOOKUP(A909,Lookup!A:C,3,0),"")</f>
        <v/>
      </c>
      <c r="J909">
        <f t="shared" si="17"/>
        <v>4</v>
      </c>
    </row>
    <row r="910" spans="2:10" ht="14.45" hidden="1" x14ac:dyDescent="0.3">
      <c r="B910" s="85" t="str">
        <f>IFERROR(VLOOKUP(A910,Lookup!A:B,2,0),"")</f>
        <v/>
      </c>
      <c r="C910" s="85" t="str">
        <f>IFERROR(VLOOKUP(A910,Lookup!A:C,3,0),"")</f>
        <v/>
      </c>
      <c r="J910">
        <f t="shared" si="17"/>
        <v>4</v>
      </c>
    </row>
    <row r="911" spans="2:10" ht="14.45" hidden="1" x14ac:dyDescent="0.3">
      <c r="B911" s="85" t="str">
        <f>IFERROR(VLOOKUP(A911,Lookup!A:B,2,0),"")</f>
        <v/>
      </c>
      <c r="C911" s="85" t="str">
        <f>IFERROR(VLOOKUP(A911,Lookup!A:C,3,0),"")</f>
        <v/>
      </c>
      <c r="J911">
        <f t="shared" ref="J911:J974" si="18">IF(H911="SET",1,IF(H911="FREQ",3,IF(H911="",4,2)))</f>
        <v>4</v>
      </c>
    </row>
    <row r="912" spans="2:10" ht="14.45" hidden="1" x14ac:dyDescent="0.3">
      <c r="B912" s="85" t="str">
        <f>IFERROR(VLOOKUP(A912,Lookup!A:B,2,0),"")</f>
        <v/>
      </c>
      <c r="C912" s="85" t="str">
        <f>IFERROR(VLOOKUP(A912,Lookup!A:C,3,0),"")</f>
        <v/>
      </c>
      <c r="J912">
        <f t="shared" si="18"/>
        <v>4</v>
      </c>
    </row>
    <row r="913" spans="2:10" ht="14.45" hidden="1" x14ac:dyDescent="0.3">
      <c r="B913" s="85" t="str">
        <f>IFERROR(VLOOKUP(A913,Lookup!A:B,2,0),"")</f>
        <v/>
      </c>
      <c r="C913" s="85" t="str">
        <f>IFERROR(VLOOKUP(A913,Lookup!A:C,3,0),"")</f>
        <v/>
      </c>
      <c r="J913">
        <f t="shared" si="18"/>
        <v>4</v>
      </c>
    </row>
    <row r="914" spans="2:10" ht="14.45" hidden="1" x14ac:dyDescent="0.3">
      <c r="B914" s="85" t="str">
        <f>IFERROR(VLOOKUP(A914,Lookup!A:B,2,0),"")</f>
        <v/>
      </c>
      <c r="C914" s="85" t="str">
        <f>IFERROR(VLOOKUP(A914,Lookup!A:C,3,0),"")</f>
        <v/>
      </c>
      <c r="J914">
        <f t="shared" si="18"/>
        <v>4</v>
      </c>
    </row>
    <row r="915" spans="2:10" ht="14.45" hidden="1" x14ac:dyDescent="0.3">
      <c r="B915" s="85" t="str">
        <f>IFERROR(VLOOKUP(A915,Lookup!A:B,2,0),"")</f>
        <v/>
      </c>
      <c r="C915" s="85" t="str">
        <f>IFERROR(VLOOKUP(A915,Lookup!A:C,3,0),"")</f>
        <v/>
      </c>
      <c r="J915">
        <f t="shared" si="18"/>
        <v>4</v>
      </c>
    </row>
    <row r="916" spans="2:10" ht="14.45" hidden="1" x14ac:dyDescent="0.3">
      <c r="B916" s="85" t="str">
        <f>IFERROR(VLOOKUP(A916,Lookup!A:B,2,0),"")</f>
        <v/>
      </c>
      <c r="C916" s="85" t="str">
        <f>IFERROR(VLOOKUP(A916,Lookup!A:C,3,0),"")</f>
        <v/>
      </c>
      <c r="J916">
        <f t="shared" si="18"/>
        <v>4</v>
      </c>
    </row>
    <row r="917" spans="2:10" ht="14.45" hidden="1" x14ac:dyDescent="0.3">
      <c r="B917" s="85" t="str">
        <f>IFERROR(VLOOKUP(A917,Lookup!A:B,2,0),"")</f>
        <v/>
      </c>
      <c r="C917" s="85" t="str">
        <f>IFERROR(VLOOKUP(A917,Lookup!A:C,3,0),"")</f>
        <v/>
      </c>
      <c r="J917">
        <f t="shared" si="18"/>
        <v>4</v>
      </c>
    </row>
    <row r="918" spans="2:10" ht="14.45" hidden="1" x14ac:dyDescent="0.3">
      <c r="B918" s="85" t="str">
        <f>IFERROR(VLOOKUP(A918,Lookup!A:B,2,0),"")</f>
        <v/>
      </c>
      <c r="C918" s="85" t="str">
        <f>IFERROR(VLOOKUP(A918,Lookup!A:C,3,0),"")</f>
        <v/>
      </c>
      <c r="J918">
        <f t="shared" si="18"/>
        <v>4</v>
      </c>
    </row>
    <row r="919" spans="2:10" ht="14.45" hidden="1" x14ac:dyDescent="0.3">
      <c r="B919" s="85" t="str">
        <f>IFERROR(VLOOKUP(A919,Lookup!A:B,2,0),"")</f>
        <v/>
      </c>
      <c r="C919" s="85" t="str">
        <f>IFERROR(VLOOKUP(A919,Lookup!A:C,3,0),"")</f>
        <v/>
      </c>
      <c r="J919">
        <f t="shared" si="18"/>
        <v>4</v>
      </c>
    </row>
    <row r="920" spans="2:10" ht="14.45" hidden="1" x14ac:dyDescent="0.3">
      <c r="B920" s="85" t="str">
        <f>IFERROR(VLOOKUP(A920,Lookup!A:B,2,0),"")</f>
        <v/>
      </c>
      <c r="C920" s="85" t="str">
        <f>IFERROR(VLOOKUP(A920,Lookup!A:C,3,0),"")</f>
        <v/>
      </c>
      <c r="J920">
        <f t="shared" si="18"/>
        <v>4</v>
      </c>
    </row>
    <row r="921" spans="2:10" ht="14.45" hidden="1" x14ac:dyDescent="0.3">
      <c r="B921" s="85" t="str">
        <f>IFERROR(VLOOKUP(A921,Lookup!A:B,2,0),"")</f>
        <v/>
      </c>
      <c r="C921" s="85" t="str">
        <f>IFERROR(VLOOKUP(A921,Lookup!A:C,3,0),"")</f>
        <v/>
      </c>
      <c r="J921">
        <f t="shared" si="18"/>
        <v>4</v>
      </c>
    </row>
    <row r="922" spans="2:10" ht="14.45" hidden="1" x14ac:dyDescent="0.3">
      <c r="B922" s="85" t="str">
        <f>IFERROR(VLOOKUP(A922,Lookup!A:B,2,0),"")</f>
        <v/>
      </c>
      <c r="C922" s="85" t="str">
        <f>IFERROR(VLOOKUP(A922,Lookup!A:C,3,0),"")</f>
        <v/>
      </c>
      <c r="J922">
        <f t="shared" si="18"/>
        <v>4</v>
      </c>
    </row>
    <row r="923" spans="2:10" ht="14.45" hidden="1" x14ac:dyDescent="0.3">
      <c r="B923" s="85" t="str">
        <f>IFERROR(VLOOKUP(A923,Lookup!A:B,2,0),"")</f>
        <v/>
      </c>
      <c r="C923" s="85" t="str">
        <f>IFERROR(VLOOKUP(A923,Lookup!A:C,3,0),"")</f>
        <v/>
      </c>
      <c r="J923">
        <f t="shared" si="18"/>
        <v>4</v>
      </c>
    </row>
    <row r="924" spans="2:10" ht="14.45" hidden="1" x14ac:dyDescent="0.3">
      <c r="B924" s="85" t="str">
        <f>IFERROR(VLOOKUP(A924,Lookup!A:B,2,0),"")</f>
        <v/>
      </c>
      <c r="C924" s="85" t="str">
        <f>IFERROR(VLOOKUP(A924,Lookup!A:C,3,0),"")</f>
        <v/>
      </c>
      <c r="J924">
        <f t="shared" si="18"/>
        <v>4</v>
      </c>
    </row>
    <row r="925" spans="2:10" ht="14.45" hidden="1" x14ac:dyDescent="0.3">
      <c r="B925" s="85" t="str">
        <f>IFERROR(VLOOKUP(A925,Lookup!A:B,2,0),"")</f>
        <v/>
      </c>
      <c r="C925" s="85" t="str">
        <f>IFERROR(VLOOKUP(A925,Lookup!A:C,3,0),"")</f>
        <v/>
      </c>
      <c r="J925">
        <f t="shared" si="18"/>
        <v>4</v>
      </c>
    </row>
    <row r="926" spans="2:10" ht="14.45" hidden="1" x14ac:dyDescent="0.3">
      <c r="B926" s="85" t="str">
        <f>IFERROR(VLOOKUP(A926,Lookup!A:B,2,0),"")</f>
        <v/>
      </c>
      <c r="C926" s="85" t="str">
        <f>IFERROR(VLOOKUP(A926,Lookup!A:C,3,0),"")</f>
        <v/>
      </c>
      <c r="J926">
        <f t="shared" si="18"/>
        <v>4</v>
      </c>
    </row>
    <row r="927" spans="2:10" ht="14.45" hidden="1" x14ac:dyDescent="0.3">
      <c r="B927" s="85" t="str">
        <f>IFERROR(VLOOKUP(A927,Lookup!A:B,2,0),"")</f>
        <v/>
      </c>
      <c r="C927" s="85" t="str">
        <f>IFERROR(VLOOKUP(A927,Lookup!A:C,3,0),"")</f>
        <v/>
      </c>
      <c r="J927">
        <f t="shared" si="18"/>
        <v>4</v>
      </c>
    </row>
    <row r="928" spans="2:10" ht="14.45" hidden="1" x14ac:dyDescent="0.3">
      <c r="B928" s="85" t="str">
        <f>IFERROR(VLOOKUP(A928,Lookup!A:B,2,0),"")</f>
        <v/>
      </c>
      <c r="C928" s="85" t="str">
        <f>IFERROR(VLOOKUP(A928,Lookup!A:C,3,0),"")</f>
        <v/>
      </c>
      <c r="J928">
        <f t="shared" si="18"/>
        <v>4</v>
      </c>
    </row>
    <row r="929" spans="2:10" ht="14.45" hidden="1" x14ac:dyDescent="0.3">
      <c r="B929" s="85" t="str">
        <f>IFERROR(VLOOKUP(A929,Lookup!A:B,2,0),"")</f>
        <v/>
      </c>
      <c r="C929" s="85" t="str">
        <f>IFERROR(VLOOKUP(A929,Lookup!A:C,3,0),"")</f>
        <v/>
      </c>
      <c r="J929">
        <f t="shared" si="18"/>
        <v>4</v>
      </c>
    </row>
    <row r="930" spans="2:10" ht="14.45" hidden="1" x14ac:dyDescent="0.3">
      <c r="B930" s="85" t="str">
        <f>IFERROR(VLOOKUP(A930,Lookup!A:B,2,0),"")</f>
        <v/>
      </c>
      <c r="C930" s="85" t="str">
        <f>IFERROR(VLOOKUP(A930,Lookup!A:C,3,0),"")</f>
        <v/>
      </c>
      <c r="J930">
        <f t="shared" si="18"/>
        <v>4</v>
      </c>
    </row>
    <row r="931" spans="2:10" ht="14.45" hidden="1" x14ac:dyDescent="0.3">
      <c r="B931" s="85" t="str">
        <f>IFERROR(VLOOKUP(A931,Lookup!A:B,2,0),"")</f>
        <v/>
      </c>
      <c r="C931" s="85" t="str">
        <f>IFERROR(VLOOKUP(A931,Lookup!A:C,3,0),"")</f>
        <v/>
      </c>
      <c r="J931">
        <f t="shared" si="18"/>
        <v>4</v>
      </c>
    </row>
    <row r="932" spans="2:10" ht="14.45" hidden="1" x14ac:dyDescent="0.3">
      <c r="B932" s="85" t="str">
        <f>IFERROR(VLOOKUP(A932,Lookup!A:B,2,0),"")</f>
        <v/>
      </c>
      <c r="C932" s="85" t="str">
        <f>IFERROR(VLOOKUP(A932,Lookup!A:C,3,0),"")</f>
        <v/>
      </c>
      <c r="J932">
        <f t="shared" si="18"/>
        <v>4</v>
      </c>
    </row>
    <row r="933" spans="2:10" ht="14.45" hidden="1" x14ac:dyDescent="0.3">
      <c r="B933" s="85" t="str">
        <f>IFERROR(VLOOKUP(A933,Lookup!A:B,2,0),"")</f>
        <v/>
      </c>
      <c r="C933" s="85" t="str">
        <f>IFERROR(VLOOKUP(A933,Lookup!A:C,3,0),"")</f>
        <v/>
      </c>
      <c r="J933">
        <f t="shared" si="18"/>
        <v>4</v>
      </c>
    </row>
    <row r="934" spans="2:10" ht="14.45" hidden="1" x14ac:dyDescent="0.3">
      <c r="B934" s="85" t="str">
        <f>IFERROR(VLOOKUP(A934,Lookup!A:B,2,0),"")</f>
        <v/>
      </c>
      <c r="C934" s="85" t="str">
        <f>IFERROR(VLOOKUP(A934,Lookup!A:C,3,0),"")</f>
        <v/>
      </c>
      <c r="J934">
        <f t="shared" si="18"/>
        <v>4</v>
      </c>
    </row>
    <row r="935" spans="2:10" ht="14.45" hidden="1" x14ac:dyDescent="0.3">
      <c r="B935" s="85" t="str">
        <f>IFERROR(VLOOKUP(A935,Lookup!A:B,2,0),"")</f>
        <v/>
      </c>
      <c r="C935" s="85" t="str">
        <f>IFERROR(VLOOKUP(A935,Lookup!A:C,3,0),"")</f>
        <v/>
      </c>
      <c r="J935">
        <f t="shared" si="18"/>
        <v>4</v>
      </c>
    </row>
    <row r="936" spans="2:10" ht="14.45" hidden="1" x14ac:dyDescent="0.3">
      <c r="B936" s="85" t="str">
        <f>IFERROR(VLOOKUP(A936,Lookup!A:B,2,0),"")</f>
        <v/>
      </c>
      <c r="C936" s="85" t="str">
        <f>IFERROR(VLOOKUP(A936,Lookup!A:C,3,0),"")</f>
        <v/>
      </c>
      <c r="J936">
        <f t="shared" si="18"/>
        <v>4</v>
      </c>
    </row>
    <row r="937" spans="2:10" ht="14.45" hidden="1" x14ac:dyDescent="0.3">
      <c r="B937" s="85" t="str">
        <f>IFERROR(VLOOKUP(A937,Lookup!A:B,2,0),"")</f>
        <v/>
      </c>
      <c r="C937" s="85" t="str">
        <f>IFERROR(VLOOKUP(A937,Lookup!A:C,3,0),"")</f>
        <v/>
      </c>
      <c r="J937">
        <f t="shared" si="18"/>
        <v>4</v>
      </c>
    </row>
    <row r="938" spans="2:10" ht="14.45" hidden="1" x14ac:dyDescent="0.3">
      <c r="B938" s="85" t="str">
        <f>IFERROR(VLOOKUP(A938,Lookup!A:B,2,0),"")</f>
        <v/>
      </c>
      <c r="C938" s="85" t="str">
        <f>IFERROR(VLOOKUP(A938,Lookup!A:C,3,0),"")</f>
        <v/>
      </c>
      <c r="J938">
        <f t="shared" si="18"/>
        <v>4</v>
      </c>
    </row>
    <row r="939" spans="2:10" ht="14.45" hidden="1" x14ac:dyDescent="0.3">
      <c r="B939" s="85" t="str">
        <f>IFERROR(VLOOKUP(A939,Lookup!A:B,2,0),"")</f>
        <v/>
      </c>
      <c r="C939" s="85" t="str">
        <f>IFERROR(VLOOKUP(A939,Lookup!A:C,3,0),"")</f>
        <v/>
      </c>
      <c r="J939">
        <f t="shared" si="18"/>
        <v>4</v>
      </c>
    </row>
    <row r="940" spans="2:10" ht="14.45" hidden="1" x14ac:dyDescent="0.3">
      <c r="B940" s="85" t="str">
        <f>IFERROR(VLOOKUP(A940,Lookup!A:B,2,0),"")</f>
        <v/>
      </c>
      <c r="C940" s="85" t="str">
        <f>IFERROR(VLOOKUP(A940,Lookup!A:C,3,0),"")</f>
        <v/>
      </c>
      <c r="J940">
        <f t="shared" si="18"/>
        <v>4</v>
      </c>
    </row>
    <row r="941" spans="2:10" ht="14.45" hidden="1" x14ac:dyDescent="0.3">
      <c r="B941" s="85" t="str">
        <f>IFERROR(VLOOKUP(A941,Lookup!A:B,2,0),"")</f>
        <v/>
      </c>
      <c r="C941" s="85" t="str">
        <f>IFERROR(VLOOKUP(A941,Lookup!A:C,3,0),"")</f>
        <v/>
      </c>
      <c r="J941">
        <f t="shared" si="18"/>
        <v>4</v>
      </c>
    </row>
    <row r="942" spans="2:10" ht="14.45" hidden="1" x14ac:dyDescent="0.3">
      <c r="B942" s="85" t="str">
        <f>IFERROR(VLOOKUP(A942,Lookup!A:B,2,0),"")</f>
        <v/>
      </c>
      <c r="C942" s="85" t="str">
        <f>IFERROR(VLOOKUP(A942,Lookup!A:C,3,0),"")</f>
        <v/>
      </c>
      <c r="J942">
        <f t="shared" si="18"/>
        <v>4</v>
      </c>
    </row>
    <row r="943" spans="2:10" ht="14.45" hidden="1" x14ac:dyDescent="0.3">
      <c r="B943" s="85" t="str">
        <f>IFERROR(VLOOKUP(A943,Lookup!A:B,2,0),"")</f>
        <v/>
      </c>
      <c r="C943" s="85" t="str">
        <f>IFERROR(VLOOKUP(A943,Lookup!A:C,3,0),"")</f>
        <v/>
      </c>
      <c r="J943">
        <f t="shared" si="18"/>
        <v>4</v>
      </c>
    </row>
    <row r="944" spans="2:10" ht="14.45" hidden="1" x14ac:dyDescent="0.3">
      <c r="B944" s="85" t="str">
        <f>IFERROR(VLOOKUP(A944,Lookup!A:B,2,0),"")</f>
        <v/>
      </c>
      <c r="C944" s="85" t="str">
        <f>IFERROR(VLOOKUP(A944,Lookup!A:C,3,0),"")</f>
        <v/>
      </c>
      <c r="J944">
        <f t="shared" si="18"/>
        <v>4</v>
      </c>
    </row>
    <row r="945" spans="2:10" ht="14.45" hidden="1" x14ac:dyDescent="0.3">
      <c r="B945" s="85" t="str">
        <f>IFERROR(VLOOKUP(A945,Lookup!A:B,2,0),"")</f>
        <v/>
      </c>
      <c r="C945" s="85" t="str">
        <f>IFERROR(VLOOKUP(A945,Lookup!A:C,3,0),"")</f>
        <v/>
      </c>
      <c r="J945">
        <f t="shared" si="18"/>
        <v>4</v>
      </c>
    </row>
    <row r="946" spans="2:10" ht="14.45" hidden="1" x14ac:dyDescent="0.3">
      <c r="B946" s="85" t="str">
        <f>IFERROR(VLOOKUP(A946,Lookup!A:B,2,0),"")</f>
        <v/>
      </c>
      <c r="C946" s="85" t="str">
        <f>IFERROR(VLOOKUP(A946,Lookup!A:C,3,0),"")</f>
        <v/>
      </c>
      <c r="J946">
        <f t="shared" si="18"/>
        <v>4</v>
      </c>
    </row>
    <row r="947" spans="2:10" ht="14.45" hidden="1" x14ac:dyDescent="0.3">
      <c r="B947" s="85" t="str">
        <f>IFERROR(VLOOKUP(A947,Lookup!A:B,2,0),"")</f>
        <v/>
      </c>
      <c r="C947" s="85" t="str">
        <f>IFERROR(VLOOKUP(A947,Lookup!A:C,3,0),"")</f>
        <v/>
      </c>
      <c r="J947">
        <f t="shared" si="18"/>
        <v>4</v>
      </c>
    </row>
    <row r="948" spans="2:10" ht="14.45" hidden="1" x14ac:dyDescent="0.3">
      <c r="B948" s="85" t="str">
        <f>IFERROR(VLOOKUP(A948,Lookup!A:B,2,0),"")</f>
        <v/>
      </c>
      <c r="C948" s="85" t="str">
        <f>IFERROR(VLOOKUP(A948,Lookup!A:C,3,0),"")</f>
        <v/>
      </c>
      <c r="J948">
        <f t="shared" si="18"/>
        <v>4</v>
      </c>
    </row>
    <row r="949" spans="2:10" ht="14.45" hidden="1" x14ac:dyDescent="0.3">
      <c r="B949" s="85" t="str">
        <f>IFERROR(VLOOKUP(A949,Lookup!A:B,2,0),"")</f>
        <v/>
      </c>
      <c r="C949" s="85" t="str">
        <f>IFERROR(VLOOKUP(A949,Lookup!A:C,3,0),"")</f>
        <v/>
      </c>
      <c r="J949">
        <f t="shared" si="18"/>
        <v>4</v>
      </c>
    </row>
    <row r="950" spans="2:10" ht="14.45" hidden="1" x14ac:dyDescent="0.3">
      <c r="B950" s="85" t="str">
        <f>IFERROR(VLOOKUP(A950,Lookup!A:B,2,0),"")</f>
        <v/>
      </c>
      <c r="C950" s="85" t="str">
        <f>IFERROR(VLOOKUP(A950,Lookup!A:C,3,0),"")</f>
        <v/>
      </c>
      <c r="J950">
        <f t="shared" si="18"/>
        <v>4</v>
      </c>
    </row>
    <row r="951" spans="2:10" ht="14.45" hidden="1" x14ac:dyDescent="0.3">
      <c r="B951" s="85" t="str">
        <f>IFERROR(VLOOKUP(A951,Lookup!A:B,2,0),"")</f>
        <v/>
      </c>
      <c r="C951" s="85" t="str">
        <f>IFERROR(VLOOKUP(A951,Lookup!A:C,3,0),"")</f>
        <v/>
      </c>
      <c r="J951">
        <f t="shared" si="18"/>
        <v>4</v>
      </c>
    </row>
    <row r="952" spans="2:10" ht="14.45" hidden="1" x14ac:dyDescent="0.3">
      <c r="B952" s="85" t="str">
        <f>IFERROR(VLOOKUP(A952,Lookup!A:B,2,0),"")</f>
        <v/>
      </c>
      <c r="C952" s="85" t="str">
        <f>IFERROR(VLOOKUP(A952,Lookup!A:C,3,0),"")</f>
        <v/>
      </c>
      <c r="J952">
        <f t="shared" si="18"/>
        <v>4</v>
      </c>
    </row>
    <row r="953" spans="2:10" ht="14.45" hidden="1" x14ac:dyDescent="0.3">
      <c r="B953" s="85" t="str">
        <f>IFERROR(VLOOKUP(A953,Lookup!A:B,2,0),"")</f>
        <v/>
      </c>
      <c r="C953" s="85" t="str">
        <f>IFERROR(VLOOKUP(A953,Lookup!A:C,3,0),"")</f>
        <v/>
      </c>
      <c r="J953">
        <f t="shared" si="18"/>
        <v>4</v>
      </c>
    </row>
    <row r="954" spans="2:10" ht="14.45" hidden="1" x14ac:dyDescent="0.3">
      <c r="B954" s="85" t="str">
        <f>IFERROR(VLOOKUP(A954,Lookup!A:B,2,0),"")</f>
        <v/>
      </c>
      <c r="C954" s="85" t="str">
        <f>IFERROR(VLOOKUP(A954,Lookup!A:C,3,0),"")</f>
        <v/>
      </c>
      <c r="J954">
        <f t="shared" si="18"/>
        <v>4</v>
      </c>
    </row>
    <row r="955" spans="2:10" ht="14.45" hidden="1" x14ac:dyDescent="0.3">
      <c r="B955" s="85" t="str">
        <f>IFERROR(VLOOKUP(A955,Lookup!A:B,2,0),"")</f>
        <v/>
      </c>
      <c r="C955" s="85" t="str">
        <f>IFERROR(VLOOKUP(A955,Lookup!A:C,3,0),"")</f>
        <v/>
      </c>
      <c r="J955">
        <f t="shared" si="18"/>
        <v>4</v>
      </c>
    </row>
    <row r="956" spans="2:10" ht="14.45" hidden="1" x14ac:dyDescent="0.3">
      <c r="B956" s="85" t="str">
        <f>IFERROR(VLOOKUP(A956,Lookup!A:B,2,0),"")</f>
        <v/>
      </c>
      <c r="C956" s="85" t="str">
        <f>IFERROR(VLOOKUP(A956,Lookup!A:C,3,0),"")</f>
        <v/>
      </c>
      <c r="J956">
        <f t="shared" si="18"/>
        <v>4</v>
      </c>
    </row>
    <row r="957" spans="2:10" ht="14.45" hidden="1" x14ac:dyDescent="0.3">
      <c r="B957" s="85" t="str">
        <f>IFERROR(VLOOKUP(A957,Lookup!A:B,2,0),"")</f>
        <v/>
      </c>
      <c r="C957" s="85" t="str">
        <f>IFERROR(VLOOKUP(A957,Lookup!A:C,3,0),"")</f>
        <v/>
      </c>
      <c r="J957">
        <f t="shared" si="18"/>
        <v>4</v>
      </c>
    </row>
    <row r="958" spans="2:10" ht="14.45" hidden="1" x14ac:dyDescent="0.3">
      <c r="B958" s="85" t="str">
        <f>IFERROR(VLOOKUP(A958,Lookup!A:B,2,0),"")</f>
        <v/>
      </c>
      <c r="C958" s="85" t="str">
        <f>IFERROR(VLOOKUP(A958,Lookup!A:C,3,0),"")</f>
        <v/>
      </c>
      <c r="J958">
        <f t="shared" si="18"/>
        <v>4</v>
      </c>
    </row>
    <row r="959" spans="2:10" ht="14.45" hidden="1" x14ac:dyDescent="0.3">
      <c r="B959" s="85" t="str">
        <f>IFERROR(VLOOKUP(A959,Lookup!A:B,2,0),"")</f>
        <v/>
      </c>
      <c r="C959" s="85" t="str">
        <f>IFERROR(VLOOKUP(A959,Lookup!A:C,3,0),"")</f>
        <v/>
      </c>
      <c r="J959">
        <f t="shared" si="18"/>
        <v>4</v>
      </c>
    </row>
    <row r="960" spans="2:10" ht="14.45" hidden="1" x14ac:dyDescent="0.3">
      <c r="B960" s="85" t="str">
        <f>IFERROR(VLOOKUP(A960,Lookup!A:B,2,0),"")</f>
        <v/>
      </c>
      <c r="C960" s="85" t="str">
        <f>IFERROR(VLOOKUP(A960,Lookup!A:C,3,0),"")</f>
        <v/>
      </c>
      <c r="J960">
        <f t="shared" si="18"/>
        <v>4</v>
      </c>
    </row>
    <row r="961" spans="2:10" ht="14.45" hidden="1" x14ac:dyDescent="0.3">
      <c r="B961" s="85" t="str">
        <f>IFERROR(VLOOKUP(A961,Lookup!A:B,2,0),"")</f>
        <v/>
      </c>
      <c r="C961" s="85" t="str">
        <f>IFERROR(VLOOKUP(A961,Lookup!A:C,3,0),"")</f>
        <v/>
      </c>
      <c r="J961">
        <f t="shared" si="18"/>
        <v>4</v>
      </c>
    </row>
    <row r="962" spans="2:10" ht="14.45" hidden="1" x14ac:dyDescent="0.3">
      <c r="B962" s="85" t="str">
        <f>IFERROR(VLOOKUP(A962,Lookup!A:B,2,0),"")</f>
        <v/>
      </c>
      <c r="C962" s="85" t="str">
        <f>IFERROR(VLOOKUP(A962,Lookup!A:C,3,0),"")</f>
        <v/>
      </c>
      <c r="J962">
        <f t="shared" si="18"/>
        <v>4</v>
      </c>
    </row>
    <row r="963" spans="2:10" ht="14.45" hidden="1" x14ac:dyDescent="0.3">
      <c r="B963" s="85" t="str">
        <f>IFERROR(VLOOKUP(A963,Lookup!A:B,2,0),"")</f>
        <v/>
      </c>
      <c r="C963" s="85" t="str">
        <f>IFERROR(VLOOKUP(A963,Lookup!A:C,3,0),"")</f>
        <v/>
      </c>
      <c r="J963">
        <f t="shared" si="18"/>
        <v>4</v>
      </c>
    </row>
    <row r="964" spans="2:10" ht="14.45" hidden="1" x14ac:dyDescent="0.3">
      <c r="B964" s="85" t="str">
        <f>IFERROR(VLOOKUP(A964,Lookup!A:B,2,0),"")</f>
        <v/>
      </c>
      <c r="C964" s="85" t="str">
        <f>IFERROR(VLOOKUP(A964,Lookup!A:C,3,0),"")</f>
        <v/>
      </c>
      <c r="J964">
        <f t="shared" si="18"/>
        <v>4</v>
      </c>
    </row>
    <row r="965" spans="2:10" ht="14.45" hidden="1" x14ac:dyDescent="0.3">
      <c r="B965" s="85" t="str">
        <f>IFERROR(VLOOKUP(A965,Lookup!A:B,2,0),"")</f>
        <v/>
      </c>
      <c r="C965" s="85" t="str">
        <f>IFERROR(VLOOKUP(A965,Lookup!A:C,3,0),"")</f>
        <v/>
      </c>
      <c r="J965">
        <f t="shared" si="18"/>
        <v>4</v>
      </c>
    </row>
    <row r="966" spans="2:10" ht="14.45" hidden="1" x14ac:dyDescent="0.3">
      <c r="B966" s="85" t="str">
        <f>IFERROR(VLOOKUP(A966,Lookup!A:B,2,0),"")</f>
        <v/>
      </c>
      <c r="C966" s="85" t="str">
        <f>IFERROR(VLOOKUP(A966,Lookup!A:C,3,0),"")</f>
        <v/>
      </c>
      <c r="J966">
        <f t="shared" si="18"/>
        <v>4</v>
      </c>
    </row>
    <row r="967" spans="2:10" ht="14.45" hidden="1" x14ac:dyDescent="0.3">
      <c r="B967" s="85" t="str">
        <f>IFERROR(VLOOKUP(A967,Lookup!A:B,2,0),"")</f>
        <v/>
      </c>
      <c r="C967" s="85" t="str">
        <f>IFERROR(VLOOKUP(A967,Lookup!A:C,3,0),"")</f>
        <v/>
      </c>
      <c r="J967">
        <f t="shared" si="18"/>
        <v>4</v>
      </c>
    </row>
    <row r="968" spans="2:10" ht="14.45" hidden="1" x14ac:dyDescent="0.3">
      <c r="B968" s="85" t="str">
        <f>IFERROR(VLOOKUP(A968,Lookup!A:B,2,0),"")</f>
        <v/>
      </c>
      <c r="C968" s="85" t="str">
        <f>IFERROR(VLOOKUP(A968,Lookup!A:C,3,0),"")</f>
        <v/>
      </c>
      <c r="J968">
        <f t="shared" si="18"/>
        <v>4</v>
      </c>
    </row>
    <row r="969" spans="2:10" ht="14.45" hidden="1" x14ac:dyDescent="0.3">
      <c r="B969" s="85" t="str">
        <f>IFERROR(VLOOKUP(A969,Lookup!A:B,2,0),"")</f>
        <v/>
      </c>
      <c r="C969" s="85" t="str">
        <f>IFERROR(VLOOKUP(A969,Lookup!A:C,3,0),"")</f>
        <v/>
      </c>
      <c r="J969">
        <f t="shared" si="18"/>
        <v>4</v>
      </c>
    </row>
    <row r="970" spans="2:10" ht="14.45" hidden="1" x14ac:dyDescent="0.3">
      <c r="B970" s="85" t="str">
        <f>IFERROR(VLOOKUP(A970,Lookup!A:B,2,0),"")</f>
        <v/>
      </c>
      <c r="C970" s="85" t="str">
        <f>IFERROR(VLOOKUP(A970,Lookup!A:C,3,0),"")</f>
        <v/>
      </c>
      <c r="J970">
        <f t="shared" si="18"/>
        <v>4</v>
      </c>
    </row>
    <row r="971" spans="2:10" ht="14.45" hidden="1" x14ac:dyDescent="0.3">
      <c r="B971" s="85" t="str">
        <f>IFERROR(VLOOKUP(A971,Lookup!A:B,2,0),"")</f>
        <v/>
      </c>
      <c r="C971" s="85" t="str">
        <f>IFERROR(VLOOKUP(A971,Lookup!A:C,3,0),"")</f>
        <v/>
      </c>
      <c r="J971">
        <f t="shared" si="18"/>
        <v>4</v>
      </c>
    </row>
    <row r="972" spans="2:10" ht="14.45" hidden="1" x14ac:dyDescent="0.3">
      <c r="B972" s="85" t="str">
        <f>IFERROR(VLOOKUP(A972,Lookup!A:B,2,0),"")</f>
        <v/>
      </c>
      <c r="C972" s="85" t="str">
        <f>IFERROR(VLOOKUP(A972,Lookup!A:C,3,0),"")</f>
        <v/>
      </c>
      <c r="J972">
        <f t="shared" si="18"/>
        <v>4</v>
      </c>
    </row>
    <row r="973" spans="2:10" ht="14.45" hidden="1" x14ac:dyDescent="0.3">
      <c r="B973" s="85" t="str">
        <f>IFERROR(VLOOKUP(A973,Lookup!A:B,2,0),"")</f>
        <v/>
      </c>
      <c r="C973" s="85" t="str">
        <f>IFERROR(VLOOKUP(A973,Lookup!A:C,3,0),"")</f>
        <v/>
      </c>
      <c r="J973">
        <f t="shared" si="18"/>
        <v>4</v>
      </c>
    </row>
    <row r="974" spans="2:10" ht="14.45" hidden="1" x14ac:dyDescent="0.3">
      <c r="B974" s="85" t="str">
        <f>IFERROR(VLOOKUP(A974,Lookup!A:B,2,0),"")</f>
        <v/>
      </c>
      <c r="C974" s="85" t="str">
        <f>IFERROR(VLOOKUP(A974,Lookup!A:C,3,0),"")</f>
        <v/>
      </c>
      <c r="J974">
        <f t="shared" si="18"/>
        <v>4</v>
      </c>
    </row>
    <row r="975" spans="2:10" ht="14.45" hidden="1" x14ac:dyDescent="0.3">
      <c r="B975" s="85" t="str">
        <f>IFERROR(VLOOKUP(A975,Lookup!A:B,2,0),"")</f>
        <v/>
      </c>
      <c r="C975" s="85" t="str">
        <f>IFERROR(VLOOKUP(A975,Lookup!A:C,3,0),"")</f>
        <v/>
      </c>
      <c r="J975">
        <f t="shared" ref="J975:J1038" si="19">IF(H975="SET",1,IF(H975="FREQ",3,IF(H975="",4,2)))</f>
        <v>4</v>
      </c>
    </row>
    <row r="976" spans="2:10" ht="14.45" hidden="1" x14ac:dyDescent="0.3">
      <c r="B976" s="85" t="str">
        <f>IFERROR(VLOOKUP(A976,Lookup!A:B,2,0),"")</f>
        <v/>
      </c>
      <c r="C976" s="85" t="str">
        <f>IFERROR(VLOOKUP(A976,Lookup!A:C,3,0),"")</f>
        <v/>
      </c>
      <c r="J976">
        <f t="shared" si="19"/>
        <v>4</v>
      </c>
    </row>
    <row r="977" spans="2:10" ht="14.45" hidden="1" x14ac:dyDescent="0.3">
      <c r="B977" s="85" t="str">
        <f>IFERROR(VLOOKUP(A977,Lookup!A:B,2,0),"")</f>
        <v/>
      </c>
      <c r="C977" s="85" t="str">
        <f>IFERROR(VLOOKUP(A977,Lookup!A:C,3,0),"")</f>
        <v/>
      </c>
      <c r="J977">
        <f t="shared" si="19"/>
        <v>4</v>
      </c>
    </row>
    <row r="978" spans="2:10" ht="14.45" hidden="1" x14ac:dyDescent="0.3">
      <c r="B978" s="85" t="str">
        <f>IFERROR(VLOOKUP(A978,Lookup!A:B,2,0),"")</f>
        <v/>
      </c>
      <c r="C978" s="85" t="str">
        <f>IFERROR(VLOOKUP(A978,Lookup!A:C,3,0),"")</f>
        <v/>
      </c>
      <c r="J978">
        <f t="shared" si="19"/>
        <v>4</v>
      </c>
    </row>
    <row r="979" spans="2:10" ht="14.45" hidden="1" x14ac:dyDescent="0.3">
      <c r="B979" s="85" t="str">
        <f>IFERROR(VLOOKUP(A979,Lookup!A:B,2,0),"")</f>
        <v/>
      </c>
      <c r="C979" s="85" t="str">
        <f>IFERROR(VLOOKUP(A979,Lookup!A:C,3,0),"")</f>
        <v/>
      </c>
      <c r="J979">
        <f t="shared" si="19"/>
        <v>4</v>
      </c>
    </row>
    <row r="980" spans="2:10" ht="14.45" hidden="1" x14ac:dyDescent="0.3">
      <c r="B980" s="85" t="str">
        <f>IFERROR(VLOOKUP(A980,Lookup!A:B,2,0),"")</f>
        <v/>
      </c>
      <c r="C980" s="85" t="str">
        <f>IFERROR(VLOOKUP(A980,Lookup!A:C,3,0),"")</f>
        <v/>
      </c>
      <c r="J980">
        <f t="shared" si="19"/>
        <v>4</v>
      </c>
    </row>
    <row r="981" spans="2:10" ht="14.45" hidden="1" x14ac:dyDescent="0.3">
      <c r="B981" s="85" t="str">
        <f>IFERROR(VLOOKUP(A981,Lookup!A:B,2,0),"")</f>
        <v/>
      </c>
      <c r="C981" s="85" t="str">
        <f>IFERROR(VLOOKUP(A981,Lookup!A:C,3,0),"")</f>
        <v/>
      </c>
      <c r="J981">
        <f t="shared" si="19"/>
        <v>4</v>
      </c>
    </row>
    <row r="982" spans="2:10" ht="14.45" hidden="1" x14ac:dyDescent="0.3">
      <c r="B982" s="85" t="str">
        <f>IFERROR(VLOOKUP(A982,Lookup!A:B,2,0),"")</f>
        <v/>
      </c>
      <c r="C982" s="85" t="str">
        <f>IFERROR(VLOOKUP(A982,Lookup!A:C,3,0),"")</f>
        <v/>
      </c>
      <c r="J982">
        <f t="shared" si="19"/>
        <v>4</v>
      </c>
    </row>
    <row r="983" spans="2:10" ht="14.45" hidden="1" x14ac:dyDescent="0.3">
      <c r="B983" s="85" t="str">
        <f>IFERROR(VLOOKUP(A983,Lookup!A:B,2,0),"")</f>
        <v/>
      </c>
      <c r="C983" s="85" t="str">
        <f>IFERROR(VLOOKUP(A983,Lookup!A:C,3,0),"")</f>
        <v/>
      </c>
      <c r="J983">
        <f t="shared" si="19"/>
        <v>4</v>
      </c>
    </row>
    <row r="984" spans="2:10" ht="14.45" hidden="1" x14ac:dyDescent="0.3">
      <c r="B984" s="85" t="str">
        <f>IFERROR(VLOOKUP(A984,Lookup!A:B,2,0),"")</f>
        <v/>
      </c>
      <c r="C984" s="85" t="str">
        <f>IFERROR(VLOOKUP(A984,Lookup!A:C,3,0),"")</f>
        <v/>
      </c>
      <c r="J984">
        <f t="shared" si="19"/>
        <v>4</v>
      </c>
    </row>
    <row r="985" spans="2:10" ht="14.45" hidden="1" x14ac:dyDescent="0.3">
      <c r="B985" s="85" t="str">
        <f>IFERROR(VLOOKUP(A985,Lookup!A:B,2,0),"")</f>
        <v/>
      </c>
      <c r="C985" s="85" t="str">
        <f>IFERROR(VLOOKUP(A985,Lookup!A:C,3,0),"")</f>
        <v/>
      </c>
      <c r="J985">
        <f t="shared" si="19"/>
        <v>4</v>
      </c>
    </row>
    <row r="986" spans="2:10" ht="14.45" hidden="1" x14ac:dyDescent="0.3">
      <c r="B986" s="85" t="str">
        <f>IFERROR(VLOOKUP(A986,Lookup!A:B,2,0),"")</f>
        <v/>
      </c>
      <c r="C986" s="85" t="str">
        <f>IFERROR(VLOOKUP(A986,Lookup!A:C,3,0),"")</f>
        <v/>
      </c>
      <c r="J986">
        <f t="shared" si="19"/>
        <v>4</v>
      </c>
    </row>
    <row r="987" spans="2:10" ht="14.45" hidden="1" x14ac:dyDescent="0.3">
      <c r="B987" s="85" t="str">
        <f>IFERROR(VLOOKUP(A987,Lookup!A:B,2,0),"")</f>
        <v/>
      </c>
      <c r="C987" s="85" t="str">
        <f>IFERROR(VLOOKUP(A987,Lookup!A:C,3,0),"")</f>
        <v/>
      </c>
      <c r="J987">
        <f t="shared" si="19"/>
        <v>4</v>
      </c>
    </row>
    <row r="988" spans="2:10" ht="14.45" hidden="1" x14ac:dyDescent="0.3">
      <c r="B988" s="85" t="str">
        <f>IFERROR(VLOOKUP(A988,Lookup!A:B,2,0),"")</f>
        <v/>
      </c>
      <c r="C988" s="85" t="str">
        <f>IFERROR(VLOOKUP(A988,Lookup!A:C,3,0),"")</f>
        <v/>
      </c>
      <c r="J988">
        <f t="shared" si="19"/>
        <v>4</v>
      </c>
    </row>
    <row r="989" spans="2:10" ht="14.45" hidden="1" x14ac:dyDescent="0.3">
      <c r="B989" s="85" t="str">
        <f>IFERROR(VLOOKUP(A989,Lookup!A:B,2,0),"")</f>
        <v/>
      </c>
      <c r="C989" s="85" t="str">
        <f>IFERROR(VLOOKUP(A989,Lookup!A:C,3,0),"")</f>
        <v/>
      </c>
      <c r="J989">
        <f t="shared" si="19"/>
        <v>4</v>
      </c>
    </row>
    <row r="990" spans="2:10" ht="14.45" hidden="1" x14ac:dyDescent="0.3">
      <c r="B990" s="85" t="str">
        <f>IFERROR(VLOOKUP(A990,Lookup!A:B,2,0),"")</f>
        <v/>
      </c>
      <c r="C990" s="85" t="str">
        <f>IFERROR(VLOOKUP(A990,Lookup!A:C,3,0),"")</f>
        <v/>
      </c>
      <c r="J990">
        <f t="shared" si="19"/>
        <v>4</v>
      </c>
    </row>
    <row r="991" spans="2:10" ht="14.45" hidden="1" x14ac:dyDescent="0.3">
      <c r="B991" s="85" t="str">
        <f>IFERROR(VLOOKUP(A991,Lookup!A:B,2,0),"")</f>
        <v/>
      </c>
      <c r="C991" s="85" t="str">
        <f>IFERROR(VLOOKUP(A991,Lookup!A:C,3,0),"")</f>
        <v/>
      </c>
      <c r="J991">
        <f t="shared" si="19"/>
        <v>4</v>
      </c>
    </row>
    <row r="992" spans="2:10" ht="14.45" hidden="1" x14ac:dyDescent="0.3">
      <c r="B992" s="85" t="str">
        <f>IFERROR(VLOOKUP(A992,Lookup!A:B,2,0),"")</f>
        <v/>
      </c>
      <c r="C992" s="85" t="str">
        <f>IFERROR(VLOOKUP(A992,Lookup!A:C,3,0),"")</f>
        <v/>
      </c>
      <c r="J992">
        <f t="shared" si="19"/>
        <v>4</v>
      </c>
    </row>
    <row r="993" spans="2:10" ht="14.45" hidden="1" x14ac:dyDescent="0.3">
      <c r="B993" s="85" t="str">
        <f>IFERROR(VLOOKUP(A993,Lookup!A:B,2,0),"")</f>
        <v/>
      </c>
      <c r="C993" s="85" t="str">
        <f>IFERROR(VLOOKUP(A993,Lookup!A:C,3,0),"")</f>
        <v/>
      </c>
      <c r="J993">
        <f t="shared" si="19"/>
        <v>4</v>
      </c>
    </row>
    <row r="994" spans="2:10" ht="14.45" hidden="1" x14ac:dyDescent="0.3">
      <c r="B994" s="85" t="str">
        <f>IFERROR(VLOOKUP(A994,Lookup!A:B,2,0),"")</f>
        <v/>
      </c>
      <c r="C994" s="85" t="str">
        <f>IFERROR(VLOOKUP(A994,Lookup!A:C,3,0),"")</f>
        <v/>
      </c>
      <c r="J994">
        <f t="shared" si="19"/>
        <v>4</v>
      </c>
    </row>
    <row r="995" spans="2:10" ht="14.45" hidden="1" x14ac:dyDescent="0.3">
      <c r="B995" s="85" t="str">
        <f>IFERROR(VLOOKUP(A995,Lookup!A:B,2,0),"")</f>
        <v/>
      </c>
      <c r="C995" s="85" t="str">
        <f>IFERROR(VLOOKUP(A995,Lookup!A:C,3,0),"")</f>
        <v/>
      </c>
      <c r="J995">
        <f t="shared" si="19"/>
        <v>4</v>
      </c>
    </row>
    <row r="996" spans="2:10" ht="14.45" hidden="1" x14ac:dyDescent="0.3">
      <c r="B996" s="85" t="str">
        <f>IFERROR(VLOOKUP(A996,Lookup!A:B,2,0),"")</f>
        <v/>
      </c>
      <c r="C996" s="85" t="str">
        <f>IFERROR(VLOOKUP(A996,Lookup!A:C,3,0),"")</f>
        <v/>
      </c>
      <c r="J996">
        <f t="shared" si="19"/>
        <v>4</v>
      </c>
    </row>
    <row r="997" spans="2:10" ht="14.45" hidden="1" x14ac:dyDescent="0.3">
      <c r="B997" s="85" t="str">
        <f>IFERROR(VLOOKUP(A997,Lookup!A:B,2,0),"")</f>
        <v/>
      </c>
      <c r="C997" s="85" t="str">
        <f>IFERROR(VLOOKUP(A997,Lookup!A:C,3,0),"")</f>
        <v/>
      </c>
      <c r="J997">
        <f t="shared" si="19"/>
        <v>4</v>
      </c>
    </row>
    <row r="998" spans="2:10" ht="14.45" hidden="1" x14ac:dyDescent="0.3">
      <c r="B998" s="85" t="str">
        <f>IFERROR(VLOOKUP(A998,Lookup!A:B,2,0),"")</f>
        <v/>
      </c>
      <c r="C998" s="85" t="str">
        <f>IFERROR(VLOOKUP(A998,Lookup!A:C,3,0),"")</f>
        <v/>
      </c>
      <c r="J998">
        <f t="shared" si="19"/>
        <v>4</v>
      </c>
    </row>
    <row r="999" spans="2:10" ht="14.45" hidden="1" x14ac:dyDescent="0.3">
      <c r="B999" s="85" t="str">
        <f>IFERROR(VLOOKUP(A999,Lookup!A:B,2,0),"")</f>
        <v/>
      </c>
      <c r="C999" s="85" t="str">
        <f>IFERROR(VLOOKUP(A999,Lookup!A:C,3,0),"")</f>
        <v/>
      </c>
      <c r="J999">
        <f t="shared" si="19"/>
        <v>4</v>
      </c>
    </row>
    <row r="1000" spans="2:10" ht="14.45" hidden="1" x14ac:dyDescent="0.3">
      <c r="B1000" s="85" t="str">
        <f>IFERROR(VLOOKUP(A1000,Lookup!A:B,2,0),"")</f>
        <v/>
      </c>
      <c r="C1000" s="85" t="str">
        <f>IFERROR(VLOOKUP(A1000,Lookup!A:C,3,0),"")</f>
        <v/>
      </c>
      <c r="J1000">
        <f t="shared" si="19"/>
        <v>4</v>
      </c>
    </row>
    <row r="1001" spans="2:10" ht="14.45" hidden="1" x14ac:dyDescent="0.3">
      <c r="B1001" s="85" t="str">
        <f>IFERROR(VLOOKUP(A1001,Lookup!A:B,2,0),"")</f>
        <v/>
      </c>
      <c r="C1001" s="85" t="str">
        <f>IFERROR(VLOOKUP(A1001,Lookup!A:C,3,0),"")</f>
        <v/>
      </c>
      <c r="J1001">
        <f t="shared" si="19"/>
        <v>4</v>
      </c>
    </row>
    <row r="1002" spans="2:10" ht="14.45" hidden="1" x14ac:dyDescent="0.3">
      <c r="B1002" s="85" t="str">
        <f>IFERROR(VLOOKUP(A1002,Lookup!A:B,2,0),"")</f>
        <v/>
      </c>
      <c r="C1002" s="85" t="str">
        <f>IFERROR(VLOOKUP(A1002,Lookup!A:C,3,0),"")</f>
        <v/>
      </c>
      <c r="J1002">
        <f t="shared" si="19"/>
        <v>4</v>
      </c>
    </row>
    <row r="1003" spans="2:10" ht="14.45" hidden="1" x14ac:dyDescent="0.3">
      <c r="B1003" s="85" t="str">
        <f>IFERROR(VLOOKUP(A1003,Lookup!A:B,2,0),"")</f>
        <v/>
      </c>
      <c r="C1003" s="85" t="str">
        <f>IFERROR(VLOOKUP(A1003,Lookup!A:C,3,0),"")</f>
        <v/>
      </c>
      <c r="J1003">
        <f t="shared" si="19"/>
        <v>4</v>
      </c>
    </row>
    <row r="1004" spans="2:10" ht="14.45" hidden="1" x14ac:dyDescent="0.3">
      <c r="B1004" s="85" t="str">
        <f>IFERROR(VLOOKUP(A1004,Lookup!A:B,2,0),"")</f>
        <v/>
      </c>
      <c r="C1004" s="85" t="str">
        <f>IFERROR(VLOOKUP(A1004,Lookup!A:C,3,0),"")</f>
        <v/>
      </c>
      <c r="J1004">
        <f t="shared" si="19"/>
        <v>4</v>
      </c>
    </row>
    <row r="1005" spans="2:10" ht="14.45" hidden="1" x14ac:dyDescent="0.3">
      <c r="B1005" s="85" t="str">
        <f>IFERROR(VLOOKUP(A1005,Lookup!A:B,2,0),"")</f>
        <v/>
      </c>
      <c r="C1005" s="85" t="str">
        <f>IFERROR(VLOOKUP(A1005,Lookup!A:C,3,0),"")</f>
        <v/>
      </c>
      <c r="J1005">
        <f t="shared" si="19"/>
        <v>4</v>
      </c>
    </row>
    <row r="1006" spans="2:10" ht="14.45" hidden="1" x14ac:dyDescent="0.3">
      <c r="B1006" s="85" t="str">
        <f>IFERROR(VLOOKUP(A1006,Lookup!A:B,2,0),"")</f>
        <v/>
      </c>
      <c r="C1006" s="85" t="str">
        <f>IFERROR(VLOOKUP(A1006,Lookup!A:C,3,0),"")</f>
        <v/>
      </c>
      <c r="J1006">
        <f t="shared" si="19"/>
        <v>4</v>
      </c>
    </row>
    <row r="1007" spans="2:10" ht="14.45" hidden="1" x14ac:dyDescent="0.3">
      <c r="B1007" s="85" t="str">
        <f>IFERROR(VLOOKUP(A1007,Lookup!A:B,2,0),"")</f>
        <v/>
      </c>
      <c r="C1007" s="85" t="str">
        <f>IFERROR(VLOOKUP(A1007,Lookup!A:C,3,0),"")</f>
        <v/>
      </c>
      <c r="J1007">
        <f t="shared" si="19"/>
        <v>4</v>
      </c>
    </row>
    <row r="1008" spans="2:10" ht="14.45" hidden="1" x14ac:dyDescent="0.3">
      <c r="B1008" s="85" t="str">
        <f>IFERROR(VLOOKUP(A1008,Lookup!A:B,2,0),"")</f>
        <v/>
      </c>
      <c r="C1008" s="85" t="str">
        <f>IFERROR(VLOOKUP(A1008,Lookup!A:C,3,0),"")</f>
        <v/>
      </c>
      <c r="J1008">
        <f t="shared" si="19"/>
        <v>4</v>
      </c>
    </row>
    <row r="1009" spans="2:10" ht="14.45" hidden="1" x14ac:dyDescent="0.3">
      <c r="B1009" s="85" t="str">
        <f>IFERROR(VLOOKUP(A1009,Lookup!A:B,2,0),"")</f>
        <v/>
      </c>
      <c r="C1009" s="85" t="str">
        <f>IFERROR(VLOOKUP(A1009,Lookup!A:C,3,0),"")</f>
        <v/>
      </c>
      <c r="J1009">
        <f t="shared" si="19"/>
        <v>4</v>
      </c>
    </row>
    <row r="1010" spans="2:10" ht="14.45" hidden="1" x14ac:dyDescent="0.3">
      <c r="B1010" s="85" t="str">
        <f>IFERROR(VLOOKUP(A1010,Lookup!A:B,2,0),"")</f>
        <v/>
      </c>
      <c r="C1010" s="85" t="str">
        <f>IFERROR(VLOOKUP(A1010,Lookup!A:C,3,0),"")</f>
        <v/>
      </c>
      <c r="J1010">
        <f t="shared" si="19"/>
        <v>4</v>
      </c>
    </row>
    <row r="1011" spans="2:10" ht="14.45" hidden="1" x14ac:dyDescent="0.3">
      <c r="B1011" s="85" t="str">
        <f>IFERROR(VLOOKUP(A1011,Lookup!A:B,2,0),"")</f>
        <v/>
      </c>
      <c r="C1011" s="85" t="str">
        <f>IFERROR(VLOOKUP(A1011,Lookup!A:C,3,0),"")</f>
        <v/>
      </c>
      <c r="J1011">
        <f t="shared" si="19"/>
        <v>4</v>
      </c>
    </row>
    <row r="1012" spans="2:10" ht="14.45" hidden="1" x14ac:dyDescent="0.3">
      <c r="B1012" s="85" t="str">
        <f>IFERROR(VLOOKUP(A1012,Lookup!A:B,2,0),"")</f>
        <v/>
      </c>
      <c r="C1012" s="85" t="str">
        <f>IFERROR(VLOOKUP(A1012,Lookup!A:C,3,0),"")</f>
        <v/>
      </c>
      <c r="J1012">
        <f t="shared" si="19"/>
        <v>4</v>
      </c>
    </row>
    <row r="1013" spans="2:10" ht="14.45" hidden="1" x14ac:dyDescent="0.3">
      <c r="B1013" s="85" t="str">
        <f>IFERROR(VLOOKUP(A1013,Lookup!A:B,2,0),"")</f>
        <v/>
      </c>
      <c r="C1013" s="85" t="str">
        <f>IFERROR(VLOOKUP(A1013,Lookup!A:C,3,0),"")</f>
        <v/>
      </c>
      <c r="J1013">
        <f t="shared" si="19"/>
        <v>4</v>
      </c>
    </row>
    <row r="1014" spans="2:10" ht="14.45" hidden="1" x14ac:dyDescent="0.3">
      <c r="B1014" s="85" t="str">
        <f>IFERROR(VLOOKUP(A1014,Lookup!A:B,2,0),"")</f>
        <v/>
      </c>
      <c r="C1014" s="85" t="str">
        <f>IFERROR(VLOOKUP(A1014,Lookup!A:C,3,0),"")</f>
        <v/>
      </c>
      <c r="J1014">
        <f t="shared" si="19"/>
        <v>4</v>
      </c>
    </row>
    <row r="1015" spans="2:10" ht="14.45" hidden="1" x14ac:dyDescent="0.3">
      <c r="B1015" s="85" t="str">
        <f>IFERROR(VLOOKUP(A1015,Lookup!A:B,2,0),"")</f>
        <v/>
      </c>
      <c r="C1015" s="85" t="str">
        <f>IFERROR(VLOOKUP(A1015,Lookup!A:C,3,0),"")</f>
        <v/>
      </c>
      <c r="J1015">
        <f t="shared" si="19"/>
        <v>4</v>
      </c>
    </row>
    <row r="1016" spans="2:10" ht="14.45" hidden="1" x14ac:dyDescent="0.3">
      <c r="B1016" s="85" t="str">
        <f>IFERROR(VLOOKUP(A1016,Lookup!A:B,2,0),"")</f>
        <v/>
      </c>
      <c r="C1016" s="85" t="str">
        <f>IFERROR(VLOOKUP(A1016,Lookup!A:C,3,0),"")</f>
        <v/>
      </c>
      <c r="J1016">
        <f t="shared" si="19"/>
        <v>4</v>
      </c>
    </row>
    <row r="1017" spans="2:10" ht="14.45" hidden="1" x14ac:dyDescent="0.3">
      <c r="B1017" s="85" t="str">
        <f>IFERROR(VLOOKUP(A1017,Lookup!A:B,2,0),"")</f>
        <v/>
      </c>
      <c r="C1017" s="85" t="str">
        <f>IFERROR(VLOOKUP(A1017,Lookup!A:C,3,0),"")</f>
        <v/>
      </c>
      <c r="J1017">
        <f t="shared" si="19"/>
        <v>4</v>
      </c>
    </row>
    <row r="1018" spans="2:10" ht="14.45" hidden="1" x14ac:dyDescent="0.3">
      <c r="B1018" s="85" t="str">
        <f>IFERROR(VLOOKUP(A1018,Lookup!A:B,2,0),"")</f>
        <v/>
      </c>
      <c r="C1018" s="85" t="str">
        <f>IFERROR(VLOOKUP(A1018,Lookup!A:C,3,0),"")</f>
        <v/>
      </c>
      <c r="J1018">
        <f t="shared" si="19"/>
        <v>4</v>
      </c>
    </row>
    <row r="1019" spans="2:10" ht="14.45" hidden="1" x14ac:dyDescent="0.3">
      <c r="B1019" s="85" t="str">
        <f>IFERROR(VLOOKUP(A1019,Lookup!A:B,2,0),"")</f>
        <v/>
      </c>
      <c r="C1019" s="85" t="str">
        <f>IFERROR(VLOOKUP(A1019,Lookup!A:C,3,0),"")</f>
        <v/>
      </c>
      <c r="J1019">
        <f t="shared" si="19"/>
        <v>4</v>
      </c>
    </row>
    <row r="1020" spans="2:10" ht="14.45" hidden="1" x14ac:dyDescent="0.3">
      <c r="B1020" s="85" t="str">
        <f>IFERROR(VLOOKUP(A1020,Lookup!A:B,2,0),"")</f>
        <v/>
      </c>
      <c r="C1020" s="85" t="str">
        <f>IFERROR(VLOOKUP(A1020,Lookup!A:C,3,0),"")</f>
        <v/>
      </c>
      <c r="J1020">
        <f t="shared" si="19"/>
        <v>4</v>
      </c>
    </row>
    <row r="1021" spans="2:10" ht="14.45" hidden="1" x14ac:dyDescent="0.3">
      <c r="B1021" s="85" t="str">
        <f>IFERROR(VLOOKUP(A1021,Lookup!A:B,2,0),"")</f>
        <v/>
      </c>
      <c r="C1021" s="85" t="str">
        <f>IFERROR(VLOOKUP(A1021,Lookup!A:C,3,0),"")</f>
        <v/>
      </c>
      <c r="J1021">
        <f t="shared" si="19"/>
        <v>4</v>
      </c>
    </row>
    <row r="1022" spans="2:10" ht="14.45" hidden="1" x14ac:dyDescent="0.3">
      <c r="B1022" s="85" t="str">
        <f>IFERROR(VLOOKUP(A1022,Lookup!A:B,2,0),"")</f>
        <v/>
      </c>
      <c r="C1022" s="85" t="str">
        <f>IFERROR(VLOOKUP(A1022,Lookup!A:C,3,0),"")</f>
        <v/>
      </c>
      <c r="J1022">
        <f t="shared" si="19"/>
        <v>4</v>
      </c>
    </row>
    <row r="1023" spans="2:10" ht="14.45" hidden="1" x14ac:dyDescent="0.3">
      <c r="B1023" s="85" t="str">
        <f>IFERROR(VLOOKUP(A1023,Lookup!A:B,2,0),"")</f>
        <v/>
      </c>
      <c r="C1023" s="85" t="str">
        <f>IFERROR(VLOOKUP(A1023,Lookup!A:C,3,0),"")</f>
        <v/>
      </c>
      <c r="J1023">
        <f t="shared" si="19"/>
        <v>4</v>
      </c>
    </row>
    <row r="1024" spans="2:10" ht="14.45" hidden="1" x14ac:dyDescent="0.3">
      <c r="B1024" s="85" t="str">
        <f>IFERROR(VLOOKUP(A1024,Lookup!A:B,2,0),"")</f>
        <v/>
      </c>
      <c r="C1024" s="85" t="str">
        <f>IFERROR(VLOOKUP(A1024,Lookup!A:C,3,0),"")</f>
        <v/>
      </c>
      <c r="J1024">
        <f t="shared" si="19"/>
        <v>4</v>
      </c>
    </row>
    <row r="1025" spans="2:10" ht="14.45" hidden="1" x14ac:dyDescent="0.3">
      <c r="B1025" s="85" t="str">
        <f>IFERROR(VLOOKUP(A1025,Lookup!A:B,2,0),"")</f>
        <v/>
      </c>
      <c r="C1025" s="85" t="str">
        <f>IFERROR(VLOOKUP(A1025,Lookup!A:C,3,0),"")</f>
        <v/>
      </c>
      <c r="J1025">
        <f t="shared" si="19"/>
        <v>4</v>
      </c>
    </row>
    <row r="1026" spans="2:10" ht="14.45" hidden="1" x14ac:dyDescent="0.3">
      <c r="B1026" s="85" t="str">
        <f>IFERROR(VLOOKUP(A1026,Lookup!A:B,2,0),"")</f>
        <v/>
      </c>
      <c r="C1026" s="85" t="str">
        <f>IFERROR(VLOOKUP(A1026,Lookup!A:C,3,0),"")</f>
        <v/>
      </c>
      <c r="J1026">
        <f t="shared" si="19"/>
        <v>4</v>
      </c>
    </row>
    <row r="1027" spans="2:10" ht="14.45" hidden="1" x14ac:dyDescent="0.3">
      <c r="B1027" s="85" t="str">
        <f>IFERROR(VLOOKUP(A1027,Lookup!A:B,2,0),"")</f>
        <v/>
      </c>
      <c r="C1027" s="85" t="str">
        <f>IFERROR(VLOOKUP(A1027,Lookup!A:C,3,0),"")</f>
        <v/>
      </c>
      <c r="J1027">
        <f t="shared" si="19"/>
        <v>4</v>
      </c>
    </row>
    <row r="1028" spans="2:10" ht="14.45" hidden="1" x14ac:dyDescent="0.3">
      <c r="B1028" s="85" t="str">
        <f>IFERROR(VLOOKUP(A1028,Lookup!A:B,2,0),"")</f>
        <v/>
      </c>
      <c r="C1028" s="85" t="str">
        <f>IFERROR(VLOOKUP(A1028,Lookup!A:C,3,0),"")</f>
        <v/>
      </c>
      <c r="J1028">
        <f t="shared" si="19"/>
        <v>4</v>
      </c>
    </row>
    <row r="1029" spans="2:10" ht="14.45" hidden="1" x14ac:dyDescent="0.3">
      <c r="B1029" s="85" t="str">
        <f>IFERROR(VLOOKUP(A1029,Lookup!A:B,2,0),"")</f>
        <v/>
      </c>
      <c r="C1029" s="85" t="str">
        <f>IFERROR(VLOOKUP(A1029,Lookup!A:C,3,0),"")</f>
        <v/>
      </c>
      <c r="J1029">
        <f t="shared" si="19"/>
        <v>4</v>
      </c>
    </row>
    <row r="1030" spans="2:10" ht="14.45" hidden="1" x14ac:dyDescent="0.3">
      <c r="B1030" s="85" t="str">
        <f>IFERROR(VLOOKUP(A1030,Lookup!A:B,2,0),"")</f>
        <v/>
      </c>
      <c r="C1030" s="85" t="str">
        <f>IFERROR(VLOOKUP(A1030,Lookup!A:C,3,0),"")</f>
        <v/>
      </c>
      <c r="J1030">
        <f t="shared" si="19"/>
        <v>4</v>
      </c>
    </row>
    <row r="1031" spans="2:10" ht="14.45" hidden="1" x14ac:dyDescent="0.3">
      <c r="B1031" s="85" t="str">
        <f>IFERROR(VLOOKUP(A1031,Lookup!A:B,2,0),"")</f>
        <v/>
      </c>
      <c r="C1031" s="85" t="str">
        <f>IFERROR(VLOOKUP(A1031,Lookup!A:C,3,0),"")</f>
        <v/>
      </c>
      <c r="J1031">
        <f t="shared" si="19"/>
        <v>4</v>
      </c>
    </row>
    <row r="1032" spans="2:10" ht="14.45" hidden="1" x14ac:dyDescent="0.3">
      <c r="B1032" s="85" t="str">
        <f>IFERROR(VLOOKUP(A1032,Lookup!A:B,2,0),"")</f>
        <v/>
      </c>
      <c r="C1032" s="85" t="str">
        <f>IFERROR(VLOOKUP(A1032,Lookup!A:C,3,0),"")</f>
        <v/>
      </c>
      <c r="J1032">
        <f t="shared" si="19"/>
        <v>4</v>
      </c>
    </row>
    <row r="1033" spans="2:10" ht="14.45" hidden="1" x14ac:dyDescent="0.3">
      <c r="B1033" s="85" t="str">
        <f>IFERROR(VLOOKUP(A1033,Lookup!A:B,2,0),"")</f>
        <v/>
      </c>
      <c r="C1033" s="85" t="str">
        <f>IFERROR(VLOOKUP(A1033,Lookup!A:C,3,0),"")</f>
        <v/>
      </c>
      <c r="J1033">
        <f t="shared" si="19"/>
        <v>4</v>
      </c>
    </row>
    <row r="1034" spans="2:10" ht="14.45" hidden="1" x14ac:dyDescent="0.3">
      <c r="B1034" s="85" t="str">
        <f>IFERROR(VLOOKUP(A1034,Lookup!A:B,2,0),"")</f>
        <v/>
      </c>
      <c r="C1034" s="85" t="str">
        <f>IFERROR(VLOOKUP(A1034,Lookup!A:C,3,0),"")</f>
        <v/>
      </c>
      <c r="J1034">
        <f t="shared" si="19"/>
        <v>4</v>
      </c>
    </row>
    <row r="1035" spans="2:10" ht="14.45" hidden="1" x14ac:dyDescent="0.3">
      <c r="B1035" s="85" t="str">
        <f>IFERROR(VLOOKUP(A1035,Lookup!A:B,2,0),"")</f>
        <v/>
      </c>
      <c r="C1035" s="85" t="str">
        <f>IFERROR(VLOOKUP(A1035,Lookup!A:C,3,0),"")</f>
        <v/>
      </c>
      <c r="J1035">
        <f t="shared" si="19"/>
        <v>4</v>
      </c>
    </row>
    <row r="1036" spans="2:10" ht="14.45" hidden="1" x14ac:dyDescent="0.3">
      <c r="B1036" s="85" t="str">
        <f>IFERROR(VLOOKUP(A1036,Lookup!A:B,2,0),"")</f>
        <v/>
      </c>
      <c r="C1036" s="85" t="str">
        <f>IFERROR(VLOOKUP(A1036,Lookup!A:C,3,0),"")</f>
        <v/>
      </c>
      <c r="J1036">
        <f t="shared" si="19"/>
        <v>4</v>
      </c>
    </row>
    <row r="1037" spans="2:10" ht="14.45" hidden="1" x14ac:dyDescent="0.3">
      <c r="B1037" s="85" t="str">
        <f>IFERROR(VLOOKUP(A1037,Lookup!A:B,2,0),"")</f>
        <v/>
      </c>
      <c r="C1037" s="85" t="str">
        <f>IFERROR(VLOOKUP(A1037,Lookup!A:C,3,0),"")</f>
        <v/>
      </c>
      <c r="J1037">
        <f t="shared" si="19"/>
        <v>4</v>
      </c>
    </row>
    <row r="1038" spans="2:10" ht="14.45" hidden="1" x14ac:dyDescent="0.3">
      <c r="B1038" s="85" t="str">
        <f>IFERROR(VLOOKUP(A1038,Lookup!A:B,2,0),"")</f>
        <v/>
      </c>
      <c r="C1038" s="85" t="str">
        <f>IFERROR(VLOOKUP(A1038,Lookup!A:C,3,0),"")</f>
        <v/>
      </c>
      <c r="J1038">
        <f t="shared" si="19"/>
        <v>4</v>
      </c>
    </row>
    <row r="1039" spans="2:10" ht="14.45" hidden="1" x14ac:dyDescent="0.3">
      <c r="B1039" s="85" t="str">
        <f>IFERROR(VLOOKUP(A1039,Lookup!A:B,2,0),"")</f>
        <v/>
      </c>
      <c r="C1039" s="85" t="str">
        <f>IFERROR(VLOOKUP(A1039,Lookup!A:C,3,0),"")</f>
        <v/>
      </c>
      <c r="J1039">
        <f t="shared" ref="J1039:J1102" si="20">IF(H1039="SET",1,IF(H1039="FREQ",3,IF(H1039="",4,2)))</f>
        <v>4</v>
      </c>
    </row>
    <row r="1040" spans="2:10" ht="14.45" hidden="1" x14ac:dyDescent="0.3">
      <c r="B1040" s="85" t="str">
        <f>IFERROR(VLOOKUP(A1040,Lookup!A:B,2,0),"")</f>
        <v/>
      </c>
      <c r="C1040" s="85" t="str">
        <f>IFERROR(VLOOKUP(A1040,Lookup!A:C,3,0),"")</f>
        <v/>
      </c>
      <c r="J1040">
        <f t="shared" si="20"/>
        <v>4</v>
      </c>
    </row>
    <row r="1041" spans="2:10" ht="14.45" hidden="1" x14ac:dyDescent="0.3">
      <c r="B1041" s="85" t="str">
        <f>IFERROR(VLOOKUP(A1041,Lookup!A:B,2,0),"")</f>
        <v/>
      </c>
      <c r="C1041" s="85" t="str">
        <f>IFERROR(VLOOKUP(A1041,Lookup!A:C,3,0),"")</f>
        <v/>
      </c>
      <c r="J1041">
        <f t="shared" si="20"/>
        <v>4</v>
      </c>
    </row>
    <row r="1042" spans="2:10" ht="14.45" hidden="1" x14ac:dyDescent="0.3">
      <c r="B1042" s="85" t="str">
        <f>IFERROR(VLOOKUP(A1042,Lookup!A:B,2,0),"")</f>
        <v/>
      </c>
      <c r="C1042" s="85" t="str">
        <f>IFERROR(VLOOKUP(A1042,Lookup!A:C,3,0),"")</f>
        <v/>
      </c>
      <c r="J1042">
        <f t="shared" si="20"/>
        <v>4</v>
      </c>
    </row>
    <row r="1043" spans="2:10" ht="14.45" hidden="1" x14ac:dyDescent="0.3">
      <c r="B1043" s="85" t="str">
        <f>IFERROR(VLOOKUP(A1043,Lookup!A:B,2,0),"")</f>
        <v/>
      </c>
      <c r="C1043" s="85" t="str">
        <f>IFERROR(VLOOKUP(A1043,Lookup!A:C,3,0),"")</f>
        <v/>
      </c>
      <c r="J1043">
        <f t="shared" si="20"/>
        <v>4</v>
      </c>
    </row>
    <row r="1044" spans="2:10" ht="14.45" hidden="1" x14ac:dyDescent="0.3">
      <c r="B1044" s="85" t="str">
        <f>IFERROR(VLOOKUP(A1044,Lookup!A:B,2,0),"")</f>
        <v/>
      </c>
      <c r="C1044" s="85" t="str">
        <f>IFERROR(VLOOKUP(A1044,Lookup!A:C,3,0),"")</f>
        <v/>
      </c>
      <c r="J1044">
        <f t="shared" si="20"/>
        <v>4</v>
      </c>
    </row>
    <row r="1045" spans="2:10" ht="14.45" hidden="1" x14ac:dyDescent="0.3">
      <c r="B1045" s="85" t="str">
        <f>IFERROR(VLOOKUP(A1045,Lookup!A:B,2,0),"")</f>
        <v/>
      </c>
      <c r="C1045" s="85" t="str">
        <f>IFERROR(VLOOKUP(A1045,Lookup!A:C,3,0),"")</f>
        <v/>
      </c>
      <c r="J1045">
        <f t="shared" si="20"/>
        <v>4</v>
      </c>
    </row>
    <row r="1046" spans="2:10" ht="14.45" hidden="1" x14ac:dyDescent="0.3">
      <c r="B1046" s="85" t="str">
        <f>IFERROR(VLOOKUP(A1046,Lookup!A:B,2,0),"")</f>
        <v/>
      </c>
      <c r="C1046" s="85" t="str">
        <f>IFERROR(VLOOKUP(A1046,Lookup!A:C,3,0),"")</f>
        <v/>
      </c>
      <c r="J1046">
        <f t="shared" si="20"/>
        <v>4</v>
      </c>
    </row>
    <row r="1047" spans="2:10" ht="14.45" hidden="1" x14ac:dyDescent="0.3">
      <c r="B1047" s="85" t="str">
        <f>IFERROR(VLOOKUP(A1047,Lookup!A:B,2,0),"")</f>
        <v/>
      </c>
      <c r="C1047" s="85" t="str">
        <f>IFERROR(VLOOKUP(A1047,Lookup!A:C,3,0),"")</f>
        <v/>
      </c>
      <c r="J1047">
        <f t="shared" si="20"/>
        <v>4</v>
      </c>
    </row>
    <row r="1048" spans="2:10" ht="14.45" hidden="1" x14ac:dyDescent="0.3">
      <c r="B1048" s="85" t="str">
        <f>IFERROR(VLOOKUP(A1048,Lookup!A:B,2,0),"")</f>
        <v/>
      </c>
      <c r="C1048" s="85" t="str">
        <f>IFERROR(VLOOKUP(A1048,Lookup!A:C,3,0),"")</f>
        <v/>
      </c>
      <c r="J1048">
        <f t="shared" si="20"/>
        <v>4</v>
      </c>
    </row>
    <row r="1049" spans="2:10" ht="14.45" hidden="1" x14ac:dyDescent="0.3">
      <c r="B1049" s="85" t="str">
        <f>IFERROR(VLOOKUP(A1049,Lookup!A:B,2,0),"")</f>
        <v/>
      </c>
      <c r="C1049" s="85" t="str">
        <f>IFERROR(VLOOKUP(A1049,Lookup!A:C,3,0),"")</f>
        <v/>
      </c>
      <c r="J1049">
        <f t="shared" si="20"/>
        <v>4</v>
      </c>
    </row>
    <row r="1050" spans="2:10" ht="14.45" hidden="1" x14ac:dyDescent="0.3">
      <c r="B1050" s="85" t="str">
        <f>IFERROR(VLOOKUP(A1050,Lookup!A:B,2,0),"")</f>
        <v/>
      </c>
      <c r="C1050" s="85" t="str">
        <f>IFERROR(VLOOKUP(A1050,Lookup!A:C,3,0),"")</f>
        <v/>
      </c>
      <c r="J1050">
        <f t="shared" si="20"/>
        <v>4</v>
      </c>
    </row>
    <row r="1051" spans="2:10" ht="14.45" hidden="1" x14ac:dyDescent="0.3">
      <c r="B1051" s="85" t="str">
        <f>IFERROR(VLOOKUP(A1051,Lookup!A:B,2,0),"")</f>
        <v/>
      </c>
      <c r="C1051" s="85" t="str">
        <f>IFERROR(VLOOKUP(A1051,Lookup!A:C,3,0),"")</f>
        <v/>
      </c>
      <c r="J1051">
        <f t="shared" si="20"/>
        <v>4</v>
      </c>
    </row>
    <row r="1052" spans="2:10" ht="14.45" hidden="1" x14ac:dyDescent="0.3">
      <c r="B1052" s="85" t="str">
        <f>IFERROR(VLOOKUP(A1052,Lookup!A:B,2,0),"")</f>
        <v/>
      </c>
      <c r="C1052" s="85" t="str">
        <f>IFERROR(VLOOKUP(A1052,Lookup!A:C,3,0),"")</f>
        <v/>
      </c>
      <c r="J1052">
        <f t="shared" si="20"/>
        <v>4</v>
      </c>
    </row>
    <row r="1053" spans="2:10" ht="14.45" hidden="1" x14ac:dyDescent="0.3">
      <c r="B1053" s="85" t="str">
        <f>IFERROR(VLOOKUP(A1053,Lookup!A:B,2,0),"")</f>
        <v/>
      </c>
      <c r="C1053" s="85" t="str">
        <f>IFERROR(VLOOKUP(A1053,Lookup!A:C,3,0),"")</f>
        <v/>
      </c>
      <c r="J1053">
        <f t="shared" si="20"/>
        <v>4</v>
      </c>
    </row>
    <row r="1054" spans="2:10" ht="14.45" hidden="1" x14ac:dyDescent="0.3">
      <c r="B1054" s="85" t="str">
        <f>IFERROR(VLOOKUP(A1054,Lookup!A:B,2,0),"")</f>
        <v/>
      </c>
      <c r="C1054" s="85" t="str">
        <f>IFERROR(VLOOKUP(A1054,Lookup!A:C,3,0),"")</f>
        <v/>
      </c>
      <c r="J1054">
        <f t="shared" si="20"/>
        <v>4</v>
      </c>
    </row>
    <row r="1055" spans="2:10" ht="14.45" hidden="1" x14ac:dyDescent="0.3">
      <c r="B1055" s="85" t="str">
        <f>IFERROR(VLOOKUP(A1055,Lookup!A:B,2,0),"")</f>
        <v/>
      </c>
      <c r="C1055" s="85" t="str">
        <f>IFERROR(VLOOKUP(A1055,Lookup!A:C,3,0),"")</f>
        <v/>
      </c>
      <c r="J1055">
        <f t="shared" si="20"/>
        <v>4</v>
      </c>
    </row>
    <row r="1056" spans="2:10" ht="14.45" hidden="1" x14ac:dyDescent="0.3">
      <c r="B1056" s="85" t="str">
        <f>IFERROR(VLOOKUP(A1056,Lookup!A:B,2,0),"")</f>
        <v/>
      </c>
      <c r="C1056" s="85" t="str">
        <f>IFERROR(VLOOKUP(A1056,Lookup!A:C,3,0),"")</f>
        <v/>
      </c>
      <c r="J1056">
        <f t="shared" si="20"/>
        <v>4</v>
      </c>
    </row>
    <row r="1057" spans="2:10" ht="14.45" hidden="1" x14ac:dyDescent="0.3">
      <c r="B1057" s="85" t="str">
        <f>IFERROR(VLOOKUP(A1057,Lookup!A:B,2,0),"")</f>
        <v/>
      </c>
      <c r="C1057" s="85" t="str">
        <f>IFERROR(VLOOKUP(A1057,Lookup!A:C,3,0),"")</f>
        <v/>
      </c>
      <c r="J1057">
        <f t="shared" si="20"/>
        <v>4</v>
      </c>
    </row>
    <row r="1058" spans="2:10" ht="14.45" hidden="1" x14ac:dyDescent="0.3">
      <c r="B1058" s="85" t="str">
        <f>IFERROR(VLOOKUP(A1058,Lookup!A:B,2,0),"")</f>
        <v/>
      </c>
      <c r="C1058" s="85" t="str">
        <f>IFERROR(VLOOKUP(A1058,Lookup!A:C,3,0),"")</f>
        <v/>
      </c>
      <c r="J1058">
        <f t="shared" si="20"/>
        <v>4</v>
      </c>
    </row>
    <row r="1059" spans="2:10" ht="14.45" hidden="1" x14ac:dyDescent="0.3">
      <c r="B1059" s="85" t="str">
        <f>IFERROR(VLOOKUP(A1059,Lookup!A:B,2,0),"")</f>
        <v/>
      </c>
      <c r="C1059" s="85" t="str">
        <f>IFERROR(VLOOKUP(A1059,Lookup!A:C,3,0),"")</f>
        <v/>
      </c>
      <c r="J1059">
        <f t="shared" si="20"/>
        <v>4</v>
      </c>
    </row>
    <row r="1060" spans="2:10" ht="14.45" hidden="1" x14ac:dyDescent="0.3">
      <c r="B1060" s="85" t="str">
        <f>IFERROR(VLOOKUP(A1060,Lookup!A:B,2,0),"")</f>
        <v/>
      </c>
      <c r="C1060" s="85" t="str">
        <f>IFERROR(VLOOKUP(A1060,Lookup!A:C,3,0),"")</f>
        <v/>
      </c>
      <c r="J1060">
        <f t="shared" si="20"/>
        <v>4</v>
      </c>
    </row>
    <row r="1061" spans="2:10" ht="14.45" hidden="1" x14ac:dyDescent="0.3">
      <c r="B1061" s="85" t="str">
        <f>IFERROR(VLOOKUP(A1061,Lookup!A:B,2,0),"")</f>
        <v/>
      </c>
      <c r="C1061" s="85" t="str">
        <f>IFERROR(VLOOKUP(A1061,Lookup!A:C,3,0),"")</f>
        <v/>
      </c>
      <c r="J1061">
        <f t="shared" si="20"/>
        <v>4</v>
      </c>
    </row>
    <row r="1062" spans="2:10" ht="14.45" hidden="1" x14ac:dyDescent="0.3">
      <c r="B1062" s="85" t="str">
        <f>IFERROR(VLOOKUP(A1062,Lookup!A:B,2,0),"")</f>
        <v/>
      </c>
      <c r="C1062" s="85" t="str">
        <f>IFERROR(VLOOKUP(A1062,Lookup!A:C,3,0),"")</f>
        <v/>
      </c>
      <c r="J1062">
        <f t="shared" si="20"/>
        <v>4</v>
      </c>
    </row>
    <row r="1063" spans="2:10" ht="14.45" hidden="1" x14ac:dyDescent="0.3">
      <c r="B1063" s="85" t="str">
        <f>IFERROR(VLOOKUP(A1063,Lookup!A:B,2,0),"")</f>
        <v/>
      </c>
      <c r="C1063" s="85" t="str">
        <f>IFERROR(VLOOKUP(A1063,Lookup!A:C,3,0),"")</f>
        <v/>
      </c>
      <c r="J1063">
        <f t="shared" si="20"/>
        <v>4</v>
      </c>
    </row>
    <row r="1064" spans="2:10" ht="14.45" hidden="1" x14ac:dyDescent="0.3">
      <c r="B1064" s="85" t="str">
        <f>IFERROR(VLOOKUP(A1064,Lookup!A:B,2,0),"")</f>
        <v/>
      </c>
      <c r="C1064" s="85" t="str">
        <f>IFERROR(VLOOKUP(A1064,Lookup!A:C,3,0),"")</f>
        <v/>
      </c>
      <c r="J1064">
        <f t="shared" si="20"/>
        <v>4</v>
      </c>
    </row>
    <row r="1065" spans="2:10" ht="14.45" hidden="1" x14ac:dyDescent="0.3">
      <c r="B1065" s="85" t="str">
        <f>IFERROR(VLOOKUP(A1065,Lookup!A:B,2,0),"")</f>
        <v/>
      </c>
      <c r="C1065" s="85" t="str">
        <f>IFERROR(VLOOKUP(A1065,Lookup!A:C,3,0),"")</f>
        <v/>
      </c>
      <c r="J1065">
        <f t="shared" si="20"/>
        <v>4</v>
      </c>
    </row>
    <row r="1066" spans="2:10" ht="14.45" hidden="1" x14ac:dyDescent="0.3">
      <c r="B1066" s="85" t="str">
        <f>IFERROR(VLOOKUP(A1066,Lookup!A:B,2,0),"")</f>
        <v/>
      </c>
      <c r="C1066" s="85" t="str">
        <f>IFERROR(VLOOKUP(A1066,Lookup!A:C,3,0),"")</f>
        <v/>
      </c>
      <c r="J1066">
        <f t="shared" si="20"/>
        <v>4</v>
      </c>
    </row>
    <row r="1067" spans="2:10" ht="14.45" hidden="1" x14ac:dyDescent="0.3">
      <c r="B1067" s="85" t="str">
        <f>IFERROR(VLOOKUP(A1067,Lookup!A:B,2,0),"")</f>
        <v/>
      </c>
      <c r="C1067" s="85" t="str">
        <f>IFERROR(VLOOKUP(A1067,Lookup!A:C,3,0),"")</f>
        <v/>
      </c>
      <c r="J1067">
        <f t="shared" si="20"/>
        <v>4</v>
      </c>
    </row>
    <row r="1068" spans="2:10" ht="14.45" hidden="1" x14ac:dyDescent="0.3">
      <c r="B1068" s="85" t="str">
        <f>IFERROR(VLOOKUP(A1068,Lookup!A:B,2,0),"")</f>
        <v/>
      </c>
      <c r="C1068" s="85" t="str">
        <f>IFERROR(VLOOKUP(A1068,Lookup!A:C,3,0),"")</f>
        <v/>
      </c>
      <c r="J1068">
        <f t="shared" si="20"/>
        <v>4</v>
      </c>
    </row>
    <row r="1069" spans="2:10" ht="14.45" hidden="1" x14ac:dyDescent="0.3">
      <c r="B1069" s="85" t="str">
        <f>IFERROR(VLOOKUP(A1069,Lookup!A:B,2,0),"")</f>
        <v/>
      </c>
      <c r="C1069" s="85" t="str">
        <f>IFERROR(VLOOKUP(A1069,Lookup!A:C,3,0),"")</f>
        <v/>
      </c>
      <c r="J1069">
        <f t="shared" si="20"/>
        <v>4</v>
      </c>
    </row>
    <row r="1070" spans="2:10" ht="14.45" hidden="1" x14ac:dyDescent="0.3">
      <c r="B1070" s="85" t="str">
        <f>IFERROR(VLOOKUP(A1070,Lookup!A:B,2,0),"")</f>
        <v/>
      </c>
      <c r="C1070" s="85" t="str">
        <f>IFERROR(VLOOKUP(A1070,Lookup!A:C,3,0),"")</f>
        <v/>
      </c>
      <c r="J1070">
        <f t="shared" si="20"/>
        <v>4</v>
      </c>
    </row>
    <row r="1071" spans="2:10" ht="14.45" hidden="1" x14ac:dyDescent="0.3">
      <c r="B1071" s="85" t="str">
        <f>IFERROR(VLOOKUP(A1071,Lookup!A:B,2,0),"")</f>
        <v/>
      </c>
      <c r="C1071" s="85" t="str">
        <f>IFERROR(VLOOKUP(A1071,Lookup!A:C,3,0),"")</f>
        <v/>
      </c>
      <c r="J1071">
        <f t="shared" si="20"/>
        <v>4</v>
      </c>
    </row>
    <row r="1072" spans="2:10" ht="14.45" hidden="1" x14ac:dyDescent="0.3">
      <c r="B1072" s="85" t="str">
        <f>IFERROR(VLOOKUP(A1072,Lookup!A:B,2,0),"")</f>
        <v/>
      </c>
      <c r="C1072" s="85" t="str">
        <f>IFERROR(VLOOKUP(A1072,Lookup!A:C,3,0),"")</f>
        <v/>
      </c>
      <c r="J1072">
        <f t="shared" si="20"/>
        <v>4</v>
      </c>
    </row>
    <row r="1073" spans="2:10" ht="14.45" hidden="1" x14ac:dyDescent="0.3">
      <c r="B1073" s="85" t="str">
        <f>IFERROR(VLOOKUP(A1073,Lookup!A:B,2,0),"")</f>
        <v/>
      </c>
      <c r="C1073" s="85" t="str">
        <f>IFERROR(VLOOKUP(A1073,Lookup!A:C,3,0),"")</f>
        <v/>
      </c>
      <c r="J1073">
        <f t="shared" si="20"/>
        <v>4</v>
      </c>
    </row>
    <row r="1074" spans="2:10" ht="14.45" hidden="1" x14ac:dyDescent="0.3">
      <c r="B1074" s="85" t="str">
        <f>IFERROR(VLOOKUP(A1074,Lookup!A:B,2,0),"")</f>
        <v/>
      </c>
      <c r="C1074" s="85" t="str">
        <f>IFERROR(VLOOKUP(A1074,Lookup!A:C,3,0),"")</f>
        <v/>
      </c>
      <c r="J1074">
        <f t="shared" si="20"/>
        <v>4</v>
      </c>
    </row>
    <row r="1075" spans="2:10" ht="14.45" hidden="1" x14ac:dyDescent="0.3">
      <c r="B1075" s="85" t="str">
        <f>IFERROR(VLOOKUP(A1075,Lookup!A:B,2,0),"")</f>
        <v/>
      </c>
      <c r="C1075" s="85" t="str">
        <f>IFERROR(VLOOKUP(A1075,Lookup!A:C,3,0),"")</f>
        <v/>
      </c>
      <c r="J1075">
        <f t="shared" si="20"/>
        <v>4</v>
      </c>
    </row>
    <row r="1076" spans="2:10" ht="14.45" hidden="1" x14ac:dyDescent="0.3">
      <c r="B1076" s="85" t="str">
        <f>IFERROR(VLOOKUP(A1076,Lookup!A:B,2,0),"")</f>
        <v/>
      </c>
      <c r="C1076" s="85" t="str">
        <f>IFERROR(VLOOKUP(A1076,Lookup!A:C,3,0),"")</f>
        <v/>
      </c>
      <c r="J1076">
        <f t="shared" si="20"/>
        <v>4</v>
      </c>
    </row>
    <row r="1077" spans="2:10" ht="14.45" hidden="1" x14ac:dyDescent="0.3">
      <c r="B1077" s="85" t="str">
        <f>IFERROR(VLOOKUP(A1077,Lookup!A:B,2,0),"")</f>
        <v/>
      </c>
      <c r="C1077" s="85" t="str">
        <f>IFERROR(VLOOKUP(A1077,Lookup!A:C,3,0),"")</f>
        <v/>
      </c>
      <c r="J1077">
        <f t="shared" si="20"/>
        <v>4</v>
      </c>
    </row>
    <row r="1078" spans="2:10" ht="14.45" hidden="1" x14ac:dyDescent="0.3">
      <c r="B1078" s="85" t="str">
        <f>IFERROR(VLOOKUP(A1078,Lookup!A:B,2,0),"")</f>
        <v/>
      </c>
      <c r="C1078" s="85" t="str">
        <f>IFERROR(VLOOKUP(A1078,Lookup!A:C,3,0),"")</f>
        <v/>
      </c>
      <c r="J1078">
        <f t="shared" si="20"/>
        <v>4</v>
      </c>
    </row>
    <row r="1079" spans="2:10" ht="14.45" hidden="1" x14ac:dyDescent="0.3">
      <c r="B1079" s="85" t="str">
        <f>IFERROR(VLOOKUP(A1079,Lookup!A:B,2,0),"")</f>
        <v/>
      </c>
      <c r="C1079" s="85" t="str">
        <f>IFERROR(VLOOKUP(A1079,Lookup!A:C,3,0),"")</f>
        <v/>
      </c>
      <c r="J1079">
        <f t="shared" si="20"/>
        <v>4</v>
      </c>
    </row>
    <row r="1080" spans="2:10" ht="14.45" hidden="1" x14ac:dyDescent="0.3">
      <c r="B1080" s="85" t="str">
        <f>IFERROR(VLOOKUP(A1080,Lookup!A:B,2,0),"")</f>
        <v/>
      </c>
      <c r="C1080" s="85" t="str">
        <f>IFERROR(VLOOKUP(A1080,Lookup!A:C,3,0),"")</f>
        <v/>
      </c>
      <c r="J1080">
        <f t="shared" si="20"/>
        <v>4</v>
      </c>
    </row>
    <row r="1081" spans="2:10" ht="14.45" hidden="1" x14ac:dyDescent="0.3">
      <c r="B1081" s="85" t="str">
        <f>IFERROR(VLOOKUP(A1081,Lookup!A:B,2,0),"")</f>
        <v/>
      </c>
      <c r="C1081" s="85" t="str">
        <f>IFERROR(VLOOKUP(A1081,Lookup!A:C,3,0),"")</f>
        <v/>
      </c>
      <c r="J1081">
        <f t="shared" si="20"/>
        <v>4</v>
      </c>
    </row>
    <row r="1082" spans="2:10" ht="14.45" hidden="1" x14ac:dyDescent="0.3">
      <c r="B1082" s="85" t="str">
        <f>IFERROR(VLOOKUP(A1082,Lookup!A:B,2,0),"")</f>
        <v/>
      </c>
      <c r="C1082" s="85" t="str">
        <f>IFERROR(VLOOKUP(A1082,Lookup!A:C,3,0),"")</f>
        <v/>
      </c>
      <c r="J1082">
        <f t="shared" si="20"/>
        <v>4</v>
      </c>
    </row>
    <row r="1083" spans="2:10" ht="14.45" hidden="1" x14ac:dyDescent="0.3">
      <c r="B1083" s="85" t="str">
        <f>IFERROR(VLOOKUP(A1083,Lookup!A:B,2,0),"")</f>
        <v/>
      </c>
      <c r="C1083" s="85" t="str">
        <f>IFERROR(VLOOKUP(A1083,Lookup!A:C,3,0),"")</f>
        <v/>
      </c>
      <c r="J1083">
        <f t="shared" si="20"/>
        <v>4</v>
      </c>
    </row>
    <row r="1084" spans="2:10" ht="14.45" hidden="1" x14ac:dyDescent="0.3">
      <c r="B1084" s="85" t="str">
        <f>IFERROR(VLOOKUP(A1084,Lookup!A:B,2,0),"")</f>
        <v/>
      </c>
      <c r="C1084" s="85" t="str">
        <f>IFERROR(VLOOKUP(A1084,Lookup!A:C,3,0),"")</f>
        <v/>
      </c>
      <c r="J1084">
        <f t="shared" si="20"/>
        <v>4</v>
      </c>
    </row>
    <row r="1085" spans="2:10" ht="14.45" hidden="1" x14ac:dyDescent="0.3">
      <c r="B1085" s="85" t="str">
        <f>IFERROR(VLOOKUP(A1085,Lookup!A:B,2,0),"")</f>
        <v/>
      </c>
      <c r="C1085" s="85" t="str">
        <f>IFERROR(VLOOKUP(A1085,Lookup!A:C,3,0),"")</f>
        <v/>
      </c>
      <c r="J1085">
        <f t="shared" si="20"/>
        <v>4</v>
      </c>
    </row>
    <row r="1086" spans="2:10" ht="14.45" hidden="1" x14ac:dyDescent="0.3">
      <c r="B1086" s="85" t="str">
        <f>IFERROR(VLOOKUP(A1086,Lookup!A:B,2,0),"")</f>
        <v/>
      </c>
      <c r="C1086" s="85" t="str">
        <f>IFERROR(VLOOKUP(A1086,Lookup!A:C,3,0),"")</f>
        <v/>
      </c>
      <c r="J1086">
        <f t="shared" si="20"/>
        <v>4</v>
      </c>
    </row>
    <row r="1087" spans="2:10" ht="14.45" hidden="1" x14ac:dyDescent="0.3">
      <c r="B1087" s="85" t="str">
        <f>IFERROR(VLOOKUP(A1087,Lookup!A:B,2,0),"")</f>
        <v/>
      </c>
      <c r="C1087" s="85" t="str">
        <f>IFERROR(VLOOKUP(A1087,Lookup!A:C,3,0),"")</f>
        <v/>
      </c>
      <c r="J1087">
        <f t="shared" si="20"/>
        <v>4</v>
      </c>
    </row>
    <row r="1088" spans="2:10" ht="14.45" hidden="1" x14ac:dyDescent="0.3">
      <c r="B1088" s="85" t="str">
        <f>IFERROR(VLOOKUP(A1088,Lookup!A:B,2,0),"")</f>
        <v/>
      </c>
      <c r="C1088" s="85" t="str">
        <f>IFERROR(VLOOKUP(A1088,Lookup!A:C,3,0),"")</f>
        <v/>
      </c>
      <c r="J1088">
        <f t="shared" si="20"/>
        <v>4</v>
      </c>
    </row>
    <row r="1089" spans="2:10" ht="14.45" hidden="1" x14ac:dyDescent="0.3">
      <c r="B1089" s="85" t="str">
        <f>IFERROR(VLOOKUP(A1089,Lookup!A:B,2,0),"")</f>
        <v/>
      </c>
      <c r="C1089" s="85" t="str">
        <f>IFERROR(VLOOKUP(A1089,Lookup!A:C,3,0),"")</f>
        <v/>
      </c>
      <c r="J1089">
        <f t="shared" si="20"/>
        <v>4</v>
      </c>
    </row>
    <row r="1090" spans="2:10" ht="14.45" hidden="1" x14ac:dyDescent="0.3">
      <c r="B1090" s="85" t="str">
        <f>IFERROR(VLOOKUP(A1090,Lookup!A:B,2,0),"")</f>
        <v/>
      </c>
      <c r="C1090" s="85" t="str">
        <f>IFERROR(VLOOKUP(A1090,Lookup!A:C,3,0),"")</f>
        <v/>
      </c>
      <c r="J1090">
        <f t="shared" si="20"/>
        <v>4</v>
      </c>
    </row>
    <row r="1091" spans="2:10" ht="14.45" hidden="1" x14ac:dyDescent="0.3">
      <c r="B1091" s="85" t="str">
        <f>IFERROR(VLOOKUP(A1091,Lookup!A:B,2,0),"")</f>
        <v/>
      </c>
      <c r="C1091" s="85" t="str">
        <f>IFERROR(VLOOKUP(A1091,Lookup!A:C,3,0),"")</f>
        <v/>
      </c>
      <c r="J1091">
        <f t="shared" si="20"/>
        <v>4</v>
      </c>
    </row>
    <row r="1092" spans="2:10" ht="14.45" hidden="1" x14ac:dyDescent="0.3">
      <c r="B1092" s="85" t="str">
        <f>IFERROR(VLOOKUP(A1092,Lookup!A:B,2,0),"")</f>
        <v/>
      </c>
      <c r="C1092" s="85" t="str">
        <f>IFERROR(VLOOKUP(A1092,Lookup!A:C,3,0),"")</f>
        <v/>
      </c>
      <c r="J1092">
        <f t="shared" si="20"/>
        <v>4</v>
      </c>
    </row>
    <row r="1093" spans="2:10" ht="14.45" hidden="1" x14ac:dyDescent="0.3">
      <c r="B1093" s="85" t="str">
        <f>IFERROR(VLOOKUP(A1093,Lookup!A:B,2,0),"")</f>
        <v/>
      </c>
      <c r="C1093" s="85" t="str">
        <f>IFERROR(VLOOKUP(A1093,Lookup!A:C,3,0),"")</f>
        <v/>
      </c>
      <c r="J1093">
        <f t="shared" si="20"/>
        <v>4</v>
      </c>
    </row>
    <row r="1094" spans="2:10" ht="14.45" hidden="1" x14ac:dyDescent="0.3">
      <c r="B1094" s="85" t="str">
        <f>IFERROR(VLOOKUP(A1094,Lookup!A:B,2,0),"")</f>
        <v/>
      </c>
      <c r="C1094" s="85" t="str">
        <f>IFERROR(VLOOKUP(A1094,Lookup!A:C,3,0),"")</f>
        <v/>
      </c>
      <c r="J1094">
        <f t="shared" si="20"/>
        <v>4</v>
      </c>
    </row>
    <row r="1095" spans="2:10" ht="14.45" hidden="1" x14ac:dyDescent="0.3">
      <c r="B1095" s="85" t="str">
        <f>IFERROR(VLOOKUP(A1095,Lookup!A:B,2,0),"")</f>
        <v/>
      </c>
      <c r="C1095" s="85" t="str">
        <f>IFERROR(VLOOKUP(A1095,Lookup!A:C,3,0),"")</f>
        <v/>
      </c>
      <c r="J1095">
        <f t="shared" si="20"/>
        <v>4</v>
      </c>
    </row>
    <row r="1096" spans="2:10" ht="14.45" hidden="1" x14ac:dyDescent="0.3">
      <c r="B1096" s="85" t="str">
        <f>IFERROR(VLOOKUP(A1096,Lookup!A:B,2,0),"")</f>
        <v/>
      </c>
      <c r="C1096" s="85" t="str">
        <f>IFERROR(VLOOKUP(A1096,Lookup!A:C,3,0),"")</f>
        <v/>
      </c>
      <c r="J1096">
        <f t="shared" si="20"/>
        <v>4</v>
      </c>
    </row>
    <row r="1097" spans="2:10" ht="14.45" hidden="1" x14ac:dyDescent="0.3">
      <c r="B1097" s="85" t="str">
        <f>IFERROR(VLOOKUP(A1097,Lookup!A:B,2,0),"")</f>
        <v/>
      </c>
      <c r="C1097" s="85" t="str">
        <f>IFERROR(VLOOKUP(A1097,Lookup!A:C,3,0),"")</f>
        <v/>
      </c>
      <c r="J1097">
        <f t="shared" si="20"/>
        <v>4</v>
      </c>
    </row>
    <row r="1098" spans="2:10" ht="14.45" hidden="1" x14ac:dyDescent="0.3">
      <c r="B1098" s="85" t="str">
        <f>IFERROR(VLOOKUP(A1098,Lookup!A:B,2,0),"")</f>
        <v/>
      </c>
      <c r="C1098" s="85" t="str">
        <f>IFERROR(VLOOKUP(A1098,Lookup!A:C,3,0),"")</f>
        <v/>
      </c>
      <c r="J1098">
        <f t="shared" si="20"/>
        <v>4</v>
      </c>
    </row>
    <row r="1099" spans="2:10" ht="14.45" hidden="1" x14ac:dyDescent="0.3">
      <c r="B1099" s="85" t="str">
        <f>IFERROR(VLOOKUP(A1099,Lookup!A:B,2,0),"")</f>
        <v/>
      </c>
      <c r="C1099" s="85" t="str">
        <f>IFERROR(VLOOKUP(A1099,Lookup!A:C,3,0),"")</f>
        <v/>
      </c>
      <c r="J1099">
        <f t="shared" si="20"/>
        <v>4</v>
      </c>
    </row>
    <row r="1100" spans="2:10" ht="14.45" hidden="1" x14ac:dyDescent="0.3">
      <c r="B1100" s="85" t="str">
        <f>IFERROR(VLOOKUP(A1100,Lookup!A:B,2,0),"")</f>
        <v/>
      </c>
      <c r="C1100" s="85" t="str">
        <f>IFERROR(VLOOKUP(A1100,Lookup!A:C,3,0),"")</f>
        <v/>
      </c>
      <c r="J1100">
        <f t="shared" si="20"/>
        <v>4</v>
      </c>
    </row>
    <row r="1101" spans="2:10" ht="14.45" hidden="1" x14ac:dyDescent="0.3">
      <c r="B1101" s="85" t="str">
        <f>IFERROR(VLOOKUP(A1101,Lookup!A:B,2,0),"")</f>
        <v/>
      </c>
      <c r="C1101" s="85" t="str">
        <f>IFERROR(VLOOKUP(A1101,Lookup!A:C,3,0),"")</f>
        <v/>
      </c>
      <c r="J1101">
        <f t="shared" si="20"/>
        <v>4</v>
      </c>
    </row>
    <row r="1102" spans="2:10" ht="14.45" hidden="1" x14ac:dyDescent="0.3">
      <c r="B1102" s="85" t="str">
        <f>IFERROR(VLOOKUP(A1102,Lookup!A:B,2,0),"")</f>
        <v/>
      </c>
      <c r="C1102" s="85" t="str">
        <f>IFERROR(VLOOKUP(A1102,Lookup!A:C,3,0),"")</f>
        <v/>
      </c>
      <c r="J1102">
        <f t="shared" si="20"/>
        <v>4</v>
      </c>
    </row>
    <row r="1103" spans="2:10" ht="14.45" hidden="1" x14ac:dyDescent="0.3">
      <c r="B1103" s="85" t="str">
        <f>IFERROR(VLOOKUP(A1103,Lookup!A:B,2,0),"")</f>
        <v/>
      </c>
      <c r="C1103" s="85" t="str">
        <f>IFERROR(VLOOKUP(A1103,Lookup!A:C,3,0),"")</f>
        <v/>
      </c>
      <c r="J1103">
        <f t="shared" ref="J1103:J1120" si="21">IF(H1103="SET",1,IF(H1103="FREQ",3,IF(H1103="",4,2)))</f>
        <v>4</v>
      </c>
    </row>
    <row r="1104" spans="2:10" ht="14.45" hidden="1" x14ac:dyDescent="0.3">
      <c r="B1104" s="85" t="str">
        <f>IFERROR(VLOOKUP(A1104,Lookup!A:B,2,0),"")</f>
        <v/>
      </c>
      <c r="C1104" s="85" t="str">
        <f>IFERROR(VLOOKUP(A1104,Lookup!A:C,3,0),"")</f>
        <v/>
      </c>
      <c r="J1104">
        <f t="shared" si="21"/>
        <v>4</v>
      </c>
    </row>
    <row r="1105" spans="2:10" ht="14.45" hidden="1" x14ac:dyDescent="0.3">
      <c r="B1105" s="85" t="str">
        <f>IFERROR(VLOOKUP(A1105,Lookup!A:B,2,0),"")</f>
        <v/>
      </c>
      <c r="C1105" s="85" t="str">
        <f>IFERROR(VLOOKUP(A1105,Lookup!A:C,3,0),"")</f>
        <v/>
      </c>
      <c r="J1105">
        <f t="shared" si="21"/>
        <v>4</v>
      </c>
    </row>
    <row r="1106" spans="2:10" ht="14.45" hidden="1" x14ac:dyDescent="0.3">
      <c r="B1106" s="85" t="str">
        <f>IFERROR(VLOOKUP(A1106,Lookup!A:B,2,0),"")</f>
        <v/>
      </c>
      <c r="C1106" s="85" t="str">
        <f>IFERROR(VLOOKUP(A1106,Lookup!A:C,3,0),"")</f>
        <v/>
      </c>
      <c r="J1106">
        <f t="shared" si="21"/>
        <v>4</v>
      </c>
    </row>
    <row r="1107" spans="2:10" ht="14.45" hidden="1" x14ac:dyDescent="0.3">
      <c r="B1107" s="85" t="str">
        <f>IFERROR(VLOOKUP(A1107,Lookup!A:B,2,0),"")</f>
        <v/>
      </c>
      <c r="C1107" s="85" t="str">
        <f>IFERROR(VLOOKUP(A1107,Lookup!A:C,3,0),"")</f>
        <v/>
      </c>
      <c r="J1107">
        <f t="shared" si="21"/>
        <v>4</v>
      </c>
    </row>
    <row r="1108" spans="2:10" ht="14.45" hidden="1" x14ac:dyDescent="0.3">
      <c r="B1108" s="85" t="str">
        <f>IFERROR(VLOOKUP(A1108,Lookup!A:B,2,0),"")</f>
        <v/>
      </c>
      <c r="C1108" s="85" t="str">
        <f>IFERROR(VLOOKUP(A1108,Lookup!A:C,3,0),"")</f>
        <v/>
      </c>
      <c r="J1108">
        <f t="shared" si="21"/>
        <v>4</v>
      </c>
    </row>
    <row r="1109" spans="2:10" ht="14.45" hidden="1" x14ac:dyDescent="0.3">
      <c r="B1109" s="85" t="str">
        <f>IFERROR(VLOOKUP(A1109,Lookup!A:B,2,0),"")</f>
        <v/>
      </c>
      <c r="C1109" s="85" t="str">
        <f>IFERROR(VLOOKUP(A1109,Lookup!A:C,3,0),"")</f>
        <v/>
      </c>
      <c r="J1109">
        <f t="shared" si="21"/>
        <v>4</v>
      </c>
    </row>
    <row r="1110" spans="2:10" ht="14.45" hidden="1" x14ac:dyDescent="0.3">
      <c r="B1110" s="85" t="str">
        <f>IFERROR(VLOOKUP(A1110,Lookup!A:B,2,0),"")</f>
        <v/>
      </c>
      <c r="C1110" s="85" t="str">
        <f>IFERROR(VLOOKUP(A1110,Lookup!A:C,3,0),"")</f>
        <v/>
      </c>
      <c r="J1110">
        <f t="shared" si="21"/>
        <v>4</v>
      </c>
    </row>
    <row r="1111" spans="2:10" ht="14.45" hidden="1" x14ac:dyDescent="0.3">
      <c r="B1111" s="85" t="str">
        <f>IFERROR(VLOOKUP(A1111,Lookup!A:B,2,0),"")</f>
        <v/>
      </c>
      <c r="C1111" s="85" t="str">
        <f>IFERROR(VLOOKUP(A1111,Lookup!A:C,3,0),"")</f>
        <v/>
      </c>
      <c r="J1111">
        <f t="shared" si="21"/>
        <v>4</v>
      </c>
    </row>
    <row r="1112" spans="2:10" ht="14.45" hidden="1" x14ac:dyDescent="0.3">
      <c r="B1112" s="85" t="str">
        <f>IFERROR(VLOOKUP(A1112,Lookup!A:B,2,0),"")</f>
        <v/>
      </c>
      <c r="C1112" s="85" t="str">
        <f>IFERROR(VLOOKUP(A1112,Lookup!A:C,3,0),"")</f>
        <v/>
      </c>
      <c r="J1112">
        <f t="shared" si="21"/>
        <v>4</v>
      </c>
    </row>
    <row r="1113" spans="2:10" ht="14.45" hidden="1" x14ac:dyDescent="0.3">
      <c r="B1113" s="85" t="str">
        <f>IFERROR(VLOOKUP(A1113,Lookup!A:B,2,0),"")</f>
        <v/>
      </c>
      <c r="C1113" s="85" t="str">
        <f>IFERROR(VLOOKUP(A1113,Lookup!A:C,3,0),"")</f>
        <v/>
      </c>
      <c r="J1113">
        <f t="shared" si="21"/>
        <v>4</v>
      </c>
    </row>
    <row r="1114" spans="2:10" ht="14.45" hidden="1" x14ac:dyDescent="0.3">
      <c r="B1114" s="85" t="str">
        <f>IFERROR(VLOOKUP(A1114,Lookup!A:B,2,0),"")</f>
        <v/>
      </c>
      <c r="C1114" s="85" t="str">
        <f>IFERROR(VLOOKUP(A1114,Lookup!A:C,3,0),"")</f>
        <v/>
      </c>
      <c r="J1114">
        <f t="shared" si="21"/>
        <v>4</v>
      </c>
    </row>
    <row r="1115" spans="2:10" ht="14.45" hidden="1" x14ac:dyDescent="0.3">
      <c r="B1115" s="85" t="str">
        <f>IFERROR(VLOOKUP(A1115,Lookup!A:B,2,0),"")</f>
        <v/>
      </c>
      <c r="C1115" s="85" t="str">
        <f>IFERROR(VLOOKUP(A1115,Lookup!A:C,3,0),"")</f>
        <v/>
      </c>
      <c r="J1115">
        <f t="shared" si="21"/>
        <v>4</v>
      </c>
    </row>
    <row r="1116" spans="2:10" ht="14.45" hidden="1" x14ac:dyDescent="0.3">
      <c r="B1116" s="85" t="str">
        <f>IFERROR(VLOOKUP(A1116,Lookup!A:B,2,0),"")</f>
        <v/>
      </c>
      <c r="C1116" s="85" t="str">
        <f>IFERROR(VLOOKUP(A1116,Lookup!A:C,3,0),"")</f>
        <v/>
      </c>
      <c r="J1116">
        <f t="shared" si="21"/>
        <v>4</v>
      </c>
    </row>
    <row r="1117" spans="2:10" ht="14.45" hidden="1" x14ac:dyDescent="0.3">
      <c r="B1117" s="85" t="str">
        <f>IFERROR(VLOOKUP(A1117,Lookup!A:B,2,0),"")</f>
        <v/>
      </c>
      <c r="J1117">
        <f t="shared" si="21"/>
        <v>4</v>
      </c>
    </row>
    <row r="1118" spans="2:10" ht="14.45" hidden="1" x14ac:dyDescent="0.3">
      <c r="B1118" s="85" t="str">
        <f>IFERROR(VLOOKUP(A1118,Lookup!A:B,2,0),"")</f>
        <v/>
      </c>
      <c r="J1118">
        <f t="shared" si="21"/>
        <v>4</v>
      </c>
    </row>
    <row r="1119" spans="2:10" ht="14.45" hidden="1" x14ac:dyDescent="0.3">
      <c r="B1119" s="85" t="str">
        <f>IFERROR(VLOOKUP(A1119,Lookup!A:B,2,0),"")</f>
        <v/>
      </c>
      <c r="J1119">
        <f t="shared" si="21"/>
        <v>4</v>
      </c>
    </row>
    <row r="1120" spans="2:10" ht="14.45" hidden="1" x14ac:dyDescent="0.3">
      <c r="B1120" s="85" t="str">
        <f>IFERROR(VLOOKUP(A1120,Lookup!A:B,2,0),"")</f>
        <v/>
      </c>
      <c r="J1120">
        <f t="shared" si="21"/>
        <v>4</v>
      </c>
    </row>
    <row r="1121" x14ac:dyDescent="0.25"/>
    <row r="1122" x14ac:dyDescent="0.25"/>
  </sheetData>
  <autoFilter ref="A3:T3"/>
  <sortState ref="A5:J98">
    <sortCondition ref="J3"/>
  </sortState>
  <mergeCells count="1">
    <mergeCell ref="B1:I2"/>
  </mergeCell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1268" r:id="rId4" name="CommandButton3">
          <controlPr defaultSize="0" autoLine="0" r:id="rId5">
            <anchor moveWithCells="1">
              <from>
                <xdr:col>8</xdr:col>
                <xdr:colOff>247650</xdr:colOff>
                <xdr:row>0</xdr:row>
                <xdr:rowOff>104775</xdr:rowOff>
              </from>
              <to>
                <xdr:col>8</xdr:col>
                <xdr:colOff>1371600</xdr:colOff>
                <xdr:row>0</xdr:row>
                <xdr:rowOff>419100</xdr:rowOff>
              </to>
            </anchor>
          </controlPr>
        </control>
      </mc:Choice>
      <mc:Fallback>
        <control shapeId="11268" r:id="rId4" name="CommandButton3"/>
      </mc:Fallback>
    </mc:AlternateContent>
    <mc:AlternateContent xmlns:mc="http://schemas.openxmlformats.org/markup-compatibility/2006">
      <mc:Choice Requires="x14">
        <control shapeId="11267" r:id="rId6" name="CommandButton2">
          <controlPr defaultSize="0" autoLine="0" r:id="rId7">
            <anchor moveWithCells="1">
              <from>
                <xdr:col>8</xdr:col>
                <xdr:colOff>247650</xdr:colOff>
                <xdr:row>0</xdr:row>
                <xdr:rowOff>542925</xdr:rowOff>
              </from>
              <to>
                <xdr:col>8</xdr:col>
                <xdr:colOff>1371600</xdr:colOff>
                <xdr:row>1</xdr:row>
                <xdr:rowOff>200025</xdr:rowOff>
              </to>
            </anchor>
          </controlPr>
        </control>
      </mc:Choice>
      <mc:Fallback>
        <control shapeId="11267" r:id="rId6" name="CommandButton2"/>
      </mc:Fallback>
    </mc:AlternateContent>
    <mc:AlternateContent xmlns:mc="http://schemas.openxmlformats.org/markup-compatibility/2006">
      <mc:Choice Requires="x14">
        <control shapeId="11266" r:id="rId8" name="CommandButton1">
          <controlPr defaultSize="0" autoLine="0" r:id="rId9">
            <anchor moveWithCells="1">
              <from>
                <xdr:col>8</xdr:col>
                <xdr:colOff>266700</xdr:colOff>
                <xdr:row>1</xdr:row>
                <xdr:rowOff>342900</xdr:rowOff>
              </from>
              <to>
                <xdr:col>8</xdr:col>
                <xdr:colOff>1381125</xdr:colOff>
                <xdr:row>1</xdr:row>
                <xdr:rowOff>638175</xdr:rowOff>
              </to>
            </anchor>
          </controlPr>
        </control>
      </mc:Choice>
      <mc:Fallback>
        <control shapeId="11266" r:id="rId8" name="CommandButton1"/>
      </mc:Fallback>
    </mc:AlternateContent>
    <mc:AlternateContent xmlns:mc="http://schemas.openxmlformats.org/markup-compatibility/2006">
      <mc:Choice Requires="x14">
        <control shapeId="11265" r:id="rId10" name="HomeCommandButton1">
          <controlPr defaultSize="0" autoLine="0" r:id="rId11">
            <anchor moveWithCells="1">
              <from>
                <xdr:col>1</xdr:col>
                <xdr:colOff>514350</xdr:colOff>
                <xdr:row>0</xdr:row>
                <xdr:rowOff>390525</xdr:rowOff>
              </from>
              <to>
                <xdr:col>2</xdr:col>
                <xdr:colOff>933450</xdr:colOff>
                <xdr:row>1</xdr:row>
                <xdr:rowOff>323850</xdr:rowOff>
              </to>
            </anchor>
          </controlPr>
        </control>
      </mc:Choice>
      <mc:Fallback>
        <control shapeId="11265" r:id="rId10" name="Home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100L"/>
  <dimension ref="A1:X2102"/>
  <sheetViews>
    <sheetView showGridLines="0" workbookViewId="0">
      <pane xSplit="2" topLeftCell="N1" activePane="topRight" state="frozen"/>
      <selection pane="topRight" activeCell="N4" sqref="N4"/>
    </sheetView>
  </sheetViews>
  <sheetFormatPr defaultColWidth="0" defaultRowHeight="15" x14ac:dyDescent="0.25"/>
  <cols>
    <col min="1" max="1" width="16.140625" style="51" customWidth="1"/>
    <col min="2" max="2" width="10.140625" style="54" customWidth="1"/>
    <col min="3" max="3" width="22.140625" style="54" customWidth="1"/>
    <col min="4" max="4" width="9.7109375" style="54" customWidth="1"/>
    <col min="5" max="5" width="11.5703125" style="67" bestFit="1" customWidth="1"/>
    <col min="6" max="6" width="11.5703125" style="54" customWidth="1"/>
    <col min="7" max="7" width="12.42578125" style="55" customWidth="1"/>
    <col min="8" max="8" width="10.28515625" style="54" customWidth="1"/>
    <col min="9" max="9" width="15.7109375" style="56" customWidth="1"/>
    <col min="10" max="10" width="15.7109375" style="105" hidden="1" customWidth="1"/>
    <col min="11" max="11" width="15.7109375" style="105" customWidth="1"/>
    <col min="12" max="13" width="21.42578125" style="115" customWidth="1"/>
    <col min="14" max="14" width="24.7109375" style="121" customWidth="1"/>
    <col min="15" max="15" width="1.42578125" style="57" hidden="1" customWidth="1"/>
    <col min="16" max="16" width="23.140625" style="119" customWidth="1"/>
    <col min="17" max="17" width="23.5703125" style="110" customWidth="1"/>
    <col min="18" max="19" width="18.7109375" style="58" customWidth="1"/>
    <col min="20" max="21" width="8.85546875" style="54" customWidth="1"/>
    <col min="22" max="22" width="12.85546875" style="54" customWidth="1"/>
    <col min="23" max="23" width="32" style="54" customWidth="1"/>
    <col min="24" max="24" width="9.140625" style="60" hidden="1" customWidth="1"/>
    <col min="25" max="16384" width="2.5703125" style="55" hidden="1"/>
  </cols>
  <sheetData>
    <row r="1" spans="1:24" s="48" customFormat="1" ht="40.5" customHeight="1" x14ac:dyDescent="0.25">
      <c r="A1" s="134"/>
      <c r="B1" s="135"/>
      <c r="C1" s="74"/>
      <c r="D1" s="142" t="s">
        <v>114</v>
      </c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75"/>
      <c r="P1" s="117"/>
      <c r="Q1" s="138"/>
      <c r="R1" s="139"/>
      <c r="S1" s="139"/>
      <c r="T1" s="139"/>
      <c r="U1" s="139"/>
      <c r="V1" s="139"/>
      <c r="W1" s="139"/>
      <c r="X1" s="139"/>
    </row>
    <row r="2" spans="1:24" s="49" customFormat="1" ht="55.9" customHeight="1" x14ac:dyDescent="0.25">
      <c r="A2" s="136"/>
      <c r="B2" s="137"/>
      <c r="C2" s="7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73"/>
      <c r="P2" s="118"/>
      <c r="Q2" s="140"/>
      <c r="R2" s="141"/>
      <c r="S2" s="141"/>
      <c r="T2" s="141"/>
      <c r="U2" s="141"/>
      <c r="V2" s="141"/>
      <c r="W2" s="141"/>
      <c r="X2" s="141"/>
    </row>
    <row r="3" spans="1:24" s="81" customFormat="1" ht="62.25" customHeight="1" x14ac:dyDescent="0.3">
      <c r="A3" s="76" t="s">
        <v>89</v>
      </c>
      <c r="B3" s="76" t="s">
        <v>3</v>
      </c>
      <c r="C3" s="76" t="s">
        <v>0</v>
      </c>
      <c r="D3" s="76" t="s">
        <v>4</v>
      </c>
      <c r="E3" s="96" t="s">
        <v>6</v>
      </c>
      <c r="F3" s="76" t="s">
        <v>91</v>
      </c>
      <c r="G3" s="77" t="s">
        <v>108</v>
      </c>
      <c r="H3" s="76" t="s">
        <v>117</v>
      </c>
      <c r="I3" s="76" t="s">
        <v>5</v>
      </c>
      <c r="J3" s="104" t="s">
        <v>121</v>
      </c>
      <c r="K3" s="104" t="s">
        <v>122</v>
      </c>
      <c r="L3" s="114" t="s">
        <v>7</v>
      </c>
      <c r="M3" s="114" t="s">
        <v>8</v>
      </c>
      <c r="N3" s="114" t="s">
        <v>9</v>
      </c>
      <c r="O3" s="78" t="s">
        <v>2</v>
      </c>
      <c r="P3" s="114" t="s">
        <v>10</v>
      </c>
      <c r="Q3" s="114" t="s">
        <v>11</v>
      </c>
      <c r="R3" s="79" t="s">
        <v>14</v>
      </c>
      <c r="S3" s="79" t="s">
        <v>112</v>
      </c>
      <c r="T3" s="80" t="s">
        <v>12</v>
      </c>
      <c r="U3" s="80" t="s">
        <v>150</v>
      </c>
      <c r="V3" s="80" t="s">
        <v>13</v>
      </c>
      <c r="W3" s="80" t="s">
        <v>111</v>
      </c>
      <c r="X3" s="76" t="s">
        <v>109</v>
      </c>
    </row>
    <row r="4" spans="1:24" ht="14.45" x14ac:dyDescent="0.3">
      <c r="A4" s="53">
        <v>4178302059</v>
      </c>
      <c r="B4" s="59" t="s">
        <v>18</v>
      </c>
      <c r="C4" s="59" t="s">
        <v>20</v>
      </c>
      <c r="D4" s="59" t="s">
        <v>129</v>
      </c>
      <c r="E4" s="92" t="s">
        <v>131</v>
      </c>
      <c r="F4" s="59" t="s">
        <v>130</v>
      </c>
      <c r="G4" s="88" t="s">
        <v>128</v>
      </c>
      <c r="H4" s="59"/>
      <c r="I4" s="89" t="s">
        <v>132</v>
      </c>
      <c r="J4" s="103">
        <v>0.12847222222222224</v>
      </c>
      <c r="K4" s="103">
        <v>43620.535185185188</v>
      </c>
      <c r="L4" s="110"/>
      <c r="M4" s="110"/>
      <c r="N4" s="120"/>
      <c r="O4" s="86" t="str">
        <f>IFERROR(VLOOKUP(A4&amp;G4,Lookup!J:K,2,0),"")</f>
        <v/>
      </c>
      <c r="P4" s="110" t="str">
        <f t="shared" ref="P4:P36" si="0">IF(N4="","",N4+O4)</f>
        <v/>
      </c>
      <c r="R4" s="87" t="str">
        <f t="shared" ref="R4:R36" si="1">IF(OR(EXACT(N4,""), EXACT(L4,"")),"",N4-L4)</f>
        <v/>
      </c>
      <c r="S4" s="87" t="str">
        <f t="shared" ref="S4:S36" si="2">IF(OR(EXACT(Q4,""), EXACT(L4,"")),"",Q4-L4)</f>
        <v/>
      </c>
      <c r="T4" s="59" t="e">
        <v>#VALUE!</v>
      </c>
      <c r="U4" s="59"/>
      <c r="V4" s="59"/>
      <c r="W4" s="59"/>
      <c r="X4" s="60" t="str">
        <f t="shared" ref="X4:X35" si="3">IF(I4="SET","A",IF(I4="FREQ","C",IF(I4="","D","B")))</f>
        <v>B</v>
      </c>
    </row>
    <row r="5" spans="1:24" ht="14.45" x14ac:dyDescent="0.3">
      <c r="A5" s="53"/>
      <c r="B5" s="59" t="str">
        <f>IFERROR(VLOOKUP(A5,Lookup!A:B,2,0),"")</f>
        <v/>
      </c>
      <c r="C5" s="59" t="str">
        <f>IFERROR(VLOOKUP(A5,Lookup!A:C,3,0),"")</f>
        <v/>
      </c>
      <c r="D5" s="59"/>
      <c r="E5" s="92"/>
      <c r="F5" s="59"/>
      <c r="G5" s="88"/>
      <c r="H5" s="59"/>
      <c r="I5" s="89"/>
      <c r="J5" s="103">
        <f>VLOOKUP(A5&amp;G5,Lookup!J:N,5,0)</f>
        <v>0</v>
      </c>
      <c r="K5" s="103"/>
      <c r="L5" s="110"/>
      <c r="M5" s="110"/>
      <c r="N5" s="120"/>
      <c r="O5" s="86">
        <f>IFERROR(VLOOKUP(A5&amp;G5,Lookup!J:K,2,0),"")</f>
        <v>0</v>
      </c>
      <c r="P5" s="110" t="str">
        <f t="shared" si="0"/>
        <v/>
      </c>
      <c r="R5" s="87" t="str">
        <f t="shared" si="1"/>
        <v/>
      </c>
      <c r="S5" s="87" t="str">
        <f t="shared" si="2"/>
        <v/>
      </c>
      <c r="T5" s="59" t="e">
        <f t="shared" ref="T5:T36" si="4">IF(Q5-P5&gt;0.0415,"YES",(IF(OR(EXACT(Q5,""), EXACT(P5,"")),"","NO")))</f>
        <v>#VALUE!</v>
      </c>
      <c r="U5" s="59"/>
      <c r="V5" s="59"/>
      <c r="W5" s="59"/>
      <c r="X5" s="60" t="str">
        <f t="shared" si="3"/>
        <v>D</v>
      </c>
    </row>
    <row r="6" spans="1:24" ht="14.45" x14ac:dyDescent="0.3">
      <c r="A6" s="53"/>
      <c r="B6" s="59" t="str">
        <f>IFERROR(VLOOKUP(A6,Lookup!A:B,2,0),"")</f>
        <v/>
      </c>
      <c r="C6" s="59" t="str">
        <f>IFERROR(VLOOKUP(A6,Lookup!A:C,3,0),"")</f>
        <v/>
      </c>
      <c r="D6" s="59"/>
      <c r="E6" s="92"/>
      <c r="F6" s="59"/>
      <c r="G6" s="88"/>
      <c r="H6" s="59"/>
      <c r="I6" s="89"/>
      <c r="J6" s="103">
        <f>VLOOKUP(A6&amp;G6,Lookup!J:N,5,0)</f>
        <v>0</v>
      </c>
      <c r="K6" s="103"/>
      <c r="L6" s="110"/>
      <c r="M6" s="110"/>
      <c r="N6" s="120"/>
      <c r="O6" s="86">
        <f>IFERROR(VLOOKUP(A6&amp;G6,Lookup!J:K,2,0),"")</f>
        <v>0</v>
      </c>
      <c r="P6" s="110" t="str">
        <f t="shared" si="0"/>
        <v/>
      </c>
      <c r="R6" s="87" t="str">
        <f t="shared" si="1"/>
        <v/>
      </c>
      <c r="S6" s="87" t="str">
        <f t="shared" si="2"/>
        <v/>
      </c>
      <c r="T6" s="59" t="e">
        <f t="shared" si="4"/>
        <v>#VALUE!</v>
      </c>
      <c r="U6" s="59"/>
      <c r="V6" s="59"/>
      <c r="W6" s="59"/>
      <c r="X6" s="60" t="str">
        <f t="shared" si="3"/>
        <v>D</v>
      </c>
    </row>
    <row r="7" spans="1:24" ht="14.45" x14ac:dyDescent="0.3">
      <c r="A7" s="53"/>
      <c r="B7" s="59" t="str">
        <f>IFERROR(VLOOKUP(A7,Lookup!A:B,2,0),"")</f>
        <v/>
      </c>
      <c r="C7" s="59" t="str">
        <f>IFERROR(VLOOKUP(A7,Lookup!A:C,3,0),"")</f>
        <v/>
      </c>
      <c r="D7" s="59"/>
      <c r="E7" s="92"/>
      <c r="F7" s="59"/>
      <c r="G7" s="88"/>
      <c r="H7" s="59"/>
      <c r="I7" s="89"/>
      <c r="J7" s="103">
        <f>VLOOKUP(A7&amp;G7,Lookup!J:N,5,0)</f>
        <v>0</v>
      </c>
      <c r="K7" s="103"/>
      <c r="L7" s="110"/>
      <c r="M7" s="110"/>
      <c r="N7" s="120"/>
      <c r="O7" s="86">
        <f>IFERROR(VLOOKUP(A7&amp;G7,Lookup!J:K,2,0),"")</f>
        <v>0</v>
      </c>
      <c r="P7" s="110" t="str">
        <f t="shared" si="0"/>
        <v/>
      </c>
      <c r="R7" s="87" t="str">
        <f t="shared" si="1"/>
        <v/>
      </c>
      <c r="S7" s="87" t="str">
        <f t="shared" si="2"/>
        <v/>
      </c>
      <c r="T7" s="59" t="e">
        <f t="shared" si="4"/>
        <v>#VALUE!</v>
      </c>
      <c r="U7" s="59"/>
      <c r="V7" s="59"/>
      <c r="W7" s="59"/>
      <c r="X7" s="60" t="str">
        <f t="shared" si="3"/>
        <v>D</v>
      </c>
    </row>
    <row r="8" spans="1:24" ht="14.45" x14ac:dyDescent="0.3">
      <c r="A8" s="53"/>
      <c r="B8" s="59" t="str">
        <f>IFERROR(VLOOKUP(A8,Lookup!A:B,2,0),"")</f>
        <v/>
      </c>
      <c r="C8" s="59" t="str">
        <f>IFERROR(VLOOKUP(A8,Lookup!A:C,3,0),"")</f>
        <v/>
      </c>
      <c r="D8" s="59"/>
      <c r="E8" s="92"/>
      <c r="F8" s="59"/>
      <c r="G8" s="88"/>
      <c r="H8" s="59"/>
      <c r="I8" s="89"/>
      <c r="J8" s="103">
        <f>VLOOKUP(A8&amp;G8,Lookup!J:N,5,0)</f>
        <v>0</v>
      </c>
      <c r="K8" s="103"/>
      <c r="L8" s="110"/>
      <c r="M8" s="110"/>
      <c r="N8" s="120"/>
      <c r="O8" s="86">
        <f>IFERROR(VLOOKUP(A8&amp;G8,Lookup!J:K,2,0),"")</f>
        <v>0</v>
      </c>
      <c r="P8" s="110" t="str">
        <f t="shared" si="0"/>
        <v/>
      </c>
      <c r="R8" s="87" t="str">
        <f t="shared" si="1"/>
        <v/>
      </c>
      <c r="S8" s="87" t="str">
        <f t="shared" si="2"/>
        <v/>
      </c>
      <c r="T8" s="59" t="e">
        <f t="shared" si="4"/>
        <v>#VALUE!</v>
      </c>
      <c r="U8" s="59"/>
      <c r="V8" s="59"/>
      <c r="W8" s="59"/>
      <c r="X8" s="60" t="str">
        <f t="shared" si="3"/>
        <v>D</v>
      </c>
    </row>
    <row r="9" spans="1:24" ht="14.45" x14ac:dyDescent="0.3">
      <c r="A9" s="53"/>
      <c r="B9" s="59" t="str">
        <f>IFERROR(VLOOKUP(A9,Lookup!A:B,2,0),"")</f>
        <v/>
      </c>
      <c r="C9" s="59" t="str">
        <f>IFERROR(VLOOKUP(A9,Lookup!A:C,3,0),"")</f>
        <v/>
      </c>
      <c r="D9" s="59"/>
      <c r="E9" s="92"/>
      <c r="F9" s="59"/>
      <c r="G9" s="88"/>
      <c r="H9" s="59"/>
      <c r="I9" s="89"/>
      <c r="J9" s="103">
        <f>VLOOKUP(A9&amp;G9,Lookup!J:N,5,0)</f>
        <v>0</v>
      </c>
      <c r="K9" s="103"/>
      <c r="L9" s="110"/>
      <c r="M9" s="110"/>
      <c r="N9" s="120"/>
      <c r="O9" s="86">
        <f>IFERROR(VLOOKUP(A9&amp;G9,Lookup!J:K,2,0),"")</f>
        <v>0</v>
      </c>
      <c r="P9" s="110" t="str">
        <f t="shared" si="0"/>
        <v/>
      </c>
      <c r="R9" s="87" t="str">
        <f t="shared" si="1"/>
        <v/>
      </c>
      <c r="S9" s="87" t="str">
        <f t="shared" si="2"/>
        <v/>
      </c>
      <c r="T9" s="59" t="e">
        <f t="shared" si="4"/>
        <v>#VALUE!</v>
      </c>
      <c r="U9" s="59"/>
      <c r="V9" s="59"/>
      <c r="W9" s="59"/>
      <c r="X9" s="60" t="str">
        <f t="shared" si="3"/>
        <v>D</v>
      </c>
    </row>
    <row r="10" spans="1:24" ht="14.45" x14ac:dyDescent="0.3">
      <c r="A10" s="53"/>
      <c r="B10" s="59" t="str">
        <f>IFERROR(VLOOKUP(A10,Lookup!A:B,2,0),"")</f>
        <v/>
      </c>
      <c r="C10" s="59" t="str">
        <f>IFERROR(VLOOKUP(A10,Lookup!A:C,3,0),"")</f>
        <v/>
      </c>
      <c r="D10" s="59"/>
      <c r="E10" s="92"/>
      <c r="F10" s="59"/>
      <c r="G10" s="88"/>
      <c r="H10" s="59"/>
      <c r="I10" s="89"/>
      <c r="J10" s="103">
        <f>VLOOKUP(A10&amp;G10,Lookup!J:N,5,0)</f>
        <v>0</v>
      </c>
      <c r="K10" s="103"/>
      <c r="L10" s="110"/>
      <c r="M10" s="110"/>
      <c r="N10" s="120"/>
      <c r="O10" s="86">
        <f>IFERROR(VLOOKUP(A10&amp;G10,Lookup!J:K,2,0),"")</f>
        <v>0</v>
      </c>
      <c r="P10" s="110" t="str">
        <f t="shared" si="0"/>
        <v/>
      </c>
      <c r="R10" s="87" t="str">
        <f t="shared" si="1"/>
        <v/>
      </c>
      <c r="S10" s="87" t="str">
        <f t="shared" si="2"/>
        <v/>
      </c>
      <c r="T10" s="59" t="e">
        <f t="shared" si="4"/>
        <v>#VALUE!</v>
      </c>
      <c r="U10" s="59"/>
      <c r="V10" s="59"/>
      <c r="W10" s="59"/>
      <c r="X10" s="60" t="str">
        <f t="shared" si="3"/>
        <v>D</v>
      </c>
    </row>
    <row r="11" spans="1:24" ht="14.45" x14ac:dyDescent="0.3">
      <c r="A11" s="53"/>
      <c r="B11" s="59" t="str">
        <f>IFERROR(VLOOKUP(A11,Lookup!A:B,2,0),"")</f>
        <v/>
      </c>
      <c r="C11" s="59" t="str">
        <f>IFERROR(VLOOKUP(A11,Lookup!A:C,3,0),"")</f>
        <v/>
      </c>
      <c r="D11" s="59"/>
      <c r="E11" s="92"/>
      <c r="F11" s="59"/>
      <c r="G11" s="88"/>
      <c r="H11" s="59"/>
      <c r="I11" s="89"/>
      <c r="J11" s="103">
        <f>VLOOKUP(A11&amp;G11,Lookup!J:N,5,0)</f>
        <v>0</v>
      </c>
      <c r="K11" s="103"/>
      <c r="L11" s="110"/>
      <c r="M11" s="110"/>
      <c r="N11" s="120"/>
      <c r="O11" s="86">
        <f>IFERROR(VLOOKUP(A11&amp;G11,Lookup!J:K,2,0),"")</f>
        <v>0</v>
      </c>
      <c r="P11" s="110" t="str">
        <f t="shared" si="0"/>
        <v/>
      </c>
      <c r="R11" s="87" t="str">
        <f t="shared" si="1"/>
        <v/>
      </c>
      <c r="S11" s="87" t="str">
        <f t="shared" si="2"/>
        <v/>
      </c>
      <c r="T11" s="59" t="e">
        <f t="shared" si="4"/>
        <v>#VALUE!</v>
      </c>
      <c r="U11" s="59"/>
      <c r="V11" s="59"/>
      <c r="W11" s="59"/>
      <c r="X11" s="60" t="str">
        <f t="shared" si="3"/>
        <v>D</v>
      </c>
    </row>
    <row r="12" spans="1:24" ht="14.45" x14ac:dyDescent="0.3">
      <c r="A12" s="53"/>
      <c r="B12" s="59" t="str">
        <f>IFERROR(VLOOKUP(A12,Lookup!A:B,2,0),"")</f>
        <v/>
      </c>
      <c r="C12" s="59" t="str">
        <f>IFERROR(VLOOKUP(A12,Lookup!A:C,3,0),"")</f>
        <v/>
      </c>
      <c r="D12" s="59"/>
      <c r="E12" s="92"/>
      <c r="F12" s="59"/>
      <c r="G12" s="88"/>
      <c r="H12" s="59"/>
      <c r="I12" s="89"/>
      <c r="J12" s="103">
        <f>VLOOKUP(A12&amp;G12,Lookup!J:N,5,0)</f>
        <v>0</v>
      </c>
      <c r="K12" s="103"/>
      <c r="L12" s="110"/>
      <c r="M12" s="110"/>
      <c r="N12" s="120"/>
      <c r="O12" s="86">
        <f>IFERROR(VLOOKUP(A12&amp;G12,Lookup!J:K,2,0),"")</f>
        <v>0</v>
      </c>
      <c r="P12" s="110" t="str">
        <f t="shared" si="0"/>
        <v/>
      </c>
      <c r="R12" s="87" t="str">
        <f t="shared" si="1"/>
        <v/>
      </c>
      <c r="S12" s="87" t="str">
        <f t="shared" si="2"/>
        <v/>
      </c>
      <c r="T12" s="59" t="e">
        <f t="shared" si="4"/>
        <v>#VALUE!</v>
      </c>
      <c r="U12" s="59"/>
      <c r="V12" s="59"/>
      <c r="W12" s="59"/>
      <c r="X12" s="60" t="str">
        <f t="shared" si="3"/>
        <v>D</v>
      </c>
    </row>
    <row r="13" spans="1:24" ht="14.45" x14ac:dyDescent="0.3">
      <c r="A13" s="53"/>
      <c r="B13" s="59" t="str">
        <f>IFERROR(VLOOKUP(A13,Lookup!A:B,2,0),"")</f>
        <v/>
      </c>
      <c r="C13" s="59" t="str">
        <f>IFERROR(VLOOKUP(A13,Lookup!A:C,3,0),"")</f>
        <v/>
      </c>
      <c r="D13" s="59"/>
      <c r="E13" s="92"/>
      <c r="F13" s="59"/>
      <c r="G13" s="88"/>
      <c r="H13" s="59"/>
      <c r="I13" s="89"/>
      <c r="J13" s="103">
        <f>VLOOKUP(A13&amp;G13,Lookup!J:N,5,0)</f>
        <v>0</v>
      </c>
      <c r="K13" s="103"/>
      <c r="L13" s="110"/>
      <c r="M13" s="110"/>
      <c r="N13" s="120"/>
      <c r="O13" s="86">
        <f>IFERROR(VLOOKUP(A13&amp;G13,Lookup!J:K,2,0),"")</f>
        <v>0</v>
      </c>
      <c r="P13" s="110" t="str">
        <f t="shared" si="0"/>
        <v/>
      </c>
      <c r="R13" s="87" t="str">
        <f t="shared" si="1"/>
        <v/>
      </c>
      <c r="S13" s="87" t="str">
        <f t="shared" si="2"/>
        <v/>
      </c>
      <c r="T13" s="59" t="e">
        <f t="shared" si="4"/>
        <v>#VALUE!</v>
      </c>
      <c r="U13" s="59"/>
      <c r="V13" s="59"/>
      <c r="W13" s="59"/>
      <c r="X13" s="60" t="str">
        <f t="shared" si="3"/>
        <v>D</v>
      </c>
    </row>
    <row r="14" spans="1:24" ht="14.45" x14ac:dyDescent="0.3">
      <c r="A14" s="53"/>
      <c r="B14" s="59" t="str">
        <f>IFERROR(VLOOKUP(A14,Lookup!A:B,2,0),"")</f>
        <v/>
      </c>
      <c r="C14" s="59" t="str">
        <f>IFERROR(VLOOKUP(A14,Lookup!A:C,3,0),"")</f>
        <v/>
      </c>
      <c r="D14" s="59"/>
      <c r="E14" s="92"/>
      <c r="F14" s="59"/>
      <c r="G14" s="88"/>
      <c r="H14" s="59"/>
      <c r="I14" s="89"/>
      <c r="J14" s="103">
        <f>VLOOKUP(A14&amp;G14,Lookup!J:N,5,0)</f>
        <v>0</v>
      </c>
      <c r="K14" s="103"/>
      <c r="L14" s="110"/>
      <c r="M14" s="110"/>
      <c r="N14" s="120"/>
      <c r="O14" s="86">
        <f>IFERROR(VLOOKUP(A14&amp;G14,Lookup!J:K,2,0),"")</f>
        <v>0</v>
      </c>
      <c r="P14" s="110" t="str">
        <f t="shared" si="0"/>
        <v/>
      </c>
      <c r="R14" s="87" t="str">
        <f t="shared" si="1"/>
        <v/>
      </c>
      <c r="S14" s="87" t="str">
        <f t="shared" si="2"/>
        <v/>
      </c>
      <c r="T14" s="59" t="e">
        <f t="shared" si="4"/>
        <v>#VALUE!</v>
      </c>
      <c r="U14" s="59"/>
      <c r="V14" s="59"/>
      <c r="W14" s="59"/>
      <c r="X14" s="60" t="str">
        <f t="shared" si="3"/>
        <v>D</v>
      </c>
    </row>
    <row r="15" spans="1:24" ht="14.45" x14ac:dyDescent="0.3">
      <c r="A15" s="53"/>
      <c r="B15" s="59" t="str">
        <f>IFERROR(VLOOKUP(A15,Lookup!A:B,2,0),"")</f>
        <v/>
      </c>
      <c r="C15" s="59" t="str">
        <f>IFERROR(VLOOKUP(A15,Lookup!A:C,3,0),"")</f>
        <v/>
      </c>
      <c r="D15" s="59"/>
      <c r="E15" s="92"/>
      <c r="F15" s="59"/>
      <c r="G15" s="88"/>
      <c r="H15" s="59"/>
      <c r="I15" s="89"/>
      <c r="J15" s="103">
        <f>VLOOKUP(A15&amp;G15,Lookup!J:N,5,0)</f>
        <v>0</v>
      </c>
      <c r="K15" s="103"/>
      <c r="L15" s="110"/>
      <c r="M15" s="110"/>
      <c r="N15" s="120"/>
      <c r="O15" s="86">
        <f>IFERROR(VLOOKUP(A15&amp;G15,Lookup!J:K,2,0),"")</f>
        <v>0</v>
      </c>
      <c r="P15" s="110" t="str">
        <f t="shared" si="0"/>
        <v/>
      </c>
      <c r="R15" s="87" t="str">
        <f t="shared" si="1"/>
        <v/>
      </c>
      <c r="S15" s="87" t="str">
        <f t="shared" si="2"/>
        <v/>
      </c>
      <c r="T15" s="59" t="e">
        <f t="shared" si="4"/>
        <v>#VALUE!</v>
      </c>
      <c r="U15" s="59"/>
      <c r="V15" s="59"/>
      <c r="W15" s="59"/>
      <c r="X15" s="60" t="str">
        <f t="shared" si="3"/>
        <v>D</v>
      </c>
    </row>
    <row r="16" spans="1:24" ht="14.45" x14ac:dyDescent="0.3">
      <c r="A16" s="53"/>
      <c r="B16" s="59" t="str">
        <f>IFERROR(VLOOKUP(A16,Lookup!A:B,2,0),"")</f>
        <v/>
      </c>
      <c r="C16" s="59" t="str">
        <f>IFERROR(VLOOKUP(A16,Lookup!A:C,3,0),"")</f>
        <v/>
      </c>
      <c r="D16" s="59"/>
      <c r="E16" s="92"/>
      <c r="F16" s="59"/>
      <c r="G16" s="88"/>
      <c r="H16" s="59"/>
      <c r="I16" s="89"/>
      <c r="J16" s="103">
        <f>VLOOKUP(A16&amp;G16,Lookup!J:N,5,0)</f>
        <v>0</v>
      </c>
      <c r="K16" s="103"/>
      <c r="L16" s="110"/>
      <c r="M16" s="110"/>
      <c r="N16" s="120"/>
      <c r="O16" s="86">
        <f>IFERROR(VLOOKUP(A16&amp;G16,Lookup!J:K,2,0),"")</f>
        <v>0</v>
      </c>
      <c r="P16" s="110" t="str">
        <f t="shared" si="0"/>
        <v/>
      </c>
      <c r="R16" s="87" t="str">
        <f t="shared" si="1"/>
        <v/>
      </c>
      <c r="S16" s="87" t="str">
        <f t="shared" si="2"/>
        <v/>
      </c>
      <c r="T16" s="59" t="e">
        <f t="shared" si="4"/>
        <v>#VALUE!</v>
      </c>
      <c r="U16" s="59"/>
      <c r="V16" s="59"/>
      <c r="W16" s="59"/>
      <c r="X16" s="60" t="str">
        <f t="shared" si="3"/>
        <v>D</v>
      </c>
    </row>
    <row r="17" spans="1:24" x14ac:dyDescent="0.25">
      <c r="A17" s="53"/>
      <c r="B17" s="59" t="str">
        <f>IFERROR(VLOOKUP(A17,Lookup!A:B,2,0),"")</f>
        <v/>
      </c>
      <c r="C17" s="59" t="str">
        <f>IFERROR(VLOOKUP(A17,Lookup!A:C,3,0),"")</f>
        <v/>
      </c>
      <c r="D17" s="59"/>
      <c r="E17" s="92"/>
      <c r="F17" s="59"/>
      <c r="G17" s="88"/>
      <c r="H17" s="59"/>
      <c r="I17" s="89"/>
      <c r="J17" s="103">
        <f>VLOOKUP(A17&amp;G17,Lookup!J:N,5,0)</f>
        <v>0</v>
      </c>
      <c r="K17" s="103"/>
      <c r="L17" s="110"/>
      <c r="M17" s="110"/>
      <c r="N17" s="120"/>
      <c r="O17" s="86">
        <f>IFERROR(VLOOKUP(A17&amp;G17,Lookup!J:K,2,0),"")</f>
        <v>0</v>
      </c>
      <c r="P17" s="110" t="str">
        <f t="shared" si="0"/>
        <v/>
      </c>
      <c r="R17" s="87" t="str">
        <f t="shared" si="1"/>
        <v/>
      </c>
      <c r="S17" s="87" t="str">
        <f t="shared" si="2"/>
        <v/>
      </c>
      <c r="T17" s="59" t="e">
        <f t="shared" si="4"/>
        <v>#VALUE!</v>
      </c>
      <c r="U17" s="59"/>
      <c r="V17" s="59"/>
      <c r="W17" s="59"/>
      <c r="X17" s="60" t="str">
        <f t="shared" si="3"/>
        <v>D</v>
      </c>
    </row>
    <row r="18" spans="1:24" x14ac:dyDescent="0.25">
      <c r="A18" s="53"/>
      <c r="B18" s="59" t="str">
        <f>IFERROR(VLOOKUP(A18,Lookup!A:B,2,0),"")</f>
        <v/>
      </c>
      <c r="C18" s="59" t="str">
        <f>IFERROR(VLOOKUP(A18,Lookup!A:C,3,0),"")</f>
        <v/>
      </c>
      <c r="D18" s="59"/>
      <c r="E18" s="92"/>
      <c r="F18" s="59"/>
      <c r="G18" s="88"/>
      <c r="H18" s="59"/>
      <c r="I18" s="89"/>
      <c r="J18" s="103">
        <f>VLOOKUP(A18&amp;G18,Lookup!J:N,5,0)</f>
        <v>0</v>
      </c>
      <c r="K18" s="103"/>
      <c r="L18" s="110"/>
      <c r="M18" s="110"/>
      <c r="N18" s="120"/>
      <c r="O18" s="86">
        <f>IFERROR(VLOOKUP(A18&amp;G18,Lookup!J:K,2,0),"")</f>
        <v>0</v>
      </c>
      <c r="P18" s="110" t="str">
        <f t="shared" si="0"/>
        <v/>
      </c>
      <c r="R18" s="87" t="str">
        <f t="shared" si="1"/>
        <v/>
      </c>
      <c r="S18" s="87" t="str">
        <f t="shared" si="2"/>
        <v/>
      </c>
      <c r="T18" s="59" t="e">
        <f t="shared" si="4"/>
        <v>#VALUE!</v>
      </c>
      <c r="U18" s="59"/>
      <c r="V18" s="59"/>
      <c r="W18" s="59"/>
      <c r="X18" s="60" t="str">
        <f t="shared" si="3"/>
        <v>D</v>
      </c>
    </row>
    <row r="19" spans="1:24" x14ac:dyDescent="0.25">
      <c r="A19" s="53"/>
      <c r="B19" s="59" t="str">
        <f>IFERROR(VLOOKUP(A19,Lookup!A:B,2,0),"")</f>
        <v/>
      </c>
      <c r="C19" s="59" t="str">
        <f>IFERROR(VLOOKUP(A19,Lookup!A:C,3,0),"")</f>
        <v/>
      </c>
      <c r="D19" s="59"/>
      <c r="E19" s="92"/>
      <c r="F19" s="59"/>
      <c r="G19" s="88"/>
      <c r="H19" s="59"/>
      <c r="I19" s="89"/>
      <c r="J19" s="103">
        <f>VLOOKUP(A19&amp;G19,Lookup!J:N,5,0)</f>
        <v>0</v>
      </c>
      <c r="K19" s="103"/>
      <c r="L19" s="110"/>
      <c r="M19" s="110"/>
      <c r="N19" s="120"/>
      <c r="O19" s="86">
        <f>IFERROR(VLOOKUP(A19&amp;G19,Lookup!J:K,2,0),"")</f>
        <v>0</v>
      </c>
      <c r="P19" s="110" t="str">
        <f t="shared" si="0"/>
        <v/>
      </c>
      <c r="R19" s="87" t="str">
        <f t="shared" si="1"/>
        <v/>
      </c>
      <c r="S19" s="87" t="str">
        <f t="shared" si="2"/>
        <v/>
      </c>
      <c r="T19" s="59" t="e">
        <f t="shared" si="4"/>
        <v>#VALUE!</v>
      </c>
      <c r="U19" s="59"/>
      <c r="V19" s="59"/>
      <c r="W19" s="59"/>
      <c r="X19" s="60" t="str">
        <f t="shared" si="3"/>
        <v>D</v>
      </c>
    </row>
    <row r="20" spans="1:24" x14ac:dyDescent="0.25">
      <c r="A20" s="53"/>
      <c r="B20" s="59" t="str">
        <f>IFERROR(VLOOKUP(A20,Lookup!A:B,2,0),"")</f>
        <v/>
      </c>
      <c r="C20" s="59" t="str">
        <f>IFERROR(VLOOKUP(A20,Lookup!A:C,3,0),"")</f>
        <v/>
      </c>
      <c r="D20" s="59"/>
      <c r="E20" s="92"/>
      <c r="F20" s="59"/>
      <c r="G20" s="88"/>
      <c r="H20" s="59"/>
      <c r="I20" s="89"/>
      <c r="J20" s="103">
        <f>VLOOKUP(A20&amp;G20,Lookup!J:N,5,0)</f>
        <v>0</v>
      </c>
      <c r="K20" s="103"/>
      <c r="L20" s="110"/>
      <c r="M20" s="110"/>
      <c r="N20" s="120"/>
      <c r="O20" s="86">
        <f>IFERROR(VLOOKUP(A20&amp;G20,Lookup!J:K,2,0),"")</f>
        <v>0</v>
      </c>
      <c r="P20" s="110" t="str">
        <f t="shared" si="0"/>
        <v/>
      </c>
      <c r="R20" s="87" t="str">
        <f t="shared" si="1"/>
        <v/>
      </c>
      <c r="S20" s="87" t="str">
        <f t="shared" si="2"/>
        <v/>
      </c>
      <c r="T20" s="59" t="e">
        <f t="shared" si="4"/>
        <v>#VALUE!</v>
      </c>
      <c r="U20" s="59"/>
      <c r="V20" s="59"/>
      <c r="W20" s="59"/>
      <c r="X20" s="60" t="str">
        <f t="shared" si="3"/>
        <v>D</v>
      </c>
    </row>
    <row r="21" spans="1:24" x14ac:dyDescent="0.25">
      <c r="A21" s="53"/>
      <c r="B21" s="59" t="str">
        <f>IFERROR(VLOOKUP(A21,Lookup!A:B,2,0),"")</f>
        <v/>
      </c>
      <c r="C21" s="59" t="str">
        <f>IFERROR(VLOOKUP(A21,Lookup!A:C,3,0),"")</f>
        <v/>
      </c>
      <c r="D21" s="59"/>
      <c r="E21" s="92"/>
      <c r="F21" s="59"/>
      <c r="G21" s="88"/>
      <c r="H21" s="59"/>
      <c r="I21" s="89"/>
      <c r="J21" s="103">
        <f>VLOOKUP(A21&amp;G21,Lookup!J:N,5,0)</f>
        <v>0</v>
      </c>
      <c r="K21" s="103"/>
      <c r="L21" s="110"/>
      <c r="M21" s="110"/>
      <c r="N21" s="120"/>
      <c r="O21" s="86">
        <f>IFERROR(VLOOKUP(A21&amp;G21,Lookup!J:K,2,0),"")</f>
        <v>0</v>
      </c>
      <c r="P21" s="110" t="str">
        <f t="shared" si="0"/>
        <v/>
      </c>
      <c r="R21" s="87" t="str">
        <f t="shared" si="1"/>
        <v/>
      </c>
      <c r="S21" s="87" t="str">
        <f t="shared" si="2"/>
        <v/>
      </c>
      <c r="T21" s="59" t="e">
        <f t="shared" si="4"/>
        <v>#VALUE!</v>
      </c>
      <c r="U21" s="59"/>
      <c r="V21" s="59"/>
      <c r="W21" s="59"/>
      <c r="X21" s="60" t="str">
        <f t="shared" si="3"/>
        <v>D</v>
      </c>
    </row>
    <row r="22" spans="1:24" x14ac:dyDescent="0.25">
      <c r="A22" s="53"/>
      <c r="B22" s="59" t="str">
        <f>IFERROR(VLOOKUP(A22,Lookup!A:B,2,0),"")</f>
        <v/>
      </c>
      <c r="C22" s="59" t="str">
        <f>IFERROR(VLOOKUP(A22,Lookup!A:C,3,0),"")</f>
        <v/>
      </c>
      <c r="D22" s="59"/>
      <c r="E22" s="92"/>
      <c r="F22" s="59"/>
      <c r="G22" s="88"/>
      <c r="H22" s="59"/>
      <c r="I22" s="89"/>
      <c r="J22" s="103">
        <f>VLOOKUP(A22&amp;G22,Lookup!J:N,5,0)</f>
        <v>0</v>
      </c>
      <c r="K22" s="103"/>
      <c r="L22" s="110"/>
      <c r="M22" s="110"/>
      <c r="N22" s="120"/>
      <c r="O22" s="86">
        <f>IFERROR(VLOOKUP(A22&amp;G22,Lookup!J:K,2,0),"")</f>
        <v>0</v>
      </c>
      <c r="P22" s="110" t="str">
        <f t="shared" si="0"/>
        <v/>
      </c>
      <c r="R22" s="87" t="str">
        <f t="shared" si="1"/>
        <v/>
      </c>
      <c r="S22" s="87" t="str">
        <f t="shared" si="2"/>
        <v/>
      </c>
      <c r="T22" s="59" t="e">
        <f t="shared" si="4"/>
        <v>#VALUE!</v>
      </c>
      <c r="U22" s="59"/>
      <c r="V22" s="59"/>
      <c r="W22" s="59"/>
      <c r="X22" s="60" t="str">
        <f t="shared" si="3"/>
        <v>D</v>
      </c>
    </row>
    <row r="23" spans="1:24" x14ac:dyDescent="0.25">
      <c r="A23" s="53"/>
      <c r="B23" s="59" t="str">
        <f>IFERROR(VLOOKUP(A23,Lookup!A:B,2,0),"")</f>
        <v/>
      </c>
      <c r="C23" s="59" t="str">
        <f>IFERROR(VLOOKUP(A23,Lookup!A:C,3,0),"")</f>
        <v/>
      </c>
      <c r="D23" s="59"/>
      <c r="E23" s="92"/>
      <c r="F23" s="59"/>
      <c r="G23" s="88"/>
      <c r="H23" s="59"/>
      <c r="I23" s="89"/>
      <c r="J23" s="103">
        <f>VLOOKUP(A23&amp;G23,Lookup!J:N,5,0)</f>
        <v>0</v>
      </c>
      <c r="K23" s="103"/>
      <c r="L23" s="110"/>
      <c r="M23" s="110"/>
      <c r="N23" s="120"/>
      <c r="O23" s="86">
        <f>IFERROR(VLOOKUP(A23&amp;G23,Lookup!J:K,2,0),"")</f>
        <v>0</v>
      </c>
      <c r="P23" s="110" t="str">
        <f t="shared" si="0"/>
        <v/>
      </c>
      <c r="R23" s="87" t="str">
        <f t="shared" si="1"/>
        <v/>
      </c>
      <c r="S23" s="87" t="str">
        <f t="shared" si="2"/>
        <v/>
      </c>
      <c r="T23" s="59" t="e">
        <f t="shared" si="4"/>
        <v>#VALUE!</v>
      </c>
      <c r="U23" s="59"/>
      <c r="V23" s="59"/>
      <c r="W23" s="59"/>
      <c r="X23" s="60" t="str">
        <f t="shared" si="3"/>
        <v>D</v>
      </c>
    </row>
    <row r="24" spans="1:24" x14ac:dyDescent="0.25">
      <c r="A24" s="53"/>
      <c r="B24" s="59" t="str">
        <f>IFERROR(VLOOKUP(A24,Lookup!A:B,2,0),"")</f>
        <v/>
      </c>
      <c r="C24" s="59" t="str">
        <f>IFERROR(VLOOKUP(A24,Lookup!A:C,3,0),"")</f>
        <v/>
      </c>
      <c r="D24" s="59"/>
      <c r="E24" s="92"/>
      <c r="F24" s="59"/>
      <c r="G24" s="88"/>
      <c r="H24" s="59"/>
      <c r="I24" s="89"/>
      <c r="J24" s="103">
        <f>VLOOKUP(A24&amp;G24,Lookup!J:N,5,0)</f>
        <v>0</v>
      </c>
      <c r="K24" s="103"/>
      <c r="L24" s="110"/>
      <c r="M24" s="110"/>
      <c r="N24" s="120"/>
      <c r="O24" s="86">
        <f>IFERROR(VLOOKUP(A24&amp;G24,Lookup!J:K,2,0),"")</f>
        <v>0</v>
      </c>
      <c r="P24" s="110" t="str">
        <f t="shared" si="0"/>
        <v/>
      </c>
      <c r="R24" s="87" t="str">
        <f t="shared" si="1"/>
        <v/>
      </c>
      <c r="S24" s="87" t="str">
        <f t="shared" si="2"/>
        <v/>
      </c>
      <c r="T24" s="59" t="e">
        <f t="shared" si="4"/>
        <v>#VALUE!</v>
      </c>
      <c r="U24" s="59"/>
      <c r="V24" s="59"/>
      <c r="W24" s="59"/>
      <c r="X24" s="60" t="str">
        <f t="shared" si="3"/>
        <v>D</v>
      </c>
    </row>
    <row r="25" spans="1:24" x14ac:dyDescent="0.25">
      <c r="A25" s="53"/>
      <c r="B25" s="59" t="str">
        <f>IFERROR(VLOOKUP(A25,Lookup!A:B,2,0),"")</f>
        <v/>
      </c>
      <c r="C25" s="59" t="str">
        <f>IFERROR(VLOOKUP(A25,Lookup!A:C,3,0),"")</f>
        <v/>
      </c>
      <c r="D25" s="59"/>
      <c r="E25" s="92"/>
      <c r="F25" s="59"/>
      <c r="G25" s="88"/>
      <c r="H25" s="59"/>
      <c r="I25" s="89"/>
      <c r="J25" s="103">
        <f>VLOOKUP(A25&amp;G25,Lookup!J:N,5,0)</f>
        <v>0</v>
      </c>
      <c r="K25" s="103"/>
      <c r="L25" s="110"/>
      <c r="M25" s="110"/>
      <c r="N25" s="120"/>
      <c r="O25" s="86">
        <f>IFERROR(VLOOKUP(A25&amp;G25,Lookup!J:K,2,0),"")</f>
        <v>0</v>
      </c>
      <c r="P25" s="110" t="str">
        <f t="shared" si="0"/>
        <v/>
      </c>
      <c r="R25" s="87" t="str">
        <f t="shared" si="1"/>
        <v/>
      </c>
      <c r="S25" s="87" t="str">
        <f t="shared" si="2"/>
        <v/>
      </c>
      <c r="T25" s="59" t="e">
        <f t="shared" si="4"/>
        <v>#VALUE!</v>
      </c>
      <c r="U25" s="59"/>
      <c r="V25" s="59"/>
      <c r="W25" s="59"/>
      <c r="X25" s="60" t="str">
        <f t="shared" si="3"/>
        <v>D</v>
      </c>
    </row>
    <row r="26" spans="1:24" x14ac:dyDescent="0.25">
      <c r="A26" s="53"/>
      <c r="B26" s="59" t="str">
        <f>IFERROR(VLOOKUP(A26,Lookup!A:B,2,0),"")</f>
        <v/>
      </c>
      <c r="C26" s="59" t="str">
        <f>IFERROR(VLOOKUP(A26,Lookup!A:C,3,0),"")</f>
        <v/>
      </c>
      <c r="D26" s="59"/>
      <c r="E26" s="92"/>
      <c r="F26" s="59"/>
      <c r="G26" s="88"/>
      <c r="H26" s="59"/>
      <c r="I26" s="89"/>
      <c r="J26" s="103">
        <f>VLOOKUP(A26&amp;G26,Lookup!J:N,5,0)</f>
        <v>0</v>
      </c>
      <c r="K26" s="103"/>
      <c r="L26" s="110"/>
      <c r="M26" s="110"/>
      <c r="N26" s="120"/>
      <c r="O26" s="86">
        <f>IFERROR(VLOOKUP(A26&amp;G26,Lookup!J:K,2,0),"")</f>
        <v>0</v>
      </c>
      <c r="P26" s="110" t="str">
        <f t="shared" si="0"/>
        <v/>
      </c>
      <c r="R26" s="87" t="str">
        <f t="shared" si="1"/>
        <v/>
      </c>
      <c r="S26" s="87" t="str">
        <f t="shared" si="2"/>
        <v/>
      </c>
      <c r="T26" s="59" t="e">
        <f t="shared" si="4"/>
        <v>#VALUE!</v>
      </c>
      <c r="U26" s="59"/>
      <c r="V26" s="59"/>
      <c r="W26" s="59"/>
      <c r="X26" s="60" t="str">
        <f t="shared" si="3"/>
        <v>D</v>
      </c>
    </row>
    <row r="27" spans="1:24" x14ac:dyDescent="0.25">
      <c r="A27" s="53"/>
      <c r="B27" s="59" t="str">
        <f>IFERROR(VLOOKUP(A27,Lookup!A:B,2,0),"")</f>
        <v/>
      </c>
      <c r="C27" s="59" t="str">
        <f>IFERROR(VLOOKUP(A27,Lookup!A:C,3,0),"")</f>
        <v/>
      </c>
      <c r="D27" s="59"/>
      <c r="E27" s="92"/>
      <c r="F27" s="59"/>
      <c r="G27" s="88"/>
      <c r="H27" s="59"/>
      <c r="I27" s="89"/>
      <c r="J27" s="103">
        <f>VLOOKUP(A27&amp;G27,Lookup!J:N,5,0)</f>
        <v>0</v>
      </c>
      <c r="K27" s="103"/>
      <c r="L27" s="110"/>
      <c r="M27" s="110"/>
      <c r="N27" s="120"/>
      <c r="O27" s="86">
        <f>IFERROR(VLOOKUP(A27&amp;G27,Lookup!J:K,2,0),"")</f>
        <v>0</v>
      </c>
      <c r="P27" s="110" t="str">
        <f t="shared" si="0"/>
        <v/>
      </c>
      <c r="R27" s="87" t="str">
        <f t="shared" si="1"/>
        <v/>
      </c>
      <c r="S27" s="87" t="str">
        <f t="shared" si="2"/>
        <v/>
      </c>
      <c r="T27" s="59" t="e">
        <f t="shared" si="4"/>
        <v>#VALUE!</v>
      </c>
      <c r="U27" s="59"/>
      <c r="V27" s="59"/>
      <c r="W27" s="59"/>
      <c r="X27" s="60" t="str">
        <f t="shared" si="3"/>
        <v>D</v>
      </c>
    </row>
    <row r="28" spans="1:24" x14ac:dyDescent="0.25">
      <c r="A28" s="53"/>
      <c r="B28" s="59" t="str">
        <f>IFERROR(VLOOKUP(A28,Lookup!A:B,2,0),"")</f>
        <v/>
      </c>
      <c r="C28" s="59" t="str">
        <f>IFERROR(VLOOKUP(A28,Lookup!A:C,3,0),"")</f>
        <v/>
      </c>
      <c r="D28" s="59"/>
      <c r="E28" s="92"/>
      <c r="F28" s="59"/>
      <c r="G28" s="88"/>
      <c r="H28" s="59"/>
      <c r="I28" s="89"/>
      <c r="J28" s="103">
        <f>VLOOKUP(A28&amp;G28,Lookup!J:N,5,0)</f>
        <v>0</v>
      </c>
      <c r="K28" s="103"/>
      <c r="L28" s="110"/>
      <c r="M28" s="110"/>
      <c r="N28" s="120"/>
      <c r="O28" s="86">
        <f>IFERROR(VLOOKUP(A28&amp;G28,Lookup!J:K,2,0),"")</f>
        <v>0</v>
      </c>
      <c r="P28" s="110" t="str">
        <f t="shared" si="0"/>
        <v/>
      </c>
      <c r="R28" s="87" t="str">
        <f t="shared" si="1"/>
        <v/>
      </c>
      <c r="S28" s="87" t="str">
        <f t="shared" si="2"/>
        <v/>
      </c>
      <c r="T28" s="59" t="e">
        <f t="shared" si="4"/>
        <v>#VALUE!</v>
      </c>
      <c r="U28" s="59"/>
      <c r="V28" s="59"/>
      <c r="W28" s="59"/>
      <c r="X28" s="60" t="str">
        <f t="shared" si="3"/>
        <v>D</v>
      </c>
    </row>
    <row r="29" spans="1:24" x14ac:dyDescent="0.25">
      <c r="A29" s="53"/>
      <c r="B29" s="59" t="str">
        <f>IFERROR(VLOOKUP(A29,Lookup!A:B,2,0),"")</f>
        <v/>
      </c>
      <c r="C29" s="59" t="str">
        <f>IFERROR(VLOOKUP(A29,Lookup!A:C,3,0),"")</f>
        <v/>
      </c>
      <c r="D29" s="59"/>
      <c r="E29" s="92"/>
      <c r="F29" s="59"/>
      <c r="G29" s="88"/>
      <c r="H29" s="59"/>
      <c r="I29" s="89"/>
      <c r="J29" s="103">
        <f>VLOOKUP(A29&amp;G29,Lookup!J:N,5,0)</f>
        <v>0</v>
      </c>
      <c r="K29" s="103"/>
      <c r="L29" s="110"/>
      <c r="M29" s="110"/>
      <c r="N29" s="120"/>
      <c r="O29" s="86">
        <f>IFERROR(VLOOKUP(A29&amp;G29,Lookup!J:K,2,0),"")</f>
        <v>0</v>
      </c>
      <c r="P29" s="110" t="str">
        <f t="shared" si="0"/>
        <v/>
      </c>
      <c r="R29" s="87" t="str">
        <f t="shared" si="1"/>
        <v/>
      </c>
      <c r="S29" s="87" t="str">
        <f t="shared" si="2"/>
        <v/>
      </c>
      <c r="T29" s="59" t="e">
        <f t="shared" si="4"/>
        <v>#VALUE!</v>
      </c>
      <c r="U29" s="59"/>
      <c r="V29" s="59"/>
      <c r="W29" s="59"/>
      <c r="X29" s="60" t="str">
        <f t="shared" si="3"/>
        <v>D</v>
      </c>
    </row>
    <row r="30" spans="1:24" x14ac:dyDescent="0.25">
      <c r="A30" s="53"/>
      <c r="B30" s="59" t="str">
        <f>IFERROR(VLOOKUP(A30,Lookup!A:B,2,0),"")</f>
        <v/>
      </c>
      <c r="C30" s="59" t="str">
        <f>IFERROR(VLOOKUP(A30,Lookup!A:C,3,0),"")</f>
        <v/>
      </c>
      <c r="D30" s="59"/>
      <c r="E30" s="92"/>
      <c r="F30" s="59"/>
      <c r="G30" s="88"/>
      <c r="H30" s="59"/>
      <c r="I30" s="89"/>
      <c r="J30" s="103">
        <f>VLOOKUP(A30&amp;G30,Lookup!J:N,5,0)</f>
        <v>0</v>
      </c>
      <c r="K30" s="103"/>
      <c r="L30" s="110"/>
      <c r="M30" s="110"/>
      <c r="N30" s="120"/>
      <c r="O30" s="86">
        <f>IFERROR(VLOOKUP(A30&amp;G30,Lookup!J:K,2,0),"")</f>
        <v>0</v>
      </c>
      <c r="P30" s="110" t="str">
        <f t="shared" si="0"/>
        <v/>
      </c>
      <c r="R30" s="87" t="str">
        <f t="shared" si="1"/>
        <v/>
      </c>
      <c r="S30" s="87" t="str">
        <f t="shared" si="2"/>
        <v/>
      </c>
      <c r="T30" s="59" t="e">
        <f t="shared" si="4"/>
        <v>#VALUE!</v>
      </c>
      <c r="U30" s="59"/>
      <c r="V30" s="59"/>
      <c r="W30" s="59"/>
      <c r="X30" s="60" t="str">
        <f t="shared" si="3"/>
        <v>D</v>
      </c>
    </row>
    <row r="31" spans="1:24" x14ac:dyDescent="0.25">
      <c r="A31" s="53"/>
      <c r="B31" s="59" t="str">
        <f>IFERROR(VLOOKUP(A31,Lookup!A:B,2,0),"")</f>
        <v/>
      </c>
      <c r="C31" s="59" t="str">
        <f>IFERROR(VLOOKUP(A31,Lookup!A:C,3,0),"")</f>
        <v/>
      </c>
      <c r="D31" s="59"/>
      <c r="E31" s="92"/>
      <c r="F31" s="59"/>
      <c r="G31" s="88"/>
      <c r="H31" s="59"/>
      <c r="I31" s="89"/>
      <c r="J31" s="103">
        <f>VLOOKUP(A31&amp;G31,Lookup!J:N,5,0)</f>
        <v>0</v>
      </c>
      <c r="K31" s="103"/>
      <c r="L31" s="110"/>
      <c r="M31" s="110"/>
      <c r="N31" s="120"/>
      <c r="O31" s="86">
        <f>IFERROR(VLOOKUP(A31&amp;G31,Lookup!J:K,2,0),"")</f>
        <v>0</v>
      </c>
      <c r="P31" s="110" t="str">
        <f t="shared" si="0"/>
        <v/>
      </c>
      <c r="R31" s="87" t="str">
        <f t="shared" si="1"/>
        <v/>
      </c>
      <c r="S31" s="87" t="str">
        <f t="shared" si="2"/>
        <v/>
      </c>
      <c r="T31" s="59" t="e">
        <f t="shared" si="4"/>
        <v>#VALUE!</v>
      </c>
      <c r="U31" s="59"/>
      <c r="V31" s="59"/>
      <c r="W31" s="59"/>
      <c r="X31" s="60" t="str">
        <f t="shared" si="3"/>
        <v>D</v>
      </c>
    </row>
    <row r="32" spans="1:24" x14ac:dyDescent="0.25">
      <c r="A32" s="53"/>
      <c r="B32" s="59" t="str">
        <f>IFERROR(VLOOKUP(A32,Lookup!A:B,2,0),"")</f>
        <v/>
      </c>
      <c r="C32" s="59" t="str">
        <f>IFERROR(VLOOKUP(A32,Lookup!A:C,3,0),"")</f>
        <v/>
      </c>
      <c r="D32" s="59"/>
      <c r="E32" s="92"/>
      <c r="F32" s="59"/>
      <c r="G32" s="88"/>
      <c r="H32" s="59"/>
      <c r="I32" s="89"/>
      <c r="J32" s="103">
        <f>VLOOKUP(A32&amp;G32,Lookup!J:N,5,0)</f>
        <v>0</v>
      </c>
      <c r="K32" s="103"/>
      <c r="L32" s="110"/>
      <c r="M32" s="110"/>
      <c r="N32" s="120"/>
      <c r="O32" s="86">
        <f>IFERROR(VLOOKUP(A32&amp;G32,Lookup!J:K,2,0),"")</f>
        <v>0</v>
      </c>
      <c r="P32" s="110" t="str">
        <f t="shared" si="0"/>
        <v/>
      </c>
      <c r="R32" s="87" t="str">
        <f t="shared" si="1"/>
        <v/>
      </c>
      <c r="S32" s="87" t="str">
        <f t="shared" si="2"/>
        <v/>
      </c>
      <c r="T32" s="59" t="e">
        <f t="shared" si="4"/>
        <v>#VALUE!</v>
      </c>
      <c r="U32" s="59"/>
      <c r="V32" s="59"/>
      <c r="W32" s="59"/>
      <c r="X32" s="60" t="str">
        <f t="shared" si="3"/>
        <v>D</v>
      </c>
    </row>
    <row r="33" spans="1:24" x14ac:dyDescent="0.25">
      <c r="A33" s="53"/>
      <c r="B33" s="59" t="str">
        <f>IFERROR(VLOOKUP(A33,Lookup!A:B,2,0),"")</f>
        <v/>
      </c>
      <c r="C33" s="59" t="str">
        <f>IFERROR(VLOOKUP(A33,Lookup!A:C,3,0),"")</f>
        <v/>
      </c>
      <c r="D33" s="59"/>
      <c r="E33" s="92"/>
      <c r="F33" s="59"/>
      <c r="G33" s="88"/>
      <c r="H33" s="59"/>
      <c r="I33" s="89"/>
      <c r="J33" s="103">
        <f>VLOOKUP(A33&amp;G33,Lookup!J:N,5,0)</f>
        <v>0</v>
      </c>
      <c r="K33" s="103"/>
      <c r="L33" s="110"/>
      <c r="M33" s="110"/>
      <c r="N33" s="120"/>
      <c r="O33" s="86">
        <f>IFERROR(VLOOKUP(A33&amp;G33,Lookup!J:K,2,0),"")</f>
        <v>0</v>
      </c>
      <c r="P33" s="110" t="str">
        <f t="shared" si="0"/>
        <v/>
      </c>
      <c r="R33" s="87" t="str">
        <f t="shared" si="1"/>
        <v/>
      </c>
      <c r="S33" s="87" t="str">
        <f t="shared" si="2"/>
        <v/>
      </c>
      <c r="T33" s="59" t="e">
        <f t="shared" si="4"/>
        <v>#VALUE!</v>
      </c>
      <c r="U33" s="59"/>
      <c r="V33" s="59"/>
      <c r="W33" s="59"/>
      <c r="X33" s="60" t="str">
        <f t="shared" si="3"/>
        <v>D</v>
      </c>
    </row>
    <row r="34" spans="1:24" x14ac:dyDescent="0.25">
      <c r="A34" s="53"/>
      <c r="B34" s="59" t="str">
        <f>IFERROR(VLOOKUP(A34,Lookup!A:B,2,0),"")</f>
        <v/>
      </c>
      <c r="C34" s="59" t="str">
        <f>IFERROR(VLOOKUP(A34,Lookup!A:C,3,0),"")</f>
        <v/>
      </c>
      <c r="D34" s="59"/>
      <c r="E34" s="92"/>
      <c r="F34" s="59"/>
      <c r="G34" s="88"/>
      <c r="H34" s="59"/>
      <c r="I34" s="89"/>
      <c r="J34" s="103">
        <f>VLOOKUP(A34&amp;G34,Lookup!J:N,5,0)</f>
        <v>0</v>
      </c>
      <c r="K34" s="103"/>
      <c r="L34" s="110"/>
      <c r="M34" s="110"/>
      <c r="N34" s="120"/>
      <c r="O34" s="86">
        <f>IFERROR(VLOOKUP(A34&amp;G34,Lookup!J:K,2,0),"")</f>
        <v>0</v>
      </c>
      <c r="P34" s="110" t="str">
        <f t="shared" si="0"/>
        <v/>
      </c>
      <c r="R34" s="87" t="str">
        <f t="shared" si="1"/>
        <v/>
      </c>
      <c r="S34" s="87" t="str">
        <f t="shared" si="2"/>
        <v/>
      </c>
      <c r="T34" s="59" t="e">
        <f t="shared" si="4"/>
        <v>#VALUE!</v>
      </c>
      <c r="U34" s="59"/>
      <c r="V34" s="59"/>
      <c r="W34" s="59"/>
      <c r="X34" s="60" t="str">
        <f t="shared" si="3"/>
        <v>D</v>
      </c>
    </row>
    <row r="35" spans="1:24" x14ac:dyDescent="0.25">
      <c r="A35" s="53"/>
      <c r="B35" s="59" t="str">
        <f>IFERROR(VLOOKUP(A35,Lookup!A:B,2,0),"")</f>
        <v/>
      </c>
      <c r="C35" s="59" t="str">
        <f>IFERROR(VLOOKUP(A35,Lookup!A:C,3,0),"")</f>
        <v/>
      </c>
      <c r="D35" s="59"/>
      <c r="E35" s="92"/>
      <c r="F35" s="59"/>
      <c r="G35" s="88"/>
      <c r="H35" s="59"/>
      <c r="I35" s="89"/>
      <c r="J35" s="103">
        <f>VLOOKUP(A35&amp;G35,Lookup!J:N,5,0)</f>
        <v>0</v>
      </c>
      <c r="K35" s="103"/>
      <c r="L35" s="110"/>
      <c r="M35" s="110"/>
      <c r="N35" s="120"/>
      <c r="O35" s="86">
        <f>IFERROR(VLOOKUP(A35&amp;G35,Lookup!J:K,2,0),"")</f>
        <v>0</v>
      </c>
      <c r="P35" s="110" t="str">
        <f t="shared" si="0"/>
        <v/>
      </c>
      <c r="R35" s="87" t="str">
        <f t="shared" si="1"/>
        <v/>
      </c>
      <c r="S35" s="87" t="str">
        <f t="shared" si="2"/>
        <v/>
      </c>
      <c r="T35" s="59" t="e">
        <f t="shared" si="4"/>
        <v>#VALUE!</v>
      </c>
      <c r="U35" s="59"/>
      <c r="V35" s="59"/>
      <c r="W35" s="59"/>
      <c r="X35" s="60" t="str">
        <f t="shared" si="3"/>
        <v>D</v>
      </c>
    </row>
    <row r="36" spans="1:24" x14ac:dyDescent="0.25">
      <c r="A36" s="53"/>
      <c r="B36" s="59" t="str">
        <f>IFERROR(VLOOKUP(A36,Lookup!A:B,2,0),"")</f>
        <v/>
      </c>
      <c r="C36" s="59" t="str">
        <f>IFERROR(VLOOKUP(A36,Lookup!A:C,3,0),"")</f>
        <v/>
      </c>
      <c r="D36" s="59"/>
      <c r="E36" s="92"/>
      <c r="F36" s="59"/>
      <c r="G36" s="88"/>
      <c r="H36" s="59"/>
      <c r="I36" s="89"/>
      <c r="J36" s="103">
        <f>VLOOKUP(A36&amp;G36,Lookup!J:N,5,0)</f>
        <v>0</v>
      </c>
      <c r="K36" s="103"/>
      <c r="L36" s="110"/>
      <c r="M36" s="110"/>
      <c r="N36" s="120"/>
      <c r="O36" s="86">
        <f>IFERROR(VLOOKUP(A36&amp;G36,Lookup!J:K,2,0),"")</f>
        <v>0</v>
      </c>
      <c r="P36" s="110" t="str">
        <f t="shared" si="0"/>
        <v/>
      </c>
      <c r="R36" s="87" t="str">
        <f t="shared" si="1"/>
        <v/>
      </c>
      <c r="S36" s="87" t="str">
        <f t="shared" si="2"/>
        <v/>
      </c>
      <c r="T36" s="59" t="e">
        <f t="shared" si="4"/>
        <v>#VALUE!</v>
      </c>
      <c r="U36" s="59"/>
      <c r="V36" s="59"/>
      <c r="W36" s="59"/>
      <c r="X36" s="60" t="str">
        <f t="shared" ref="X36:X67" si="5">IF(I36="SET","A",IF(I36="FREQ","C",IF(I36="","D","B")))</f>
        <v>D</v>
      </c>
    </row>
    <row r="37" spans="1:24" x14ac:dyDescent="0.25">
      <c r="A37" s="53"/>
      <c r="B37" s="59" t="str">
        <f>IFERROR(VLOOKUP(A37,Lookup!A:B,2,0),"")</f>
        <v/>
      </c>
      <c r="C37" s="59" t="str">
        <f>IFERROR(VLOOKUP(A37,Lookup!A:C,3,0),"")</f>
        <v/>
      </c>
      <c r="D37" s="59"/>
      <c r="E37" s="92"/>
      <c r="F37" s="59"/>
      <c r="G37" s="88"/>
      <c r="H37" s="59"/>
      <c r="I37" s="89"/>
      <c r="J37" s="103">
        <f>VLOOKUP(A37&amp;G37,Lookup!J:N,5,0)</f>
        <v>0</v>
      </c>
      <c r="K37" s="103"/>
      <c r="L37" s="110"/>
      <c r="M37" s="110"/>
      <c r="N37" s="120"/>
      <c r="O37" s="86">
        <f>IFERROR(VLOOKUP(A37&amp;G37,Lookup!J:K,2,0),"")</f>
        <v>0</v>
      </c>
      <c r="P37" s="110" t="str">
        <f t="shared" ref="P37:P68" si="6">IF(N37="","",N37+O37)</f>
        <v/>
      </c>
      <c r="R37" s="87" t="str">
        <f t="shared" ref="R37:R68" si="7">IF(OR(EXACT(N37,""), EXACT(L37,"")),"",N37-L37)</f>
        <v/>
      </c>
      <c r="S37" s="87" t="str">
        <f t="shared" ref="S37:S68" si="8">IF(OR(EXACT(Q37,""), EXACT(L37,"")),"",Q37-L37)</f>
        <v/>
      </c>
      <c r="T37" s="59" t="e">
        <f t="shared" ref="T37:T68" si="9">IF(Q37-P37&gt;0.0415,"YES",(IF(OR(EXACT(Q37,""), EXACT(P37,"")),"","NO")))</f>
        <v>#VALUE!</v>
      </c>
      <c r="U37" s="59"/>
      <c r="V37" s="59"/>
      <c r="W37" s="59"/>
      <c r="X37" s="60" t="str">
        <f t="shared" si="5"/>
        <v>D</v>
      </c>
    </row>
    <row r="38" spans="1:24" x14ac:dyDescent="0.25">
      <c r="A38" s="53"/>
      <c r="B38" s="59" t="str">
        <f>IFERROR(VLOOKUP(A38,Lookup!A:B,2,0),"")</f>
        <v/>
      </c>
      <c r="C38" s="59" t="str">
        <f>IFERROR(VLOOKUP(A38,Lookup!A:C,3,0),"")</f>
        <v/>
      </c>
      <c r="D38" s="59"/>
      <c r="E38" s="92"/>
      <c r="F38" s="59"/>
      <c r="G38" s="88"/>
      <c r="H38" s="59"/>
      <c r="I38" s="89"/>
      <c r="J38" s="103">
        <f>VLOOKUP(A38&amp;G38,Lookup!J:N,5,0)</f>
        <v>0</v>
      </c>
      <c r="K38" s="103"/>
      <c r="L38" s="110"/>
      <c r="M38" s="110"/>
      <c r="N38" s="120"/>
      <c r="O38" s="86">
        <f>IFERROR(VLOOKUP(A38&amp;G38,Lookup!J:K,2,0),"")</f>
        <v>0</v>
      </c>
      <c r="P38" s="110" t="str">
        <f t="shared" si="6"/>
        <v/>
      </c>
      <c r="R38" s="87" t="str">
        <f t="shared" si="7"/>
        <v/>
      </c>
      <c r="S38" s="87" t="str">
        <f t="shared" si="8"/>
        <v/>
      </c>
      <c r="T38" s="59" t="e">
        <f t="shared" si="9"/>
        <v>#VALUE!</v>
      </c>
      <c r="U38" s="59"/>
      <c r="V38" s="59"/>
      <c r="W38" s="59"/>
      <c r="X38" s="60" t="str">
        <f t="shared" si="5"/>
        <v>D</v>
      </c>
    </row>
    <row r="39" spans="1:24" x14ac:dyDescent="0.25">
      <c r="A39" s="53"/>
      <c r="B39" s="59" t="str">
        <f>IFERROR(VLOOKUP(A39,Lookup!A:B,2,0),"")</f>
        <v/>
      </c>
      <c r="C39" s="59" t="str">
        <f>IFERROR(VLOOKUP(A39,Lookup!A:C,3,0),"")</f>
        <v/>
      </c>
      <c r="D39" s="59"/>
      <c r="E39" s="92"/>
      <c r="F39" s="59"/>
      <c r="G39" s="88"/>
      <c r="H39" s="59"/>
      <c r="I39" s="89"/>
      <c r="J39" s="103">
        <f>VLOOKUP(A39&amp;G39,Lookup!J:N,5,0)</f>
        <v>0</v>
      </c>
      <c r="K39" s="103"/>
      <c r="L39" s="110"/>
      <c r="M39" s="110"/>
      <c r="N39" s="120"/>
      <c r="O39" s="86">
        <f>IFERROR(VLOOKUP(A39&amp;G39,Lookup!J:K,2,0),"")</f>
        <v>0</v>
      </c>
      <c r="P39" s="110" t="str">
        <f t="shared" si="6"/>
        <v/>
      </c>
      <c r="R39" s="87" t="str">
        <f t="shared" si="7"/>
        <v/>
      </c>
      <c r="S39" s="87" t="str">
        <f t="shared" si="8"/>
        <v/>
      </c>
      <c r="T39" s="59" t="e">
        <f t="shared" si="9"/>
        <v>#VALUE!</v>
      </c>
      <c r="U39" s="59"/>
      <c r="V39" s="59"/>
      <c r="W39" s="59"/>
      <c r="X39" s="60" t="str">
        <f t="shared" si="5"/>
        <v>D</v>
      </c>
    </row>
    <row r="40" spans="1:24" x14ac:dyDescent="0.25">
      <c r="A40" s="53"/>
      <c r="B40" s="59" t="str">
        <f>IFERROR(VLOOKUP(A40,Lookup!A:B,2,0),"")</f>
        <v/>
      </c>
      <c r="C40" s="59" t="str">
        <f>IFERROR(VLOOKUP(A40,Lookup!A:C,3,0),"")</f>
        <v/>
      </c>
      <c r="D40" s="59"/>
      <c r="E40" s="92"/>
      <c r="F40" s="59"/>
      <c r="G40" s="88"/>
      <c r="H40" s="59"/>
      <c r="I40" s="89"/>
      <c r="J40" s="103">
        <f>VLOOKUP(A40&amp;G40,Lookup!J:N,5,0)</f>
        <v>0</v>
      </c>
      <c r="K40" s="103"/>
      <c r="L40" s="110"/>
      <c r="M40" s="110"/>
      <c r="N40" s="120"/>
      <c r="O40" s="86">
        <f>IFERROR(VLOOKUP(A40&amp;G40,Lookup!J:K,2,0),"")</f>
        <v>0</v>
      </c>
      <c r="P40" s="110" t="str">
        <f t="shared" si="6"/>
        <v/>
      </c>
      <c r="R40" s="87" t="str">
        <f t="shared" si="7"/>
        <v/>
      </c>
      <c r="S40" s="87" t="str">
        <f t="shared" si="8"/>
        <v/>
      </c>
      <c r="T40" s="59" t="e">
        <f t="shared" si="9"/>
        <v>#VALUE!</v>
      </c>
      <c r="U40" s="59"/>
      <c r="V40" s="59"/>
      <c r="W40" s="59"/>
      <c r="X40" s="60" t="str">
        <f t="shared" si="5"/>
        <v>D</v>
      </c>
    </row>
    <row r="41" spans="1:24" x14ac:dyDescent="0.25">
      <c r="A41" s="53"/>
      <c r="B41" s="59" t="str">
        <f>IFERROR(VLOOKUP(A41,Lookup!A:B,2,0),"")</f>
        <v/>
      </c>
      <c r="C41" s="59" t="str">
        <f>IFERROR(VLOOKUP(A41,Lookup!A:C,3,0),"")</f>
        <v/>
      </c>
      <c r="D41" s="59"/>
      <c r="E41" s="92"/>
      <c r="F41" s="59"/>
      <c r="G41" s="88"/>
      <c r="H41" s="59"/>
      <c r="I41" s="89"/>
      <c r="J41" s="103">
        <f>VLOOKUP(A41&amp;G41,Lookup!J:N,5,0)</f>
        <v>0</v>
      </c>
      <c r="K41" s="103"/>
      <c r="L41" s="110"/>
      <c r="M41" s="110"/>
      <c r="N41" s="120"/>
      <c r="O41" s="86">
        <f>IFERROR(VLOOKUP(A41&amp;G41,Lookup!J:K,2,0),"")</f>
        <v>0</v>
      </c>
      <c r="P41" s="110" t="str">
        <f t="shared" si="6"/>
        <v/>
      </c>
      <c r="R41" s="87" t="str">
        <f t="shared" si="7"/>
        <v/>
      </c>
      <c r="S41" s="87" t="str">
        <f t="shared" si="8"/>
        <v/>
      </c>
      <c r="T41" s="59" t="e">
        <f t="shared" si="9"/>
        <v>#VALUE!</v>
      </c>
      <c r="U41" s="59"/>
      <c r="V41" s="59"/>
      <c r="W41" s="59"/>
      <c r="X41" s="60" t="str">
        <f t="shared" si="5"/>
        <v>D</v>
      </c>
    </row>
    <row r="42" spans="1:24" x14ac:dyDescent="0.25">
      <c r="A42" s="53"/>
      <c r="B42" s="59" t="str">
        <f>IFERROR(VLOOKUP(A42,Lookup!A:B,2,0),"")</f>
        <v/>
      </c>
      <c r="C42" s="59" t="str">
        <f>IFERROR(VLOOKUP(A42,Lookup!A:C,3,0),"")</f>
        <v/>
      </c>
      <c r="D42" s="59"/>
      <c r="E42" s="92"/>
      <c r="F42" s="59"/>
      <c r="G42" s="88"/>
      <c r="H42" s="59"/>
      <c r="I42" s="89"/>
      <c r="J42" s="103">
        <f>VLOOKUP(A42&amp;G42,Lookup!J:N,5,0)</f>
        <v>0</v>
      </c>
      <c r="K42" s="103"/>
      <c r="L42" s="110"/>
      <c r="M42" s="110"/>
      <c r="N42" s="120"/>
      <c r="O42" s="86">
        <f>IFERROR(VLOOKUP(A42&amp;G42,Lookup!J:K,2,0),"")</f>
        <v>0</v>
      </c>
      <c r="P42" s="110" t="str">
        <f t="shared" si="6"/>
        <v/>
      </c>
      <c r="R42" s="87" t="str">
        <f t="shared" si="7"/>
        <v/>
      </c>
      <c r="S42" s="87" t="str">
        <f t="shared" si="8"/>
        <v/>
      </c>
      <c r="T42" s="59" t="e">
        <f t="shared" si="9"/>
        <v>#VALUE!</v>
      </c>
      <c r="U42" s="59"/>
      <c r="V42" s="59"/>
      <c r="W42" s="59"/>
      <c r="X42" s="60" t="str">
        <f t="shared" si="5"/>
        <v>D</v>
      </c>
    </row>
    <row r="43" spans="1:24" x14ac:dyDescent="0.25">
      <c r="A43" s="53"/>
      <c r="B43" s="59" t="str">
        <f>IFERROR(VLOOKUP(A43,Lookup!A:B,2,0),"")</f>
        <v/>
      </c>
      <c r="C43" s="59" t="str">
        <f>IFERROR(VLOOKUP(A43,Lookup!A:C,3,0),"")</f>
        <v/>
      </c>
      <c r="D43" s="59"/>
      <c r="E43" s="92"/>
      <c r="F43" s="59"/>
      <c r="G43" s="88"/>
      <c r="H43" s="59"/>
      <c r="I43" s="89"/>
      <c r="J43" s="103">
        <f>VLOOKUP(A43&amp;G43,Lookup!J:N,5,0)</f>
        <v>0</v>
      </c>
      <c r="K43" s="103"/>
      <c r="L43" s="110"/>
      <c r="M43" s="110"/>
      <c r="N43" s="120"/>
      <c r="O43" s="86">
        <f>IFERROR(VLOOKUP(A43&amp;G43,Lookup!J:K,2,0),"")</f>
        <v>0</v>
      </c>
      <c r="P43" s="110" t="str">
        <f t="shared" si="6"/>
        <v/>
      </c>
      <c r="R43" s="87" t="str">
        <f t="shared" si="7"/>
        <v/>
      </c>
      <c r="S43" s="87" t="str">
        <f t="shared" si="8"/>
        <v/>
      </c>
      <c r="T43" s="59" t="e">
        <f t="shared" si="9"/>
        <v>#VALUE!</v>
      </c>
      <c r="U43" s="59"/>
      <c r="V43" s="59"/>
      <c r="W43" s="59"/>
      <c r="X43" s="60" t="str">
        <f t="shared" si="5"/>
        <v>D</v>
      </c>
    </row>
    <row r="44" spans="1:24" x14ac:dyDescent="0.25">
      <c r="A44" s="53"/>
      <c r="B44" s="59" t="str">
        <f>IFERROR(VLOOKUP(A44,Lookup!A:B,2,0),"")</f>
        <v/>
      </c>
      <c r="C44" s="59" t="str">
        <f>IFERROR(VLOOKUP(A44,Lookup!A:C,3,0),"")</f>
        <v/>
      </c>
      <c r="D44" s="59"/>
      <c r="E44" s="92"/>
      <c r="F44" s="59"/>
      <c r="G44" s="88"/>
      <c r="H44" s="59"/>
      <c r="I44" s="89"/>
      <c r="J44" s="103">
        <f>VLOOKUP(A44&amp;G44,Lookup!J:N,5,0)</f>
        <v>0</v>
      </c>
      <c r="K44" s="103"/>
      <c r="L44" s="110"/>
      <c r="M44" s="110"/>
      <c r="N44" s="120"/>
      <c r="O44" s="86">
        <f>IFERROR(VLOOKUP(A44&amp;G44,Lookup!J:K,2,0),"")</f>
        <v>0</v>
      </c>
      <c r="P44" s="110" t="str">
        <f t="shared" si="6"/>
        <v/>
      </c>
      <c r="R44" s="87" t="str">
        <f t="shared" si="7"/>
        <v/>
      </c>
      <c r="S44" s="87" t="str">
        <f t="shared" si="8"/>
        <v/>
      </c>
      <c r="T44" s="59" t="e">
        <f t="shared" si="9"/>
        <v>#VALUE!</v>
      </c>
      <c r="U44" s="59"/>
      <c r="V44" s="59"/>
      <c r="W44" s="59"/>
      <c r="X44" s="60" t="str">
        <f t="shared" si="5"/>
        <v>D</v>
      </c>
    </row>
    <row r="45" spans="1:24" x14ac:dyDescent="0.25">
      <c r="A45" s="53"/>
      <c r="B45" s="59" t="str">
        <f>IFERROR(VLOOKUP(A45,Lookup!A:B,2,0),"")</f>
        <v/>
      </c>
      <c r="C45" s="59" t="str">
        <f>IFERROR(VLOOKUP(A45,Lookup!A:C,3,0),"")</f>
        <v/>
      </c>
      <c r="D45" s="59"/>
      <c r="E45" s="92"/>
      <c r="F45" s="59"/>
      <c r="G45" s="88"/>
      <c r="H45" s="59"/>
      <c r="I45" s="89"/>
      <c r="J45" s="103">
        <f>VLOOKUP(A45&amp;G45,Lookup!J:N,5,0)</f>
        <v>0</v>
      </c>
      <c r="K45" s="103"/>
      <c r="L45" s="110"/>
      <c r="M45" s="110"/>
      <c r="N45" s="120"/>
      <c r="O45" s="86">
        <f>IFERROR(VLOOKUP(A45&amp;G45,Lookup!J:K,2,0),"")</f>
        <v>0</v>
      </c>
      <c r="P45" s="110" t="str">
        <f t="shared" si="6"/>
        <v/>
      </c>
      <c r="R45" s="87" t="str">
        <f t="shared" si="7"/>
        <v/>
      </c>
      <c r="S45" s="87" t="str">
        <f t="shared" si="8"/>
        <v/>
      </c>
      <c r="T45" s="59" t="e">
        <f t="shared" si="9"/>
        <v>#VALUE!</v>
      </c>
      <c r="U45" s="59"/>
      <c r="V45" s="59"/>
      <c r="W45" s="59"/>
      <c r="X45" s="60" t="str">
        <f t="shared" si="5"/>
        <v>D</v>
      </c>
    </row>
    <row r="46" spans="1:24" x14ac:dyDescent="0.25">
      <c r="A46" s="53"/>
      <c r="B46" s="59" t="str">
        <f>IFERROR(VLOOKUP(A46,Lookup!A:B,2,0),"")</f>
        <v/>
      </c>
      <c r="C46" s="59" t="str">
        <f>IFERROR(VLOOKUP(A46,Lookup!A:C,3,0),"")</f>
        <v/>
      </c>
      <c r="D46" s="59"/>
      <c r="E46" s="92"/>
      <c r="F46" s="59"/>
      <c r="G46" s="88"/>
      <c r="H46" s="59"/>
      <c r="I46" s="89"/>
      <c r="J46" s="103">
        <f>VLOOKUP(A46&amp;G46,Lookup!J:N,5,0)</f>
        <v>0</v>
      </c>
      <c r="K46" s="103"/>
      <c r="L46" s="110"/>
      <c r="M46" s="110"/>
      <c r="N46" s="120"/>
      <c r="O46" s="86">
        <f>IFERROR(VLOOKUP(A46&amp;G46,Lookup!J:K,2,0),"")</f>
        <v>0</v>
      </c>
      <c r="P46" s="110" t="str">
        <f t="shared" si="6"/>
        <v/>
      </c>
      <c r="R46" s="87" t="str">
        <f t="shared" si="7"/>
        <v/>
      </c>
      <c r="S46" s="87" t="str">
        <f t="shared" si="8"/>
        <v/>
      </c>
      <c r="T46" s="59" t="e">
        <f t="shared" si="9"/>
        <v>#VALUE!</v>
      </c>
      <c r="U46" s="59"/>
      <c r="V46" s="59"/>
      <c r="W46" s="59"/>
      <c r="X46" s="60" t="str">
        <f t="shared" si="5"/>
        <v>D</v>
      </c>
    </row>
    <row r="47" spans="1:24" x14ac:dyDescent="0.25">
      <c r="A47" s="53"/>
      <c r="B47" s="59" t="str">
        <f>IFERROR(VLOOKUP(A47,Lookup!A:B,2,0),"")</f>
        <v/>
      </c>
      <c r="C47" s="59" t="str">
        <f>IFERROR(VLOOKUP(A47,Lookup!A:C,3,0),"")</f>
        <v/>
      </c>
      <c r="D47" s="59"/>
      <c r="E47" s="92"/>
      <c r="F47" s="59"/>
      <c r="G47" s="88"/>
      <c r="H47" s="59"/>
      <c r="I47" s="89"/>
      <c r="J47" s="103">
        <f>VLOOKUP(A47&amp;G47,Lookup!J:N,5,0)</f>
        <v>0</v>
      </c>
      <c r="K47" s="103"/>
      <c r="L47" s="110"/>
      <c r="M47" s="110"/>
      <c r="N47" s="120"/>
      <c r="O47" s="86">
        <f>IFERROR(VLOOKUP(A47&amp;G47,Lookup!J:K,2,0),"")</f>
        <v>0</v>
      </c>
      <c r="P47" s="110" t="str">
        <f t="shared" si="6"/>
        <v/>
      </c>
      <c r="R47" s="87" t="str">
        <f t="shared" si="7"/>
        <v/>
      </c>
      <c r="S47" s="87" t="str">
        <f t="shared" si="8"/>
        <v/>
      </c>
      <c r="T47" s="59" t="e">
        <f t="shared" si="9"/>
        <v>#VALUE!</v>
      </c>
      <c r="U47" s="59"/>
      <c r="V47" s="59"/>
      <c r="W47" s="59"/>
      <c r="X47" s="60" t="str">
        <f t="shared" si="5"/>
        <v>D</v>
      </c>
    </row>
    <row r="48" spans="1:24" x14ac:dyDescent="0.25">
      <c r="A48" s="53"/>
      <c r="B48" s="59" t="str">
        <f>IFERROR(VLOOKUP(A48,Lookup!A:B,2,0),"")</f>
        <v/>
      </c>
      <c r="C48" s="59" t="str">
        <f>IFERROR(VLOOKUP(A48,Lookup!A:C,3,0),"")</f>
        <v/>
      </c>
      <c r="D48" s="59"/>
      <c r="E48" s="92"/>
      <c r="F48" s="59"/>
      <c r="G48" s="88"/>
      <c r="H48" s="59"/>
      <c r="I48" s="89"/>
      <c r="J48" s="103">
        <f>VLOOKUP(A48&amp;G48,Lookup!J:N,5,0)</f>
        <v>0</v>
      </c>
      <c r="K48" s="103"/>
      <c r="L48" s="110"/>
      <c r="M48" s="110"/>
      <c r="N48" s="120"/>
      <c r="O48" s="86">
        <f>IFERROR(VLOOKUP(A48&amp;G48,Lookup!J:K,2,0),"")</f>
        <v>0</v>
      </c>
      <c r="P48" s="110" t="str">
        <f t="shared" si="6"/>
        <v/>
      </c>
      <c r="R48" s="87" t="str">
        <f t="shared" si="7"/>
        <v/>
      </c>
      <c r="S48" s="87" t="str">
        <f t="shared" si="8"/>
        <v/>
      </c>
      <c r="T48" s="59" t="e">
        <f t="shared" si="9"/>
        <v>#VALUE!</v>
      </c>
      <c r="U48" s="59"/>
      <c r="V48" s="59"/>
      <c r="W48" s="59"/>
      <c r="X48" s="60" t="str">
        <f t="shared" si="5"/>
        <v>D</v>
      </c>
    </row>
    <row r="49" spans="1:24" x14ac:dyDescent="0.25">
      <c r="A49" s="53"/>
      <c r="B49" s="59" t="str">
        <f>IFERROR(VLOOKUP(A49,Lookup!A:B,2,0),"")</f>
        <v/>
      </c>
      <c r="C49" s="59" t="str">
        <f>IFERROR(VLOOKUP(A49,Lookup!A:C,3,0),"")</f>
        <v/>
      </c>
      <c r="D49" s="59"/>
      <c r="E49" s="92"/>
      <c r="F49" s="59"/>
      <c r="G49" s="88"/>
      <c r="H49" s="59"/>
      <c r="I49" s="89"/>
      <c r="J49" s="103">
        <f>VLOOKUP(A49&amp;G49,Lookup!J:N,5,0)</f>
        <v>0</v>
      </c>
      <c r="K49" s="103"/>
      <c r="L49" s="110"/>
      <c r="M49" s="110"/>
      <c r="N49" s="120"/>
      <c r="O49" s="86">
        <f>IFERROR(VLOOKUP(A49&amp;G49,Lookup!J:K,2,0),"")</f>
        <v>0</v>
      </c>
      <c r="P49" s="110" t="str">
        <f t="shared" si="6"/>
        <v/>
      </c>
      <c r="R49" s="87" t="str">
        <f t="shared" si="7"/>
        <v/>
      </c>
      <c r="S49" s="87" t="str">
        <f t="shared" si="8"/>
        <v/>
      </c>
      <c r="T49" s="59" t="e">
        <f t="shared" si="9"/>
        <v>#VALUE!</v>
      </c>
      <c r="U49" s="59"/>
      <c r="V49" s="59"/>
      <c r="W49" s="59"/>
      <c r="X49" s="60" t="str">
        <f t="shared" si="5"/>
        <v>D</v>
      </c>
    </row>
    <row r="50" spans="1:24" x14ac:dyDescent="0.25">
      <c r="A50" s="53"/>
      <c r="B50" s="59" t="str">
        <f>IFERROR(VLOOKUP(A50,Lookup!A:B,2,0),"")</f>
        <v/>
      </c>
      <c r="C50" s="59" t="str">
        <f>IFERROR(VLOOKUP(A50,Lookup!A:C,3,0),"")</f>
        <v/>
      </c>
      <c r="D50" s="59"/>
      <c r="E50" s="92"/>
      <c r="F50" s="59"/>
      <c r="G50" s="88"/>
      <c r="H50" s="59"/>
      <c r="I50" s="89"/>
      <c r="J50" s="103">
        <f>VLOOKUP(A50&amp;G50,Lookup!J:N,5,0)</f>
        <v>0</v>
      </c>
      <c r="K50" s="103"/>
      <c r="L50" s="110"/>
      <c r="M50" s="110"/>
      <c r="N50" s="120"/>
      <c r="O50" s="86">
        <f>IFERROR(VLOOKUP(A50&amp;G50,Lookup!J:K,2,0),"")</f>
        <v>0</v>
      </c>
      <c r="P50" s="110" t="str">
        <f t="shared" si="6"/>
        <v/>
      </c>
      <c r="R50" s="87" t="str">
        <f t="shared" si="7"/>
        <v/>
      </c>
      <c r="S50" s="87" t="str">
        <f t="shared" si="8"/>
        <v/>
      </c>
      <c r="T50" s="59" t="e">
        <f t="shared" si="9"/>
        <v>#VALUE!</v>
      </c>
      <c r="U50" s="59"/>
      <c r="V50" s="59"/>
      <c r="W50" s="59"/>
      <c r="X50" s="60" t="str">
        <f t="shared" si="5"/>
        <v>D</v>
      </c>
    </row>
    <row r="51" spans="1:24" x14ac:dyDescent="0.25">
      <c r="A51" s="53"/>
      <c r="B51" s="59" t="str">
        <f>IFERROR(VLOOKUP(A51,Lookup!A:B,2,0),"")</f>
        <v/>
      </c>
      <c r="C51" s="59" t="str">
        <f>IFERROR(VLOOKUP(A51,Lookup!A:C,3,0),"")</f>
        <v/>
      </c>
      <c r="D51" s="59"/>
      <c r="E51" s="92"/>
      <c r="F51" s="59"/>
      <c r="G51" s="88"/>
      <c r="H51" s="59"/>
      <c r="I51" s="89"/>
      <c r="J51" s="103">
        <f>VLOOKUP(A51&amp;G51,Lookup!J:N,5,0)</f>
        <v>0</v>
      </c>
      <c r="K51" s="103"/>
      <c r="L51" s="110"/>
      <c r="M51" s="110"/>
      <c r="N51" s="120"/>
      <c r="O51" s="86">
        <f>IFERROR(VLOOKUP(A51&amp;G51,Lookup!J:K,2,0),"")</f>
        <v>0</v>
      </c>
      <c r="P51" s="110" t="str">
        <f t="shared" si="6"/>
        <v/>
      </c>
      <c r="R51" s="87" t="str">
        <f t="shared" si="7"/>
        <v/>
      </c>
      <c r="S51" s="87" t="str">
        <f t="shared" si="8"/>
        <v/>
      </c>
      <c r="T51" s="59" t="e">
        <f t="shared" si="9"/>
        <v>#VALUE!</v>
      </c>
      <c r="U51" s="59"/>
      <c r="V51" s="59"/>
      <c r="W51" s="59"/>
      <c r="X51" s="60" t="str">
        <f t="shared" si="5"/>
        <v>D</v>
      </c>
    </row>
    <row r="52" spans="1:24" x14ac:dyDescent="0.25">
      <c r="A52" s="53"/>
      <c r="B52" s="59" t="str">
        <f>IFERROR(VLOOKUP(A52,Lookup!A:B,2,0),"")</f>
        <v/>
      </c>
      <c r="C52" s="59" t="str">
        <f>IFERROR(VLOOKUP(A52,Lookup!A:C,3,0),"")</f>
        <v/>
      </c>
      <c r="D52" s="59"/>
      <c r="E52" s="92"/>
      <c r="F52" s="59"/>
      <c r="G52" s="88"/>
      <c r="H52" s="59"/>
      <c r="I52" s="89"/>
      <c r="J52" s="103">
        <f>VLOOKUP(A52&amp;G52,Lookup!J:N,5,0)</f>
        <v>0</v>
      </c>
      <c r="K52" s="103"/>
      <c r="L52" s="110"/>
      <c r="M52" s="110"/>
      <c r="N52" s="120"/>
      <c r="O52" s="86">
        <f>IFERROR(VLOOKUP(A52&amp;G52,Lookup!J:K,2,0),"")</f>
        <v>0</v>
      </c>
      <c r="P52" s="110" t="str">
        <f t="shared" si="6"/>
        <v/>
      </c>
      <c r="R52" s="87" t="str">
        <f t="shared" si="7"/>
        <v/>
      </c>
      <c r="S52" s="87" t="str">
        <f t="shared" si="8"/>
        <v/>
      </c>
      <c r="T52" s="59" t="e">
        <f t="shared" si="9"/>
        <v>#VALUE!</v>
      </c>
      <c r="U52" s="59"/>
      <c r="V52" s="59"/>
      <c r="W52" s="59"/>
      <c r="X52" s="60" t="str">
        <f t="shared" si="5"/>
        <v>D</v>
      </c>
    </row>
    <row r="53" spans="1:24" x14ac:dyDescent="0.25">
      <c r="A53" s="53"/>
      <c r="B53" s="59" t="str">
        <f>IFERROR(VLOOKUP(A53,Lookup!A:B,2,0),"")</f>
        <v/>
      </c>
      <c r="C53" s="59" t="str">
        <f>IFERROR(VLOOKUP(A53,Lookup!A:C,3,0),"")</f>
        <v/>
      </c>
      <c r="D53" s="59"/>
      <c r="E53" s="92"/>
      <c r="F53" s="59"/>
      <c r="G53" s="88"/>
      <c r="H53" s="59"/>
      <c r="I53" s="89"/>
      <c r="J53" s="103">
        <f>VLOOKUP(A53&amp;G53,Lookup!J:N,5,0)</f>
        <v>0</v>
      </c>
      <c r="K53" s="103"/>
      <c r="L53" s="110"/>
      <c r="M53" s="110"/>
      <c r="N53" s="120"/>
      <c r="O53" s="86">
        <f>IFERROR(VLOOKUP(A53&amp;G53,Lookup!J:K,2,0),"")</f>
        <v>0</v>
      </c>
      <c r="P53" s="110" t="str">
        <f t="shared" si="6"/>
        <v/>
      </c>
      <c r="R53" s="87" t="str">
        <f t="shared" si="7"/>
        <v/>
      </c>
      <c r="S53" s="87" t="str">
        <f t="shared" si="8"/>
        <v/>
      </c>
      <c r="T53" s="59" t="e">
        <f t="shared" si="9"/>
        <v>#VALUE!</v>
      </c>
      <c r="U53" s="59"/>
      <c r="V53" s="59"/>
      <c r="W53" s="59"/>
      <c r="X53" s="60" t="str">
        <f t="shared" si="5"/>
        <v>D</v>
      </c>
    </row>
    <row r="54" spans="1:24" x14ac:dyDescent="0.25">
      <c r="A54" s="53"/>
      <c r="B54" s="59" t="str">
        <f>IFERROR(VLOOKUP(A54,Lookup!A:B,2,0),"")</f>
        <v/>
      </c>
      <c r="C54" s="59" t="str">
        <f>IFERROR(VLOOKUP(A54,Lookup!A:C,3,0),"")</f>
        <v/>
      </c>
      <c r="D54" s="59"/>
      <c r="E54" s="92"/>
      <c r="F54" s="59"/>
      <c r="G54" s="88"/>
      <c r="H54" s="59"/>
      <c r="I54" s="89"/>
      <c r="J54" s="103">
        <f>VLOOKUP(A54&amp;G54,Lookup!J:N,5,0)</f>
        <v>0</v>
      </c>
      <c r="K54" s="103"/>
      <c r="L54" s="110"/>
      <c r="M54" s="110"/>
      <c r="N54" s="120"/>
      <c r="O54" s="86">
        <f>IFERROR(VLOOKUP(A54&amp;G54,Lookup!J:K,2,0),"")</f>
        <v>0</v>
      </c>
      <c r="P54" s="110" t="str">
        <f t="shared" si="6"/>
        <v/>
      </c>
      <c r="R54" s="87" t="str">
        <f t="shared" si="7"/>
        <v/>
      </c>
      <c r="S54" s="87" t="str">
        <f t="shared" si="8"/>
        <v/>
      </c>
      <c r="T54" s="59" t="e">
        <f t="shared" si="9"/>
        <v>#VALUE!</v>
      </c>
      <c r="U54" s="59"/>
      <c r="V54" s="59"/>
      <c r="W54" s="59"/>
      <c r="X54" s="60" t="str">
        <f t="shared" si="5"/>
        <v>D</v>
      </c>
    </row>
    <row r="55" spans="1:24" x14ac:dyDescent="0.25">
      <c r="A55" s="53"/>
      <c r="B55" s="59" t="str">
        <f>IFERROR(VLOOKUP(A55,Lookup!A:B,2,0),"")</f>
        <v/>
      </c>
      <c r="C55" s="59" t="str">
        <f>IFERROR(VLOOKUP(A55,Lookup!A:C,3,0),"")</f>
        <v/>
      </c>
      <c r="D55" s="59"/>
      <c r="E55" s="92"/>
      <c r="F55" s="59"/>
      <c r="G55" s="88"/>
      <c r="H55" s="59"/>
      <c r="I55" s="89"/>
      <c r="J55" s="103">
        <f>VLOOKUP(A55&amp;G55,Lookup!J:N,5,0)</f>
        <v>0</v>
      </c>
      <c r="K55" s="103"/>
      <c r="L55" s="110"/>
      <c r="M55" s="110"/>
      <c r="N55" s="120"/>
      <c r="O55" s="86">
        <f>IFERROR(VLOOKUP(A55&amp;G55,Lookup!J:K,2,0),"")</f>
        <v>0</v>
      </c>
      <c r="P55" s="110" t="str">
        <f t="shared" si="6"/>
        <v/>
      </c>
      <c r="R55" s="87" t="str">
        <f t="shared" si="7"/>
        <v/>
      </c>
      <c r="S55" s="87" t="str">
        <f t="shared" si="8"/>
        <v/>
      </c>
      <c r="T55" s="59" t="e">
        <f t="shared" si="9"/>
        <v>#VALUE!</v>
      </c>
      <c r="U55" s="59"/>
      <c r="V55" s="59"/>
      <c r="W55" s="59"/>
      <c r="X55" s="60" t="str">
        <f t="shared" si="5"/>
        <v>D</v>
      </c>
    </row>
    <row r="56" spans="1:24" x14ac:dyDescent="0.25">
      <c r="A56" s="53"/>
      <c r="B56" s="59" t="str">
        <f>IFERROR(VLOOKUP(A56,Lookup!A:B,2,0),"")</f>
        <v/>
      </c>
      <c r="C56" s="59" t="str">
        <f>IFERROR(VLOOKUP(A56,Lookup!A:C,3,0),"")</f>
        <v/>
      </c>
      <c r="D56" s="59"/>
      <c r="E56" s="92"/>
      <c r="F56" s="59"/>
      <c r="G56" s="88"/>
      <c r="H56" s="59"/>
      <c r="I56" s="89"/>
      <c r="J56" s="103">
        <f>VLOOKUP(A56&amp;G56,Lookup!J:N,5,0)</f>
        <v>0</v>
      </c>
      <c r="K56" s="103"/>
      <c r="L56" s="110"/>
      <c r="M56" s="110"/>
      <c r="N56" s="120"/>
      <c r="O56" s="86">
        <f>IFERROR(VLOOKUP(A56&amp;G56,Lookup!J:K,2,0),"")</f>
        <v>0</v>
      </c>
      <c r="P56" s="110" t="str">
        <f t="shared" si="6"/>
        <v/>
      </c>
      <c r="R56" s="87" t="str">
        <f t="shared" si="7"/>
        <v/>
      </c>
      <c r="S56" s="87" t="str">
        <f t="shared" si="8"/>
        <v/>
      </c>
      <c r="T56" s="59" t="e">
        <f t="shared" si="9"/>
        <v>#VALUE!</v>
      </c>
      <c r="U56" s="59"/>
      <c r="V56" s="59"/>
      <c r="W56" s="59"/>
      <c r="X56" s="60" t="str">
        <f t="shared" si="5"/>
        <v>D</v>
      </c>
    </row>
    <row r="57" spans="1:24" x14ac:dyDescent="0.25">
      <c r="A57" s="53"/>
      <c r="B57" s="59" t="str">
        <f>IFERROR(VLOOKUP(A57,Lookup!A:B,2,0),"")</f>
        <v/>
      </c>
      <c r="C57" s="59" t="str">
        <f>IFERROR(VLOOKUP(A57,Lookup!A:C,3,0),"")</f>
        <v/>
      </c>
      <c r="D57" s="59"/>
      <c r="E57" s="92"/>
      <c r="F57" s="59"/>
      <c r="G57" s="88"/>
      <c r="H57" s="59"/>
      <c r="I57" s="89"/>
      <c r="J57" s="103">
        <f>VLOOKUP(A57&amp;G57,Lookup!J:N,5,0)</f>
        <v>0</v>
      </c>
      <c r="K57" s="103"/>
      <c r="L57" s="110"/>
      <c r="M57" s="110"/>
      <c r="N57" s="120"/>
      <c r="O57" s="86">
        <f>IFERROR(VLOOKUP(A57&amp;G57,Lookup!J:K,2,0),"")</f>
        <v>0</v>
      </c>
      <c r="P57" s="110" t="str">
        <f t="shared" si="6"/>
        <v/>
      </c>
      <c r="R57" s="87" t="str">
        <f t="shared" si="7"/>
        <v/>
      </c>
      <c r="S57" s="87" t="str">
        <f t="shared" si="8"/>
        <v/>
      </c>
      <c r="T57" s="59" t="e">
        <f t="shared" si="9"/>
        <v>#VALUE!</v>
      </c>
      <c r="U57" s="59"/>
      <c r="V57" s="59"/>
      <c r="W57" s="59"/>
      <c r="X57" s="60" t="str">
        <f t="shared" si="5"/>
        <v>D</v>
      </c>
    </row>
    <row r="58" spans="1:24" x14ac:dyDescent="0.25">
      <c r="A58" s="53"/>
      <c r="B58" s="59" t="str">
        <f>IFERROR(VLOOKUP(A58,Lookup!A:B,2,0),"")</f>
        <v/>
      </c>
      <c r="C58" s="59" t="str">
        <f>IFERROR(VLOOKUP(A58,Lookup!A:C,3,0),"")</f>
        <v/>
      </c>
      <c r="D58" s="59"/>
      <c r="E58" s="92"/>
      <c r="F58" s="59"/>
      <c r="G58" s="88"/>
      <c r="H58" s="59"/>
      <c r="I58" s="89"/>
      <c r="J58" s="103">
        <f>VLOOKUP(A58&amp;G58,Lookup!J:N,5,0)</f>
        <v>0</v>
      </c>
      <c r="K58" s="103"/>
      <c r="L58" s="110"/>
      <c r="M58" s="110"/>
      <c r="N58" s="120"/>
      <c r="O58" s="86">
        <f>IFERROR(VLOOKUP(A58&amp;G58,Lookup!J:K,2,0),"")</f>
        <v>0</v>
      </c>
      <c r="P58" s="110" t="str">
        <f t="shared" si="6"/>
        <v/>
      </c>
      <c r="R58" s="87" t="str">
        <f t="shared" si="7"/>
        <v/>
      </c>
      <c r="S58" s="87" t="str">
        <f t="shared" si="8"/>
        <v/>
      </c>
      <c r="T58" s="59" t="e">
        <f t="shared" si="9"/>
        <v>#VALUE!</v>
      </c>
      <c r="U58" s="59"/>
      <c r="V58" s="59"/>
      <c r="W58" s="59"/>
      <c r="X58" s="60" t="str">
        <f t="shared" si="5"/>
        <v>D</v>
      </c>
    </row>
    <row r="59" spans="1:24" x14ac:dyDescent="0.25">
      <c r="A59" s="53"/>
      <c r="B59" s="59" t="str">
        <f>IFERROR(VLOOKUP(A59,Lookup!A:B,2,0),"")</f>
        <v/>
      </c>
      <c r="C59" s="59" t="str">
        <f>IFERROR(VLOOKUP(A59,Lookup!A:C,3,0),"")</f>
        <v/>
      </c>
      <c r="D59" s="59"/>
      <c r="E59" s="92"/>
      <c r="F59" s="59"/>
      <c r="G59" s="88"/>
      <c r="H59" s="59"/>
      <c r="I59" s="89"/>
      <c r="J59" s="103">
        <f>VLOOKUP(A59&amp;G59,Lookup!J:N,5,0)</f>
        <v>0</v>
      </c>
      <c r="K59" s="103"/>
      <c r="L59" s="110"/>
      <c r="M59" s="110"/>
      <c r="N59" s="120"/>
      <c r="O59" s="86">
        <f>IFERROR(VLOOKUP(A59&amp;G59,Lookup!J:K,2,0),"")</f>
        <v>0</v>
      </c>
      <c r="P59" s="110" t="str">
        <f t="shared" si="6"/>
        <v/>
      </c>
      <c r="R59" s="87" t="str">
        <f t="shared" si="7"/>
        <v/>
      </c>
      <c r="S59" s="87" t="str">
        <f t="shared" si="8"/>
        <v/>
      </c>
      <c r="T59" s="59" t="e">
        <f t="shared" si="9"/>
        <v>#VALUE!</v>
      </c>
      <c r="U59" s="59"/>
      <c r="V59" s="59"/>
      <c r="W59" s="59"/>
      <c r="X59" s="60" t="str">
        <f t="shared" si="5"/>
        <v>D</v>
      </c>
    </row>
    <row r="60" spans="1:24" x14ac:dyDescent="0.25">
      <c r="A60" s="53"/>
      <c r="B60" s="59" t="str">
        <f>IFERROR(VLOOKUP(A60,Lookup!A:B,2,0),"")</f>
        <v/>
      </c>
      <c r="C60" s="59" t="str">
        <f>IFERROR(VLOOKUP(A60,Lookup!A:C,3,0),"")</f>
        <v/>
      </c>
      <c r="D60" s="59"/>
      <c r="E60" s="92"/>
      <c r="F60" s="59"/>
      <c r="G60" s="88"/>
      <c r="H60" s="59"/>
      <c r="I60" s="89"/>
      <c r="J60" s="103">
        <f>VLOOKUP(A60&amp;G60,Lookup!J:N,5,0)</f>
        <v>0</v>
      </c>
      <c r="K60" s="103"/>
      <c r="L60" s="110"/>
      <c r="M60" s="110"/>
      <c r="N60" s="120"/>
      <c r="O60" s="86">
        <f>IFERROR(VLOOKUP(A60&amp;G60,Lookup!J:K,2,0),"")</f>
        <v>0</v>
      </c>
      <c r="P60" s="110" t="str">
        <f t="shared" si="6"/>
        <v/>
      </c>
      <c r="R60" s="87" t="str">
        <f t="shared" si="7"/>
        <v/>
      </c>
      <c r="S60" s="87" t="str">
        <f t="shared" si="8"/>
        <v/>
      </c>
      <c r="T60" s="59" t="e">
        <f t="shared" si="9"/>
        <v>#VALUE!</v>
      </c>
      <c r="U60" s="59"/>
      <c r="V60" s="59"/>
      <c r="W60" s="59"/>
      <c r="X60" s="60" t="str">
        <f t="shared" si="5"/>
        <v>D</v>
      </c>
    </row>
    <row r="61" spans="1:24" x14ac:dyDescent="0.25">
      <c r="A61" s="53"/>
      <c r="B61" s="59" t="str">
        <f>IFERROR(VLOOKUP(A61,Lookup!A:B,2,0),"")</f>
        <v/>
      </c>
      <c r="C61" s="59" t="str">
        <f>IFERROR(VLOOKUP(A61,Lookup!A:C,3,0),"")</f>
        <v/>
      </c>
      <c r="D61" s="59"/>
      <c r="E61" s="92"/>
      <c r="F61" s="59"/>
      <c r="G61" s="88"/>
      <c r="H61" s="59"/>
      <c r="I61" s="89"/>
      <c r="J61" s="103">
        <f>VLOOKUP(A61&amp;G61,Lookup!J:N,5,0)</f>
        <v>0</v>
      </c>
      <c r="K61" s="103"/>
      <c r="L61" s="110"/>
      <c r="M61" s="110"/>
      <c r="N61" s="120"/>
      <c r="O61" s="86">
        <f>IFERROR(VLOOKUP(A61&amp;G61,Lookup!J:K,2,0),"")</f>
        <v>0</v>
      </c>
      <c r="P61" s="110" t="str">
        <f t="shared" si="6"/>
        <v/>
      </c>
      <c r="R61" s="87" t="str">
        <f t="shared" si="7"/>
        <v/>
      </c>
      <c r="S61" s="87" t="str">
        <f t="shared" si="8"/>
        <v/>
      </c>
      <c r="T61" s="59" t="e">
        <f t="shared" si="9"/>
        <v>#VALUE!</v>
      </c>
      <c r="U61" s="59"/>
      <c r="V61" s="59"/>
      <c r="W61" s="59"/>
      <c r="X61" s="60" t="str">
        <f t="shared" si="5"/>
        <v>D</v>
      </c>
    </row>
    <row r="62" spans="1:24" x14ac:dyDescent="0.25">
      <c r="A62" s="53"/>
      <c r="B62" s="59" t="str">
        <f>IFERROR(VLOOKUP(A62,Lookup!A:B,2,0),"")</f>
        <v/>
      </c>
      <c r="C62" s="59" t="str">
        <f>IFERROR(VLOOKUP(A62,Lookup!A:C,3,0),"")</f>
        <v/>
      </c>
      <c r="D62" s="59"/>
      <c r="E62" s="92"/>
      <c r="F62" s="59"/>
      <c r="G62" s="88"/>
      <c r="H62" s="59"/>
      <c r="I62" s="89"/>
      <c r="J62" s="103">
        <f>VLOOKUP(A62&amp;G62,Lookup!J:N,5,0)</f>
        <v>0</v>
      </c>
      <c r="K62" s="103"/>
      <c r="L62" s="110"/>
      <c r="M62" s="110"/>
      <c r="N62" s="120"/>
      <c r="O62" s="86">
        <f>IFERROR(VLOOKUP(A62&amp;G62,Lookup!J:K,2,0),"")</f>
        <v>0</v>
      </c>
      <c r="P62" s="110" t="str">
        <f t="shared" si="6"/>
        <v/>
      </c>
      <c r="R62" s="87" t="str">
        <f t="shared" si="7"/>
        <v/>
      </c>
      <c r="S62" s="87" t="str">
        <f t="shared" si="8"/>
        <v/>
      </c>
      <c r="T62" s="59" t="e">
        <f t="shared" si="9"/>
        <v>#VALUE!</v>
      </c>
      <c r="U62" s="59"/>
      <c r="V62" s="59"/>
      <c r="W62" s="59"/>
      <c r="X62" s="60" t="str">
        <f t="shared" si="5"/>
        <v>D</v>
      </c>
    </row>
    <row r="63" spans="1:24" x14ac:dyDescent="0.25">
      <c r="A63" s="53"/>
      <c r="B63" s="59" t="str">
        <f>IFERROR(VLOOKUP(A63,Lookup!A:B,2,0),"")</f>
        <v/>
      </c>
      <c r="C63" s="59" t="str">
        <f>IFERROR(VLOOKUP(A63,Lookup!A:C,3,0),"")</f>
        <v/>
      </c>
      <c r="D63" s="59"/>
      <c r="E63" s="92"/>
      <c r="F63" s="59"/>
      <c r="G63" s="88"/>
      <c r="H63" s="59"/>
      <c r="I63" s="89"/>
      <c r="J63" s="103">
        <f>VLOOKUP(A63&amp;G63,Lookup!J:N,5,0)</f>
        <v>0</v>
      </c>
      <c r="K63" s="103"/>
      <c r="L63" s="110"/>
      <c r="M63" s="110"/>
      <c r="N63" s="120"/>
      <c r="O63" s="86">
        <f>IFERROR(VLOOKUP(A63&amp;G63,Lookup!J:K,2,0),"")</f>
        <v>0</v>
      </c>
      <c r="P63" s="110" t="str">
        <f t="shared" si="6"/>
        <v/>
      </c>
      <c r="R63" s="87" t="str">
        <f t="shared" si="7"/>
        <v/>
      </c>
      <c r="S63" s="87" t="str">
        <f t="shared" si="8"/>
        <v/>
      </c>
      <c r="T63" s="59" t="e">
        <f t="shared" si="9"/>
        <v>#VALUE!</v>
      </c>
      <c r="U63" s="59"/>
      <c r="V63" s="59"/>
      <c r="W63" s="59"/>
      <c r="X63" s="60" t="str">
        <f t="shared" si="5"/>
        <v>D</v>
      </c>
    </row>
    <row r="64" spans="1:24" x14ac:dyDescent="0.25">
      <c r="A64" s="53"/>
      <c r="B64" s="59" t="str">
        <f>IFERROR(VLOOKUP(A64,Lookup!A:B,2,0),"")</f>
        <v/>
      </c>
      <c r="C64" s="59" t="str">
        <f>IFERROR(VLOOKUP(A64,Lookup!A:C,3,0),"")</f>
        <v/>
      </c>
      <c r="D64" s="59"/>
      <c r="E64" s="92"/>
      <c r="F64" s="59"/>
      <c r="G64" s="88"/>
      <c r="H64" s="59"/>
      <c r="I64" s="89"/>
      <c r="J64" s="103">
        <f>VLOOKUP(A64&amp;G64,Lookup!J:N,5,0)</f>
        <v>0</v>
      </c>
      <c r="K64" s="103"/>
      <c r="L64" s="110"/>
      <c r="M64" s="110"/>
      <c r="N64" s="120"/>
      <c r="O64" s="86">
        <f>IFERROR(VLOOKUP(A64&amp;G64,Lookup!J:K,2,0),"")</f>
        <v>0</v>
      </c>
      <c r="P64" s="110" t="str">
        <f t="shared" si="6"/>
        <v/>
      </c>
      <c r="R64" s="87" t="str">
        <f t="shared" si="7"/>
        <v/>
      </c>
      <c r="S64" s="87" t="str">
        <f t="shared" si="8"/>
        <v/>
      </c>
      <c r="T64" s="59" t="e">
        <f t="shared" si="9"/>
        <v>#VALUE!</v>
      </c>
      <c r="U64" s="59"/>
      <c r="V64" s="59"/>
      <c r="W64" s="59"/>
      <c r="X64" s="60" t="str">
        <f t="shared" si="5"/>
        <v>D</v>
      </c>
    </row>
    <row r="65" spans="1:24" x14ac:dyDescent="0.25">
      <c r="A65" s="53"/>
      <c r="B65" s="59" t="str">
        <f>IFERROR(VLOOKUP(A65,Lookup!A:B,2,0),"")</f>
        <v/>
      </c>
      <c r="C65" s="59" t="str">
        <f>IFERROR(VLOOKUP(A65,Lookup!A:C,3,0),"")</f>
        <v/>
      </c>
      <c r="D65" s="59"/>
      <c r="E65" s="92"/>
      <c r="F65" s="59"/>
      <c r="G65" s="88"/>
      <c r="H65" s="59"/>
      <c r="I65" s="89"/>
      <c r="J65" s="103">
        <f>VLOOKUP(A65&amp;G65,Lookup!J:N,5,0)</f>
        <v>0</v>
      </c>
      <c r="K65" s="103"/>
      <c r="L65" s="110"/>
      <c r="M65" s="110"/>
      <c r="N65" s="120"/>
      <c r="O65" s="86">
        <f>IFERROR(VLOOKUP(A65&amp;G65,Lookup!J:K,2,0),"")</f>
        <v>0</v>
      </c>
      <c r="P65" s="110" t="str">
        <f t="shared" si="6"/>
        <v/>
      </c>
      <c r="R65" s="87" t="str">
        <f t="shared" si="7"/>
        <v/>
      </c>
      <c r="S65" s="87" t="str">
        <f t="shared" si="8"/>
        <v/>
      </c>
      <c r="T65" s="59" t="e">
        <f t="shared" si="9"/>
        <v>#VALUE!</v>
      </c>
      <c r="U65" s="59"/>
      <c r="V65" s="59"/>
      <c r="W65" s="59"/>
      <c r="X65" s="60" t="str">
        <f t="shared" si="5"/>
        <v>D</v>
      </c>
    </row>
    <row r="66" spans="1:24" x14ac:dyDescent="0.25">
      <c r="A66" s="53"/>
      <c r="B66" s="59" t="str">
        <f>IFERROR(VLOOKUP(A66,Lookup!A:B,2,0),"")</f>
        <v/>
      </c>
      <c r="C66" s="59" t="str">
        <f>IFERROR(VLOOKUP(A66,Lookup!A:C,3,0),"")</f>
        <v/>
      </c>
      <c r="D66" s="59"/>
      <c r="E66" s="92"/>
      <c r="F66" s="59"/>
      <c r="G66" s="88"/>
      <c r="H66" s="59"/>
      <c r="I66" s="89"/>
      <c r="J66" s="103">
        <f>VLOOKUP(A66&amp;G66,Lookup!J:N,5,0)</f>
        <v>0</v>
      </c>
      <c r="K66" s="103"/>
      <c r="L66" s="110"/>
      <c r="M66" s="110"/>
      <c r="N66" s="120"/>
      <c r="O66" s="86">
        <f>IFERROR(VLOOKUP(A66&amp;G66,Lookup!J:K,2,0),"")</f>
        <v>0</v>
      </c>
      <c r="P66" s="110" t="str">
        <f t="shared" si="6"/>
        <v/>
      </c>
      <c r="R66" s="87" t="str">
        <f t="shared" si="7"/>
        <v/>
      </c>
      <c r="S66" s="87" t="str">
        <f t="shared" si="8"/>
        <v/>
      </c>
      <c r="T66" s="59" t="e">
        <f t="shared" si="9"/>
        <v>#VALUE!</v>
      </c>
      <c r="U66" s="59"/>
      <c r="V66" s="59"/>
      <c r="W66" s="59"/>
      <c r="X66" s="60" t="str">
        <f t="shared" si="5"/>
        <v>D</v>
      </c>
    </row>
    <row r="67" spans="1:24" x14ac:dyDescent="0.25">
      <c r="A67" s="53"/>
      <c r="B67" s="59" t="str">
        <f>IFERROR(VLOOKUP(A67,Lookup!A:B,2,0),"")</f>
        <v/>
      </c>
      <c r="C67" s="59" t="str">
        <f>IFERROR(VLOOKUP(A67,Lookup!A:C,3,0),"")</f>
        <v/>
      </c>
      <c r="D67" s="59"/>
      <c r="E67" s="92"/>
      <c r="F67" s="59"/>
      <c r="G67" s="88"/>
      <c r="H67" s="59"/>
      <c r="I67" s="89"/>
      <c r="J67" s="103">
        <f>VLOOKUP(A67&amp;G67,Lookup!J:N,5,0)</f>
        <v>0</v>
      </c>
      <c r="K67" s="103"/>
      <c r="L67" s="110"/>
      <c r="M67" s="110"/>
      <c r="N67" s="120"/>
      <c r="O67" s="86">
        <f>IFERROR(VLOOKUP(A67&amp;G67,Lookup!J:K,2,0),"")</f>
        <v>0</v>
      </c>
      <c r="P67" s="110" t="str">
        <f t="shared" si="6"/>
        <v/>
      </c>
      <c r="R67" s="87" t="str">
        <f t="shared" si="7"/>
        <v/>
      </c>
      <c r="S67" s="87" t="str">
        <f t="shared" si="8"/>
        <v/>
      </c>
      <c r="T67" s="59" t="e">
        <f t="shared" si="9"/>
        <v>#VALUE!</v>
      </c>
      <c r="U67" s="59"/>
      <c r="V67" s="59"/>
      <c r="W67" s="59"/>
      <c r="X67" s="60" t="str">
        <f t="shared" si="5"/>
        <v>D</v>
      </c>
    </row>
    <row r="68" spans="1:24" x14ac:dyDescent="0.25">
      <c r="A68" s="53"/>
      <c r="B68" s="59" t="str">
        <f>IFERROR(VLOOKUP(A68,Lookup!A:B,2,0),"")</f>
        <v/>
      </c>
      <c r="C68" s="59" t="str">
        <f>IFERROR(VLOOKUP(A68,Lookup!A:C,3,0),"")</f>
        <v/>
      </c>
      <c r="D68" s="59"/>
      <c r="E68" s="92"/>
      <c r="F68" s="59"/>
      <c r="G68" s="88"/>
      <c r="H68" s="59"/>
      <c r="I68" s="89"/>
      <c r="J68" s="103">
        <f>VLOOKUP(A68&amp;G68,Lookup!J:N,5,0)</f>
        <v>0</v>
      </c>
      <c r="K68" s="103"/>
      <c r="L68" s="110"/>
      <c r="M68" s="110"/>
      <c r="N68" s="120"/>
      <c r="O68" s="86">
        <f>IFERROR(VLOOKUP(A68&amp;G68,Lookup!J:K,2,0),"")</f>
        <v>0</v>
      </c>
      <c r="P68" s="110" t="str">
        <f t="shared" si="6"/>
        <v/>
      </c>
      <c r="R68" s="87" t="str">
        <f t="shared" si="7"/>
        <v/>
      </c>
      <c r="S68" s="87" t="str">
        <f t="shared" si="8"/>
        <v/>
      </c>
      <c r="T68" s="59" t="e">
        <f t="shared" si="9"/>
        <v>#VALUE!</v>
      </c>
      <c r="U68" s="59"/>
      <c r="V68" s="59"/>
      <c r="W68" s="59"/>
      <c r="X68" s="60" t="str">
        <f t="shared" ref="X68:X100" si="10">IF(I68="SET","A",IF(I68="FREQ","C",IF(I68="","D","B")))</f>
        <v>D</v>
      </c>
    </row>
    <row r="69" spans="1:24" x14ac:dyDescent="0.25">
      <c r="A69" s="53"/>
      <c r="B69" s="59" t="str">
        <f>IFERROR(VLOOKUP(A69,Lookup!A:B,2,0),"")</f>
        <v/>
      </c>
      <c r="C69" s="59" t="str">
        <f>IFERROR(VLOOKUP(A69,Lookup!A:C,3,0),"")</f>
        <v/>
      </c>
      <c r="D69" s="59"/>
      <c r="E69" s="92"/>
      <c r="F69" s="59"/>
      <c r="G69" s="88"/>
      <c r="H69" s="59"/>
      <c r="I69" s="89"/>
      <c r="J69" s="103">
        <f>VLOOKUP(A69&amp;G69,Lookup!J:N,5,0)</f>
        <v>0</v>
      </c>
      <c r="K69" s="103"/>
      <c r="L69" s="110"/>
      <c r="M69" s="110"/>
      <c r="N69" s="120"/>
      <c r="O69" s="86">
        <f>IFERROR(VLOOKUP(A69&amp;G69,Lookup!J:K,2,0),"")</f>
        <v>0</v>
      </c>
      <c r="P69" s="110" t="str">
        <f t="shared" ref="P69:P100" si="11">IF(N69="","",N69+O69)</f>
        <v/>
      </c>
      <c r="R69" s="87" t="str">
        <f t="shared" ref="R69:R100" si="12">IF(OR(EXACT(N69,""), EXACT(L69,"")),"",N69-L69)</f>
        <v/>
      </c>
      <c r="S69" s="87" t="str">
        <f t="shared" ref="S69:S100" si="13">IF(OR(EXACT(Q69,""), EXACT(L69,"")),"",Q69-L69)</f>
        <v/>
      </c>
      <c r="T69" s="59" t="e">
        <f t="shared" ref="T69:T100" si="14">IF(Q69-P69&gt;0.0415,"YES",(IF(OR(EXACT(Q69,""), EXACT(P69,"")),"","NO")))</f>
        <v>#VALUE!</v>
      </c>
      <c r="U69" s="59"/>
      <c r="V69" s="59"/>
      <c r="W69" s="59"/>
      <c r="X69" s="60" t="str">
        <f t="shared" si="10"/>
        <v>D</v>
      </c>
    </row>
    <row r="70" spans="1:24" x14ac:dyDescent="0.25">
      <c r="A70" s="53"/>
      <c r="B70" s="59" t="str">
        <f>IFERROR(VLOOKUP(A70,Lookup!A:B,2,0),"")</f>
        <v/>
      </c>
      <c r="C70" s="59" t="str">
        <f>IFERROR(VLOOKUP(A70,Lookup!A:C,3,0),"")</f>
        <v/>
      </c>
      <c r="D70" s="59"/>
      <c r="E70" s="92"/>
      <c r="F70" s="59"/>
      <c r="G70" s="88"/>
      <c r="H70" s="59"/>
      <c r="I70" s="89"/>
      <c r="J70" s="103">
        <f>VLOOKUP(A70&amp;G70,Lookup!J:N,5,0)</f>
        <v>0</v>
      </c>
      <c r="K70" s="103"/>
      <c r="L70" s="110"/>
      <c r="M70" s="110"/>
      <c r="N70" s="120"/>
      <c r="O70" s="86">
        <f>IFERROR(VLOOKUP(A70&amp;G70,Lookup!J:K,2,0),"")</f>
        <v>0</v>
      </c>
      <c r="P70" s="110" t="str">
        <f t="shared" si="11"/>
        <v/>
      </c>
      <c r="R70" s="87" t="str">
        <f t="shared" si="12"/>
        <v/>
      </c>
      <c r="S70" s="87" t="str">
        <f t="shared" si="13"/>
        <v/>
      </c>
      <c r="T70" s="59" t="e">
        <f t="shared" si="14"/>
        <v>#VALUE!</v>
      </c>
      <c r="U70" s="59"/>
      <c r="V70" s="59"/>
      <c r="W70" s="59"/>
      <c r="X70" s="60" t="str">
        <f t="shared" si="10"/>
        <v>D</v>
      </c>
    </row>
    <row r="71" spans="1:24" x14ac:dyDescent="0.25">
      <c r="A71" s="53"/>
      <c r="B71" s="59" t="str">
        <f>IFERROR(VLOOKUP(A71,Lookup!A:B,2,0),"")</f>
        <v/>
      </c>
      <c r="C71" s="59" t="str">
        <f>IFERROR(VLOOKUP(A71,Lookup!A:C,3,0),"")</f>
        <v/>
      </c>
      <c r="D71" s="59"/>
      <c r="E71" s="92"/>
      <c r="F71" s="59"/>
      <c r="G71" s="88"/>
      <c r="H71" s="59"/>
      <c r="I71" s="89"/>
      <c r="J71" s="103">
        <f>VLOOKUP(A71&amp;G71,Lookup!J:N,5,0)</f>
        <v>0</v>
      </c>
      <c r="K71" s="103"/>
      <c r="L71" s="110"/>
      <c r="M71" s="110"/>
      <c r="N71" s="120"/>
      <c r="O71" s="86">
        <f>IFERROR(VLOOKUP(A71&amp;G71,Lookup!J:K,2,0),"")</f>
        <v>0</v>
      </c>
      <c r="P71" s="110" t="str">
        <f t="shared" si="11"/>
        <v/>
      </c>
      <c r="R71" s="87" t="str">
        <f t="shared" si="12"/>
        <v/>
      </c>
      <c r="S71" s="87" t="str">
        <f t="shared" si="13"/>
        <v/>
      </c>
      <c r="T71" s="59" t="e">
        <f t="shared" si="14"/>
        <v>#VALUE!</v>
      </c>
      <c r="U71" s="59"/>
      <c r="V71" s="59"/>
      <c r="W71" s="59"/>
      <c r="X71" s="60" t="str">
        <f t="shared" si="10"/>
        <v>D</v>
      </c>
    </row>
    <row r="72" spans="1:24" x14ac:dyDescent="0.25">
      <c r="A72" s="53"/>
      <c r="B72" s="59" t="str">
        <f>IFERROR(VLOOKUP(A72,Lookup!A:B,2,0),"")</f>
        <v/>
      </c>
      <c r="C72" s="59" t="str">
        <f>IFERROR(VLOOKUP(A72,Lookup!A:C,3,0),"")</f>
        <v/>
      </c>
      <c r="D72" s="59"/>
      <c r="E72" s="92"/>
      <c r="F72" s="59"/>
      <c r="G72" s="88"/>
      <c r="H72" s="59"/>
      <c r="I72" s="89"/>
      <c r="J72" s="103">
        <f>VLOOKUP(A72&amp;G72,Lookup!J:N,5,0)</f>
        <v>0</v>
      </c>
      <c r="K72" s="103"/>
      <c r="L72" s="110"/>
      <c r="M72" s="110"/>
      <c r="N72" s="120"/>
      <c r="O72" s="86">
        <f>IFERROR(VLOOKUP(A72&amp;G72,Lookup!J:K,2,0),"")</f>
        <v>0</v>
      </c>
      <c r="P72" s="110" t="str">
        <f t="shared" si="11"/>
        <v/>
      </c>
      <c r="R72" s="87" t="str">
        <f t="shared" si="12"/>
        <v/>
      </c>
      <c r="S72" s="87" t="str">
        <f t="shared" si="13"/>
        <v/>
      </c>
      <c r="T72" s="59" t="e">
        <f t="shared" si="14"/>
        <v>#VALUE!</v>
      </c>
      <c r="U72" s="59"/>
      <c r="V72" s="59"/>
      <c r="W72" s="59"/>
      <c r="X72" s="60" t="str">
        <f t="shared" si="10"/>
        <v>D</v>
      </c>
    </row>
    <row r="73" spans="1:24" x14ac:dyDescent="0.25">
      <c r="A73" s="53"/>
      <c r="B73" s="59" t="str">
        <f>IFERROR(VLOOKUP(A73,Lookup!A:B,2,0),"")</f>
        <v/>
      </c>
      <c r="C73" s="59" t="str">
        <f>IFERROR(VLOOKUP(A73,Lookup!A:C,3,0),"")</f>
        <v/>
      </c>
      <c r="D73" s="59"/>
      <c r="E73" s="92"/>
      <c r="F73" s="59"/>
      <c r="G73" s="88"/>
      <c r="H73" s="59"/>
      <c r="I73" s="89"/>
      <c r="J73" s="103">
        <f>VLOOKUP(A73&amp;G73,Lookup!J:N,5,0)</f>
        <v>0</v>
      </c>
      <c r="K73" s="103"/>
      <c r="L73" s="110"/>
      <c r="M73" s="110"/>
      <c r="N73" s="120"/>
      <c r="O73" s="86">
        <f>IFERROR(VLOOKUP(A73&amp;G73,Lookup!J:K,2,0),"")</f>
        <v>0</v>
      </c>
      <c r="P73" s="110" t="str">
        <f t="shared" si="11"/>
        <v/>
      </c>
      <c r="R73" s="87" t="str">
        <f t="shared" si="12"/>
        <v/>
      </c>
      <c r="S73" s="87" t="str">
        <f t="shared" si="13"/>
        <v/>
      </c>
      <c r="T73" s="59" t="e">
        <f t="shared" si="14"/>
        <v>#VALUE!</v>
      </c>
      <c r="U73" s="59"/>
      <c r="V73" s="59"/>
      <c r="W73" s="59"/>
      <c r="X73" s="60" t="str">
        <f t="shared" si="10"/>
        <v>D</v>
      </c>
    </row>
    <row r="74" spans="1:24" x14ac:dyDescent="0.25">
      <c r="A74" s="53"/>
      <c r="B74" s="59" t="str">
        <f>IFERROR(VLOOKUP(A74,Lookup!A:B,2,0),"")</f>
        <v/>
      </c>
      <c r="C74" s="59" t="str">
        <f>IFERROR(VLOOKUP(A74,Lookup!A:C,3,0),"")</f>
        <v/>
      </c>
      <c r="D74" s="59"/>
      <c r="E74" s="92"/>
      <c r="F74" s="59"/>
      <c r="G74" s="88"/>
      <c r="H74" s="59"/>
      <c r="I74" s="89"/>
      <c r="J74" s="103">
        <f>VLOOKUP(A74&amp;G74,Lookup!J:N,5,0)</f>
        <v>0</v>
      </c>
      <c r="K74" s="103"/>
      <c r="L74" s="110"/>
      <c r="M74" s="110"/>
      <c r="N74" s="120"/>
      <c r="O74" s="86">
        <f>IFERROR(VLOOKUP(A74&amp;G74,Lookup!J:K,2,0),"")</f>
        <v>0</v>
      </c>
      <c r="P74" s="110" t="str">
        <f t="shared" si="11"/>
        <v/>
      </c>
      <c r="R74" s="87" t="str">
        <f t="shared" si="12"/>
        <v/>
      </c>
      <c r="S74" s="87" t="str">
        <f t="shared" si="13"/>
        <v/>
      </c>
      <c r="T74" s="59" t="e">
        <f t="shared" si="14"/>
        <v>#VALUE!</v>
      </c>
      <c r="U74" s="59"/>
      <c r="V74" s="59"/>
      <c r="W74" s="59"/>
      <c r="X74" s="60" t="str">
        <f t="shared" si="10"/>
        <v>D</v>
      </c>
    </row>
    <row r="75" spans="1:24" x14ac:dyDescent="0.25">
      <c r="A75" s="53"/>
      <c r="B75" s="59" t="str">
        <f>IFERROR(VLOOKUP(A75,Lookup!A:B,2,0),"")</f>
        <v/>
      </c>
      <c r="C75" s="59" t="str">
        <f>IFERROR(VLOOKUP(A75,Lookup!A:C,3,0),"")</f>
        <v/>
      </c>
      <c r="D75" s="59"/>
      <c r="E75" s="92"/>
      <c r="F75" s="59"/>
      <c r="G75" s="88"/>
      <c r="H75" s="59"/>
      <c r="I75" s="89"/>
      <c r="J75" s="103">
        <f>VLOOKUP(A75&amp;G75,Lookup!J:N,5,0)</f>
        <v>0</v>
      </c>
      <c r="K75" s="103"/>
      <c r="L75" s="110"/>
      <c r="M75" s="110"/>
      <c r="N75" s="120"/>
      <c r="O75" s="86">
        <f>IFERROR(VLOOKUP(A75&amp;G75,Lookup!J:K,2,0),"")</f>
        <v>0</v>
      </c>
      <c r="P75" s="110" t="str">
        <f t="shared" si="11"/>
        <v/>
      </c>
      <c r="R75" s="87" t="str">
        <f t="shared" si="12"/>
        <v/>
      </c>
      <c r="S75" s="87" t="str">
        <f t="shared" si="13"/>
        <v/>
      </c>
      <c r="T75" s="59" t="e">
        <f t="shared" si="14"/>
        <v>#VALUE!</v>
      </c>
      <c r="U75" s="59"/>
      <c r="V75" s="59"/>
      <c r="W75" s="59"/>
      <c r="X75" s="60" t="str">
        <f t="shared" si="10"/>
        <v>D</v>
      </c>
    </row>
    <row r="76" spans="1:24" x14ac:dyDescent="0.25">
      <c r="A76" s="53"/>
      <c r="B76" s="59" t="str">
        <f>IFERROR(VLOOKUP(A76,Lookup!A:B,2,0),"")</f>
        <v/>
      </c>
      <c r="C76" s="59" t="str">
        <f>IFERROR(VLOOKUP(A76,Lookup!A:C,3,0),"")</f>
        <v/>
      </c>
      <c r="D76" s="59"/>
      <c r="E76" s="92"/>
      <c r="F76" s="59"/>
      <c r="G76" s="88"/>
      <c r="H76" s="59"/>
      <c r="I76" s="89"/>
      <c r="J76" s="103">
        <f>VLOOKUP(A76&amp;G76,Lookup!J:N,5,0)</f>
        <v>0</v>
      </c>
      <c r="K76" s="103"/>
      <c r="L76" s="110"/>
      <c r="M76" s="110"/>
      <c r="N76" s="120"/>
      <c r="O76" s="86">
        <f>IFERROR(VLOOKUP(A76&amp;G76,Lookup!J:K,2,0),"")</f>
        <v>0</v>
      </c>
      <c r="P76" s="110" t="str">
        <f t="shared" si="11"/>
        <v/>
      </c>
      <c r="R76" s="87" t="str">
        <f t="shared" si="12"/>
        <v/>
      </c>
      <c r="S76" s="87" t="str">
        <f t="shared" si="13"/>
        <v/>
      </c>
      <c r="T76" s="59" t="e">
        <f t="shared" si="14"/>
        <v>#VALUE!</v>
      </c>
      <c r="U76" s="59"/>
      <c r="V76" s="59"/>
      <c r="W76" s="59"/>
      <c r="X76" s="60" t="str">
        <f t="shared" si="10"/>
        <v>D</v>
      </c>
    </row>
    <row r="77" spans="1:24" x14ac:dyDescent="0.25">
      <c r="A77" s="53"/>
      <c r="B77" s="59" t="str">
        <f>IFERROR(VLOOKUP(A77,Lookup!A:B,2,0),"")</f>
        <v/>
      </c>
      <c r="C77" s="59" t="str">
        <f>IFERROR(VLOOKUP(A77,Lookup!A:C,3,0),"")</f>
        <v/>
      </c>
      <c r="D77" s="59"/>
      <c r="E77" s="92"/>
      <c r="F77" s="59"/>
      <c r="G77" s="88"/>
      <c r="H77" s="59"/>
      <c r="I77" s="89"/>
      <c r="J77" s="103">
        <f>VLOOKUP(A77&amp;G77,Lookup!J:N,5,0)</f>
        <v>0</v>
      </c>
      <c r="K77" s="103"/>
      <c r="L77" s="110"/>
      <c r="M77" s="110"/>
      <c r="N77" s="120"/>
      <c r="O77" s="86">
        <f>IFERROR(VLOOKUP(A77&amp;G77,Lookup!J:K,2,0),"")</f>
        <v>0</v>
      </c>
      <c r="P77" s="110" t="str">
        <f t="shared" si="11"/>
        <v/>
      </c>
      <c r="R77" s="87" t="str">
        <f t="shared" si="12"/>
        <v/>
      </c>
      <c r="S77" s="87" t="str">
        <f t="shared" si="13"/>
        <v/>
      </c>
      <c r="T77" s="59" t="e">
        <f t="shared" si="14"/>
        <v>#VALUE!</v>
      </c>
      <c r="U77" s="59"/>
      <c r="V77" s="59"/>
      <c r="W77" s="59"/>
      <c r="X77" s="60" t="str">
        <f t="shared" si="10"/>
        <v>D</v>
      </c>
    </row>
    <row r="78" spans="1:24" x14ac:dyDescent="0.25">
      <c r="A78" s="53"/>
      <c r="B78" s="59" t="str">
        <f>IFERROR(VLOOKUP(A78,Lookup!A:B,2,0),"")</f>
        <v/>
      </c>
      <c r="C78" s="59" t="str">
        <f>IFERROR(VLOOKUP(A78,Lookup!A:C,3,0),"")</f>
        <v/>
      </c>
      <c r="D78" s="59"/>
      <c r="E78" s="92"/>
      <c r="F78" s="59"/>
      <c r="G78" s="88"/>
      <c r="H78" s="59"/>
      <c r="I78" s="89"/>
      <c r="J78" s="103">
        <f>VLOOKUP(A78&amp;G78,Lookup!J:N,5,0)</f>
        <v>0</v>
      </c>
      <c r="K78" s="103"/>
      <c r="L78" s="110"/>
      <c r="M78" s="110"/>
      <c r="N78" s="120"/>
      <c r="O78" s="86">
        <f>IFERROR(VLOOKUP(A78&amp;G78,Lookup!J:K,2,0),"")</f>
        <v>0</v>
      </c>
      <c r="P78" s="110" t="str">
        <f t="shared" si="11"/>
        <v/>
      </c>
      <c r="R78" s="87" t="str">
        <f t="shared" si="12"/>
        <v/>
      </c>
      <c r="S78" s="87" t="str">
        <f t="shared" si="13"/>
        <v/>
      </c>
      <c r="T78" s="59" t="e">
        <f t="shared" si="14"/>
        <v>#VALUE!</v>
      </c>
      <c r="U78" s="59"/>
      <c r="V78" s="59"/>
      <c r="W78" s="59"/>
      <c r="X78" s="60" t="str">
        <f t="shared" si="10"/>
        <v>D</v>
      </c>
    </row>
    <row r="79" spans="1:24" x14ac:dyDescent="0.25">
      <c r="A79" s="53"/>
      <c r="B79" s="59" t="str">
        <f>IFERROR(VLOOKUP(A79,Lookup!A:B,2,0),"")</f>
        <v/>
      </c>
      <c r="C79" s="59" t="str">
        <f>IFERROR(VLOOKUP(A79,Lookup!A:C,3,0),"")</f>
        <v/>
      </c>
      <c r="D79" s="59"/>
      <c r="E79" s="92"/>
      <c r="F79" s="59"/>
      <c r="G79" s="88"/>
      <c r="H79" s="59"/>
      <c r="I79" s="89"/>
      <c r="J79" s="103">
        <f>VLOOKUP(A79&amp;G79,Lookup!J:N,5,0)</f>
        <v>0</v>
      </c>
      <c r="K79" s="103"/>
      <c r="L79" s="110"/>
      <c r="M79" s="110"/>
      <c r="N79" s="120"/>
      <c r="O79" s="86">
        <f>IFERROR(VLOOKUP(A79&amp;G79,Lookup!J:K,2,0),"")</f>
        <v>0</v>
      </c>
      <c r="P79" s="110" t="str">
        <f t="shared" si="11"/>
        <v/>
      </c>
      <c r="R79" s="87" t="str">
        <f t="shared" si="12"/>
        <v/>
      </c>
      <c r="S79" s="87" t="str">
        <f t="shared" si="13"/>
        <v/>
      </c>
      <c r="T79" s="59" t="e">
        <f t="shared" si="14"/>
        <v>#VALUE!</v>
      </c>
      <c r="U79" s="59"/>
      <c r="V79" s="59"/>
      <c r="W79" s="59"/>
      <c r="X79" s="60" t="str">
        <f t="shared" si="10"/>
        <v>D</v>
      </c>
    </row>
    <row r="80" spans="1:24" x14ac:dyDescent="0.25">
      <c r="A80" s="53"/>
      <c r="B80" s="59" t="str">
        <f>IFERROR(VLOOKUP(A80,Lookup!A:B,2,0),"")</f>
        <v/>
      </c>
      <c r="C80" s="59" t="str">
        <f>IFERROR(VLOOKUP(A80,Lookup!A:C,3,0),"")</f>
        <v/>
      </c>
      <c r="D80" s="59"/>
      <c r="E80" s="92"/>
      <c r="F80" s="59"/>
      <c r="G80" s="88"/>
      <c r="H80" s="59"/>
      <c r="I80" s="89"/>
      <c r="J80" s="103">
        <f>VLOOKUP(A80&amp;G80,Lookup!J:N,5,0)</f>
        <v>0</v>
      </c>
      <c r="K80" s="103"/>
      <c r="L80" s="110"/>
      <c r="M80" s="110"/>
      <c r="N80" s="120"/>
      <c r="O80" s="86">
        <f>IFERROR(VLOOKUP(A80&amp;G80,Lookup!J:K,2,0),"")</f>
        <v>0</v>
      </c>
      <c r="P80" s="110" t="str">
        <f t="shared" si="11"/>
        <v/>
      </c>
      <c r="R80" s="87" t="str">
        <f t="shared" si="12"/>
        <v/>
      </c>
      <c r="S80" s="87" t="str">
        <f t="shared" si="13"/>
        <v/>
      </c>
      <c r="T80" s="59" t="e">
        <f t="shared" si="14"/>
        <v>#VALUE!</v>
      </c>
      <c r="U80" s="59"/>
      <c r="V80" s="59"/>
      <c r="W80" s="59"/>
      <c r="X80" s="60" t="str">
        <f t="shared" si="10"/>
        <v>D</v>
      </c>
    </row>
    <row r="81" spans="1:24" x14ac:dyDescent="0.25">
      <c r="A81" s="53"/>
      <c r="B81" s="59" t="str">
        <f>IFERROR(VLOOKUP(A81,Lookup!A:B,2,0),"")</f>
        <v/>
      </c>
      <c r="C81" s="59" t="str">
        <f>IFERROR(VLOOKUP(A81,Lookup!A:C,3,0),"")</f>
        <v/>
      </c>
      <c r="D81" s="59"/>
      <c r="E81" s="92"/>
      <c r="F81" s="59"/>
      <c r="G81" s="88"/>
      <c r="H81" s="59"/>
      <c r="I81" s="89"/>
      <c r="J81" s="103">
        <f>VLOOKUP(A81&amp;G81,Lookup!J:N,5,0)</f>
        <v>0</v>
      </c>
      <c r="K81" s="103"/>
      <c r="L81" s="110"/>
      <c r="M81" s="110"/>
      <c r="N81" s="120"/>
      <c r="O81" s="86">
        <f>IFERROR(VLOOKUP(A81&amp;G81,Lookup!J:K,2,0),"")</f>
        <v>0</v>
      </c>
      <c r="P81" s="110" t="str">
        <f t="shared" si="11"/>
        <v/>
      </c>
      <c r="R81" s="87" t="str">
        <f t="shared" si="12"/>
        <v/>
      </c>
      <c r="S81" s="87" t="str">
        <f t="shared" si="13"/>
        <v/>
      </c>
      <c r="T81" s="59" t="e">
        <f t="shared" si="14"/>
        <v>#VALUE!</v>
      </c>
      <c r="U81" s="59"/>
      <c r="V81" s="59"/>
      <c r="W81" s="59"/>
      <c r="X81" s="60" t="str">
        <f t="shared" si="10"/>
        <v>D</v>
      </c>
    </row>
    <row r="82" spans="1:24" x14ac:dyDescent="0.25">
      <c r="A82" s="53"/>
      <c r="B82" s="59" t="str">
        <f>IFERROR(VLOOKUP(A82,Lookup!A:B,2,0),"")</f>
        <v/>
      </c>
      <c r="C82" s="59" t="str">
        <f>IFERROR(VLOOKUP(A82,Lookup!A:C,3,0),"")</f>
        <v/>
      </c>
      <c r="D82" s="59"/>
      <c r="E82" s="92"/>
      <c r="F82" s="59"/>
      <c r="G82" s="88"/>
      <c r="H82" s="59"/>
      <c r="I82" s="89"/>
      <c r="J82" s="103">
        <f>VLOOKUP(A82&amp;G82,Lookup!J:N,5,0)</f>
        <v>0</v>
      </c>
      <c r="K82" s="103"/>
      <c r="L82" s="110"/>
      <c r="M82" s="110"/>
      <c r="N82" s="120"/>
      <c r="O82" s="86">
        <f>IFERROR(VLOOKUP(A82&amp;G82,Lookup!J:K,2,0),"")</f>
        <v>0</v>
      </c>
      <c r="P82" s="110" t="str">
        <f t="shared" si="11"/>
        <v/>
      </c>
      <c r="R82" s="87" t="str">
        <f t="shared" si="12"/>
        <v/>
      </c>
      <c r="S82" s="87" t="str">
        <f t="shared" si="13"/>
        <v/>
      </c>
      <c r="T82" s="59" t="e">
        <f t="shared" si="14"/>
        <v>#VALUE!</v>
      </c>
      <c r="U82" s="59"/>
      <c r="V82" s="59"/>
      <c r="W82" s="59"/>
      <c r="X82" s="60" t="str">
        <f t="shared" si="10"/>
        <v>D</v>
      </c>
    </row>
    <row r="83" spans="1:24" x14ac:dyDescent="0.25">
      <c r="A83" s="53"/>
      <c r="B83" s="59" t="str">
        <f>IFERROR(VLOOKUP(A83,Lookup!A:B,2,0),"")</f>
        <v/>
      </c>
      <c r="C83" s="59" t="str">
        <f>IFERROR(VLOOKUP(A83,Lookup!A:C,3,0),"")</f>
        <v/>
      </c>
      <c r="D83" s="59"/>
      <c r="E83" s="92"/>
      <c r="F83" s="59"/>
      <c r="G83" s="88"/>
      <c r="H83" s="59"/>
      <c r="I83" s="89"/>
      <c r="J83" s="103">
        <f>VLOOKUP(A83&amp;G83,Lookup!J:N,5,0)</f>
        <v>0</v>
      </c>
      <c r="K83" s="103"/>
      <c r="L83" s="110"/>
      <c r="M83" s="110"/>
      <c r="N83" s="120"/>
      <c r="O83" s="86">
        <f>IFERROR(VLOOKUP(A83&amp;G83,Lookup!J:K,2,0),"")</f>
        <v>0</v>
      </c>
      <c r="P83" s="110" t="str">
        <f t="shared" si="11"/>
        <v/>
      </c>
      <c r="R83" s="87" t="str">
        <f t="shared" si="12"/>
        <v/>
      </c>
      <c r="S83" s="87" t="str">
        <f t="shared" si="13"/>
        <v/>
      </c>
      <c r="T83" s="59" t="e">
        <f t="shared" si="14"/>
        <v>#VALUE!</v>
      </c>
      <c r="U83" s="59"/>
      <c r="V83" s="59"/>
      <c r="W83" s="59"/>
      <c r="X83" s="60" t="str">
        <f t="shared" si="10"/>
        <v>D</v>
      </c>
    </row>
    <row r="84" spans="1:24" x14ac:dyDescent="0.25">
      <c r="A84" s="53"/>
      <c r="B84" s="59" t="str">
        <f>IFERROR(VLOOKUP(A84,Lookup!A:B,2,0),"")</f>
        <v/>
      </c>
      <c r="C84" s="59" t="str">
        <f>IFERROR(VLOOKUP(A84,Lookup!A:C,3,0),"")</f>
        <v/>
      </c>
      <c r="D84" s="59"/>
      <c r="E84" s="92"/>
      <c r="F84" s="59"/>
      <c r="G84" s="88"/>
      <c r="H84" s="59"/>
      <c r="I84" s="89"/>
      <c r="J84" s="103">
        <f>VLOOKUP(A84&amp;G84,Lookup!J:N,5,0)</f>
        <v>0</v>
      </c>
      <c r="K84" s="103"/>
      <c r="L84" s="110"/>
      <c r="M84" s="110"/>
      <c r="N84" s="120"/>
      <c r="O84" s="86">
        <f>IFERROR(VLOOKUP(A84&amp;G84,Lookup!J:K,2,0),"")</f>
        <v>0</v>
      </c>
      <c r="P84" s="110" t="str">
        <f t="shared" si="11"/>
        <v/>
      </c>
      <c r="R84" s="87" t="str">
        <f t="shared" si="12"/>
        <v/>
      </c>
      <c r="S84" s="87" t="str">
        <f t="shared" si="13"/>
        <v/>
      </c>
      <c r="T84" s="59" t="e">
        <f t="shared" si="14"/>
        <v>#VALUE!</v>
      </c>
      <c r="U84" s="59"/>
      <c r="V84" s="59"/>
      <c r="W84" s="59"/>
      <c r="X84" s="60" t="str">
        <f t="shared" si="10"/>
        <v>D</v>
      </c>
    </row>
    <row r="85" spans="1:24" x14ac:dyDescent="0.25">
      <c r="A85" s="53"/>
      <c r="B85" s="59" t="str">
        <f>IFERROR(VLOOKUP(A85,Lookup!A:B,2,0),"")</f>
        <v/>
      </c>
      <c r="C85" s="59" t="str">
        <f>IFERROR(VLOOKUP(A85,Lookup!A:C,3,0),"")</f>
        <v/>
      </c>
      <c r="D85" s="59"/>
      <c r="E85" s="92"/>
      <c r="F85" s="59"/>
      <c r="G85" s="88"/>
      <c r="H85" s="59"/>
      <c r="I85" s="89"/>
      <c r="J85" s="103">
        <f>VLOOKUP(A85&amp;G85,Lookup!J:N,5,0)</f>
        <v>0</v>
      </c>
      <c r="K85" s="103"/>
      <c r="L85" s="110"/>
      <c r="M85" s="110"/>
      <c r="N85" s="120"/>
      <c r="O85" s="86">
        <f>IFERROR(VLOOKUP(A85&amp;G85,Lookup!J:K,2,0),"")</f>
        <v>0</v>
      </c>
      <c r="P85" s="110" t="str">
        <f t="shared" si="11"/>
        <v/>
      </c>
      <c r="R85" s="87" t="str">
        <f t="shared" si="12"/>
        <v/>
      </c>
      <c r="S85" s="87" t="str">
        <f t="shared" si="13"/>
        <v/>
      </c>
      <c r="T85" s="59" t="e">
        <f t="shared" si="14"/>
        <v>#VALUE!</v>
      </c>
      <c r="U85" s="59"/>
      <c r="V85" s="59"/>
      <c r="W85" s="59"/>
      <c r="X85" s="60" t="str">
        <f t="shared" si="10"/>
        <v>D</v>
      </c>
    </row>
    <row r="86" spans="1:24" x14ac:dyDescent="0.25">
      <c r="A86" s="53"/>
      <c r="B86" s="59" t="str">
        <f>IFERROR(VLOOKUP(A86,Lookup!A:B,2,0),"")</f>
        <v/>
      </c>
      <c r="C86" s="59" t="str">
        <f>IFERROR(VLOOKUP(A86,Lookup!A:C,3,0),"")</f>
        <v/>
      </c>
      <c r="D86" s="59"/>
      <c r="E86" s="92"/>
      <c r="F86" s="59"/>
      <c r="G86" s="88"/>
      <c r="H86" s="59"/>
      <c r="I86" s="89"/>
      <c r="J86" s="103">
        <f>VLOOKUP(A86&amp;G86,Lookup!J:N,5,0)</f>
        <v>0</v>
      </c>
      <c r="K86" s="103"/>
      <c r="L86" s="110"/>
      <c r="M86" s="110"/>
      <c r="N86" s="120"/>
      <c r="O86" s="86">
        <f>IFERROR(VLOOKUP(A86&amp;G86,Lookup!J:K,2,0),"")</f>
        <v>0</v>
      </c>
      <c r="P86" s="110" t="str">
        <f t="shared" si="11"/>
        <v/>
      </c>
      <c r="R86" s="87" t="str">
        <f t="shared" si="12"/>
        <v/>
      </c>
      <c r="S86" s="87" t="str">
        <f t="shared" si="13"/>
        <v/>
      </c>
      <c r="T86" s="59" t="e">
        <f t="shared" si="14"/>
        <v>#VALUE!</v>
      </c>
      <c r="U86" s="59"/>
      <c r="V86" s="59"/>
      <c r="W86" s="59"/>
      <c r="X86" s="60" t="str">
        <f t="shared" si="10"/>
        <v>D</v>
      </c>
    </row>
    <row r="87" spans="1:24" x14ac:dyDescent="0.25">
      <c r="A87" s="53"/>
      <c r="B87" s="59" t="str">
        <f>IFERROR(VLOOKUP(A87,Lookup!A:B,2,0),"")</f>
        <v/>
      </c>
      <c r="C87" s="59" t="str">
        <f>IFERROR(VLOOKUP(A87,Lookup!A:C,3,0),"")</f>
        <v/>
      </c>
      <c r="D87" s="59"/>
      <c r="E87" s="92"/>
      <c r="F87" s="59"/>
      <c r="G87" s="88"/>
      <c r="H87" s="59"/>
      <c r="I87" s="89"/>
      <c r="J87" s="103">
        <f>VLOOKUP(A87&amp;G87,Lookup!J:N,5,0)</f>
        <v>0</v>
      </c>
      <c r="K87" s="103"/>
      <c r="L87" s="110"/>
      <c r="M87" s="110"/>
      <c r="N87" s="120"/>
      <c r="O87" s="86">
        <f>IFERROR(VLOOKUP(A87&amp;G87,Lookup!J:K,2,0),"")</f>
        <v>0</v>
      </c>
      <c r="P87" s="110" t="str">
        <f t="shared" si="11"/>
        <v/>
      </c>
      <c r="R87" s="87" t="str">
        <f t="shared" si="12"/>
        <v/>
      </c>
      <c r="S87" s="87" t="str">
        <f t="shared" si="13"/>
        <v/>
      </c>
      <c r="T87" s="59" t="e">
        <f t="shared" si="14"/>
        <v>#VALUE!</v>
      </c>
      <c r="U87" s="59"/>
      <c r="V87" s="59"/>
      <c r="W87" s="59"/>
      <c r="X87" s="60" t="str">
        <f t="shared" si="10"/>
        <v>D</v>
      </c>
    </row>
    <row r="88" spans="1:24" x14ac:dyDescent="0.25">
      <c r="A88" s="53"/>
      <c r="B88" s="59" t="str">
        <f>IFERROR(VLOOKUP(A88,Lookup!A:B,2,0),"")</f>
        <v/>
      </c>
      <c r="C88" s="59" t="str">
        <f>IFERROR(VLOOKUP(A88,Lookup!A:C,3,0),"")</f>
        <v/>
      </c>
      <c r="D88" s="59"/>
      <c r="E88" s="92"/>
      <c r="F88" s="59"/>
      <c r="G88" s="88"/>
      <c r="H88" s="59"/>
      <c r="I88" s="89"/>
      <c r="J88" s="103">
        <f>VLOOKUP(A88&amp;G88,Lookup!J:N,5,0)</f>
        <v>0</v>
      </c>
      <c r="K88" s="103"/>
      <c r="L88" s="110"/>
      <c r="M88" s="110"/>
      <c r="N88" s="120"/>
      <c r="O88" s="86">
        <f>IFERROR(VLOOKUP(A88&amp;G88,Lookup!J:K,2,0),"")</f>
        <v>0</v>
      </c>
      <c r="P88" s="110" t="str">
        <f t="shared" si="11"/>
        <v/>
      </c>
      <c r="R88" s="87" t="str">
        <f t="shared" si="12"/>
        <v/>
      </c>
      <c r="S88" s="87" t="str">
        <f t="shared" si="13"/>
        <v/>
      </c>
      <c r="T88" s="59" t="e">
        <f t="shared" si="14"/>
        <v>#VALUE!</v>
      </c>
      <c r="U88" s="59"/>
      <c r="V88" s="59"/>
      <c r="W88" s="59"/>
      <c r="X88" s="60" t="str">
        <f t="shared" si="10"/>
        <v>D</v>
      </c>
    </row>
    <row r="89" spans="1:24" x14ac:dyDescent="0.25">
      <c r="A89" s="53"/>
      <c r="B89" s="59" t="str">
        <f>IFERROR(VLOOKUP(A89,Lookup!A:B,2,0),"")</f>
        <v/>
      </c>
      <c r="C89" s="59" t="str">
        <f>IFERROR(VLOOKUP(A89,Lookup!A:C,3,0),"")</f>
        <v/>
      </c>
      <c r="D89" s="59"/>
      <c r="E89" s="92"/>
      <c r="F89" s="59"/>
      <c r="G89" s="88"/>
      <c r="H89" s="59"/>
      <c r="I89" s="89"/>
      <c r="J89" s="103">
        <f>VLOOKUP(A89&amp;G89,Lookup!J:N,5,0)</f>
        <v>0</v>
      </c>
      <c r="K89" s="103"/>
      <c r="L89" s="110"/>
      <c r="M89" s="110"/>
      <c r="N89" s="120"/>
      <c r="O89" s="86">
        <f>IFERROR(VLOOKUP(A89&amp;G89,Lookup!J:K,2,0),"")</f>
        <v>0</v>
      </c>
      <c r="P89" s="110" t="str">
        <f t="shared" si="11"/>
        <v/>
      </c>
      <c r="R89" s="87" t="str">
        <f t="shared" si="12"/>
        <v/>
      </c>
      <c r="S89" s="87" t="str">
        <f t="shared" si="13"/>
        <v/>
      </c>
      <c r="T89" s="59" t="e">
        <f t="shared" si="14"/>
        <v>#VALUE!</v>
      </c>
      <c r="U89" s="59"/>
      <c r="V89" s="59"/>
      <c r="W89" s="59"/>
      <c r="X89" s="60" t="str">
        <f t="shared" si="10"/>
        <v>D</v>
      </c>
    </row>
    <row r="90" spans="1:24" x14ac:dyDescent="0.25">
      <c r="A90" s="53"/>
      <c r="B90" s="59" t="str">
        <f>IFERROR(VLOOKUP(A90,Lookup!A:B,2,0),"")</f>
        <v/>
      </c>
      <c r="C90" s="59" t="str">
        <f>IFERROR(VLOOKUP(A90,Lookup!A:C,3,0),"")</f>
        <v/>
      </c>
      <c r="D90" s="59"/>
      <c r="E90" s="92"/>
      <c r="F90" s="59"/>
      <c r="G90" s="88"/>
      <c r="H90" s="59"/>
      <c r="I90" s="89"/>
      <c r="J90" s="103">
        <f>VLOOKUP(A90&amp;G90,Lookup!J:N,5,0)</f>
        <v>0</v>
      </c>
      <c r="K90" s="103"/>
      <c r="L90" s="110"/>
      <c r="M90" s="110"/>
      <c r="N90" s="120"/>
      <c r="O90" s="86">
        <f>IFERROR(VLOOKUP(A90&amp;G90,Lookup!J:K,2,0),"")</f>
        <v>0</v>
      </c>
      <c r="P90" s="110" t="str">
        <f t="shared" si="11"/>
        <v/>
      </c>
      <c r="R90" s="87" t="str">
        <f t="shared" si="12"/>
        <v/>
      </c>
      <c r="S90" s="87" t="str">
        <f t="shared" si="13"/>
        <v/>
      </c>
      <c r="T90" s="59" t="e">
        <f t="shared" si="14"/>
        <v>#VALUE!</v>
      </c>
      <c r="U90" s="59"/>
      <c r="V90" s="59"/>
      <c r="W90" s="59"/>
      <c r="X90" s="60" t="str">
        <f t="shared" si="10"/>
        <v>D</v>
      </c>
    </row>
    <row r="91" spans="1:24" x14ac:dyDescent="0.25">
      <c r="A91" s="53"/>
      <c r="B91" s="59" t="str">
        <f>IFERROR(VLOOKUP(A91,Lookup!A:B,2,0),"")</f>
        <v/>
      </c>
      <c r="C91" s="59" t="str">
        <f>IFERROR(VLOOKUP(A91,Lookup!A:C,3,0),"")</f>
        <v/>
      </c>
      <c r="D91" s="59"/>
      <c r="E91" s="92"/>
      <c r="F91" s="59"/>
      <c r="G91" s="88"/>
      <c r="H91" s="59"/>
      <c r="I91" s="89"/>
      <c r="J91" s="103">
        <f>VLOOKUP(A91&amp;G91,Lookup!J:N,5,0)</f>
        <v>0</v>
      </c>
      <c r="K91" s="103"/>
      <c r="L91" s="110"/>
      <c r="M91" s="110"/>
      <c r="N91" s="120"/>
      <c r="O91" s="86">
        <f>IFERROR(VLOOKUP(A91&amp;G91,Lookup!J:K,2,0),"")</f>
        <v>0</v>
      </c>
      <c r="P91" s="110" t="str">
        <f t="shared" si="11"/>
        <v/>
      </c>
      <c r="R91" s="87" t="str">
        <f t="shared" si="12"/>
        <v/>
      </c>
      <c r="S91" s="87" t="str">
        <f t="shared" si="13"/>
        <v/>
      </c>
      <c r="T91" s="59" t="e">
        <f t="shared" si="14"/>
        <v>#VALUE!</v>
      </c>
      <c r="U91" s="59"/>
      <c r="V91" s="59"/>
      <c r="W91" s="59"/>
      <c r="X91" s="60" t="str">
        <f t="shared" si="10"/>
        <v>D</v>
      </c>
    </row>
    <row r="92" spans="1:24" x14ac:dyDescent="0.25">
      <c r="A92" s="53"/>
      <c r="B92" s="59" t="str">
        <f>IFERROR(VLOOKUP(A92,Lookup!A:B,2,0),"")</f>
        <v/>
      </c>
      <c r="C92" s="59" t="str">
        <f>IFERROR(VLOOKUP(A92,Lookup!A:C,3,0),"")</f>
        <v/>
      </c>
      <c r="D92" s="59"/>
      <c r="E92" s="92"/>
      <c r="F92" s="59"/>
      <c r="G92" s="88"/>
      <c r="H92" s="59"/>
      <c r="I92" s="89"/>
      <c r="J92" s="103">
        <f>VLOOKUP(A92&amp;G92,Lookup!J:N,5,0)</f>
        <v>0</v>
      </c>
      <c r="K92" s="103"/>
      <c r="L92" s="110"/>
      <c r="M92" s="110"/>
      <c r="N92" s="120"/>
      <c r="O92" s="86">
        <f>IFERROR(VLOOKUP(A92&amp;G92,Lookup!J:K,2,0),"")</f>
        <v>0</v>
      </c>
      <c r="P92" s="110" t="str">
        <f t="shared" si="11"/>
        <v/>
      </c>
      <c r="R92" s="87" t="str">
        <f t="shared" si="12"/>
        <v/>
      </c>
      <c r="S92" s="87" t="str">
        <f t="shared" si="13"/>
        <v/>
      </c>
      <c r="T92" s="59" t="e">
        <f t="shared" si="14"/>
        <v>#VALUE!</v>
      </c>
      <c r="U92" s="59"/>
      <c r="V92" s="59"/>
      <c r="W92" s="59"/>
      <c r="X92" s="60" t="str">
        <f t="shared" si="10"/>
        <v>D</v>
      </c>
    </row>
    <row r="93" spans="1:24" x14ac:dyDescent="0.25">
      <c r="A93" s="53"/>
      <c r="B93" s="59" t="str">
        <f>IFERROR(VLOOKUP(A93,Lookup!A:B,2,0),"")</f>
        <v/>
      </c>
      <c r="C93" s="59" t="str">
        <f>IFERROR(VLOOKUP(A93,Lookup!A:C,3,0),"")</f>
        <v/>
      </c>
      <c r="D93" s="59"/>
      <c r="E93" s="92"/>
      <c r="F93" s="59"/>
      <c r="G93" s="88"/>
      <c r="H93" s="59"/>
      <c r="I93" s="89"/>
      <c r="J93" s="103">
        <f>VLOOKUP(A93&amp;G93,Lookup!J:N,5,0)</f>
        <v>0</v>
      </c>
      <c r="K93" s="103"/>
      <c r="L93" s="110"/>
      <c r="M93" s="110"/>
      <c r="N93" s="120"/>
      <c r="O93" s="86">
        <f>IFERROR(VLOOKUP(A93&amp;G93,Lookup!J:K,2,0),"")</f>
        <v>0</v>
      </c>
      <c r="P93" s="110" t="str">
        <f t="shared" si="11"/>
        <v/>
      </c>
      <c r="R93" s="87" t="str">
        <f t="shared" si="12"/>
        <v/>
      </c>
      <c r="S93" s="87" t="str">
        <f t="shared" si="13"/>
        <v/>
      </c>
      <c r="T93" s="59" t="e">
        <f t="shared" si="14"/>
        <v>#VALUE!</v>
      </c>
      <c r="U93" s="59"/>
      <c r="V93" s="59"/>
      <c r="W93" s="59"/>
      <c r="X93" s="60" t="str">
        <f t="shared" si="10"/>
        <v>D</v>
      </c>
    </row>
    <row r="94" spans="1:24" x14ac:dyDescent="0.25">
      <c r="A94" s="53"/>
      <c r="B94" s="59" t="str">
        <f>IFERROR(VLOOKUP(A94,Lookup!A:B,2,0),"")</f>
        <v/>
      </c>
      <c r="C94" s="59" t="str">
        <f>IFERROR(VLOOKUP(A94,Lookup!A:C,3,0),"")</f>
        <v/>
      </c>
      <c r="D94" s="59"/>
      <c r="E94" s="92"/>
      <c r="F94" s="59"/>
      <c r="G94" s="88"/>
      <c r="H94" s="59"/>
      <c r="I94" s="89"/>
      <c r="J94" s="103">
        <f>VLOOKUP(A94&amp;G94,Lookup!J:N,5,0)</f>
        <v>0</v>
      </c>
      <c r="K94" s="103"/>
      <c r="L94" s="110"/>
      <c r="M94" s="110"/>
      <c r="N94" s="120"/>
      <c r="O94" s="86">
        <f>IFERROR(VLOOKUP(A94&amp;G94,Lookup!J:K,2,0),"")</f>
        <v>0</v>
      </c>
      <c r="P94" s="110" t="str">
        <f t="shared" si="11"/>
        <v/>
      </c>
      <c r="R94" s="87" t="str">
        <f t="shared" si="12"/>
        <v/>
      </c>
      <c r="S94" s="87" t="str">
        <f t="shared" si="13"/>
        <v/>
      </c>
      <c r="T94" s="59" t="e">
        <f t="shared" si="14"/>
        <v>#VALUE!</v>
      </c>
      <c r="U94" s="59"/>
      <c r="V94" s="59"/>
      <c r="W94" s="59"/>
      <c r="X94" s="60" t="str">
        <f t="shared" si="10"/>
        <v>D</v>
      </c>
    </row>
    <row r="95" spans="1:24" x14ac:dyDescent="0.25">
      <c r="A95" s="53"/>
      <c r="B95" s="59" t="str">
        <f>IFERROR(VLOOKUP(A95,Lookup!A:B,2,0),"")</f>
        <v/>
      </c>
      <c r="C95" s="59" t="str">
        <f>IFERROR(VLOOKUP(A95,Lookup!A:C,3,0),"")</f>
        <v/>
      </c>
      <c r="D95" s="59"/>
      <c r="E95" s="92"/>
      <c r="F95" s="59"/>
      <c r="G95" s="88"/>
      <c r="H95" s="59"/>
      <c r="I95" s="89"/>
      <c r="J95" s="103">
        <f>VLOOKUP(A95&amp;G95,Lookup!J:N,5,0)</f>
        <v>0</v>
      </c>
      <c r="K95" s="103"/>
      <c r="L95" s="110"/>
      <c r="M95" s="110"/>
      <c r="N95" s="120"/>
      <c r="O95" s="86">
        <f>IFERROR(VLOOKUP(A95&amp;G95,Lookup!J:K,2,0),"")</f>
        <v>0</v>
      </c>
      <c r="P95" s="110" t="str">
        <f t="shared" si="11"/>
        <v/>
      </c>
      <c r="R95" s="87" t="str">
        <f t="shared" si="12"/>
        <v/>
      </c>
      <c r="S95" s="87" t="str">
        <f t="shared" si="13"/>
        <v/>
      </c>
      <c r="T95" s="59" t="e">
        <f t="shared" si="14"/>
        <v>#VALUE!</v>
      </c>
      <c r="U95" s="59"/>
      <c r="V95" s="59"/>
      <c r="W95" s="59"/>
      <c r="X95" s="60" t="str">
        <f t="shared" si="10"/>
        <v>D</v>
      </c>
    </row>
    <row r="96" spans="1:24" x14ac:dyDescent="0.25">
      <c r="A96" s="53"/>
      <c r="B96" s="59" t="str">
        <f>IFERROR(VLOOKUP(A96,Lookup!A:B,2,0),"")</f>
        <v/>
      </c>
      <c r="C96" s="59" t="str">
        <f>IFERROR(VLOOKUP(A96,Lookup!A:C,3,0),"")</f>
        <v/>
      </c>
      <c r="D96" s="59"/>
      <c r="E96" s="92"/>
      <c r="F96" s="59"/>
      <c r="G96" s="88"/>
      <c r="H96" s="59"/>
      <c r="I96" s="89"/>
      <c r="J96" s="103">
        <f>VLOOKUP(A96&amp;G96,Lookup!J:N,5,0)</f>
        <v>0</v>
      </c>
      <c r="K96" s="103"/>
      <c r="L96" s="110"/>
      <c r="M96" s="110"/>
      <c r="N96" s="120"/>
      <c r="O96" s="86">
        <f>IFERROR(VLOOKUP(A96&amp;G96,Lookup!J:K,2,0),"")</f>
        <v>0</v>
      </c>
      <c r="P96" s="110" t="str">
        <f t="shared" si="11"/>
        <v/>
      </c>
      <c r="R96" s="87" t="str">
        <f t="shared" si="12"/>
        <v/>
      </c>
      <c r="S96" s="87" t="str">
        <f t="shared" si="13"/>
        <v/>
      </c>
      <c r="T96" s="59" t="e">
        <f t="shared" si="14"/>
        <v>#VALUE!</v>
      </c>
      <c r="U96" s="59"/>
      <c r="V96" s="59"/>
      <c r="W96" s="59"/>
      <c r="X96" s="60" t="str">
        <f t="shared" si="10"/>
        <v>D</v>
      </c>
    </row>
    <row r="97" spans="1:24" x14ac:dyDescent="0.25">
      <c r="A97" s="53"/>
      <c r="B97" s="59" t="str">
        <f>IFERROR(VLOOKUP(A97,Lookup!A:B,2,0),"")</f>
        <v/>
      </c>
      <c r="C97" s="59" t="str">
        <f>IFERROR(VLOOKUP(A97,Lookup!A:C,3,0),"")</f>
        <v/>
      </c>
      <c r="D97" s="59"/>
      <c r="E97" s="92"/>
      <c r="F97" s="59"/>
      <c r="G97" s="88"/>
      <c r="H97" s="59"/>
      <c r="I97" s="89"/>
      <c r="J97" s="103">
        <f>VLOOKUP(A97&amp;G97,Lookup!J:N,5,0)</f>
        <v>0</v>
      </c>
      <c r="K97" s="103"/>
      <c r="L97" s="110"/>
      <c r="M97" s="110"/>
      <c r="N97" s="120"/>
      <c r="O97" s="86">
        <f>IFERROR(VLOOKUP(A97&amp;G97,Lookup!J:K,2,0),"")</f>
        <v>0</v>
      </c>
      <c r="P97" s="110" t="str">
        <f t="shared" si="11"/>
        <v/>
      </c>
      <c r="R97" s="87" t="str">
        <f t="shared" si="12"/>
        <v/>
      </c>
      <c r="S97" s="87" t="str">
        <f t="shared" si="13"/>
        <v/>
      </c>
      <c r="T97" s="59" t="e">
        <f t="shared" si="14"/>
        <v>#VALUE!</v>
      </c>
      <c r="U97" s="59"/>
      <c r="V97" s="59"/>
      <c r="W97" s="59"/>
      <c r="X97" s="60" t="str">
        <f t="shared" si="10"/>
        <v>D</v>
      </c>
    </row>
    <row r="98" spans="1:24" x14ac:dyDescent="0.25">
      <c r="A98" s="53"/>
      <c r="B98" s="59" t="str">
        <f>IFERROR(VLOOKUP(A98,Lookup!A:B,2,0),"")</f>
        <v/>
      </c>
      <c r="C98" s="59" t="str">
        <f>IFERROR(VLOOKUP(A98,Lookup!A:C,3,0),"")</f>
        <v/>
      </c>
      <c r="D98" s="59"/>
      <c r="E98" s="92"/>
      <c r="F98" s="59"/>
      <c r="G98" s="88"/>
      <c r="H98" s="59"/>
      <c r="I98" s="89"/>
      <c r="J98" s="103">
        <f>VLOOKUP(A98&amp;G98,Lookup!J:N,5,0)</f>
        <v>0</v>
      </c>
      <c r="K98" s="103"/>
      <c r="L98" s="110"/>
      <c r="M98" s="110"/>
      <c r="N98" s="120"/>
      <c r="O98" s="86">
        <f>IFERROR(VLOOKUP(A98&amp;G98,Lookup!J:K,2,0),"")</f>
        <v>0</v>
      </c>
      <c r="P98" s="110" t="str">
        <f t="shared" si="11"/>
        <v/>
      </c>
      <c r="R98" s="87" t="str">
        <f t="shared" si="12"/>
        <v/>
      </c>
      <c r="S98" s="87" t="str">
        <f t="shared" si="13"/>
        <v/>
      </c>
      <c r="T98" s="59" t="e">
        <f t="shared" si="14"/>
        <v>#VALUE!</v>
      </c>
      <c r="U98" s="59"/>
      <c r="V98" s="59"/>
      <c r="W98" s="59"/>
      <c r="X98" s="60" t="str">
        <f t="shared" si="10"/>
        <v>D</v>
      </c>
    </row>
    <row r="99" spans="1:24" x14ac:dyDescent="0.25">
      <c r="A99" s="53"/>
      <c r="B99" s="59" t="str">
        <f>IFERROR(VLOOKUP(A99,Lookup!A:B,2,0),"")</f>
        <v/>
      </c>
      <c r="C99" s="59" t="str">
        <f>IFERROR(VLOOKUP(A99,Lookup!A:C,3,0),"")</f>
        <v/>
      </c>
      <c r="D99" s="59"/>
      <c r="E99" s="92"/>
      <c r="F99" s="59"/>
      <c r="G99" s="88"/>
      <c r="H99" s="59"/>
      <c r="I99" s="89"/>
      <c r="J99" s="103">
        <f>VLOOKUP(A99&amp;G99,Lookup!J:N,5,0)</f>
        <v>0</v>
      </c>
      <c r="K99" s="103"/>
      <c r="L99" s="110"/>
      <c r="M99" s="110"/>
      <c r="N99" s="120"/>
      <c r="O99" s="86">
        <f>IFERROR(VLOOKUP(A99&amp;G99,Lookup!J:K,2,0),"")</f>
        <v>0</v>
      </c>
      <c r="P99" s="110" t="str">
        <f t="shared" si="11"/>
        <v/>
      </c>
      <c r="R99" s="87" t="str">
        <f t="shared" si="12"/>
        <v/>
      </c>
      <c r="S99" s="87" t="str">
        <f t="shared" si="13"/>
        <v/>
      </c>
      <c r="T99" s="59" t="e">
        <f t="shared" si="14"/>
        <v>#VALUE!</v>
      </c>
      <c r="U99" s="59"/>
      <c r="V99" s="59"/>
      <c r="W99" s="59"/>
      <c r="X99" s="60" t="str">
        <f t="shared" si="10"/>
        <v>D</v>
      </c>
    </row>
    <row r="100" spans="1:24" x14ac:dyDescent="0.25">
      <c r="A100" s="53"/>
      <c r="B100" s="59" t="str">
        <f>IFERROR(VLOOKUP(A100,Lookup!A:B,2,0),"")</f>
        <v/>
      </c>
      <c r="C100" s="59" t="str">
        <f>IFERROR(VLOOKUP(A100,Lookup!A:C,3,0),"")</f>
        <v/>
      </c>
      <c r="D100" s="59"/>
      <c r="E100" s="92"/>
      <c r="F100" s="59"/>
      <c r="G100" s="88"/>
      <c r="H100" s="59"/>
      <c r="I100" s="89"/>
      <c r="J100" s="103">
        <f>VLOOKUP(A100&amp;G100,Lookup!J:N,5,0)</f>
        <v>0</v>
      </c>
      <c r="K100" s="103"/>
      <c r="L100" s="110"/>
      <c r="M100" s="110"/>
      <c r="N100" s="120"/>
      <c r="O100" s="86">
        <f>IFERROR(VLOOKUP(A100&amp;G100,Lookup!J:K,2,0),"")</f>
        <v>0</v>
      </c>
      <c r="P100" s="110" t="str">
        <f t="shared" si="11"/>
        <v/>
      </c>
      <c r="R100" s="87" t="str">
        <f t="shared" si="12"/>
        <v/>
      </c>
      <c r="S100" s="87" t="str">
        <f t="shared" si="13"/>
        <v/>
      </c>
      <c r="T100" s="59" t="e">
        <f t="shared" si="14"/>
        <v>#VALUE!</v>
      </c>
      <c r="U100" s="59"/>
      <c r="V100" s="59"/>
      <c r="W100" s="59"/>
      <c r="X100" s="60" t="str">
        <f t="shared" si="10"/>
        <v>D</v>
      </c>
    </row>
    <row r="101" spans="1:24" x14ac:dyDescent="0.25">
      <c r="A101" s="53"/>
      <c r="B101" s="59" t="str">
        <f>IFERROR(VLOOKUP(A101,Lookup!A:B,2,0),"")</f>
        <v/>
      </c>
      <c r="C101" s="59" t="str">
        <f>IFERROR(VLOOKUP(A101,Lookup!A:C,3,0),"")</f>
        <v/>
      </c>
      <c r="D101" s="59"/>
      <c r="E101" s="92"/>
      <c r="F101" s="59"/>
      <c r="G101" s="88"/>
      <c r="H101" s="59"/>
      <c r="I101" s="89"/>
      <c r="J101" s="103">
        <f>VLOOKUP(A101&amp;G101,Lookup!J:N,5,0)</f>
        <v>0</v>
      </c>
      <c r="K101" s="103"/>
      <c r="L101" s="110"/>
      <c r="M101" s="110"/>
      <c r="N101" s="120"/>
      <c r="O101" s="86">
        <f>IFERROR(VLOOKUP(A101&amp;G101,Lookup!J:K,2,0),"")</f>
        <v>0</v>
      </c>
      <c r="P101" s="110" t="str">
        <f t="shared" ref="P101:P131" si="15">IF(N101="","",N101+O101)</f>
        <v/>
      </c>
      <c r="R101" s="87" t="str">
        <f t="shared" ref="R101:R105" si="16">IF(OR(EXACT(N101,""), EXACT(L101,"")),"",N101-L101)</f>
        <v/>
      </c>
      <c r="S101" s="87" t="str">
        <f t="shared" ref="S101:S105" si="17">IF(OR(EXACT(Q101,""), EXACT(L101,"")),"",Q101-L101)</f>
        <v/>
      </c>
      <c r="T101" s="59" t="e">
        <f t="shared" ref="T101:T141" si="18">IF(Q101-P101&gt;0.0415,"YES",(IF(OR(EXACT(Q101,""), EXACT(P101,"")),"","NO")))</f>
        <v>#VALUE!</v>
      </c>
      <c r="U101" s="59"/>
      <c r="V101" s="59"/>
      <c r="W101" s="59"/>
      <c r="X101" s="60" t="str">
        <f t="shared" ref="X101:X109" si="19">IF(I101="SET","A",IF(I101="FREQ","C",IF(I101="","D","B")))</f>
        <v>D</v>
      </c>
    </row>
    <row r="102" spans="1:24" x14ac:dyDescent="0.25">
      <c r="A102" s="53"/>
      <c r="B102" s="59" t="str">
        <f>IFERROR(VLOOKUP(A102,Lookup!A:B,2,0),"")</f>
        <v/>
      </c>
      <c r="C102" s="59" t="str">
        <f>IFERROR(VLOOKUP(A102,Lookup!A:C,3,0),"")</f>
        <v/>
      </c>
      <c r="D102" s="59"/>
      <c r="E102" s="92"/>
      <c r="F102" s="59"/>
      <c r="G102" s="88"/>
      <c r="H102" s="59"/>
      <c r="I102" s="89"/>
      <c r="J102" s="103">
        <f>VLOOKUP(A102&amp;G102,Lookup!J:N,5,0)</f>
        <v>0</v>
      </c>
      <c r="K102" s="103"/>
      <c r="L102" s="110"/>
      <c r="M102" s="110"/>
      <c r="N102" s="120"/>
      <c r="O102" s="86">
        <f>IFERROR(VLOOKUP(A102&amp;G102,Lookup!J:K,2,0),"")</f>
        <v>0</v>
      </c>
      <c r="P102" s="110" t="str">
        <f t="shared" si="15"/>
        <v/>
      </c>
      <c r="R102" s="87" t="str">
        <f t="shared" si="16"/>
        <v/>
      </c>
      <c r="S102" s="87" t="str">
        <f t="shared" si="17"/>
        <v/>
      </c>
      <c r="T102" s="59" t="e">
        <f t="shared" si="18"/>
        <v>#VALUE!</v>
      </c>
      <c r="U102" s="59"/>
      <c r="V102" s="59"/>
      <c r="W102" s="59"/>
      <c r="X102" s="60" t="str">
        <f t="shared" si="19"/>
        <v>D</v>
      </c>
    </row>
    <row r="103" spans="1:24" x14ac:dyDescent="0.25">
      <c r="A103" s="53"/>
      <c r="B103" s="59" t="str">
        <f>IFERROR(VLOOKUP(A103,Lookup!A:B,2,0),"")</f>
        <v/>
      </c>
      <c r="C103" s="59" t="str">
        <f>IFERROR(VLOOKUP(A103,Lookup!A:C,3,0),"")</f>
        <v/>
      </c>
      <c r="D103" s="59"/>
      <c r="E103" s="92"/>
      <c r="F103" s="59"/>
      <c r="G103" s="88"/>
      <c r="H103" s="59"/>
      <c r="I103" s="89"/>
      <c r="J103" s="103">
        <f>VLOOKUP(A103&amp;G103,Lookup!J:N,5,0)</f>
        <v>0</v>
      </c>
      <c r="K103" s="103"/>
      <c r="L103" s="110"/>
      <c r="M103" s="110"/>
      <c r="N103" s="120"/>
      <c r="O103" s="86">
        <f>IFERROR(VLOOKUP(A103&amp;G103,Lookup!J:K,2,0),"")</f>
        <v>0</v>
      </c>
      <c r="P103" s="110" t="str">
        <f t="shared" si="15"/>
        <v/>
      </c>
      <c r="R103" s="87" t="str">
        <f t="shared" si="16"/>
        <v/>
      </c>
      <c r="S103" s="87" t="str">
        <f t="shared" si="17"/>
        <v/>
      </c>
      <c r="T103" s="59" t="e">
        <f t="shared" si="18"/>
        <v>#VALUE!</v>
      </c>
      <c r="U103" s="59"/>
      <c r="V103" s="59"/>
      <c r="W103" s="59"/>
      <c r="X103" s="60" t="str">
        <f t="shared" si="19"/>
        <v>D</v>
      </c>
    </row>
    <row r="104" spans="1:24" x14ac:dyDescent="0.25">
      <c r="A104" s="53"/>
      <c r="B104" s="59" t="str">
        <f>IFERROR(VLOOKUP(A104,Lookup!A:B,2,0),"")</f>
        <v/>
      </c>
      <c r="C104" s="59" t="str">
        <f>IFERROR(VLOOKUP(A104,Lookup!A:C,3,0),"")</f>
        <v/>
      </c>
      <c r="D104" s="59"/>
      <c r="E104" s="92"/>
      <c r="F104" s="59"/>
      <c r="G104" s="88"/>
      <c r="H104" s="59"/>
      <c r="I104" s="89"/>
      <c r="J104" s="103">
        <f>VLOOKUP(A104&amp;G104,Lookup!J:N,5,0)</f>
        <v>0</v>
      </c>
      <c r="K104" s="103"/>
      <c r="L104" s="110"/>
      <c r="M104" s="110"/>
      <c r="N104" s="120"/>
      <c r="O104" s="86">
        <f>IFERROR(VLOOKUP(A104&amp;G104,Lookup!J:K,2,0),"")</f>
        <v>0</v>
      </c>
      <c r="P104" s="110" t="str">
        <f t="shared" si="15"/>
        <v/>
      </c>
      <c r="R104" s="87" t="str">
        <f t="shared" si="16"/>
        <v/>
      </c>
      <c r="S104" s="87" t="str">
        <f t="shared" si="17"/>
        <v/>
      </c>
      <c r="T104" s="59" t="e">
        <f t="shared" si="18"/>
        <v>#VALUE!</v>
      </c>
      <c r="U104" s="59"/>
      <c r="V104" s="59"/>
      <c r="W104" s="59"/>
      <c r="X104" s="60" t="str">
        <f t="shared" si="19"/>
        <v>D</v>
      </c>
    </row>
    <row r="105" spans="1:24" x14ac:dyDescent="0.25">
      <c r="A105" s="53"/>
      <c r="B105" s="59" t="str">
        <f>IFERROR(VLOOKUP(A105,Lookup!A:B,2,0),"")</f>
        <v/>
      </c>
      <c r="C105" s="59" t="str">
        <f>IFERROR(VLOOKUP(A105,Lookup!A:C,3,0),"")</f>
        <v/>
      </c>
      <c r="D105" s="59"/>
      <c r="E105" s="92"/>
      <c r="F105" s="59"/>
      <c r="G105" s="88"/>
      <c r="H105" s="59"/>
      <c r="I105" s="89"/>
      <c r="J105" s="103">
        <f>VLOOKUP(A105&amp;G105,Lookup!J:N,5,0)</f>
        <v>0</v>
      </c>
      <c r="K105" s="103"/>
      <c r="L105" s="110"/>
      <c r="M105" s="110"/>
      <c r="N105" s="120"/>
      <c r="O105" s="86">
        <f>IFERROR(VLOOKUP(A105&amp;G105,Lookup!J:K,2,0),"")</f>
        <v>0</v>
      </c>
      <c r="P105" s="110" t="str">
        <f t="shared" si="15"/>
        <v/>
      </c>
      <c r="R105" s="87" t="str">
        <f t="shared" si="16"/>
        <v/>
      </c>
      <c r="S105" s="87" t="str">
        <f t="shared" si="17"/>
        <v/>
      </c>
      <c r="T105" s="59" t="e">
        <f t="shared" si="18"/>
        <v>#VALUE!</v>
      </c>
      <c r="U105" s="59"/>
      <c r="V105" s="59"/>
      <c r="W105" s="59"/>
      <c r="X105" s="60" t="str">
        <f t="shared" si="19"/>
        <v>D</v>
      </c>
    </row>
    <row r="106" spans="1:24" x14ac:dyDescent="0.25">
      <c r="A106" s="53"/>
      <c r="B106" s="59" t="str">
        <f>IFERROR(VLOOKUP(A106,Lookup!A:B,2,0),"")</f>
        <v/>
      </c>
      <c r="C106" s="59" t="str">
        <f>IFERROR(VLOOKUP(A106,Lookup!A:C,3,0),"")</f>
        <v/>
      </c>
      <c r="D106" s="59"/>
      <c r="E106" s="92"/>
      <c r="F106" s="59"/>
      <c r="G106" s="88"/>
      <c r="H106" s="59"/>
      <c r="I106" s="89"/>
      <c r="J106" s="103">
        <f>VLOOKUP(A106&amp;G106,Lookup!J:N,5,0)</f>
        <v>0</v>
      </c>
      <c r="K106" s="103"/>
      <c r="L106" s="110"/>
      <c r="M106" s="110"/>
      <c r="N106" s="120"/>
      <c r="O106" s="86">
        <f>IFERROR(VLOOKUP(A106&amp;G106,Lookup!J:K,2,0),"")</f>
        <v>0</v>
      </c>
      <c r="P106" s="110" t="str">
        <f t="shared" si="15"/>
        <v/>
      </c>
      <c r="R106" s="87" t="str">
        <f t="shared" ref="R106:R169" si="20">IF(OR(EXACT(N106,""), EXACT(L106,"")),"",N106-L106)</f>
        <v/>
      </c>
      <c r="S106" s="87" t="str">
        <f t="shared" ref="S106:S169" si="21">IF(OR(EXACT(Q106,""), EXACT(L106,"")),"",Q106-L106)</f>
        <v/>
      </c>
      <c r="T106" s="59" t="e">
        <f t="shared" si="18"/>
        <v>#VALUE!</v>
      </c>
      <c r="U106" s="59"/>
      <c r="V106" s="59"/>
      <c r="W106" s="59"/>
      <c r="X106" s="60" t="str">
        <f t="shared" si="19"/>
        <v>D</v>
      </c>
    </row>
    <row r="107" spans="1:24" x14ac:dyDescent="0.25">
      <c r="A107" s="53"/>
      <c r="B107" s="59" t="str">
        <f>IFERROR(VLOOKUP(A107,Lookup!A:B,2,0),"")</f>
        <v/>
      </c>
      <c r="C107" s="59" t="str">
        <f>IFERROR(VLOOKUP(A107,Lookup!A:C,3,0),"")</f>
        <v/>
      </c>
      <c r="D107" s="59"/>
      <c r="E107" s="92"/>
      <c r="F107" s="59"/>
      <c r="G107" s="88"/>
      <c r="H107" s="59"/>
      <c r="I107" s="89"/>
      <c r="J107" s="103">
        <f>VLOOKUP(A107&amp;G107,Lookup!J:N,5,0)</f>
        <v>0</v>
      </c>
      <c r="K107" s="103"/>
      <c r="L107" s="110"/>
      <c r="M107" s="110"/>
      <c r="N107" s="120"/>
      <c r="O107" s="86">
        <f>IFERROR(VLOOKUP(A107&amp;G107,Lookup!J:K,2,0),"")</f>
        <v>0</v>
      </c>
      <c r="P107" s="110" t="str">
        <f t="shared" si="15"/>
        <v/>
      </c>
      <c r="R107" s="87" t="str">
        <f t="shared" si="20"/>
        <v/>
      </c>
      <c r="S107" s="87" t="str">
        <f t="shared" si="21"/>
        <v/>
      </c>
      <c r="T107" s="59" t="e">
        <f t="shared" si="18"/>
        <v>#VALUE!</v>
      </c>
      <c r="U107" s="59"/>
      <c r="V107" s="59"/>
      <c r="W107" s="59"/>
      <c r="X107" s="60" t="str">
        <f t="shared" si="19"/>
        <v>D</v>
      </c>
    </row>
    <row r="108" spans="1:24" x14ac:dyDescent="0.25">
      <c r="A108" s="53"/>
      <c r="B108" s="59" t="str">
        <f>IFERROR(VLOOKUP(A108,Lookup!A:B,2,0),"")</f>
        <v/>
      </c>
      <c r="C108" s="59" t="str">
        <f>IFERROR(VLOOKUP(A108,Lookup!A:C,3,0),"")</f>
        <v/>
      </c>
      <c r="D108" s="59"/>
      <c r="E108" s="92"/>
      <c r="F108" s="59"/>
      <c r="G108" s="88"/>
      <c r="H108" s="59"/>
      <c r="I108" s="89"/>
      <c r="J108" s="103">
        <f>VLOOKUP(A108&amp;G108,Lookup!J:N,5,0)</f>
        <v>0</v>
      </c>
      <c r="K108" s="103"/>
      <c r="L108" s="110"/>
      <c r="M108" s="110"/>
      <c r="N108" s="120"/>
      <c r="O108" s="86">
        <f>IFERROR(VLOOKUP(A108&amp;G108,Lookup!J:K,2,0),"")</f>
        <v>0</v>
      </c>
      <c r="P108" s="110" t="str">
        <f t="shared" si="15"/>
        <v/>
      </c>
      <c r="R108" s="87" t="str">
        <f t="shared" si="20"/>
        <v/>
      </c>
      <c r="S108" s="87" t="str">
        <f t="shared" si="21"/>
        <v/>
      </c>
      <c r="T108" s="59" t="e">
        <f t="shared" si="18"/>
        <v>#VALUE!</v>
      </c>
      <c r="U108" s="59"/>
      <c r="V108" s="59"/>
      <c r="W108" s="59"/>
      <c r="X108" s="60" t="str">
        <f t="shared" si="19"/>
        <v>D</v>
      </c>
    </row>
    <row r="109" spans="1:24" x14ac:dyDescent="0.25">
      <c r="A109" s="53"/>
      <c r="B109" s="59" t="str">
        <f>IFERROR(VLOOKUP(A109,Lookup!A:B,2,0),"")</f>
        <v/>
      </c>
      <c r="C109" s="59" t="str">
        <f>IFERROR(VLOOKUP(A109,Lookup!A:C,3,0),"")</f>
        <v/>
      </c>
      <c r="D109" s="59"/>
      <c r="E109" s="92"/>
      <c r="F109" s="59"/>
      <c r="G109" s="88"/>
      <c r="H109" s="59"/>
      <c r="I109" s="89"/>
      <c r="J109" s="103">
        <f>VLOOKUP(A109&amp;G109,Lookup!J:N,5,0)</f>
        <v>0</v>
      </c>
      <c r="K109" s="103"/>
      <c r="L109" s="110"/>
      <c r="M109" s="110"/>
      <c r="N109" s="120"/>
      <c r="O109" s="86">
        <f>IFERROR(VLOOKUP(A109&amp;G109,Lookup!J:K,2,0),"")</f>
        <v>0</v>
      </c>
      <c r="P109" s="110" t="str">
        <f t="shared" si="15"/>
        <v/>
      </c>
      <c r="R109" s="87" t="str">
        <f t="shared" si="20"/>
        <v/>
      </c>
      <c r="S109" s="87" t="str">
        <f t="shared" si="21"/>
        <v/>
      </c>
      <c r="T109" s="59" t="e">
        <f t="shared" si="18"/>
        <v>#VALUE!</v>
      </c>
      <c r="U109" s="59"/>
      <c r="V109" s="59"/>
      <c r="W109" s="59"/>
      <c r="X109" s="60" t="str">
        <f t="shared" si="19"/>
        <v>D</v>
      </c>
    </row>
    <row r="110" spans="1:24" x14ac:dyDescent="0.25">
      <c r="A110" s="53"/>
      <c r="B110" s="59" t="str">
        <f>IFERROR(VLOOKUP(A110,Lookup!A:B,2,0),"")</f>
        <v/>
      </c>
      <c r="C110" s="59" t="str">
        <f>IFERROR(VLOOKUP(A110,Lookup!A:C,3,0),"")</f>
        <v/>
      </c>
      <c r="D110" s="59"/>
      <c r="E110" s="92"/>
      <c r="F110" s="59"/>
      <c r="G110" s="88"/>
      <c r="H110" s="59"/>
      <c r="I110" s="89"/>
      <c r="J110" s="103">
        <f>VLOOKUP(A110&amp;G110,Lookup!J:N,5,0)</f>
        <v>0</v>
      </c>
      <c r="K110" s="103"/>
      <c r="L110" s="110"/>
      <c r="M110" s="110"/>
      <c r="N110" s="120"/>
      <c r="O110" s="86">
        <f>IFERROR(VLOOKUP(A110&amp;G110,Lookup!J:K,2,0),"")</f>
        <v>0</v>
      </c>
      <c r="P110" s="110" t="str">
        <f t="shared" si="15"/>
        <v/>
      </c>
      <c r="R110" s="87" t="str">
        <f t="shared" si="20"/>
        <v/>
      </c>
      <c r="S110" s="87" t="str">
        <f t="shared" si="21"/>
        <v/>
      </c>
      <c r="T110" s="59" t="e">
        <f t="shared" si="18"/>
        <v>#VALUE!</v>
      </c>
      <c r="U110" s="59"/>
      <c r="V110" s="59"/>
      <c r="W110" s="59"/>
      <c r="X110" s="60" t="str">
        <f t="shared" ref="X110:X173" si="22">IF(I110="SET","A",IF(I110="FREQ","C",IF(I110="","D","B")))</f>
        <v>D</v>
      </c>
    </row>
    <row r="111" spans="1:24" x14ac:dyDescent="0.25">
      <c r="A111" s="53"/>
      <c r="B111" s="59" t="str">
        <f>IFERROR(VLOOKUP(A111,Lookup!A:B,2,0),"")</f>
        <v/>
      </c>
      <c r="C111" s="59" t="str">
        <f>IFERROR(VLOOKUP(A111,Lookup!A:C,3,0),"")</f>
        <v/>
      </c>
      <c r="D111" s="59"/>
      <c r="E111" s="92"/>
      <c r="F111" s="59"/>
      <c r="G111" s="88"/>
      <c r="H111" s="59"/>
      <c r="I111" s="89"/>
      <c r="J111" s="103">
        <f>VLOOKUP(A111&amp;G111,Lookup!J:N,5,0)</f>
        <v>0</v>
      </c>
      <c r="K111" s="103"/>
      <c r="L111" s="110"/>
      <c r="M111" s="110"/>
      <c r="N111" s="120"/>
      <c r="O111" s="86">
        <f>IFERROR(VLOOKUP(A111&amp;G111,Lookup!J:K,2,0),"")</f>
        <v>0</v>
      </c>
      <c r="P111" s="110" t="str">
        <f t="shared" si="15"/>
        <v/>
      </c>
      <c r="R111" s="87" t="str">
        <f t="shared" si="20"/>
        <v/>
      </c>
      <c r="S111" s="87" t="str">
        <f t="shared" si="21"/>
        <v/>
      </c>
      <c r="T111" s="59" t="e">
        <f t="shared" si="18"/>
        <v>#VALUE!</v>
      </c>
      <c r="U111" s="59"/>
      <c r="V111" s="59"/>
      <c r="W111" s="59"/>
      <c r="X111" s="60" t="str">
        <f t="shared" si="22"/>
        <v>D</v>
      </c>
    </row>
    <row r="112" spans="1:24" x14ac:dyDescent="0.25">
      <c r="A112" s="53"/>
      <c r="B112" s="59" t="str">
        <f>IFERROR(VLOOKUP(A112,Lookup!A:B,2,0),"")</f>
        <v/>
      </c>
      <c r="C112" s="59" t="str">
        <f>IFERROR(VLOOKUP(A112,Lookup!A:C,3,0),"")</f>
        <v/>
      </c>
      <c r="D112" s="59"/>
      <c r="E112" s="92"/>
      <c r="F112" s="59"/>
      <c r="G112" s="88"/>
      <c r="H112" s="59"/>
      <c r="I112" s="89"/>
      <c r="J112" s="103">
        <f>VLOOKUP(A112&amp;G112,Lookup!J:N,5,0)</f>
        <v>0</v>
      </c>
      <c r="K112" s="103"/>
      <c r="L112" s="110"/>
      <c r="M112" s="110"/>
      <c r="N112" s="120"/>
      <c r="O112" s="86">
        <f>IFERROR(VLOOKUP(A112&amp;G112,Lookup!J:K,2,0),"")</f>
        <v>0</v>
      </c>
      <c r="P112" s="110" t="str">
        <f t="shared" si="15"/>
        <v/>
      </c>
      <c r="R112" s="87" t="str">
        <f t="shared" si="20"/>
        <v/>
      </c>
      <c r="S112" s="87" t="str">
        <f t="shared" si="21"/>
        <v/>
      </c>
      <c r="T112" s="59" t="e">
        <f t="shared" si="18"/>
        <v>#VALUE!</v>
      </c>
      <c r="U112" s="59"/>
      <c r="V112" s="59"/>
      <c r="W112" s="59"/>
      <c r="X112" s="60" t="str">
        <f t="shared" si="22"/>
        <v>D</v>
      </c>
    </row>
    <row r="113" spans="1:24" x14ac:dyDescent="0.25">
      <c r="A113" s="53"/>
      <c r="B113" s="59" t="str">
        <f>IFERROR(VLOOKUP(A113,Lookup!A:B,2,0),"")</f>
        <v/>
      </c>
      <c r="C113" s="59" t="str">
        <f>IFERROR(VLOOKUP(A113,Lookup!A:C,3,0),"")</f>
        <v/>
      </c>
      <c r="D113" s="59"/>
      <c r="E113" s="92"/>
      <c r="F113" s="59"/>
      <c r="G113" s="88"/>
      <c r="H113" s="59"/>
      <c r="I113" s="89"/>
      <c r="J113" s="103">
        <f>VLOOKUP(A113&amp;G113,Lookup!J:N,5,0)</f>
        <v>0</v>
      </c>
      <c r="K113" s="103"/>
      <c r="L113" s="110"/>
      <c r="M113" s="110"/>
      <c r="N113" s="120"/>
      <c r="O113" s="86">
        <f>IFERROR(VLOOKUP(A113&amp;G113,Lookup!J:K,2,0),"")</f>
        <v>0</v>
      </c>
      <c r="P113" s="110" t="str">
        <f t="shared" si="15"/>
        <v/>
      </c>
      <c r="R113" s="87" t="str">
        <f t="shared" si="20"/>
        <v/>
      </c>
      <c r="S113" s="87" t="str">
        <f t="shared" si="21"/>
        <v/>
      </c>
      <c r="T113" s="59" t="e">
        <f t="shared" si="18"/>
        <v>#VALUE!</v>
      </c>
      <c r="U113" s="59"/>
      <c r="V113" s="59"/>
      <c r="W113" s="59"/>
      <c r="X113" s="60" t="str">
        <f t="shared" si="22"/>
        <v>D</v>
      </c>
    </row>
    <row r="114" spans="1:24" x14ac:dyDescent="0.25">
      <c r="A114" s="53"/>
      <c r="B114" s="59" t="str">
        <f>IFERROR(VLOOKUP(A114,Lookup!A:B,2,0),"")</f>
        <v/>
      </c>
      <c r="C114" s="59" t="str">
        <f>IFERROR(VLOOKUP(A114,Lookup!A:C,3,0),"")</f>
        <v/>
      </c>
      <c r="D114" s="59"/>
      <c r="E114" s="92"/>
      <c r="F114" s="59"/>
      <c r="G114" s="88"/>
      <c r="H114" s="59"/>
      <c r="I114" s="89"/>
      <c r="J114" s="103">
        <f>VLOOKUP(A114&amp;G114,Lookup!J:N,5,0)</f>
        <v>0</v>
      </c>
      <c r="K114" s="103"/>
      <c r="L114" s="110"/>
      <c r="M114" s="110"/>
      <c r="N114" s="120"/>
      <c r="O114" s="86">
        <f>IFERROR(VLOOKUP(A114&amp;G114,Lookup!J:K,2,0),"")</f>
        <v>0</v>
      </c>
      <c r="P114" s="110" t="str">
        <f t="shared" si="15"/>
        <v/>
      </c>
      <c r="R114" s="87" t="str">
        <f t="shared" si="20"/>
        <v/>
      </c>
      <c r="S114" s="87" t="str">
        <f t="shared" si="21"/>
        <v/>
      </c>
      <c r="T114" s="59" t="e">
        <f t="shared" si="18"/>
        <v>#VALUE!</v>
      </c>
      <c r="U114" s="59"/>
      <c r="V114" s="59"/>
      <c r="W114" s="59"/>
      <c r="X114" s="60" t="str">
        <f t="shared" si="22"/>
        <v>D</v>
      </c>
    </row>
    <row r="115" spans="1:24" x14ac:dyDescent="0.25">
      <c r="A115" s="53"/>
      <c r="B115" s="59" t="str">
        <f>IFERROR(VLOOKUP(A115,Lookup!A:B,2,0),"")</f>
        <v/>
      </c>
      <c r="C115" s="59" t="str">
        <f>IFERROR(VLOOKUP(A115,Lookup!A:C,3,0),"")</f>
        <v/>
      </c>
      <c r="D115" s="59"/>
      <c r="E115" s="92"/>
      <c r="F115" s="59"/>
      <c r="G115" s="88"/>
      <c r="H115" s="59"/>
      <c r="I115" s="89"/>
      <c r="J115" s="103">
        <f>VLOOKUP(A115&amp;G115,Lookup!J:N,5,0)</f>
        <v>0</v>
      </c>
      <c r="K115" s="103"/>
      <c r="L115" s="110"/>
      <c r="M115" s="110"/>
      <c r="N115" s="120"/>
      <c r="O115" s="86">
        <f>IFERROR(VLOOKUP(A115&amp;G115,Lookup!J:K,2,0),"")</f>
        <v>0</v>
      </c>
      <c r="P115" s="110" t="str">
        <f t="shared" si="15"/>
        <v/>
      </c>
      <c r="R115" s="87" t="str">
        <f t="shared" si="20"/>
        <v/>
      </c>
      <c r="S115" s="87" t="str">
        <f t="shared" si="21"/>
        <v/>
      </c>
      <c r="T115" s="59" t="e">
        <f t="shared" si="18"/>
        <v>#VALUE!</v>
      </c>
      <c r="U115" s="59"/>
      <c r="V115" s="59"/>
      <c r="W115" s="59"/>
      <c r="X115" s="60" t="str">
        <f t="shared" si="22"/>
        <v>D</v>
      </c>
    </row>
    <row r="116" spans="1:24" x14ac:dyDescent="0.25">
      <c r="A116" s="53"/>
      <c r="B116" s="59" t="str">
        <f>IFERROR(VLOOKUP(A116,Lookup!A:B,2,0),"")</f>
        <v/>
      </c>
      <c r="C116" s="59" t="str">
        <f>IFERROR(VLOOKUP(A116,Lookup!A:C,3,0),"")</f>
        <v/>
      </c>
      <c r="D116" s="59"/>
      <c r="E116" s="92"/>
      <c r="F116" s="59"/>
      <c r="G116" s="88"/>
      <c r="H116" s="59"/>
      <c r="I116" s="89"/>
      <c r="J116" s="103">
        <f>VLOOKUP(A116&amp;G116,Lookup!J:N,5,0)</f>
        <v>0</v>
      </c>
      <c r="K116" s="103"/>
      <c r="L116" s="110"/>
      <c r="M116" s="110"/>
      <c r="N116" s="120"/>
      <c r="O116" s="86">
        <f>IFERROR(VLOOKUP(A116&amp;G116,Lookup!J:K,2,0),"")</f>
        <v>0</v>
      </c>
      <c r="P116" s="110" t="str">
        <f t="shared" si="15"/>
        <v/>
      </c>
      <c r="R116" s="87" t="str">
        <f t="shared" si="20"/>
        <v/>
      </c>
      <c r="S116" s="87" t="str">
        <f t="shared" si="21"/>
        <v/>
      </c>
      <c r="T116" s="59" t="e">
        <f t="shared" si="18"/>
        <v>#VALUE!</v>
      </c>
      <c r="U116" s="59"/>
      <c r="V116" s="59"/>
      <c r="W116" s="59"/>
      <c r="X116" s="60" t="str">
        <f t="shared" si="22"/>
        <v>D</v>
      </c>
    </row>
    <row r="117" spans="1:24" x14ac:dyDescent="0.25">
      <c r="A117" s="53"/>
      <c r="B117" s="59" t="str">
        <f>IFERROR(VLOOKUP(A117,Lookup!A:B,2,0),"")</f>
        <v/>
      </c>
      <c r="C117" s="59" t="str">
        <f>IFERROR(VLOOKUP(A117,Lookup!A:C,3,0),"")</f>
        <v/>
      </c>
      <c r="D117" s="59"/>
      <c r="E117" s="92"/>
      <c r="F117" s="59"/>
      <c r="G117" s="88"/>
      <c r="H117" s="59"/>
      <c r="I117" s="89"/>
      <c r="J117" s="103">
        <f>VLOOKUP(A117&amp;G117,Lookup!J:N,5,0)</f>
        <v>0</v>
      </c>
      <c r="K117" s="103"/>
      <c r="L117" s="110"/>
      <c r="M117" s="110"/>
      <c r="N117" s="120"/>
      <c r="O117" s="86">
        <f>IFERROR(VLOOKUP(A117&amp;G117,Lookup!J:K,2,0),"")</f>
        <v>0</v>
      </c>
      <c r="P117" s="110" t="str">
        <f t="shared" si="15"/>
        <v/>
      </c>
      <c r="R117" s="87" t="str">
        <f t="shared" si="20"/>
        <v/>
      </c>
      <c r="S117" s="87" t="str">
        <f t="shared" si="21"/>
        <v/>
      </c>
      <c r="T117" s="59" t="e">
        <f t="shared" si="18"/>
        <v>#VALUE!</v>
      </c>
      <c r="U117" s="59"/>
      <c r="V117" s="59"/>
      <c r="W117" s="59"/>
      <c r="X117" s="60" t="str">
        <f t="shared" si="22"/>
        <v>D</v>
      </c>
    </row>
    <row r="118" spans="1:24" x14ac:dyDescent="0.25">
      <c r="A118" s="53"/>
      <c r="B118" s="59" t="str">
        <f>IFERROR(VLOOKUP(A118,Lookup!A:B,2,0),"")</f>
        <v/>
      </c>
      <c r="C118" s="59" t="str">
        <f>IFERROR(VLOOKUP(A118,Lookup!A:C,3,0),"")</f>
        <v/>
      </c>
      <c r="D118" s="59"/>
      <c r="E118" s="92"/>
      <c r="F118" s="59"/>
      <c r="G118" s="88"/>
      <c r="H118" s="59"/>
      <c r="I118" s="89"/>
      <c r="J118" s="103">
        <f>VLOOKUP(A118&amp;G118,Lookup!J:N,5,0)</f>
        <v>0</v>
      </c>
      <c r="K118" s="103"/>
      <c r="L118" s="110"/>
      <c r="M118" s="110"/>
      <c r="N118" s="120"/>
      <c r="O118" s="86">
        <f>IFERROR(VLOOKUP(A118&amp;G118,Lookup!J:K,2,0),"")</f>
        <v>0</v>
      </c>
      <c r="P118" s="110" t="str">
        <f t="shared" si="15"/>
        <v/>
      </c>
      <c r="R118" s="87" t="str">
        <f t="shared" si="20"/>
        <v/>
      </c>
      <c r="S118" s="87" t="str">
        <f t="shared" si="21"/>
        <v/>
      </c>
      <c r="T118" s="59" t="e">
        <f t="shared" si="18"/>
        <v>#VALUE!</v>
      </c>
      <c r="U118" s="59"/>
      <c r="V118" s="59"/>
      <c r="W118" s="59"/>
      <c r="X118" s="60" t="str">
        <f t="shared" si="22"/>
        <v>D</v>
      </c>
    </row>
    <row r="119" spans="1:24" x14ac:dyDescent="0.25">
      <c r="A119" s="53"/>
      <c r="B119" s="59" t="str">
        <f>IFERROR(VLOOKUP(A119,Lookup!A:B,2,0),"")</f>
        <v/>
      </c>
      <c r="C119" s="59" t="str">
        <f>IFERROR(VLOOKUP(A119,Lookup!A:C,3,0),"")</f>
        <v/>
      </c>
      <c r="D119" s="59"/>
      <c r="E119" s="92"/>
      <c r="F119" s="59"/>
      <c r="G119" s="88"/>
      <c r="H119" s="59"/>
      <c r="I119" s="89"/>
      <c r="J119" s="103">
        <f>VLOOKUP(A119&amp;G119,Lookup!J:N,5,0)</f>
        <v>0</v>
      </c>
      <c r="K119" s="103"/>
      <c r="L119" s="110"/>
      <c r="M119" s="110"/>
      <c r="N119" s="120"/>
      <c r="O119" s="86">
        <f>IFERROR(VLOOKUP(A119&amp;G119,Lookup!J:K,2,0),"")</f>
        <v>0</v>
      </c>
      <c r="P119" s="110" t="str">
        <f t="shared" si="15"/>
        <v/>
      </c>
      <c r="R119" s="87" t="str">
        <f t="shared" si="20"/>
        <v/>
      </c>
      <c r="S119" s="87" t="str">
        <f t="shared" si="21"/>
        <v/>
      </c>
      <c r="T119" s="59" t="e">
        <f t="shared" si="18"/>
        <v>#VALUE!</v>
      </c>
      <c r="U119" s="59"/>
      <c r="V119" s="59"/>
      <c r="W119" s="59"/>
      <c r="X119" s="60" t="str">
        <f t="shared" si="22"/>
        <v>D</v>
      </c>
    </row>
    <row r="120" spans="1:24" x14ac:dyDescent="0.25">
      <c r="A120" s="53"/>
      <c r="B120" s="59" t="str">
        <f>IFERROR(VLOOKUP(A120,Lookup!A:B,2,0),"")</f>
        <v/>
      </c>
      <c r="C120" s="59" t="str">
        <f>IFERROR(VLOOKUP(A120,Lookup!A:C,3,0),"")</f>
        <v/>
      </c>
      <c r="D120" s="59"/>
      <c r="E120" s="92"/>
      <c r="F120" s="59"/>
      <c r="G120" s="88"/>
      <c r="H120" s="59"/>
      <c r="I120" s="89"/>
      <c r="J120" s="103">
        <f>VLOOKUP(A120&amp;G120,Lookup!J:N,5,0)</f>
        <v>0</v>
      </c>
      <c r="K120" s="103"/>
      <c r="L120" s="110"/>
      <c r="M120" s="110"/>
      <c r="N120" s="120"/>
      <c r="O120" s="86">
        <f>IFERROR(VLOOKUP(A120&amp;G120,Lookup!J:K,2,0),"")</f>
        <v>0</v>
      </c>
      <c r="P120" s="110" t="str">
        <f t="shared" si="15"/>
        <v/>
      </c>
      <c r="R120" s="87" t="str">
        <f t="shared" si="20"/>
        <v/>
      </c>
      <c r="S120" s="87" t="str">
        <f t="shared" si="21"/>
        <v/>
      </c>
      <c r="T120" s="59" t="e">
        <f t="shared" si="18"/>
        <v>#VALUE!</v>
      </c>
      <c r="U120" s="59"/>
      <c r="V120" s="59"/>
      <c r="W120" s="59"/>
      <c r="X120" s="60" t="str">
        <f t="shared" si="22"/>
        <v>D</v>
      </c>
    </row>
    <row r="121" spans="1:24" x14ac:dyDescent="0.25">
      <c r="A121" s="53"/>
      <c r="B121" s="59" t="str">
        <f>IFERROR(VLOOKUP(A121,Lookup!A:B,2,0),"")</f>
        <v/>
      </c>
      <c r="C121" s="59" t="str">
        <f>IFERROR(VLOOKUP(A121,Lookup!A:C,3,0),"")</f>
        <v/>
      </c>
      <c r="D121" s="59"/>
      <c r="E121" s="92"/>
      <c r="F121" s="59"/>
      <c r="G121" s="88"/>
      <c r="H121" s="59"/>
      <c r="I121" s="89"/>
      <c r="J121" s="103">
        <f>VLOOKUP(A121&amp;G121,Lookup!J:N,5,0)</f>
        <v>0</v>
      </c>
      <c r="K121" s="103"/>
      <c r="L121" s="110"/>
      <c r="M121" s="110"/>
      <c r="N121" s="120"/>
      <c r="O121" s="86">
        <f>IFERROR(VLOOKUP(A121&amp;G121,Lookup!J:K,2,0),"")</f>
        <v>0</v>
      </c>
      <c r="P121" s="110" t="str">
        <f t="shared" si="15"/>
        <v/>
      </c>
      <c r="R121" s="87" t="str">
        <f t="shared" si="20"/>
        <v/>
      </c>
      <c r="S121" s="87" t="str">
        <f t="shared" si="21"/>
        <v/>
      </c>
      <c r="T121" s="59" t="e">
        <f t="shared" si="18"/>
        <v>#VALUE!</v>
      </c>
      <c r="U121" s="59"/>
      <c r="V121" s="59"/>
      <c r="W121" s="59"/>
      <c r="X121" s="60" t="str">
        <f t="shared" si="22"/>
        <v>D</v>
      </c>
    </row>
    <row r="122" spans="1:24" x14ac:dyDescent="0.25">
      <c r="A122" s="53"/>
      <c r="B122" s="59" t="str">
        <f>IFERROR(VLOOKUP(A122,Lookup!A:B,2,0),"")</f>
        <v/>
      </c>
      <c r="C122" s="59" t="str">
        <f>IFERROR(VLOOKUP(A122,Lookup!A:C,3,0),"")</f>
        <v/>
      </c>
      <c r="D122" s="59"/>
      <c r="E122" s="92"/>
      <c r="F122" s="59"/>
      <c r="G122" s="88"/>
      <c r="H122" s="59"/>
      <c r="I122" s="89"/>
      <c r="J122" s="103">
        <f>VLOOKUP(A122&amp;G122,Lookup!J:N,5,0)</f>
        <v>0</v>
      </c>
      <c r="K122" s="103"/>
      <c r="L122" s="110"/>
      <c r="M122" s="110"/>
      <c r="N122" s="120"/>
      <c r="O122" s="86">
        <f>IFERROR(VLOOKUP(A122&amp;G122,Lookup!J:K,2,0),"")</f>
        <v>0</v>
      </c>
      <c r="P122" s="110" t="str">
        <f t="shared" si="15"/>
        <v/>
      </c>
      <c r="R122" s="87" t="str">
        <f t="shared" si="20"/>
        <v/>
      </c>
      <c r="S122" s="87" t="str">
        <f t="shared" si="21"/>
        <v/>
      </c>
      <c r="T122" s="59" t="e">
        <f t="shared" si="18"/>
        <v>#VALUE!</v>
      </c>
      <c r="U122" s="59"/>
      <c r="V122" s="59"/>
      <c r="W122" s="59"/>
      <c r="X122" s="60" t="str">
        <f t="shared" si="22"/>
        <v>D</v>
      </c>
    </row>
    <row r="123" spans="1:24" x14ac:dyDescent="0.25">
      <c r="A123" s="53"/>
      <c r="B123" s="59" t="str">
        <f>IFERROR(VLOOKUP(A123,Lookup!A:B,2,0),"")</f>
        <v/>
      </c>
      <c r="C123" s="59" t="str">
        <f>IFERROR(VLOOKUP(A123,Lookup!A:C,3,0),"")</f>
        <v/>
      </c>
      <c r="D123" s="59"/>
      <c r="E123" s="92"/>
      <c r="F123" s="59"/>
      <c r="G123" s="88"/>
      <c r="H123" s="59"/>
      <c r="I123" s="89"/>
      <c r="J123" s="103">
        <f>VLOOKUP(A123&amp;G123,Lookup!J:N,5,0)</f>
        <v>0</v>
      </c>
      <c r="K123" s="103"/>
      <c r="L123" s="110"/>
      <c r="M123" s="110"/>
      <c r="N123" s="120"/>
      <c r="O123" s="86">
        <f>IFERROR(VLOOKUP(A123&amp;G123,Lookup!J:K,2,0),"")</f>
        <v>0</v>
      </c>
      <c r="P123" s="110" t="str">
        <f t="shared" si="15"/>
        <v/>
      </c>
      <c r="R123" s="87" t="str">
        <f t="shared" si="20"/>
        <v/>
      </c>
      <c r="S123" s="87" t="str">
        <f t="shared" si="21"/>
        <v/>
      </c>
      <c r="T123" s="59" t="e">
        <f t="shared" si="18"/>
        <v>#VALUE!</v>
      </c>
      <c r="U123" s="59"/>
      <c r="V123" s="59"/>
      <c r="W123" s="59"/>
      <c r="X123" s="60" t="str">
        <f t="shared" si="22"/>
        <v>D</v>
      </c>
    </row>
    <row r="124" spans="1:24" x14ac:dyDescent="0.25">
      <c r="A124" s="53"/>
      <c r="B124" s="59" t="str">
        <f>IFERROR(VLOOKUP(A124,Lookup!A:B,2,0),"")</f>
        <v/>
      </c>
      <c r="C124" s="59" t="str">
        <f>IFERROR(VLOOKUP(A124,Lookup!A:C,3,0),"")</f>
        <v/>
      </c>
      <c r="D124" s="59"/>
      <c r="E124" s="92"/>
      <c r="F124" s="59"/>
      <c r="G124" s="88"/>
      <c r="H124" s="59"/>
      <c r="I124" s="89"/>
      <c r="J124" s="103">
        <f>VLOOKUP(A124&amp;G124,Lookup!J:N,5,0)</f>
        <v>0</v>
      </c>
      <c r="K124" s="103"/>
      <c r="L124" s="110"/>
      <c r="M124" s="110"/>
      <c r="N124" s="120"/>
      <c r="O124" s="86">
        <f>IFERROR(VLOOKUP(A124&amp;G124,Lookup!J:K,2,0),"")</f>
        <v>0</v>
      </c>
      <c r="P124" s="110" t="str">
        <f t="shared" si="15"/>
        <v/>
      </c>
      <c r="R124" s="87" t="str">
        <f t="shared" si="20"/>
        <v/>
      </c>
      <c r="S124" s="87" t="str">
        <f t="shared" si="21"/>
        <v/>
      </c>
      <c r="T124" s="59" t="e">
        <f t="shared" si="18"/>
        <v>#VALUE!</v>
      </c>
      <c r="U124" s="59"/>
      <c r="V124" s="59"/>
      <c r="W124" s="59"/>
      <c r="X124" s="60" t="str">
        <f t="shared" si="22"/>
        <v>D</v>
      </c>
    </row>
    <row r="125" spans="1:24" x14ac:dyDescent="0.25">
      <c r="A125" s="53"/>
      <c r="B125" s="59" t="str">
        <f>IFERROR(VLOOKUP(A125,Lookup!A:B,2,0),"")</f>
        <v/>
      </c>
      <c r="C125" s="59" t="str">
        <f>IFERROR(VLOOKUP(A125,Lookup!A:C,3,0),"")</f>
        <v/>
      </c>
      <c r="D125" s="59"/>
      <c r="E125" s="92"/>
      <c r="F125" s="59"/>
      <c r="G125" s="88"/>
      <c r="H125" s="59"/>
      <c r="I125" s="89"/>
      <c r="J125" s="103">
        <f>VLOOKUP(A125&amp;G125,Lookup!J:N,5,0)</f>
        <v>0</v>
      </c>
      <c r="K125" s="103"/>
      <c r="L125" s="110"/>
      <c r="M125" s="110"/>
      <c r="N125" s="120"/>
      <c r="O125" s="86">
        <f>IFERROR(VLOOKUP(A125&amp;G125,Lookup!J:K,2,0),"")</f>
        <v>0</v>
      </c>
      <c r="P125" s="110" t="str">
        <f t="shared" si="15"/>
        <v/>
      </c>
      <c r="R125" s="87" t="str">
        <f t="shared" si="20"/>
        <v/>
      </c>
      <c r="S125" s="87" t="str">
        <f t="shared" si="21"/>
        <v/>
      </c>
      <c r="T125" s="59" t="e">
        <f t="shared" si="18"/>
        <v>#VALUE!</v>
      </c>
      <c r="U125" s="59"/>
      <c r="V125" s="59"/>
      <c r="W125" s="59"/>
      <c r="X125" s="60" t="str">
        <f t="shared" si="22"/>
        <v>D</v>
      </c>
    </row>
    <row r="126" spans="1:24" x14ac:dyDescent="0.25">
      <c r="A126" s="53"/>
      <c r="B126" s="59" t="str">
        <f>IFERROR(VLOOKUP(A126,Lookup!A:B,2,0),"")</f>
        <v/>
      </c>
      <c r="C126" s="59" t="str">
        <f>IFERROR(VLOOKUP(A126,Lookup!A:C,3,0),"")</f>
        <v/>
      </c>
      <c r="D126" s="59"/>
      <c r="E126" s="92"/>
      <c r="F126" s="59"/>
      <c r="G126" s="88"/>
      <c r="H126" s="59"/>
      <c r="I126" s="89"/>
      <c r="J126" s="103">
        <f>VLOOKUP(A126&amp;G126,Lookup!J:N,5,0)</f>
        <v>0</v>
      </c>
      <c r="K126" s="103"/>
      <c r="L126" s="110"/>
      <c r="M126" s="110"/>
      <c r="N126" s="120"/>
      <c r="O126" s="86">
        <f>IFERROR(VLOOKUP(A126&amp;G126,Lookup!J:K,2,0),"")</f>
        <v>0</v>
      </c>
      <c r="P126" s="110" t="str">
        <f t="shared" si="15"/>
        <v/>
      </c>
      <c r="R126" s="87" t="str">
        <f t="shared" si="20"/>
        <v/>
      </c>
      <c r="S126" s="87" t="str">
        <f t="shared" si="21"/>
        <v/>
      </c>
      <c r="T126" s="59" t="e">
        <f t="shared" si="18"/>
        <v>#VALUE!</v>
      </c>
      <c r="U126" s="59"/>
      <c r="V126" s="59"/>
      <c r="W126" s="59"/>
      <c r="X126" s="60" t="str">
        <f t="shared" si="22"/>
        <v>D</v>
      </c>
    </row>
    <row r="127" spans="1:24" x14ac:dyDescent="0.25">
      <c r="A127" s="53"/>
      <c r="B127" s="59" t="str">
        <f>IFERROR(VLOOKUP(A127,Lookup!A:B,2,0),"")</f>
        <v/>
      </c>
      <c r="C127" s="59" t="str">
        <f>IFERROR(VLOOKUP(A127,Lookup!A:C,3,0),"")</f>
        <v/>
      </c>
      <c r="D127" s="59"/>
      <c r="E127" s="92"/>
      <c r="F127" s="59"/>
      <c r="G127" s="88"/>
      <c r="H127" s="59"/>
      <c r="I127" s="89"/>
      <c r="J127" s="103">
        <f>VLOOKUP(A127&amp;G127,Lookup!J:N,5,0)</f>
        <v>0</v>
      </c>
      <c r="K127" s="103"/>
      <c r="L127" s="110"/>
      <c r="M127" s="110"/>
      <c r="N127" s="120"/>
      <c r="O127" s="86">
        <f>IFERROR(VLOOKUP(A127&amp;G127,Lookup!J:K,2,0),"")</f>
        <v>0</v>
      </c>
      <c r="P127" s="110" t="str">
        <f t="shared" si="15"/>
        <v/>
      </c>
      <c r="R127" s="87" t="str">
        <f t="shared" si="20"/>
        <v/>
      </c>
      <c r="S127" s="87" t="str">
        <f t="shared" si="21"/>
        <v/>
      </c>
      <c r="T127" s="59" t="e">
        <f t="shared" si="18"/>
        <v>#VALUE!</v>
      </c>
      <c r="U127" s="59"/>
      <c r="V127" s="59"/>
      <c r="W127" s="59"/>
      <c r="X127" s="60" t="str">
        <f t="shared" si="22"/>
        <v>D</v>
      </c>
    </row>
    <row r="128" spans="1:24" x14ac:dyDescent="0.25">
      <c r="A128" s="53"/>
      <c r="B128" s="59" t="str">
        <f>IFERROR(VLOOKUP(A128,Lookup!A:B,2,0),"")</f>
        <v/>
      </c>
      <c r="C128" s="59" t="str">
        <f>IFERROR(VLOOKUP(A128,Lookup!A:C,3,0),"")</f>
        <v/>
      </c>
      <c r="D128" s="59"/>
      <c r="E128" s="92"/>
      <c r="F128" s="59"/>
      <c r="G128" s="88"/>
      <c r="H128" s="59"/>
      <c r="I128" s="89"/>
      <c r="J128" s="103">
        <f>VLOOKUP(A128&amp;G128,Lookup!J:N,5,0)</f>
        <v>0</v>
      </c>
      <c r="K128" s="103"/>
      <c r="L128" s="110"/>
      <c r="M128" s="110"/>
      <c r="N128" s="120"/>
      <c r="O128" s="86">
        <f>IFERROR(VLOOKUP(A128&amp;G128,Lookup!J:K,2,0),"")</f>
        <v>0</v>
      </c>
      <c r="P128" s="110" t="str">
        <f t="shared" si="15"/>
        <v/>
      </c>
      <c r="R128" s="87" t="str">
        <f t="shared" si="20"/>
        <v/>
      </c>
      <c r="S128" s="87" t="str">
        <f t="shared" si="21"/>
        <v/>
      </c>
      <c r="T128" s="59" t="e">
        <f t="shared" si="18"/>
        <v>#VALUE!</v>
      </c>
      <c r="U128" s="59"/>
      <c r="V128" s="59"/>
      <c r="W128" s="59"/>
      <c r="X128" s="60" t="str">
        <f t="shared" si="22"/>
        <v>D</v>
      </c>
    </row>
    <row r="129" spans="1:24" x14ac:dyDescent="0.25">
      <c r="A129" s="53"/>
      <c r="B129" s="59" t="str">
        <f>IFERROR(VLOOKUP(A129,Lookup!A:B,2,0),"")</f>
        <v/>
      </c>
      <c r="C129" s="59" t="str">
        <f>IFERROR(VLOOKUP(A129,Lookup!A:C,3,0),"")</f>
        <v/>
      </c>
      <c r="D129" s="59"/>
      <c r="E129" s="92"/>
      <c r="F129" s="59"/>
      <c r="G129" s="88"/>
      <c r="H129" s="59"/>
      <c r="I129" s="89"/>
      <c r="J129" s="103">
        <f>VLOOKUP(A129&amp;G129,Lookup!J:N,5,0)</f>
        <v>0</v>
      </c>
      <c r="K129" s="103"/>
      <c r="L129" s="110"/>
      <c r="M129" s="110"/>
      <c r="N129" s="120"/>
      <c r="O129" s="86">
        <f>IFERROR(VLOOKUP(A129&amp;G129,Lookup!J:K,2,0),"")</f>
        <v>0</v>
      </c>
      <c r="P129" s="110" t="str">
        <f t="shared" si="15"/>
        <v/>
      </c>
      <c r="R129" s="87" t="str">
        <f t="shared" si="20"/>
        <v/>
      </c>
      <c r="S129" s="87" t="str">
        <f t="shared" si="21"/>
        <v/>
      </c>
      <c r="T129" s="59" t="e">
        <f t="shared" si="18"/>
        <v>#VALUE!</v>
      </c>
      <c r="U129" s="59"/>
      <c r="V129" s="59"/>
      <c r="W129" s="59"/>
      <c r="X129" s="60" t="str">
        <f t="shared" si="22"/>
        <v>D</v>
      </c>
    </row>
    <row r="130" spans="1:24" x14ac:dyDescent="0.25">
      <c r="A130" s="53"/>
      <c r="B130" s="59" t="str">
        <f>IFERROR(VLOOKUP(A130,Lookup!A:B,2,0),"")</f>
        <v/>
      </c>
      <c r="C130" s="59" t="str">
        <f>IFERROR(VLOOKUP(A130,Lookup!A:C,3,0),"")</f>
        <v/>
      </c>
      <c r="D130" s="59"/>
      <c r="E130" s="92"/>
      <c r="F130" s="59"/>
      <c r="G130" s="88"/>
      <c r="H130" s="59"/>
      <c r="I130" s="89"/>
      <c r="J130" s="103">
        <f>VLOOKUP(A130&amp;G130,Lookup!J:N,5,0)</f>
        <v>0</v>
      </c>
      <c r="K130" s="103"/>
      <c r="L130" s="110"/>
      <c r="M130" s="110"/>
      <c r="N130" s="120"/>
      <c r="O130" s="86">
        <f>IFERROR(VLOOKUP(A130&amp;G130,Lookup!J:K,2,0),"")</f>
        <v>0</v>
      </c>
      <c r="P130" s="110" t="str">
        <f t="shared" si="15"/>
        <v/>
      </c>
      <c r="R130" s="87" t="str">
        <f t="shared" si="20"/>
        <v/>
      </c>
      <c r="S130" s="87" t="str">
        <f t="shared" si="21"/>
        <v/>
      </c>
      <c r="T130" s="59" t="e">
        <f t="shared" si="18"/>
        <v>#VALUE!</v>
      </c>
      <c r="U130" s="59"/>
      <c r="V130" s="59"/>
      <c r="W130" s="59"/>
      <c r="X130" s="60" t="str">
        <f t="shared" si="22"/>
        <v>D</v>
      </c>
    </row>
    <row r="131" spans="1:24" x14ac:dyDescent="0.25">
      <c r="A131" s="53"/>
      <c r="B131" s="59" t="str">
        <f>IFERROR(VLOOKUP(A131,Lookup!A:B,2,0),"")</f>
        <v/>
      </c>
      <c r="C131" s="59" t="str">
        <f>IFERROR(VLOOKUP(A131,Lookup!A:C,3,0),"")</f>
        <v/>
      </c>
      <c r="D131" s="59"/>
      <c r="E131" s="92"/>
      <c r="F131" s="59"/>
      <c r="G131" s="88"/>
      <c r="H131" s="59"/>
      <c r="I131" s="89"/>
      <c r="J131" s="103">
        <f>VLOOKUP(A131&amp;G131,Lookup!J:N,5,0)</f>
        <v>0</v>
      </c>
      <c r="K131" s="103"/>
      <c r="L131" s="110"/>
      <c r="M131" s="110"/>
      <c r="N131" s="120"/>
      <c r="O131" s="86">
        <f>IFERROR(VLOOKUP(A131&amp;G131,Lookup!J:K,2,0),"")</f>
        <v>0</v>
      </c>
      <c r="P131" s="110" t="str">
        <f t="shared" si="15"/>
        <v/>
      </c>
      <c r="R131" s="87" t="str">
        <f t="shared" si="20"/>
        <v/>
      </c>
      <c r="S131" s="87" t="str">
        <f t="shared" si="21"/>
        <v/>
      </c>
      <c r="T131" s="59" t="e">
        <f t="shared" si="18"/>
        <v>#VALUE!</v>
      </c>
      <c r="U131" s="59"/>
      <c r="V131" s="59"/>
      <c r="W131" s="59"/>
      <c r="X131" s="60" t="str">
        <f t="shared" si="22"/>
        <v>D</v>
      </c>
    </row>
    <row r="132" spans="1:24" x14ac:dyDescent="0.25">
      <c r="A132" s="53"/>
      <c r="B132" s="59" t="str">
        <f>IFERROR(VLOOKUP(A132,Lookup!A:B,2,0),"")</f>
        <v/>
      </c>
      <c r="C132" s="59" t="str">
        <f>IFERROR(VLOOKUP(A132,Lookup!A:C,3,0),"")</f>
        <v/>
      </c>
      <c r="D132" s="59"/>
      <c r="E132" s="92"/>
      <c r="F132" s="59"/>
      <c r="G132" s="88"/>
      <c r="H132" s="59"/>
      <c r="I132" s="89"/>
      <c r="J132" s="103">
        <f>VLOOKUP(A132&amp;G132,Lookup!J:N,5,0)</f>
        <v>0</v>
      </c>
      <c r="K132" s="103"/>
      <c r="L132" s="110"/>
      <c r="M132" s="110"/>
      <c r="N132" s="120"/>
      <c r="O132" s="86">
        <f>IFERROR(VLOOKUP(A132&amp;G132,Lookup!J:K,2,0),"")</f>
        <v>0</v>
      </c>
      <c r="P132" s="110" t="str">
        <f t="shared" ref="P132:P195" si="23">IF(N132="","",N132+O132)</f>
        <v/>
      </c>
      <c r="R132" s="87" t="str">
        <f t="shared" si="20"/>
        <v/>
      </c>
      <c r="S132" s="87" t="str">
        <f t="shared" si="21"/>
        <v/>
      </c>
      <c r="T132" s="59" t="e">
        <f t="shared" si="18"/>
        <v>#VALUE!</v>
      </c>
      <c r="U132" s="59"/>
      <c r="V132" s="59"/>
      <c r="W132" s="59"/>
      <c r="X132" s="60" t="str">
        <f t="shared" si="22"/>
        <v>D</v>
      </c>
    </row>
    <row r="133" spans="1:24" x14ac:dyDescent="0.25">
      <c r="A133" s="53"/>
      <c r="B133" s="59" t="str">
        <f>IFERROR(VLOOKUP(A133,Lookup!A:B,2,0),"")</f>
        <v/>
      </c>
      <c r="C133" s="59" t="str">
        <f>IFERROR(VLOOKUP(A133,Lookup!A:C,3,0),"")</f>
        <v/>
      </c>
      <c r="D133" s="59"/>
      <c r="E133" s="92"/>
      <c r="F133" s="59"/>
      <c r="G133" s="88"/>
      <c r="H133" s="59"/>
      <c r="I133" s="89"/>
      <c r="J133" s="103">
        <f>VLOOKUP(A133&amp;G133,Lookup!J:N,5,0)</f>
        <v>0</v>
      </c>
      <c r="K133" s="103"/>
      <c r="L133" s="110"/>
      <c r="M133" s="110"/>
      <c r="N133" s="120"/>
      <c r="O133" s="86">
        <f>IFERROR(VLOOKUP(A133&amp;G133,Lookup!J:K,2,0),"")</f>
        <v>0</v>
      </c>
      <c r="P133" s="110" t="str">
        <f t="shared" si="23"/>
        <v/>
      </c>
      <c r="R133" s="87" t="str">
        <f t="shared" si="20"/>
        <v/>
      </c>
      <c r="S133" s="87" t="str">
        <f t="shared" si="21"/>
        <v/>
      </c>
      <c r="T133" s="59" t="e">
        <f t="shared" si="18"/>
        <v>#VALUE!</v>
      </c>
      <c r="U133" s="59"/>
      <c r="V133" s="59"/>
      <c r="W133" s="59"/>
      <c r="X133" s="60" t="str">
        <f t="shared" si="22"/>
        <v>D</v>
      </c>
    </row>
    <row r="134" spans="1:24" x14ac:dyDescent="0.25">
      <c r="A134" s="53"/>
      <c r="B134" s="59" t="str">
        <f>IFERROR(VLOOKUP(A134,Lookup!A:B,2,0),"")</f>
        <v/>
      </c>
      <c r="C134" s="59" t="str">
        <f>IFERROR(VLOOKUP(A134,Lookup!A:C,3,0),"")</f>
        <v/>
      </c>
      <c r="D134" s="59"/>
      <c r="E134" s="92"/>
      <c r="F134" s="59"/>
      <c r="G134" s="88"/>
      <c r="H134" s="59"/>
      <c r="I134" s="89"/>
      <c r="J134" s="103">
        <f>VLOOKUP(A134&amp;G134,Lookup!J:N,5,0)</f>
        <v>0</v>
      </c>
      <c r="K134" s="103"/>
      <c r="L134" s="110"/>
      <c r="M134" s="110"/>
      <c r="N134" s="120"/>
      <c r="O134" s="86">
        <f>IFERROR(VLOOKUP(A134&amp;G134,Lookup!J:K,2,0),"")</f>
        <v>0</v>
      </c>
      <c r="P134" s="110" t="str">
        <f t="shared" si="23"/>
        <v/>
      </c>
      <c r="R134" s="87" t="str">
        <f t="shared" si="20"/>
        <v/>
      </c>
      <c r="S134" s="87" t="str">
        <f t="shared" si="21"/>
        <v/>
      </c>
      <c r="T134" s="59" t="e">
        <f t="shared" si="18"/>
        <v>#VALUE!</v>
      </c>
      <c r="U134" s="59"/>
      <c r="V134" s="59"/>
      <c r="W134" s="59"/>
      <c r="X134" s="60" t="str">
        <f t="shared" si="22"/>
        <v>D</v>
      </c>
    </row>
    <row r="135" spans="1:24" x14ac:dyDescent="0.25">
      <c r="A135" s="53"/>
      <c r="B135" s="59" t="str">
        <f>IFERROR(VLOOKUP(A135,Lookup!A:B,2,0),"")</f>
        <v/>
      </c>
      <c r="C135" s="59" t="str">
        <f>IFERROR(VLOOKUP(A135,Lookup!A:C,3,0),"")</f>
        <v/>
      </c>
      <c r="D135" s="59"/>
      <c r="E135" s="92"/>
      <c r="F135" s="59"/>
      <c r="G135" s="88"/>
      <c r="H135" s="59"/>
      <c r="I135" s="89"/>
      <c r="J135" s="103">
        <f>VLOOKUP(A135&amp;G135,Lookup!J:N,5,0)</f>
        <v>0</v>
      </c>
      <c r="K135" s="103"/>
      <c r="L135" s="110"/>
      <c r="M135" s="110"/>
      <c r="N135" s="120"/>
      <c r="O135" s="86">
        <f>IFERROR(VLOOKUP(A135&amp;G135,Lookup!J:K,2,0),"")</f>
        <v>0</v>
      </c>
      <c r="P135" s="110" t="str">
        <f t="shared" si="23"/>
        <v/>
      </c>
      <c r="R135" s="87" t="str">
        <f t="shared" si="20"/>
        <v/>
      </c>
      <c r="S135" s="87" t="str">
        <f t="shared" si="21"/>
        <v/>
      </c>
      <c r="T135" s="59" t="e">
        <f t="shared" si="18"/>
        <v>#VALUE!</v>
      </c>
      <c r="U135" s="59"/>
      <c r="V135" s="59"/>
      <c r="W135" s="59"/>
      <c r="X135" s="60" t="str">
        <f t="shared" si="22"/>
        <v>D</v>
      </c>
    </row>
    <row r="136" spans="1:24" x14ac:dyDescent="0.25">
      <c r="A136" s="53"/>
      <c r="B136" s="59" t="str">
        <f>IFERROR(VLOOKUP(A136,Lookup!A:B,2,0),"")</f>
        <v/>
      </c>
      <c r="C136" s="59" t="str">
        <f>IFERROR(VLOOKUP(A136,Lookup!A:C,3,0),"")</f>
        <v/>
      </c>
      <c r="D136" s="59"/>
      <c r="E136" s="92"/>
      <c r="F136" s="59"/>
      <c r="G136" s="88"/>
      <c r="H136" s="59"/>
      <c r="I136" s="89"/>
      <c r="J136" s="103">
        <f>VLOOKUP(A136&amp;G136,Lookup!J:N,5,0)</f>
        <v>0</v>
      </c>
      <c r="K136" s="103"/>
      <c r="L136" s="110"/>
      <c r="M136" s="110"/>
      <c r="N136" s="120"/>
      <c r="O136" s="86">
        <f>IFERROR(VLOOKUP(A136&amp;G136,Lookup!J:K,2,0),"")</f>
        <v>0</v>
      </c>
      <c r="P136" s="110" t="str">
        <f t="shared" si="23"/>
        <v/>
      </c>
      <c r="R136" s="87" t="str">
        <f t="shared" si="20"/>
        <v/>
      </c>
      <c r="S136" s="87" t="str">
        <f t="shared" si="21"/>
        <v/>
      </c>
      <c r="T136" s="59" t="e">
        <f t="shared" si="18"/>
        <v>#VALUE!</v>
      </c>
      <c r="U136" s="59"/>
      <c r="V136" s="59"/>
      <c r="W136" s="59"/>
      <c r="X136" s="60" t="str">
        <f t="shared" si="22"/>
        <v>D</v>
      </c>
    </row>
    <row r="137" spans="1:24" x14ac:dyDescent="0.25">
      <c r="A137" s="53"/>
      <c r="B137" s="59" t="str">
        <f>IFERROR(VLOOKUP(A137,Lookup!A:B,2,0),"")</f>
        <v/>
      </c>
      <c r="C137" s="59" t="str">
        <f>IFERROR(VLOOKUP(A137,Lookup!A:C,3,0),"")</f>
        <v/>
      </c>
      <c r="D137" s="59"/>
      <c r="E137" s="92"/>
      <c r="F137" s="59"/>
      <c r="G137" s="88"/>
      <c r="H137" s="59"/>
      <c r="I137" s="89"/>
      <c r="J137" s="103">
        <f>VLOOKUP(A137&amp;G137,Lookup!J:N,5,0)</f>
        <v>0</v>
      </c>
      <c r="K137" s="103"/>
      <c r="L137" s="110"/>
      <c r="M137" s="110"/>
      <c r="N137" s="120"/>
      <c r="O137" s="86">
        <f>IFERROR(VLOOKUP(A137&amp;G137,Lookup!J:K,2,0),"")</f>
        <v>0</v>
      </c>
      <c r="P137" s="110" t="str">
        <f t="shared" si="23"/>
        <v/>
      </c>
      <c r="R137" s="87" t="str">
        <f t="shared" si="20"/>
        <v/>
      </c>
      <c r="S137" s="87" t="str">
        <f t="shared" si="21"/>
        <v/>
      </c>
      <c r="T137" s="59" t="e">
        <f t="shared" si="18"/>
        <v>#VALUE!</v>
      </c>
      <c r="U137" s="59"/>
      <c r="V137" s="59"/>
      <c r="W137" s="59"/>
      <c r="X137" s="60" t="str">
        <f t="shared" si="22"/>
        <v>D</v>
      </c>
    </row>
    <row r="138" spans="1:24" x14ac:dyDescent="0.25">
      <c r="A138" s="53"/>
      <c r="B138" s="59" t="str">
        <f>IFERROR(VLOOKUP(A138,Lookup!A:B,2,0),"")</f>
        <v/>
      </c>
      <c r="C138" s="59" t="str">
        <f>IFERROR(VLOOKUP(A138,Lookup!A:C,3,0),"")</f>
        <v/>
      </c>
      <c r="D138" s="59"/>
      <c r="E138" s="92"/>
      <c r="F138" s="59"/>
      <c r="G138" s="88"/>
      <c r="H138" s="59"/>
      <c r="I138" s="89"/>
      <c r="J138" s="103">
        <f>VLOOKUP(A138&amp;G138,Lookup!J:N,5,0)</f>
        <v>0</v>
      </c>
      <c r="K138" s="103"/>
      <c r="L138" s="110"/>
      <c r="M138" s="110"/>
      <c r="N138" s="120"/>
      <c r="O138" s="86">
        <f>IFERROR(VLOOKUP(A138&amp;G138,Lookup!J:K,2,0),"")</f>
        <v>0</v>
      </c>
      <c r="P138" s="110" t="str">
        <f t="shared" si="23"/>
        <v/>
      </c>
      <c r="R138" s="87" t="str">
        <f t="shared" si="20"/>
        <v/>
      </c>
      <c r="S138" s="87" t="str">
        <f t="shared" si="21"/>
        <v/>
      </c>
      <c r="T138" s="59" t="e">
        <f t="shared" si="18"/>
        <v>#VALUE!</v>
      </c>
      <c r="U138" s="59"/>
      <c r="V138" s="59"/>
      <c r="W138" s="59"/>
      <c r="X138" s="60" t="str">
        <f t="shared" si="22"/>
        <v>D</v>
      </c>
    </row>
    <row r="139" spans="1:24" x14ac:dyDescent="0.25">
      <c r="A139" s="53"/>
      <c r="B139" s="59" t="str">
        <f>IFERROR(VLOOKUP(A139,Lookup!A:B,2,0),"")</f>
        <v/>
      </c>
      <c r="C139" s="59" t="str">
        <f>IFERROR(VLOOKUP(A139,Lookup!A:C,3,0),"")</f>
        <v/>
      </c>
      <c r="D139" s="59"/>
      <c r="E139" s="92"/>
      <c r="F139" s="59"/>
      <c r="G139" s="88"/>
      <c r="H139" s="59"/>
      <c r="I139" s="89"/>
      <c r="J139" s="103">
        <f>VLOOKUP(A139&amp;G139,Lookup!J:N,5,0)</f>
        <v>0</v>
      </c>
      <c r="K139" s="103"/>
      <c r="L139" s="110"/>
      <c r="M139" s="110"/>
      <c r="N139" s="120"/>
      <c r="O139" s="86">
        <f>IFERROR(VLOOKUP(A139&amp;G139,Lookup!J:K,2,0),"")</f>
        <v>0</v>
      </c>
      <c r="P139" s="110" t="str">
        <f t="shared" si="23"/>
        <v/>
      </c>
      <c r="R139" s="87" t="str">
        <f t="shared" si="20"/>
        <v/>
      </c>
      <c r="S139" s="87" t="str">
        <f t="shared" si="21"/>
        <v/>
      </c>
      <c r="T139" s="59" t="e">
        <f t="shared" si="18"/>
        <v>#VALUE!</v>
      </c>
      <c r="U139" s="59"/>
      <c r="V139" s="59"/>
      <c r="W139" s="59"/>
      <c r="X139" s="60" t="str">
        <f t="shared" si="22"/>
        <v>D</v>
      </c>
    </row>
    <row r="140" spans="1:24" x14ac:dyDescent="0.25">
      <c r="A140" s="53"/>
      <c r="B140" s="59" t="str">
        <f>IFERROR(VLOOKUP(A140,Lookup!A:B,2,0),"")</f>
        <v/>
      </c>
      <c r="C140" s="59" t="str">
        <f>IFERROR(VLOOKUP(A140,Lookup!A:C,3,0),"")</f>
        <v/>
      </c>
      <c r="D140" s="59"/>
      <c r="E140" s="92"/>
      <c r="F140" s="59"/>
      <c r="G140" s="88"/>
      <c r="H140" s="59"/>
      <c r="I140" s="89"/>
      <c r="J140" s="103">
        <f>VLOOKUP(A140&amp;G140,Lookup!J:N,5,0)</f>
        <v>0</v>
      </c>
      <c r="K140" s="103"/>
      <c r="L140" s="110"/>
      <c r="M140" s="110"/>
      <c r="N140" s="120"/>
      <c r="O140" s="86">
        <f>IFERROR(VLOOKUP(A140&amp;G140,Lookup!J:K,2,0),"")</f>
        <v>0</v>
      </c>
      <c r="P140" s="110" t="str">
        <f t="shared" si="23"/>
        <v/>
      </c>
      <c r="R140" s="87" t="str">
        <f t="shared" si="20"/>
        <v/>
      </c>
      <c r="S140" s="87" t="str">
        <f t="shared" si="21"/>
        <v/>
      </c>
      <c r="T140" s="59" t="e">
        <f t="shared" si="18"/>
        <v>#VALUE!</v>
      </c>
      <c r="U140" s="59"/>
      <c r="V140" s="59"/>
      <c r="W140" s="59"/>
      <c r="X140" s="60" t="str">
        <f t="shared" si="22"/>
        <v>D</v>
      </c>
    </row>
    <row r="141" spans="1:24" x14ac:dyDescent="0.25">
      <c r="A141" s="53"/>
      <c r="B141" s="59" t="str">
        <f>IFERROR(VLOOKUP(A141,Lookup!A:B,2,0),"")</f>
        <v/>
      </c>
      <c r="C141" s="59" t="str">
        <f>IFERROR(VLOOKUP(A141,Lookup!A:C,3,0),"")</f>
        <v/>
      </c>
      <c r="D141" s="59"/>
      <c r="E141" s="92"/>
      <c r="F141" s="59"/>
      <c r="G141" s="88"/>
      <c r="H141" s="59"/>
      <c r="I141" s="89"/>
      <c r="J141" s="103">
        <f>VLOOKUP(A141&amp;G141,Lookup!J:N,5,0)</f>
        <v>0</v>
      </c>
      <c r="K141" s="103"/>
      <c r="L141" s="110"/>
      <c r="M141" s="110"/>
      <c r="N141" s="120"/>
      <c r="O141" s="86">
        <f>IFERROR(VLOOKUP(A141&amp;G141,Lookup!J:K,2,0),"")</f>
        <v>0</v>
      </c>
      <c r="P141" s="110" t="str">
        <f t="shared" si="23"/>
        <v/>
      </c>
      <c r="R141" s="87" t="str">
        <f t="shared" si="20"/>
        <v/>
      </c>
      <c r="S141" s="87" t="str">
        <f t="shared" si="21"/>
        <v/>
      </c>
      <c r="T141" s="59" t="e">
        <f t="shared" si="18"/>
        <v>#VALUE!</v>
      </c>
      <c r="U141" s="59"/>
      <c r="V141" s="59"/>
      <c r="W141" s="59"/>
      <c r="X141" s="60" t="str">
        <f t="shared" si="22"/>
        <v>D</v>
      </c>
    </row>
    <row r="142" spans="1:24" x14ac:dyDescent="0.25">
      <c r="A142" s="53"/>
      <c r="B142" s="59" t="str">
        <f>IFERROR(VLOOKUP(A142,Lookup!A:B,2,0),"")</f>
        <v/>
      </c>
      <c r="C142" s="59" t="str">
        <f>IFERROR(VLOOKUP(A142,Lookup!A:C,3,0),"")</f>
        <v/>
      </c>
      <c r="D142" s="59"/>
      <c r="E142" s="92"/>
      <c r="F142" s="59"/>
      <c r="G142" s="88"/>
      <c r="H142" s="59"/>
      <c r="I142" s="89"/>
      <c r="J142" s="103">
        <f>VLOOKUP(A142&amp;G142,Lookup!J:N,5,0)</f>
        <v>0</v>
      </c>
      <c r="K142" s="103"/>
      <c r="L142" s="110"/>
      <c r="M142" s="110"/>
      <c r="N142" s="120"/>
      <c r="O142" s="86">
        <f>IFERROR(VLOOKUP(A142&amp;G142,Lookup!J:K,2,0),"")</f>
        <v>0</v>
      </c>
      <c r="P142" s="110" t="str">
        <f t="shared" si="23"/>
        <v/>
      </c>
      <c r="R142" s="87" t="str">
        <f t="shared" si="20"/>
        <v/>
      </c>
      <c r="S142" s="87" t="str">
        <f t="shared" si="21"/>
        <v/>
      </c>
      <c r="T142" s="59" t="e">
        <f t="shared" ref="T142:T205" si="24">IF(Q142-P142&gt;0.0415,"YES",(IF(OR(EXACT(Q142,""), EXACT(P142,"")),"","NO")))</f>
        <v>#VALUE!</v>
      </c>
      <c r="U142" s="59"/>
      <c r="V142" s="59"/>
      <c r="W142" s="59"/>
      <c r="X142" s="60" t="str">
        <f t="shared" si="22"/>
        <v>D</v>
      </c>
    </row>
    <row r="143" spans="1:24" x14ac:dyDescent="0.25">
      <c r="A143" s="53"/>
      <c r="B143" s="59" t="str">
        <f>IFERROR(VLOOKUP(A143,Lookup!A:B,2,0),"")</f>
        <v/>
      </c>
      <c r="C143" s="59" t="str">
        <f>IFERROR(VLOOKUP(A143,Lookup!A:C,3,0),"")</f>
        <v/>
      </c>
      <c r="D143" s="59"/>
      <c r="E143" s="92"/>
      <c r="F143" s="59"/>
      <c r="G143" s="88"/>
      <c r="H143" s="59"/>
      <c r="I143" s="89"/>
      <c r="J143" s="103">
        <f>VLOOKUP(A143&amp;G143,Lookup!J:N,5,0)</f>
        <v>0</v>
      </c>
      <c r="K143" s="103"/>
      <c r="L143" s="110"/>
      <c r="M143" s="110"/>
      <c r="N143" s="120"/>
      <c r="O143" s="86">
        <f>IFERROR(VLOOKUP(A143&amp;G143,Lookup!J:K,2,0),"")</f>
        <v>0</v>
      </c>
      <c r="P143" s="110" t="str">
        <f t="shared" si="23"/>
        <v/>
      </c>
      <c r="R143" s="87" t="str">
        <f t="shared" si="20"/>
        <v/>
      </c>
      <c r="S143" s="87" t="str">
        <f t="shared" si="21"/>
        <v/>
      </c>
      <c r="T143" s="59" t="e">
        <f t="shared" si="24"/>
        <v>#VALUE!</v>
      </c>
      <c r="U143" s="59"/>
      <c r="V143" s="59"/>
      <c r="W143" s="59"/>
      <c r="X143" s="60" t="str">
        <f t="shared" si="22"/>
        <v>D</v>
      </c>
    </row>
    <row r="144" spans="1:24" x14ac:dyDescent="0.25">
      <c r="A144" s="53"/>
      <c r="B144" s="59" t="str">
        <f>IFERROR(VLOOKUP(A144,Lookup!A:B,2,0),"")</f>
        <v/>
      </c>
      <c r="C144" s="59" t="str">
        <f>IFERROR(VLOOKUP(A144,Lookup!A:C,3,0),"")</f>
        <v/>
      </c>
      <c r="D144" s="59"/>
      <c r="E144" s="92"/>
      <c r="F144" s="59"/>
      <c r="G144" s="88"/>
      <c r="H144" s="59"/>
      <c r="I144" s="89"/>
      <c r="J144" s="103">
        <f>VLOOKUP(A144&amp;G144,Lookup!J:N,5,0)</f>
        <v>0</v>
      </c>
      <c r="K144" s="103"/>
      <c r="L144" s="110"/>
      <c r="M144" s="110"/>
      <c r="N144" s="120"/>
      <c r="O144" s="86">
        <f>IFERROR(VLOOKUP(A144&amp;G144,Lookup!J:K,2,0),"")</f>
        <v>0</v>
      </c>
      <c r="P144" s="110" t="str">
        <f t="shared" si="23"/>
        <v/>
      </c>
      <c r="R144" s="87" t="str">
        <f t="shared" si="20"/>
        <v/>
      </c>
      <c r="S144" s="87" t="str">
        <f t="shared" si="21"/>
        <v/>
      </c>
      <c r="T144" s="59" t="e">
        <f t="shared" si="24"/>
        <v>#VALUE!</v>
      </c>
      <c r="U144" s="59"/>
      <c r="V144" s="59"/>
      <c r="W144" s="59"/>
      <c r="X144" s="60" t="str">
        <f t="shared" si="22"/>
        <v>D</v>
      </c>
    </row>
    <row r="145" spans="1:24" x14ac:dyDescent="0.25">
      <c r="A145" s="53"/>
      <c r="B145" s="59" t="str">
        <f>IFERROR(VLOOKUP(A145,Lookup!A:B,2,0),"")</f>
        <v/>
      </c>
      <c r="C145" s="59" t="str">
        <f>IFERROR(VLOOKUP(A145,Lookup!A:C,3,0),"")</f>
        <v/>
      </c>
      <c r="D145" s="59"/>
      <c r="E145" s="92"/>
      <c r="F145" s="59"/>
      <c r="G145" s="88"/>
      <c r="H145" s="59"/>
      <c r="I145" s="89"/>
      <c r="J145" s="103">
        <f>VLOOKUP(A145&amp;G145,Lookup!J:N,5,0)</f>
        <v>0</v>
      </c>
      <c r="K145" s="103"/>
      <c r="L145" s="110"/>
      <c r="M145" s="110"/>
      <c r="N145" s="120"/>
      <c r="O145" s="86">
        <f>IFERROR(VLOOKUP(A145&amp;G145,Lookup!J:K,2,0),"")</f>
        <v>0</v>
      </c>
      <c r="P145" s="110" t="str">
        <f t="shared" si="23"/>
        <v/>
      </c>
      <c r="R145" s="87" t="str">
        <f t="shared" si="20"/>
        <v/>
      </c>
      <c r="S145" s="87" t="str">
        <f t="shared" si="21"/>
        <v/>
      </c>
      <c r="T145" s="59" t="e">
        <f t="shared" si="24"/>
        <v>#VALUE!</v>
      </c>
      <c r="U145" s="59"/>
      <c r="V145" s="59"/>
      <c r="W145" s="59"/>
      <c r="X145" s="60" t="str">
        <f t="shared" si="22"/>
        <v>D</v>
      </c>
    </row>
    <row r="146" spans="1:24" x14ac:dyDescent="0.25">
      <c r="A146" s="53"/>
      <c r="B146" s="59" t="str">
        <f>IFERROR(VLOOKUP(A146,Lookup!A:B,2,0),"")</f>
        <v/>
      </c>
      <c r="C146" s="59" t="str">
        <f>IFERROR(VLOOKUP(A146,Lookup!A:C,3,0),"")</f>
        <v/>
      </c>
      <c r="D146" s="59"/>
      <c r="E146" s="92"/>
      <c r="F146" s="59"/>
      <c r="G146" s="88"/>
      <c r="H146" s="59"/>
      <c r="I146" s="89"/>
      <c r="J146" s="103">
        <f>VLOOKUP(A146&amp;G146,Lookup!J:N,5,0)</f>
        <v>0</v>
      </c>
      <c r="K146" s="103"/>
      <c r="L146" s="110"/>
      <c r="M146" s="110"/>
      <c r="N146" s="120"/>
      <c r="O146" s="86">
        <f>IFERROR(VLOOKUP(A146&amp;G146,Lookup!J:K,2,0),"")</f>
        <v>0</v>
      </c>
      <c r="P146" s="110" t="str">
        <f t="shared" si="23"/>
        <v/>
      </c>
      <c r="R146" s="87" t="str">
        <f t="shared" si="20"/>
        <v/>
      </c>
      <c r="S146" s="87" t="str">
        <f t="shared" si="21"/>
        <v/>
      </c>
      <c r="T146" s="59" t="e">
        <f t="shared" si="24"/>
        <v>#VALUE!</v>
      </c>
      <c r="U146" s="59"/>
      <c r="V146" s="59"/>
      <c r="W146" s="59"/>
      <c r="X146" s="60" t="str">
        <f t="shared" si="22"/>
        <v>D</v>
      </c>
    </row>
    <row r="147" spans="1:24" x14ac:dyDescent="0.25">
      <c r="A147" s="53"/>
      <c r="B147" s="59" t="str">
        <f>IFERROR(VLOOKUP(A147,Lookup!A:B,2,0),"")</f>
        <v/>
      </c>
      <c r="C147" s="59" t="str">
        <f>IFERROR(VLOOKUP(A147,Lookup!A:C,3,0),"")</f>
        <v/>
      </c>
      <c r="D147" s="59"/>
      <c r="E147" s="92"/>
      <c r="F147" s="59"/>
      <c r="G147" s="88"/>
      <c r="H147" s="59"/>
      <c r="I147" s="89"/>
      <c r="J147" s="103">
        <f>VLOOKUP(A147&amp;G147,Lookup!J:N,5,0)</f>
        <v>0</v>
      </c>
      <c r="K147" s="103"/>
      <c r="L147" s="110"/>
      <c r="M147" s="110"/>
      <c r="N147" s="120"/>
      <c r="O147" s="86">
        <f>IFERROR(VLOOKUP(A147&amp;G147,Lookup!J:K,2,0),"")</f>
        <v>0</v>
      </c>
      <c r="P147" s="110" t="str">
        <f t="shared" si="23"/>
        <v/>
      </c>
      <c r="R147" s="87" t="str">
        <f t="shared" si="20"/>
        <v/>
      </c>
      <c r="S147" s="87" t="str">
        <f t="shared" si="21"/>
        <v/>
      </c>
      <c r="T147" s="59" t="e">
        <f t="shared" si="24"/>
        <v>#VALUE!</v>
      </c>
      <c r="U147" s="59"/>
      <c r="V147" s="59"/>
      <c r="W147" s="59"/>
      <c r="X147" s="60" t="str">
        <f t="shared" si="22"/>
        <v>D</v>
      </c>
    </row>
    <row r="148" spans="1:24" x14ac:dyDescent="0.25">
      <c r="A148" s="53"/>
      <c r="B148" s="59" t="str">
        <f>IFERROR(VLOOKUP(A148,Lookup!A:B,2,0),"")</f>
        <v/>
      </c>
      <c r="C148" s="59" t="str">
        <f>IFERROR(VLOOKUP(A148,Lookup!A:C,3,0),"")</f>
        <v/>
      </c>
      <c r="D148" s="59"/>
      <c r="E148" s="92"/>
      <c r="F148" s="59"/>
      <c r="G148" s="88"/>
      <c r="H148" s="59"/>
      <c r="I148" s="89"/>
      <c r="J148" s="103">
        <f>VLOOKUP(A148&amp;G148,Lookup!J:N,5,0)</f>
        <v>0</v>
      </c>
      <c r="K148" s="103"/>
      <c r="L148" s="110"/>
      <c r="M148" s="110"/>
      <c r="N148" s="120"/>
      <c r="O148" s="86">
        <f>IFERROR(VLOOKUP(A148&amp;G148,Lookup!J:K,2,0),"")</f>
        <v>0</v>
      </c>
      <c r="P148" s="110" t="str">
        <f t="shared" si="23"/>
        <v/>
      </c>
      <c r="R148" s="87" t="str">
        <f t="shared" si="20"/>
        <v/>
      </c>
      <c r="S148" s="87" t="str">
        <f t="shared" si="21"/>
        <v/>
      </c>
      <c r="T148" s="59" t="e">
        <f t="shared" si="24"/>
        <v>#VALUE!</v>
      </c>
      <c r="U148" s="59"/>
      <c r="V148" s="59"/>
      <c r="W148" s="59"/>
      <c r="X148" s="60" t="str">
        <f t="shared" si="22"/>
        <v>D</v>
      </c>
    </row>
    <row r="149" spans="1:24" x14ac:dyDescent="0.25">
      <c r="A149" s="53"/>
      <c r="B149" s="59" t="str">
        <f>IFERROR(VLOOKUP(A149,Lookup!A:B,2,0),"")</f>
        <v/>
      </c>
      <c r="C149" s="59" t="str">
        <f>IFERROR(VLOOKUP(A149,Lookup!A:C,3,0),"")</f>
        <v/>
      </c>
      <c r="D149" s="59"/>
      <c r="E149" s="92"/>
      <c r="F149" s="59"/>
      <c r="G149" s="88"/>
      <c r="H149" s="59"/>
      <c r="I149" s="89"/>
      <c r="J149" s="103">
        <f>VLOOKUP(A149&amp;G149,Lookup!J:N,5,0)</f>
        <v>0</v>
      </c>
      <c r="K149" s="103"/>
      <c r="L149" s="110"/>
      <c r="M149" s="110"/>
      <c r="N149" s="120"/>
      <c r="O149" s="86">
        <f>IFERROR(VLOOKUP(A149&amp;G149,Lookup!J:K,2,0),"")</f>
        <v>0</v>
      </c>
      <c r="P149" s="110" t="str">
        <f t="shared" si="23"/>
        <v/>
      </c>
      <c r="R149" s="87" t="str">
        <f t="shared" si="20"/>
        <v/>
      </c>
      <c r="S149" s="87" t="str">
        <f t="shared" si="21"/>
        <v/>
      </c>
      <c r="T149" s="59" t="e">
        <f t="shared" si="24"/>
        <v>#VALUE!</v>
      </c>
      <c r="U149" s="59"/>
      <c r="V149" s="59"/>
      <c r="W149" s="59"/>
      <c r="X149" s="60" t="str">
        <f t="shared" si="22"/>
        <v>D</v>
      </c>
    </row>
    <row r="150" spans="1:24" x14ac:dyDescent="0.25">
      <c r="A150" s="53"/>
      <c r="B150" s="59" t="str">
        <f>IFERROR(VLOOKUP(A150,Lookup!A:B,2,0),"")</f>
        <v/>
      </c>
      <c r="C150" s="59" t="str">
        <f>IFERROR(VLOOKUP(A150,Lookup!A:C,3,0),"")</f>
        <v/>
      </c>
      <c r="D150" s="59"/>
      <c r="E150" s="92"/>
      <c r="F150" s="59"/>
      <c r="G150" s="88"/>
      <c r="H150" s="59"/>
      <c r="I150" s="89"/>
      <c r="J150" s="103">
        <f>VLOOKUP(A150&amp;G150,Lookup!J:N,5,0)</f>
        <v>0</v>
      </c>
      <c r="K150" s="103"/>
      <c r="L150" s="110"/>
      <c r="M150" s="110"/>
      <c r="N150" s="120"/>
      <c r="O150" s="86">
        <f>IFERROR(VLOOKUP(A150&amp;G150,Lookup!J:K,2,0),"")</f>
        <v>0</v>
      </c>
      <c r="P150" s="110" t="str">
        <f t="shared" si="23"/>
        <v/>
      </c>
      <c r="R150" s="87" t="str">
        <f t="shared" si="20"/>
        <v/>
      </c>
      <c r="S150" s="87" t="str">
        <f t="shared" si="21"/>
        <v/>
      </c>
      <c r="T150" s="59" t="e">
        <f t="shared" si="24"/>
        <v>#VALUE!</v>
      </c>
      <c r="U150" s="59"/>
      <c r="V150" s="59"/>
      <c r="W150" s="59"/>
      <c r="X150" s="60" t="str">
        <f t="shared" si="22"/>
        <v>D</v>
      </c>
    </row>
    <row r="151" spans="1:24" x14ac:dyDescent="0.25">
      <c r="A151" s="53"/>
      <c r="B151" s="59" t="str">
        <f>IFERROR(VLOOKUP(A151,Lookup!A:B,2,0),"")</f>
        <v/>
      </c>
      <c r="C151" s="59" t="str">
        <f>IFERROR(VLOOKUP(A151,Lookup!A:C,3,0),"")</f>
        <v/>
      </c>
      <c r="D151" s="59"/>
      <c r="E151" s="92"/>
      <c r="F151" s="59"/>
      <c r="G151" s="88"/>
      <c r="H151" s="59"/>
      <c r="I151" s="89"/>
      <c r="J151" s="103">
        <f>VLOOKUP(A151&amp;G151,Lookup!J:N,5,0)</f>
        <v>0</v>
      </c>
      <c r="K151" s="103"/>
      <c r="L151" s="110"/>
      <c r="M151" s="110"/>
      <c r="N151" s="120"/>
      <c r="O151" s="86">
        <f>IFERROR(VLOOKUP(A151&amp;G151,Lookup!J:K,2,0),"")</f>
        <v>0</v>
      </c>
      <c r="P151" s="110" t="str">
        <f t="shared" si="23"/>
        <v/>
      </c>
      <c r="R151" s="87" t="str">
        <f t="shared" si="20"/>
        <v/>
      </c>
      <c r="S151" s="87" t="str">
        <f t="shared" si="21"/>
        <v/>
      </c>
      <c r="T151" s="59" t="e">
        <f t="shared" si="24"/>
        <v>#VALUE!</v>
      </c>
      <c r="U151" s="59"/>
      <c r="V151" s="59"/>
      <c r="W151" s="59"/>
      <c r="X151" s="60" t="str">
        <f t="shared" si="22"/>
        <v>D</v>
      </c>
    </row>
    <row r="152" spans="1:24" x14ac:dyDescent="0.25">
      <c r="A152" s="53"/>
      <c r="B152" s="59" t="str">
        <f>IFERROR(VLOOKUP(A152,Lookup!A:B,2,0),"")</f>
        <v/>
      </c>
      <c r="C152" s="59" t="str">
        <f>IFERROR(VLOOKUP(A152,Lookup!A:C,3,0),"")</f>
        <v/>
      </c>
      <c r="D152" s="59"/>
      <c r="E152" s="92"/>
      <c r="F152" s="59"/>
      <c r="G152" s="88"/>
      <c r="H152" s="59"/>
      <c r="I152" s="89"/>
      <c r="J152" s="103">
        <f>VLOOKUP(A152&amp;G152,Lookup!J:N,5,0)</f>
        <v>0</v>
      </c>
      <c r="K152" s="103"/>
      <c r="L152" s="110"/>
      <c r="M152" s="110"/>
      <c r="N152" s="120"/>
      <c r="O152" s="86">
        <f>IFERROR(VLOOKUP(A152&amp;G152,Lookup!J:K,2,0),"")</f>
        <v>0</v>
      </c>
      <c r="P152" s="110" t="str">
        <f t="shared" si="23"/>
        <v/>
      </c>
      <c r="R152" s="87" t="str">
        <f t="shared" si="20"/>
        <v/>
      </c>
      <c r="S152" s="87" t="str">
        <f t="shared" si="21"/>
        <v/>
      </c>
      <c r="T152" s="59" t="e">
        <f t="shared" si="24"/>
        <v>#VALUE!</v>
      </c>
      <c r="U152" s="59"/>
      <c r="V152" s="59"/>
      <c r="W152" s="59"/>
      <c r="X152" s="60" t="str">
        <f t="shared" si="22"/>
        <v>D</v>
      </c>
    </row>
    <row r="153" spans="1:24" x14ac:dyDescent="0.25">
      <c r="A153" s="53"/>
      <c r="B153" s="59" t="str">
        <f>IFERROR(VLOOKUP(A153,Lookup!A:B,2,0),"")</f>
        <v/>
      </c>
      <c r="C153" s="59" t="str">
        <f>IFERROR(VLOOKUP(A153,Lookup!A:C,3,0),"")</f>
        <v/>
      </c>
      <c r="D153" s="59"/>
      <c r="E153" s="92"/>
      <c r="F153" s="59"/>
      <c r="G153" s="88"/>
      <c r="H153" s="59"/>
      <c r="I153" s="89"/>
      <c r="J153" s="103">
        <f>VLOOKUP(A153&amp;G153,Lookup!J:N,5,0)</f>
        <v>0</v>
      </c>
      <c r="K153" s="103"/>
      <c r="L153" s="110"/>
      <c r="M153" s="110"/>
      <c r="N153" s="120"/>
      <c r="O153" s="86">
        <f>IFERROR(VLOOKUP(A153&amp;G153,Lookup!J:K,2,0),"")</f>
        <v>0</v>
      </c>
      <c r="P153" s="110" t="str">
        <f t="shared" si="23"/>
        <v/>
      </c>
      <c r="R153" s="87" t="str">
        <f t="shared" si="20"/>
        <v/>
      </c>
      <c r="S153" s="87" t="str">
        <f t="shared" si="21"/>
        <v/>
      </c>
      <c r="T153" s="59" t="e">
        <f t="shared" si="24"/>
        <v>#VALUE!</v>
      </c>
      <c r="U153" s="59"/>
      <c r="V153" s="59"/>
      <c r="W153" s="59"/>
      <c r="X153" s="60" t="str">
        <f t="shared" si="22"/>
        <v>D</v>
      </c>
    </row>
    <row r="154" spans="1:24" x14ac:dyDescent="0.25">
      <c r="A154" s="53"/>
      <c r="B154" s="59" t="str">
        <f>IFERROR(VLOOKUP(A154,Lookup!A:B,2,0),"")</f>
        <v/>
      </c>
      <c r="C154" s="59" t="str">
        <f>IFERROR(VLOOKUP(A154,Lookup!A:C,3,0),"")</f>
        <v/>
      </c>
      <c r="D154" s="59"/>
      <c r="E154" s="92"/>
      <c r="F154" s="59"/>
      <c r="G154" s="88"/>
      <c r="H154" s="59"/>
      <c r="I154" s="89"/>
      <c r="J154" s="103">
        <f>VLOOKUP(A154&amp;G154,Lookup!J:N,5,0)</f>
        <v>0</v>
      </c>
      <c r="K154" s="103"/>
      <c r="L154" s="110"/>
      <c r="M154" s="110"/>
      <c r="N154" s="120"/>
      <c r="O154" s="86">
        <f>IFERROR(VLOOKUP(A154&amp;G154,Lookup!J:K,2,0),"")</f>
        <v>0</v>
      </c>
      <c r="P154" s="110" t="str">
        <f t="shared" si="23"/>
        <v/>
      </c>
      <c r="R154" s="87" t="str">
        <f t="shared" si="20"/>
        <v/>
      </c>
      <c r="S154" s="87" t="str">
        <f t="shared" si="21"/>
        <v/>
      </c>
      <c r="T154" s="59" t="e">
        <f t="shared" si="24"/>
        <v>#VALUE!</v>
      </c>
      <c r="U154" s="59"/>
      <c r="V154" s="59"/>
      <c r="W154" s="59"/>
      <c r="X154" s="60" t="str">
        <f t="shared" si="22"/>
        <v>D</v>
      </c>
    </row>
    <row r="155" spans="1:24" x14ac:dyDescent="0.25">
      <c r="A155" s="53"/>
      <c r="B155" s="59" t="str">
        <f>IFERROR(VLOOKUP(A155,Lookup!A:B,2,0),"")</f>
        <v/>
      </c>
      <c r="C155" s="59" t="str">
        <f>IFERROR(VLOOKUP(A155,Lookup!A:C,3,0),"")</f>
        <v/>
      </c>
      <c r="D155" s="59"/>
      <c r="E155" s="92"/>
      <c r="F155" s="59"/>
      <c r="G155" s="88"/>
      <c r="H155" s="59"/>
      <c r="I155" s="89"/>
      <c r="J155" s="103">
        <f>VLOOKUP(A155&amp;G155,Lookup!J:N,5,0)</f>
        <v>0</v>
      </c>
      <c r="K155" s="103"/>
      <c r="L155" s="110"/>
      <c r="M155" s="110"/>
      <c r="N155" s="120"/>
      <c r="O155" s="86">
        <f>IFERROR(VLOOKUP(A155&amp;G155,Lookup!J:K,2,0),"")</f>
        <v>0</v>
      </c>
      <c r="P155" s="110" t="str">
        <f t="shared" si="23"/>
        <v/>
      </c>
      <c r="R155" s="87" t="str">
        <f t="shared" si="20"/>
        <v/>
      </c>
      <c r="S155" s="87" t="str">
        <f t="shared" si="21"/>
        <v/>
      </c>
      <c r="T155" s="59" t="e">
        <f t="shared" si="24"/>
        <v>#VALUE!</v>
      </c>
      <c r="U155" s="59"/>
      <c r="V155" s="59"/>
      <c r="W155" s="59"/>
      <c r="X155" s="60" t="str">
        <f t="shared" si="22"/>
        <v>D</v>
      </c>
    </row>
    <row r="156" spans="1:24" x14ac:dyDescent="0.25">
      <c r="A156" s="53"/>
      <c r="B156" s="59" t="str">
        <f>IFERROR(VLOOKUP(A156,Lookup!A:B,2,0),"")</f>
        <v/>
      </c>
      <c r="C156" s="59" t="str">
        <f>IFERROR(VLOOKUP(A156,Lookup!A:C,3,0),"")</f>
        <v/>
      </c>
      <c r="D156" s="59"/>
      <c r="E156" s="92"/>
      <c r="F156" s="59"/>
      <c r="G156" s="88"/>
      <c r="H156" s="59"/>
      <c r="I156" s="89"/>
      <c r="J156" s="103">
        <f>VLOOKUP(A156&amp;G156,Lookup!J:N,5,0)</f>
        <v>0</v>
      </c>
      <c r="K156" s="103"/>
      <c r="L156" s="110"/>
      <c r="M156" s="110"/>
      <c r="N156" s="120"/>
      <c r="O156" s="86">
        <f>IFERROR(VLOOKUP(A156&amp;G156,Lookup!J:K,2,0),"")</f>
        <v>0</v>
      </c>
      <c r="P156" s="110" t="str">
        <f t="shared" si="23"/>
        <v/>
      </c>
      <c r="R156" s="87" t="str">
        <f t="shared" si="20"/>
        <v/>
      </c>
      <c r="S156" s="87" t="str">
        <f t="shared" si="21"/>
        <v/>
      </c>
      <c r="T156" s="59" t="e">
        <f t="shared" si="24"/>
        <v>#VALUE!</v>
      </c>
      <c r="U156" s="59"/>
      <c r="V156" s="59"/>
      <c r="W156" s="59"/>
      <c r="X156" s="60" t="str">
        <f t="shared" si="22"/>
        <v>D</v>
      </c>
    </row>
    <row r="157" spans="1:24" x14ac:dyDescent="0.25">
      <c r="A157" s="53"/>
      <c r="B157" s="59" t="str">
        <f>IFERROR(VLOOKUP(A157,Lookup!A:B,2,0),"")</f>
        <v/>
      </c>
      <c r="C157" s="59" t="str">
        <f>IFERROR(VLOOKUP(A157,Lookup!A:C,3,0),"")</f>
        <v/>
      </c>
      <c r="D157" s="59"/>
      <c r="E157" s="92"/>
      <c r="F157" s="59"/>
      <c r="G157" s="88"/>
      <c r="H157" s="59"/>
      <c r="I157" s="89"/>
      <c r="J157" s="103">
        <f>VLOOKUP(A157&amp;G157,Lookup!J:N,5,0)</f>
        <v>0</v>
      </c>
      <c r="K157" s="103"/>
      <c r="L157" s="110"/>
      <c r="M157" s="110"/>
      <c r="N157" s="120"/>
      <c r="O157" s="86">
        <f>IFERROR(VLOOKUP(A157&amp;G157,Lookup!J:K,2,0),"")</f>
        <v>0</v>
      </c>
      <c r="P157" s="110" t="str">
        <f t="shared" si="23"/>
        <v/>
      </c>
      <c r="R157" s="87" t="str">
        <f t="shared" si="20"/>
        <v/>
      </c>
      <c r="S157" s="87" t="str">
        <f t="shared" si="21"/>
        <v/>
      </c>
      <c r="T157" s="59" t="e">
        <f t="shared" si="24"/>
        <v>#VALUE!</v>
      </c>
      <c r="U157" s="59"/>
      <c r="V157" s="59"/>
      <c r="W157" s="59"/>
      <c r="X157" s="60" t="str">
        <f t="shared" si="22"/>
        <v>D</v>
      </c>
    </row>
    <row r="158" spans="1:24" x14ac:dyDescent="0.25">
      <c r="A158" s="53"/>
      <c r="B158" s="59" t="str">
        <f>IFERROR(VLOOKUP(A158,Lookup!A:B,2,0),"")</f>
        <v/>
      </c>
      <c r="C158" s="59" t="str">
        <f>IFERROR(VLOOKUP(A158,Lookup!A:C,3,0),"")</f>
        <v/>
      </c>
      <c r="D158" s="59"/>
      <c r="E158" s="92"/>
      <c r="F158" s="59"/>
      <c r="G158" s="88"/>
      <c r="H158" s="59"/>
      <c r="I158" s="89"/>
      <c r="J158" s="103">
        <f>VLOOKUP(A158&amp;G158,Lookup!J:N,5,0)</f>
        <v>0</v>
      </c>
      <c r="K158" s="103"/>
      <c r="L158" s="110"/>
      <c r="M158" s="110"/>
      <c r="N158" s="120"/>
      <c r="O158" s="86">
        <f>IFERROR(VLOOKUP(A158&amp;G158,Lookup!J:K,2,0),"")</f>
        <v>0</v>
      </c>
      <c r="P158" s="110" t="str">
        <f t="shared" si="23"/>
        <v/>
      </c>
      <c r="R158" s="87" t="str">
        <f t="shared" si="20"/>
        <v/>
      </c>
      <c r="S158" s="87" t="str">
        <f t="shared" si="21"/>
        <v/>
      </c>
      <c r="T158" s="59" t="e">
        <f t="shared" si="24"/>
        <v>#VALUE!</v>
      </c>
      <c r="U158" s="59"/>
      <c r="V158" s="59"/>
      <c r="W158" s="59"/>
      <c r="X158" s="60" t="str">
        <f t="shared" si="22"/>
        <v>D</v>
      </c>
    </row>
    <row r="159" spans="1:24" x14ac:dyDescent="0.25">
      <c r="A159" s="53"/>
      <c r="B159" s="59" t="str">
        <f>IFERROR(VLOOKUP(A159,Lookup!A:B,2,0),"")</f>
        <v/>
      </c>
      <c r="C159" s="59" t="str">
        <f>IFERROR(VLOOKUP(A159,Lookup!A:C,3,0),"")</f>
        <v/>
      </c>
      <c r="D159" s="59"/>
      <c r="E159" s="92"/>
      <c r="F159" s="59"/>
      <c r="G159" s="88"/>
      <c r="H159" s="59"/>
      <c r="I159" s="89"/>
      <c r="J159" s="103">
        <f>VLOOKUP(A159&amp;G159,Lookup!J:N,5,0)</f>
        <v>0</v>
      </c>
      <c r="K159" s="103"/>
      <c r="L159" s="110"/>
      <c r="M159" s="110"/>
      <c r="N159" s="120"/>
      <c r="O159" s="86">
        <f>IFERROR(VLOOKUP(A159&amp;G159,Lookup!J:K,2,0),"")</f>
        <v>0</v>
      </c>
      <c r="P159" s="110" t="str">
        <f t="shared" si="23"/>
        <v/>
      </c>
      <c r="R159" s="87" t="str">
        <f t="shared" si="20"/>
        <v/>
      </c>
      <c r="S159" s="87" t="str">
        <f t="shared" si="21"/>
        <v/>
      </c>
      <c r="T159" s="59" t="e">
        <f t="shared" si="24"/>
        <v>#VALUE!</v>
      </c>
      <c r="U159" s="59"/>
      <c r="V159" s="59"/>
      <c r="W159" s="59"/>
      <c r="X159" s="60" t="str">
        <f t="shared" si="22"/>
        <v>D</v>
      </c>
    </row>
    <row r="160" spans="1:24" x14ac:dyDescent="0.25">
      <c r="A160" s="53"/>
      <c r="B160" s="59" t="str">
        <f>IFERROR(VLOOKUP(A160,Lookup!A:B,2,0),"")</f>
        <v/>
      </c>
      <c r="C160" s="59" t="str">
        <f>IFERROR(VLOOKUP(A160,Lookup!A:C,3,0),"")</f>
        <v/>
      </c>
      <c r="D160" s="59"/>
      <c r="E160" s="92"/>
      <c r="F160" s="59"/>
      <c r="G160" s="88"/>
      <c r="H160" s="59"/>
      <c r="I160" s="89"/>
      <c r="J160" s="103">
        <f>VLOOKUP(A160&amp;G160,Lookup!J:N,5,0)</f>
        <v>0</v>
      </c>
      <c r="K160" s="103"/>
      <c r="L160" s="110"/>
      <c r="M160" s="110"/>
      <c r="N160" s="120"/>
      <c r="O160" s="86">
        <f>IFERROR(VLOOKUP(A160&amp;G160,Lookup!J:K,2,0),"")</f>
        <v>0</v>
      </c>
      <c r="P160" s="110" t="str">
        <f t="shared" si="23"/>
        <v/>
      </c>
      <c r="R160" s="87" t="str">
        <f t="shared" si="20"/>
        <v/>
      </c>
      <c r="S160" s="87" t="str">
        <f t="shared" si="21"/>
        <v/>
      </c>
      <c r="T160" s="59" t="e">
        <f t="shared" si="24"/>
        <v>#VALUE!</v>
      </c>
      <c r="U160" s="59"/>
      <c r="V160" s="59"/>
      <c r="W160" s="59"/>
      <c r="X160" s="60" t="str">
        <f t="shared" si="22"/>
        <v>D</v>
      </c>
    </row>
    <row r="161" spans="1:24" x14ac:dyDescent="0.25">
      <c r="A161" s="53"/>
      <c r="B161" s="59" t="str">
        <f>IFERROR(VLOOKUP(A161,Lookup!A:B,2,0),"")</f>
        <v/>
      </c>
      <c r="C161" s="59" t="str">
        <f>IFERROR(VLOOKUP(A161,Lookup!A:C,3,0),"")</f>
        <v/>
      </c>
      <c r="D161" s="59"/>
      <c r="E161" s="92"/>
      <c r="F161" s="59"/>
      <c r="G161" s="88"/>
      <c r="H161" s="59"/>
      <c r="I161" s="89"/>
      <c r="J161" s="103">
        <f>VLOOKUP(A161&amp;G161,Lookup!J:N,5,0)</f>
        <v>0</v>
      </c>
      <c r="K161" s="103"/>
      <c r="L161" s="110"/>
      <c r="M161" s="110"/>
      <c r="N161" s="120"/>
      <c r="O161" s="86">
        <f>IFERROR(VLOOKUP(A161&amp;G161,Lookup!J:K,2,0),"")</f>
        <v>0</v>
      </c>
      <c r="P161" s="110" t="str">
        <f t="shared" si="23"/>
        <v/>
      </c>
      <c r="R161" s="87" t="str">
        <f t="shared" si="20"/>
        <v/>
      </c>
      <c r="S161" s="87" t="str">
        <f t="shared" si="21"/>
        <v/>
      </c>
      <c r="T161" s="59" t="e">
        <f t="shared" si="24"/>
        <v>#VALUE!</v>
      </c>
      <c r="U161" s="59"/>
      <c r="V161" s="59"/>
      <c r="W161" s="59"/>
      <c r="X161" s="60" t="str">
        <f t="shared" si="22"/>
        <v>D</v>
      </c>
    </row>
    <row r="162" spans="1:24" x14ac:dyDescent="0.25">
      <c r="A162" s="53"/>
      <c r="B162" s="59" t="str">
        <f>IFERROR(VLOOKUP(A162,Lookup!A:B,2,0),"")</f>
        <v/>
      </c>
      <c r="C162" s="59" t="str">
        <f>IFERROR(VLOOKUP(A162,Lookup!A:C,3,0),"")</f>
        <v/>
      </c>
      <c r="D162" s="59"/>
      <c r="E162" s="92"/>
      <c r="F162" s="59"/>
      <c r="G162" s="88"/>
      <c r="H162" s="59"/>
      <c r="I162" s="89"/>
      <c r="J162" s="103">
        <f>VLOOKUP(A162&amp;G162,Lookup!J:N,5,0)</f>
        <v>0</v>
      </c>
      <c r="K162" s="103"/>
      <c r="L162" s="110"/>
      <c r="M162" s="110"/>
      <c r="N162" s="120"/>
      <c r="O162" s="86">
        <f>IFERROR(VLOOKUP(A162&amp;G162,Lookup!J:K,2,0),"")</f>
        <v>0</v>
      </c>
      <c r="P162" s="110" t="str">
        <f t="shared" si="23"/>
        <v/>
      </c>
      <c r="R162" s="87" t="str">
        <f t="shared" si="20"/>
        <v/>
      </c>
      <c r="S162" s="87" t="str">
        <f t="shared" si="21"/>
        <v/>
      </c>
      <c r="T162" s="59" t="e">
        <f t="shared" si="24"/>
        <v>#VALUE!</v>
      </c>
      <c r="U162" s="59"/>
      <c r="V162" s="59"/>
      <c r="W162" s="59"/>
      <c r="X162" s="60" t="str">
        <f t="shared" si="22"/>
        <v>D</v>
      </c>
    </row>
    <row r="163" spans="1:24" x14ac:dyDescent="0.25">
      <c r="A163" s="53"/>
      <c r="B163" s="59" t="str">
        <f>IFERROR(VLOOKUP(A163,Lookup!A:B,2,0),"")</f>
        <v/>
      </c>
      <c r="C163" s="59" t="str">
        <f>IFERROR(VLOOKUP(A163,Lookup!A:C,3,0),"")</f>
        <v/>
      </c>
      <c r="D163" s="59"/>
      <c r="E163" s="92"/>
      <c r="F163" s="59"/>
      <c r="G163" s="88"/>
      <c r="H163" s="59"/>
      <c r="I163" s="89"/>
      <c r="J163" s="103">
        <f>VLOOKUP(A163&amp;G163,Lookup!J:N,5,0)</f>
        <v>0</v>
      </c>
      <c r="K163" s="103"/>
      <c r="L163" s="110"/>
      <c r="M163" s="110"/>
      <c r="N163" s="120"/>
      <c r="O163" s="86">
        <f>IFERROR(VLOOKUP(A163&amp;G163,Lookup!J:K,2,0),"")</f>
        <v>0</v>
      </c>
      <c r="P163" s="110" t="str">
        <f t="shared" si="23"/>
        <v/>
      </c>
      <c r="R163" s="87" t="str">
        <f t="shared" si="20"/>
        <v/>
      </c>
      <c r="S163" s="87" t="str">
        <f t="shared" si="21"/>
        <v/>
      </c>
      <c r="T163" s="59" t="e">
        <f t="shared" si="24"/>
        <v>#VALUE!</v>
      </c>
      <c r="U163" s="59"/>
      <c r="V163" s="59"/>
      <c r="W163" s="59"/>
      <c r="X163" s="60" t="str">
        <f t="shared" si="22"/>
        <v>D</v>
      </c>
    </row>
    <row r="164" spans="1:24" x14ac:dyDescent="0.25">
      <c r="A164" s="53"/>
      <c r="B164" s="59" t="str">
        <f>IFERROR(VLOOKUP(A164,Lookup!A:B,2,0),"")</f>
        <v/>
      </c>
      <c r="C164" s="59" t="str">
        <f>IFERROR(VLOOKUP(A164,Lookup!A:C,3,0),"")</f>
        <v/>
      </c>
      <c r="D164" s="59"/>
      <c r="E164" s="92"/>
      <c r="F164" s="59"/>
      <c r="G164" s="88"/>
      <c r="H164" s="59"/>
      <c r="I164" s="89"/>
      <c r="J164" s="103">
        <f>VLOOKUP(A164&amp;G164,Lookup!J:N,5,0)</f>
        <v>0</v>
      </c>
      <c r="K164" s="103"/>
      <c r="L164" s="110"/>
      <c r="M164" s="110"/>
      <c r="N164" s="120"/>
      <c r="O164" s="86">
        <f>IFERROR(VLOOKUP(A164&amp;G164,Lookup!J:K,2,0),"")</f>
        <v>0</v>
      </c>
      <c r="P164" s="110" t="str">
        <f t="shared" si="23"/>
        <v/>
      </c>
      <c r="R164" s="87" t="str">
        <f t="shared" si="20"/>
        <v/>
      </c>
      <c r="S164" s="87" t="str">
        <f t="shared" si="21"/>
        <v/>
      </c>
      <c r="T164" s="59" t="e">
        <f t="shared" si="24"/>
        <v>#VALUE!</v>
      </c>
      <c r="U164" s="59"/>
      <c r="V164" s="59"/>
      <c r="W164" s="59"/>
      <c r="X164" s="60" t="str">
        <f t="shared" si="22"/>
        <v>D</v>
      </c>
    </row>
    <row r="165" spans="1:24" x14ac:dyDescent="0.25">
      <c r="A165" s="53"/>
      <c r="B165" s="59" t="str">
        <f>IFERROR(VLOOKUP(A165,Lookup!A:B,2,0),"")</f>
        <v/>
      </c>
      <c r="C165" s="59" t="str">
        <f>IFERROR(VLOOKUP(A165,Lookup!A:C,3,0),"")</f>
        <v/>
      </c>
      <c r="D165" s="59"/>
      <c r="E165" s="92"/>
      <c r="F165" s="59"/>
      <c r="G165" s="88"/>
      <c r="H165" s="59"/>
      <c r="I165" s="89"/>
      <c r="J165" s="103">
        <f>VLOOKUP(A165&amp;G165,Lookup!J:N,5,0)</f>
        <v>0</v>
      </c>
      <c r="K165" s="103"/>
      <c r="L165" s="110"/>
      <c r="M165" s="110"/>
      <c r="N165" s="120"/>
      <c r="O165" s="86">
        <f>IFERROR(VLOOKUP(A165&amp;G165,Lookup!J:K,2,0),"")</f>
        <v>0</v>
      </c>
      <c r="P165" s="110" t="str">
        <f t="shared" si="23"/>
        <v/>
      </c>
      <c r="R165" s="87" t="str">
        <f t="shared" si="20"/>
        <v/>
      </c>
      <c r="S165" s="87" t="str">
        <f t="shared" si="21"/>
        <v/>
      </c>
      <c r="T165" s="59" t="e">
        <f t="shared" si="24"/>
        <v>#VALUE!</v>
      </c>
      <c r="U165" s="59"/>
      <c r="V165" s="59"/>
      <c r="W165" s="59"/>
      <c r="X165" s="60" t="str">
        <f t="shared" si="22"/>
        <v>D</v>
      </c>
    </row>
    <row r="166" spans="1:24" x14ac:dyDescent="0.25">
      <c r="A166" s="53"/>
      <c r="B166" s="59" t="str">
        <f>IFERROR(VLOOKUP(A166,Lookup!A:B,2,0),"")</f>
        <v/>
      </c>
      <c r="C166" s="59" t="str">
        <f>IFERROR(VLOOKUP(A166,Lookup!A:C,3,0),"")</f>
        <v/>
      </c>
      <c r="D166" s="59"/>
      <c r="E166" s="92"/>
      <c r="F166" s="59"/>
      <c r="G166" s="88"/>
      <c r="H166" s="59"/>
      <c r="I166" s="89"/>
      <c r="J166" s="103">
        <f>VLOOKUP(A166&amp;G166,Lookup!J:N,5,0)</f>
        <v>0</v>
      </c>
      <c r="K166" s="103"/>
      <c r="L166" s="110"/>
      <c r="M166" s="110"/>
      <c r="N166" s="120"/>
      <c r="O166" s="86">
        <f>IFERROR(VLOOKUP(A166&amp;G166,Lookup!J:K,2,0),"")</f>
        <v>0</v>
      </c>
      <c r="P166" s="110" t="str">
        <f t="shared" si="23"/>
        <v/>
      </c>
      <c r="R166" s="87" t="str">
        <f t="shared" si="20"/>
        <v/>
      </c>
      <c r="S166" s="87" t="str">
        <f t="shared" si="21"/>
        <v/>
      </c>
      <c r="T166" s="59" t="e">
        <f t="shared" si="24"/>
        <v>#VALUE!</v>
      </c>
      <c r="U166" s="59"/>
      <c r="V166" s="59"/>
      <c r="W166" s="59"/>
      <c r="X166" s="60" t="str">
        <f t="shared" si="22"/>
        <v>D</v>
      </c>
    </row>
    <row r="167" spans="1:24" x14ac:dyDescent="0.25">
      <c r="A167" s="53"/>
      <c r="B167" s="59" t="str">
        <f>IFERROR(VLOOKUP(A167,Lookup!A:B,2,0),"")</f>
        <v/>
      </c>
      <c r="C167" s="59" t="str">
        <f>IFERROR(VLOOKUP(A167,Lookup!A:C,3,0),"")</f>
        <v/>
      </c>
      <c r="D167" s="59"/>
      <c r="E167" s="92"/>
      <c r="F167" s="59"/>
      <c r="G167" s="88"/>
      <c r="H167" s="59"/>
      <c r="I167" s="89"/>
      <c r="J167" s="103">
        <f>VLOOKUP(A167&amp;G167,Lookup!J:N,5,0)</f>
        <v>0</v>
      </c>
      <c r="K167" s="103"/>
      <c r="L167" s="110"/>
      <c r="M167" s="110"/>
      <c r="N167" s="120"/>
      <c r="O167" s="86">
        <f>IFERROR(VLOOKUP(A167&amp;G167,Lookup!J:K,2,0),"")</f>
        <v>0</v>
      </c>
      <c r="P167" s="110" t="str">
        <f t="shared" si="23"/>
        <v/>
      </c>
      <c r="R167" s="87" t="str">
        <f t="shared" si="20"/>
        <v/>
      </c>
      <c r="S167" s="87" t="str">
        <f t="shared" si="21"/>
        <v/>
      </c>
      <c r="T167" s="59" t="e">
        <f t="shared" si="24"/>
        <v>#VALUE!</v>
      </c>
      <c r="U167" s="59"/>
      <c r="V167" s="59"/>
      <c r="W167" s="59"/>
      <c r="X167" s="60" t="str">
        <f t="shared" si="22"/>
        <v>D</v>
      </c>
    </row>
    <row r="168" spans="1:24" x14ac:dyDescent="0.25">
      <c r="A168" s="53"/>
      <c r="B168" s="59" t="str">
        <f>IFERROR(VLOOKUP(A168,Lookup!A:B,2,0),"")</f>
        <v/>
      </c>
      <c r="C168" s="59" t="str">
        <f>IFERROR(VLOOKUP(A168,Lookup!A:C,3,0),"")</f>
        <v/>
      </c>
      <c r="D168" s="59"/>
      <c r="E168" s="92"/>
      <c r="F168" s="59"/>
      <c r="G168" s="88"/>
      <c r="H168" s="59"/>
      <c r="I168" s="89"/>
      <c r="J168" s="103">
        <f>VLOOKUP(A168&amp;G168,Lookup!J:N,5,0)</f>
        <v>0</v>
      </c>
      <c r="K168" s="103"/>
      <c r="L168" s="110"/>
      <c r="M168" s="110"/>
      <c r="N168" s="120"/>
      <c r="O168" s="86">
        <f>IFERROR(VLOOKUP(A168&amp;G168,Lookup!J:K,2,0),"")</f>
        <v>0</v>
      </c>
      <c r="P168" s="110" t="str">
        <f t="shared" si="23"/>
        <v/>
      </c>
      <c r="R168" s="87" t="str">
        <f t="shared" si="20"/>
        <v/>
      </c>
      <c r="S168" s="87" t="str">
        <f t="shared" si="21"/>
        <v/>
      </c>
      <c r="T168" s="59" t="e">
        <f t="shared" si="24"/>
        <v>#VALUE!</v>
      </c>
      <c r="U168" s="59"/>
      <c r="V168" s="59"/>
      <c r="W168" s="59"/>
      <c r="X168" s="60" t="str">
        <f t="shared" si="22"/>
        <v>D</v>
      </c>
    </row>
    <row r="169" spans="1:24" x14ac:dyDescent="0.25">
      <c r="A169" s="53"/>
      <c r="B169" s="59" t="str">
        <f>IFERROR(VLOOKUP(A169,Lookup!A:B,2,0),"")</f>
        <v/>
      </c>
      <c r="C169" s="59" t="str">
        <f>IFERROR(VLOOKUP(A169,Lookup!A:C,3,0),"")</f>
        <v/>
      </c>
      <c r="D169" s="59"/>
      <c r="E169" s="92"/>
      <c r="F169" s="59"/>
      <c r="G169" s="88"/>
      <c r="H169" s="59"/>
      <c r="I169" s="89"/>
      <c r="J169" s="103">
        <f>VLOOKUP(A169&amp;G169,Lookup!J:N,5,0)</f>
        <v>0</v>
      </c>
      <c r="K169" s="103"/>
      <c r="L169" s="110"/>
      <c r="M169" s="110"/>
      <c r="N169" s="120"/>
      <c r="O169" s="86">
        <f>IFERROR(VLOOKUP(A169&amp;G169,Lookup!J:K,2,0),"")</f>
        <v>0</v>
      </c>
      <c r="P169" s="110" t="str">
        <f t="shared" si="23"/>
        <v/>
      </c>
      <c r="R169" s="87" t="str">
        <f t="shared" si="20"/>
        <v/>
      </c>
      <c r="S169" s="87" t="str">
        <f t="shared" si="21"/>
        <v/>
      </c>
      <c r="T169" s="59" t="e">
        <f t="shared" si="24"/>
        <v>#VALUE!</v>
      </c>
      <c r="U169" s="59"/>
      <c r="V169" s="59"/>
      <c r="W169" s="59"/>
      <c r="X169" s="60" t="str">
        <f t="shared" si="22"/>
        <v>D</v>
      </c>
    </row>
    <row r="170" spans="1:24" x14ac:dyDescent="0.25">
      <c r="A170" s="53"/>
      <c r="B170" s="59" t="str">
        <f>IFERROR(VLOOKUP(A170,Lookup!A:B,2,0),"")</f>
        <v/>
      </c>
      <c r="C170" s="59" t="str">
        <f>IFERROR(VLOOKUP(A170,Lookup!A:C,3,0),"")</f>
        <v/>
      </c>
      <c r="D170" s="59"/>
      <c r="E170" s="92"/>
      <c r="F170" s="59"/>
      <c r="G170" s="88"/>
      <c r="H170" s="59"/>
      <c r="I170" s="89"/>
      <c r="J170" s="103">
        <f>VLOOKUP(A170&amp;G170,Lookup!J:N,5,0)</f>
        <v>0</v>
      </c>
      <c r="K170" s="103"/>
      <c r="L170" s="110"/>
      <c r="M170" s="110"/>
      <c r="N170" s="120"/>
      <c r="O170" s="86">
        <f>IFERROR(VLOOKUP(A170&amp;G170,Lookup!J:K,2,0),"")</f>
        <v>0</v>
      </c>
      <c r="P170" s="110" t="str">
        <f t="shared" si="23"/>
        <v/>
      </c>
      <c r="R170" s="87" t="str">
        <f t="shared" ref="R170:R233" si="25">IF(OR(EXACT(N170,""), EXACT(L170,"")),"",N170-L170)</f>
        <v/>
      </c>
      <c r="S170" s="87" t="str">
        <f t="shared" ref="S170:S233" si="26">IF(OR(EXACT(Q170,""), EXACT(L170,"")),"",Q170-L170)</f>
        <v/>
      </c>
      <c r="T170" s="59" t="e">
        <f t="shared" si="24"/>
        <v>#VALUE!</v>
      </c>
      <c r="U170" s="59"/>
      <c r="V170" s="59"/>
      <c r="W170" s="59"/>
      <c r="X170" s="60" t="str">
        <f t="shared" si="22"/>
        <v>D</v>
      </c>
    </row>
    <row r="171" spans="1:24" x14ac:dyDescent="0.25">
      <c r="A171" s="53"/>
      <c r="B171" s="59" t="str">
        <f>IFERROR(VLOOKUP(A171,Lookup!A:B,2,0),"")</f>
        <v/>
      </c>
      <c r="C171" s="59" t="str">
        <f>IFERROR(VLOOKUP(A171,Lookup!A:C,3,0),"")</f>
        <v/>
      </c>
      <c r="D171" s="59"/>
      <c r="E171" s="92"/>
      <c r="F171" s="59"/>
      <c r="G171" s="88"/>
      <c r="H171" s="59"/>
      <c r="I171" s="89"/>
      <c r="J171" s="103">
        <f>VLOOKUP(A171&amp;G171,Lookup!J:N,5,0)</f>
        <v>0</v>
      </c>
      <c r="K171" s="103"/>
      <c r="L171" s="110"/>
      <c r="M171" s="110"/>
      <c r="N171" s="120"/>
      <c r="O171" s="86">
        <f>IFERROR(VLOOKUP(A171&amp;G171,Lookup!J:K,2,0),"")</f>
        <v>0</v>
      </c>
      <c r="P171" s="110" t="str">
        <f t="shared" si="23"/>
        <v/>
      </c>
      <c r="R171" s="87" t="str">
        <f t="shared" si="25"/>
        <v/>
      </c>
      <c r="S171" s="87" t="str">
        <f t="shared" si="26"/>
        <v/>
      </c>
      <c r="T171" s="59" t="e">
        <f t="shared" si="24"/>
        <v>#VALUE!</v>
      </c>
      <c r="U171" s="59"/>
      <c r="V171" s="59"/>
      <c r="W171" s="59"/>
      <c r="X171" s="60" t="str">
        <f t="shared" si="22"/>
        <v>D</v>
      </c>
    </row>
    <row r="172" spans="1:24" x14ac:dyDescent="0.25">
      <c r="A172" s="53"/>
      <c r="B172" s="59" t="str">
        <f>IFERROR(VLOOKUP(A172,Lookup!A:B,2,0),"")</f>
        <v/>
      </c>
      <c r="C172" s="59" t="str">
        <f>IFERROR(VLOOKUP(A172,Lookup!A:C,3,0),"")</f>
        <v/>
      </c>
      <c r="D172" s="59"/>
      <c r="E172" s="92"/>
      <c r="F172" s="59"/>
      <c r="G172" s="88"/>
      <c r="H172" s="59"/>
      <c r="I172" s="89"/>
      <c r="J172" s="103">
        <f>VLOOKUP(A172&amp;G172,Lookup!J:N,5,0)</f>
        <v>0</v>
      </c>
      <c r="K172" s="103"/>
      <c r="L172" s="110"/>
      <c r="M172" s="110"/>
      <c r="N172" s="120"/>
      <c r="O172" s="86">
        <f>IFERROR(VLOOKUP(A172&amp;G172,Lookup!J:K,2,0),"")</f>
        <v>0</v>
      </c>
      <c r="P172" s="110" t="str">
        <f t="shared" si="23"/>
        <v/>
      </c>
      <c r="R172" s="87" t="str">
        <f t="shared" si="25"/>
        <v/>
      </c>
      <c r="S172" s="87" t="str">
        <f t="shared" si="26"/>
        <v/>
      </c>
      <c r="T172" s="59" t="e">
        <f t="shared" si="24"/>
        <v>#VALUE!</v>
      </c>
      <c r="U172" s="59"/>
      <c r="V172" s="59"/>
      <c r="W172" s="59"/>
      <c r="X172" s="60" t="str">
        <f t="shared" si="22"/>
        <v>D</v>
      </c>
    </row>
    <row r="173" spans="1:24" x14ac:dyDescent="0.25">
      <c r="A173" s="53"/>
      <c r="B173" s="59" t="str">
        <f>IFERROR(VLOOKUP(A173,Lookup!A:B,2,0),"")</f>
        <v/>
      </c>
      <c r="C173" s="59" t="str">
        <f>IFERROR(VLOOKUP(A173,Lookup!A:C,3,0),"")</f>
        <v/>
      </c>
      <c r="D173" s="59"/>
      <c r="E173" s="92"/>
      <c r="F173" s="59"/>
      <c r="G173" s="88"/>
      <c r="H173" s="59"/>
      <c r="I173" s="89"/>
      <c r="J173" s="103">
        <f>VLOOKUP(A173&amp;G173,Lookup!J:N,5,0)</f>
        <v>0</v>
      </c>
      <c r="K173" s="103"/>
      <c r="L173" s="110"/>
      <c r="M173" s="110"/>
      <c r="N173" s="120"/>
      <c r="O173" s="86">
        <f>IFERROR(VLOOKUP(A173&amp;G173,Lookup!J:K,2,0),"")</f>
        <v>0</v>
      </c>
      <c r="P173" s="110" t="str">
        <f t="shared" si="23"/>
        <v/>
      </c>
      <c r="R173" s="87" t="str">
        <f t="shared" si="25"/>
        <v/>
      </c>
      <c r="S173" s="87" t="str">
        <f t="shared" si="26"/>
        <v/>
      </c>
      <c r="T173" s="59" t="e">
        <f t="shared" si="24"/>
        <v>#VALUE!</v>
      </c>
      <c r="U173" s="59"/>
      <c r="V173" s="59"/>
      <c r="W173" s="59"/>
      <c r="X173" s="60" t="str">
        <f t="shared" si="22"/>
        <v>D</v>
      </c>
    </row>
    <row r="174" spans="1:24" x14ac:dyDescent="0.25">
      <c r="A174" s="53"/>
      <c r="B174" s="59" t="str">
        <f>IFERROR(VLOOKUP(A174,Lookup!A:B,2,0),"")</f>
        <v/>
      </c>
      <c r="C174" s="59" t="str">
        <f>IFERROR(VLOOKUP(A174,Lookup!A:C,3,0),"")</f>
        <v/>
      </c>
      <c r="D174" s="59"/>
      <c r="E174" s="92"/>
      <c r="F174" s="59"/>
      <c r="G174" s="88"/>
      <c r="H174" s="59"/>
      <c r="I174" s="89"/>
      <c r="J174" s="103">
        <f>VLOOKUP(A174&amp;G174,Lookup!J:N,5,0)</f>
        <v>0</v>
      </c>
      <c r="K174" s="103"/>
      <c r="L174" s="110"/>
      <c r="M174" s="110"/>
      <c r="N174" s="120"/>
      <c r="O174" s="86">
        <f>IFERROR(VLOOKUP(A174&amp;G174,Lookup!J:K,2,0),"")</f>
        <v>0</v>
      </c>
      <c r="P174" s="110" t="str">
        <f t="shared" si="23"/>
        <v/>
      </c>
      <c r="R174" s="87" t="str">
        <f t="shared" si="25"/>
        <v/>
      </c>
      <c r="S174" s="87" t="str">
        <f t="shared" si="26"/>
        <v/>
      </c>
      <c r="T174" s="59" t="e">
        <f t="shared" si="24"/>
        <v>#VALUE!</v>
      </c>
      <c r="U174" s="59"/>
      <c r="V174" s="59"/>
      <c r="W174" s="59"/>
      <c r="X174" s="60" t="str">
        <f t="shared" ref="X174:X237" si="27">IF(I174="SET","A",IF(I174="FREQ","C",IF(I174="","D","B")))</f>
        <v>D</v>
      </c>
    </row>
    <row r="175" spans="1:24" x14ac:dyDescent="0.25">
      <c r="A175" s="53"/>
      <c r="B175" s="59" t="str">
        <f>IFERROR(VLOOKUP(A175,Lookup!A:B,2,0),"")</f>
        <v/>
      </c>
      <c r="C175" s="59" t="str">
        <f>IFERROR(VLOOKUP(A175,Lookup!A:C,3,0),"")</f>
        <v/>
      </c>
      <c r="D175" s="59"/>
      <c r="E175" s="92"/>
      <c r="F175" s="59"/>
      <c r="G175" s="88"/>
      <c r="H175" s="59"/>
      <c r="I175" s="89"/>
      <c r="J175" s="103">
        <f>VLOOKUP(A175&amp;G175,Lookup!J:N,5,0)</f>
        <v>0</v>
      </c>
      <c r="K175" s="103"/>
      <c r="L175" s="110"/>
      <c r="M175" s="110"/>
      <c r="N175" s="120"/>
      <c r="O175" s="86">
        <f>IFERROR(VLOOKUP(A175&amp;G175,Lookup!J:K,2,0),"")</f>
        <v>0</v>
      </c>
      <c r="P175" s="110" t="str">
        <f t="shared" si="23"/>
        <v/>
      </c>
      <c r="R175" s="87" t="str">
        <f t="shared" si="25"/>
        <v/>
      </c>
      <c r="S175" s="87" t="str">
        <f t="shared" si="26"/>
        <v/>
      </c>
      <c r="T175" s="59" t="e">
        <f t="shared" si="24"/>
        <v>#VALUE!</v>
      </c>
      <c r="U175" s="59"/>
      <c r="V175" s="59"/>
      <c r="W175" s="59"/>
      <c r="X175" s="60" t="str">
        <f t="shared" si="27"/>
        <v>D</v>
      </c>
    </row>
    <row r="176" spans="1:24" x14ac:dyDescent="0.25">
      <c r="A176" s="53"/>
      <c r="B176" s="59" t="str">
        <f>IFERROR(VLOOKUP(A176,Lookup!A:B,2,0),"")</f>
        <v/>
      </c>
      <c r="C176" s="59" t="str">
        <f>IFERROR(VLOOKUP(A176,Lookup!A:C,3,0),"")</f>
        <v/>
      </c>
      <c r="D176" s="59"/>
      <c r="E176" s="92"/>
      <c r="F176" s="59"/>
      <c r="G176" s="88"/>
      <c r="H176" s="59"/>
      <c r="I176" s="89"/>
      <c r="J176" s="103">
        <f>VLOOKUP(A176&amp;G176,Lookup!J:N,5,0)</f>
        <v>0</v>
      </c>
      <c r="K176" s="103"/>
      <c r="L176" s="110"/>
      <c r="M176" s="110"/>
      <c r="N176" s="120"/>
      <c r="O176" s="86">
        <f>IFERROR(VLOOKUP(A176&amp;G176,Lookup!J:K,2,0),"")</f>
        <v>0</v>
      </c>
      <c r="P176" s="110" t="str">
        <f t="shared" si="23"/>
        <v/>
      </c>
      <c r="R176" s="87" t="str">
        <f t="shared" si="25"/>
        <v/>
      </c>
      <c r="S176" s="87" t="str">
        <f t="shared" si="26"/>
        <v/>
      </c>
      <c r="T176" s="59" t="e">
        <f t="shared" si="24"/>
        <v>#VALUE!</v>
      </c>
      <c r="U176" s="59"/>
      <c r="V176" s="59"/>
      <c r="W176" s="59"/>
      <c r="X176" s="60" t="str">
        <f t="shared" si="27"/>
        <v>D</v>
      </c>
    </row>
    <row r="177" spans="1:24" x14ac:dyDescent="0.25">
      <c r="A177" s="53"/>
      <c r="B177" s="59" t="str">
        <f>IFERROR(VLOOKUP(A177,Lookup!A:B,2,0),"")</f>
        <v/>
      </c>
      <c r="C177" s="59" t="str">
        <f>IFERROR(VLOOKUP(A177,Lookup!A:C,3,0),"")</f>
        <v/>
      </c>
      <c r="D177" s="59"/>
      <c r="E177" s="92"/>
      <c r="F177" s="59"/>
      <c r="G177" s="88"/>
      <c r="H177" s="59"/>
      <c r="I177" s="89"/>
      <c r="J177" s="103">
        <f>VLOOKUP(A177&amp;G177,Lookup!J:N,5,0)</f>
        <v>0</v>
      </c>
      <c r="K177" s="103"/>
      <c r="L177" s="110"/>
      <c r="M177" s="110"/>
      <c r="N177" s="120"/>
      <c r="O177" s="86">
        <f>IFERROR(VLOOKUP(A177&amp;G177,Lookup!J:K,2,0),"")</f>
        <v>0</v>
      </c>
      <c r="P177" s="110" t="str">
        <f t="shared" si="23"/>
        <v/>
      </c>
      <c r="R177" s="87" t="str">
        <f t="shared" si="25"/>
        <v/>
      </c>
      <c r="S177" s="87" t="str">
        <f t="shared" si="26"/>
        <v/>
      </c>
      <c r="T177" s="59" t="e">
        <f t="shared" si="24"/>
        <v>#VALUE!</v>
      </c>
      <c r="U177" s="59"/>
      <c r="V177" s="59"/>
      <c r="W177" s="59"/>
      <c r="X177" s="60" t="str">
        <f t="shared" si="27"/>
        <v>D</v>
      </c>
    </row>
    <row r="178" spans="1:24" x14ac:dyDescent="0.25">
      <c r="A178" s="53"/>
      <c r="B178" s="59" t="str">
        <f>IFERROR(VLOOKUP(A178,Lookup!A:B,2,0),"")</f>
        <v/>
      </c>
      <c r="C178" s="59" t="str">
        <f>IFERROR(VLOOKUP(A178,Lookup!A:C,3,0),"")</f>
        <v/>
      </c>
      <c r="D178" s="59"/>
      <c r="E178" s="92"/>
      <c r="F178" s="59"/>
      <c r="G178" s="88"/>
      <c r="H178" s="59"/>
      <c r="I178" s="89"/>
      <c r="J178" s="103">
        <f>VLOOKUP(A178&amp;G178,Lookup!J:N,5,0)</f>
        <v>0</v>
      </c>
      <c r="K178" s="103"/>
      <c r="L178" s="110"/>
      <c r="M178" s="110"/>
      <c r="N178" s="120"/>
      <c r="O178" s="86">
        <f>IFERROR(VLOOKUP(A178&amp;G178,Lookup!J:K,2,0),"")</f>
        <v>0</v>
      </c>
      <c r="P178" s="110" t="str">
        <f t="shared" si="23"/>
        <v/>
      </c>
      <c r="R178" s="87" t="str">
        <f t="shared" si="25"/>
        <v/>
      </c>
      <c r="S178" s="87" t="str">
        <f t="shared" si="26"/>
        <v/>
      </c>
      <c r="T178" s="59" t="e">
        <f t="shared" si="24"/>
        <v>#VALUE!</v>
      </c>
      <c r="U178" s="59"/>
      <c r="V178" s="59"/>
      <c r="W178" s="59"/>
      <c r="X178" s="60" t="str">
        <f t="shared" si="27"/>
        <v>D</v>
      </c>
    </row>
    <row r="179" spans="1:24" x14ac:dyDescent="0.25">
      <c r="A179" s="53"/>
      <c r="B179" s="59" t="str">
        <f>IFERROR(VLOOKUP(A179,Lookup!A:B,2,0),"")</f>
        <v/>
      </c>
      <c r="C179" s="59" t="str">
        <f>IFERROR(VLOOKUP(A179,Lookup!A:C,3,0),"")</f>
        <v/>
      </c>
      <c r="D179" s="59"/>
      <c r="E179" s="92"/>
      <c r="F179" s="59"/>
      <c r="G179" s="88"/>
      <c r="H179" s="59"/>
      <c r="I179" s="89"/>
      <c r="J179" s="103">
        <f>VLOOKUP(A179&amp;G179,Lookup!J:N,5,0)</f>
        <v>0</v>
      </c>
      <c r="K179" s="103"/>
      <c r="L179" s="110"/>
      <c r="M179" s="110"/>
      <c r="N179" s="120"/>
      <c r="O179" s="86">
        <f>IFERROR(VLOOKUP(A179&amp;G179,Lookup!J:K,2,0),"")</f>
        <v>0</v>
      </c>
      <c r="P179" s="110" t="str">
        <f t="shared" si="23"/>
        <v/>
      </c>
      <c r="R179" s="87" t="str">
        <f t="shared" si="25"/>
        <v/>
      </c>
      <c r="S179" s="87" t="str">
        <f t="shared" si="26"/>
        <v/>
      </c>
      <c r="T179" s="59" t="e">
        <f t="shared" si="24"/>
        <v>#VALUE!</v>
      </c>
      <c r="U179" s="59"/>
      <c r="V179" s="59"/>
      <c r="W179" s="59"/>
      <c r="X179" s="60" t="str">
        <f t="shared" si="27"/>
        <v>D</v>
      </c>
    </row>
    <row r="180" spans="1:24" x14ac:dyDescent="0.25">
      <c r="A180" s="53"/>
      <c r="B180" s="59" t="str">
        <f>IFERROR(VLOOKUP(A180,Lookup!A:B,2,0),"")</f>
        <v/>
      </c>
      <c r="C180" s="59" t="str">
        <f>IFERROR(VLOOKUP(A180,Lookup!A:C,3,0),"")</f>
        <v/>
      </c>
      <c r="D180" s="59"/>
      <c r="E180" s="92"/>
      <c r="F180" s="59"/>
      <c r="G180" s="88"/>
      <c r="H180" s="59"/>
      <c r="I180" s="89"/>
      <c r="J180" s="103">
        <f>VLOOKUP(A180&amp;G180,Lookup!J:N,5,0)</f>
        <v>0</v>
      </c>
      <c r="K180" s="103"/>
      <c r="L180" s="110"/>
      <c r="M180" s="110"/>
      <c r="N180" s="120"/>
      <c r="O180" s="86">
        <f>IFERROR(VLOOKUP(A180&amp;G180,Lookup!J:K,2,0),"")</f>
        <v>0</v>
      </c>
      <c r="P180" s="110" t="str">
        <f t="shared" si="23"/>
        <v/>
      </c>
      <c r="R180" s="87" t="str">
        <f t="shared" si="25"/>
        <v/>
      </c>
      <c r="S180" s="87" t="str">
        <f t="shared" si="26"/>
        <v/>
      </c>
      <c r="T180" s="59" t="e">
        <f t="shared" si="24"/>
        <v>#VALUE!</v>
      </c>
      <c r="U180" s="59"/>
      <c r="V180" s="59"/>
      <c r="W180" s="59"/>
      <c r="X180" s="60" t="str">
        <f t="shared" si="27"/>
        <v>D</v>
      </c>
    </row>
    <row r="181" spans="1:24" x14ac:dyDescent="0.25">
      <c r="A181" s="53"/>
      <c r="B181" s="59" t="str">
        <f>IFERROR(VLOOKUP(A181,Lookup!A:B,2,0),"")</f>
        <v/>
      </c>
      <c r="C181" s="59" t="str">
        <f>IFERROR(VLOOKUP(A181,Lookup!A:C,3,0),"")</f>
        <v/>
      </c>
      <c r="D181" s="59"/>
      <c r="E181" s="92"/>
      <c r="F181" s="59"/>
      <c r="G181" s="88"/>
      <c r="H181" s="59"/>
      <c r="I181" s="89"/>
      <c r="J181" s="103">
        <f>VLOOKUP(A181&amp;G181,Lookup!J:N,5,0)</f>
        <v>0</v>
      </c>
      <c r="K181" s="103"/>
      <c r="L181" s="110"/>
      <c r="M181" s="110"/>
      <c r="N181" s="120"/>
      <c r="O181" s="86">
        <f>IFERROR(VLOOKUP(A181&amp;G181,Lookup!J:K,2,0),"")</f>
        <v>0</v>
      </c>
      <c r="P181" s="110" t="str">
        <f t="shared" si="23"/>
        <v/>
      </c>
      <c r="R181" s="87" t="str">
        <f t="shared" si="25"/>
        <v/>
      </c>
      <c r="S181" s="87" t="str">
        <f t="shared" si="26"/>
        <v/>
      </c>
      <c r="T181" s="59" t="e">
        <f t="shared" si="24"/>
        <v>#VALUE!</v>
      </c>
      <c r="U181" s="59"/>
      <c r="V181" s="59"/>
      <c r="W181" s="59"/>
      <c r="X181" s="60" t="str">
        <f t="shared" si="27"/>
        <v>D</v>
      </c>
    </row>
    <row r="182" spans="1:24" x14ac:dyDescent="0.25">
      <c r="A182" s="53"/>
      <c r="B182" s="59" t="str">
        <f>IFERROR(VLOOKUP(A182,Lookup!A:B,2,0),"")</f>
        <v/>
      </c>
      <c r="C182" s="59" t="str">
        <f>IFERROR(VLOOKUP(A182,Lookup!A:C,3,0),"")</f>
        <v/>
      </c>
      <c r="D182" s="59"/>
      <c r="E182" s="92"/>
      <c r="F182" s="59"/>
      <c r="G182" s="88"/>
      <c r="H182" s="59"/>
      <c r="I182" s="89"/>
      <c r="J182" s="103">
        <f>VLOOKUP(A182&amp;G182,Lookup!J:N,5,0)</f>
        <v>0</v>
      </c>
      <c r="K182" s="103"/>
      <c r="L182" s="110"/>
      <c r="M182" s="110"/>
      <c r="N182" s="120"/>
      <c r="O182" s="86">
        <f>IFERROR(VLOOKUP(A182&amp;G182,Lookup!J:K,2,0),"")</f>
        <v>0</v>
      </c>
      <c r="P182" s="110" t="str">
        <f t="shared" si="23"/>
        <v/>
      </c>
      <c r="R182" s="87" t="str">
        <f t="shared" si="25"/>
        <v/>
      </c>
      <c r="S182" s="87" t="str">
        <f t="shared" si="26"/>
        <v/>
      </c>
      <c r="T182" s="59" t="e">
        <f t="shared" si="24"/>
        <v>#VALUE!</v>
      </c>
      <c r="U182" s="59"/>
      <c r="V182" s="59"/>
      <c r="W182" s="59"/>
      <c r="X182" s="60" t="str">
        <f t="shared" si="27"/>
        <v>D</v>
      </c>
    </row>
    <row r="183" spans="1:24" x14ac:dyDescent="0.25">
      <c r="A183" s="53"/>
      <c r="B183" s="59" t="str">
        <f>IFERROR(VLOOKUP(A183,Lookup!A:B,2,0),"")</f>
        <v/>
      </c>
      <c r="C183" s="59" t="str">
        <f>IFERROR(VLOOKUP(A183,Lookup!A:C,3,0),"")</f>
        <v/>
      </c>
      <c r="D183" s="59"/>
      <c r="E183" s="92"/>
      <c r="F183" s="59"/>
      <c r="G183" s="88"/>
      <c r="H183" s="59"/>
      <c r="I183" s="89"/>
      <c r="J183" s="103">
        <f>VLOOKUP(A183&amp;G183,Lookup!J:N,5,0)</f>
        <v>0</v>
      </c>
      <c r="K183" s="103"/>
      <c r="L183" s="110"/>
      <c r="M183" s="110"/>
      <c r="N183" s="120"/>
      <c r="O183" s="86">
        <f>IFERROR(VLOOKUP(A183&amp;G183,Lookup!J:K,2,0),"")</f>
        <v>0</v>
      </c>
      <c r="P183" s="110" t="str">
        <f t="shared" si="23"/>
        <v/>
      </c>
      <c r="R183" s="87" t="str">
        <f t="shared" si="25"/>
        <v/>
      </c>
      <c r="S183" s="87" t="str">
        <f t="shared" si="26"/>
        <v/>
      </c>
      <c r="T183" s="59" t="e">
        <f t="shared" si="24"/>
        <v>#VALUE!</v>
      </c>
      <c r="U183" s="59"/>
      <c r="V183" s="59"/>
      <c r="W183" s="59"/>
      <c r="X183" s="60" t="str">
        <f t="shared" si="27"/>
        <v>D</v>
      </c>
    </row>
    <row r="184" spans="1:24" x14ac:dyDescent="0.25">
      <c r="A184" s="53"/>
      <c r="B184" s="59" t="str">
        <f>IFERROR(VLOOKUP(A184,Lookup!A:B,2,0),"")</f>
        <v/>
      </c>
      <c r="C184" s="59" t="str">
        <f>IFERROR(VLOOKUP(A184,Lookup!A:C,3,0),"")</f>
        <v/>
      </c>
      <c r="D184" s="59"/>
      <c r="E184" s="92"/>
      <c r="F184" s="59"/>
      <c r="G184" s="88"/>
      <c r="H184" s="59"/>
      <c r="I184" s="89"/>
      <c r="J184" s="103">
        <f>VLOOKUP(A184&amp;G184,Lookup!J:N,5,0)</f>
        <v>0</v>
      </c>
      <c r="K184" s="103"/>
      <c r="L184" s="110"/>
      <c r="M184" s="110"/>
      <c r="N184" s="120"/>
      <c r="O184" s="86">
        <f>IFERROR(VLOOKUP(A184&amp;G184,Lookup!J:K,2,0),"")</f>
        <v>0</v>
      </c>
      <c r="P184" s="110" t="str">
        <f t="shared" si="23"/>
        <v/>
      </c>
      <c r="R184" s="87" t="str">
        <f t="shared" si="25"/>
        <v/>
      </c>
      <c r="S184" s="87" t="str">
        <f t="shared" si="26"/>
        <v/>
      </c>
      <c r="T184" s="59" t="e">
        <f t="shared" si="24"/>
        <v>#VALUE!</v>
      </c>
      <c r="U184" s="59"/>
      <c r="V184" s="59"/>
      <c r="W184" s="59"/>
      <c r="X184" s="60" t="str">
        <f t="shared" si="27"/>
        <v>D</v>
      </c>
    </row>
    <row r="185" spans="1:24" x14ac:dyDescent="0.25">
      <c r="A185" s="53"/>
      <c r="B185" s="59" t="str">
        <f>IFERROR(VLOOKUP(A185,Lookup!A:B,2,0),"")</f>
        <v/>
      </c>
      <c r="C185" s="59" t="str">
        <f>IFERROR(VLOOKUP(A185,Lookup!A:C,3,0),"")</f>
        <v/>
      </c>
      <c r="D185" s="59"/>
      <c r="E185" s="92"/>
      <c r="F185" s="59"/>
      <c r="G185" s="88"/>
      <c r="H185" s="59"/>
      <c r="I185" s="89"/>
      <c r="J185" s="103">
        <f>VLOOKUP(A185&amp;G185,Lookup!J:N,5,0)</f>
        <v>0</v>
      </c>
      <c r="K185" s="103"/>
      <c r="L185" s="110"/>
      <c r="M185" s="110"/>
      <c r="N185" s="120"/>
      <c r="O185" s="86">
        <f>IFERROR(VLOOKUP(A185&amp;G185,Lookup!J:K,2,0),"")</f>
        <v>0</v>
      </c>
      <c r="P185" s="110" t="str">
        <f t="shared" si="23"/>
        <v/>
      </c>
      <c r="R185" s="87" t="str">
        <f t="shared" si="25"/>
        <v/>
      </c>
      <c r="S185" s="87" t="str">
        <f t="shared" si="26"/>
        <v/>
      </c>
      <c r="T185" s="59" t="e">
        <f t="shared" si="24"/>
        <v>#VALUE!</v>
      </c>
      <c r="U185" s="59"/>
      <c r="V185" s="59"/>
      <c r="W185" s="59"/>
      <c r="X185" s="60" t="str">
        <f t="shared" si="27"/>
        <v>D</v>
      </c>
    </row>
    <row r="186" spans="1:24" x14ac:dyDescent="0.25">
      <c r="A186" s="53"/>
      <c r="B186" s="59" t="str">
        <f>IFERROR(VLOOKUP(A186,Lookup!A:B,2,0),"")</f>
        <v/>
      </c>
      <c r="C186" s="59" t="str">
        <f>IFERROR(VLOOKUP(A186,Lookup!A:C,3,0),"")</f>
        <v/>
      </c>
      <c r="D186" s="59"/>
      <c r="E186" s="92"/>
      <c r="F186" s="59"/>
      <c r="G186" s="88"/>
      <c r="H186" s="59"/>
      <c r="I186" s="89"/>
      <c r="J186" s="103">
        <f>VLOOKUP(A186&amp;G186,Lookup!J:N,5,0)</f>
        <v>0</v>
      </c>
      <c r="K186" s="103"/>
      <c r="L186" s="110"/>
      <c r="M186" s="110"/>
      <c r="N186" s="120"/>
      <c r="O186" s="86">
        <f>IFERROR(VLOOKUP(A186&amp;G186,Lookup!J:K,2,0),"")</f>
        <v>0</v>
      </c>
      <c r="P186" s="110" t="str">
        <f t="shared" si="23"/>
        <v/>
      </c>
      <c r="R186" s="87" t="str">
        <f t="shared" si="25"/>
        <v/>
      </c>
      <c r="S186" s="87" t="str">
        <f t="shared" si="26"/>
        <v/>
      </c>
      <c r="T186" s="59" t="e">
        <f t="shared" si="24"/>
        <v>#VALUE!</v>
      </c>
      <c r="U186" s="59"/>
      <c r="V186" s="59"/>
      <c r="W186" s="59"/>
      <c r="X186" s="60" t="str">
        <f t="shared" si="27"/>
        <v>D</v>
      </c>
    </row>
    <row r="187" spans="1:24" x14ac:dyDescent="0.25">
      <c r="A187" s="53"/>
      <c r="B187" s="59" t="str">
        <f>IFERROR(VLOOKUP(A187,Lookup!A:B,2,0),"")</f>
        <v/>
      </c>
      <c r="C187" s="59" t="str">
        <f>IFERROR(VLOOKUP(A187,Lookup!A:C,3,0),"")</f>
        <v/>
      </c>
      <c r="D187" s="59"/>
      <c r="E187" s="92"/>
      <c r="F187" s="59"/>
      <c r="G187" s="88"/>
      <c r="H187" s="59"/>
      <c r="I187" s="89"/>
      <c r="J187" s="103">
        <f>VLOOKUP(A187&amp;G187,Lookup!J:N,5,0)</f>
        <v>0</v>
      </c>
      <c r="K187" s="103"/>
      <c r="L187" s="110"/>
      <c r="M187" s="110"/>
      <c r="N187" s="120"/>
      <c r="O187" s="86">
        <f>IFERROR(VLOOKUP(A187&amp;G187,Lookup!J:K,2,0),"")</f>
        <v>0</v>
      </c>
      <c r="P187" s="110" t="str">
        <f t="shared" si="23"/>
        <v/>
      </c>
      <c r="R187" s="87" t="str">
        <f t="shared" si="25"/>
        <v/>
      </c>
      <c r="S187" s="87" t="str">
        <f t="shared" si="26"/>
        <v/>
      </c>
      <c r="T187" s="59" t="e">
        <f t="shared" si="24"/>
        <v>#VALUE!</v>
      </c>
      <c r="U187" s="59"/>
      <c r="V187" s="59"/>
      <c r="W187" s="59"/>
      <c r="X187" s="60" t="str">
        <f t="shared" si="27"/>
        <v>D</v>
      </c>
    </row>
    <row r="188" spans="1:24" x14ac:dyDescent="0.25">
      <c r="A188" s="53"/>
      <c r="B188" s="59" t="str">
        <f>IFERROR(VLOOKUP(A188,Lookup!A:B,2,0),"")</f>
        <v/>
      </c>
      <c r="C188" s="59" t="str">
        <f>IFERROR(VLOOKUP(A188,Lookup!A:C,3,0),"")</f>
        <v/>
      </c>
      <c r="D188" s="59"/>
      <c r="E188" s="92"/>
      <c r="F188" s="59"/>
      <c r="G188" s="88"/>
      <c r="H188" s="59"/>
      <c r="I188" s="89"/>
      <c r="J188" s="103">
        <f>VLOOKUP(A188&amp;G188,Lookup!J:N,5,0)</f>
        <v>0</v>
      </c>
      <c r="K188" s="103"/>
      <c r="L188" s="110"/>
      <c r="M188" s="110"/>
      <c r="N188" s="120"/>
      <c r="O188" s="86">
        <f>IFERROR(VLOOKUP(A188&amp;G188,Lookup!J:K,2,0),"")</f>
        <v>0</v>
      </c>
      <c r="P188" s="110" t="str">
        <f t="shared" si="23"/>
        <v/>
      </c>
      <c r="R188" s="87" t="str">
        <f t="shared" si="25"/>
        <v/>
      </c>
      <c r="S188" s="87" t="str">
        <f t="shared" si="26"/>
        <v/>
      </c>
      <c r="T188" s="59" t="e">
        <f t="shared" si="24"/>
        <v>#VALUE!</v>
      </c>
      <c r="U188" s="59"/>
      <c r="V188" s="59"/>
      <c r="W188" s="59"/>
      <c r="X188" s="60" t="str">
        <f t="shared" si="27"/>
        <v>D</v>
      </c>
    </row>
    <row r="189" spans="1:24" x14ac:dyDescent="0.25">
      <c r="A189" s="53"/>
      <c r="B189" s="59" t="str">
        <f>IFERROR(VLOOKUP(A189,Lookup!A:B,2,0),"")</f>
        <v/>
      </c>
      <c r="C189" s="59" t="str">
        <f>IFERROR(VLOOKUP(A189,Lookup!A:C,3,0),"")</f>
        <v/>
      </c>
      <c r="D189" s="59"/>
      <c r="E189" s="92"/>
      <c r="F189" s="59"/>
      <c r="G189" s="88"/>
      <c r="H189" s="59"/>
      <c r="I189" s="89"/>
      <c r="J189" s="103">
        <f>VLOOKUP(A189&amp;G189,Lookup!J:N,5,0)</f>
        <v>0</v>
      </c>
      <c r="K189" s="103"/>
      <c r="L189" s="110"/>
      <c r="M189" s="110"/>
      <c r="N189" s="120"/>
      <c r="O189" s="86">
        <f>IFERROR(VLOOKUP(A189&amp;G189,Lookup!J:K,2,0),"")</f>
        <v>0</v>
      </c>
      <c r="P189" s="110" t="str">
        <f t="shared" si="23"/>
        <v/>
      </c>
      <c r="R189" s="87" t="str">
        <f t="shared" si="25"/>
        <v/>
      </c>
      <c r="S189" s="87" t="str">
        <f t="shared" si="26"/>
        <v/>
      </c>
      <c r="T189" s="59" t="e">
        <f t="shared" si="24"/>
        <v>#VALUE!</v>
      </c>
      <c r="U189" s="59"/>
      <c r="V189" s="59"/>
      <c r="W189" s="59"/>
      <c r="X189" s="60" t="str">
        <f t="shared" si="27"/>
        <v>D</v>
      </c>
    </row>
    <row r="190" spans="1:24" x14ac:dyDescent="0.25">
      <c r="A190" s="53"/>
      <c r="B190" s="59" t="str">
        <f>IFERROR(VLOOKUP(A190,Lookup!A:B,2,0),"")</f>
        <v/>
      </c>
      <c r="C190" s="59" t="str">
        <f>IFERROR(VLOOKUP(A190,Lookup!A:C,3,0),"")</f>
        <v/>
      </c>
      <c r="D190" s="59"/>
      <c r="E190" s="92"/>
      <c r="F190" s="59"/>
      <c r="G190" s="88"/>
      <c r="H190" s="59"/>
      <c r="I190" s="89"/>
      <c r="J190" s="103">
        <f>VLOOKUP(A190&amp;G190,Lookup!J:N,5,0)</f>
        <v>0</v>
      </c>
      <c r="K190" s="103"/>
      <c r="L190" s="110"/>
      <c r="M190" s="110"/>
      <c r="N190" s="120"/>
      <c r="O190" s="86">
        <f>IFERROR(VLOOKUP(A190&amp;G190,Lookup!J:K,2,0),"")</f>
        <v>0</v>
      </c>
      <c r="P190" s="110" t="str">
        <f t="shared" si="23"/>
        <v/>
      </c>
      <c r="R190" s="87" t="str">
        <f t="shared" si="25"/>
        <v/>
      </c>
      <c r="S190" s="87" t="str">
        <f t="shared" si="26"/>
        <v/>
      </c>
      <c r="T190" s="59" t="e">
        <f t="shared" si="24"/>
        <v>#VALUE!</v>
      </c>
      <c r="U190" s="59"/>
      <c r="V190" s="59"/>
      <c r="W190" s="59"/>
      <c r="X190" s="60" t="str">
        <f t="shared" si="27"/>
        <v>D</v>
      </c>
    </row>
    <row r="191" spans="1:24" x14ac:dyDescent="0.25">
      <c r="A191" s="53"/>
      <c r="B191" s="59" t="str">
        <f>IFERROR(VLOOKUP(A191,Lookup!A:B,2,0),"")</f>
        <v/>
      </c>
      <c r="C191" s="59" t="str">
        <f>IFERROR(VLOOKUP(A191,Lookup!A:C,3,0),"")</f>
        <v/>
      </c>
      <c r="D191" s="59"/>
      <c r="E191" s="92"/>
      <c r="F191" s="59"/>
      <c r="G191" s="88"/>
      <c r="H191" s="59"/>
      <c r="I191" s="89"/>
      <c r="J191" s="103">
        <f>VLOOKUP(A191&amp;G191,Lookup!J:N,5,0)</f>
        <v>0</v>
      </c>
      <c r="K191" s="103"/>
      <c r="L191" s="110"/>
      <c r="M191" s="110"/>
      <c r="N191" s="120"/>
      <c r="O191" s="86">
        <f>IFERROR(VLOOKUP(A191&amp;G191,Lookup!J:K,2,0),"")</f>
        <v>0</v>
      </c>
      <c r="P191" s="110" t="str">
        <f t="shared" si="23"/>
        <v/>
      </c>
      <c r="R191" s="87" t="str">
        <f t="shared" si="25"/>
        <v/>
      </c>
      <c r="S191" s="87" t="str">
        <f t="shared" si="26"/>
        <v/>
      </c>
      <c r="T191" s="59" t="e">
        <f t="shared" si="24"/>
        <v>#VALUE!</v>
      </c>
      <c r="U191" s="59"/>
      <c r="V191" s="59"/>
      <c r="W191" s="59"/>
      <c r="X191" s="60" t="str">
        <f t="shared" si="27"/>
        <v>D</v>
      </c>
    </row>
    <row r="192" spans="1:24" x14ac:dyDescent="0.25">
      <c r="A192" s="53"/>
      <c r="B192" s="59" t="str">
        <f>IFERROR(VLOOKUP(A192,Lookup!A:B,2,0),"")</f>
        <v/>
      </c>
      <c r="C192" s="59" t="str">
        <f>IFERROR(VLOOKUP(A192,Lookup!A:C,3,0),"")</f>
        <v/>
      </c>
      <c r="D192" s="59"/>
      <c r="E192" s="92"/>
      <c r="F192" s="59"/>
      <c r="G192" s="88"/>
      <c r="H192" s="59"/>
      <c r="I192" s="89"/>
      <c r="J192" s="103">
        <f>VLOOKUP(A192&amp;G192,Lookup!J:N,5,0)</f>
        <v>0</v>
      </c>
      <c r="K192" s="103"/>
      <c r="L192" s="110"/>
      <c r="M192" s="110"/>
      <c r="N192" s="120"/>
      <c r="O192" s="86">
        <f>IFERROR(VLOOKUP(A192&amp;G192,Lookup!J:K,2,0),"")</f>
        <v>0</v>
      </c>
      <c r="P192" s="110" t="str">
        <f t="shared" si="23"/>
        <v/>
      </c>
      <c r="R192" s="87" t="str">
        <f t="shared" si="25"/>
        <v/>
      </c>
      <c r="S192" s="87" t="str">
        <f t="shared" si="26"/>
        <v/>
      </c>
      <c r="T192" s="59" t="e">
        <f t="shared" si="24"/>
        <v>#VALUE!</v>
      </c>
      <c r="U192" s="59"/>
      <c r="V192" s="59"/>
      <c r="W192" s="59"/>
      <c r="X192" s="60" t="str">
        <f t="shared" si="27"/>
        <v>D</v>
      </c>
    </row>
    <row r="193" spans="1:24" x14ac:dyDescent="0.25">
      <c r="A193" s="53"/>
      <c r="B193" s="59" t="str">
        <f>IFERROR(VLOOKUP(A193,Lookup!A:B,2,0),"")</f>
        <v/>
      </c>
      <c r="C193" s="59" t="str">
        <f>IFERROR(VLOOKUP(A193,Lookup!A:C,3,0),"")</f>
        <v/>
      </c>
      <c r="D193" s="59"/>
      <c r="E193" s="92"/>
      <c r="F193" s="59"/>
      <c r="G193" s="88"/>
      <c r="H193" s="59"/>
      <c r="I193" s="89"/>
      <c r="J193" s="103">
        <f>VLOOKUP(A193&amp;G193,Lookup!J:N,5,0)</f>
        <v>0</v>
      </c>
      <c r="K193" s="103"/>
      <c r="L193" s="110"/>
      <c r="M193" s="110"/>
      <c r="N193" s="120"/>
      <c r="O193" s="86">
        <f>IFERROR(VLOOKUP(A193&amp;G193,Lookup!J:K,2,0),"")</f>
        <v>0</v>
      </c>
      <c r="P193" s="110" t="str">
        <f t="shared" si="23"/>
        <v/>
      </c>
      <c r="R193" s="87" t="str">
        <f t="shared" si="25"/>
        <v/>
      </c>
      <c r="S193" s="87" t="str">
        <f t="shared" si="26"/>
        <v/>
      </c>
      <c r="T193" s="59" t="e">
        <f t="shared" si="24"/>
        <v>#VALUE!</v>
      </c>
      <c r="U193" s="59"/>
      <c r="V193" s="59"/>
      <c r="W193" s="59"/>
      <c r="X193" s="60" t="str">
        <f t="shared" si="27"/>
        <v>D</v>
      </c>
    </row>
    <row r="194" spans="1:24" x14ac:dyDescent="0.25">
      <c r="A194" s="53"/>
      <c r="B194" s="59" t="str">
        <f>IFERROR(VLOOKUP(A194,Lookup!A:B,2,0),"")</f>
        <v/>
      </c>
      <c r="C194" s="59" t="str">
        <f>IFERROR(VLOOKUP(A194,Lookup!A:C,3,0),"")</f>
        <v/>
      </c>
      <c r="D194" s="59"/>
      <c r="E194" s="92"/>
      <c r="F194" s="59"/>
      <c r="G194" s="88"/>
      <c r="H194" s="59"/>
      <c r="I194" s="89"/>
      <c r="J194" s="103">
        <f>VLOOKUP(A194&amp;G194,Lookup!J:N,5,0)</f>
        <v>0</v>
      </c>
      <c r="K194" s="103"/>
      <c r="L194" s="110"/>
      <c r="M194" s="110"/>
      <c r="N194" s="120"/>
      <c r="O194" s="86">
        <f>IFERROR(VLOOKUP(A194&amp;G194,Lookup!J:K,2,0),"")</f>
        <v>0</v>
      </c>
      <c r="P194" s="110" t="str">
        <f t="shared" si="23"/>
        <v/>
      </c>
      <c r="R194" s="87" t="str">
        <f t="shared" si="25"/>
        <v/>
      </c>
      <c r="S194" s="87" t="str">
        <f t="shared" si="26"/>
        <v/>
      </c>
      <c r="T194" s="59" t="e">
        <f t="shared" si="24"/>
        <v>#VALUE!</v>
      </c>
      <c r="U194" s="59"/>
      <c r="V194" s="59"/>
      <c r="W194" s="59"/>
      <c r="X194" s="60" t="str">
        <f t="shared" si="27"/>
        <v>D</v>
      </c>
    </row>
    <row r="195" spans="1:24" x14ac:dyDescent="0.25">
      <c r="A195" s="53"/>
      <c r="B195" s="59" t="str">
        <f>IFERROR(VLOOKUP(A195,Lookup!A:B,2,0),"")</f>
        <v/>
      </c>
      <c r="C195" s="59" t="str">
        <f>IFERROR(VLOOKUP(A195,Lookup!A:C,3,0),"")</f>
        <v/>
      </c>
      <c r="D195" s="59"/>
      <c r="E195" s="92"/>
      <c r="F195" s="59"/>
      <c r="G195" s="88"/>
      <c r="H195" s="59"/>
      <c r="I195" s="89"/>
      <c r="J195" s="103">
        <f>VLOOKUP(A195&amp;G195,Lookup!J:N,5,0)</f>
        <v>0</v>
      </c>
      <c r="K195" s="103"/>
      <c r="L195" s="110"/>
      <c r="M195" s="110"/>
      <c r="N195" s="120"/>
      <c r="O195" s="86">
        <f>IFERROR(VLOOKUP(A195&amp;G195,Lookup!J:K,2,0),"")</f>
        <v>0</v>
      </c>
      <c r="P195" s="110" t="str">
        <f t="shared" si="23"/>
        <v/>
      </c>
      <c r="R195" s="87" t="str">
        <f t="shared" si="25"/>
        <v/>
      </c>
      <c r="S195" s="87" t="str">
        <f t="shared" si="26"/>
        <v/>
      </c>
      <c r="T195" s="59" t="e">
        <f t="shared" si="24"/>
        <v>#VALUE!</v>
      </c>
      <c r="U195" s="59"/>
      <c r="V195" s="59"/>
      <c r="W195" s="59"/>
      <c r="X195" s="60" t="str">
        <f t="shared" si="27"/>
        <v>D</v>
      </c>
    </row>
    <row r="196" spans="1:24" x14ac:dyDescent="0.25">
      <c r="A196" s="53"/>
      <c r="B196" s="59" t="str">
        <f>IFERROR(VLOOKUP(A196,Lookup!A:B,2,0),"")</f>
        <v/>
      </c>
      <c r="C196" s="59" t="str">
        <f>IFERROR(VLOOKUP(A196,Lookup!A:C,3,0),"")</f>
        <v/>
      </c>
      <c r="D196" s="59"/>
      <c r="E196" s="92"/>
      <c r="F196" s="59"/>
      <c r="G196" s="88"/>
      <c r="H196" s="59"/>
      <c r="I196" s="89"/>
      <c r="J196" s="103">
        <f>VLOOKUP(A196&amp;G196,Lookup!J:N,5,0)</f>
        <v>0</v>
      </c>
      <c r="K196" s="103"/>
      <c r="L196" s="110"/>
      <c r="M196" s="110"/>
      <c r="N196" s="120"/>
      <c r="O196" s="86">
        <f>IFERROR(VLOOKUP(A196&amp;G196,Lookup!J:K,2,0),"")</f>
        <v>0</v>
      </c>
      <c r="P196" s="110" t="str">
        <f t="shared" ref="P196:P259" si="28">IF(N196="","",N196+O196)</f>
        <v/>
      </c>
      <c r="R196" s="87" t="str">
        <f t="shared" si="25"/>
        <v/>
      </c>
      <c r="S196" s="87" t="str">
        <f t="shared" si="26"/>
        <v/>
      </c>
      <c r="T196" s="59" t="e">
        <f t="shared" si="24"/>
        <v>#VALUE!</v>
      </c>
      <c r="U196" s="59"/>
      <c r="V196" s="59"/>
      <c r="W196" s="59"/>
      <c r="X196" s="60" t="str">
        <f t="shared" si="27"/>
        <v>D</v>
      </c>
    </row>
    <row r="197" spans="1:24" x14ac:dyDescent="0.25">
      <c r="A197" s="53"/>
      <c r="B197" s="59" t="str">
        <f>IFERROR(VLOOKUP(A197,Lookup!A:B,2,0),"")</f>
        <v/>
      </c>
      <c r="C197" s="59" t="str">
        <f>IFERROR(VLOOKUP(A197,Lookup!A:C,3,0),"")</f>
        <v/>
      </c>
      <c r="D197" s="59"/>
      <c r="E197" s="92"/>
      <c r="F197" s="59"/>
      <c r="G197" s="88"/>
      <c r="H197" s="59"/>
      <c r="I197" s="89"/>
      <c r="J197" s="103">
        <f>VLOOKUP(A197&amp;G197,Lookup!J:N,5,0)</f>
        <v>0</v>
      </c>
      <c r="K197" s="103"/>
      <c r="L197" s="110"/>
      <c r="M197" s="110"/>
      <c r="N197" s="120"/>
      <c r="O197" s="86">
        <f>IFERROR(VLOOKUP(A197&amp;G197,Lookup!J:K,2,0),"")</f>
        <v>0</v>
      </c>
      <c r="P197" s="110" t="str">
        <f t="shared" si="28"/>
        <v/>
      </c>
      <c r="R197" s="87" t="str">
        <f t="shared" si="25"/>
        <v/>
      </c>
      <c r="S197" s="87" t="str">
        <f t="shared" si="26"/>
        <v/>
      </c>
      <c r="T197" s="59" t="e">
        <f t="shared" si="24"/>
        <v>#VALUE!</v>
      </c>
      <c r="U197" s="59"/>
      <c r="V197" s="59"/>
      <c r="W197" s="59"/>
      <c r="X197" s="60" t="str">
        <f t="shared" si="27"/>
        <v>D</v>
      </c>
    </row>
    <row r="198" spans="1:24" x14ac:dyDescent="0.25">
      <c r="A198" s="53"/>
      <c r="B198" s="59" t="str">
        <f>IFERROR(VLOOKUP(A198,Lookup!A:B,2,0),"")</f>
        <v/>
      </c>
      <c r="C198" s="59" t="str">
        <f>IFERROR(VLOOKUP(A198,Lookup!A:C,3,0),"")</f>
        <v/>
      </c>
      <c r="D198" s="59"/>
      <c r="E198" s="92"/>
      <c r="F198" s="59"/>
      <c r="G198" s="88"/>
      <c r="H198" s="59"/>
      <c r="I198" s="89"/>
      <c r="J198" s="103">
        <f>VLOOKUP(A198&amp;G198,Lookup!J:N,5,0)</f>
        <v>0</v>
      </c>
      <c r="K198" s="103"/>
      <c r="L198" s="110"/>
      <c r="M198" s="110"/>
      <c r="N198" s="120"/>
      <c r="O198" s="86">
        <f>IFERROR(VLOOKUP(A198&amp;G198,Lookup!J:K,2,0),"")</f>
        <v>0</v>
      </c>
      <c r="P198" s="110" t="str">
        <f t="shared" si="28"/>
        <v/>
      </c>
      <c r="R198" s="87" t="str">
        <f t="shared" si="25"/>
        <v/>
      </c>
      <c r="S198" s="87" t="str">
        <f t="shared" si="26"/>
        <v/>
      </c>
      <c r="T198" s="59" t="e">
        <f t="shared" si="24"/>
        <v>#VALUE!</v>
      </c>
      <c r="U198" s="59"/>
      <c r="V198" s="59"/>
      <c r="W198" s="59"/>
      <c r="X198" s="60" t="str">
        <f t="shared" si="27"/>
        <v>D</v>
      </c>
    </row>
    <row r="199" spans="1:24" x14ac:dyDescent="0.25">
      <c r="A199" s="53"/>
      <c r="B199" s="59" t="str">
        <f>IFERROR(VLOOKUP(A199,Lookup!A:B,2,0),"")</f>
        <v/>
      </c>
      <c r="C199" s="59" t="str">
        <f>IFERROR(VLOOKUP(A199,Lookup!A:C,3,0),"")</f>
        <v/>
      </c>
      <c r="D199" s="59"/>
      <c r="E199" s="92"/>
      <c r="F199" s="59"/>
      <c r="G199" s="88"/>
      <c r="H199" s="59"/>
      <c r="I199" s="89"/>
      <c r="J199" s="103">
        <f>VLOOKUP(A199&amp;G199,Lookup!J:N,5,0)</f>
        <v>0</v>
      </c>
      <c r="K199" s="103"/>
      <c r="L199" s="110"/>
      <c r="M199" s="110"/>
      <c r="N199" s="120"/>
      <c r="O199" s="86">
        <f>IFERROR(VLOOKUP(A199&amp;G199,Lookup!J:K,2,0),"")</f>
        <v>0</v>
      </c>
      <c r="P199" s="110" t="str">
        <f t="shared" si="28"/>
        <v/>
      </c>
      <c r="R199" s="87" t="str">
        <f t="shared" si="25"/>
        <v/>
      </c>
      <c r="S199" s="87" t="str">
        <f t="shared" si="26"/>
        <v/>
      </c>
      <c r="T199" s="59" t="e">
        <f t="shared" si="24"/>
        <v>#VALUE!</v>
      </c>
      <c r="U199" s="59"/>
      <c r="V199" s="59"/>
      <c r="W199" s="59"/>
      <c r="X199" s="60" t="str">
        <f t="shared" si="27"/>
        <v>D</v>
      </c>
    </row>
    <row r="200" spans="1:24" x14ac:dyDescent="0.25">
      <c r="A200" s="53"/>
      <c r="B200" s="59" t="str">
        <f>IFERROR(VLOOKUP(A200,Lookup!A:B,2,0),"")</f>
        <v/>
      </c>
      <c r="C200" s="59" t="str">
        <f>IFERROR(VLOOKUP(A200,Lookup!A:C,3,0),"")</f>
        <v/>
      </c>
      <c r="D200" s="59"/>
      <c r="E200" s="92"/>
      <c r="F200" s="59"/>
      <c r="G200" s="88"/>
      <c r="H200" s="59"/>
      <c r="I200" s="89"/>
      <c r="J200" s="103">
        <f>VLOOKUP(A200&amp;G200,Lookup!J:N,5,0)</f>
        <v>0</v>
      </c>
      <c r="K200" s="103"/>
      <c r="L200" s="110"/>
      <c r="M200" s="110"/>
      <c r="N200" s="120"/>
      <c r="O200" s="86">
        <f>IFERROR(VLOOKUP(A200&amp;G200,Lookup!J:K,2,0),"")</f>
        <v>0</v>
      </c>
      <c r="P200" s="110" t="str">
        <f t="shared" si="28"/>
        <v/>
      </c>
      <c r="R200" s="87" t="str">
        <f t="shared" si="25"/>
        <v/>
      </c>
      <c r="S200" s="87" t="str">
        <f t="shared" si="26"/>
        <v/>
      </c>
      <c r="T200" s="59" t="e">
        <f t="shared" si="24"/>
        <v>#VALUE!</v>
      </c>
      <c r="U200" s="59"/>
      <c r="V200" s="59"/>
      <c r="W200" s="59"/>
      <c r="X200" s="60" t="str">
        <f t="shared" si="27"/>
        <v>D</v>
      </c>
    </row>
    <row r="201" spans="1:24" x14ac:dyDescent="0.25">
      <c r="A201" s="53"/>
      <c r="B201" s="59" t="str">
        <f>IFERROR(VLOOKUP(A201,Lookup!A:B,2,0),"")</f>
        <v/>
      </c>
      <c r="C201" s="59" t="str">
        <f>IFERROR(VLOOKUP(A201,Lookup!A:C,3,0),"")</f>
        <v/>
      </c>
      <c r="D201" s="59"/>
      <c r="E201" s="92"/>
      <c r="F201" s="59"/>
      <c r="G201" s="88"/>
      <c r="H201" s="59"/>
      <c r="I201" s="89"/>
      <c r="J201" s="103">
        <f>VLOOKUP(A201&amp;G201,Lookup!J:N,5,0)</f>
        <v>0</v>
      </c>
      <c r="K201" s="103"/>
      <c r="L201" s="110"/>
      <c r="M201" s="110"/>
      <c r="N201" s="120"/>
      <c r="O201" s="86">
        <f>IFERROR(VLOOKUP(A201&amp;G201,Lookup!J:K,2,0),"")</f>
        <v>0</v>
      </c>
      <c r="P201" s="110" t="str">
        <f t="shared" si="28"/>
        <v/>
      </c>
      <c r="R201" s="87" t="str">
        <f t="shared" si="25"/>
        <v/>
      </c>
      <c r="S201" s="87" t="str">
        <f t="shared" si="26"/>
        <v/>
      </c>
      <c r="T201" s="59" t="e">
        <f t="shared" si="24"/>
        <v>#VALUE!</v>
      </c>
      <c r="U201" s="59"/>
      <c r="V201" s="59"/>
      <c r="W201" s="59"/>
      <c r="X201" s="60" t="str">
        <f t="shared" si="27"/>
        <v>D</v>
      </c>
    </row>
    <row r="202" spans="1:24" x14ac:dyDescent="0.25">
      <c r="A202" s="53"/>
      <c r="B202" s="59" t="str">
        <f>IFERROR(VLOOKUP(A202,Lookup!A:B,2,0),"")</f>
        <v/>
      </c>
      <c r="C202" s="59" t="str">
        <f>IFERROR(VLOOKUP(A202,Lookup!A:C,3,0),"")</f>
        <v/>
      </c>
      <c r="D202" s="59"/>
      <c r="E202" s="92"/>
      <c r="F202" s="59"/>
      <c r="G202" s="88"/>
      <c r="H202" s="59"/>
      <c r="I202" s="89"/>
      <c r="J202" s="103">
        <f>VLOOKUP(A202&amp;G202,Lookup!J:N,5,0)</f>
        <v>0</v>
      </c>
      <c r="K202" s="103"/>
      <c r="L202" s="110"/>
      <c r="M202" s="110"/>
      <c r="N202" s="120"/>
      <c r="O202" s="86">
        <f>IFERROR(VLOOKUP(A202&amp;G202,Lookup!J:K,2,0),"")</f>
        <v>0</v>
      </c>
      <c r="P202" s="110" t="str">
        <f t="shared" si="28"/>
        <v/>
      </c>
      <c r="R202" s="87" t="str">
        <f t="shared" si="25"/>
        <v/>
      </c>
      <c r="S202" s="87" t="str">
        <f t="shared" si="26"/>
        <v/>
      </c>
      <c r="T202" s="59" t="e">
        <f t="shared" si="24"/>
        <v>#VALUE!</v>
      </c>
      <c r="U202" s="59"/>
      <c r="V202" s="59"/>
      <c r="W202" s="59"/>
      <c r="X202" s="60" t="str">
        <f t="shared" si="27"/>
        <v>D</v>
      </c>
    </row>
    <row r="203" spans="1:24" x14ac:dyDescent="0.25">
      <c r="A203" s="53"/>
      <c r="B203" s="59" t="str">
        <f>IFERROR(VLOOKUP(A203,Lookup!A:B,2,0),"")</f>
        <v/>
      </c>
      <c r="C203" s="59" t="str">
        <f>IFERROR(VLOOKUP(A203,Lookup!A:C,3,0),"")</f>
        <v/>
      </c>
      <c r="D203" s="59"/>
      <c r="E203" s="92"/>
      <c r="F203" s="59"/>
      <c r="G203" s="88"/>
      <c r="H203" s="59"/>
      <c r="I203" s="89"/>
      <c r="J203" s="103">
        <f>VLOOKUP(A203&amp;G203,Lookup!J:N,5,0)</f>
        <v>0</v>
      </c>
      <c r="K203" s="103"/>
      <c r="L203" s="110"/>
      <c r="M203" s="110"/>
      <c r="N203" s="120"/>
      <c r="O203" s="86">
        <f>IFERROR(VLOOKUP(A203&amp;G203,Lookup!J:K,2,0),"")</f>
        <v>0</v>
      </c>
      <c r="P203" s="110" t="str">
        <f t="shared" si="28"/>
        <v/>
      </c>
      <c r="R203" s="87" t="str">
        <f t="shared" si="25"/>
        <v/>
      </c>
      <c r="S203" s="87" t="str">
        <f t="shared" si="26"/>
        <v/>
      </c>
      <c r="T203" s="59" t="e">
        <f t="shared" si="24"/>
        <v>#VALUE!</v>
      </c>
      <c r="U203" s="59"/>
      <c r="V203" s="59"/>
      <c r="W203" s="59"/>
      <c r="X203" s="60" t="str">
        <f t="shared" si="27"/>
        <v>D</v>
      </c>
    </row>
    <row r="204" spans="1:24" x14ac:dyDescent="0.25">
      <c r="A204" s="53"/>
      <c r="B204" s="59" t="str">
        <f>IFERROR(VLOOKUP(A204,Lookup!A:B,2,0),"")</f>
        <v/>
      </c>
      <c r="C204" s="59" t="str">
        <f>IFERROR(VLOOKUP(A204,Lookup!A:C,3,0),"")</f>
        <v/>
      </c>
      <c r="D204" s="59"/>
      <c r="E204" s="92"/>
      <c r="F204" s="59"/>
      <c r="G204" s="88"/>
      <c r="H204" s="59"/>
      <c r="I204" s="89"/>
      <c r="J204" s="103">
        <f>VLOOKUP(A204&amp;G204,Lookup!J:N,5,0)</f>
        <v>0</v>
      </c>
      <c r="K204" s="103"/>
      <c r="L204" s="110"/>
      <c r="M204" s="110"/>
      <c r="N204" s="120"/>
      <c r="O204" s="86">
        <f>IFERROR(VLOOKUP(A204&amp;G204,Lookup!J:K,2,0),"")</f>
        <v>0</v>
      </c>
      <c r="P204" s="110" t="str">
        <f t="shared" si="28"/>
        <v/>
      </c>
      <c r="R204" s="87" t="str">
        <f t="shared" si="25"/>
        <v/>
      </c>
      <c r="S204" s="87" t="str">
        <f t="shared" si="26"/>
        <v/>
      </c>
      <c r="T204" s="59" t="e">
        <f t="shared" si="24"/>
        <v>#VALUE!</v>
      </c>
      <c r="U204" s="59"/>
      <c r="V204" s="59"/>
      <c r="W204" s="59"/>
      <c r="X204" s="60" t="str">
        <f t="shared" si="27"/>
        <v>D</v>
      </c>
    </row>
    <row r="205" spans="1:24" x14ac:dyDescent="0.25">
      <c r="A205" s="53"/>
      <c r="B205" s="59" t="str">
        <f>IFERROR(VLOOKUP(A205,Lookup!A:B,2,0),"")</f>
        <v/>
      </c>
      <c r="C205" s="59" t="str">
        <f>IFERROR(VLOOKUP(A205,Lookup!A:C,3,0),"")</f>
        <v/>
      </c>
      <c r="D205" s="59"/>
      <c r="E205" s="92"/>
      <c r="F205" s="59"/>
      <c r="G205" s="88"/>
      <c r="H205" s="59"/>
      <c r="I205" s="89"/>
      <c r="J205" s="103">
        <f>VLOOKUP(A205&amp;G205,Lookup!J:N,5,0)</f>
        <v>0</v>
      </c>
      <c r="K205" s="103"/>
      <c r="L205" s="110"/>
      <c r="M205" s="110"/>
      <c r="N205" s="120"/>
      <c r="O205" s="86">
        <f>IFERROR(VLOOKUP(A205&amp;G205,Lookup!J:K,2,0),"")</f>
        <v>0</v>
      </c>
      <c r="P205" s="110" t="str">
        <f t="shared" si="28"/>
        <v/>
      </c>
      <c r="R205" s="87" t="str">
        <f t="shared" si="25"/>
        <v/>
      </c>
      <c r="S205" s="87" t="str">
        <f t="shared" si="26"/>
        <v/>
      </c>
      <c r="T205" s="59" t="e">
        <f t="shared" si="24"/>
        <v>#VALUE!</v>
      </c>
      <c r="U205" s="59"/>
      <c r="V205" s="59"/>
      <c r="W205" s="59"/>
      <c r="X205" s="60" t="str">
        <f t="shared" si="27"/>
        <v>D</v>
      </c>
    </row>
    <row r="206" spans="1:24" x14ac:dyDescent="0.25">
      <c r="A206" s="53"/>
      <c r="B206" s="59" t="str">
        <f>IFERROR(VLOOKUP(A206,Lookup!A:B,2,0),"")</f>
        <v/>
      </c>
      <c r="C206" s="59" t="str">
        <f>IFERROR(VLOOKUP(A206,Lookup!A:C,3,0),"")</f>
        <v/>
      </c>
      <c r="D206" s="59"/>
      <c r="E206" s="92"/>
      <c r="F206" s="59"/>
      <c r="G206" s="88"/>
      <c r="H206" s="59"/>
      <c r="I206" s="89"/>
      <c r="J206" s="103">
        <f>VLOOKUP(A206&amp;G206,Lookup!J:N,5,0)</f>
        <v>0</v>
      </c>
      <c r="K206" s="103"/>
      <c r="L206" s="110"/>
      <c r="M206" s="110"/>
      <c r="N206" s="120"/>
      <c r="O206" s="86">
        <f>IFERROR(VLOOKUP(A206&amp;G206,Lookup!J:K,2,0),"")</f>
        <v>0</v>
      </c>
      <c r="P206" s="110" t="str">
        <f t="shared" si="28"/>
        <v/>
      </c>
      <c r="R206" s="87" t="str">
        <f t="shared" si="25"/>
        <v/>
      </c>
      <c r="S206" s="87" t="str">
        <f t="shared" si="26"/>
        <v/>
      </c>
      <c r="T206" s="59" t="e">
        <f t="shared" ref="T206:T269" si="29">IF(Q206-P206&gt;0.0415,"YES",(IF(OR(EXACT(Q206,""), EXACT(P206,"")),"","NO")))</f>
        <v>#VALUE!</v>
      </c>
      <c r="U206" s="59"/>
      <c r="V206" s="59"/>
      <c r="W206" s="59"/>
      <c r="X206" s="60" t="str">
        <f t="shared" si="27"/>
        <v>D</v>
      </c>
    </row>
    <row r="207" spans="1:24" x14ac:dyDescent="0.25">
      <c r="A207" s="53"/>
      <c r="B207" s="59" t="str">
        <f>IFERROR(VLOOKUP(A207,Lookup!A:B,2,0),"")</f>
        <v/>
      </c>
      <c r="C207" s="59" t="str">
        <f>IFERROR(VLOOKUP(A207,Lookup!A:C,3,0),"")</f>
        <v/>
      </c>
      <c r="D207" s="59"/>
      <c r="E207" s="92"/>
      <c r="F207" s="59"/>
      <c r="G207" s="88"/>
      <c r="H207" s="59"/>
      <c r="I207" s="89"/>
      <c r="J207" s="103">
        <f>VLOOKUP(A207&amp;G207,Lookup!J:N,5,0)</f>
        <v>0</v>
      </c>
      <c r="K207" s="103"/>
      <c r="L207" s="110"/>
      <c r="M207" s="110"/>
      <c r="N207" s="120"/>
      <c r="O207" s="86">
        <f>IFERROR(VLOOKUP(A207&amp;G207,Lookup!J:K,2,0),"")</f>
        <v>0</v>
      </c>
      <c r="P207" s="110" t="str">
        <f t="shared" si="28"/>
        <v/>
      </c>
      <c r="R207" s="87" t="str">
        <f t="shared" si="25"/>
        <v/>
      </c>
      <c r="S207" s="87" t="str">
        <f t="shared" si="26"/>
        <v/>
      </c>
      <c r="T207" s="59" t="e">
        <f t="shared" si="29"/>
        <v>#VALUE!</v>
      </c>
      <c r="U207" s="59"/>
      <c r="V207" s="59"/>
      <c r="W207" s="59"/>
      <c r="X207" s="60" t="str">
        <f t="shared" si="27"/>
        <v>D</v>
      </c>
    </row>
    <row r="208" spans="1:24" x14ac:dyDescent="0.25">
      <c r="A208" s="53"/>
      <c r="B208" s="59" t="str">
        <f>IFERROR(VLOOKUP(A208,Lookup!A:B,2,0),"")</f>
        <v/>
      </c>
      <c r="C208" s="59" t="str">
        <f>IFERROR(VLOOKUP(A208,Lookup!A:C,3,0),"")</f>
        <v/>
      </c>
      <c r="D208" s="59"/>
      <c r="E208" s="92"/>
      <c r="F208" s="59"/>
      <c r="G208" s="88"/>
      <c r="H208" s="59"/>
      <c r="I208" s="89"/>
      <c r="J208" s="103">
        <f>VLOOKUP(A208&amp;G208,Lookup!J:N,5,0)</f>
        <v>0</v>
      </c>
      <c r="K208" s="103"/>
      <c r="L208" s="110"/>
      <c r="M208" s="110"/>
      <c r="N208" s="120"/>
      <c r="O208" s="86">
        <f>IFERROR(VLOOKUP(A208&amp;G208,Lookup!J:K,2,0),"")</f>
        <v>0</v>
      </c>
      <c r="P208" s="110" t="str">
        <f t="shared" si="28"/>
        <v/>
      </c>
      <c r="R208" s="87" t="str">
        <f t="shared" si="25"/>
        <v/>
      </c>
      <c r="S208" s="87" t="str">
        <f t="shared" si="26"/>
        <v/>
      </c>
      <c r="T208" s="59" t="e">
        <f t="shared" si="29"/>
        <v>#VALUE!</v>
      </c>
      <c r="U208" s="59"/>
      <c r="V208" s="59"/>
      <c r="W208" s="59"/>
      <c r="X208" s="60" t="str">
        <f t="shared" si="27"/>
        <v>D</v>
      </c>
    </row>
    <row r="209" spans="1:24" x14ac:dyDescent="0.25">
      <c r="A209" s="53"/>
      <c r="B209" s="59" t="str">
        <f>IFERROR(VLOOKUP(A209,Lookup!A:B,2,0),"")</f>
        <v/>
      </c>
      <c r="C209" s="59" t="str">
        <f>IFERROR(VLOOKUP(A209,Lookup!A:C,3,0),"")</f>
        <v/>
      </c>
      <c r="D209" s="59"/>
      <c r="E209" s="92"/>
      <c r="F209" s="59"/>
      <c r="G209" s="88"/>
      <c r="H209" s="59"/>
      <c r="I209" s="89"/>
      <c r="J209" s="103">
        <f>VLOOKUP(A209&amp;G209,Lookup!J:N,5,0)</f>
        <v>0</v>
      </c>
      <c r="K209" s="103"/>
      <c r="L209" s="110"/>
      <c r="M209" s="110"/>
      <c r="N209" s="120"/>
      <c r="O209" s="86">
        <f>IFERROR(VLOOKUP(A209&amp;G209,Lookup!J:K,2,0),"")</f>
        <v>0</v>
      </c>
      <c r="P209" s="110" t="str">
        <f t="shared" si="28"/>
        <v/>
      </c>
      <c r="R209" s="87" t="str">
        <f t="shared" si="25"/>
        <v/>
      </c>
      <c r="S209" s="87" t="str">
        <f t="shared" si="26"/>
        <v/>
      </c>
      <c r="T209" s="59" t="e">
        <f t="shared" si="29"/>
        <v>#VALUE!</v>
      </c>
      <c r="U209" s="59"/>
      <c r="V209" s="59"/>
      <c r="W209" s="59"/>
      <c r="X209" s="60" t="str">
        <f t="shared" si="27"/>
        <v>D</v>
      </c>
    </row>
    <row r="210" spans="1:24" x14ac:dyDescent="0.25">
      <c r="A210" s="53"/>
      <c r="B210" s="59" t="str">
        <f>IFERROR(VLOOKUP(A210,Lookup!A:B,2,0),"")</f>
        <v/>
      </c>
      <c r="C210" s="59" t="str">
        <f>IFERROR(VLOOKUP(A210,Lookup!A:C,3,0),"")</f>
        <v/>
      </c>
      <c r="D210" s="59"/>
      <c r="E210" s="92"/>
      <c r="F210" s="59"/>
      <c r="G210" s="88"/>
      <c r="H210" s="59"/>
      <c r="I210" s="89"/>
      <c r="J210" s="103">
        <f>VLOOKUP(A210&amp;G210,Lookup!J:N,5,0)</f>
        <v>0</v>
      </c>
      <c r="K210" s="103"/>
      <c r="L210" s="110"/>
      <c r="M210" s="110"/>
      <c r="N210" s="120"/>
      <c r="O210" s="86">
        <f>IFERROR(VLOOKUP(A210&amp;G210,Lookup!J:K,2,0),"")</f>
        <v>0</v>
      </c>
      <c r="P210" s="110" t="str">
        <f t="shared" si="28"/>
        <v/>
      </c>
      <c r="R210" s="87" t="str">
        <f t="shared" si="25"/>
        <v/>
      </c>
      <c r="S210" s="87" t="str">
        <f t="shared" si="26"/>
        <v/>
      </c>
      <c r="T210" s="59" t="e">
        <f t="shared" si="29"/>
        <v>#VALUE!</v>
      </c>
      <c r="U210" s="59"/>
      <c r="V210" s="59"/>
      <c r="W210" s="59"/>
      <c r="X210" s="60" t="str">
        <f t="shared" si="27"/>
        <v>D</v>
      </c>
    </row>
    <row r="211" spans="1:24" x14ac:dyDescent="0.25">
      <c r="A211" s="53"/>
      <c r="B211" s="59" t="str">
        <f>IFERROR(VLOOKUP(A211,Lookup!A:B,2,0),"")</f>
        <v/>
      </c>
      <c r="C211" s="59" t="str">
        <f>IFERROR(VLOOKUP(A211,Lookup!A:C,3,0),"")</f>
        <v/>
      </c>
      <c r="D211" s="59"/>
      <c r="E211" s="92"/>
      <c r="F211" s="59"/>
      <c r="G211" s="88"/>
      <c r="H211" s="59"/>
      <c r="I211" s="89"/>
      <c r="J211" s="103">
        <f>VLOOKUP(A211&amp;G211,Lookup!J:N,5,0)</f>
        <v>0</v>
      </c>
      <c r="K211" s="103"/>
      <c r="L211" s="110"/>
      <c r="M211" s="110"/>
      <c r="N211" s="120"/>
      <c r="O211" s="86">
        <f>IFERROR(VLOOKUP(A211&amp;G211,Lookup!J:K,2,0),"")</f>
        <v>0</v>
      </c>
      <c r="P211" s="110" t="str">
        <f t="shared" si="28"/>
        <v/>
      </c>
      <c r="R211" s="87" t="str">
        <f t="shared" si="25"/>
        <v/>
      </c>
      <c r="S211" s="87" t="str">
        <f t="shared" si="26"/>
        <v/>
      </c>
      <c r="T211" s="59" t="e">
        <f t="shared" si="29"/>
        <v>#VALUE!</v>
      </c>
      <c r="U211" s="59"/>
      <c r="V211" s="59"/>
      <c r="W211" s="59"/>
      <c r="X211" s="60" t="str">
        <f t="shared" si="27"/>
        <v>D</v>
      </c>
    </row>
    <row r="212" spans="1:24" x14ac:dyDescent="0.25">
      <c r="A212" s="53"/>
      <c r="B212" s="59" t="str">
        <f>IFERROR(VLOOKUP(A212,Lookup!A:B,2,0),"")</f>
        <v/>
      </c>
      <c r="C212" s="59" t="str">
        <f>IFERROR(VLOOKUP(A212,Lookup!A:C,3,0),"")</f>
        <v/>
      </c>
      <c r="D212" s="59"/>
      <c r="E212" s="92"/>
      <c r="F212" s="59"/>
      <c r="G212" s="88"/>
      <c r="H212" s="59"/>
      <c r="I212" s="89"/>
      <c r="J212" s="103">
        <f>VLOOKUP(A212&amp;G212,Lookup!J:N,5,0)</f>
        <v>0</v>
      </c>
      <c r="K212" s="103"/>
      <c r="L212" s="110"/>
      <c r="M212" s="110"/>
      <c r="N212" s="120"/>
      <c r="O212" s="86">
        <f>IFERROR(VLOOKUP(A212&amp;G212,Lookup!J:K,2,0),"")</f>
        <v>0</v>
      </c>
      <c r="P212" s="110" t="str">
        <f t="shared" si="28"/>
        <v/>
      </c>
      <c r="R212" s="87" t="str">
        <f t="shared" si="25"/>
        <v/>
      </c>
      <c r="S212" s="87" t="str">
        <f t="shared" si="26"/>
        <v/>
      </c>
      <c r="T212" s="59" t="e">
        <f t="shared" si="29"/>
        <v>#VALUE!</v>
      </c>
      <c r="U212" s="59"/>
      <c r="V212" s="59"/>
      <c r="W212" s="59"/>
      <c r="X212" s="60" t="str">
        <f t="shared" si="27"/>
        <v>D</v>
      </c>
    </row>
    <row r="213" spans="1:24" x14ac:dyDescent="0.25">
      <c r="A213" s="53"/>
      <c r="B213" s="59" t="str">
        <f>IFERROR(VLOOKUP(A213,Lookup!A:B,2,0),"")</f>
        <v/>
      </c>
      <c r="C213" s="59" t="str">
        <f>IFERROR(VLOOKUP(A213,Lookup!A:C,3,0),"")</f>
        <v/>
      </c>
      <c r="D213" s="59"/>
      <c r="E213" s="92"/>
      <c r="F213" s="59"/>
      <c r="G213" s="88"/>
      <c r="H213" s="59"/>
      <c r="I213" s="89"/>
      <c r="J213" s="103">
        <f>VLOOKUP(A213&amp;G213,Lookup!J:N,5,0)</f>
        <v>0</v>
      </c>
      <c r="K213" s="103"/>
      <c r="L213" s="110"/>
      <c r="M213" s="110"/>
      <c r="N213" s="120"/>
      <c r="O213" s="86">
        <f>IFERROR(VLOOKUP(A213&amp;G213,Lookup!J:K,2,0),"")</f>
        <v>0</v>
      </c>
      <c r="P213" s="110" t="str">
        <f t="shared" si="28"/>
        <v/>
      </c>
      <c r="R213" s="87" t="str">
        <f t="shared" si="25"/>
        <v/>
      </c>
      <c r="S213" s="87" t="str">
        <f t="shared" si="26"/>
        <v/>
      </c>
      <c r="T213" s="59" t="e">
        <f t="shared" si="29"/>
        <v>#VALUE!</v>
      </c>
      <c r="U213" s="59"/>
      <c r="V213" s="59"/>
      <c r="W213" s="59"/>
      <c r="X213" s="60" t="str">
        <f t="shared" si="27"/>
        <v>D</v>
      </c>
    </row>
    <row r="214" spans="1:24" x14ac:dyDescent="0.25">
      <c r="A214" s="53"/>
      <c r="B214" s="59" t="str">
        <f>IFERROR(VLOOKUP(A214,Lookup!A:B,2,0),"")</f>
        <v/>
      </c>
      <c r="C214" s="59" t="str">
        <f>IFERROR(VLOOKUP(A214,Lookup!A:C,3,0),"")</f>
        <v/>
      </c>
      <c r="D214" s="59"/>
      <c r="E214" s="92"/>
      <c r="F214" s="59"/>
      <c r="G214" s="88"/>
      <c r="H214" s="59"/>
      <c r="I214" s="89"/>
      <c r="J214" s="103">
        <f>VLOOKUP(A214&amp;G214,Lookup!J:N,5,0)</f>
        <v>0</v>
      </c>
      <c r="K214" s="103"/>
      <c r="L214" s="110"/>
      <c r="M214" s="110"/>
      <c r="N214" s="120"/>
      <c r="O214" s="86">
        <f>IFERROR(VLOOKUP(A214&amp;G214,Lookup!J:K,2,0),"")</f>
        <v>0</v>
      </c>
      <c r="P214" s="110" t="str">
        <f t="shared" si="28"/>
        <v/>
      </c>
      <c r="R214" s="87" t="str">
        <f t="shared" si="25"/>
        <v/>
      </c>
      <c r="S214" s="87" t="str">
        <f t="shared" si="26"/>
        <v/>
      </c>
      <c r="T214" s="59" t="e">
        <f t="shared" si="29"/>
        <v>#VALUE!</v>
      </c>
      <c r="U214" s="59"/>
      <c r="V214" s="59"/>
      <c r="W214" s="59"/>
      <c r="X214" s="60" t="str">
        <f t="shared" si="27"/>
        <v>D</v>
      </c>
    </row>
    <row r="215" spans="1:24" x14ac:dyDescent="0.25">
      <c r="A215" s="53"/>
      <c r="B215" s="59" t="str">
        <f>IFERROR(VLOOKUP(A215,Lookup!A:B,2,0),"")</f>
        <v/>
      </c>
      <c r="C215" s="59" t="str">
        <f>IFERROR(VLOOKUP(A215,Lookup!A:C,3,0),"")</f>
        <v/>
      </c>
      <c r="D215" s="59"/>
      <c r="E215" s="92"/>
      <c r="F215" s="59"/>
      <c r="G215" s="88"/>
      <c r="H215" s="59"/>
      <c r="I215" s="89"/>
      <c r="J215" s="103">
        <f>VLOOKUP(A215&amp;G215,Lookup!J:N,5,0)</f>
        <v>0</v>
      </c>
      <c r="K215" s="103"/>
      <c r="L215" s="110"/>
      <c r="M215" s="110"/>
      <c r="N215" s="120"/>
      <c r="O215" s="86">
        <f>IFERROR(VLOOKUP(A215&amp;G215,Lookup!J:K,2,0),"")</f>
        <v>0</v>
      </c>
      <c r="P215" s="110" t="str">
        <f t="shared" si="28"/>
        <v/>
      </c>
      <c r="R215" s="87" t="str">
        <f t="shared" si="25"/>
        <v/>
      </c>
      <c r="S215" s="87" t="str">
        <f t="shared" si="26"/>
        <v/>
      </c>
      <c r="T215" s="59" t="e">
        <f t="shared" si="29"/>
        <v>#VALUE!</v>
      </c>
      <c r="U215" s="59"/>
      <c r="V215" s="59"/>
      <c r="W215" s="59"/>
      <c r="X215" s="60" t="str">
        <f t="shared" si="27"/>
        <v>D</v>
      </c>
    </row>
    <row r="216" spans="1:24" x14ac:dyDescent="0.25">
      <c r="A216" s="53"/>
      <c r="B216" s="59" t="str">
        <f>IFERROR(VLOOKUP(A216,Lookup!A:B,2,0),"")</f>
        <v/>
      </c>
      <c r="C216" s="59" t="str">
        <f>IFERROR(VLOOKUP(A216,Lookup!A:C,3,0),"")</f>
        <v/>
      </c>
      <c r="D216" s="59"/>
      <c r="E216" s="92"/>
      <c r="F216" s="59"/>
      <c r="G216" s="88"/>
      <c r="H216" s="59"/>
      <c r="I216" s="89"/>
      <c r="J216" s="103">
        <f>VLOOKUP(A216&amp;G216,Lookup!J:N,5,0)</f>
        <v>0</v>
      </c>
      <c r="K216" s="103"/>
      <c r="L216" s="110"/>
      <c r="M216" s="110"/>
      <c r="N216" s="120"/>
      <c r="O216" s="86">
        <f>IFERROR(VLOOKUP(A216&amp;G216,Lookup!J:K,2,0),"")</f>
        <v>0</v>
      </c>
      <c r="P216" s="110" t="str">
        <f t="shared" si="28"/>
        <v/>
      </c>
      <c r="R216" s="87" t="str">
        <f t="shared" si="25"/>
        <v/>
      </c>
      <c r="S216" s="87" t="str">
        <f t="shared" si="26"/>
        <v/>
      </c>
      <c r="T216" s="59" t="e">
        <f t="shared" si="29"/>
        <v>#VALUE!</v>
      </c>
      <c r="U216" s="59"/>
      <c r="V216" s="59"/>
      <c r="W216" s="59"/>
      <c r="X216" s="60" t="str">
        <f t="shared" si="27"/>
        <v>D</v>
      </c>
    </row>
    <row r="217" spans="1:24" x14ac:dyDescent="0.25">
      <c r="A217" s="53"/>
      <c r="B217" s="59" t="str">
        <f>IFERROR(VLOOKUP(A217,Lookup!A:B,2,0),"")</f>
        <v/>
      </c>
      <c r="C217" s="59" t="str">
        <f>IFERROR(VLOOKUP(A217,Lookup!A:C,3,0),"")</f>
        <v/>
      </c>
      <c r="D217" s="59"/>
      <c r="E217" s="92"/>
      <c r="F217" s="59"/>
      <c r="G217" s="88"/>
      <c r="H217" s="59"/>
      <c r="I217" s="89"/>
      <c r="J217" s="103">
        <f>VLOOKUP(A217&amp;G217,Lookup!J:N,5,0)</f>
        <v>0</v>
      </c>
      <c r="K217" s="103"/>
      <c r="L217" s="110"/>
      <c r="M217" s="110"/>
      <c r="N217" s="120"/>
      <c r="O217" s="86">
        <f>IFERROR(VLOOKUP(A217&amp;G217,Lookup!J:K,2,0),"")</f>
        <v>0</v>
      </c>
      <c r="P217" s="110" t="str">
        <f t="shared" si="28"/>
        <v/>
      </c>
      <c r="R217" s="87" t="str">
        <f t="shared" si="25"/>
        <v/>
      </c>
      <c r="S217" s="87" t="str">
        <f t="shared" si="26"/>
        <v/>
      </c>
      <c r="T217" s="59" t="e">
        <f t="shared" si="29"/>
        <v>#VALUE!</v>
      </c>
      <c r="U217" s="59"/>
      <c r="V217" s="59"/>
      <c r="W217" s="59"/>
      <c r="X217" s="60" t="str">
        <f t="shared" si="27"/>
        <v>D</v>
      </c>
    </row>
    <row r="218" spans="1:24" x14ac:dyDescent="0.25">
      <c r="A218" s="53"/>
      <c r="B218" s="59" t="str">
        <f>IFERROR(VLOOKUP(A218,Lookup!A:B,2,0),"")</f>
        <v/>
      </c>
      <c r="C218" s="59" t="str">
        <f>IFERROR(VLOOKUP(A218,Lookup!A:C,3,0),"")</f>
        <v/>
      </c>
      <c r="D218" s="59"/>
      <c r="E218" s="92"/>
      <c r="F218" s="59"/>
      <c r="G218" s="88"/>
      <c r="H218" s="59"/>
      <c r="I218" s="89"/>
      <c r="J218" s="103">
        <f>VLOOKUP(A218&amp;G218,Lookup!J:N,5,0)</f>
        <v>0</v>
      </c>
      <c r="K218" s="103"/>
      <c r="L218" s="110"/>
      <c r="M218" s="110"/>
      <c r="N218" s="120"/>
      <c r="O218" s="86">
        <f>IFERROR(VLOOKUP(A218&amp;G218,Lookup!J:K,2,0),"")</f>
        <v>0</v>
      </c>
      <c r="P218" s="110" t="str">
        <f t="shared" si="28"/>
        <v/>
      </c>
      <c r="R218" s="87" t="str">
        <f t="shared" si="25"/>
        <v/>
      </c>
      <c r="S218" s="87" t="str">
        <f t="shared" si="26"/>
        <v/>
      </c>
      <c r="T218" s="59" t="e">
        <f t="shared" si="29"/>
        <v>#VALUE!</v>
      </c>
      <c r="U218" s="59"/>
      <c r="V218" s="59"/>
      <c r="W218" s="59"/>
      <c r="X218" s="60" t="str">
        <f t="shared" si="27"/>
        <v>D</v>
      </c>
    </row>
    <row r="219" spans="1:24" x14ac:dyDescent="0.25">
      <c r="A219" s="53"/>
      <c r="B219" s="59" t="str">
        <f>IFERROR(VLOOKUP(A219,Lookup!A:B,2,0),"")</f>
        <v/>
      </c>
      <c r="C219" s="59" t="str">
        <f>IFERROR(VLOOKUP(A219,Lookup!A:C,3,0),"")</f>
        <v/>
      </c>
      <c r="D219" s="59"/>
      <c r="E219" s="92"/>
      <c r="F219" s="59"/>
      <c r="G219" s="88"/>
      <c r="H219" s="59"/>
      <c r="I219" s="89"/>
      <c r="J219" s="103">
        <f>VLOOKUP(A219&amp;G219,Lookup!J:N,5,0)</f>
        <v>0</v>
      </c>
      <c r="K219" s="103"/>
      <c r="L219" s="110"/>
      <c r="M219" s="110"/>
      <c r="N219" s="120"/>
      <c r="O219" s="86">
        <f>IFERROR(VLOOKUP(A219&amp;G219,Lookup!J:K,2,0),"")</f>
        <v>0</v>
      </c>
      <c r="P219" s="110" t="str">
        <f t="shared" si="28"/>
        <v/>
      </c>
      <c r="R219" s="87" t="str">
        <f t="shared" si="25"/>
        <v/>
      </c>
      <c r="S219" s="87" t="str">
        <f t="shared" si="26"/>
        <v/>
      </c>
      <c r="T219" s="59" t="e">
        <f t="shared" si="29"/>
        <v>#VALUE!</v>
      </c>
      <c r="U219" s="59"/>
      <c r="V219" s="59"/>
      <c r="W219" s="59"/>
      <c r="X219" s="60" t="str">
        <f t="shared" si="27"/>
        <v>D</v>
      </c>
    </row>
    <row r="220" spans="1:24" x14ac:dyDescent="0.25">
      <c r="A220" s="53"/>
      <c r="B220" s="59" t="str">
        <f>IFERROR(VLOOKUP(A220,Lookup!A:B,2,0),"")</f>
        <v/>
      </c>
      <c r="C220" s="59" t="str">
        <f>IFERROR(VLOOKUP(A220,Lookup!A:C,3,0),"")</f>
        <v/>
      </c>
      <c r="D220" s="59"/>
      <c r="E220" s="92"/>
      <c r="F220" s="59"/>
      <c r="G220" s="88"/>
      <c r="H220" s="59"/>
      <c r="I220" s="89"/>
      <c r="J220" s="103">
        <f>VLOOKUP(A220&amp;G220,Lookup!J:N,5,0)</f>
        <v>0</v>
      </c>
      <c r="K220" s="103"/>
      <c r="L220" s="110"/>
      <c r="M220" s="110"/>
      <c r="N220" s="120"/>
      <c r="O220" s="86">
        <f>IFERROR(VLOOKUP(A220&amp;G220,Lookup!J:K,2,0),"")</f>
        <v>0</v>
      </c>
      <c r="P220" s="110" t="str">
        <f t="shared" si="28"/>
        <v/>
      </c>
      <c r="R220" s="87" t="str">
        <f t="shared" si="25"/>
        <v/>
      </c>
      <c r="S220" s="87" t="str">
        <f t="shared" si="26"/>
        <v/>
      </c>
      <c r="T220" s="59" t="e">
        <f t="shared" si="29"/>
        <v>#VALUE!</v>
      </c>
      <c r="U220" s="59"/>
      <c r="V220" s="59"/>
      <c r="W220" s="59"/>
      <c r="X220" s="60" t="str">
        <f t="shared" si="27"/>
        <v>D</v>
      </c>
    </row>
    <row r="221" spans="1:24" x14ac:dyDescent="0.25">
      <c r="A221" s="53"/>
      <c r="B221" s="59" t="str">
        <f>IFERROR(VLOOKUP(A221,Lookup!A:B,2,0),"")</f>
        <v/>
      </c>
      <c r="C221" s="59" t="str">
        <f>IFERROR(VLOOKUP(A221,Lookup!A:C,3,0),"")</f>
        <v/>
      </c>
      <c r="D221" s="59"/>
      <c r="E221" s="92"/>
      <c r="F221" s="59"/>
      <c r="G221" s="88"/>
      <c r="H221" s="59"/>
      <c r="I221" s="89"/>
      <c r="J221" s="103">
        <f>VLOOKUP(A221&amp;G221,Lookup!J:N,5,0)</f>
        <v>0</v>
      </c>
      <c r="K221" s="103"/>
      <c r="L221" s="110"/>
      <c r="M221" s="110"/>
      <c r="N221" s="120"/>
      <c r="O221" s="86">
        <f>IFERROR(VLOOKUP(A221&amp;G221,Lookup!J:K,2,0),"")</f>
        <v>0</v>
      </c>
      <c r="P221" s="110" t="str">
        <f t="shared" si="28"/>
        <v/>
      </c>
      <c r="R221" s="87" t="str">
        <f t="shared" si="25"/>
        <v/>
      </c>
      <c r="S221" s="87" t="str">
        <f t="shared" si="26"/>
        <v/>
      </c>
      <c r="T221" s="59" t="e">
        <f t="shared" si="29"/>
        <v>#VALUE!</v>
      </c>
      <c r="U221" s="59"/>
      <c r="V221" s="59"/>
      <c r="W221" s="59"/>
      <c r="X221" s="60" t="str">
        <f t="shared" si="27"/>
        <v>D</v>
      </c>
    </row>
    <row r="222" spans="1:24" x14ac:dyDescent="0.25">
      <c r="A222" s="53"/>
      <c r="B222" s="59" t="str">
        <f>IFERROR(VLOOKUP(A222,Lookup!A:B,2,0),"")</f>
        <v/>
      </c>
      <c r="C222" s="59" t="str">
        <f>IFERROR(VLOOKUP(A222,Lookup!A:C,3,0),"")</f>
        <v/>
      </c>
      <c r="D222" s="59"/>
      <c r="E222" s="92"/>
      <c r="F222" s="59"/>
      <c r="G222" s="88"/>
      <c r="H222" s="59"/>
      <c r="I222" s="89"/>
      <c r="J222" s="103">
        <f>VLOOKUP(A222&amp;G222,Lookup!J:N,5,0)</f>
        <v>0</v>
      </c>
      <c r="K222" s="103"/>
      <c r="L222" s="110"/>
      <c r="M222" s="110"/>
      <c r="N222" s="120"/>
      <c r="O222" s="86">
        <f>IFERROR(VLOOKUP(A222&amp;G222,Lookup!J:K,2,0),"")</f>
        <v>0</v>
      </c>
      <c r="P222" s="110" t="str">
        <f t="shared" si="28"/>
        <v/>
      </c>
      <c r="R222" s="87" t="str">
        <f t="shared" si="25"/>
        <v/>
      </c>
      <c r="S222" s="87" t="str">
        <f t="shared" si="26"/>
        <v/>
      </c>
      <c r="T222" s="59" t="e">
        <f t="shared" si="29"/>
        <v>#VALUE!</v>
      </c>
      <c r="U222" s="59"/>
      <c r="V222" s="59"/>
      <c r="W222" s="59"/>
      <c r="X222" s="60" t="str">
        <f t="shared" si="27"/>
        <v>D</v>
      </c>
    </row>
    <row r="223" spans="1:24" x14ac:dyDescent="0.25">
      <c r="A223" s="53"/>
      <c r="B223" s="59" t="str">
        <f>IFERROR(VLOOKUP(A223,Lookup!A:B,2,0),"")</f>
        <v/>
      </c>
      <c r="C223" s="59" t="str">
        <f>IFERROR(VLOOKUP(A223,Lookup!A:C,3,0),"")</f>
        <v/>
      </c>
      <c r="D223" s="59"/>
      <c r="E223" s="92"/>
      <c r="F223" s="59"/>
      <c r="G223" s="88"/>
      <c r="H223" s="59"/>
      <c r="I223" s="89"/>
      <c r="J223" s="103">
        <f>VLOOKUP(A223&amp;G223,Lookup!J:N,5,0)</f>
        <v>0</v>
      </c>
      <c r="K223" s="103"/>
      <c r="L223" s="110"/>
      <c r="M223" s="110"/>
      <c r="N223" s="120"/>
      <c r="O223" s="86">
        <f>IFERROR(VLOOKUP(A223&amp;G223,Lookup!J:K,2,0),"")</f>
        <v>0</v>
      </c>
      <c r="P223" s="110" t="str">
        <f t="shared" si="28"/>
        <v/>
      </c>
      <c r="R223" s="87" t="str">
        <f t="shared" si="25"/>
        <v/>
      </c>
      <c r="S223" s="87" t="str">
        <f t="shared" si="26"/>
        <v/>
      </c>
      <c r="T223" s="59" t="e">
        <f t="shared" si="29"/>
        <v>#VALUE!</v>
      </c>
      <c r="U223" s="59"/>
      <c r="V223" s="59"/>
      <c r="W223" s="59"/>
      <c r="X223" s="60" t="str">
        <f t="shared" si="27"/>
        <v>D</v>
      </c>
    </row>
    <row r="224" spans="1:24" x14ac:dyDescent="0.25">
      <c r="A224" s="53"/>
      <c r="B224" s="59" t="str">
        <f>IFERROR(VLOOKUP(A224,Lookup!A:B,2,0),"")</f>
        <v/>
      </c>
      <c r="C224" s="59" t="str">
        <f>IFERROR(VLOOKUP(A224,Lookup!A:C,3,0),"")</f>
        <v/>
      </c>
      <c r="D224" s="59"/>
      <c r="E224" s="92"/>
      <c r="F224" s="59"/>
      <c r="G224" s="88"/>
      <c r="H224" s="59"/>
      <c r="I224" s="89"/>
      <c r="J224" s="103">
        <f>VLOOKUP(A224&amp;G224,Lookup!J:N,5,0)</f>
        <v>0</v>
      </c>
      <c r="K224" s="103"/>
      <c r="L224" s="110"/>
      <c r="M224" s="110"/>
      <c r="N224" s="120"/>
      <c r="O224" s="86">
        <f>IFERROR(VLOOKUP(A224&amp;G224,Lookup!J:K,2,0),"")</f>
        <v>0</v>
      </c>
      <c r="P224" s="110" t="str">
        <f t="shared" si="28"/>
        <v/>
      </c>
      <c r="R224" s="87" t="str">
        <f t="shared" si="25"/>
        <v/>
      </c>
      <c r="S224" s="87" t="str">
        <f t="shared" si="26"/>
        <v/>
      </c>
      <c r="T224" s="59" t="e">
        <f t="shared" si="29"/>
        <v>#VALUE!</v>
      </c>
      <c r="U224" s="59"/>
      <c r="V224" s="59"/>
      <c r="W224" s="59"/>
      <c r="X224" s="60" t="str">
        <f t="shared" si="27"/>
        <v>D</v>
      </c>
    </row>
    <row r="225" spans="1:24" x14ac:dyDescent="0.25">
      <c r="A225" s="53"/>
      <c r="B225" s="59" t="str">
        <f>IFERROR(VLOOKUP(A225,Lookup!A:B,2,0),"")</f>
        <v/>
      </c>
      <c r="C225" s="59" t="str">
        <f>IFERROR(VLOOKUP(A225,Lookup!A:C,3,0),"")</f>
        <v/>
      </c>
      <c r="D225" s="59"/>
      <c r="E225" s="92"/>
      <c r="F225" s="59"/>
      <c r="G225" s="88"/>
      <c r="H225" s="59"/>
      <c r="I225" s="89"/>
      <c r="J225" s="103">
        <f>VLOOKUP(A225&amp;G225,Lookup!J:N,5,0)</f>
        <v>0</v>
      </c>
      <c r="K225" s="103"/>
      <c r="L225" s="110"/>
      <c r="M225" s="110"/>
      <c r="N225" s="120"/>
      <c r="O225" s="86">
        <f>IFERROR(VLOOKUP(A225&amp;G225,Lookup!J:K,2,0),"")</f>
        <v>0</v>
      </c>
      <c r="P225" s="110" t="str">
        <f t="shared" si="28"/>
        <v/>
      </c>
      <c r="R225" s="87" t="str">
        <f t="shared" si="25"/>
        <v/>
      </c>
      <c r="S225" s="87" t="str">
        <f t="shared" si="26"/>
        <v/>
      </c>
      <c r="T225" s="59" t="e">
        <f t="shared" si="29"/>
        <v>#VALUE!</v>
      </c>
      <c r="U225" s="59"/>
      <c r="V225" s="59"/>
      <c r="W225" s="59"/>
      <c r="X225" s="60" t="str">
        <f t="shared" si="27"/>
        <v>D</v>
      </c>
    </row>
    <row r="226" spans="1:24" x14ac:dyDescent="0.25">
      <c r="A226" s="53"/>
      <c r="B226" s="59" t="str">
        <f>IFERROR(VLOOKUP(A226,Lookup!A:B,2,0),"")</f>
        <v/>
      </c>
      <c r="C226" s="59" t="str">
        <f>IFERROR(VLOOKUP(A226,Lookup!A:C,3,0),"")</f>
        <v/>
      </c>
      <c r="D226" s="59"/>
      <c r="E226" s="92"/>
      <c r="F226" s="59"/>
      <c r="G226" s="88"/>
      <c r="H226" s="59"/>
      <c r="I226" s="89"/>
      <c r="J226" s="103">
        <f>VLOOKUP(A226&amp;G226,Lookup!J:N,5,0)</f>
        <v>0</v>
      </c>
      <c r="K226" s="103"/>
      <c r="L226" s="110"/>
      <c r="M226" s="110"/>
      <c r="N226" s="120"/>
      <c r="O226" s="86">
        <f>IFERROR(VLOOKUP(A226&amp;G226,Lookup!J:K,2,0),"")</f>
        <v>0</v>
      </c>
      <c r="P226" s="110" t="str">
        <f t="shared" si="28"/>
        <v/>
      </c>
      <c r="R226" s="87" t="str">
        <f t="shared" si="25"/>
        <v/>
      </c>
      <c r="S226" s="87" t="str">
        <f t="shared" si="26"/>
        <v/>
      </c>
      <c r="T226" s="59" t="e">
        <f t="shared" si="29"/>
        <v>#VALUE!</v>
      </c>
      <c r="U226" s="59"/>
      <c r="V226" s="59"/>
      <c r="W226" s="59"/>
      <c r="X226" s="60" t="str">
        <f t="shared" si="27"/>
        <v>D</v>
      </c>
    </row>
    <row r="227" spans="1:24" x14ac:dyDescent="0.25">
      <c r="A227" s="53"/>
      <c r="B227" s="59" t="str">
        <f>IFERROR(VLOOKUP(A227,Lookup!A:B,2,0),"")</f>
        <v/>
      </c>
      <c r="C227" s="59" t="str">
        <f>IFERROR(VLOOKUP(A227,Lookup!A:C,3,0),"")</f>
        <v/>
      </c>
      <c r="D227" s="59"/>
      <c r="E227" s="92"/>
      <c r="F227" s="59"/>
      <c r="G227" s="88"/>
      <c r="H227" s="59"/>
      <c r="I227" s="89"/>
      <c r="J227" s="103">
        <f>VLOOKUP(A227&amp;G227,Lookup!J:N,5,0)</f>
        <v>0</v>
      </c>
      <c r="K227" s="103"/>
      <c r="L227" s="110"/>
      <c r="M227" s="110"/>
      <c r="N227" s="120"/>
      <c r="O227" s="86">
        <f>IFERROR(VLOOKUP(A227&amp;G227,Lookup!J:K,2,0),"")</f>
        <v>0</v>
      </c>
      <c r="P227" s="110" t="str">
        <f t="shared" si="28"/>
        <v/>
      </c>
      <c r="R227" s="87" t="str">
        <f t="shared" si="25"/>
        <v/>
      </c>
      <c r="S227" s="87" t="str">
        <f t="shared" si="26"/>
        <v/>
      </c>
      <c r="T227" s="59" t="e">
        <f t="shared" si="29"/>
        <v>#VALUE!</v>
      </c>
      <c r="U227" s="59"/>
      <c r="V227" s="59"/>
      <c r="W227" s="59"/>
      <c r="X227" s="60" t="str">
        <f t="shared" si="27"/>
        <v>D</v>
      </c>
    </row>
    <row r="228" spans="1:24" x14ac:dyDescent="0.25">
      <c r="A228" s="53"/>
      <c r="B228" s="59" t="str">
        <f>IFERROR(VLOOKUP(A228,Lookup!A:B,2,0),"")</f>
        <v/>
      </c>
      <c r="C228" s="59" t="str">
        <f>IFERROR(VLOOKUP(A228,Lookup!A:C,3,0),"")</f>
        <v/>
      </c>
      <c r="D228" s="59"/>
      <c r="E228" s="92"/>
      <c r="F228" s="59"/>
      <c r="G228" s="88"/>
      <c r="H228" s="59"/>
      <c r="I228" s="89"/>
      <c r="J228" s="103">
        <f>VLOOKUP(A228&amp;G228,Lookup!J:N,5,0)</f>
        <v>0</v>
      </c>
      <c r="K228" s="103"/>
      <c r="L228" s="110"/>
      <c r="M228" s="110"/>
      <c r="N228" s="120"/>
      <c r="O228" s="86">
        <f>IFERROR(VLOOKUP(A228&amp;G228,Lookup!J:K,2,0),"")</f>
        <v>0</v>
      </c>
      <c r="P228" s="110" t="str">
        <f t="shared" si="28"/>
        <v/>
      </c>
      <c r="R228" s="87" t="str">
        <f t="shared" si="25"/>
        <v/>
      </c>
      <c r="S228" s="87" t="str">
        <f t="shared" si="26"/>
        <v/>
      </c>
      <c r="T228" s="59" t="e">
        <f t="shared" si="29"/>
        <v>#VALUE!</v>
      </c>
      <c r="U228" s="59"/>
      <c r="V228" s="59"/>
      <c r="W228" s="59"/>
      <c r="X228" s="60" t="str">
        <f t="shared" si="27"/>
        <v>D</v>
      </c>
    </row>
    <row r="229" spans="1:24" x14ac:dyDescent="0.25">
      <c r="A229" s="53"/>
      <c r="B229" s="59" t="str">
        <f>IFERROR(VLOOKUP(A229,Lookup!A:B,2,0),"")</f>
        <v/>
      </c>
      <c r="C229" s="59" t="str">
        <f>IFERROR(VLOOKUP(A229,Lookup!A:C,3,0),"")</f>
        <v/>
      </c>
      <c r="D229" s="59"/>
      <c r="E229" s="92"/>
      <c r="F229" s="59"/>
      <c r="G229" s="88"/>
      <c r="H229" s="59"/>
      <c r="I229" s="89"/>
      <c r="J229" s="103">
        <f>VLOOKUP(A229&amp;G229,Lookup!J:N,5,0)</f>
        <v>0</v>
      </c>
      <c r="K229" s="103"/>
      <c r="L229" s="110"/>
      <c r="M229" s="110"/>
      <c r="N229" s="120"/>
      <c r="O229" s="86">
        <f>IFERROR(VLOOKUP(A229&amp;G229,Lookup!J:K,2,0),"")</f>
        <v>0</v>
      </c>
      <c r="P229" s="110" t="str">
        <f t="shared" si="28"/>
        <v/>
      </c>
      <c r="R229" s="87" t="str">
        <f t="shared" si="25"/>
        <v/>
      </c>
      <c r="S229" s="87" t="str">
        <f t="shared" si="26"/>
        <v/>
      </c>
      <c r="T229" s="59" t="e">
        <f t="shared" si="29"/>
        <v>#VALUE!</v>
      </c>
      <c r="U229" s="59"/>
      <c r="V229" s="59"/>
      <c r="W229" s="59"/>
      <c r="X229" s="60" t="str">
        <f t="shared" si="27"/>
        <v>D</v>
      </c>
    </row>
    <row r="230" spans="1:24" x14ac:dyDescent="0.25">
      <c r="A230" s="53"/>
      <c r="B230" s="59" t="str">
        <f>IFERROR(VLOOKUP(A230,Lookup!A:B,2,0),"")</f>
        <v/>
      </c>
      <c r="C230" s="59" t="str">
        <f>IFERROR(VLOOKUP(A230,Lookup!A:C,3,0),"")</f>
        <v/>
      </c>
      <c r="D230" s="59"/>
      <c r="E230" s="92"/>
      <c r="F230" s="59"/>
      <c r="G230" s="88"/>
      <c r="H230" s="59"/>
      <c r="I230" s="89"/>
      <c r="J230" s="103">
        <f>VLOOKUP(A230&amp;G230,Lookup!J:N,5,0)</f>
        <v>0</v>
      </c>
      <c r="K230" s="103"/>
      <c r="L230" s="110"/>
      <c r="M230" s="110"/>
      <c r="N230" s="120"/>
      <c r="O230" s="86">
        <f>IFERROR(VLOOKUP(A230&amp;G230,Lookup!J:K,2,0),"")</f>
        <v>0</v>
      </c>
      <c r="P230" s="110" t="str">
        <f t="shared" si="28"/>
        <v/>
      </c>
      <c r="R230" s="87" t="str">
        <f t="shared" si="25"/>
        <v/>
      </c>
      <c r="S230" s="87" t="str">
        <f t="shared" si="26"/>
        <v/>
      </c>
      <c r="T230" s="59" t="e">
        <f t="shared" si="29"/>
        <v>#VALUE!</v>
      </c>
      <c r="U230" s="59"/>
      <c r="V230" s="59"/>
      <c r="W230" s="59"/>
      <c r="X230" s="60" t="str">
        <f t="shared" si="27"/>
        <v>D</v>
      </c>
    </row>
    <row r="231" spans="1:24" x14ac:dyDescent="0.25">
      <c r="A231" s="53"/>
      <c r="B231" s="59" t="str">
        <f>IFERROR(VLOOKUP(A231,Lookup!A:B,2,0),"")</f>
        <v/>
      </c>
      <c r="C231" s="59" t="str">
        <f>IFERROR(VLOOKUP(A231,Lookup!A:C,3,0),"")</f>
        <v/>
      </c>
      <c r="D231" s="59"/>
      <c r="E231" s="92"/>
      <c r="F231" s="59"/>
      <c r="G231" s="88"/>
      <c r="H231" s="59"/>
      <c r="I231" s="89"/>
      <c r="J231" s="103">
        <f>VLOOKUP(A231&amp;G231,Lookup!J:N,5,0)</f>
        <v>0</v>
      </c>
      <c r="K231" s="103"/>
      <c r="L231" s="110"/>
      <c r="M231" s="110"/>
      <c r="N231" s="120"/>
      <c r="O231" s="86">
        <f>IFERROR(VLOOKUP(A231&amp;G231,Lookup!J:K,2,0),"")</f>
        <v>0</v>
      </c>
      <c r="P231" s="110" t="str">
        <f t="shared" si="28"/>
        <v/>
      </c>
      <c r="R231" s="87" t="str">
        <f t="shared" si="25"/>
        <v/>
      </c>
      <c r="S231" s="87" t="str">
        <f t="shared" si="26"/>
        <v/>
      </c>
      <c r="T231" s="59" t="e">
        <f t="shared" si="29"/>
        <v>#VALUE!</v>
      </c>
      <c r="U231" s="59"/>
      <c r="V231" s="59"/>
      <c r="W231" s="59"/>
      <c r="X231" s="60" t="str">
        <f t="shared" si="27"/>
        <v>D</v>
      </c>
    </row>
    <row r="232" spans="1:24" x14ac:dyDescent="0.25">
      <c r="A232" s="53"/>
      <c r="B232" s="59" t="str">
        <f>IFERROR(VLOOKUP(A232,Lookup!A:B,2,0),"")</f>
        <v/>
      </c>
      <c r="C232" s="59" t="str">
        <f>IFERROR(VLOOKUP(A232,Lookup!A:C,3,0),"")</f>
        <v/>
      </c>
      <c r="D232" s="59"/>
      <c r="E232" s="92"/>
      <c r="F232" s="59"/>
      <c r="G232" s="88"/>
      <c r="H232" s="59"/>
      <c r="I232" s="89"/>
      <c r="J232" s="103">
        <f>VLOOKUP(A232&amp;G232,Lookup!J:N,5,0)</f>
        <v>0</v>
      </c>
      <c r="K232" s="103"/>
      <c r="L232" s="110"/>
      <c r="M232" s="110"/>
      <c r="N232" s="120"/>
      <c r="O232" s="86">
        <f>IFERROR(VLOOKUP(A232&amp;G232,Lookup!J:K,2,0),"")</f>
        <v>0</v>
      </c>
      <c r="P232" s="110" t="str">
        <f t="shared" si="28"/>
        <v/>
      </c>
      <c r="R232" s="87" t="str">
        <f t="shared" si="25"/>
        <v/>
      </c>
      <c r="S232" s="87" t="str">
        <f t="shared" si="26"/>
        <v/>
      </c>
      <c r="T232" s="59" t="e">
        <f t="shared" si="29"/>
        <v>#VALUE!</v>
      </c>
      <c r="U232" s="59"/>
      <c r="V232" s="59"/>
      <c r="W232" s="59"/>
      <c r="X232" s="60" t="str">
        <f t="shared" si="27"/>
        <v>D</v>
      </c>
    </row>
    <row r="233" spans="1:24" x14ac:dyDescent="0.25">
      <c r="A233" s="53"/>
      <c r="B233" s="59" t="str">
        <f>IFERROR(VLOOKUP(A233,Lookup!A:B,2,0),"")</f>
        <v/>
      </c>
      <c r="C233" s="59" t="str">
        <f>IFERROR(VLOOKUP(A233,Lookup!A:C,3,0),"")</f>
        <v/>
      </c>
      <c r="D233" s="59"/>
      <c r="E233" s="92"/>
      <c r="F233" s="59"/>
      <c r="G233" s="88"/>
      <c r="H233" s="59"/>
      <c r="I233" s="89"/>
      <c r="J233" s="103">
        <f>VLOOKUP(A233&amp;G233,Lookup!J:N,5,0)</f>
        <v>0</v>
      </c>
      <c r="K233" s="103"/>
      <c r="L233" s="110"/>
      <c r="M233" s="110"/>
      <c r="N233" s="120"/>
      <c r="O233" s="86">
        <f>IFERROR(VLOOKUP(A233&amp;G233,Lookup!J:K,2,0),"")</f>
        <v>0</v>
      </c>
      <c r="P233" s="110" t="str">
        <f t="shared" si="28"/>
        <v/>
      </c>
      <c r="R233" s="87" t="str">
        <f t="shared" si="25"/>
        <v/>
      </c>
      <c r="S233" s="87" t="str">
        <f t="shared" si="26"/>
        <v/>
      </c>
      <c r="T233" s="59" t="e">
        <f t="shared" si="29"/>
        <v>#VALUE!</v>
      </c>
      <c r="U233" s="59"/>
      <c r="V233" s="59"/>
      <c r="W233" s="59"/>
      <c r="X233" s="60" t="str">
        <f t="shared" si="27"/>
        <v>D</v>
      </c>
    </row>
    <row r="234" spans="1:24" x14ac:dyDescent="0.25">
      <c r="A234" s="53"/>
      <c r="B234" s="59" t="str">
        <f>IFERROR(VLOOKUP(A234,Lookup!A:B,2,0),"")</f>
        <v/>
      </c>
      <c r="C234" s="59" t="str">
        <f>IFERROR(VLOOKUP(A234,Lookup!A:C,3,0),"")</f>
        <v/>
      </c>
      <c r="D234" s="59"/>
      <c r="E234" s="92"/>
      <c r="F234" s="59"/>
      <c r="G234" s="88"/>
      <c r="H234" s="59"/>
      <c r="I234" s="89"/>
      <c r="J234" s="103">
        <f>VLOOKUP(A234&amp;G234,Lookup!J:N,5,0)</f>
        <v>0</v>
      </c>
      <c r="K234" s="103"/>
      <c r="L234" s="110"/>
      <c r="M234" s="110"/>
      <c r="N234" s="120"/>
      <c r="O234" s="86">
        <f>IFERROR(VLOOKUP(A234&amp;G234,Lookup!J:K,2,0),"")</f>
        <v>0</v>
      </c>
      <c r="P234" s="110" t="str">
        <f t="shared" si="28"/>
        <v/>
      </c>
      <c r="R234" s="87" t="str">
        <f t="shared" ref="R234:R297" si="30">IF(OR(EXACT(N234,""), EXACT(L234,"")),"",N234-L234)</f>
        <v/>
      </c>
      <c r="S234" s="87" t="str">
        <f t="shared" ref="S234:S297" si="31">IF(OR(EXACT(Q234,""), EXACT(L234,"")),"",Q234-L234)</f>
        <v/>
      </c>
      <c r="T234" s="59" t="e">
        <f t="shared" si="29"/>
        <v>#VALUE!</v>
      </c>
      <c r="U234" s="59"/>
      <c r="V234" s="59"/>
      <c r="W234" s="59"/>
      <c r="X234" s="60" t="str">
        <f t="shared" si="27"/>
        <v>D</v>
      </c>
    </row>
    <row r="235" spans="1:24" x14ac:dyDescent="0.25">
      <c r="A235" s="53"/>
      <c r="B235" s="59" t="str">
        <f>IFERROR(VLOOKUP(A235,Lookup!A:B,2,0),"")</f>
        <v/>
      </c>
      <c r="C235" s="59" t="str">
        <f>IFERROR(VLOOKUP(A235,Lookup!A:C,3,0),"")</f>
        <v/>
      </c>
      <c r="D235" s="59"/>
      <c r="E235" s="92"/>
      <c r="F235" s="59"/>
      <c r="G235" s="88"/>
      <c r="H235" s="59"/>
      <c r="I235" s="89"/>
      <c r="J235" s="103">
        <f>VLOOKUP(A235&amp;G235,Lookup!J:N,5,0)</f>
        <v>0</v>
      </c>
      <c r="K235" s="103"/>
      <c r="L235" s="110"/>
      <c r="M235" s="110"/>
      <c r="N235" s="120"/>
      <c r="O235" s="86">
        <f>IFERROR(VLOOKUP(A235&amp;G235,Lookup!J:K,2,0),"")</f>
        <v>0</v>
      </c>
      <c r="P235" s="110" t="str">
        <f t="shared" si="28"/>
        <v/>
      </c>
      <c r="R235" s="87" t="str">
        <f t="shared" si="30"/>
        <v/>
      </c>
      <c r="S235" s="87" t="str">
        <f t="shared" si="31"/>
        <v/>
      </c>
      <c r="T235" s="59" t="e">
        <f t="shared" si="29"/>
        <v>#VALUE!</v>
      </c>
      <c r="U235" s="59"/>
      <c r="V235" s="59"/>
      <c r="W235" s="59"/>
      <c r="X235" s="60" t="str">
        <f t="shared" si="27"/>
        <v>D</v>
      </c>
    </row>
    <row r="236" spans="1:24" x14ac:dyDescent="0.25">
      <c r="A236" s="53"/>
      <c r="B236" s="59" t="str">
        <f>IFERROR(VLOOKUP(A236,Lookup!A:B,2,0),"")</f>
        <v/>
      </c>
      <c r="C236" s="59" t="str">
        <f>IFERROR(VLOOKUP(A236,Lookup!A:C,3,0),"")</f>
        <v/>
      </c>
      <c r="D236" s="59"/>
      <c r="E236" s="92"/>
      <c r="F236" s="59"/>
      <c r="G236" s="88"/>
      <c r="H236" s="59"/>
      <c r="I236" s="89"/>
      <c r="J236" s="103">
        <f>VLOOKUP(A236&amp;G236,Lookup!J:N,5,0)</f>
        <v>0</v>
      </c>
      <c r="K236" s="103"/>
      <c r="L236" s="110"/>
      <c r="M236" s="110"/>
      <c r="N236" s="120"/>
      <c r="O236" s="86">
        <f>IFERROR(VLOOKUP(A236&amp;G236,Lookup!J:K,2,0),"")</f>
        <v>0</v>
      </c>
      <c r="P236" s="110" t="str">
        <f t="shared" si="28"/>
        <v/>
      </c>
      <c r="R236" s="87" t="str">
        <f t="shared" si="30"/>
        <v/>
      </c>
      <c r="S236" s="87" t="str">
        <f t="shared" si="31"/>
        <v/>
      </c>
      <c r="T236" s="59" t="e">
        <f t="shared" si="29"/>
        <v>#VALUE!</v>
      </c>
      <c r="U236" s="59"/>
      <c r="V236" s="59"/>
      <c r="W236" s="59"/>
      <c r="X236" s="60" t="str">
        <f t="shared" si="27"/>
        <v>D</v>
      </c>
    </row>
    <row r="237" spans="1:24" x14ac:dyDescent="0.25">
      <c r="A237" s="53"/>
      <c r="B237" s="59" t="str">
        <f>IFERROR(VLOOKUP(A237,Lookup!A:B,2,0),"")</f>
        <v/>
      </c>
      <c r="C237" s="59" t="str">
        <f>IFERROR(VLOOKUP(A237,Lookup!A:C,3,0),"")</f>
        <v/>
      </c>
      <c r="D237" s="59"/>
      <c r="E237" s="92"/>
      <c r="F237" s="59"/>
      <c r="G237" s="88"/>
      <c r="H237" s="59"/>
      <c r="I237" s="89"/>
      <c r="J237" s="103">
        <f>VLOOKUP(A237&amp;G237,Lookup!J:N,5,0)</f>
        <v>0</v>
      </c>
      <c r="K237" s="103"/>
      <c r="L237" s="110"/>
      <c r="M237" s="110"/>
      <c r="N237" s="120"/>
      <c r="O237" s="86">
        <f>IFERROR(VLOOKUP(A237&amp;G237,Lookup!J:K,2,0),"")</f>
        <v>0</v>
      </c>
      <c r="P237" s="110" t="str">
        <f t="shared" si="28"/>
        <v/>
      </c>
      <c r="R237" s="87" t="str">
        <f t="shared" si="30"/>
        <v/>
      </c>
      <c r="S237" s="87" t="str">
        <f t="shared" si="31"/>
        <v/>
      </c>
      <c r="T237" s="59" t="e">
        <f t="shared" si="29"/>
        <v>#VALUE!</v>
      </c>
      <c r="U237" s="59"/>
      <c r="V237" s="59"/>
      <c r="W237" s="59"/>
      <c r="X237" s="60" t="str">
        <f t="shared" si="27"/>
        <v>D</v>
      </c>
    </row>
    <row r="238" spans="1:24" x14ac:dyDescent="0.25">
      <c r="A238" s="53"/>
      <c r="B238" s="59" t="str">
        <f>IFERROR(VLOOKUP(A238,Lookup!A:B,2,0),"")</f>
        <v/>
      </c>
      <c r="C238" s="59" t="str">
        <f>IFERROR(VLOOKUP(A238,Lookup!A:C,3,0),"")</f>
        <v/>
      </c>
      <c r="D238" s="59"/>
      <c r="E238" s="92"/>
      <c r="F238" s="59"/>
      <c r="G238" s="88"/>
      <c r="H238" s="59"/>
      <c r="I238" s="89"/>
      <c r="J238" s="103">
        <f>VLOOKUP(A238&amp;G238,Lookup!J:N,5,0)</f>
        <v>0</v>
      </c>
      <c r="K238" s="103"/>
      <c r="L238" s="110"/>
      <c r="M238" s="110"/>
      <c r="N238" s="120"/>
      <c r="O238" s="86">
        <f>IFERROR(VLOOKUP(A238&amp;G238,Lookup!J:K,2,0),"")</f>
        <v>0</v>
      </c>
      <c r="P238" s="110" t="str">
        <f t="shared" si="28"/>
        <v/>
      </c>
      <c r="R238" s="87" t="str">
        <f t="shared" si="30"/>
        <v/>
      </c>
      <c r="S238" s="87" t="str">
        <f t="shared" si="31"/>
        <v/>
      </c>
      <c r="T238" s="59" t="e">
        <f t="shared" si="29"/>
        <v>#VALUE!</v>
      </c>
      <c r="U238" s="59"/>
      <c r="V238" s="59"/>
      <c r="W238" s="59"/>
      <c r="X238" s="60" t="str">
        <f t="shared" ref="X238:X301" si="32">IF(I238="SET","A",IF(I238="FREQ","C",IF(I238="","D","B")))</f>
        <v>D</v>
      </c>
    </row>
    <row r="239" spans="1:24" x14ac:dyDescent="0.25">
      <c r="A239" s="53"/>
      <c r="B239" s="59" t="str">
        <f>IFERROR(VLOOKUP(A239,Lookup!A:B,2,0),"")</f>
        <v/>
      </c>
      <c r="C239" s="59" t="str">
        <f>IFERROR(VLOOKUP(A239,Lookup!A:C,3,0),"")</f>
        <v/>
      </c>
      <c r="D239" s="59"/>
      <c r="E239" s="92"/>
      <c r="F239" s="59"/>
      <c r="G239" s="88"/>
      <c r="H239" s="59"/>
      <c r="I239" s="89"/>
      <c r="J239" s="103">
        <f>VLOOKUP(A239&amp;G239,Lookup!J:N,5,0)</f>
        <v>0</v>
      </c>
      <c r="K239" s="103"/>
      <c r="L239" s="110"/>
      <c r="M239" s="110"/>
      <c r="N239" s="120"/>
      <c r="O239" s="86">
        <f>IFERROR(VLOOKUP(A239&amp;G239,Lookup!J:K,2,0),"")</f>
        <v>0</v>
      </c>
      <c r="P239" s="110" t="str">
        <f t="shared" si="28"/>
        <v/>
      </c>
      <c r="R239" s="87" t="str">
        <f t="shared" si="30"/>
        <v/>
      </c>
      <c r="S239" s="87" t="str">
        <f t="shared" si="31"/>
        <v/>
      </c>
      <c r="T239" s="59" t="e">
        <f t="shared" si="29"/>
        <v>#VALUE!</v>
      </c>
      <c r="U239" s="59"/>
      <c r="V239" s="59"/>
      <c r="W239" s="59"/>
      <c r="X239" s="60" t="str">
        <f t="shared" si="32"/>
        <v>D</v>
      </c>
    </row>
    <row r="240" spans="1:24" x14ac:dyDescent="0.25">
      <c r="A240" s="53"/>
      <c r="B240" s="59" t="str">
        <f>IFERROR(VLOOKUP(A240,Lookup!A:B,2,0),"")</f>
        <v/>
      </c>
      <c r="C240" s="59" t="str">
        <f>IFERROR(VLOOKUP(A240,Lookup!A:C,3,0),"")</f>
        <v/>
      </c>
      <c r="D240" s="59"/>
      <c r="E240" s="92"/>
      <c r="F240" s="59"/>
      <c r="G240" s="88"/>
      <c r="H240" s="59"/>
      <c r="I240" s="89"/>
      <c r="J240" s="103">
        <f>VLOOKUP(A240&amp;G240,Lookup!J:N,5,0)</f>
        <v>0</v>
      </c>
      <c r="K240" s="103"/>
      <c r="L240" s="110"/>
      <c r="M240" s="110"/>
      <c r="N240" s="120"/>
      <c r="O240" s="86">
        <f>IFERROR(VLOOKUP(A240&amp;G240,Lookup!J:K,2,0),"")</f>
        <v>0</v>
      </c>
      <c r="P240" s="110" t="str">
        <f t="shared" si="28"/>
        <v/>
      </c>
      <c r="R240" s="87" t="str">
        <f t="shared" si="30"/>
        <v/>
      </c>
      <c r="S240" s="87" t="str">
        <f t="shared" si="31"/>
        <v/>
      </c>
      <c r="T240" s="59" t="e">
        <f t="shared" si="29"/>
        <v>#VALUE!</v>
      </c>
      <c r="U240" s="59"/>
      <c r="V240" s="59"/>
      <c r="W240" s="59"/>
      <c r="X240" s="60" t="str">
        <f t="shared" si="32"/>
        <v>D</v>
      </c>
    </row>
    <row r="241" spans="1:24" x14ac:dyDescent="0.25">
      <c r="A241" s="53"/>
      <c r="B241" s="59" t="str">
        <f>IFERROR(VLOOKUP(A241,Lookup!A:B,2,0),"")</f>
        <v/>
      </c>
      <c r="C241" s="59" t="str">
        <f>IFERROR(VLOOKUP(A241,Lookup!A:C,3,0),"")</f>
        <v/>
      </c>
      <c r="D241" s="59"/>
      <c r="E241" s="92"/>
      <c r="F241" s="59"/>
      <c r="G241" s="88"/>
      <c r="H241" s="59"/>
      <c r="I241" s="89"/>
      <c r="J241" s="103">
        <f>VLOOKUP(A241&amp;G241,Lookup!J:N,5,0)</f>
        <v>0</v>
      </c>
      <c r="K241" s="103"/>
      <c r="L241" s="110"/>
      <c r="M241" s="110"/>
      <c r="N241" s="120"/>
      <c r="O241" s="86">
        <f>IFERROR(VLOOKUP(A241&amp;G241,Lookup!J:K,2,0),"")</f>
        <v>0</v>
      </c>
      <c r="P241" s="110" t="str">
        <f t="shared" si="28"/>
        <v/>
      </c>
      <c r="R241" s="87" t="str">
        <f t="shared" si="30"/>
        <v/>
      </c>
      <c r="S241" s="87" t="str">
        <f t="shared" si="31"/>
        <v/>
      </c>
      <c r="T241" s="59" t="e">
        <f t="shared" si="29"/>
        <v>#VALUE!</v>
      </c>
      <c r="U241" s="59"/>
      <c r="V241" s="59"/>
      <c r="W241" s="59"/>
      <c r="X241" s="60" t="str">
        <f t="shared" si="32"/>
        <v>D</v>
      </c>
    </row>
    <row r="242" spans="1:24" x14ac:dyDescent="0.25">
      <c r="A242" s="53"/>
      <c r="B242" s="59" t="str">
        <f>IFERROR(VLOOKUP(A242,Lookup!A:B,2,0),"")</f>
        <v/>
      </c>
      <c r="C242" s="59" t="str">
        <f>IFERROR(VLOOKUP(A242,Lookup!A:C,3,0),"")</f>
        <v/>
      </c>
      <c r="D242" s="59"/>
      <c r="E242" s="92"/>
      <c r="F242" s="59"/>
      <c r="G242" s="88"/>
      <c r="H242" s="59"/>
      <c r="I242" s="89"/>
      <c r="J242" s="103">
        <f>VLOOKUP(A242&amp;G242,Lookup!J:N,5,0)</f>
        <v>0</v>
      </c>
      <c r="K242" s="103"/>
      <c r="L242" s="110"/>
      <c r="M242" s="110"/>
      <c r="N242" s="120"/>
      <c r="O242" s="86">
        <f>IFERROR(VLOOKUP(A242&amp;G242,Lookup!J:K,2,0),"")</f>
        <v>0</v>
      </c>
      <c r="P242" s="110" t="str">
        <f t="shared" si="28"/>
        <v/>
      </c>
      <c r="R242" s="87" t="str">
        <f t="shared" si="30"/>
        <v/>
      </c>
      <c r="S242" s="87" t="str">
        <f t="shared" si="31"/>
        <v/>
      </c>
      <c r="T242" s="59" t="e">
        <f t="shared" si="29"/>
        <v>#VALUE!</v>
      </c>
      <c r="U242" s="59"/>
      <c r="V242" s="59"/>
      <c r="W242" s="59"/>
      <c r="X242" s="60" t="str">
        <f t="shared" si="32"/>
        <v>D</v>
      </c>
    </row>
    <row r="243" spans="1:24" x14ac:dyDescent="0.25">
      <c r="A243" s="53"/>
      <c r="B243" s="59" t="str">
        <f>IFERROR(VLOOKUP(A243,Lookup!A:B,2,0),"")</f>
        <v/>
      </c>
      <c r="C243" s="59" t="str">
        <f>IFERROR(VLOOKUP(A243,Lookup!A:C,3,0),"")</f>
        <v/>
      </c>
      <c r="D243" s="59"/>
      <c r="E243" s="92"/>
      <c r="F243" s="59"/>
      <c r="G243" s="88"/>
      <c r="H243" s="59"/>
      <c r="I243" s="89"/>
      <c r="J243" s="103">
        <f>VLOOKUP(A243&amp;G243,Lookup!J:N,5,0)</f>
        <v>0</v>
      </c>
      <c r="K243" s="103"/>
      <c r="L243" s="110"/>
      <c r="M243" s="110"/>
      <c r="N243" s="120"/>
      <c r="O243" s="86">
        <f>IFERROR(VLOOKUP(A243&amp;G243,Lookup!J:K,2,0),"")</f>
        <v>0</v>
      </c>
      <c r="P243" s="110" t="str">
        <f t="shared" si="28"/>
        <v/>
      </c>
      <c r="R243" s="87" t="str">
        <f t="shared" si="30"/>
        <v/>
      </c>
      <c r="S243" s="87" t="str">
        <f t="shared" si="31"/>
        <v/>
      </c>
      <c r="T243" s="59" t="e">
        <f t="shared" si="29"/>
        <v>#VALUE!</v>
      </c>
      <c r="U243" s="59"/>
      <c r="V243" s="59"/>
      <c r="W243" s="59"/>
      <c r="X243" s="60" t="str">
        <f t="shared" si="32"/>
        <v>D</v>
      </c>
    </row>
    <row r="244" spans="1:24" x14ac:dyDescent="0.25">
      <c r="A244" s="53"/>
      <c r="B244" s="59" t="str">
        <f>IFERROR(VLOOKUP(A244,Lookup!A:B,2,0),"")</f>
        <v/>
      </c>
      <c r="C244" s="59" t="str">
        <f>IFERROR(VLOOKUP(A244,Lookup!A:C,3,0),"")</f>
        <v/>
      </c>
      <c r="D244" s="59"/>
      <c r="E244" s="92"/>
      <c r="F244" s="59"/>
      <c r="G244" s="88"/>
      <c r="H244" s="59"/>
      <c r="I244" s="89"/>
      <c r="J244" s="103">
        <f>VLOOKUP(A244&amp;G244,Lookup!J:N,5,0)</f>
        <v>0</v>
      </c>
      <c r="K244" s="103"/>
      <c r="L244" s="110"/>
      <c r="M244" s="110"/>
      <c r="N244" s="120"/>
      <c r="O244" s="86">
        <f>IFERROR(VLOOKUP(A244&amp;G244,Lookup!J:K,2,0),"")</f>
        <v>0</v>
      </c>
      <c r="P244" s="110" t="str">
        <f t="shared" si="28"/>
        <v/>
      </c>
      <c r="R244" s="87" t="str">
        <f t="shared" si="30"/>
        <v/>
      </c>
      <c r="S244" s="87" t="str">
        <f t="shared" si="31"/>
        <v/>
      </c>
      <c r="T244" s="59" t="e">
        <f t="shared" si="29"/>
        <v>#VALUE!</v>
      </c>
      <c r="U244" s="59"/>
      <c r="V244" s="59"/>
      <c r="W244" s="59"/>
      <c r="X244" s="60" t="str">
        <f t="shared" si="32"/>
        <v>D</v>
      </c>
    </row>
    <row r="245" spans="1:24" x14ac:dyDescent="0.25">
      <c r="A245" s="53"/>
      <c r="B245" s="59" t="str">
        <f>IFERROR(VLOOKUP(A245,Lookup!A:B,2,0),"")</f>
        <v/>
      </c>
      <c r="C245" s="59" t="str">
        <f>IFERROR(VLOOKUP(A245,Lookup!A:C,3,0),"")</f>
        <v/>
      </c>
      <c r="D245" s="59"/>
      <c r="E245" s="92"/>
      <c r="F245" s="59"/>
      <c r="G245" s="88"/>
      <c r="H245" s="59"/>
      <c r="I245" s="89"/>
      <c r="J245" s="103">
        <f>VLOOKUP(A245&amp;G245,Lookup!J:N,5,0)</f>
        <v>0</v>
      </c>
      <c r="K245" s="103"/>
      <c r="L245" s="110"/>
      <c r="M245" s="110"/>
      <c r="N245" s="120"/>
      <c r="O245" s="86">
        <f>IFERROR(VLOOKUP(A245&amp;G245,Lookup!J:K,2,0),"")</f>
        <v>0</v>
      </c>
      <c r="P245" s="110" t="str">
        <f t="shared" si="28"/>
        <v/>
      </c>
      <c r="R245" s="87" t="str">
        <f t="shared" si="30"/>
        <v/>
      </c>
      <c r="S245" s="87" t="str">
        <f t="shared" si="31"/>
        <v/>
      </c>
      <c r="T245" s="59" t="e">
        <f t="shared" si="29"/>
        <v>#VALUE!</v>
      </c>
      <c r="U245" s="59"/>
      <c r="V245" s="59"/>
      <c r="W245" s="59"/>
      <c r="X245" s="60" t="str">
        <f t="shared" si="32"/>
        <v>D</v>
      </c>
    </row>
    <row r="246" spans="1:24" x14ac:dyDescent="0.25">
      <c r="A246" s="53"/>
      <c r="B246" s="59" t="str">
        <f>IFERROR(VLOOKUP(A246,Lookup!A:B,2,0),"")</f>
        <v/>
      </c>
      <c r="C246" s="59" t="str">
        <f>IFERROR(VLOOKUP(A246,Lookup!A:C,3,0),"")</f>
        <v/>
      </c>
      <c r="D246" s="59"/>
      <c r="E246" s="92"/>
      <c r="F246" s="59"/>
      <c r="G246" s="88"/>
      <c r="H246" s="59"/>
      <c r="I246" s="89"/>
      <c r="J246" s="103">
        <f>VLOOKUP(A246&amp;G246,Lookup!J:N,5,0)</f>
        <v>0</v>
      </c>
      <c r="K246" s="103"/>
      <c r="L246" s="110"/>
      <c r="M246" s="110"/>
      <c r="N246" s="120"/>
      <c r="O246" s="86">
        <f>IFERROR(VLOOKUP(A246&amp;G246,Lookup!J:K,2,0),"")</f>
        <v>0</v>
      </c>
      <c r="P246" s="110" t="str">
        <f t="shared" si="28"/>
        <v/>
      </c>
      <c r="R246" s="87" t="str">
        <f t="shared" si="30"/>
        <v/>
      </c>
      <c r="S246" s="87" t="str">
        <f t="shared" si="31"/>
        <v/>
      </c>
      <c r="T246" s="59" t="e">
        <f t="shared" si="29"/>
        <v>#VALUE!</v>
      </c>
      <c r="U246" s="59"/>
      <c r="V246" s="59"/>
      <c r="W246" s="59"/>
      <c r="X246" s="60" t="str">
        <f t="shared" si="32"/>
        <v>D</v>
      </c>
    </row>
    <row r="247" spans="1:24" x14ac:dyDescent="0.25">
      <c r="A247" s="53"/>
      <c r="B247" s="59" t="str">
        <f>IFERROR(VLOOKUP(A247,Lookup!A:B,2,0),"")</f>
        <v/>
      </c>
      <c r="C247" s="59" t="str">
        <f>IFERROR(VLOOKUP(A247,Lookup!A:C,3,0),"")</f>
        <v/>
      </c>
      <c r="D247" s="59"/>
      <c r="E247" s="92"/>
      <c r="F247" s="59"/>
      <c r="G247" s="88"/>
      <c r="H247" s="59"/>
      <c r="I247" s="89"/>
      <c r="J247" s="103">
        <f>VLOOKUP(A247&amp;G247,Lookup!J:N,5,0)</f>
        <v>0</v>
      </c>
      <c r="K247" s="103"/>
      <c r="L247" s="110"/>
      <c r="M247" s="110"/>
      <c r="N247" s="120"/>
      <c r="O247" s="86">
        <f>IFERROR(VLOOKUP(A247&amp;G247,Lookup!J:K,2,0),"")</f>
        <v>0</v>
      </c>
      <c r="P247" s="110" t="str">
        <f t="shared" si="28"/>
        <v/>
      </c>
      <c r="R247" s="87" t="str">
        <f t="shared" si="30"/>
        <v/>
      </c>
      <c r="S247" s="87" t="str">
        <f t="shared" si="31"/>
        <v/>
      </c>
      <c r="T247" s="59" t="e">
        <f t="shared" si="29"/>
        <v>#VALUE!</v>
      </c>
      <c r="U247" s="59"/>
      <c r="V247" s="59"/>
      <c r="W247" s="59"/>
      <c r="X247" s="60" t="str">
        <f t="shared" si="32"/>
        <v>D</v>
      </c>
    </row>
    <row r="248" spans="1:24" x14ac:dyDescent="0.25">
      <c r="A248" s="53"/>
      <c r="B248" s="59" t="str">
        <f>IFERROR(VLOOKUP(A248,Lookup!A:B,2,0),"")</f>
        <v/>
      </c>
      <c r="C248" s="59" t="str">
        <f>IFERROR(VLOOKUP(A248,Lookup!A:C,3,0),"")</f>
        <v/>
      </c>
      <c r="D248" s="59"/>
      <c r="E248" s="92"/>
      <c r="F248" s="59"/>
      <c r="G248" s="88"/>
      <c r="H248" s="59"/>
      <c r="I248" s="89"/>
      <c r="J248" s="103">
        <f>VLOOKUP(A248&amp;G248,Lookup!J:N,5,0)</f>
        <v>0</v>
      </c>
      <c r="K248" s="103"/>
      <c r="L248" s="110"/>
      <c r="M248" s="110"/>
      <c r="N248" s="120"/>
      <c r="O248" s="86">
        <f>IFERROR(VLOOKUP(A248&amp;G248,Lookup!J:K,2,0),"")</f>
        <v>0</v>
      </c>
      <c r="P248" s="110" t="str">
        <f t="shared" si="28"/>
        <v/>
      </c>
      <c r="R248" s="87" t="str">
        <f t="shared" si="30"/>
        <v/>
      </c>
      <c r="S248" s="87" t="str">
        <f t="shared" si="31"/>
        <v/>
      </c>
      <c r="T248" s="59" t="e">
        <f t="shared" si="29"/>
        <v>#VALUE!</v>
      </c>
      <c r="U248" s="59"/>
      <c r="V248" s="59"/>
      <c r="W248" s="59"/>
      <c r="X248" s="60" t="str">
        <f t="shared" si="32"/>
        <v>D</v>
      </c>
    </row>
    <row r="249" spans="1:24" x14ac:dyDescent="0.25">
      <c r="A249" s="53"/>
      <c r="B249" s="59" t="str">
        <f>IFERROR(VLOOKUP(A249,Lookup!A:B,2,0),"")</f>
        <v/>
      </c>
      <c r="C249" s="59" t="str">
        <f>IFERROR(VLOOKUP(A249,Lookup!A:C,3,0),"")</f>
        <v/>
      </c>
      <c r="D249" s="59"/>
      <c r="E249" s="92"/>
      <c r="F249" s="59"/>
      <c r="G249" s="88"/>
      <c r="H249" s="59"/>
      <c r="I249" s="89"/>
      <c r="J249" s="103">
        <f>VLOOKUP(A249&amp;G249,Lookup!J:N,5,0)</f>
        <v>0</v>
      </c>
      <c r="K249" s="103"/>
      <c r="L249" s="110"/>
      <c r="M249" s="110"/>
      <c r="N249" s="120"/>
      <c r="O249" s="86">
        <f>IFERROR(VLOOKUP(A249&amp;G249,Lookup!J:K,2,0),"")</f>
        <v>0</v>
      </c>
      <c r="P249" s="110" t="str">
        <f t="shared" si="28"/>
        <v/>
      </c>
      <c r="R249" s="87" t="str">
        <f t="shared" si="30"/>
        <v/>
      </c>
      <c r="S249" s="87" t="str">
        <f t="shared" si="31"/>
        <v/>
      </c>
      <c r="T249" s="59" t="e">
        <f t="shared" si="29"/>
        <v>#VALUE!</v>
      </c>
      <c r="U249" s="59"/>
      <c r="V249" s="59"/>
      <c r="W249" s="59"/>
      <c r="X249" s="60" t="str">
        <f t="shared" si="32"/>
        <v>D</v>
      </c>
    </row>
    <row r="250" spans="1:24" x14ac:dyDescent="0.25">
      <c r="A250" s="53"/>
      <c r="B250" s="59" t="str">
        <f>IFERROR(VLOOKUP(A250,Lookup!A:B,2,0),"")</f>
        <v/>
      </c>
      <c r="C250" s="59" t="str">
        <f>IFERROR(VLOOKUP(A250,Lookup!A:C,3,0),"")</f>
        <v/>
      </c>
      <c r="D250" s="59"/>
      <c r="E250" s="92"/>
      <c r="F250" s="59"/>
      <c r="G250" s="88"/>
      <c r="H250" s="59"/>
      <c r="I250" s="89"/>
      <c r="J250" s="103">
        <f>VLOOKUP(A250&amp;G250,Lookup!J:N,5,0)</f>
        <v>0</v>
      </c>
      <c r="K250" s="103"/>
      <c r="L250" s="110"/>
      <c r="M250" s="110"/>
      <c r="N250" s="120"/>
      <c r="O250" s="86">
        <f>IFERROR(VLOOKUP(A250&amp;G250,Lookup!J:K,2,0),"")</f>
        <v>0</v>
      </c>
      <c r="P250" s="110" t="str">
        <f t="shared" si="28"/>
        <v/>
      </c>
      <c r="R250" s="87" t="str">
        <f t="shared" si="30"/>
        <v/>
      </c>
      <c r="S250" s="87" t="str">
        <f t="shared" si="31"/>
        <v/>
      </c>
      <c r="T250" s="59" t="e">
        <f t="shared" si="29"/>
        <v>#VALUE!</v>
      </c>
      <c r="U250" s="59"/>
      <c r="V250" s="59"/>
      <c r="W250" s="59"/>
      <c r="X250" s="60" t="str">
        <f t="shared" si="32"/>
        <v>D</v>
      </c>
    </row>
    <row r="251" spans="1:24" x14ac:dyDescent="0.25">
      <c r="A251" s="53"/>
      <c r="B251" s="59" t="str">
        <f>IFERROR(VLOOKUP(A251,Lookup!A:B,2,0),"")</f>
        <v/>
      </c>
      <c r="C251" s="59" t="str">
        <f>IFERROR(VLOOKUP(A251,Lookup!A:C,3,0),"")</f>
        <v/>
      </c>
      <c r="D251" s="59"/>
      <c r="E251" s="92"/>
      <c r="F251" s="59"/>
      <c r="G251" s="88"/>
      <c r="H251" s="59"/>
      <c r="I251" s="89"/>
      <c r="J251" s="103">
        <f>VLOOKUP(A251&amp;G251,Lookup!J:N,5,0)</f>
        <v>0</v>
      </c>
      <c r="K251" s="103"/>
      <c r="L251" s="110"/>
      <c r="M251" s="110"/>
      <c r="N251" s="120"/>
      <c r="O251" s="86">
        <f>IFERROR(VLOOKUP(A251&amp;G251,Lookup!J:K,2,0),"")</f>
        <v>0</v>
      </c>
      <c r="P251" s="110" t="str">
        <f t="shared" si="28"/>
        <v/>
      </c>
      <c r="R251" s="87" t="str">
        <f t="shared" si="30"/>
        <v/>
      </c>
      <c r="S251" s="87" t="str">
        <f t="shared" si="31"/>
        <v/>
      </c>
      <c r="T251" s="59" t="e">
        <f t="shared" si="29"/>
        <v>#VALUE!</v>
      </c>
      <c r="U251" s="59"/>
      <c r="V251" s="59"/>
      <c r="W251" s="59"/>
      <c r="X251" s="60" t="str">
        <f t="shared" si="32"/>
        <v>D</v>
      </c>
    </row>
    <row r="252" spans="1:24" x14ac:dyDescent="0.25">
      <c r="A252" s="53"/>
      <c r="B252" s="59" t="str">
        <f>IFERROR(VLOOKUP(A252,Lookup!A:B,2,0),"")</f>
        <v/>
      </c>
      <c r="C252" s="59" t="str">
        <f>IFERROR(VLOOKUP(A252,Lookup!A:C,3,0),"")</f>
        <v/>
      </c>
      <c r="D252" s="59"/>
      <c r="E252" s="92"/>
      <c r="F252" s="59"/>
      <c r="G252" s="88"/>
      <c r="H252" s="59"/>
      <c r="I252" s="89"/>
      <c r="J252" s="103">
        <f>VLOOKUP(A252&amp;G252,Lookup!J:N,5,0)</f>
        <v>0</v>
      </c>
      <c r="K252" s="103"/>
      <c r="L252" s="110"/>
      <c r="M252" s="110"/>
      <c r="N252" s="120"/>
      <c r="O252" s="86">
        <f>IFERROR(VLOOKUP(A252&amp;G252,Lookup!J:K,2,0),"")</f>
        <v>0</v>
      </c>
      <c r="P252" s="110" t="str">
        <f t="shared" si="28"/>
        <v/>
      </c>
      <c r="R252" s="87" t="str">
        <f t="shared" si="30"/>
        <v/>
      </c>
      <c r="S252" s="87" t="str">
        <f t="shared" si="31"/>
        <v/>
      </c>
      <c r="T252" s="59" t="e">
        <f t="shared" si="29"/>
        <v>#VALUE!</v>
      </c>
      <c r="U252" s="59"/>
      <c r="V252" s="59"/>
      <c r="W252" s="59"/>
      <c r="X252" s="60" t="str">
        <f t="shared" si="32"/>
        <v>D</v>
      </c>
    </row>
    <row r="253" spans="1:24" x14ac:dyDescent="0.25">
      <c r="A253" s="53"/>
      <c r="B253" s="59" t="str">
        <f>IFERROR(VLOOKUP(A253,Lookup!A:B,2,0),"")</f>
        <v/>
      </c>
      <c r="C253" s="59" t="str">
        <f>IFERROR(VLOOKUP(A253,Lookup!A:C,3,0),"")</f>
        <v/>
      </c>
      <c r="D253" s="59"/>
      <c r="E253" s="92"/>
      <c r="F253" s="59"/>
      <c r="G253" s="88"/>
      <c r="H253" s="59"/>
      <c r="I253" s="89"/>
      <c r="J253" s="103">
        <f>VLOOKUP(A253&amp;G253,Lookup!J:N,5,0)</f>
        <v>0</v>
      </c>
      <c r="K253" s="103"/>
      <c r="L253" s="110"/>
      <c r="M253" s="110"/>
      <c r="N253" s="120"/>
      <c r="O253" s="86">
        <f>IFERROR(VLOOKUP(A253&amp;G253,Lookup!J:K,2,0),"")</f>
        <v>0</v>
      </c>
      <c r="P253" s="110" t="str">
        <f t="shared" si="28"/>
        <v/>
      </c>
      <c r="R253" s="87" t="str">
        <f t="shared" si="30"/>
        <v/>
      </c>
      <c r="S253" s="87" t="str">
        <f t="shared" si="31"/>
        <v/>
      </c>
      <c r="T253" s="59" t="e">
        <f t="shared" si="29"/>
        <v>#VALUE!</v>
      </c>
      <c r="U253" s="59"/>
      <c r="V253" s="59"/>
      <c r="W253" s="59"/>
      <c r="X253" s="60" t="str">
        <f t="shared" si="32"/>
        <v>D</v>
      </c>
    </row>
    <row r="254" spans="1:24" x14ac:dyDescent="0.25">
      <c r="B254" s="54" t="str">
        <f>IFERROR(VLOOKUP(A254,Lookup!A:B,2,0),"")</f>
        <v/>
      </c>
      <c r="C254" s="54" t="str">
        <f>IFERROR(VLOOKUP(A254,Lookup!A:C,3,0),"")</f>
        <v/>
      </c>
      <c r="J254" s="103">
        <f>VLOOKUP(A254&amp;G254,Lookup!J:N,5,0)</f>
        <v>0</v>
      </c>
      <c r="O254" s="57">
        <f>IFERROR(VLOOKUP(A254&amp;G254,Lookup!J:K,2,0),"")</f>
        <v>0</v>
      </c>
      <c r="P254" s="110" t="str">
        <f t="shared" si="28"/>
        <v/>
      </c>
      <c r="R254" s="58" t="str">
        <f t="shared" si="30"/>
        <v/>
      </c>
      <c r="S254" s="58" t="str">
        <f t="shared" si="31"/>
        <v/>
      </c>
      <c r="T254" s="59" t="e">
        <f t="shared" si="29"/>
        <v>#VALUE!</v>
      </c>
      <c r="U254" s="59"/>
      <c r="X254" s="60" t="str">
        <f t="shared" si="32"/>
        <v>D</v>
      </c>
    </row>
    <row r="255" spans="1:24" x14ac:dyDescent="0.25">
      <c r="B255" s="54" t="str">
        <f>IFERROR(VLOOKUP(A255,Lookup!A:B,2,0),"")</f>
        <v/>
      </c>
      <c r="C255" s="54" t="str">
        <f>IFERROR(VLOOKUP(A255,Lookup!A:C,3,0),"")</f>
        <v/>
      </c>
      <c r="J255" s="103">
        <f>VLOOKUP(A255&amp;G255,Lookup!J:N,5,0)</f>
        <v>0</v>
      </c>
      <c r="O255" s="57">
        <f>IFERROR(VLOOKUP(A255&amp;G255,Lookup!J:K,2,0),"")</f>
        <v>0</v>
      </c>
      <c r="P255" s="110" t="str">
        <f t="shared" si="28"/>
        <v/>
      </c>
      <c r="R255" s="58" t="str">
        <f t="shared" si="30"/>
        <v/>
      </c>
      <c r="S255" s="58" t="str">
        <f t="shared" si="31"/>
        <v/>
      </c>
      <c r="T255" s="59" t="e">
        <f t="shared" si="29"/>
        <v>#VALUE!</v>
      </c>
      <c r="U255" s="59"/>
      <c r="X255" s="60" t="str">
        <f t="shared" si="32"/>
        <v>D</v>
      </c>
    </row>
    <row r="256" spans="1:24" x14ac:dyDescent="0.25">
      <c r="B256" s="54" t="str">
        <f>IFERROR(VLOOKUP(A256,Lookup!A:B,2,0),"")</f>
        <v/>
      </c>
      <c r="C256" s="54" t="str">
        <f>IFERROR(VLOOKUP(A256,Lookup!A:C,3,0),"")</f>
        <v/>
      </c>
      <c r="J256" s="103">
        <f>VLOOKUP(A256&amp;G256,Lookup!J:N,5,0)</f>
        <v>0</v>
      </c>
      <c r="O256" s="57">
        <f>IFERROR(VLOOKUP(A256&amp;G256,Lookup!J:K,2,0),"")</f>
        <v>0</v>
      </c>
      <c r="P256" s="110" t="str">
        <f t="shared" si="28"/>
        <v/>
      </c>
      <c r="R256" s="58" t="str">
        <f t="shared" si="30"/>
        <v/>
      </c>
      <c r="S256" s="58" t="str">
        <f t="shared" si="31"/>
        <v/>
      </c>
      <c r="T256" s="59" t="e">
        <f t="shared" si="29"/>
        <v>#VALUE!</v>
      </c>
      <c r="U256" s="59"/>
      <c r="X256" s="60" t="str">
        <f t="shared" si="32"/>
        <v>D</v>
      </c>
    </row>
    <row r="257" spans="2:24" x14ac:dyDescent="0.25">
      <c r="B257" s="54" t="str">
        <f>IFERROR(VLOOKUP(A257,Lookup!A:B,2,0),"")</f>
        <v/>
      </c>
      <c r="C257" s="54" t="str">
        <f>IFERROR(VLOOKUP(A257,Lookup!A:C,3,0),"")</f>
        <v/>
      </c>
      <c r="J257" s="103">
        <f>VLOOKUP(A257&amp;G257,Lookup!J:N,5,0)</f>
        <v>0</v>
      </c>
      <c r="O257" s="57">
        <f>IFERROR(VLOOKUP(A257&amp;G257,Lookup!J:K,2,0),"")</f>
        <v>0</v>
      </c>
      <c r="P257" s="110" t="str">
        <f t="shared" si="28"/>
        <v/>
      </c>
      <c r="R257" s="58" t="str">
        <f t="shared" si="30"/>
        <v/>
      </c>
      <c r="S257" s="58" t="str">
        <f t="shared" si="31"/>
        <v/>
      </c>
      <c r="T257" s="59" t="e">
        <f t="shared" si="29"/>
        <v>#VALUE!</v>
      </c>
      <c r="U257" s="59"/>
      <c r="X257" s="60" t="str">
        <f t="shared" si="32"/>
        <v>D</v>
      </c>
    </row>
    <row r="258" spans="2:24" x14ac:dyDescent="0.25">
      <c r="B258" s="54" t="str">
        <f>IFERROR(VLOOKUP(A258,Lookup!A:B,2,0),"")</f>
        <v/>
      </c>
      <c r="C258" s="54" t="str">
        <f>IFERROR(VLOOKUP(A258,Lookup!A:C,3,0),"")</f>
        <v/>
      </c>
      <c r="J258" s="103">
        <f>VLOOKUP(A258&amp;G258,Lookup!J:N,5,0)</f>
        <v>0</v>
      </c>
      <c r="O258" s="57">
        <f>IFERROR(VLOOKUP(A258&amp;G258,Lookup!J:K,2,0),"")</f>
        <v>0</v>
      </c>
      <c r="P258" s="110" t="str">
        <f t="shared" si="28"/>
        <v/>
      </c>
      <c r="R258" s="58" t="str">
        <f t="shared" si="30"/>
        <v/>
      </c>
      <c r="S258" s="58" t="str">
        <f t="shared" si="31"/>
        <v/>
      </c>
      <c r="T258" s="59" t="e">
        <f t="shared" si="29"/>
        <v>#VALUE!</v>
      </c>
      <c r="U258" s="59"/>
      <c r="X258" s="60" t="str">
        <f t="shared" si="32"/>
        <v>D</v>
      </c>
    </row>
    <row r="259" spans="2:24" x14ac:dyDescent="0.25">
      <c r="B259" s="54" t="str">
        <f>IFERROR(VLOOKUP(A259,Lookup!A:B,2,0),"")</f>
        <v/>
      </c>
      <c r="C259" s="54" t="str">
        <f>IFERROR(VLOOKUP(A259,Lookup!A:C,3,0),"")</f>
        <v/>
      </c>
      <c r="J259" s="103">
        <f>VLOOKUP(A259&amp;G259,Lookup!J:N,5,0)</f>
        <v>0</v>
      </c>
      <c r="O259" s="57">
        <f>IFERROR(VLOOKUP(A259&amp;G259,Lookup!J:K,2,0),"")</f>
        <v>0</v>
      </c>
      <c r="P259" s="110" t="str">
        <f t="shared" si="28"/>
        <v/>
      </c>
      <c r="R259" s="58" t="str">
        <f t="shared" si="30"/>
        <v/>
      </c>
      <c r="S259" s="58" t="str">
        <f t="shared" si="31"/>
        <v/>
      </c>
      <c r="T259" s="59" t="e">
        <f t="shared" si="29"/>
        <v>#VALUE!</v>
      </c>
      <c r="U259" s="59"/>
      <c r="X259" s="60" t="str">
        <f t="shared" si="32"/>
        <v>D</v>
      </c>
    </row>
    <row r="260" spans="2:24" x14ac:dyDescent="0.25">
      <c r="B260" s="54" t="str">
        <f>IFERROR(VLOOKUP(A260,Lookup!A:B,2,0),"")</f>
        <v/>
      </c>
      <c r="C260" s="54" t="str">
        <f>IFERROR(VLOOKUP(A260,Lookup!A:C,3,0),"")</f>
        <v/>
      </c>
      <c r="J260" s="103">
        <f>VLOOKUP(A260&amp;G260,Lookup!J:N,5,0)</f>
        <v>0</v>
      </c>
      <c r="O260" s="57">
        <f>IFERROR(VLOOKUP(A260&amp;G260,Lookup!J:K,2,0),"")</f>
        <v>0</v>
      </c>
      <c r="P260" s="110" t="str">
        <f t="shared" ref="P260:P323" si="33">IF(N260="","",N260+O260)</f>
        <v/>
      </c>
      <c r="R260" s="58" t="str">
        <f t="shared" si="30"/>
        <v/>
      </c>
      <c r="S260" s="58" t="str">
        <f t="shared" si="31"/>
        <v/>
      </c>
      <c r="T260" s="59" t="e">
        <f t="shared" si="29"/>
        <v>#VALUE!</v>
      </c>
      <c r="U260" s="59"/>
      <c r="X260" s="60" t="str">
        <f t="shared" si="32"/>
        <v>D</v>
      </c>
    </row>
    <row r="261" spans="2:24" x14ac:dyDescent="0.25">
      <c r="B261" s="54" t="str">
        <f>IFERROR(VLOOKUP(A261,Lookup!A:B,2,0),"")</f>
        <v/>
      </c>
      <c r="C261" s="54" t="str">
        <f>IFERROR(VLOOKUP(A261,Lookup!A:C,3,0),"")</f>
        <v/>
      </c>
      <c r="J261" s="103">
        <f>VLOOKUP(A261&amp;G261,Lookup!J:N,5,0)</f>
        <v>0</v>
      </c>
      <c r="O261" s="57">
        <f>IFERROR(VLOOKUP(A261&amp;G261,Lookup!J:K,2,0),"")</f>
        <v>0</v>
      </c>
      <c r="P261" s="110" t="str">
        <f t="shared" si="33"/>
        <v/>
      </c>
      <c r="R261" s="58" t="str">
        <f t="shared" si="30"/>
        <v/>
      </c>
      <c r="S261" s="58" t="str">
        <f t="shared" si="31"/>
        <v/>
      </c>
      <c r="T261" s="59" t="e">
        <f t="shared" si="29"/>
        <v>#VALUE!</v>
      </c>
      <c r="U261" s="59"/>
      <c r="X261" s="60" t="str">
        <f t="shared" si="32"/>
        <v>D</v>
      </c>
    </row>
    <row r="262" spans="2:24" x14ac:dyDescent="0.25">
      <c r="B262" s="54" t="str">
        <f>IFERROR(VLOOKUP(A262,Lookup!A:B,2,0),"")</f>
        <v/>
      </c>
      <c r="C262" s="54" t="str">
        <f>IFERROR(VLOOKUP(A262,Lookup!A:C,3,0),"")</f>
        <v/>
      </c>
      <c r="J262" s="103">
        <f>VLOOKUP(A262&amp;G262,Lookup!J:N,5,0)</f>
        <v>0</v>
      </c>
      <c r="O262" s="57">
        <f>IFERROR(VLOOKUP(A262&amp;G262,Lookup!J:K,2,0),"")</f>
        <v>0</v>
      </c>
      <c r="P262" s="110" t="str">
        <f t="shared" si="33"/>
        <v/>
      </c>
      <c r="R262" s="58" t="str">
        <f t="shared" si="30"/>
        <v/>
      </c>
      <c r="S262" s="58" t="str">
        <f t="shared" si="31"/>
        <v/>
      </c>
      <c r="T262" s="59" t="e">
        <f t="shared" si="29"/>
        <v>#VALUE!</v>
      </c>
      <c r="U262" s="59"/>
      <c r="X262" s="60" t="str">
        <f t="shared" si="32"/>
        <v>D</v>
      </c>
    </row>
    <row r="263" spans="2:24" x14ac:dyDescent="0.25">
      <c r="B263" s="54" t="str">
        <f>IFERROR(VLOOKUP(A263,Lookup!A:B,2,0),"")</f>
        <v/>
      </c>
      <c r="C263" s="54" t="str">
        <f>IFERROR(VLOOKUP(A263,Lookup!A:C,3,0),"")</f>
        <v/>
      </c>
      <c r="J263" s="103">
        <f>VLOOKUP(A263&amp;G263,Lookup!J:N,5,0)</f>
        <v>0</v>
      </c>
      <c r="O263" s="57">
        <f>IFERROR(VLOOKUP(A263&amp;G263,Lookup!J:K,2,0),"")</f>
        <v>0</v>
      </c>
      <c r="P263" s="110" t="str">
        <f t="shared" si="33"/>
        <v/>
      </c>
      <c r="R263" s="58" t="str">
        <f t="shared" si="30"/>
        <v/>
      </c>
      <c r="S263" s="58" t="str">
        <f t="shared" si="31"/>
        <v/>
      </c>
      <c r="T263" s="59" t="e">
        <f t="shared" si="29"/>
        <v>#VALUE!</v>
      </c>
      <c r="U263" s="59"/>
      <c r="X263" s="60" t="str">
        <f t="shared" si="32"/>
        <v>D</v>
      </c>
    </row>
    <row r="264" spans="2:24" x14ac:dyDescent="0.25">
      <c r="B264" s="54" t="str">
        <f>IFERROR(VLOOKUP(A264,Lookup!A:B,2,0),"")</f>
        <v/>
      </c>
      <c r="C264" s="54" t="str">
        <f>IFERROR(VLOOKUP(A264,Lookup!A:C,3,0),"")</f>
        <v/>
      </c>
      <c r="J264" s="103">
        <f>VLOOKUP(A264&amp;G264,Lookup!J:N,5,0)</f>
        <v>0</v>
      </c>
      <c r="O264" s="57">
        <f>IFERROR(VLOOKUP(A264&amp;G264,Lookup!J:K,2,0),"")</f>
        <v>0</v>
      </c>
      <c r="P264" s="110" t="str">
        <f t="shared" si="33"/>
        <v/>
      </c>
      <c r="R264" s="58" t="str">
        <f t="shared" si="30"/>
        <v/>
      </c>
      <c r="S264" s="58" t="str">
        <f t="shared" si="31"/>
        <v/>
      </c>
      <c r="T264" s="59" t="e">
        <f t="shared" si="29"/>
        <v>#VALUE!</v>
      </c>
      <c r="U264" s="59"/>
      <c r="X264" s="60" t="str">
        <f t="shared" si="32"/>
        <v>D</v>
      </c>
    </row>
    <row r="265" spans="2:24" x14ac:dyDescent="0.25">
      <c r="B265" s="54" t="str">
        <f>IFERROR(VLOOKUP(A265,Lookup!A:B,2,0),"")</f>
        <v/>
      </c>
      <c r="C265" s="54" t="str">
        <f>IFERROR(VLOOKUP(A265,Lookup!A:C,3,0),"")</f>
        <v/>
      </c>
      <c r="J265" s="103">
        <f>VLOOKUP(A265&amp;G265,Lookup!J:N,5,0)</f>
        <v>0</v>
      </c>
      <c r="O265" s="57">
        <f>IFERROR(VLOOKUP(A265&amp;G265,Lookup!J:K,2,0),"")</f>
        <v>0</v>
      </c>
      <c r="P265" s="110" t="str">
        <f t="shared" si="33"/>
        <v/>
      </c>
      <c r="R265" s="58" t="str">
        <f t="shared" si="30"/>
        <v/>
      </c>
      <c r="S265" s="58" t="str">
        <f t="shared" si="31"/>
        <v/>
      </c>
      <c r="T265" s="59" t="e">
        <f t="shared" si="29"/>
        <v>#VALUE!</v>
      </c>
      <c r="U265" s="59"/>
      <c r="X265" s="60" t="str">
        <f t="shared" si="32"/>
        <v>D</v>
      </c>
    </row>
    <row r="266" spans="2:24" x14ac:dyDescent="0.25">
      <c r="B266" s="54" t="str">
        <f>IFERROR(VLOOKUP(A266,Lookup!A:B,2,0),"")</f>
        <v/>
      </c>
      <c r="C266" s="54" t="str">
        <f>IFERROR(VLOOKUP(A266,Lookup!A:C,3,0),"")</f>
        <v/>
      </c>
      <c r="J266" s="103">
        <f>VLOOKUP(A266&amp;G266,Lookup!J:N,5,0)</f>
        <v>0</v>
      </c>
      <c r="O266" s="57">
        <f>IFERROR(VLOOKUP(A266&amp;G266,Lookup!J:K,2,0),"")</f>
        <v>0</v>
      </c>
      <c r="P266" s="110" t="str">
        <f t="shared" si="33"/>
        <v/>
      </c>
      <c r="R266" s="58" t="str">
        <f t="shared" si="30"/>
        <v/>
      </c>
      <c r="S266" s="58" t="str">
        <f t="shared" si="31"/>
        <v/>
      </c>
      <c r="T266" s="59" t="e">
        <f t="shared" si="29"/>
        <v>#VALUE!</v>
      </c>
      <c r="U266" s="59"/>
      <c r="X266" s="60" t="str">
        <f t="shared" si="32"/>
        <v>D</v>
      </c>
    </row>
    <row r="267" spans="2:24" x14ac:dyDescent="0.25">
      <c r="B267" s="54" t="str">
        <f>IFERROR(VLOOKUP(A267,Lookup!A:B,2,0),"")</f>
        <v/>
      </c>
      <c r="C267" s="54" t="str">
        <f>IFERROR(VLOOKUP(A267,Lookup!A:C,3,0),"")</f>
        <v/>
      </c>
      <c r="J267" s="103">
        <f>VLOOKUP(A267&amp;G267,Lookup!J:N,5,0)</f>
        <v>0</v>
      </c>
      <c r="O267" s="57">
        <f>IFERROR(VLOOKUP(A267&amp;G267,Lookup!J:K,2,0),"")</f>
        <v>0</v>
      </c>
      <c r="P267" s="110" t="str">
        <f t="shared" si="33"/>
        <v/>
      </c>
      <c r="R267" s="58" t="str">
        <f t="shared" si="30"/>
        <v/>
      </c>
      <c r="S267" s="58" t="str">
        <f t="shared" si="31"/>
        <v/>
      </c>
      <c r="T267" s="59" t="e">
        <f t="shared" si="29"/>
        <v>#VALUE!</v>
      </c>
      <c r="U267" s="59"/>
      <c r="X267" s="60" t="str">
        <f t="shared" si="32"/>
        <v>D</v>
      </c>
    </row>
    <row r="268" spans="2:24" x14ac:dyDescent="0.25">
      <c r="B268" s="54" t="str">
        <f>IFERROR(VLOOKUP(A268,Lookup!A:B,2,0),"")</f>
        <v/>
      </c>
      <c r="C268" s="54" t="str">
        <f>IFERROR(VLOOKUP(A268,Lookup!A:C,3,0),"")</f>
        <v/>
      </c>
      <c r="J268" s="103">
        <f>VLOOKUP(A268&amp;G268,Lookup!J:N,5,0)</f>
        <v>0</v>
      </c>
      <c r="O268" s="57">
        <f>IFERROR(VLOOKUP(A268&amp;G268,Lookup!J:K,2,0),"")</f>
        <v>0</v>
      </c>
      <c r="P268" s="110" t="str">
        <f t="shared" si="33"/>
        <v/>
      </c>
      <c r="R268" s="58" t="str">
        <f t="shared" si="30"/>
        <v/>
      </c>
      <c r="S268" s="58" t="str">
        <f t="shared" si="31"/>
        <v/>
      </c>
      <c r="T268" s="59" t="e">
        <f t="shared" si="29"/>
        <v>#VALUE!</v>
      </c>
      <c r="U268" s="59"/>
      <c r="X268" s="60" t="str">
        <f t="shared" si="32"/>
        <v>D</v>
      </c>
    </row>
    <row r="269" spans="2:24" x14ac:dyDescent="0.25">
      <c r="B269" s="54" t="str">
        <f>IFERROR(VLOOKUP(A269,Lookup!A:B,2,0),"")</f>
        <v/>
      </c>
      <c r="C269" s="54" t="str">
        <f>IFERROR(VLOOKUP(A269,Lookup!A:C,3,0),"")</f>
        <v/>
      </c>
      <c r="J269" s="103">
        <f>VLOOKUP(A269&amp;G269,Lookup!J:N,5,0)</f>
        <v>0</v>
      </c>
      <c r="O269" s="57">
        <f>IFERROR(VLOOKUP(A269&amp;G269,Lookup!J:K,2,0),"")</f>
        <v>0</v>
      </c>
      <c r="P269" s="110" t="str">
        <f t="shared" si="33"/>
        <v/>
      </c>
      <c r="R269" s="58" t="str">
        <f t="shared" si="30"/>
        <v/>
      </c>
      <c r="S269" s="58" t="str">
        <f t="shared" si="31"/>
        <v/>
      </c>
      <c r="T269" s="59" t="e">
        <f t="shared" si="29"/>
        <v>#VALUE!</v>
      </c>
      <c r="U269" s="59"/>
      <c r="X269" s="60" t="str">
        <f t="shared" si="32"/>
        <v>D</v>
      </c>
    </row>
    <row r="270" spans="2:24" x14ac:dyDescent="0.25">
      <c r="B270" s="54" t="str">
        <f>IFERROR(VLOOKUP(A270,Lookup!A:B,2,0),"")</f>
        <v/>
      </c>
      <c r="C270" s="54" t="str">
        <f>IFERROR(VLOOKUP(A270,Lookup!A:C,3,0),"")</f>
        <v/>
      </c>
      <c r="J270" s="103">
        <f>VLOOKUP(A270&amp;G270,Lookup!J:N,5,0)</f>
        <v>0</v>
      </c>
      <c r="O270" s="57">
        <f>IFERROR(VLOOKUP(A270&amp;G270,Lookup!J:K,2,0),"")</f>
        <v>0</v>
      </c>
      <c r="P270" s="110" t="str">
        <f t="shared" si="33"/>
        <v/>
      </c>
      <c r="R270" s="58" t="str">
        <f t="shared" si="30"/>
        <v/>
      </c>
      <c r="S270" s="58" t="str">
        <f t="shared" si="31"/>
        <v/>
      </c>
      <c r="T270" s="59" t="e">
        <f t="shared" ref="T270:T333" si="34">IF(Q270-P270&gt;0.0415,"YES",(IF(OR(EXACT(Q270,""), EXACT(P270,"")),"","NO")))</f>
        <v>#VALUE!</v>
      </c>
      <c r="U270" s="59"/>
      <c r="X270" s="60" t="str">
        <f t="shared" si="32"/>
        <v>D</v>
      </c>
    </row>
    <row r="271" spans="2:24" x14ac:dyDescent="0.25">
      <c r="B271" s="54" t="str">
        <f>IFERROR(VLOOKUP(A271,Lookup!A:B,2,0),"")</f>
        <v/>
      </c>
      <c r="C271" s="54" t="str">
        <f>IFERROR(VLOOKUP(A271,Lookup!A:C,3,0),"")</f>
        <v/>
      </c>
      <c r="J271" s="103">
        <f>VLOOKUP(A271&amp;G271,Lookup!J:N,5,0)</f>
        <v>0</v>
      </c>
      <c r="O271" s="57">
        <f>IFERROR(VLOOKUP(A271&amp;G271,Lookup!J:K,2,0),"")</f>
        <v>0</v>
      </c>
      <c r="P271" s="110" t="str">
        <f t="shared" si="33"/>
        <v/>
      </c>
      <c r="R271" s="58" t="str">
        <f t="shared" si="30"/>
        <v/>
      </c>
      <c r="S271" s="58" t="str">
        <f t="shared" si="31"/>
        <v/>
      </c>
      <c r="T271" s="59" t="e">
        <f t="shared" si="34"/>
        <v>#VALUE!</v>
      </c>
      <c r="U271" s="59"/>
      <c r="X271" s="60" t="str">
        <f t="shared" si="32"/>
        <v>D</v>
      </c>
    </row>
    <row r="272" spans="2:24" x14ac:dyDescent="0.25">
      <c r="B272" s="54" t="str">
        <f>IFERROR(VLOOKUP(A272,Lookup!A:B,2,0),"")</f>
        <v/>
      </c>
      <c r="C272" s="54" t="str">
        <f>IFERROR(VLOOKUP(A272,Lookup!A:C,3,0),"")</f>
        <v/>
      </c>
      <c r="J272" s="103">
        <f>VLOOKUP(A272&amp;G272,Lookup!J:N,5,0)</f>
        <v>0</v>
      </c>
      <c r="O272" s="57">
        <f>IFERROR(VLOOKUP(A272&amp;G272,Lookup!J:K,2,0),"")</f>
        <v>0</v>
      </c>
      <c r="P272" s="110" t="str">
        <f t="shared" si="33"/>
        <v/>
      </c>
      <c r="R272" s="58" t="str">
        <f t="shared" si="30"/>
        <v/>
      </c>
      <c r="S272" s="58" t="str">
        <f t="shared" si="31"/>
        <v/>
      </c>
      <c r="T272" s="59" t="e">
        <f t="shared" si="34"/>
        <v>#VALUE!</v>
      </c>
      <c r="U272" s="59"/>
      <c r="X272" s="60" t="str">
        <f t="shared" si="32"/>
        <v>D</v>
      </c>
    </row>
    <row r="273" spans="2:24" x14ac:dyDescent="0.25">
      <c r="B273" s="54" t="str">
        <f>IFERROR(VLOOKUP(A273,Lookup!A:B,2,0),"")</f>
        <v/>
      </c>
      <c r="C273" s="54" t="str">
        <f>IFERROR(VLOOKUP(A273,Lookup!A:C,3,0),"")</f>
        <v/>
      </c>
      <c r="J273" s="103">
        <f>VLOOKUP(A273&amp;G273,Lookup!J:N,5,0)</f>
        <v>0</v>
      </c>
      <c r="O273" s="57">
        <f>IFERROR(VLOOKUP(A273&amp;G273,Lookup!J:K,2,0),"")</f>
        <v>0</v>
      </c>
      <c r="P273" s="110" t="str">
        <f t="shared" si="33"/>
        <v/>
      </c>
      <c r="R273" s="58" t="str">
        <f t="shared" si="30"/>
        <v/>
      </c>
      <c r="S273" s="58" t="str">
        <f t="shared" si="31"/>
        <v/>
      </c>
      <c r="T273" s="59" t="e">
        <f t="shared" si="34"/>
        <v>#VALUE!</v>
      </c>
      <c r="U273" s="59"/>
      <c r="X273" s="60" t="str">
        <f t="shared" si="32"/>
        <v>D</v>
      </c>
    </row>
    <row r="274" spans="2:24" x14ac:dyDescent="0.25">
      <c r="B274" s="54" t="str">
        <f>IFERROR(VLOOKUP(A274,Lookup!A:B,2,0),"")</f>
        <v/>
      </c>
      <c r="C274" s="54" t="str">
        <f>IFERROR(VLOOKUP(A274,Lookup!A:C,3,0),"")</f>
        <v/>
      </c>
      <c r="J274" s="103">
        <f>VLOOKUP(A274&amp;G274,Lookup!J:N,5,0)</f>
        <v>0</v>
      </c>
      <c r="O274" s="57">
        <f>IFERROR(VLOOKUP(A274&amp;G274,Lookup!J:K,2,0),"")</f>
        <v>0</v>
      </c>
      <c r="P274" s="110" t="str">
        <f t="shared" si="33"/>
        <v/>
      </c>
      <c r="R274" s="58" t="str">
        <f t="shared" si="30"/>
        <v/>
      </c>
      <c r="S274" s="58" t="str">
        <f t="shared" si="31"/>
        <v/>
      </c>
      <c r="T274" s="59" t="e">
        <f t="shared" si="34"/>
        <v>#VALUE!</v>
      </c>
      <c r="U274" s="59"/>
      <c r="X274" s="60" t="str">
        <f t="shared" si="32"/>
        <v>D</v>
      </c>
    </row>
    <row r="275" spans="2:24" x14ac:dyDescent="0.25">
      <c r="B275" s="54" t="str">
        <f>IFERROR(VLOOKUP(A275,Lookup!A:B,2,0),"")</f>
        <v/>
      </c>
      <c r="C275" s="54" t="str">
        <f>IFERROR(VLOOKUP(A275,Lookup!A:C,3,0),"")</f>
        <v/>
      </c>
      <c r="J275" s="103">
        <f>VLOOKUP(A275&amp;G275,Lookup!J:N,5,0)</f>
        <v>0</v>
      </c>
      <c r="O275" s="57">
        <f>IFERROR(VLOOKUP(A275&amp;G275,Lookup!J:K,2,0),"")</f>
        <v>0</v>
      </c>
      <c r="P275" s="110" t="str">
        <f t="shared" si="33"/>
        <v/>
      </c>
      <c r="R275" s="58" t="str">
        <f t="shared" si="30"/>
        <v/>
      </c>
      <c r="S275" s="58" t="str">
        <f t="shared" si="31"/>
        <v/>
      </c>
      <c r="T275" s="59" t="e">
        <f t="shared" si="34"/>
        <v>#VALUE!</v>
      </c>
      <c r="U275" s="59"/>
      <c r="X275" s="60" t="str">
        <f t="shared" si="32"/>
        <v>D</v>
      </c>
    </row>
    <row r="276" spans="2:24" x14ac:dyDescent="0.25">
      <c r="B276" s="54" t="str">
        <f>IFERROR(VLOOKUP(A276,Lookup!A:B,2,0),"")</f>
        <v/>
      </c>
      <c r="C276" s="54" t="str">
        <f>IFERROR(VLOOKUP(A276,Lookup!A:C,3,0),"")</f>
        <v/>
      </c>
      <c r="J276" s="103">
        <f>VLOOKUP(A276&amp;G276,Lookup!J:N,5,0)</f>
        <v>0</v>
      </c>
      <c r="O276" s="57">
        <f>IFERROR(VLOOKUP(A276&amp;G276,Lookup!J:K,2,0),"")</f>
        <v>0</v>
      </c>
      <c r="P276" s="110" t="str">
        <f t="shared" si="33"/>
        <v/>
      </c>
      <c r="R276" s="58" t="str">
        <f t="shared" si="30"/>
        <v/>
      </c>
      <c r="S276" s="58" t="str">
        <f t="shared" si="31"/>
        <v/>
      </c>
      <c r="T276" s="59" t="e">
        <f t="shared" si="34"/>
        <v>#VALUE!</v>
      </c>
      <c r="U276" s="59"/>
      <c r="X276" s="60" t="str">
        <f t="shared" si="32"/>
        <v>D</v>
      </c>
    </row>
    <row r="277" spans="2:24" x14ac:dyDescent="0.25">
      <c r="B277" s="54" t="str">
        <f>IFERROR(VLOOKUP(A277,Lookup!A:B,2,0),"")</f>
        <v/>
      </c>
      <c r="C277" s="54" t="str">
        <f>IFERROR(VLOOKUP(A277,Lookup!A:C,3,0),"")</f>
        <v/>
      </c>
      <c r="J277" s="103">
        <f>VLOOKUP(A277&amp;G277,Lookup!J:N,5,0)</f>
        <v>0</v>
      </c>
      <c r="O277" s="57">
        <f>IFERROR(VLOOKUP(A277&amp;G277,Lookup!J:K,2,0),"")</f>
        <v>0</v>
      </c>
      <c r="P277" s="110" t="str">
        <f t="shared" si="33"/>
        <v/>
      </c>
      <c r="R277" s="58" t="str">
        <f t="shared" si="30"/>
        <v/>
      </c>
      <c r="S277" s="58" t="str">
        <f t="shared" si="31"/>
        <v/>
      </c>
      <c r="T277" s="59" t="e">
        <f t="shared" si="34"/>
        <v>#VALUE!</v>
      </c>
      <c r="U277" s="59"/>
      <c r="X277" s="60" t="str">
        <f t="shared" si="32"/>
        <v>D</v>
      </c>
    </row>
    <row r="278" spans="2:24" x14ac:dyDescent="0.25">
      <c r="B278" s="54" t="str">
        <f>IFERROR(VLOOKUP(A278,Lookup!A:B,2,0),"")</f>
        <v/>
      </c>
      <c r="C278" s="54" t="str">
        <f>IFERROR(VLOOKUP(A278,Lookup!A:C,3,0),"")</f>
        <v/>
      </c>
      <c r="J278" s="103">
        <f>VLOOKUP(A278&amp;G278,Lookup!J:N,5,0)</f>
        <v>0</v>
      </c>
      <c r="O278" s="57">
        <f>IFERROR(VLOOKUP(A278&amp;G278,Lookup!J:K,2,0),"")</f>
        <v>0</v>
      </c>
      <c r="P278" s="110" t="str">
        <f t="shared" si="33"/>
        <v/>
      </c>
      <c r="R278" s="58" t="str">
        <f t="shared" si="30"/>
        <v/>
      </c>
      <c r="S278" s="58" t="str">
        <f t="shared" si="31"/>
        <v/>
      </c>
      <c r="T278" s="59" t="e">
        <f t="shared" si="34"/>
        <v>#VALUE!</v>
      </c>
      <c r="U278" s="59"/>
      <c r="X278" s="60" t="str">
        <f t="shared" si="32"/>
        <v>D</v>
      </c>
    </row>
    <row r="279" spans="2:24" x14ac:dyDescent="0.25">
      <c r="B279" s="54" t="str">
        <f>IFERROR(VLOOKUP(A279,Lookup!A:B,2,0),"")</f>
        <v/>
      </c>
      <c r="C279" s="54" t="str">
        <f>IFERROR(VLOOKUP(A279,Lookup!A:C,3,0),"")</f>
        <v/>
      </c>
      <c r="J279" s="103">
        <f>VLOOKUP(A279&amp;G279,Lookup!J:N,5,0)</f>
        <v>0</v>
      </c>
      <c r="O279" s="57">
        <f>IFERROR(VLOOKUP(A279&amp;G279,Lookup!J:K,2,0),"")</f>
        <v>0</v>
      </c>
      <c r="P279" s="110" t="str">
        <f t="shared" si="33"/>
        <v/>
      </c>
      <c r="R279" s="58" t="str">
        <f t="shared" si="30"/>
        <v/>
      </c>
      <c r="S279" s="58" t="str">
        <f t="shared" si="31"/>
        <v/>
      </c>
      <c r="T279" s="59" t="e">
        <f t="shared" si="34"/>
        <v>#VALUE!</v>
      </c>
      <c r="U279" s="59"/>
      <c r="X279" s="60" t="str">
        <f t="shared" si="32"/>
        <v>D</v>
      </c>
    </row>
    <row r="280" spans="2:24" x14ac:dyDescent="0.25">
      <c r="B280" s="54" t="str">
        <f>IFERROR(VLOOKUP(A280,Lookup!A:B,2,0),"")</f>
        <v/>
      </c>
      <c r="C280" s="54" t="str">
        <f>IFERROR(VLOOKUP(A280,Lookup!A:C,3,0),"")</f>
        <v/>
      </c>
      <c r="J280" s="103">
        <f>VLOOKUP(A280&amp;G280,Lookup!J:N,5,0)</f>
        <v>0</v>
      </c>
      <c r="O280" s="57">
        <f>IFERROR(VLOOKUP(A280&amp;G280,Lookup!J:K,2,0),"")</f>
        <v>0</v>
      </c>
      <c r="P280" s="110" t="str">
        <f t="shared" si="33"/>
        <v/>
      </c>
      <c r="R280" s="58" t="str">
        <f t="shared" si="30"/>
        <v/>
      </c>
      <c r="S280" s="58" t="str">
        <f t="shared" si="31"/>
        <v/>
      </c>
      <c r="T280" s="59" t="e">
        <f t="shared" si="34"/>
        <v>#VALUE!</v>
      </c>
      <c r="U280" s="59"/>
      <c r="X280" s="60" t="str">
        <f t="shared" si="32"/>
        <v>D</v>
      </c>
    </row>
    <row r="281" spans="2:24" x14ac:dyDescent="0.25">
      <c r="B281" s="54" t="str">
        <f>IFERROR(VLOOKUP(A281,Lookup!A:B,2,0),"")</f>
        <v/>
      </c>
      <c r="C281" s="54" t="str">
        <f>IFERROR(VLOOKUP(A281,Lookup!A:C,3,0),"")</f>
        <v/>
      </c>
      <c r="J281" s="103">
        <f>VLOOKUP(A281&amp;G281,Lookup!J:N,5,0)</f>
        <v>0</v>
      </c>
      <c r="O281" s="57">
        <f>IFERROR(VLOOKUP(A281&amp;G281,Lookup!J:K,2,0),"")</f>
        <v>0</v>
      </c>
      <c r="P281" s="110" t="str">
        <f t="shared" si="33"/>
        <v/>
      </c>
      <c r="R281" s="58" t="str">
        <f t="shared" si="30"/>
        <v/>
      </c>
      <c r="S281" s="58" t="str">
        <f t="shared" si="31"/>
        <v/>
      </c>
      <c r="T281" s="59" t="e">
        <f t="shared" si="34"/>
        <v>#VALUE!</v>
      </c>
      <c r="U281" s="59"/>
      <c r="X281" s="60" t="str">
        <f t="shared" si="32"/>
        <v>D</v>
      </c>
    </row>
    <row r="282" spans="2:24" x14ac:dyDescent="0.25">
      <c r="B282" s="54" t="str">
        <f>IFERROR(VLOOKUP(A282,Lookup!A:B,2,0),"")</f>
        <v/>
      </c>
      <c r="C282" s="54" t="str">
        <f>IFERROR(VLOOKUP(A282,Lookup!A:C,3,0),"")</f>
        <v/>
      </c>
      <c r="J282" s="103">
        <f>VLOOKUP(A282&amp;G282,Lookup!J:N,5,0)</f>
        <v>0</v>
      </c>
      <c r="O282" s="57">
        <f>IFERROR(VLOOKUP(A282&amp;G282,Lookup!J:K,2,0),"")</f>
        <v>0</v>
      </c>
      <c r="P282" s="110" t="str">
        <f t="shared" si="33"/>
        <v/>
      </c>
      <c r="R282" s="58" t="str">
        <f t="shared" si="30"/>
        <v/>
      </c>
      <c r="S282" s="58" t="str">
        <f t="shared" si="31"/>
        <v/>
      </c>
      <c r="T282" s="59" t="e">
        <f t="shared" si="34"/>
        <v>#VALUE!</v>
      </c>
      <c r="U282" s="59"/>
      <c r="X282" s="60" t="str">
        <f t="shared" si="32"/>
        <v>D</v>
      </c>
    </row>
    <row r="283" spans="2:24" x14ac:dyDescent="0.25">
      <c r="B283" s="54" t="str">
        <f>IFERROR(VLOOKUP(A283,Lookup!A:B,2,0),"")</f>
        <v/>
      </c>
      <c r="C283" s="54" t="str">
        <f>IFERROR(VLOOKUP(A283,Lookup!A:C,3,0),"")</f>
        <v/>
      </c>
      <c r="J283" s="103">
        <f>VLOOKUP(A283&amp;G283,Lookup!J:N,5,0)</f>
        <v>0</v>
      </c>
      <c r="O283" s="57">
        <f>IFERROR(VLOOKUP(A283&amp;G283,Lookup!J:K,2,0),"")</f>
        <v>0</v>
      </c>
      <c r="P283" s="110" t="str">
        <f t="shared" si="33"/>
        <v/>
      </c>
      <c r="R283" s="58" t="str">
        <f t="shared" si="30"/>
        <v/>
      </c>
      <c r="S283" s="58" t="str">
        <f t="shared" si="31"/>
        <v/>
      </c>
      <c r="T283" s="59" t="e">
        <f t="shared" si="34"/>
        <v>#VALUE!</v>
      </c>
      <c r="U283" s="59"/>
      <c r="X283" s="60" t="str">
        <f t="shared" si="32"/>
        <v>D</v>
      </c>
    </row>
    <row r="284" spans="2:24" x14ac:dyDescent="0.25">
      <c r="B284" s="54" t="str">
        <f>IFERROR(VLOOKUP(A284,Lookup!A:B,2,0),"")</f>
        <v/>
      </c>
      <c r="C284" s="54" t="str">
        <f>IFERROR(VLOOKUP(A284,Lookup!A:C,3,0),"")</f>
        <v/>
      </c>
      <c r="J284" s="103">
        <f>VLOOKUP(A284&amp;G284,Lookup!J:N,5,0)</f>
        <v>0</v>
      </c>
      <c r="O284" s="57">
        <f>IFERROR(VLOOKUP(A284&amp;G284,Lookup!J:K,2,0),"")</f>
        <v>0</v>
      </c>
      <c r="P284" s="110" t="str">
        <f t="shared" si="33"/>
        <v/>
      </c>
      <c r="R284" s="58" t="str">
        <f t="shared" si="30"/>
        <v/>
      </c>
      <c r="S284" s="58" t="str">
        <f t="shared" si="31"/>
        <v/>
      </c>
      <c r="T284" s="59" t="e">
        <f t="shared" si="34"/>
        <v>#VALUE!</v>
      </c>
      <c r="U284" s="59"/>
      <c r="X284" s="60" t="str">
        <f t="shared" si="32"/>
        <v>D</v>
      </c>
    </row>
    <row r="285" spans="2:24" x14ac:dyDescent="0.25">
      <c r="B285" s="54" t="str">
        <f>IFERROR(VLOOKUP(A285,Lookup!A:B,2,0),"")</f>
        <v/>
      </c>
      <c r="C285" s="54" t="str">
        <f>IFERROR(VLOOKUP(A285,Lookup!A:C,3,0),"")</f>
        <v/>
      </c>
      <c r="J285" s="103">
        <f>VLOOKUP(A285&amp;G285,Lookup!J:N,5,0)</f>
        <v>0</v>
      </c>
      <c r="O285" s="57">
        <f>IFERROR(VLOOKUP(A285&amp;G285,Lookup!J:K,2,0),"")</f>
        <v>0</v>
      </c>
      <c r="P285" s="110" t="str">
        <f t="shared" si="33"/>
        <v/>
      </c>
      <c r="R285" s="58" t="str">
        <f t="shared" si="30"/>
        <v/>
      </c>
      <c r="S285" s="58" t="str">
        <f t="shared" si="31"/>
        <v/>
      </c>
      <c r="T285" s="59" t="e">
        <f t="shared" si="34"/>
        <v>#VALUE!</v>
      </c>
      <c r="U285" s="59"/>
      <c r="X285" s="60" t="str">
        <f t="shared" si="32"/>
        <v>D</v>
      </c>
    </row>
    <row r="286" spans="2:24" x14ac:dyDescent="0.25">
      <c r="B286" s="54" t="str">
        <f>IFERROR(VLOOKUP(A286,Lookup!A:B,2,0),"")</f>
        <v/>
      </c>
      <c r="C286" s="54" t="str">
        <f>IFERROR(VLOOKUP(A286,Lookup!A:C,3,0),"")</f>
        <v/>
      </c>
      <c r="J286" s="103">
        <f>VLOOKUP(A286&amp;G286,Lookup!J:N,5,0)</f>
        <v>0</v>
      </c>
      <c r="O286" s="57">
        <f>IFERROR(VLOOKUP(A286&amp;G286,Lookup!J:K,2,0),"")</f>
        <v>0</v>
      </c>
      <c r="P286" s="110" t="str">
        <f t="shared" si="33"/>
        <v/>
      </c>
      <c r="R286" s="58" t="str">
        <f t="shared" si="30"/>
        <v/>
      </c>
      <c r="S286" s="58" t="str">
        <f t="shared" si="31"/>
        <v/>
      </c>
      <c r="T286" s="59" t="e">
        <f t="shared" si="34"/>
        <v>#VALUE!</v>
      </c>
      <c r="U286" s="59"/>
      <c r="X286" s="60" t="str">
        <f t="shared" si="32"/>
        <v>D</v>
      </c>
    </row>
    <row r="287" spans="2:24" x14ac:dyDescent="0.25">
      <c r="B287" s="54" t="str">
        <f>IFERROR(VLOOKUP(A287,Lookup!A:B,2,0),"")</f>
        <v/>
      </c>
      <c r="C287" s="54" t="str">
        <f>IFERROR(VLOOKUP(A287,Lookup!A:C,3,0),"")</f>
        <v/>
      </c>
      <c r="J287" s="103">
        <f>VLOOKUP(A287&amp;G287,Lookup!J:N,5,0)</f>
        <v>0</v>
      </c>
      <c r="O287" s="57">
        <f>IFERROR(VLOOKUP(A287&amp;G287,Lookup!J:K,2,0),"")</f>
        <v>0</v>
      </c>
      <c r="P287" s="110" t="str">
        <f t="shared" si="33"/>
        <v/>
      </c>
      <c r="R287" s="58" t="str">
        <f t="shared" si="30"/>
        <v/>
      </c>
      <c r="S287" s="58" t="str">
        <f t="shared" si="31"/>
        <v/>
      </c>
      <c r="T287" s="59" t="e">
        <f t="shared" si="34"/>
        <v>#VALUE!</v>
      </c>
      <c r="U287" s="59"/>
      <c r="X287" s="60" t="str">
        <f t="shared" si="32"/>
        <v>D</v>
      </c>
    </row>
    <row r="288" spans="2:24" x14ac:dyDescent="0.25">
      <c r="B288" s="54" t="str">
        <f>IFERROR(VLOOKUP(A288,Lookup!A:B,2,0),"")</f>
        <v/>
      </c>
      <c r="C288" s="54" t="str">
        <f>IFERROR(VLOOKUP(A288,Lookup!A:C,3,0),"")</f>
        <v/>
      </c>
      <c r="J288" s="103">
        <f>VLOOKUP(A288&amp;G288,Lookup!J:N,5,0)</f>
        <v>0</v>
      </c>
      <c r="O288" s="57">
        <f>IFERROR(VLOOKUP(A288&amp;G288,Lookup!J:K,2,0),"")</f>
        <v>0</v>
      </c>
      <c r="P288" s="110" t="str">
        <f t="shared" si="33"/>
        <v/>
      </c>
      <c r="R288" s="58" t="str">
        <f t="shared" si="30"/>
        <v/>
      </c>
      <c r="S288" s="58" t="str">
        <f t="shared" si="31"/>
        <v/>
      </c>
      <c r="T288" s="59" t="e">
        <f t="shared" si="34"/>
        <v>#VALUE!</v>
      </c>
      <c r="U288" s="59"/>
      <c r="X288" s="60" t="str">
        <f t="shared" si="32"/>
        <v>D</v>
      </c>
    </row>
    <row r="289" spans="2:24" x14ac:dyDescent="0.25">
      <c r="B289" s="54" t="str">
        <f>IFERROR(VLOOKUP(A289,Lookup!A:B,2,0),"")</f>
        <v/>
      </c>
      <c r="C289" s="54" t="str">
        <f>IFERROR(VLOOKUP(A289,Lookup!A:C,3,0),"")</f>
        <v/>
      </c>
      <c r="J289" s="103">
        <f>VLOOKUP(A289&amp;G289,Lookup!J:N,5,0)</f>
        <v>0</v>
      </c>
      <c r="O289" s="57">
        <f>IFERROR(VLOOKUP(A289&amp;G289,Lookup!J:K,2,0),"")</f>
        <v>0</v>
      </c>
      <c r="P289" s="110" t="str">
        <f t="shared" si="33"/>
        <v/>
      </c>
      <c r="R289" s="58" t="str">
        <f t="shared" si="30"/>
        <v/>
      </c>
      <c r="S289" s="58" t="str">
        <f t="shared" si="31"/>
        <v/>
      </c>
      <c r="T289" s="59" t="e">
        <f t="shared" si="34"/>
        <v>#VALUE!</v>
      </c>
      <c r="U289" s="59"/>
      <c r="X289" s="60" t="str">
        <f t="shared" si="32"/>
        <v>D</v>
      </c>
    </row>
    <row r="290" spans="2:24" x14ac:dyDescent="0.25">
      <c r="B290" s="54" t="str">
        <f>IFERROR(VLOOKUP(A290,Lookup!A:B,2,0),"")</f>
        <v/>
      </c>
      <c r="C290" s="54" t="str">
        <f>IFERROR(VLOOKUP(A290,Lookup!A:C,3,0),"")</f>
        <v/>
      </c>
      <c r="J290" s="103">
        <f>VLOOKUP(A290&amp;G290,Lookup!J:N,5,0)</f>
        <v>0</v>
      </c>
      <c r="O290" s="57">
        <f>IFERROR(VLOOKUP(A290&amp;G290,Lookup!J:K,2,0),"")</f>
        <v>0</v>
      </c>
      <c r="P290" s="110" t="str">
        <f t="shared" si="33"/>
        <v/>
      </c>
      <c r="R290" s="58" t="str">
        <f t="shared" si="30"/>
        <v/>
      </c>
      <c r="S290" s="58" t="str">
        <f t="shared" si="31"/>
        <v/>
      </c>
      <c r="T290" s="59" t="e">
        <f t="shared" si="34"/>
        <v>#VALUE!</v>
      </c>
      <c r="U290" s="59"/>
      <c r="X290" s="60" t="str">
        <f t="shared" si="32"/>
        <v>D</v>
      </c>
    </row>
    <row r="291" spans="2:24" x14ac:dyDescent="0.25">
      <c r="B291" s="54" t="str">
        <f>IFERROR(VLOOKUP(A291,Lookup!A:B,2,0),"")</f>
        <v/>
      </c>
      <c r="C291" s="54" t="str">
        <f>IFERROR(VLOOKUP(A291,Lookup!A:C,3,0),"")</f>
        <v/>
      </c>
      <c r="J291" s="103">
        <f>VLOOKUP(A291&amp;G291,Lookup!J:N,5,0)</f>
        <v>0</v>
      </c>
      <c r="O291" s="57">
        <f>IFERROR(VLOOKUP(A291&amp;G291,Lookup!J:K,2,0),"")</f>
        <v>0</v>
      </c>
      <c r="P291" s="110" t="str">
        <f t="shared" si="33"/>
        <v/>
      </c>
      <c r="R291" s="58" t="str">
        <f t="shared" si="30"/>
        <v/>
      </c>
      <c r="S291" s="58" t="str">
        <f t="shared" si="31"/>
        <v/>
      </c>
      <c r="T291" s="59" t="e">
        <f t="shared" si="34"/>
        <v>#VALUE!</v>
      </c>
      <c r="U291" s="59"/>
      <c r="X291" s="60" t="str">
        <f t="shared" si="32"/>
        <v>D</v>
      </c>
    </row>
    <row r="292" spans="2:24" x14ac:dyDescent="0.25">
      <c r="B292" s="54" t="str">
        <f>IFERROR(VLOOKUP(A292,Lookup!A:B,2,0),"")</f>
        <v/>
      </c>
      <c r="C292" s="54" t="str">
        <f>IFERROR(VLOOKUP(A292,Lookup!A:C,3,0),"")</f>
        <v/>
      </c>
      <c r="J292" s="103">
        <f>VLOOKUP(A292&amp;G292,Lookup!J:N,5,0)</f>
        <v>0</v>
      </c>
      <c r="O292" s="57">
        <f>IFERROR(VLOOKUP(A292&amp;G292,Lookup!J:K,2,0),"")</f>
        <v>0</v>
      </c>
      <c r="P292" s="110" t="str">
        <f t="shared" si="33"/>
        <v/>
      </c>
      <c r="R292" s="58" t="str">
        <f t="shared" si="30"/>
        <v/>
      </c>
      <c r="S292" s="58" t="str">
        <f t="shared" si="31"/>
        <v/>
      </c>
      <c r="T292" s="59" t="e">
        <f t="shared" si="34"/>
        <v>#VALUE!</v>
      </c>
      <c r="U292" s="59"/>
      <c r="X292" s="60" t="str">
        <f t="shared" si="32"/>
        <v>D</v>
      </c>
    </row>
    <row r="293" spans="2:24" x14ac:dyDescent="0.25">
      <c r="B293" s="54" t="str">
        <f>IFERROR(VLOOKUP(A293,Lookup!A:B,2,0),"")</f>
        <v/>
      </c>
      <c r="C293" s="54" t="str">
        <f>IFERROR(VLOOKUP(A293,Lookup!A:C,3,0),"")</f>
        <v/>
      </c>
      <c r="J293" s="103">
        <f>VLOOKUP(A293&amp;G293,Lookup!J:N,5,0)</f>
        <v>0</v>
      </c>
      <c r="O293" s="57">
        <f>IFERROR(VLOOKUP(A293&amp;G293,Lookup!J:K,2,0),"")</f>
        <v>0</v>
      </c>
      <c r="P293" s="110" t="str">
        <f t="shared" si="33"/>
        <v/>
      </c>
      <c r="R293" s="58" t="str">
        <f t="shared" si="30"/>
        <v/>
      </c>
      <c r="S293" s="58" t="str">
        <f t="shared" si="31"/>
        <v/>
      </c>
      <c r="T293" s="59" t="e">
        <f t="shared" si="34"/>
        <v>#VALUE!</v>
      </c>
      <c r="U293" s="59"/>
      <c r="X293" s="60" t="str">
        <f t="shared" si="32"/>
        <v>D</v>
      </c>
    </row>
    <row r="294" spans="2:24" x14ac:dyDescent="0.25">
      <c r="B294" s="54" t="str">
        <f>IFERROR(VLOOKUP(A294,Lookup!A:B,2,0),"")</f>
        <v/>
      </c>
      <c r="C294" s="54" t="str">
        <f>IFERROR(VLOOKUP(A294,Lookup!A:C,3,0),"")</f>
        <v/>
      </c>
      <c r="J294" s="103">
        <f>VLOOKUP(A294&amp;G294,Lookup!J:N,5,0)</f>
        <v>0</v>
      </c>
      <c r="O294" s="57">
        <f>IFERROR(VLOOKUP(A294&amp;G294,Lookup!J:K,2,0),"")</f>
        <v>0</v>
      </c>
      <c r="P294" s="110" t="str">
        <f t="shared" si="33"/>
        <v/>
      </c>
      <c r="R294" s="58" t="str">
        <f t="shared" si="30"/>
        <v/>
      </c>
      <c r="S294" s="58" t="str">
        <f t="shared" si="31"/>
        <v/>
      </c>
      <c r="T294" s="59" t="e">
        <f t="shared" si="34"/>
        <v>#VALUE!</v>
      </c>
      <c r="U294" s="59"/>
      <c r="X294" s="60" t="str">
        <f t="shared" si="32"/>
        <v>D</v>
      </c>
    </row>
    <row r="295" spans="2:24" x14ac:dyDescent="0.25">
      <c r="B295" s="54" t="str">
        <f>IFERROR(VLOOKUP(A295,Lookup!A:B,2,0),"")</f>
        <v/>
      </c>
      <c r="C295" s="54" t="str">
        <f>IFERROR(VLOOKUP(A295,Lookup!A:C,3,0),"")</f>
        <v/>
      </c>
      <c r="J295" s="103">
        <f>VLOOKUP(A295&amp;G295,Lookup!J:N,5,0)</f>
        <v>0</v>
      </c>
      <c r="O295" s="57">
        <f>IFERROR(VLOOKUP(A295&amp;G295,Lookup!J:K,2,0),"")</f>
        <v>0</v>
      </c>
      <c r="P295" s="110" t="str">
        <f t="shared" si="33"/>
        <v/>
      </c>
      <c r="R295" s="58" t="str">
        <f t="shared" si="30"/>
        <v/>
      </c>
      <c r="S295" s="58" t="str">
        <f t="shared" si="31"/>
        <v/>
      </c>
      <c r="T295" s="59" t="e">
        <f t="shared" si="34"/>
        <v>#VALUE!</v>
      </c>
      <c r="U295" s="59"/>
      <c r="X295" s="60" t="str">
        <f t="shared" si="32"/>
        <v>D</v>
      </c>
    </row>
    <row r="296" spans="2:24" x14ac:dyDescent="0.25">
      <c r="B296" s="54" t="str">
        <f>IFERROR(VLOOKUP(A296,Lookup!A:B,2,0),"")</f>
        <v/>
      </c>
      <c r="C296" s="54" t="str">
        <f>IFERROR(VLOOKUP(A296,Lookup!A:C,3,0),"")</f>
        <v/>
      </c>
      <c r="J296" s="103">
        <f>VLOOKUP(A296&amp;G296,Lookup!J:N,5,0)</f>
        <v>0</v>
      </c>
      <c r="O296" s="57">
        <f>IFERROR(VLOOKUP(A296&amp;G296,Lookup!J:K,2,0),"")</f>
        <v>0</v>
      </c>
      <c r="P296" s="110" t="str">
        <f t="shared" si="33"/>
        <v/>
      </c>
      <c r="R296" s="58" t="str">
        <f t="shared" si="30"/>
        <v/>
      </c>
      <c r="S296" s="58" t="str">
        <f t="shared" si="31"/>
        <v/>
      </c>
      <c r="T296" s="59" t="e">
        <f t="shared" si="34"/>
        <v>#VALUE!</v>
      </c>
      <c r="U296" s="59"/>
      <c r="X296" s="60" t="str">
        <f t="shared" si="32"/>
        <v>D</v>
      </c>
    </row>
    <row r="297" spans="2:24" x14ac:dyDescent="0.25">
      <c r="B297" s="54" t="str">
        <f>IFERROR(VLOOKUP(A297,Lookup!A:B,2,0),"")</f>
        <v/>
      </c>
      <c r="C297" s="54" t="str">
        <f>IFERROR(VLOOKUP(A297,Lookup!A:C,3,0),"")</f>
        <v/>
      </c>
      <c r="J297" s="103">
        <f>VLOOKUP(A297&amp;G297,Lookup!J:N,5,0)</f>
        <v>0</v>
      </c>
      <c r="O297" s="57">
        <f>IFERROR(VLOOKUP(A297&amp;G297,Lookup!J:K,2,0),"")</f>
        <v>0</v>
      </c>
      <c r="P297" s="110" t="str">
        <f t="shared" si="33"/>
        <v/>
      </c>
      <c r="R297" s="58" t="str">
        <f t="shared" si="30"/>
        <v/>
      </c>
      <c r="S297" s="58" t="str">
        <f t="shared" si="31"/>
        <v/>
      </c>
      <c r="T297" s="59" t="e">
        <f t="shared" si="34"/>
        <v>#VALUE!</v>
      </c>
      <c r="U297" s="59"/>
      <c r="X297" s="60" t="str">
        <f t="shared" si="32"/>
        <v>D</v>
      </c>
    </row>
    <row r="298" spans="2:24" x14ac:dyDescent="0.25">
      <c r="B298" s="54" t="str">
        <f>IFERROR(VLOOKUP(A298,Lookup!A:B,2,0),"")</f>
        <v/>
      </c>
      <c r="C298" s="54" t="str">
        <f>IFERROR(VLOOKUP(A298,Lookup!A:C,3,0),"")</f>
        <v/>
      </c>
      <c r="J298" s="103">
        <f>VLOOKUP(A298&amp;G298,Lookup!J:N,5,0)</f>
        <v>0</v>
      </c>
      <c r="O298" s="57">
        <f>IFERROR(VLOOKUP(A298&amp;G298,Lookup!J:K,2,0),"")</f>
        <v>0</v>
      </c>
      <c r="P298" s="110" t="str">
        <f t="shared" si="33"/>
        <v/>
      </c>
      <c r="R298" s="58" t="str">
        <f t="shared" ref="R298:R361" si="35">IF(OR(EXACT(N298,""), EXACT(L298,"")),"",N298-L298)</f>
        <v/>
      </c>
      <c r="S298" s="58" t="str">
        <f t="shared" ref="S298:S361" si="36">IF(OR(EXACT(Q298,""), EXACT(L298,"")),"",Q298-L298)</f>
        <v/>
      </c>
      <c r="T298" s="59" t="e">
        <f t="shared" si="34"/>
        <v>#VALUE!</v>
      </c>
      <c r="U298" s="59"/>
      <c r="X298" s="60" t="str">
        <f t="shared" si="32"/>
        <v>D</v>
      </c>
    </row>
    <row r="299" spans="2:24" x14ac:dyDescent="0.25">
      <c r="B299" s="54" t="str">
        <f>IFERROR(VLOOKUP(A299,Lookup!A:B,2,0),"")</f>
        <v/>
      </c>
      <c r="C299" s="54" t="str">
        <f>IFERROR(VLOOKUP(A299,Lookup!A:C,3,0),"")</f>
        <v/>
      </c>
      <c r="J299" s="103">
        <f>VLOOKUP(A299&amp;G299,Lookup!J:N,5,0)</f>
        <v>0</v>
      </c>
      <c r="O299" s="57">
        <f>IFERROR(VLOOKUP(A299&amp;G299,Lookup!J:K,2,0),"")</f>
        <v>0</v>
      </c>
      <c r="P299" s="110" t="str">
        <f t="shared" si="33"/>
        <v/>
      </c>
      <c r="R299" s="58" t="str">
        <f t="shared" si="35"/>
        <v/>
      </c>
      <c r="S299" s="58" t="str">
        <f t="shared" si="36"/>
        <v/>
      </c>
      <c r="T299" s="59" t="e">
        <f t="shared" si="34"/>
        <v>#VALUE!</v>
      </c>
      <c r="U299" s="59"/>
      <c r="X299" s="60" t="str">
        <f t="shared" si="32"/>
        <v>D</v>
      </c>
    </row>
    <row r="300" spans="2:24" x14ac:dyDescent="0.25">
      <c r="B300" s="54" t="str">
        <f>IFERROR(VLOOKUP(A300,Lookup!A:B,2,0),"")</f>
        <v/>
      </c>
      <c r="C300" s="54" t="str">
        <f>IFERROR(VLOOKUP(A300,Lookup!A:C,3,0),"")</f>
        <v/>
      </c>
      <c r="J300" s="103">
        <f>VLOOKUP(A300&amp;G300,Lookup!J:N,5,0)</f>
        <v>0</v>
      </c>
      <c r="O300" s="57">
        <f>IFERROR(VLOOKUP(A300&amp;G300,Lookup!J:K,2,0),"")</f>
        <v>0</v>
      </c>
      <c r="P300" s="110" t="str">
        <f t="shared" si="33"/>
        <v/>
      </c>
      <c r="R300" s="58" t="str">
        <f t="shared" si="35"/>
        <v/>
      </c>
      <c r="S300" s="58" t="str">
        <f t="shared" si="36"/>
        <v/>
      </c>
      <c r="T300" s="59" t="e">
        <f t="shared" si="34"/>
        <v>#VALUE!</v>
      </c>
      <c r="U300" s="59"/>
      <c r="X300" s="60" t="str">
        <f t="shared" si="32"/>
        <v>D</v>
      </c>
    </row>
    <row r="301" spans="2:24" x14ac:dyDescent="0.25">
      <c r="B301" s="54" t="str">
        <f>IFERROR(VLOOKUP(A301,Lookup!A:B,2,0),"")</f>
        <v/>
      </c>
      <c r="C301" s="54" t="str">
        <f>IFERROR(VLOOKUP(A301,Lookup!A:C,3,0),"")</f>
        <v/>
      </c>
      <c r="J301" s="103">
        <f>VLOOKUP(A301&amp;G301,Lookup!J:N,5,0)</f>
        <v>0</v>
      </c>
      <c r="O301" s="57">
        <f>IFERROR(VLOOKUP(A301&amp;G301,Lookup!J:K,2,0),"")</f>
        <v>0</v>
      </c>
      <c r="P301" s="110" t="str">
        <f t="shared" si="33"/>
        <v/>
      </c>
      <c r="R301" s="58" t="str">
        <f t="shared" si="35"/>
        <v/>
      </c>
      <c r="S301" s="58" t="str">
        <f t="shared" si="36"/>
        <v/>
      </c>
      <c r="T301" s="59" t="e">
        <f t="shared" si="34"/>
        <v>#VALUE!</v>
      </c>
      <c r="U301" s="59"/>
      <c r="X301" s="60" t="str">
        <f t="shared" si="32"/>
        <v>D</v>
      </c>
    </row>
    <row r="302" spans="2:24" x14ac:dyDescent="0.25">
      <c r="B302" s="54" t="str">
        <f>IFERROR(VLOOKUP(A302,Lookup!A:B,2,0),"")</f>
        <v/>
      </c>
      <c r="C302" s="54" t="str">
        <f>IFERROR(VLOOKUP(A302,Lookup!A:C,3,0),"")</f>
        <v/>
      </c>
      <c r="J302" s="103">
        <f>VLOOKUP(A302&amp;G302,Lookup!J:N,5,0)</f>
        <v>0</v>
      </c>
      <c r="O302" s="57">
        <f>IFERROR(VLOOKUP(A302&amp;G302,Lookup!J:K,2,0),"")</f>
        <v>0</v>
      </c>
      <c r="P302" s="110" t="str">
        <f t="shared" si="33"/>
        <v/>
      </c>
      <c r="R302" s="58" t="str">
        <f t="shared" si="35"/>
        <v/>
      </c>
      <c r="S302" s="58" t="str">
        <f t="shared" si="36"/>
        <v/>
      </c>
      <c r="T302" s="59" t="e">
        <f t="shared" si="34"/>
        <v>#VALUE!</v>
      </c>
      <c r="U302" s="59"/>
      <c r="X302" s="60" t="str">
        <f t="shared" ref="X302:X365" si="37">IF(I302="SET","A",IF(I302="FREQ","C",IF(I302="","D","B")))</f>
        <v>D</v>
      </c>
    </row>
    <row r="303" spans="2:24" x14ac:dyDescent="0.25">
      <c r="B303" s="54" t="str">
        <f>IFERROR(VLOOKUP(A303,Lookup!A:B,2,0),"")</f>
        <v/>
      </c>
      <c r="C303" s="54" t="str">
        <f>IFERROR(VLOOKUP(A303,Lookup!A:C,3,0),"")</f>
        <v/>
      </c>
      <c r="J303" s="103">
        <f>VLOOKUP(A303&amp;G303,Lookup!J:N,5,0)</f>
        <v>0</v>
      </c>
      <c r="O303" s="57">
        <f>IFERROR(VLOOKUP(A303&amp;G303,Lookup!J:K,2,0),"")</f>
        <v>0</v>
      </c>
      <c r="P303" s="110" t="str">
        <f t="shared" si="33"/>
        <v/>
      </c>
      <c r="R303" s="58" t="str">
        <f t="shared" si="35"/>
        <v/>
      </c>
      <c r="S303" s="58" t="str">
        <f t="shared" si="36"/>
        <v/>
      </c>
      <c r="T303" s="59" t="e">
        <f t="shared" si="34"/>
        <v>#VALUE!</v>
      </c>
      <c r="U303" s="59"/>
      <c r="X303" s="60" t="str">
        <f t="shared" si="37"/>
        <v>D</v>
      </c>
    </row>
    <row r="304" spans="2:24" x14ac:dyDescent="0.25">
      <c r="B304" s="54" t="str">
        <f>IFERROR(VLOOKUP(A304,Lookup!A:B,2,0),"")</f>
        <v/>
      </c>
      <c r="C304" s="54" t="str">
        <f>IFERROR(VLOOKUP(A304,Lookup!A:C,3,0),"")</f>
        <v/>
      </c>
      <c r="J304" s="103">
        <f>VLOOKUP(A304&amp;G304,Lookup!J:N,5,0)</f>
        <v>0</v>
      </c>
      <c r="O304" s="57">
        <f>IFERROR(VLOOKUP(A304&amp;G304,Lookup!J:K,2,0),"")</f>
        <v>0</v>
      </c>
      <c r="P304" s="110" t="str">
        <f t="shared" si="33"/>
        <v/>
      </c>
      <c r="R304" s="58" t="str">
        <f t="shared" si="35"/>
        <v/>
      </c>
      <c r="S304" s="58" t="str">
        <f t="shared" si="36"/>
        <v/>
      </c>
      <c r="T304" s="59" t="e">
        <f t="shared" si="34"/>
        <v>#VALUE!</v>
      </c>
      <c r="U304" s="59"/>
      <c r="X304" s="60" t="str">
        <f t="shared" si="37"/>
        <v>D</v>
      </c>
    </row>
    <row r="305" spans="2:24" x14ac:dyDescent="0.25">
      <c r="B305" s="54" t="str">
        <f>IFERROR(VLOOKUP(A305,Lookup!A:B,2,0),"")</f>
        <v/>
      </c>
      <c r="C305" s="54" t="str">
        <f>IFERROR(VLOOKUP(A305,Lookup!A:C,3,0),"")</f>
        <v/>
      </c>
      <c r="J305" s="103">
        <f>VLOOKUP(A305&amp;G305,Lookup!J:N,5,0)</f>
        <v>0</v>
      </c>
      <c r="O305" s="57">
        <f>IFERROR(VLOOKUP(A305&amp;G305,Lookup!J:K,2,0),"")</f>
        <v>0</v>
      </c>
      <c r="P305" s="110" t="str">
        <f t="shared" si="33"/>
        <v/>
      </c>
      <c r="R305" s="58" t="str">
        <f t="shared" si="35"/>
        <v/>
      </c>
      <c r="S305" s="58" t="str">
        <f t="shared" si="36"/>
        <v/>
      </c>
      <c r="T305" s="59" t="e">
        <f t="shared" si="34"/>
        <v>#VALUE!</v>
      </c>
      <c r="U305" s="59"/>
      <c r="X305" s="60" t="str">
        <f t="shared" si="37"/>
        <v>D</v>
      </c>
    </row>
    <row r="306" spans="2:24" x14ac:dyDescent="0.25">
      <c r="B306" s="54" t="str">
        <f>IFERROR(VLOOKUP(A306,Lookup!A:B,2,0),"")</f>
        <v/>
      </c>
      <c r="C306" s="54" t="str">
        <f>IFERROR(VLOOKUP(A306,Lookup!A:C,3,0),"")</f>
        <v/>
      </c>
      <c r="J306" s="103">
        <f>VLOOKUP(A306&amp;G306,Lookup!J:N,5,0)</f>
        <v>0</v>
      </c>
      <c r="O306" s="57">
        <f>IFERROR(VLOOKUP(A306&amp;G306,Lookup!J:K,2,0),"")</f>
        <v>0</v>
      </c>
      <c r="P306" s="110" t="str">
        <f t="shared" si="33"/>
        <v/>
      </c>
      <c r="R306" s="58" t="str">
        <f t="shared" si="35"/>
        <v/>
      </c>
      <c r="S306" s="58" t="str">
        <f t="shared" si="36"/>
        <v/>
      </c>
      <c r="T306" s="59" t="e">
        <f t="shared" si="34"/>
        <v>#VALUE!</v>
      </c>
      <c r="U306" s="59"/>
      <c r="X306" s="60" t="str">
        <f t="shared" si="37"/>
        <v>D</v>
      </c>
    </row>
    <row r="307" spans="2:24" x14ac:dyDescent="0.25">
      <c r="B307" s="54" t="str">
        <f>IFERROR(VLOOKUP(A307,Lookup!A:B,2,0),"")</f>
        <v/>
      </c>
      <c r="C307" s="54" t="str">
        <f>IFERROR(VLOOKUP(A307,Lookup!A:C,3,0),"")</f>
        <v/>
      </c>
      <c r="J307" s="103">
        <f>VLOOKUP(A307&amp;G307,Lookup!J:N,5,0)</f>
        <v>0</v>
      </c>
      <c r="O307" s="57">
        <f>IFERROR(VLOOKUP(A307&amp;G307,Lookup!J:K,2,0),"")</f>
        <v>0</v>
      </c>
      <c r="P307" s="110" t="str">
        <f t="shared" si="33"/>
        <v/>
      </c>
      <c r="R307" s="58" t="str">
        <f t="shared" si="35"/>
        <v/>
      </c>
      <c r="S307" s="58" t="str">
        <f t="shared" si="36"/>
        <v/>
      </c>
      <c r="T307" s="59" t="e">
        <f t="shared" si="34"/>
        <v>#VALUE!</v>
      </c>
      <c r="U307" s="59"/>
      <c r="X307" s="60" t="str">
        <f t="shared" si="37"/>
        <v>D</v>
      </c>
    </row>
    <row r="308" spans="2:24" x14ac:dyDescent="0.25">
      <c r="B308" s="54" t="str">
        <f>IFERROR(VLOOKUP(A308,Lookup!A:B,2,0),"")</f>
        <v/>
      </c>
      <c r="C308" s="54" t="str">
        <f>IFERROR(VLOOKUP(A308,Lookup!A:C,3,0),"")</f>
        <v/>
      </c>
      <c r="J308" s="103">
        <f>VLOOKUP(A308&amp;G308,Lookup!J:N,5,0)</f>
        <v>0</v>
      </c>
      <c r="O308" s="57">
        <f>IFERROR(VLOOKUP(A308&amp;G308,Lookup!J:K,2,0),"")</f>
        <v>0</v>
      </c>
      <c r="P308" s="110" t="str">
        <f t="shared" si="33"/>
        <v/>
      </c>
      <c r="R308" s="58" t="str">
        <f t="shared" si="35"/>
        <v/>
      </c>
      <c r="S308" s="58" t="str">
        <f t="shared" si="36"/>
        <v/>
      </c>
      <c r="T308" s="59" t="e">
        <f t="shared" si="34"/>
        <v>#VALUE!</v>
      </c>
      <c r="U308" s="59"/>
      <c r="X308" s="60" t="str">
        <f t="shared" si="37"/>
        <v>D</v>
      </c>
    </row>
    <row r="309" spans="2:24" x14ac:dyDescent="0.25">
      <c r="B309" s="54" t="str">
        <f>IFERROR(VLOOKUP(A309,Lookup!A:B,2,0),"")</f>
        <v/>
      </c>
      <c r="C309" s="54" t="str">
        <f>IFERROR(VLOOKUP(A309,Lookup!A:C,3,0),"")</f>
        <v/>
      </c>
      <c r="J309" s="103">
        <f>VLOOKUP(A309&amp;G309,Lookup!J:N,5,0)</f>
        <v>0</v>
      </c>
      <c r="O309" s="57">
        <f>IFERROR(VLOOKUP(A309&amp;G309,Lookup!J:K,2,0),"")</f>
        <v>0</v>
      </c>
      <c r="P309" s="110" t="str">
        <f t="shared" si="33"/>
        <v/>
      </c>
      <c r="R309" s="58" t="str">
        <f t="shared" si="35"/>
        <v/>
      </c>
      <c r="S309" s="58" t="str">
        <f t="shared" si="36"/>
        <v/>
      </c>
      <c r="T309" s="59" t="e">
        <f t="shared" si="34"/>
        <v>#VALUE!</v>
      </c>
      <c r="U309" s="59"/>
      <c r="X309" s="60" t="str">
        <f t="shared" si="37"/>
        <v>D</v>
      </c>
    </row>
    <row r="310" spans="2:24" x14ac:dyDescent="0.25">
      <c r="B310" s="54" t="str">
        <f>IFERROR(VLOOKUP(A310,Lookup!A:B,2,0),"")</f>
        <v/>
      </c>
      <c r="C310" s="54" t="str">
        <f>IFERROR(VLOOKUP(A310,Lookup!A:C,3,0),"")</f>
        <v/>
      </c>
      <c r="J310" s="103">
        <f>VLOOKUP(A310&amp;G310,Lookup!J:N,5,0)</f>
        <v>0</v>
      </c>
      <c r="O310" s="57">
        <f>IFERROR(VLOOKUP(A310&amp;G310,Lookup!J:K,2,0),"")</f>
        <v>0</v>
      </c>
      <c r="P310" s="110" t="str">
        <f t="shared" si="33"/>
        <v/>
      </c>
      <c r="R310" s="58" t="str">
        <f t="shared" si="35"/>
        <v/>
      </c>
      <c r="S310" s="58" t="str">
        <f t="shared" si="36"/>
        <v/>
      </c>
      <c r="T310" s="59" t="e">
        <f t="shared" si="34"/>
        <v>#VALUE!</v>
      </c>
      <c r="U310" s="59"/>
      <c r="X310" s="60" t="str">
        <f t="shared" si="37"/>
        <v>D</v>
      </c>
    </row>
    <row r="311" spans="2:24" x14ac:dyDescent="0.25">
      <c r="B311" s="54" t="str">
        <f>IFERROR(VLOOKUP(A311,Lookup!A:B,2,0),"")</f>
        <v/>
      </c>
      <c r="C311" s="54" t="str">
        <f>IFERROR(VLOOKUP(A311,Lookup!A:C,3,0),"")</f>
        <v/>
      </c>
      <c r="J311" s="103">
        <f>VLOOKUP(A311&amp;G311,Lookup!J:N,5,0)</f>
        <v>0</v>
      </c>
      <c r="O311" s="57">
        <f>IFERROR(VLOOKUP(A311&amp;G311,Lookup!J:K,2,0),"")</f>
        <v>0</v>
      </c>
      <c r="P311" s="110" t="str">
        <f t="shared" si="33"/>
        <v/>
      </c>
      <c r="R311" s="58" t="str">
        <f t="shared" si="35"/>
        <v/>
      </c>
      <c r="S311" s="58" t="str">
        <f t="shared" si="36"/>
        <v/>
      </c>
      <c r="T311" s="59" t="e">
        <f t="shared" si="34"/>
        <v>#VALUE!</v>
      </c>
      <c r="U311" s="59"/>
      <c r="X311" s="60" t="str">
        <f t="shared" si="37"/>
        <v>D</v>
      </c>
    </row>
    <row r="312" spans="2:24" x14ac:dyDescent="0.25">
      <c r="B312" s="54" t="str">
        <f>IFERROR(VLOOKUP(A312,Lookup!A:B,2,0),"")</f>
        <v/>
      </c>
      <c r="C312" s="54" t="str">
        <f>IFERROR(VLOOKUP(A312,Lookup!A:C,3,0),"")</f>
        <v/>
      </c>
      <c r="J312" s="103">
        <f>VLOOKUP(A312&amp;G312,Lookup!J:N,5,0)</f>
        <v>0</v>
      </c>
      <c r="O312" s="57">
        <f>IFERROR(VLOOKUP(A312&amp;G312,Lookup!J:K,2,0),"")</f>
        <v>0</v>
      </c>
      <c r="P312" s="110" t="str">
        <f t="shared" si="33"/>
        <v/>
      </c>
      <c r="R312" s="58" t="str">
        <f t="shared" si="35"/>
        <v/>
      </c>
      <c r="S312" s="58" t="str">
        <f t="shared" si="36"/>
        <v/>
      </c>
      <c r="T312" s="59" t="e">
        <f t="shared" si="34"/>
        <v>#VALUE!</v>
      </c>
      <c r="U312" s="59"/>
      <c r="X312" s="60" t="str">
        <f t="shared" si="37"/>
        <v>D</v>
      </c>
    </row>
    <row r="313" spans="2:24" x14ac:dyDescent="0.25">
      <c r="B313" s="54" t="str">
        <f>IFERROR(VLOOKUP(A313,Lookup!A:B,2,0),"")</f>
        <v/>
      </c>
      <c r="C313" s="54" t="str">
        <f>IFERROR(VLOOKUP(A313,Lookup!A:C,3,0),"")</f>
        <v/>
      </c>
      <c r="J313" s="103">
        <f>VLOOKUP(A313&amp;G313,Lookup!J:N,5,0)</f>
        <v>0</v>
      </c>
      <c r="O313" s="57">
        <f>IFERROR(VLOOKUP(A313&amp;G313,Lookup!J:K,2,0),"")</f>
        <v>0</v>
      </c>
      <c r="P313" s="110" t="str">
        <f t="shared" si="33"/>
        <v/>
      </c>
      <c r="R313" s="58" t="str">
        <f t="shared" si="35"/>
        <v/>
      </c>
      <c r="S313" s="58" t="str">
        <f t="shared" si="36"/>
        <v/>
      </c>
      <c r="T313" s="59" t="e">
        <f t="shared" si="34"/>
        <v>#VALUE!</v>
      </c>
      <c r="U313" s="59"/>
      <c r="X313" s="60" t="str">
        <f t="shared" si="37"/>
        <v>D</v>
      </c>
    </row>
    <row r="314" spans="2:24" x14ac:dyDescent="0.25">
      <c r="B314" s="54" t="str">
        <f>IFERROR(VLOOKUP(A314,Lookup!A:B,2,0),"")</f>
        <v/>
      </c>
      <c r="C314" s="54" t="str">
        <f>IFERROR(VLOOKUP(A314,Lookup!A:C,3,0),"")</f>
        <v/>
      </c>
      <c r="J314" s="103">
        <f>VLOOKUP(A314&amp;G314,Lookup!J:N,5,0)</f>
        <v>0</v>
      </c>
      <c r="O314" s="57">
        <f>IFERROR(VLOOKUP(A314&amp;G314,Lookup!J:K,2,0),"")</f>
        <v>0</v>
      </c>
      <c r="P314" s="110" t="str">
        <f t="shared" si="33"/>
        <v/>
      </c>
      <c r="R314" s="58" t="str">
        <f t="shared" si="35"/>
        <v/>
      </c>
      <c r="S314" s="58" t="str">
        <f t="shared" si="36"/>
        <v/>
      </c>
      <c r="T314" s="59" t="e">
        <f t="shared" si="34"/>
        <v>#VALUE!</v>
      </c>
      <c r="U314" s="59"/>
      <c r="X314" s="60" t="str">
        <f t="shared" si="37"/>
        <v>D</v>
      </c>
    </row>
    <row r="315" spans="2:24" x14ac:dyDescent="0.25">
      <c r="B315" s="54" t="str">
        <f>IFERROR(VLOOKUP(A315,Lookup!A:B,2,0),"")</f>
        <v/>
      </c>
      <c r="C315" s="54" t="str">
        <f>IFERROR(VLOOKUP(A315,Lookup!A:C,3,0),"")</f>
        <v/>
      </c>
      <c r="J315" s="103">
        <f>VLOOKUP(A315&amp;G315,Lookup!J:N,5,0)</f>
        <v>0</v>
      </c>
      <c r="O315" s="57">
        <f>IFERROR(VLOOKUP(A315&amp;G315,Lookup!J:K,2,0),"")</f>
        <v>0</v>
      </c>
      <c r="P315" s="110" t="str">
        <f t="shared" si="33"/>
        <v/>
      </c>
      <c r="R315" s="58" t="str">
        <f t="shared" si="35"/>
        <v/>
      </c>
      <c r="S315" s="58" t="str">
        <f t="shared" si="36"/>
        <v/>
      </c>
      <c r="T315" s="59" t="e">
        <f t="shared" si="34"/>
        <v>#VALUE!</v>
      </c>
      <c r="U315" s="59"/>
      <c r="X315" s="60" t="str">
        <f t="shared" si="37"/>
        <v>D</v>
      </c>
    </row>
    <row r="316" spans="2:24" x14ac:dyDescent="0.25">
      <c r="B316" s="54" t="str">
        <f>IFERROR(VLOOKUP(A316,Lookup!A:B,2,0),"")</f>
        <v/>
      </c>
      <c r="C316" s="54" t="str">
        <f>IFERROR(VLOOKUP(A316,Lookup!A:C,3,0),"")</f>
        <v/>
      </c>
      <c r="J316" s="103">
        <f>VLOOKUP(A316&amp;G316,Lookup!J:N,5,0)</f>
        <v>0</v>
      </c>
      <c r="O316" s="57">
        <f>IFERROR(VLOOKUP(A316&amp;G316,Lookup!J:K,2,0),"")</f>
        <v>0</v>
      </c>
      <c r="P316" s="110" t="str">
        <f t="shared" si="33"/>
        <v/>
      </c>
      <c r="R316" s="58" t="str">
        <f t="shared" si="35"/>
        <v/>
      </c>
      <c r="S316" s="58" t="str">
        <f t="shared" si="36"/>
        <v/>
      </c>
      <c r="T316" s="59" t="e">
        <f t="shared" si="34"/>
        <v>#VALUE!</v>
      </c>
      <c r="U316" s="59"/>
      <c r="X316" s="60" t="str">
        <f t="shared" si="37"/>
        <v>D</v>
      </c>
    </row>
    <row r="317" spans="2:24" x14ac:dyDescent="0.25">
      <c r="B317" s="54" t="str">
        <f>IFERROR(VLOOKUP(A317,Lookup!A:B,2,0),"")</f>
        <v/>
      </c>
      <c r="C317" s="54" t="str">
        <f>IFERROR(VLOOKUP(A317,Lookup!A:C,3,0),"")</f>
        <v/>
      </c>
      <c r="J317" s="103">
        <f>VLOOKUP(A317&amp;G317,Lookup!J:N,5,0)</f>
        <v>0</v>
      </c>
      <c r="O317" s="57">
        <f>IFERROR(VLOOKUP(A317&amp;G317,Lookup!J:K,2,0),"")</f>
        <v>0</v>
      </c>
      <c r="P317" s="110" t="str">
        <f t="shared" si="33"/>
        <v/>
      </c>
      <c r="R317" s="58" t="str">
        <f t="shared" si="35"/>
        <v/>
      </c>
      <c r="S317" s="58" t="str">
        <f t="shared" si="36"/>
        <v/>
      </c>
      <c r="T317" s="59" t="e">
        <f t="shared" si="34"/>
        <v>#VALUE!</v>
      </c>
      <c r="U317" s="59"/>
      <c r="X317" s="60" t="str">
        <f t="shared" si="37"/>
        <v>D</v>
      </c>
    </row>
    <row r="318" spans="2:24" x14ac:dyDescent="0.25">
      <c r="B318" s="54" t="str">
        <f>IFERROR(VLOOKUP(A318,Lookup!A:B,2,0),"")</f>
        <v/>
      </c>
      <c r="C318" s="54" t="str">
        <f>IFERROR(VLOOKUP(A318,Lookup!A:C,3,0),"")</f>
        <v/>
      </c>
      <c r="J318" s="103">
        <f>VLOOKUP(A318&amp;G318,Lookup!J:N,5,0)</f>
        <v>0</v>
      </c>
      <c r="O318" s="57">
        <f>IFERROR(VLOOKUP(A318&amp;G318,Lookup!J:K,2,0),"")</f>
        <v>0</v>
      </c>
      <c r="P318" s="110" t="str">
        <f t="shared" si="33"/>
        <v/>
      </c>
      <c r="R318" s="58" t="str">
        <f t="shared" si="35"/>
        <v/>
      </c>
      <c r="S318" s="58" t="str">
        <f t="shared" si="36"/>
        <v/>
      </c>
      <c r="T318" s="59" t="e">
        <f t="shared" si="34"/>
        <v>#VALUE!</v>
      </c>
      <c r="U318" s="59"/>
      <c r="X318" s="60" t="str">
        <f t="shared" si="37"/>
        <v>D</v>
      </c>
    </row>
    <row r="319" spans="2:24" x14ac:dyDescent="0.25">
      <c r="B319" s="54" t="str">
        <f>IFERROR(VLOOKUP(A319,Lookup!A:B,2,0),"")</f>
        <v/>
      </c>
      <c r="C319" s="54" t="str">
        <f>IFERROR(VLOOKUP(A319,Lookup!A:C,3,0),"")</f>
        <v/>
      </c>
      <c r="J319" s="103">
        <f>VLOOKUP(A319&amp;G319,Lookup!J:N,5,0)</f>
        <v>0</v>
      </c>
      <c r="O319" s="57">
        <f>IFERROR(VLOOKUP(A319&amp;G319,Lookup!J:K,2,0),"")</f>
        <v>0</v>
      </c>
      <c r="P319" s="110" t="str">
        <f t="shared" si="33"/>
        <v/>
      </c>
      <c r="R319" s="58" t="str">
        <f t="shared" si="35"/>
        <v/>
      </c>
      <c r="S319" s="58" t="str">
        <f t="shared" si="36"/>
        <v/>
      </c>
      <c r="T319" s="59" t="e">
        <f t="shared" si="34"/>
        <v>#VALUE!</v>
      </c>
      <c r="U319" s="59"/>
      <c r="X319" s="60" t="str">
        <f t="shared" si="37"/>
        <v>D</v>
      </c>
    </row>
    <row r="320" spans="2:24" x14ac:dyDescent="0.25">
      <c r="B320" s="54" t="str">
        <f>IFERROR(VLOOKUP(A320,Lookup!A:B,2,0),"")</f>
        <v/>
      </c>
      <c r="C320" s="54" t="str">
        <f>IFERROR(VLOOKUP(A320,Lookup!A:C,3,0),"")</f>
        <v/>
      </c>
      <c r="J320" s="103">
        <f>VLOOKUP(A320&amp;G320,Lookup!J:N,5,0)</f>
        <v>0</v>
      </c>
      <c r="O320" s="57">
        <f>IFERROR(VLOOKUP(A320&amp;G320,Lookup!J:K,2,0),"")</f>
        <v>0</v>
      </c>
      <c r="P320" s="110" t="str">
        <f t="shared" si="33"/>
        <v/>
      </c>
      <c r="R320" s="58" t="str">
        <f t="shared" si="35"/>
        <v/>
      </c>
      <c r="S320" s="58" t="str">
        <f t="shared" si="36"/>
        <v/>
      </c>
      <c r="T320" s="59" t="e">
        <f t="shared" si="34"/>
        <v>#VALUE!</v>
      </c>
      <c r="U320" s="59"/>
      <c r="X320" s="60" t="str">
        <f t="shared" si="37"/>
        <v>D</v>
      </c>
    </row>
    <row r="321" spans="2:24" x14ac:dyDescent="0.25">
      <c r="B321" s="54" t="str">
        <f>IFERROR(VLOOKUP(A321,Lookup!A:B,2,0),"")</f>
        <v/>
      </c>
      <c r="C321" s="54" t="str">
        <f>IFERROR(VLOOKUP(A321,Lookup!A:C,3,0),"")</f>
        <v/>
      </c>
      <c r="J321" s="103">
        <f>VLOOKUP(A321&amp;G321,Lookup!J:N,5,0)</f>
        <v>0</v>
      </c>
      <c r="O321" s="57">
        <f>IFERROR(VLOOKUP(A321&amp;G321,Lookup!J:K,2,0),"")</f>
        <v>0</v>
      </c>
      <c r="P321" s="110" t="str">
        <f t="shared" si="33"/>
        <v/>
      </c>
      <c r="R321" s="58" t="str">
        <f t="shared" si="35"/>
        <v/>
      </c>
      <c r="S321" s="58" t="str">
        <f t="shared" si="36"/>
        <v/>
      </c>
      <c r="T321" s="59" t="e">
        <f t="shared" si="34"/>
        <v>#VALUE!</v>
      </c>
      <c r="U321" s="59"/>
      <c r="X321" s="60" t="str">
        <f t="shared" si="37"/>
        <v>D</v>
      </c>
    </row>
    <row r="322" spans="2:24" x14ac:dyDescent="0.25">
      <c r="B322" s="54" t="str">
        <f>IFERROR(VLOOKUP(A322,Lookup!A:B,2,0),"")</f>
        <v/>
      </c>
      <c r="C322" s="54" t="str">
        <f>IFERROR(VLOOKUP(A322,Lookup!A:C,3,0),"")</f>
        <v/>
      </c>
      <c r="J322" s="103">
        <f>VLOOKUP(A322&amp;G322,Lookup!J:N,5,0)</f>
        <v>0</v>
      </c>
      <c r="O322" s="57">
        <f>IFERROR(VLOOKUP(A322&amp;G322,Lookup!J:K,2,0),"")</f>
        <v>0</v>
      </c>
      <c r="P322" s="110" t="str">
        <f t="shared" si="33"/>
        <v/>
      </c>
      <c r="R322" s="58" t="str">
        <f t="shared" si="35"/>
        <v/>
      </c>
      <c r="S322" s="58" t="str">
        <f t="shared" si="36"/>
        <v/>
      </c>
      <c r="T322" s="59" t="e">
        <f t="shared" si="34"/>
        <v>#VALUE!</v>
      </c>
      <c r="U322" s="59"/>
      <c r="X322" s="60" t="str">
        <f t="shared" si="37"/>
        <v>D</v>
      </c>
    </row>
    <row r="323" spans="2:24" x14ac:dyDescent="0.25">
      <c r="B323" s="54" t="str">
        <f>IFERROR(VLOOKUP(A323,Lookup!A:B,2,0),"")</f>
        <v/>
      </c>
      <c r="C323" s="54" t="str">
        <f>IFERROR(VLOOKUP(A323,Lookup!A:C,3,0),"")</f>
        <v/>
      </c>
      <c r="J323" s="103">
        <f>VLOOKUP(A323&amp;G323,Lookup!J:N,5,0)</f>
        <v>0</v>
      </c>
      <c r="O323" s="57">
        <f>IFERROR(VLOOKUP(A323&amp;G323,Lookup!J:K,2,0),"")</f>
        <v>0</v>
      </c>
      <c r="P323" s="110" t="str">
        <f t="shared" si="33"/>
        <v/>
      </c>
      <c r="R323" s="58" t="str">
        <f t="shared" si="35"/>
        <v/>
      </c>
      <c r="S323" s="58" t="str">
        <f t="shared" si="36"/>
        <v/>
      </c>
      <c r="T323" s="59" t="e">
        <f t="shared" si="34"/>
        <v>#VALUE!</v>
      </c>
      <c r="U323" s="59"/>
      <c r="X323" s="60" t="str">
        <f t="shared" si="37"/>
        <v>D</v>
      </c>
    </row>
    <row r="324" spans="2:24" x14ac:dyDescent="0.25">
      <c r="B324" s="54" t="str">
        <f>IFERROR(VLOOKUP(A324,Lookup!A:B,2,0),"")</f>
        <v/>
      </c>
      <c r="C324" s="54" t="str">
        <f>IFERROR(VLOOKUP(A324,Lookup!A:C,3,0),"")</f>
        <v/>
      </c>
      <c r="J324" s="103">
        <f>VLOOKUP(A324&amp;G324,Lookup!J:N,5,0)</f>
        <v>0</v>
      </c>
      <c r="O324" s="57">
        <f>IFERROR(VLOOKUP(A324&amp;G324,Lookup!J:K,2,0),"")</f>
        <v>0</v>
      </c>
      <c r="P324" s="110" t="str">
        <f t="shared" ref="P324:P387" si="38">IF(N324="","",N324+O324)</f>
        <v/>
      </c>
      <c r="R324" s="58" t="str">
        <f t="shared" si="35"/>
        <v/>
      </c>
      <c r="S324" s="58" t="str">
        <f t="shared" si="36"/>
        <v/>
      </c>
      <c r="T324" s="59" t="e">
        <f t="shared" si="34"/>
        <v>#VALUE!</v>
      </c>
      <c r="U324" s="59"/>
      <c r="X324" s="60" t="str">
        <f t="shared" si="37"/>
        <v>D</v>
      </c>
    </row>
    <row r="325" spans="2:24" x14ac:dyDescent="0.25">
      <c r="B325" s="54" t="str">
        <f>IFERROR(VLOOKUP(A325,Lookup!A:B,2,0),"")</f>
        <v/>
      </c>
      <c r="C325" s="54" t="str">
        <f>IFERROR(VLOOKUP(A325,Lookup!A:C,3,0),"")</f>
        <v/>
      </c>
      <c r="J325" s="103">
        <f>VLOOKUP(A325&amp;G325,Lookup!J:N,5,0)</f>
        <v>0</v>
      </c>
      <c r="O325" s="57">
        <f>IFERROR(VLOOKUP(A325&amp;G325,Lookup!J:K,2,0),"")</f>
        <v>0</v>
      </c>
      <c r="P325" s="110" t="str">
        <f t="shared" si="38"/>
        <v/>
      </c>
      <c r="R325" s="58" t="str">
        <f t="shared" si="35"/>
        <v/>
      </c>
      <c r="S325" s="58" t="str">
        <f t="shared" si="36"/>
        <v/>
      </c>
      <c r="T325" s="59" t="e">
        <f t="shared" si="34"/>
        <v>#VALUE!</v>
      </c>
      <c r="U325" s="59"/>
      <c r="X325" s="60" t="str">
        <f t="shared" si="37"/>
        <v>D</v>
      </c>
    </row>
    <row r="326" spans="2:24" x14ac:dyDescent="0.25">
      <c r="B326" s="54" t="str">
        <f>IFERROR(VLOOKUP(A326,Lookup!A:B,2,0),"")</f>
        <v/>
      </c>
      <c r="C326" s="54" t="str">
        <f>IFERROR(VLOOKUP(A326,Lookup!A:C,3,0),"")</f>
        <v/>
      </c>
      <c r="J326" s="103">
        <f>VLOOKUP(A326&amp;G326,Lookup!J:N,5,0)</f>
        <v>0</v>
      </c>
      <c r="O326" s="57">
        <f>IFERROR(VLOOKUP(A326&amp;G326,Lookup!J:K,2,0),"")</f>
        <v>0</v>
      </c>
      <c r="P326" s="110" t="str">
        <f t="shared" si="38"/>
        <v/>
      </c>
      <c r="R326" s="58" t="str">
        <f t="shared" si="35"/>
        <v/>
      </c>
      <c r="S326" s="58" t="str">
        <f t="shared" si="36"/>
        <v/>
      </c>
      <c r="T326" s="59" t="e">
        <f t="shared" si="34"/>
        <v>#VALUE!</v>
      </c>
      <c r="U326" s="59"/>
      <c r="X326" s="60" t="str">
        <f t="shared" si="37"/>
        <v>D</v>
      </c>
    </row>
    <row r="327" spans="2:24" x14ac:dyDescent="0.25">
      <c r="B327" s="54" t="str">
        <f>IFERROR(VLOOKUP(A327,Lookup!A:B,2,0),"")</f>
        <v/>
      </c>
      <c r="C327" s="54" t="str">
        <f>IFERROR(VLOOKUP(A327,Lookup!A:C,3,0),"")</f>
        <v/>
      </c>
      <c r="J327" s="103">
        <f>VLOOKUP(A327&amp;G327,Lookup!J:N,5,0)</f>
        <v>0</v>
      </c>
      <c r="O327" s="57">
        <f>IFERROR(VLOOKUP(A327&amp;G327,Lookup!J:K,2,0),"")</f>
        <v>0</v>
      </c>
      <c r="P327" s="110" t="str">
        <f t="shared" si="38"/>
        <v/>
      </c>
      <c r="R327" s="58" t="str">
        <f t="shared" si="35"/>
        <v/>
      </c>
      <c r="S327" s="58" t="str">
        <f t="shared" si="36"/>
        <v/>
      </c>
      <c r="T327" s="59" t="e">
        <f t="shared" si="34"/>
        <v>#VALUE!</v>
      </c>
      <c r="U327" s="59"/>
      <c r="X327" s="60" t="str">
        <f t="shared" si="37"/>
        <v>D</v>
      </c>
    </row>
    <row r="328" spans="2:24" x14ac:dyDescent="0.25">
      <c r="B328" s="54" t="str">
        <f>IFERROR(VLOOKUP(A328,Lookup!A:B,2,0),"")</f>
        <v/>
      </c>
      <c r="C328" s="54" t="str">
        <f>IFERROR(VLOOKUP(A328,Lookup!A:C,3,0),"")</f>
        <v/>
      </c>
      <c r="J328" s="103">
        <f>VLOOKUP(A328&amp;G328,Lookup!J:N,5,0)</f>
        <v>0</v>
      </c>
      <c r="O328" s="57">
        <f>IFERROR(VLOOKUP(A328&amp;G328,Lookup!J:K,2,0),"")</f>
        <v>0</v>
      </c>
      <c r="P328" s="110" t="str">
        <f t="shared" si="38"/>
        <v/>
      </c>
      <c r="R328" s="58" t="str">
        <f t="shared" si="35"/>
        <v/>
      </c>
      <c r="S328" s="58" t="str">
        <f t="shared" si="36"/>
        <v/>
      </c>
      <c r="T328" s="59" t="e">
        <f t="shared" si="34"/>
        <v>#VALUE!</v>
      </c>
      <c r="U328" s="59"/>
      <c r="X328" s="60" t="str">
        <f t="shared" si="37"/>
        <v>D</v>
      </c>
    </row>
    <row r="329" spans="2:24" x14ac:dyDescent="0.25">
      <c r="B329" s="54" t="str">
        <f>IFERROR(VLOOKUP(A329,Lookup!A:B,2,0),"")</f>
        <v/>
      </c>
      <c r="C329" s="54" t="str">
        <f>IFERROR(VLOOKUP(A329,Lookup!A:C,3,0),"")</f>
        <v/>
      </c>
      <c r="J329" s="103">
        <f>VLOOKUP(A329&amp;G329,Lookup!J:N,5,0)</f>
        <v>0</v>
      </c>
      <c r="O329" s="57">
        <f>IFERROR(VLOOKUP(A329&amp;G329,Lookup!J:K,2,0),"")</f>
        <v>0</v>
      </c>
      <c r="P329" s="110" t="str">
        <f t="shared" si="38"/>
        <v/>
      </c>
      <c r="R329" s="58" t="str">
        <f t="shared" si="35"/>
        <v/>
      </c>
      <c r="S329" s="58" t="str">
        <f t="shared" si="36"/>
        <v/>
      </c>
      <c r="T329" s="59" t="e">
        <f t="shared" si="34"/>
        <v>#VALUE!</v>
      </c>
      <c r="U329" s="59"/>
      <c r="X329" s="60" t="str">
        <f t="shared" si="37"/>
        <v>D</v>
      </c>
    </row>
    <row r="330" spans="2:24" x14ac:dyDescent="0.25">
      <c r="B330" s="54" t="str">
        <f>IFERROR(VLOOKUP(A330,Lookup!A:B,2,0),"")</f>
        <v/>
      </c>
      <c r="C330" s="54" t="str">
        <f>IFERROR(VLOOKUP(A330,Lookup!A:C,3,0),"")</f>
        <v/>
      </c>
      <c r="J330" s="103">
        <f>VLOOKUP(A330&amp;G330,Lookup!J:N,5,0)</f>
        <v>0</v>
      </c>
      <c r="O330" s="57">
        <f>IFERROR(VLOOKUP(A330&amp;G330,Lookup!J:K,2,0),"")</f>
        <v>0</v>
      </c>
      <c r="P330" s="110" t="str">
        <f t="shared" si="38"/>
        <v/>
      </c>
      <c r="R330" s="58" t="str">
        <f t="shared" si="35"/>
        <v/>
      </c>
      <c r="S330" s="58" t="str">
        <f t="shared" si="36"/>
        <v/>
      </c>
      <c r="T330" s="59" t="e">
        <f t="shared" si="34"/>
        <v>#VALUE!</v>
      </c>
      <c r="U330" s="59"/>
      <c r="X330" s="60" t="str">
        <f t="shared" si="37"/>
        <v>D</v>
      </c>
    </row>
    <row r="331" spans="2:24" x14ac:dyDescent="0.25">
      <c r="B331" s="54" t="str">
        <f>IFERROR(VLOOKUP(A331,Lookup!A:B,2,0),"")</f>
        <v/>
      </c>
      <c r="C331" s="54" t="str">
        <f>IFERROR(VLOOKUP(A331,Lookup!A:C,3,0),"")</f>
        <v/>
      </c>
      <c r="J331" s="103">
        <f>VLOOKUP(A331&amp;G331,Lookup!J:N,5,0)</f>
        <v>0</v>
      </c>
      <c r="O331" s="57">
        <f>IFERROR(VLOOKUP(A331&amp;G331,Lookup!J:K,2,0),"")</f>
        <v>0</v>
      </c>
      <c r="P331" s="110" t="str">
        <f t="shared" si="38"/>
        <v/>
      </c>
      <c r="R331" s="58" t="str">
        <f t="shared" si="35"/>
        <v/>
      </c>
      <c r="S331" s="58" t="str">
        <f t="shared" si="36"/>
        <v/>
      </c>
      <c r="T331" s="59" t="e">
        <f t="shared" si="34"/>
        <v>#VALUE!</v>
      </c>
      <c r="U331" s="59"/>
      <c r="X331" s="60" t="str">
        <f t="shared" si="37"/>
        <v>D</v>
      </c>
    </row>
    <row r="332" spans="2:24" x14ac:dyDescent="0.25">
      <c r="B332" s="54" t="str">
        <f>IFERROR(VLOOKUP(A332,Lookup!A:B,2,0),"")</f>
        <v/>
      </c>
      <c r="C332" s="54" t="str">
        <f>IFERROR(VLOOKUP(A332,Lookup!A:C,3,0),"")</f>
        <v/>
      </c>
      <c r="J332" s="103">
        <f>VLOOKUP(A332&amp;G332,Lookup!J:N,5,0)</f>
        <v>0</v>
      </c>
      <c r="O332" s="57">
        <f>IFERROR(VLOOKUP(A332&amp;G332,Lookup!J:K,2,0),"")</f>
        <v>0</v>
      </c>
      <c r="P332" s="110" t="str">
        <f t="shared" si="38"/>
        <v/>
      </c>
      <c r="R332" s="58" t="str">
        <f t="shared" si="35"/>
        <v/>
      </c>
      <c r="S332" s="58" t="str">
        <f t="shared" si="36"/>
        <v/>
      </c>
      <c r="T332" s="59" t="e">
        <f t="shared" si="34"/>
        <v>#VALUE!</v>
      </c>
      <c r="U332" s="59"/>
      <c r="X332" s="60" t="str">
        <f t="shared" si="37"/>
        <v>D</v>
      </c>
    </row>
    <row r="333" spans="2:24" x14ac:dyDescent="0.25">
      <c r="B333" s="54" t="str">
        <f>IFERROR(VLOOKUP(A333,Lookup!A:B,2,0),"")</f>
        <v/>
      </c>
      <c r="C333" s="54" t="str">
        <f>IFERROR(VLOOKUP(A333,Lookup!A:C,3,0),"")</f>
        <v/>
      </c>
      <c r="J333" s="103">
        <f>VLOOKUP(A333&amp;G333,Lookup!J:N,5,0)</f>
        <v>0</v>
      </c>
      <c r="O333" s="57">
        <f>IFERROR(VLOOKUP(A333&amp;G333,Lookup!J:K,2,0),"")</f>
        <v>0</v>
      </c>
      <c r="P333" s="110" t="str">
        <f t="shared" si="38"/>
        <v/>
      </c>
      <c r="R333" s="58" t="str">
        <f t="shared" si="35"/>
        <v/>
      </c>
      <c r="S333" s="58" t="str">
        <f t="shared" si="36"/>
        <v/>
      </c>
      <c r="T333" s="59" t="e">
        <f t="shared" si="34"/>
        <v>#VALUE!</v>
      </c>
      <c r="U333" s="59"/>
      <c r="X333" s="60" t="str">
        <f t="shared" si="37"/>
        <v>D</v>
      </c>
    </row>
    <row r="334" spans="2:24" x14ac:dyDescent="0.25">
      <c r="B334" s="54" t="str">
        <f>IFERROR(VLOOKUP(A334,Lookup!A:B,2,0),"")</f>
        <v/>
      </c>
      <c r="C334" s="54" t="str">
        <f>IFERROR(VLOOKUP(A334,Lookup!A:C,3,0),"")</f>
        <v/>
      </c>
      <c r="J334" s="103">
        <f>VLOOKUP(A334&amp;G334,Lookup!J:N,5,0)</f>
        <v>0</v>
      </c>
      <c r="O334" s="57">
        <f>IFERROR(VLOOKUP(A334&amp;G334,Lookup!J:K,2,0),"")</f>
        <v>0</v>
      </c>
      <c r="P334" s="110" t="str">
        <f t="shared" si="38"/>
        <v/>
      </c>
      <c r="R334" s="58" t="str">
        <f t="shared" si="35"/>
        <v/>
      </c>
      <c r="S334" s="58" t="str">
        <f t="shared" si="36"/>
        <v/>
      </c>
      <c r="T334" s="59" t="e">
        <f t="shared" ref="T334:T397" si="39">IF(Q334-P334&gt;0.0415,"YES",(IF(OR(EXACT(Q334,""), EXACT(P334,"")),"","NO")))</f>
        <v>#VALUE!</v>
      </c>
      <c r="U334" s="59"/>
      <c r="X334" s="60" t="str">
        <f t="shared" si="37"/>
        <v>D</v>
      </c>
    </row>
    <row r="335" spans="2:24" x14ac:dyDescent="0.25">
      <c r="B335" s="54" t="str">
        <f>IFERROR(VLOOKUP(A335,Lookup!A:B,2,0),"")</f>
        <v/>
      </c>
      <c r="C335" s="54" t="str">
        <f>IFERROR(VLOOKUP(A335,Lookup!A:C,3,0),"")</f>
        <v/>
      </c>
      <c r="J335" s="103">
        <f>VLOOKUP(A335&amp;G335,Lookup!J:N,5,0)</f>
        <v>0</v>
      </c>
      <c r="O335" s="57">
        <f>IFERROR(VLOOKUP(A335&amp;G335,Lookup!J:K,2,0),"")</f>
        <v>0</v>
      </c>
      <c r="P335" s="110" t="str">
        <f t="shared" si="38"/>
        <v/>
      </c>
      <c r="R335" s="58" t="str">
        <f t="shared" si="35"/>
        <v/>
      </c>
      <c r="S335" s="58" t="str">
        <f t="shared" si="36"/>
        <v/>
      </c>
      <c r="T335" s="59" t="e">
        <f t="shared" si="39"/>
        <v>#VALUE!</v>
      </c>
      <c r="U335" s="59"/>
      <c r="X335" s="60" t="str">
        <f t="shared" si="37"/>
        <v>D</v>
      </c>
    </row>
    <row r="336" spans="2:24" x14ac:dyDescent="0.25">
      <c r="B336" s="54" t="str">
        <f>IFERROR(VLOOKUP(A336,Lookup!A:B,2,0),"")</f>
        <v/>
      </c>
      <c r="C336" s="54" t="str">
        <f>IFERROR(VLOOKUP(A336,Lookup!A:C,3,0),"")</f>
        <v/>
      </c>
      <c r="J336" s="103">
        <f>VLOOKUP(A336&amp;G336,Lookup!J:N,5,0)</f>
        <v>0</v>
      </c>
      <c r="O336" s="57">
        <f>IFERROR(VLOOKUP(A336&amp;G336,Lookup!J:K,2,0),"")</f>
        <v>0</v>
      </c>
      <c r="P336" s="110" t="str">
        <f t="shared" si="38"/>
        <v/>
      </c>
      <c r="R336" s="58" t="str">
        <f t="shared" si="35"/>
        <v/>
      </c>
      <c r="S336" s="58" t="str">
        <f t="shared" si="36"/>
        <v/>
      </c>
      <c r="T336" s="59" t="e">
        <f t="shared" si="39"/>
        <v>#VALUE!</v>
      </c>
      <c r="U336" s="59"/>
      <c r="X336" s="60" t="str">
        <f t="shared" si="37"/>
        <v>D</v>
      </c>
    </row>
    <row r="337" spans="2:24" x14ac:dyDescent="0.25">
      <c r="B337" s="54" t="str">
        <f>IFERROR(VLOOKUP(A337,Lookup!A:B,2,0),"")</f>
        <v/>
      </c>
      <c r="C337" s="54" t="str">
        <f>IFERROR(VLOOKUP(A337,Lookup!A:C,3,0),"")</f>
        <v/>
      </c>
      <c r="J337" s="103">
        <f>VLOOKUP(A337&amp;G337,Lookup!J:N,5,0)</f>
        <v>0</v>
      </c>
      <c r="O337" s="57">
        <f>IFERROR(VLOOKUP(A337&amp;G337,Lookup!J:K,2,0),"")</f>
        <v>0</v>
      </c>
      <c r="P337" s="110" t="str">
        <f t="shared" si="38"/>
        <v/>
      </c>
      <c r="R337" s="58" t="str">
        <f t="shared" si="35"/>
        <v/>
      </c>
      <c r="S337" s="58" t="str">
        <f t="shared" si="36"/>
        <v/>
      </c>
      <c r="T337" s="59" t="e">
        <f t="shared" si="39"/>
        <v>#VALUE!</v>
      </c>
      <c r="U337" s="59"/>
      <c r="X337" s="60" t="str">
        <f t="shared" si="37"/>
        <v>D</v>
      </c>
    </row>
    <row r="338" spans="2:24" x14ac:dyDescent="0.25">
      <c r="B338" s="54" t="str">
        <f>IFERROR(VLOOKUP(A338,Lookup!A:B,2,0),"")</f>
        <v/>
      </c>
      <c r="C338" s="54" t="str">
        <f>IFERROR(VLOOKUP(A338,Lookup!A:C,3,0),"")</f>
        <v/>
      </c>
      <c r="J338" s="103">
        <f>VLOOKUP(A338&amp;G338,Lookup!J:N,5,0)</f>
        <v>0</v>
      </c>
      <c r="O338" s="57">
        <f>IFERROR(VLOOKUP(A338&amp;G338,Lookup!J:K,2,0),"")</f>
        <v>0</v>
      </c>
      <c r="P338" s="110" t="str">
        <f t="shared" si="38"/>
        <v/>
      </c>
      <c r="R338" s="58" t="str">
        <f t="shared" si="35"/>
        <v/>
      </c>
      <c r="S338" s="58" t="str">
        <f t="shared" si="36"/>
        <v/>
      </c>
      <c r="T338" s="59" t="e">
        <f t="shared" si="39"/>
        <v>#VALUE!</v>
      </c>
      <c r="U338" s="59"/>
      <c r="X338" s="60" t="str">
        <f t="shared" si="37"/>
        <v>D</v>
      </c>
    </row>
    <row r="339" spans="2:24" x14ac:dyDescent="0.25">
      <c r="B339" s="54" t="str">
        <f>IFERROR(VLOOKUP(A339,Lookup!A:B,2,0),"")</f>
        <v/>
      </c>
      <c r="C339" s="54" t="str">
        <f>IFERROR(VLOOKUP(A339,Lookup!A:C,3,0),"")</f>
        <v/>
      </c>
      <c r="J339" s="103">
        <f>VLOOKUP(A339&amp;G339,Lookup!J:N,5,0)</f>
        <v>0</v>
      </c>
      <c r="O339" s="57">
        <f>IFERROR(VLOOKUP(A339&amp;G339,Lookup!J:K,2,0),"")</f>
        <v>0</v>
      </c>
      <c r="P339" s="110" t="str">
        <f t="shared" si="38"/>
        <v/>
      </c>
      <c r="R339" s="58" t="str">
        <f t="shared" si="35"/>
        <v/>
      </c>
      <c r="S339" s="58" t="str">
        <f t="shared" si="36"/>
        <v/>
      </c>
      <c r="T339" s="59" t="e">
        <f t="shared" si="39"/>
        <v>#VALUE!</v>
      </c>
      <c r="U339" s="59"/>
      <c r="X339" s="60" t="str">
        <f t="shared" si="37"/>
        <v>D</v>
      </c>
    </row>
    <row r="340" spans="2:24" x14ac:dyDescent="0.25">
      <c r="B340" s="54" t="str">
        <f>IFERROR(VLOOKUP(A340,Lookup!A:B,2,0),"")</f>
        <v/>
      </c>
      <c r="C340" s="54" t="str">
        <f>IFERROR(VLOOKUP(A340,Lookup!A:C,3,0),"")</f>
        <v/>
      </c>
      <c r="J340" s="103">
        <f>VLOOKUP(A340&amp;G340,Lookup!J:N,5,0)</f>
        <v>0</v>
      </c>
      <c r="O340" s="57">
        <f>IFERROR(VLOOKUP(A340&amp;G340,Lookup!J:K,2,0),"")</f>
        <v>0</v>
      </c>
      <c r="P340" s="110" t="str">
        <f t="shared" si="38"/>
        <v/>
      </c>
      <c r="R340" s="58" t="str">
        <f t="shared" si="35"/>
        <v/>
      </c>
      <c r="S340" s="58" t="str">
        <f t="shared" si="36"/>
        <v/>
      </c>
      <c r="T340" s="59" t="e">
        <f t="shared" si="39"/>
        <v>#VALUE!</v>
      </c>
      <c r="U340" s="59"/>
      <c r="X340" s="60" t="str">
        <f t="shared" si="37"/>
        <v>D</v>
      </c>
    </row>
    <row r="341" spans="2:24" x14ac:dyDescent="0.25">
      <c r="B341" s="54" t="str">
        <f>IFERROR(VLOOKUP(A341,Lookup!A:B,2,0),"")</f>
        <v/>
      </c>
      <c r="C341" s="54" t="str">
        <f>IFERROR(VLOOKUP(A341,Lookup!A:C,3,0),"")</f>
        <v/>
      </c>
      <c r="J341" s="103">
        <f>VLOOKUP(A341&amp;G341,Lookup!J:N,5,0)</f>
        <v>0</v>
      </c>
      <c r="O341" s="57">
        <f>IFERROR(VLOOKUP(A341&amp;G341,Lookup!J:K,2,0),"")</f>
        <v>0</v>
      </c>
      <c r="P341" s="110" t="str">
        <f t="shared" si="38"/>
        <v/>
      </c>
      <c r="R341" s="58" t="str">
        <f t="shared" si="35"/>
        <v/>
      </c>
      <c r="S341" s="58" t="str">
        <f t="shared" si="36"/>
        <v/>
      </c>
      <c r="T341" s="59" t="e">
        <f t="shared" si="39"/>
        <v>#VALUE!</v>
      </c>
      <c r="U341" s="59"/>
      <c r="X341" s="60" t="str">
        <f t="shared" si="37"/>
        <v>D</v>
      </c>
    </row>
    <row r="342" spans="2:24" x14ac:dyDescent="0.25">
      <c r="B342" s="54" t="str">
        <f>IFERROR(VLOOKUP(A342,Lookup!A:B,2,0),"")</f>
        <v/>
      </c>
      <c r="C342" s="54" t="str">
        <f>IFERROR(VLOOKUP(A342,Lookup!A:C,3,0),"")</f>
        <v/>
      </c>
      <c r="J342" s="103">
        <f>VLOOKUP(A342&amp;G342,Lookup!J:N,5,0)</f>
        <v>0</v>
      </c>
      <c r="O342" s="57">
        <f>IFERROR(VLOOKUP(A342&amp;G342,Lookup!J:K,2,0),"")</f>
        <v>0</v>
      </c>
      <c r="P342" s="110" t="str">
        <f t="shared" si="38"/>
        <v/>
      </c>
      <c r="R342" s="58" t="str">
        <f t="shared" si="35"/>
        <v/>
      </c>
      <c r="S342" s="58" t="str">
        <f t="shared" si="36"/>
        <v/>
      </c>
      <c r="T342" s="59" t="e">
        <f t="shared" si="39"/>
        <v>#VALUE!</v>
      </c>
      <c r="U342" s="59"/>
      <c r="X342" s="60" t="str">
        <f t="shared" si="37"/>
        <v>D</v>
      </c>
    </row>
    <row r="343" spans="2:24" x14ac:dyDescent="0.25">
      <c r="B343" s="54" t="str">
        <f>IFERROR(VLOOKUP(A343,Lookup!A:B,2,0),"")</f>
        <v/>
      </c>
      <c r="C343" s="54" t="str">
        <f>IFERROR(VLOOKUP(A343,Lookup!A:C,3,0),"")</f>
        <v/>
      </c>
      <c r="J343" s="103">
        <f>VLOOKUP(A343&amp;G343,Lookup!J:N,5,0)</f>
        <v>0</v>
      </c>
      <c r="O343" s="57">
        <f>IFERROR(VLOOKUP(A343&amp;G343,Lookup!J:K,2,0),"")</f>
        <v>0</v>
      </c>
      <c r="P343" s="110" t="str">
        <f t="shared" si="38"/>
        <v/>
      </c>
      <c r="R343" s="58" t="str">
        <f t="shared" si="35"/>
        <v/>
      </c>
      <c r="S343" s="58" t="str">
        <f t="shared" si="36"/>
        <v/>
      </c>
      <c r="T343" s="59" t="e">
        <f t="shared" si="39"/>
        <v>#VALUE!</v>
      </c>
      <c r="U343" s="59"/>
      <c r="X343" s="60" t="str">
        <f t="shared" si="37"/>
        <v>D</v>
      </c>
    </row>
    <row r="344" spans="2:24" x14ac:dyDescent="0.25">
      <c r="B344" s="54" t="str">
        <f>IFERROR(VLOOKUP(A344,Lookup!A:B,2,0),"")</f>
        <v/>
      </c>
      <c r="C344" s="54" t="str">
        <f>IFERROR(VLOOKUP(A344,Lookup!A:C,3,0),"")</f>
        <v/>
      </c>
      <c r="J344" s="103">
        <f>VLOOKUP(A344&amp;G344,Lookup!J:N,5,0)</f>
        <v>0</v>
      </c>
      <c r="O344" s="57">
        <f>IFERROR(VLOOKUP(A344&amp;G344,Lookup!J:K,2,0),"")</f>
        <v>0</v>
      </c>
      <c r="P344" s="110" t="str">
        <f t="shared" si="38"/>
        <v/>
      </c>
      <c r="R344" s="58" t="str">
        <f t="shared" si="35"/>
        <v/>
      </c>
      <c r="S344" s="58" t="str">
        <f t="shared" si="36"/>
        <v/>
      </c>
      <c r="T344" s="59" t="e">
        <f t="shared" si="39"/>
        <v>#VALUE!</v>
      </c>
      <c r="U344" s="59"/>
      <c r="X344" s="60" t="str">
        <f t="shared" si="37"/>
        <v>D</v>
      </c>
    </row>
    <row r="345" spans="2:24" x14ac:dyDescent="0.25">
      <c r="B345" s="54" t="str">
        <f>IFERROR(VLOOKUP(A345,Lookup!A:B,2,0),"")</f>
        <v/>
      </c>
      <c r="C345" s="54" t="str">
        <f>IFERROR(VLOOKUP(A345,Lookup!A:C,3,0),"")</f>
        <v/>
      </c>
      <c r="J345" s="103">
        <f>VLOOKUP(A345&amp;G345,Lookup!J:N,5,0)</f>
        <v>0</v>
      </c>
      <c r="O345" s="57">
        <f>IFERROR(VLOOKUP(A345&amp;G345,Lookup!J:K,2,0),"")</f>
        <v>0</v>
      </c>
      <c r="P345" s="110" t="str">
        <f t="shared" si="38"/>
        <v/>
      </c>
      <c r="R345" s="58" t="str">
        <f t="shared" si="35"/>
        <v/>
      </c>
      <c r="S345" s="58" t="str">
        <f t="shared" si="36"/>
        <v/>
      </c>
      <c r="T345" s="59" t="e">
        <f t="shared" si="39"/>
        <v>#VALUE!</v>
      </c>
      <c r="U345" s="59"/>
      <c r="X345" s="60" t="str">
        <f t="shared" si="37"/>
        <v>D</v>
      </c>
    </row>
    <row r="346" spans="2:24" x14ac:dyDescent="0.25">
      <c r="B346" s="54" t="str">
        <f>IFERROR(VLOOKUP(A346,Lookup!A:B,2,0),"")</f>
        <v/>
      </c>
      <c r="C346" s="54" t="str">
        <f>IFERROR(VLOOKUP(A346,Lookup!A:C,3,0),"")</f>
        <v/>
      </c>
      <c r="J346" s="103">
        <f>VLOOKUP(A346&amp;G346,Lookup!J:N,5,0)</f>
        <v>0</v>
      </c>
      <c r="O346" s="57">
        <f>IFERROR(VLOOKUP(A346&amp;G346,Lookup!J:K,2,0),"")</f>
        <v>0</v>
      </c>
      <c r="P346" s="110" t="str">
        <f t="shared" si="38"/>
        <v/>
      </c>
      <c r="R346" s="58" t="str">
        <f t="shared" si="35"/>
        <v/>
      </c>
      <c r="S346" s="58" t="str">
        <f t="shared" si="36"/>
        <v/>
      </c>
      <c r="T346" s="59" t="e">
        <f t="shared" si="39"/>
        <v>#VALUE!</v>
      </c>
      <c r="U346" s="59"/>
      <c r="X346" s="60" t="str">
        <f t="shared" si="37"/>
        <v>D</v>
      </c>
    </row>
    <row r="347" spans="2:24" x14ac:dyDescent="0.25">
      <c r="B347" s="54" t="str">
        <f>IFERROR(VLOOKUP(A347,Lookup!A:B,2,0),"")</f>
        <v/>
      </c>
      <c r="C347" s="54" t="str">
        <f>IFERROR(VLOOKUP(A347,Lookup!A:C,3,0),"")</f>
        <v/>
      </c>
      <c r="J347" s="103">
        <f>VLOOKUP(A347&amp;G347,Lookup!J:N,5,0)</f>
        <v>0</v>
      </c>
      <c r="O347" s="57">
        <f>IFERROR(VLOOKUP(A347&amp;G347,Lookup!J:K,2,0),"")</f>
        <v>0</v>
      </c>
      <c r="P347" s="110" t="str">
        <f t="shared" si="38"/>
        <v/>
      </c>
      <c r="R347" s="58" t="str">
        <f t="shared" si="35"/>
        <v/>
      </c>
      <c r="S347" s="58" t="str">
        <f t="shared" si="36"/>
        <v/>
      </c>
      <c r="T347" s="59" t="e">
        <f t="shared" si="39"/>
        <v>#VALUE!</v>
      </c>
      <c r="U347" s="59"/>
      <c r="X347" s="60" t="str">
        <f t="shared" si="37"/>
        <v>D</v>
      </c>
    </row>
    <row r="348" spans="2:24" x14ac:dyDescent="0.25">
      <c r="B348" s="54" t="str">
        <f>IFERROR(VLOOKUP(A348,Lookup!A:B,2,0),"")</f>
        <v/>
      </c>
      <c r="C348" s="54" t="str">
        <f>IFERROR(VLOOKUP(A348,Lookup!A:C,3,0),"")</f>
        <v/>
      </c>
      <c r="J348" s="103">
        <f>VLOOKUP(A348&amp;G348,Lookup!J:N,5,0)</f>
        <v>0</v>
      </c>
      <c r="O348" s="57">
        <f>IFERROR(VLOOKUP(A348&amp;G348,Lookup!J:K,2,0),"")</f>
        <v>0</v>
      </c>
      <c r="P348" s="110" t="str">
        <f t="shared" si="38"/>
        <v/>
      </c>
      <c r="R348" s="58" t="str">
        <f t="shared" si="35"/>
        <v/>
      </c>
      <c r="S348" s="58" t="str">
        <f t="shared" si="36"/>
        <v/>
      </c>
      <c r="T348" s="59" t="e">
        <f t="shared" si="39"/>
        <v>#VALUE!</v>
      </c>
      <c r="U348" s="59"/>
      <c r="X348" s="60" t="str">
        <f t="shared" si="37"/>
        <v>D</v>
      </c>
    </row>
    <row r="349" spans="2:24" x14ac:dyDescent="0.25">
      <c r="B349" s="54" t="str">
        <f>IFERROR(VLOOKUP(A349,Lookup!A:B,2,0),"")</f>
        <v/>
      </c>
      <c r="C349" s="54" t="str">
        <f>IFERROR(VLOOKUP(A349,Lookup!A:C,3,0),"")</f>
        <v/>
      </c>
      <c r="J349" s="103">
        <f>VLOOKUP(A349&amp;G349,Lookup!J:N,5,0)</f>
        <v>0</v>
      </c>
      <c r="O349" s="57">
        <f>IFERROR(VLOOKUP(A349&amp;G349,Lookup!J:K,2,0),"")</f>
        <v>0</v>
      </c>
      <c r="P349" s="110" t="str">
        <f t="shared" si="38"/>
        <v/>
      </c>
      <c r="R349" s="58" t="str">
        <f t="shared" si="35"/>
        <v/>
      </c>
      <c r="S349" s="58" t="str">
        <f t="shared" si="36"/>
        <v/>
      </c>
      <c r="T349" s="59" t="e">
        <f t="shared" si="39"/>
        <v>#VALUE!</v>
      </c>
      <c r="U349" s="59"/>
      <c r="X349" s="60" t="str">
        <f t="shared" si="37"/>
        <v>D</v>
      </c>
    </row>
    <row r="350" spans="2:24" x14ac:dyDescent="0.25">
      <c r="B350" s="54" t="str">
        <f>IFERROR(VLOOKUP(A350,Lookup!A:B,2,0),"")</f>
        <v/>
      </c>
      <c r="C350" s="54" t="str">
        <f>IFERROR(VLOOKUP(A350,Lookup!A:C,3,0),"")</f>
        <v/>
      </c>
      <c r="J350" s="103">
        <f>VLOOKUP(A350&amp;G350,Lookup!J:N,5,0)</f>
        <v>0</v>
      </c>
      <c r="O350" s="57">
        <f>IFERROR(VLOOKUP(A350&amp;G350,Lookup!J:K,2,0),"")</f>
        <v>0</v>
      </c>
      <c r="P350" s="110" t="str">
        <f t="shared" si="38"/>
        <v/>
      </c>
      <c r="R350" s="58" t="str">
        <f t="shared" si="35"/>
        <v/>
      </c>
      <c r="S350" s="58" t="str">
        <f t="shared" si="36"/>
        <v/>
      </c>
      <c r="T350" s="59" t="e">
        <f t="shared" si="39"/>
        <v>#VALUE!</v>
      </c>
      <c r="U350" s="59"/>
      <c r="X350" s="60" t="str">
        <f t="shared" si="37"/>
        <v>D</v>
      </c>
    </row>
    <row r="351" spans="2:24" x14ac:dyDescent="0.25">
      <c r="B351" s="54" t="str">
        <f>IFERROR(VLOOKUP(A351,Lookup!A:B,2,0),"")</f>
        <v/>
      </c>
      <c r="C351" s="54" t="str">
        <f>IFERROR(VLOOKUP(A351,Lookup!A:C,3,0),"")</f>
        <v/>
      </c>
      <c r="J351" s="103">
        <f>VLOOKUP(A351&amp;G351,Lookup!J:N,5,0)</f>
        <v>0</v>
      </c>
      <c r="O351" s="57">
        <f>IFERROR(VLOOKUP(A351&amp;G351,Lookup!J:K,2,0),"")</f>
        <v>0</v>
      </c>
      <c r="P351" s="110" t="str">
        <f t="shared" si="38"/>
        <v/>
      </c>
      <c r="R351" s="58" t="str">
        <f t="shared" si="35"/>
        <v/>
      </c>
      <c r="S351" s="58" t="str">
        <f t="shared" si="36"/>
        <v/>
      </c>
      <c r="T351" s="59" t="e">
        <f t="shared" si="39"/>
        <v>#VALUE!</v>
      </c>
      <c r="U351" s="59"/>
      <c r="X351" s="60" t="str">
        <f t="shared" si="37"/>
        <v>D</v>
      </c>
    </row>
    <row r="352" spans="2:24" x14ac:dyDescent="0.25">
      <c r="B352" s="54" t="str">
        <f>IFERROR(VLOOKUP(A352,Lookup!A:B,2,0),"")</f>
        <v/>
      </c>
      <c r="C352" s="54" t="str">
        <f>IFERROR(VLOOKUP(A352,Lookup!A:C,3,0),"")</f>
        <v/>
      </c>
      <c r="J352" s="103">
        <f>VLOOKUP(A352&amp;G352,Lookup!J:N,5,0)</f>
        <v>0</v>
      </c>
      <c r="O352" s="57">
        <f>IFERROR(VLOOKUP(A352&amp;G352,Lookup!J:K,2,0),"")</f>
        <v>0</v>
      </c>
      <c r="P352" s="110" t="str">
        <f t="shared" si="38"/>
        <v/>
      </c>
      <c r="R352" s="58" t="str">
        <f t="shared" si="35"/>
        <v/>
      </c>
      <c r="S352" s="58" t="str">
        <f t="shared" si="36"/>
        <v/>
      </c>
      <c r="T352" s="59" t="e">
        <f t="shared" si="39"/>
        <v>#VALUE!</v>
      </c>
      <c r="U352" s="59"/>
      <c r="X352" s="60" t="str">
        <f t="shared" si="37"/>
        <v>D</v>
      </c>
    </row>
    <row r="353" spans="2:24" x14ac:dyDescent="0.25">
      <c r="B353" s="54" t="str">
        <f>IFERROR(VLOOKUP(A353,Lookup!A:B,2,0),"")</f>
        <v/>
      </c>
      <c r="C353" s="54" t="str">
        <f>IFERROR(VLOOKUP(A353,Lookup!A:C,3,0),"")</f>
        <v/>
      </c>
      <c r="J353" s="103">
        <f>VLOOKUP(A353&amp;G353,Lookup!J:N,5,0)</f>
        <v>0</v>
      </c>
      <c r="O353" s="57">
        <f>IFERROR(VLOOKUP(A353&amp;G353,Lookup!J:K,2,0),"")</f>
        <v>0</v>
      </c>
      <c r="P353" s="110" t="str">
        <f t="shared" si="38"/>
        <v/>
      </c>
      <c r="R353" s="58" t="str">
        <f t="shared" si="35"/>
        <v/>
      </c>
      <c r="S353" s="58" t="str">
        <f t="shared" si="36"/>
        <v/>
      </c>
      <c r="T353" s="59" t="e">
        <f t="shared" si="39"/>
        <v>#VALUE!</v>
      </c>
      <c r="U353" s="59"/>
      <c r="X353" s="60" t="str">
        <f t="shared" si="37"/>
        <v>D</v>
      </c>
    </row>
    <row r="354" spans="2:24" x14ac:dyDescent="0.25">
      <c r="B354" s="54" t="str">
        <f>IFERROR(VLOOKUP(A354,Lookup!A:B,2,0),"")</f>
        <v/>
      </c>
      <c r="C354" s="54" t="str">
        <f>IFERROR(VLOOKUP(A354,Lookup!A:C,3,0),"")</f>
        <v/>
      </c>
      <c r="J354" s="103">
        <f>VLOOKUP(A354&amp;G354,Lookup!J:N,5,0)</f>
        <v>0</v>
      </c>
      <c r="O354" s="57">
        <f>IFERROR(VLOOKUP(A354&amp;G354,Lookup!J:K,2,0),"")</f>
        <v>0</v>
      </c>
      <c r="P354" s="110" t="str">
        <f t="shared" si="38"/>
        <v/>
      </c>
      <c r="R354" s="58" t="str">
        <f t="shared" si="35"/>
        <v/>
      </c>
      <c r="S354" s="58" t="str">
        <f t="shared" si="36"/>
        <v/>
      </c>
      <c r="T354" s="59" t="e">
        <f t="shared" si="39"/>
        <v>#VALUE!</v>
      </c>
      <c r="U354" s="59"/>
      <c r="X354" s="60" t="str">
        <f t="shared" si="37"/>
        <v>D</v>
      </c>
    </row>
    <row r="355" spans="2:24" x14ac:dyDescent="0.25">
      <c r="B355" s="54" t="str">
        <f>IFERROR(VLOOKUP(A355,Lookup!A:B,2,0),"")</f>
        <v/>
      </c>
      <c r="C355" s="54" t="str">
        <f>IFERROR(VLOOKUP(A355,Lookup!A:C,3,0),"")</f>
        <v/>
      </c>
      <c r="J355" s="103">
        <f>VLOOKUP(A355&amp;G355,Lookup!J:N,5,0)</f>
        <v>0</v>
      </c>
      <c r="O355" s="57">
        <f>IFERROR(VLOOKUP(A355&amp;G355,Lookup!J:K,2,0),"")</f>
        <v>0</v>
      </c>
      <c r="P355" s="110" t="str">
        <f t="shared" si="38"/>
        <v/>
      </c>
      <c r="R355" s="58" t="str">
        <f t="shared" si="35"/>
        <v/>
      </c>
      <c r="S355" s="58" t="str">
        <f t="shared" si="36"/>
        <v/>
      </c>
      <c r="T355" s="59" t="e">
        <f t="shared" si="39"/>
        <v>#VALUE!</v>
      </c>
      <c r="U355" s="59"/>
      <c r="X355" s="60" t="str">
        <f t="shared" si="37"/>
        <v>D</v>
      </c>
    </row>
    <row r="356" spans="2:24" x14ac:dyDescent="0.25">
      <c r="B356" s="54" t="str">
        <f>IFERROR(VLOOKUP(A356,Lookup!A:B,2,0),"")</f>
        <v/>
      </c>
      <c r="C356" s="54" t="str">
        <f>IFERROR(VLOOKUP(A356,Lookup!A:C,3,0),"")</f>
        <v/>
      </c>
      <c r="J356" s="103">
        <f>VLOOKUP(A356&amp;G356,Lookup!J:N,5,0)</f>
        <v>0</v>
      </c>
      <c r="O356" s="57">
        <f>IFERROR(VLOOKUP(A356&amp;G356,Lookup!J:K,2,0),"")</f>
        <v>0</v>
      </c>
      <c r="P356" s="110" t="str">
        <f t="shared" si="38"/>
        <v/>
      </c>
      <c r="R356" s="58" t="str">
        <f t="shared" si="35"/>
        <v/>
      </c>
      <c r="S356" s="58" t="str">
        <f t="shared" si="36"/>
        <v/>
      </c>
      <c r="T356" s="59" t="e">
        <f t="shared" si="39"/>
        <v>#VALUE!</v>
      </c>
      <c r="U356" s="59"/>
      <c r="X356" s="60" t="str">
        <f t="shared" si="37"/>
        <v>D</v>
      </c>
    </row>
    <row r="357" spans="2:24" x14ac:dyDescent="0.25">
      <c r="B357" s="54" t="str">
        <f>IFERROR(VLOOKUP(A357,Lookup!A:B,2,0),"")</f>
        <v/>
      </c>
      <c r="C357" s="54" t="str">
        <f>IFERROR(VLOOKUP(A357,Lookup!A:C,3,0),"")</f>
        <v/>
      </c>
      <c r="J357" s="103">
        <f>VLOOKUP(A357&amp;G357,Lookup!J:N,5,0)</f>
        <v>0</v>
      </c>
      <c r="O357" s="57">
        <f>IFERROR(VLOOKUP(A357&amp;G357,Lookup!J:K,2,0),"")</f>
        <v>0</v>
      </c>
      <c r="P357" s="110" t="str">
        <f t="shared" si="38"/>
        <v/>
      </c>
      <c r="R357" s="58" t="str">
        <f t="shared" si="35"/>
        <v/>
      </c>
      <c r="S357" s="58" t="str">
        <f t="shared" si="36"/>
        <v/>
      </c>
      <c r="T357" s="59" t="e">
        <f t="shared" si="39"/>
        <v>#VALUE!</v>
      </c>
      <c r="U357" s="59"/>
      <c r="X357" s="60" t="str">
        <f t="shared" si="37"/>
        <v>D</v>
      </c>
    </row>
    <row r="358" spans="2:24" x14ac:dyDescent="0.25">
      <c r="B358" s="54" t="str">
        <f>IFERROR(VLOOKUP(A358,Lookup!A:B,2,0),"")</f>
        <v/>
      </c>
      <c r="C358" s="54" t="str">
        <f>IFERROR(VLOOKUP(A358,Lookup!A:C,3,0),"")</f>
        <v/>
      </c>
      <c r="J358" s="103">
        <f>VLOOKUP(A358&amp;G358,Lookup!J:N,5,0)</f>
        <v>0</v>
      </c>
      <c r="O358" s="57">
        <f>IFERROR(VLOOKUP(A358&amp;G358,Lookup!J:K,2,0),"")</f>
        <v>0</v>
      </c>
      <c r="P358" s="110" t="str">
        <f t="shared" si="38"/>
        <v/>
      </c>
      <c r="R358" s="58" t="str">
        <f t="shared" si="35"/>
        <v/>
      </c>
      <c r="S358" s="58" t="str">
        <f t="shared" si="36"/>
        <v/>
      </c>
      <c r="T358" s="59" t="e">
        <f t="shared" si="39"/>
        <v>#VALUE!</v>
      </c>
      <c r="U358" s="59"/>
      <c r="X358" s="60" t="str">
        <f t="shared" si="37"/>
        <v>D</v>
      </c>
    </row>
    <row r="359" spans="2:24" x14ac:dyDescent="0.25">
      <c r="B359" s="54" t="str">
        <f>IFERROR(VLOOKUP(A359,Lookup!A:B,2,0),"")</f>
        <v/>
      </c>
      <c r="C359" s="54" t="str">
        <f>IFERROR(VLOOKUP(A359,Lookup!A:C,3,0),"")</f>
        <v/>
      </c>
      <c r="J359" s="103">
        <f>VLOOKUP(A359&amp;G359,Lookup!J:N,5,0)</f>
        <v>0</v>
      </c>
      <c r="O359" s="57">
        <f>IFERROR(VLOOKUP(A359&amp;G359,Lookup!J:K,2,0),"")</f>
        <v>0</v>
      </c>
      <c r="P359" s="110" t="str">
        <f t="shared" si="38"/>
        <v/>
      </c>
      <c r="R359" s="58" t="str">
        <f t="shared" si="35"/>
        <v/>
      </c>
      <c r="S359" s="58" t="str">
        <f t="shared" si="36"/>
        <v/>
      </c>
      <c r="T359" s="59" t="e">
        <f t="shared" si="39"/>
        <v>#VALUE!</v>
      </c>
      <c r="U359" s="59"/>
      <c r="X359" s="60" t="str">
        <f t="shared" si="37"/>
        <v>D</v>
      </c>
    </row>
    <row r="360" spans="2:24" x14ac:dyDescent="0.25">
      <c r="B360" s="54" t="str">
        <f>IFERROR(VLOOKUP(A360,Lookup!A:B,2,0),"")</f>
        <v/>
      </c>
      <c r="C360" s="54" t="str">
        <f>IFERROR(VLOOKUP(A360,Lookup!A:C,3,0),"")</f>
        <v/>
      </c>
      <c r="J360" s="103">
        <f>VLOOKUP(A360&amp;G360,Lookup!J:N,5,0)</f>
        <v>0</v>
      </c>
      <c r="O360" s="57">
        <f>IFERROR(VLOOKUP(A360&amp;G360,Lookup!J:K,2,0),"")</f>
        <v>0</v>
      </c>
      <c r="P360" s="110" t="str">
        <f t="shared" si="38"/>
        <v/>
      </c>
      <c r="R360" s="58" t="str">
        <f t="shared" si="35"/>
        <v/>
      </c>
      <c r="S360" s="58" t="str">
        <f t="shared" si="36"/>
        <v/>
      </c>
      <c r="T360" s="59" t="e">
        <f t="shared" si="39"/>
        <v>#VALUE!</v>
      </c>
      <c r="U360" s="59"/>
      <c r="X360" s="60" t="str">
        <f t="shared" si="37"/>
        <v>D</v>
      </c>
    </row>
    <row r="361" spans="2:24" x14ac:dyDescent="0.25">
      <c r="B361" s="54" t="str">
        <f>IFERROR(VLOOKUP(A361,Lookup!A:B,2,0),"")</f>
        <v/>
      </c>
      <c r="C361" s="54" t="str">
        <f>IFERROR(VLOOKUP(A361,Lookup!A:C,3,0),"")</f>
        <v/>
      </c>
      <c r="J361" s="103">
        <f>VLOOKUP(A361&amp;G361,Lookup!J:N,5,0)</f>
        <v>0</v>
      </c>
      <c r="O361" s="57">
        <f>IFERROR(VLOOKUP(A361&amp;G361,Lookup!J:K,2,0),"")</f>
        <v>0</v>
      </c>
      <c r="P361" s="110" t="str">
        <f t="shared" si="38"/>
        <v/>
      </c>
      <c r="R361" s="58" t="str">
        <f t="shared" si="35"/>
        <v/>
      </c>
      <c r="S361" s="58" t="str">
        <f t="shared" si="36"/>
        <v/>
      </c>
      <c r="T361" s="59" t="e">
        <f t="shared" si="39"/>
        <v>#VALUE!</v>
      </c>
      <c r="U361" s="59"/>
      <c r="X361" s="60" t="str">
        <f t="shared" si="37"/>
        <v>D</v>
      </c>
    </row>
    <row r="362" spans="2:24" x14ac:dyDescent="0.25">
      <c r="B362" s="54" t="str">
        <f>IFERROR(VLOOKUP(A362,Lookup!A:B,2,0),"")</f>
        <v/>
      </c>
      <c r="C362" s="54" t="str">
        <f>IFERROR(VLOOKUP(A362,Lookup!A:C,3,0),"")</f>
        <v/>
      </c>
      <c r="J362" s="103">
        <f>VLOOKUP(A362&amp;G362,Lookup!J:N,5,0)</f>
        <v>0</v>
      </c>
      <c r="O362" s="57">
        <f>IFERROR(VLOOKUP(A362&amp;G362,Lookup!J:K,2,0),"")</f>
        <v>0</v>
      </c>
      <c r="P362" s="110" t="str">
        <f t="shared" si="38"/>
        <v/>
      </c>
      <c r="R362" s="58" t="str">
        <f t="shared" ref="R362:R425" si="40">IF(OR(EXACT(N362,""), EXACT(L362,"")),"",N362-L362)</f>
        <v/>
      </c>
      <c r="S362" s="58" t="str">
        <f t="shared" ref="S362:S425" si="41">IF(OR(EXACT(Q362,""), EXACT(L362,"")),"",Q362-L362)</f>
        <v/>
      </c>
      <c r="T362" s="59" t="e">
        <f t="shared" si="39"/>
        <v>#VALUE!</v>
      </c>
      <c r="U362" s="59"/>
      <c r="X362" s="60" t="str">
        <f t="shared" si="37"/>
        <v>D</v>
      </c>
    </row>
    <row r="363" spans="2:24" x14ac:dyDescent="0.25">
      <c r="B363" s="54" t="str">
        <f>IFERROR(VLOOKUP(A363,Lookup!A:B,2,0),"")</f>
        <v/>
      </c>
      <c r="C363" s="54" t="str">
        <f>IFERROR(VLOOKUP(A363,Lookup!A:C,3,0),"")</f>
        <v/>
      </c>
      <c r="J363" s="103">
        <f>VLOOKUP(A363&amp;G363,Lookup!J:N,5,0)</f>
        <v>0</v>
      </c>
      <c r="O363" s="57">
        <f>IFERROR(VLOOKUP(A363&amp;G363,Lookup!J:K,2,0),"")</f>
        <v>0</v>
      </c>
      <c r="P363" s="110" t="str">
        <f t="shared" si="38"/>
        <v/>
      </c>
      <c r="R363" s="58" t="str">
        <f t="shared" si="40"/>
        <v/>
      </c>
      <c r="S363" s="58" t="str">
        <f t="shared" si="41"/>
        <v/>
      </c>
      <c r="T363" s="59" t="e">
        <f t="shared" si="39"/>
        <v>#VALUE!</v>
      </c>
      <c r="U363" s="59"/>
      <c r="X363" s="60" t="str">
        <f t="shared" si="37"/>
        <v>D</v>
      </c>
    </row>
    <row r="364" spans="2:24" x14ac:dyDescent="0.25">
      <c r="B364" s="54" t="str">
        <f>IFERROR(VLOOKUP(A364,Lookup!A:B,2,0),"")</f>
        <v/>
      </c>
      <c r="C364" s="54" t="str">
        <f>IFERROR(VLOOKUP(A364,Lookup!A:C,3,0),"")</f>
        <v/>
      </c>
      <c r="J364" s="103">
        <f>VLOOKUP(A364&amp;G364,Lookup!J:N,5,0)</f>
        <v>0</v>
      </c>
      <c r="O364" s="57">
        <f>IFERROR(VLOOKUP(A364&amp;G364,Lookup!J:K,2,0),"")</f>
        <v>0</v>
      </c>
      <c r="P364" s="110" t="str">
        <f t="shared" si="38"/>
        <v/>
      </c>
      <c r="R364" s="58" t="str">
        <f t="shared" si="40"/>
        <v/>
      </c>
      <c r="S364" s="58" t="str">
        <f t="shared" si="41"/>
        <v/>
      </c>
      <c r="T364" s="59" t="e">
        <f t="shared" si="39"/>
        <v>#VALUE!</v>
      </c>
      <c r="U364" s="59"/>
      <c r="X364" s="60" t="str">
        <f t="shared" si="37"/>
        <v>D</v>
      </c>
    </row>
    <row r="365" spans="2:24" x14ac:dyDescent="0.25">
      <c r="B365" s="54" t="str">
        <f>IFERROR(VLOOKUP(A365,Lookup!A:B,2,0),"")</f>
        <v/>
      </c>
      <c r="C365" s="54" t="str">
        <f>IFERROR(VLOOKUP(A365,Lookup!A:C,3,0),"")</f>
        <v/>
      </c>
      <c r="J365" s="103">
        <f>VLOOKUP(A365&amp;G365,Lookup!J:N,5,0)</f>
        <v>0</v>
      </c>
      <c r="O365" s="57">
        <f>IFERROR(VLOOKUP(A365&amp;G365,Lookup!J:K,2,0),"")</f>
        <v>0</v>
      </c>
      <c r="P365" s="110" t="str">
        <f t="shared" si="38"/>
        <v/>
      </c>
      <c r="R365" s="58" t="str">
        <f t="shared" si="40"/>
        <v/>
      </c>
      <c r="S365" s="58" t="str">
        <f t="shared" si="41"/>
        <v/>
      </c>
      <c r="T365" s="59" t="e">
        <f t="shared" si="39"/>
        <v>#VALUE!</v>
      </c>
      <c r="U365" s="59"/>
      <c r="X365" s="60" t="str">
        <f t="shared" si="37"/>
        <v>D</v>
      </c>
    </row>
    <row r="366" spans="2:24" x14ac:dyDescent="0.25">
      <c r="B366" s="54" t="str">
        <f>IFERROR(VLOOKUP(A366,Lookup!A:B,2,0),"")</f>
        <v/>
      </c>
      <c r="C366" s="54" t="str">
        <f>IFERROR(VLOOKUP(A366,Lookup!A:C,3,0),"")</f>
        <v/>
      </c>
      <c r="J366" s="103">
        <f>VLOOKUP(A366&amp;G366,Lookup!J:N,5,0)</f>
        <v>0</v>
      </c>
      <c r="O366" s="57">
        <f>IFERROR(VLOOKUP(A366&amp;G366,Lookup!J:K,2,0),"")</f>
        <v>0</v>
      </c>
      <c r="P366" s="110" t="str">
        <f t="shared" si="38"/>
        <v/>
      </c>
      <c r="R366" s="58" t="str">
        <f t="shared" si="40"/>
        <v/>
      </c>
      <c r="S366" s="58" t="str">
        <f t="shared" si="41"/>
        <v/>
      </c>
      <c r="T366" s="59" t="e">
        <f t="shared" si="39"/>
        <v>#VALUE!</v>
      </c>
      <c r="U366" s="59"/>
      <c r="X366" s="60" t="str">
        <f t="shared" ref="X366:X429" si="42">IF(I366="SET","A",IF(I366="FREQ","C",IF(I366="","D","B")))</f>
        <v>D</v>
      </c>
    </row>
    <row r="367" spans="2:24" x14ac:dyDescent="0.25">
      <c r="B367" s="54" t="str">
        <f>IFERROR(VLOOKUP(A367,Lookup!A:B,2,0),"")</f>
        <v/>
      </c>
      <c r="C367" s="54" t="str">
        <f>IFERROR(VLOOKUP(A367,Lookup!A:C,3,0),"")</f>
        <v/>
      </c>
      <c r="J367" s="103">
        <f>VLOOKUP(A367&amp;G367,Lookup!J:N,5,0)</f>
        <v>0</v>
      </c>
      <c r="O367" s="57">
        <f>IFERROR(VLOOKUP(A367&amp;G367,Lookup!J:K,2,0),"")</f>
        <v>0</v>
      </c>
      <c r="P367" s="110" t="str">
        <f t="shared" si="38"/>
        <v/>
      </c>
      <c r="R367" s="58" t="str">
        <f t="shared" si="40"/>
        <v/>
      </c>
      <c r="S367" s="58" t="str">
        <f t="shared" si="41"/>
        <v/>
      </c>
      <c r="T367" s="59" t="e">
        <f t="shared" si="39"/>
        <v>#VALUE!</v>
      </c>
      <c r="U367" s="59"/>
      <c r="X367" s="60" t="str">
        <f t="shared" si="42"/>
        <v>D</v>
      </c>
    </row>
    <row r="368" spans="2:24" x14ac:dyDescent="0.25">
      <c r="B368" s="54" t="str">
        <f>IFERROR(VLOOKUP(A368,Lookup!A:B,2,0),"")</f>
        <v/>
      </c>
      <c r="C368" s="54" t="str">
        <f>IFERROR(VLOOKUP(A368,Lookup!A:C,3,0),"")</f>
        <v/>
      </c>
      <c r="J368" s="103">
        <f>VLOOKUP(A368&amp;G368,Lookup!J:N,5,0)</f>
        <v>0</v>
      </c>
      <c r="O368" s="57">
        <f>IFERROR(VLOOKUP(A368&amp;G368,Lookup!J:K,2,0),"")</f>
        <v>0</v>
      </c>
      <c r="P368" s="110" t="str">
        <f t="shared" si="38"/>
        <v/>
      </c>
      <c r="R368" s="58" t="str">
        <f t="shared" si="40"/>
        <v/>
      </c>
      <c r="S368" s="58" t="str">
        <f t="shared" si="41"/>
        <v/>
      </c>
      <c r="T368" s="59" t="e">
        <f t="shared" si="39"/>
        <v>#VALUE!</v>
      </c>
      <c r="U368" s="59"/>
      <c r="X368" s="60" t="str">
        <f t="shared" si="42"/>
        <v>D</v>
      </c>
    </row>
    <row r="369" spans="2:24" x14ac:dyDescent="0.25">
      <c r="B369" s="54" t="str">
        <f>IFERROR(VLOOKUP(A369,Lookup!A:B,2,0),"")</f>
        <v/>
      </c>
      <c r="C369" s="54" t="str">
        <f>IFERROR(VLOOKUP(A369,Lookup!A:C,3,0),"")</f>
        <v/>
      </c>
      <c r="J369" s="103">
        <f>VLOOKUP(A369&amp;G369,Lookup!J:N,5,0)</f>
        <v>0</v>
      </c>
      <c r="O369" s="57">
        <f>IFERROR(VLOOKUP(A369&amp;G369,Lookup!J:K,2,0),"")</f>
        <v>0</v>
      </c>
      <c r="P369" s="110" t="str">
        <f t="shared" si="38"/>
        <v/>
      </c>
      <c r="R369" s="58" t="str">
        <f t="shared" si="40"/>
        <v/>
      </c>
      <c r="S369" s="58" t="str">
        <f t="shared" si="41"/>
        <v/>
      </c>
      <c r="T369" s="59" t="e">
        <f t="shared" si="39"/>
        <v>#VALUE!</v>
      </c>
      <c r="U369" s="59"/>
      <c r="X369" s="60" t="str">
        <f t="shared" si="42"/>
        <v>D</v>
      </c>
    </row>
    <row r="370" spans="2:24" x14ac:dyDescent="0.25">
      <c r="B370" s="54" t="str">
        <f>IFERROR(VLOOKUP(A370,Lookup!A:B,2,0),"")</f>
        <v/>
      </c>
      <c r="C370" s="54" t="str">
        <f>IFERROR(VLOOKUP(A370,Lookup!A:C,3,0),"")</f>
        <v/>
      </c>
      <c r="J370" s="103">
        <f>VLOOKUP(A370&amp;G370,Lookup!J:N,5,0)</f>
        <v>0</v>
      </c>
      <c r="O370" s="57">
        <f>IFERROR(VLOOKUP(A370&amp;G370,Lookup!J:K,2,0),"")</f>
        <v>0</v>
      </c>
      <c r="P370" s="110" t="str">
        <f t="shared" si="38"/>
        <v/>
      </c>
      <c r="R370" s="58" t="str">
        <f t="shared" si="40"/>
        <v/>
      </c>
      <c r="S370" s="58" t="str">
        <f t="shared" si="41"/>
        <v/>
      </c>
      <c r="T370" s="59" t="e">
        <f t="shared" si="39"/>
        <v>#VALUE!</v>
      </c>
      <c r="U370" s="59"/>
      <c r="X370" s="60" t="str">
        <f t="shared" si="42"/>
        <v>D</v>
      </c>
    </row>
    <row r="371" spans="2:24" x14ac:dyDescent="0.25">
      <c r="B371" s="54" t="str">
        <f>IFERROR(VLOOKUP(A371,Lookup!A:B,2,0),"")</f>
        <v/>
      </c>
      <c r="C371" s="54" t="str">
        <f>IFERROR(VLOOKUP(A371,Lookup!A:C,3,0),"")</f>
        <v/>
      </c>
      <c r="J371" s="103">
        <f>VLOOKUP(A371&amp;G371,Lookup!J:N,5,0)</f>
        <v>0</v>
      </c>
      <c r="O371" s="57">
        <f>IFERROR(VLOOKUP(A371&amp;G371,Lookup!J:K,2,0),"")</f>
        <v>0</v>
      </c>
      <c r="P371" s="110" t="str">
        <f t="shared" si="38"/>
        <v/>
      </c>
      <c r="R371" s="58" t="str">
        <f t="shared" si="40"/>
        <v/>
      </c>
      <c r="S371" s="58" t="str">
        <f t="shared" si="41"/>
        <v/>
      </c>
      <c r="T371" s="59" t="e">
        <f t="shared" si="39"/>
        <v>#VALUE!</v>
      </c>
      <c r="U371" s="59"/>
      <c r="X371" s="60" t="str">
        <f t="shared" si="42"/>
        <v>D</v>
      </c>
    </row>
    <row r="372" spans="2:24" x14ac:dyDescent="0.25">
      <c r="B372" s="54" t="str">
        <f>IFERROR(VLOOKUP(A372,Lookup!A:B,2,0),"")</f>
        <v/>
      </c>
      <c r="C372" s="54" t="str">
        <f>IFERROR(VLOOKUP(A372,Lookup!A:C,3,0),"")</f>
        <v/>
      </c>
      <c r="J372" s="103">
        <f>VLOOKUP(A372&amp;G372,Lookup!J:N,5,0)</f>
        <v>0</v>
      </c>
      <c r="O372" s="57">
        <f>IFERROR(VLOOKUP(A372&amp;G372,Lookup!J:K,2,0),"")</f>
        <v>0</v>
      </c>
      <c r="P372" s="110" t="str">
        <f t="shared" si="38"/>
        <v/>
      </c>
      <c r="R372" s="58" t="str">
        <f t="shared" si="40"/>
        <v/>
      </c>
      <c r="S372" s="58" t="str">
        <f t="shared" si="41"/>
        <v/>
      </c>
      <c r="T372" s="59" t="e">
        <f t="shared" si="39"/>
        <v>#VALUE!</v>
      </c>
      <c r="U372" s="59"/>
      <c r="X372" s="60" t="str">
        <f t="shared" si="42"/>
        <v>D</v>
      </c>
    </row>
    <row r="373" spans="2:24" x14ac:dyDescent="0.25">
      <c r="B373" s="54" t="str">
        <f>IFERROR(VLOOKUP(A373,Lookup!A:B,2,0),"")</f>
        <v/>
      </c>
      <c r="C373" s="54" t="str">
        <f>IFERROR(VLOOKUP(A373,Lookup!A:C,3,0),"")</f>
        <v/>
      </c>
      <c r="J373" s="103">
        <f>VLOOKUP(A373&amp;G373,Lookup!J:N,5,0)</f>
        <v>0</v>
      </c>
      <c r="O373" s="57">
        <f>IFERROR(VLOOKUP(A373&amp;G373,Lookup!J:K,2,0),"")</f>
        <v>0</v>
      </c>
      <c r="P373" s="110" t="str">
        <f t="shared" si="38"/>
        <v/>
      </c>
      <c r="R373" s="58" t="str">
        <f t="shared" si="40"/>
        <v/>
      </c>
      <c r="S373" s="58" t="str">
        <f t="shared" si="41"/>
        <v/>
      </c>
      <c r="T373" s="59" t="e">
        <f t="shared" si="39"/>
        <v>#VALUE!</v>
      </c>
      <c r="U373" s="59"/>
      <c r="X373" s="60" t="str">
        <f t="shared" si="42"/>
        <v>D</v>
      </c>
    </row>
    <row r="374" spans="2:24" x14ac:dyDescent="0.25">
      <c r="B374" s="54" t="str">
        <f>IFERROR(VLOOKUP(A374,Lookup!A:B,2,0),"")</f>
        <v/>
      </c>
      <c r="C374" s="54" t="str">
        <f>IFERROR(VLOOKUP(A374,Lookup!A:C,3,0),"")</f>
        <v/>
      </c>
      <c r="J374" s="103">
        <f>VLOOKUP(A374&amp;G374,Lookup!J:N,5,0)</f>
        <v>0</v>
      </c>
      <c r="O374" s="57">
        <f>IFERROR(VLOOKUP(A374&amp;G374,Lookup!J:K,2,0),"")</f>
        <v>0</v>
      </c>
      <c r="P374" s="110" t="str">
        <f t="shared" si="38"/>
        <v/>
      </c>
      <c r="R374" s="58" t="str">
        <f t="shared" si="40"/>
        <v/>
      </c>
      <c r="S374" s="58" t="str">
        <f t="shared" si="41"/>
        <v/>
      </c>
      <c r="T374" s="59" t="e">
        <f t="shared" si="39"/>
        <v>#VALUE!</v>
      </c>
      <c r="U374" s="59"/>
      <c r="X374" s="60" t="str">
        <f t="shared" si="42"/>
        <v>D</v>
      </c>
    </row>
    <row r="375" spans="2:24" x14ac:dyDescent="0.25">
      <c r="B375" s="54" t="str">
        <f>IFERROR(VLOOKUP(A375,Lookup!A:B,2,0),"")</f>
        <v/>
      </c>
      <c r="C375" s="54" t="str">
        <f>IFERROR(VLOOKUP(A375,Lookup!A:C,3,0),"")</f>
        <v/>
      </c>
      <c r="J375" s="103">
        <f>VLOOKUP(A375&amp;G375,Lookup!J:N,5,0)</f>
        <v>0</v>
      </c>
      <c r="O375" s="57">
        <f>IFERROR(VLOOKUP(A375&amp;G375,Lookup!J:K,2,0),"")</f>
        <v>0</v>
      </c>
      <c r="P375" s="110" t="str">
        <f t="shared" si="38"/>
        <v/>
      </c>
      <c r="R375" s="58" t="str">
        <f t="shared" si="40"/>
        <v/>
      </c>
      <c r="S375" s="58" t="str">
        <f t="shared" si="41"/>
        <v/>
      </c>
      <c r="T375" s="59" t="e">
        <f t="shared" si="39"/>
        <v>#VALUE!</v>
      </c>
      <c r="U375" s="59"/>
      <c r="X375" s="60" t="str">
        <f t="shared" si="42"/>
        <v>D</v>
      </c>
    </row>
    <row r="376" spans="2:24" x14ac:dyDescent="0.25">
      <c r="B376" s="54" t="str">
        <f>IFERROR(VLOOKUP(A376,Lookup!A:B,2,0),"")</f>
        <v/>
      </c>
      <c r="C376" s="54" t="str">
        <f>IFERROR(VLOOKUP(A376,Lookup!A:C,3,0),"")</f>
        <v/>
      </c>
      <c r="J376" s="103">
        <f>VLOOKUP(A376&amp;G376,Lookup!J:N,5,0)</f>
        <v>0</v>
      </c>
      <c r="O376" s="57">
        <f>IFERROR(VLOOKUP(A376&amp;G376,Lookup!J:K,2,0),"")</f>
        <v>0</v>
      </c>
      <c r="P376" s="110" t="str">
        <f t="shared" si="38"/>
        <v/>
      </c>
      <c r="R376" s="58" t="str">
        <f t="shared" si="40"/>
        <v/>
      </c>
      <c r="S376" s="58" t="str">
        <f t="shared" si="41"/>
        <v/>
      </c>
      <c r="T376" s="59" t="e">
        <f t="shared" si="39"/>
        <v>#VALUE!</v>
      </c>
      <c r="U376" s="59"/>
      <c r="X376" s="60" t="str">
        <f t="shared" si="42"/>
        <v>D</v>
      </c>
    </row>
    <row r="377" spans="2:24" x14ac:dyDescent="0.25">
      <c r="B377" s="54" t="str">
        <f>IFERROR(VLOOKUP(A377,Lookup!A:B,2,0),"")</f>
        <v/>
      </c>
      <c r="C377" s="54" t="str">
        <f>IFERROR(VLOOKUP(A377,Lookup!A:C,3,0),"")</f>
        <v/>
      </c>
      <c r="J377" s="103">
        <f>VLOOKUP(A377&amp;G377,Lookup!J:N,5,0)</f>
        <v>0</v>
      </c>
      <c r="O377" s="57">
        <f>IFERROR(VLOOKUP(A377&amp;G377,Lookup!J:K,2,0),"")</f>
        <v>0</v>
      </c>
      <c r="P377" s="110" t="str">
        <f t="shared" si="38"/>
        <v/>
      </c>
      <c r="R377" s="58" t="str">
        <f t="shared" si="40"/>
        <v/>
      </c>
      <c r="S377" s="58" t="str">
        <f t="shared" si="41"/>
        <v/>
      </c>
      <c r="T377" s="59" t="e">
        <f t="shared" si="39"/>
        <v>#VALUE!</v>
      </c>
      <c r="U377" s="59"/>
      <c r="X377" s="60" t="str">
        <f t="shared" si="42"/>
        <v>D</v>
      </c>
    </row>
    <row r="378" spans="2:24" x14ac:dyDescent="0.25">
      <c r="B378" s="54" t="str">
        <f>IFERROR(VLOOKUP(A378,Lookup!A:B,2,0),"")</f>
        <v/>
      </c>
      <c r="C378" s="54" t="str">
        <f>IFERROR(VLOOKUP(A378,Lookup!A:C,3,0),"")</f>
        <v/>
      </c>
      <c r="J378" s="103">
        <f>VLOOKUP(A378&amp;G378,Lookup!J:N,5,0)</f>
        <v>0</v>
      </c>
      <c r="O378" s="57">
        <f>IFERROR(VLOOKUP(A378&amp;G378,Lookup!J:K,2,0),"")</f>
        <v>0</v>
      </c>
      <c r="P378" s="110" t="str">
        <f t="shared" si="38"/>
        <v/>
      </c>
      <c r="R378" s="58" t="str">
        <f t="shared" si="40"/>
        <v/>
      </c>
      <c r="S378" s="58" t="str">
        <f t="shared" si="41"/>
        <v/>
      </c>
      <c r="T378" s="59" t="e">
        <f t="shared" si="39"/>
        <v>#VALUE!</v>
      </c>
      <c r="U378" s="59"/>
      <c r="X378" s="60" t="str">
        <f t="shared" si="42"/>
        <v>D</v>
      </c>
    </row>
    <row r="379" spans="2:24" x14ac:dyDescent="0.25">
      <c r="B379" s="54" t="str">
        <f>IFERROR(VLOOKUP(A379,Lookup!A:B,2,0),"")</f>
        <v/>
      </c>
      <c r="C379" s="54" t="str">
        <f>IFERROR(VLOOKUP(A379,Lookup!A:C,3,0),"")</f>
        <v/>
      </c>
      <c r="J379" s="103">
        <f>VLOOKUP(A379&amp;G379,Lookup!J:N,5,0)</f>
        <v>0</v>
      </c>
      <c r="O379" s="57">
        <f>IFERROR(VLOOKUP(A379&amp;G379,Lookup!J:K,2,0),"")</f>
        <v>0</v>
      </c>
      <c r="P379" s="110" t="str">
        <f t="shared" si="38"/>
        <v/>
      </c>
      <c r="R379" s="58" t="str">
        <f t="shared" si="40"/>
        <v/>
      </c>
      <c r="S379" s="58" t="str">
        <f t="shared" si="41"/>
        <v/>
      </c>
      <c r="T379" s="59" t="e">
        <f t="shared" si="39"/>
        <v>#VALUE!</v>
      </c>
      <c r="U379" s="59"/>
      <c r="X379" s="60" t="str">
        <f t="shared" si="42"/>
        <v>D</v>
      </c>
    </row>
    <row r="380" spans="2:24" x14ac:dyDescent="0.25">
      <c r="B380" s="54" t="str">
        <f>IFERROR(VLOOKUP(A380,Lookup!A:B,2,0),"")</f>
        <v/>
      </c>
      <c r="C380" s="54" t="str">
        <f>IFERROR(VLOOKUP(A380,Lookup!A:C,3,0),"")</f>
        <v/>
      </c>
      <c r="J380" s="103">
        <f>VLOOKUP(A380&amp;G380,Lookup!J:N,5,0)</f>
        <v>0</v>
      </c>
      <c r="O380" s="57">
        <f>IFERROR(VLOOKUP(A380&amp;G380,Lookup!J:K,2,0),"")</f>
        <v>0</v>
      </c>
      <c r="P380" s="110" t="str">
        <f t="shared" si="38"/>
        <v/>
      </c>
      <c r="R380" s="58" t="str">
        <f t="shared" si="40"/>
        <v/>
      </c>
      <c r="S380" s="58" t="str">
        <f t="shared" si="41"/>
        <v/>
      </c>
      <c r="T380" s="59" t="e">
        <f t="shared" si="39"/>
        <v>#VALUE!</v>
      </c>
      <c r="U380" s="59"/>
      <c r="X380" s="60" t="str">
        <f t="shared" si="42"/>
        <v>D</v>
      </c>
    </row>
    <row r="381" spans="2:24" x14ac:dyDescent="0.25">
      <c r="B381" s="54" t="str">
        <f>IFERROR(VLOOKUP(A381,Lookup!A:B,2,0),"")</f>
        <v/>
      </c>
      <c r="C381" s="54" t="str">
        <f>IFERROR(VLOOKUP(A381,Lookup!A:C,3,0),"")</f>
        <v/>
      </c>
      <c r="J381" s="103">
        <f>VLOOKUP(A381&amp;G381,Lookup!J:N,5,0)</f>
        <v>0</v>
      </c>
      <c r="O381" s="57">
        <f>IFERROR(VLOOKUP(A381&amp;G381,Lookup!J:K,2,0),"")</f>
        <v>0</v>
      </c>
      <c r="P381" s="110" t="str">
        <f t="shared" si="38"/>
        <v/>
      </c>
      <c r="R381" s="58" t="str">
        <f t="shared" si="40"/>
        <v/>
      </c>
      <c r="S381" s="58" t="str">
        <f t="shared" si="41"/>
        <v/>
      </c>
      <c r="T381" s="59" t="e">
        <f t="shared" si="39"/>
        <v>#VALUE!</v>
      </c>
      <c r="U381" s="59"/>
      <c r="X381" s="60" t="str">
        <f t="shared" si="42"/>
        <v>D</v>
      </c>
    </row>
    <row r="382" spans="2:24" x14ac:dyDescent="0.25">
      <c r="B382" s="54" t="str">
        <f>IFERROR(VLOOKUP(A382,Lookup!A:B,2,0),"")</f>
        <v/>
      </c>
      <c r="C382" s="54" t="str">
        <f>IFERROR(VLOOKUP(A382,Lookup!A:C,3,0),"")</f>
        <v/>
      </c>
      <c r="J382" s="103">
        <f>VLOOKUP(A382&amp;G382,Lookup!J:N,5,0)</f>
        <v>0</v>
      </c>
      <c r="O382" s="57">
        <f>IFERROR(VLOOKUP(A382&amp;G382,Lookup!J:K,2,0),"")</f>
        <v>0</v>
      </c>
      <c r="P382" s="110" t="str">
        <f t="shared" si="38"/>
        <v/>
      </c>
      <c r="R382" s="58" t="str">
        <f t="shared" si="40"/>
        <v/>
      </c>
      <c r="S382" s="58" t="str">
        <f t="shared" si="41"/>
        <v/>
      </c>
      <c r="T382" s="59" t="e">
        <f t="shared" si="39"/>
        <v>#VALUE!</v>
      </c>
      <c r="U382" s="59"/>
      <c r="X382" s="60" t="str">
        <f t="shared" si="42"/>
        <v>D</v>
      </c>
    </row>
    <row r="383" spans="2:24" x14ac:dyDescent="0.25">
      <c r="B383" s="54" t="str">
        <f>IFERROR(VLOOKUP(A383,Lookup!A:B,2,0),"")</f>
        <v/>
      </c>
      <c r="C383" s="54" t="str">
        <f>IFERROR(VLOOKUP(A383,Lookup!A:C,3,0),"")</f>
        <v/>
      </c>
      <c r="J383" s="103">
        <f>VLOOKUP(A383&amp;G383,Lookup!J:N,5,0)</f>
        <v>0</v>
      </c>
      <c r="O383" s="57">
        <f>IFERROR(VLOOKUP(A383&amp;G383,Lookup!J:K,2,0),"")</f>
        <v>0</v>
      </c>
      <c r="P383" s="110" t="str">
        <f t="shared" si="38"/>
        <v/>
      </c>
      <c r="R383" s="58" t="str">
        <f t="shared" si="40"/>
        <v/>
      </c>
      <c r="S383" s="58" t="str">
        <f t="shared" si="41"/>
        <v/>
      </c>
      <c r="T383" s="59" t="e">
        <f t="shared" si="39"/>
        <v>#VALUE!</v>
      </c>
      <c r="U383" s="59"/>
      <c r="X383" s="60" t="str">
        <f t="shared" si="42"/>
        <v>D</v>
      </c>
    </row>
    <row r="384" spans="2:24" x14ac:dyDescent="0.25">
      <c r="B384" s="54" t="str">
        <f>IFERROR(VLOOKUP(A384,Lookup!A:B,2,0),"")</f>
        <v/>
      </c>
      <c r="C384" s="54" t="str">
        <f>IFERROR(VLOOKUP(A384,Lookup!A:C,3,0),"")</f>
        <v/>
      </c>
      <c r="J384" s="103">
        <f>VLOOKUP(A384&amp;G384,Lookup!J:N,5,0)</f>
        <v>0</v>
      </c>
      <c r="O384" s="57">
        <f>IFERROR(VLOOKUP(A384&amp;G384,Lookup!J:K,2,0),"")</f>
        <v>0</v>
      </c>
      <c r="P384" s="110" t="str">
        <f t="shared" si="38"/>
        <v/>
      </c>
      <c r="R384" s="58" t="str">
        <f t="shared" si="40"/>
        <v/>
      </c>
      <c r="S384" s="58" t="str">
        <f t="shared" si="41"/>
        <v/>
      </c>
      <c r="T384" s="59" t="e">
        <f t="shared" si="39"/>
        <v>#VALUE!</v>
      </c>
      <c r="U384" s="59"/>
      <c r="X384" s="60" t="str">
        <f t="shared" si="42"/>
        <v>D</v>
      </c>
    </row>
    <row r="385" spans="2:24" x14ac:dyDescent="0.25">
      <c r="B385" s="54" t="str">
        <f>IFERROR(VLOOKUP(A385,Lookup!A:B,2,0),"")</f>
        <v/>
      </c>
      <c r="C385" s="54" t="str">
        <f>IFERROR(VLOOKUP(A385,Lookup!A:C,3,0),"")</f>
        <v/>
      </c>
      <c r="J385" s="103">
        <f>VLOOKUP(A385&amp;G385,Lookup!J:N,5,0)</f>
        <v>0</v>
      </c>
      <c r="O385" s="57">
        <f>IFERROR(VLOOKUP(A385&amp;G385,Lookup!J:K,2,0),"")</f>
        <v>0</v>
      </c>
      <c r="P385" s="110" t="str">
        <f t="shared" si="38"/>
        <v/>
      </c>
      <c r="R385" s="58" t="str">
        <f t="shared" si="40"/>
        <v/>
      </c>
      <c r="S385" s="58" t="str">
        <f t="shared" si="41"/>
        <v/>
      </c>
      <c r="T385" s="59" t="e">
        <f t="shared" si="39"/>
        <v>#VALUE!</v>
      </c>
      <c r="U385" s="59"/>
      <c r="X385" s="60" t="str">
        <f t="shared" si="42"/>
        <v>D</v>
      </c>
    </row>
    <row r="386" spans="2:24" x14ac:dyDescent="0.25">
      <c r="B386" s="54" t="str">
        <f>IFERROR(VLOOKUP(A386,Lookup!A:B,2,0),"")</f>
        <v/>
      </c>
      <c r="C386" s="54" t="str">
        <f>IFERROR(VLOOKUP(A386,Lookup!A:C,3,0),"")</f>
        <v/>
      </c>
      <c r="J386" s="103">
        <f>VLOOKUP(A386&amp;G386,Lookup!J:N,5,0)</f>
        <v>0</v>
      </c>
      <c r="O386" s="57">
        <f>IFERROR(VLOOKUP(A386&amp;G386,Lookup!J:K,2,0),"")</f>
        <v>0</v>
      </c>
      <c r="P386" s="110" t="str">
        <f t="shared" si="38"/>
        <v/>
      </c>
      <c r="R386" s="58" t="str">
        <f t="shared" si="40"/>
        <v/>
      </c>
      <c r="S386" s="58" t="str">
        <f t="shared" si="41"/>
        <v/>
      </c>
      <c r="T386" s="59" t="e">
        <f t="shared" si="39"/>
        <v>#VALUE!</v>
      </c>
      <c r="U386" s="59"/>
      <c r="X386" s="60" t="str">
        <f t="shared" si="42"/>
        <v>D</v>
      </c>
    </row>
    <row r="387" spans="2:24" x14ac:dyDescent="0.25">
      <c r="B387" s="54" t="str">
        <f>IFERROR(VLOOKUP(A387,Lookup!A:B,2,0),"")</f>
        <v/>
      </c>
      <c r="C387" s="54" t="str">
        <f>IFERROR(VLOOKUP(A387,Lookup!A:C,3,0),"")</f>
        <v/>
      </c>
      <c r="J387" s="103">
        <f>VLOOKUP(A387&amp;G387,Lookup!J:N,5,0)</f>
        <v>0</v>
      </c>
      <c r="O387" s="57">
        <f>IFERROR(VLOOKUP(A387&amp;G387,Lookup!J:K,2,0),"")</f>
        <v>0</v>
      </c>
      <c r="P387" s="110" t="str">
        <f t="shared" si="38"/>
        <v/>
      </c>
      <c r="R387" s="58" t="str">
        <f t="shared" si="40"/>
        <v/>
      </c>
      <c r="S387" s="58" t="str">
        <f t="shared" si="41"/>
        <v/>
      </c>
      <c r="T387" s="59" t="e">
        <f t="shared" si="39"/>
        <v>#VALUE!</v>
      </c>
      <c r="U387" s="59"/>
      <c r="X387" s="60" t="str">
        <f t="shared" si="42"/>
        <v>D</v>
      </c>
    </row>
    <row r="388" spans="2:24" x14ac:dyDescent="0.25">
      <c r="B388" s="54" t="str">
        <f>IFERROR(VLOOKUP(A388,Lookup!A:B,2,0),"")</f>
        <v/>
      </c>
      <c r="C388" s="54" t="str">
        <f>IFERROR(VLOOKUP(A388,Lookup!A:C,3,0),"")</f>
        <v/>
      </c>
      <c r="J388" s="103">
        <f>VLOOKUP(A388&amp;G388,Lookup!J:N,5,0)</f>
        <v>0</v>
      </c>
      <c r="O388" s="57">
        <f>IFERROR(VLOOKUP(A388&amp;G388,Lookup!J:K,2,0),"")</f>
        <v>0</v>
      </c>
      <c r="P388" s="110" t="str">
        <f t="shared" ref="P388:P451" si="43">IF(N388="","",N388+O388)</f>
        <v/>
      </c>
      <c r="R388" s="58" t="str">
        <f t="shared" si="40"/>
        <v/>
      </c>
      <c r="S388" s="58" t="str">
        <f t="shared" si="41"/>
        <v/>
      </c>
      <c r="T388" s="59" t="e">
        <f t="shared" si="39"/>
        <v>#VALUE!</v>
      </c>
      <c r="U388" s="59"/>
      <c r="X388" s="60" t="str">
        <f t="shared" si="42"/>
        <v>D</v>
      </c>
    </row>
    <row r="389" spans="2:24" x14ac:dyDescent="0.25">
      <c r="B389" s="54" t="str">
        <f>IFERROR(VLOOKUP(A389,Lookup!A:B,2,0),"")</f>
        <v/>
      </c>
      <c r="C389" s="54" t="str">
        <f>IFERROR(VLOOKUP(A389,Lookup!A:C,3,0),"")</f>
        <v/>
      </c>
      <c r="J389" s="103">
        <f>VLOOKUP(A389&amp;G389,Lookup!J:N,5,0)</f>
        <v>0</v>
      </c>
      <c r="O389" s="57">
        <f>IFERROR(VLOOKUP(A389&amp;G389,Lookup!J:K,2,0),"")</f>
        <v>0</v>
      </c>
      <c r="P389" s="110" t="str">
        <f t="shared" si="43"/>
        <v/>
      </c>
      <c r="R389" s="58" t="str">
        <f t="shared" si="40"/>
        <v/>
      </c>
      <c r="S389" s="58" t="str">
        <f t="shared" si="41"/>
        <v/>
      </c>
      <c r="T389" s="59" t="e">
        <f t="shared" si="39"/>
        <v>#VALUE!</v>
      </c>
      <c r="U389" s="59"/>
      <c r="X389" s="60" t="str">
        <f t="shared" si="42"/>
        <v>D</v>
      </c>
    </row>
    <row r="390" spans="2:24" x14ac:dyDescent="0.25">
      <c r="B390" s="54" t="str">
        <f>IFERROR(VLOOKUP(A390,Lookup!A:B,2,0),"")</f>
        <v/>
      </c>
      <c r="C390" s="54" t="str">
        <f>IFERROR(VLOOKUP(A390,Lookup!A:C,3,0),"")</f>
        <v/>
      </c>
      <c r="J390" s="103">
        <f>VLOOKUP(A390&amp;G390,Lookup!J:N,5,0)</f>
        <v>0</v>
      </c>
      <c r="O390" s="57">
        <f>IFERROR(VLOOKUP(A390&amp;G390,Lookup!J:K,2,0),"")</f>
        <v>0</v>
      </c>
      <c r="P390" s="110" t="str">
        <f t="shared" si="43"/>
        <v/>
      </c>
      <c r="R390" s="58" t="str">
        <f t="shared" si="40"/>
        <v/>
      </c>
      <c r="S390" s="58" t="str">
        <f t="shared" si="41"/>
        <v/>
      </c>
      <c r="T390" s="59" t="e">
        <f t="shared" si="39"/>
        <v>#VALUE!</v>
      </c>
      <c r="U390" s="59"/>
      <c r="X390" s="60" t="str">
        <f t="shared" si="42"/>
        <v>D</v>
      </c>
    </row>
    <row r="391" spans="2:24" x14ac:dyDescent="0.25">
      <c r="B391" s="54" t="str">
        <f>IFERROR(VLOOKUP(A391,Lookup!A:B,2,0),"")</f>
        <v/>
      </c>
      <c r="C391" s="54" t="str">
        <f>IFERROR(VLOOKUP(A391,Lookup!A:C,3,0),"")</f>
        <v/>
      </c>
      <c r="J391" s="103">
        <f>VLOOKUP(A391&amp;G391,Lookup!J:N,5,0)</f>
        <v>0</v>
      </c>
      <c r="O391" s="57">
        <f>IFERROR(VLOOKUP(A391&amp;G391,Lookup!J:K,2,0),"")</f>
        <v>0</v>
      </c>
      <c r="P391" s="110" t="str">
        <f t="shared" si="43"/>
        <v/>
      </c>
      <c r="R391" s="58" t="str">
        <f t="shared" si="40"/>
        <v/>
      </c>
      <c r="S391" s="58" t="str">
        <f t="shared" si="41"/>
        <v/>
      </c>
      <c r="T391" s="59" t="e">
        <f t="shared" si="39"/>
        <v>#VALUE!</v>
      </c>
      <c r="U391" s="59"/>
      <c r="X391" s="60" t="str">
        <f t="shared" si="42"/>
        <v>D</v>
      </c>
    </row>
    <row r="392" spans="2:24" x14ac:dyDescent="0.25">
      <c r="B392" s="54" t="str">
        <f>IFERROR(VLOOKUP(A392,Lookup!A:B,2,0),"")</f>
        <v/>
      </c>
      <c r="C392" s="54" t="str">
        <f>IFERROR(VLOOKUP(A392,Lookup!A:C,3,0),"")</f>
        <v/>
      </c>
      <c r="J392" s="103">
        <f>VLOOKUP(A392&amp;G392,Lookup!J:N,5,0)</f>
        <v>0</v>
      </c>
      <c r="O392" s="57">
        <f>IFERROR(VLOOKUP(A392&amp;G392,Lookup!J:K,2,0),"")</f>
        <v>0</v>
      </c>
      <c r="P392" s="110" t="str">
        <f t="shared" si="43"/>
        <v/>
      </c>
      <c r="R392" s="58" t="str">
        <f t="shared" si="40"/>
        <v/>
      </c>
      <c r="S392" s="58" t="str">
        <f t="shared" si="41"/>
        <v/>
      </c>
      <c r="T392" s="59" t="e">
        <f t="shared" si="39"/>
        <v>#VALUE!</v>
      </c>
      <c r="U392" s="59"/>
      <c r="X392" s="60" t="str">
        <f t="shared" si="42"/>
        <v>D</v>
      </c>
    </row>
    <row r="393" spans="2:24" x14ac:dyDescent="0.25">
      <c r="B393" s="54" t="str">
        <f>IFERROR(VLOOKUP(A393,Lookup!A:B,2,0),"")</f>
        <v/>
      </c>
      <c r="C393" s="54" t="str">
        <f>IFERROR(VLOOKUP(A393,Lookup!A:C,3,0),"")</f>
        <v/>
      </c>
      <c r="J393" s="103">
        <f>VLOOKUP(A393&amp;G393,Lookup!J:N,5,0)</f>
        <v>0</v>
      </c>
      <c r="O393" s="57">
        <f>IFERROR(VLOOKUP(A393&amp;G393,Lookup!J:K,2,0),"")</f>
        <v>0</v>
      </c>
      <c r="P393" s="110" t="str">
        <f t="shared" si="43"/>
        <v/>
      </c>
      <c r="R393" s="58" t="str">
        <f t="shared" si="40"/>
        <v/>
      </c>
      <c r="S393" s="58" t="str">
        <f t="shared" si="41"/>
        <v/>
      </c>
      <c r="T393" s="59" t="e">
        <f t="shared" si="39"/>
        <v>#VALUE!</v>
      </c>
      <c r="U393" s="59"/>
      <c r="X393" s="60" t="str">
        <f t="shared" si="42"/>
        <v>D</v>
      </c>
    </row>
    <row r="394" spans="2:24" x14ac:dyDescent="0.25">
      <c r="B394" s="54" t="str">
        <f>IFERROR(VLOOKUP(A394,Lookup!A:B,2,0),"")</f>
        <v/>
      </c>
      <c r="C394" s="54" t="str">
        <f>IFERROR(VLOOKUP(A394,Lookup!A:C,3,0),"")</f>
        <v/>
      </c>
      <c r="J394" s="103">
        <f>VLOOKUP(A394&amp;G394,Lookup!J:N,5,0)</f>
        <v>0</v>
      </c>
      <c r="O394" s="57">
        <f>IFERROR(VLOOKUP(A394&amp;G394,Lookup!J:K,2,0),"")</f>
        <v>0</v>
      </c>
      <c r="P394" s="110" t="str">
        <f t="shared" si="43"/>
        <v/>
      </c>
      <c r="R394" s="58" t="str">
        <f t="shared" si="40"/>
        <v/>
      </c>
      <c r="S394" s="58" t="str">
        <f t="shared" si="41"/>
        <v/>
      </c>
      <c r="T394" s="59" t="e">
        <f t="shared" si="39"/>
        <v>#VALUE!</v>
      </c>
      <c r="U394" s="59"/>
      <c r="X394" s="60" t="str">
        <f t="shared" si="42"/>
        <v>D</v>
      </c>
    </row>
    <row r="395" spans="2:24" x14ac:dyDescent="0.25">
      <c r="B395" s="54" t="str">
        <f>IFERROR(VLOOKUP(A395,Lookup!A:B,2,0),"")</f>
        <v/>
      </c>
      <c r="C395" s="54" t="str">
        <f>IFERROR(VLOOKUP(A395,Lookup!A:C,3,0),"")</f>
        <v/>
      </c>
      <c r="J395" s="103">
        <f>VLOOKUP(A395&amp;G395,Lookup!J:N,5,0)</f>
        <v>0</v>
      </c>
      <c r="O395" s="57">
        <f>IFERROR(VLOOKUP(A395&amp;G395,Lookup!J:K,2,0),"")</f>
        <v>0</v>
      </c>
      <c r="P395" s="110" t="str">
        <f t="shared" si="43"/>
        <v/>
      </c>
      <c r="R395" s="58" t="str">
        <f t="shared" si="40"/>
        <v/>
      </c>
      <c r="S395" s="58" t="str">
        <f t="shared" si="41"/>
        <v/>
      </c>
      <c r="T395" s="59" t="e">
        <f t="shared" si="39"/>
        <v>#VALUE!</v>
      </c>
      <c r="U395" s="59"/>
      <c r="X395" s="60" t="str">
        <f t="shared" si="42"/>
        <v>D</v>
      </c>
    </row>
    <row r="396" spans="2:24" x14ac:dyDescent="0.25">
      <c r="B396" s="54" t="str">
        <f>IFERROR(VLOOKUP(A396,Lookup!A:B,2,0),"")</f>
        <v/>
      </c>
      <c r="C396" s="54" t="str">
        <f>IFERROR(VLOOKUP(A396,Lookup!A:C,3,0),"")</f>
        <v/>
      </c>
      <c r="J396" s="103">
        <f>VLOOKUP(A396&amp;G396,Lookup!J:N,5,0)</f>
        <v>0</v>
      </c>
      <c r="O396" s="57">
        <f>IFERROR(VLOOKUP(A396&amp;G396,Lookup!J:K,2,0),"")</f>
        <v>0</v>
      </c>
      <c r="P396" s="110" t="str">
        <f t="shared" si="43"/>
        <v/>
      </c>
      <c r="R396" s="58" t="str">
        <f t="shared" si="40"/>
        <v/>
      </c>
      <c r="S396" s="58" t="str">
        <f t="shared" si="41"/>
        <v/>
      </c>
      <c r="T396" s="59" t="e">
        <f t="shared" si="39"/>
        <v>#VALUE!</v>
      </c>
      <c r="U396" s="59"/>
      <c r="X396" s="60" t="str">
        <f t="shared" si="42"/>
        <v>D</v>
      </c>
    </row>
    <row r="397" spans="2:24" x14ac:dyDescent="0.25">
      <c r="B397" s="54" t="str">
        <f>IFERROR(VLOOKUP(A397,Lookup!A:B,2,0),"")</f>
        <v/>
      </c>
      <c r="C397" s="54" t="str">
        <f>IFERROR(VLOOKUP(A397,Lookup!A:C,3,0),"")</f>
        <v/>
      </c>
      <c r="J397" s="103">
        <f>VLOOKUP(A397&amp;G397,Lookup!J:N,5,0)</f>
        <v>0</v>
      </c>
      <c r="O397" s="57">
        <f>IFERROR(VLOOKUP(A397&amp;G397,Lookup!J:K,2,0),"")</f>
        <v>0</v>
      </c>
      <c r="P397" s="110" t="str">
        <f t="shared" si="43"/>
        <v/>
      </c>
      <c r="R397" s="58" t="str">
        <f t="shared" si="40"/>
        <v/>
      </c>
      <c r="S397" s="58" t="str">
        <f t="shared" si="41"/>
        <v/>
      </c>
      <c r="T397" s="59" t="e">
        <f t="shared" si="39"/>
        <v>#VALUE!</v>
      </c>
      <c r="U397" s="59"/>
      <c r="X397" s="60" t="str">
        <f t="shared" si="42"/>
        <v>D</v>
      </c>
    </row>
    <row r="398" spans="2:24" x14ac:dyDescent="0.25">
      <c r="B398" s="54" t="str">
        <f>IFERROR(VLOOKUP(A398,Lookup!A:B,2,0),"")</f>
        <v/>
      </c>
      <c r="C398" s="54" t="str">
        <f>IFERROR(VLOOKUP(A398,Lookup!A:C,3,0),"")</f>
        <v/>
      </c>
      <c r="J398" s="103">
        <f>VLOOKUP(A398&amp;G398,Lookup!J:N,5,0)</f>
        <v>0</v>
      </c>
      <c r="O398" s="57">
        <f>IFERROR(VLOOKUP(A398&amp;G398,Lookup!J:K,2,0),"")</f>
        <v>0</v>
      </c>
      <c r="P398" s="110" t="str">
        <f t="shared" si="43"/>
        <v/>
      </c>
      <c r="R398" s="58" t="str">
        <f t="shared" si="40"/>
        <v/>
      </c>
      <c r="S398" s="58" t="str">
        <f t="shared" si="41"/>
        <v/>
      </c>
      <c r="T398" s="59" t="e">
        <f t="shared" ref="T398:T461" si="44">IF(Q398-P398&gt;0.0415,"YES",(IF(OR(EXACT(Q398,""), EXACT(P398,"")),"","NO")))</f>
        <v>#VALUE!</v>
      </c>
      <c r="U398" s="59"/>
      <c r="X398" s="60" t="str">
        <f t="shared" si="42"/>
        <v>D</v>
      </c>
    </row>
    <row r="399" spans="2:24" x14ac:dyDescent="0.25">
      <c r="B399" s="54" t="str">
        <f>IFERROR(VLOOKUP(A399,Lookup!A:B,2,0),"")</f>
        <v/>
      </c>
      <c r="C399" s="54" t="str">
        <f>IFERROR(VLOOKUP(A399,Lookup!A:C,3,0),"")</f>
        <v/>
      </c>
      <c r="J399" s="103">
        <f>VLOOKUP(A399&amp;G399,Lookup!J:N,5,0)</f>
        <v>0</v>
      </c>
      <c r="O399" s="57">
        <f>IFERROR(VLOOKUP(A399&amp;G399,Lookup!J:K,2,0),"")</f>
        <v>0</v>
      </c>
      <c r="P399" s="110" t="str">
        <f t="shared" si="43"/>
        <v/>
      </c>
      <c r="R399" s="58" t="str">
        <f t="shared" si="40"/>
        <v/>
      </c>
      <c r="S399" s="58" t="str">
        <f t="shared" si="41"/>
        <v/>
      </c>
      <c r="T399" s="59" t="e">
        <f t="shared" si="44"/>
        <v>#VALUE!</v>
      </c>
      <c r="U399" s="59"/>
      <c r="X399" s="60" t="str">
        <f t="shared" si="42"/>
        <v>D</v>
      </c>
    </row>
    <row r="400" spans="2:24" x14ac:dyDescent="0.25">
      <c r="B400" s="54" t="str">
        <f>IFERROR(VLOOKUP(A400,Lookup!A:B,2,0),"")</f>
        <v/>
      </c>
      <c r="C400" s="54" t="str">
        <f>IFERROR(VLOOKUP(A400,Lookup!A:C,3,0),"")</f>
        <v/>
      </c>
      <c r="J400" s="103">
        <f>VLOOKUP(A400&amp;G400,Lookup!J:N,5,0)</f>
        <v>0</v>
      </c>
      <c r="O400" s="57">
        <f>IFERROR(VLOOKUP(A400&amp;G400,Lookup!J:K,2,0),"")</f>
        <v>0</v>
      </c>
      <c r="P400" s="110" t="str">
        <f t="shared" si="43"/>
        <v/>
      </c>
      <c r="R400" s="58" t="str">
        <f t="shared" si="40"/>
        <v/>
      </c>
      <c r="S400" s="58" t="str">
        <f t="shared" si="41"/>
        <v/>
      </c>
      <c r="T400" s="59" t="e">
        <f t="shared" si="44"/>
        <v>#VALUE!</v>
      </c>
      <c r="U400" s="59"/>
      <c r="X400" s="60" t="str">
        <f t="shared" si="42"/>
        <v>D</v>
      </c>
    </row>
    <row r="401" spans="2:24" x14ac:dyDescent="0.25">
      <c r="B401" s="54" t="str">
        <f>IFERROR(VLOOKUP(A401,Lookup!A:B,2,0),"")</f>
        <v/>
      </c>
      <c r="C401" s="54" t="str">
        <f>IFERROR(VLOOKUP(A401,Lookup!A:C,3,0),"")</f>
        <v/>
      </c>
      <c r="J401" s="103">
        <f>VLOOKUP(A401&amp;G401,Lookup!J:N,5,0)</f>
        <v>0</v>
      </c>
      <c r="O401" s="57">
        <f>IFERROR(VLOOKUP(A401&amp;G401,Lookup!J:K,2,0),"")</f>
        <v>0</v>
      </c>
      <c r="P401" s="110" t="str">
        <f t="shared" si="43"/>
        <v/>
      </c>
      <c r="R401" s="58" t="str">
        <f t="shared" si="40"/>
        <v/>
      </c>
      <c r="S401" s="58" t="str">
        <f t="shared" si="41"/>
        <v/>
      </c>
      <c r="T401" s="59" t="e">
        <f t="shared" si="44"/>
        <v>#VALUE!</v>
      </c>
      <c r="U401" s="59"/>
      <c r="X401" s="60" t="str">
        <f t="shared" si="42"/>
        <v>D</v>
      </c>
    </row>
    <row r="402" spans="2:24" x14ac:dyDescent="0.25">
      <c r="B402" s="54" t="str">
        <f>IFERROR(VLOOKUP(A402,Lookup!A:B,2,0),"")</f>
        <v/>
      </c>
      <c r="C402" s="54" t="str">
        <f>IFERROR(VLOOKUP(A402,Lookup!A:C,3,0),"")</f>
        <v/>
      </c>
      <c r="J402" s="103">
        <f>VLOOKUP(A402&amp;G402,Lookup!J:N,5,0)</f>
        <v>0</v>
      </c>
      <c r="O402" s="57">
        <f>IFERROR(VLOOKUP(A402&amp;G402,Lookup!J:K,2,0),"")</f>
        <v>0</v>
      </c>
      <c r="P402" s="110" t="str">
        <f t="shared" si="43"/>
        <v/>
      </c>
      <c r="R402" s="58" t="str">
        <f t="shared" si="40"/>
        <v/>
      </c>
      <c r="S402" s="58" t="str">
        <f t="shared" si="41"/>
        <v/>
      </c>
      <c r="T402" s="59" t="e">
        <f t="shared" si="44"/>
        <v>#VALUE!</v>
      </c>
      <c r="U402" s="59"/>
      <c r="X402" s="60" t="str">
        <f t="shared" si="42"/>
        <v>D</v>
      </c>
    </row>
    <row r="403" spans="2:24" x14ac:dyDescent="0.25">
      <c r="B403" s="54" t="str">
        <f>IFERROR(VLOOKUP(A403,Lookup!A:B,2,0),"")</f>
        <v/>
      </c>
      <c r="C403" s="54" t="str">
        <f>IFERROR(VLOOKUP(A403,Lookup!A:C,3,0),"")</f>
        <v/>
      </c>
      <c r="J403" s="103">
        <f>VLOOKUP(A403&amp;G403,Lookup!J:N,5,0)</f>
        <v>0</v>
      </c>
      <c r="O403" s="57">
        <f>IFERROR(VLOOKUP(A403&amp;G403,Lookup!J:K,2,0),"")</f>
        <v>0</v>
      </c>
      <c r="P403" s="110" t="str">
        <f t="shared" si="43"/>
        <v/>
      </c>
      <c r="R403" s="58" t="str">
        <f t="shared" si="40"/>
        <v/>
      </c>
      <c r="S403" s="58" t="str">
        <f t="shared" si="41"/>
        <v/>
      </c>
      <c r="T403" s="59" t="e">
        <f t="shared" si="44"/>
        <v>#VALUE!</v>
      </c>
      <c r="U403" s="59"/>
      <c r="X403" s="60" t="str">
        <f t="shared" si="42"/>
        <v>D</v>
      </c>
    </row>
    <row r="404" spans="2:24" x14ac:dyDescent="0.25">
      <c r="B404" s="54" t="str">
        <f>IFERROR(VLOOKUP(A404,Lookup!A:B,2,0),"")</f>
        <v/>
      </c>
      <c r="C404" s="54" t="str">
        <f>IFERROR(VLOOKUP(A404,Lookup!A:C,3,0),"")</f>
        <v/>
      </c>
      <c r="J404" s="103">
        <f>VLOOKUP(A404&amp;G404,Lookup!J:N,5,0)</f>
        <v>0</v>
      </c>
      <c r="O404" s="57">
        <f>IFERROR(VLOOKUP(A404&amp;G404,Lookup!J:K,2,0),"")</f>
        <v>0</v>
      </c>
      <c r="P404" s="110" t="str">
        <f t="shared" si="43"/>
        <v/>
      </c>
      <c r="R404" s="58" t="str">
        <f t="shared" si="40"/>
        <v/>
      </c>
      <c r="S404" s="58" t="str">
        <f t="shared" si="41"/>
        <v/>
      </c>
      <c r="T404" s="59" t="e">
        <f t="shared" si="44"/>
        <v>#VALUE!</v>
      </c>
      <c r="U404" s="59"/>
      <c r="X404" s="60" t="str">
        <f t="shared" si="42"/>
        <v>D</v>
      </c>
    </row>
    <row r="405" spans="2:24" x14ac:dyDescent="0.25">
      <c r="B405" s="54" t="str">
        <f>IFERROR(VLOOKUP(A405,Lookup!A:B,2,0),"")</f>
        <v/>
      </c>
      <c r="C405" s="54" t="str">
        <f>IFERROR(VLOOKUP(A405,Lookup!A:C,3,0),"")</f>
        <v/>
      </c>
      <c r="J405" s="103">
        <f>VLOOKUP(A405&amp;G405,Lookup!J:N,5,0)</f>
        <v>0</v>
      </c>
      <c r="O405" s="57">
        <f>IFERROR(VLOOKUP(A405&amp;G405,Lookup!J:K,2,0),"")</f>
        <v>0</v>
      </c>
      <c r="P405" s="110" t="str">
        <f t="shared" si="43"/>
        <v/>
      </c>
      <c r="R405" s="58" t="str">
        <f t="shared" si="40"/>
        <v/>
      </c>
      <c r="S405" s="58" t="str">
        <f t="shared" si="41"/>
        <v/>
      </c>
      <c r="T405" s="59" t="e">
        <f t="shared" si="44"/>
        <v>#VALUE!</v>
      </c>
      <c r="U405" s="59"/>
      <c r="X405" s="60" t="str">
        <f t="shared" si="42"/>
        <v>D</v>
      </c>
    </row>
    <row r="406" spans="2:24" x14ac:dyDescent="0.25">
      <c r="B406" s="54" t="str">
        <f>IFERROR(VLOOKUP(A406,Lookup!A:B,2,0),"")</f>
        <v/>
      </c>
      <c r="C406" s="54" t="str">
        <f>IFERROR(VLOOKUP(A406,Lookup!A:C,3,0),"")</f>
        <v/>
      </c>
      <c r="J406" s="103">
        <f>VLOOKUP(A406&amp;G406,Lookup!J:N,5,0)</f>
        <v>0</v>
      </c>
      <c r="O406" s="57">
        <f>IFERROR(VLOOKUP(A406&amp;G406,Lookup!J:K,2,0),"")</f>
        <v>0</v>
      </c>
      <c r="P406" s="110" t="str">
        <f t="shared" si="43"/>
        <v/>
      </c>
      <c r="R406" s="58" t="str">
        <f t="shared" si="40"/>
        <v/>
      </c>
      <c r="S406" s="58" t="str">
        <f t="shared" si="41"/>
        <v/>
      </c>
      <c r="T406" s="59" t="e">
        <f t="shared" si="44"/>
        <v>#VALUE!</v>
      </c>
      <c r="U406" s="59"/>
      <c r="X406" s="60" t="str">
        <f t="shared" si="42"/>
        <v>D</v>
      </c>
    </row>
    <row r="407" spans="2:24" x14ac:dyDescent="0.25">
      <c r="B407" s="54" t="str">
        <f>IFERROR(VLOOKUP(A407,Lookup!A:B,2,0),"")</f>
        <v/>
      </c>
      <c r="C407" s="54" t="str">
        <f>IFERROR(VLOOKUP(A407,Lookup!A:C,3,0),"")</f>
        <v/>
      </c>
      <c r="J407" s="103">
        <f>VLOOKUP(A407&amp;G407,Lookup!J:N,5,0)</f>
        <v>0</v>
      </c>
      <c r="O407" s="57">
        <f>IFERROR(VLOOKUP(A407&amp;G407,Lookup!J:K,2,0),"")</f>
        <v>0</v>
      </c>
      <c r="P407" s="110" t="str">
        <f t="shared" si="43"/>
        <v/>
      </c>
      <c r="R407" s="58" t="str">
        <f t="shared" si="40"/>
        <v/>
      </c>
      <c r="S407" s="58" t="str">
        <f t="shared" si="41"/>
        <v/>
      </c>
      <c r="T407" s="59" t="e">
        <f t="shared" si="44"/>
        <v>#VALUE!</v>
      </c>
      <c r="U407" s="59"/>
      <c r="X407" s="60" t="str">
        <f t="shared" si="42"/>
        <v>D</v>
      </c>
    </row>
    <row r="408" spans="2:24" x14ac:dyDescent="0.25">
      <c r="B408" s="54" t="str">
        <f>IFERROR(VLOOKUP(A408,Lookup!A:B,2,0),"")</f>
        <v/>
      </c>
      <c r="C408" s="54" t="str">
        <f>IFERROR(VLOOKUP(A408,Lookup!A:C,3,0),"")</f>
        <v/>
      </c>
      <c r="J408" s="103">
        <f>VLOOKUP(A408&amp;G408,Lookup!J:N,5,0)</f>
        <v>0</v>
      </c>
      <c r="O408" s="57">
        <f>IFERROR(VLOOKUP(A408&amp;G408,Lookup!J:K,2,0),"")</f>
        <v>0</v>
      </c>
      <c r="P408" s="110" t="str">
        <f t="shared" si="43"/>
        <v/>
      </c>
      <c r="R408" s="58" t="str">
        <f t="shared" si="40"/>
        <v/>
      </c>
      <c r="S408" s="58" t="str">
        <f t="shared" si="41"/>
        <v/>
      </c>
      <c r="T408" s="59" t="e">
        <f t="shared" si="44"/>
        <v>#VALUE!</v>
      </c>
      <c r="U408" s="59"/>
      <c r="X408" s="60" t="str">
        <f t="shared" si="42"/>
        <v>D</v>
      </c>
    </row>
    <row r="409" spans="2:24" x14ac:dyDescent="0.25">
      <c r="B409" s="54" t="str">
        <f>IFERROR(VLOOKUP(A409,Lookup!A:B,2,0),"")</f>
        <v/>
      </c>
      <c r="C409" s="54" t="str">
        <f>IFERROR(VLOOKUP(A409,Lookup!A:C,3,0),"")</f>
        <v/>
      </c>
      <c r="J409" s="103">
        <f>VLOOKUP(A409&amp;G409,Lookup!J:N,5,0)</f>
        <v>0</v>
      </c>
      <c r="O409" s="57">
        <f>IFERROR(VLOOKUP(A409&amp;G409,Lookup!J:K,2,0),"")</f>
        <v>0</v>
      </c>
      <c r="P409" s="110" t="str">
        <f t="shared" si="43"/>
        <v/>
      </c>
      <c r="R409" s="58" t="str">
        <f t="shared" si="40"/>
        <v/>
      </c>
      <c r="S409" s="58" t="str">
        <f t="shared" si="41"/>
        <v/>
      </c>
      <c r="T409" s="59" t="e">
        <f t="shared" si="44"/>
        <v>#VALUE!</v>
      </c>
      <c r="U409" s="59"/>
      <c r="X409" s="60" t="str">
        <f t="shared" si="42"/>
        <v>D</v>
      </c>
    </row>
    <row r="410" spans="2:24" x14ac:dyDescent="0.25">
      <c r="B410" s="54" t="str">
        <f>IFERROR(VLOOKUP(A410,Lookup!A:B,2,0),"")</f>
        <v/>
      </c>
      <c r="C410" s="54" t="str">
        <f>IFERROR(VLOOKUP(A410,Lookup!A:C,3,0),"")</f>
        <v/>
      </c>
      <c r="J410" s="103">
        <f>VLOOKUP(A410&amp;G410,Lookup!J:N,5,0)</f>
        <v>0</v>
      </c>
      <c r="O410" s="57">
        <f>IFERROR(VLOOKUP(A410&amp;G410,Lookup!J:K,2,0),"")</f>
        <v>0</v>
      </c>
      <c r="P410" s="110" t="str">
        <f t="shared" si="43"/>
        <v/>
      </c>
      <c r="R410" s="58" t="str">
        <f t="shared" si="40"/>
        <v/>
      </c>
      <c r="S410" s="58" t="str">
        <f t="shared" si="41"/>
        <v/>
      </c>
      <c r="T410" s="59" t="e">
        <f t="shared" si="44"/>
        <v>#VALUE!</v>
      </c>
      <c r="U410" s="59"/>
      <c r="X410" s="60" t="str">
        <f t="shared" si="42"/>
        <v>D</v>
      </c>
    </row>
    <row r="411" spans="2:24" x14ac:dyDescent="0.25">
      <c r="B411" s="54" t="str">
        <f>IFERROR(VLOOKUP(A411,Lookup!A:B,2,0),"")</f>
        <v/>
      </c>
      <c r="C411" s="54" t="str">
        <f>IFERROR(VLOOKUP(A411,Lookup!A:C,3,0),"")</f>
        <v/>
      </c>
      <c r="J411" s="103">
        <f>VLOOKUP(A411&amp;G411,Lookup!J:N,5,0)</f>
        <v>0</v>
      </c>
      <c r="O411" s="57">
        <f>IFERROR(VLOOKUP(A411&amp;G411,Lookup!J:K,2,0),"")</f>
        <v>0</v>
      </c>
      <c r="P411" s="110" t="str">
        <f t="shared" si="43"/>
        <v/>
      </c>
      <c r="R411" s="58" t="str">
        <f t="shared" si="40"/>
        <v/>
      </c>
      <c r="S411" s="58" t="str">
        <f t="shared" si="41"/>
        <v/>
      </c>
      <c r="T411" s="59" t="e">
        <f t="shared" si="44"/>
        <v>#VALUE!</v>
      </c>
      <c r="U411" s="59"/>
      <c r="X411" s="60" t="str">
        <f t="shared" si="42"/>
        <v>D</v>
      </c>
    </row>
    <row r="412" spans="2:24" x14ac:dyDescent="0.25">
      <c r="B412" s="54" t="str">
        <f>IFERROR(VLOOKUP(A412,Lookup!A:B,2,0),"")</f>
        <v/>
      </c>
      <c r="C412" s="54" t="str">
        <f>IFERROR(VLOOKUP(A412,Lookup!A:C,3,0),"")</f>
        <v/>
      </c>
      <c r="J412" s="103">
        <f>VLOOKUP(A412&amp;G412,Lookup!J:N,5,0)</f>
        <v>0</v>
      </c>
      <c r="O412" s="57">
        <f>IFERROR(VLOOKUP(A412&amp;G412,Lookup!J:K,2,0),"")</f>
        <v>0</v>
      </c>
      <c r="P412" s="110" t="str">
        <f t="shared" si="43"/>
        <v/>
      </c>
      <c r="R412" s="58" t="str">
        <f t="shared" si="40"/>
        <v/>
      </c>
      <c r="S412" s="58" t="str">
        <f t="shared" si="41"/>
        <v/>
      </c>
      <c r="T412" s="59" t="e">
        <f t="shared" si="44"/>
        <v>#VALUE!</v>
      </c>
      <c r="U412" s="59"/>
      <c r="X412" s="60" t="str">
        <f t="shared" si="42"/>
        <v>D</v>
      </c>
    </row>
    <row r="413" spans="2:24" x14ac:dyDescent="0.25">
      <c r="B413" s="54" t="str">
        <f>IFERROR(VLOOKUP(A413,Lookup!A:B,2,0),"")</f>
        <v/>
      </c>
      <c r="C413" s="54" t="str">
        <f>IFERROR(VLOOKUP(A413,Lookup!A:C,3,0),"")</f>
        <v/>
      </c>
      <c r="J413" s="103">
        <f>VLOOKUP(A413&amp;G413,Lookup!J:N,5,0)</f>
        <v>0</v>
      </c>
      <c r="O413" s="57">
        <f>IFERROR(VLOOKUP(A413&amp;G413,Lookup!J:K,2,0),"")</f>
        <v>0</v>
      </c>
      <c r="P413" s="110" t="str">
        <f t="shared" si="43"/>
        <v/>
      </c>
      <c r="R413" s="58" t="str">
        <f t="shared" si="40"/>
        <v/>
      </c>
      <c r="S413" s="58" t="str">
        <f t="shared" si="41"/>
        <v/>
      </c>
      <c r="T413" s="59" t="e">
        <f t="shared" si="44"/>
        <v>#VALUE!</v>
      </c>
      <c r="U413" s="59"/>
      <c r="X413" s="60" t="str">
        <f t="shared" si="42"/>
        <v>D</v>
      </c>
    </row>
    <row r="414" spans="2:24" x14ac:dyDescent="0.25">
      <c r="B414" s="54" t="str">
        <f>IFERROR(VLOOKUP(A414,Lookup!A:B,2,0),"")</f>
        <v/>
      </c>
      <c r="C414" s="54" t="str">
        <f>IFERROR(VLOOKUP(A414,Lookup!A:C,3,0),"")</f>
        <v/>
      </c>
      <c r="J414" s="103">
        <f>VLOOKUP(A414&amp;G414,Lookup!J:N,5,0)</f>
        <v>0</v>
      </c>
      <c r="O414" s="57">
        <f>IFERROR(VLOOKUP(A414&amp;G414,Lookup!J:K,2,0),"")</f>
        <v>0</v>
      </c>
      <c r="P414" s="110" t="str">
        <f t="shared" si="43"/>
        <v/>
      </c>
      <c r="R414" s="58" t="str">
        <f t="shared" si="40"/>
        <v/>
      </c>
      <c r="S414" s="58" t="str">
        <f t="shared" si="41"/>
        <v/>
      </c>
      <c r="T414" s="59" t="e">
        <f t="shared" si="44"/>
        <v>#VALUE!</v>
      </c>
      <c r="U414" s="59"/>
      <c r="X414" s="60" t="str">
        <f t="shared" si="42"/>
        <v>D</v>
      </c>
    </row>
    <row r="415" spans="2:24" x14ac:dyDescent="0.25">
      <c r="B415" s="54" t="str">
        <f>IFERROR(VLOOKUP(A415,Lookup!A:B,2,0),"")</f>
        <v/>
      </c>
      <c r="C415" s="54" t="str">
        <f>IFERROR(VLOOKUP(A415,Lookup!A:C,3,0),"")</f>
        <v/>
      </c>
      <c r="J415" s="103">
        <f>VLOOKUP(A415&amp;G415,Lookup!J:N,5,0)</f>
        <v>0</v>
      </c>
      <c r="O415" s="57">
        <f>IFERROR(VLOOKUP(A415&amp;G415,Lookup!J:K,2,0),"")</f>
        <v>0</v>
      </c>
      <c r="P415" s="110" t="str">
        <f t="shared" si="43"/>
        <v/>
      </c>
      <c r="R415" s="58" t="str">
        <f t="shared" si="40"/>
        <v/>
      </c>
      <c r="S415" s="58" t="str">
        <f t="shared" si="41"/>
        <v/>
      </c>
      <c r="T415" s="59" t="e">
        <f t="shared" si="44"/>
        <v>#VALUE!</v>
      </c>
      <c r="U415" s="59"/>
      <c r="X415" s="60" t="str">
        <f t="shared" si="42"/>
        <v>D</v>
      </c>
    </row>
    <row r="416" spans="2:24" x14ac:dyDescent="0.25">
      <c r="B416" s="54" t="str">
        <f>IFERROR(VLOOKUP(A416,Lookup!A:B,2,0),"")</f>
        <v/>
      </c>
      <c r="C416" s="54" t="str">
        <f>IFERROR(VLOOKUP(A416,Lookup!A:C,3,0),"")</f>
        <v/>
      </c>
      <c r="J416" s="103">
        <f>VLOOKUP(A416&amp;G416,Lookup!J:N,5,0)</f>
        <v>0</v>
      </c>
      <c r="O416" s="57">
        <f>IFERROR(VLOOKUP(A416&amp;G416,Lookup!J:K,2,0),"")</f>
        <v>0</v>
      </c>
      <c r="P416" s="110" t="str">
        <f t="shared" si="43"/>
        <v/>
      </c>
      <c r="R416" s="58" t="str">
        <f t="shared" si="40"/>
        <v/>
      </c>
      <c r="S416" s="58" t="str">
        <f t="shared" si="41"/>
        <v/>
      </c>
      <c r="T416" s="59" t="e">
        <f t="shared" si="44"/>
        <v>#VALUE!</v>
      </c>
      <c r="U416" s="59"/>
      <c r="X416" s="60" t="str">
        <f t="shared" si="42"/>
        <v>D</v>
      </c>
    </row>
    <row r="417" spans="2:24" x14ac:dyDescent="0.25">
      <c r="B417" s="54" t="str">
        <f>IFERROR(VLOOKUP(A417,Lookup!A:B,2,0),"")</f>
        <v/>
      </c>
      <c r="C417" s="54" t="str">
        <f>IFERROR(VLOOKUP(A417,Lookup!A:C,3,0),"")</f>
        <v/>
      </c>
      <c r="J417" s="103">
        <f>VLOOKUP(A417&amp;G417,Lookup!J:N,5,0)</f>
        <v>0</v>
      </c>
      <c r="O417" s="57">
        <f>IFERROR(VLOOKUP(A417&amp;G417,Lookup!J:K,2,0),"")</f>
        <v>0</v>
      </c>
      <c r="P417" s="110" t="str">
        <f t="shared" si="43"/>
        <v/>
      </c>
      <c r="R417" s="58" t="str">
        <f t="shared" si="40"/>
        <v/>
      </c>
      <c r="S417" s="58" t="str">
        <f t="shared" si="41"/>
        <v/>
      </c>
      <c r="T417" s="59" t="e">
        <f t="shared" si="44"/>
        <v>#VALUE!</v>
      </c>
      <c r="U417" s="59"/>
      <c r="X417" s="60" t="str">
        <f t="shared" si="42"/>
        <v>D</v>
      </c>
    </row>
    <row r="418" spans="2:24" x14ac:dyDescent="0.25">
      <c r="B418" s="54" t="str">
        <f>IFERROR(VLOOKUP(A418,Lookup!A:B,2,0),"")</f>
        <v/>
      </c>
      <c r="C418" s="54" t="str">
        <f>IFERROR(VLOOKUP(A418,Lookup!A:C,3,0),"")</f>
        <v/>
      </c>
      <c r="J418" s="103">
        <f>VLOOKUP(A418&amp;G418,Lookup!J:N,5,0)</f>
        <v>0</v>
      </c>
      <c r="O418" s="57">
        <f>IFERROR(VLOOKUP(A418&amp;G418,Lookup!J:K,2,0),"")</f>
        <v>0</v>
      </c>
      <c r="P418" s="110" t="str">
        <f t="shared" si="43"/>
        <v/>
      </c>
      <c r="R418" s="58" t="str">
        <f t="shared" si="40"/>
        <v/>
      </c>
      <c r="S418" s="58" t="str">
        <f t="shared" si="41"/>
        <v/>
      </c>
      <c r="T418" s="59" t="e">
        <f t="shared" si="44"/>
        <v>#VALUE!</v>
      </c>
      <c r="U418" s="59"/>
      <c r="X418" s="60" t="str">
        <f t="shared" si="42"/>
        <v>D</v>
      </c>
    </row>
    <row r="419" spans="2:24" x14ac:dyDescent="0.25">
      <c r="B419" s="54" t="str">
        <f>IFERROR(VLOOKUP(A419,Lookup!A:B,2,0),"")</f>
        <v/>
      </c>
      <c r="C419" s="54" t="str">
        <f>IFERROR(VLOOKUP(A419,Lookup!A:C,3,0),"")</f>
        <v/>
      </c>
      <c r="J419" s="103">
        <f>VLOOKUP(A419&amp;G419,Lookup!J:N,5,0)</f>
        <v>0</v>
      </c>
      <c r="O419" s="57">
        <f>IFERROR(VLOOKUP(A419&amp;G419,Lookup!J:K,2,0),"")</f>
        <v>0</v>
      </c>
      <c r="P419" s="110" t="str">
        <f t="shared" si="43"/>
        <v/>
      </c>
      <c r="R419" s="58" t="str">
        <f t="shared" si="40"/>
        <v/>
      </c>
      <c r="S419" s="58" t="str">
        <f t="shared" si="41"/>
        <v/>
      </c>
      <c r="T419" s="59" t="e">
        <f t="shared" si="44"/>
        <v>#VALUE!</v>
      </c>
      <c r="U419" s="59"/>
      <c r="X419" s="60" t="str">
        <f t="shared" si="42"/>
        <v>D</v>
      </c>
    </row>
    <row r="420" spans="2:24" x14ac:dyDescent="0.25">
      <c r="B420" s="54" t="str">
        <f>IFERROR(VLOOKUP(A420,Lookup!A:B,2,0),"")</f>
        <v/>
      </c>
      <c r="C420" s="54" t="str">
        <f>IFERROR(VLOOKUP(A420,Lookup!A:C,3,0),"")</f>
        <v/>
      </c>
      <c r="J420" s="103">
        <f>VLOOKUP(A420&amp;G420,Lookup!J:N,5,0)</f>
        <v>0</v>
      </c>
      <c r="O420" s="57">
        <f>IFERROR(VLOOKUP(A420&amp;G420,Lookup!J:K,2,0),"")</f>
        <v>0</v>
      </c>
      <c r="P420" s="110" t="str">
        <f t="shared" si="43"/>
        <v/>
      </c>
      <c r="R420" s="58" t="str">
        <f t="shared" si="40"/>
        <v/>
      </c>
      <c r="S420" s="58" t="str">
        <f t="shared" si="41"/>
        <v/>
      </c>
      <c r="T420" s="59" t="e">
        <f t="shared" si="44"/>
        <v>#VALUE!</v>
      </c>
      <c r="U420" s="59"/>
      <c r="X420" s="60" t="str">
        <f t="shared" si="42"/>
        <v>D</v>
      </c>
    </row>
    <row r="421" spans="2:24" x14ac:dyDescent="0.25">
      <c r="B421" s="54" t="str">
        <f>IFERROR(VLOOKUP(A421,Lookup!A:B,2,0),"")</f>
        <v/>
      </c>
      <c r="C421" s="54" t="str">
        <f>IFERROR(VLOOKUP(A421,Lookup!A:C,3,0),"")</f>
        <v/>
      </c>
      <c r="J421" s="103">
        <f>VLOOKUP(A421&amp;G421,Lookup!J:N,5,0)</f>
        <v>0</v>
      </c>
      <c r="O421" s="57">
        <f>IFERROR(VLOOKUP(A421&amp;G421,Lookup!J:K,2,0),"")</f>
        <v>0</v>
      </c>
      <c r="P421" s="110" t="str">
        <f t="shared" si="43"/>
        <v/>
      </c>
      <c r="R421" s="58" t="str">
        <f t="shared" si="40"/>
        <v/>
      </c>
      <c r="S421" s="58" t="str">
        <f t="shared" si="41"/>
        <v/>
      </c>
      <c r="T421" s="59" t="e">
        <f t="shared" si="44"/>
        <v>#VALUE!</v>
      </c>
      <c r="U421" s="59"/>
      <c r="X421" s="60" t="str">
        <f t="shared" si="42"/>
        <v>D</v>
      </c>
    </row>
    <row r="422" spans="2:24" x14ac:dyDescent="0.25">
      <c r="B422" s="54" t="str">
        <f>IFERROR(VLOOKUP(A422,Lookup!A:B,2,0),"")</f>
        <v/>
      </c>
      <c r="C422" s="54" t="str">
        <f>IFERROR(VLOOKUP(A422,Lookup!A:C,3,0),"")</f>
        <v/>
      </c>
      <c r="J422" s="103">
        <f>VLOOKUP(A422&amp;G422,Lookup!J:N,5,0)</f>
        <v>0</v>
      </c>
      <c r="O422" s="57">
        <f>IFERROR(VLOOKUP(A422&amp;G422,Lookup!J:K,2,0),"")</f>
        <v>0</v>
      </c>
      <c r="P422" s="110" t="str">
        <f t="shared" si="43"/>
        <v/>
      </c>
      <c r="R422" s="58" t="str">
        <f t="shared" si="40"/>
        <v/>
      </c>
      <c r="S422" s="58" t="str">
        <f t="shared" si="41"/>
        <v/>
      </c>
      <c r="T422" s="59" t="e">
        <f t="shared" si="44"/>
        <v>#VALUE!</v>
      </c>
      <c r="U422" s="59"/>
      <c r="X422" s="60" t="str">
        <f t="shared" si="42"/>
        <v>D</v>
      </c>
    </row>
    <row r="423" spans="2:24" x14ac:dyDescent="0.25">
      <c r="B423" s="54" t="str">
        <f>IFERROR(VLOOKUP(A423,Lookup!A:B,2,0),"")</f>
        <v/>
      </c>
      <c r="C423" s="54" t="str">
        <f>IFERROR(VLOOKUP(A423,Lookup!A:C,3,0),"")</f>
        <v/>
      </c>
      <c r="J423" s="103">
        <f>VLOOKUP(A423&amp;G423,Lookup!J:N,5,0)</f>
        <v>0</v>
      </c>
      <c r="O423" s="57">
        <f>IFERROR(VLOOKUP(A423&amp;G423,Lookup!J:K,2,0),"")</f>
        <v>0</v>
      </c>
      <c r="P423" s="110" t="str">
        <f t="shared" si="43"/>
        <v/>
      </c>
      <c r="R423" s="58" t="str">
        <f t="shared" si="40"/>
        <v/>
      </c>
      <c r="S423" s="58" t="str">
        <f t="shared" si="41"/>
        <v/>
      </c>
      <c r="T423" s="59" t="e">
        <f t="shared" si="44"/>
        <v>#VALUE!</v>
      </c>
      <c r="U423" s="59"/>
      <c r="X423" s="60" t="str">
        <f t="shared" si="42"/>
        <v>D</v>
      </c>
    </row>
    <row r="424" spans="2:24" x14ac:dyDescent="0.25">
      <c r="B424" s="54" t="str">
        <f>IFERROR(VLOOKUP(A424,Lookup!A:B,2,0),"")</f>
        <v/>
      </c>
      <c r="C424" s="54" t="str">
        <f>IFERROR(VLOOKUP(A424,Lookup!A:C,3,0),"")</f>
        <v/>
      </c>
      <c r="J424" s="103">
        <f>VLOOKUP(A424&amp;G424,Lookup!J:N,5,0)</f>
        <v>0</v>
      </c>
      <c r="O424" s="57">
        <f>IFERROR(VLOOKUP(A424&amp;G424,Lookup!J:K,2,0),"")</f>
        <v>0</v>
      </c>
      <c r="P424" s="110" t="str">
        <f t="shared" si="43"/>
        <v/>
      </c>
      <c r="R424" s="58" t="str">
        <f t="shared" si="40"/>
        <v/>
      </c>
      <c r="S424" s="58" t="str">
        <f t="shared" si="41"/>
        <v/>
      </c>
      <c r="T424" s="59" t="e">
        <f t="shared" si="44"/>
        <v>#VALUE!</v>
      </c>
      <c r="U424" s="59"/>
      <c r="X424" s="60" t="str">
        <f t="shared" si="42"/>
        <v>D</v>
      </c>
    </row>
    <row r="425" spans="2:24" x14ac:dyDescent="0.25">
      <c r="B425" s="54" t="str">
        <f>IFERROR(VLOOKUP(A425,Lookup!A:B,2,0),"")</f>
        <v/>
      </c>
      <c r="C425" s="54" t="str">
        <f>IFERROR(VLOOKUP(A425,Lookup!A:C,3,0),"")</f>
        <v/>
      </c>
      <c r="J425" s="103">
        <f>VLOOKUP(A425&amp;G425,Lookup!J:N,5,0)</f>
        <v>0</v>
      </c>
      <c r="O425" s="57">
        <f>IFERROR(VLOOKUP(A425&amp;G425,Lookup!J:K,2,0),"")</f>
        <v>0</v>
      </c>
      <c r="P425" s="110" t="str">
        <f t="shared" si="43"/>
        <v/>
      </c>
      <c r="R425" s="58" t="str">
        <f t="shared" si="40"/>
        <v/>
      </c>
      <c r="S425" s="58" t="str">
        <f t="shared" si="41"/>
        <v/>
      </c>
      <c r="T425" s="59" t="e">
        <f t="shared" si="44"/>
        <v>#VALUE!</v>
      </c>
      <c r="U425" s="59"/>
      <c r="X425" s="60" t="str">
        <f t="shared" si="42"/>
        <v>D</v>
      </c>
    </row>
    <row r="426" spans="2:24" x14ac:dyDescent="0.25">
      <c r="B426" s="54" t="str">
        <f>IFERROR(VLOOKUP(A426,Lookup!A:B,2,0),"")</f>
        <v/>
      </c>
      <c r="C426" s="54" t="str">
        <f>IFERROR(VLOOKUP(A426,Lookup!A:C,3,0),"")</f>
        <v/>
      </c>
      <c r="J426" s="103">
        <f>VLOOKUP(A426&amp;G426,Lookup!J:N,5,0)</f>
        <v>0</v>
      </c>
      <c r="O426" s="57">
        <f>IFERROR(VLOOKUP(A426&amp;G426,Lookup!J:K,2,0),"")</f>
        <v>0</v>
      </c>
      <c r="P426" s="110" t="str">
        <f t="shared" si="43"/>
        <v/>
      </c>
      <c r="R426" s="58" t="str">
        <f t="shared" ref="R426:R489" si="45">IF(OR(EXACT(N426,""), EXACT(L426,"")),"",N426-L426)</f>
        <v/>
      </c>
      <c r="S426" s="58" t="str">
        <f t="shared" ref="S426:S462" si="46">IF(OR(EXACT(Q426,""), EXACT(L426,"")),"",Q426-L426)</f>
        <v/>
      </c>
      <c r="T426" s="59" t="e">
        <f t="shared" si="44"/>
        <v>#VALUE!</v>
      </c>
      <c r="U426" s="59"/>
      <c r="X426" s="60" t="str">
        <f t="shared" si="42"/>
        <v>D</v>
      </c>
    </row>
    <row r="427" spans="2:24" x14ac:dyDescent="0.25">
      <c r="B427" s="54" t="str">
        <f>IFERROR(VLOOKUP(A427,Lookup!A:B,2,0),"")</f>
        <v/>
      </c>
      <c r="C427" s="54" t="str">
        <f>IFERROR(VLOOKUP(A427,Lookup!A:C,3,0),"")</f>
        <v/>
      </c>
      <c r="J427" s="103">
        <f>VLOOKUP(A427&amp;G427,Lookup!J:N,5,0)</f>
        <v>0</v>
      </c>
      <c r="O427" s="57">
        <f>IFERROR(VLOOKUP(A427&amp;G427,Lookup!J:K,2,0),"")</f>
        <v>0</v>
      </c>
      <c r="P427" s="110" t="str">
        <f t="shared" si="43"/>
        <v/>
      </c>
      <c r="R427" s="58" t="str">
        <f t="shared" si="45"/>
        <v/>
      </c>
      <c r="S427" s="58" t="str">
        <f t="shared" si="46"/>
        <v/>
      </c>
      <c r="T427" s="59" t="e">
        <f t="shared" si="44"/>
        <v>#VALUE!</v>
      </c>
      <c r="U427" s="59"/>
      <c r="X427" s="60" t="str">
        <f t="shared" si="42"/>
        <v>D</v>
      </c>
    </row>
    <row r="428" spans="2:24" x14ac:dyDescent="0.25">
      <c r="B428" s="54" t="str">
        <f>IFERROR(VLOOKUP(A428,Lookup!A:B,2,0),"")</f>
        <v/>
      </c>
      <c r="C428" s="54" t="str">
        <f>IFERROR(VLOOKUP(A428,Lookup!A:C,3,0),"")</f>
        <v/>
      </c>
      <c r="J428" s="103">
        <f>VLOOKUP(A428&amp;G428,Lookup!J:N,5,0)</f>
        <v>0</v>
      </c>
      <c r="O428" s="57">
        <f>IFERROR(VLOOKUP(A428&amp;G428,Lookup!J:K,2,0),"")</f>
        <v>0</v>
      </c>
      <c r="P428" s="110" t="str">
        <f t="shared" si="43"/>
        <v/>
      </c>
      <c r="R428" s="58" t="str">
        <f t="shared" si="45"/>
        <v/>
      </c>
      <c r="S428" s="58" t="str">
        <f t="shared" si="46"/>
        <v/>
      </c>
      <c r="T428" s="59" t="e">
        <f t="shared" si="44"/>
        <v>#VALUE!</v>
      </c>
      <c r="U428" s="59"/>
      <c r="X428" s="60" t="str">
        <f t="shared" si="42"/>
        <v>D</v>
      </c>
    </row>
    <row r="429" spans="2:24" x14ac:dyDescent="0.25">
      <c r="B429" s="54" t="str">
        <f>IFERROR(VLOOKUP(A429,Lookup!A:B,2,0),"")</f>
        <v/>
      </c>
      <c r="C429" s="54" t="str">
        <f>IFERROR(VLOOKUP(A429,Lookup!A:C,3,0),"")</f>
        <v/>
      </c>
      <c r="J429" s="103">
        <f>VLOOKUP(A429&amp;G429,Lookup!J:N,5,0)</f>
        <v>0</v>
      </c>
      <c r="O429" s="57">
        <f>IFERROR(VLOOKUP(A429&amp;G429,Lookup!J:K,2,0),"")</f>
        <v>0</v>
      </c>
      <c r="P429" s="110" t="str">
        <f t="shared" si="43"/>
        <v/>
      </c>
      <c r="R429" s="58" t="str">
        <f t="shared" si="45"/>
        <v/>
      </c>
      <c r="S429" s="58" t="str">
        <f t="shared" si="46"/>
        <v/>
      </c>
      <c r="T429" s="59" t="e">
        <f t="shared" si="44"/>
        <v>#VALUE!</v>
      </c>
      <c r="U429" s="59"/>
      <c r="X429" s="60" t="str">
        <f t="shared" si="42"/>
        <v>D</v>
      </c>
    </row>
    <row r="430" spans="2:24" x14ac:dyDescent="0.25">
      <c r="B430" s="54" t="str">
        <f>IFERROR(VLOOKUP(A430,Lookup!A:B,2,0),"")</f>
        <v/>
      </c>
      <c r="C430" s="54" t="str">
        <f>IFERROR(VLOOKUP(A430,Lookup!A:C,3,0),"")</f>
        <v/>
      </c>
      <c r="J430" s="103">
        <f>VLOOKUP(A430&amp;G430,Lookup!J:N,5,0)</f>
        <v>0</v>
      </c>
      <c r="O430" s="57">
        <f>IFERROR(VLOOKUP(A430&amp;G430,Lookup!J:K,2,0),"")</f>
        <v>0</v>
      </c>
      <c r="P430" s="110" t="str">
        <f t="shared" si="43"/>
        <v/>
      </c>
      <c r="R430" s="58" t="str">
        <f t="shared" si="45"/>
        <v/>
      </c>
      <c r="S430" s="58" t="str">
        <f t="shared" si="46"/>
        <v/>
      </c>
      <c r="T430" s="59" t="e">
        <f t="shared" si="44"/>
        <v>#VALUE!</v>
      </c>
      <c r="U430" s="59"/>
      <c r="X430" s="60" t="str">
        <f t="shared" ref="X430:X493" si="47">IF(I430="SET","A",IF(I430="FREQ","C",IF(I430="","D","B")))</f>
        <v>D</v>
      </c>
    </row>
    <row r="431" spans="2:24" x14ac:dyDescent="0.25">
      <c r="B431" s="54" t="str">
        <f>IFERROR(VLOOKUP(A431,Lookup!A:B,2,0),"")</f>
        <v/>
      </c>
      <c r="C431" s="54" t="str">
        <f>IFERROR(VLOOKUP(A431,Lookup!A:C,3,0),"")</f>
        <v/>
      </c>
      <c r="J431" s="103">
        <f>VLOOKUP(A431&amp;G431,Lookup!J:N,5,0)</f>
        <v>0</v>
      </c>
      <c r="O431" s="57">
        <f>IFERROR(VLOOKUP(A431&amp;G431,Lookup!J:K,2,0),"")</f>
        <v>0</v>
      </c>
      <c r="P431" s="110" t="str">
        <f t="shared" si="43"/>
        <v/>
      </c>
      <c r="R431" s="58" t="str">
        <f t="shared" si="45"/>
        <v/>
      </c>
      <c r="S431" s="58" t="str">
        <f t="shared" si="46"/>
        <v/>
      </c>
      <c r="T431" s="59" t="e">
        <f t="shared" si="44"/>
        <v>#VALUE!</v>
      </c>
      <c r="U431" s="59"/>
      <c r="X431" s="60" t="str">
        <f t="shared" si="47"/>
        <v>D</v>
      </c>
    </row>
    <row r="432" spans="2:24" x14ac:dyDescent="0.25">
      <c r="B432" s="54" t="str">
        <f>IFERROR(VLOOKUP(A432,Lookup!A:B,2,0),"")</f>
        <v/>
      </c>
      <c r="C432" s="54" t="str">
        <f>IFERROR(VLOOKUP(A432,Lookup!A:C,3,0),"")</f>
        <v/>
      </c>
      <c r="J432" s="103">
        <f>VLOOKUP(A432&amp;G432,Lookup!J:N,5,0)</f>
        <v>0</v>
      </c>
      <c r="O432" s="57">
        <f>IFERROR(VLOOKUP(A432&amp;G432,Lookup!J:K,2,0),"")</f>
        <v>0</v>
      </c>
      <c r="P432" s="110" t="str">
        <f t="shared" si="43"/>
        <v/>
      </c>
      <c r="R432" s="58" t="str">
        <f t="shared" si="45"/>
        <v/>
      </c>
      <c r="S432" s="58" t="str">
        <f t="shared" si="46"/>
        <v/>
      </c>
      <c r="T432" s="59" t="e">
        <f t="shared" si="44"/>
        <v>#VALUE!</v>
      </c>
      <c r="U432" s="59"/>
      <c r="X432" s="60" t="str">
        <f t="shared" si="47"/>
        <v>D</v>
      </c>
    </row>
    <row r="433" spans="2:24" x14ac:dyDescent="0.25">
      <c r="B433" s="54" t="str">
        <f>IFERROR(VLOOKUP(A433,Lookup!A:B,2,0),"")</f>
        <v/>
      </c>
      <c r="C433" s="54" t="str">
        <f>IFERROR(VLOOKUP(A433,Lookup!A:C,3,0),"")</f>
        <v/>
      </c>
      <c r="J433" s="103">
        <f>VLOOKUP(A433&amp;G433,Lookup!J:N,5,0)</f>
        <v>0</v>
      </c>
      <c r="O433" s="57">
        <f>IFERROR(VLOOKUP(A433&amp;G433,Lookup!J:K,2,0),"")</f>
        <v>0</v>
      </c>
      <c r="P433" s="110" t="str">
        <f t="shared" si="43"/>
        <v/>
      </c>
      <c r="R433" s="58" t="str">
        <f t="shared" si="45"/>
        <v/>
      </c>
      <c r="S433" s="58" t="str">
        <f t="shared" si="46"/>
        <v/>
      </c>
      <c r="T433" s="59" t="e">
        <f t="shared" si="44"/>
        <v>#VALUE!</v>
      </c>
      <c r="U433" s="59"/>
      <c r="X433" s="60" t="str">
        <f t="shared" si="47"/>
        <v>D</v>
      </c>
    </row>
    <row r="434" spans="2:24" x14ac:dyDescent="0.25">
      <c r="B434" s="54" t="str">
        <f>IFERROR(VLOOKUP(A434,Lookup!A:B,2,0),"")</f>
        <v/>
      </c>
      <c r="C434" s="54" t="str">
        <f>IFERROR(VLOOKUP(A434,Lookup!A:C,3,0),"")</f>
        <v/>
      </c>
      <c r="J434" s="103">
        <f>VLOOKUP(A434&amp;G434,Lookup!J:N,5,0)</f>
        <v>0</v>
      </c>
      <c r="O434" s="57">
        <f>IFERROR(VLOOKUP(A434&amp;G434,Lookup!J:K,2,0),"")</f>
        <v>0</v>
      </c>
      <c r="P434" s="110" t="str">
        <f t="shared" si="43"/>
        <v/>
      </c>
      <c r="R434" s="58" t="str">
        <f t="shared" si="45"/>
        <v/>
      </c>
      <c r="S434" s="58" t="str">
        <f t="shared" si="46"/>
        <v/>
      </c>
      <c r="T434" s="59" t="e">
        <f t="shared" si="44"/>
        <v>#VALUE!</v>
      </c>
      <c r="U434" s="59"/>
      <c r="X434" s="60" t="str">
        <f t="shared" si="47"/>
        <v>D</v>
      </c>
    </row>
    <row r="435" spans="2:24" x14ac:dyDescent="0.25">
      <c r="B435" s="54" t="str">
        <f>IFERROR(VLOOKUP(A435,Lookup!A:B,2,0),"")</f>
        <v/>
      </c>
      <c r="C435" s="54" t="str">
        <f>IFERROR(VLOOKUP(A435,Lookup!A:C,3,0),"")</f>
        <v/>
      </c>
      <c r="J435" s="103">
        <f>VLOOKUP(A435&amp;G435,Lookup!J:N,5,0)</f>
        <v>0</v>
      </c>
      <c r="O435" s="57">
        <f>IFERROR(VLOOKUP(A435&amp;G435,Lookup!J:K,2,0),"")</f>
        <v>0</v>
      </c>
      <c r="P435" s="110" t="str">
        <f t="shared" si="43"/>
        <v/>
      </c>
      <c r="R435" s="58" t="str">
        <f t="shared" si="45"/>
        <v/>
      </c>
      <c r="S435" s="58" t="str">
        <f t="shared" si="46"/>
        <v/>
      </c>
      <c r="T435" s="59" t="e">
        <f t="shared" si="44"/>
        <v>#VALUE!</v>
      </c>
      <c r="U435" s="59"/>
      <c r="X435" s="60" t="str">
        <f t="shared" si="47"/>
        <v>D</v>
      </c>
    </row>
    <row r="436" spans="2:24" x14ac:dyDescent="0.25">
      <c r="B436" s="54" t="str">
        <f>IFERROR(VLOOKUP(A436,Lookup!A:B,2,0),"")</f>
        <v/>
      </c>
      <c r="C436" s="54" t="str">
        <f>IFERROR(VLOOKUP(A436,Lookup!A:C,3,0),"")</f>
        <v/>
      </c>
      <c r="J436" s="103">
        <f>VLOOKUP(A436&amp;G436,Lookup!J:N,5,0)</f>
        <v>0</v>
      </c>
      <c r="O436" s="57">
        <f>IFERROR(VLOOKUP(A436&amp;G436,Lookup!J:K,2,0),"")</f>
        <v>0</v>
      </c>
      <c r="P436" s="110" t="str">
        <f t="shared" si="43"/>
        <v/>
      </c>
      <c r="R436" s="58" t="str">
        <f t="shared" si="45"/>
        <v/>
      </c>
      <c r="S436" s="58" t="str">
        <f t="shared" si="46"/>
        <v/>
      </c>
      <c r="T436" s="59" t="e">
        <f t="shared" si="44"/>
        <v>#VALUE!</v>
      </c>
      <c r="U436" s="59"/>
      <c r="X436" s="60" t="str">
        <f t="shared" si="47"/>
        <v>D</v>
      </c>
    </row>
    <row r="437" spans="2:24" x14ac:dyDescent="0.25">
      <c r="B437" s="54" t="str">
        <f>IFERROR(VLOOKUP(A437,Lookup!A:B,2,0),"")</f>
        <v/>
      </c>
      <c r="C437" s="54" t="str">
        <f>IFERROR(VLOOKUP(A437,Lookup!A:C,3,0),"")</f>
        <v/>
      </c>
      <c r="J437" s="103">
        <f>VLOOKUP(A437&amp;G437,Lookup!J:N,5,0)</f>
        <v>0</v>
      </c>
      <c r="O437" s="57">
        <f>IFERROR(VLOOKUP(A437&amp;G437,Lookup!J:K,2,0),"")</f>
        <v>0</v>
      </c>
      <c r="P437" s="110" t="str">
        <f t="shared" si="43"/>
        <v/>
      </c>
      <c r="R437" s="58" t="str">
        <f t="shared" si="45"/>
        <v/>
      </c>
      <c r="S437" s="58" t="str">
        <f t="shared" si="46"/>
        <v/>
      </c>
      <c r="T437" s="59" t="e">
        <f t="shared" si="44"/>
        <v>#VALUE!</v>
      </c>
      <c r="U437" s="59"/>
      <c r="X437" s="60" t="str">
        <f t="shared" si="47"/>
        <v>D</v>
      </c>
    </row>
    <row r="438" spans="2:24" x14ac:dyDescent="0.25">
      <c r="B438" s="54" t="str">
        <f>IFERROR(VLOOKUP(A438,Lookup!A:B,2,0),"")</f>
        <v/>
      </c>
      <c r="C438" s="54" t="str">
        <f>IFERROR(VLOOKUP(A438,Lookup!A:C,3,0),"")</f>
        <v/>
      </c>
      <c r="J438" s="103">
        <f>VLOOKUP(A438&amp;G438,Lookup!J:N,5,0)</f>
        <v>0</v>
      </c>
      <c r="O438" s="57">
        <f>IFERROR(VLOOKUP(A438&amp;G438,Lookup!J:K,2,0),"")</f>
        <v>0</v>
      </c>
      <c r="P438" s="110" t="str">
        <f t="shared" si="43"/>
        <v/>
      </c>
      <c r="R438" s="58" t="str">
        <f t="shared" si="45"/>
        <v/>
      </c>
      <c r="S438" s="58" t="str">
        <f t="shared" si="46"/>
        <v/>
      </c>
      <c r="T438" s="59" t="e">
        <f t="shared" si="44"/>
        <v>#VALUE!</v>
      </c>
      <c r="U438" s="59"/>
      <c r="X438" s="60" t="str">
        <f t="shared" si="47"/>
        <v>D</v>
      </c>
    </row>
    <row r="439" spans="2:24" x14ac:dyDescent="0.25">
      <c r="B439" s="54" t="str">
        <f>IFERROR(VLOOKUP(A439,Lookup!A:B,2,0),"")</f>
        <v/>
      </c>
      <c r="C439" s="54" t="str">
        <f>IFERROR(VLOOKUP(A439,Lookup!A:C,3,0),"")</f>
        <v/>
      </c>
      <c r="J439" s="103">
        <f>VLOOKUP(A439&amp;G439,Lookup!J:N,5,0)</f>
        <v>0</v>
      </c>
      <c r="O439" s="57">
        <f>IFERROR(VLOOKUP(A439&amp;G439,Lookup!J:K,2,0),"")</f>
        <v>0</v>
      </c>
      <c r="P439" s="110" t="str">
        <f t="shared" si="43"/>
        <v/>
      </c>
      <c r="R439" s="58" t="str">
        <f t="shared" si="45"/>
        <v/>
      </c>
      <c r="S439" s="58" t="str">
        <f t="shared" si="46"/>
        <v/>
      </c>
      <c r="T439" s="59" t="e">
        <f t="shared" si="44"/>
        <v>#VALUE!</v>
      </c>
      <c r="U439" s="59"/>
      <c r="X439" s="60" t="str">
        <f t="shared" si="47"/>
        <v>D</v>
      </c>
    </row>
    <row r="440" spans="2:24" x14ac:dyDescent="0.25">
      <c r="B440" s="54" t="str">
        <f>IFERROR(VLOOKUP(A440,Lookup!A:B,2,0),"")</f>
        <v/>
      </c>
      <c r="C440" s="54" t="str">
        <f>IFERROR(VLOOKUP(A440,Lookup!A:C,3,0),"")</f>
        <v/>
      </c>
      <c r="J440" s="103">
        <f>VLOOKUP(A440&amp;G440,Lookup!J:N,5,0)</f>
        <v>0</v>
      </c>
      <c r="O440" s="57">
        <f>IFERROR(VLOOKUP(A440&amp;G440,Lookup!J:K,2,0),"")</f>
        <v>0</v>
      </c>
      <c r="P440" s="110" t="str">
        <f t="shared" si="43"/>
        <v/>
      </c>
      <c r="R440" s="58" t="str">
        <f t="shared" si="45"/>
        <v/>
      </c>
      <c r="S440" s="58" t="str">
        <f t="shared" si="46"/>
        <v/>
      </c>
      <c r="T440" s="59" t="e">
        <f t="shared" si="44"/>
        <v>#VALUE!</v>
      </c>
      <c r="U440" s="59"/>
      <c r="X440" s="60" t="str">
        <f t="shared" si="47"/>
        <v>D</v>
      </c>
    </row>
    <row r="441" spans="2:24" x14ac:dyDescent="0.25">
      <c r="B441" s="54" t="str">
        <f>IFERROR(VLOOKUP(A441,Lookup!A:B,2,0),"")</f>
        <v/>
      </c>
      <c r="C441" s="54" t="str">
        <f>IFERROR(VLOOKUP(A441,Lookup!A:C,3,0),"")</f>
        <v/>
      </c>
      <c r="J441" s="103">
        <f>VLOOKUP(A441&amp;G441,Lookup!J:N,5,0)</f>
        <v>0</v>
      </c>
      <c r="O441" s="57">
        <f>IFERROR(VLOOKUP(A441&amp;G441,Lookup!J:K,2,0),"")</f>
        <v>0</v>
      </c>
      <c r="P441" s="110" t="str">
        <f t="shared" si="43"/>
        <v/>
      </c>
      <c r="R441" s="58" t="str">
        <f t="shared" si="45"/>
        <v/>
      </c>
      <c r="S441" s="58" t="str">
        <f t="shared" si="46"/>
        <v/>
      </c>
      <c r="T441" s="59" t="e">
        <f t="shared" si="44"/>
        <v>#VALUE!</v>
      </c>
      <c r="U441" s="59"/>
      <c r="X441" s="60" t="str">
        <f t="shared" si="47"/>
        <v>D</v>
      </c>
    </row>
    <row r="442" spans="2:24" x14ac:dyDescent="0.25">
      <c r="B442" s="54" t="str">
        <f>IFERROR(VLOOKUP(A442,Lookup!A:B,2,0),"")</f>
        <v/>
      </c>
      <c r="C442" s="54" t="str">
        <f>IFERROR(VLOOKUP(A442,Lookup!A:C,3,0),"")</f>
        <v/>
      </c>
      <c r="J442" s="103">
        <f>VLOOKUP(A442&amp;G442,Lookup!J:N,5,0)</f>
        <v>0</v>
      </c>
      <c r="O442" s="57">
        <f>IFERROR(VLOOKUP(A442&amp;G442,Lookup!J:K,2,0),"")</f>
        <v>0</v>
      </c>
      <c r="P442" s="110" t="str">
        <f t="shared" si="43"/>
        <v/>
      </c>
      <c r="R442" s="58" t="str">
        <f t="shared" si="45"/>
        <v/>
      </c>
      <c r="S442" s="58" t="str">
        <f t="shared" si="46"/>
        <v/>
      </c>
      <c r="T442" s="59" t="e">
        <f t="shared" si="44"/>
        <v>#VALUE!</v>
      </c>
      <c r="U442" s="59"/>
      <c r="X442" s="60" t="str">
        <f t="shared" si="47"/>
        <v>D</v>
      </c>
    </row>
    <row r="443" spans="2:24" x14ac:dyDescent="0.25">
      <c r="B443" s="54" t="str">
        <f>IFERROR(VLOOKUP(A443,Lookup!A:B,2,0),"")</f>
        <v/>
      </c>
      <c r="C443" s="54" t="str">
        <f>IFERROR(VLOOKUP(A443,Lookup!A:C,3,0),"")</f>
        <v/>
      </c>
      <c r="J443" s="103">
        <f>VLOOKUP(A443&amp;G443,Lookup!J:N,5,0)</f>
        <v>0</v>
      </c>
      <c r="O443" s="57">
        <f>IFERROR(VLOOKUP(A443&amp;G443,Lookup!J:K,2,0),"")</f>
        <v>0</v>
      </c>
      <c r="P443" s="110" t="str">
        <f t="shared" si="43"/>
        <v/>
      </c>
      <c r="R443" s="58" t="str">
        <f t="shared" si="45"/>
        <v/>
      </c>
      <c r="S443" s="58" t="str">
        <f t="shared" si="46"/>
        <v/>
      </c>
      <c r="T443" s="59" t="e">
        <f t="shared" si="44"/>
        <v>#VALUE!</v>
      </c>
      <c r="U443" s="59"/>
      <c r="X443" s="60" t="str">
        <f t="shared" si="47"/>
        <v>D</v>
      </c>
    </row>
    <row r="444" spans="2:24" x14ac:dyDescent="0.25">
      <c r="B444" s="54" t="str">
        <f>IFERROR(VLOOKUP(A444,Lookup!A:B,2,0),"")</f>
        <v/>
      </c>
      <c r="C444" s="54" t="str">
        <f>IFERROR(VLOOKUP(A444,Lookup!A:C,3,0),"")</f>
        <v/>
      </c>
      <c r="J444" s="103">
        <f>VLOOKUP(A444&amp;G444,Lookup!J:N,5,0)</f>
        <v>0</v>
      </c>
      <c r="O444" s="57">
        <f>IFERROR(VLOOKUP(A444&amp;G444,Lookup!J:K,2,0),"")</f>
        <v>0</v>
      </c>
      <c r="P444" s="110" t="str">
        <f t="shared" si="43"/>
        <v/>
      </c>
      <c r="R444" s="58" t="str">
        <f t="shared" si="45"/>
        <v/>
      </c>
      <c r="S444" s="58" t="str">
        <f t="shared" si="46"/>
        <v/>
      </c>
      <c r="T444" s="59" t="e">
        <f t="shared" si="44"/>
        <v>#VALUE!</v>
      </c>
      <c r="U444" s="59"/>
      <c r="X444" s="60" t="str">
        <f t="shared" si="47"/>
        <v>D</v>
      </c>
    </row>
    <row r="445" spans="2:24" x14ac:dyDescent="0.25">
      <c r="B445" s="54" t="str">
        <f>IFERROR(VLOOKUP(A445,Lookup!A:B,2,0),"")</f>
        <v/>
      </c>
      <c r="C445" s="54" t="str">
        <f>IFERROR(VLOOKUP(A445,Lookup!A:C,3,0),"")</f>
        <v/>
      </c>
      <c r="J445" s="103">
        <f>VLOOKUP(A445&amp;G445,Lookup!J:N,5,0)</f>
        <v>0</v>
      </c>
      <c r="O445" s="57">
        <f>IFERROR(VLOOKUP(A445&amp;G445,Lookup!J:K,2,0),"")</f>
        <v>0</v>
      </c>
      <c r="P445" s="110" t="str">
        <f t="shared" si="43"/>
        <v/>
      </c>
      <c r="R445" s="58" t="str">
        <f t="shared" si="45"/>
        <v/>
      </c>
      <c r="S445" s="58" t="str">
        <f t="shared" si="46"/>
        <v/>
      </c>
      <c r="T445" s="59" t="e">
        <f t="shared" si="44"/>
        <v>#VALUE!</v>
      </c>
      <c r="U445" s="59"/>
      <c r="X445" s="60" t="str">
        <f t="shared" si="47"/>
        <v>D</v>
      </c>
    </row>
    <row r="446" spans="2:24" x14ac:dyDescent="0.25">
      <c r="B446" s="54" t="str">
        <f>IFERROR(VLOOKUP(A446,Lookup!A:B,2,0),"")</f>
        <v/>
      </c>
      <c r="C446" s="54" t="str">
        <f>IFERROR(VLOOKUP(A446,Lookup!A:C,3,0),"")</f>
        <v/>
      </c>
      <c r="J446" s="103">
        <f>VLOOKUP(A446&amp;G446,Lookup!J:N,5,0)</f>
        <v>0</v>
      </c>
      <c r="O446" s="57">
        <f>IFERROR(VLOOKUP(A446&amp;G446,Lookup!J:K,2,0),"")</f>
        <v>0</v>
      </c>
      <c r="P446" s="110" t="str">
        <f t="shared" si="43"/>
        <v/>
      </c>
      <c r="R446" s="58" t="str">
        <f t="shared" si="45"/>
        <v/>
      </c>
      <c r="S446" s="58" t="str">
        <f t="shared" si="46"/>
        <v/>
      </c>
      <c r="T446" s="59" t="e">
        <f t="shared" si="44"/>
        <v>#VALUE!</v>
      </c>
      <c r="U446" s="59"/>
      <c r="X446" s="60" t="str">
        <f t="shared" si="47"/>
        <v>D</v>
      </c>
    </row>
    <row r="447" spans="2:24" x14ac:dyDescent="0.25">
      <c r="B447" s="54" t="str">
        <f>IFERROR(VLOOKUP(A447,Lookup!A:B,2,0),"")</f>
        <v/>
      </c>
      <c r="C447" s="54" t="str">
        <f>IFERROR(VLOOKUP(A447,Lookup!A:C,3,0),"")</f>
        <v/>
      </c>
      <c r="J447" s="103">
        <f>VLOOKUP(A447&amp;G447,Lookup!J:N,5,0)</f>
        <v>0</v>
      </c>
      <c r="O447" s="57">
        <f>IFERROR(VLOOKUP(A447&amp;G447,Lookup!J:K,2,0),"")</f>
        <v>0</v>
      </c>
      <c r="P447" s="110" t="str">
        <f t="shared" si="43"/>
        <v/>
      </c>
      <c r="R447" s="58" t="str">
        <f t="shared" si="45"/>
        <v/>
      </c>
      <c r="S447" s="58" t="str">
        <f t="shared" si="46"/>
        <v/>
      </c>
      <c r="T447" s="59" t="e">
        <f t="shared" si="44"/>
        <v>#VALUE!</v>
      </c>
      <c r="U447" s="59"/>
      <c r="X447" s="60" t="str">
        <f t="shared" si="47"/>
        <v>D</v>
      </c>
    </row>
    <row r="448" spans="2:24" x14ac:dyDescent="0.25">
      <c r="B448" s="54" t="str">
        <f>IFERROR(VLOOKUP(A448,Lookup!A:B,2,0),"")</f>
        <v/>
      </c>
      <c r="C448" s="54" t="str">
        <f>IFERROR(VLOOKUP(A448,Lookup!A:C,3,0),"")</f>
        <v/>
      </c>
      <c r="J448" s="103">
        <f>VLOOKUP(A448&amp;G448,Lookup!J:N,5,0)</f>
        <v>0</v>
      </c>
      <c r="O448" s="57">
        <f>IFERROR(VLOOKUP(A448&amp;G448,Lookup!J:K,2,0),"")</f>
        <v>0</v>
      </c>
      <c r="P448" s="110" t="str">
        <f t="shared" si="43"/>
        <v/>
      </c>
      <c r="R448" s="58" t="str">
        <f t="shared" si="45"/>
        <v/>
      </c>
      <c r="S448" s="58" t="str">
        <f t="shared" si="46"/>
        <v/>
      </c>
      <c r="T448" s="59" t="e">
        <f t="shared" si="44"/>
        <v>#VALUE!</v>
      </c>
      <c r="U448" s="59"/>
      <c r="X448" s="60" t="str">
        <f t="shared" si="47"/>
        <v>D</v>
      </c>
    </row>
    <row r="449" spans="2:24" x14ac:dyDescent="0.25">
      <c r="B449" s="54" t="str">
        <f>IFERROR(VLOOKUP(A449,Lookup!A:B,2,0),"")</f>
        <v/>
      </c>
      <c r="C449" s="54" t="str">
        <f>IFERROR(VLOOKUP(A449,Lookup!A:C,3,0),"")</f>
        <v/>
      </c>
      <c r="J449" s="103">
        <f>VLOOKUP(A449&amp;G449,Lookup!J:N,5,0)</f>
        <v>0</v>
      </c>
      <c r="O449" s="57">
        <f>IFERROR(VLOOKUP(A449&amp;G449,Lookup!J:K,2,0),"")</f>
        <v>0</v>
      </c>
      <c r="P449" s="110" t="str">
        <f t="shared" si="43"/>
        <v/>
      </c>
      <c r="R449" s="58" t="str">
        <f t="shared" si="45"/>
        <v/>
      </c>
      <c r="S449" s="58" t="str">
        <f t="shared" si="46"/>
        <v/>
      </c>
      <c r="T449" s="59" t="e">
        <f t="shared" si="44"/>
        <v>#VALUE!</v>
      </c>
      <c r="U449" s="59"/>
      <c r="X449" s="60" t="str">
        <f t="shared" si="47"/>
        <v>D</v>
      </c>
    </row>
    <row r="450" spans="2:24" x14ac:dyDescent="0.25">
      <c r="B450" s="54" t="str">
        <f>IFERROR(VLOOKUP(A450,Lookup!A:B,2,0),"")</f>
        <v/>
      </c>
      <c r="C450" s="54" t="str">
        <f>IFERROR(VLOOKUP(A450,Lookup!A:C,3,0),"")</f>
        <v/>
      </c>
      <c r="J450" s="103">
        <f>VLOOKUP(A450&amp;G450,Lookup!J:N,5,0)</f>
        <v>0</v>
      </c>
      <c r="O450" s="57">
        <f>IFERROR(VLOOKUP(A450&amp;G450,Lookup!J:K,2,0),"")</f>
        <v>0</v>
      </c>
      <c r="P450" s="110" t="str">
        <f t="shared" si="43"/>
        <v/>
      </c>
      <c r="R450" s="58" t="str">
        <f t="shared" si="45"/>
        <v/>
      </c>
      <c r="S450" s="58" t="str">
        <f t="shared" si="46"/>
        <v/>
      </c>
      <c r="T450" s="59" t="e">
        <f t="shared" si="44"/>
        <v>#VALUE!</v>
      </c>
      <c r="U450" s="59"/>
      <c r="X450" s="60" t="str">
        <f t="shared" si="47"/>
        <v>D</v>
      </c>
    </row>
    <row r="451" spans="2:24" x14ac:dyDescent="0.25">
      <c r="B451" s="54" t="str">
        <f>IFERROR(VLOOKUP(A451,Lookup!A:B,2,0),"")</f>
        <v/>
      </c>
      <c r="C451" s="54" t="str">
        <f>IFERROR(VLOOKUP(A451,Lookup!A:C,3,0),"")</f>
        <v/>
      </c>
      <c r="J451" s="103">
        <f>VLOOKUP(A451&amp;G451,Lookup!J:N,5,0)</f>
        <v>0</v>
      </c>
      <c r="O451" s="57">
        <f>IFERROR(VLOOKUP(A451&amp;G451,Lookup!J:K,2,0),"")</f>
        <v>0</v>
      </c>
      <c r="P451" s="110" t="str">
        <f t="shared" si="43"/>
        <v/>
      </c>
      <c r="R451" s="58" t="str">
        <f t="shared" si="45"/>
        <v/>
      </c>
      <c r="S451" s="58" t="str">
        <f t="shared" si="46"/>
        <v/>
      </c>
      <c r="T451" s="59" t="e">
        <f t="shared" si="44"/>
        <v>#VALUE!</v>
      </c>
      <c r="U451" s="59"/>
      <c r="X451" s="60" t="str">
        <f t="shared" si="47"/>
        <v>D</v>
      </c>
    </row>
    <row r="452" spans="2:24" x14ac:dyDescent="0.25">
      <c r="B452" s="54" t="str">
        <f>IFERROR(VLOOKUP(A452,Lookup!A:B,2,0),"")</f>
        <v/>
      </c>
      <c r="C452" s="54" t="str">
        <f>IFERROR(VLOOKUP(A452,Lookup!A:C,3,0),"")</f>
        <v/>
      </c>
      <c r="J452" s="103">
        <f>VLOOKUP(A452&amp;G452,Lookup!J:N,5,0)</f>
        <v>0</v>
      </c>
      <c r="O452" s="57">
        <f>IFERROR(VLOOKUP(A452&amp;G452,Lookup!J:K,2,0),"")</f>
        <v>0</v>
      </c>
      <c r="P452" s="110" t="str">
        <f t="shared" ref="P452:P515" si="48">IF(N452="","",N452+O452)</f>
        <v/>
      </c>
      <c r="R452" s="58" t="str">
        <f t="shared" si="45"/>
        <v/>
      </c>
      <c r="S452" s="58" t="str">
        <f t="shared" si="46"/>
        <v/>
      </c>
      <c r="T452" s="59" t="e">
        <f t="shared" si="44"/>
        <v>#VALUE!</v>
      </c>
      <c r="U452" s="59"/>
      <c r="X452" s="60" t="str">
        <f t="shared" si="47"/>
        <v>D</v>
      </c>
    </row>
    <row r="453" spans="2:24" x14ac:dyDescent="0.25">
      <c r="B453" s="54" t="str">
        <f>IFERROR(VLOOKUP(A453,Lookup!A:B,2,0),"")</f>
        <v/>
      </c>
      <c r="C453" s="54" t="str">
        <f>IFERROR(VLOOKUP(A453,Lookup!A:C,3,0),"")</f>
        <v/>
      </c>
      <c r="J453" s="103">
        <f>VLOOKUP(A453&amp;G453,Lookup!J:N,5,0)</f>
        <v>0</v>
      </c>
      <c r="O453" s="57">
        <f>IFERROR(VLOOKUP(A453&amp;G453,Lookup!J:K,2,0),"")</f>
        <v>0</v>
      </c>
      <c r="P453" s="110" t="str">
        <f t="shared" si="48"/>
        <v/>
      </c>
      <c r="R453" s="58" t="str">
        <f t="shared" si="45"/>
        <v/>
      </c>
      <c r="S453" s="58" t="str">
        <f t="shared" si="46"/>
        <v/>
      </c>
      <c r="T453" s="59" t="e">
        <f t="shared" si="44"/>
        <v>#VALUE!</v>
      </c>
      <c r="U453" s="59"/>
      <c r="X453" s="60" t="str">
        <f t="shared" si="47"/>
        <v>D</v>
      </c>
    </row>
    <row r="454" spans="2:24" x14ac:dyDescent="0.25">
      <c r="B454" s="54" t="str">
        <f>IFERROR(VLOOKUP(A454,Lookup!A:B,2,0),"")</f>
        <v/>
      </c>
      <c r="C454" s="54" t="str">
        <f>IFERROR(VLOOKUP(A454,Lookup!A:C,3,0),"")</f>
        <v/>
      </c>
      <c r="J454" s="103">
        <f>VLOOKUP(A454&amp;G454,Lookup!J:N,5,0)</f>
        <v>0</v>
      </c>
      <c r="O454" s="57">
        <f>IFERROR(VLOOKUP(A454&amp;G454,Lookup!J:K,2,0),"")</f>
        <v>0</v>
      </c>
      <c r="P454" s="110" t="str">
        <f t="shared" si="48"/>
        <v/>
      </c>
      <c r="R454" s="58" t="str">
        <f t="shared" si="45"/>
        <v/>
      </c>
      <c r="S454" s="58" t="str">
        <f t="shared" si="46"/>
        <v/>
      </c>
      <c r="T454" s="59" t="e">
        <f t="shared" si="44"/>
        <v>#VALUE!</v>
      </c>
      <c r="U454" s="59"/>
      <c r="X454" s="60" t="str">
        <f t="shared" si="47"/>
        <v>D</v>
      </c>
    </row>
    <row r="455" spans="2:24" x14ac:dyDescent="0.25">
      <c r="B455" s="54" t="str">
        <f>IFERROR(VLOOKUP(A455,Lookup!A:B,2,0),"")</f>
        <v/>
      </c>
      <c r="C455" s="54" t="str">
        <f>IFERROR(VLOOKUP(A455,Lookup!A:C,3,0),"")</f>
        <v/>
      </c>
      <c r="J455" s="103">
        <f>VLOOKUP(A455&amp;G455,Lookup!J:N,5,0)</f>
        <v>0</v>
      </c>
      <c r="O455" s="57">
        <f>IFERROR(VLOOKUP(A455&amp;G455,Lookup!J:K,2,0),"")</f>
        <v>0</v>
      </c>
      <c r="P455" s="110" t="str">
        <f t="shared" si="48"/>
        <v/>
      </c>
      <c r="R455" s="58" t="str">
        <f t="shared" si="45"/>
        <v/>
      </c>
      <c r="S455" s="58" t="str">
        <f t="shared" si="46"/>
        <v/>
      </c>
      <c r="T455" s="59" t="e">
        <f t="shared" si="44"/>
        <v>#VALUE!</v>
      </c>
      <c r="U455" s="59"/>
      <c r="X455" s="60" t="str">
        <f t="shared" si="47"/>
        <v>D</v>
      </c>
    </row>
    <row r="456" spans="2:24" x14ac:dyDescent="0.25">
      <c r="B456" s="54" t="str">
        <f>IFERROR(VLOOKUP(A456,Lookup!A:B,2,0),"")</f>
        <v/>
      </c>
      <c r="C456" s="54" t="str">
        <f>IFERROR(VLOOKUP(A456,Lookup!A:C,3,0),"")</f>
        <v/>
      </c>
      <c r="J456" s="103">
        <f>VLOOKUP(A456&amp;G456,Lookup!J:N,5,0)</f>
        <v>0</v>
      </c>
      <c r="O456" s="57">
        <f>IFERROR(VLOOKUP(A456&amp;G456,Lookup!J:K,2,0),"")</f>
        <v>0</v>
      </c>
      <c r="P456" s="110" t="str">
        <f t="shared" si="48"/>
        <v/>
      </c>
      <c r="R456" s="58" t="str">
        <f t="shared" si="45"/>
        <v/>
      </c>
      <c r="S456" s="58" t="str">
        <f t="shared" si="46"/>
        <v/>
      </c>
      <c r="T456" s="59" t="e">
        <f t="shared" si="44"/>
        <v>#VALUE!</v>
      </c>
      <c r="U456" s="59"/>
      <c r="X456" s="60" t="str">
        <f t="shared" si="47"/>
        <v>D</v>
      </c>
    </row>
    <row r="457" spans="2:24" x14ac:dyDescent="0.25">
      <c r="B457" s="54" t="str">
        <f>IFERROR(VLOOKUP(A457,Lookup!A:B,2,0),"")</f>
        <v/>
      </c>
      <c r="C457" s="54" t="str">
        <f>IFERROR(VLOOKUP(A457,Lookup!A:C,3,0),"")</f>
        <v/>
      </c>
      <c r="J457" s="103">
        <f>VLOOKUP(A457&amp;G457,Lookup!J:N,5,0)</f>
        <v>0</v>
      </c>
      <c r="O457" s="57">
        <f>IFERROR(VLOOKUP(A457&amp;G457,Lookup!J:K,2,0),"")</f>
        <v>0</v>
      </c>
      <c r="P457" s="110" t="str">
        <f t="shared" si="48"/>
        <v/>
      </c>
      <c r="R457" s="58" t="str">
        <f t="shared" si="45"/>
        <v/>
      </c>
      <c r="S457" s="58" t="str">
        <f t="shared" si="46"/>
        <v/>
      </c>
      <c r="T457" s="59" t="e">
        <f t="shared" si="44"/>
        <v>#VALUE!</v>
      </c>
      <c r="U457" s="59"/>
      <c r="X457" s="60" t="str">
        <f t="shared" si="47"/>
        <v>D</v>
      </c>
    </row>
    <row r="458" spans="2:24" x14ac:dyDescent="0.25">
      <c r="B458" s="54" t="str">
        <f>IFERROR(VLOOKUP(A458,Lookup!A:B,2,0),"")</f>
        <v/>
      </c>
      <c r="C458" s="54" t="str">
        <f>IFERROR(VLOOKUP(A458,Lookup!A:C,3,0),"")</f>
        <v/>
      </c>
      <c r="J458" s="103">
        <f>VLOOKUP(A458&amp;G458,Lookup!J:N,5,0)</f>
        <v>0</v>
      </c>
      <c r="O458" s="57">
        <f>IFERROR(VLOOKUP(A458&amp;G458,Lookup!J:K,2,0),"")</f>
        <v>0</v>
      </c>
      <c r="P458" s="110" t="str">
        <f t="shared" si="48"/>
        <v/>
      </c>
      <c r="R458" s="58" t="str">
        <f t="shared" si="45"/>
        <v/>
      </c>
      <c r="S458" s="58" t="str">
        <f t="shared" si="46"/>
        <v/>
      </c>
      <c r="T458" s="59" t="e">
        <f t="shared" si="44"/>
        <v>#VALUE!</v>
      </c>
      <c r="U458" s="59"/>
      <c r="X458" s="60" t="str">
        <f t="shared" si="47"/>
        <v>D</v>
      </c>
    </row>
    <row r="459" spans="2:24" x14ac:dyDescent="0.25">
      <c r="B459" s="54" t="str">
        <f>IFERROR(VLOOKUP(A459,Lookup!A:B,2,0),"")</f>
        <v/>
      </c>
      <c r="C459" s="54" t="str">
        <f>IFERROR(VLOOKUP(A459,Lookup!A:C,3,0),"")</f>
        <v/>
      </c>
      <c r="J459" s="103">
        <f>VLOOKUP(A459&amp;G459,Lookup!J:N,5,0)</f>
        <v>0</v>
      </c>
      <c r="O459" s="57">
        <f>IFERROR(VLOOKUP(A459&amp;G459,Lookup!J:K,2,0),"")</f>
        <v>0</v>
      </c>
      <c r="P459" s="110" t="str">
        <f t="shared" si="48"/>
        <v/>
      </c>
      <c r="R459" s="58" t="str">
        <f t="shared" si="45"/>
        <v/>
      </c>
      <c r="S459" s="58" t="str">
        <f t="shared" si="46"/>
        <v/>
      </c>
      <c r="T459" s="59" t="e">
        <f t="shared" si="44"/>
        <v>#VALUE!</v>
      </c>
      <c r="U459" s="59"/>
      <c r="X459" s="60" t="str">
        <f t="shared" si="47"/>
        <v>D</v>
      </c>
    </row>
    <row r="460" spans="2:24" x14ac:dyDescent="0.25">
      <c r="B460" s="54" t="str">
        <f>IFERROR(VLOOKUP(A460,Lookup!A:B,2,0),"")</f>
        <v/>
      </c>
      <c r="C460" s="54" t="str">
        <f>IFERROR(VLOOKUP(A460,Lookup!A:C,3,0),"")</f>
        <v/>
      </c>
      <c r="J460" s="103">
        <f>VLOOKUP(A460&amp;G460,Lookup!J:N,5,0)</f>
        <v>0</v>
      </c>
      <c r="O460" s="57">
        <f>IFERROR(VLOOKUP(A460&amp;G460,Lookup!J:K,2,0),"")</f>
        <v>0</v>
      </c>
      <c r="P460" s="110" t="str">
        <f t="shared" si="48"/>
        <v/>
      </c>
      <c r="R460" s="58" t="str">
        <f t="shared" si="45"/>
        <v/>
      </c>
      <c r="S460" s="58" t="str">
        <f t="shared" si="46"/>
        <v/>
      </c>
      <c r="T460" s="59" t="e">
        <f t="shared" si="44"/>
        <v>#VALUE!</v>
      </c>
      <c r="U460" s="59"/>
      <c r="X460" s="60" t="str">
        <f t="shared" si="47"/>
        <v>D</v>
      </c>
    </row>
    <row r="461" spans="2:24" x14ac:dyDescent="0.25">
      <c r="B461" s="54" t="str">
        <f>IFERROR(VLOOKUP(A461,Lookup!A:B,2,0),"")</f>
        <v/>
      </c>
      <c r="C461" s="54" t="str">
        <f>IFERROR(VLOOKUP(A461,Lookup!A:C,3,0),"")</f>
        <v/>
      </c>
      <c r="J461" s="103">
        <f>VLOOKUP(A461&amp;G461,Lookup!J:N,5,0)</f>
        <v>0</v>
      </c>
      <c r="O461" s="57">
        <f>IFERROR(VLOOKUP(A461&amp;G461,Lookup!J:K,2,0),"")</f>
        <v>0</v>
      </c>
      <c r="P461" s="110" t="str">
        <f t="shared" si="48"/>
        <v/>
      </c>
      <c r="R461" s="58" t="str">
        <f t="shared" si="45"/>
        <v/>
      </c>
      <c r="S461" s="58" t="str">
        <f t="shared" si="46"/>
        <v/>
      </c>
      <c r="T461" s="59" t="e">
        <f t="shared" si="44"/>
        <v>#VALUE!</v>
      </c>
      <c r="U461" s="59"/>
      <c r="X461" s="60" t="str">
        <f t="shared" si="47"/>
        <v>D</v>
      </c>
    </row>
    <row r="462" spans="2:24" x14ac:dyDescent="0.25">
      <c r="B462" s="54" t="str">
        <f>IFERROR(VLOOKUP(A462,Lookup!A:B,2,0),"")</f>
        <v/>
      </c>
      <c r="C462" s="54" t="str">
        <f>IFERROR(VLOOKUP(A462,Lookup!A:C,3,0),"")</f>
        <v/>
      </c>
      <c r="J462" s="103">
        <f>VLOOKUP(A462&amp;G462,Lookup!J:N,5,0)</f>
        <v>0</v>
      </c>
      <c r="O462" s="57">
        <f>IFERROR(VLOOKUP(A462&amp;G462,Lookup!J:K,2,0),"")</f>
        <v>0</v>
      </c>
      <c r="P462" s="110" t="str">
        <f t="shared" si="48"/>
        <v/>
      </c>
      <c r="R462" s="58" t="str">
        <f t="shared" si="45"/>
        <v/>
      </c>
      <c r="S462" s="58" t="str">
        <f t="shared" si="46"/>
        <v/>
      </c>
      <c r="T462" s="59" t="e">
        <f t="shared" ref="T462:T525" si="49">IF(Q462-P462&gt;0.0415,"YES",(IF(OR(EXACT(Q462,""), EXACT(P462,"")),"","NO")))</f>
        <v>#VALUE!</v>
      </c>
      <c r="U462" s="59"/>
      <c r="X462" s="60" t="str">
        <f t="shared" si="47"/>
        <v>D</v>
      </c>
    </row>
    <row r="463" spans="2:24" x14ac:dyDescent="0.25">
      <c r="B463" s="54" t="str">
        <f>IFERROR(VLOOKUP(A463,Lookup!A:B,2,0),"")</f>
        <v/>
      </c>
      <c r="C463" s="54" t="str">
        <f>IFERROR(VLOOKUP(A463,Lookup!A:C,3,0),"")</f>
        <v/>
      </c>
      <c r="J463" s="103">
        <f>VLOOKUP(A463&amp;G463,Lookup!J:N,5,0)</f>
        <v>0</v>
      </c>
      <c r="O463" s="57">
        <f>IFERROR(VLOOKUP(A463&amp;G463,Lookup!J:K,2,0),"")</f>
        <v>0</v>
      </c>
      <c r="P463" s="110" t="str">
        <f t="shared" si="48"/>
        <v/>
      </c>
      <c r="R463" s="58" t="str">
        <f t="shared" si="45"/>
        <v/>
      </c>
      <c r="T463" s="59" t="e">
        <f t="shared" si="49"/>
        <v>#VALUE!</v>
      </c>
      <c r="U463" s="59"/>
      <c r="X463" s="60" t="str">
        <f t="shared" si="47"/>
        <v>D</v>
      </c>
    </row>
    <row r="464" spans="2:24" x14ac:dyDescent="0.25">
      <c r="B464" s="54" t="str">
        <f>IFERROR(VLOOKUP(A464,Lookup!A:B,2,0),"")</f>
        <v/>
      </c>
      <c r="C464" s="54" t="str">
        <f>IFERROR(VLOOKUP(A464,Lookup!A:C,3,0),"")</f>
        <v/>
      </c>
      <c r="J464" s="103">
        <f>VLOOKUP(A464&amp;G464,Lookup!J:N,5,0)</f>
        <v>0</v>
      </c>
      <c r="O464" s="57">
        <f>IFERROR(VLOOKUP(A464&amp;G464,Lookup!J:K,2,0),"")</f>
        <v>0</v>
      </c>
      <c r="P464" s="110" t="str">
        <f t="shared" si="48"/>
        <v/>
      </c>
      <c r="R464" s="58" t="str">
        <f t="shared" si="45"/>
        <v/>
      </c>
      <c r="T464" s="59" t="e">
        <f t="shared" si="49"/>
        <v>#VALUE!</v>
      </c>
      <c r="U464" s="59"/>
      <c r="X464" s="60" t="str">
        <f t="shared" si="47"/>
        <v>D</v>
      </c>
    </row>
    <row r="465" spans="2:24" x14ac:dyDescent="0.25">
      <c r="B465" s="54" t="str">
        <f>IFERROR(VLOOKUP(A465,Lookup!A:B,2,0),"")</f>
        <v/>
      </c>
      <c r="C465" s="54" t="str">
        <f>IFERROR(VLOOKUP(A465,Lookup!A:C,3,0),"")</f>
        <v/>
      </c>
      <c r="J465" s="103">
        <f>VLOOKUP(A465&amp;G465,Lookup!J:N,5,0)</f>
        <v>0</v>
      </c>
      <c r="O465" s="57">
        <f>IFERROR(VLOOKUP(A465&amp;G465,Lookup!J:K,2,0),"")</f>
        <v>0</v>
      </c>
      <c r="P465" s="110" t="str">
        <f t="shared" si="48"/>
        <v/>
      </c>
      <c r="R465" s="58" t="str">
        <f t="shared" si="45"/>
        <v/>
      </c>
      <c r="T465" s="59" t="e">
        <f t="shared" si="49"/>
        <v>#VALUE!</v>
      </c>
      <c r="U465" s="59"/>
      <c r="X465" s="60" t="str">
        <f t="shared" si="47"/>
        <v>D</v>
      </c>
    </row>
    <row r="466" spans="2:24" x14ac:dyDescent="0.25">
      <c r="B466" s="54" t="str">
        <f>IFERROR(VLOOKUP(A466,Lookup!A:B,2,0),"")</f>
        <v/>
      </c>
      <c r="C466" s="54" t="str">
        <f>IFERROR(VLOOKUP(A466,Lookup!A:C,3,0),"")</f>
        <v/>
      </c>
      <c r="J466" s="103">
        <f>VLOOKUP(A466&amp;G466,Lookup!J:N,5,0)</f>
        <v>0</v>
      </c>
      <c r="O466" s="57">
        <f>IFERROR(VLOOKUP(A466&amp;G466,Lookup!J:K,2,0),"")</f>
        <v>0</v>
      </c>
      <c r="P466" s="110" t="str">
        <f t="shared" si="48"/>
        <v/>
      </c>
      <c r="R466" s="58" t="str">
        <f t="shared" si="45"/>
        <v/>
      </c>
      <c r="T466" s="59" t="e">
        <f t="shared" si="49"/>
        <v>#VALUE!</v>
      </c>
      <c r="U466" s="59"/>
      <c r="X466" s="60" t="str">
        <f t="shared" si="47"/>
        <v>D</v>
      </c>
    </row>
    <row r="467" spans="2:24" x14ac:dyDescent="0.25">
      <c r="B467" s="54" t="str">
        <f>IFERROR(VLOOKUP(A467,Lookup!A:B,2,0),"")</f>
        <v/>
      </c>
      <c r="C467" s="54" t="str">
        <f>IFERROR(VLOOKUP(A467,Lookup!A:C,3,0),"")</f>
        <v/>
      </c>
      <c r="J467" s="103">
        <f>VLOOKUP(A467&amp;G467,Lookup!J:N,5,0)</f>
        <v>0</v>
      </c>
      <c r="O467" s="57">
        <f>IFERROR(VLOOKUP(A467&amp;G467,Lookup!J:K,2,0),"")</f>
        <v>0</v>
      </c>
      <c r="P467" s="110" t="str">
        <f t="shared" si="48"/>
        <v/>
      </c>
      <c r="R467" s="58" t="str">
        <f t="shared" si="45"/>
        <v/>
      </c>
      <c r="T467" s="59" t="e">
        <f t="shared" si="49"/>
        <v>#VALUE!</v>
      </c>
      <c r="U467" s="59"/>
      <c r="X467" s="60" t="str">
        <f t="shared" si="47"/>
        <v>D</v>
      </c>
    </row>
    <row r="468" spans="2:24" x14ac:dyDescent="0.25">
      <c r="B468" s="54" t="str">
        <f>IFERROR(VLOOKUP(A468,Lookup!A:B,2,0),"")</f>
        <v/>
      </c>
      <c r="C468" s="54" t="str">
        <f>IFERROR(VLOOKUP(A468,Lookup!A:C,3,0),"")</f>
        <v/>
      </c>
      <c r="J468" s="103">
        <f>VLOOKUP(A468&amp;G468,Lookup!J:N,5,0)</f>
        <v>0</v>
      </c>
      <c r="O468" s="57">
        <f>IFERROR(VLOOKUP(A468&amp;G468,Lookup!J:K,2,0),"")</f>
        <v>0</v>
      </c>
      <c r="P468" s="110" t="str">
        <f t="shared" si="48"/>
        <v/>
      </c>
      <c r="R468" s="58" t="str">
        <f t="shared" si="45"/>
        <v/>
      </c>
      <c r="T468" s="59" t="e">
        <f t="shared" si="49"/>
        <v>#VALUE!</v>
      </c>
      <c r="U468" s="59"/>
      <c r="X468" s="60" t="str">
        <f t="shared" si="47"/>
        <v>D</v>
      </c>
    </row>
    <row r="469" spans="2:24" x14ac:dyDescent="0.25">
      <c r="B469" s="54" t="str">
        <f>IFERROR(VLOOKUP(A469,Lookup!A:B,2,0),"")</f>
        <v/>
      </c>
      <c r="C469" s="54" t="str">
        <f>IFERROR(VLOOKUP(A469,Lookup!A:C,3,0),"")</f>
        <v/>
      </c>
      <c r="J469" s="103">
        <f>VLOOKUP(A469&amp;G469,Lookup!J:N,5,0)</f>
        <v>0</v>
      </c>
      <c r="O469" s="57">
        <f>IFERROR(VLOOKUP(A469&amp;G469,Lookup!J:K,2,0),"")</f>
        <v>0</v>
      </c>
      <c r="P469" s="110" t="str">
        <f t="shared" si="48"/>
        <v/>
      </c>
      <c r="R469" s="58" t="str">
        <f t="shared" si="45"/>
        <v/>
      </c>
      <c r="T469" s="59" t="e">
        <f t="shared" si="49"/>
        <v>#VALUE!</v>
      </c>
      <c r="U469" s="59"/>
      <c r="X469" s="60" t="str">
        <f t="shared" si="47"/>
        <v>D</v>
      </c>
    </row>
    <row r="470" spans="2:24" x14ac:dyDescent="0.25">
      <c r="B470" s="54" t="str">
        <f>IFERROR(VLOOKUP(A470,Lookup!A:B,2,0),"")</f>
        <v/>
      </c>
      <c r="C470" s="54" t="str">
        <f>IFERROR(VLOOKUP(A470,Lookup!A:C,3,0),"")</f>
        <v/>
      </c>
      <c r="J470" s="103">
        <f>VLOOKUP(A470&amp;G470,Lookup!J:N,5,0)</f>
        <v>0</v>
      </c>
      <c r="O470" s="57">
        <f>IFERROR(VLOOKUP(A470&amp;G470,Lookup!J:K,2,0),"")</f>
        <v>0</v>
      </c>
      <c r="P470" s="110" t="str">
        <f t="shared" si="48"/>
        <v/>
      </c>
      <c r="R470" s="58" t="str">
        <f t="shared" si="45"/>
        <v/>
      </c>
      <c r="T470" s="59" t="e">
        <f t="shared" si="49"/>
        <v>#VALUE!</v>
      </c>
      <c r="U470" s="59"/>
      <c r="X470" s="60" t="str">
        <f t="shared" si="47"/>
        <v>D</v>
      </c>
    </row>
    <row r="471" spans="2:24" x14ac:dyDescent="0.25">
      <c r="B471" s="54" t="str">
        <f>IFERROR(VLOOKUP(A471,Lookup!A:B,2,0),"")</f>
        <v/>
      </c>
      <c r="C471" s="54" t="str">
        <f>IFERROR(VLOOKUP(A471,Lookup!A:C,3,0),"")</f>
        <v/>
      </c>
      <c r="J471" s="103">
        <f>VLOOKUP(A471&amp;G471,Lookup!J:N,5,0)</f>
        <v>0</v>
      </c>
      <c r="O471" s="57">
        <f>IFERROR(VLOOKUP(A471&amp;G471,Lookup!J:K,2,0),"")</f>
        <v>0</v>
      </c>
      <c r="P471" s="110" t="str">
        <f t="shared" si="48"/>
        <v/>
      </c>
      <c r="R471" s="58" t="str">
        <f t="shared" si="45"/>
        <v/>
      </c>
      <c r="T471" s="59" t="e">
        <f t="shared" si="49"/>
        <v>#VALUE!</v>
      </c>
      <c r="U471" s="59"/>
      <c r="X471" s="60" t="str">
        <f t="shared" si="47"/>
        <v>D</v>
      </c>
    </row>
    <row r="472" spans="2:24" x14ac:dyDescent="0.25">
      <c r="B472" s="54" t="str">
        <f>IFERROR(VLOOKUP(A472,Lookup!A:B,2,0),"")</f>
        <v/>
      </c>
      <c r="C472" s="54" t="str">
        <f>IFERROR(VLOOKUP(A472,Lookup!A:C,3,0),"")</f>
        <v/>
      </c>
      <c r="J472" s="103">
        <f>VLOOKUP(A472&amp;G472,Lookup!J:N,5,0)</f>
        <v>0</v>
      </c>
      <c r="O472" s="57">
        <f>IFERROR(VLOOKUP(A472&amp;G472,Lookup!J:K,2,0),"")</f>
        <v>0</v>
      </c>
      <c r="P472" s="110" t="str">
        <f t="shared" si="48"/>
        <v/>
      </c>
      <c r="R472" s="58" t="str">
        <f t="shared" si="45"/>
        <v/>
      </c>
      <c r="T472" s="59" t="e">
        <f t="shared" si="49"/>
        <v>#VALUE!</v>
      </c>
      <c r="U472" s="59"/>
      <c r="X472" s="60" t="str">
        <f t="shared" si="47"/>
        <v>D</v>
      </c>
    </row>
    <row r="473" spans="2:24" x14ac:dyDescent="0.25">
      <c r="B473" s="54" t="str">
        <f>IFERROR(VLOOKUP(A473,Lookup!A:B,2,0),"")</f>
        <v/>
      </c>
      <c r="C473" s="54" t="str">
        <f>IFERROR(VLOOKUP(A473,Lookup!A:C,3,0),"")</f>
        <v/>
      </c>
      <c r="J473" s="103">
        <f>VLOOKUP(A473&amp;G473,Lookup!J:N,5,0)</f>
        <v>0</v>
      </c>
      <c r="O473" s="57">
        <f>IFERROR(VLOOKUP(A473&amp;G473,Lookup!J:K,2,0),"")</f>
        <v>0</v>
      </c>
      <c r="P473" s="110" t="str">
        <f t="shared" si="48"/>
        <v/>
      </c>
      <c r="R473" s="58" t="str">
        <f t="shared" si="45"/>
        <v/>
      </c>
      <c r="T473" s="59" t="e">
        <f t="shared" si="49"/>
        <v>#VALUE!</v>
      </c>
      <c r="U473" s="59"/>
      <c r="X473" s="60" t="str">
        <f t="shared" si="47"/>
        <v>D</v>
      </c>
    </row>
    <row r="474" spans="2:24" x14ac:dyDescent="0.25">
      <c r="B474" s="54" t="str">
        <f>IFERROR(VLOOKUP(A474,Lookup!A:B,2,0),"")</f>
        <v/>
      </c>
      <c r="C474" s="54" t="str">
        <f>IFERROR(VLOOKUP(A474,Lookup!A:C,3,0),"")</f>
        <v/>
      </c>
      <c r="J474" s="103">
        <f>VLOOKUP(A474&amp;G474,Lookup!J:N,5,0)</f>
        <v>0</v>
      </c>
      <c r="O474" s="57">
        <f>IFERROR(VLOOKUP(A474&amp;G474,Lookup!J:K,2,0),"")</f>
        <v>0</v>
      </c>
      <c r="P474" s="110" t="str">
        <f t="shared" si="48"/>
        <v/>
      </c>
      <c r="R474" s="58" t="str">
        <f t="shared" si="45"/>
        <v/>
      </c>
      <c r="T474" s="59" t="e">
        <f t="shared" si="49"/>
        <v>#VALUE!</v>
      </c>
      <c r="U474" s="59"/>
      <c r="X474" s="60" t="str">
        <f t="shared" si="47"/>
        <v>D</v>
      </c>
    </row>
    <row r="475" spans="2:24" x14ac:dyDescent="0.25">
      <c r="B475" s="54" t="str">
        <f>IFERROR(VLOOKUP(A475,Lookup!A:B,2,0),"")</f>
        <v/>
      </c>
      <c r="C475" s="54" t="str">
        <f>IFERROR(VLOOKUP(A475,Lookup!A:C,3,0),"")</f>
        <v/>
      </c>
      <c r="J475" s="103">
        <f>VLOOKUP(A475&amp;G475,Lookup!J:N,5,0)</f>
        <v>0</v>
      </c>
      <c r="O475" s="57">
        <f>IFERROR(VLOOKUP(A475&amp;G475,Lookup!J:K,2,0),"")</f>
        <v>0</v>
      </c>
      <c r="P475" s="110" t="str">
        <f t="shared" si="48"/>
        <v/>
      </c>
      <c r="R475" s="58" t="str">
        <f t="shared" si="45"/>
        <v/>
      </c>
      <c r="T475" s="59" t="e">
        <f t="shared" si="49"/>
        <v>#VALUE!</v>
      </c>
      <c r="U475" s="59"/>
      <c r="X475" s="60" t="str">
        <f t="shared" si="47"/>
        <v>D</v>
      </c>
    </row>
    <row r="476" spans="2:24" x14ac:dyDescent="0.25">
      <c r="B476" s="54" t="str">
        <f>IFERROR(VLOOKUP(A476,Lookup!A:B,2,0),"")</f>
        <v/>
      </c>
      <c r="C476" s="54" t="str">
        <f>IFERROR(VLOOKUP(A476,Lookup!A:C,3,0),"")</f>
        <v/>
      </c>
      <c r="J476" s="103">
        <f>VLOOKUP(A476&amp;G476,Lookup!J:N,5,0)</f>
        <v>0</v>
      </c>
      <c r="O476" s="57">
        <f>IFERROR(VLOOKUP(A476&amp;G476,Lookup!J:K,2,0),"")</f>
        <v>0</v>
      </c>
      <c r="P476" s="110" t="str">
        <f t="shared" si="48"/>
        <v/>
      </c>
      <c r="R476" s="58" t="str">
        <f t="shared" si="45"/>
        <v/>
      </c>
      <c r="T476" s="59" t="e">
        <f t="shared" si="49"/>
        <v>#VALUE!</v>
      </c>
      <c r="U476" s="59"/>
      <c r="X476" s="60" t="str">
        <f t="shared" si="47"/>
        <v>D</v>
      </c>
    </row>
    <row r="477" spans="2:24" x14ac:dyDescent="0.25">
      <c r="B477" s="54" t="str">
        <f>IFERROR(VLOOKUP(A477,Lookup!A:B,2,0),"")</f>
        <v/>
      </c>
      <c r="C477" s="54" t="str">
        <f>IFERROR(VLOOKUP(A477,Lookup!A:C,3,0),"")</f>
        <v/>
      </c>
      <c r="J477" s="103">
        <f>VLOOKUP(A477&amp;G477,Lookup!J:N,5,0)</f>
        <v>0</v>
      </c>
      <c r="O477" s="57">
        <f>IFERROR(VLOOKUP(A477&amp;G477,Lookup!J:K,2,0),"")</f>
        <v>0</v>
      </c>
      <c r="P477" s="110" t="str">
        <f t="shared" si="48"/>
        <v/>
      </c>
      <c r="R477" s="58" t="str">
        <f t="shared" si="45"/>
        <v/>
      </c>
      <c r="T477" s="59" t="e">
        <f t="shared" si="49"/>
        <v>#VALUE!</v>
      </c>
      <c r="U477" s="59"/>
      <c r="X477" s="60" t="str">
        <f t="shared" si="47"/>
        <v>D</v>
      </c>
    </row>
    <row r="478" spans="2:24" x14ac:dyDescent="0.25">
      <c r="B478" s="54" t="str">
        <f>IFERROR(VLOOKUP(A478,Lookup!A:B,2,0),"")</f>
        <v/>
      </c>
      <c r="C478" s="54" t="str">
        <f>IFERROR(VLOOKUP(A478,Lookup!A:C,3,0),"")</f>
        <v/>
      </c>
      <c r="J478" s="103">
        <f>VLOOKUP(A478&amp;G478,Lookup!J:N,5,0)</f>
        <v>0</v>
      </c>
      <c r="O478" s="57">
        <f>IFERROR(VLOOKUP(A478&amp;G478,Lookup!J:K,2,0),"")</f>
        <v>0</v>
      </c>
      <c r="P478" s="110" t="str">
        <f t="shared" si="48"/>
        <v/>
      </c>
      <c r="R478" s="58" t="str">
        <f t="shared" si="45"/>
        <v/>
      </c>
      <c r="T478" s="59" t="e">
        <f t="shared" si="49"/>
        <v>#VALUE!</v>
      </c>
      <c r="U478" s="59"/>
      <c r="X478" s="60" t="str">
        <f t="shared" si="47"/>
        <v>D</v>
      </c>
    </row>
    <row r="479" spans="2:24" x14ac:dyDescent="0.25">
      <c r="B479" s="54" t="str">
        <f>IFERROR(VLOOKUP(A479,Lookup!A:B,2,0),"")</f>
        <v/>
      </c>
      <c r="C479" s="54" t="str">
        <f>IFERROR(VLOOKUP(A479,Lookup!A:C,3,0),"")</f>
        <v/>
      </c>
      <c r="J479" s="103">
        <f>VLOOKUP(A479&amp;G479,Lookup!J:N,5,0)</f>
        <v>0</v>
      </c>
      <c r="O479" s="57">
        <f>IFERROR(VLOOKUP(A479&amp;G479,Lookup!J:K,2,0),"")</f>
        <v>0</v>
      </c>
      <c r="P479" s="110" t="str">
        <f t="shared" si="48"/>
        <v/>
      </c>
      <c r="R479" s="58" t="str">
        <f t="shared" si="45"/>
        <v/>
      </c>
      <c r="T479" s="59" t="e">
        <f t="shared" si="49"/>
        <v>#VALUE!</v>
      </c>
      <c r="U479" s="59"/>
      <c r="X479" s="60" t="str">
        <f t="shared" si="47"/>
        <v>D</v>
      </c>
    </row>
    <row r="480" spans="2:24" x14ac:dyDescent="0.25">
      <c r="B480" s="54" t="str">
        <f>IFERROR(VLOOKUP(A480,Lookup!A:B,2,0),"")</f>
        <v/>
      </c>
      <c r="C480" s="54" t="str">
        <f>IFERROR(VLOOKUP(A480,Lookup!A:C,3,0),"")</f>
        <v/>
      </c>
      <c r="J480" s="103">
        <f>VLOOKUP(A480&amp;G480,Lookup!J:N,5,0)</f>
        <v>0</v>
      </c>
      <c r="O480" s="57">
        <f>IFERROR(VLOOKUP(A480&amp;G480,Lookup!J:K,2,0),"")</f>
        <v>0</v>
      </c>
      <c r="P480" s="110" t="str">
        <f t="shared" si="48"/>
        <v/>
      </c>
      <c r="R480" s="58" t="str">
        <f t="shared" si="45"/>
        <v/>
      </c>
      <c r="T480" s="59" t="e">
        <f t="shared" si="49"/>
        <v>#VALUE!</v>
      </c>
      <c r="U480" s="59"/>
      <c r="X480" s="60" t="str">
        <f t="shared" si="47"/>
        <v>D</v>
      </c>
    </row>
    <row r="481" spans="2:24" x14ac:dyDescent="0.25">
      <c r="B481" s="54" t="str">
        <f>IFERROR(VLOOKUP(A481,Lookup!A:B,2,0),"")</f>
        <v/>
      </c>
      <c r="C481" s="54" t="str">
        <f>IFERROR(VLOOKUP(A481,Lookup!A:C,3,0),"")</f>
        <v/>
      </c>
      <c r="J481" s="103">
        <f>VLOOKUP(A481&amp;G481,Lookup!J:N,5,0)</f>
        <v>0</v>
      </c>
      <c r="O481" s="57">
        <f>IFERROR(VLOOKUP(A481&amp;G481,Lookup!J:K,2,0),"")</f>
        <v>0</v>
      </c>
      <c r="P481" s="110" t="str">
        <f t="shared" si="48"/>
        <v/>
      </c>
      <c r="R481" s="58" t="str">
        <f t="shared" si="45"/>
        <v/>
      </c>
      <c r="T481" s="59" t="e">
        <f t="shared" si="49"/>
        <v>#VALUE!</v>
      </c>
      <c r="U481" s="59"/>
      <c r="X481" s="60" t="str">
        <f t="shared" si="47"/>
        <v>D</v>
      </c>
    </row>
    <row r="482" spans="2:24" x14ac:dyDescent="0.25">
      <c r="B482" s="54" t="str">
        <f>IFERROR(VLOOKUP(A482,Lookup!A:B,2,0),"")</f>
        <v/>
      </c>
      <c r="C482" s="54" t="str">
        <f>IFERROR(VLOOKUP(A482,Lookup!A:C,3,0),"")</f>
        <v/>
      </c>
      <c r="J482" s="103">
        <f>VLOOKUP(A482&amp;G482,Lookup!J:N,5,0)</f>
        <v>0</v>
      </c>
      <c r="O482" s="57">
        <f>IFERROR(VLOOKUP(A482&amp;G482,Lookup!J:K,2,0),"")</f>
        <v>0</v>
      </c>
      <c r="P482" s="110" t="str">
        <f t="shared" si="48"/>
        <v/>
      </c>
      <c r="R482" s="58" t="str">
        <f t="shared" si="45"/>
        <v/>
      </c>
      <c r="T482" s="59" t="e">
        <f t="shared" si="49"/>
        <v>#VALUE!</v>
      </c>
      <c r="U482" s="59"/>
      <c r="X482" s="60" t="str">
        <f t="shared" si="47"/>
        <v>D</v>
      </c>
    </row>
    <row r="483" spans="2:24" x14ac:dyDescent="0.25">
      <c r="B483" s="54" t="str">
        <f>IFERROR(VLOOKUP(A483,Lookup!A:B,2,0),"")</f>
        <v/>
      </c>
      <c r="C483" s="54" t="str">
        <f>IFERROR(VLOOKUP(A483,Lookup!A:C,3,0),"")</f>
        <v/>
      </c>
      <c r="J483" s="103">
        <f>VLOOKUP(A483&amp;G483,Lookup!J:N,5,0)</f>
        <v>0</v>
      </c>
      <c r="O483" s="57">
        <f>IFERROR(VLOOKUP(A483&amp;G483,Lookup!J:K,2,0),"")</f>
        <v>0</v>
      </c>
      <c r="P483" s="110" t="str">
        <f t="shared" si="48"/>
        <v/>
      </c>
      <c r="R483" s="58" t="str">
        <f t="shared" si="45"/>
        <v/>
      </c>
      <c r="T483" s="59" t="e">
        <f t="shared" si="49"/>
        <v>#VALUE!</v>
      </c>
      <c r="U483" s="59"/>
      <c r="X483" s="60" t="str">
        <f t="shared" si="47"/>
        <v>D</v>
      </c>
    </row>
    <row r="484" spans="2:24" x14ac:dyDescent="0.25">
      <c r="B484" s="54" t="str">
        <f>IFERROR(VLOOKUP(A484,Lookup!A:B,2,0),"")</f>
        <v/>
      </c>
      <c r="C484" s="54" t="str">
        <f>IFERROR(VLOOKUP(A484,Lookup!A:C,3,0),"")</f>
        <v/>
      </c>
      <c r="J484" s="103">
        <f>VLOOKUP(A484&amp;G484,Lookup!J:N,5,0)</f>
        <v>0</v>
      </c>
      <c r="O484" s="57">
        <f>IFERROR(VLOOKUP(A484&amp;G484,Lookup!J:K,2,0),"")</f>
        <v>0</v>
      </c>
      <c r="P484" s="110" t="str">
        <f t="shared" si="48"/>
        <v/>
      </c>
      <c r="R484" s="58" t="str">
        <f t="shared" si="45"/>
        <v/>
      </c>
      <c r="T484" s="59" t="e">
        <f t="shared" si="49"/>
        <v>#VALUE!</v>
      </c>
      <c r="U484" s="59"/>
      <c r="X484" s="60" t="str">
        <f t="shared" si="47"/>
        <v>D</v>
      </c>
    </row>
    <row r="485" spans="2:24" x14ac:dyDescent="0.25">
      <c r="B485" s="54" t="str">
        <f>IFERROR(VLOOKUP(A485,Lookup!A:B,2,0),"")</f>
        <v/>
      </c>
      <c r="C485" s="54" t="str">
        <f>IFERROR(VLOOKUP(A485,Lookup!A:C,3,0),"")</f>
        <v/>
      </c>
      <c r="J485" s="103">
        <f>VLOOKUP(A485&amp;G485,Lookup!J:N,5,0)</f>
        <v>0</v>
      </c>
      <c r="O485" s="57">
        <f>IFERROR(VLOOKUP(A485&amp;G485,Lookup!J:K,2,0),"")</f>
        <v>0</v>
      </c>
      <c r="P485" s="110" t="str">
        <f t="shared" si="48"/>
        <v/>
      </c>
      <c r="R485" s="58" t="str">
        <f t="shared" si="45"/>
        <v/>
      </c>
      <c r="T485" s="59" t="e">
        <f t="shared" si="49"/>
        <v>#VALUE!</v>
      </c>
      <c r="U485" s="59"/>
      <c r="X485" s="60" t="str">
        <f t="shared" si="47"/>
        <v>D</v>
      </c>
    </row>
    <row r="486" spans="2:24" x14ac:dyDescent="0.25">
      <c r="B486" s="54" t="str">
        <f>IFERROR(VLOOKUP(A486,Lookup!A:B,2,0),"")</f>
        <v/>
      </c>
      <c r="C486" s="54" t="str">
        <f>IFERROR(VLOOKUP(A486,Lookup!A:C,3,0),"")</f>
        <v/>
      </c>
      <c r="J486" s="103">
        <f>VLOOKUP(A486&amp;G486,Lookup!J:N,5,0)</f>
        <v>0</v>
      </c>
      <c r="O486" s="57">
        <f>IFERROR(VLOOKUP(A486&amp;G486,Lookup!J:K,2,0),"")</f>
        <v>0</v>
      </c>
      <c r="P486" s="110" t="str">
        <f t="shared" si="48"/>
        <v/>
      </c>
      <c r="R486" s="58" t="str">
        <f t="shared" si="45"/>
        <v/>
      </c>
      <c r="T486" s="59" t="e">
        <f t="shared" si="49"/>
        <v>#VALUE!</v>
      </c>
      <c r="U486" s="59"/>
      <c r="X486" s="60" t="str">
        <f t="shared" si="47"/>
        <v>D</v>
      </c>
    </row>
    <row r="487" spans="2:24" x14ac:dyDescent="0.25">
      <c r="B487" s="54" t="str">
        <f>IFERROR(VLOOKUP(A487,Lookup!A:B,2,0),"")</f>
        <v/>
      </c>
      <c r="C487" s="54" t="str">
        <f>IFERROR(VLOOKUP(A487,Lookup!A:C,3,0),"")</f>
        <v/>
      </c>
      <c r="J487" s="103">
        <f>VLOOKUP(A487&amp;G487,Lookup!J:N,5,0)</f>
        <v>0</v>
      </c>
      <c r="O487" s="57">
        <f>IFERROR(VLOOKUP(A487&amp;G487,Lookup!J:K,2,0),"")</f>
        <v>0</v>
      </c>
      <c r="P487" s="110" t="str">
        <f t="shared" si="48"/>
        <v/>
      </c>
      <c r="R487" s="58" t="str">
        <f t="shared" si="45"/>
        <v/>
      </c>
      <c r="T487" s="59" t="e">
        <f t="shared" si="49"/>
        <v>#VALUE!</v>
      </c>
      <c r="U487" s="59"/>
      <c r="X487" s="60" t="str">
        <f t="shared" si="47"/>
        <v>D</v>
      </c>
    </row>
    <row r="488" spans="2:24" x14ac:dyDescent="0.25">
      <c r="B488" s="54" t="str">
        <f>IFERROR(VLOOKUP(A488,Lookup!A:B,2,0),"")</f>
        <v/>
      </c>
      <c r="C488" s="54" t="str">
        <f>IFERROR(VLOOKUP(A488,Lookup!A:C,3,0),"")</f>
        <v/>
      </c>
      <c r="J488" s="103">
        <f>VLOOKUP(A488&amp;G488,Lookup!J:N,5,0)</f>
        <v>0</v>
      </c>
      <c r="O488" s="57">
        <f>IFERROR(VLOOKUP(A488&amp;G488,Lookup!J:K,2,0),"")</f>
        <v>0</v>
      </c>
      <c r="P488" s="110" t="str">
        <f t="shared" si="48"/>
        <v/>
      </c>
      <c r="R488" s="58" t="str">
        <f t="shared" si="45"/>
        <v/>
      </c>
      <c r="T488" s="59" t="e">
        <f t="shared" si="49"/>
        <v>#VALUE!</v>
      </c>
      <c r="U488" s="59"/>
      <c r="X488" s="60" t="str">
        <f t="shared" si="47"/>
        <v>D</v>
      </c>
    </row>
    <row r="489" spans="2:24" x14ac:dyDescent="0.25">
      <c r="B489" s="54" t="str">
        <f>IFERROR(VLOOKUP(A489,Lookup!A:B,2,0),"")</f>
        <v/>
      </c>
      <c r="C489" s="54" t="str">
        <f>IFERROR(VLOOKUP(A489,Lookup!A:C,3,0),"")</f>
        <v/>
      </c>
      <c r="J489" s="103">
        <f>VLOOKUP(A489&amp;G489,Lookup!J:N,5,0)</f>
        <v>0</v>
      </c>
      <c r="O489" s="57">
        <f>IFERROR(VLOOKUP(A489&amp;G489,Lookup!J:K,2,0),"")</f>
        <v>0</v>
      </c>
      <c r="P489" s="110" t="str">
        <f t="shared" si="48"/>
        <v/>
      </c>
      <c r="R489" s="58" t="str">
        <f t="shared" si="45"/>
        <v/>
      </c>
      <c r="T489" s="59" t="e">
        <f t="shared" si="49"/>
        <v>#VALUE!</v>
      </c>
      <c r="U489" s="59"/>
      <c r="X489" s="60" t="str">
        <f t="shared" si="47"/>
        <v>D</v>
      </c>
    </row>
    <row r="490" spans="2:24" x14ac:dyDescent="0.25">
      <c r="B490" s="54" t="str">
        <f>IFERROR(VLOOKUP(A490,Lookup!A:B,2,0),"")</f>
        <v/>
      </c>
      <c r="C490" s="54" t="str">
        <f>IFERROR(VLOOKUP(A490,Lookup!A:C,3,0),"")</f>
        <v/>
      </c>
      <c r="J490" s="103">
        <f>VLOOKUP(A490&amp;G490,Lookup!J:N,5,0)</f>
        <v>0</v>
      </c>
      <c r="O490" s="57">
        <f>IFERROR(VLOOKUP(A490&amp;G490,Lookup!J:K,2,0),"")</f>
        <v>0</v>
      </c>
      <c r="P490" s="110" t="str">
        <f t="shared" si="48"/>
        <v/>
      </c>
      <c r="R490" s="58" t="str">
        <f t="shared" ref="R490:R525" si="50">IF(OR(EXACT(N490,""), EXACT(L490,"")),"",N490-L490)</f>
        <v/>
      </c>
      <c r="T490" s="59" t="e">
        <f t="shared" si="49"/>
        <v>#VALUE!</v>
      </c>
      <c r="U490" s="59"/>
      <c r="X490" s="60" t="str">
        <f t="shared" si="47"/>
        <v>D</v>
      </c>
    </row>
    <row r="491" spans="2:24" x14ac:dyDescent="0.25">
      <c r="B491" s="54" t="str">
        <f>IFERROR(VLOOKUP(A491,Lookup!A:B,2,0),"")</f>
        <v/>
      </c>
      <c r="C491" s="54" t="str">
        <f>IFERROR(VLOOKUP(A491,Lookup!A:C,3,0),"")</f>
        <v/>
      </c>
      <c r="J491" s="103">
        <f>VLOOKUP(A491&amp;G491,Lookup!J:N,5,0)</f>
        <v>0</v>
      </c>
      <c r="O491" s="57">
        <f>IFERROR(VLOOKUP(A491&amp;G491,Lookup!J:K,2,0),"")</f>
        <v>0</v>
      </c>
      <c r="P491" s="110" t="str">
        <f t="shared" si="48"/>
        <v/>
      </c>
      <c r="R491" s="58" t="str">
        <f t="shared" si="50"/>
        <v/>
      </c>
      <c r="T491" s="59" t="e">
        <f t="shared" si="49"/>
        <v>#VALUE!</v>
      </c>
      <c r="U491" s="59"/>
      <c r="X491" s="60" t="str">
        <f t="shared" si="47"/>
        <v>D</v>
      </c>
    </row>
    <row r="492" spans="2:24" x14ac:dyDescent="0.25">
      <c r="B492" s="54" t="str">
        <f>IFERROR(VLOOKUP(A492,Lookup!A:B,2,0),"")</f>
        <v/>
      </c>
      <c r="C492" s="54" t="str">
        <f>IFERROR(VLOOKUP(A492,Lookup!A:C,3,0),"")</f>
        <v/>
      </c>
      <c r="J492" s="103">
        <f>VLOOKUP(A492&amp;G492,Lookup!J:N,5,0)</f>
        <v>0</v>
      </c>
      <c r="O492" s="57">
        <f>IFERROR(VLOOKUP(A492&amp;G492,Lookup!J:K,2,0),"")</f>
        <v>0</v>
      </c>
      <c r="P492" s="110" t="str">
        <f t="shared" si="48"/>
        <v/>
      </c>
      <c r="R492" s="58" t="str">
        <f t="shared" si="50"/>
        <v/>
      </c>
      <c r="T492" s="59" t="e">
        <f t="shared" si="49"/>
        <v>#VALUE!</v>
      </c>
      <c r="U492" s="59"/>
      <c r="X492" s="60" t="str">
        <f t="shared" si="47"/>
        <v>D</v>
      </c>
    </row>
    <row r="493" spans="2:24" x14ac:dyDescent="0.25">
      <c r="B493" s="54" t="str">
        <f>IFERROR(VLOOKUP(A493,Lookup!A:B,2,0),"")</f>
        <v/>
      </c>
      <c r="C493" s="54" t="str">
        <f>IFERROR(VLOOKUP(A493,Lookup!A:C,3,0),"")</f>
        <v/>
      </c>
      <c r="J493" s="103">
        <f>VLOOKUP(A493&amp;G493,Lookup!J:N,5,0)</f>
        <v>0</v>
      </c>
      <c r="O493" s="57">
        <f>IFERROR(VLOOKUP(A493&amp;G493,Lookup!J:K,2,0),"")</f>
        <v>0</v>
      </c>
      <c r="P493" s="110" t="str">
        <f t="shared" si="48"/>
        <v/>
      </c>
      <c r="R493" s="58" t="str">
        <f t="shared" si="50"/>
        <v/>
      </c>
      <c r="T493" s="59" t="e">
        <f t="shared" si="49"/>
        <v>#VALUE!</v>
      </c>
      <c r="U493" s="59"/>
      <c r="X493" s="60" t="str">
        <f t="shared" si="47"/>
        <v>D</v>
      </c>
    </row>
    <row r="494" spans="2:24" x14ac:dyDescent="0.25">
      <c r="B494" s="54" t="str">
        <f>IFERROR(VLOOKUP(A494,Lookup!A:B,2,0),"")</f>
        <v/>
      </c>
      <c r="C494" s="54" t="str">
        <f>IFERROR(VLOOKUP(A494,Lookup!A:C,3,0),"")</f>
        <v/>
      </c>
      <c r="J494" s="103">
        <f>VLOOKUP(A494&amp;G494,Lookup!J:N,5,0)</f>
        <v>0</v>
      </c>
      <c r="O494" s="57">
        <f>IFERROR(VLOOKUP(A494&amp;G494,Lookup!J:K,2,0),"")</f>
        <v>0</v>
      </c>
      <c r="P494" s="110" t="str">
        <f t="shared" si="48"/>
        <v/>
      </c>
      <c r="R494" s="58" t="str">
        <f t="shared" si="50"/>
        <v/>
      </c>
      <c r="T494" s="59" t="e">
        <f t="shared" si="49"/>
        <v>#VALUE!</v>
      </c>
      <c r="U494" s="59"/>
      <c r="X494" s="60" t="str">
        <f t="shared" ref="X494:X557" si="51">IF(I494="SET","A",IF(I494="FREQ","C",IF(I494="","D","B")))</f>
        <v>D</v>
      </c>
    </row>
    <row r="495" spans="2:24" x14ac:dyDescent="0.25">
      <c r="B495" s="54" t="str">
        <f>IFERROR(VLOOKUP(A495,Lookup!A:B,2,0),"")</f>
        <v/>
      </c>
      <c r="C495" s="54" t="str">
        <f>IFERROR(VLOOKUP(A495,Lookup!A:C,3,0),"")</f>
        <v/>
      </c>
      <c r="J495" s="103">
        <f>VLOOKUP(A495&amp;G495,Lookup!J:N,5,0)</f>
        <v>0</v>
      </c>
      <c r="O495" s="57">
        <f>IFERROR(VLOOKUP(A495&amp;G495,Lookup!J:K,2,0),"")</f>
        <v>0</v>
      </c>
      <c r="P495" s="110" t="str">
        <f t="shared" si="48"/>
        <v/>
      </c>
      <c r="R495" s="58" t="str">
        <f t="shared" si="50"/>
        <v/>
      </c>
      <c r="T495" s="59" t="e">
        <f t="shared" si="49"/>
        <v>#VALUE!</v>
      </c>
      <c r="U495" s="59"/>
      <c r="X495" s="60" t="str">
        <f t="shared" si="51"/>
        <v>D</v>
      </c>
    </row>
    <row r="496" spans="2:24" x14ac:dyDescent="0.25">
      <c r="B496" s="54" t="str">
        <f>IFERROR(VLOOKUP(A496,Lookup!A:B,2,0),"")</f>
        <v/>
      </c>
      <c r="C496" s="54" t="str">
        <f>IFERROR(VLOOKUP(A496,Lookup!A:C,3,0),"")</f>
        <v/>
      </c>
      <c r="J496" s="103">
        <f>VLOOKUP(A496&amp;G496,Lookup!J:N,5,0)</f>
        <v>0</v>
      </c>
      <c r="O496" s="57">
        <f>IFERROR(VLOOKUP(A496&amp;G496,Lookup!J:K,2,0),"")</f>
        <v>0</v>
      </c>
      <c r="P496" s="110" t="str">
        <f t="shared" si="48"/>
        <v/>
      </c>
      <c r="R496" s="58" t="str">
        <f t="shared" si="50"/>
        <v/>
      </c>
      <c r="T496" s="59" t="e">
        <f t="shared" si="49"/>
        <v>#VALUE!</v>
      </c>
      <c r="U496" s="59"/>
      <c r="X496" s="60" t="str">
        <f t="shared" si="51"/>
        <v>D</v>
      </c>
    </row>
    <row r="497" spans="2:24" x14ac:dyDescent="0.25">
      <c r="B497" s="54" t="str">
        <f>IFERROR(VLOOKUP(A497,Lookup!A:B,2,0),"")</f>
        <v/>
      </c>
      <c r="C497" s="54" t="str">
        <f>IFERROR(VLOOKUP(A497,Lookup!A:C,3,0),"")</f>
        <v/>
      </c>
      <c r="J497" s="103">
        <f>VLOOKUP(A497&amp;G497,Lookup!J:N,5,0)</f>
        <v>0</v>
      </c>
      <c r="O497" s="57">
        <f>IFERROR(VLOOKUP(A497&amp;G497,Lookup!J:K,2,0),"")</f>
        <v>0</v>
      </c>
      <c r="P497" s="110" t="str">
        <f t="shared" si="48"/>
        <v/>
      </c>
      <c r="R497" s="58" t="str">
        <f t="shared" si="50"/>
        <v/>
      </c>
      <c r="T497" s="59" t="e">
        <f t="shared" si="49"/>
        <v>#VALUE!</v>
      </c>
      <c r="U497" s="59"/>
      <c r="X497" s="60" t="str">
        <f t="shared" si="51"/>
        <v>D</v>
      </c>
    </row>
    <row r="498" spans="2:24" x14ac:dyDescent="0.25">
      <c r="B498" s="54" t="str">
        <f>IFERROR(VLOOKUP(A498,Lookup!A:B,2,0),"")</f>
        <v/>
      </c>
      <c r="C498" s="54" t="str">
        <f>IFERROR(VLOOKUP(A498,Lookup!A:C,3,0),"")</f>
        <v/>
      </c>
      <c r="J498" s="103">
        <f>VLOOKUP(A498&amp;G498,Lookup!J:N,5,0)</f>
        <v>0</v>
      </c>
      <c r="O498" s="57">
        <f>IFERROR(VLOOKUP(A498&amp;G498,Lookup!J:K,2,0),"")</f>
        <v>0</v>
      </c>
      <c r="P498" s="110" t="str">
        <f t="shared" si="48"/>
        <v/>
      </c>
      <c r="R498" s="58" t="str">
        <f t="shared" si="50"/>
        <v/>
      </c>
      <c r="T498" s="59" t="e">
        <f t="shared" si="49"/>
        <v>#VALUE!</v>
      </c>
      <c r="U498" s="59"/>
      <c r="X498" s="60" t="str">
        <f t="shared" si="51"/>
        <v>D</v>
      </c>
    </row>
    <row r="499" spans="2:24" x14ac:dyDescent="0.25">
      <c r="B499" s="54" t="str">
        <f>IFERROR(VLOOKUP(A499,Lookup!A:B,2,0),"")</f>
        <v/>
      </c>
      <c r="C499" s="54" t="str">
        <f>IFERROR(VLOOKUP(A499,Lookup!A:C,3,0),"")</f>
        <v/>
      </c>
      <c r="J499" s="103">
        <f>VLOOKUP(A499&amp;G499,Lookup!J:N,5,0)</f>
        <v>0</v>
      </c>
      <c r="O499" s="57">
        <f>IFERROR(VLOOKUP(A499&amp;G499,Lookup!J:K,2,0),"")</f>
        <v>0</v>
      </c>
      <c r="P499" s="110" t="str">
        <f t="shared" si="48"/>
        <v/>
      </c>
      <c r="R499" s="58" t="str">
        <f t="shared" si="50"/>
        <v/>
      </c>
      <c r="T499" s="59" t="e">
        <f t="shared" si="49"/>
        <v>#VALUE!</v>
      </c>
      <c r="U499" s="59"/>
      <c r="X499" s="60" t="str">
        <f t="shared" si="51"/>
        <v>D</v>
      </c>
    </row>
    <row r="500" spans="2:24" x14ac:dyDescent="0.25">
      <c r="B500" s="54" t="str">
        <f>IFERROR(VLOOKUP(A500,Lookup!A:B,2,0),"")</f>
        <v/>
      </c>
      <c r="C500" s="54" t="str">
        <f>IFERROR(VLOOKUP(A500,Lookup!A:C,3,0),"")</f>
        <v/>
      </c>
      <c r="J500" s="103">
        <f>VLOOKUP(A500&amp;G500,Lookup!J:N,5,0)</f>
        <v>0</v>
      </c>
      <c r="O500" s="57">
        <f>IFERROR(VLOOKUP(A500&amp;G500,Lookup!J:K,2,0),"")</f>
        <v>0</v>
      </c>
      <c r="P500" s="110" t="str">
        <f t="shared" si="48"/>
        <v/>
      </c>
      <c r="R500" s="58" t="str">
        <f t="shared" si="50"/>
        <v/>
      </c>
      <c r="T500" s="59" t="e">
        <f t="shared" si="49"/>
        <v>#VALUE!</v>
      </c>
      <c r="U500" s="59"/>
      <c r="X500" s="60" t="str">
        <f t="shared" si="51"/>
        <v>D</v>
      </c>
    </row>
    <row r="501" spans="2:24" x14ac:dyDescent="0.25">
      <c r="B501" s="54" t="str">
        <f>IFERROR(VLOOKUP(A501,Lookup!A:B,2,0),"")</f>
        <v/>
      </c>
      <c r="C501" s="54" t="str">
        <f>IFERROR(VLOOKUP(A501,Lookup!A:C,3,0),"")</f>
        <v/>
      </c>
      <c r="J501" s="103">
        <f>VLOOKUP(A501&amp;G501,Lookup!J:N,5,0)</f>
        <v>0</v>
      </c>
      <c r="O501" s="57">
        <f>IFERROR(VLOOKUP(A501&amp;G501,Lookup!J:K,2,0),"")</f>
        <v>0</v>
      </c>
      <c r="P501" s="110" t="str">
        <f t="shared" si="48"/>
        <v/>
      </c>
      <c r="R501" s="58" t="str">
        <f t="shared" si="50"/>
        <v/>
      </c>
      <c r="T501" s="59" t="e">
        <f t="shared" si="49"/>
        <v>#VALUE!</v>
      </c>
      <c r="U501" s="59"/>
      <c r="X501" s="60" t="str">
        <f t="shared" si="51"/>
        <v>D</v>
      </c>
    </row>
    <row r="502" spans="2:24" x14ac:dyDescent="0.25">
      <c r="B502" s="54" t="str">
        <f>IFERROR(VLOOKUP(A502,Lookup!A:B,2,0),"")</f>
        <v/>
      </c>
      <c r="C502" s="54" t="str">
        <f>IFERROR(VLOOKUP(A502,Lookup!A:C,3,0),"")</f>
        <v/>
      </c>
      <c r="J502" s="103">
        <f>VLOOKUP(A502&amp;G502,Lookup!J:N,5,0)</f>
        <v>0</v>
      </c>
      <c r="O502" s="57">
        <f>IFERROR(VLOOKUP(A502&amp;G502,Lookup!J:K,2,0),"")</f>
        <v>0</v>
      </c>
      <c r="P502" s="110" t="str">
        <f t="shared" si="48"/>
        <v/>
      </c>
      <c r="R502" s="58" t="str">
        <f t="shared" si="50"/>
        <v/>
      </c>
      <c r="T502" s="59" t="e">
        <f t="shared" si="49"/>
        <v>#VALUE!</v>
      </c>
      <c r="U502" s="59"/>
      <c r="X502" s="60" t="str">
        <f t="shared" si="51"/>
        <v>D</v>
      </c>
    </row>
    <row r="503" spans="2:24" x14ac:dyDescent="0.25">
      <c r="B503" s="54" t="str">
        <f>IFERROR(VLOOKUP(A503,Lookup!A:B,2,0),"")</f>
        <v/>
      </c>
      <c r="C503" s="54" t="str">
        <f>IFERROR(VLOOKUP(A503,Lookup!A:C,3,0),"")</f>
        <v/>
      </c>
      <c r="J503" s="103">
        <f>VLOOKUP(A503&amp;G503,Lookup!J:N,5,0)</f>
        <v>0</v>
      </c>
      <c r="O503" s="57">
        <f>IFERROR(VLOOKUP(A503&amp;G503,Lookup!J:K,2,0),"")</f>
        <v>0</v>
      </c>
      <c r="P503" s="110" t="str">
        <f t="shared" si="48"/>
        <v/>
      </c>
      <c r="R503" s="58" t="str">
        <f t="shared" si="50"/>
        <v/>
      </c>
      <c r="T503" s="59" t="e">
        <f t="shared" si="49"/>
        <v>#VALUE!</v>
      </c>
      <c r="U503" s="59"/>
      <c r="X503" s="60" t="str">
        <f t="shared" si="51"/>
        <v>D</v>
      </c>
    </row>
    <row r="504" spans="2:24" x14ac:dyDescent="0.25">
      <c r="B504" s="54" t="str">
        <f>IFERROR(VLOOKUP(A504,Lookup!A:B,2,0),"")</f>
        <v/>
      </c>
      <c r="C504" s="54" t="str">
        <f>IFERROR(VLOOKUP(A504,Lookup!A:C,3,0),"")</f>
        <v/>
      </c>
      <c r="J504" s="103">
        <f>VLOOKUP(A504&amp;G504,Lookup!J:N,5,0)</f>
        <v>0</v>
      </c>
      <c r="O504" s="57">
        <f>IFERROR(VLOOKUP(A504&amp;G504,Lookup!J:K,2,0),"")</f>
        <v>0</v>
      </c>
      <c r="P504" s="110" t="str">
        <f t="shared" si="48"/>
        <v/>
      </c>
      <c r="R504" s="58" t="str">
        <f t="shared" si="50"/>
        <v/>
      </c>
      <c r="T504" s="59" t="e">
        <f t="shared" si="49"/>
        <v>#VALUE!</v>
      </c>
      <c r="U504" s="59"/>
      <c r="X504" s="60" t="str">
        <f t="shared" si="51"/>
        <v>D</v>
      </c>
    </row>
    <row r="505" spans="2:24" x14ac:dyDescent="0.25">
      <c r="B505" s="54" t="str">
        <f>IFERROR(VLOOKUP(A505,Lookup!A:B,2,0),"")</f>
        <v/>
      </c>
      <c r="C505" s="54" t="str">
        <f>IFERROR(VLOOKUP(A505,Lookup!A:C,3,0),"")</f>
        <v/>
      </c>
      <c r="J505" s="103">
        <f>VLOOKUP(A505&amp;G505,Lookup!J:N,5,0)</f>
        <v>0</v>
      </c>
      <c r="O505" s="57">
        <f>IFERROR(VLOOKUP(A505&amp;G505,Lookup!J:K,2,0),"")</f>
        <v>0</v>
      </c>
      <c r="P505" s="110" t="str">
        <f t="shared" si="48"/>
        <v/>
      </c>
      <c r="R505" s="58" t="str">
        <f t="shared" si="50"/>
        <v/>
      </c>
      <c r="T505" s="59" t="e">
        <f t="shared" si="49"/>
        <v>#VALUE!</v>
      </c>
      <c r="U505" s="59"/>
      <c r="X505" s="60" t="str">
        <f t="shared" si="51"/>
        <v>D</v>
      </c>
    </row>
    <row r="506" spans="2:24" x14ac:dyDescent="0.25">
      <c r="B506" s="54" t="str">
        <f>IFERROR(VLOOKUP(A506,Lookup!A:B,2,0),"")</f>
        <v/>
      </c>
      <c r="C506" s="54" t="str">
        <f>IFERROR(VLOOKUP(A506,Lookup!A:C,3,0),"")</f>
        <v/>
      </c>
      <c r="J506" s="103">
        <f>VLOOKUP(A506&amp;G506,Lookup!J:N,5,0)</f>
        <v>0</v>
      </c>
      <c r="O506" s="57">
        <f>IFERROR(VLOOKUP(A506&amp;G506,Lookup!J:K,2,0),"")</f>
        <v>0</v>
      </c>
      <c r="P506" s="110" t="str">
        <f t="shared" si="48"/>
        <v/>
      </c>
      <c r="R506" s="58" t="str">
        <f t="shared" si="50"/>
        <v/>
      </c>
      <c r="T506" s="59" t="e">
        <f t="shared" si="49"/>
        <v>#VALUE!</v>
      </c>
      <c r="U506" s="59"/>
      <c r="X506" s="60" t="str">
        <f t="shared" si="51"/>
        <v>D</v>
      </c>
    </row>
    <row r="507" spans="2:24" x14ac:dyDescent="0.25">
      <c r="B507" s="54" t="str">
        <f>IFERROR(VLOOKUP(A507,Lookup!A:B,2,0),"")</f>
        <v/>
      </c>
      <c r="C507" s="54" t="str">
        <f>IFERROR(VLOOKUP(A507,Lookup!A:C,3,0),"")</f>
        <v/>
      </c>
      <c r="J507" s="103">
        <f>VLOOKUP(A507&amp;G507,Lookup!J:N,5,0)</f>
        <v>0</v>
      </c>
      <c r="O507" s="57">
        <f>IFERROR(VLOOKUP(A507&amp;G507,Lookup!J:K,2,0),"")</f>
        <v>0</v>
      </c>
      <c r="P507" s="110" t="str">
        <f t="shared" si="48"/>
        <v/>
      </c>
      <c r="R507" s="58" t="str">
        <f t="shared" si="50"/>
        <v/>
      </c>
      <c r="T507" s="59" t="e">
        <f t="shared" si="49"/>
        <v>#VALUE!</v>
      </c>
      <c r="U507" s="59"/>
      <c r="X507" s="60" t="str">
        <f t="shared" si="51"/>
        <v>D</v>
      </c>
    </row>
    <row r="508" spans="2:24" x14ac:dyDescent="0.25">
      <c r="B508" s="54" t="str">
        <f>IFERROR(VLOOKUP(A508,Lookup!A:B,2,0),"")</f>
        <v/>
      </c>
      <c r="C508" s="54" t="str">
        <f>IFERROR(VLOOKUP(A508,Lookup!A:C,3,0),"")</f>
        <v/>
      </c>
      <c r="J508" s="103">
        <f>VLOOKUP(A508&amp;G508,Lookup!J:N,5,0)</f>
        <v>0</v>
      </c>
      <c r="O508" s="57">
        <f>IFERROR(VLOOKUP(A508&amp;G508,Lookup!J:K,2,0),"")</f>
        <v>0</v>
      </c>
      <c r="P508" s="110" t="str">
        <f t="shared" si="48"/>
        <v/>
      </c>
      <c r="R508" s="58" t="str">
        <f t="shared" si="50"/>
        <v/>
      </c>
      <c r="T508" s="59" t="e">
        <f t="shared" si="49"/>
        <v>#VALUE!</v>
      </c>
      <c r="U508" s="59"/>
      <c r="X508" s="60" t="str">
        <f t="shared" si="51"/>
        <v>D</v>
      </c>
    </row>
    <row r="509" spans="2:24" x14ac:dyDescent="0.25">
      <c r="B509" s="54" t="str">
        <f>IFERROR(VLOOKUP(A509,Lookup!A:B,2,0),"")</f>
        <v/>
      </c>
      <c r="C509" s="54" t="str">
        <f>IFERROR(VLOOKUP(A509,Lookup!A:C,3,0),"")</f>
        <v/>
      </c>
      <c r="J509" s="103">
        <f>VLOOKUP(A509&amp;G509,Lookup!J:N,5,0)</f>
        <v>0</v>
      </c>
      <c r="O509" s="57">
        <f>IFERROR(VLOOKUP(A509&amp;G509,Lookup!J:K,2,0),"")</f>
        <v>0</v>
      </c>
      <c r="P509" s="110" t="str">
        <f t="shared" si="48"/>
        <v/>
      </c>
      <c r="R509" s="58" t="str">
        <f t="shared" si="50"/>
        <v/>
      </c>
      <c r="T509" s="59" t="e">
        <f t="shared" si="49"/>
        <v>#VALUE!</v>
      </c>
      <c r="U509" s="59"/>
      <c r="X509" s="60" t="str">
        <f t="shared" si="51"/>
        <v>D</v>
      </c>
    </row>
    <row r="510" spans="2:24" x14ac:dyDescent="0.25">
      <c r="B510" s="54" t="str">
        <f>IFERROR(VLOOKUP(A510,Lookup!A:B,2,0),"")</f>
        <v/>
      </c>
      <c r="C510" s="54" t="str">
        <f>IFERROR(VLOOKUP(A510,Lookup!A:C,3,0),"")</f>
        <v/>
      </c>
      <c r="J510" s="103">
        <f>VLOOKUP(A510&amp;G510,Lookup!J:N,5,0)</f>
        <v>0</v>
      </c>
      <c r="O510" s="57">
        <f>IFERROR(VLOOKUP(A510&amp;G510,Lookup!J:K,2,0),"")</f>
        <v>0</v>
      </c>
      <c r="P510" s="110" t="str">
        <f t="shared" si="48"/>
        <v/>
      </c>
      <c r="R510" s="58" t="str">
        <f t="shared" si="50"/>
        <v/>
      </c>
      <c r="T510" s="59" t="e">
        <f t="shared" si="49"/>
        <v>#VALUE!</v>
      </c>
      <c r="U510" s="59"/>
      <c r="X510" s="60" t="str">
        <f t="shared" si="51"/>
        <v>D</v>
      </c>
    </row>
    <row r="511" spans="2:24" x14ac:dyDescent="0.25">
      <c r="B511" s="54" t="str">
        <f>IFERROR(VLOOKUP(A511,Lookup!A:B,2,0),"")</f>
        <v/>
      </c>
      <c r="C511" s="54" t="str">
        <f>IFERROR(VLOOKUP(A511,Lookup!A:C,3,0),"")</f>
        <v/>
      </c>
      <c r="J511" s="103">
        <f>VLOOKUP(A511&amp;G511,Lookup!J:N,5,0)</f>
        <v>0</v>
      </c>
      <c r="O511" s="57">
        <f>IFERROR(VLOOKUP(A511&amp;G511,Lookup!J:K,2,0),"")</f>
        <v>0</v>
      </c>
      <c r="P511" s="110" t="str">
        <f t="shared" si="48"/>
        <v/>
      </c>
      <c r="R511" s="58" t="str">
        <f t="shared" si="50"/>
        <v/>
      </c>
      <c r="T511" s="59" t="e">
        <f t="shared" si="49"/>
        <v>#VALUE!</v>
      </c>
      <c r="U511" s="59"/>
      <c r="X511" s="60" t="str">
        <f t="shared" si="51"/>
        <v>D</v>
      </c>
    </row>
    <row r="512" spans="2:24" x14ac:dyDescent="0.25">
      <c r="B512" s="54" t="str">
        <f>IFERROR(VLOOKUP(A512,Lookup!A:B,2,0),"")</f>
        <v/>
      </c>
      <c r="C512" s="54" t="str">
        <f>IFERROR(VLOOKUP(A512,Lookup!A:C,3,0),"")</f>
        <v/>
      </c>
      <c r="J512" s="103">
        <f>VLOOKUP(A512&amp;G512,Lookup!J:N,5,0)</f>
        <v>0</v>
      </c>
      <c r="O512" s="57">
        <f>IFERROR(VLOOKUP(A512&amp;G512,Lookup!J:K,2,0),"")</f>
        <v>0</v>
      </c>
      <c r="P512" s="110" t="str">
        <f t="shared" si="48"/>
        <v/>
      </c>
      <c r="R512" s="58" t="str">
        <f t="shared" si="50"/>
        <v/>
      </c>
      <c r="T512" s="59" t="e">
        <f t="shared" si="49"/>
        <v>#VALUE!</v>
      </c>
      <c r="U512" s="59"/>
      <c r="X512" s="60" t="str">
        <f t="shared" si="51"/>
        <v>D</v>
      </c>
    </row>
    <row r="513" spans="2:24" x14ac:dyDescent="0.25">
      <c r="B513" s="54" t="str">
        <f>IFERROR(VLOOKUP(A513,Lookup!A:B,2,0),"")</f>
        <v/>
      </c>
      <c r="C513" s="54" t="str">
        <f>IFERROR(VLOOKUP(A513,Lookup!A:C,3,0),"")</f>
        <v/>
      </c>
      <c r="J513" s="103">
        <f>VLOOKUP(A513&amp;G513,Lookup!J:N,5,0)</f>
        <v>0</v>
      </c>
      <c r="O513" s="57">
        <f>IFERROR(VLOOKUP(A513&amp;G513,Lookup!J:K,2,0),"")</f>
        <v>0</v>
      </c>
      <c r="P513" s="110" t="str">
        <f t="shared" si="48"/>
        <v/>
      </c>
      <c r="R513" s="58" t="str">
        <f t="shared" si="50"/>
        <v/>
      </c>
      <c r="T513" s="59" t="e">
        <f t="shared" si="49"/>
        <v>#VALUE!</v>
      </c>
      <c r="U513" s="59"/>
      <c r="X513" s="60" t="str">
        <f t="shared" si="51"/>
        <v>D</v>
      </c>
    </row>
    <row r="514" spans="2:24" x14ac:dyDescent="0.25">
      <c r="B514" s="54" t="str">
        <f>IFERROR(VLOOKUP(A514,Lookup!A:B,2,0),"")</f>
        <v/>
      </c>
      <c r="C514" s="54" t="str">
        <f>IFERROR(VLOOKUP(A514,Lookup!A:C,3,0),"")</f>
        <v/>
      </c>
      <c r="J514" s="103">
        <f>VLOOKUP(A514&amp;G514,Lookup!J:N,5,0)</f>
        <v>0</v>
      </c>
      <c r="O514" s="57">
        <f>IFERROR(VLOOKUP(A514&amp;G514,Lookup!J:K,2,0),"")</f>
        <v>0</v>
      </c>
      <c r="P514" s="110" t="str">
        <f t="shared" si="48"/>
        <v/>
      </c>
      <c r="R514" s="58" t="str">
        <f t="shared" si="50"/>
        <v/>
      </c>
      <c r="T514" s="59" t="e">
        <f t="shared" si="49"/>
        <v>#VALUE!</v>
      </c>
      <c r="U514" s="59"/>
      <c r="X514" s="60" t="str">
        <f t="shared" si="51"/>
        <v>D</v>
      </c>
    </row>
    <row r="515" spans="2:24" x14ac:dyDescent="0.25">
      <c r="B515" s="54" t="str">
        <f>IFERROR(VLOOKUP(A515,Lookup!A:B,2,0),"")</f>
        <v/>
      </c>
      <c r="C515" s="54" t="str">
        <f>IFERROR(VLOOKUP(A515,Lookup!A:C,3,0),"")</f>
        <v/>
      </c>
      <c r="J515" s="103">
        <f>VLOOKUP(A515&amp;G515,Lookup!J:N,5,0)</f>
        <v>0</v>
      </c>
      <c r="O515" s="57">
        <f>IFERROR(VLOOKUP(A515&amp;G515,Lookup!J:K,2,0),"")</f>
        <v>0</v>
      </c>
      <c r="P515" s="110" t="str">
        <f t="shared" si="48"/>
        <v/>
      </c>
      <c r="R515" s="58" t="str">
        <f t="shared" si="50"/>
        <v/>
      </c>
      <c r="T515" s="59" t="e">
        <f t="shared" si="49"/>
        <v>#VALUE!</v>
      </c>
      <c r="U515" s="59"/>
      <c r="X515" s="60" t="str">
        <f t="shared" si="51"/>
        <v>D</v>
      </c>
    </row>
    <row r="516" spans="2:24" x14ac:dyDescent="0.25">
      <c r="B516" s="54" t="str">
        <f>IFERROR(VLOOKUP(A516,Lookup!A:B,2,0),"")</f>
        <v/>
      </c>
      <c r="C516" s="54" t="str">
        <f>IFERROR(VLOOKUP(A516,Lookup!A:C,3,0),"")</f>
        <v/>
      </c>
      <c r="J516" s="103">
        <f>VLOOKUP(A516&amp;G516,Lookup!J:N,5,0)</f>
        <v>0</v>
      </c>
      <c r="O516" s="57">
        <f>IFERROR(VLOOKUP(A516&amp;G516,Lookup!J:K,2,0),"")</f>
        <v>0</v>
      </c>
      <c r="P516" s="110" t="str">
        <f t="shared" ref="P516:P579" si="52">IF(N516="","",N516+O516)</f>
        <v/>
      </c>
      <c r="R516" s="58" t="str">
        <f t="shared" si="50"/>
        <v/>
      </c>
      <c r="T516" s="59" t="e">
        <f t="shared" si="49"/>
        <v>#VALUE!</v>
      </c>
      <c r="U516" s="59"/>
      <c r="X516" s="60" t="str">
        <f t="shared" si="51"/>
        <v>D</v>
      </c>
    </row>
    <row r="517" spans="2:24" x14ac:dyDescent="0.25">
      <c r="B517" s="54" t="str">
        <f>IFERROR(VLOOKUP(A517,Lookup!A:B,2,0),"")</f>
        <v/>
      </c>
      <c r="C517" s="54" t="str">
        <f>IFERROR(VLOOKUP(A517,Lookup!A:C,3,0),"")</f>
        <v/>
      </c>
      <c r="J517" s="103">
        <f>VLOOKUP(A517&amp;G517,Lookup!J:N,5,0)</f>
        <v>0</v>
      </c>
      <c r="O517" s="57">
        <f>IFERROR(VLOOKUP(A517&amp;G517,Lookup!J:K,2,0),"")</f>
        <v>0</v>
      </c>
      <c r="P517" s="110" t="str">
        <f t="shared" si="52"/>
        <v/>
      </c>
      <c r="R517" s="58" t="str">
        <f t="shared" si="50"/>
        <v/>
      </c>
      <c r="T517" s="59" t="e">
        <f t="shared" si="49"/>
        <v>#VALUE!</v>
      </c>
      <c r="U517" s="59"/>
      <c r="X517" s="60" t="str">
        <f t="shared" si="51"/>
        <v>D</v>
      </c>
    </row>
    <row r="518" spans="2:24" x14ac:dyDescent="0.25">
      <c r="B518" s="54" t="str">
        <f>IFERROR(VLOOKUP(A518,Lookup!A:B,2,0),"")</f>
        <v/>
      </c>
      <c r="C518" s="54" t="str">
        <f>IFERROR(VLOOKUP(A518,Lookup!A:C,3,0),"")</f>
        <v/>
      </c>
      <c r="J518" s="103">
        <f>VLOOKUP(A518&amp;G518,Lookup!J:N,5,0)</f>
        <v>0</v>
      </c>
      <c r="O518" s="57">
        <f>IFERROR(VLOOKUP(A518&amp;G518,Lookup!J:K,2,0),"")</f>
        <v>0</v>
      </c>
      <c r="P518" s="110" t="str">
        <f t="shared" si="52"/>
        <v/>
      </c>
      <c r="R518" s="58" t="str">
        <f t="shared" si="50"/>
        <v/>
      </c>
      <c r="T518" s="59" t="e">
        <f t="shared" si="49"/>
        <v>#VALUE!</v>
      </c>
      <c r="U518" s="59"/>
      <c r="X518" s="60" t="str">
        <f t="shared" si="51"/>
        <v>D</v>
      </c>
    </row>
    <row r="519" spans="2:24" x14ac:dyDescent="0.25">
      <c r="B519" s="54" t="str">
        <f>IFERROR(VLOOKUP(A519,Lookup!A:B,2,0),"")</f>
        <v/>
      </c>
      <c r="C519" s="54" t="str">
        <f>IFERROR(VLOOKUP(A519,Lookup!A:C,3,0),"")</f>
        <v/>
      </c>
      <c r="J519" s="103">
        <f>VLOOKUP(A519&amp;G519,Lookup!J:N,5,0)</f>
        <v>0</v>
      </c>
      <c r="O519" s="57">
        <f>IFERROR(VLOOKUP(A519&amp;G519,Lookup!J:K,2,0),"")</f>
        <v>0</v>
      </c>
      <c r="P519" s="110" t="str">
        <f t="shared" si="52"/>
        <v/>
      </c>
      <c r="R519" s="58" t="str">
        <f t="shared" si="50"/>
        <v/>
      </c>
      <c r="T519" s="59" t="e">
        <f t="shared" si="49"/>
        <v>#VALUE!</v>
      </c>
      <c r="U519" s="59"/>
      <c r="X519" s="60" t="str">
        <f t="shared" si="51"/>
        <v>D</v>
      </c>
    </row>
    <row r="520" spans="2:24" x14ac:dyDescent="0.25">
      <c r="B520" s="54" t="str">
        <f>IFERROR(VLOOKUP(A520,Lookup!A:B,2,0),"")</f>
        <v/>
      </c>
      <c r="C520" s="54" t="str">
        <f>IFERROR(VLOOKUP(A520,Lookup!A:C,3,0),"")</f>
        <v/>
      </c>
      <c r="J520" s="103">
        <f>VLOOKUP(A520&amp;G520,Lookup!J:N,5,0)</f>
        <v>0</v>
      </c>
      <c r="O520" s="57">
        <f>IFERROR(VLOOKUP(A520&amp;G520,Lookup!J:K,2,0),"")</f>
        <v>0</v>
      </c>
      <c r="P520" s="110" t="str">
        <f t="shared" si="52"/>
        <v/>
      </c>
      <c r="R520" s="58" t="str">
        <f t="shared" si="50"/>
        <v/>
      </c>
      <c r="T520" s="59" t="e">
        <f t="shared" si="49"/>
        <v>#VALUE!</v>
      </c>
      <c r="U520" s="59"/>
      <c r="X520" s="60" t="str">
        <f t="shared" si="51"/>
        <v>D</v>
      </c>
    </row>
    <row r="521" spans="2:24" x14ac:dyDescent="0.25">
      <c r="B521" s="54" t="str">
        <f>IFERROR(VLOOKUP(A521,Lookup!A:B,2,0),"")</f>
        <v/>
      </c>
      <c r="C521" s="54" t="str">
        <f>IFERROR(VLOOKUP(A521,Lookup!A:C,3,0),"")</f>
        <v/>
      </c>
      <c r="J521" s="103">
        <f>VLOOKUP(A521&amp;G521,Lookup!J:N,5,0)</f>
        <v>0</v>
      </c>
      <c r="O521" s="57">
        <f>IFERROR(VLOOKUP(A521&amp;G521,Lookup!J:K,2,0),"")</f>
        <v>0</v>
      </c>
      <c r="P521" s="110" t="str">
        <f t="shared" si="52"/>
        <v/>
      </c>
      <c r="R521" s="58" t="str">
        <f t="shared" si="50"/>
        <v/>
      </c>
      <c r="T521" s="59" t="e">
        <f t="shared" si="49"/>
        <v>#VALUE!</v>
      </c>
      <c r="U521" s="59"/>
      <c r="X521" s="60" t="str">
        <f t="shared" si="51"/>
        <v>D</v>
      </c>
    </row>
    <row r="522" spans="2:24" x14ac:dyDescent="0.25">
      <c r="B522" s="54" t="str">
        <f>IFERROR(VLOOKUP(A522,Lookup!A:B,2,0),"")</f>
        <v/>
      </c>
      <c r="C522" s="54" t="str">
        <f>IFERROR(VLOOKUP(A522,Lookup!A:C,3,0),"")</f>
        <v/>
      </c>
      <c r="J522" s="103">
        <f>VLOOKUP(A522&amp;G522,Lookup!J:N,5,0)</f>
        <v>0</v>
      </c>
      <c r="O522" s="57">
        <f>IFERROR(VLOOKUP(A522&amp;G522,Lookup!J:K,2,0),"")</f>
        <v>0</v>
      </c>
      <c r="P522" s="110" t="str">
        <f t="shared" si="52"/>
        <v/>
      </c>
      <c r="R522" s="58" t="str">
        <f t="shared" si="50"/>
        <v/>
      </c>
      <c r="T522" s="59" t="e">
        <f t="shared" si="49"/>
        <v>#VALUE!</v>
      </c>
      <c r="U522" s="59"/>
      <c r="X522" s="60" t="str">
        <f t="shared" si="51"/>
        <v>D</v>
      </c>
    </row>
    <row r="523" spans="2:24" x14ac:dyDescent="0.25">
      <c r="B523" s="54" t="str">
        <f>IFERROR(VLOOKUP(A523,Lookup!A:B,2,0),"")</f>
        <v/>
      </c>
      <c r="C523" s="54" t="str">
        <f>IFERROR(VLOOKUP(A523,Lookup!A:C,3,0),"")</f>
        <v/>
      </c>
      <c r="J523" s="103">
        <f>VLOOKUP(A523&amp;G523,Lookup!J:N,5,0)</f>
        <v>0</v>
      </c>
      <c r="O523" s="57">
        <f>IFERROR(VLOOKUP(A523&amp;G523,Lookup!J:K,2,0),"")</f>
        <v>0</v>
      </c>
      <c r="P523" s="110" t="str">
        <f t="shared" si="52"/>
        <v/>
      </c>
      <c r="R523" s="58" t="str">
        <f t="shared" si="50"/>
        <v/>
      </c>
      <c r="T523" s="59" t="e">
        <f t="shared" si="49"/>
        <v>#VALUE!</v>
      </c>
      <c r="U523" s="59"/>
      <c r="X523" s="60" t="str">
        <f t="shared" si="51"/>
        <v>D</v>
      </c>
    </row>
    <row r="524" spans="2:24" x14ac:dyDescent="0.25">
      <c r="B524" s="54" t="str">
        <f>IFERROR(VLOOKUP(A524,Lookup!A:B,2,0),"")</f>
        <v/>
      </c>
      <c r="C524" s="54" t="str">
        <f>IFERROR(VLOOKUP(A524,Lookup!A:C,3,0),"")</f>
        <v/>
      </c>
      <c r="J524" s="103">
        <f>VLOOKUP(A524&amp;G524,Lookup!J:N,5,0)</f>
        <v>0</v>
      </c>
      <c r="O524" s="57">
        <f>IFERROR(VLOOKUP(A524&amp;G524,Lookup!J:K,2,0),"")</f>
        <v>0</v>
      </c>
      <c r="P524" s="110" t="str">
        <f t="shared" si="52"/>
        <v/>
      </c>
      <c r="R524" s="58" t="str">
        <f t="shared" si="50"/>
        <v/>
      </c>
      <c r="T524" s="59" t="e">
        <f t="shared" si="49"/>
        <v>#VALUE!</v>
      </c>
      <c r="U524" s="59"/>
      <c r="X524" s="60" t="str">
        <f t="shared" si="51"/>
        <v>D</v>
      </c>
    </row>
    <row r="525" spans="2:24" x14ac:dyDescent="0.25">
      <c r="B525" s="54" t="str">
        <f>IFERROR(VLOOKUP(A525,Lookup!A:B,2,0),"")</f>
        <v/>
      </c>
      <c r="C525" s="54" t="str">
        <f>IFERROR(VLOOKUP(A525,Lookup!A:C,3,0),"")</f>
        <v/>
      </c>
      <c r="J525" s="103">
        <f>VLOOKUP(A525&amp;G525,Lookup!J:N,5,0)</f>
        <v>0</v>
      </c>
      <c r="O525" s="57">
        <f>IFERROR(VLOOKUP(A525&amp;G525,Lookup!J:K,2,0),"")</f>
        <v>0</v>
      </c>
      <c r="P525" s="110" t="str">
        <f t="shared" si="52"/>
        <v/>
      </c>
      <c r="R525" s="58" t="str">
        <f t="shared" si="50"/>
        <v/>
      </c>
      <c r="T525" s="59" t="e">
        <f t="shared" si="49"/>
        <v>#VALUE!</v>
      </c>
      <c r="U525" s="59"/>
      <c r="X525" s="60" t="str">
        <f t="shared" si="51"/>
        <v>D</v>
      </c>
    </row>
    <row r="526" spans="2:24" x14ac:dyDescent="0.25">
      <c r="B526" s="54" t="str">
        <f>IFERROR(VLOOKUP(A526,Lookup!A:B,2,0),"")</f>
        <v/>
      </c>
      <c r="C526" s="54" t="str">
        <f>IFERROR(VLOOKUP(A526,Lookup!A:C,3,0),"")</f>
        <v/>
      </c>
      <c r="J526" s="103">
        <f>VLOOKUP(A526&amp;G526,Lookup!J:N,5,0)</f>
        <v>0</v>
      </c>
      <c r="O526" s="57">
        <f>IFERROR(VLOOKUP(A526&amp;G526,Lookup!J:K,2,0),"")</f>
        <v>0</v>
      </c>
      <c r="P526" s="110" t="str">
        <f t="shared" si="52"/>
        <v/>
      </c>
      <c r="T526" s="59" t="e">
        <f t="shared" ref="T526:T589" si="53">IF(Q526-P526&gt;0.0415,"YES",(IF(OR(EXACT(Q526,""), EXACT(P526,"")),"","NO")))</f>
        <v>#VALUE!</v>
      </c>
      <c r="U526" s="59"/>
      <c r="X526" s="60" t="str">
        <f t="shared" si="51"/>
        <v>D</v>
      </c>
    </row>
    <row r="527" spans="2:24" x14ac:dyDescent="0.25">
      <c r="B527" s="54" t="str">
        <f>IFERROR(VLOOKUP(A527,Lookup!A:B,2,0),"")</f>
        <v/>
      </c>
      <c r="C527" s="54" t="str">
        <f>IFERROR(VLOOKUP(A527,Lookup!A:C,3,0),"")</f>
        <v/>
      </c>
      <c r="J527" s="103">
        <f>VLOOKUP(A527&amp;G527,Lookup!J:N,5,0)</f>
        <v>0</v>
      </c>
      <c r="O527" s="57">
        <f>IFERROR(VLOOKUP(A527&amp;G527,Lookup!J:K,2,0),"")</f>
        <v>0</v>
      </c>
      <c r="P527" s="110" t="str">
        <f t="shared" si="52"/>
        <v/>
      </c>
      <c r="T527" s="59" t="e">
        <f t="shared" si="53"/>
        <v>#VALUE!</v>
      </c>
      <c r="U527" s="59"/>
      <c r="X527" s="60" t="str">
        <f t="shared" si="51"/>
        <v>D</v>
      </c>
    </row>
    <row r="528" spans="2:24" x14ac:dyDescent="0.25">
      <c r="B528" s="54" t="str">
        <f>IFERROR(VLOOKUP(A528,Lookup!A:B,2,0),"")</f>
        <v/>
      </c>
      <c r="C528" s="54" t="str">
        <f>IFERROR(VLOOKUP(A528,Lookup!A:C,3,0),"")</f>
        <v/>
      </c>
      <c r="J528" s="103">
        <f>VLOOKUP(A528&amp;G528,Lookup!J:N,5,0)</f>
        <v>0</v>
      </c>
      <c r="O528" s="57">
        <f>IFERROR(VLOOKUP(A528&amp;G528,Lookup!J:K,2,0),"")</f>
        <v>0</v>
      </c>
      <c r="P528" s="110" t="str">
        <f t="shared" si="52"/>
        <v/>
      </c>
      <c r="T528" s="59" t="e">
        <f t="shared" si="53"/>
        <v>#VALUE!</v>
      </c>
      <c r="U528" s="59"/>
      <c r="X528" s="60" t="str">
        <f t="shared" si="51"/>
        <v>D</v>
      </c>
    </row>
    <row r="529" spans="2:24" x14ac:dyDescent="0.25">
      <c r="B529" s="54" t="str">
        <f>IFERROR(VLOOKUP(A529,Lookup!A:B,2,0),"")</f>
        <v/>
      </c>
      <c r="C529" s="54" t="str">
        <f>IFERROR(VLOOKUP(A529,Lookup!A:C,3,0),"")</f>
        <v/>
      </c>
      <c r="J529" s="103">
        <f>VLOOKUP(A529&amp;G529,Lookup!J:N,5,0)</f>
        <v>0</v>
      </c>
      <c r="O529" s="57">
        <f>IFERROR(VLOOKUP(A529&amp;G529,Lookup!J:K,2,0),"")</f>
        <v>0</v>
      </c>
      <c r="P529" s="110" t="str">
        <f t="shared" si="52"/>
        <v/>
      </c>
      <c r="T529" s="59" t="e">
        <f t="shared" si="53"/>
        <v>#VALUE!</v>
      </c>
      <c r="U529" s="59"/>
      <c r="X529" s="60" t="str">
        <f t="shared" si="51"/>
        <v>D</v>
      </c>
    </row>
    <row r="530" spans="2:24" x14ac:dyDescent="0.25">
      <c r="B530" s="54" t="str">
        <f>IFERROR(VLOOKUP(A530,Lookup!A:B,2,0),"")</f>
        <v/>
      </c>
      <c r="C530" s="54" t="str">
        <f>IFERROR(VLOOKUP(A530,Lookup!A:C,3,0),"")</f>
        <v/>
      </c>
      <c r="J530" s="103">
        <f>VLOOKUP(A530&amp;G530,Lookup!J:N,5,0)</f>
        <v>0</v>
      </c>
      <c r="O530" s="57">
        <f>IFERROR(VLOOKUP(A530&amp;G530,Lookup!J:K,2,0),"")</f>
        <v>0</v>
      </c>
      <c r="P530" s="110" t="str">
        <f t="shared" si="52"/>
        <v/>
      </c>
      <c r="T530" s="59" t="e">
        <f t="shared" si="53"/>
        <v>#VALUE!</v>
      </c>
      <c r="U530" s="59"/>
      <c r="X530" s="60" t="str">
        <f t="shared" si="51"/>
        <v>D</v>
      </c>
    </row>
    <row r="531" spans="2:24" x14ac:dyDescent="0.25">
      <c r="B531" s="54" t="str">
        <f>IFERROR(VLOOKUP(A531,Lookup!A:B,2,0),"")</f>
        <v/>
      </c>
      <c r="C531" s="54" t="str">
        <f>IFERROR(VLOOKUP(A531,Lookup!A:C,3,0),"")</f>
        <v/>
      </c>
      <c r="J531" s="103">
        <f>VLOOKUP(A531&amp;G531,Lookup!J:N,5,0)</f>
        <v>0</v>
      </c>
      <c r="O531" s="57">
        <f>IFERROR(VLOOKUP(A531&amp;G531,Lookup!J:K,2,0),"")</f>
        <v>0</v>
      </c>
      <c r="P531" s="110" t="str">
        <f t="shared" si="52"/>
        <v/>
      </c>
      <c r="T531" s="59" t="e">
        <f t="shared" si="53"/>
        <v>#VALUE!</v>
      </c>
      <c r="U531" s="59"/>
      <c r="X531" s="60" t="str">
        <f t="shared" si="51"/>
        <v>D</v>
      </c>
    </row>
    <row r="532" spans="2:24" x14ac:dyDescent="0.25">
      <c r="B532" s="54" t="str">
        <f>IFERROR(VLOOKUP(A532,Lookup!A:B,2,0),"")</f>
        <v/>
      </c>
      <c r="C532" s="54" t="str">
        <f>IFERROR(VLOOKUP(A532,Lookup!A:C,3,0),"")</f>
        <v/>
      </c>
      <c r="J532" s="103">
        <f>VLOOKUP(A532&amp;G532,Lookup!J:N,5,0)</f>
        <v>0</v>
      </c>
      <c r="O532" s="57">
        <f>IFERROR(VLOOKUP(A532&amp;G532,Lookup!J:K,2,0),"")</f>
        <v>0</v>
      </c>
      <c r="P532" s="110" t="str">
        <f t="shared" si="52"/>
        <v/>
      </c>
      <c r="T532" s="59" t="e">
        <f t="shared" si="53"/>
        <v>#VALUE!</v>
      </c>
      <c r="U532" s="59"/>
      <c r="X532" s="60" t="str">
        <f t="shared" si="51"/>
        <v>D</v>
      </c>
    </row>
    <row r="533" spans="2:24" x14ac:dyDescent="0.25">
      <c r="B533" s="54" t="str">
        <f>IFERROR(VLOOKUP(A533,Lookup!A:B,2,0),"")</f>
        <v/>
      </c>
      <c r="C533" s="54" t="str">
        <f>IFERROR(VLOOKUP(A533,Lookup!A:C,3,0),"")</f>
        <v/>
      </c>
      <c r="J533" s="103">
        <f>VLOOKUP(A533&amp;G533,Lookup!J:N,5,0)</f>
        <v>0</v>
      </c>
      <c r="O533" s="57">
        <f>IFERROR(VLOOKUP(A533&amp;G533,Lookup!J:K,2,0),"")</f>
        <v>0</v>
      </c>
      <c r="P533" s="110" t="str">
        <f t="shared" si="52"/>
        <v/>
      </c>
      <c r="T533" s="59" t="e">
        <f t="shared" si="53"/>
        <v>#VALUE!</v>
      </c>
      <c r="U533" s="59"/>
      <c r="X533" s="60" t="str">
        <f t="shared" si="51"/>
        <v>D</v>
      </c>
    </row>
    <row r="534" spans="2:24" x14ac:dyDescent="0.25">
      <c r="B534" s="54" t="str">
        <f>IFERROR(VLOOKUP(A534,Lookup!A:B,2,0),"")</f>
        <v/>
      </c>
      <c r="C534" s="54" t="str">
        <f>IFERROR(VLOOKUP(A534,Lookup!A:C,3,0),"")</f>
        <v/>
      </c>
      <c r="J534" s="103">
        <f>VLOOKUP(A534&amp;G534,Lookup!J:N,5,0)</f>
        <v>0</v>
      </c>
      <c r="O534" s="57">
        <f>IFERROR(VLOOKUP(A534&amp;G534,Lookup!J:K,2,0),"")</f>
        <v>0</v>
      </c>
      <c r="P534" s="110" t="str">
        <f t="shared" si="52"/>
        <v/>
      </c>
      <c r="T534" s="59" t="e">
        <f t="shared" si="53"/>
        <v>#VALUE!</v>
      </c>
      <c r="U534" s="59"/>
      <c r="X534" s="60" t="str">
        <f t="shared" si="51"/>
        <v>D</v>
      </c>
    </row>
    <row r="535" spans="2:24" x14ac:dyDescent="0.25">
      <c r="B535" s="54" t="str">
        <f>IFERROR(VLOOKUP(A535,Lookup!A:B,2,0),"")</f>
        <v/>
      </c>
      <c r="C535" s="54" t="str">
        <f>IFERROR(VLOOKUP(A535,Lookup!A:C,3,0),"")</f>
        <v/>
      </c>
      <c r="J535" s="103">
        <f>VLOOKUP(A535&amp;G535,Lookup!J:N,5,0)</f>
        <v>0</v>
      </c>
      <c r="O535" s="57">
        <f>IFERROR(VLOOKUP(A535&amp;G535,Lookup!J:K,2,0),"")</f>
        <v>0</v>
      </c>
      <c r="P535" s="110" t="str">
        <f t="shared" si="52"/>
        <v/>
      </c>
      <c r="T535" s="59" t="e">
        <f t="shared" si="53"/>
        <v>#VALUE!</v>
      </c>
      <c r="U535" s="59"/>
      <c r="X535" s="60" t="str">
        <f t="shared" si="51"/>
        <v>D</v>
      </c>
    </row>
    <row r="536" spans="2:24" x14ac:dyDescent="0.25">
      <c r="B536" s="54" t="str">
        <f>IFERROR(VLOOKUP(A536,Lookup!A:B,2,0),"")</f>
        <v/>
      </c>
      <c r="C536" s="54" t="str">
        <f>IFERROR(VLOOKUP(A536,Lookup!A:C,3,0),"")</f>
        <v/>
      </c>
      <c r="J536" s="103">
        <f>VLOOKUP(A536&amp;G536,Lookup!J:N,5,0)</f>
        <v>0</v>
      </c>
      <c r="O536" s="57">
        <f>IFERROR(VLOOKUP(A536&amp;G536,Lookup!J:K,2,0),"")</f>
        <v>0</v>
      </c>
      <c r="P536" s="110" t="str">
        <f t="shared" si="52"/>
        <v/>
      </c>
      <c r="T536" s="59" t="e">
        <f t="shared" si="53"/>
        <v>#VALUE!</v>
      </c>
      <c r="U536" s="59"/>
      <c r="X536" s="60" t="str">
        <f t="shared" si="51"/>
        <v>D</v>
      </c>
    </row>
    <row r="537" spans="2:24" x14ac:dyDescent="0.25">
      <c r="B537" s="54" t="str">
        <f>IFERROR(VLOOKUP(A537,Lookup!A:B,2,0),"")</f>
        <v/>
      </c>
      <c r="C537" s="54" t="str">
        <f>IFERROR(VLOOKUP(A537,Lookup!A:C,3,0),"")</f>
        <v/>
      </c>
      <c r="J537" s="103">
        <f>VLOOKUP(A537&amp;G537,Lookup!J:N,5,0)</f>
        <v>0</v>
      </c>
      <c r="O537" s="57">
        <f>IFERROR(VLOOKUP(A537&amp;G537,Lookup!J:K,2,0),"")</f>
        <v>0</v>
      </c>
      <c r="P537" s="110" t="str">
        <f t="shared" si="52"/>
        <v/>
      </c>
      <c r="T537" s="59" t="e">
        <f t="shared" si="53"/>
        <v>#VALUE!</v>
      </c>
      <c r="U537" s="59"/>
      <c r="X537" s="60" t="str">
        <f t="shared" si="51"/>
        <v>D</v>
      </c>
    </row>
    <row r="538" spans="2:24" x14ac:dyDescent="0.25">
      <c r="B538" s="54" t="str">
        <f>IFERROR(VLOOKUP(A538,Lookup!A:B,2,0),"")</f>
        <v/>
      </c>
      <c r="C538" s="54" t="str">
        <f>IFERROR(VLOOKUP(A538,Lookup!A:C,3,0),"")</f>
        <v/>
      </c>
      <c r="J538" s="103">
        <f>VLOOKUP(A538&amp;G538,Lookup!J:N,5,0)</f>
        <v>0</v>
      </c>
      <c r="O538" s="57">
        <f>IFERROR(VLOOKUP(A538&amp;G538,Lookup!J:K,2,0),"")</f>
        <v>0</v>
      </c>
      <c r="P538" s="110" t="str">
        <f t="shared" si="52"/>
        <v/>
      </c>
      <c r="T538" s="59" t="e">
        <f t="shared" si="53"/>
        <v>#VALUE!</v>
      </c>
      <c r="U538" s="59"/>
      <c r="X538" s="60" t="str">
        <f t="shared" si="51"/>
        <v>D</v>
      </c>
    </row>
    <row r="539" spans="2:24" x14ac:dyDescent="0.25">
      <c r="B539" s="54" t="str">
        <f>IFERROR(VLOOKUP(A539,Lookup!A:B,2,0),"")</f>
        <v/>
      </c>
      <c r="C539" s="54" t="str">
        <f>IFERROR(VLOOKUP(A539,Lookup!A:C,3,0),"")</f>
        <v/>
      </c>
      <c r="J539" s="103">
        <f>VLOOKUP(A539&amp;G539,Lookup!J:N,5,0)</f>
        <v>0</v>
      </c>
      <c r="O539" s="57">
        <f>IFERROR(VLOOKUP(A539&amp;G539,Lookup!J:K,2,0),"")</f>
        <v>0</v>
      </c>
      <c r="P539" s="110" t="str">
        <f t="shared" si="52"/>
        <v/>
      </c>
      <c r="T539" s="59" t="e">
        <f t="shared" si="53"/>
        <v>#VALUE!</v>
      </c>
      <c r="U539" s="59"/>
      <c r="X539" s="60" t="str">
        <f t="shared" si="51"/>
        <v>D</v>
      </c>
    </row>
    <row r="540" spans="2:24" x14ac:dyDescent="0.25">
      <c r="B540" s="54" t="str">
        <f>IFERROR(VLOOKUP(A540,Lookup!A:B,2,0),"")</f>
        <v/>
      </c>
      <c r="C540" s="54" t="str">
        <f>IFERROR(VLOOKUP(A540,Lookup!A:C,3,0),"")</f>
        <v/>
      </c>
      <c r="J540" s="103">
        <f>VLOOKUP(A540&amp;G540,Lookup!J:N,5,0)</f>
        <v>0</v>
      </c>
      <c r="O540" s="57">
        <f>IFERROR(VLOOKUP(A540&amp;G540,Lookup!J:K,2,0),"")</f>
        <v>0</v>
      </c>
      <c r="P540" s="110" t="str">
        <f t="shared" si="52"/>
        <v/>
      </c>
      <c r="T540" s="59" t="e">
        <f t="shared" si="53"/>
        <v>#VALUE!</v>
      </c>
      <c r="U540" s="59"/>
      <c r="X540" s="60" t="str">
        <f t="shared" si="51"/>
        <v>D</v>
      </c>
    </row>
    <row r="541" spans="2:24" x14ac:dyDescent="0.25">
      <c r="B541" s="54" t="str">
        <f>IFERROR(VLOOKUP(A541,Lookup!A:B,2,0),"")</f>
        <v/>
      </c>
      <c r="C541" s="54" t="str">
        <f>IFERROR(VLOOKUP(A541,Lookup!A:C,3,0),"")</f>
        <v/>
      </c>
      <c r="J541" s="103">
        <f>VLOOKUP(A541&amp;G541,Lookup!J:N,5,0)</f>
        <v>0</v>
      </c>
      <c r="O541" s="57">
        <f>IFERROR(VLOOKUP(A541&amp;G541,Lookup!J:K,2,0),"")</f>
        <v>0</v>
      </c>
      <c r="P541" s="110" t="str">
        <f t="shared" si="52"/>
        <v/>
      </c>
      <c r="T541" s="59" t="e">
        <f t="shared" si="53"/>
        <v>#VALUE!</v>
      </c>
      <c r="U541" s="59"/>
      <c r="X541" s="60" t="str">
        <f t="shared" si="51"/>
        <v>D</v>
      </c>
    </row>
    <row r="542" spans="2:24" x14ac:dyDescent="0.25">
      <c r="B542" s="54" t="str">
        <f>IFERROR(VLOOKUP(A542,Lookup!A:B,2,0),"")</f>
        <v/>
      </c>
      <c r="C542" s="54" t="str">
        <f>IFERROR(VLOOKUP(A542,Lookup!A:C,3,0),"")</f>
        <v/>
      </c>
      <c r="J542" s="103">
        <f>VLOOKUP(A542&amp;G542,Lookup!J:N,5,0)</f>
        <v>0</v>
      </c>
      <c r="O542" s="57">
        <f>IFERROR(VLOOKUP(A542&amp;G542,Lookup!J:K,2,0),"")</f>
        <v>0</v>
      </c>
      <c r="P542" s="110" t="str">
        <f t="shared" si="52"/>
        <v/>
      </c>
      <c r="T542" s="59" t="e">
        <f t="shared" si="53"/>
        <v>#VALUE!</v>
      </c>
      <c r="U542" s="59"/>
      <c r="X542" s="60" t="str">
        <f t="shared" si="51"/>
        <v>D</v>
      </c>
    </row>
    <row r="543" spans="2:24" x14ac:dyDescent="0.25">
      <c r="B543" s="54" t="str">
        <f>IFERROR(VLOOKUP(A543,Lookup!A:B,2,0),"")</f>
        <v/>
      </c>
      <c r="C543" s="54" t="str">
        <f>IFERROR(VLOOKUP(A543,Lookup!A:C,3,0),"")</f>
        <v/>
      </c>
      <c r="J543" s="103">
        <f>VLOOKUP(A543&amp;G543,Lookup!J:N,5,0)</f>
        <v>0</v>
      </c>
      <c r="O543" s="57">
        <f>IFERROR(VLOOKUP(A543&amp;G543,Lookup!J:K,2,0),"")</f>
        <v>0</v>
      </c>
      <c r="P543" s="110" t="str">
        <f t="shared" si="52"/>
        <v/>
      </c>
      <c r="T543" s="59" t="e">
        <f t="shared" si="53"/>
        <v>#VALUE!</v>
      </c>
      <c r="U543" s="59"/>
      <c r="X543" s="60" t="str">
        <f t="shared" si="51"/>
        <v>D</v>
      </c>
    </row>
    <row r="544" spans="2:24" x14ac:dyDescent="0.25">
      <c r="B544" s="54" t="str">
        <f>IFERROR(VLOOKUP(A544,Lookup!A:B,2,0),"")</f>
        <v/>
      </c>
      <c r="C544" s="54" t="str">
        <f>IFERROR(VLOOKUP(A544,Lookup!A:C,3,0),"")</f>
        <v/>
      </c>
      <c r="J544" s="103">
        <f>VLOOKUP(A544&amp;G544,Lookup!J:N,5,0)</f>
        <v>0</v>
      </c>
      <c r="O544" s="57">
        <f>IFERROR(VLOOKUP(A544&amp;G544,Lookup!J:K,2,0),"")</f>
        <v>0</v>
      </c>
      <c r="P544" s="110" t="str">
        <f t="shared" si="52"/>
        <v/>
      </c>
      <c r="T544" s="59" t="e">
        <f t="shared" si="53"/>
        <v>#VALUE!</v>
      </c>
      <c r="U544" s="59"/>
      <c r="X544" s="60" t="str">
        <f t="shared" si="51"/>
        <v>D</v>
      </c>
    </row>
    <row r="545" spans="2:24" x14ac:dyDescent="0.25">
      <c r="B545" s="54" t="str">
        <f>IFERROR(VLOOKUP(A545,Lookup!A:B,2,0),"")</f>
        <v/>
      </c>
      <c r="C545" s="54" t="str">
        <f>IFERROR(VLOOKUP(A545,Lookup!A:C,3,0),"")</f>
        <v/>
      </c>
      <c r="J545" s="103">
        <f>VLOOKUP(A545&amp;G545,Lookup!J:N,5,0)</f>
        <v>0</v>
      </c>
      <c r="O545" s="57">
        <f>IFERROR(VLOOKUP(A545&amp;G545,Lookup!J:K,2,0),"")</f>
        <v>0</v>
      </c>
      <c r="P545" s="110" t="str">
        <f t="shared" si="52"/>
        <v/>
      </c>
      <c r="T545" s="59" t="e">
        <f t="shared" si="53"/>
        <v>#VALUE!</v>
      </c>
      <c r="U545" s="59"/>
      <c r="X545" s="60" t="str">
        <f t="shared" si="51"/>
        <v>D</v>
      </c>
    </row>
    <row r="546" spans="2:24" x14ac:dyDescent="0.25">
      <c r="B546" s="54" t="str">
        <f>IFERROR(VLOOKUP(A546,Lookup!A:B,2,0),"")</f>
        <v/>
      </c>
      <c r="C546" s="54" t="str">
        <f>IFERROR(VLOOKUP(A546,Lookup!A:C,3,0),"")</f>
        <v/>
      </c>
      <c r="J546" s="103">
        <f>VLOOKUP(A546&amp;G546,Lookup!J:N,5,0)</f>
        <v>0</v>
      </c>
      <c r="O546" s="57">
        <f>IFERROR(VLOOKUP(A546&amp;G546,Lookup!J:K,2,0),"")</f>
        <v>0</v>
      </c>
      <c r="P546" s="110" t="str">
        <f t="shared" si="52"/>
        <v/>
      </c>
      <c r="T546" s="59" t="e">
        <f t="shared" si="53"/>
        <v>#VALUE!</v>
      </c>
      <c r="U546" s="59"/>
      <c r="X546" s="60" t="str">
        <f t="shared" si="51"/>
        <v>D</v>
      </c>
    </row>
    <row r="547" spans="2:24" x14ac:dyDescent="0.25">
      <c r="B547" s="54" t="str">
        <f>IFERROR(VLOOKUP(A547,Lookup!A:B,2,0),"")</f>
        <v/>
      </c>
      <c r="C547" s="54" t="str">
        <f>IFERROR(VLOOKUP(A547,Lookup!A:C,3,0),"")</f>
        <v/>
      </c>
      <c r="J547" s="103">
        <f>VLOOKUP(A547&amp;G547,Lookup!J:N,5,0)</f>
        <v>0</v>
      </c>
      <c r="O547" s="57">
        <f>IFERROR(VLOOKUP(A547&amp;G547,Lookup!J:K,2,0),"")</f>
        <v>0</v>
      </c>
      <c r="P547" s="110" t="str">
        <f t="shared" si="52"/>
        <v/>
      </c>
      <c r="T547" s="59" t="e">
        <f t="shared" si="53"/>
        <v>#VALUE!</v>
      </c>
      <c r="U547" s="59"/>
      <c r="X547" s="60" t="str">
        <f t="shared" si="51"/>
        <v>D</v>
      </c>
    </row>
    <row r="548" spans="2:24" x14ac:dyDescent="0.25">
      <c r="B548" s="54" t="str">
        <f>IFERROR(VLOOKUP(A548,Lookup!A:B,2,0),"")</f>
        <v/>
      </c>
      <c r="C548" s="54" t="str">
        <f>IFERROR(VLOOKUP(A548,Lookup!A:C,3,0),"")</f>
        <v/>
      </c>
      <c r="J548" s="103">
        <f>VLOOKUP(A548&amp;G548,Lookup!J:N,5,0)</f>
        <v>0</v>
      </c>
      <c r="O548" s="57">
        <f>IFERROR(VLOOKUP(A548&amp;G548,Lookup!J:K,2,0),"")</f>
        <v>0</v>
      </c>
      <c r="P548" s="110" t="str">
        <f t="shared" si="52"/>
        <v/>
      </c>
      <c r="T548" s="59" t="e">
        <f t="shared" si="53"/>
        <v>#VALUE!</v>
      </c>
      <c r="U548" s="59"/>
      <c r="X548" s="60" t="str">
        <f t="shared" si="51"/>
        <v>D</v>
      </c>
    </row>
    <row r="549" spans="2:24" x14ac:dyDescent="0.25">
      <c r="B549" s="54" t="str">
        <f>IFERROR(VLOOKUP(A549,Lookup!A:B,2,0),"")</f>
        <v/>
      </c>
      <c r="C549" s="54" t="str">
        <f>IFERROR(VLOOKUP(A549,Lookup!A:C,3,0),"")</f>
        <v/>
      </c>
      <c r="J549" s="103">
        <f>VLOOKUP(A549&amp;G549,Lookup!J:N,5,0)</f>
        <v>0</v>
      </c>
      <c r="O549" s="57">
        <f>IFERROR(VLOOKUP(A549&amp;G549,Lookup!J:K,2,0),"")</f>
        <v>0</v>
      </c>
      <c r="P549" s="110" t="str">
        <f t="shared" si="52"/>
        <v/>
      </c>
      <c r="T549" s="59" t="e">
        <f t="shared" si="53"/>
        <v>#VALUE!</v>
      </c>
      <c r="U549" s="59"/>
      <c r="X549" s="60" t="str">
        <f t="shared" si="51"/>
        <v>D</v>
      </c>
    </row>
    <row r="550" spans="2:24" x14ac:dyDescent="0.25">
      <c r="B550" s="54" t="str">
        <f>IFERROR(VLOOKUP(A550,Lookup!A:B,2,0),"")</f>
        <v/>
      </c>
      <c r="C550" s="54" t="str">
        <f>IFERROR(VLOOKUP(A550,Lookup!A:C,3,0),"")</f>
        <v/>
      </c>
      <c r="J550" s="103">
        <f>VLOOKUP(A550&amp;G550,Lookup!J:N,5,0)</f>
        <v>0</v>
      </c>
      <c r="O550" s="57">
        <f>IFERROR(VLOOKUP(A550&amp;G550,Lookup!J:K,2,0),"")</f>
        <v>0</v>
      </c>
      <c r="P550" s="110" t="str">
        <f t="shared" si="52"/>
        <v/>
      </c>
      <c r="T550" s="59" t="e">
        <f t="shared" si="53"/>
        <v>#VALUE!</v>
      </c>
      <c r="U550" s="59"/>
      <c r="X550" s="60" t="str">
        <f t="shared" si="51"/>
        <v>D</v>
      </c>
    </row>
    <row r="551" spans="2:24" x14ac:dyDescent="0.25">
      <c r="B551" s="54" t="str">
        <f>IFERROR(VLOOKUP(A551,Lookup!A:B,2,0),"")</f>
        <v/>
      </c>
      <c r="C551" s="54" t="str">
        <f>IFERROR(VLOOKUP(A551,Lookup!A:C,3,0),"")</f>
        <v/>
      </c>
      <c r="J551" s="103">
        <f>VLOOKUP(A551&amp;G551,Lookup!J:N,5,0)</f>
        <v>0</v>
      </c>
      <c r="O551" s="57">
        <f>IFERROR(VLOOKUP(A551&amp;G551,Lookup!J:K,2,0),"")</f>
        <v>0</v>
      </c>
      <c r="P551" s="110" t="str">
        <f t="shared" si="52"/>
        <v/>
      </c>
      <c r="T551" s="59" t="e">
        <f t="shared" si="53"/>
        <v>#VALUE!</v>
      </c>
      <c r="U551" s="59"/>
      <c r="X551" s="60" t="str">
        <f t="shared" si="51"/>
        <v>D</v>
      </c>
    </row>
    <row r="552" spans="2:24" x14ac:dyDescent="0.25">
      <c r="B552" s="54" t="str">
        <f>IFERROR(VLOOKUP(A552,Lookup!A:B,2,0),"")</f>
        <v/>
      </c>
      <c r="C552" s="54" t="str">
        <f>IFERROR(VLOOKUP(A552,Lookup!A:C,3,0),"")</f>
        <v/>
      </c>
      <c r="J552" s="103">
        <f>VLOOKUP(A552&amp;G552,Lookup!J:N,5,0)</f>
        <v>0</v>
      </c>
      <c r="O552" s="57">
        <f>IFERROR(VLOOKUP(A552&amp;G552,Lookup!J:K,2,0),"")</f>
        <v>0</v>
      </c>
      <c r="P552" s="110" t="str">
        <f t="shared" si="52"/>
        <v/>
      </c>
      <c r="T552" s="59" t="e">
        <f t="shared" si="53"/>
        <v>#VALUE!</v>
      </c>
      <c r="U552" s="59"/>
      <c r="X552" s="60" t="str">
        <f t="shared" si="51"/>
        <v>D</v>
      </c>
    </row>
    <row r="553" spans="2:24" x14ac:dyDescent="0.25">
      <c r="B553" s="54" t="str">
        <f>IFERROR(VLOOKUP(A553,Lookup!A:B,2,0),"")</f>
        <v/>
      </c>
      <c r="C553" s="54" t="str">
        <f>IFERROR(VLOOKUP(A553,Lookup!A:C,3,0),"")</f>
        <v/>
      </c>
      <c r="J553" s="103">
        <f>VLOOKUP(A553&amp;G553,Lookup!J:N,5,0)</f>
        <v>0</v>
      </c>
      <c r="O553" s="57">
        <f>IFERROR(VLOOKUP(A553&amp;G553,Lookup!J:K,2,0),"")</f>
        <v>0</v>
      </c>
      <c r="P553" s="110" t="str">
        <f t="shared" si="52"/>
        <v/>
      </c>
      <c r="T553" s="59" t="e">
        <f t="shared" si="53"/>
        <v>#VALUE!</v>
      </c>
      <c r="U553" s="59"/>
      <c r="X553" s="60" t="str">
        <f t="shared" si="51"/>
        <v>D</v>
      </c>
    </row>
    <row r="554" spans="2:24" x14ac:dyDescent="0.25">
      <c r="B554" s="54" t="str">
        <f>IFERROR(VLOOKUP(A554,Lookup!A:B,2,0),"")</f>
        <v/>
      </c>
      <c r="C554" s="54" t="str">
        <f>IFERROR(VLOOKUP(A554,Lookup!A:C,3,0),"")</f>
        <v/>
      </c>
      <c r="J554" s="103">
        <f>VLOOKUP(A554&amp;G554,Lookup!J:N,5,0)</f>
        <v>0</v>
      </c>
      <c r="O554" s="57">
        <f>IFERROR(VLOOKUP(A554&amp;G554,Lookup!J:K,2,0),"")</f>
        <v>0</v>
      </c>
      <c r="P554" s="110" t="str">
        <f t="shared" si="52"/>
        <v/>
      </c>
      <c r="T554" s="59" t="e">
        <f t="shared" si="53"/>
        <v>#VALUE!</v>
      </c>
      <c r="U554" s="59"/>
      <c r="X554" s="60" t="str">
        <f t="shared" si="51"/>
        <v>D</v>
      </c>
    </row>
    <row r="555" spans="2:24" x14ac:dyDescent="0.25">
      <c r="B555" s="54" t="str">
        <f>IFERROR(VLOOKUP(A555,Lookup!A:B,2,0),"")</f>
        <v/>
      </c>
      <c r="C555" s="54" t="str">
        <f>IFERROR(VLOOKUP(A555,Lookup!A:C,3,0),"")</f>
        <v/>
      </c>
      <c r="J555" s="103">
        <f>VLOOKUP(A555&amp;G555,Lookup!J:N,5,0)</f>
        <v>0</v>
      </c>
      <c r="O555" s="57">
        <f>IFERROR(VLOOKUP(A555&amp;G555,Lookup!J:K,2,0),"")</f>
        <v>0</v>
      </c>
      <c r="P555" s="110" t="str">
        <f t="shared" si="52"/>
        <v/>
      </c>
      <c r="T555" s="59" t="e">
        <f t="shared" si="53"/>
        <v>#VALUE!</v>
      </c>
      <c r="U555" s="59"/>
      <c r="X555" s="60" t="str">
        <f t="shared" si="51"/>
        <v>D</v>
      </c>
    </row>
    <row r="556" spans="2:24" x14ac:dyDescent="0.25">
      <c r="B556" s="54" t="str">
        <f>IFERROR(VLOOKUP(A556,Lookup!A:B,2,0),"")</f>
        <v/>
      </c>
      <c r="C556" s="54" t="str">
        <f>IFERROR(VLOOKUP(A556,Lookup!A:C,3,0),"")</f>
        <v/>
      </c>
      <c r="J556" s="103">
        <f>VLOOKUP(A556&amp;G556,Lookup!J:N,5,0)</f>
        <v>0</v>
      </c>
      <c r="O556" s="57">
        <f>IFERROR(VLOOKUP(A556&amp;G556,Lookup!J:K,2,0),"")</f>
        <v>0</v>
      </c>
      <c r="P556" s="110" t="str">
        <f t="shared" si="52"/>
        <v/>
      </c>
      <c r="T556" s="59" t="e">
        <f t="shared" si="53"/>
        <v>#VALUE!</v>
      </c>
      <c r="U556" s="59"/>
      <c r="X556" s="60" t="str">
        <f t="shared" si="51"/>
        <v>D</v>
      </c>
    </row>
    <row r="557" spans="2:24" x14ac:dyDescent="0.25">
      <c r="B557" s="54" t="str">
        <f>IFERROR(VLOOKUP(A557,Lookup!A:B,2,0),"")</f>
        <v/>
      </c>
      <c r="C557" s="54" t="str">
        <f>IFERROR(VLOOKUP(A557,Lookup!A:C,3,0),"")</f>
        <v/>
      </c>
      <c r="J557" s="103">
        <f>VLOOKUP(A557&amp;G557,Lookup!J:N,5,0)</f>
        <v>0</v>
      </c>
      <c r="O557" s="57">
        <f>IFERROR(VLOOKUP(A557&amp;G557,Lookup!J:K,2,0),"")</f>
        <v>0</v>
      </c>
      <c r="P557" s="110" t="str">
        <f t="shared" si="52"/>
        <v/>
      </c>
      <c r="T557" s="59" t="e">
        <f t="shared" si="53"/>
        <v>#VALUE!</v>
      </c>
      <c r="U557" s="59"/>
      <c r="X557" s="60" t="str">
        <f t="shared" si="51"/>
        <v>D</v>
      </c>
    </row>
    <row r="558" spans="2:24" x14ac:dyDescent="0.25">
      <c r="B558" s="54" t="str">
        <f>IFERROR(VLOOKUP(A558,Lookup!A:B,2,0),"")</f>
        <v/>
      </c>
      <c r="C558" s="54" t="str">
        <f>IFERROR(VLOOKUP(A558,Lookup!A:C,3,0),"")</f>
        <v/>
      </c>
      <c r="J558" s="103">
        <f>VLOOKUP(A558&amp;G558,Lookup!J:N,5,0)</f>
        <v>0</v>
      </c>
      <c r="O558" s="57">
        <f>IFERROR(VLOOKUP(A558&amp;G558,Lookup!J:K,2,0),"")</f>
        <v>0</v>
      </c>
      <c r="P558" s="110" t="str">
        <f t="shared" si="52"/>
        <v/>
      </c>
      <c r="T558" s="59" t="e">
        <f t="shared" si="53"/>
        <v>#VALUE!</v>
      </c>
      <c r="U558" s="59"/>
      <c r="X558" s="60" t="str">
        <f t="shared" ref="X558:X621" si="54">IF(I558="SET","A",IF(I558="FREQ","C",IF(I558="","D","B")))</f>
        <v>D</v>
      </c>
    </row>
    <row r="559" spans="2:24" x14ac:dyDescent="0.25">
      <c r="B559" s="54" t="str">
        <f>IFERROR(VLOOKUP(A559,Lookup!A:B,2,0),"")</f>
        <v/>
      </c>
      <c r="C559" s="54" t="str">
        <f>IFERROR(VLOOKUP(A559,Lookup!A:C,3,0),"")</f>
        <v/>
      </c>
      <c r="J559" s="103">
        <f>VLOOKUP(A559&amp;G559,Lookup!J:N,5,0)</f>
        <v>0</v>
      </c>
      <c r="O559" s="57">
        <f>IFERROR(VLOOKUP(A559&amp;G559,Lookup!J:K,2,0),"")</f>
        <v>0</v>
      </c>
      <c r="P559" s="110" t="str">
        <f t="shared" si="52"/>
        <v/>
      </c>
      <c r="T559" s="59" t="e">
        <f t="shared" si="53"/>
        <v>#VALUE!</v>
      </c>
      <c r="U559" s="59"/>
      <c r="X559" s="60" t="str">
        <f t="shared" si="54"/>
        <v>D</v>
      </c>
    </row>
    <row r="560" spans="2:24" x14ac:dyDescent="0.25">
      <c r="B560" s="54" t="str">
        <f>IFERROR(VLOOKUP(A560,Lookup!A:B,2,0),"")</f>
        <v/>
      </c>
      <c r="C560" s="54" t="str">
        <f>IFERROR(VLOOKUP(A560,Lookup!A:C,3,0),"")</f>
        <v/>
      </c>
      <c r="J560" s="103">
        <f>VLOOKUP(A560&amp;G560,Lookup!J:N,5,0)</f>
        <v>0</v>
      </c>
      <c r="O560" s="57">
        <f>IFERROR(VLOOKUP(A560&amp;G560,Lookup!J:K,2,0),"")</f>
        <v>0</v>
      </c>
      <c r="P560" s="110" t="str">
        <f t="shared" si="52"/>
        <v/>
      </c>
      <c r="T560" s="59" t="e">
        <f t="shared" si="53"/>
        <v>#VALUE!</v>
      </c>
      <c r="U560" s="59"/>
      <c r="X560" s="60" t="str">
        <f t="shared" si="54"/>
        <v>D</v>
      </c>
    </row>
    <row r="561" spans="2:24" x14ac:dyDescent="0.25">
      <c r="B561" s="54" t="str">
        <f>IFERROR(VLOOKUP(A561,Lookup!A:B,2,0),"")</f>
        <v/>
      </c>
      <c r="C561" s="54" t="str">
        <f>IFERROR(VLOOKUP(A561,Lookup!A:C,3,0),"")</f>
        <v/>
      </c>
      <c r="J561" s="103">
        <f>VLOOKUP(A561&amp;G561,Lookup!J:N,5,0)</f>
        <v>0</v>
      </c>
      <c r="O561" s="57">
        <f>IFERROR(VLOOKUP(A561&amp;G561,Lookup!J:K,2,0),"")</f>
        <v>0</v>
      </c>
      <c r="P561" s="110" t="str">
        <f t="shared" si="52"/>
        <v/>
      </c>
      <c r="T561" s="59" t="e">
        <f t="shared" si="53"/>
        <v>#VALUE!</v>
      </c>
      <c r="U561" s="59"/>
      <c r="X561" s="60" t="str">
        <f t="shared" si="54"/>
        <v>D</v>
      </c>
    </row>
    <row r="562" spans="2:24" x14ac:dyDescent="0.25">
      <c r="B562" s="54" t="str">
        <f>IFERROR(VLOOKUP(A562,Lookup!A:B,2,0),"")</f>
        <v/>
      </c>
      <c r="C562" s="54" t="str">
        <f>IFERROR(VLOOKUP(A562,Lookup!A:C,3,0),"")</f>
        <v/>
      </c>
      <c r="J562" s="103">
        <f>VLOOKUP(A562&amp;G562,Lookup!J:N,5,0)</f>
        <v>0</v>
      </c>
      <c r="O562" s="57">
        <f>IFERROR(VLOOKUP(A562&amp;G562,Lookup!J:K,2,0),"")</f>
        <v>0</v>
      </c>
      <c r="P562" s="110" t="str">
        <f t="shared" si="52"/>
        <v/>
      </c>
      <c r="T562" s="59" t="e">
        <f t="shared" si="53"/>
        <v>#VALUE!</v>
      </c>
      <c r="U562" s="59"/>
      <c r="X562" s="60" t="str">
        <f t="shared" si="54"/>
        <v>D</v>
      </c>
    </row>
    <row r="563" spans="2:24" x14ac:dyDescent="0.25">
      <c r="B563" s="54" t="str">
        <f>IFERROR(VLOOKUP(A563,Lookup!A:B,2,0),"")</f>
        <v/>
      </c>
      <c r="C563" s="54" t="str">
        <f>IFERROR(VLOOKUP(A563,Lookup!A:C,3,0),"")</f>
        <v/>
      </c>
      <c r="J563" s="103">
        <f>VLOOKUP(A563&amp;G563,Lookup!J:N,5,0)</f>
        <v>0</v>
      </c>
      <c r="O563" s="57">
        <f>IFERROR(VLOOKUP(A563&amp;G563,Lookup!J:K,2,0),"")</f>
        <v>0</v>
      </c>
      <c r="P563" s="110" t="str">
        <f t="shared" si="52"/>
        <v/>
      </c>
      <c r="T563" s="59" t="e">
        <f t="shared" si="53"/>
        <v>#VALUE!</v>
      </c>
      <c r="U563" s="59"/>
      <c r="X563" s="60" t="str">
        <f t="shared" si="54"/>
        <v>D</v>
      </c>
    </row>
    <row r="564" spans="2:24" x14ac:dyDescent="0.25">
      <c r="B564" s="54" t="str">
        <f>IFERROR(VLOOKUP(A564,Lookup!A:B,2,0),"")</f>
        <v/>
      </c>
      <c r="C564" s="54" t="str">
        <f>IFERROR(VLOOKUP(A564,Lookup!A:C,3,0),"")</f>
        <v/>
      </c>
      <c r="J564" s="103">
        <f>VLOOKUP(A564&amp;G564,Lookup!J:N,5,0)</f>
        <v>0</v>
      </c>
      <c r="O564" s="57">
        <f>IFERROR(VLOOKUP(A564&amp;G564,Lookup!J:K,2,0),"")</f>
        <v>0</v>
      </c>
      <c r="P564" s="110" t="str">
        <f t="shared" si="52"/>
        <v/>
      </c>
      <c r="T564" s="59" t="e">
        <f t="shared" si="53"/>
        <v>#VALUE!</v>
      </c>
      <c r="U564" s="59"/>
      <c r="X564" s="60" t="str">
        <f t="shared" si="54"/>
        <v>D</v>
      </c>
    </row>
    <row r="565" spans="2:24" x14ac:dyDescent="0.25">
      <c r="B565" s="54" t="str">
        <f>IFERROR(VLOOKUP(A565,Lookup!A:B,2,0),"")</f>
        <v/>
      </c>
      <c r="C565" s="54" t="str">
        <f>IFERROR(VLOOKUP(A565,Lookup!A:C,3,0),"")</f>
        <v/>
      </c>
      <c r="J565" s="103">
        <f>VLOOKUP(A565&amp;G565,Lookup!J:N,5,0)</f>
        <v>0</v>
      </c>
      <c r="O565" s="57">
        <f>IFERROR(VLOOKUP(A565&amp;G565,Lookup!J:K,2,0),"")</f>
        <v>0</v>
      </c>
      <c r="P565" s="110" t="str">
        <f t="shared" si="52"/>
        <v/>
      </c>
      <c r="T565" s="59" t="e">
        <f t="shared" si="53"/>
        <v>#VALUE!</v>
      </c>
      <c r="U565" s="59"/>
      <c r="X565" s="60" t="str">
        <f t="shared" si="54"/>
        <v>D</v>
      </c>
    </row>
    <row r="566" spans="2:24" x14ac:dyDescent="0.25">
      <c r="B566" s="54" t="str">
        <f>IFERROR(VLOOKUP(A566,Lookup!A:B,2,0),"")</f>
        <v/>
      </c>
      <c r="C566" s="54" t="str">
        <f>IFERROR(VLOOKUP(A566,Lookup!A:C,3,0),"")</f>
        <v/>
      </c>
      <c r="J566" s="103">
        <f>VLOOKUP(A566&amp;G566,Lookup!J:N,5,0)</f>
        <v>0</v>
      </c>
      <c r="O566" s="57">
        <f>IFERROR(VLOOKUP(A566&amp;G566,Lookup!J:K,2,0),"")</f>
        <v>0</v>
      </c>
      <c r="P566" s="110" t="str">
        <f t="shared" si="52"/>
        <v/>
      </c>
      <c r="T566" s="59" t="e">
        <f t="shared" si="53"/>
        <v>#VALUE!</v>
      </c>
      <c r="U566" s="59"/>
      <c r="X566" s="60" t="str">
        <f t="shared" si="54"/>
        <v>D</v>
      </c>
    </row>
    <row r="567" spans="2:24" x14ac:dyDescent="0.25">
      <c r="B567" s="54" t="str">
        <f>IFERROR(VLOOKUP(A567,Lookup!A:B,2,0),"")</f>
        <v/>
      </c>
      <c r="C567" s="54" t="str">
        <f>IFERROR(VLOOKUP(A567,Lookup!A:C,3,0),"")</f>
        <v/>
      </c>
      <c r="J567" s="103">
        <f>VLOOKUP(A567&amp;G567,Lookup!J:N,5,0)</f>
        <v>0</v>
      </c>
      <c r="O567" s="57">
        <f>IFERROR(VLOOKUP(A567&amp;G567,Lookup!J:K,2,0),"")</f>
        <v>0</v>
      </c>
      <c r="P567" s="110" t="str">
        <f t="shared" si="52"/>
        <v/>
      </c>
      <c r="T567" s="59" t="e">
        <f t="shared" si="53"/>
        <v>#VALUE!</v>
      </c>
      <c r="U567" s="59"/>
      <c r="X567" s="60" t="str">
        <f t="shared" si="54"/>
        <v>D</v>
      </c>
    </row>
    <row r="568" spans="2:24" x14ac:dyDescent="0.25">
      <c r="B568" s="54" t="str">
        <f>IFERROR(VLOOKUP(A568,Lookup!A:B,2,0),"")</f>
        <v/>
      </c>
      <c r="C568" s="54" t="str">
        <f>IFERROR(VLOOKUP(A568,Lookup!A:C,3,0),"")</f>
        <v/>
      </c>
      <c r="J568" s="103">
        <f>VLOOKUP(A568&amp;G568,Lookup!J:N,5,0)</f>
        <v>0</v>
      </c>
      <c r="O568" s="57">
        <f>IFERROR(VLOOKUP(A568&amp;G568,Lookup!J:K,2,0),"")</f>
        <v>0</v>
      </c>
      <c r="P568" s="110" t="str">
        <f t="shared" si="52"/>
        <v/>
      </c>
      <c r="T568" s="59" t="e">
        <f t="shared" si="53"/>
        <v>#VALUE!</v>
      </c>
      <c r="U568" s="59"/>
      <c r="X568" s="60" t="str">
        <f t="shared" si="54"/>
        <v>D</v>
      </c>
    </row>
    <row r="569" spans="2:24" x14ac:dyDescent="0.25">
      <c r="B569" s="54" t="str">
        <f>IFERROR(VLOOKUP(A569,Lookup!A:B,2,0),"")</f>
        <v/>
      </c>
      <c r="C569" s="54" t="str">
        <f>IFERROR(VLOOKUP(A569,Lookup!A:C,3,0),"")</f>
        <v/>
      </c>
      <c r="J569" s="103">
        <f>VLOOKUP(A569&amp;G569,Lookup!J:N,5,0)</f>
        <v>0</v>
      </c>
      <c r="O569" s="57">
        <f>IFERROR(VLOOKUP(A569&amp;G569,Lookup!J:K,2,0),"")</f>
        <v>0</v>
      </c>
      <c r="P569" s="110" t="str">
        <f t="shared" si="52"/>
        <v/>
      </c>
      <c r="T569" s="59" t="e">
        <f t="shared" si="53"/>
        <v>#VALUE!</v>
      </c>
      <c r="U569" s="59"/>
      <c r="X569" s="60" t="str">
        <f t="shared" si="54"/>
        <v>D</v>
      </c>
    </row>
    <row r="570" spans="2:24" x14ac:dyDescent="0.25">
      <c r="B570" s="54" t="str">
        <f>IFERROR(VLOOKUP(A570,Lookup!A:B,2,0),"")</f>
        <v/>
      </c>
      <c r="C570" s="54" t="str">
        <f>IFERROR(VLOOKUP(A570,Lookup!A:C,3,0),"")</f>
        <v/>
      </c>
      <c r="J570" s="103">
        <f>VLOOKUP(A570&amp;G570,Lookup!J:N,5,0)</f>
        <v>0</v>
      </c>
      <c r="O570" s="57">
        <f>IFERROR(VLOOKUP(A570&amp;G570,Lookup!J:K,2,0),"")</f>
        <v>0</v>
      </c>
      <c r="P570" s="110" t="str">
        <f t="shared" si="52"/>
        <v/>
      </c>
      <c r="T570" s="59" t="e">
        <f t="shared" si="53"/>
        <v>#VALUE!</v>
      </c>
      <c r="U570" s="59"/>
      <c r="X570" s="60" t="str">
        <f t="shared" si="54"/>
        <v>D</v>
      </c>
    </row>
    <row r="571" spans="2:24" x14ac:dyDescent="0.25">
      <c r="B571" s="54" t="str">
        <f>IFERROR(VLOOKUP(A571,Lookup!A:B,2,0),"")</f>
        <v/>
      </c>
      <c r="C571" s="54" t="str">
        <f>IFERROR(VLOOKUP(A571,Lookup!A:C,3,0),"")</f>
        <v/>
      </c>
      <c r="J571" s="103">
        <f>VLOOKUP(A571&amp;G571,Lookup!J:N,5,0)</f>
        <v>0</v>
      </c>
      <c r="O571" s="57">
        <f>IFERROR(VLOOKUP(A571&amp;G571,Lookup!J:K,2,0),"")</f>
        <v>0</v>
      </c>
      <c r="P571" s="110" t="str">
        <f t="shared" si="52"/>
        <v/>
      </c>
      <c r="T571" s="59" t="e">
        <f t="shared" si="53"/>
        <v>#VALUE!</v>
      </c>
      <c r="U571" s="59"/>
      <c r="X571" s="60" t="str">
        <f t="shared" si="54"/>
        <v>D</v>
      </c>
    </row>
    <row r="572" spans="2:24" x14ac:dyDescent="0.25">
      <c r="B572" s="54" t="str">
        <f>IFERROR(VLOOKUP(A572,Lookup!A:B,2,0),"")</f>
        <v/>
      </c>
      <c r="C572" s="54" t="str">
        <f>IFERROR(VLOOKUP(A572,Lookup!A:C,3,0),"")</f>
        <v/>
      </c>
      <c r="J572" s="103">
        <f>VLOOKUP(A572&amp;G572,Lookup!J:N,5,0)</f>
        <v>0</v>
      </c>
      <c r="O572" s="57">
        <f>IFERROR(VLOOKUP(A572&amp;G572,Lookup!J:K,2,0),"")</f>
        <v>0</v>
      </c>
      <c r="P572" s="110" t="str">
        <f t="shared" si="52"/>
        <v/>
      </c>
      <c r="T572" s="59" t="e">
        <f t="shared" si="53"/>
        <v>#VALUE!</v>
      </c>
      <c r="U572" s="59"/>
      <c r="X572" s="60" t="str">
        <f t="shared" si="54"/>
        <v>D</v>
      </c>
    </row>
    <row r="573" spans="2:24" x14ac:dyDescent="0.25">
      <c r="B573" s="54" t="str">
        <f>IFERROR(VLOOKUP(A573,Lookup!A:B,2,0),"")</f>
        <v/>
      </c>
      <c r="C573" s="54" t="str">
        <f>IFERROR(VLOOKUP(A573,Lookup!A:C,3,0),"")</f>
        <v/>
      </c>
      <c r="J573" s="103">
        <f>VLOOKUP(A573&amp;G573,Lookup!J:N,5,0)</f>
        <v>0</v>
      </c>
      <c r="O573" s="57">
        <f>IFERROR(VLOOKUP(A573&amp;G573,Lookup!J:K,2,0),"")</f>
        <v>0</v>
      </c>
      <c r="P573" s="110" t="str">
        <f t="shared" si="52"/>
        <v/>
      </c>
      <c r="T573" s="59" t="e">
        <f t="shared" si="53"/>
        <v>#VALUE!</v>
      </c>
      <c r="U573" s="59"/>
      <c r="X573" s="60" t="str">
        <f t="shared" si="54"/>
        <v>D</v>
      </c>
    </row>
    <row r="574" spans="2:24" x14ac:dyDescent="0.25">
      <c r="B574" s="54" t="str">
        <f>IFERROR(VLOOKUP(A574,Lookup!A:B,2,0),"")</f>
        <v/>
      </c>
      <c r="C574" s="54" t="str">
        <f>IFERROR(VLOOKUP(A574,Lookup!A:C,3,0),"")</f>
        <v/>
      </c>
      <c r="J574" s="103">
        <f>VLOOKUP(A574&amp;G574,Lookup!J:N,5,0)</f>
        <v>0</v>
      </c>
      <c r="O574" s="57">
        <f>IFERROR(VLOOKUP(A574&amp;G574,Lookup!J:K,2,0),"")</f>
        <v>0</v>
      </c>
      <c r="P574" s="110" t="str">
        <f t="shared" si="52"/>
        <v/>
      </c>
      <c r="T574" s="59" t="e">
        <f t="shared" si="53"/>
        <v>#VALUE!</v>
      </c>
      <c r="U574" s="59"/>
      <c r="X574" s="60" t="str">
        <f t="shared" si="54"/>
        <v>D</v>
      </c>
    </row>
    <row r="575" spans="2:24" x14ac:dyDescent="0.25">
      <c r="B575" s="54" t="str">
        <f>IFERROR(VLOOKUP(A575,Lookup!A:B,2,0),"")</f>
        <v/>
      </c>
      <c r="C575" s="54" t="str">
        <f>IFERROR(VLOOKUP(A575,Lookup!A:C,3,0),"")</f>
        <v/>
      </c>
      <c r="J575" s="103">
        <f>VLOOKUP(A575&amp;G575,Lookup!J:N,5,0)</f>
        <v>0</v>
      </c>
      <c r="O575" s="57">
        <f>IFERROR(VLOOKUP(A575&amp;G575,Lookup!J:K,2,0),"")</f>
        <v>0</v>
      </c>
      <c r="P575" s="110" t="str">
        <f t="shared" si="52"/>
        <v/>
      </c>
      <c r="T575" s="59" t="e">
        <f t="shared" si="53"/>
        <v>#VALUE!</v>
      </c>
      <c r="U575" s="59"/>
      <c r="X575" s="60" t="str">
        <f t="shared" si="54"/>
        <v>D</v>
      </c>
    </row>
    <row r="576" spans="2:24" x14ac:dyDescent="0.25">
      <c r="B576" s="54" t="str">
        <f>IFERROR(VLOOKUP(A576,Lookup!A:B,2,0),"")</f>
        <v/>
      </c>
      <c r="C576" s="54" t="str">
        <f>IFERROR(VLOOKUP(A576,Lookup!A:C,3,0),"")</f>
        <v/>
      </c>
      <c r="J576" s="103">
        <f>VLOOKUP(A576&amp;G576,Lookup!J:N,5,0)</f>
        <v>0</v>
      </c>
      <c r="O576" s="57">
        <f>IFERROR(VLOOKUP(A576&amp;G576,Lookup!J:K,2,0),"")</f>
        <v>0</v>
      </c>
      <c r="P576" s="110" t="str">
        <f t="shared" si="52"/>
        <v/>
      </c>
      <c r="T576" s="59" t="e">
        <f t="shared" si="53"/>
        <v>#VALUE!</v>
      </c>
      <c r="U576" s="59"/>
      <c r="X576" s="60" t="str">
        <f t="shared" si="54"/>
        <v>D</v>
      </c>
    </row>
    <row r="577" spans="2:24" x14ac:dyDescent="0.25">
      <c r="B577" s="54" t="str">
        <f>IFERROR(VLOOKUP(A577,Lookup!A:B,2,0),"")</f>
        <v/>
      </c>
      <c r="C577" s="54" t="str">
        <f>IFERROR(VLOOKUP(A577,Lookup!A:C,3,0),"")</f>
        <v/>
      </c>
      <c r="J577" s="103">
        <f>VLOOKUP(A577&amp;G577,Lookup!J:N,5,0)</f>
        <v>0</v>
      </c>
      <c r="O577" s="57">
        <f>IFERROR(VLOOKUP(A577&amp;G577,Lookup!J:K,2,0),"")</f>
        <v>0</v>
      </c>
      <c r="P577" s="110" t="str">
        <f t="shared" si="52"/>
        <v/>
      </c>
      <c r="T577" s="59" t="e">
        <f t="shared" si="53"/>
        <v>#VALUE!</v>
      </c>
      <c r="U577" s="59"/>
      <c r="X577" s="60" t="str">
        <f t="shared" si="54"/>
        <v>D</v>
      </c>
    </row>
    <row r="578" spans="2:24" x14ac:dyDescent="0.25">
      <c r="B578" s="54" t="str">
        <f>IFERROR(VLOOKUP(A578,Lookup!A:B,2,0),"")</f>
        <v/>
      </c>
      <c r="C578" s="54" t="str">
        <f>IFERROR(VLOOKUP(A578,Lookup!A:C,3,0),"")</f>
        <v/>
      </c>
      <c r="J578" s="103">
        <f>VLOOKUP(A578&amp;G578,Lookup!J:N,5,0)</f>
        <v>0</v>
      </c>
      <c r="O578" s="57">
        <f>IFERROR(VLOOKUP(A578&amp;G578,Lookup!J:K,2,0),"")</f>
        <v>0</v>
      </c>
      <c r="P578" s="110" t="str">
        <f t="shared" si="52"/>
        <v/>
      </c>
      <c r="T578" s="59" t="e">
        <f t="shared" si="53"/>
        <v>#VALUE!</v>
      </c>
      <c r="U578" s="59"/>
      <c r="X578" s="60" t="str">
        <f t="shared" si="54"/>
        <v>D</v>
      </c>
    </row>
    <row r="579" spans="2:24" x14ac:dyDescent="0.25">
      <c r="B579" s="54" t="str">
        <f>IFERROR(VLOOKUP(A579,Lookup!A:B,2,0),"")</f>
        <v/>
      </c>
      <c r="C579" s="54" t="str">
        <f>IFERROR(VLOOKUP(A579,Lookup!A:C,3,0),"")</f>
        <v/>
      </c>
      <c r="J579" s="103">
        <f>VLOOKUP(A579&amp;G579,Lookup!J:N,5,0)</f>
        <v>0</v>
      </c>
      <c r="O579" s="57">
        <f>IFERROR(VLOOKUP(A579&amp;G579,Lookup!J:K,2,0),"")</f>
        <v>0</v>
      </c>
      <c r="P579" s="110" t="str">
        <f t="shared" si="52"/>
        <v/>
      </c>
      <c r="T579" s="59" t="e">
        <f t="shared" si="53"/>
        <v>#VALUE!</v>
      </c>
      <c r="U579" s="59"/>
      <c r="X579" s="60" t="str">
        <f t="shared" si="54"/>
        <v>D</v>
      </c>
    </row>
    <row r="580" spans="2:24" x14ac:dyDescent="0.25">
      <c r="B580" s="54" t="str">
        <f>IFERROR(VLOOKUP(A580,Lookup!A:B,2,0),"")</f>
        <v/>
      </c>
      <c r="C580" s="54" t="str">
        <f>IFERROR(VLOOKUP(A580,Lookup!A:C,3,0),"")</f>
        <v/>
      </c>
      <c r="J580" s="103">
        <f>VLOOKUP(A580&amp;G580,Lookup!J:N,5,0)</f>
        <v>0</v>
      </c>
      <c r="O580" s="57">
        <f>IFERROR(VLOOKUP(A580&amp;G580,Lookup!J:K,2,0),"")</f>
        <v>0</v>
      </c>
      <c r="P580" s="110" t="str">
        <f t="shared" ref="P580:P643" si="55">IF(N580="","",N580+O580)</f>
        <v/>
      </c>
      <c r="T580" s="59" t="e">
        <f t="shared" si="53"/>
        <v>#VALUE!</v>
      </c>
      <c r="U580" s="59"/>
      <c r="X580" s="60" t="str">
        <f t="shared" si="54"/>
        <v>D</v>
      </c>
    </row>
    <row r="581" spans="2:24" x14ac:dyDescent="0.25">
      <c r="B581" s="54" t="str">
        <f>IFERROR(VLOOKUP(A581,Lookup!A:B,2,0),"")</f>
        <v/>
      </c>
      <c r="C581" s="54" t="str">
        <f>IFERROR(VLOOKUP(A581,Lookup!A:C,3,0),"")</f>
        <v/>
      </c>
      <c r="J581" s="103">
        <f>VLOOKUP(A581&amp;G581,Lookup!J:N,5,0)</f>
        <v>0</v>
      </c>
      <c r="O581" s="57">
        <f>IFERROR(VLOOKUP(A581&amp;G581,Lookup!J:K,2,0),"")</f>
        <v>0</v>
      </c>
      <c r="P581" s="110" t="str">
        <f t="shared" si="55"/>
        <v/>
      </c>
      <c r="T581" s="59" t="e">
        <f t="shared" si="53"/>
        <v>#VALUE!</v>
      </c>
      <c r="U581" s="59"/>
      <c r="X581" s="60" t="str">
        <f t="shared" si="54"/>
        <v>D</v>
      </c>
    </row>
    <row r="582" spans="2:24" x14ac:dyDescent="0.25">
      <c r="B582" s="54" t="str">
        <f>IFERROR(VLOOKUP(A582,Lookup!A:B,2,0),"")</f>
        <v/>
      </c>
      <c r="C582" s="54" t="str">
        <f>IFERROR(VLOOKUP(A582,Lookup!A:C,3,0),"")</f>
        <v/>
      </c>
      <c r="J582" s="103">
        <f>VLOOKUP(A582&amp;G582,Lookup!J:N,5,0)</f>
        <v>0</v>
      </c>
      <c r="O582" s="57">
        <f>IFERROR(VLOOKUP(A582&amp;G582,Lookup!J:K,2,0),"")</f>
        <v>0</v>
      </c>
      <c r="P582" s="110" t="str">
        <f t="shared" si="55"/>
        <v/>
      </c>
      <c r="T582" s="59" t="e">
        <f t="shared" si="53"/>
        <v>#VALUE!</v>
      </c>
      <c r="U582" s="59"/>
      <c r="X582" s="60" t="str">
        <f t="shared" si="54"/>
        <v>D</v>
      </c>
    </row>
    <row r="583" spans="2:24" x14ac:dyDescent="0.25">
      <c r="B583" s="54" t="str">
        <f>IFERROR(VLOOKUP(A583,Lookup!A:B,2,0),"")</f>
        <v/>
      </c>
      <c r="C583" s="54" t="str">
        <f>IFERROR(VLOOKUP(A583,Lookup!A:C,3,0),"")</f>
        <v/>
      </c>
      <c r="J583" s="103">
        <f>VLOOKUP(A583&amp;G583,Lookup!J:N,5,0)</f>
        <v>0</v>
      </c>
      <c r="O583" s="57">
        <f>IFERROR(VLOOKUP(A583&amp;G583,Lookup!J:K,2,0),"")</f>
        <v>0</v>
      </c>
      <c r="P583" s="110" t="str">
        <f t="shared" si="55"/>
        <v/>
      </c>
      <c r="T583" s="59" t="e">
        <f t="shared" si="53"/>
        <v>#VALUE!</v>
      </c>
      <c r="U583" s="59"/>
      <c r="X583" s="60" t="str">
        <f t="shared" si="54"/>
        <v>D</v>
      </c>
    </row>
    <row r="584" spans="2:24" x14ac:dyDescent="0.25">
      <c r="B584" s="54" t="str">
        <f>IFERROR(VLOOKUP(A584,Lookup!A:B,2,0),"")</f>
        <v/>
      </c>
      <c r="C584" s="54" t="str">
        <f>IFERROR(VLOOKUP(A584,Lookup!A:C,3,0),"")</f>
        <v/>
      </c>
      <c r="J584" s="103">
        <f>VLOOKUP(A584&amp;G584,Lookup!J:N,5,0)</f>
        <v>0</v>
      </c>
      <c r="O584" s="57">
        <f>IFERROR(VLOOKUP(A584&amp;G584,Lookup!J:K,2,0),"")</f>
        <v>0</v>
      </c>
      <c r="P584" s="110" t="str">
        <f t="shared" si="55"/>
        <v/>
      </c>
      <c r="T584" s="59" t="e">
        <f t="shared" si="53"/>
        <v>#VALUE!</v>
      </c>
      <c r="U584" s="59"/>
      <c r="X584" s="60" t="str">
        <f t="shared" si="54"/>
        <v>D</v>
      </c>
    </row>
    <row r="585" spans="2:24" x14ac:dyDescent="0.25">
      <c r="B585" s="54" t="str">
        <f>IFERROR(VLOOKUP(A585,Lookup!A:B,2,0),"")</f>
        <v/>
      </c>
      <c r="C585" s="54" t="str">
        <f>IFERROR(VLOOKUP(A585,Lookup!A:C,3,0),"")</f>
        <v/>
      </c>
      <c r="J585" s="103">
        <f>VLOOKUP(A585&amp;G585,Lookup!J:N,5,0)</f>
        <v>0</v>
      </c>
      <c r="O585" s="57">
        <f>IFERROR(VLOOKUP(A585&amp;G585,Lookup!J:K,2,0),"")</f>
        <v>0</v>
      </c>
      <c r="P585" s="110" t="str">
        <f t="shared" si="55"/>
        <v/>
      </c>
      <c r="T585" s="59" t="e">
        <f t="shared" si="53"/>
        <v>#VALUE!</v>
      </c>
      <c r="U585" s="59"/>
      <c r="X585" s="60" t="str">
        <f t="shared" si="54"/>
        <v>D</v>
      </c>
    </row>
    <row r="586" spans="2:24" x14ac:dyDescent="0.25">
      <c r="B586" s="54" t="str">
        <f>IFERROR(VLOOKUP(A586,Lookup!A:B,2,0),"")</f>
        <v/>
      </c>
      <c r="C586" s="54" t="str">
        <f>IFERROR(VLOOKUP(A586,Lookup!A:C,3,0),"")</f>
        <v/>
      </c>
      <c r="J586" s="103">
        <f>VLOOKUP(A586&amp;G586,Lookup!J:N,5,0)</f>
        <v>0</v>
      </c>
      <c r="O586" s="57">
        <f>IFERROR(VLOOKUP(A586&amp;G586,Lookup!J:K,2,0),"")</f>
        <v>0</v>
      </c>
      <c r="P586" s="110" t="str">
        <f t="shared" si="55"/>
        <v/>
      </c>
      <c r="T586" s="59" t="e">
        <f t="shared" si="53"/>
        <v>#VALUE!</v>
      </c>
      <c r="U586" s="59"/>
      <c r="X586" s="60" t="str">
        <f t="shared" si="54"/>
        <v>D</v>
      </c>
    </row>
    <row r="587" spans="2:24" x14ac:dyDescent="0.25">
      <c r="B587" s="54" t="str">
        <f>IFERROR(VLOOKUP(A587,Lookup!A:B,2,0),"")</f>
        <v/>
      </c>
      <c r="C587" s="54" t="str">
        <f>IFERROR(VLOOKUP(A587,Lookup!A:C,3,0),"")</f>
        <v/>
      </c>
      <c r="J587" s="103">
        <f>VLOOKUP(A587&amp;G587,Lookup!J:N,5,0)</f>
        <v>0</v>
      </c>
      <c r="O587" s="57">
        <f>IFERROR(VLOOKUP(A587&amp;G587,Lookup!J:K,2,0),"")</f>
        <v>0</v>
      </c>
      <c r="P587" s="110" t="str">
        <f t="shared" si="55"/>
        <v/>
      </c>
      <c r="T587" s="59" t="e">
        <f t="shared" si="53"/>
        <v>#VALUE!</v>
      </c>
      <c r="U587" s="59"/>
      <c r="X587" s="60" t="str">
        <f t="shared" si="54"/>
        <v>D</v>
      </c>
    </row>
    <row r="588" spans="2:24" x14ac:dyDescent="0.25">
      <c r="B588" s="54" t="str">
        <f>IFERROR(VLOOKUP(A588,Lookup!A:B,2,0),"")</f>
        <v/>
      </c>
      <c r="C588" s="54" t="str">
        <f>IFERROR(VLOOKUP(A588,Lookup!A:C,3,0),"")</f>
        <v/>
      </c>
      <c r="J588" s="103">
        <f>VLOOKUP(A588&amp;G588,Lookup!J:N,5,0)</f>
        <v>0</v>
      </c>
      <c r="O588" s="57">
        <f>IFERROR(VLOOKUP(A588&amp;G588,Lookup!J:K,2,0),"")</f>
        <v>0</v>
      </c>
      <c r="P588" s="110" t="str">
        <f t="shared" si="55"/>
        <v/>
      </c>
      <c r="T588" s="59" t="e">
        <f t="shared" si="53"/>
        <v>#VALUE!</v>
      </c>
      <c r="U588" s="59"/>
      <c r="X588" s="60" t="str">
        <f t="shared" si="54"/>
        <v>D</v>
      </c>
    </row>
    <row r="589" spans="2:24" x14ac:dyDescent="0.25">
      <c r="B589" s="54" t="str">
        <f>IFERROR(VLOOKUP(A589,Lookup!A:B,2,0),"")</f>
        <v/>
      </c>
      <c r="C589" s="54" t="str">
        <f>IFERROR(VLOOKUP(A589,Lookup!A:C,3,0),"")</f>
        <v/>
      </c>
      <c r="J589" s="103">
        <f>VLOOKUP(A589&amp;G589,Lookup!J:N,5,0)</f>
        <v>0</v>
      </c>
      <c r="O589" s="57">
        <f>IFERROR(VLOOKUP(A589&amp;G589,Lookup!J:K,2,0),"")</f>
        <v>0</v>
      </c>
      <c r="P589" s="110" t="str">
        <f t="shared" si="55"/>
        <v/>
      </c>
      <c r="T589" s="59" t="e">
        <f t="shared" si="53"/>
        <v>#VALUE!</v>
      </c>
      <c r="U589" s="59"/>
      <c r="X589" s="60" t="str">
        <f t="shared" si="54"/>
        <v>D</v>
      </c>
    </row>
    <row r="590" spans="2:24" x14ac:dyDescent="0.25">
      <c r="B590" s="54" t="str">
        <f>IFERROR(VLOOKUP(A590,Lookup!A:B,2,0),"")</f>
        <v/>
      </c>
      <c r="C590" s="54" t="str">
        <f>IFERROR(VLOOKUP(A590,Lookup!A:C,3,0),"")</f>
        <v/>
      </c>
      <c r="J590" s="103">
        <f>VLOOKUP(A590&amp;G590,Lookup!J:N,5,0)</f>
        <v>0</v>
      </c>
      <c r="O590" s="57">
        <f>IFERROR(VLOOKUP(A590&amp;G590,Lookup!J:K,2,0),"")</f>
        <v>0</v>
      </c>
      <c r="P590" s="110" t="str">
        <f t="shared" si="55"/>
        <v/>
      </c>
      <c r="T590" s="59" t="e">
        <f t="shared" ref="T590:T653" si="56">IF(Q590-P590&gt;0.0415,"YES",(IF(OR(EXACT(Q590,""), EXACT(P590,"")),"","NO")))</f>
        <v>#VALUE!</v>
      </c>
      <c r="U590" s="59"/>
      <c r="X590" s="60" t="str">
        <f t="shared" si="54"/>
        <v>D</v>
      </c>
    </row>
    <row r="591" spans="2:24" x14ac:dyDescent="0.25">
      <c r="B591" s="54" t="str">
        <f>IFERROR(VLOOKUP(A591,Lookup!A:B,2,0),"")</f>
        <v/>
      </c>
      <c r="C591" s="54" t="str">
        <f>IFERROR(VLOOKUP(A591,Lookup!A:C,3,0),"")</f>
        <v/>
      </c>
      <c r="J591" s="103">
        <f>VLOOKUP(A591&amp;G591,Lookup!J:N,5,0)</f>
        <v>0</v>
      </c>
      <c r="O591" s="57">
        <f>IFERROR(VLOOKUP(A591&amp;G591,Lookup!J:K,2,0),"")</f>
        <v>0</v>
      </c>
      <c r="P591" s="110" t="str">
        <f t="shared" si="55"/>
        <v/>
      </c>
      <c r="T591" s="59" t="e">
        <f t="shared" si="56"/>
        <v>#VALUE!</v>
      </c>
      <c r="U591" s="59"/>
      <c r="X591" s="60" t="str">
        <f t="shared" si="54"/>
        <v>D</v>
      </c>
    </row>
    <row r="592" spans="2:24" x14ac:dyDescent="0.25">
      <c r="B592" s="54" t="str">
        <f>IFERROR(VLOOKUP(A592,Lookup!A:B,2,0),"")</f>
        <v/>
      </c>
      <c r="C592" s="54" t="str">
        <f>IFERROR(VLOOKUP(A592,Lookup!A:C,3,0),"")</f>
        <v/>
      </c>
      <c r="J592" s="103">
        <f>VLOOKUP(A592&amp;G592,Lookup!J:N,5,0)</f>
        <v>0</v>
      </c>
      <c r="O592" s="57">
        <f>IFERROR(VLOOKUP(A592&amp;G592,Lookup!J:K,2,0),"")</f>
        <v>0</v>
      </c>
      <c r="P592" s="110" t="str">
        <f t="shared" si="55"/>
        <v/>
      </c>
      <c r="T592" s="59" t="e">
        <f t="shared" si="56"/>
        <v>#VALUE!</v>
      </c>
      <c r="U592" s="59"/>
      <c r="X592" s="60" t="str">
        <f t="shared" si="54"/>
        <v>D</v>
      </c>
    </row>
    <row r="593" spans="2:24" x14ac:dyDescent="0.25">
      <c r="B593" s="54" t="str">
        <f>IFERROR(VLOOKUP(A593,Lookup!A:B,2,0),"")</f>
        <v/>
      </c>
      <c r="C593" s="54" t="str">
        <f>IFERROR(VLOOKUP(A593,Lookup!A:C,3,0),"")</f>
        <v/>
      </c>
      <c r="J593" s="103">
        <f>VLOOKUP(A593&amp;G593,Lookup!J:N,5,0)</f>
        <v>0</v>
      </c>
      <c r="O593" s="57">
        <f>IFERROR(VLOOKUP(A593&amp;G593,Lookup!J:K,2,0),"")</f>
        <v>0</v>
      </c>
      <c r="P593" s="110" t="str">
        <f t="shared" si="55"/>
        <v/>
      </c>
      <c r="T593" s="59" t="e">
        <f t="shared" si="56"/>
        <v>#VALUE!</v>
      </c>
      <c r="U593" s="59"/>
      <c r="X593" s="60" t="str">
        <f t="shared" si="54"/>
        <v>D</v>
      </c>
    </row>
    <row r="594" spans="2:24" x14ac:dyDescent="0.25">
      <c r="B594" s="54" t="str">
        <f>IFERROR(VLOOKUP(A594,Lookup!A:B,2,0),"")</f>
        <v/>
      </c>
      <c r="C594" s="54" t="str">
        <f>IFERROR(VLOOKUP(A594,Lookup!A:C,3,0),"")</f>
        <v/>
      </c>
      <c r="J594" s="103">
        <f>VLOOKUP(A594&amp;G594,Lookup!J:N,5,0)</f>
        <v>0</v>
      </c>
      <c r="O594" s="57">
        <f>IFERROR(VLOOKUP(A594&amp;G594,Lookup!J:K,2,0),"")</f>
        <v>0</v>
      </c>
      <c r="P594" s="110" t="str">
        <f t="shared" si="55"/>
        <v/>
      </c>
      <c r="T594" s="59" t="e">
        <f t="shared" si="56"/>
        <v>#VALUE!</v>
      </c>
      <c r="U594" s="59"/>
      <c r="X594" s="60" t="str">
        <f t="shared" si="54"/>
        <v>D</v>
      </c>
    </row>
    <row r="595" spans="2:24" x14ac:dyDescent="0.25">
      <c r="B595" s="54" t="str">
        <f>IFERROR(VLOOKUP(A595,Lookup!A:B,2,0),"")</f>
        <v/>
      </c>
      <c r="C595" s="54" t="str">
        <f>IFERROR(VLOOKUP(A595,Lookup!A:C,3,0),"")</f>
        <v/>
      </c>
      <c r="J595" s="103">
        <f>VLOOKUP(A595&amp;G595,Lookup!J:N,5,0)</f>
        <v>0</v>
      </c>
      <c r="O595" s="57">
        <f>IFERROR(VLOOKUP(A595&amp;G595,Lookup!J:K,2,0),"")</f>
        <v>0</v>
      </c>
      <c r="P595" s="110" t="str">
        <f t="shared" si="55"/>
        <v/>
      </c>
      <c r="T595" s="59" t="e">
        <f t="shared" si="56"/>
        <v>#VALUE!</v>
      </c>
      <c r="U595" s="59"/>
      <c r="X595" s="60" t="str">
        <f t="shared" si="54"/>
        <v>D</v>
      </c>
    </row>
    <row r="596" spans="2:24" x14ac:dyDescent="0.25">
      <c r="B596" s="54" t="str">
        <f>IFERROR(VLOOKUP(A596,Lookup!A:B,2,0),"")</f>
        <v/>
      </c>
      <c r="C596" s="54" t="str">
        <f>IFERROR(VLOOKUP(A596,Lookup!A:C,3,0),"")</f>
        <v/>
      </c>
      <c r="J596" s="103">
        <f>VLOOKUP(A596&amp;G596,Lookup!J:N,5,0)</f>
        <v>0</v>
      </c>
      <c r="O596" s="57">
        <f>IFERROR(VLOOKUP(A596&amp;G596,Lookup!J:K,2,0),"")</f>
        <v>0</v>
      </c>
      <c r="P596" s="110" t="str">
        <f t="shared" si="55"/>
        <v/>
      </c>
      <c r="T596" s="59" t="e">
        <f t="shared" si="56"/>
        <v>#VALUE!</v>
      </c>
      <c r="U596" s="59"/>
      <c r="X596" s="60" t="str">
        <f t="shared" si="54"/>
        <v>D</v>
      </c>
    </row>
    <row r="597" spans="2:24" x14ac:dyDescent="0.25">
      <c r="B597" s="54" t="str">
        <f>IFERROR(VLOOKUP(A597,Lookup!A:B,2,0),"")</f>
        <v/>
      </c>
      <c r="C597" s="54" t="str">
        <f>IFERROR(VLOOKUP(A597,Lookup!A:C,3,0),"")</f>
        <v/>
      </c>
      <c r="J597" s="103">
        <f>VLOOKUP(A597&amp;G597,Lookup!J:N,5,0)</f>
        <v>0</v>
      </c>
      <c r="O597" s="57">
        <f>IFERROR(VLOOKUP(A597&amp;G597,Lookup!J:K,2,0),"")</f>
        <v>0</v>
      </c>
      <c r="P597" s="110" t="str">
        <f t="shared" si="55"/>
        <v/>
      </c>
      <c r="T597" s="59" t="e">
        <f t="shared" si="56"/>
        <v>#VALUE!</v>
      </c>
      <c r="U597" s="59"/>
      <c r="X597" s="60" t="str">
        <f t="shared" si="54"/>
        <v>D</v>
      </c>
    </row>
    <row r="598" spans="2:24" x14ac:dyDescent="0.25">
      <c r="B598" s="54" t="str">
        <f>IFERROR(VLOOKUP(A598,Lookup!A:B,2,0),"")</f>
        <v/>
      </c>
      <c r="C598" s="54" t="str">
        <f>IFERROR(VLOOKUP(A598,Lookup!A:C,3,0),"")</f>
        <v/>
      </c>
      <c r="J598" s="103">
        <f>VLOOKUP(A598&amp;G598,Lookup!J:N,5,0)</f>
        <v>0</v>
      </c>
      <c r="O598" s="57">
        <f>IFERROR(VLOOKUP(A598&amp;G598,Lookup!J:K,2,0),"")</f>
        <v>0</v>
      </c>
      <c r="P598" s="110" t="str">
        <f t="shared" si="55"/>
        <v/>
      </c>
      <c r="T598" s="59" t="e">
        <f t="shared" si="56"/>
        <v>#VALUE!</v>
      </c>
      <c r="U598" s="59"/>
      <c r="X598" s="60" t="str">
        <f t="shared" si="54"/>
        <v>D</v>
      </c>
    </row>
    <row r="599" spans="2:24" x14ac:dyDescent="0.25">
      <c r="B599" s="54" t="str">
        <f>IFERROR(VLOOKUP(A599,Lookup!A:B,2,0),"")</f>
        <v/>
      </c>
      <c r="C599" s="54" t="str">
        <f>IFERROR(VLOOKUP(A599,Lookup!A:C,3,0),"")</f>
        <v/>
      </c>
      <c r="J599" s="103">
        <f>VLOOKUP(A599&amp;G599,Lookup!J:N,5,0)</f>
        <v>0</v>
      </c>
      <c r="O599" s="57">
        <f>IFERROR(VLOOKUP(A599&amp;G599,Lookup!J:K,2,0),"")</f>
        <v>0</v>
      </c>
      <c r="P599" s="110" t="str">
        <f t="shared" si="55"/>
        <v/>
      </c>
      <c r="T599" s="59" t="e">
        <f t="shared" si="56"/>
        <v>#VALUE!</v>
      </c>
      <c r="U599" s="59"/>
      <c r="X599" s="60" t="str">
        <f t="shared" si="54"/>
        <v>D</v>
      </c>
    </row>
    <row r="600" spans="2:24" x14ac:dyDescent="0.25">
      <c r="B600" s="54" t="str">
        <f>IFERROR(VLOOKUP(A600,Lookup!A:B,2,0),"")</f>
        <v/>
      </c>
      <c r="C600" s="54" t="str">
        <f>IFERROR(VLOOKUP(A600,Lookup!A:C,3,0),"")</f>
        <v/>
      </c>
      <c r="J600" s="103">
        <f>VLOOKUP(A600&amp;G600,Lookup!J:N,5,0)</f>
        <v>0</v>
      </c>
      <c r="O600" s="57">
        <f>IFERROR(VLOOKUP(A600&amp;G600,Lookup!J:K,2,0),"")</f>
        <v>0</v>
      </c>
      <c r="P600" s="110" t="str">
        <f t="shared" si="55"/>
        <v/>
      </c>
      <c r="T600" s="59" t="e">
        <f t="shared" si="56"/>
        <v>#VALUE!</v>
      </c>
      <c r="U600" s="59"/>
      <c r="X600" s="60" t="str">
        <f t="shared" si="54"/>
        <v>D</v>
      </c>
    </row>
    <row r="601" spans="2:24" x14ac:dyDescent="0.25">
      <c r="B601" s="54" t="str">
        <f>IFERROR(VLOOKUP(A601,Lookup!A:B,2,0),"")</f>
        <v/>
      </c>
      <c r="C601" s="54" t="str">
        <f>IFERROR(VLOOKUP(A601,Lookup!A:C,3,0),"")</f>
        <v/>
      </c>
      <c r="J601" s="103">
        <f>VLOOKUP(A601&amp;G601,Lookup!J:N,5,0)</f>
        <v>0</v>
      </c>
      <c r="O601" s="57">
        <f>IFERROR(VLOOKUP(A601&amp;G601,Lookup!J:K,2,0),"")</f>
        <v>0</v>
      </c>
      <c r="P601" s="110" t="str">
        <f t="shared" si="55"/>
        <v/>
      </c>
      <c r="T601" s="59" t="e">
        <f t="shared" si="56"/>
        <v>#VALUE!</v>
      </c>
      <c r="U601" s="59"/>
      <c r="X601" s="60" t="str">
        <f t="shared" si="54"/>
        <v>D</v>
      </c>
    </row>
    <row r="602" spans="2:24" x14ac:dyDescent="0.25">
      <c r="B602" s="54" t="str">
        <f>IFERROR(VLOOKUP(A602,Lookup!A:B,2,0),"")</f>
        <v/>
      </c>
      <c r="C602" s="54" t="str">
        <f>IFERROR(VLOOKUP(A602,Lookup!A:C,3,0),"")</f>
        <v/>
      </c>
      <c r="J602" s="103">
        <f>VLOOKUP(A602&amp;G602,Lookup!J:N,5,0)</f>
        <v>0</v>
      </c>
      <c r="O602" s="57">
        <f>IFERROR(VLOOKUP(A602&amp;G602,Lookup!J:K,2,0),"")</f>
        <v>0</v>
      </c>
      <c r="P602" s="110" t="str">
        <f t="shared" si="55"/>
        <v/>
      </c>
      <c r="T602" s="59" t="e">
        <f t="shared" si="56"/>
        <v>#VALUE!</v>
      </c>
      <c r="U602" s="59"/>
      <c r="X602" s="60" t="str">
        <f t="shared" si="54"/>
        <v>D</v>
      </c>
    </row>
    <row r="603" spans="2:24" x14ac:dyDescent="0.25">
      <c r="B603" s="54" t="str">
        <f>IFERROR(VLOOKUP(A603,Lookup!A:B,2,0),"")</f>
        <v/>
      </c>
      <c r="C603" s="54" t="str">
        <f>IFERROR(VLOOKUP(A603,Lookup!A:C,3,0),"")</f>
        <v/>
      </c>
      <c r="J603" s="103">
        <f>VLOOKUP(A603&amp;G603,Lookup!J:N,5,0)</f>
        <v>0</v>
      </c>
      <c r="O603" s="57">
        <f>IFERROR(VLOOKUP(A603&amp;G603,Lookup!J:K,2,0),"")</f>
        <v>0</v>
      </c>
      <c r="P603" s="110" t="str">
        <f t="shared" si="55"/>
        <v/>
      </c>
      <c r="T603" s="59" t="e">
        <f t="shared" si="56"/>
        <v>#VALUE!</v>
      </c>
      <c r="U603" s="59"/>
      <c r="X603" s="60" t="str">
        <f t="shared" si="54"/>
        <v>D</v>
      </c>
    </row>
    <row r="604" spans="2:24" x14ac:dyDescent="0.25">
      <c r="B604" s="54" t="str">
        <f>IFERROR(VLOOKUP(A604,Lookup!A:B,2,0),"")</f>
        <v/>
      </c>
      <c r="C604" s="54" t="str">
        <f>IFERROR(VLOOKUP(A604,Lookup!A:C,3,0),"")</f>
        <v/>
      </c>
      <c r="J604" s="103">
        <f>VLOOKUP(A604&amp;G604,Lookup!J:N,5,0)</f>
        <v>0</v>
      </c>
      <c r="O604" s="57">
        <f>IFERROR(VLOOKUP(A604&amp;G604,Lookup!J:K,2,0),"")</f>
        <v>0</v>
      </c>
      <c r="P604" s="110" t="str">
        <f t="shared" si="55"/>
        <v/>
      </c>
      <c r="T604" s="59" t="e">
        <f t="shared" si="56"/>
        <v>#VALUE!</v>
      </c>
      <c r="U604" s="59"/>
      <c r="X604" s="60" t="str">
        <f t="shared" si="54"/>
        <v>D</v>
      </c>
    </row>
    <row r="605" spans="2:24" x14ac:dyDescent="0.25">
      <c r="B605" s="54" t="str">
        <f>IFERROR(VLOOKUP(A605,Lookup!A:B,2,0),"")</f>
        <v/>
      </c>
      <c r="C605" s="54" t="str">
        <f>IFERROR(VLOOKUP(A605,Lookup!A:C,3,0),"")</f>
        <v/>
      </c>
      <c r="J605" s="103">
        <f>VLOOKUP(A605&amp;G605,Lookup!J:N,5,0)</f>
        <v>0</v>
      </c>
      <c r="O605" s="57">
        <f>IFERROR(VLOOKUP(A605&amp;G605,Lookup!J:K,2,0),"")</f>
        <v>0</v>
      </c>
      <c r="P605" s="110" t="str">
        <f t="shared" si="55"/>
        <v/>
      </c>
      <c r="T605" s="59" t="e">
        <f t="shared" si="56"/>
        <v>#VALUE!</v>
      </c>
      <c r="U605" s="59"/>
      <c r="X605" s="60" t="str">
        <f t="shared" si="54"/>
        <v>D</v>
      </c>
    </row>
    <row r="606" spans="2:24" x14ac:dyDescent="0.25">
      <c r="B606" s="54" t="str">
        <f>IFERROR(VLOOKUP(A606,Lookup!A:B,2,0),"")</f>
        <v/>
      </c>
      <c r="C606" s="54" t="str">
        <f>IFERROR(VLOOKUP(A606,Lookup!A:C,3,0),"")</f>
        <v/>
      </c>
      <c r="J606" s="103">
        <f>VLOOKUP(A606&amp;G606,Lookup!J:N,5,0)</f>
        <v>0</v>
      </c>
      <c r="O606" s="57">
        <f>IFERROR(VLOOKUP(A606&amp;G606,Lookup!J:K,2,0),"")</f>
        <v>0</v>
      </c>
      <c r="P606" s="110" t="str">
        <f t="shared" si="55"/>
        <v/>
      </c>
      <c r="T606" s="59" t="e">
        <f t="shared" si="56"/>
        <v>#VALUE!</v>
      </c>
      <c r="U606" s="59"/>
      <c r="X606" s="60" t="str">
        <f t="shared" si="54"/>
        <v>D</v>
      </c>
    </row>
    <row r="607" spans="2:24" x14ac:dyDescent="0.25">
      <c r="B607" s="54" t="str">
        <f>IFERROR(VLOOKUP(A607,Lookup!A:B,2,0),"")</f>
        <v/>
      </c>
      <c r="C607" s="54" t="str">
        <f>IFERROR(VLOOKUP(A607,Lookup!A:C,3,0),"")</f>
        <v/>
      </c>
      <c r="J607" s="103">
        <f>VLOOKUP(A607&amp;G607,Lookup!J:N,5,0)</f>
        <v>0</v>
      </c>
      <c r="O607" s="57">
        <f>IFERROR(VLOOKUP(A607&amp;G607,Lookup!J:K,2,0),"")</f>
        <v>0</v>
      </c>
      <c r="P607" s="110" t="str">
        <f t="shared" si="55"/>
        <v/>
      </c>
      <c r="T607" s="59" t="e">
        <f t="shared" si="56"/>
        <v>#VALUE!</v>
      </c>
      <c r="U607" s="59"/>
      <c r="X607" s="60" t="str">
        <f t="shared" si="54"/>
        <v>D</v>
      </c>
    </row>
    <row r="608" spans="2:24" x14ac:dyDescent="0.25">
      <c r="B608" s="54" t="str">
        <f>IFERROR(VLOOKUP(A608,Lookup!A:B,2,0),"")</f>
        <v/>
      </c>
      <c r="C608" s="54" t="str">
        <f>IFERROR(VLOOKUP(A608,Lookup!A:C,3,0),"")</f>
        <v/>
      </c>
      <c r="J608" s="103">
        <f>VLOOKUP(A608&amp;G608,Lookup!J:N,5,0)</f>
        <v>0</v>
      </c>
      <c r="O608" s="57">
        <f>IFERROR(VLOOKUP(A608&amp;G608,Lookup!J:K,2,0),"")</f>
        <v>0</v>
      </c>
      <c r="P608" s="110" t="str">
        <f t="shared" si="55"/>
        <v/>
      </c>
      <c r="T608" s="59" t="e">
        <f t="shared" si="56"/>
        <v>#VALUE!</v>
      </c>
      <c r="U608" s="59"/>
      <c r="X608" s="60" t="str">
        <f t="shared" si="54"/>
        <v>D</v>
      </c>
    </row>
    <row r="609" spans="2:24" x14ac:dyDescent="0.25">
      <c r="B609" s="54" t="str">
        <f>IFERROR(VLOOKUP(A609,Lookup!A:B,2,0),"")</f>
        <v/>
      </c>
      <c r="C609" s="54" t="str">
        <f>IFERROR(VLOOKUP(A609,Lookup!A:C,3,0),"")</f>
        <v/>
      </c>
      <c r="J609" s="103">
        <f>VLOOKUP(A609&amp;G609,Lookup!J:N,5,0)</f>
        <v>0</v>
      </c>
      <c r="O609" s="57">
        <f>IFERROR(VLOOKUP(A609&amp;G609,Lookup!J:K,2,0),"")</f>
        <v>0</v>
      </c>
      <c r="P609" s="110" t="str">
        <f t="shared" si="55"/>
        <v/>
      </c>
      <c r="T609" s="59" t="e">
        <f t="shared" si="56"/>
        <v>#VALUE!</v>
      </c>
      <c r="U609" s="59"/>
      <c r="X609" s="60" t="str">
        <f t="shared" si="54"/>
        <v>D</v>
      </c>
    </row>
    <row r="610" spans="2:24" x14ac:dyDescent="0.25">
      <c r="B610" s="54" t="str">
        <f>IFERROR(VLOOKUP(A610,Lookup!A:B,2,0),"")</f>
        <v/>
      </c>
      <c r="C610" s="54" t="str">
        <f>IFERROR(VLOOKUP(A610,Lookup!A:C,3,0),"")</f>
        <v/>
      </c>
      <c r="J610" s="103">
        <f>VLOOKUP(A610&amp;G610,Lookup!J:N,5,0)</f>
        <v>0</v>
      </c>
      <c r="O610" s="57">
        <f>IFERROR(VLOOKUP(A610&amp;G610,Lookup!J:K,2,0),"")</f>
        <v>0</v>
      </c>
      <c r="P610" s="110" t="str">
        <f t="shared" si="55"/>
        <v/>
      </c>
      <c r="T610" s="59" t="e">
        <f t="shared" si="56"/>
        <v>#VALUE!</v>
      </c>
      <c r="U610" s="59"/>
      <c r="X610" s="60" t="str">
        <f t="shared" si="54"/>
        <v>D</v>
      </c>
    </row>
    <row r="611" spans="2:24" x14ac:dyDescent="0.25">
      <c r="B611" s="54" t="str">
        <f>IFERROR(VLOOKUP(A611,Lookup!A:B,2,0),"")</f>
        <v/>
      </c>
      <c r="C611" s="54" t="str">
        <f>IFERROR(VLOOKUP(A611,Lookup!A:C,3,0),"")</f>
        <v/>
      </c>
      <c r="J611" s="103">
        <f>VLOOKUP(A611&amp;G611,Lookup!J:N,5,0)</f>
        <v>0</v>
      </c>
      <c r="O611" s="57">
        <f>IFERROR(VLOOKUP(A611&amp;G611,Lookup!J:K,2,0),"")</f>
        <v>0</v>
      </c>
      <c r="P611" s="110" t="str">
        <f t="shared" si="55"/>
        <v/>
      </c>
      <c r="T611" s="59" t="e">
        <f t="shared" si="56"/>
        <v>#VALUE!</v>
      </c>
      <c r="U611" s="59"/>
      <c r="X611" s="60" t="str">
        <f t="shared" si="54"/>
        <v>D</v>
      </c>
    </row>
    <row r="612" spans="2:24" x14ac:dyDescent="0.25">
      <c r="B612" s="54" t="str">
        <f>IFERROR(VLOOKUP(A612,Lookup!A:B,2,0),"")</f>
        <v/>
      </c>
      <c r="C612" s="54" t="str">
        <f>IFERROR(VLOOKUP(A612,Lookup!A:C,3,0),"")</f>
        <v/>
      </c>
      <c r="J612" s="103">
        <f>VLOOKUP(A612&amp;G612,Lookup!J:N,5,0)</f>
        <v>0</v>
      </c>
      <c r="O612" s="57">
        <f>IFERROR(VLOOKUP(A612&amp;G612,Lookup!J:K,2,0),"")</f>
        <v>0</v>
      </c>
      <c r="P612" s="110" t="str">
        <f t="shared" si="55"/>
        <v/>
      </c>
      <c r="T612" s="59" t="e">
        <f t="shared" si="56"/>
        <v>#VALUE!</v>
      </c>
      <c r="U612" s="59"/>
      <c r="X612" s="60" t="str">
        <f t="shared" si="54"/>
        <v>D</v>
      </c>
    </row>
    <row r="613" spans="2:24" x14ac:dyDescent="0.25">
      <c r="B613" s="54" t="str">
        <f>IFERROR(VLOOKUP(A613,Lookup!A:B,2,0),"")</f>
        <v/>
      </c>
      <c r="C613" s="54" t="str">
        <f>IFERROR(VLOOKUP(A613,Lookup!A:C,3,0),"")</f>
        <v/>
      </c>
      <c r="J613" s="103">
        <f>VLOOKUP(A613&amp;G613,Lookup!J:N,5,0)</f>
        <v>0</v>
      </c>
      <c r="O613" s="57">
        <f>IFERROR(VLOOKUP(A613&amp;G613,Lookup!J:K,2,0),"")</f>
        <v>0</v>
      </c>
      <c r="P613" s="110" t="str">
        <f t="shared" si="55"/>
        <v/>
      </c>
      <c r="T613" s="59" t="e">
        <f t="shared" si="56"/>
        <v>#VALUE!</v>
      </c>
      <c r="U613" s="59"/>
      <c r="X613" s="60" t="str">
        <f t="shared" si="54"/>
        <v>D</v>
      </c>
    </row>
    <row r="614" spans="2:24" x14ac:dyDescent="0.25">
      <c r="B614" s="54" t="str">
        <f>IFERROR(VLOOKUP(A614,Lookup!A:B,2,0),"")</f>
        <v/>
      </c>
      <c r="C614" s="54" t="str">
        <f>IFERROR(VLOOKUP(A614,Lookup!A:C,3,0),"")</f>
        <v/>
      </c>
      <c r="J614" s="103">
        <f>VLOOKUP(A614&amp;G614,Lookup!J:N,5,0)</f>
        <v>0</v>
      </c>
      <c r="O614" s="57">
        <f>IFERROR(VLOOKUP(A614&amp;G614,Lookup!J:K,2,0),"")</f>
        <v>0</v>
      </c>
      <c r="P614" s="110" t="str">
        <f t="shared" si="55"/>
        <v/>
      </c>
      <c r="T614" s="59" t="e">
        <f t="shared" si="56"/>
        <v>#VALUE!</v>
      </c>
      <c r="U614" s="59"/>
      <c r="X614" s="60" t="str">
        <f t="shared" si="54"/>
        <v>D</v>
      </c>
    </row>
    <row r="615" spans="2:24" x14ac:dyDescent="0.25">
      <c r="B615" s="54" t="str">
        <f>IFERROR(VLOOKUP(A615,Lookup!A:B,2,0),"")</f>
        <v/>
      </c>
      <c r="C615" s="54" t="str">
        <f>IFERROR(VLOOKUP(A615,Lookup!A:C,3,0),"")</f>
        <v/>
      </c>
      <c r="J615" s="103">
        <f>VLOOKUP(A615&amp;G615,Lookup!J:N,5,0)</f>
        <v>0</v>
      </c>
      <c r="O615" s="57">
        <f>IFERROR(VLOOKUP(A615&amp;G615,Lookup!J:K,2,0),"")</f>
        <v>0</v>
      </c>
      <c r="P615" s="110" t="str">
        <f t="shared" si="55"/>
        <v/>
      </c>
      <c r="T615" s="59" t="e">
        <f t="shared" si="56"/>
        <v>#VALUE!</v>
      </c>
      <c r="U615" s="59"/>
      <c r="X615" s="60" t="str">
        <f t="shared" si="54"/>
        <v>D</v>
      </c>
    </row>
    <row r="616" spans="2:24" x14ac:dyDescent="0.25">
      <c r="B616" s="54" t="str">
        <f>IFERROR(VLOOKUP(A616,Lookup!A:B,2,0),"")</f>
        <v/>
      </c>
      <c r="C616" s="54" t="str">
        <f>IFERROR(VLOOKUP(A616,Lookup!A:C,3,0),"")</f>
        <v/>
      </c>
      <c r="J616" s="103">
        <f>VLOOKUP(A616&amp;G616,Lookup!J:N,5,0)</f>
        <v>0</v>
      </c>
      <c r="O616" s="57">
        <f>IFERROR(VLOOKUP(A616&amp;G616,Lookup!J:K,2,0),"")</f>
        <v>0</v>
      </c>
      <c r="P616" s="110" t="str">
        <f t="shared" si="55"/>
        <v/>
      </c>
      <c r="T616" s="59" t="e">
        <f t="shared" si="56"/>
        <v>#VALUE!</v>
      </c>
      <c r="U616" s="59"/>
      <c r="X616" s="60" t="str">
        <f t="shared" si="54"/>
        <v>D</v>
      </c>
    </row>
    <row r="617" spans="2:24" x14ac:dyDescent="0.25">
      <c r="B617" s="54" t="str">
        <f>IFERROR(VLOOKUP(A617,Lookup!A:B,2,0),"")</f>
        <v/>
      </c>
      <c r="C617" s="54" t="str">
        <f>IFERROR(VLOOKUP(A617,Lookup!A:C,3,0),"")</f>
        <v/>
      </c>
      <c r="J617" s="103">
        <f>VLOOKUP(A617&amp;G617,Lookup!J:N,5,0)</f>
        <v>0</v>
      </c>
      <c r="O617" s="57">
        <f>IFERROR(VLOOKUP(A617&amp;G617,Lookup!J:K,2,0),"")</f>
        <v>0</v>
      </c>
      <c r="P617" s="110" t="str">
        <f t="shared" si="55"/>
        <v/>
      </c>
      <c r="T617" s="59" t="e">
        <f t="shared" si="56"/>
        <v>#VALUE!</v>
      </c>
      <c r="U617" s="59"/>
      <c r="X617" s="60" t="str">
        <f t="shared" si="54"/>
        <v>D</v>
      </c>
    </row>
    <row r="618" spans="2:24" x14ac:dyDescent="0.25">
      <c r="B618" s="54" t="str">
        <f>IFERROR(VLOOKUP(A618,Lookup!A:B,2,0),"")</f>
        <v/>
      </c>
      <c r="C618" s="54" t="str">
        <f>IFERROR(VLOOKUP(A618,Lookup!A:C,3,0),"")</f>
        <v/>
      </c>
      <c r="J618" s="103">
        <f>VLOOKUP(A618&amp;G618,Lookup!J:N,5,0)</f>
        <v>0</v>
      </c>
      <c r="O618" s="57">
        <f>IFERROR(VLOOKUP(A618&amp;G618,Lookup!J:K,2,0),"")</f>
        <v>0</v>
      </c>
      <c r="P618" s="110" t="str">
        <f t="shared" si="55"/>
        <v/>
      </c>
      <c r="T618" s="59" t="e">
        <f t="shared" si="56"/>
        <v>#VALUE!</v>
      </c>
      <c r="U618" s="59"/>
      <c r="X618" s="60" t="str">
        <f t="shared" si="54"/>
        <v>D</v>
      </c>
    </row>
    <row r="619" spans="2:24" x14ac:dyDescent="0.25">
      <c r="B619" s="54" t="str">
        <f>IFERROR(VLOOKUP(A619,Lookup!A:B,2,0),"")</f>
        <v/>
      </c>
      <c r="C619" s="54" t="str">
        <f>IFERROR(VLOOKUP(A619,Lookup!A:C,3,0),"")</f>
        <v/>
      </c>
      <c r="J619" s="103">
        <f>VLOOKUP(A619&amp;G619,Lookup!J:N,5,0)</f>
        <v>0</v>
      </c>
      <c r="O619" s="57">
        <f>IFERROR(VLOOKUP(A619&amp;G619,Lookup!J:K,2,0),"")</f>
        <v>0</v>
      </c>
      <c r="P619" s="110" t="str">
        <f t="shared" si="55"/>
        <v/>
      </c>
      <c r="T619" s="59" t="e">
        <f t="shared" si="56"/>
        <v>#VALUE!</v>
      </c>
      <c r="U619" s="59"/>
      <c r="X619" s="60" t="str">
        <f t="shared" si="54"/>
        <v>D</v>
      </c>
    </row>
    <row r="620" spans="2:24" x14ac:dyDescent="0.25">
      <c r="B620" s="54" t="str">
        <f>IFERROR(VLOOKUP(A620,Lookup!A:B,2,0),"")</f>
        <v/>
      </c>
      <c r="C620" s="54" t="str">
        <f>IFERROR(VLOOKUP(A620,Lookup!A:C,3,0),"")</f>
        <v/>
      </c>
      <c r="J620" s="103">
        <f>VLOOKUP(A620&amp;G620,Lookup!J:N,5,0)</f>
        <v>0</v>
      </c>
      <c r="O620" s="57">
        <f>IFERROR(VLOOKUP(A620&amp;G620,Lookup!J:K,2,0),"")</f>
        <v>0</v>
      </c>
      <c r="P620" s="110" t="str">
        <f t="shared" si="55"/>
        <v/>
      </c>
      <c r="T620" s="59" t="e">
        <f t="shared" si="56"/>
        <v>#VALUE!</v>
      </c>
      <c r="U620" s="59"/>
      <c r="X620" s="60" t="str">
        <f t="shared" si="54"/>
        <v>D</v>
      </c>
    </row>
    <row r="621" spans="2:24" x14ac:dyDescent="0.25">
      <c r="B621" s="54" t="str">
        <f>IFERROR(VLOOKUP(A621,Lookup!A:B,2,0),"")</f>
        <v/>
      </c>
      <c r="C621" s="54" t="str">
        <f>IFERROR(VLOOKUP(A621,Lookup!A:C,3,0),"")</f>
        <v/>
      </c>
      <c r="J621" s="103">
        <f>VLOOKUP(A621&amp;G621,Lookup!J:N,5,0)</f>
        <v>0</v>
      </c>
      <c r="O621" s="57">
        <f>IFERROR(VLOOKUP(A621&amp;G621,Lookup!J:K,2,0),"")</f>
        <v>0</v>
      </c>
      <c r="P621" s="110" t="str">
        <f t="shared" si="55"/>
        <v/>
      </c>
      <c r="T621" s="59" t="e">
        <f t="shared" si="56"/>
        <v>#VALUE!</v>
      </c>
      <c r="U621" s="59"/>
      <c r="X621" s="60" t="str">
        <f t="shared" si="54"/>
        <v>D</v>
      </c>
    </row>
    <row r="622" spans="2:24" x14ac:dyDescent="0.25">
      <c r="B622" s="54" t="str">
        <f>IFERROR(VLOOKUP(A622,Lookup!A:B,2,0),"")</f>
        <v/>
      </c>
      <c r="C622" s="54" t="str">
        <f>IFERROR(VLOOKUP(A622,Lookup!A:C,3,0),"")</f>
        <v/>
      </c>
      <c r="J622" s="103">
        <f>VLOOKUP(A622&amp;G622,Lookup!J:N,5,0)</f>
        <v>0</v>
      </c>
      <c r="O622" s="57">
        <f>IFERROR(VLOOKUP(A622&amp;G622,Lookup!J:K,2,0),"")</f>
        <v>0</v>
      </c>
      <c r="P622" s="110" t="str">
        <f t="shared" si="55"/>
        <v/>
      </c>
      <c r="T622" s="59" t="e">
        <f t="shared" si="56"/>
        <v>#VALUE!</v>
      </c>
      <c r="U622" s="59"/>
      <c r="X622" s="60" t="str">
        <f t="shared" ref="X622:X685" si="57">IF(I622="SET","A",IF(I622="FREQ","C",IF(I622="","D","B")))</f>
        <v>D</v>
      </c>
    </row>
    <row r="623" spans="2:24" x14ac:dyDescent="0.25">
      <c r="B623" s="54" t="str">
        <f>IFERROR(VLOOKUP(A623,Lookup!A:B,2,0),"")</f>
        <v/>
      </c>
      <c r="C623" s="54" t="str">
        <f>IFERROR(VLOOKUP(A623,Lookup!A:C,3,0),"")</f>
        <v/>
      </c>
      <c r="J623" s="103">
        <f>VLOOKUP(A623&amp;G623,Lookup!J:N,5,0)</f>
        <v>0</v>
      </c>
      <c r="O623" s="57">
        <f>IFERROR(VLOOKUP(A623&amp;G623,Lookup!J:K,2,0),"")</f>
        <v>0</v>
      </c>
      <c r="P623" s="110" t="str">
        <f t="shared" si="55"/>
        <v/>
      </c>
      <c r="T623" s="59" t="e">
        <f t="shared" si="56"/>
        <v>#VALUE!</v>
      </c>
      <c r="U623" s="59"/>
      <c r="X623" s="60" t="str">
        <f t="shared" si="57"/>
        <v>D</v>
      </c>
    </row>
    <row r="624" spans="2:24" x14ac:dyDescent="0.25">
      <c r="B624" s="54" t="str">
        <f>IFERROR(VLOOKUP(A624,Lookup!A:B,2,0),"")</f>
        <v/>
      </c>
      <c r="C624" s="54" t="str">
        <f>IFERROR(VLOOKUP(A624,Lookup!A:C,3,0),"")</f>
        <v/>
      </c>
      <c r="J624" s="103">
        <f>VLOOKUP(A624&amp;G624,Lookup!J:N,5,0)</f>
        <v>0</v>
      </c>
      <c r="O624" s="57">
        <f>IFERROR(VLOOKUP(A624&amp;G624,Lookup!J:K,2,0),"")</f>
        <v>0</v>
      </c>
      <c r="P624" s="110" t="str">
        <f t="shared" si="55"/>
        <v/>
      </c>
      <c r="T624" s="59" t="e">
        <f t="shared" si="56"/>
        <v>#VALUE!</v>
      </c>
      <c r="U624" s="59"/>
      <c r="X624" s="60" t="str">
        <f t="shared" si="57"/>
        <v>D</v>
      </c>
    </row>
    <row r="625" spans="2:24" x14ac:dyDescent="0.25">
      <c r="B625" s="54" t="str">
        <f>IFERROR(VLOOKUP(A625,Lookup!A:B,2,0),"")</f>
        <v/>
      </c>
      <c r="C625" s="54" t="str">
        <f>IFERROR(VLOOKUP(A625,Lookup!A:C,3,0),"")</f>
        <v/>
      </c>
      <c r="J625" s="103">
        <f>VLOOKUP(A625&amp;G625,Lookup!J:N,5,0)</f>
        <v>0</v>
      </c>
      <c r="O625" s="57">
        <f>IFERROR(VLOOKUP(A625&amp;G625,Lookup!J:K,2,0),"")</f>
        <v>0</v>
      </c>
      <c r="P625" s="110" t="str">
        <f t="shared" si="55"/>
        <v/>
      </c>
      <c r="T625" s="59" t="e">
        <f t="shared" si="56"/>
        <v>#VALUE!</v>
      </c>
      <c r="U625" s="59"/>
      <c r="X625" s="60" t="str">
        <f t="shared" si="57"/>
        <v>D</v>
      </c>
    </row>
    <row r="626" spans="2:24" x14ac:dyDescent="0.25">
      <c r="B626" s="54" t="str">
        <f>IFERROR(VLOOKUP(A626,Lookup!A:B,2,0),"")</f>
        <v/>
      </c>
      <c r="C626" s="54" t="str">
        <f>IFERROR(VLOOKUP(A626,Lookup!A:C,3,0),"")</f>
        <v/>
      </c>
      <c r="J626" s="103">
        <f>VLOOKUP(A626&amp;G626,Lookup!J:N,5,0)</f>
        <v>0</v>
      </c>
      <c r="O626" s="57">
        <f>IFERROR(VLOOKUP(A626&amp;G626,Lookup!J:K,2,0),"")</f>
        <v>0</v>
      </c>
      <c r="P626" s="110" t="str">
        <f t="shared" si="55"/>
        <v/>
      </c>
      <c r="T626" s="59" t="e">
        <f t="shared" si="56"/>
        <v>#VALUE!</v>
      </c>
      <c r="U626" s="59"/>
      <c r="X626" s="60" t="str">
        <f t="shared" si="57"/>
        <v>D</v>
      </c>
    </row>
    <row r="627" spans="2:24" x14ac:dyDescent="0.25">
      <c r="B627" s="54" t="str">
        <f>IFERROR(VLOOKUP(A627,Lookup!A:B,2,0),"")</f>
        <v/>
      </c>
      <c r="C627" s="54" t="str">
        <f>IFERROR(VLOOKUP(A627,Lookup!A:C,3,0),"")</f>
        <v/>
      </c>
      <c r="J627" s="103">
        <f>VLOOKUP(A627&amp;G627,Lookup!J:N,5,0)</f>
        <v>0</v>
      </c>
      <c r="O627" s="57">
        <f>IFERROR(VLOOKUP(A627&amp;G627,Lookup!J:K,2,0),"")</f>
        <v>0</v>
      </c>
      <c r="P627" s="110" t="str">
        <f t="shared" si="55"/>
        <v/>
      </c>
      <c r="T627" s="59" t="e">
        <f t="shared" si="56"/>
        <v>#VALUE!</v>
      </c>
      <c r="U627" s="59"/>
      <c r="X627" s="60" t="str">
        <f t="shared" si="57"/>
        <v>D</v>
      </c>
    </row>
    <row r="628" spans="2:24" x14ac:dyDescent="0.25">
      <c r="B628" s="54" t="str">
        <f>IFERROR(VLOOKUP(A628,Lookup!A:B,2,0),"")</f>
        <v/>
      </c>
      <c r="C628" s="54" t="str">
        <f>IFERROR(VLOOKUP(A628,Lookup!A:C,3,0),"")</f>
        <v/>
      </c>
      <c r="J628" s="103">
        <f>VLOOKUP(A628&amp;G628,Lookup!J:N,5,0)</f>
        <v>0</v>
      </c>
      <c r="O628" s="57">
        <f>IFERROR(VLOOKUP(A628&amp;G628,Lookup!J:K,2,0),"")</f>
        <v>0</v>
      </c>
      <c r="P628" s="110" t="str">
        <f t="shared" si="55"/>
        <v/>
      </c>
      <c r="T628" s="59" t="e">
        <f t="shared" si="56"/>
        <v>#VALUE!</v>
      </c>
      <c r="U628" s="59"/>
      <c r="X628" s="60" t="str">
        <f t="shared" si="57"/>
        <v>D</v>
      </c>
    </row>
    <row r="629" spans="2:24" x14ac:dyDescent="0.25">
      <c r="B629" s="54" t="str">
        <f>IFERROR(VLOOKUP(A629,Lookup!A:B,2,0),"")</f>
        <v/>
      </c>
      <c r="C629" s="54" t="str">
        <f>IFERROR(VLOOKUP(A629,Lookup!A:C,3,0),"")</f>
        <v/>
      </c>
      <c r="J629" s="103">
        <f>VLOOKUP(A629&amp;G629,Lookup!J:N,5,0)</f>
        <v>0</v>
      </c>
      <c r="O629" s="57">
        <f>IFERROR(VLOOKUP(A629&amp;G629,Lookup!J:K,2,0),"")</f>
        <v>0</v>
      </c>
      <c r="P629" s="110" t="str">
        <f t="shared" si="55"/>
        <v/>
      </c>
      <c r="T629" s="59" t="e">
        <f t="shared" si="56"/>
        <v>#VALUE!</v>
      </c>
      <c r="U629" s="59"/>
      <c r="X629" s="60" t="str">
        <f t="shared" si="57"/>
        <v>D</v>
      </c>
    </row>
    <row r="630" spans="2:24" x14ac:dyDescent="0.25">
      <c r="B630" s="54" t="str">
        <f>IFERROR(VLOOKUP(A630,Lookup!A:B,2,0),"")</f>
        <v/>
      </c>
      <c r="C630" s="54" t="str">
        <f>IFERROR(VLOOKUP(A630,Lookup!A:C,3,0),"")</f>
        <v/>
      </c>
      <c r="J630" s="103">
        <f>VLOOKUP(A630&amp;G630,Lookup!J:N,5,0)</f>
        <v>0</v>
      </c>
      <c r="O630" s="57">
        <f>IFERROR(VLOOKUP(A630&amp;G630,Lookup!J:K,2,0),"")</f>
        <v>0</v>
      </c>
      <c r="P630" s="110" t="str">
        <f t="shared" si="55"/>
        <v/>
      </c>
      <c r="T630" s="59" t="e">
        <f t="shared" si="56"/>
        <v>#VALUE!</v>
      </c>
      <c r="U630" s="59"/>
      <c r="X630" s="60" t="str">
        <f t="shared" si="57"/>
        <v>D</v>
      </c>
    </row>
    <row r="631" spans="2:24" x14ac:dyDescent="0.25">
      <c r="B631" s="54" t="str">
        <f>IFERROR(VLOOKUP(A631,Lookup!A:B,2,0),"")</f>
        <v/>
      </c>
      <c r="C631" s="54" t="str">
        <f>IFERROR(VLOOKUP(A631,Lookup!A:C,3,0),"")</f>
        <v/>
      </c>
      <c r="J631" s="103">
        <f>VLOOKUP(A631&amp;G631,Lookup!J:N,5,0)</f>
        <v>0</v>
      </c>
      <c r="O631" s="57">
        <f>IFERROR(VLOOKUP(A631&amp;G631,Lookup!J:K,2,0),"")</f>
        <v>0</v>
      </c>
      <c r="P631" s="110" t="str">
        <f t="shared" si="55"/>
        <v/>
      </c>
      <c r="T631" s="59" t="e">
        <f t="shared" si="56"/>
        <v>#VALUE!</v>
      </c>
      <c r="U631" s="59"/>
      <c r="X631" s="60" t="str">
        <f t="shared" si="57"/>
        <v>D</v>
      </c>
    </row>
    <row r="632" spans="2:24" x14ac:dyDescent="0.25">
      <c r="B632" s="54" t="str">
        <f>IFERROR(VLOOKUP(A632,Lookup!A:B,2,0),"")</f>
        <v/>
      </c>
      <c r="C632" s="54" t="str">
        <f>IFERROR(VLOOKUP(A632,Lookup!A:C,3,0),"")</f>
        <v/>
      </c>
      <c r="J632" s="103">
        <f>VLOOKUP(A632&amp;G632,Lookup!J:N,5,0)</f>
        <v>0</v>
      </c>
      <c r="O632" s="57">
        <f>IFERROR(VLOOKUP(A632&amp;G632,Lookup!J:K,2,0),"")</f>
        <v>0</v>
      </c>
      <c r="P632" s="110" t="str">
        <f t="shared" si="55"/>
        <v/>
      </c>
      <c r="T632" s="59" t="e">
        <f t="shared" si="56"/>
        <v>#VALUE!</v>
      </c>
      <c r="U632" s="59"/>
      <c r="X632" s="60" t="str">
        <f t="shared" si="57"/>
        <v>D</v>
      </c>
    </row>
    <row r="633" spans="2:24" x14ac:dyDescent="0.25">
      <c r="B633" s="54" t="str">
        <f>IFERROR(VLOOKUP(A633,Lookup!A:B,2,0),"")</f>
        <v/>
      </c>
      <c r="C633" s="54" t="str">
        <f>IFERROR(VLOOKUP(A633,Lookup!A:C,3,0),"")</f>
        <v/>
      </c>
      <c r="J633" s="103">
        <f>VLOOKUP(A633&amp;G633,Lookup!J:N,5,0)</f>
        <v>0</v>
      </c>
      <c r="O633" s="57">
        <f>IFERROR(VLOOKUP(A633&amp;G633,Lookup!J:K,2,0),"")</f>
        <v>0</v>
      </c>
      <c r="P633" s="110" t="str">
        <f t="shared" si="55"/>
        <v/>
      </c>
      <c r="T633" s="59" t="e">
        <f t="shared" si="56"/>
        <v>#VALUE!</v>
      </c>
      <c r="U633" s="59"/>
      <c r="X633" s="60" t="str">
        <f t="shared" si="57"/>
        <v>D</v>
      </c>
    </row>
    <row r="634" spans="2:24" x14ac:dyDescent="0.25">
      <c r="B634" s="54" t="str">
        <f>IFERROR(VLOOKUP(A634,Lookup!A:B,2,0),"")</f>
        <v/>
      </c>
      <c r="C634" s="54" t="str">
        <f>IFERROR(VLOOKUP(A634,Lookup!A:C,3,0),"")</f>
        <v/>
      </c>
      <c r="J634" s="103">
        <f>VLOOKUP(A634&amp;G634,Lookup!J:N,5,0)</f>
        <v>0</v>
      </c>
      <c r="O634" s="57">
        <f>IFERROR(VLOOKUP(A634&amp;G634,Lookup!J:K,2,0),"")</f>
        <v>0</v>
      </c>
      <c r="P634" s="110" t="str">
        <f t="shared" si="55"/>
        <v/>
      </c>
      <c r="T634" s="59" t="e">
        <f t="shared" si="56"/>
        <v>#VALUE!</v>
      </c>
      <c r="U634" s="59"/>
      <c r="X634" s="60" t="str">
        <f t="shared" si="57"/>
        <v>D</v>
      </c>
    </row>
    <row r="635" spans="2:24" x14ac:dyDescent="0.25">
      <c r="B635" s="54" t="str">
        <f>IFERROR(VLOOKUP(A635,Lookup!A:B,2,0),"")</f>
        <v/>
      </c>
      <c r="C635" s="54" t="str">
        <f>IFERROR(VLOOKUP(A635,Lookup!A:C,3,0),"")</f>
        <v/>
      </c>
      <c r="J635" s="103">
        <f>VLOOKUP(A635&amp;G635,Lookup!J:N,5,0)</f>
        <v>0</v>
      </c>
      <c r="O635" s="57">
        <f>IFERROR(VLOOKUP(A635&amp;G635,Lookup!J:K,2,0),"")</f>
        <v>0</v>
      </c>
      <c r="P635" s="110" t="str">
        <f t="shared" si="55"/>
        <v/>
      </c>
      <c r="T635" s="59" t="e">
        <f t="shared" si="56"/>
        <v>#VALUE!</v>
      </c>
      <c r="U635" s="59"/>
      <c r="X635" s="60" t="str">
        <f t="shared" si="57"/>
        <v>D</v>
      </c>
    </row>
    <row r="636" spans="2:24" x14ac:dyDescent="0.25">
      <c r="B636" s="54" t="str">
        <f>IFERROR(VLOOKUP(A636,Lookup!A:B,2,0),"")</f>
        <v/>
      </c>
      <c r="C636" s="54" t="str">
        <f>IFERROR(VLOOKUP(A636,Lookup!A:C,3,0),"")</f>
        <v/>
      </c>
      <c r="J636" s="103">
        <f>VLOOKUP(A636&amp;G636,Lookup!J:N,5,0)</f>
        <v>0</v>
      </c>
      <c r="O636" s="57">
        <f>IFERROR(VLOOKUP(A636&amp;G636,Lookup!J:K,2,0),"")</f>
        <v>0</v>
      </c>
      <c r="P636" s="110" t="str">
        <f t="shared" si="55"/>
        <v/>
      </c>
      <c r="T636" s="59" t="e">
        <f t="shared" si="56"/>
        <v>#VALUE!</v>
      </c>
      <c r="U636" s="59"/>
      <c r="X636" s="60" t="str">
        <f t="shared" si="57"/>
        <v>D</v>
      </c>
    </row>
    <row r="637" spans="2:24" x14ac:dyDescent="0.25">
      <c r="B637" s="54" t="str">
        <f>IFERROR(VLOOKUP(A637,Lookup!A:B,2,0),"")</f>
        <v/>
      </c>
      <c r="C637" s="54" t="str">
        <f>IFERROR(VLOOKUP(A637,Lookup!A:C,3,0),"")</f>
        <v/>
      </c>
      <c r="J637" s="103">
        <f>VLOOKUP(A637&amp;G637,Lookup!J:N,5,0)</f>
        <v>0</v>
      </c>
      <c r="O637" s="57">
        <f>IFERROR(VLOOKUP(A637&amp;G637,Lookup!J:K,2,0),"")</f>
        <v>0</v>
      </c>
      <c r="P637" s="110" t="str">
        <f t="shared" si="55"/>
        <v/>
      </c>
      <c r="T637" s="59" t="e">
        <f t="shared" si="56"/>
        <v>#VALUE!</v>
      </c>
      <c r="U637" s="59"/>
      <c r="X637" s="60" t="str">
        <f t="shared" si="57"/>
        <v>D</v>
      </c>
    </row>
    <row r="638" spans="2:24" x14ac:dyDescent="0.25">
      <c r="B638" s="54" t="str">
        <f>IFERROR(VLOOKUP(A638,Lookup!A:B,2,0),"")</f>
        <v/>
      </c>
      <c r="C638" s="54" t="str">
        <f>IFERROR(VLOOKUP(A638,Lookup!A:C,3,0),"")</f>
        <v/>
      </c>
      <c r="J638" s="103">
        <f>VLOOKUP(A638&amp;G638,Lookup!J:N,5,0)</f>
        <v>0</v>
      </c>
      <c r="O638" s="57">
        <f>IFERROR(VLOOKUP(A638&amp;G638,Lookup!J:K,2,0),"")</f>
        <v>0</v>
      </c>
      <c r="P638" s="110" t="str">
        <f t="shared" si="55"/>
        <v/>
      </c>
      <c r="T638" s="59" t="e">
        <f t="shared" si="56"/>
        <v>#VALUE!</v>
      </c>
      <c r="U638" s="59"/>
      <c r="X638" s="60" t="str">
        <f t="shared" si="57"/>
        <v>D</v>
      </c>
    </row>
    <row r="639" spans="2:24" x14ac:dyDescent="0.25">
      <c r="B639" s="54" t="str">
        <f>IFERROR(VLOOKUP(A639,Lookup!A:B,2,0),"")</f>
        <v/>
      </c>
      <c r="C639" s="54" t="str">
        <f>IFERROR(VLOOKUP(A639,Lookup!A:C,3,0),"")</f>
        <v/>
      </c>
      <c r="J639" s="103">
        <f>VLOOKUP(A639&amp;G639,Lookup!J:N,5,0)</f>
        <v>0</v>
      </c>
      <c r="O639" s="57">
        <f>IFERROR(VLOOKUP(A639&amp;G639,Lookup!J:K,2,0),"")</f>
        <v>0</v>
      </c>
      <c r="P639" s="110" t="str">
        <f t="shared" si="55"/>
        <v/>
      </c>
      <c r="T639" s="59" t="e">
        <f t="shared" si="56"/>
        <v>#VALUE!</v>
      </c>
      <c r="U639" s="59"/>
      <c r="X639" s="60" t="str">
        <f t="shared" si="57"/>
        <v>D</v>
      </c>
    </row>
    <row r="640" spans="2:24" x14ac:dyDescent="0.25">
      <c r="B640" s="54" t="str">
        <f>IFERROR(VLOOKUP(A640,Lookup!A:B,2,0),"")</f>
        <v/>
      </c>
      <c r="C640" s="54" t="str">
        <f>IFERROR(VLOOKUP(A640,Lookup!A:C,3,0),"")</f>
        <v/>
      </c>
      <c r="J640" s="103">
        <f>VLOOKUP(A640&amp;G640,Lookup!J:N,5,0)</f>
        <v>0</v>
      </c>
      <c r="O640" s="57">
        <f>IFERROR(VLOOKUP(A640&amp;G640,Lookup!J:K,2,0),"")</f>
        <v>0</v>
      </c>
      <c r="P640" s="110" t="str">
        <f t="shared" si="55"/>
        <v/>
      </c>
      <c r="T640" s="59" t="e">
        <f t="shared" si="56"/>
        <v>#VALUE!</v>
      </c>
      <c r="U640" s="59"/>
      <c r="X640" s="60" t="str">
        <f t="shared" si="57"/>
        <v>D</v>
      </c>
    </row>
    <row r="641" spans="2:24" x14ac:dyDescent="0.25">
      <c r="B641" s="54" t="str">
        <f>IFERROR(VLOOKUP(A641,Lookup!A:B,2,0),"")</f>
        <v/>
      </c>
      <c r="C641" s="54" t="str">
        <f>IFERROR(VLOOKUP(A641,Lookup!A:C,3,0),"")</f>
        <v/>
      </c>
      <c r="J641" s="103">
        <f>VLOOKUP(A641&amp;G641,Lookup!J:N,5,0)</f>
        <v>0</v>
      </c>
      <c r="O641" s="57">
        <f>IFERROR(VLOOKUP(A641&amp;G641,Lookup!J:K,2,0),"")</f>
        <v>0</v>
      </c>
      <c r="P641" s="110" t="str">
        <f t="shared" si="55"/>
        <v/>
      </c>
      <c r="T641" s="59" t="e">
        <f t="shared" si="56"/>
        <v>#VALUE!</v>
      </c>
      <c r="U641" s="59"/>
      <c r="X641" s="60" t="str">
        <f t="shared" si="57"/>
        <v>D</v>
      </c>
    </row>
    <row r="642" spans="2:24" x14ac:dyDescent="0.25">
      <c r="B642" s="54" t="str">
        <f>IFERROR(VLOOKUP(A642,Lookup!A:B,2,0),"")</f>
        <v/>
      </c>
      <c r="C642" s="54" t="str">
        <f>IFERROR(VLOOKUP(A642,Lookup!A:C,3,0),"")</f>
        <v/>
      </c>
      <c r="J642" s="103">
        <f>VLOOKUP(A642&amp;G642,Lookup!J:N,5,0)</f>
        <v>0</v>
      </c>
      <c r="O642" s="57">
        <f>IFERROR(VLOOKUP(A642&amp;G642,Lookup!J:K,2,0),"")</f>
        <v>0</v>
      </c>
      <c r="P642" s="110" t="str">
        <f t="shared" si="55"/>
        <v/>
      </c>
      <c r="T642" s="59" t="e">
        <f t="shared" si="56"/>
        <v>#VALUE!</v>
      </c>
      <c r="U642" s="59"/>
      <c r="X642" s="60" t="str">
        <f t="shared" si="57"/>
        <v>D</v>
      </c>
    </row>
    <row r="643" spans="2:24" x14ac:dyDescent="0.25">
      <c r="B643" s="54" t="str">
        <f>IFERROR(VLOOKUP(A643,Lookup!A:B,2,0),"")</f>
        <v/>
      </c>
      <c r="C643" s="54" t="str">
        <f>IFERROR(VLOOKUP(A643,Lookup!A:C,3,0),"")</f>
        <v/>
      </c>
      <c r="J643" s="103">
        <f>VLOOKUP(A643&amp;G643,Lookup!J:N,5,0)</f>
        <v>0</v>
      </c>
      <c r="O643" s="57">
        <f>IFERROR(VLOOKUP(A643&amp;G643,Lookup!J:K,2,0),"")</f>
        <v>0</v>
      </c>
      <c r="P643" s="110" t="str">
        <f t="shared" si="55"/>
        <v/>
      </c>
      <c r="T643" s="59" t="e">
        <f t="shared" si="56"/>
        <v>#VALUE!</v>
      </c>
      <c r="U643" s="59"/>
      <c r="X643" s="60" t="str">
        <f t="shared" si="57"/>
        <v>D</v>
      </c>
    </row>
    <row r="644" spans="2:24" x14ac:dyDescent="0.25">
      <c r="B644" s="54" t="str">
        <f>IFERROR(VLOOKUP(A644,Lookup!A:B,2,0),"")</f>
        <v/>
      </c>
      <c r="C644" s="54" t="str">
        <f>IFERROR(VLOOKUP(A644,Lookup!A:C,3,0),"")</f>
        <v/>
      </c>
      <c r="J644" s="103">
        <f>VLOOKUP(A644&amp;G644,Lookup!J:N,5,0)</f>
        <v>0</v>
      </c>
      <c r="O644" s="57">
        <f>IFERROR(VLOOKUP(A644&amp;G644,Lookup!J:K,2,0),"")</f>
        <v>0</v>
      </c>
      <c r="P644" s="110" t="str">
        <f t="shared" ref="P644:P707" si="58">IF(N644="","",N644+O644)</f>
        <v/>
      </c>
      <c r="T644" s="59" t="e">
        <f t="shared" si="56"/>
        <v>#VALUE!</v>
      </c>
      <c r="U644" s="59"/>
      <c r="X644" s="60" t="str">
        <f t="shared" si="57"/>
        <v>D</v>
      </c>
    </row>
    <row r="645" spans="2:24" x14ac:dyDescent="0.25">
      <c r="B645" s="54" t="str">
        <f>IFERROR(VLOOKUP(A645,Lookup!A:B,2,0),"")</f>
        <v/>
      </c>
      <c r="C645" s="54" t="str">
        <f>IFERROR(VLOOKUP(A645,Lookup!A:C,3,0),"")</f>
        <v/>
      </c>
      <c r="J645" s="103">
        <f>VLOOKUP(A645&amp;G645,Lookup!J:N,5,0)</f>
        <v>0</v>
      </c>
      <c r="O645" s="57">
        <f>IFERROR(VLOOKUP(A645&amp;G645,Lookup!J:K,2,0),"")</f>
        <v>0</v>
      </c>
      <c r="P645" s="110" t="str">
        <f t="shared" si="58"/>
        <v/>
      </c>
      <c r="T645" s="59" t="e">
        <f t="shared" si="56"/>
        <v>#VALUE!</v>
      </c>
      <c r="U645" s="59"/>
      <c r="X645" s="60" t="str">
        <f t="shared" si="57"/>
        <v>D</v>
      </c>
    </row>
    <row r="646" spans="2:24" x14ac:dyDescent="0.25">
      <c r="B646" s="54" t="str">
        <f>IFERROR(VLOOKUP(A646,Lookup!A:B,2,0),"")</f>
        <v/>
      </c>
      <c r="C646" s="54" t="str">
        <f>IFERROR(VLOOKUP(A646,Lookup!A:C,3,0),"")</f>
        <v/>
      </c>
      <c r="J646" s="103">
        <f>VLOOKUP(A646&amp;G646,Lookup!J:N,5,0)</f>
        <v>0</v>
      </c>
      <c r="O646" s="57">
        <f>IFERROR(VLOOKUP(A646&amp;G646,Lookup!J:K,2,0),"")</f>
        <v>0</v>
      </c>
      <c r="P646" s="110" t="str">
        <f t="shared" si="58"/>
        <v/>
      </c>
      <c r="T646" s="59" t="e">
        <f t="shared" si="56"/>
        <v>#VALUE!</v>
      </c>
      <c r="U646" s="59"/>
      <c r="X646" s="60" t="str">
        <f t="shared" si="57"/>
        <v>D</v>
      </c>
    </row>
    <row r="647" spans="2:24" x14ac:dyDescent="0.25">
      <c r="B647" s="54" t="str">
        <f>IFERROR(VLOOKUP(A647,Lookup!A:B,2,0),"")</f>
        <v/>
      </c>
      <c r="C647" s="54" t="str">
        <f>IFERROR(VLOOKUP(A647,Lookup!A:C,3,0),"")</f>
        <v/>
      </c>
      <c r="J647" s="103">
        <f>VLOOKUP(A647&amp;G647,Lookup!J:N,5,0)</f>
        <v>0</v>
      </c>
      <c r="O647" s="57">
        <f>IFERROR(VLOOKUP(A647&amp;G647,Lookup!J:K,2,0),"")</f>
        <v>0</v>
      </c>
      <c r="P647" s="110" t="str">
        <f t="shared" si="58"/>
        <v/>
      </c>
      <c r="T647" s="59" t="e">
        <f t="shared" si="56"/>
        <v>#VALUE!</v>
      </c>
      <c r="U647" s="59"/>
      <c r="X647" s="60" t="str">
        <f t="shared" si="57"/>
        <v>D</v>
      </c>
    </row>
    <row r="648" spans="2:24" x14ac:dyDescent="0.25">
      <c r="B648" s="54" t="str">
        <f>IFERROR(VLOOKUP(A648,Lookup!A:B,2,0),"")</f>
        <v/>
      </c>
      <c r="C648" s="54" t="str">
        <f>IFERROR(VLOOKUP(A648,Lookup!A:C,3,0),"")</f>
        <v/>
      </c>
      <c r="J648" s="103">
        <f>VLOOKUP(A648&amp;G648,Lookup!J:N,5,0)</f>
        <v>0</v>
      </c>
      <c r="O648" s="57">
        <f>IFERROR(VLOOKUP(A648&amp;G648,Lookup!J:K,2,0),"")</f>
        <v>0</v>
      </c>
      <c r="P648" s="110" t="str">
        <f t="shared" si="58"/>
        <v/>
      </c>
      <c r="T648" s="59" t="e">
        <f t="shared" si="56"/>
        <v>#VALUE!</v>
      </c>
      <c r="U648" s="59"/>
      <c r="X648" s="60" t="str">
        <f t="shared" si="57"/>
        <v>D</v>
      </c>
    </row>
    <row r="649" spans="2:24" x14ac:dyDescent="0.25">
      <c r="B649" s="54" t="str">
        <f>IFERROR(VLOOKUP(A649,Lookup!A:B,2,0),"")</f>
        <v/>
      </c>
      <c r="C649" s="54" t="str">
        <f>IFERROR(VLOOKUP(A649,Lookup!A:C,3,0),"")</f>
        <v/>
      </c>
      <c r="J649" s="103">
        <f>VLOOKUP(A649&amp;G649,Lookup!J:N,5,0)</f>
        <v>0</v>
      </c>
      <c r="O649" s="57">
        <f>IFERROR(VLOOKUP(A649&amp;G649,Lookup!J:K,2,0),"")</f>
        <v>0</v>
      </c>
      <c r="P649" s="110" t="str">
        <f t="shared" si="58"/>
        <v/>
      </c>
      <c r="T649" s="59" t="e">
        <f t="shared" si="56"/>
        <v>#VALUE!</v>
      </c>
      <c r="U649" s="59"/>
      <c r="X649" s="60" t="str">
        <f t="shared" si="57"/>
        <v>D</v>
      </c>
    </row>
    <row r="650" spans="2:24" x14ac:dyDescent="0.25">
      <c r="B650" s="54" t="str">
        <f>IFERROR(VLOOKUP(A650,Lookup!A:B,2,0),"")</f>
        <v/>
      </c>
      <c r="C650" s="54" t="str">
        <f>IFERROR(VLOOKUP(A650,Lookup!A:C,3,0),"")</f>
        <v/>
      </c>
      <c r="J650" s="103">
        <f>VLOOKUP(A650&amp;G650,Lookup!J:N,5,0)</f>
        <v>0</v>
      </c>
      <c r="O650" s="57">
        <f>IFERROR(VLOOKUP(A650&amp;G650,Lookup!J:K,2,0),"")</f>
        <v>0</v>
      </c>
      <c r="P650" s="110" t="str">
        <f t="shared" si="58"/>
        <v/>
      </c>
      <c r="T650" s="59" t="e">
        <f t="shared" si="56"/>
        <v>#VALUE!</v>
      </c>
      <c r="U650" s="59"/>
      <c r="X650" s="60" t="str">
        <f t="shared" si="57"/>
        <v>D</v>
      </c>
    </row>
    <row r="651" spans="2:24" x14ac:dyDescent="0.25">
      <c r="B651" s="54" t="str">
        <f>IFERROR(VLOOKUP(A651,Lookup!A:B,2,0),"")</f>
        <v/>
      </c>
      <c r="C651" s="54" t="str">
        <f>IFERROR(VLOOKUP(A651,Lookup!A:C,3,0),"")</f>
        <v/>
      </c>
      <c r="J651" s="103">
        <f>VLOOKUP(A651&amp;G651,Lookup!J:N,5,0)</f>
        <v>0</v>
      </c>
      <c r="O651" s="57">
        <f>IFERROR(VLOOKUP(A651&amp;G651,Lookup!J:K,2,0),"")</f>
        <v>0</v>
      </c>
      <c r="P651" s="110" t="str">
        <f t="shared" si="58"/>
        <v/>
      </c>
      <c r="T651" s="59" t="e">
        <f t="shared" si="56"/>
        <v>#VALUE!</v>
      </c>
      <c r="U651" s="59"/>
      <c r="X651" s="60" t="str">
        <f t="shared" si="57"/>
        <v>D</v>
      </c>
    </row>
    <row r="652" spans="2:24" x14ac:dyDescent="0.25">
      <c r="B652" s="54" t="str">
        <f>IFERROR(VLOOKUP(A652,Lookup!A:B,2,0),"")</f>
        <v/>
      </c>
      <c r="C652" s="54" t="str">
        <f>IFERROR(VLOOKUP(A652,Lookup!A:C,3,0),"")</f>
        <v/>
      </c>
      <c r="J652" s="103">
        <f>VLOOKUP(A652&amp;G652,Lookup!J:N,5,0)</f>
        <v>0</v>
      </c>
      <c r="O652" s="57">
        <f>IFERROR(VLOOKUP(A652&amp;G652,Lookup!J:K,2,0),"")</f>
        <v>0</v>
      </c>
      <c r="P652" s="110" t="str">
        <f t="shared" si="58"/>
        <v/>
      </c>
      <c r="T652" s="59" t="e">
        <f t="shared" si="56"/>
        <v>#VALUE!</v>
      </c>
      <c r="U652" s="59"/>
      <c r="X652" s="60" t="str">
        <f t="shared" si="57"/>
        <v>D</v>
      </c>
    </row>
    <row r="653" spans="2:24" x14ac:dyDescent="0.25">
      <c r="B653" s="54" t="str">
        <f>IFERROR(VLOOKUP(A653,Lookup!A:B,2,0),"")</f>
        <v/>
      </c>
      <c r="C653" s="54" t="str">
        <f>IFERROR(VLOOKUP(A653,Lookup!A:C,3,0),"")</f>
        <v/>
      </c>
      <c r="J653" s="103">
        <f>VLOOKUP(A653&amp;G653,Lookup!J:N,5,0)</f>
        <v>0</v>
      </c>
      <c r="O653" s="57">
        <f>IFERROR(VLOOKUP(A653&amp;G653,Lookup!J:K,2,0),"")</f>
        <v>0</v>
      </c>
      <c r="P653" s="110" t="str">
        <f t="shared" si="58"/>
        <v/>
      </c>
      <c r="T653" s="59" t="e">
        <f t="shared" si="56"/>
        <v>#VALUE!</v>
      </c>
      <c r="U653" s="59"/>
      <c r="X653" s="60" t="str">
        <f t="shared" si="57"/>
        <v>D</v>
      </c>
    </row>
    <row r="654" spans="2:24" x14ac:dyDescent="0.25">
      <c r="B654" s="54" t="str">
        <f>IFERROR(VLOOKUP(A654,Lookup!A:B,2,0),"")</f>
        <v/>
      </c>
      <c r="C654" s="54" t="str">
        <f>IFERROR(VLOOKUP(A654,Lookup!A:C,3,0),"")</f>
        <v/>
      </c>
      <c r="J654" s="103">
        <f>VLOOKUP(A654&amp;G654,Lookup!J:N,5,0)</f>
        <v>0</v>
      </c>
      <c r="O654" s="57">
        <f>IFERROR(VLOOKUP(A654&amp;G654,Lookup!J:K,2,0),"")</f>
        <v>0</v>
      </c>
      <c r="P654" s="110" t="str">
        <f t="shared" si="58"/>
        <v/>
      </c>
      <c r="T654" s="59" t="e">
        <f t="shared" ref="T654:T717" si="59">IF(Q654-P654&gt;0.0415,"YES",(IF(OR(EXACT(Q654,""), EXACT(P654,"")),"","NO")))</f>
        <v>#VALUE!</v>
      </c>
      <c r="U654" s="59"/>
      <c r="X654" s="60" t="str">
        <f t="shared" si="57"/>
        <v>D</v>
      </c>
    </row>
    <row r="655" spans="2:24" x14ac:dyDescent="0.25">
      <c r="B655" s="54" t="str">
        <f>IFERROR(VLOOKUP(A655,Lookup!A:B,2,0),"")</f>
        <v/>
      </c>
      <c r="C655" s="54" t="str">
        <f>IFERROR(VLOOKUP(A655,Lookup!A:C,3,0),"")</f>
        <v/>
      </c>
      <c r="J655" s="103">
        <f>VLOOKUP(A655&amp;G655,Lookup!J:N,5,0)</f>
        <v>0</v>
      </c>
      <c r="O655" s="57">
        <f>IFERROR(VLOOKUP(A655&amp;G655,Lookup!J:K,2,0),"")</f>
        <v>0</v>
      </c>
      <c r="P655" s="110" t="str">
        <f t="shared" si="58"/>
        <v/>
      </c>
      <c r="T655" s="59" t="e">
        <f t="shared" si="59"/>
        <v>#VALUE!</v>
      </c>
      <c r="U655" s="59"/>
      <c r="X655" s="60" t="str">
        <f t="shared" si="57"/>
        <v>D</v>
      </c>
    </row>
    <row r="656" spans="2:24" x14ac:dyDescent="0.25">
      <c r="B656" s="54" t="str">
        <f>IFERROR(VLOOKUP(A656,Lookup!A:B,2,0),"")</f>
        <v/>
      </c>
      <c r="C656" s="54" t="str">
        <f>IFERROR(VLOOKUP(A656,Lookup!A:C,3,0),"")</f>
        <v/>
      </c>
      <c r="J656" s="103">
        <f>VLOOKUP(A656&amp;G656,Lookup!J:N,5,0)</f>
        <v>0</v>
      </c>
      <c r="O656" s="57">
        <f>IFERROR(VLOOKUP(A656&amp;G656,Lookup!J:K,2,0),"")</f>
        <v>0</v>
      </c>
      <c r="P656" s="110" t="str">
        <f t="shared" si="58"/>
        <v/>
      </c>
      <c r="T656" s="59" t="e">
        <f t="shared" si="59"/>
        <v>#VALUE!</v>
      </c>
      <c r="U656" s="59"/>
      <c r="X656" s="60" t="str">
        <f t="shared" si="57"/>
        <v>D</v>
      </c>
    </row>
    <row r="657" spans="2:24" x14ac:dyDescent="0.25">
      <c r="B657" s="54" t="str">
        <f>IFERROR(VLOOKUP(A657,Lookup!A:B,2,0),"")</f>
        <v/>
      </c>
      <c r="C657" s="54" t="str">
        <f>IFERROR(VLOOKUP(A657,Lookup!A:C,3,0),"")</f>
        <v/>
      </c>
      <c r="J657" s="103">
        <f>VLOOKUP(A657&amp;G657,Lookup!J:N,5,0)</f>
        <v>0</v>
      </c>
      <c r="O657" s="57">
        <f>IFERROR(VLOOKUP(A657&amp;G657,Lookup!J:K,2,0),"")</f>
        <v>0</v>
      </c>
      <c r="P657" s="110" t="str">
        <f t="shared" si="58"/>
        <v/>
      </c>
      <c r="T657" s="59" t="e">
        <f t="shared" si="59"/>
        <v>#VALUE!</v>
      </c>
      <c r="U657" s="59"/>
      <c r="X657" s="60" t="str">
        <f t="shared" si="57"/>
        <v>D</v>
      </c>
    </row>
    <row r="658" spans="2:24" x14ac:dyDescent="0.25">
      <c r="B658" s="54" t="str">
        <f>IFERROR(VLOOKUP(A658,Lookup!A:B,2,0),"")</f>
        <v/>
      </c>
      <c r="C658" s="54" t="str">
        <f>IFERROR(VLOOKUP(A658,Lookup!A:C,3,0),"")</f>
        <v/>
      </c>
      <c r="J658" s="103">
        <f>VLOOKUP(A658&amp;G658,Lookup!J:N,5,0)</f>
        <v>0</v>
      </c>
      <c r="O658" s="57">
        <f>IFERROR(VLOOKUP(A658&amp;G658,Lookup!J:K,2,0),"")</f>
        <v>0</v>
      </c>
      <c r="P658" s="110" t="str">
        <f t="shared" si="58"/>
        <v/>
      </c>
      <c r="T658" s="59" t="e">
        <f t="shared" si="59"/>
        <v>#VALUE!</v>
      </c>
      <c r="U658" s="59"/>
      <c r="X658" s="60" t="str">
        <f t="shared" si="57"/>
        <v>D</v>
      </c>
    </row>
    <row r="659" spans="2:24" x14ac:dyDescent="0.25">
      <c r="B659" s="54" t="str">
        <f>IFERROR(VLOOKUP(A659,Lookup!A:B,2,0),"")</f>
        <v/>
      </c>
      <c r="C659" s="54" t="str">
        <f>IFERROR(VLOOKUP(A659,Lookup!A:C,3,0),"")</f>
        <v/>
      </c>
      <c r="J659" s="103">
        <f>VLOOKUP(A659&amp;G659,Lookup!J:N,5,0)</f>
        <v>0</v>
      </c>
      <c r="O659" s="57">
        <f>IFERROR(VLOOKUP(A659&amp;G659,Lookup!J:K,2,0),"")</f>
        <v>0</v>
      </c>
      <c r="P659" s="110" t="str">
        <f t="shared" si="58"/>
        <v/>
      </c>
      <c r="T659" s="59" t="e">
        <f t="shared" si="59"/>
        <v>#VALUE!</v>
      </c>
      <c r="U659" s="59"/>
      <c r="X659" s="60" t="str">
        <f t="shared" si="57"/>
        <v>D</v>
      </c>
    </row>
    <row r="660" spans="2:24" x14ac:dyDescent="0.25">
      <c r="B660" s="54" t="str">
        <f>IFERROR(VLOOKUP(A660,Lookup!A:B,2,0),"")</f>
        <v/>
      </c>
      <c r="C660" s="54" t="str">
        <f>IFERROR(VLOOKUP(A660,Lookup!A:C,3,0),"")</f>
        <v/>
      </c>
      <c r="J660" s="103">
        <f>VLOOKUP(A660&amp;G660,Lookup!J:N,5,0)</f>
        <v>0</v>
      </c>
      <c r="O660" s="57">
        <f>IFERROR(VLOOKUP(A660&amp;G660,Lookup!J:K,2,0),"")</f>
        <v>0</v>
      </c>
      <c r="P660" s="110" t="str">
        <f t="shared" si="58"/>
        <v/>
      </c>
      <c r="T660" s="59" t="e">
        <f t="shared" si="59"/>
        <v>#VALUE!</v>
      </c>
      <c r="U660" s="59"/>
      <c r="X660" s="60" t="str">
        <f t="shared" si="57"/>
        <v>D</v>
      </c>
    </row>
    <row r="661" spans="2:24" x14ac:dyDescent="0.25">
      <c r="B661" s="54" t="str">
        <f>IFERROR(VLOOKUP(A661,Lookup!A:B,2,0),"")</f>
        <v/>
      </c>
      <c r="C661" s="54" t="str">
        <f>IFERROR(VLOOKUP(A661,Lookup!A:C,3,0),"")</f>
        <v/>
      </c>
      <c r="J661" s="103">
        <f>VLOOKUP(A661&amp;G661,Lookup!J:N,5,0)</f>
        <v>0</v>
      </c>
      <c r="O661" s="57">
        <f>IFERROR(VLOOKUP(A661&amp;G661,Lookup!J:K,2,0),"")</f>
        <v>0</v>
      </c>
      <c r="P661" s="110" t="str">
        <f t="shared" si="58"/>
        <v/>
      </c>
      <c r="T661" s="59" t="e">
        <f t="shared" si="59"/>
        <v>#VALUE!</v>
      </c>
      <c r="U661" s="59"/>
      <c r="X661" s="60" t="str">
        <f t="shared" si="57"/>
        <v>D</v>
      </c>
    </row>
    <row r="662" spans="2:24" x14ac:dyDescent="0.25">
      <c r="B662" s="54" t="str">
        <f>IFERROR(VLOOKUP(A662,Lookup!A:B,2,0),"")</f>
        <v/>
      </c>
      <c r="C662" s="54" t="str">
        <f>IFERROR(VLOOKUP(A662,Lookup!A:C,3,0),"")</f>
        <v/>
      </c>
      <c r="J662" s="103">
        <f>VLOOKUP(A662&amp;G662,Lookup!J:N,5,0)</f>
        <v>0</v>
      </c>
      <c r="O662" s="57">
        <f>IFERROR(VLOOKUP(A662&amp;G662,Lookup!J:K,2,0),"")</f>
        <v>0</v>
      </c>
      <c r="P662" s="110" t="str">
        <f t="shared" si="58"/>
        <v/>
      </c>
      <c r="T662" s="59" t="e">
        <f t="shared" si="59"/>
        <v>#VALUE!</v>
      </c>
      <c r="U662" s="59"/>
      <c r="X662" s="60" t="str">
        <f t="shared" si="57"/>
        <v>D</v>
      </c>
    </row>
    <row r="663" spans="2:24" x14ac:dyDescent="0.25">
      <c r="B663" s="54" t="str">
        <f>IFERROR(VLOOKUP(A663,Lookup!A:B,2,0),"")</f>
        <v/>
      </c>
      <c r="C663" s="54" t="str">
        <f>IFERROR(VLOOKUP(A663,Lookup!A:C,3,0),"")</f>
        <v/>
      </c>
      <c r="J663" s="103">
        <f>VLOOKUP(A663&amp;G663,Lookup!J:N,5,0)</f>
        <v>0</v>
      </c>
      <c r="O663" s="57">
        <f>IFERROR(VLOOKUP(A663&amp;G663,Lookup!J:K,2,0),"")</f>
        <v>0</v>
      </c>
      <c r="P663" s="110" t="str">
        <f t="shared" si="58"/>
        <v/>
      </c>
      <c r="T663" s="59" t="e">
        <f t="shared" si="59"/>
        <v>#VALUE!</v>
      </c>
      <c r="U663" s="59"/>
      <c r="X663" s="60" t="str">
        <f t="shared" si="57"/>
        <v>D</v>
      </c>
    </row>
    <row r="664" spans="2:24" x14ac:dyDescent="0.25">
      <c r="B664" s="54" t="str">
        <f>IFERROR(VLOOKUP(A664,Lookup!A:B,2,0),"")</f>
        <v/>
      </c>
      <c r="C664" s="54" t="str">
        <f>IFERROR(VLOOKUP(A664,Lookup!A:C,3,0),"")</f>
        <v/>
      </c>
      <c r="J664" s="103">
        <f>VLOOKUP(A664&amp;G664,Lookup!J:N,5,0)</f>
        <v>0</v>
      </c>
      <c r="O664" s="57">
        <f>IFERROR(VLOOKUP(A664&amp;G664,Lookup!J:K,2,0),"")</f>
        <v>0</v>
      </c>
      <c r="P664" s="110" t="str">
        <f t="shared" si="58"/>
        <v/>
      </c>
      <c r="T664" s="59" t="e">
        <f t="shared" si="59"/>
        <v>#VALUE!</v>
      </c>
      <c r="U664" s="59"/>
      <c r="X664" s="60" t="str">
        <f t="shared" si="57"/>
        <v>D</v>
      </c>
    </row>
    <row r="665" spans="2:24" x14ac:dyDescent="0.25">
      <c r="B665" s="54" t="str">
        <f>IFERROR(VLOOKUP(A665,Lookup!A:B,2,0),"")</f>
        <v/>
      </c>
      <c r="C665" s="54" t="str">
        <f>IFERROR(VLOOKUP(A665,Lookup!A:C,3,0),"")</f>
        <v/>
      </c>
      <c r="J665" s="103">
        <f>VLOOKUP(A665&amp;G665,Lookup!J:N,5,0)</f>
        <v>0</v>
      </c>
      <c r="O665" s="57">
        <f>IFERROR(VLOOKUP(A665&amp;G665,Lookup!J:K,2,0),"")</f>
        <v>0</v>
      </c>
      <c r="P665" s="110" t="str">
        <f t="shared" si="58"/>
        <v/>
      </c>
      <c r="T665" s="59" t="e">
        <f t="shared" si="59"/>
        <v>#VALUE!</v>
      </c>
      <c r="U665" s="59"/>
      <c r="X665" s="60" t="str">
        <f t="shared" si="57"/>
        <v>D</v>
      </c>
    </row>
    <row r="666" spans="2:24" x14ac:dyDescent="0.25">
      <c r="B666" s="54" t="str">
        <f>IFERROR(VLOOKUP(A666,Lookup!A:B,2,0),"")</f>
        <v/>
      </c>
      <c r="C666" s="54" t="str">
        <f>IFERROR(VLOOKUP(A666,Lookup!A:C,3,0),"")</f>
        <v/>
      </c>
      <c r="J666" s="103">
        <f>VLOOKUP(A666&amp;G666,Lookup!J:N,5,0)</f>
        <v>0</v>
      </c>
      <c r="O666" s="57">
        <f>IFERROR(VLOOKUP(A666&amp;G666,Lookup!J:K,2,0),"")</f>
        <v>0</v>
      </c>
      <c r="P666" s="110" t="str">
        <f t="shared" si="58"/>
        <v/>
      </c>
      <c r="T666" s="59" t="e">
        <f t="shared" si="59"/>
        <v>#VALUE!</v>
      </c>
      <c r="U666" s="59"/>
      <c r="X666" s="60" t="str">
        <f t="shared" si="57"/>
        <v>D</v>
      </c>
    </row>
    <row r="667" spans="2:24" x14ac:dyDescent="0.25">
      <c r="B667" s="54" t="str">
        <f>IFERROR(VLOOKUP(A667,Lookup!A:B,2,0),"")</f>
        <v/>
      </c>
      <c r="C667" s="54" t="str">
        <f>IFERROR(VLOOKUP(A667,Lookup!A:C,3,0),"")</f>
        <v/>
      </c>
      <c r="J667" s="103">
        <f>VLOOKUP(A667&amp;G667,Lookup!J:N,5,0)</f>
        <v>0</v>
      </c>
      <c r="O667" s="57">
        <f>IFERROR(VLOOKUP(A667&amp;G667,Lookup!J:K,2,0),"")</f>
        <v>0</v>
      </c>
      <c r="P667" s="110" t="str">
        <f t="shared" si="58"/>
        <v/>
      </c>
      <c r="T667" s="59" t="e">
        <f t="shared" si="59"/>
        <v>#VALUE!</v>
      </c>
      <c r="U667" s="59"/>
      <c r="X667" s="60" t="str">
        <f t="shared" si="57"/>
        <v>D</v>
      </c>
    </row>
    <row r="668" spans="2:24" x14ac:dyDescent="0.25">
      <c r="B668" s="54" t="str">
        <f>IFERROR(VLOOKUP(A668,Lookup!A:B,2,0),"")</f>
        <v/>
      </c>
      <c r="C668" s="54" t="str">
        <f>IFERROR(VLOOKUP(A668,Lookup!A:C,3,0),"")</f>
        <v/>
      </c>
      <c r="J668" s="103">
        <f>VLOOKUP(A668&amp;G668,Lookup!J:N,5,0)</f>
        <v>0</v>
      </c>
      <c r="O668" s="57">
        <f>IFERROR(VLOOKUP(A668&amp;G668,Lookup!J:K,2,0),"")</f>
        <v>0</v>
      </c>
      <c r="P668" s="110" t="str">
        <f t="shared" si="58"/>
        <v/>
      </c>
      <c r="T668" s="59" t="e">
        <f t="shared" si="59"/>
        <v>#VALUE!</v>
      </c>
      <c r="U668" s="59"/>
      <c r="X668" s="60" t="str">
        <f t="shared" si="57"/>
        <v>D</v>
      </c>
    </row>
    <row r="669" spans="2:24" x14ac:dyDescent="0.25">
      <c r="B669" s="54" t="str">
        <f>IFERROR(VLOOKUP(A669,Lookup!A:B,2,0),"")</f>
        <v/>
      </c>
      <c r="C669" s="54" t="str">
        <f>IFERROR(VLOOKUP(A669,Lookup!A:C,3,0),"")</f>
        <v/>
      </c>
      <c r="J669" s="103">
        <f>VLOOKUP(A669&amp;G669,Lookup!J:N,5,0)</f>
        <v>0</v>
      </c>
      <c r="O669" s="57">
        <f>IFERROR(VLOOKUP(A669&amp;G669,Lookup!J:K,2,0),"")</f>
        <v>0</v>
      </c>
      <c r="P669" s="110" t="str">
        <f t="shared" si="58"/>
        <v/>
      </c>
      <c r="T669" s="59" t="e">
        <f t="shared" si="59"/>
        <v>#VALUE!</v>
      </c>
      <c r="U669" s="59"/>
      <c r="X669" s="60" t="str">
        <f t="shared" si="57"/>
        <v>D</v>
      </c>
    </row>
    <row r="670" spans="2:24" x14ac:dyDescent="0.25">
      <c r="B670" s="54" t="str">
        <f>IFERROR(VLOOKUP(A670,Lookup!A:B,2,0),"")</f>
        <v/>
      </c>
      <c r="C670" s="54" t="str">
        <f>IFERROR(VLOOKUP(A670,Lookup!A:C,3,0),"")</f>
        <v/>
      </c>
      <c r="J670" s="103">
        <f>VLOOKUP(A670&amp;G670,Lookup!J:N,5,0)</f>
        <v>0</v>
      </c>
      <c r="O670" s="57">
        <f>IFERROR(VLOOKUP(A670&amp;G670,Lookup!J:K,2,0),"")</f>
        <v>0</v>
      </c>
      <c r="P670" s="110" t="str">
        <f t="shared" si="58"/>
        <v/>
      </c>
      <c r="T670" s="59" t="e">
        <f t="shared" si="59"/>
        <v>#VALUE!</v>
      </c>
      <c r="U670" s="59"/>
      <c r="X670" s="60" t="str">
        <f t="shared" si="57"/>
        <v>D</v>
      </c>
    </row>
    <row r="671" spans="2:24" x14ac:dyDescent="0.25">
      <c r="B671" s="54" t="str">
        <f>IFERROR(VLOOKUP(A671,Lookup!A:B,2,0),"")</f>
        <v/>
      </c>
      <c r="C671" s="54" t="str">
        <f>IFERROR(VLOOKUP(A671,Lookup!A:C,3,0),"")</f>
        <v/>
      </c>
      <c r="J671" s="103">
        <f>VLOOKUP(A671&amp;G671,Lookup!J:N,5,0)</f>
        <v>0</v>
      </c>
      <c r="O671" s="57">
        <f>IFERROR(VLOOKUP(A671&amp;G671,Lookup!J:K,2,0),"")</f>
        <v>0</v>
      </c>
      <c r="P671" s="110" t="str">
        <f t="shared" si="58"/>
        <v/>
      </c>
      <c r="T671" s="59" t="e">
        <f t="shared" si="59"/>
        <v>#VALUE!</v>
      </c>
      <c r="U671" s="59"/>
      <c r="X671" s="60" t="str">
        <f t="shared" si="57"/>
        <v>D</v>
      </c>
    </row>
    <row r="672" spans="2:24" x14ac:dyDescent="0.25">
      <c r="B672" s="54" t="str">
        <f>IFERROR(VLOOKUP(A672,Lookup!A:B,2,0),"")</f>
        <v/>
      </c>
      <c r="C672" s="54" t="str">
        <f>IFERROR(VLOOKUP(A672,Lookup!A:C,3,0),"")</f>
        <v/>
      </c>
      <c r="J672" s="103">
        <f>VLOOKUP(A672&amp;G672,Lookup!J:N,5,0)</f>
        <v>0</v>
      </c>
      <c r="O672" s="57">
        <f>IFERROR(VLOOKUP(A672&amp;G672,Lookup!J:K,2,0),"")</f>
        <v>0</v>
      </c>
      <c r="P672" s="110" t="str">
        <f t="shared" si="58"/>
        <v/>
      </c>
      <c r="T672" s="59" t="e">
        <f t="shared" si="59"/>
        <v>#VALUE!</v>
      </c>
      <c r="U672" s="59"/>
      <c r="X672" s="60" t="str">
        <f t="shared" si="57"/>
        <v>D</v>
      </c>
    </row>
    <row r="673" spans="2:24" x14ac:dyDescent="0.25">
      <c r="B673" s="54" t="str">
        <f>IFERROR(VLOOKUP(A673,Lookup!A:B,2,0),"")</f>
        <v/>
      </c>
      <c r="C673" s="54" t="str">
        <f>IFERROR(VLOOKUP(A673,Lookup!A:C,3,0),"")</f>
        <v/>
      </c>
      <c r="J673" s="103">
        <f>VLOOKUP(A673&amp;G673,Lookup!J:N,5,0)</f>
        <v>0</v>
      </c>
      <c r="O673" s="57">
        <f>IFERROR(VLOOKUP(A673&amp;G673,Lookup!J:K,2,0),"")</f>
        <v>0</v>
      </c>
      <c r="P673" s="110" t="str">
        <f t="shared" si="58"/>
        <v/>
      </c>
      <c r="T673" s="59" t="e">
        <f t="shared" si="59"/>
        <v>#VALUE!</v>
      </c>
      <c r="U673" s="59"/>
      <c r="X673" s="60" t="str">
        <f t="shared" si="57"/>
        <v>D</v>
      </c>
    </row>
    <row r="674" spans="2:24" x14ac:dyDescent="0.25">
      <c r="B674" s="54" t="str">
        <f>IFERROR(VLOOKUP(A674,Lookup!A:B,2,0),"")</f>
        <v/>
      </c>
      <c r="C674" s="54" t="str">
        <f>IFERROR(VLOOKUP(A674,Lookup!A:C,3,0),"")</f>
        <v/>
      </c>
      <c r="J674" s="103">
        <f>VLOOKUP(A674&amp;G674,Lookup!J:N,5,0)</f>
        <v>0</v>
      </c>
      <c r="O674" s="57">
        <f>IFERROR(VLOOKUP(A674&amp;G674,Lookup!J:K,2,0),"")</f>
        <v>0</v>
      </c>
      <c r="P674" s="110" t="str">
        <f t="shared" si="58"/>
        <v/>
      </c>
      <c r="T674" s="59" t="e">
        <f t="shared" si="59"/>
        <v>#VALUE!</v>
      </c>
      <c r="U674" s="59"/>
      <c r="X674" s="60" t="str">
        <f t="shared" si="57"/>
        <v>D</v>
      </c>
    </row>
    <row r="675" spans="2:24" x14ac:dyDescent="0.25">
      <c r="B675" s="54" t="str">
        <f>IFERROR(VLOOKUP(A675,Lookup!A:B,2,0),"")</f>
        <v/>
      </c>
      <c r="C675" s="54" t="str">
        <f>IFERROR(VLOOKUP(A675,Lookup!A:C,3,0),"")</f>
        <v/>
      </c>
      <c r="J675" s="103">
        <f>VLOOKUP(A675&amp;G675,Lookup!J:N,5,0)</f>
        <v>0</v>
      </c>
      <c r="O675" s="57">
        <f>IFERROR(VLOOKUP(A675&amp;G675,Lookup!J:K,2,0),"")</f>
        <v>0</v>
      </c>
      <c r="P675" s="110" t="str">
        <f t="shared" si="58"/>
        <v/>
      </c>
      <c r="T675" s="59" t="e">
        <f t="shared" si="59"/>
        <v>#VALUE!</v>
      </c>
      <c r="U675" s="59"/>
      <c r="X675" s="60" t="str">
        <f t="shared" si="57"/>
        <v>D</v>
      </c>
    </row>
    <row r="676" spans="2:24" x14ac:dyDescent="0.25">
      <c r="B676" s="54" t="str">
        <f>IFERROR(VLOOKUP(A676,Lookup!A:B,2,0),"")</f>
        <v/>
      </c>
      <c r="C676" s="54" t="str">
        <f>IFERROR(VLOOKUP(A676,Lookup!A:C,3,0),"")</f>
        <v/>
      </c>
      <c r="J676" s="103">
        <f>VLOOKUP(A676&amp;G676,Lookup!J:N,5,0)</f>
        <v>0</v>
      </c>
      <c r="O676" s="57">
        <f>IFERROR(VLOOKUP(A676&amp;G676,Lookup!J:K,2,0),"")</f>
        <v>0</v>
      </c>
      <c r="P676" s="110" t="str">
        <f t="shared" si="58"/>
        <v/>
      </c>
      <c r="T676" s="59" t="e">
        <f t="shared" si="59"/>
        <v>#VALUE!</v>
      </c>
      <c r="U676" s="59"/>
      <c r="X676" s="60" t="str">
        <f t="shared" si="57"/>
        <v>D</v>
      </c>
    </row>
    <row r="677" spans="2:24" x14ac:dyDescent="0.25">
      <c r="B677" s="54" t="str">
        <f>IFERROR(VLOOKUP(A677,Lookup!A:B,2,0),"")</f>
        <v/>
      </c>
      <c r="C677" s="54" t="str">
        <f>IFERROR(VLOOKUP(A677,Lookup!A:C,3,0),"")</f>
        <v/>
      </c>
      <c r="J677" s="103">
        <f>VLOOKUP(A677&amp;G677,Lookup!J:N,5,0)</f>
        <v>0</v>
      </c>
      <c r="O677" s="57">
        <f>IFERROR(VLOOKUP(A677&amp;G677,Lookup!J:K,2,0),"")</f>
        <v>0</v>
      </c>
      <c r="P677" s="110" t="str">
        <f t="shared" si="58"/>
        <v/>
      </c>
      <c r="T677" s="59" t="e">
        <f t="shared" si="59"/>
        <v>#VALUE!</v>
      </c>
      <c r="U677" s="59"/>
      <c r="X677" s="60" t="str">
        <f t="shared" si="57"/>
        <v>D</v>
      </c>
    </row>
    <row r="678" spans="2:24" x14ac:dyDescent="0.25">
      <c r="B678" s="54" t="str">
        <f>IFERROR(VLOOKUP(A678,Lookup!A:B,2,0),"")</f>
        <v/>
      </c>
      <c r="C678" s="54" t="str">
        <f>IFERROR(VLOOKUP(A678,Lookup!A:C,3,0),"")</f>
        <v/>
      </c>
      <c r="J678" s="103">
        <f>VLOOKUP(A678&amp;G678,Lookup!J:N,5,0)</f>
        <v>0</v>
      </c>
      <c r="O678" s="57">
        <f>IFERROR(VLOOKUP(A678&amp;G678,Lookup!J:K,2,0),"")</f>
        <v>0</v>
      </c>
      <c r="P678" s="110" t="str">
        <f t="shared" si="58"/>
        <v/>
      </c>
      <c r="T678" s="59" t="e">
        <f t="shared" si="59"/>
        <v>#VALUE!</v>
      </c>
      <c r="U678" s="59"/>
      <c r="X678" s="60" t="str">
        <f t="shared" si="57"/>
        <v>D</v>
      </c>
    </row>
    <row r="679" spans="2:24" x14ac:dyDescent="0.25">
      <c r="B679" s="54" t="str">
        <f>IFERROR(VLOOKUP(A679,Lookup!A:B,2,0),"")</f>
        <v/>
      </c>
      <c r="C679" s="54" t="str">
        <f>IFERROR(VLOOKUP(A679,Lookup!A:C,3,0),"")</f>
        <v/>
      </c>
      <c r="J679" s="103">
        <f>VLOOKUP(A679&amp;G679,Lookup!J:N,5,0)</f>
        <v>0</v>
      </c>
      <c r="O679" s="57">
        <f>IFERROR(VLOOKUP(A679&amp;G679,Lookup!J:K,2,0),"")</f>
        <v>0</v>
      </c>
      <c r="P679" s="110" t="str">
        <f t="shared" si="58"/>
        <v/>
      </c>
      <c r="T679" s="59" t="e">
        <f t="shared" si="59"/>
        <v>#VALUE!</v>
      </c>
      <c r="U679" s="59"/>
      <c r="X679" s="60" t="str">
        <f t="shared" si="57"/>
        <v>D</v>
      </c>
    </row>
    <row r="680" spans="2:24" x14ac:dyDescent="0.25">
      <c r="B680" s="54" t="str">
        <f>IFERROR(VLOOKUP(A680,Lookup!A:B,2,0),"")</f>
        <v/>
      </c>
      <c r="C680" s="54" t="str">
        <f>IFERROR(VLOOKUP(A680,Lookup!A:C,3,0),"")</f>
        <v/>
      </c>
      <c r="J680" s="103">
        <f>VLOOKUP(A680&amp;G680,Lookup!J:N,5,0)</f>
        <v>0</v>
      </c>
      <c r="O680" s="57">
        <f>IFERROR(VLOOKUP(A680&amp;G680,Lookup!J:K,2,0),"")</f>
        <v>0</v>
      </c>
      <c r="P680" s="110" t="str">
        <f t="shared" si="58"/>
        <v/>
      </c>
      <c r="T680" s="59" t="e">
        <f t="shared" si="59"/>
        <v>#VALUE!</v>
      </c>
      <c r="U680" s="59"/>
      <c r="X680" s="60" t="str">
        <f t="shared" si="57"/>
        <v>D</v>
      </c>
    </row>
    <row r="681" spans="2:24" x14ac:dyDescent="0.25">
      <c r="B681" s="54" t="str">
        <f>IFERROR(VLOOKUP(A681,Lookup!A:B,2,0),"")</f>
        <v/>
      </c>
      <c r="C681" s="54" t="str">
        <f>IFERROR(VLOOKUP(A681,Lookup!A:C,3,0),"")</f>
        <v/>
      </c>
      <c r="J681" s="103">
        <f>VLOOKUP(A681&amp;G681,Lookup!J:N,5,0)</f>
        <v>0</v>
      </c>
      <c r="O681" s="57">
        <f>IFERROR(VLOOKUP(A681&amp;G681,Lookup!J:K,2,0),"")</f>
        <v>0</v>
      </c>
      <c r="P681" s="110" t="str">
        <f t="shared" si="58"/>
        <v/>
      </c>
      <c r="T681" s="59" t="e">
        <f t="shared" si="59"/>
        <v>#VALUE!</v>
      </c>
      <c r="U681" s="59"/>
      <c r="X681" s="60" t="str">
        <f t="shared" si="57"/>
        <v>D</v>
      </c>
    </row>
    <row r="682" spans="2:24" x14ac:dyDescent="0.25">
      <c r="B682" s="54" t="str">
        <f>IFERROR(VLOOKUP(A682,Lookup!A:B,2,0),"")</f>
        <v/>
      </c>
      <c r="C682" s="54" t="str">
        <f>IFERROR(VLOOKUP(A682,Lookup!A:C,3,0),"")</f>
        <v/>
      </c>
      <c r="J682" s="103">
        <f>VLOOKUP(A682&amp;G682,Lookup!J:N,5,0)</f>
        <v>0</v>
      </c>
      <c r="O682" s="57">
        <f>IFERROR(VLOOKUP(A682&amp;G682,Lookup!J:K,2,0),"")</f>
        <v>0</v>
      </c>
      <c r="P682" s="110" t="str">
        <f t="shared" si="58"/>
        <v/>
      </c>
      <c r="T682" s="59" t="e">
        <f t="shared" si="59"/>
        <v>#VALUE!</v>
      </c>
      <c r="U682" s="59"/>
      <c r="X682" s="60" t="str">
        <f t="shared" si="57"/>
        <v>D</v>
      </c>
    </row>
    <row r="683" spans="2:24" x14ac:dyDescent="0.25">
      <c r="B683" s="54" t="str">
        <f>IFERROR(VLOOKUP(A683,Lookup!A:B,2,0),"")</f>
        <v/>
      </c>
      <c r="C683" s="54" t="str">
        <f>IFERROR(VLOOKUP(A683,Lookup!A:C,3,0),"")</f>
        <v/>
      </c>
      <c r="J683" s="103">
        <f>VLOOKUP(A683&amp;G683,Lookup!J:N,5,0)</f>
        <v>0</v>
      </c>
      <c r="O683" s="57">
        <f>IFERROR(VLOOKUP(A683&amp;G683,Lookup!J:K,2,0),"")</f>
        <v>0</v>
      </c>
      <c r="P683" s="110" t="str">
        <f t="shared" si="58"/>
        <v/>
      </c>
      <c r="T683" s="59" t="e">
        <f t="shared" si="59"/>
        <v>#VALUE!</v>
      </c>
      <c r="U683" s="59"/>
      <c r="X683" s="60" t="str">
        <f t="shared" si="57"/>
        <v>D</v>
      </c>
    </row>
    <row r="684" spans="2:24" x14ac:dyDescent="0.25">
      <c r="B684" s="54" t="str">
        <f>IFERROR(VLOOKUP(A684,Lookup!A:B,2,0),"")</f>
        <v/>
      </c>
      <c r="C684" s="54" t="str">
        <f>IFERROR(VLOOKUP(A684,Lookup!A:C,3,0),"")</f>
        <v/>
      </c>
      <c r="J684" s="103">
        <f>VLOOKUP(A684&amp;G684,Lookup!J:N,5,0)</f>
        <v>0</v>
      </c>
      <c r="O684" s="57">
        <f>IFERROR(VLOOKUP(A684&amp;G684,Lookup!J:K,2,0),"")</f>
        <v>0</v>
      </c>
      <c r="P684" s="110" t="str">
        <f t="shared" si="58"/>
        <v/>
      </c>
      <c r="T684" s="59" t="e">
        <f t="shared" si="59"/>
        <v>#VALUE!</v>
      </c>
      <c r="U684" s="59"/>
      <c r="X684" s="60" t="str">
        <f t="shared" si="57"/>
        <v>D</v>
      </c>
    </row>
    <row r="685" spans="2:24" x14ac:dyDescent="0.25">
      <c r="B685" s="54" t="str">
        <f>IFERROR(VLOOKUP(A685,Lookup!A:B,2,0),"")</f>
        <v/>
      </c>
      <c r="C685" s="54" t="str">
        <f>IFERROR(VLOOKUP(A685,Lookup!A:C,3,0),"")</f>
        <v/>
      </c>
      <c r="J685" s="103">
        <f>VLOOKUP(A685&amp;G685,Lookup!J:N,5,0)</f>
        <v>0</v>
      </c>
      <c r="O685" s="57">
        <f>IFERROR(VLOOKUP(A685&amp;G685,Lookup!J:K,2,0),"")</f>
        <v>0</v>
      </c>
      <c r="P685" s="110" t="str">
        <f t="shared" si="58"/>
        <v/>
      </c>
      <c r="T685" s="59" t="e">
        <f t="shared" si="59"/>
        <v>#VALUE!</v>
      </c>
      <c r="U685" s="59"/>
      <c r="X685" s="60" t="str">
        <f t="shared" si="57"/>
        <v>D</v>
      </c>
    </row>
    <row r="686" spans="2:24" x14ac:dyDescent="0.25">
      <c r="B686" s="54" t="str">
        <f>IFERROR(VLOOKUP(A686,Lookup!A:B,2,0),"")</f>
        <v/>
      </c>
      <c r="C686" s="54" t="str">
        <f>IFERROR(VLOOKUP(A686,Lookup!A:C,3,0),"")</f>
        <v/>
      </c>
      <c r="J686" s="103">
        <f>VLOOKUP(A686&amp;G686,Lookup!J:N,5,0)</f>
        <v>0</v>
      </c>
      <c r="O686" s="57">
        <f>IFERROR(VLOOKUP(A686&amp;G686,Lookup!J:K,2,0),"")</f>
        <v>0</v>
      </c>
      <c r="P686" s="110" t="str">
        <f t="shared" si="58"/>
        <v/>
      </c>
      <c r="T686" s="59" t="e">
        <f t="shared" si="59"/>
        <v>#VALUE!</v>
      </c>
      <c r="U686" s="59"/>
      <c r="X686" s="60" t="str">
        <f t="shared" ref="X686:X749" si="60">IF(I686="SET","A",IF(I686="FREQ","C",IF(I686="","D","B")))</f>
        <v>D</v>
      </c>
    </row>
    <row r="687" spans="2:24" x14ac:dyDescent="0.25">
      <c r="B687" s="54" t="str">
        <f>IFERROR(VLOOKUP(A687,Lookup!A:B,2,0),"")</f>
        <v/>
      </c>
      <c r="C687" s="54" t="str">
        <f>IFERROR(VLOOKUP(A687,Lookup!A:C,3,0),"")</f>
        <v/>
      </c>
      <c r="J687" s="103">
        <f>VLOOKUP(A687&amp;G687,Lookup!J:N,5,0)</f>
        <v>0</v>
      </c>
      <c r="O687" s="57">
        <f>IFERROR(VLOOKUP(A687&amp;G687,Lookup!J:K,2,0),"")</f>
        <v>0</v>
      </c>
      <c r="P687" s="110" t="str">
        <f t="shared" si="58"/>
        <v/>
      </c>
      <c r="T687" s="59" t="e">
        <f t="shared" si="59"/>
        <v>#VALUE!</v>
      </c>
      <c r="U687" s="59"/>
      <c r="X687" s="60" t="str">
        <f t="shared" si="60"/>
        <v>D</v>
      </c>
    </row>
    <row r="688" spans="2:24" x14ac:dyDescent="0.25">
      <c r="B688" s="54" t="str">
        <f>IFERROR(VLOOKUP(A688,Lookup!A:B,2,0),"")</f>
        <v/>
      </c>
      <c r="C688" s="54" t="str">
        <f>IFERROR(VLOOKUP(A688,Lookup!A:C,3,0),"")</f>
        <v/>
      </c>
      <c r="J688" s="103">
        <f>VLOOKUP(A688&amp;G688,Lookup!J:N,5,0)</f>
        <v>0</v>
      </c>
      <c r="O688" s="57">
        <f>IFERROR(VLOOKUP(A688&amp;G688,Lookup!J:K,2,0),"")</f>
        <v>0</v>
      </c>
      <c r="P688" s="110" t="str">
        <f t="shared" si="58"/>
        <v/>
      </c>
      <c r="T688" s="59" t="e">
        <f t="shared" si="59"/>
        <v>#VALUE!</v>
      </c>
      <c r="U688" s="59"/>
      <c r="X688" s="60" t="str">
        <f t="shared" si="60"/>
        <v>D</v>
      </c>
    </row>
    <row r="689" spans="2:24" x14ac:dyDescent="0.25">
      <c r="B689" s="54" t="str">
        <f>IFERROR(VLOOKUP(A689,Lookup!A:B,2,0),"")</f>
        <v/>
      </c>
      <c r="C689" s="54" t="str">
        <f>IFERROR(VLOOKUP(A689,Lookup!A:C,3,0),"")</f>
        <v/>
      </c>
      <c r="J689" s="103">
        <f>VLOOKUP(A689&amp;G689,Lookup!J:N,5,0)</f>
        <v>0</v>
      </c>
      <c r="O689" s="57">
        <f>IFERROR(VLOOKUP(A689&amp;G689,Lookup!J:K,2,0),"")</f>
        <v>0</v>
      </c>
      <c r="P689" s="110" t="str">
        <f t="shared" si="58"/>
        <v/>
      </c>
      <c r="T689" s="59" t="e">
        <f t="shared" si="59"/>
        <v>#VALUE!</v>
      </c>
      <c r="U689" s="59"/>
      <c r="X689" s="60" t="str">
        <f t="shared" si="60"/>
        <v>D</v>
      </c>
    </row>
    <row r="690" spans="2:24" x14ac:dyDescent="0.25">
      <c r="B690" s="54" t="str">
        <f>IFERROR(VLOOKUP(A690,Lookup!A:B,2,0),"")</f>
        <v/>
      </c>
      <c r="C690" s="54" t="str">
        <f>IFERROR(VLOOKUP(A690,Lookup!A:C,3,0),"")</f>
        <v/>
      </c>
      <c r="J690" s="103">
        <f>VLOOKUP(A690&amp;G690,Lookup!J:N,5,0)</f>
        <v>0</v>
      </c>
      <c r="O690" s="57">
        <f>IFERROR(VLOOKUP(A690&amp;G690,Lookup!J:K,2,0),"")</f>
        <v>0</v>
      </c>
      <c r="P690" s="110" t="str">
        <f t="shared" si="58"/>
        <v/>
      </c>
      <c r="T690" s="59" t="e">
        <f t="shared" si="59"/>
        <v>#VALUE!</v>
      </c>
      <c r="U690" s="59"/>
      <c r="X690" s="60" t="str">
        <f t="shared" si="60"/>
        <v>D</v>
      </c>
    </row>
    <row r="691" spans="2:24" x14ac:dyDescent="0.25">
      <c r="B691" s="54" t="str">
        <f>IFERROR(VLOOKUP(A691,Lookup!A:B,2,0),"")</f>
        <v/>
      </c>
      <c r="C691" s="54" t="str">
        <f>IFERROR(VLOOKUP(A691,Lookup!A:C,3,0),"")</f>
        <v/>
      </c>
      <c r="J691" s="103">
        <f>VLOOKUP(A691&amp;G691,Lookup!J:N,5,0)</f>
        <v>0</v>
      </c>
      <c r="O691" s="57">
        <f>IFERROR(VLOOKUP(A691&amp;G691,Lookup!J:K,2,0),"")</f>
        <v>0</v>
      </c>
      <c r="P691" s="110" t="str">
        <f t="shared" si="58"/>
        <v/>
      </c>
      <c r="T691" s="59" t="e">
        <f t="shared" si="59"/>
        <v>#VALUE!</v>
      </c>
      <c r="U691" s="59"/>
      <c r="X691" s="60" t="str">
        <f t="shared" si="60"/>
        <v>D</v>
      </c>
    </row>
    <row r="692" spans="2:24" x14ac:dyDescent="0.25">
      <c r="B692" s="54" t="str">
        <f>IFERROR(VLOOKUP(A692,Lookup!A:B,2,0),"")</f>
        <v/>
      </c>
      <c r="C692" s="54" t="str">
        <f>IFERROR(VLOOKUP(A692,Lookup!A:C,3,0),"")</f>
        <v/>
      </c>
      <c r="J692" s="103">
        <f>VLOOKUP(A692&amp;G692,Lookup!J:N,5,0)</f>
        <v>0</v>
      </c>
      <c r="O692" s="57">
        <f>IFERROR(VLOOKUP(A692&amp;G692,Lookup!J:K,2,0),"")</f>
        <v>0</v>
      </c>
      <c r="P692" s="110" t="str">
        <f t="shared" si="58"/>
        <v/>
      </c>
      <c r="T692" s="59" t="e">
        <f t="shared" si="59"/>
        <v>#VALUE!</v>
      </c>
      <c r="U692" s="59"/>
      <c r="X692" s="60" t="str">
        <f t="shared" si="60"/>
        <v>D</v>
      </c>
    </row>
    <row r="693" spans="2:24" x14ac:dyDescent="0.25">
      <c r="B693" s="54" t="str">
        <f>IFERROR(VLOOKUP(A693,Lookup!A:B,2,0),"")</f>
        <v/>
      </c>
      <c r="C693" s="54" t="str">
        <f>IFERROR(VLOOKUP(A693,Lookup!A:C,3,0),"")</f>
        <v/>
      </c>
      <c r="J693" s="103">
        <f>VLOOKUP(A693&amp;G693,Lookup!J:N,5,0)</f>
        <v>0</v>
      </c>
      <c r="O693" s="57">
        <f>IFERROR(VLOOKUP(A693&amp;G693,Lookup!J:K,2,0),"")</f>
        <v>0</v>
      </c>
      <c r="P693" s="110" t="str">
        <f t="shared" si="58"/>
        <v/>
      </c>
      <c r="T693" s="59" t="e">
        <f t="shared" si="59"/>
        <v>#VALUE!</v>
      </c>
      <c r="U693" s="59"/>
      <c r="X693" s="60" t="str">
        <f t="shared" si="60"/>
        <v>D</v>
      </c>
    </row>
    <row r="694" spans="2:24" x14ac:dyDescent="0.25">
      <c r="B694" s="54" t="str">
        <f>IFERROR(VLOOKUP(A694,Lookup!A:B,2,0),"")</f>
        <v/>
      </c>
      <c r="C694" s="54" t="str">
        <f>IFERROR(VLOOKUP(A694,Lookup!A:C,3,0),"")</f>
        <v/>
      </c>
      <c r="J694" s="103">
        <f>VLOOKUP(A694&amp;G694,Lookup!J:N,5,0)</f>
        <v>0</v>
      </c>
      <c r="O694" s="57">
        <f>IFERROR(VLOOKUP(A694&amp;G694,Lookup!J:K,2,0),"")</f>
        <v>0</v>
      </c>
      <c r="P694" s="110" t="str">
        <f t="shared" si="58"/>
        <v/>
      </c>
      <c r="T694" s="59" t="e">
        <f t="shared" si="59"/>
        <v>#VALUE!</v>
      </c>
      <c r="U694" s="59"/>
      <c r="X694" s="60" t="str">
        <f t="shared" si="60"/>
        <v>D</v>
      </c>
    </row>
    <row r="695" spans="2:24" x14ac:dyDescent="0.25">
      <c r="B695" s="54" t="str">
        <f>IFERROR(VLOOKUP(A695,Lookup!A:B,2,0),"")</f>
        <v/>
      </c>
      <c r="C695" s="54" t="str">
        <f>IFERROR(VLOOKUP(A695,Lookup!A:C,3,0),"")</f>
        <v/>
      </c>
      <c r="J695" s="103">
        <f>VLOOKUP(A695&amp;G695,Lookup!J:N,5,0)</f>
        <v>0</v>
      </c>
      <c r="O695" s="57">
        <f>IFERROR(VLOOKUP(A695&amp;G695,Lookup!J:K,2,0),"")</f>
        <v>0</v>
      </c>
      <c r="P695" s="110" t="str">
        <f t="shared" si="58"/>
        <v/>
      </c>
      <c r="T695" s="59" t="e">
        <f t="shared" si="59"/>
        <v>#VALUE!</v>
      </c>
      <c r="U695" s="59"/>
      <c r="X695" s="60" t="str">
        <f t="shared" si="60"/>
        <v>D</v>
      </c>
    </row>
    <row r="696" spans="2:24" x14ac:dyDescent="0.25">
      <c r="B696" s="54" t="str">
        <f>IFERROR(VLOOKUP(A696,Lookup!A:B,2,0),"")</f>
        <v/>
      </c>
      <c r="C696" s="54" t="str">
        <f>IFERROR(VLOOKUP(A696,Lookup!A:C,3,0),"")</f>
        <v/>
      </c>
      <c r="J696" s="103">
        <f>VLOOKUP(A696&amp;G696,Lookup!J:N,5,0)</f>
        <v>0</v>
      </c>
      <c r="O696" s="57">
        <f>IFERROR(VLOOKUP(A696&amp;G696,Lookup!J:K,2,0),"")</f>
        <v>0</v>
      </c>
      <c r="P696" s="110" t="str">
        <f t="shared" si="58"/>
        <v/>
      </c>
      <c r="T696" s="59" t="e">
        <f t="shared" si="59"/>
        <v>#VALUE!</v>
      </c>
      <c r="U696" s="59"/>
      <c r="X696" s="60" t="str">
        <f t="shared" si="60"/>
        <v>D</v>
      </c>
    </row>
    <row r="697" spans="2:24" x14ac:dyDescent="0.25">
      <c r="B697" s="54" t="str">
        <f>IFERROR(VLOOKUP(A697,Lookup!A:B,2,0),"")</f>
        <v/>
      </c>
      <c r="C697" s="54" t="str">
        <f>IFERROR(VLOOKUP(A697,Lookup!A:C,3,0),"")</f>
        <v/>
      </c>
      <c r="J697" s="103">
        <f>VLOOKUP(A697&amp;G697,Lookup!J:N,5,0)</f>
        <v>0</v>
      </c>
      <c r="O697" s="57">
        <f>IFERROR(VLOOKUP(A697&amp;G697,Lookup!J:K,2,0),"")</f>
        <v>0</v>
      </c>
      <c r="P697" s="110" t="str">
        <f t="shared" si="58"/>
        <v/>
      </c>
      <c r="T697" s="59" t="e">
        <f t="shared" si="59"/>
        <v>#VALUE!</v>
      </c>
      <c r="U697" s="59"/>
      <c r="X697" s="60" t="str">
        <f t="shared" si="60"/>
        <v>D</v>
      </c>
    </row>
    <row r="698" spans="2:24" x14ac:dyDescent="0.25">
      <c r="B698" s="54" t="str">
        <f>IFERROR(VLOOKUP(A698,Lookup!A:B,2,0),"")</f>
        <v/>
      </c>
      <c r="C698" s="54" t="str">
        <f>IFERROR(VLOOKUP(A698,Lookup!A:C,3,0),"")</f>
        <v/>
      </c>
      <c r="J698" s="103">
        <f>VLOOKUP(A698&amp;G698,Lookup!J:N,5,0)</f>
        <v>0</v>
      </c>
      <c r="O698" s="57">
        <f>IFERROR(VLOOKUP(A698&amp;G698,Lookup!J:K,2,0),"")</f>
        <v>0</v>
      </c>
      <c r="P698" s="110" t="str">
        <f t="shared" si="58"/>
        <v/>
      </c>
      <c r="T698" s="59" t="e">
        <f t="shared" si="59"/>
        <v>#VALUE!</v>
      </c>
      <c r="U698" s="59"/>
      <c r="X698" s="60" t="str">
        <f t="shared" si="60"/>
        <v>D</v>
      </c>
    </row>
    <row r="699" spans="2:24" x14ac:dyDescent="0.25">
      <c r="B699" s="54" t="str">
        <f>IFERROR(VLOOKUP(A699,Lookup!A:B,2,0),"")</f>
        <v/>
      </c>
      <c r="C699" s="54" t="str">
        <f>IFERROR(VLOOKUP(A699,Lookup!A:C,3,0),"")</f>
        <v/>
      </c>
      <c r="J699" s="103">
        <f>VLOOKUP(A699&amp;G699,Lookup!J:N,5,0)</f>
        <v>0</v>
      </c>
      <c r="O699" s="57">
        <f>IFERROR(VLOOKUP(A699&amp;G699,Lookup!J:K,2,0),"")</f>
        <v>0</v>
      </c>
      <c r="P699" s="110" t="str">
        <f t="shared" si="58"/>
        <v/>
      </c>
      <c r="T699" s="59" t="e">
        <f t="shared" si="59"/>
        <v>#VALUE!</v>
      </c>
      <c r="U699" s="59"/>
      <c r="X699" s="60" t="str">
        <f t="shared" si="60"/>
        <v>D</v>
      </c>
    </row>
    <row r="700" spans="2:24" x14ac:dyDescent="0.25">
      <c r="B700" s="54" t="str">
        <f>IFERROR(VLOOKUP(A700,Lookup!A:B,2,0),"")</f>
        <v/>
      </c>
      <c r="C700" s="54" t="str">
        <f>IFERROR(VLOOKUP(A700,Lookup!A:C,3,0),"")</f>
        <v/>
      </c>
      <c r="J700" s="103">
        <f>VLOOKUP(A700&amp;G700,Lookup!J:N,5,0)</f>
        <v>0</v>
      </c>
      <c r="O700" s="57">
        <f>IFERROR(VLOOKUP(A700&amp;G700,Lookup!J:K,2,0),"")</f>
        <v>0</v>
      </c>
      <c r="P700" s="110" t="str">
        <f t="shared" si="58"/>
        <v/>
      </c>
      <c r="T700" s="59" t="e">
        <f t="shared" si="59"/>
        <v>#VALUE!</v>
      </c>
      <c r="U700" s="59"/>
      <c r="X700" s="60" t="str">
        <f t="shared" si="60"/>
        <v>D</v>
      </c>
    </row>
    <row r="701" spans="2:24" x14ac:dyDescent="0.25">
      <c r="B701" s="54" t="str">
        <f>IFERROR(VLOOKUP(A701,Lookup!A:B,2,0),"")</f>
        <v/>
      </c>
      <c r="C701" s="54" t="str">
        <f>IFERROR(VLOOKUP(A701,Lookup!A:C,3,0),"")</f>
        <v/>
      </c>
      <c r="J701" s="103">
        <f>VLOOKUP(A701&amp;G701,Lookup!J:N,5,0)</f>
        <v>0</v>
      </c>
      <c r="O701" s="57">
        <f>IFERROR(VLOOKUP(A701&amp;G701,Lookup!J:K,2,0),"")</f>
        <v>0</v>
      </c>
      <c r="P701" s="110" t="str">
        <f t="shared" si="58"/>
        <v/>
      </c>
      <c r="T701" s="59" t="e">
        <f t="shared" si="59"/>
        <v>#VALUE!</v>
      </c>
      <c r="U701" s="59"/>
      <c r="X701" s="60" t="str">
        <f t="shared" si="60"/>
        <v>D</v>
      </c>
    </row>
    <row r="702" spans="2:24" x14ac:dyDescent="0.25">
      <c r="B702" s="54" t="str">
        <f>IFERROR(VLOOKUP(A702,Lookup!A:B,2,0),"")</f>
        <v/>
      </c>
      <c r="C702" s="54" t="str">
        <f>IFERROR(VLOOKUP(A702,Lookup!A:C,3,0),"")</f>
        <v/>
      </c>
      <c r="J702" s="103">
        <f>VLOOKUP(A702&amp;G702,Lookup!J:N,5,0)</f>
        <v>0</v>
      </c>
      <c r="O702" s="57">
        <f>IFERROR(VLOOKUP(A702&amp;G702,Lookup!J:K,2,0),"")</f>
        <v>0</v>
      </c>
      <c r="P702" s="110" t="str">
        <f t="shared" si="58"/>
        <v/>
      </c>
      <c r="T702" s="59" t="e">
        <f t="shared" si="59"/>
        <v>#VALUE!</v>
      </c>
      <c r="U702" s="59"/>
      <c r="X702" s="60" t="str">
        <f t="shared" si="60"/>
        <v>D</v>
      </c>
    </row>
    <row r="703" spans="2:24" x14ac:dyDescent="0.25">
      <c r="B703" s="54" t="str">
        <f>IFERROR(VLOOKUP(A703,Lookup!A:B,2,0),"")</f>
        <v/>
      </c>
      <c r="C703" s="54" t="str">
        <f>IFERROR(VLOOKUP(A703,Lookup!A:C,3,0),"")</f>
        <v/>
      </c>
      <c r="J703" s="103">
        <f>VLOOKUP(A703&amp;G703,Lookup!J:N,5,0)</f>
        <v>0</v>
      </c>
      <c r="O703" s="57">
        <f>IFERROR(VLOOKUP(A703&amp;G703,Lookup!J:K,2,0),"")</f>
        <v>0</v>
      </c>
      <c r="P703" s="110" t="str">
        <f t="shared" si="58"/>
        <v/>
      </c>
      <c r="T703" s="59" t="e">
        <f t="shared" si="59"/>
        <v>#VALUE!</v>
      </c>
      <c r="U703" s="59"/>
      <c r="X703" s="60" t="str">
        <f t="shared" si="60"/>
        <v>D</v>
      </c>
    </row>
    <row r="704" spans="2:24" x14ac:dyDescent="0.25">
      <c r="B704" s="54" t="str">
        <f>IFERROR(VLOOKUP(A704,Lookup!A:B,2,0),"")</f>
        <v/>
      </c>
      <c r="C704" s="54" t="str">
        <f>IFERROR(VLOOKUP(A704,Lookup!A:C,3,0),"")</f>
        <v/>
      </c>
      <c r="J704" s="103">
        <f>VLOOKUP(A704&amp;G704,Lookup!J:N,5,0)</f>
        <v>0</v>
      </c>
      <c r="O704" s="57">
        <f>IFERROR(VLOOKUP(A704&amp;G704,Lookup!J:K,2,0),"")</f>
        <v>0</v>
      </c>
      <c r="P704" s="110" t="str">
        <f t="shared" si="58"/>
        <v/>
      </c>
      <c r="T704" s="59" t="e">
        <f t="shared" si="59"/>
        <v>#VALUE!</v>
      </c>
      <c r="U704" s="59"/>
      <c r="X704" s="60" t="str">
        <f t="shared" si="60"/>
        <v>D</v>
      </c>
    </row>
    <row r="705" spans="2:24" x14ac:dyDescent="0.25">
      <c r="B705" s="54" t="str">
        <f>IFERROR(VLOOKUP(A705,Lookup!A:B,2,0),"")</f>
        <v/>
      </c>
      <c r="C705" s="54" t="str">
        <f>IFERROR(VLOOKUP(A705,Lookup!A:C,3,0),"")</f>
        <v/>
      </c>
      <c r="J705" s="103">
        <f>VLOOKUP(A705&amp;G705,Lookup!J:N,5,0)</f>
        <v>0</v>
      </c>
      <c r="O705" s="57">
        <f>IFERROR(VLOOKUP(A705&amp;G705,Lookup!J:K,2,0),"")</f>
        <v>0</v>
      </c>
      <c r="P705" s="110" t="str">
        <f t="shared" si="58"/>
        <v/>
      </c>
      <c r="T705" s="59" t="e">
        <f t="shared" si="59"/>
        <v>#VALUE!</v>
      </c>
      <c r="U705" s="59"/>
      <c r="X705" s="60" t="str">
        <f t="shared" si="60"/>
        <v>D</v>
      </c>
    </row>
    <row r="706" spans="2:24" x14ac:dyDescent="0.25">
      <c r="B706" s="54" t="str">
        <f>IFERROR(VLOOKUP(A706,Lookup!A:B,2,0),"")</f>
        <v/>
      </c>
      <c r="C706" s="54" t="str">
        <f>IFERROR(VLOOKUP(A706,Lookup!A:C,3,0),"")</f>
        <v/>
      </c>
      <c r="J706" s="103">
        <f>VLOOKUP(A706&amp;G706,Lookup!J:N,5,0)</f>
        <v>0</v>
      </c>
      <c r="O706" s="57">
        <f>IFERROR(VLOOKUP(A706&amp;G706,Lookup!J:K,2,0),"")</f>
        <v>0</v>
      </c>
      <c r="P706" s="110" t="str">
        <f t="shared" si="58"/>
        <v/>
      </c>
      <c r="T706" s="59" t="e">
        <f t="shared" si="59"/>
        <v>#VALUE!</v>
      </c>
      <c r="U706" s="59"/>
      <c r="X706" s="60" t="str">
        <f t="shared" si="60"/>
        <v>D</v>
      </c>
    </row>
    <row r="707" spans="2:24" x14ac:dyDescent="0.25">
      <c r="B707" s="54" t="str">
        <f>IFERROR(VLOOKUP(A707,Lookup!A:B,2,0),"")</f>
        <v/>
      </c>
      <c r="C707" s="54" t="str">
        <f>IFERROR(VLOOKUP(A707,Lookup!A:C,3,0),"")</f>
        <v/>
      </c>
      <c r="J707" s="103">
        <f>VLOOKUP(A707&amp;G707,Lookup!J:N,5,0)</f>
        <v>0</v>
      </c>
      <c r="O707" s="57">
        <f>IFERROR(VLOOKUP(A707&amp;G707,Lookup!J:K,2,0),"")</f>
        <v>0</v>
      </c>
      <c r="P707" s="110" t="str">
        <f t="shared" si="58"/>
        <v/>
      </c>
      <c r="T707" s="59" t="e">
        <f t="shared" si="59"/>
        <v>#VALUE!</v>
      </c>
      <c r="U707" s="59"/>
      <c r="X707" s="60" t="str">
        <f t="shared" si="60"/>
        <v>D</v>
      </c>
    </row>
    <row r="708" spans="2:24" x14ac:dyDescent="0.25">
      <c r="B708" s="54" t="str">
        <f>IFERROR(VLOOKUP(A708,Lookup!A:B,2,0),"")</f>
        <v/>
      </c>
      <c r="C708" s="54" t="str">
        <f>IFERROR(VLOOKUP(A708,Lookup!A:C,3,0),"")</f>
        <v/>
      </c>
      <c r="J708" s="103">
        <f>VLOOKUP(A708&amp;G708,Lookup!J:N,5,0)</f>
        <v>0</v>
      </c>
      <c r="O708" s="57">
        <f>IFERROR(VLOOKUP(A708&amp;G708,Lookup!J:K,2,0),"")</f>
        <v>0</v>
      </c>
      <c r="P708" s="110" t="str">
        <f t="shared" ref="P708:P771" si="61">IF(N708="","",N708+O708)</f>
        <v/>
      </c>
      <c r="T708" s="59" t="e">
        <f t="shared" si="59"/>
        <v>#VALUE!</v>
      </c>
      <c r="U708" s="59"/>
      <c r="X708" s="60" t="str">
        <f t="shared" si="60"/>
        <v>D</v>
      </c>
    </row>
    <row r="709" spans="2:24" x14ac:dyDescent="0.25">
      <c r="B709" s="54" t="str">
        <f>IFERROR(VLOOKUP(A709,Lookup!A:B,2,0),"")</f>
        <v/>
      </c>
      <c r="C709" s="54" t="str">
        <f>IFERROR(VLOOKUP(A709,Lookup!A:C,3,0),"")</f>
        <v/>
      </c>
      <c r="J709" s="103">
        <f>VLOOKUP(A709&amp;G709,Lookup!J:N,5,0)</f>
        <v>0</v>
      </c>
      <c r="O709" s="57">
        <f>IFERROR(VLOOKUP(A709&amp;G709,Lookup!J:K,2,0),"")</f>
        <v>0</v>
      </c>
      <c r="P709" s="110" t="str">
        <f t="shared" si="61"/>
        <v/>
      </c>
      <c r="T709" s="59" t="e">
        <f t="shared" si="59"/>
        <v>#VALUE!</v>
      </c>
      <c r="U709" s="59"/>
      <c r="X709" s="60" t="str">
        <f t="shared" si="60"/>
        <v>D</v>
      </c>
    </row>
    <row r="710" spans="2:24" x14ac:dyDescent="0.25">
      <c r="B710" s="54" t="str">
        <f>IFERROR(VLOOKUP(A710,Lookup!A:B,2,0),"")</f>
        <v/>
      </c>
      <c r="C710" s="54" t="str">
        <f>IFERROR(VLOOKUP(A710,Lookup!A:C,3,0),"")</f>
        <v/>
      </c>
      <c r="J710" s="103">
        <f>VLOOKUP(A710&amp;G710,Lookup!J:N,5,0)</f>
        <v>0</v>
      </c>
      <c r="O710" s="57">
        <f>IFERROR(VLOOKUP(A710&amp;G710,Lookup!J:K,2,0),"")</f>
        <v>0</v>
      </c>
      <c r="P710" s="110" t="str">
        <f t="shared" si="61"/>
        <v/>
      </c>
      <c r="T710" s="59" t="e">
        <f t="shared" si="59"/>
        <v>#VALUE!</v>
      </c>
      <c r="U710" s="59"/>
      <c r="X710" s="60" t="str">
        <f t="shared" si="60"/>
        <v>D</v>
      </c>
    </row>
    <row r="711" spans="2:24" x14ac:dyDescent="0.25">
      <c r="B711" s="54" t="str">
        <f>IFERROR(VLOOKUP(A711,Lookup!A:B,2,0),"")</f>
        <v/>
      </c>
      <c r="C711" s="54" t="str">
        <f>IFERROR(VLOOKUP(A711,Lookup!A:C,3,0),"")</f>
        <v/>
      </c>
      <c r="J711" s="103">
        <f>VLOOKUP(A711&amp;G711,Lookup!J:N,5,0)</f>
        <v>0</v>
      </c>
      <c r="O711" s="57">
        <f>IFERROR(VLOOKUP(A711&amp;G711,Lookup!J:K,2,0),"")</f>
        <v>0</v>
      </c>
      <c r="P711" s="110" t="str">
        <f t="shared" si="61"/>
        <v/>
      </c>
      <c r="T711" s="59" t="e">
        <f t="shared" si="59"/>
        <v>#VALUE!</v>
      </c>
      <c r="U711" s="59"/>
      <c r="X711" s="60" t="str">
        <f t="shared" si="60"/>
        <v>D</v>
      </c>
    </row>
    <row r="712" spans="2:24" x14ac:dyDescent="0.25">
      <c r="B712" s="54" t="str">
        <f>IFERROR(VLOOKUP(A712,Lookup!A:B,2,0),"")</f>
        <v/>
      </c>
      <c r="C712" s="54" t="str">
        <f>IFERROR(VLOOKUP(A712,Lookup!A:C,3,0),"")</f>
        <v/>
      </c>
      <c r="J712" s="103">
        <f>VLOOKUP(A712&amp;G712,Lookup!J:N,5,0)</f>
        <v>0</v>
      </c>
      <c r="O712" s="57">
        <f>IFERROR(VLOOKUP(A712&amp;G712,Lookup!J:K,2,0),"")</f>
        <v>0</v>
      </c>
      <c r="P712" s="110" t="str">
        <f t="shared" si="61"/>
        <v/>
      </c>
      <c r="T712" s="59" t="e">
        <f t="shared" si="59"/>
        <v>#VALUE!</v>
      </c>
      <c r="U712" s="59"/>
      <c r="X712" s="60" t="str">
        <f t="shared" si="60"/>
        <v>D</v>
      </c>
    </row>
    <row r="713" spans="2:24" x14ac:dyDescent="0.25">
      <c r="B713" s="54" t="str">
        <f>IFERROR(VLOOKUP(A713,Lookup!A:B,2,0),"")</f>
        <v/>
      </c>
      <c r="C713" s="54" t="str">
        <f>IFERROR(VLOOKUP(A713,Lookup!A:C,3,0),"")</f>
        <v/>
      </c>
      <c r="J713" s="103">
        <f>VLOOKUP(A713&amp;G713,Lookup!J:N,5,0)</f>
        <v>0</v>
      </c>
      <c r="O713" s="57">
        <f>IFERROR(VLOOKUP(A713&amp;G713,Lookup!J:K,2,0),"")</f>
        <v>0</v>
      </c>
      <c r="P713" s="110" t="str">
        <f t="shared" si="61"/>
        <v/>
      </c>
      <c r="T713" s="59" t="e">
        <f t="shared" si="59"/>
        <v>#VALUE!</v>
      </c>
      <c r="U713" s="59"/>
      <c r="X713" s="60" t="str">
        <f t="shared" si="60"/>
        <v>D</v>
      </c>
    </row>
    <row r="714" spans="2:24" x14ac:dyDescent="0.25">
      <c r="B714" s="54" t="str">
        <f>IFERROR(VLOOKUP(A714,Lookup!A:B,2,0),"")</f>
        <v/>
      </c>
      <c r="C714" s="54" t="str">
        <f>IFERROR(VLOOKUP(A714,Lookup!A:C,3,0),"")</f>
        <v/>
      </c>
      <c r="J714" s="103">
        <f>VLOOKUP(A714&amp;G714,Lookup!J:N,5,0)</f>
        <v>0</v>
      </c>
      <c r="O714" s="57">
        <f>IFERROR(VLOOKUP(A714&amp;G714,Lookup!J:K,2,0),"")</f>
        <v>0</v>
      </c>
      <c r="P714" s="110" t="str">
        <f t="shared" si="61"/>
        <v/>
      </c>
      <c r="T714" s="59" t="e">
        <f t="shared" si="59"/>
        <v>#VALUE!</v>
      </c>
      <c r="U714" s="59"/>
      <c r="X714" s="60" t="str">
        <f t="shared" si="60"/>
        <v>D</v>
      </c>
    </row>
    <row r="715" spans="2:24" x14ac:dyDescent="0.25">
      <c r="B715" s="54" t="str">
        <f>IFERROR(VLOOKUP(A715,Lookup!A:B,2,0),"")</f>
        <v/>
      </c>
      <c r="C715" s="54" t="str">
        <f>IFERROR(VLOOKUP(A715,Lookup!A:C,3,0),"")</f>
        <v/>
      </c>
      <c r="J715" s="103">
        <f>VLOOKUP(A715&amp;G715,Lookup!J:N,5,0)</f>
        <v>0</v>
      </c>
      <c r="O715" s="57">
        <f>IFERROR(VLOOKUP(A715&amp;G715,Lookup!J:K,2,0),"")</f>
        <v>0</v>
      </c>
      <c r="P715" s="110" t="str">
        <f t="shared" si="61"/>
        <v/>
      </c>
      <c r="T715" s="59" t="e">
        <f t="shared" si="59"/>
        <v>#VALUE!</v>
      </c>
      <c r="U715" s="59"/>
      <c r="X715" s="60" t="str">
        <f t="shared" si="60"/>
        <v>D</v>
      </c>
    </row>
    <row r="716" spans="2:24" x14ac:dyDescent="0.25">
      <c r="B716" s="54" t="str">
        <f>IFERROR(VLOOKUP(A716,Lookup!A:B,2,0),"")</f>
        <v/>
      </c>
      <c r="C716" s="54" t="str">
        <f>IFERROR(VLOOKUP(A716,Lookup!A:C,3,0),"")</f>
        <v/>
      </c>
      <c r="J716" s="103">
        <f>VLOOKUP(A716&amp;G716,Lookup!J:N,5,0)</f>
        <v>0</v>
      </c>
      <c r="O716" s="57">
        <f>IFERROR(VLOOKUP(A716&amp;G716,Lookup!J:K,2,0),"")</f>
        <v>0</v>
      </c>
      <c r="P716" s="110" t="str">
        <f t="shared" si="61"/>
        <v/>
      </c>
      <c r="T716" s="59" t="e">
        <f t="shared" si="59"/>
        <v>#VALUE!</v>
      </c>
      <c r="U716" s="59"/>
      <c r="X716" s="60" t="str">
        <f t="shared" si="60"/>
        <v>D</v>
      </c>
    </row>
    <row r="717" spans="2:24" x14ac:dyDescent="0.25">
      <c r="B717" s="54" t="str">
        <f>IFERROR(VLOOKUP(A717,Lookup!A:B,2,0),"")</f>
        <v/>
      </c>
      <c r="C717" s="54" t="str">
        <f>IFERROR(VLOOKUP(A717,Lookup!A:C,3,0),"")</f>
        <v/>
      </c>
      <c r="J717" s="103">
        <f>VLOOKUP(A717&amp;G717,Lookup!J:N,5,0)</f>
        <v>0</v>
      </c>
      <c r="O717" s="57">
        <f>IFERROR(VLOOKUP(A717&amp;G717,Lookup!J:K,2,0),"")</f>
        <v>0</v>
      </c>
      <c r="P717" s="110" t="str">
        <f t="shared" si="61"/>
        <v/>
      </c>
      <c r="T717" s="59" t="e">
        <f t="shared" si="59"/>
        <v>#VALUE!</v>
      </c>
      <c r="U717" s="59"/>
      <c r="X717" s="60" t="str">
        <f t="shared" si="60"/>
        <v>D</v>
      </c>
    </row>
    <row r="718" spans="2:24" x14ac:dyDescent="0.25">
      <c r="B718" s="54" t="str">
        <f>IFERROR(VLOOKUP(A718,Lookup!A:B,2,0),"")</f>
        <v/>
      </c>
      <c r="C718" s="54" t="str">
        <f>IFERROR(VLOOKUP(A718,Lookup!A:C,3,0),"")</f>
        <v/>
      </c>
      <c r="J718" s="103">
        <f>VLOOKUP(A718&amp;G718,Lookup!J:N,5,0)</f>
        <v>0</v>
      </c>
      <c r="O718" s="57">
        <f>IFERROR(VLOOKUP(A718&amp;G718,Lookup!J:K,2,0),"")</f>
        <v>0</v>
      </c>
      <c r="P718" s="110" t="str">
        <f t="shared" si="61"/>
        <v/>
      </c>
      <c r="T718" s="59" t="e">
        <f t="shared" ref="T718:T781" si="62">IF(Q718-P718&gt;0.0415,"YES",(IF(OR(EXACT(Q718,""), EXACT(P718,"")),"","NO")))</f>
        <v>#VALUE!</v>
      </c>
      <c r="U718" s="59"/>
      <c r="X718" s="60" t="str">
        <f t="shared" si="60"/>
        <v>D</v>
      </c>
    </row>
    <row r="719" spans="2:24" x14ac:dyDescent="0.25">
      <c r="B719" s="54" t="str">
        <f>IFERROR(VLOOKUP(A719,Lookup!A:B,2,0),"")</f>
        <v/>
      </c>
      <c r="C719" s="54" t="str">
        <f>IFERROR(VLOOKUP(A719,Lookup!A:C,3,0),"")</f>
        <v/>
      </c>
      <c r="J719" s="103">
        <f>VLOOKUP(A719&amp;G719,Lookup!J:N,5,0)</f>
        <v>0</v>
      </c>
      <c r="O719" s="57">
        <f>IFERROR(VLOOKUP(A719&amp;G719,Lookup!J:K,2,0),"")</f>
        <v>0</v>
      </c>
      <c r="P719" s="110" t="str">
        <f t="shared" si="61"/>
        <v/>
      </c>
      <c r="T719" s="59" t="e">
        <f t="shared" si="62"/>
        <v>#VALUE!</v>
      </c>
      <c r="U719" s="59"/>
      <c r="X719" s="60" t="str">
        <f t="shared" si="60"/>
        <v>D</v>
      </c>
    </row>
    <row r="720" spans="2:24" x14ac:dyDescent="0.25">
      <c r="B720" s="54" t="str">
        <f>IFERROR(VLOOKUP(A720,Lookup!A:B,2,0),"")</f>
        <v/>
      </c>
      <c r="C720" s="54" t="str">
        <f>IFERROR(VLOOKUP(A720,Lookup!A:C,3,0),"")</f>
        <v/>
      </c>
      <c r="J720" s="103">
        <f>VLOOKUP(A720&amp;G720,Lookup!J:N,5,0)</f>
        <v>0</v>
      </c>
      <c r="O720" s="57">
        <f>IFERROR(VLOOKUP(A720&amp;G720,Lookup!J:K,2,0),"")</f>
        <v>0</v>
      </c>
      <c r="P720" s="110" t="str">
        <f t="shared" si="61"/>
        <v/>
      </c>
      <c r="T720" s="59" t="e">
        <f t="shared" si="62"/>
        <v>#VALUE!</v>
      </c>
      <c r="U720" s="59"/>
      <c r="X720" s="60" t="str">
        <f t="shared" si="60"/>
        <v>D</v>
      </c>
    </row>
    <row r="721" spans="2:24" x14ac:dyDescent="0.25">
      <c r="B721" s="54" t="str">
        <f>IFERROR(VLOOKUP(A721,Lookup!A:B,2,0),"")</f>
        <v/>
      </c>
      <c r="C721" s="54" t="str">
        <f>IFERROR(VLOOKUP(A721,Lookup!A:C,3,0),"")</f>
        <v/>
      </c>
      <c r="J721" s="103">
        <f>VLOOKUP(A721&amp;G721,Lookup!J:N,5,0)</f>
        <v>0</v>
      </c>
      <c r="O721" s="57">
        <f>IFERROR(VLOOKUP(A721&amp;G721,Lookup!J:K,2,0),"")</f>
        <v>0</v>
      </c>
      <c r="P721" s="110" t="str">
        <f t="shared" si="61"/>
        <v/>
      </c>
      <c r="T721" s="59" t="e">
        <f t="shared" si="62"/>
        <v>#VALUE!</v>
      </c>
      <c r="U721" s="59"/>
      <c r="X721" s="60" t="str">
        <f t="shared" si="60"/>
        <v>D</v>
      </c>
    </row>
    <row r="722" spans="2:24" x14ac:dyDescent="0.25">
      <c r="B722" s="54" t="str">
        <f>IFERROR(VLOOKUP(A722,Lookup!A:B,2,0),"")</f>
        <v/>
      </c>
      <c r="C722" s="54" t="str">
        <f>IFERROR(VLOOKUP(A722,Lookup!A:C,3,0),"")</f>
        <v/>
      </c>
      <c r="J722" s="103">
        <f>VLOOKUP(A722&amp;G722,Lookup!J:N,5,0)</f>
        <v>0</v>
      </c>
      <c r="O722" s="57">
        <f>IFERROR(VLOOKUP(A722&amp;G722,Lookup!J:K,2,0),"")</f>
        <v>0</v>
      </c>
      <c r="P722" s="110" t="str">
        <f t="shared" si="61"/>
        <v/>
      </c>
      <c r="T722" s="59" t="e">
        <f t="shared" si="62"/>
        <v>#VALUE!</v>
      </c>
      <c r="U722" s="59"/>
      <c r="X722" s="60" t="str">
        <f t="shared" si="60"/>
        <v>D</v>
      </c>
    </row>
    <row r="723" spans="2:24" x14ac:dyDescent="0.25">
      <c r="B723" s="54" t="str">
        <f>IFERROR(VLOOKUP(A723,Lookup!A:B,2,0),"")</f>
        <v/>
      </c>
      <c r="C723" s="54" t="str">
        <f>IFERROR(VLOOKUP(A723,Lookup!A:C,3,0),"")</f>
        <v/>
      </c>
      <c r="J723" s="103">
        <f>VLOOKUP(A723&amp;G723,Lookup!J:N,5,0)</f>
        <v>0</v>
      </c>
      <c r="O723" s="57">
        <f>IFERROR(VLOOKUP(A723&amp;G723,Lookup!J:K,2,0),"")</f>
        <v>0</v>
      </c>
      <c r="P723" s="110" t="str">
        <f t="shared" si="61"/>
        <v/>
      </c>
      <c r="T723" s="59" t="e">
        <f t="shared" si="62"/>
        <v>#VALUE!</v>
      </c>
      <c r="U723" s="59"/>
      <c r="X723" s="60" t="str">
        <f t="shared" si="60"/>
        <v>D</v>
      </c>
    </row>
    <row r="724" spans="2:24" x14ac:dyDescent="0.25">
      <c r="B724" s="54" t="str">
        <f>IFERROR(VLOOKUP(A724,Lookup!A:B,2,0),"")</f>
        <v/>
      </c>
      <c r="C724" s="54" t="str">
        <f>IFERROR(VLOOKUP(A724,Lookup!A:C,3,0),"")</f>
        <v/>
      </c>
      <c r="J724" s="103">
        <f>VLOOKUP(A724&amp;G724,Lookup!J:N,5,0)</f>
        <v>0</v>
      </c>
      <c r="O724" s="57">
        <f>IFERROR(VLOOKUP(A724&amp;G724,Lookup!J:K,2,0),"")</f>
        <v>0</v>
      </c>
      <c r="P724" s="110" t="str">
        <f t="shared" si="61"/>
        <v/>
      </c>
      <c r="T724" s="59" t="e">
        <f t="shared" si="62"/>
        <v>#VALUE!</v>
      </c>
      <c r="U724" s="59"/>
      <c r="X724" s="60" t="str">
        <f t="shared" si="60"/>
        <v>D</v>
      </c>
    </row>
    <row r="725" spans="2:24" x14ac:dyDescent="0.25">
      <c r="B725" s="54" t="str">
        <f>IFERROR(VLOOKUP(A725,Lookup!A:B,2,0),"")</f>
        <v/>
      </c>
      <c r="C725" s="54" t="str">
        <f>IFERROR(VLOOKUP(A725,Lookup!A:C,3,0),"")</f>
        <v/>
      </c>
      <c r="J725" s="103">
        <f>VLOOKUP(A725&amp;G725,Lookup!J:N,5,0)</f>
        <v>0</v>
      </c>
      <c r="O725" s="57">
        <f>IFERROR(VLOOKUP(A725&amp;G725,Lookup!J:K,2,0),"")</f>
        <v>0</v>
      </c>
      <c r="P725" s="110" t="str">
        <f t="shared" si="61"/>
        <v/>
      </c>
      <c r="T725" s="59" t="e">
        <f t="shared" si="62"/>
        <v>#VALUE!</v>
      </c>
      <c r="U725" s="59"/>
      <c r="X725" s="60" t="str">
        <f t="shared" si="60"/>
        <v>D</v>
      </c>
    </row>
    <row r="726" spans="2:24" x14ac:dyDescent="0.25">
      <c r="B726" s="54" t="str">
        <f>IFERROR(VLOOKUP(A726,Lookup!A:B,2,0),"")</f>
        <v/>
      </c>
      <c r="C726" s="54" t="str">
        <f>IFERROR(VLOOKUP(A726,Lookup!A:C,3,0),"")</f>
        <v/>
      </c>
      <c r="J726" s="103">
        <f>VLOOKUP(A726&amp;G726,Lookup!J:N,5,0)</f>
        <v>0</v>
      </c>
      <c r="O726" s="57">
        <f>IFERROR(VLOOKUP(A726&amp;G726,Lookup!J:K,2,0),"")</f>
        <v>0</v>
      </c>
      <c r="P726" s="110" t="str">
        <f t="shared" si="61"/>
        <v/>
      </c>
      <c r="T726" s="59" t="e">
        <f t="shared" si="62"/>
        <v>#VALUE!</v>
      </c>
      <c r="U726" s="59"/>
      <c r="X726" s="60" t="str">
        <f t="shared" si="60"/>
        <v>D</v>
      </c>
    </row>
    <row r="727" spans="2:24" x14ac:dyDescent="0.25">
      <c r="B727" s="54" t="str">
        <f>IFERROR(VLOOKUP(A727,Lookup!A:B,2,0),"")</f>
        <v/>
      </c>
      <c r="C727" s="54" t="str">
        <f>IFERROR(VLOOKUP(A727,Lookup!A:C,3,0),"")</f>
        <v/>
      </c>
      <c r="J727" s="103">
        <f>VLOOKUP(A727&amp;G727,Lookup!J:N,5,0)</f>
        <v>0</v>
      </c>
      <c r="O727" s="57">
        <f>IFERROR(VLOOKUP(A727&amp;G727,Lookup!J:K,2,0),"")</f>
        <v>0</v>
      </c>
      <c r="P727" s="110" t="str">
        <f t="shared" si="61"/>
        <v/>
      </c>
      <c r="T727" s="59" t="e">
        <f t="shared" si="62"/>
        <v>#VALUE!</v>
      </c>
      <c r="U727" s="59"/>
      <c r="X727" s="60" t="str">
        <f t="shared" si="60"/>
        <v>D</v>
      </c>
    </row>
    <row r="728" spans="2:24" x14ac:dyDescent="0.25">
      <c r="B728" s="54" t="str">
        <f>IFERROR(VLOOKUP(A728,Lookup!A:B,2,0),"")</f>
        <v/>
      </c>
      <c r="C728" s="54" t="str">
        <f>IFERROR(VLOOKUP(A728,Lookup!A:C,3,0),"")</f>
        <v/>
      </c>
      <c r="J728" s="103">
        <f>VLOOKUP(A728&amp;G728,Lookup!J:N,5,0)</f>
        <v>0</v>
      </c>
      <c r="O728" s="57">
        <f>IFERROR(VLOOKUP(A728&amp;G728,Lookup!J:K,2,0),"")</f>
        <v>0</v>
      </c>
      <c r="P728" s="110" t="str">
        <f t="shared" si="61"/>
        <v/>
      </c>
      <c r="T728" s="59" t="e">
        <f t="shared" si="62"/>
        <v>#VALUE!</v>
      </c>
      <c r="U728" s="59"/>
      <c r="X728" s="60" t="str">
        <f t="shared" si="60"/>
        <v>D</v>
      </c>
    </row>
    <row r="729" spans="2:24" x14ac:dyDescent="0.25">
      <c r="B729" s="54" t="str">
        <f>IFERROR(VLOOKUP(A729,Lookup!A:B,2,0),"")</f>
        <v/>
      </c>
      <c r="C729" s="54" t="str">
        <f>IFERROR(VLOOKUP(A729,Lookup!A:C,3,0),"")</f>
        <v/>
      </c>
      <c r="J729" s="103">
        <f>VLOOKUP(A729&amp;G729,Lookup!J:N,5,0)</f>
        <v>0</v>
      </c>
      <c r="O729" s="57">
        <f>IFERROR(VLOOKUP(A729&amp;G729,Lookup!J:K,2,0),"")</f>
        <v>0</v>
      </c>
      <c r="P729" s="110" t="str">
        <f t="shared" si="61"/>
        <v/>
      </c>
      <c r="T729" s="59" t="e">
        <f t="shared" si="62"/>
        <v>#VALUE!</v>
      </c>
      <c r="U729" s="59"/>
      <c r="X729" s="60" t="str">
        <f t="shared" si="60"/>
        <v>D</v>
      </c>
    </row>
    <row r="730" spans="2:24" x14ac:dyDescent="0.25">
      <c r="B730" s="54" t="str">
        <f>IFERROR(VLOOKUP(A730,Lookup!A:B,2,0),"")</f>
        <v/>
      </c>
      <c r="C730" s="54" t="str">
        <f>IFERROR(VLOOKUP(A730,Lookup!A:C,3,0),"")</f>
        <v/>
      </c>
      <c r="J730" s="103">
        <f>VLOOKUP(A730&amp;G730,Lookup!J:N,5,0)</f>
        <v>0</v>
      </c>
      <c r="O730" s="57">
        <f>IFERROR(VLOOKUP(A730&amp;G730,Lookup!J:K,2,0),"")</f>
        <v>0</v>
      </c>
      <c r="P730" s="110" t="str">
        <f t="shared" si="61"/>
        <v/>
      </c>
      <c r="T730" s="59" t="e">
        <f t="shared" si="62"/>
        <v>#VALUE!</v>
      </c>
      <c r="U730" s="59"/>
      <c r="X730" s="60" t="str">
        <f t="shared" si="60"/>
        <v>D</v>
      </c>
    </row>
    <row r="731" spans="2:24" x14ac:dyDescent="0.25">
      <c r="B731" s="54" t="str">
        <f>IFERROR(VLOOKUP(A731,Lookup!A:B,2,0),"")</f>
        <v/>
      </c>
      <c r="C731" s="54" t="str">
        <f>IFERROR(VLOOKUP(A731,Lookup!A:C,3,0),"")</f>
        <v/>
      </c>
      <c r="J731" s="103">
        <f>VLOOKUP(A731&amp;G731,Lookup!J:N,5,0)</f>
        <v>0</v>
      </c>
      <c r="O731" s="57">
        <f>IFERROR(VLOOKUP(A731&amp;G731,Lookup!J:K,2,0),"")</f>
        <v>0</v>
      </c>
      <c r="P731" s="110" t="str">
        <f t="shared" si="61"/>
        <v/>
      </c>
      <c r="T731" s="59" t="e">
        <f t="shared" si="62"/>
        <v>#VALUE!</v>
      </c>
      <c r="U731" s="59"/>
      <c r="X731" s="60" t="str">
        <f t="shared" si="60"/>
        <v>D</v>
      </c>
    </row>
    <row r="732" spans="2:24" x14ac:dyDescent="0.25">
      <c r="B732" s="54" t="str">
        <f>IFERROR(VLOOKUP(A732,Lookup!A:B,2,0),"")</f>
        <v/>
      </c>
      <c r="C732" s="54" t="str">
        <f>IFERROR(VLOOKUP(A732,Lookup!A:C,3,0),"")</f>
        <v/>
      </c>
      <c r="J732" s="103">
        <f>VLOOKUP(A732&amp;G732,Lookup!J:N,5,0)</f>
        <v>0</v>
      </c>
      <c r="O732" s="57">
        <f>IFERROR(VLOOKUP(A732&amp;G732,Lookup!J:K,2,0),"")</f>
        <v>0</v>
      </c>
      <c r="P732" s="110" t="str">
        <f t="shared" si="61"/>
        <v/>
      </c>
      <c r="T732" s="59" t="e">
        <f t="shared" si="62"/>
        <v>#VALUE!</v>
      </c>
      <c r="U732" s="59"/>
      <c r="X732" s="60" t="str">
        <f t="shared" si="60"/>
        <v>D</v>
      </c>
    </row>
    <row r="733" spans="2:24" x14ac:dyDescent="0.25">
      <c r="B733" s="54" t="str">
        <f>IFERROR(VLOOKUP(A733,Lookup!A:B,2,0),"")</f>
        <v/>
      </c>
      <c r="C733" s="54" t="str">
        <f>IFERROR(VLOOKUP(A733,Lookup!A:C,3,0),"")</f>
        <v/>
      </c>
      <c r="J733" s="103">
        <f>VLOOKUP(A733&amp;G733,Lookup!J:N,5,0)</f>
        <v>0</v>
      </c>
      <c r="O733" s="57">
        <f>IFERROR(VLOOKUP(A733&amp;G733,Lookup!J:K,2,0),"")</f>
        <v>0</v>
      </c>
      <c r="P733" s="110" t="str">
        <f t="shared" si="61"/>
        <v/>
      </c>
      <c r="T733" s="59" t="e">
        <f t="shared" si="62"/>
        <v>#VALUE!</v>
      </c>
      <c r="U733" s="59"/>
      <c r="X733" s="60" t="str">
        <f t="shared" si="60"/>
        <v>D</v>
      </c>
    </row>
    <row r="734" spans="2:24" x14ac:dyDescent="0.25">
      <c r="B734" s="54" t="str">
        <f>IFERROR(VLOOKUP(A734,Lookup!A:B,2,0),"")</f>
        <v/>
      </c>
      <c r="C734" s="54" t="str">
        <f>IFERROR(VLOOKUP(A734,Lookup!A:C,3,0),"")</f>
        <v/>
      </c>
      <c r="J734" s="103">
        <f>VLOOKUP(A734&amp;G734,Lookup!J:N,5,0)</f>
        <v>0</v>
      </c>
      <c r="O734" s="57">
        <f>IFERROR(VLOOKUP(A734&amp;G734,Lookup!J:K,2,0),"")</f>
        <v>0</v>
      </c>
      <c r="P734" s="110" t="str">
        <f t="shared" si="61"/>
        <v/>
      </c>
      <c r="T734" s="59" t="e">
        <f t="shared" si="62"/>
        <v>#VALUE!</v>
      </c>
      <c r="U734" s="59"/>
      <c r="X734" s="60" t="str">
        <f t="shared" si="60"/>
        <v>D</v>
      </c>
    </row>
    <row r="735" spans="2:24" x14ac:dyDescent="0.25">
      <c r="B735" s="54" t="str">
        <f>IFERROR(VLOOKUP(A735,Lookup!A:B,2,0),"")</f>
        <v/>
      </c>
      <c r="C735" s="54" t="str">
        <f>IFERROR(VLOOKUP(A735,Lookup!A:C,3,0),"")</f>
        <v/>
      </c>
      <c r="J735" s="103">
        <f>VLOOKUP(A735&amp;G735,Lookup!J:N,5,0)</f>
        <v>0</v>
      </c>
      <c r="O735" s="57">
        <f>IFERROR(VLOOKUP(A735&amp;G735,Lookup!J:K,2,0),"")</f>
        <v>0</v>
      </c>
      <c r="P735" s="110" t="str">
        <f t="shared" si="61"/>
        <v/>
      </c>
      <c r="T735" s="59" t="e">
        <f t="shared" si="62"/>
        <v>#VALUE!</v>
      </c>
      <c r="U735" s="59"/>
      <c r="X735" s="60" t="str">
        <f t="shared" si="60"/>
        <v>D</v>
      </c>
    </row>
    <row r="736" spans="2:24" x14ac:dyDescent="0.25">
      <c r="B736" s="54" t="str">
        <f>IFERROR(VLOOKUP(A736,Lookup!A:B,2,0),"")</f>
        <v/>
      </c>
      <c r="C736" s="54" t="str">
        <f>IFERROR(VLOOKUP(A736,Lookup!A:C,3,0),"")</f>
        <v/>
      </c>
      <c r="J736" s="103">
        <f>VLOOKUP(A736&amp;G736,Lookup!J:N,5,0)</f>
        <v>0</v>
      </c>
      <c r="O736" s="57">
        <f>IFERROR(VLOOKUP(A736&amp;G736,Lookup!J:K,2,0),"")</f>
        <v>0</v>
      </c>
      <c r="P736" s="110" t="str">
        <f t="shared" si="61"/>
        <v/>
      </c>
      <c r="T736" s="59" t="e">
        <f t="shared" si="62"/>
        <v>#VALUE!</v>
      </c>
      <c r="U736" s="59"/>
      <c r="X736" s="60" t="str">
        <f t="shared" si="60"/>
        <v>D</v>
      </c>
    </row>
    <row r="737" spans="2:24" x14ac:dyDescent="0.25">
      <c r="B737" s="54" t="str">
        <f>IFERROR(VLOOKUP(A737,Lookup!A:B,2,0),"")</f>
        <v/>
      </c>
      <c r="C737" s="54" t="str">
        <f>IFERROR(VLOOKUP(A737,Lookup!A:C,3,0),"")</f>
        <v/>
      </c>
      <c r="J737" s="103">
        <f>VLOOKUP(A737&amp;G737,Lookup!J:N,5,0)</f>
        <v>0</v>
      </c>
      <c r="O737" s="57">
        <f>IFERROR(VLOOKUP(A737&amp;G737,Lookup!J:K,2,0),"")</f>
        <v>0</v>
      </c>
      <c r="P737" s="110" t="str">
        <f t="shared" si="61"/>
        <v/>
      </c>
      <c r="T737" s="59" t="e">
        <f t="shared" si="62"/>
        <v>#VALUE!</v>
      </c>
      <c r="U737" s="59"/>
      <c r="X737" s="60" t="str">
        <f t="shared" si="60"/>
        <v>D</v>
      </c>
    </row>
    <row r="738" spans="2:24" x14ac:dyDescent="0.25">
      <c r="B738" s="54" t="str">
        <f>IFERROR(VLOOKUP(A738,Lookup!A:B,2,0),"")</f>
        <v/>
      </c>
      <c r="C738" s="54" t="str">
        <f>IFERROR(VLOOKUP(A738,Lookup!A:C,3,0),"")</f>
        <v/>
      </c>
      <c r="J738" s="103">
        <f>VLOOKUP(A738&amp;G738,Lookup!J:N,5,0)</f>
        <v>0</v>
      </c>
      <c r="O738" s="57">
        <f>IFERROR(VLOOKUP(A738&amp;G738,Lookup!J:K,2,0),"")</f>
        <v>0</v>
      </c>
      <c r="P738" s="110" t="str">
        <f t="shared" si="61"/>
        <v/>
      </c>
      <c r="T738" s="59" t="e">
        <f t="shared" si="62"/>
        <v>#VALUE!</v>
      </c>
      <c r="U738" s="59"/>
      <c r="X738" s="60" t="str">
        <f t="shared" si="60"/>
        <v>D</v>
      </c>
    </row>
    <row r="739" spans="2:24" x14ac:dyDescent="0.25">
      <c r="B739" s="54" t="str">
        <f>IFERROR(VLOOKUP(A739,Lookup!A:B,2,0),"")</f>
        <v/>
      </c>
      <c r="C739" s="54" t="str">
        <f>IFERROR(VLOOKUP(A739,Lookup!A:C,3,0),"")</f>
        <v/>
      </c>
      <c r="J739" s="103">
        <f>VLOOKUP(A739&amp;G739,Lookup!J:N,5,0)</f>
        <v>0</v>
      </c>
      <c r="O739" s="57">
        <f>IFERROR(VLOOKUP(A739&amp;G739,Lookup!J:K,2,0),"")</f>
        <v>0</v>
      </c>
      <c r="P739" s="110" t="str">
        <f t="shared" si="61"/>
        <v/>
      </c>
      <c r="T739" s="59" t="e">
        <f t="shared" si="62"/>
        <v>#VALUE!</v>
      </c>
      <c r="U739" s="59"/>
      <c r="X739" s="60" t="str">
        <f t="shared" si="60"/>
        <v>D</v>
      </c>
    </row>
    <row r="740" spans="2:24" x14ac:dyDescent="0.25">
      <c r="B740" s="54" t="str">
        <f>IFERROR(VLOOKUP(A740,Lookup!A:B,2,0),"")</f>
        <v/>
      </c>
      <c r="C740" s="54" t="str">
        <f>IFERROR(VLOOKUP(A740,Lookup!A:C,3,0),"")</f>
        <v/>
      </c>
      <c r="J740" s="103">
        <f>VLOOKUP(A740&amp;G740,Lookup!J:N,5,0)</f>
        <v>0</v>
      </c>
      <c r="O740" s="57">
        <f>IFERROR(VLOOKUP(A740&amp;G740,Lookup!J:K,2,0),"")</f>
        <v>0</v>
      </c>
      <c r="P740" s="110" t="str">
        <f t="shared" si="61"/>
        <v/>
      </c>
      <c r="T740" s="59" t="e">
        <f t="shared" si="62"/>
        <v>#VALUE!</v>
      </c>
      <c r="U740" s="59"/>
      <c r="X740" s="60" t="str">
        <f t="shared" si="60"/>
        <v>D</v>
      </c>
    </row>
    <row r="741" spans="2:24" x14ac:dyDescent="0.25">
      <c r="B741" s="54" t="str">
        <f>IFERROR(VLOOKUP(A741,Lookup!A:B,2,0),"")</f>
        <v/>
      </c>
      <c r="C741" s="54" t="str">
        <f>IFERROR(VLOOKUP(A741,Lookup!A:C,3,0),"")</f>
        <v/>
      </c>
      <c r="J741" s="103">
        <f>VLOOKUP(A741&amp;G741,Lookup!J:N,5,0)</f>
        <v>0</v>
      </c>
      <c r="O741" s="57">
        <f>IFERROR(VLOOKUP(A741&amp;G741,Lookup!J:K,2,0),"")</f>
        <v>0</v>
      </c>
      <c r="P741" s="110" t="str">
        <f t="shared" si="61"/>
        <v/>
      </c>
      <c r="T741" s="59" t="e">
        <f t="shared" si="62"/>
        <v>#VALUE!</v>
      </c>
      <c r="U741" s="59"/>
      <c r="X741" s="60" t="str">
        <f t="shared" si="60"/>
        <v>D</v>
      </c>
    </row>
    <row r="742" spans="2:24" x14ac:dyDescent="0.25">
      <c r="B742" s="54" t="str">
        <f>IFERROR(VLOOKUP(A742,Lookup!A:B,2,0),"")</f>
        <v/>
      </c>
      <c r="C742" s="54" t="str">
        <f>IFERROR(VLOOKUP(A742,Lookup!A:C,3,0),"")</f>
        <v/>
      </c>
      <c r="J742" s="103">
        <f>VLOOKUP(A742&amp;G742,Lookup!J:N,5,0)</f>
        <v>0</v>
      </c>
      <c r="O742" s="57">
        <f>IFERROR(VLOOKUP(A742&amp;G742,Lookup!J:K,2,0),"")</f>
        <v>0</v>
      </c>
      <c r="P742" s="110" t="str">
        <f t="shared" si="61"/>
        <v/>
      </c>
      <c r="T742" s="59" t="e">
        <f t="shared" si="62"/>
        <v>#VALUE!</v>
      </c>
      <c r="U742" s="59"/>
      <c r="X742" s="60" t="str">
        <f t="shared" si="60"/>
        <v>D</v>
      </c>
    </row>
    <row r="743" spans="2:24" x14ac:dyDescent="0.25">
      <c r="B743" s="54" t="str">
        <f>IFERROR(VLOOKUP(A743,Lookup!A:B,2,0),"")</f>
        <v/>
      </c>
      <c r="C743" s="54" t="str">
        <f>IFERROR(VLOOKUP(A743,Lookup!A:C,3,0),"")</f>
        <v/>
      </c>
      <c r="J743" s="103">
        <f>VLOOKUP(A743&amp;G743,Lookup!J:N,5,0)</f>
        <v>0</v>
      </c>
      <c r="O743" s="57">
        <f>IFERROR(VLOOKUP(A743&amp;G743,Lookup!J:K,2,0),"")</f>
        <v>0</v>
      </c>
      <c r="P743" s="110" t="str">
        <f t="shared" si="61"/>
        <v/>
      </c>
      <c r="T743" s="59" t="e">
        <f t="shared" si="62"/>
        <v>#VALUE!</v>
      </c>
      <c r="U743" s="59"/>
      <c r="X743" s="60" t="str">
        <f t="shared" si="60"/>
        <v>D</v>
      </c>
    </row>
    <row r="744" spans="2:24" x14ac:dyDescent="0.25">
      <c r="B744" s="54" t="str">
        <f>IFERROR(VLOOKUP(A744,Lookup!A:B,2,0),"")</f>
        <v/>
      </c>
      <c r="C744" s="54" t="str">
        <f>IFERROR(VLOOKUP(A744,Lookup!A:C,3,0),"")</f>
        <v/>
      </c>
      <c r="J744" s="103">
        <f>VLOOKUP(A744&amp;G744,Lookup!J:N,5,0)</f>
        <v>0</v>
      </c>
      <c r="O744" s="57">
        <f>IFERROR(VLOOKUP(A744&amp;G744,Lookup!J:K,2,0),"")</f>
        <v>0</v>
      </c>
      <c r="P744" s="110" t="str">
        <f t="shared" si="61"/>
        <v/>
      </c>
      <c r="T744" s="59" t="e">
        <f t="shared" si="62"/>
        <v>#VALUE!</v>
      </c>
      <c r="U744" s="59"/>
      <c r="X744" s="60" t="str">
        <f t="shared" si="60"/>
        <v>D</v>
      </c>
    </row>
    <row r="745" spans="2:24" x14ac:dyDescent="0.25">
      <c r="B745" s="54" t="str">
        <f>IFERROR(VLOOKUP(A745,Lookup!A:B,2,0),"")</f>
        <v/>
      </c>
      <c r="C745" s="54" t="str">
        <f>IFERROR(VLOOKUP(A745,Lookup!A:C,3,0),"")</f>
        <v/>
      </c>
      <c r="J745" s="103">
        <f>VLOOKUP(A745&amp;G745,Lookup!J:N,5,0)</f>
        <v>0</v>
      </c>
      <c r="O745" s="57">
        <f>IFERROR(VLOOKUP(A745&amp;G745,Lookup!J:K,2,0),"")</f>
        <v>0</v>
      </c>
      <c r="P745" s="110" t="str">
        <f t="shared" si="61"/>
        <v/>
      </c>
      <c r="T745" s="59" t="e">
        <f t="shared" si="62"/>
        <v>#VALUE!</v>
      </c>
      <c r="U745" s="59"/>
      <c r="X745" s="60" t="str">
        <f t="shared" si="60"/>
        <v>D</v>
      </c>
    </row>
    <row r="746" spans="2:24" x14ac:dyDescent="0.25">
      <c r="B746" s="54" t="str">
        <f>IFERROR(VLOOKUP(A746,Lookup!A:B,2,0),"")</f>
        <v/>
      </c>
      <c r="C746" s="54" t="str">
        <f>IFERROR(VLOOKUP(A746,Lookup!A:C,3,0),"")</f>
        <v/>
      </c>
      <c r="J746" s="103">
        <f>VLOOKUP(A746&amp;G746,Lookup!J:N,5,0)</f>
        <v>0</v>
      </c>
      <c r="O746" s="57">
        <f>IFERROR(VLOOKUP(A746&amp;G746,Lookup!J:K,2,0),"")</f>
        <v>0</v>
      </c>
      <c r="P746" s="110" t="str">
        <f t="shared" si="61"/>
        <v/>
      </c>
      <c r="T746" s="59" t="e">
        <f t="shared" si="62"/>
        <v>#VALUE!</v>
      </c>
      <c r="U746" s="59"/>
      <c r="X746" s="60" t="str">
        <f t="shared" si="60"/>
        <v>D</v>
      </c>
    </row>
    <row r="747" spans="2:24" x14ac:dyDescent="0.25">
      <c r="B747" s="54" t="str">
        <f>IFERROR(VLOOKUP(A747,Lookup!A:B,2,0),"")</f>
        <v/>
      </c>
      <c r="C747" s="54" t="str">
        <f>IFERROR(VLOOKUP(A747,Lookup!A:C,3,0),"")</f>
        <v/>
      </c>
      <c r="J747" s="103">
        <f>VLOOKUP(A747&amp;G747,Lookup!J:N,5,0)</f>
        <v>0</v>
      </c>
      <c r="O747" s="57">
        <f>IFERROR(VLOOKUP(A747&amp;G747,Lookup!J:K,2,0),"")</f>
        <v>0</v>
      </c>
      <c r="P747" s="110" t="str">
        <f t="shared" si="61"/>
        <v/>
      </c>
      <c r="T747" s="59" t="e">
        <f t="shared" si="62"/>
        <v>#VALUE!</v>
      </c>
      <c r="U747" s="59"/>
      <c r="X747" s="60" t="str">
        <f t="shared" si="60"/>
        <v>D</v>
      </c>
    </row>
    <row r="748" spans="2:24" x14ac:dyDescent="0.25">
      <c r="B748" s="54" t="str">
        <f>IFERROR(VLOOKUP(A748,Lookup!A:B,2,0),"")</f>
        <v/>
      </c>
      <c r="C748" s="54" t="str">
        <f>IFERROR(VLOOKUP(A748,Lookup!A:C,3,0),"")</f>
        <v/>
      </c>
      <c r="J748" s="103">
        <f>VLOOKUP(A748&amp;G748,Lookup!J:N,5,0)</f>
        <v>0</v>
      </c>
      <c r="O748" s="57">
        <f>IFERROR(VLOOKUP(A748&amp;G748,Lookup!J:K,2,0),"")</f>
        <v>0</v>
      </c>
      <c r="P748" s="110" t="str">
        <f t="shared" si="61"/>
        <v/>
      </c>
      <c r="T748" s="59" t="e">
        <f t="shared" si="62"/>
        <v>#VALUE!</v>
      </c>
      <c r="U748" s="59"/>
      <c r="X748" s="60" t="str">
        <f t="shared" si="60"/>
        <v>D</v>
      </c>
    </row>
    <row r="749" spans="2:24" x14ac:dyDescent="0.25">
      <c r="B749" s="54" t="str">
        <f>IFERROR(VLOOKUP(A749,Lookup!A:B,2,0),"")</f>
        <v/>
      </c>
      <c r="C749" s="54" t="str">
        <f>IFERROR(VLOOKUP(A749,Lookup!A:C,3,0),"")</f>
        <v/>
      </c>
      <c r="J749" s="103">
        <f>VLOOKUP(A749&amp;G749,Lookup!J:N,5,0)</f>
        <v>0</v>
      </c>
      <c r="O749" s="57">
        <f>IFERROR(VLOOKUP(A749&amp;G749,Lookup!J:K,2,0),"")</f>
        <v>0</v>
      </c>
      <c r="P749" s="110" t="str">
        <f t="shared" si="61"/>
        <v/>
      </c>
      <c r="T749" s="59" t="e">
        <f t="shared" si="62"/>
        <v>#VALUE!</v>
      </c>
      <c r="U749" s="59"/>
      <c r="X749" s="60" t="str">
        <f t="shared" si="60"/>
        <v>D</v>
      </c>
    </row>
    <row r="750" spans="2:24" x14ac:dyDescent="0.25">
      <c r="B750" s="54" t="str">
        <f>IFERROR(VLOOKUP(A750,Lookup!A:B,2,0),"")</f>
        <v/>
      </c>
      <c r="C750" s="54" t="str">
        <f>IFERROR(VLOOKUP(A750,Lookup!A:C,3,0),"")</f>
        <v/>
      </c>
      <c r="J750" s="103">
        <f>VLOOKUP(A750&amp;G750,Lookup!J:N,5,0)</f>
        <v>0</v>
      </c>
      <c r="O750" s="57">
        <f>IFERROR(VLOOKUP(A750&amp;G750,Lookup!J:K,2,0),"")</f>
        <v>0</v>
      </c>
      <c r="P750" s="110" t="str">
        <f t="shared" si="61"/>
        <v/>
      </c>
      <c r="T750" s="59" t="e">
        <f t="shared" si="62"/>
        <v>#VALUE!</v>
      </c>
      <c r="U750" s="59"/>
      <c r="X750" s="60" t="str">
        <f t="shared" ref="X750:X813" si="63">IF(I750="SET","A",IF(I750="FREQ","C",IF(I750="","D","B")))</f>
        <v>D</v>
      </c>
    </row>
    <row r="751" spans="2:24" x14ac:dyDescent="0.25">
      <c r="B751" s="54" t="str">
        <f>IFERROR(VLOOKUP(A751,Lookup!A:B,2,0),"")</f>
        <v/>
      </c>
      <c r="C751" s="54" t="str">
        <f>IFERROR(VLOOKUP(A751,Lookup!A:C,3,0),"")</f>
        <v/>
      </c>
      <c r="J751" s="103">
        <f>VLOOKUP(A751&amp;G751,Lookup!J:N,5,0)</f>
        <v>0</v>
      </c>
      <c r="O751" s="57">
        <f>IFERROR(VLOOKUP(A751&amp;G751,Lookup!J:K,2,0),"")</f>
        <v>0</v>
      </c>
      <c r="P751" s="110" t="str">
        <f t="shared" si="61"/>
        <v/>
      </c>
      <c r="T751" s="59" t="e">
        <f t="shared" si="62"/>
        <v>#VALUE!</v>
      </c>
      <c r="U751" s="59"/>
      <c r="X751" s="60" t="str">
        <f t="shared" si="63"/>
        <v>D</v>
      </c>
    </row>
    <row r="752" spans="2:24" x14ac:dyDescent="0.25">
      <c r="B752" s="54" t="str">
        <f>IFERROR(VLOOKUP(A752,Lookup!A:B,2,0),"")</f>
        <v/>
      </c>
      <c r="C752" s="54" t="str">
        <f>IFERROR(VLOOKUP(A752,Lookup!A:C,3,0),"")</f>
        <v/>
      </c>
      <c r="J752" s="103">
        <f>VLOOKUP(A752&amp;G752,Lookup!J:N,5,0)</f>
        <v>0</v>
      </c>
      <c r="O752" s="57">
        <f>IFERROR(VLOOKUP(A752&amp;G752,Lookup!J:K,2,0),"")</f>
        <v>0</v>
      </c>
      <c r="P752" s="110" t="str">
        <f t="shared" si="61"/>
        <v/>
      </c>
      <c r="T752" s="59" t="e">
        <f t="shared" si="62"/>
        <v>#VALUE!</v>
      </c>
      <c r="U752" s="59"/>
      <c r="X752" s="60" t="str">
        <f t="shared" si="63"/>
        <v>D</v>
      </c>
    </row>
    <row r="753" spans="2:24" x14ac:dyDescent="0.25">
      <c r="B753" s="54" t="str">
        <f>IFERROR(VLOOKUP(A753,Lookup!A:B,2,0),"")</f>
        <v/>
      </c>
      <c r="C753" s="54" t="str">
        <f>IFERROR(VLOOKUP(A753,Lookup!A:C,3,0),"")</f>
        <v/>
      </c>
      <c r="J753" s="103">
        <f>VLOOKUP(A753&amp;G753,Lookup!J:N,5,0)</f>
        <v>0</v>
      </c>
      <c r="O753" s="57">
        <f>IFERROR(VLOOKUP(A753&amp;G753,Lookup!J:K,2,0),"")</f>
        <v>0</v>
      </c>
      <c r="P753" s="110" t="str">
        <f t="shared" si="61"/>
        <v/>
      </c>
      <c r="T753" s="59" t="e">
        <f t="shared" si="62"/>
        <v>#VALUE!</v>
      </c>
      <c r="U753" s="59"/>
      <c r="X753" s="60" t="str">
        <f t="shared" si="63"/>
        <v>D</v>
      </c>
    </row>
    <row r="754" spans="2:24" x14ac:dyDescent="0.25">
      <c r="B754" s="54" t="str">
        <f>IFERROR(VLOOKUP(A754,Lookup!A:B,2,0),"")</f>
        <v/>
      </c>
      <c r="C754" s="54" t="str">
        <f>IFERROR(VLOOKUP(A754,Lookup!A:C,3,0),"")</f>
        <v/>
      </c>
      <c r="J754" s="103">
        <f>VLOOKUP(A754&amp;G754,Lookup!J:N,5,0)</f>
        <v>0</v>
      </c>
      <c r="O754" s="57">
        <f>IFERROR(VLOOKUP(A754&amp;G754,Lookup!J:K,2,0),"")</f>
        <v>0</v>
      </c>
      <c r="P754" s="110" t="str">
        <f t="shared" si="61"/>
        <v/>
      </c>
      <c r="T754" s="59" t="e">
        <f t="shared" si="62"/>
        <v>#VALUE!</v>
      </c>
      <c r="U754" s="59"/>
      <c r="X754" s="60" t="str">
        <f t="shared" si="63"/>
        <v>D</v>
      </c>
    </row>
    <row r="755" spans="2:24" x14ac:dyDescent="0.25">
      <c r="B755" s="54" t="str">
        <f>IFERROR(VLOOKUP(A755,Lookup!A:B,2,0),"")</f>
        <v/>
      </c>
      <c r="C755" s="54" t="str">
        <f>IFERROR(VLOOKUP(A755,Lookup!A:C,3,0),"")</f>
        <v/>
      </c>
      <c r="J755" s="103">
        <f>VLOOKUP(A755&amp;G755,Lookup!J:N,5,0)</f>
        <v>0</v>
      </c>
      <c r="O755" s="57">
        <f>IFERROR(VLOOKUP(A755&amp;G755,Lookup!J:K,2,0),"")</f>
        <v>0</v>
      </c>
      <c r="P755" s="110" t="str">
        <f t="shared" si="61"/>
        <v/>
      </c>
      <c r="T755" s="59" t="e">
        <f t="shared" si="62"/>
        <v>#VALUE!</v>
      </c>
      <c r="U755" s="59"/>
      <c r="X755" s="60" t="str">
        <f t="shared" si="63"/>
        <v>D</v>
      </c>
    </row>
    <row r="756" spans="2:24" x14ac:dyDescent="0.25">
      <c r="B756" s="54" t="str">
        <f>IFERROR(VLOOKUP(A756,Lookup!A:B,2,0),"")</f>
        <v/>
      </c>
      <c r="C756" s="54" t="str">
        <f>IFERROR(VLOOKUP(A756,Lookup!A:C,3,0),"")</f>
        <v/>
      </c>
      <c r="J756" s="103">
        <f>VLOOKUP(A756&amp;G756,Lookup!J:N,5,0)</f>
        <v>0</v>
      </c>
      <c r="O756" s="57">
        <f>IFERROR(VLOOKUP(A756&amp;G756,Lookup!J:K,2,0),"")</f>
        <v>0</v>
      </c>
      <c r="P756" s="110" t="str">
        <f t="shared" si="61"/>
        <v/>
      </c>
      <c r="T756" s="59" t="e">
        <f t="shared" si="62"/>
        <v>#VALUE!</v>
      </c>
      <c r="U756" s="59"/>
      <c r="X756" s="60" t="str">
        <f t="shared" si="63"/>
        <v>D</v>
      </c>
    </row>
    <row r="757" spans="2:24" x14ac:dyDescent="0.25">
      <c r="B757" s="54" t="str">
        <f>IFERROR(VLOOKUP(A757,Lookup!A:B,2,0),"")</f>
        <v/>
      </c>
      <c r="C757" s="54" t="str">
        <f>IFERROR(VLOOKUP(A757,Lookup!A:C,3,0),"")</f>
        <v/>
      </c>
      <c r="J757" s="103">
        <f>VLOOKUP(A757&amp;G757,Lookup!J:N,5,0)</f>
        <v>0</v>
      </c>
      <c r="O757" s="57">
        <f>IFERROR(VLOOKUP(A757&amp;G757,Lookup!J:K,2,0),"")</f>
        <v>0</v>
      </c>
      <c r="P757" s="110" t="str">
        <f t="shared" si="61"/>
        <v/>
      </c>
      <c r="T757" s="59" t="e">
        <f t="shared" si="62"/>
        <v>#VALUE!</v>
      </c>
      <c r="U757" s="59"/>
      <c r="X757" s="60" t="str">
        <f t="shared" si="63"/>
        <v>D</v>
      </c>
    </row>
    <row r="758" spans="2:24" x14ac:dyDescent="0.25">
      <c r="B758" s="54" t="str">
        <f>IFERROR(VLOOKUP(A758,Lookup!A:B,2,0),"")</f>
        <v/>
      </c>
      <c r="C758" s="54" t="str">
        <f>IFERROR(VLOOKUP(A758,Lookup!A:C,3,0),"")</f>
        <v/>
      </c>
      <c r="J758" s="103">
        <f>VLOOKUP(A758&amp;G758,Lookup!J:N,5,0)</f>
        <v>0</v>
      </c>
      <c r="O758" s="57">
        <f>IFERROR(VLOOKUP(A758&amp;G758,Lookup!J:K,2,0),"")</f>
        <v>0</v>
      </c>
      <c r="P758" s="110" t="str">
        <f t="shared" si="61"/>
        <v/>
      </c>
      <c r="T758" s="59" t="e">
        <f t="shared" si="62"/>
        <v>#VALUE!</v>
      </c>
      <c r="U758" s="59"/>
      <c r="X758" s="60" t="str">
        <f t="shared" si="63"/>
        <v>D</v>
      </c>
    </row>
    <row r="759" spans="2:24" x14ac:dyDescent="0.25">
      <c r="B759" s="54" t="str">
        <f>IFERROR(VLOOKUP(A759,Lookup!A:B,2,0),"")</f>
        <v/>
      </c>
      <c r="C759" s="54" t="str">
        <f>IFERROR(VLOOKUP(A759,Lookup!A:C,3,0),"")</f>
        <v/>
      </c>
      <c r="J759" s="103">
        <f>VLOOKUP(A759&amp;G759,Lookup!J:N,5,0)</f>
        <v>0</v>
      </c>
      <c r="O759" s="57">
        <f>IFERROR(VLOOKUP(A759&amp;G759,Lookup!J:K,2,0),"")</f>
        <v>0</v>
      </c>
      <c r="P759" s="110" t="str">
        <f t="shared" si="61"/>
        <v/>
      </c>
      <c r="T759" s="59" t="e">
        <f t="shared" si="62"/>
        <v>#VALUE!</v>
      </c>
      <c r="U759" s="59"/>
      <c r="X759" s="60" t="str">
        <f t="shared" si="63"/>
        <v>D</v>
      </c>
    </row>
    <row r="760" spans="2:24" x14ac:dyDescent="0.25">
      <c r="B760" s="54" t="str">
        <f>IFERROR(VLOOKUP(A760,Lookup!A:B,2,0),"")</f>
        <v/>
      </c>
      <c r="C760" s="54" t="str">
        <f>IFERROR(VLOOKUP(A760,Lookup!A:C,3,0),"")</f>
        <v/>
      </c>
      <c r="J760" s="103">
        <f>VLOOKUP(A760&amp;G760,Lookup!J:N,5,0)</f>
        <v>0</v>
      </c>
      <c r="O760" s="57">
        <f>IFERROR(VLOOKUP(A760&amp;G760,Lookup!J:K,2,0),"")</f>
        <v>0</v>
      </c>
      <c r="P760" s="110" t="str">
        <f t="shared" si="61"/>
        <v/>
      </c>
      <c r="T760" s="59" t="e">
        <f t="shared" si="62"/>
        <v>#VALUE!</v>
      </c>
      <c r="U760" s="59"/>
      <c r="X760" s="60" t="str">
        <f t="shared" si="63"/>
        <v>D</v>
      </c>
    </row>
    <row r="761" spans="2:24" x14ac:dyDescent="0.25">
      <c r="B761" s="54" t="str">
        <f>IFERROR(VLOOKUP(A761,Lookup!A:B,2,0),"")</f>
        <v/>
      </c>
      <c r="C761" s="54" t="str">
        <f>IFERROR(VLOOKUP(A761,Lookup!A:C,3,0),"")</f>
        <v/>
      </c>
      <c r="J761" s="103">
        <f>VLOOKUP(A761&amp;G761,Lookup!J:N,5,0)</f>
        <v>0</v>
      </c>
      <c r="O761" s="57">
        <f>IFERROR(VLOOKUP(A761&amp;G761,Lookup!J:K,2,0),"")</f>
        <v>0</v>
      </c>
      <c r="P761" s="110" t="str">
        <f t="shared" si="61"/>
        <v/>
      </c>
      <c r="T761" s="59" t="e">
        <f t="shared" si="62"/>
        <v>#VALUE!</v>
      </c>
      <c r="U761" s="59"/>
      <c r="X761" s="60" t="str">
        <f t="shared" si="63"/>
        <v>D</v>
      </c>
    </row>
    <row r="762" spans="2:24" x14ac:dyDescent="0.25">
      <c r="B762" s="54" t="str">
        <f>IFERROR(VLOOKUP(A762,Lookup!A:B,2,0),"")</f>
        <v/>
      </c>
      <c r="C762" s="54" t="str">
        <f>IFERROR(VLOOKUP(A762,Lookup!A:C,3,0),"")</f>
        <v/>
      </c>
      <c r="J762" s="103">
        <f>VLOOKUP(A762&amp;G762,Lookup!J:N,5,0)</f>
        <v>0</v>
      </c>
      <c r="O762" s="57">
        <f>IFERROR(VLOOKUP(A762&amp;G762,Lookup!J:K,2,0),"")</f>
        <v>0</v>
      </c>
      <c r="P762" s="110" t="str">
        <f t="shared" si="61"/>
        <v/>
      </c>
      <c r="T762" s="59" t="e">
        <f t="shared" si="62"/>
        <v>#VALUE!</v>
      </c>
      <c r="U762" s="59"/>
      <c r="X762" s="60" t="str">
        <f t="shared" si="63"/>
        <v>D</v>
      </c>
    </row>
    <row r="763" spans="2:24" x14ac:dyDescent="0.25">
      <c r="B763" s="54" t="str">
        <f>IFERROR(VLOOKUP(A763,Lookup!A:B,2,0),"")</f>
        <v/>
      </c>
      <c r="C763" s="54" t="str">
        <f>IFERROR(VLOOKUP(A763,Lookup!A:C,3,0),"")</f>
        <v/>
      </c>
      <c r="J763" s="103">
        <f>VLOOKUP(A763&amp;G763,Lookup!J:N,5,0)</f>
        <v>0</v>
      </c>
      <c r="O763" s="57">
        <f>IFERROR(VLOOKUP(A763&amp;G763,Lookup!J:K,2,0),"")</f>
        <v>0</v>
      </c>
      <c r="P763" s="110" t="str">
        <f t="shared" si="61"/>
        <v/>
      </c>
      <c r="T763" s="59" t="e">
        <f t="shared" si="62"/>
        <v>#VALUE!</v>
      </c>
      <c r="U763" s="59"/>
      <c r="X763" s="60" t="str">
        <f t="shared" si="63"/>
        <v>D</v>
      </c>
    </row>
    <row r="764" spans="2:24" x14ac:dyDescent="0.25">
      <c r="B764" s="54" t="str">
        <f>IFERROR(VLOOKUP(A764,Lookup!A:B,2,0),"")</f>
        <v/>
      </c>
      <c r="C764" s="54" t="str">
        <f>IFERROR(VLOOKUP(A764,Lookup!A:C,3,0),"")</f>
        <v/>
      </c>
      <c r="J764" s="103">
        <f>VLOOKUP(A764&amp;G764,Lookup!J:N,5,0)</f>
        <v>0</v>
      </c>
      <c r="O764" s="57">
        <f>IFERROR(VLOOKUP(A764&amp;G764,Lookup!J:K,2,0),"")</f>
        <v>0</v>
      </c>
      <c r="P764" s="110" t="str">
        <f t="shared" si="61"/>
        <v/>
      </c>
      <c r="T764" s="59" t="e">
        <f t="shared" si="62"/>
        <v>#VALUE!</v>
      </c>
      <c r="U764" s="59"/>
      <c r="X764" s="60" t="str">
        <f t="shared" si="63"/>
        <v>D</v>
      </c>
    </row>
    <row r="765" spans="2:24" x14ac:dyDescent="0.25">
      <c r="B765" s="54" t="str">
        <f>IFERROR(VLOOKUP(A765,Lookup!A:B,2,0),"")</f>
        <v/>
      </c>
      <c r="C765" s="54" t="str">
        <f>IFERROR(VLOOKUP(A765,Lookup!A:C,3,0),"")</f>
        <v/>
      </c>
      <c r="J765" s="103">
        <f>VLOOKUP(A765&amp;G765,Lookup!J:N,5,0)</f>
        <v>0</v>
      </c>
      <c r="O765" s="57">
        <f>IFERROR(VLOOKUP(A765&amp;G765,Lookup!J:K,2,0),"")</f>
        <v>0</v>
      </c>
      <c r="P765" s="110" t="str">
        <f t="shared" si="61"/>
        <v/>
      </c>
      <c r="T765" s="59" t="e">
        <f t="shared" si="62"/>
        <v>#VALUE!</v>
      </c>
      <c r="U765" s="59"/>
      <c r="X765" s="60" t="str">
        <f t="shared" si="63"/>
        <v>D</v>
      </c>
    </row>
    <row r="766" spans="2:24" x14ac:dyDescent="0.25">
      <c r="B766" s="54" t="str">
        <f>IFERROR(VLOOKUP(A766,Lookup!A:B,2,0),"")</f>
        <v/>
      </c>
      <c r="C766" s="54" t="str">
        <f>IFERROR(VLOOKUP(A766,Lookup!A:C,3,0),"")</f>
        <v/>
      </c>
      <c r="J766" s="103">
        <f>VLOOKUP(A766&amp;G766,Lookup!J:N,5,0)</f>
        <v>0</v>
      </c>
      <c r="O766" s="57">
        <f>IFERROR(VLOOKUP(A766&amp;G766,Lookup!J:K,2,0),"")</f>
        <v>0</v>
      </c>
      <c r="P766" s="110" t="str">
        <f t="shared" si="61"/>
        <v/>
      </c>
      <c r="T766" s="59" t="e">
        <f t="shared" si="62"/>
        <v>#VALUE!</v>
      </c>
      <c r="U766" s="59"/>
      <c r="X766" s="60" t="str">
        <f t="shared" si="63"/>
        <v>D</v>
      </c>
    </row>
    <row r="767" spans="2:24" x14ac:dyDescent="0.25">
      <c r="B767" s="54" t="str">
        <f>IFERROR(VLOOKUP(A767,Lookup!A:B,2,0),"")</f>
        <v/>
      </c>
      <c r="C767" s="54" t="str">
        <f>IFERROR(VLOOKUP(A767,Lookup!A:C,3,0),"")</f>
        <v/>
      </c>
      <c r="J767" s="103">
        <f>VLOOKUP(A767&amp;G767,Lookup!J:N,5,0)</f>
        <v>0</v>
      </c>
      <c r="O767" s="57">
        <f>IFERROR(VLOOKUP(A767&amp;G767,Lookup!J:K,2,0),"")</f>
        <v>0</v>
      </c>
      <c r="P767" s="110" t="str">
        <f t="shared" si="61"/>
        <v/>
      </c>
      <c r="T767" s="59" t="e">
        <f t="shared" si="62"/>
        <v>#VALUE!</v>
      </c>
      <c r="U767" s="59"/>
      <c r="X767" s="60" t="str">
        <f t="shared" si="63"/>
        <v>D</v>
      </c>
    </row>
    <row r="768" spans="2:24" x14ac:dyDescent="0.25">
      <c r="B768" s="54" t="str">
        <f>IFERROR(VLOOKUP(A768,Lookup!A:B,2,0),"")</f>
        <v/>
      </c>
      <c r="C768" s="54" t="str">
        <f>IFERROR(VLOOKUP(A768,Lookup!A:C,3,0),"")</f>
        <v/>
      </c>
      <c r="J768" s="103">
        <f>VLOOKUP(A768&amp;G768,Lookup!J:N,5,0)</f>
        <v>0</v>
      </c>
      <c r="O768" s="57">
        <f>IFERROR(VLOOKUP(A768&amp;G768,Lookup!J:K,2,0),"")</f>
        <v>0</v>
      </c>
      <c r="P768" s="110" t="str">
        <f t="shared" si="61"/>
        <v/>
      </c>
      <c r="T768" s="59" t="e">
        <f t="shared" si="62"/>
        <v>#VALUE!</v>
      </c>
      <c r="U768" s="59"/>
      <c r="X768" s="60" t="str">
        <f t="shared" si="63"/>
        <v>D</v>
      </c>
    </row>
    <row r="769" spans="2:24" x14ac:dyDescent="0.25">
      <c r="B769" s="54" t="str">
        <f>IFERROR(VLOOKUP(A769,Lookup!A:B,2,0),"")</f>
        <v/>
      </c>
      <c r="C769" s="54" t="str">
        <f>IFERROR(VLOOKUP(A769,Lookup!A:C,3,0),"")</f>
        <v/>
      </c>
      <c r="J769" s="103">
        <f>VLOOKUP(A769&amp;G769,Lookup!J:N,5,0)</f>
        <v>0</v>
      </c>
      <c r="O769" s="57">
        <f>IFERROR(VLOOKUP(A769&amp;G769,Lookup!J:K,2,0),"")</f>
        <v>0</v>
      </c>
      <c r="P769" s="110" t="str">
        <f t="shared" si="61"/>
        <v/>
      </c>
      <c r="T769" s="59" t="e">
        <f t="shared" si="62"/>
        <v>#VALUE!</v>
      </c>
      <c r="U769" s="59"/>
      <c r="X769" s="60" t="str">
        <f t="shared" si="63"/>
        <v>D</v>
      </c>
    </row>
    <row r="770" spans="2:24" x14ac:dyDescent="0.25">
      <c r="B770" s="54" t="str">
        <f>IFERROR(VLOOKUP(A770,Lookup!A:B,2,0),"")</f>
        <v/>
      </c>
      <c r="C770" s="54" t="str">
        <f>IFERROR(VLOOKUP(A770,Lookup!A:C,3,0),"")</f>
        <v/>
      </c>
      <c r="J770" s="103">
        <f>VLOOKUP(A770&amp;G770,Lookup!J:N,5,0)</f>
        <v>0</v>
      </c>
      <c r="O770" s="57">
        <f>IFERROR(VLOOKUP(A770&amp;G770,Lookup!J:K,2,0),"")</f>
        <v>0</v>
      </c>
      <c r="P770" s="110" t="str">
        <f t="shared" si="61"/>
        <v/>
      </c>
      <c r="T770" s="59" t="e">
        <f t="shared" si="62"/>
        <v>#VALUE!</v>
      </c>
      <c r="U770" s="59"/>
      <c r="X770" s="60" t="str">
        <f t="shared" si="63"/>
        <v>D</v>
      </c>
    </row>
    <row r="771" spans="2:24" x14ac:dyDescent="0.25">
      <c r="B771" s="54" t="str">
        <f>IFERROR(VLOOKUP(A771,Lookup!A:B,2,0),"")</f>
        <v/>
      </c>
      <c r="C771" s="54" t="str">
        <f>IFERROR(VLOOKUP(A771,Lookup!A:C,3,0),"")</f>
        <v/>
      </c>
      <c r="J771" s="103">
        <f>VLOOKUP(A771&amp;G771,Lookup!J:N,5,0)</f>
        <v>0</v>
      </c>
      <c r="O771" s="57">
        <f>IFERROR(VLOOKUP(A771&amp;G771,Lookup!J:K,2,0),"")</f>
        <v>0</v>
      </c>
      <c r="P771" s="110" t="str">
        <f t="shared" si="61"/>
        <v/>
      </c>
      <c r="T771" s="59" t="e">
        <f t="shared" si="62"/>
        <v>#VALUE!</v>
      </c>
      <c r="U771" s="59"/>
      <c r="X771" s="60" t="str">
        <f t="shared" si="63"/>
        <v>D</v>
      </c>
    </row>
    <row r="772" spans="2:24" x14ac:dyDescent="0.25">
      <c r="B772" s="54" t="str">
        <f>IFERROR(VLOOKUP(A772,Lookup!A:B,2,0),"")</f>
        <v/>
      </c>
      <c r="C772" s="54" t="str">
        <f>IFERROR(VLOOKUP(A772,Lookup!A:C,3,0),"")</f>
        <v/>
      </c>
      <c r="J772" s="103">
        <f>VLOOKUP(A772&amp;G772,Lookup!J:N,5,0)</f>
        <v>0</v>
      </c>
      <c r="O772" s="57">
        <f>IFERROR(VLOOKUP(A772&amp;G772,Lookup!J:K,2,0),"")</f>
        <v>0</v>
      </c>
      <c r="P772" s="110" t="str">
        <f t="shared" ref="P772:P835" si="64">IF(N772="","",N772+O772)</f>
        <v/>
      </c>
      <c r="T772" s="59" t="e">
        <f t="shared" si="62"/>
        <v>#VALUE!</v>
      </c>
      <c r="U772" s="59"/>
      <c r="X772" s="60" t="str">
        <f t="shared" si="63"/>
        <v>D</v>
      </c>
    </row>
    <row r="773" spans="2:24" x14ac:dyDescent="0.25">
      <c r="B773" s="54" t="str">
        <f>IFERROR(VLOOKUP(A773,Lookup!A:B,2,0),"")</f>
        <v/>
      </c>
      <c r="C773" s="54" t="str">
        <f>IFERROR(VLOOKUP(A773,Lookup!A:C,3,0),"")</f>
        <v/>
      </c>
      <c r="J773" s="103">
        <f>VLOOKUP(A773&amp;G773,Lookup!J:N,5,0)</f>
        <v>0</v>
      </c>
      <c r="O773" s="57">
        <f>IFERROR(VLOOKUP(A773&amp;G773,Lookup!J:K,2,0),"")</f>
        <v>0</v>
      </c>
      <c r="P773" s="110" t="str">
        <f t="shared" si="64"/>
        <v/>
      </c>
      <c r="T773" s="59" t="e">
        <f t="shared" si="62"/>
        <v>#VALUE!</v>
      </c>
      <c r="U773" s="59"/>
      <c r="X773" s="60" t="str">
        <f t="shared" si="63"/>
        <v>D</v>
      </c>
    </row>
    <row r="774" spans="2:24" x14ac:dyDescent="0.25">
      <c r="B774" s="54" t="str">
        <f>IFERROR(VLOOKUP(A774,Lookup!A:B,2,0),"")</f>
        <v/>
      </c>
      <c r="C774" s="54" t="str">
        <f>IFERROR(VLOOKUP(A774,Lookup!A:C,3,0),"")</f>
        <v/>
      </c>
      <c r="J774" s="103">
        <f>VLOOKUP(A774&amp;G774,Lookup!J:N,5,0)</f>
        <v>0</v>
      </c>
      <c r="O774" s="57">
        <f>IFERROR(VLOOKUP(A774&amp;G774,Lookup!J:K,2,0),"")</f>
        <v>0</v>
      </c>
      <c r="P774" s="110" t="str">
        <f t="shared" si="64"/>
        <v/>
      </c>
      <c r="T774" s="59" t="e">
        <f t="shared" si="62"/>
        <v>#VALUE!</v>
      </c>
      <c r="U774" s="59"/>
      <c r="X774" s="60" t="str">
        <f t="shared" si="63"/>
        <v>D</v>
      </c>
    </row>
    <row r="775" spans="2:24" x14ac:dyDescent="0.25">
      <c r="B775" s="54" t="str">
        <f>IFERROR(VLOOKUP(A775,Lookup!A:B,2,0),"")</f>
        <v/>
      </c>
      <c r="C775" s="54" t="str">
        <f>IFERROR(VLOOKUP(A775,Lookup!A:C,3,0),"")</f>
        <v/>
      </c>
      <c r="J775" s="103">
        <f>VLOOKUP(A775&amp;G775,Lookup!J:N,5,0)</f>
        <v>0</v>
      </c>
      <c r="O775" s="57">
        <f>IFERROR(VLOOKUP(A775&amp;G775,Lookup!J:K,2,0),"")</f>
        <v>0</v>
      </c>
      <c r="P775" s="110" t="str">
        <f t="shared" si="64"/>
        <v/>
      </c>
      <c r="T775" s="59" t="e">
        <f t="shared" si="62"/>
        <v>#VALUE!</v>
      </c>
      <c r="U775" s="59"/>
      <c r="X775" s="60" t="str">
        <f t="shared" si="63"/>
        <v>D</v>
      </c>
    </row>
    <row r="776" spans="2:24" x14ac:dyDescent="0.25">
      <c r="B776" s="54" t="str">
        <f>IFERROR(VLOOKUP(A776,Lookup!A:B,2,0),"")</f>
        <v/>
      </c>
      <c r="C776" s="54" t="str">
        <f>IFERROR(VLOOKUP(A776,Lookup!A:C,3,0),"")</f>
        <v/>
      </c>
      <c r="J776" s="103">
        <f>VLOOKUP(A776&amp;G776,Lookup!J:N,5,0)</f>
        <v>0</v>
      </c>
      <c r="O776" s="57">
        <f>IFERROR(VLOOKUP(A776&amp;G776,Lookup!J:K,2,0),"")</f>
        <v>0</v>
      </c>
      <c r="P776" s="110" t="str">
        <f t="shared" si="64"/>
        <v/>
      </c>
      <c r="T776" s="59" t="e">
        <f t="shared" si="62"/>
        <v>#VALUE!</v>
      </c>
      <c r="U776" s="59"/>
      <c r="X776" s="60" t="str">
        <f t="shared" si="63"/>
        <v>D</v>
      </c>
    </row>
    <row r="777" spans="2:24" x14ac:dyDescent="0.25">
      <c r="B777" s="54" t="str">
        <f>IFERROR(VLOOKUP(A777,Lookup!A:B,2,0),"")</f>
        <v/>
      </c>
      <c r="C777" s="54" t="str">
        <f>IFERROR(VLOOKUP(A777,Lookup!A:C,3,0),"")</f>
        <v/>
      </c>
      <c r="J777" s="103">
        <f>VLOOKUP(A777&amp;G777,Lookup!J:N,5,0)</f>
        <v>0</v>
      </c>
      <c r="O777" s="57">
        <f>IFERROR(VLOOKUP(A777&amp;G777,Lookup!J:K,2,0),"")</f>
        <v>0</v>
      </c>
      <c r="P777" s="110" t="str">
        <f t="shared" si="64"/>
        <v/>
      </c>
      <c r="T777" s="59" t="e">
        <f t="shared" si="62"/>
        <v>#VALUE!</v>
      </c>
      <c r="U777" s="59"/>
      <c r="X777" s="60" t="str">
        <f t="shared" si="63"/>
        <v>D</v>
      </c>
    </row>
    <row r="778" spans="2:24" x14ac:dyDescent="0.25">
      <c r="B778" s="54" t="str">
        <f>IFERROR(VLOOKUP(A778,Lookup!A:B,2,0),"")</f>
        <v/>
      </c>
      <c r="C778" s="54" t="str">
        <f>IFERROR(VLOOKUP(A778,Lookup!A:C,3,0),"")</f>
        <v/>
      </c>
      <c r="J778" s="103">
        <f>VLOOKUP(A778&amp;G778,Lookup!J:N,5,0)</f>
        <v>0</v>
      </c>
      <c r="O778" s="57">
        <f>IFERROR(VLOOKUP(A778&amp;G778,Lookup!J:K,2,0),"")</f>
        <v>0</v>
      </c>
      <c r="P778" s="110" t="str">
        <f t="shared" si="64"/>
        <v/>
      </c>
      <c r="T778" s="59" t="e">
        <f t="shared" si="62"/>
        <v>#VALUE!</v>
      </c>
      <c r="U778" s="59"/>
      <c r="X778" s="60" t="str">
        <f t="shared" si="63"/>
        <v>D</v>
      </c>
    </row>
    <row r="779" spans="2:24" x14ac:dyDescent="0.25">
      <c r="B779" s="54" t="str">
        <f>IFERROR(VLOOKUP(A779,Lookup!A:B,2,0),"")</f>
        <v/>
      </c>
      <c r="C779" s="54" t="str">
        <f>IFERROR(VLOOKUP(A779,Lookup!A:C,3,0),"")</f>
        <v/>
      </c>
      <c r="J779" s="103">
        <f>VLOOKUP(A779&amp;G779,Lookup!J:N,5,0)</f>
        <v>0</v>
      </c>
      <c r="O779" s="57">
        <f>IFERROR(VLOOKUP(A779&amp;G779,Lookup!J:K,2,0),"")</f>
        <v>0</v>
      </c>
      <c r="P779" s="110" t="str">
        <f t="shared" si="64"/>
        <v/>
      </c>
      <c r="T779" s="59" t="e">
        <f t="shared" si="62"/>
        <v>#VALUE!</v>
      </c>
      <c r="U779" s="59"/>
      <c r="X779" s="60" t="str">
        <f t="shared" si="63"/>
        <v>D</v>
      </c>
    </row>
    <row r="780" spans="2:24" x14ac:dyDescent="0.25">
      <c r="B780" s="54" t="str">
        <f>IFERROR(VLOOKUP(A780,Lookup!A:B,2,0),"")</f>
        <v/>
      </c>
      <c r="C780" s="54" t="str">
        <f>IFERROR(VLOOKUP(A780,Lookup!A:C,3,0),"")</f>
        <v/>
      </c>
      <c r="J780" s="103">
        <f>VLOOKUP(A780&amp;G780,Lookup!J:N,5,0)</f>
        <v>0</v>
      </c>
      <c r="O780" s="57">
        <f>IFERROR(VLOOKUP(A780&amp;G780,Lookup!J:K,2,0),"")</f>
        <v>0</v>
      </c>
      <c r="P780" s="110" t="str">
        <f t="shared" si="64"/>
        <v/>
      </c>
      <c r="T780" s="59" t="e">
        <f t="shared" si="62"/>
        <v>#VALUE!</v>
      </c>
      <c r="U780" s="59"/>
      <c r="X780" s="60" t="str">
        <f t="shared" si="63"/>
        <v>D</v>
      </c>
    </row>
    <row r="781" spans="2:24" x14ac:dyDescent="0.25">
      <c r="B781" s="54" t="str">
        <f>IFERROR(VLOOKUP(A781,Lookup!A:B,2,0),"")</f>
        <v/>
      </c>
      <c r="C781" s="54" t="str">
        <f>IFERROR(VLOOKUP(A781,Lookup!A:C,3,0),"")</f>
        <v/>
      </c>
      <c r="J781" s="103">
        <f>VLOOKUP(A781&amp;G781,Lookup!J:N,5,0)</f>
        <v>0</v>
      </c>
      <c r="O781" s="57">
        <f>IFERROR(VLOOKUP(A781&amp;G781,Lookup!J:K,2,0),"")</f>
        <v>0</v>
      </c>
      <c r="P781" s="110" t="str">
        <f t="shared" si="64"/>
        <v/>
      </c>
      <c r="T781" s="59" t="e">
        <f t="shared" si="62"/>
        <v>#VALUE!</v>
      </c>
      <c r="U781" s="59"/>
      <c r="X781" s="60" t="str">
        <f t="shared" si="63"/>
        <v>D</v>
      </c>
    </row>
    <row r="782" spans="2:24" x14ac:dyDescent="0.25">
      <c r="B782" s="54" t="str">
        <f>IFERROR(VLOOKUP(A782,Lookup!A:B,2,0),"")</f>
        <v/>
      </c>
      <c r="C782" s="54" t="str">
        <f>IFERROR(VLOOKUP(A782,Lookup!A:C,3,0),"")</f>
        <v/>
      </c>
      <c r="J782" s="103">
        <f>VLOOKUP(A782&amp;G782,Lookup!J:N,5,0)</f>
        <v>0</v>
      </c>
      <c r="O782" s="57">
        <f>IFERROR(VLOOKUP(A782&amp;G782,Lookup!J:K,2,0),"")</f>
        <v>0</v>
      </c>
      <c r="P782" s="110" t="str">
        <f t="shared" si="64"/>
        <v/>
      </c>
      <c r="T782" s="59" t="e">
        <f t="shared" ref="T782:T845" si="65">IF(Q782-P782&gt;0.0415,"YES",(IF(OR(EXACT(Q782,""), EXACT(P782,"")),"","NO")))</f>
        <v>#VALUE!</v>
      </c>
      <c r="U782" s="59"/>
      <c r="X782" s="60" t="str">
        <f t="shared" si="63"/>
        <v>D</v>
      </c>
    </row>
    <row r="783" spans="2:24" x14ac:dyDescent="0.25">
      <c r="B783" s="54" t="str">
        <f>IFERROR(VLOOKUP(A783,Lookup!A:B,2,0),"")</f>
        <v/>
      </c>
      <c r="C783" s="54" t="str">
        <f>IFERROR(VLOOKUP(A783,Lookup!A:C,3,0),"")</f>
        <v/>
      </c>
      <c r="J783" s="103">
        <f>VLOOKUP(A783&amp;G783,Lookup!J:N,5,0)</f>
        <v>0</v>
      </c>
      <c r="O783" s="57">
        <f>IFERROR(VLOOKUP(A783&amp;G783,Lookup!J:K,2,0),"")</f>
        <v>0</v>
      </c>
      <c r="P783" s="110" t="str">
        <f t="shared" si="64"/>
        <v/>
      </c>
      <c r="T783" s="59" t="e">
        <f t="shared" si="65"/>
        <v>#VALUE!</v>
      </c>
      <c r="U783" s="59"/>
      <c r="X783" s="60" t="str">
        <f t="shared" si="63"/>
        <v>D</v>
      </c>
    </row>
    <row r="784" spans="2:24" x14ac:dyDescent="0.25">
      <c r="B784" s="54" t="str">
        <f>IFERROR(VLOOKUP(A784,Lookup!A:B,2,0),"")</f>
        <v/>
      </c>
      <c r="C784" s="54" t="str">
        <f>IFERROR(VLOOKUP(A784,Lookup!A:C,3,0),"")</f>
        <v/>
      </c>
      <c r="J784" s="103">
        <f>VLOOKUP(A784&amp;G784,Lookup!J:N,5,0)</f>
        <v>0</v>
      </c>
      <c r="O784" s="57">
        <f>IFERROR(VLOOKUP(A784&amp;G784,Lookup!J:K,2,0),"")</f>
        <v>0</v>
      </c>
      <c r="P784" s="110" t="str">
        <f t="shared" si="64"/>
        <v/>
      </c>
      <c r="T784" s="59" t="e">
        <f t="shared" si="65"/>
        <v>#VALUE!</v>
      </c>
      <c r="U784" s="59"/>
      <c r="X784" s="60" t="str">
        <f t="shared" si="63"/>
        <v>D</v>
      </c>
    </row>
    <row r="785" spans="2:24" x14ac:dyDescent="0.25">
      <c r="B785" s="54" t="str">
        <f>IFERROR(VLOOKUP(A785,Lookup!A:B,2,0),"")</f>
        <v/>
      </c>
      <c r="C785" s="54" t="str">
        <f>IFERROR(VLOOKUP(A785,Lookup!A:C,3,0),"")</f>
        <v/>
      </c>
      <c r="J785" s="103">
        <f>VLOOKUP(A785&amp;G785,Lookup!J:N,5,0)</f>
        <v>0</v>
      </c>
      <c r="O785" s="57">
        <f>IFERROR(VLOOKUP(A785&amp;G785,Lookup!J:K,2,0),"")</f>
        <v>0</v>
      </c>
      <c r="P785" s="110" t="str">
        <f t="shared" si="64"/>
        <v/>
      </c>
      <c r="T785" s="59" t="e">
        <f t="shared" si="65"/>
        <v>#VALUE!</v>
      </c>
      <c r="U785" s="59"/>
      <c r="X785" s="60" t="str">
        <f t="shared" si="63"/>
        <v>D</v>
      </c>
    </row>
    <row r="786" spans="2:24" x14ac:dyDescent="0.25">
      <c r="B786" s="54" t="str">
        <f>IFERROR(VLOOKUP(A786,Lookup!A:B,2,0),"")</f>
        <v/>
      </c>
      <c r="C786" s="54" t="str">
        <f>IFERROR(VLOOKUP(A786,Lookup!A:C,3,0),"")</f>
        <v/>
      </c>
      <c r="J786" s="103">
        <f>VLOOKUP(A786&amp;G786,Lookup!J:N,5,0)</f>
        <v>0</v>
      </c>
      <c r="O786" s="57">
        <f>IFERROR(VLOOKUP(A786&amp;G786,Lookup!J:K,2,0),"")</f>
        <v>0</v>
      </c>
      <c r="P786" s="110" t="str">
        <f t="shared" si="64"/>
        <v/>
      </c>
      <c r="T786" s="59" t="e">
        <f t="shared" si="65"/>
        <v>#VALUE!</v>
      </c>
      <c r="U786" s="59"/>
      <c r="X786" s="60" t="str">
        <f t="shared" si="63"/>
        <v>D</v>
      </c>
    </row>
    <row r="787" spans="2:24" x14ac:dyDescent="0.25">
      <c r="B787" s="54" t="str">
        <f>IFERROR(VLOOKUP(A787,Lookup!A:B,2,0),"")</f>
        <v/>
      </c>
      <c r="C787" s="54" t="str">
        <f>IFERROR(VLOOKUP(A787,Lookup!A:C,3,0),"")</f>
        <v/>
      </c>
      <c r="J787" s="103">
        <f>VLOOKUP(A787&amp;G787,Lookup!J:N,5,0)</f>
        <v>0</v>
      </c>
      <c r="O787" s="57">
        <f>IFERROR(VLOOKUP(A787&amp;G787,Lookup!J:K,2,0),"")</f>
        <v>0</v>
      </c>
      <c r="P787" s="110" t="str">
        <f t="shared" si="64"/>
        <v/>
      </c>
      <c r="T787" s="59" t="e">
        <f t="shared" si="65"/>
        <v>#VALUE!</v>
      </c>
      <c r="U787" s="59"/>
      <c r="X787" s="60" t="str">
        <f t="shared" si="63"/>
        <v>D</v>
      </c>
    </row>
    <row r="788" spans="2:24" x14ac:dyDescent="0.25">
      <c r="B788" s="54" t="str">
        <f>IFERROR(VLOOKUP(A788,Lookup!A:B,2,0),"")</f>
        <v/>
      </c>
      <c r="C788" s="54" t="str">
        <f>IFERROR(VLOOKUP(A788,Lookup!A:C,3,0),"")</f>
        <v/>
      </c>
      <c r="J788" s="103">
        <f>VLOOKUP(A788&amp;G788,Lookup!J:N,5,0)</f>
        <v>0</v>
      </c>
      <c r="O788" s="57">
        <f>IFERROR(VLOOKUP(A788&amp;G788,Lookup!J:K,2,0),"")</f>
        <v>0</v>
      </c>
      <c r="P788" s="110" t="str">
        <f t="shared" si="64"/>
        <v/>
      </c>
      <c r="T788" s="59" t="e">
        <f t="shared" si="65"/>
        <v>#VALUE!</v>
      </c>
      <c r="U788" s="59"/>
      <c r="X788" s="60" t="str">
        <f t="shared" si="63"/>
        <v>D</v>
      </c>
    </row>
    <row r="789" spans="2:24" x14ac:dyDescent="0.25">
      <c r="B789" s="54" t="str">
        <f>IFERROR(VLOOKUP(A789,Lookup!A:B,2,0),"")</f>
        <v/>
      </c>
      <c r="C789" s="54" t="str">
        <f>IFERROR(VLOOKUP(A789,Lookup!A:C,3,0),"")</f>
        <v/>
      </c>
      <c r="J789" s="103">
        <f>VLOOKUP(A789&amp;G789,Lookup!J:N,5,0)</f>
        <v>0</v>
      </c>
      <c r="O789" s="57">
        <f>IFERROR(VLOOKUP(A789&amp;G789,Lookup!J:K,2,0),"")</f>
        <v>0</v>
      </c>
      <c r="P789" s="110" t="str">
        <f t="shared" si="64"/>
        <v/>
      </c>
      <c r="T789" s="59" t="e">
        <f t="shared" si="65"/>
        <v>#VALUE!</v>
      </c>
      <c r="U789" s="59"/>
      <c r="X789" s="60" t="str">
        <f t="shared" si="63"/>
        <v>D</v>
      </c>
    </row>
    <row r="790" spans="2:24" x14ac:dyDescent="0.25">
      <c r="B790" s="54" t="str">
        <f>IFERROR(VLOOKUP(A790,Lookup!A:B,2,0),"")</f>
        <v/>
      </c>
      <c r="C790" s="54" t="str">
        <f>IFERROR(VLOOKUP(A790,Lookup!A:C,3,0),"")</f>
        <v/>
      </c>
      <c r="J790" s="103">
        <f>VLOOKUP(A790&amp;G790,Lookup!J:N,5,0)</f>
        <v>0</v>
      </c>
      <c r="O790" s="57">
        <f>IFERROR(VLOOKUP(A790&amp;G790,Lookup!J:K,2,0),"")</f>
        <v>0</v>
      </c>
      <c r="P790" s="110" t="str">
        <f t="shared" si="64"/>
        <v/>
      </c>
      <c r="T790" s="59" t="e">
        <f t="shared" si="65"/>
        <v>#VALUE!</v>
      </c>
      <c r="U790" s="59"/>
      <c r="X790" s="60" t="str">
        <f t="shared" si="63"/>
        <v>D</v>
      </c>
    </row>
    <row r="791" spans="2:24" x14ac:dyDescent="0.25">
      <c r="B791" s="54" t="str">
        <f>IFERROR(VLOOKUP(A791,Lookup!A:B,2,0),"")</f>
        <v/>
      </c>
      <c r="C791" s="54" t="str">
        <f>IFERROR(VLOOKUP(A791,Lookup!A:C,3,0),"")</f>
        <v/>
      </c>
      <c r="J791" s="103">
        <f>VLOOKUP(A791&amp;G791,Lookup!J:N,5,0)</f>
        <v>0</v>
      </c>
      <c r="O791" s="57">
        <f>IFERROR(VLOOKUP(A791&amp;G791,Lookup!J:K,2,0),"")</f>
        <v>0</v>
      </c>
      <c r="P791" s="110" t="str">
        <f t="shared" si="64"/>
        <v/>
      </c>
      <c r="T791" s="59" t="e">
        <f t="shared" si="65"/>
        <v>#VALUE!</v>
      </c>
      <c r="U791" s="59"/>
      <c r="X791" s="60" t="str">
        <f t="shared" si="63"/>
        <v>D</v>
      </c>
    </row>
    <row r="792" spans="2:24" x14ac:dyDescent="0.25">
      <c r="B792" s="54" t="str">
        <f>IFERROR(VLOOKUP(A792,Lookup!A:B,2,0),"")</f>
        <v/>
      </c>
      <c r="C792" s="54" t="str">
        <f>IFERROR(VLOOKUP(A792,Lookup!A:C,3,0),"")</f>
        <v/>
      </c>
      <c r="J792" s="103">
        <f>VLOOKUP(A792&amp;G792,Lookup!J:N,5,0)</f>
        <v>0</v>
      </c>
      <c r="O792" s="57">
        <f>IFERROR(VLOOKUP(A792&amp;G792,Lookup!J:K,2,0),"")</f>
        <v>0</v>
      </c>
      <c r="P792" s="110" t="str">
        <f t="shared" si="64"/>
        <v/>
      </c>
      <c r="T792" s="59" t="e">
        <f t="shared" si="65"/>
        <v>#VALUE!</v>
      </c>
      <c r="U792" s="59"/>
      <c r="X792" s="60" t="str">
        <f t="shared" si="63"/>
        <v>D</v>
      </c>
    </row>
    <row r="793" spans="2:24" x14ac:dyDescent="0.25">
      <c r="B793" s="54" t="str">
        <f>IFERROR(VLOOKUP(A793,Lookup!A:B,2,0),"")</f>
        <v/>
      </c>
      <c r="C793" s="54" t="str">
        <f>IFERROR(VLOOKUP(A793,Lookup!A:C,3,0),"")</f>
        <v/>
      </c>
      <c r="J793" s="103">
        <f>VLOOKUP(A793&amp;G793,Lookup!J:N,5,0)</f>
        <v>0</v>
      </c>
      <c r="O793" s="57">
        <f>IFERROR(VLOOKUP(A793&amp;G793,Lookup!J:K,2,0),"")</f>
        <v>0</v>
      </c>
      <c r="P793" s="110" t="str">
        <f t="shared" si="64"/>
        <v/>
      </c>
      <c r="T793" s="59" t="e">
        <f t="shared" si="65"/>
        <v>#VALUE!</v>
      </c>
      <c r="U793" s="59"/>
      <c r="X793" s="60" t="str">
        <f t="shared" si="63"/>
        <v>D</v>
      </c>
    </row>
    <row r="794" spans="2:24" x14ac:dyDescent="0.25">
      <c r="B794" s="54" t="str">
        <f>IFERROR(VLOOKUP(A794,Lookup!A:B,2,0),"")</f>
        <v/>
      </c>
      <c r="C794" s="54" t="str">
        <f>IFERROR(VLOOKUP(A794,Lookup!A:C,3,0),"")</f>
        <v/>
      </c>
      <c r="J794" s="103">
        <f>VLOOKUP(A794&amp;G794,Lookup!J:N,5,0)</f>
        <v>0</v>
      </c>
      <c r="O794" s="57">
        <f>IFERROR(VLOOKUP(A794&amp;G794,Lookup!J:K,2,0),"")</f>
        <v>0</v>
      </c>
      <c r="P794" s="110" t="str">
        <f t="shared" si="64"/>
        <v/>
      </c>
      <c r="T794" s="59" t="e">
        <f t="shared" si="65"/>
        <v>#VALUE!</v>
      </c>
      <c r="U794" s="59"/>
      <c r="X794" s="60" t="str">
        <f t="shared" si="63"/>
        <v>D</v>
      </c>
    </row>
    <row r="795" spans="2:24" x14ac:dyDescent="0.25">
      <c r="B795" s="54" t="str">
        <f>IFERROR(VLOOKUP(A795,Lookup!A:B,2,0),"")</f>
        <v/>
      </c>
      <c r="C795" s="54" t="str">
        <f>IFERROR(VLOOKUP(A795,Lookup!A:C,3,0),"")</f>
        <v/>
      </c>
      <c r="J795" s="103">
        <f>VLOOKUP(A795&amp;G795,Lookup!J:N,5,0)</f>
        <v>0</v>
      </c>
      <c r="O795" s="57">
        <f>IFERROR(VLOOKUP(A795&amp;G795,Lookup!J:K,2,0),"")</f>
        <v>0</v>
      </c>
      <c r="P795" s="110" t="str">
        <f t="shared" si="64"/>
        <v/>
      </c>
      <c r="T795" s="59" t="e">
        <f t="shared" si="65"/>
        <v>#VALUE!</v>
      </c>
      <c r="U795" s="59"/>
      <c r="X795" s="60" t="str">
        <f t="shared" si="63"/>
        <v>D</v>
      </c>
    </row>
    <row r="796" spans="2:24" x14ac:dyDescent="0.25">
      <c r="B796" s="54" t="str">
        <f>IFERROR(VLOOKUP(A796,Lookup!A:B,2,0),"")</f>
        <v/>
      </c>
      <c r="C796" s="54" t="str">
        <f>IFERROR(VLOOKUP(A796,Lookup!A:C,3,0),"")</f>
        <v/>
      </c>
      <c r="J796" s="103">
        <f>VLOOKUP(A796&amp;G796,Lookup!J:N,5,0)</f>
        <v>0</v>
      </c>
      <c r="O796" s="57">
        <f>IFERROR(VLOOKUP(A796&amp;G796,Lookup!J:K,2,0),"")</f>
        <v>0</v>
      </c>
      <c r="P796" s="110" t="str">
        <f t="shared" si="64"/>
        <v/>
      </c>
      <c r="T796" s="59" t="e">
        <f t="shared" si="65"/>
        <v>#VALUE!</v>
      </c>
      <c r="U796" s="59"/>
      <c r="X796" s="60" t="str">
        <f t="shared" si="63"/>
        <v>D</v>
      </c>
    </row>
    <row r="797" spans="2:24" x14ac:dyDescent="0.25">
      <c r="B797" s="54" t="str">
        <f>IFERROR(VLOOKUP(A797,Lookup!A:B,2,0),"")</f>
        <v/>
      </c>
      <c r="C797" s="54" t="str">
        <f>IFERROR(VLOOKUP(A797,Lookup!A:C,3,0),"")</f>
        <v/>
      </c>
      <c r="J797" s="103">
        <f>VLOOKUP(A797&amp;G797,Lookup!J:N,5,0)</f>
        <v>0</v>
      </c>
      <c r="O797" s="57">
        <f>IFERROR(VLOOKUP(A797&amp;G797,Lookup!J:K,2,0),"")</f>
        <v>0</v>
      </c>
      <c r="P797" s="110" t="str">
        <f t="shared" si="64"/>
        <v/>
      </c>
      <c r="T797" s="59" t="e">
        <f t="shared" si="65"/>
        <v>#VALUE!</v>
      </c>
      <c r="U797" s="59"/>
      <c r="X797" s="60" t="str">
        <f t="shared" si="63"/>
        <v>D</v>
      </c>
    </row>
    <row r="798" spans="2:24" x14ac:dyDescent="0.25">
      <c r="B798" s="54" t="str">
        <f>IFERROR(VLOOKUP(A798,Lookup!A:B,2,0),"")</f>
        <v/>
      </c>
      <c r="C798" s="54" t="str">
        <f>IFERROR(VLOOKUP(A798,Lookup!A:C,3,0),"")</f>
        <v/>
      </c>
      <c r="J798" s="103">
        <f>VLOOKUP(A798&amp;G798,Lookup!J:N,5,0)</f>
        <v>0</v>
      </c>
      <c r="O798" s="57">
        <f>IFERROR(VLOOKUP(A798&amp;G798,Lookup!J:K,2,0),"")</f>
        <v>0</v>
      </c>
      <c r="P798" s="110" t="str">
        <f t="shared" si="64"/>
        <v/>
      </c>
      <c r="T798" s="59" t="e">
        <f t="shared" si="65"/>
        <v>#VALUE!</v>
      </c>
      <c r="U798" s="59"/>
      <c r="X798" s="60" t="str">
        <f t="shared" si="63"/>
        <v>D</v>
      </c>
    </row>
    <row r="799" spans="2:24" x14ac:dyDescent="0.25">
      <c r="B799" s="54" t="str">
        <f>IFERROR(VLOOKUP(A799,Lookup!A:B,2,0),"")</f>
        <v/>
      </c>
      <c r="C799" s="54" t="str">
        <f>IFERROR(VLOOKUP(A799,Lookup!A:C,3,0),"")</f>
        <v/>
      </c>
      <c r="J799" s="103">
        <f>VLOOKUP(A799&amp;G799,Lookup!J:N,5,0)</f>
        <v>0</v>
      </c>
      <c r="O799" s="57">
        <f>IFERROR(VLOOKUP(A799&amp;G799,Lookup!J:K,2,0),"")</f>
        <v>0</v>
      </c>
      <c r="P799" s="110" t="str">
        <f t="shared" si="64"/>
        <v/>
      </c>
      <c r="T799" s="59" t="e">
        <f t="shared" si="65"/>
        <v>#VALUE!</v>
      </c>
      <c r="U799" s="59"/>
      <c r="X799" s="60" t="str">
        <f t="shared" si="63"/>
        <v>D</v>
      </c>
    </row>
    <row r="800" spans="2:24" x14ac:dyDescent="0.25">
      <c r="B800" s="54" t="str">
        <f>IFERROR(VLOOKUP(A800,Lookup!A:B,2,0),"")</f>
        <v/>
      </c>
      <c r="C800" s="54" t="str">
        <f>IFERROR(VLOOKUP(A800,Lookup!A:C,3,0),"")</f>
        <v/>
      </c>
      <c r="J800" s="103">
        <f>VLOOKUP(A800&amp;G800,Lookup!J:N,5,0)</f>
        <v>0</v>
      </c>
      <c r="O800" s="57">
        <f>IFERROR(VLOOKUP(A800&amp;G800,Lookup!J:K,2,0),"")</f>
        <v>0</v>
      </c>
      <c r="P800" s="110" t="str">
        <f t="shared" si="64"/>
        <v/>
      </c>
      <c r="T800" s="59" t="e">
        <f t="shared" si="65"/>
        <v>#VALUE!</v>
      </c>
      <c r="U800" s="59"/>
      <c r="X800" s="60" t="str">
        <f t="shared" si="63"/>
        <v>D</v>
      </c>
    </row>
    <row r="801" spans="2:24" x14ac:dyDescent="0.25">
      <c r="B801" s="54" t="str">
        <f>IFERROR(VLOOKUP(A801,Lookup!A:B,2,0),"")</f>
        <v/>
      </c>
      <c r="C801" s="54" t="str">
        <f>IFERROR(VLOOKUP(A801,Lookup!A:C,3,0),"")</f>
        <v/>
      </c>
      <c r="J801" s="103">
        <f>VLOOKUP(A801&amp;G801,Lookup!J:N,5,0)</f>
        <v>0</v>
      </c>
      <c r="O801" s="57">
        <f>IFERROR(VLOOKUP(A801&amp;G801,Lookup!J:K,2,0),"")</f>
        <v>0</v>
      </c>
      <c r="P801" s="110" t="str">
        <f t="shared" si="64"/>
        <v/>
      </c>
      <c r="T801" s="59" t="e">
        <f t="shared" si="65"/>
        <v>#VALUE!</v>
      </c>
      <c r="U801" s="59"/>
      <c r="X801" s="60" t="str">
        <f t="shared" si="63"/>
        <v>D</v>
      </c>
    </row>
    <row r="802" spans="2:24" x14ac:dyDescent="0.25">
      <c r="B802" s="54" t="str">
        <f>IFERROR(VLOOKUP(A802,Lookup!A:B,2,0),"")</f>
        <v/>
      </c>
      <c r="C802" s="54" t="str">
        <f>IFERROR(VLOOKUP(A802,Lookup!A:C,3,0),"")</f>
        <v/>
      </c>
      <c r="J802" s="103">
        <f>VLOOKUP(A802&amp;G802,Lookup!J:N,5,0)</f>
        <v>0</v>
      </c>
      <c r="O802" s="57">
        <f>IFERROR(VLOOKUP(A802&amp;G802,Lookup!J:K,2,0),"")</f>
        <v>0</v>
      </c>
      <c r="P802" s="110" t="str">
        <f t="shared" si="64"/>
        <v/>
      </c>
      <c r="T802" s="59" t="e">
        <f t="shared" si="65"/>
        <v>#VALUE!</v>
      </c>
      <c r="U802" s="59"/>
      <c r="X802" s="60" t="str">
        <f t="shared" si="63"/>
        <v>D</v>
      </c>
    </row>
    <row r="803" spans="2:24" x14ac:dyDescent="0.25">
      <c r="B803" s="54" t="str">
        <f>IFERROR(VLOOKUP(A803,Lookup!A:B,2,0),"")</f>
        <v/>
      </c>
      <c r="C803" s="54" t="str">
        <f>IFERROR(VLOOKUP(A803,Lookup!A:C,3,0),"")</f>
        <v/>
      </c>
      <c r="J803" s="103">
        <f>VLOOKUP(A803&amp;G803,Lookup!J:N,5,0)</f>
        <v>0</v>
      </c>
      <c r="O803" s="57">
        <f>IFERROR(VLOOKUP(A803&amp;G803,Lookup!J:K,2,0),"")</f>
        <v>0</v>
      </c>
      <c r="P803" s="110" t="str">
        <f t="shared" si="64"/>
        <v/>
      </c>
      <c r="T803" s="59" t="e">
        <f t="shared" si="65"/>
        <v>#VALUE!</v>
      </c>
      <c r="U803" s="59"/>
      <c r="X803" s="60" t="str">
        <f t="shared" si="63"/>
        <v>D</v>
      </c>
    </row>
    <row r="804" spans="2:24" x14ac:dyDescent="0.25">
      <c r="B804" s="54" t="str">
        <f>IFERROR(VLOOKUP(A804,Lookup!A:B,2,0),"")</f>
        <v/>
      </c>
      <c r="C804" s="54" t="str">
        <f>IFERROR(VLOOKUP(A804,Lookup!A:C,3,0),"")</f>
        <v/>
      </c>
      <c r="J804" s="103">
        <f>VLOOKUP(A804&amp;G804,Lookup!J:N,5,0)</f>
        <v>0</v>
      </c>
      <c r="O804" s="57">
        <f>IFERROR(VLOOKUP(A804&amp;G804,Lookup!J:K,2,0),"")</f>
        <v>0</v>
      </c>
      <c r="P804" s="110" t="str">
        <f t="shared" si="64"/>
        <v/>
      </c>
      <c r="T804" s="59" t="e">
        <f t="shared" si="65"/>
        <v>#VALUE!</v>
      </c>
      <c r="U804" s="59"/>
      <c r="X804" s="60" t="str">
        <f t="shared" si="63"/>
        <v>D</v>
      </c>
    </row>
    <row r="805" spans="2:24" x14ac:dyDescent="0.25">
      <c r="B805" s="54" t="str">
        <f>IFERROR(VLOOKUP(A805,Lookup!A:B,2,0),"")</f>
        <v/>
      </c>
      <c r="C805" s="54" t="str">
        <f>IFERROR(VLOOKUP(A805,Lookup!A:C,3,0),"")</f>
        <v/>
      </c>
      <c r="J805" s="103">
        <f>VLOOKUP(A805&amp;G805,Lookup!J:N,5,0)</f>
        <v>0</v>
      </c>
      <c r="O805" s="57">
        <f>IFERROR(VLOOKUP(A805&amp;G805,Lookup!J:K,2,0),"")</f>
        <v>0</v>
      </c>
      <c r="P805" s="110" t="str">
        <f t="shared" si="64"/>
        <v/>
      </c>
      <c r="T805" s="59" t="e">
        <f t="shared" si="65"/>
        <v>#VALUE!</v>
      </c>
      <c r="U805" s="59"/>
      <c r="X805" s="60" t="str">
        <f t="shared" si="63"/>
        <v>D</v>
      </c>
    </row>
    <row r="806" spans="2:24" x14ac:dyDescent="0.25">
      <c r="B806" s="54" t="str">
        <f>IFERROR(VLOOKUP(A806,Lookup!A:B,2,0),"")</f>
        <v/>
      </c>
      <c r="C806" s="54" t="str">
        <f>IFERROR(VLOOKUP(A806,Lookup!A:C,3,0),"")</f>
        <v/>
      </c>
      <c r="J806" s="103">
        <f>VLOOKUP(A806&amp;G806,Lookup!J:N,5,0)</f>
        <v>0</v>
      </c>
      <c r="O806" s="57">
        <f>IFERROR(VLOOKUP(A806&amp;G806,Lookup!J:K,2,0),"")</f>
        <v>0</v>
      </c>
      <c r="P806" s="110" t="str">
        <f t="shared" si="64"/>
        <v/>
      </c>
      <c r="T806" s="59" t="e">
        <f t="shared" si="65"/>
        <v>#VALUE!</v>
      </c>
      <c r="U806" s="59"/>
      <c r="X806" s="60" t="str">
        <f t="shared" si="63"/>
        <v>D</v>
      </c>
    </row>
    <row r="807" spans="2:24" x14ac:dyDescent="0.25">
      <c r="B807" s="54" t="str">
        <f>IFERROR(VLOOKUP(A807,Lookup!A:B,2,0),"")</f>
        <v/>
      </c>
      <c r="C807" s="54" t="str">
        <f>IFERROR(VLOOKUP(A807,Lookup!A:C,3,0),"")</f>
        <v/>
      </c>
      <c r="J807" s="103">
        <f>VLOOKUP(A807&amp;G807,Lookup!J:N,5,0)</f>
        <v>0</v>
      </c>
      <c r="O807" s="57">
        <f>IFERROR(VLOOKUP(A807&amp;G807,Lookup!J:K,2,0),"")</f>
        <v>0</v>
      </c>
      <c r="P807" s="110" t="str">
        <f t="shared" si="64"/>
        <v/>
      </c>
      <c r="T807" s="59" t="e">
        <f t="shared" si="65"/>
        <v>#VALUE!</v>
      </c>
      <c r="U807" s="59"/>
      <c r="X807" s="60" t="str">
        <f t="shared" si="63"/>
        <v>D</v>
      </c>
    </row>
    <row r="808" spans="2:24" x14ac:dyDescent="0.25">
      <c r="B808" s="54" t="str">
        <f>IFERROR(VLOOKUP(A808,Lookup!A:B,2,0),"")</f>
        <v/>
      </c>
      <c r="C808" s="54" t="str">
        <f>IFERROR(VLOOKUP(A808,Lookup!A:C,3,0),"")</f>
        <v/>
      </c>
      <c r="J808" s="103">
        <f>VLOOKUP(A808&amp;G808,Lookup!J:N,5,0)</f>
        <v>0</v>
      </c>
      <c r="O808" s="57">
        <f>IFERROR(VLOOKUP(A808&amp;G808,Lookup!J:K,2,0),"")</f>
        <v>0</v>
      </c>
      <c r="P808" s="110" t="str">
        <f t="shared" si="64"/>
        <v/>
      </c>
      <c r="T808" s="59" t="e">
        <f t="shared" si="65"/>
        <v>#VALUE!</v>
      </c>
      <c r="U808" s="59"/>
      <c r="X808" s="60" t="str">
        <f t="shared" si="63"/>
        <v>D</v>
      </c>
    </row>
    <row r="809" spans="2:24" x14ac:dyDescent="0.25">
      <c r="B809" s="54" t="str">
        <f>IFERROR(VLOOKUP(A809,Lookup!A:B,2,0),"")</f>
        <v/>
      </c>
      <c r="C809" s="54" t="str">
        <f>IFERROR(VLOOKUP(A809,Lookup!A:C,3,0),"")</f>
        <v/>
      </c>
      <c r="J809" s="103">
        <f>VLOOKUP(A809&amp;G809,Lookup!J:N,5,0)</f>
        <v>0</v>
      </c>
      <c r="O809" s="57">
        <f>IFERROR(VLOOKUP(A809&amp;G809,Lookup!J:K,2,0),"")</f>
        <v>0</v>
      </c>
      <c r="P809" s="110" t="str">
        <f t="shared" si="64"/>
        <v/>
      </c>
      <c r="T809" s="59" t="e">
        <f t="shared" si="65"/>
        <v>#VALUE!</v>
      </c>
      <c r="U809" s="59"/>
      <c r="X809" s="60" t="str">
        <f t="shared" si="63"/>
        <v>D</v>
      </c>
    </row>
    <row r="810" spans="2:24" x14ac:dyDescent="0.25">
      <c r="B810" s="54" t="str">
        <f>IFERROR(VLOOKUP(A810,Lookup!A:B,2,0),"")</f>
        <v/>
      </c>
      <c r="C810" s="54" t="str">
        <f>IFERROR(VLOOKUP(A810,Lookup!A:C,3,0),"")</f>
        <v/>
      </c>
      <c r="J810" s="103">
        <f>VLOOKUP(A810&amp;G810,Lookup!J:N,5,0)</f>
        <v>0</v>
      </c>
      <c r="O810" s="57">
        <f>IFERROR(VLOOKUP(A810&amp;G810,Lookup!J:K,2,0),"")</f>
        <v>0</v>
      </c>
      <c r="P810" s="110" t="str">
        <f t="shared" si="64"/>
        <v/>
      </c>
      <c r="T810" s="59" t="e">
        <f t="shared" si="65"/>
        <v>#VALUE!</v>
      </c>
      <c r="U810" s="59"/>
      <c r="X810" s="60" t="str">
        <f t="shared" si="63"/>
        <v>D</v>
      </c>
    </row>
    <row r="811" spans="2:24" x14ac:dyDescent="0.25">
      <c r="B811" s="54" t="str">
        <f>IFERROR(VLOOKUP(A811,Lookup!A:B,2,0),"")</f>
        <v/>
      </c>
      <c r="C811" s="54" t="str">
        <f>IFERROR(VLOOKUP(A811,Lookup!A:C,3,0),"")</f>
        <v/>
      </c>
      <c r="J811" s="103">
        <f>VLOOKUP(A811&amp;G811,Lookup!J:N,5,0)</f>
        <v>0</v>
      </c>
      <c r="O811" s="57">
        <f>IFERROR(VLOOKUP(A811&amp;G811,Lookup!J:K,2,0),"")</f>
        <v>0</v>
      </c>
      <c r="P811" s="110" t="str">
        <f t="shared" si="64"/>
        <v/>
      </c>
      <c r="T811" s="59" t="e">
        <f t="shared" si="65"/>
        <v>#VALUE!</v>
      </c>
      <c r="U811" s="59"/>
      <c r="X811" s="60" t="str">
        <f t="shared" si="63"/>
        <v>D</v>
      </c>
    </row>
    <row r="812" spans="2:24" x14ac:dyDescent="0.25">
      <c r="B812" s="54" t="str">
        <f>IFERROR(VLOOKUP(A812,Lookup!A:B,2,0),"")</f>
        <v/>
      </c>
      <c r="C812" s="54" t="str">
        <f>IFERROR(VLOOKUP(A812,Lookup!A:C,3,0),"")</f>
        <v/>
      </c>
      <c r="J812" s="103">
        <f>VLOOKUP(A812&amp;G812,Lookup!J:N,5,0)</f>
        <v>0</v>
      </c>
      <c r="O812" s="57">
        <f>IFERROR(VLOOKUP(A812&amp;G812,Lookup!J:K,2,0),"")</f>
        <v>0</v>
      </c>
      <c r="P812" s="110" t="str">
        <f t="shared" si="64"/>
        <v/>
      </c>
      <c r="T812" s="59" t="e">
        <f t="shared" si="65"/>
        <v>#VALUE!</v>
      </c>
      <c r="U812" s="59"/>
      <c r="X812" s="60" t="str">
        <f t="shared" si="63"/>
        <v>D</v>
      </c>
    </row>
    <row r="813" spans="2:24" x14ac:dyDescent="0.25">
      <c r="B813" s="54" t="str">
        <f>IFERROR(VLOOKUP(A813,Lookup!A:B,2,0),"")</f>
        <v/>
      </c>
      <c r="C813" s="54" t="str">
        <f>IFERROR(VLOOKUP(A813,Lookup!A:C,3,0),"")</f>
        <v/>
      </c>
      <c r="J813" s="103">
        <f>VLOOKUP(A813&amp;G813,Lookup!J:N,5,0)</f>
        <v>0</v>
      </c>
      <c r="O813" s="57">
        <f>IFERROR(VLOOKUP(A813&amp;G813,Lookup!J:K,2,0),"")</f>
        <v>0</v>
      </c>
      <c r="P813" s="110" t="str">
        <f t="shared" si="64"/>
        <v/>
      </c>
      <c r="T813" s="59" t="e">
        <f t="shared" si="65"/>
        <v>#VALUE!</v>
      </c>
      <c r="U813" s="59"/>
      <c r="X813" s="60" t="str">
        <f t="shared" si="63"/>
        <v>D</v>
      </c>
    </row>
    <row r="814" spans="2:24" x14ac:dyDescent="0.25">
      <c r="B814" s="54" t="str">
        <f>IFERROR(VLOOKUP(A814,Lookup!A:B,2,0),"")</f>
        <v/>
      </c>
      <c r="C814" s="54" t="str">
        <f>IFERROR(VLOOKUP(A814,Lookup!A:C,3,0),"")</f>
        <v/>
      </c>
      <c r="J814" s="103">
        <f>VLOOKUP(A814&amp;G814,Lookup!J:N,5,0)</f>
        <v>0</v>
      </c>
      <c r="O814" s="57">
        <f>IFERROR(VLOOKUP(A814&amp;G814,Lookup!J:K,2,0),"")</f>
        <v>0</v>
      </c>
      <c r="P814" s="110" t="str">
        <f t="shared" si="64"/>
        <v/>
      </c>
      <c r="T814" s="59" t="e">
        <f t="shared" si="65"/>
        <v>#VALUE!</v>
      </c>
      <c r="U814" s="59"/>
      <c r="X814" s="60" t="str">
        <f t="shared" ref="X814:X877" si="66">IF(I814="SET","A",IF(I814="FREQ","C",IF(I814="","D","B")))</f>
        <v>D</v>
      </c>
    </row>
    <row r="815" spans="2:24" x14ac:dyDescent="0.25">
      <c r="B815" s="54" t="str">
        <f>IFERROR(VLOOKUP(A815,Lookup!A:B,2,0),"")</f>
        <v/>
      </c>
      <c r="C815" s="54" t="str">
        <f>IFERROR(VLOOKUP(A815,Lookup!A:C,3,0),"")</f>
        <v/>
      </c>
      <c r="J815" s="103">
        <f>VLOOKUP(A815&amp;G815,Lookup!J:N,5,0)</f>
        <v>0</v>
      </c>
      <c r="O815" s="57">
        <f>IFERROR(VLOOKUP(A815&amp;G815,Lookup!J:K,2,0),"")</f>
        <v>0</v>
      </c>
      <c r="P815" s="110" t="str">
        <f t="shared" si="64"/>
        <v/>
      </c>
      <c r="T815" s="59" t="e">
        <f t="shared" si="65"/>
        <v>#VALUE!</v>
      </c>
      <c r="U815" s="59"/>
      <c r="X815" s="60" t="str">
        <f t="shared" si="66"/>
        <v>D</v>
      </c>
    </row>
    <row r="816" spans="2:24" x14ac:dyDescent="0.25">
      <c r="B816" s="54" t="str">
        <f>IFERROR(VLOOKUP(A816,Lookup!A:B,2,0),"")</f>
        <v/>
      </c>
      <c r="C816" s="54" t="str">
        <f>IFERROR(VLOOKUP(A816,Lookup!A:C,3,0),"")</f>
        <v/>
      </c>
      <c r="J816" s="103">
        <f>VLOOKUP(A816&amp;G816,Lookup!J:N,5,0)</f>
        <v>0</v>
      </c>
      <c r="O816" s="57">
        <f>IFERROR(VLOOKUP(A816&amp;G816,Lookup!J:K,2,0),"")</f>
        <v>0</v>
      </c>
      <c r="P816" s="110" t="str">
        <f t="shared" si="64"/>
        <v/>
      </c>
      <c r="T816" s="59" t="e">
        <f t="shared" si="65"/>
        <v>#VALUE!</v>
      </c>
      <c r="U816" s="59"/>
      <c r="X816" s="60" t="str">
        <f t="shared" si="66"/>
        <v>D</v>
      </c>
    </row>
    <row r="817" spans="2:24" x14ac:dyDescent="0.25">
      <c r="B817" s="54" t="str">
        <f>IFERROR(VLOOKUP(A817,Lookup!A:B,2,0),"")</f>
        <v/>
      </c>
      <c r="C817" s="54" t="str">
        <f>IFERROR(VLOOKUP(A817,Lookup!A:C,3,0),"")</f>
        <v/>
      </c>
      <c r="J817" s="103">
        <f>VLOOKUP(A817&amp;G817,Lookup!J:N,5,0)</f>
        <v>0</v>
      </c>
      <c r="O817" s="57">
        <f>IFERROR(VLOOKUP(A817&amp;G817,Lookup!J:K,2,0),"")</f>
        <v>0</v>
      </c>
      <c r="P817" s="110" t="str">
        <f t="shared" si="64"/>
        <v/>
      </c>
      <c r="T817" s="59" t="e">
        <f t="shared" si="65"/>
        <v>#VALUE!</v>
      </c>
      <c r="U817" s="59"/>
      <c r="X817" s="60" t="str">
        <f t="shared" si="66"/>
        <v>D</v>
      </c>
    </row>
    <row r="818" spans="2:24" x14ac:dyDescent="0.25">
      <c r="B818" s="54" t="str">
        <f>IFERROR(VLOOKUP(A818,Lookup!A:B,2,0),"")</f>
        <v/>
      </c>
      <c r="C818" s="54" t="str">
        <f>IFERROR(VLOOKUP(A818,Lookup!A:C,3,0),"")</f>
        <v/>
      </c>
      <c r="J818" s="103">
        <f>VLOOKUP(A818&amp;G818,Lookup!J:N,5,0)</f>
        <v>0</v>
      </c>
      <c r="O818" s="57">
        <f>IFERROR(VLOOKUP(A818&amp;G818,Lookup!J:K,2,0),"")</f>
        <v>0</v>
      </c>
      <c r="P818" s="110" t="str">
        <f t="shared" si="64"/>
        <v/>
      </c>
      <c r="T818" s="59" t="e">
        <f t="shared" si="65"/>
        <v>#VALUE!</v>
      </c>
      <c r="U818" s="59"/>
      <c r="X818" s="60" t="str">
        <f t="shared" si="66"/>
        <v>D</v>
      </c>
    </row>
    <row r="819" spans="2:24" x14ac:dyDescent="0.25">
      <c r="B819" s="54" t="str">
        <f>IFERROR(VLOOKUP(A819,Lookup!A:B,2,0),"")</f>
        <v/>
      </c>
      <c r="C819" s="54" t="str">
        <f>IFERROR(VLOOKUP(A819,Lookup!A:C,3,0),"")</f>
        <v/>
      </c>
      <c r="J819" s="103">
        <f>VLOOKUP(A819&amp;G819,Lookup!J:N,5,0)</f>
        <v>0</v>
      </c>
      <c r="O819" s="57">
        <f>IFERROR(VLOOKUP(A819&amp;G819,Lookup!J:K,2,0),"")</f>
        <v>0</v>
      </c>
      <c r="P819" s="110" t="str">
        <f t="shared" si="64"/>
        <v/>
      </c>
      <c r="T819" s="59" t="e">
        <f t="shared" si="65"/>
        <v>#VALUE!</v>
      </c>
      <c r="U819" s="59"/>
      <c r="X819" s="60" t="str">
        <f t="shared" si="66"/>
        <v>D</v>
      </c>
    </row>
    <row r="820" spans="2:24" x14ac:dyDescent="0.25">
      <c r="B820" s="54" t="str">
        <f>IFERROR(VLOOKUP(A820,Lookup!A:B,2,0),"")</f>
        <v/>
      </c>
      <c r="C820" s="54" t="str">
        <f>IFERROR(VLOOKUP(A820,Lookup!A:C,3,0),"")</f>
        <v/>
      </c>
      <c r="J820" s="103">
        <f>VLOOKUP(A820&amp;G820,Lookup!J:N,5,0)</f>
        <v>0</v>
      </c>
      <c r="O820" s="57">
        <f>IFERROR(VLOOKUP(A820&amp;G820,Lookup!J:K,2,0),"")</f>
        <v>0</v>
      </c>
      <c r="P820" s="110" t="str">
        <f t="shared" si="64"/>
        <v/>
      </c>
      <c r="T820" s="59" t="e">
        <f t="shared" si="65"/>
        <v>#VALUE!</v>
      </c>
      <c r="U820" s="59"/>
      <c r="X820" s="60" t="str">
        <f t="shared" si="66"/>
        <v>D</v>
      </c>
    </row>
    <row r="821" spans="2:24" x14ac:dyDescent="0.25">
      <c r="B821" s="54" t="str">
        <f>IFERROR(VLOOKUP(A821,Lookup!A:B,2,0),"")</f>
        <v/>
      </c>
      <c r="C821" s="54" t="str">
        <f>IFERROR(VLOOKUP(A821,Lookup!A:C,3,0),"")</f>
        <v/>
      </c>
      <c r="J821" s="103">
        <f>VLOOKUP(A821&amp;G821,Lookup!J:N,5,0)</f>
        <v>0</v>
      </c>
      <c r="O821" s="57">
        <f>IFERROR(VLOOKUP(A821&amp;G821,Lookup!J:K,2,0),"")</f>
        <v>0</v>
      </c>
      <c r="P821" s="110" t="str">
        <f t="shared" si="64"/>
        <v/>
      </c>
      <c r="T821" s="59" t="e">
        <f t="shared" si="65"/>
        <v>#VALUE!</v>
      </c>
      <c r="U821" s="59"/>
      <c r="X821" s="60" t="str">
        <f t="shared" si="66"/>
        <v>D</v>
      </c>
    </row>
    <row r="822" spans="2:24" x14ac:dyDescent="0.25">
      <c r="B822" s="54" t="str">
        <f>IFERROR(VLOOKUP(A822,Lookup!A:B,2,0),"")</f>
        <v/>
      </c>
      <c r="C822" s="54" t="str">
        <f>IFERROR(VLOOKUP(A822,Lookup!A:C,3,0),"")</f>
        <v/>
      </c>
      <c r="J822" s="103">
        <f>VLOOKUP(A822&amp;G822,Lookup!J:N,5,0)</f>
        <v>0</v>
      </c>
      <c r="O822" s="57">
        <f>IFERROR(VLOOKUP(A822&amp;G822,Lookup!J:K,2,0),"")</f>
        <v>0</v>
      </c>
      <c r="P822" s="110" t="str">
        <f t="shared" si="64"/>
        <v/>
      </c>
      <c r="T822" s="59" t="e">
        <f t="shared" si="65"/>
        <v>#VALUE!</v>
      </c>
      <c r="U822" s="59"/>
      <c r="X822" s="60" t="str">
        <f t="shared" si="66"/>
        <v>D</v>
      </c>
    </row>
    <row r="823" spans="2:24" x14ac:dyDescent="0.25">
      <c r="B823" s="54" t="str">
        <f>IFERROR(VLOOKUP(A823,Lookup!A:B,2,0),"")</f>
        <v/>
      </c>
      <c r="C823" s="54" t="str">
        <f>IFERROR(VLOOKUP(A823,Lookup!A:C,3,0),"")</f>
        <v/>
      </c>
      <c r="J823" s="103">
        <f>VLOOKUP(A823&amp;G823,Lookup!J:N,5,0)</f>
        <v>0</v>
      </c>
      <c r="O823" s="57">
        <f>IFERROR(VLOOKUP(A823&amp;G823,Lookup!J:K,2,0),"")</f>
        <v>0</v>
      </c>
      <c r="P823" s="110" t="str">
        <f t="shared" si="64"/>
        <v/>
      </c>
      <c r="T823" s="59" t="e">
        <f t="shared" si="65"/>
        <v>#VALUE!</v>
      </c>
      <c r="U823" s="59"/>
      <c r="X823" s="60" t="str">
        <f t="shared" si="66"/>
        <v>D</v>
      </c>
    </row>
    <row r="824" spans="2:24" x14ac:dyDescent="0.25">
      <c r="B824" s="54" t="str">
        <f>IFERROR(VLOOKUP(A824,Lookup!A:B,2,0),"")</f>
        <v/>
      </c>
      <c r="C824" s="54" t="str">
        <f>IFERROR(VLOOKUP(A824,Lookup!A:C,3,0),"")</f>
        <v/>
      </c>
      <c r="J824" s="103">
        <f>VLOOKUP(A824&amp;G824,Lookup!J:N,5,0)</f>
        <v>0</v>
      </c>
      <c r="O824" s="57">
        <f>IFERROR(VLOOKUP(A824&amp;G824,Lookup!J:K,2,0),"")</f>
        <v>0</v>
      </c>
      <c r="P824" s="110" t="str">
        <f t="shared" si="64"/>
        <v/>
      </c>
      <c r="T824" s="59" t="e">
        <f t="shared" si="65"/>
        <v>#VALUE!</v>
      </c>
      <c r="U824" s="59"/>
      <c r="X824" s="60" t="str">
        <f t="shared" si="66"/>
        <v>D</v>
      </c>
    </row>
    <row r="825" spans="2:24" x14ac:dyDescent="0.25">
      <c r="B825" s="54" t="str">
        <f>IFERROR(VLOOKUP(A825,Lookup!A:B,2,0),"")</f>
        <v/>
      </c>
      <c r="C825" s="54" t="str">
        <f>IFERROR(VLOOKUP(A825,Lookup!A:C,3,0),"")</f>
        <v/>
      </c>
      <c r="J825" s="103">
        <f>VLOOKUP(A825&amp;G825,Lookup!J:N,5,0)</f>
        <v>0</v>
      </c>
      <c r="O825" s="57">
        <f>IFERROR(VLOOKUP(A825&amp;G825,Lookup!J:K,2,0),"")</f>
        <v>0</v>
      </c>
      <c r="P825" s="110" t="str">
        <f t="shared" si="64"/>
        <v/>
      </c>
      <c r="T825" s="59" t="e">
        <f t="shared" si="65"/>
        <v>#VALUE!</v>
      </c>
      <c r="U825" s="59"/>
      <c r="X825" s="60" t="str">
        <f t="shared" si="66"/>
        <v>D</v>
      </c>
    </row>
    <row r="826" spans="2:24" x14ac:dyDescent="0.25">
      <c r="B826" s="54" t="str">
        <f>IFERROR(VLOOKUP(A826,Lookup!A:B,2,0),"")</f>
        <v/>
      </c>
      <c r="C826" s="54" t="str">
        <f>IFERROR(VLOOKUP(A826,Lookup!A:C,3,0),"")</f>
        <v/>
      </c>
      <c r="J826" s="103">
        <f>VLOOKUP(A826&amp;G826,Lookup!J:N,5,0)</f>
        <v>0</v>
      </c>
      <c r="O826" s="57">
        <f>IFERROR(VLOOKUP(A826&amp;G826,Lookup!J:K,2,0),"")</f>
        <v>0</v>
      </c>
      <c r="P826" s="110" t="str">
        <f t="shared" si="64"/>
        <v/>
      </c>
      <c r="T826" s="59" t="e">
        <f t="shared" si="65"/>
        <v>#VALUE!</v>
      </c>
      <c r="U826" s="59"/>
      <c r="X826" s="60" t="str">
        <f t="shared" si="66"/>
        <v>D</v>
      </c>
    </row>
    <row r="827" spans="2:24" x14ac:dyDescent="0.25">
      <c r="B827" s="54" t="str">
        <f>IFERROR(VLOOKUP(A827,Lookup!A:B,2,0),"")</f>
        <v/>
      </c>
      <c r="C827" s="54" t="str">
        <f>IFERROR(VLOOKUP(A827,Lookup!A:C,3,0),"")</f>
        <v/>
      </c>
      <c r="J827" s="103">
        <f>VLOOKUP(A827&amp;G827,Lookup!J:N,5,0)</f>
        <v>0</v>
      </c>
      <c r="O827" s="57">
        <f>IFERROR(VLOOKUP(A827&amp;G827,Lookup!J:K,2,0),"")</f>
        <v>0</v>
      </c>
      <c r="P827" s="110" t="str">
        <f t="shared" si="64"/>
        <v/>
      </c>
      <c r="T827" s="59" t="e">
        <f t="shared" si="65"/>
        <v>#VALUE!</v>
      </c>
      <c r="U827" s="59"/>
      <c r="X827" s="60" t="str">
        <f t="shared" si="66"/>
        <v>D</v>
      </c>
    </row>
    <row r="828" spans="2:24" x14ac:dyDescent="0.25">
      <c r="B828" s="54" t="str">
        <f>IFERROR(VLOOKUP(A828,Lookup!A:B,2,0),"")</f>
        <v/>
      </c>
      <c r="C828" s="54" t="str">
        <f>IFERROR(VLOOKUP(A828,Lookup!A:C,3,0),"")</f>
        <v/>
      </c>
      <c r="J828" s="103">
        <f>VLOOKUP(A828&amp;G828,Lookup!J:N,5,0)</f>
        <v>0</v>
      </c>
      <c r="O828" s="57">
        <f>IFERROR(VLOOKUP(A828&amp;G828,Lookup!J:K,2,0),"")</f>
        <v>0</v>
      </c>
      <c r="P828" s="110" t="str">
        <f t="shared" si="64"/>
        <v/>
      </c>
      <c r="T828" s="59" t="e">
        <f t="shared" si="65"/>
        <v>#VALUE!</v>
      </c>
      <c r="U828" s="59"/>
      <c r="X828" s="60" t="str">
        <f t="shared" si="66"/>
        <v>D</v>
      </c>
    </row>
    <row r="829" spans="2:24" x14ac:dyDescent="0.25">
      <c r="B829" s="54" t="str">
        <f>IFERROR(VLOOKUP(A829,Lookup!A:B,2,0),"")</f>
        <v/>
      </c>
      <c r="C829" s="54" t="str">
        <f>IFERROR(VLOOKUP(A829,Lookup!A:C,3,0),"")</f>
        <v/>
      </c>
      <c r="J829" s="103">
        <f>VLOOKUP(A829&amp;G829,Lookup!J:N,5,0)</f>
        <v>0</v>
      </c>
      <c r="O829" s="57">
        <f>IFERROR(VLOOKUP(A829&amp;G829,Lookup!J:K,2,0),"")</f>
        <v>0</v>
      </c>
      <c r="P829" s="110" t="str">
        <f t="shared" si="64"/>
        <v/>
      </c>
      <c r="T829" s="59" t="e">
        <f t="shared" si="65"/>
        <v>#VALUE!</v>
      </c>
      <c r="U829" s="59"/>
      <c r="X829" s="60" t="str">
        <f t="shared" si="66"/>
        <v>D</v>
      </c>
    </row>
    <row r="830" spans="2:24" x14ac:dyDescent="0.25">
      <c r="B830" s="54" t="str">
        <f>IFERROR(VLOOKUP(A830,Lookup!A:B,2,0),"")</f>
        <v/>
      </c>
      <c r="C830" s="54" t="str">
        <f>IFERROR(VLOOKUP(A830,Lookup!A:C,3,0),"")</f>
        <v/>
      </c>
      <c r="J830" s="103">
        <f>VLOOKUP(A830&amp;G830,Lookup!J:N,5,0)</f>
        <v>0</v>
      </c>
      <c r="O830" s="57">
        <f>IFERROR(VLOOKUP(A830&amp;G830,Lookup!J:K,2,0),"")</f>
        <v>0</v>
      </c>
      <c r="P830" s="110" t="str">
        <f t="shared" si="64"/>
        <v/>
      </c>
      <c r="T830" s="59" t="e">
        <f t="shared" si="65"/>
        <v>#VALUE!</v>
      </c>
      <c r="U830" s="59"/>
      <c r="X830" s="60" t="str">
        <f t="shared" si="66"/>
        <v>D</v>
      </c>
    </row>
    <row r="831" spans="2:24" x14ac:dyDescent="0.25">
      <c r="B831" s="54" t="str">
        <f>IFERROR(VLOOKUP(A831,Lookup!A:B,2,0),"")</f>
        <v/>
      </c>
      <c r="C831" s="54" t="str">
        <f>IFERROR(VLOOKUP(A831,Lookup!A:C,3,0),"")</f>
        <v/>
      </c>
      <c r="J831" s="103">
        <f>VLOOKUP(A831&amp;G831,Lookup!J:N,5,0)</f>
        <v>0</v>
      </c>
      <c r="O831" s="57">
        <f>IFERROR(VLOOKUP(A831&amp;G831,Lookup!J:K,2,0),"")</f>
        <v>0</v>
      </c>
      <c r="P831" s="110" t="str">
        <f t="shared" si="64"/>
        <v/>
      </c>
      <c r="T831" s="59" t="e">
        <f t="shared" si="65"/>
        <v>#VALUE!</v>
      </c>
      <c r="U831" s="59"/>
      <c r="X831" s="60" t="str">
        <f t="shared" si="66"/>
        <v>D</v>
      </c>
    </row>
    <row r="832" spans="2:24" x14ac:dyDescent="0.25">
      <c r="B832" s="54" t="str">
        <f>IFERROR(VLOOKUP(A832,Lookup!A:B,2,0),"")</f>
        <v/>
      </c>
      <c r="C832" s="54" t="str">
        <f>IFERROR(VLOOKUP(A832,Lookup!A:C,3,0),"")</f>
        <v/>
      </c>
      <c r="J832" s="103">
        <f>VLOOKUP(A832&amp;G832,Lookup!J:N,5,0)</f>
        <v>0</v>
      </c>
      <c r="O832" s="57">
        <f>IFERROR(VLOOKUP(A832&amp;G832,Lookup!J:K,2,0),"")</f>
        <v>0</v>
      </c>
      <c r="P832" s="110" t="str">
        <f t="shared" si="64"/>
        <v/>
      </c>
      <c r="T832" s="59" t="e">
        <f t="shared" si="65"/>
        <v>#VALUE!</v>
      </c>
      <c r="U832" s="59"/>
      <c r="X832" s="60" t="str">
        <f t="shared" si="66"/>
        <v>D</v>
      </c>
    </row>
    <row r="833" spans="2:24" x14ac:dyDescent="0.25">
      <c r="B833" s="54" t="str">
        <f>IFERROR(VLOOKUP(A833,Lookup!A:B,2,0),"")</f>
        <v/>
      </c>
      <c r="C833" s="54" t="str">
        <f>IFERROR(VLOOKUP(A833,Lookup!A:C,3,0),"")</f>
        <v/>
      </c>
      <c r="J833" s="103">
        <f>VLOOKUP(A833&amp;G833,Lookup!J:N,5,0)</f>
        <v>0</v>
      </c>
      <c r="O833" s="57">
        <f>IFERROR(VLOOKUP(A833&amp;G833,Lookup!J:K,2,0),"")</f>
        <v>0</v>
      </c>
      <c r="P833" s="110" t="str">
        <f t="shared" si="64"/>
        <v/>
      </c>
      <c r="T833" s="59" t="e">
        <f t="shared" si="65"/>
        <v>#VALUE!</v>
      </c>
      <c r="U833" s="59"/>
      <c r="X833" s="60" t="str">
        <f t="shared" si="66"/>
        <v>D</v>
      </c>
    </row>
    <row r="834" spans="2:24" x14ac:dyDescent="0.25">
      <c r="B834" s="54" t="str">
        <f>IFERROR(VLOOKUP(A834,Lookup!A:B,2,0),"")</f>
        <v/>
      </c>
      <c r="C834" s="54" t="str">
        <f>IFERROR(VLOOKUP(A834,Lookup!A:C,3,0),"")</f>
        <v/>
      </c>
      <c r="J834" s="103">
        <f>VLOOKUP(A834&amp;G834,Lookup!J:N,5,0)</f>
        <v>0</v>
      </c>
      <c r="O834" s="57">
        <f>IFERROR(VLOOKUP(A834&amp;G834,Lookup!J:K,2,0),"")</f>
        <v>0</v>
      </c>
      <c r="P834" s="110" t="str">
        <f t="shared" si="64"/>
        <v/>
      </c>
      <c r="T834" s="59" t="e">
        <f t="shared" si="65"/>
        <v>#VALUE!</v>
      </c>
      <c r="U834" s="59"/>
      <c r="X834" s="60" t="str">
        <f t="shared" si="66"/>
        <v>D</v>
      </c>
    </row>
    <row r="835" spans="2:24" x14ac:dyDescent="0.25">
      <c r="B835" s="54" t="str">
        <f>IFERROR(VLOOKUP(A835,Lookup!A:B,2,0),"")</f>
        <v/>
      </c>
      <c r="C835" s="54" t="str">
        <f>IFERROR(VLOOKUP(A835,Lookup!A:C,3,0),"")</f>
        <v/>
      </c>
      <c r="J835" s="103">
        <f>VLOOKUP(A835&amp;G835,Lookup!J:N,5,0)</f>
        <v>0</v>
      </c>
      <c r="O835" s="57">
        <f>IFERROR(VLOOKUP(A835&amp;G835,Lookup!J:K,2,0),"")</f>
        <v>0</v>
      </c>
      <c r="P835" s="110" t="str">
        <f t="shared" si="64"/>
        <v/>
      </c>
      <c r="T835" s="59" t="e">
        <f t="shared" si="65"/>
        <v>#VALUE!</v>
      </c>
      <c r="U835" s="59"/>
      <c r="X835" s="60" t="str">
        <f t="shared" si="66"/>
        <v>D</v>
      </c>
    </row>
    <row r="836" spans="2:24" x14ac:dyDescent="0.25">
      <c r="B836" s="54" t="str">
        <f>IFERROR(VLOOKUP(A836,Lookup!A:B,2,0),"")</f>
        <v/>
      </c>
      <c r="C836" s="54" t="str">
        <f>IFERROR(VLOOKUP(A836,Lookup!A:C,3,0),"")</f>
        <v/>
      </c>
      <c r="J836" s="103">
        <f>VLOOKUP(A836&amp;G836,Lookup!J:N,5,0)</f>
        <v>0</v>
      </c>
      <c r="O836" s="57">
        <f>IFERROR(VLOOKUP(A836&amp;G836,Lookup!J:K,2,0),"")</f>
        <v>0</v>
      </c>
      <c r="P836" s="110" t="str">
        <f t="shared" ref="P836:P899" si="67">IF(N836="","",N836+O836)</f>
        <v/>
      </c>
      <c r="T836" s="59" t="e">
        <f t="shared" si="65"/>
        <v>#VALUE!</v>
      </c>
      <c r="U836" s="59"/>
      <c r="X836" s="60" t="str">
        <f t="shared" si="66"/>
        <v>D</v>
      </c>
    </row>
    <row r="837" spans="2:24" x14ac:dyDescent="0.25">
      <c r="B837" s="54" t="str">
        <f>IFERROR(VLOOKUP(A837,Lookup!A:B,2,0),"")</f>
        <v/>
      </c>
      <c r="C837" s="54" t="str">
        <f>IFERROR(VLOOKUP(A837,Lookup!A:C,3,0),"")</f>
        <v/>
      </c>
      <c r="J837" s="103">
        <f>VLOOKUP(A837&amp;G837,Lookup!J:N,5,0)</f>
        <v>0</v>
      </c>
      <c r="O837" s="57">
        <f>IFERROR(VLOOKUP(A837&amp;G837,Lookup!J:K,2,0),"")</f>
        <v>0</v>
      </c>
      <c r="P837" s="110" t="str">
        <f t="shared" si="67"/>
        <v/>
      </c>
      <c r="T837" s="59" t="e">
        <f t="shared" si="65"/>
        <v>#VALUE!</v>
      </c>
      <c r="U837" s="59"/>
      <c r="X837" s="60" t="str">
        <f t="shared" si="66"/>
        <v>D</v>
      </c>
    </row>
    <row r="838" spans="2:24" x14ac:dyDescent="0.25">
      <c r="B838" s="54" t="str">
        <f>IFERROR(VLOOKUP(A838,Lookup!A:B,2,0),"")</f>
        <v/>
      </c>
      <c r="C838" s="54" t="str">
        <f>IFERROR(VLOOKUP(A838,Lookup!A:C,3,0),"")</f>
        <v/>
      </c>
      <c r="J838" s="103">
        <f>VLOOKUP(A838&amp;G838,Lookup!J:N,5,0)</f>
        <v>0</v>
      </c>
      <c r="O838" s="57">
        <f>IFERROR(VLOOKUP(A838&amp;G838,Lookup!J:K,2,0),"")</f>
        <v>0</v>
      </c>
      <c r="P838" s="110" t="str">
        <f t="shared" si="67"/>
        <v/>
      </c>
      <c r="T838" s="59" t="e">
        <f t="shared" si="65"/>
        <v>#VALUE!</v>
      </c>
      <c r="U838" s="59"/>
      <c r="X838" s="60" t="str">
        <f t="shared" si="66"/>
        <v>D</v>
      </c>
    </row>
    <row r="839" spans="2:24" x14ac:dyDescent="0.25">
      <c r="B839" s="54" t="str">
        <f>IFERROR(VLOOKUP(A839,Lookup!A:B,2,0),"")</f>
        <v/>
      </c>
      <c r="C839" s="54" t="str">
        <f>IFERROR(VLOOKUP(A839,Lookup!A:C,3,0),"")</f>
        <v/>
      </c>
      <c r="J839" s="103">
        <f>VLOOKUP(A839&amp;G839,Lookup!J:N,5,0)</f>
        <v>0</v>
      </c>
      <c r="O839" s="57">
        <f>IFERROR(VLOOKUP(A839&amp;G839,Lookup!J:K,2,0),"")</f>
        <v>0</v>
      </c>
      <c r="P839" s="110" t="str">
        <f t="shared" si="67"/>
        <v/>
      </c>
      <c r="T839" s="59" t="e">
        <f t="shared" si="65"/>
        <v>#VALUE!</v>
      </c>
      <c r="U839" s="59"/>
      <c r="X839" s="60" t="str">
        <f t="shared" si="66"/>
        <v>D</v>
      </c>
    </row>
    <row r="840" spans="2:24" x14ac:dyDescent="0.25">
      <c r="B840" s="54" t="str">
        <f>IFERROR(VLOOKUP(A840,Lookup!A:B,2,0),"")</f>
        <v/>
      </c>
      <c r="C840" s="54" t="str">
        <f>IFERROR(VLOOKUP(A840,Lookup!A:C,3,0),"")</f>
        <v/>
      </c>
      <c r="J840" s="103">
        <f>VLOOKUP(A840&amp;G840,Lookup!J:N,5,0)</f>
        <v>0</v>
      </c>
      <c r="O840" s="57">
        <f>IFERROR(VLOOKUP(A840&amp;G840,Lookup!J:K,2,0),"")</f>
        <v>0</v>
      </c>
      <c r="P840" s="110" t="str">
        <f t="shared" si="67"/>
        <v/>
      </c>
      <c r="T840" s="59" t="e">
        <f t="shared" si="65"/>
        <v>#VALUE!</v>
      </c>
      <c r="U840" s="59"/>
      <c r="X840" s="60" t="str">
        <f t="shared" si="66"/>
        <v>D</v>
      </c>
    </row>
    <row r="841" spans="2:24" x14ac:dyDescent="0.25">
      <c r="B841" s="54" t="str">
        <f>IFERROR(VLOOKUP(A841,Lookup!A:B,2,0),"")</f>
        <v/>
      </c>
      <c r="C841" s="54" t="str">
        <f>IFERROR(VLOOKUP(A841,Lookup!A:C,3,0),"")</f>
        <v/>
      </c>
      <c r="J841" s="103">
        <f>VLOOKUP(A841&amp;G841,Lookup!J:N,5,0)</f>
        <v>0</v>
      </c>
      <c r="O841" s="57">
        <f>IFERROR(VLOOKUP(A841&amp;G841,Lookup!J:K,2,0),"")</f>
        <v>0</v>
      </c>
      <c r="P841" s="110" t="str">
        <f t="shared" si="67"/>
        <v/>
      </c>
      <c r="T841" s="59" t="e">
        <f t="shared" si="65"/>
        <v>#VALUE!</v>
      </c>
      <c r="U841" s="59"/>
      <c r="X841" s="60" t="str">
        <f t="shared" si="66"/>
        <v>D</v>
      </c>
    </row>
    <row r="842" spans="2:24" x14ac:dyDescent="0.25">
      <c r="B842" s="54" t="str">
        <f>IFERROR(VLOOKUP(A842,Lookup!A:B,2,0),"")</f>
        <v/>
      </c>
      <c r="C842" s="54" t="str">
        <f>IFERROR(VLOOKUP(A842,Lookup!A:C,3,0),"")</f>
        <v/>
      </c>
      <c r="J842" s="103">
        <f>VLOOKUP(A842&amp;G842,Lookup!J:N,5,0)</f>
        <v>0</v>
      </c>
      <c r="O842" s="57">
        <f>IFERROR(VLOOKUP(A842&amp;G842,Lookup!J:K,2,0),"")</f>
        <v>0</v>
      </c>
      <c r="P842" s="110" t="str">
        <f t="shared" si="67"/>
        <v/>
      </c>
      <c r="T842" s="59" t="e">
        <f t="shared" si="65"/>
        <v>#VALUE!</v>
      </c>
      <c r="U842" s="59"/>
      <c r="X842" s="60" t="str">
        <f t="shared" si="66"/>
        <v>D</v>
      </c>
    </row>
    <row r="843" spans="2:24" x14ac:dyDescent="0.25">
      <c r="B843" s="54" t="str">
        <f>IFERROR(VLOOKUP(A843,Lookup!A:B,2,0),"")</f>
        <v/>
      </c>
      <c r="C843" s="54" t="str">
        <f>IFERROR(VLOOKUP(A843,Lookup!A:C,3,0),"")</f>
        <v/>
      </c>
      <c r="J843" s="103">
        <f>VLOOKUP(A843&amp;G843,Lookup!J:N,5,0)</f>
        <v>0</v>
      </c>
      <c r="O843" s="57">
        <f>IFERROR(VLOOKUP(A843&amp;G843,Lookup!J:K,2,0),"")</f>
        <v>0</v>
      </c>
      <c r="P843" s="110" t="str">
        <f t="shared" si="67"/>
        <v/>
      </c>
      <c r="T843" s="59" t="e">
        <f t="shared" si="65"/>
        <v>#VALUE!</v>
      </c>
      <c r="U843" s="59"/>
      <c r="X843" s="60" t="str">
        <f t="shared" si="66"/>
        <v>D</v>
      </c>
    </row>
    <row r="844" spans="2:24" x14ac:dyDescent="0.25">
      <c r="B844" s="54" t="str">
        <f>IFERROR(VLOOKUP(A844,Lookup!A:B,2,0),"")</f>
        <v/>
      </c>
      <c r="C844" s="54" t="str">
        <f>IFERROR(VLOOKUP(A844,Lookup!A:C,3,0),"")</f>
        <v/>
      </c>
      <c r="J844" s="103">
        <f>VLOOKUP(A844&amp;G844,Lookup!J:N,5,0)</f>
        <v>0</v>
      </c>
      <c r="O844" s="57">
        <f>IFERROR(VLOOKUP(A844&amp;G844,Lookup!J:K,2,0),"")</f>
        <v>0</v>
      </c>
      <c r="P844" s="110" t="str">
        <f t="shared" si="67"/>
        <v/>
      </c>
      <c r="T844" s="59" t="e">
        <f t="shared" si="65"/>
        <v>#VALUE!</v>
      </c>
      <c r="U844" s="59"/>
      <c r="X844" s="60" t="str">
        <f t="shared" si="66"/>
        <v>D</v>
      </c>
    </row>
    <row r="845" spans="2:24" x14ac:dyDescent="0.25">
      <c r="B845" s="54" t="str">
        <f>IFERROR(VLOOKUP(A845,Lookup!A:B,2,0),"")</f>
        <v/>
      </c>
      <c r="C845" s="54" t="str">
        <f>IFERROR(VLOOKUP(A845,Lookup!A:C,3,0),"")</f>
        <v/>
      </c>
      <c r="J845" s="103">
        <f>VLOOKUP(A845&amp;G845,Lookup!J:N,5,0)</f>
        <v>0</v>
      </c>
      <c r="O845" s="57">
        <f>IFERROR(VLOOKUP(A845&amp;G845,Lookup!J:K,2,0),"")</f>
        <v>0</v>
      </c>
      <c r="P845" s="110" t="str">
        <f t="shared" si="67"/>
        <v/>
      </c>
      <c r="T845" s="59" t="e">
        <f t="shared" si="65"/>
        <v>#VALUE!</v>
      </c>
      <c r="U845" s="59"/>
      <c r="X845" s="60" t="str">
        <f t="shared" si="66"/>
        <v>D</v>
      </c>
    </row>
    <row r="846" spans="2:24" x14ac:dyDescent="0.25">
      <c r="B846" s="54" t="str">
        <f>IFERROR(VLOOKUP(A846,Lookup!A:B,2,0),"")</f>
        <v/>
      </c>
      <c r="C846" s="54" t="str">
        <f>IFERROR(VLOOKUP(A846,Lookup!A:C,3,0),"")</f>
        <v/>
      </c>
      <c r="J846" s="103">
        <f>VLOOKUP(A846&amp;G846,Lookup!J:N,5,0)</f>
        <v>0</v>
      </c>
      <c r="O846" s="57">
        <f>IFERROR(VLOOKUP(A846&amp;G846,Lookup!J:K,2,0),"")</f>
        <v>0</v>
      </c>
      <c r="P846" s="110" t="str">
        <f t="shared" si="67"/>
        <v/>
      </c>
      <c r="T846" s="59" t="e">
        <f t="shared" ref="T846:T909" si="68">IF(Q846-P846&gt;0.0415,"YES",(IF(OR(EXACT(Q846,""), EXACT(P846,"")),"","NO")))</f>
        <v>#VALUE!</v>
      </c>
      <c r="U846" s="59"/>
      <c r="X846" s="60" t="str">
        <f t="shared" si="66"/>
        <v>D</v>
      </c>
    </row>
    <row r="847" spans="2:24" x14ac:dyDescent="0.25">
      <c r="B847" s="54" t="str">
        <f>IFERROR(VLOOKUP(A847,Lookup!A:B,2,0),"")</f>
        <v/>
      </c>
      <c r="C847" s="54" t="str">
        <f>IFERROR(VLOOKUP(A847,Lookup!A:C,3,0),"")</f>
        <v/>
      </c>
      <c r="J847" s="103">
        <f>VLOOKUP(A847&amp;G847,Lookup!J:N,5,0)</f>
        <v>0</v>
      </c>
      <c r="O847" s="57">
        <f>IFERROR(VLOOKUP(A847&amp;G847,Lookup!J:K,2,0),"")</f>
        <v>0</v>
      </c>
      <c r="P847" s="110" t="str">
        <f t="shared" si="67"/>
        <v/>
      </c>
      <c r="T847" s="59" t="e">
        <f t="shared" si="68"/>
        <v>#VALUE!</v>
      </c>
      <c r="U847" s="59"/>
      <c r="X847" s="60" t="str">
        <f t="shared" si="66"/>
        <v>D</v>
      </c>
    </row>
    <row r="848" spans="2:24" x14ac:dyDescent="0.25">
      <c r="B848" s="54" t="str">
        <f>IFERROR(VLOOKUP(A848,Lookup!A:B,2,0),"")</f>
        <v/>
      </c>
      <c r="C848" s="54" t="str">
        <f>IFERROR(VLOOKUP(A848,Lookup!A:C,3,0),"")</f>
        <v/>
      </c>
      <c r="J848" s="103">
        <f>VLOOKUP(A848&amp;G848,Lookup!J:N,5,0)</f>
        <v>0</v>
      </c>
      <c r="O848" s="57">
        <f>IFERROR(VLOOKUP(A848&amp;G848,Lookup!J:K,2,0),"")</f>
        <v>0</v>
      </c>
      <c r="P848" s="110" t="str">
        <f t="shared" si="67"/>
        <v/>
      </c>
      <c r="T848" s="59" t="e">
        <f t="shared" si="68"/>
        <v>#VALUE!</v>
      </c>
      <c r="U848" s="59"/>
      <c r="X848" s="60" t="str">
        <f t="shared" si="66"/>
        <v>D</v>
      </c>
    </row>
    <row r="849" spans="2:24" x14ac:dyDescent="0.25">
      <c r="B849" s="54" t="str">
        <f>IFERROR(VLOOKUP(A849,Lookup!A:B,2,0),"")</f>
        <v/>
      </c>
      <c r="C849" s="54" t="str">
        <f>IFERROR(VLOOKUP(A849,Lookup!A:C,3,0),"")</f>
        <v/>
      </c>
      <c r="J849" s="103">
        <f>VLOOKUP(A849&amp;G849,Lookup!J:N,5,0)</f>
        <v>0</v>
      </c>
      <c r="O849" s="57">
        <f>IFERROR(VLOOKUP(A849&amp;G849,Lookup!J:K,2,0),"")</f>
        <v>0</v>
      </c>
      <c r="P849" s="110" t="str">
        <f t="shared" si="67"/>
        <v/>
      </c>
      <c r="T849" s="59" t="e">
        <f t="shared" si="68"/>
        <v>#VALUE!</v>
      </c>
      <c r="U849" s="59"/>
      <c r="X849" s="60" t="str">
        <f t="shared" si="66"/>
        <v>D</v>
      </c>
    </row>
    <row r="850" spans="2:24" x14ac:dyDescent="0.25">
      <c r="B850" s="54" t="str">
        <f>IFERROR(VLOOKUP(A850,Lookup!A:B,2,0),"")</f>
        <v/>
      </c>
      <c r="C850" s="54" t="str">
        <f>IFERROR(VLOOKUP(A850,Lookup!A:C,3,0),"")</f>
        <v/>
      </c>
      <c r="J850" s="103">
        <f>VLOOKUP(A850&amp;G850,Lookup!J:N,5,0)</f>
        <v>0</v>
      </c>
      <c r="O850" s="57">
        <f>IFERROR(VLOOKUP(A850&amp;G850,Lookup!J:K,2,0),"")</f>
        <v>0</v>
      </c>
      <c r="P850" s="110" t="str">
        <f t="shared" si="67"/>
        <v/>
      </c>
      <c r="T850" s="59" t="e">
        <f t="shared" si="68"/>
        <v>#VALUE!</v>
      </c>
      <c r="U850" s="59"/>
      <c r="X850" s="60" t="str">
        <f t="shared" si="66"/>
        <v>D</v>
      </c>
    </row>
    <row r="851" spans="2:24" x14ac:dyDescent="0.25">
      <c r="B851" s="54" t="str">
        <f>IFERROR(VLOOKUP(A851,Lookup!A:B,2,0),"")</f>
        <v/>
      </c>
      <c r="C851" s="54" t="str">
        <f>IFERROR(VLOOKUP(A851,Lookup!A:C,3,0),"")</f>
        <v/>
      </c>
      <c r="J851" s="103">
        <f>VLOOKUP(A851&amp;G851,Lookup!J:N,5,0)</f>
        <v>0</v>
      </c>
      <c r="O851" s="57">
        <f>IFERROR(VLOOKUP(A851&amp;G851,Lookup!J:K,2,0),"")</f>
        <v>0</v>
      </c>
      <c r="P851" s="110" t="str">
        <f t="shared" si="67"/>
        <v/>
      </c>
      <c r="T851" s="59" t="e">
        <f t="shared" si="68"/>
        <v>#VALUE!</v>
      </c>
      <c r="U851" s="59"/>
      <c r="X851" s="60" t="str">
        <f t="shared" si="66"/>
        <v>D</v>
      </c>
    </row>
    <row r="852" spans="2:24" x14ac:dyDescent="0.25">
      <c r="B852" s="54" t="str">
        <f>IFERROR(VLOOKUP(A852,Lookup!A:B,2,0),"")</f>
        <v/>
      </c>
      <c r="C852" s="54" t="str">
        <f>IFERROR(VLOOKUP(A852,Lookup!A:C,3,0),"")</f>
        <v/>
      </c>
      <c r="J852" s="103">
        <f>VLOOKUP(A852&amp;G852,Lookup!J:N,5,0)</f>
        <v>0</v>
      </c>
      <c r="O852" s="57">
        <f>IFERROR(VLOOKUP(A852&amp;G852,Lookup!J:K,2,0),"")</f>
        <v>0</v>
      </c>
      <c r="P852" s="110" t="str">
        <f t="shared" si="67"/>
        <v/>
      </c>
      <c r="T852" s="59" t="e">
        <f t="shared" si="68"/>
        <v>#VALUE!</v>
      </c>
      <c r="U852" s="59"/>
      <c r="X852" s="60" t="str">
        <f t="shared" si="66"/>
        <v>D</v>
      </c>
    </row>
    <row r="853" spans="2:24" x14ac:dyDescent="0.25">
      <c r="B853" s="54" t="str">
        <f>IFERROR(VLOOKUP(A853,Lookup!A:B,2,0),"")</f>
        <v/>
      </c>
      <c r="C853" s="54" t="str">
        <f>IFERROR(VLOOKUP(A853,Lookup!A:C,3,0),"")</f>
        <v/>
      </c>
      <c r="J853" s="103">
        <f>VLOOKUP(A853&amp;G853,Lookup!J:N,5,0)</f>
        <v>0</v>
      </c>
      <c r="O853" s="57">
        <f>IFERROR(VLOOKUP(A853&amp;G853,Lookup!J:K,2,0),"")</f>
        <v>0</v>
      </c>
      <c r="P853" s="110" t="str">
        <f t="shared" si="67"/>
        <v/>
      </c>
      <c r="T853" s="59" t="e">
        <f t="shared" si="68"/>
        <v>#VALUE!</v>
      </c>
      <c r="U853" s="59"/>
      <c r="X853" s="60" t="str">
        <f t="shared" si="66"/>
        <v>D</v>
      </c>
    </row>
    <row r="854" spans="2:24" x14ac:dyDescent="0.25">
      <c r="B854" s="54" t="str">
        <f>IFERROR(VLOOKUP(A854,Lookup!A:B,2,0),"")</f>
        <v/>
      </c>
      <c r="C854" s="54" t="str">
        <f>IFERROR(VLOOKUP(A854,Lookup!A:C,3,0),"")</f>
        <v/>
      </c>
      <c r="J854" s="103">
        <f>VLOOKUP(A854&amp;G854,Lookup!J:N,5,0)</f>
        <v>0</v>
      </c>
      <c r="O854" s="57">
        <f>IFERROR(VLOOKUP(A854&amp;G854,Lookup!J:K,2,0),"")</f>
        <v>0</v>
      </c>
      <c r="P854" s="110" t="str">
        <f t="shared" si="67"/>
        <v/>
      </c>
      <c r="T854" s="59" t="e">
        <f t="shared" si="68"/>
        <v>#VALUE!</v>
      </c>
      <c r="U854" s="59"/>
      <c r="X854" s="60" t="str">
        <f t="shared" si="66"/>
        <v>D</v>
      </c>
    </row>
    <row r="855" spans="2:24" x14ac:dyDescent="0.25">
      <c r="B855" s="54" t="str">
        <f>IFERROR(VLOOKUP(A855,Lookup!A:B,2,0),"")</f>
        <v/>
      </c>
      <c r="C855" s="54" t="str">
        <f>IFERROR(VLOOKUP(A855,Lookup!A:C,3,0),"")</f>
        <v/>
      </c>
      <c r="J855" s="103">
        <f>VLOOKUP(A855&amp;G855,Lookup!J:N,5,0)</f>
        <v>0</v>
      </c>
      <c r="O855" s="57">
        <f>IFERROR(VLOOKUP(A855&amp;G855,Lookup!J:K,2,0),"")</f>
        <v>0</v>
      </c>
      <c r="P855" s="110" t="str">
        <f t="shared" si="67"/>
        <v/>
      </c>
      <c r="T855" s="59" t="e">
        <f t="shared" si="68"/>
        <v>#VALUE!</v>
      </c>
      <c r="U855" s="59"/>
      <c r="X855" s="60" t="str">
        <f t="shared" si="66"/>
        <v>D</v>
      </c>
    </row>
    <row r="856" spans="2:24" x14ac:dyDescent="0.25">
      <c r="B856" s="54" t="str">
        <f>IFERROR(VLOOKUP(A856,Lookup!A:B,2,0),"")</f>
        <v/>
      </c>
      <c r="C856" s="54" t="str">
        <f>IFERROR(VLOOKUP(A856,Lookup!A:C,3,0),"")</f>
        <v/>
      </c>
      <c r="J856" s="103">
        <f>VLOOKUP(A856&amp;G856,Lookup!J:N,5,0)</f>
        <v>0</v>
      </c>
      <c r="O856" s="57">
        <f>IFERROR(VLOOKUP(A856&amp;G856,Lookup!J:K,2,0),"")</f>
        <v>0</v>
      </c>
      <c r="P856" s="110" t="str">
        <f t="shared" si="67"/>
        <v/>
      </c>
      <c r="T856" s="59" t="e">
        <f t="shared" si="68"/>
        <v>#VALUE!</v>
      </c>
      <c r="U856" s="59"/>
      <c r="X856" s="60" t="str">
        <f t="shared" si="66"/>
        <v>D</v>
      </c>
    </row>
    <row r="857" spans="2:24" x14ac:dyDescent="0.25">
      <c r="B857" s="54" t="str">
        <f>IFERROR(VLOOKUP(A857,Lookup!A:B,2,0),"")</f>
        <v/>
      </c>
      <c r="C857" s="54" t="str">
        <f>IFERROR(VLOOKUP(A857,Lookup!A:C,3,0),"")</f>
        <v/>
      </c>
      <c r="J857" s="103">
        <f>VLOOKUP(A857&amp;G857,Lookup!J:N,5,0)</f>
        <v>0</v>
      </c>
      <c r="O857" s="57">
        <f>IFERROR(VLOOKUP(A857&amp;G857,Lookup!J:K,2,0),"")</f>
        <v>0</v>
      </c>
      <c r="P857" s="110" t="str">
        <f t="shared" si="67"/>
        <v/>
      </c>
      <c r="T857" s="59" t="e">
        <f t="shared" si="68"/>
        <v>#VALUE!</v>
      </c>
      <c r="U857" s="59"/>
      <c r="X857" s="60" t="str">
        <f t="shared" si="66"/>
        <v>D</v>
      </c>
    </row>
    <row r="858" spans="2:24" x14ac:dyDescent="0.25">
      <c r="B858" s="54" t="str">
        <f>IFERROR(VLOOKUP(A858,Lookup!A:B,2,0),"")</f>
        <v/>
      </c>
      <c r="C858" s="54" t="str">
        <f>IFERROR(VLOOKUP(A858,Lookup!A:C,3,0),"")</f>
        <v/>
      </c>
      <c r="J858" s="103">
        <f>VLOOKUP(A858&amp;G858,Lookup!J:N,5,0)</f>
        <v>0</v>
      </c>
      <c r="O858" s="57">
        <f>IFERROR(VLOOKUP(A858&amp;G858,Lookup!J:K,2,0),"")</f>
        <v>0</v>
      </c>
      <c r="P858" s="110" t="str">
        <f t="shared" si="67"/>
        <v/>
      </c>
      <c r="T858" s="59" t="e">
        <f t="shared" si="68"/>
        <v>#VALUE!</v>
      </c>
      <c r="U858" s="59"/>
      <c r="X858" s="60" t="str">
        <f t="shared" si="66"/>
        <v>D</v>
      </c>
    </row>
    <row r="859" spans="2:24" x14ac:dyDescent="0.25">
      <c r="B859" s="54" t="str">
        <f>IFERROR(VLOOKUP(A859,Lookup!A:B,2,0),"")</f>
        <v/>
      </c>
      <c r="C859" s="54" t="str">
        <f>IFERROR(VLOOKUP(A859,Lookup!A:C,3,0),"")</f>
        <v/>
      </c>
      <c r="J859" s="103">
        <f>VLOOKUP(A859&amp;G859,Lookup!J:N,5,0)</f>
        <v>0</v>
      </c>
      <c r="O859" s="57">
        <f>IFERROR(VLOOKUP(A859&amp;G859,Lookup!J:K,2,0),"")</f>
        <v>0</v>
      </c>
      <c r="P859" s="110" t="str">
        <f t="shared" si="67"/>
        <v/>
      </c>
      <c r="T859" s="59" t="e">
        <f t="shared" si="68"/>
        <v>#VALUE!</v>
      </c>
      <c r="U859" s="59"/>
      <c r="X859" s="60" t="str">
        <f t="shared" si="66"/>
        <v>D</v>
      </c>
    </row>
    <row r="860" spans="2:24" x14ac:dyDescent="0.25">
      <c r="B860" s="54" t="str">
        <f>IFERROR(VLOOKUP(A860,Lookup!A:B,2,0),"")</f>
        <v/>
      </c>
      <c r="C860" s="54" t="str">
        <f>IFERROR(VLOOKUP(A860,Lookup!A:C,3,0),"")</f>
        <v/>
      </c>
      <c r="J860" s="103">
        <f>VLOOKUP(A860&amp;G860,Lookup!J:N,5,0)</f>
        <v>0</v>
      </c>
      <c r="O860" s="57">
        <f>IFERROR(VLOOKUP(A860&amp;G860,Lookup!J:K,2,0),"")</f>
        <v>0</v>
      </c>
      <c r="P860" s="110" t="str">
        <f t="shared" si="67"/>
        <v/>
      </c>
      <c r="T860" s="59" t="e">
        <f t="shared" si="68"/>
        <v>#VALUE!</v>
      </c>
      <c r="U860" s="59"/>
      <c r="X860" s="60" t="str">
        <f t="shared" si="66"/>
        <v>D</v>
      </c>
    </row>
    <row r="861" spans="2:24" x14ac:dyDescent="0.25">
      <c r="B861" s="54" t="str">
        <f>IFERROR(VLOOKUP(A861,Lookup!A:B,2,0),"")</f>
        <v/>
      </c>
      <c r="C861" s="54" t="str">
        <f>IFERROR(VLOOKUP(A861,Lookup!A:C,3,0),"")</f>
        <v/>
      </c>
      <c r="J861" s="103">
        <f>VLOOKUP(A861&amp;G861,Lookup!J:N,5,0)</f>
        <v>0</v>
      </c>
      <c r="O861" s="57">
        <f>IFERROR(VLOOKUP(A861&amp;G861,Lookup!J:K,2,0),"")</f>
        <v>0</v>
      </c>
      <c r="P861" s="110" t="str">
        <f t="shared" si="67"/>
        <v/>
      </c>
      <c r="T861" s="59" t="e">
        <f t="shared" si="68"/>
        <v>#VALUE!</v>
      </c>
      <c r="U861" s="59"/>
      <c r="X861" s="60" t="str">
        <f t="shared" si="66"/>
        <v>D</v>
      </c>
    </row>
    <row r="862" spans="2:24" x14ac:dyDescent="0.25">
      <c r="B862" s="54" t="str">
        <f>IFERROR(VLOOKUP(A862,Lookup!A:B,2,0),"")</f>
        <v/>
      </c>
      <c r="C862" s="54" t="str">
        <f>IFERROR(VLOOKUP(A862,Lookup!A:C,3,0),"")</f>
        <v/>
      </c>
      <c r="J862" s="103">
        <f>VLOOKUP(A862&amp;G862,Lookup!J:N,5,0)</f>
        <v>0</v>
      </c>
      <c r="O862" s="57">
        <f>IFERROR(VLOOKUP(A862&amp;G862,Lookup!J:K,2,0),"")</f>
        <v>0</v>
      </c>
      <c r="P862" s="110" t="str">
        <f t="shared" si="67"/>
        <v/>
      </c>
      <c r="T862" s="59" t="e">
        <f t="shared" si="68"/>
        <v>#VALUE!</v>
      </c>
      <c r="U862" s="59"/>
      <c r="X862" s="60" t="str">
        <f t="shared" si="66"/>
        <v>D</v>
      </c>
    </row>
    <row r="863" spans="2:24" x14ac:dyDescent="0.25">
      <c r="B863" s="54" t="str">
        <f>IFERROR(VLOOKUP(A863,Lookup!A:B,2,0),"")</f>
        <v/>
      </c>
      <c r="C863" s="54" t="str">
        <f>IFERROR(VLOOKUP(A863,Lookup!A:C,3,0),"")</f>
        <v/>
      </c>
      <c r="J863" s="103">
        <f>VLOOKUP(A863&amp;G863,Lookup!J:N,5,0)</f>
        <v>0</v>
      </c>
      <c r="O863" s="57">
        <f>IFERROR(VLOOKUP(A863&amp;G863,Lookup!J:K,2,0),"")</f>
        <v>0</v>
      </c>
      <c r="P863" s="110" t="str">
        <f t="shared" si="67"/>
        <v/>
      </c>
      <c r="T863" s="59" t="e">
        <f t="shared" si="68"/>
        <v>#VALUE!</v>
      </c>
      <c r="U863" s="59"/>
      <c r="X863" s="60" t="str">
        <f t="shared" si="66"/>
        <v>D</v>
      </c>
    </row>
    <row r="864" spans="2:24" x14ac:dyDescent="0.25">
      <c r="B864" s="54" t="str">
        <f>IFERROR(VLOOKUP(A864,Lookup!A:B,2,0),"")</f>
        <v/>
      </c>
      <c r="C864" s="54" t="str">
        <f>IFERROR(VLOOKUP(A864,Lookup!A:C,3,0),"")</f>
        <v/>
      </c>
      <c r="J864" s="103">
        <f>VLOOKUP(A864&amp;G864,Lookup!J:N,5,0)</f>
        <v>0</v>
      </c>
      <c r="O864" s="57">
        <f>IFERROR(VLOOKUP(A864&amp;G864,Lookup!J:K,2,0),"")</f>
        <v>0</v>
      </c>
      <c r="P864" s="110" t="str">
        <f t="shared" si="67"/>
        <v/>
      </c>
      <c r="T864" s="59" t="e">
        <f t="shared" si="68"/>
        <v>#VALUE!</v>
      </c>
      <c r="U864" s="59"/>
      <c r="X864" s="60" t="str">
        <f t="shared" si="66"/>
        <v>D</v>
      </c>
    </row>
    <row r="865" spans="2:24" x14ac:dyDescent="0.25">
      <c r="B865" s="54" t="str">
        <f>IFERROR(VLOOKUP(A865,Lookup!A:B,2,0),"")</f>
        <v/>
      </c>
      <c r="C865" s="54" t="str">
        <f>IFERROR(VLOOKUP(A865,Lookup!A:C,3,0),"")</f>
        <v/>
      </c>
      <c r="J865" s="103">
        <f>VLOOKUP(A865&amp;G865,Lookup!J:N,5,0)</f>
        <v>0</v>
      </c>
      <c r="O865" s="57">
        <f>IFERROR(VLOOKUP(A865&amp;G865,Lookup!J:K,2,0),"")</f>
        <v>0</v>
      </c>
      <c r="P865" s="110" t="str">
        <f t="shared" si="67"/>
        <v/>
      </c>
      <c r="T865" s="59" t="e">
        <f t="shared" si="68"/>
        <v>#VALUE!</v>
      </c>
      <c r="U865" s="59"/>
      <c r="X865" s="60" t="str">
        <f t="shared" si="66"/>
        <v>D</v>
      </c>
    </row>
    <row r="866" spans="2:24" x14ac:dyDescent="0.25">
      <c r="B866" s="54" t="str">
        <f>IFERROR(VLOOKUP(A866,Lookup!A:B,2,0),"")</f>
        <v/>
      </c>
      <c r="C866" s="54" t="str">
        <f>IFERROR(VLOOKUP(A866,Lookup!A:C,3,0),"")</f>
        <v/>
      </c>
      <c r="J866" s="103">
        <f>VLOOKUP(A866&amp;G866,Lookup!J:N,5,0)</f>
        <v>0</v>
      </c>
      <c r="O866" s="57">
        <f>IFERROR(VLOOKUP(A866&amp;G866,Lookup!J:K,2,0),"")</f>
        <v>0</v>
      </c>
      <c r="P866" s="110" t="str">
        <f t="shared" si="67"/>
        <v/>
      </c>
      <c r="T866" s="59" t="e">
        <f t="shared" si="68"/>
        <v>#VALUE!</v>
      </c>
      <c r="U866" s="59"/>
      <c r="X866" s="60" t="str">
        <f t="shared" si="66"/>
        <v>D</v>
      </c>
    </row>
    <row r="867" spans="2:24" x14ac:dyDescent="0.25">
      <c r="B867" s="54" t="str">
        <f>IFERROR(VLOOKUP(A867,Lookup!A:B,2,0),"")</f>
        <v/>
      </c>
      <c r="C867" s="54" t="str">
        <f>IFERROR(VLOOKUP(A867,Lookup!A:C,3,0),"")</f>
        <v/>
      </c>
      <c r="J867" s="103">
        <f>VLOOKUP(A867&amp;G867,Lookup!J:N,5,0)</f>
        <v>0</v>
      </c>
      <c r="O867" s="57">
        <f>IFERROR(VLOOKUP(A867&amp;G867,Lookup!J:K,2,0),"")</f>
        <v>0</v>
      </c>
      <c r="P867" s="110" t="str">
        <f t="shared" si="67"/>
        <v/>
      </c>
      <c r="T867" s="59" t="e">
        <f t="shared" si="68"/>
        <v>#VALUE!</v>
      </c>
      <c r="U867" s="59"/>
      <c r="X867" s="60" t="str">
        <f t="shared" si="66"/>
        <v>D</v>
      </c>
    </row>
    <row r="868" spans="2:24" x14ac:dyDescent="0.25">
      <c r="B868" s="54" t="str">
        <f>IFERROR(VLOOKUP(A868,Lookup!A:B,2,0),"")</f>
        <v/>
      </c>
      <c r="C868" s="54" t="str">
        <f>IFERROR(VLOOKUP(A868,Lookup!A:C,3,0),"")</f>
        <v/>
      </c>
      <c r="J868" s="103">
        <f>VLOOKUP(A868&amp;G868,Lookup!J:N,5,0)</f>
        <v>0</v>
      </c>
      <c r="O868" s="57">
        <f>IFERROR(VLOOKUP(A868&amp;G868,Lookup!J:K,2,0),"")</f>
        <v>0</v>
      </c>
      <c r="P868" s="110" t="str">
        <f t="shared" si="67"/>
        <v/>
      </c>
      <c r="T868" s="59" t="e">
        <f t="shared" si="68"/>
        <v>#VALUE!</v>
      </c>
      <c r="U868" s="59"/>
      <c r="X868" s="60" t="str">
        <f t="shared" si="66"/>
        <v>D</v>
      </c>
    </row>
    <row r="869" spans="2:24" x14ac:dyDescent="0.25">
      <c r="B869" s="54" t="str">
        <f>IFERROR(VLOOKUP(A869,Lookup!A:B,2,0),"")</f>
        <v/>
      </c>
      <c r="C869" s="54" t="str">
        <f>IFERROR(VLOOKUP(A869,Lookup!A:C,3,0),"")</f>
        <v/>
      </c>
      <c r="J869" s="103">
        <f>VLOOKUP(A869&amp;G869,Lookup!J:N,5,0)</f>
        <v>0</v>
      </c>
      <c r="O869" s="57">
        <f>IFERROR(VLOOKUP(A869&amp;G869,Lookup!J:K,2,0),"")</f>
        <v>0</v>
      </c>
      <c r="P869" s="110" t="str">
        <f t="shared" si="67"/>
        <v/>
      </c>
      <c r="T869" s="59" t="e">
        <f t="shared" si="68"/>
        <v>#VALUE!</v>
      </c>
      <c r="U869" s="59"/>
      <c r="X869" s="60" t="str">
        <f t="shared" si="66"/>
        <v>D</v>
      </c>
    </row>
    <row r="870" spans="2:24" x14ac:dyDescent="0.25">
      <c r="B870" s="54" t="str">
        <f>IFERROR(VLOOKUP(A870,Lookup!A:B,2,0),"")</f>
        <v/>
      </c>
      <c r="C870" s="54" t="str">
        <f>IFERROR(VLOOKUP(A870,Lookup!A:C,3,0),"")</f>
        <v/>
      </c>
      <c r="J870" s="103">
        <f>VLOOKUP(A870&amp;G870,Lookup!J:N,5,0)</f>
        <v>0</v>
      </c>
      <c r="O870" s="57">
        <f>IFERROR(VLOOKUP(A870&amp;G870,Lookup!J:K,2,0),"")</f>
        <v>0</v>
      </c>
      <c r="P870" s="110" t="str">
        <f t="shared" si="67"/>
        <v/>
      </c>
      <c r="T870" s="59" t="e">
        <f t="shared" si="68"/>
        <v>#VALUE!</v>
      </c>
      <c r="U870" s="59"/>
      <c r="X870" s="60" t="str">
        <f t="shared" si="66"/>
        <v>D</v>
      </c>
    </row>
    <row r="871" spans="2:24" x14ac:dyDescent="0.25">
      <c r="B871" s="54" t="str">
        <f>IFERROR(VLOOKUP(A871,Lookup!A:B,2,0),"")</f>
        <v/>
      </c>
      <c r="C871" s="54" t="str">
        <f>IFERROR(VLOOKUP(A871,Lookup!A:C,3,0),"")</f>
        <v/>
      </c>
      <c r="J871" s="103">
        <f>VLOOKUP(A871&amp;G871,Lookup!J:N,5,0)</f>
        <v>0</v>
      </c>
      <c r="O871" s="57">
        <f>IFERROR(VLOOKUP(A871&amp;G871,Lookup!J:K,2,0),"")</f>
        <v>0</v>
      </c>
      <c r="P871" s="110" t="str">
        <f t="shared" si="67"/>
        <v/>
      </c>
      <c r="T871" s="59" t="e">
        <f t="shared" si="68"/>
        <v>#VALUE!</v>
      </c>
      <c r="U871" s="59"/>
      <c r="X871" s="60" t="str">
        <f t="shared" si="66"/>
        <v>D</v>
      </c>
    </row>
    <row r="872" spans="2:24" x14ac:dyDescent="0.25">
      <c r="B872" s="54" t="str">
        <f>IFERROR(VLOOKUP(A872,Lookup!A:B,2,0),"")</f>
        <v/>
      </c>
      <c r="C872" s="54" t="str">
        <f>IFERROR(VLOOKUP(A872,Lookup!A:C,3,0),"")</f>
        <v/>
      </c>
      <c r="J872" s="103">
        <f>VLOOKUP(A872&amp;G872,Lookup!J:N,5,0)</f>
        <v>0</v>
      </c>
      <c r="O872" s="57">
        <f>IFERROR(VLOOKUP(A872&amp;G872,Lookup!J:K,2,0),"")</f>
        <v>0</v>
      </c>
      <c r="P872" s="110" t="str">
        <f t="shared" si="67"/>
        <v/>
      </c>
      <c r="T872" s="59" t="e">
        <f t="shared" si="68"/>
        <v>#VALUE!</v>
      </c>
      <c r="U872" s="59"/>
      <c r="X872" s="60" t="str">
        <f t="shared" si="66"/>
        <v>D</v>
      </c>
    </row>
    <row r="873" spans="2:24" x14ac:dyDescent="0.25">
      <c r="B873" s="54" t="str">
        <f>IFERROR(VLOOKUP(A873,Lookup!A:B,2,0),"")</f>
        <v/>
      </c>
      <c r="C873" s="54" t="str">
        <f>IFERROR(VLOOKUP(A873,Lookup!A:C,3,0),"")</f>
        <v/>
      </c>
      <c r="J873" s="103">
        <f>VLOOKUP(A873&amp;G873,Lookup!J:N,5,0)</f>
        <v>0</v>
      </c>
      <c r="O873" s="57">
        <f>IFERROR(VLOOKUP(A873&amp;G873,Lookup!J:K,2,0),"")</f>
        <v>0</v>
      </c>
      <c r="P873" s="110" t="str">
        <f t="shared" si="67"/>
        <v/>
      </c>
      <c r="T873" s="59" t="e">
        <f t="shared" si="68"/>
        <v>#VALUE!</v>
      </c>
      <c r="U873" s="59"/>
      <c r="X873" s="60" t="str">
        <f t="shared" si="66"/>
        <v>D</v>
      </c>
    </row>
    <row r="874" spans="2:24" x14ac:dyDescent="0.25">
      <c r="B874" s="54" t="str">
        <f>IFERROR(VLOOKUP(A874,Lookup!A:B,2,0),"")</f>
        <v/>
      </c>
      <c r="C874" s="54" t="str">
        <f>IFERROR(VLOOKUP(A874,Lookup!A:C,3,0),"")</f>
        <v/>
      </c>
      <c r="J874" s="103">
        <f>VLOOKUP(A874&amp;G874,Lookup!J:N,5,0)</f>
        <v>0</v>
      </c>
      <c r="O874" s="57">
        <f>IFERROR(VLOOKUP(A874&amp;G874,Lookup!J:K,2,0),"")</f>
        <v>0</v>
      </c>
      <c r="P874" s="110" t="str">
        <f t="shared" si="67"/>
        <v/>
      </c>
      <c r="T874" s="59" t="e">
        <f t="shared" si="68"/>
        <v>#VALUE!</v>
      </c>
      <c r="U874" s="59"/>
      <c r="X874" s="60" t="str">
        <f t="shared" si="66"/>
        <v>D</v>
      </c>
    </row>
    <row r="875" spans="2:24" x14ac:dyDescent="0.25">
      <c r="B875" s="54" t="str">
        <f>IFERROR(VLOOKUP(A875,Lookup!A:B,2,0),"")</f>
        <v/>
      </c>
      <c r="C875" s="54" t="str">
        <f>IFERROR(VLOOKUP(A875,Lookup!A:C,3,0),"")</f>
        <v/>
      </c>
      <c r="J875" s="103">
        <f>VLOOKUP(A875&amp;G875,Lookup!J:N,5,0)</f>
        <v>0</v>
      </c>
      <c r="O875" s="57">
        <f>IFERROR(VLOOKUP(A875&amp;G875,Lookup!J:K,2,0),"")</f>
        <v>0</v>
      </c>
      <c r="P875" s="110" t="str">
        <f t="shared" si="67"/>
        <v/>
      </c>
      <c r="T875" s="59" t="e">
        <f t="shared" si="68"/>
        <v>#VALUE!</v>
      </c>
      <c r="U875" s="59"/>
      <c r="X875" s="60" t="str">
        <f t="shared" si="66"/>
        <v>D</v>
      </c>
    </row>
    <row r="876" spans="2:24" x14ac:dyDescent="0.25">
      <c r="B876" s="54" t="str">
        <f>IFERROR(VLOOKUP(A876,Lookup!A:B,2,0),"")</f>
        <v/>
      </c>
      <c r="C876" s="54" t="str">
        <f>IFERROR(VLOOKUP(A876,Lookup!A:C,3,0),"")</f>
        <v/>
      </c>
      <c r="J876" s="103">
        <f>VLOOKUP(A876&amp;G876,Lookup!J:N,5,0)</f>
        <v>0</v>
      </c>
      <c r="O876" s="57">
        <f>IFERROR(VLOOKUP(A876&amp;G876,Lookup!J:K,2,0),"")</f>
        <v>0</v>
      </c>
      <c r="P876" s="110" t="str">
        <f t="shared" si="67"/>
        <v/>
      </c>
      <c r="T876" s="59" t="e">
        <f t="shared" si="68"/>
        <v>#VALUE!</v>
      </c>
      <c r="U876" s="59"/>
      <c r="X876" s="60" t="str">
        <f t="shared" si="66"/>
        <v>D</v>
      </c>
    </row>
    <row r="877" spans="2:24" x14ac:dyDescent="0.25">
      <c r="B877" s="54" t="str">
        <f>IFERROR(VLOOKUP(A877,Lookup!A:B,2,0),"")</f>
        <v/>
      </c>
      <c r="C877" s="54" t="str">
        <f>IFERROR(VLOOKUP(A877,Lookup!A:C,3,0),"")</f>
        <v/>
      </c>
      <c r="J877" s="103">
        <f>VLOOKUP(A877&amp;G877,Lookup!J:N,5,0)</f>
        <v>0</v>
      </c>
      <c r="O877" s="57">
        <f>IFERROR(VLOOKUP(A877&amp;G877,Lookup!J:K,2,0),"")</f>
        <v>0</v>
      </c>
      <c r="P877" s="110" t="str">
        <f t="shared" si="67"/>
        <v/>
      </c>
      <c r="T877" s="59" t="e">
        <f t="shared" si="68"/>
        <v>#VALUE!</v>
      </c>
      <c r="U877" s="59"/>
      <c r="X877" s="60" t="str">
        <f t="shared" si="66"/>
        <v>D</v>
      </c>
    </row>
    <row r="878" spans="2:24" x14ac:dyDescent="0.25">
      <c r="B878" s="54" t="str">
        <f>IFERROR(VLOOKUP(A878,Lookup!A:B,2,0),"")</f>
        <v/>
      </c>
      <c r="C878" s="54" t="str">
        <f>IFERROR(VLOOKUP(A878,Lookup!A:C,3,0),"")</f>
        <v/>
      </c>
      <c r="J878" s="103">
        <f>VLOOKUP(A878&amp;G878,Lookup!J:N,5,0)</f>
        <v>0</v>
      </c>
      <c r="O878" s="57">
        <f>IFERROR(VLOOKUP(A878&amp;G878,Lookup!J:K,2,0),"")</f>
        <v>0</v>
      </c>
      <c r="P878" s="110" t="str">
        <f t="shared" si="67"/>
        <v/>
      </c>
      <c r="T878" s="59" t="e">
        <f t="shared" si="68"/>
        <v>#VALUE!</v>
      </c>
      <c r="U878" s="59"/>
      <c r="X878" s="60" t="str">
        <f t="shared" ref="X878:X941" si="69">IF(I878="SET","A",IF(I878="FREQ","C",IF(I878="","D","B")))</f>
        <v>D</v>
      </c>
    </row>
    <row r="879" spans="2:24" x14ac:dyDescent="0.25">
      <c r="B879" s="54" t="str">
        <f>IFERROR(VLOOKUP(A879,Lookup!A:B,2,0),"")</f>
        <v/>
      </c>
      <c r="C879" s="54" t="str">
        <f>IFERROR(VLOOKUP(A879,Lookup!A:C,3,0),"")</f>
        <v/>
      </c>
      <c r="J879" s="103">
        <f>VLOOKUP(A879&amp;G879,Lookup!J:N,5,0)</f>
        <v>0</v>
      </c>
      <c r="O879" s="57">
        <f>IFERROR(VLOOKUP(A879&amp;G879,Lookup!J:K,2,0),"")</f>
        <v>0</v>
      </c>
      <c r="P879" s="110" t="str">
        <f t="shared" si="67"/>
        <v/>
      </c>
      <c r="T879" s="59" t="e">
        <f t="shared" si="68"/>
        <v>#VALUE!</v>
      </c>
      <c r="U879" s="59"/>
      <c r="X879" s="60" t="str">
        <f t="shared" si="69"/>
        <v>D</v>
      </c>
    </row>
    <row r="880" spans="2:24" x14ac:dyDescent="0.25">
      <c r="B880" s="54" t="str">
        <f>IFERROR(VLOOKUP(A880,Lookup!A:B,2,0),"")</f>
        <v/>
      </c>
      <c r="C880" s="54" t="str">
        <f>IFERROR(VLOOKUP(A880,Lookup!A:C,3,0),"")</f>
        <v/>
      </c>
      <c r="J880" s="103">
        <f>VLOOKUP(A880&amp;G880,Lookup!J:N,5,0)</f>
        <v>0</v>
      </c>
      <c r="O880" s="57">
        <f>IFERROR(VLOOKUP(A880&amp;G880,Lookup!J:K,2,0),"")</f>
        <v>0</v>
      </c>
      <c r="P880" s="110" t="str">
        <f t="shared" si="67"/>
        <v/>
      </c>
      <c r="T880" s="59" t="e">
        <f t="shared" si="68"/>
        <v>#VALUE!</v>
      </c>
      <c r="U880" s="59"/>
      <c r="X880" s="60" t="str">
        <f t="shared" si="69"/>
        <v>D</v>
      </c>
    </row>
    <row r="881" spans="2:24" x14ac:dyDescent="0.25">
      <c r="B881" s="54" t="str">
        <f>IFERROR(VLOOKUP(A881,Lookup!A:B,2,0),"")</f>
        <v/>
      </c>
      <c r="C881" s="54" t="str">
        <f>IFERROR(VLOOKUP(A881,Lookup!A:C,3,0),"")</f>
        <v/>
      </c>
      <c r="J881" s="103">
        <f>VLOOKUP(A881&amp;G881,Lookup!J:N,5,0)</f>
        <v>0</v>
      </c>
      <c r="O881" s="57">
        <f>IFERROR(VLOOKUP(A881&amp;G881,Lookup!J:K,2,0),"")</f>
        <v>0</v>
      </c>
      <c r="P881" s="110" t="str">
        <f t="shared" si="67"/>
        <v/>
      </c>
      <c r="T881" s="59" t="e">
        <f t="shared" si="68"/>
        <v>#VALUE!</v>
      </c>
      <c r="U881" s="59"/>
      <c r="X881" s="60" t="str">
        <f t="shared" si="69"/>
        <v>D</v>
      </c>
    </row>
    <row r="882" spans="2:24" x14ac:dyDescent="0.25">
      <c r="B882" s="54" t="str">
        <f>IFERROR(VLOOKUP(A882,Lookup!A:B,2,0),"")</f>
        <v/>
      </c>
      <c r="C882" s="54" t="str">
        <f>IFERROR(VLOOKUP(A882,Lookup!A:C,3,0),"")</f>
        <v/>
      </c>
      <c r="J882" s="103">
        <f>VLOOKUP(A882&amp;G882,Lookup!J:N,5,0)</f>
        <v>0</v>
      </c>
      <c r="O882" s="57">
        <f>IFERROR(VLOOKUP(A882&amp;G882,Lookup!J:K,2,0),"")</f>
        <v>0</v>
      </c>
      <c r="P882" s="110" t="str">
        <f t="shared" si="67"/>
        <v/>
      </c>
      <c r="T882" s="59" t="e">
        <f t="shared" si="68"/>
        <v>#VALUE!</v>
      </c>
      <c r="U882" s="59"/>
      <c r="X882" s="60" t="str">
        <f t="shared" si="69"/>
        <v>D</v>
      </c>
    </row>
    <row r="883" spans="2:24" x14ac:dyDescent="0.25">
      <c r="B883" s="54" t="str">
        <f>IFERROR(VLOOKUP(A883,Lookup!A:B,2,0),"")</f>
        <v/>
      </c>
      <c r="C883" s="54" t="str">
        <f>IFERROR(VLOOKUP(A883,Lookup!A:C,3,0),"")</f>
        <v/>
      </c>
      <c r="J883" s="103">
        <f>VLOOKUP(A883&amp;G883,Lookup!J:N,5,0)</f>
        <v>0</v>
      </c>
      <c r="O883" s="57">
        <f>IFERROR(VLOOKUP(A883&amp;G883,Lookup!J:K,2,0),"")</f>
        <v>0</v>
      </c>
      <c r="P883" s="110" t="str">
        <f t="shared" si="67"/>
        <v/>
      </c>
      <c r="T883" s="59" t="e">
        <f t="shared" si="68"/>
        <v>#VALUE!</v>
      </c>
      <c r="U883" s="59"/>
      <c r="X883" s="60" t="str">
        <f t="shared" si="69"/>
        <v>D</v>
      </c>
    </row>
    <row r="884" spans="2:24" x14ac:dyDescent="0.25">
      <c r="B884" s="54" t="str">
        <f>IFERROR(VLOOKUP(A884,Lookup!A:B,2,0),"")</f>
        <v/>
      </c>
      <c r="C884" s="54" t="str">
        <f>IFERROR(VLOOKUP(A884,Lookup!A:C,3,0),"")</f>
        <v/>
      </c>
      <c r="J884" s="103">
        <f>VLOOKUP(A884&amp;G884,Lookup!J:N,5,0)</f>
        <v>0</v>
      </c>
      <c r="O884" s="57">
        <f>IFERROR(VLOOKUP(A884&amp;G884,Lookup!J:K,2,0),"")</f>
        <v>0</v>
      </c>
      <c r="P884" s="110" t="str">
        <f t="shared" si="67"/>
        <v/>
      </c>
      <c r="T884" s="59" t="e">
        <f t="shared" si="68"/>
        <v>#VALUE!</v>
      </c>
      <c r="U884" s="59"/>
      <c r="X884" s="60" t="str">
        <f t="shared" si="69"/>
        <v>D</v>
      </c>
    </row>
    <row r="885" spans="2:24" x14ac:dyDescent="0.25">
      <c r="B885" s="54" t="str">
        <f>IFERROR(VLOOKUP(A885,Lookup!A:B,2,0),"")</f>
        <v/>
      </c>
      <c r="C885" s="54" t="str">
        <f>IFERROR(VLOOKUP(A885,Lookup!A:C,3,0),"")</f>
        <v/>
      </c>
      <c r="J885" s="103">
        <f>VLOOKUP(A885&amp;G885,Lookup!J:N,5,0)</f>
        <v>0</v>
      </c>
      <c r="O885" s="57">
        <f>IFERROR(VLOOKUP(A885&amp;G885,Lookup!J:K,2,0),"")</f>
        <v>0</v>
      </c>
      <c r="P885" s="110" t="str">
        <f t="shared" si="67"/>
        <v/>
      </c>
      <c r="T885" s="59" t="e">
        <f t="shared" si="68"/>
        <v>#VALUE!</v>
      </c>
      <c r="U885" s="59"/>
      <c r="X885" s="60" t="str">
        <f t="shared" si="69"/>
        <v>D</v>
      </c>
    </row>
    <row r="886" spans="2:24" x14ac:dyDescent="0.25">
      <c r="B886" s="54" t="str">
        <f>IFERROR(VLOOKUP(A886,Lookup!A:B,2,0),"")</f>
        <v/>
      </c>
      <c r="C886" s="54" t="str">
        <f>IFERROR(VLOOKUP(A886,Lookup!A:C,3,0),"")</f>
        <v/>
      </c>
      <c r="J886" s="103">
        <f>VLOOKUP(A886&amp;G886,Lookup!J:N,5,0)</f>
        <v>0</v>
      </c>
      <c r="O886" s="57">
        <f>IFERROR(VLOOKUP(A886&amp;G886,Lookup!J:K,2,0),"")</f>
        <v>0</v>
      </c>
      <c r="P886" s="110" t="str">
        <f t="shared" si="67"/>
        <v/>
      </c>
      <c r="T886" s="59" t="e">
        <f t="shared" si="68"/>
        <v>#VALUE!</v>
      </c>
      <c r="U886" s="59"/>
      <c r="X886" s="60" t="str">
        <f t="shared" si="69"/>
        <v>D</v>
      </c>
    </row>
    <row r="887" spans="2:24" x14ac:dyDescent="0.25">
      <c r="B887" s="54" t="str">
        <f>IFERROR(VLOOKUP(A887,Lookup!A:B,2,0),"")</f>
        <v/>
      </c>
      <c r="C887" s="54" t="str">
        <f>IFERROR(VLOOKUP(A887,Lookup!A:C,3,0),"")</f>
        <v/>
      </c>
      <c r="J887" s="103">
        <f>VLOOKUP(A887&amp;G887,Lookup!J:N,5,0)</f>
        <v>0</v>
      </c>
      <c r="O887" s="57">
        <f>IFERROR(VLOOKUP(A887&amp;G887,Lookup!J:K,2,0),"")</f>
        <v>0</v>
      </c>
      <c r="P887" s="110" t="str">
        <f t="shared" si="67"/>
        <v/>
      </c>
      <c r="T887" s="59" t="e">
        <f t="shared" si="68"/>
        <v>#VALUE!</v>
      </c>
      <c r="U887" s="59"/>
      <c r="X887" s="60" t="str">
        <f t="shared" si="69"/>
        <v>D</v>
      </c>
    </row>
    <row r="888" spans="2:24" x14ac:dyDescent="0.25">
      <c r="B888" s="54" t="str">
        <f>IFERROR(VLOOKUP(A888,Lookup!A:B,2,0),"")</f>
        <v/>
      </c>
      <c r="C888" s="54" t="str">
        <f>IFERROR(VLOOKUP(A888,Lookup!A:C,3,0),"")</f>
        <v/>
      </c>
      <c r="J888" s="103">
        <f>VLOOKUP(A888&amp;G888,Lookup!J:N,5,0)</f>
        <v>0</v>
      </c>
      <c r="O888" s="57">
        <f>IFERROR(VLOOKUP(A888&amp;G888,Lookup!J:K,2,0),"")</f>
        <v>0</v>
      </c>
      <c r="P888" s="110" t="str">
        <f t="shared" si="67"/>
        <v/>
      </c>
      <c r="T888" s="59" t="e">
        <f t="shared" si="68"/>
        <v>#VALUE!</v>
      </c>
      <c r="U888" s="59"/>
      <c r="X888" s="60" t="str">
        <f t="shared" si="69"/>
        <v>D</v>
      </c>
    </row>
    <row r="889" spans="2:24" x14ac:dyDescent="0.25">
      <c r="B889" s="54" t="str">
        <f>IFERROR(VLOOKUP(A889,Lookup!A:B,2,0),"")</f>
        <v/>
      </c>
      <c r="C889" s="54" t="str">
        <f>IFERROR(VLOOKUP(A889,Lookup!A:C,3,0),"")</f>
        <v/>
      </c>
      <c r="J889" s="103">
        <f>VLOOKUP(A889&amp;G889,Lookup!J:N,5,0)</f>
        <v>0</v>
      </c>
      <c r="O889" s="57">
        <f>IFERROR(VLOOKUP(A889&amp;G889,Lookup!J:K,2,0),"")</f>
        <v>0</v>
      </c>
      <c r="P889" s="110" t="str">
        <f t="shared" si="67"/>
        <v/>
      </c>
      <c r="T889" s="59" t="e">
        <f t="shared" si="68"/>
        <v>#VALUE!</v>
      </c>
      <c r="U889" s="59"/>
      <c r="X889" s="60" t="str">
        <f t="shared" si="69"/>
        <v>D</v>
      </c>
    </row>
    <row r="890" spans="2:24" x14ac:dyDescent="0.25">
      <c r="B890" s="54" t="str">
        <f>IFERROR(VLOOKUP(A890,Lookup!A:B,2,0),"")</f>
        <v/>
      </c>
      <c r="C890" s="54" t="str">
        <f>IFERROR(VLOOKUP(A890,Lookup!A:C,3,0),"")</f>
        <v/>
      </c>
      <c r="J890" s="103">
        <f>VLOOKUP(A890&amp;G890,Lookup!J:N,5,0)</f>
        <v>0</v>
      </c>
      <c r="O890" s="57">
        <f>IFERROR(VLOOKUP(A890&amp;G890,Lookup!J:K,2,0),"")</f>
        <v>0</v>
      </c>
      <c r="P890" s="110" t="str">
        <f t="shared" si="67"/>
        <v/>
      </c>
      <c r="T890" s="59" t="e">
        <f t="shared" si="68"/>
        <v>#VALUE!</v>
      </c>
      <c r="U890" s="59"/>
      <c r="X890" s="60" t="str">
        <f t="shared" si="69"/>
        <v>D</v>
      </c>
    </row>
    <row r="891" spans="2:24" x14ac:dyDescent="0.25">
      <c r="B891" s="54" t="str">
        <f>IFERROR(VLOOKUP(A891,Lookup!A:B,2,0),"")</f>
        <v/>
      </c>
      <c r="C891" s="54" t="str">
        <f>IFERROR(VLOOKUP(A891,Lookup!A:C,3,0),"")</f>
        <v/>
      </c>
      <c r="J891" s="103">
        <f>VLOOKUP(A891&amp;G891,Lookup!J:N,5,0)</f>
        <v>0</v>
      </c>
      <c r="O891" s="57">
        <f>IFERROR(VLOOKUP(A891&amp;G891,Lookup!J:K,2,0),"")</f>
        <v>0</v>
      </c>
      <c r="P891" s="110" t="str">
        <f t="shared" si="67"/>
        <v/>
      </c>
      <c r="T891" s="59" t="e">
        <f t="shared" si="68"/>
        <v>#VALUE!</v>
      </c>
      <c r="U891" s="59"/>
      <c r="X891" s="60" t="str">
        <f t="shared" si="69"/>
        <v>D</v>
      </c>
    </row>
    <row r="892" spans="2:24" x14ac:dyDescent="0.25">
      <c r="B892" s="54" t="str">
        <f>IFERROR(VLOOKUP(A892,Lookup!A:B,2,0),"")</f>
        <v/>
      </c>
      <c r="C892" s="54" t="str">
        <f>IFERROR(VLOOKUP(A892,Lookup!A:C,3,0),"")</f>
        <v/>
      </c>
      <c r="J892" s="103">
        <f>VLOOKUP(A892&amp;G892,Lookup!J:N,5,0)</f>
        <v>0</v>
      </c>
      <c r="O892" s="57">
        <f>IFERROR(VLOOKUP(A892&amp;G892,Lookup!J:K,2,0),"")</f>
        <v>0</v>
      </c>
      <c r="P892" s="110" t="str">
        <f t="shared" si="67"/>
        <v/>
      </c>
      <c r="T892" s="59" t="e">
        <f t="shared" si="68"/>
        <v>#VALUE!</v>
      </c>
      <c r="U892" s="59"/>
      <c r="X892" s="60" t="str">
        <f t="shared" si="69"/>
        <v>D</v>
      </c>
    </row>
    <row r="893" spans="2:24" x14ac:dyDescent="0.25">
      <c r="B893" s="54" t="str">
        <f>IFERROR(VLOOKUP(A893,Lookup!A:B,2,0),"")</f>
        <v/>
      </c>
      <c r="C893" s="54" t="str">
        <f>IFERROR(VLOOKUP(A893,Lookup!A:C,3,0),"")</f>
        <v/>
      </c>
      <c r="J893" s="103">
        <f>VLOOKUP(A893&amp;G893,Lookup!J:N,5,0)</f>
        <v>0</v>
      </c>
      <c r="O893" s="57">
        <f>IFERROR(VLOOKUP(A893&amp;G893,Lookup!J:K,2,0),"")</f>
        <v>0</v>
      </c>
      <c r="P893" s="110" t="str">
        <f t="shared" si="67"/>
        <v/>
      </c>
      <c r="T893" s="59" t="e">
        <f t="shared" si="68"/>
        <v>#VALUE!</v>
      </c>
      <c r="U893" s="59"/>
      <c r="X893" s="60" t="str">
        <f t="shared" si="69"/>
        <v>D</v>
      </c>
    </row>
    <row r="894" spans="2:24" x14ac:dyDescent="0.25">
      <c r="B894" s="54" t="str">
        <f>IFERROR(VLOOKUP(A894,Lookup!A:B,2,0),"")</f>
        <v/>
      </c>
      <c r="C894" s="54" t="str">
        <f>IFERROR(VLOOKUP(A894,Lookup!A:C,3,0),"")</f>
        <v/>
      </c>
      <c r="J894" s="103">
        <f>VLOOKUP(A894&amp;G894,Lookup!J:N,5,0)</f>
        <v>0</v>
      </c>
      <c r="O894" s="57">
        <f>IFERROR(VLOOKUP(A894&amp;G894,Lookup!J:K,2,0),"")</f>
        <v>0</v>
      </c>
      <c r="P894" s="110" t="str">
        <f t="shared" si="67"/>
        <v/>
      </c>
      <c r="T894" s="59" t="e">
        <f t="shared" si="68"/>
        <v>#VALUE!</v>
      </c>
      <c r="U894" s="59"/>
      <c r="X894" s="60" t="str">
        <f t="shared" si="69"/>
        <v>D</v>
      </c>
    </row>
    <row r="895" spans="2:24" x14ac:dyDescent="0.25">
      <c r="B895" s="54" t="str">
        <f>IFERROR(VLOOKUP(A895,Lookup!A:B,2,0),"")</f>
        <v/>
      </c>
      <c r="C895" s="54" t="str">
        <f>IFERROR(VLOOKUP(A895,Lookup!A:C,3,0),"")</f>
        <v/>
      </c>
      <c r="J895" s="103">
        <f>VLOOKUP(A895&amp;G895,Lookup!J:N,5,0)</f>
        <v>0</v>
      </c>
      <c r="O895" s="57">
        <f>IFERROR(VLOOKUP(A895&amp;G895,Lookup!J:K,2,0),"")</f>
        <v>0</v>
      </c>
      <c r="P895" s="110" t="str">
        <f t="shared" si="67"/>
        <v/>
      </c>
      <c r="T895" s="59" t="e">
        <f t="shared" si="68"/>
        <v>#VALUE!</v>
      </c>
      <c r="U895" s="59"/>
      <c r="X895" s="60" t="str">
        <f t="shared" si="69"/>
        <v>D</v>
      </c>
    </row>
    <row r="896" spans="2:24" x14ac:dyDescent="0.25">
      <c r="B896" s="54" t="str">
        <f>IFERROR(VLOOKUP(A896,Lookup!A:B,2,0),"")</f>
        <v/>
      </c>
      <c r="C896" s="54" t="str">
        <f>IFERROR(VLOOKUP(A896,Lookup!A:C,3,0),"")</f>
        <v/>
      </c>
      <c r="J896" s="103">
        <f>VLOOKUP(A896&amp;G896,Lookup!J:N,5,0)</f>
        <v>0</v>
      </c>
      <c r="O896" s="57">
        <f>IFERROR(VLOOKUP(A896&amp;G896,Lookup!J:K,2,0),"")</f>
        <v>0</v>
      </c>
      <c r="P896" s="110" t="str">
        <f t="shared" si="67"/>
        <v/>
      </c>
      <c r="T896" s="59" t="e">
        <f t="shared" si="68"/>
        <v>#VALUE!</v>
      </c>
      <c r="U896" s="59"/>
      <c r="X896" s="60" t="str">
        <f t="shared" si="69"/>
        <v>D</v>
      </c>
    </row>
    <row r="897" spans="2:24" x14ac:dyDescent="0.25">
      <c r="B897" s="54" t="str">
        <f>IFERROR(VLOOKUP(A897,Lookup!A:B,2,0),"")</f>
        <v/>
      </c>
      <c r="C897" s="54" t="str">
        <f>IFERROR(VLOOKUP(A897,Lookup!A:C,3,0),"")</f>
        <v/>
      </c>
      <c r="J897" s="103">
        <f>VLOOKUP(A897&amp;G897,Lookup!J:N,5,0)</f>
        <v>0</v>
      </c>
      <c r="O897" s="57">
        <f>IFERROR(VLOOKUP(A897&amp;G897,Lookup!J:K,2,0),"")</f>
        <v>0</v>
      </c>
      <c r="P897" s="110" t="str">
        <f t="shared" si="67"/>
        <v/>
      </c>
      <c r="T897" s="59" t="e">
        <f t="shared" si="68"/>
        <v>#VALUE!</v>
      </c>
      <c r="U897" s="59"/>
      <c r="X897" s="60" t="str">
        <f t="shared" si="69"/>
        <v>D</v>
      </c>
    </row>
    <row r="898" spans="2:24" x14ac:dyDescent="0.25">
      <c r="B898" s="54" t="str">
        <f>IFERROR(VLOOKUP(A898,Lookup!A:B,2,0),"")</f>
        <v/>
      </c>
      <c r="C898" s="54" t="str">
        <f>IFERROR(VLOOKUP(A898,Lookup!A:C,3,0),"")</f>
        <v/>
      </c>
      <c r="J898" s="103">
        <f>VLOOKUP(A898&amp;G898,Lookup!J:N,5,0)</f>
        <v>0</v>
      </c>
      <c r="O898" s="57">
        <f>IFERROR(VLOOKUP(A898&amp;G898,Lookup!J:K,2,0),"")</f>
        <v>0</v>
      </c>
      <c r="P898" s="110" t="str">
        <f t="shared" si="67"/>
        <v/>
      </c>
      <c r="T898" s="59" t="e">
        <f t="shared" si="68"/>
        <v>#VALUE!</v>
      </c>
      <c r="U898" s="59"/>
      <c r="X898" s="60" t="str">
        <f t="shared" si="69"/>
        <v>D</v>
      </c>
    </row>
    <row r="899" spans="2:24" x14ac:dyDescent="0.25">
      <c r="B899" s="54" t="str">
        <f>IFERROR(VLOOKUP(A899,Lookup!A:B,2,0),"")</f>
        <v/>
      </c>
      <c r="C899" s="54" t="str">
        <f>IFERROR(VLOOKUP(A899,Lookup!A:C,3,0),"")</f>
        <v/>
      </c>
      <c r="J899" s="103">
        <f>VLOOKUP(A899&amp;G899,Lookup!J:N,5,0)</f>
        <v>0</v>
      </c>
      <c r="O899" s="57">
        <f>IFERROR(VLOOKUP(A899&amp;G899,Lookup!J:K,2,0),"")</f>
        <v>0</v>
      </c>
      <c r="P899" s="110" t="str">
        <f t="shared" si="67"/>
        <v/>
      </c>
      <c r="T899" s="59" t="e">
        <f t="shared" si="68"/>
        <v>#VALUE!</v>
      </c>
      <c r="U899" s="59"/>
      <c r="X899" s="60" t="str">
        <f t="shared" si="69"/>
        <v>D</v>
      </c>
    </row>
    <row r="900" spans="2:24" x14ac:dyDescent="0.25">
      <c r="B900" s="54" t="str">
        <f>IFERROR(VLOOKUP(A900,Lookup!A:B,2,0),"")</f>
        <v/>
      </c>
      <c r="C900" s="54" t="str">
        <f>IFERROR(VLOOKUP(A900,Lookup!A:C,3,0),"")</f>
        <v/>
      </c>
      <c r="J900" s="103">
        <f>VLOOKUP(A900&amp;G900,Lookup!J:N,5,0)</f>
        <v>0</v>
      </c>
      <c r="O900" s="57">
        <f>IFERROR(VLOOKUP(A900&amp;G900,Lookup!J:K,2,0),"")</f>
        <v>0</v>
      </c>
      <c r="P900" s="110" t="str">
        <f t="shared" ref="P900:P963" si="70">IF(N900="","",N900+O900)</f>
        <v/>
      </c>
      <c r="T900" s="59" t="e">
        <f t="shared" si="68"/>
        <v>#VALUE!</v>
      </c>
      <c r="U900" s="59"/>
      <c r="X900" s="60" t="str">
        <f t="shared" si="69"/>
        <v>D</v>
      </c>
    </row>
    <row r="901" spans="2:24" x14ac:dyDescent="0.25">
      <c r="B901" s="54" t="str">
        <f>IFERROR(VLOOKUP(A901,Lookup!A:B,2,0),"")</f>
        <v/>
      </c>
      <c r="C901" s="54" t="str">
        <f>IFERROR(VLOOKUP(A901,Lookup!A:C,3,0),"")</f>
        <v/>
      </c>
      <c r="J901" s="103">
        <f>VLOOKUP(A901&amp;G901,Lookup!J:N,5,0)</f>
        <v>0</v>
      </c>
      <c r="O901" s="57">
        <f>IFERROR(VLOOKUP(A901&amp;G901,Lookup!J:K,2,0),"")</f>
        <v>0</v>
      </c>
      <c r="P901" s="110" t="str">
        <f t="shared" si="70"/>
        <v/>
      </c>
      <c r="T901" s="59" t="e">
        <f t="shared" si="68"/>
        <v>#VALUE!</v>
      </c>
      <c r="U901" s="59"/>
      <c r="X901" s="60" t="str">
        <f t="shared" si="69"/>
        <v>D</v>
      </c>
    </row>
    <row r="902" spans="2:24" x14ac:dyDescent="0.25">
      <c r="B902" s="54" t="str">
        <f>IFERROR(VLOOKUP(A902,Lookup!A:B,2,0),"")</f>
        <v/>
      </c>
      <c r="C902" s="54" t="str">
        <f>IFERROR(VLOOKUP(A902,Lookup!A:C,3,0),"")</f>
        <v/>
      </c>
      <c r="J902" s="103">
        <f>VLOOKUP(A902&amp;G902,Lookup!J:N,5,0)</f>
        <v>0</v>
      </c>
      <c r="O902" s="57">
        <f>IFERROR(VLOOKUP(A902&amp;G902,Lookup!J:K,2,0),"")</f>
        <v>0</v>
      </c>
      <c r="P902" s="110" t="str">
        <f t="shared" si="70"/>
        <v/>
      </c>
      <c r="T902" s="59" t="e">
        <f t="shared" si="68"/>
        <v>#VALUE!</v>
      </c>
      <c r="U902" s="59"/>
      <c r="X902" s="60" t="str">
        <f t="shared" si="69"/>
        <v>D</v>
      </c>
    </row>
    <row r="903" spans="2:24" x14ac:dyDescent="0.25">
      <c r="B903" s="54" t="str">
        <f>IFERROR(VLOOKUP(A903,Lookup!A:B,2,0),"")</f>
        <v/>
      </c>
      <c r="C903" s="54" t="str">
        <f>IFERROR(VLOOKUP(A903,Lookup!A:C,3,0),"")</f>
        <v/>
      </c>
      <c r="J903" s="103">
        <f>VLOOKUP(A903&amp;G903,Lookup!J:N,5,0)</f>
        <v>0</v>
      </c>
      <c r="O903" s="57">
        <f>IFERROR(VLOOKUP(A903&amp;G903,Lookup!J:K,2,0),"")</f>
        <v>0</v>
      </c>
      <c r="P903" s="110" t="str">
        <f t="shared" si="70"/>
        <v/>
      </c>
      <c r="T903" s="59" t="e">
        <f t="shared" si="68"/>
        <v>#VALUE!</v>
      </c>
      <c r="U903" s="59"/>
      <c r="X903" s="60" t="str">
        <f t="shared" si="69"/>
        <v>D</v>
      </c>
    </row>
    <row r="904" spans="2:24" x14ac:dyDescent="0.25">
      <c r="B904" s="54" t="str">
        <f>IFERROR(VLOOKUP(A904,Lookup!A:B,2,0),"")</f>
        <v/>
      </c>
      <c r="C904" s="54" t="str">
        <f>IFERROR(VLOOKUP(A904,Lookup!A:C,3,0),"")</f>
        <v/>
      </c>
      <c r="J904" s="103">
        <f>VLOOKUP(A904&amp;G904,Lookup!J:N,5,0)</f>
        <v>0</v>
      </c>
      <c r="O904" s="57">
        <f>IFERROR(VLOOKUP(A904&amp;G904,Lookup!J:K,2,0),"")</f>
        <v>0</v>
      </c>
      <c r="P904" s="110" t="str">
        <f t="shared" si="70"/>
        <v/>
      </c>
      <c r="T904" s="59" t="e">
        <f t="shared" si="68"/>
        <v>#VALUE!</v>
      </c>
      <c r="U904" s="59"/>
      <c r="X904" s="60" t="str">
        <f t="shared" si="69"/>
        <v>D</v>
      </c>
    </row>
    <row r="905" spans="2:24" x14ac:dyDescent="0.25">
      <c r="B905" s="54" t="str">
        <f>IFERROR(VLOOKUP(A905,Lookup!A:B,2,0),"")</f>
        <v/>
      </c>
      <c r="C905" s="54" t="str">
        <f>IFERROR(VLOOKUP(A905,Lookup!A:C,3,0),"")</f>
        <v/>
      </c>
      <c r="J905" s="103">
        <f>VLOOKUP(A905&amp;G905,Lookup!J:N,5,0)</f>
        <v>0</v>
      </c>
      <c r="O905" s="57">
        <f>IFERROR(VLOOKUP(A905&amp;G905,Lookup!J:K,2,0),"")</f>
        <v>0</v>
      </c>
      <c r="P905" s="110" t="str">
        <f t="shared" si="70"/>
        <v/>
      </c>
      <c r="T905" s="59" t="e">
        <f t="shared" si="68"/>
        <v>#VALUE!</v>
      </c>
      <c r="U905" s="59"/>
      <c r="X905" s="60" t="str">
        <f t="shared" si="69"/>
        <v>D</v>
      </c>
    </row>
    <row r="906" spans="2:24" x14ac:dyDescent="0.25">
      <c r="B906" s="54" t="str">
        <f>IFERROR(VLOOKUP(A906,Lookup!A:B,2,0),"")</f>
        <v/>
      </c>
      <c r="C906" s="54" t="str">
        <f>IFERROR(VLOOKUP(A906,Lookup!A:C,3,0),"")</f>
        <v/>
      </c>
      <c r="J906" s="103">
        <f>VLOOKUP(A906&amp;G906,Lookup!J:N,5,0)</f>
        <v>0</v>
      </c>
      <c r="O906" s="57">
        <f>IFERROR(VLOOKUP(A906&amp;G906,Lookup!J:K,2,0),"")</f>
        <v>0</v>
      </c>
      <c r="P906" s="110" t="str">
        <f t="shared" si="70"/>
        <v/>
      </c>
      <c r="T906" s="59" t="e">
        <f t="shared" si="68"/>
        <v>#VALUE!</v>
      </c>
      <c r="U906" s="59"/>
      <c r="X906" s="60" t="str">
        <f t="shared" si="69"/>
        <v>D</v>
      </c>
    </row>
    <row r="907" spans="2:24" x14ac:dyDescent="0.25">
      <c r="B907" s="54" t="str">
        <f>IFERROR(VLOOKUP(A907,Lookup!A:B,2,0),"")</f>
        <v/>
      </c>
      <c r="C907" s="54" t="str">
        <f>IFERROR(VLOOKUP(A907,Lookup!A:C,3,0),"")</f>
        <v/>
      </c>
      <c r="J907" s="103">
        <f>VLOOKUP(A907&amp;G907,Lookup!J:N,5,0)</f>
        <v>0</v>
      </c>
      <c r="O907" s="57">
        <f>IFERROR(VLOOKUP(A907&amp;G907,Lookup!J:K,2,0),"")</f>
        <v>0</v>
      </c>
      <c r="P907" s="110" t="str">
        <f t="shared" si="70"/>
        <v/>
      </c>
      <c r="T907" s="59" t="e">
        <f t="shared" si="68"/>
        <v>#VALUE!</v>
      </c>
      <c r="U907" s="59"/>
      <c r="X907" s="60" t="str">
        <f t="shared" si="69"/>
        <v>D</v>
      </c>
    </row>
    <row r="908" spans="2:24" x14ac:dyDescent="0.25">
      <c r="B908" s="54" t="str">
        <f>IFERROR(VLOOKUP(A908,Lookup!A:B,2,0),"")</f>
        <v/>
      </c>
      <c r="C908" s="54" t="str">
        <f>IFERROR(VLOOKUP(A908,Lookup!A:C,3,0),"")</f>
        <v/>
      </c>
      <c r="J908" s="103">
        <f>VLOOKUP(A908&amp;G908,Lookup!J:N,5,0)</f>
        <v>0</v>
      </c>
      <c r="O908" s="57">
        <f>IFERROR(VLOOKUP(A908&amp;G908,Lookup!J:K,2,0),"")</f>
        <v>0</v>
      </c>
      <c r="P908" s="110" t="str">
        <f t="shared" si="70"/>
        <v/>
      </c>
      <c r="T908" s="59" t="e">
        <f t="shared" si="68"/>
        <v>#VALUE!</v>
      </c>
      <c r="U908" s="59"/>
      <c r="X908" s="60" t="str">
        <f t="shared" si="69"/>
        <v>D</v>
      </c>
    </row>
    <row r="909" spans="2:24" x14ac:dyDescent="0.25">
      <c r="B909" s="54" t="str">
        <f>IFERROR(VLOOKUP(A909,Lookup!A:B,2,0),"")</f>
        <v/>
      </c>
      <c r="C909" s="54" t="str">
        <f>IFERROR(VLOOKUP(A909,Lookup!A:C,3,0),"")</f>
        <v/>
      </c>
      <c r="J909" s="103">
        <f>VLOOKUP(A909&amp;G909,Lookup!J:N,5,0)</f>
        <v>0</v>
      </c>
      <c r="O909" s="57">
        <f>IFERROR(VLOOKUP(A909&amp;G909,Lookup!J:K,2,0),"")</f>
        <v>0</v>
      </c>
      <c r="P909" s="110" t="str">
        <f t="shared" si="70"/>
        <v/>
      </c>
      <c r="T909" s="59" t="e">
        <f t="shared" si="68"/>
        <v>#VALUE!</v>
      </c>
      <c r="U909" s="59"/>
      <c r="X909" s="60" t="str">
        <f t="shared" si="69"/>
        <v>D</v>
      </c>
    </row>
    <row r="910" spans="2:24" x14ac:dyDescent="0.25">
      <c r="B910" s="54" t="str">
        <f>IFERROR(VLOOKUP(A910,Lookup!A:B,2,0),"")</f>
        <v/>
      </c>
      <c r="C910" s="54" t="str">
        <f>IFERROR(VLOOKUP(A910,Lookup!A:C,3,0),"")</f>
        <v/>
      </c>
      <c r="J910" s="103">
        <f>VLOOKUP(A910&amp;G910,Lookup!J:N,5,0)</f>
        <v>0</v>
      </c>
      <c r="O910" s="57">
        <f>IFERROR(VLOOKUP(A910&amp;G910,Lookup!J:K,2,0),"")</f>
        <v>0</v>
      </c>
      <c r="P910" s="110" t="str">
        <f t="shared" si="70"/>
        <v/>
      </c>
      <c r="T910" s="59" t="e">
        <f t="shared" ref="T910:T973" si="71">IF(Q910-P910&gt;0.0415,"YES",(IF(OR(EXACT(Q910,""), EXACT(P910,"")),"","NO")))</f>
        <v>#VALUE!</v>
      </c>
      <c r="U910" s="59"/>
      <c r="X910" s="60" t="str">
        <f t="shared" si="69"/>
        <v>D</v>
      </c>
    </row>
    <row r="911" spans="2:24" x14ac:dyDescent="0.25">
      <c r="B911" s="54" t="str">
        <f>IFERROR(VLOOKUP(A911,Lookup!A:B,2,0),"")</f>
        <v/>
      </c>
      <c r="C911" s="54" t="str">
        <f>IFERROR(VLOOKUP(A911,Lookup!A:C,3,0),"")</f>
        <v/>
      </c>
      <c r="J911" s="103">
        <f>VLOOKUP(A911&amp;G911,Lookup!J:N,5,0)</f>
        <v>0</v>
      </c>
      <c r="O911" s="57">
        <f>IFERROR(VLOOKUP(A911&amp;G911,Lookup!J:K,2,0),"")</f>
        <v>0</v>
      </c>
      <c r="P911" s="110" t="str">
        <f t="shared" si="70"/>
        <v/>
      </c>
      <c r="T911" s="59" t="e">
        <f t="shared" si="71"/>
        <v>#VALUE!</v>
      </c>
      <c r="U911" s="59"/>
      <c r="X911" s="60" t="str">
        <f t="shared" si="69"/>
        <v>D</v>
      </c>
    </row>
    <row r="912" spans="2:24" x14ac:dyDescent="0.25">
      <c r="B912" s="54" t="str">
        <f>IFERROR(VLOOKUP(A912,Lookup!A:B,2,0),"")</f>
        <v/>
      </c>
      <c r="C912" s="54" t="str">
        <f>IFERROR(VLOOKUP(A912,Lookup!A:C,3,0),"")</f>
        <v/>
      </c>
      <c r="J912" s="103">
        <f>VLOOKUP(A912&amp;G912,Lookup!J:N,5,0)</f>
        <v>0</v>
      </c>
      <c r="O912" s="57">
        <f>IFERROR(VLOOKUP(A912&amp;G912,Lookup!J:K,2,0),"")</f>
        <v>0</v>
      </c>
      <c r="P912" s="110" t="str">
        <f t="shared" si="70"/>
        <v/>
      </c>
      <c r="T912" s="59" t="e">
        <f t="shared" si="71"/>
        <v>#VALUE!</v>
      </c>
      <c r="U912" s="59"/>
      <c r="X912" s="60" t="str">
        <f t="shared" si="69"/>
        <v>D</v>
      </c>
    </row>
    <row r="913" spans="2:24" x14ac:dyDescent="0.25">
      <c r="B913" s="54" t="str">
        <f>IFERROR(VLOOKUP(A913,Lookup!A:B,2,0),"")</f>
        <v/>
      </c>
      <c r="C913" s="54" t="str">
        <f>IFERROR(VLOOKUP(A913,Lookup!A:C,3,0),"")</f>
        <v/>
      </c>
      <c r="J913" s="103">
        <f>VLOOKUP(A913&amp;G913,Lookup!J:N,5,0)</f>
        <v>0</v>
      </c>
      <c r="O913" s="57">
        <f>IFERROR(VLOOKUP(A913&amp;G913,Lookup!J:K,2,0),"")</f>
        <v>0</v>
      </c>
      <c r="P913" s="110" t="str">
        <f t="shared" si="70"/>
        <v/>
      </c>
      <c r="T913" s="59" t="e">
        <f t="shared" si="71"/>
        <v>#VALUE!</v>
      </c>
      <c r="U913" s="59"/>
      <c r="X913" s="60" t="str">
        <f t="shared" si="69"/>
        <v>D</v>
      </c>
    </row>
    <row r="914" spans="2:24" x14ac:dyDescent="0.25">
      <c r="B914" s="54" t="str">
        <f>IFERROR(VLOOKUP(A914,Lookup!A:B,2,0),"")</f>
        <v/>
      </c>
      <c r="C914" s="54" t="str">
        <f>IFERROR(VLOOKUP(A914,Lookup!A:C,3,0),"")</f>
        <v/>
      </c>
      <c r="J914" s="103">
        <f>VLOOKUP(A914&amp;G914,Lookup!J:N,5,0)</f>
        <v>0</v>
      </c>
      <c r="O914" s="57">
        <f>IFERROR(VLOOKUP(A914&amp;G914,Lookup!J:K,2,0),"")</f>
        <v>0</v>
      </c>
      <c r="P914" s="110" t="str">
        <f t="shared" si="70"/>
        <v/>
      </c>
      <c r="T914" s="59" t="e">
        <f t="shared" si="71"/>
        <v>#VALUE!</v>
      </c>
      <c r="U914" s="59"/>
      <c r="X914" s="60" t="str">
        <f t="shared" si="69"/>
        <v>D</v>
      </c>
    </row>
    <row r="915" spans="2:24" x14ac:dyDescent="0.25">
      <c r="B915" s="54" t="str">
        <f>IFERROR(VLOOKUP(A915,Lookup!A:B,2,0),"")</f>
        <v/>
      </c>
      <c r="C915" s="54" t="str">
        <f>IFERROR(VLOOKUP(A915,Lookup!A:C,3,0),"")</f>
        <v/>
      </c>
      <c r="J915" s="103">
        <f>VLOOKUP(A915&amp;G915,Lookup!J:N,5,0)</f>
        <v>0</v>
      </c>
      <c r="O915" s="57">
        <f>IFERROR(VLOOKUP(A915&amp;G915,Lookup!J:K,2,0),"")</f>
        <v>0</v>
      </c>
      <c r="P915" s="110" t="str">
        <f t="shared" si="70"/>
        <v/>
      </c>
      <c r="T915" s="59" t="e">
        <f t="shared" si="71"/>
        <v>#VALUE!</v>
      </c>
      <c r="U915" s="59"/>
      <c r="X915" s="60" t="str">
        <f t="shared" si="69"/>
        <v>D</v>
      </c>
    </row>
    <row r="916" spans="2:24" x14ac:dyDescent="0.25">
      <c r="B916" s="54" t="str">
        <f>IFERROR(VLOOKUP(A916,Lookup!A:B,2,0),"")</f>
        <v/>
      </c>
      <c r="C916" s="54" t="str">
        <f>IFERROR(VLOOKUP(A916,Lookup!A:C,3,0),"")</f>
        <v/>
      </c>
      <c r="J916" s="103">
        <f>VLOOKUP(A916&amp;G916,Lookup!J:N,5,0)</f>
        <v>0</v>
      </c>
      <c r="O916" s="57">
        <f>IFERROR(VLOOKUP(A916&amp;G916,Lookup!J:K,2,0),"")</f>
        <v>0</v>
      </c>
      <c r="P916" s="110" t="str">
        <f t="shared" si="70"/>
        <v/>
      </c>
      <c r="T916" s="59" t="e">
        <f t="shared" si="71"/>
        <v>#VALUE!</v>
      </c>
      <c r="U916" s="59"/>
      <c r="X916" s="60" t="str">
        <f t="shared" si="69"/>
        <v>D</v>
      </c>
    </row>
    <row r="917" spans="2:24" x14ac:dyDescent="0.25">
      <c r="B917" s="54" t="str">
        <f>IFERROR(VLOOKUP(A917,Lookup!A:B,2,0),"")</f>
        <v/>
      </c>
      <c r="C917" s="54" t="str">
        <f>IFERROR(VLOOKUP(A917,Lookup!A:C,3,0),"")</f>
        <v/>
      </c>
      <c r="J917" s="103">
        <f>VLOOKUP(A917&amp;G917,Lookup!J:N,5,0)</f>
        <v>0</v>
      </c>
      <c r="O917" s="57">
        <f>IFERROR(VLOOKUP(A917&amp;G917,Lookup!J:K,2,0),"")</f>
        <v>0</v>
      </c>
      <c r="P917" s="110" t="str">
        <f t="shared" si="70"/>
        <v/>
      </c>
      <c r="T917" s="59" t="e">
        <f t="shared" si="71"/>
        <v>#VALUE!</v>
      </c>
      <c r="U917" s="59"/>
      <c r="X917" s="60" t="str">
        <f t="shared" si="69"/>
        <v>D</v>
      </c>
    </row>
    <row r="918" spans="2:24" x14ac:dyDescent="0.25">
      <c r="B918" s="54" t="str">
        <f>IFERROR(VLOOKUP(A918,Lookup!A:B,2,0),"")</f>
        <v/>
      </c>
      <c r="C918" s="54" t="str">
        <f>IFERROR(VLOOKUP(A918,Lookup!A:C,3,0),"")</f>
        <v/>
      </c>
      <c r="J918" s="103">
        <f>VLOOKUP(A918&amp;G918,Lookup!J:N,5,0)</f>
        <v>0</v>
      </c>
      <c r="O918" s="57">
        <f>IFERROR(VLOOKUP(A918&amp;G918,Lookup!J:K,2,0),"")</f>
        <v>0</v>
      </c>
      <c r="P918" s="110" t="str">
        <f t="shared" si="70"/>
        <v/>
      </c>
      <c r="T918" s="59" t="e">
        <f t="shared" si="71"/>
        <v>#VALUE!</v>
      </c>
      <c r="U918" s="59"/>
      <c r="X918" s="60" t="str">
        <f t="shared" si="69"/>
        <v>D</v>
      </c>
    </row>
    <row r="919" spans="2:24" x14ac:dyDescent="0.25">
      <c r="B919" s="54" t="str">
        <f>IFERROR(VLOOKUP(A919,Lookup!A:B,2,0),"")</f>
        <v/>
      </c>
      <c r="C919" s="54" t="str">
        <f>IFERROR(VLOOKUP(A919,Lookup!A:C,3,0),"")</f>
        <v/>
      </c>
      <c r="J919" s="103">
        <f>VLOOKUP(A919&amp;G919,Lookup!J:N,5,0)</f>
        <v>0</v>
      </c>
      <c r="O919" s="57">
        <f>IFERROR(VLOOKUP(A919&amp;G919,Lookup!J:K,2,0),"")</f>
        <v>0</v>
      </c>
      <c r="P919" s="110" t="str">
        <f t="shared" si="70"/>
        <v/>
      </c>
      <c r="T919" s="59" t="e">
        <f t="shared" si="71"/>
        <v>#VALUE!</v>
      </c>
      <c r="U919" s="59"/>
      <c r="X919" s="60" t="str">
        <f t="shared" si="69"/>
        <v>D</v>
      </c>
    </row>
    <row r="920" spans="2:24" x14ac:dyDescent="0.25">
      <c r="B920" s="54" t="str">
        <f>IFERROR(VLOOKUP(A920,Lookup!A:B,2,0),"")</f>
        <v/>
      </c>
      <c r="C920" s="54" t="str">
        <f>IFERROR(VLOOKUP(A920,Lookup!A:C,3,0),"")</f>
        <v/>
      </c>
      <c r="J920" s="103">
        <f>VLOOKUP(A920&amp;G920,Lookup!J:N,5,0)</f>
        <v>0</v>
      </c>
      <c r="O920" s="57">
        <f>IFERROR(VLOOKUP(A920&amp;G920,Lookup!J:K,2,0),"")</f>
        <v>0</v>
      </c>
      <c r="P920" s="110" t="str">
        <f t="shared" si="70"/>
        <v/>
      </c>
      <c r="T920" s="59" t="e">
        <f t="shared" si="71"/>
        <v>#VALUE!</v>
      </c>
      <c r="U920" s="59"/>
      <c r="X920" s="60" t="str">
        <f t="shared" si="69"/>
        <v>D</v>
      </c>
    </row>
    <row r="921" spans="2:24" x14ac:dyDescent="0.25">
      <c r="B921" s="54" t="str">
        <f>IFERROR(VLOOKUP(A921,Lookup!A:B,2,0),"")</f>
        <v/>
      </c>
      <c r="C921" s="54" t="str">
        <f>IFERROR(VLOOKUP(A921,Lookup!A:C,3,0),"")</f>
        <v/>
      </c>
      <c r="J921" s="103">
        <f>VLOOKUP(A921&amp;G921,Lookup!J:N,5,0)</f>
        <v>0</v>
      </c>
      <c r="O921" s="57">
        <f>IFERROR(VLOOKUP(A921&amp;G921,Lookup!J:K,2,0),"")</f>
        <v>0</v>
      </c>
      <c r="P921" s="110" t="str">
        <f t="shared" si="70"/>
        <v/>
      </c>
      <c r="T921" s="59" t="e">
        <f t="shared" si="71"/>
        <v>#VALUE!</v>
      </c>
      <c r="U921" s="59"/>
      <c r="X921" s="60" t="str">
        <f t="shared" si="69"/>
        <v>D</v>
      </c>
    </row>
    <row r="922" spans="2:24" x14ac:dyDescent="0.25">
      <c r="B922" s="54" t="str">
        <f>IFERROR(VLOOKUP(A922,Lookup!A:B,2,0),"")</f>
        <v/>
      </c>
      <c r="C922" s="54" t="str">
        <f>IFERROR(VLOOKUP(A922,Lookup!A:C,3,0),"")</f>
        <v/>
      </c>
      <c r="J922" s="103">
        <f>VLOOKUP(A922&amp;G922,Lookup!J:N,5,0)</f>
        <v>0</v>
      </c>
      <c r="O922" s="57">
        <f>IFERROR(VLOOKUP(A922&amp;G922,Lookup!J:K,2,0),"")</f>
        <v>0</v>
      </c>
      <c r="P922" s="110" t="str">
        <f t="shared" si="70"/>
        <v/>
      </c>
      <c r="T922" s="59" t="e">
        <f t="shared" si="71"/>
        <v>#VALUE!</v>
      </c>
      <c r="U922" s="59"/>
      <c r="X922" s="60" t="str">
        <f t="shared" si="69"/>
        <v>D</v>
      </c>
    </row>
    <row r="923" spans="2:24" x14ac:dyDescent="0.25">
      <c r="B923" s="54" t="str">
        <f>IFERROR(VLOOKUP(A923,Lookup!A:B,2,0),"")</f>
        <v/>
      </c>
      <c r="C923" s="54" t="str">
        <f>IFERROR(VLOOKUP(A923,Lookup!A:C,3,0),"")</f>
        <v/>
      </c>
      <c r="J923" s="103">
        <f>VLOOKUP(A923&amp;G923,Lookup!J:N,5,0)</f>
        <v>0</v>
      </c>
      <c r="O923" s="57">
        <f>IFERROR(VLOOKUP(A923&amp;G923,Lookup!J:K,2,0),"")</f>
        <v>0</v>
      </c>
      <c r="P923" s="110" t="str">
        <f t="shared" si="70"/>
        <v/>
      </c>
      <c r="T923" s="59" t="e">
        <f t="shared" si="71"/>
        <v>#VALUE!</v>
      </c>
      <c r="U923" s="59"/>
      <c r="X923" s="60" t="str">
        <f t="shared" si="69"/>
        <v>D</v>
      </c>
    </row>
    <row r="924" spans="2:24" x14ac:dyDescent="0.25">
      <c r="B924" s="54" t="str">
        <f>IFERROR(VLOOKUP(A924,Lookup!A:B,2,0),"")</f>
        <v/>
      </c>
      <c r="C924" s="54" t="str">
        <f>IFERROR(VLOOKUP(A924,Lookup!A:C,3,0),"")</f>
        <v/>
      </c>
      <c r="J924" s="103">
        <f>VLOOKUP(A924&amp;G924,Lookup!J:N,5,0)</f>
        <v>0</v>
      </c>
      <c r="O924" s="57">
        <f>IFERROR(VLOOKUP(A924&amp;G924,Lookup!J:K,2,0),"")</f>
        <v>0</v>
      </c>
      <c r="P924" s="110" t="str">
        <f t="shared" si="70"/>
        <v/>
      </c>
      <c r="T924" s="59" t="e">
        <f t="shared" si="71"/>
        <v>#VALUE!</v>
      </c>
      <c r="U924" s="59"/>
      <c r="X924" s="60" t="str">
        <f t="shared" si="69"/>
        <v>D</v>
      </c>
    </row>
    <row r="925" spans="2:24" x14ac:dyDescent="0.25">
      <c r="B925" s="54" t="str">
        <f>IFERROR(VLOOKUP(A925,Lookup!A:B,2,0),"")</f>
        <v/>
      </c>
      <c r="C925" s="54" t="str">
        <f>IFERROR(VLOOKUP(A925,Lookup!A:C,3,0),"")</f>
        <v/>
      </c>
      <c r="J925" s="103">
        <f>VLOOKUP(A925&amp;G925,Lookup!J:N,5,0)</f>
        <v>0</v>
      </c>
      <c r="O925" s="57">
        <f>IFERROR(VLOOKUP(A925&amp;G925,Lookup!J:K,2,0),"")</f>
        <v>0</v>
      </c>
      <c r="P925" s="110" t="str">
        <f t="shared" si="70"/>
        <v/>
      </c>
      <c r="T925" s="59" t="e">
        <f t="shared" si="71"/>
        <v>#VALUE!</v>
      </c>
      <c r="U925" s="59"/>
      <c r="X925" s="60" t="str">
        <f t="shared" si="69"/>
        <v>D</v>
      </c>
    </row>
    <row r="926" spans="2:24" x14ac:dyDescent="0.25">
      <c r="B926" s="54" t="str">
        <f>IFERROR(VLOOKUP(A926,Lookup!A:B,2,0),"")</f>
        <v/>
      </c>
      <c r="C926" s="54" t="str">
        <f>IFERROR(VLOOKUP(A926,Lookup!A:C,3,0),"")</f>
        <v/>
      </c>
      <c r="J926" s="103">
        <f>VLOOKUP(A926&amp;G926,Lookup!J:N,5,0)</f>
        <v>0</v>
      </c>
      <c r="O926" s="57">
        <f>IFERROR(VLOOKUP(A926&amp;G926,Lookup!J:K,2,0),"")</f>
        <v>0</v>
      </c>
      <c r="P926" s="110" t="str">
        <f t="shared" si="70"/>
        <v/>
      </c>
      <c r="T926" s="59" t="e">
        <f t="shared" si="71"/>
        <v>#VALUE!</v>
      </c>
      <c r="U926" s="59"/>
      <c r="X926" s="60" t="str">
        <f t="shared" si="69"/>
        <v>D</v>
      </c>
    </row>
    <row r="927" spans="2:24" x14ac:dyDescent="0.25">
      <c r="B927" s="54" t="str">
        <f>IFERROR(VLOOKUP(A927,Lookup!A:B,2,0),"")</f>
        <v/>
      </c>
      <c r="C927" s="54" t="str">
        <f>IFERROR(VLOOKUP(A927,Lookup!A:C,3,0),"")</f>
        <v/>
      </c>
      <c r="J927" s="103">
        <f>VLOOKUP(A927&amp;G927,Lookup!J:N,5,0)</f>
        <v>0</v>
      </c>
      <c r="O927" s="57">
        <f>IFERROR(VLOOKUP(A927&amp;G927,Lookup!J:K,2,0),"")</f>
        <v>0</v>
      </c>
      <c r="P927" s="110" t="str">
        <f t="shared" si="70"/>
        <v/>
      </c>
      <c r="T927" s="59" t="e">
        <f t="shared" si="71"/>
        <v>#VALUE!</v>
      </c>
      <c r="U927" s="59"/>
      <c r="X927" s="60" t="str">
        <f t="shared" si="69"/>
        <v>D</v>
      </c>
    </row>
    <row r="928" spans="2:24" x14ac:dyDescent="0.25">
      <c r="B928" s="54" t="str">
        <f>IFERROR(VLOOKUP(A928,Lookup!A:B,2,0),"")</f>
        <v/>
      </c>
      <c r="C928" s="54" t="str">
        <f>IFERROR(VLOOKUP(A928,Lookup!A:C,3,0),"")</f>
        <v/>
      </c>
      <c r="J928" s="103">
        <f>VLOOKUP(A928&amp;G928,Lookup!J:N,5,0)</f>
        <v>0</v>
      </c>
      <c r="O928" s="57">
        <f>IFERROR(VLOOKUP(A928&amp;G928,Lookup!J:K,2,0),"")</f>
        <v>0</v>
      </c>
      <c r="P928" s="110" t="str">
        <f t="shared" si="70"/>
        <v/>
      </c>
      <c r="T928" s="59" t="e">
        <f t="shared" si="71"/>
        <v>#VALUE!</v>
      </c>
      <c r="U928" s="59"/>
      <c r="X928" s="60" t="str">
        <f t="shared" si="69"/>
        <v>D</v>
      </c>
    </row>
    <row r="929" spans="2:24" x14ac:dyDescent="0.25">
      <c r="B929" s="54" t="str">
        <f>IFERROR(VLOOKUP(A929,Lookup!A:B,2,0),"")</f>
        <v/>
      </c>
      <c r="C929" s="54" t="str">
        <f>IFERROR(VLOOKUP(A929,Lookup!A:C,3,0),"")</f>
        <v/>
      </c>
      <c r="J929" s="103">
        <f>VLOOKUP(A929&amp;G929,Lookup!J:N,5,0)</f>
        <v>0</v>
      </c>
      <c r="O929" s="57">
        <f>IFERROR(VLOOKUP(A929&amp;G929,Lookup!J:K,2,0),"")</f>
        <v>0</v>
      </c>
      <c r="P929" s="110" t="str">
        <f t="shared" si="70"/>
        <v/>
      </c>
      <c r="T929" s="59" t="e">
        <f t="shared" si="71"/>
        <v>#VALUE!</v>
      </c>
      <c r="U929" s="59"/>
      <c r="X929" s="60" t="str">
        <f t="shared" si="69"/>
        <v>D</v>
      </c>
    </row>
    <row r="930" spans="2:24" x14ac:dyDescent="0.25">
      <c r="B930" s="54" t="str">
        <f>IFERROR(VLOOKUP(A930,Lookup!A:B,2,0),"")</f>
        <v/>
      </c>
      <c r="C930" s="54" t="str">
        <f>IFERROR(VLOOKUP(A930,Lookup!A:C,3,0),"")</f>
        <v/>
      </c>
      <c r="J930" s="103">
        <f>VLOOKUP(A930&amp;G930,Lookup!J:N,5,0)</f>
        <v>0</v>
      </c>
      <c r="O930" s="57">
        <f>IFERROR(VLOOKUP(A930&amp;G930,Lookup!J:K,2,0),"")</f>
        <v>0</v>
      </c>
      <c r="P930" s="110" t="str">
        <f t="shared" si="70"/>
        <v/>
      </c>
      <c r="T930" s="59" t="e">
        <f t="shared" si="71"/>
        <v>#VALUE!</v>
      </c>
      <c r="U930" s="59"/>
      <c r="X930" s="60" t="str">
        <f t="shared" si="69"/>
        <v>D</v>
      </c>
    </row>
    <row r="931" spans="2:24" x14ac:dyDescent="0.25">
      <c r="B931" s="54" t="str">
        <f>IFERROR(VLOOKUP(A931,Lookup!A:B,2,0),"")</f>
        <v/>
      </c>
      <c r="C931" s="54" t="str">
        <f>IFERROR(VLOOKUP(A931,Lookup!A:C,3,0),"")</f>
        <v/>
      </c>
      <c r="J931" s="103">
        <f>VLOOKUP(A931&amp;G931,Lookup!J:N,5,0)</f>
        <v>0</v>
      </c>
      <c r="O931" s="57">
        <f>IFERROR(VLOOKUP(A931&amp;G931,Lookup!J:K,2,0),"")</f>
        <v>0</v>
      </c>
      <c r="P931" s="110" t="str">
        <f t="shared" si="70"/>
        <v/>
      </c>
      <c r="T931" s="59" t="e">
        <f t="shared" si="71"/>
        <v>#VALUE!</v>
      </c>
      <c r="U931" s="59"/>
      <c r="X931" s="60" t="str">
        <f t="shared" si="69"/>
        <v>D</v>
      </c>
    </row>
    <row r="932" spans="2:24" x14ac:dyDescent="0.25">
      <c r="B932" s="54" t="str">
        <f>IFERROR(VLOOKUP(A932,Lookup!A:B,2,0),"")</f>
        <v/>
      </c>
      <c r="C932" s="54" t="str">
        <f>IFERROR(VLOOKUP(A932,Lookup!A:C,3,0),"")</f>
        <v/>
      </c>
      <c r="J932" s="103">
        <f>VLOOKUP(A932&amp;G932,Lookup!J:N,5,0)</f>
        <v>0</v>
      </c>
      <c r="O932" s="57">
        <f>IFERROR(VLOOKUP(A932&amp;G932,Lookup!J:K,2,0),"")</f>
        <v>0</v>
      </c>
      <c r="P932" s="110" t="str">
        <f t="shared" si="70"/>
        <v/>
      </c>
      <c r="T932" s="59" t="e">
        <f t="shared" si="71"/>
        <v>#VALUE!</v>
      </c>
      <c r="U932" s="59"/>
      <c r="X932" s="60" t="str">
        <f t="shared" si="69"/>
        <v>D</v>
      </c>
    </row>
    <row r="933" spans="2:24" x14ac:dyDescent="0.25">
      <c r="B933" s="54" t="str">
        <f>IFERROR(VLOOKUP(A933,Lookup!A:B,2,0),"")</f>
        <v/>
      </c>
      <c r="C933" s="54" t="str">
        <f>IFERROR(VLOOKUP(A933,Lookup!A:C,3,0),"")</f>
        <v/>
      </c>
      <c r="J933" s="103">
        <f>VLOOKUP(A933&amp;G933,Lookup!J:N,5,0)</f>
        <v>0</v>
      </c>
      <c r="O933" s="57">
        <f>IFERROR(VLOOKUP(A933&amp;G933,Lookup!J:K,2,0),"")</f>
        <v>0</v>
      </c>
      <c r="P933" s="110" t="str">
        <f t="shared" si="70"/>
        <v/>
      </c>
      <c r="T933" s="59" t="e">
        <f t="shared" si="71"/>
        <v>#VALUE!</v>
      </c>
      <c r="U933" s="59"/>
      <c r="X933" s="60" t="str">
        <f t="shared" si="69"/>
        <v>D</v>
      </c>
    </row>
    <row r="934" spans="2:24" x14ac:dyDescent="0.25">
      <c r="B934" s="54" t="str">
        <f>IFERROR(VLOOKUP(A934,Lookup!A:B,2,0),"")</f>
        <v/>
      </c>
      <c r="C934" s="54" t="str">
        <f>IFERROR(VLOOKUP(A934,Lookup!A:C,3,0),"")</f>
        <v/>
      </c>
      <c r="J934" s="103">
        <f>VLOOKUP(A934&amp;G934,Lookup!J:N,5,0)</f>
        <v>0</v>
      </c>
      <c r="O934" s="57">
        <f>IFERROR(VLOOKUP(A934&amp;G934,Lookup!J:K,2,0),"")</f>
        <v>0</v>
      </c>
      <c r="P934" s="110" t="str">
        <f t="shared" si="70"/>
        <v/>
      </c>
      <c r="T934" s="59" t="e">
        <f t="shared" si="71"/>
        <v>#VALUE!</v>
      </c>
      <c r="U934" s="59"/>
      <c r="X934" s="60" t="str">
        <f t="shared" si="69"/>
        <v>D</v>
      </c>
    </row>
    <row r="935" spans="2:24" x14ac:dyDescent="0.25">
      <c r="B935" s="54" t="str">
        <f>IFERROR(VLOOKUP(A935,Lookup!A:B,2,0),"")</f>
        <v/>
      </c>
      <c r="C935" s="54" t="str">
        <f>IFERROR(VLOOKUP(A935,Lookup!A:C,3,0),"")</f>
        <v/>
      </c>
      <c r="J935" s="103">
        <f>VLOOKUP(A935&amp;G935,Lookup!J:N,5,0)</f>
        <v>0</v>
      </c>
      <c r="O935" s="57">
        <f>IFERROR(VLOOKUP(A935&amp;G935,Lookup!J:K,2,0),"")</f>
        <v>0</v>
      </c>
      <c r="P935" s="110" t="str">
        <f t="shared" si="70"/>
        <v/>
      </c>
      <c r="T935" s="59" t="e">
        <f t="shared" si="71"/>
        <v>#VALUE!</v>
      </c>
      <c r="U935" s="59"/>
      <c r="X935" s="60" t="str">
        <f t="shared" si="69"/>
        <v>D</v>
      </c>
    </row>
    <row r="936" spans="2:24" x14ac:dyDescent="0.25">
      <c r="B936" s="54" t="str">
        <f>IFERROR(VLOOKUP(A936,Lookup!A:B,2,0),"")</f>
        <v/>
      </c>
      <c r="C936" s="54" t="str">
        <f>IFERROR(VLOOKUP(A936,Lookup!A:C,3,0),"")</f>
        <v/>
      </c>
      <c r="J936" s="103">
        <f>VLOOKUP(A936&amp;G936,Lookup!J:N,5,0)</f>
        <v>0</v>
      </c>
      <c r="O936" s="57">
        <f>IFERROR(VLOOKUP(A936&amp;G936,Lookup!J:K,2,0),"")</f>
        <v>0</v>
      </c>
      <c r="P936" s="110" t="str">
        <f t="shared" si="70"/>
        <v/>
      </c>
      <c r="T936" s="59" t="e">
        <f t="shared" si="71"/>
        <v>#VALUE!</v>
      </c>
      <c r="U936" s="59"/>
      <c r="X936" s="60" t="str">
        <f t="shared" si="69"/>
        <v>D</v>
      </c>
    </row>
    <row r="937" spans="2:24" x14ac:dyDescent="0.25">
      <c r="B937" s="54" t="str">
        <f>IFERROR(VLOOKUP(A937,Lookup!A:B,2,0),"")</f>
        <v/>
      </c>
      <c r="C937" s="54" t="str">
        <f>IFERROR(VLOOKUP(A937,Lookup!A:C,3,0),"")</f>
        <v/>
      </c>
      <c r="J937" s="103">
        <f>VLOOKUP(A937&amp;G937,Lookup!J:N,5,0)</f>
        <v>0</v>
      </c>
      <c r="O937" s="57">
        <f>IFERROR(VLOOKUP(A937&amp;G937,Lookup!J:K,2,0),"")</f>
        <v>0</v>
      </c>
      <c r="P937" s="110" t="str">
        <f t="shared" si="70"/>
        <v/>
      </c>
      <c r="T937" s="59" t="e">
        <f t="shared" si="71"/>
        <v>#VALUE!</v>
      </c>
      <c r="U937" s="59"/>
      <c r="X937" s="60" t="str">
        <f t="shared" si="69"/>
        <v>D</v>
      </c>
    </row>
    <row r="938" spans="2:24" x14ac:dyDescent="0.25">
      <c r="B938" s="54" t="str">
        <f>IFERROR(VLOOKUP(A938,Lookup!A:B,2,0),"")</f>
        <v/>
      </c>
      <c r="C938" s="54" t="str">
        <f>IFERROR(VLOOKUP(A938,Lookup!A:C,3,0),"")</f>
        <v/>
      </c>
      <c r="J938" s="103">
        <f>VLOOKUP(A938&amp;G938,Lookup!J:N,5,0)</f>
        <v>0</v>
      </c>
      <c r="O938" s="57">
        <f>IFERROR(VLOOKUP(A938&amp;G938,Lookup!J:K,2,0),"")</f>
        <v>0</v>
      </c>
      <c r="P938" s="110" t="str">
        <f t="shared" si="70"/>
        <v/>
      </c>
      <c r="T938" s="59" t="e">
        <f t="shared" si="71"/>
        <v>#VALUE!</v>
      </c>
      <c r="U938" s="59"/>
      <c r="X938" s="60" t="str">
        <f t="shared" si="69"/>
        <v>D</v>
      </c>
    </row>
    <row r="939" spans="2:24" x14ac:dyDescent="0.25">
      <c r="B939" s="54" t="str">
        <f>IFERROR(VLOOKUP(A939,Lookup!A:B,2,0),"")</f>
        <v/>
      </c>
      <c r="C939" s="54" t="str">
        <f>IFERROR(VLOOKUP(A939,Lookup!A:C,3,0),"")</f>
        <v/>
      </c>
      <c r="J939" s="103">
        <f>VLOOKUP(A939&amp;G939,Lookup!J:N,5,0)</f>
        <v>0</v>
      </c>
      <c r="O939" s="57">
        <f>IFERROR(VLOOKUP(A939&amp;G939,Lookup!J:K,2,0),"")</f>
        <v>0</v>
      </c>
      <c r="P939" s="110" t="str">
        <f t="shared" si="70"/>
        <v/>
      </c>
      <c r="T939" s="59" t="e">
        <f t="shared" si="71"/>
        <v>#VALUE!</v>
      </c>
      <c r="U939" s="59"/>
      <c r="X939" s="60" t="str">
        <f t="shared" si="69"/>
        <v>D</v>
      </c>
    </row>
    <row r="940" spans="2:24" x14ac:dyDescent="0.25">
      <c r="B940" s="54" t="str">
        <f>IFERROR(VLOOKUP(A940,Lookup!A:B,2,0),"")</f>
        <v/>
      </c>
      <c r="C940" s="54" t="str">
        <f>IFERROR(VLOOKUP(A940,Lookup!A:C,3,0),"")</f>
        <v/>
      </c>
      <c r="J940" s="103">
        <f>VLOOKUP(A940&amp;G940,Lookup!J:N,5,0)</f>
        <v>0</v>
      </c>
      <c r="O940" s="57">
        <f>IFERROR(VLOOKUP(A940&amp;G940,Lookup!J:K,2,0),"")</f>
        <v>0</v>
      </c>
      <c r="P940" s="110" t="str">
        <f t="shared" si="70"/>
        <v/>
      </c>
      <c r="T940" s="59" t="e">
        <f t="shared" si="71"/>
        <v>#VALUE!</v>
      </c>
      <c r="U940" s="59"/>
      <c r="X940" s="60" t="str">
        <f t="shared" si="69"/>
        <v>D</v>
      </c>
    </row>
    <row r="941" spans="2:24" x14ac:dyDescent="0.25">
      <c r="B941" s="54" t="str">
        <f>IFERROR(VLOOKUP(A941,Lookup!A:B,2,0),"")</f>
        <v/>
      </c>
      <c r="C941" s="54" t="str">
        <f>IFERROR(VLOOKUP(A941,Lookup!A:C,3,0),"")</f>
        <v/>
      </c>
      <c r="J941" s="103">
        <f>VLOOKUP(A941&amp;G941,Lookup!J:N,5,0)</f>
        <v>0</v>
      </c>
      <c r="O941" s="57">
        <f>IFERROR(VLOOKUP(A941&amp;G941,Lookup!J:K,2,0),"")</f>
        <v>0</v>
      </c>
      <c r="P941" s="110" t="str">
        <f t="shared" si="70"/>
        <v/>
      </c>
      <c r="T941" s="59" t="e">
        <f t="shared" si="71"/>
        <v>#VALUE!</v>
      </c>
      <c r="U941" s="59"/>
      <c r="X941" s="60" t="str">
        <f t="shared" si="69"/>
        <v>D</v>
      </c>
    </row>
    <row r="942" spans="2:24" x14ac:dyDescent="0.25">
      <c r="B942" s="54" t="str">
        <f>IFERROR(VLOOKUP(A942,Lookup!A:B,2,0),"")</f>
        <v/>
      </c>
      <c r="C942" s="54" t="str">
        <f>IFERROR(VLOOKUP(A942,Lookup!A:C,3,0),"")</f>
        <v/>
      </c>
      <c r="J942" s="103">
        <f>VLOOKUP(A942&amp;G942,Lookup!J:N,5,0)</f>
        <v>0</v>
      </c>
      <c r="O942" s="57">
        <f>IFERROR(VLOOKUP(A942&amp;G942,Lookup!J:K,2,0),"")</f>
        <v>0</v>
      </c>
      <c r="P942" s="110" t="str">
        <f t="shared" si="70"/>
        <v/>
      </c>
      <c r="T942" s="59" t="e">
        <f t="shared" si="71"/>
        <v>#VALUE!</v>
      </c>
      <c r="U942" s="59"/>
      <c r="X942" s="60" t="str">
        <f t="shared" ref="X942:X1005" si="72">IF(I942="SET","A",IF(I942="FREQ","C",IF(I942="","D","B")))</f>
        <v>D</v>
      </c>
    </row>
    <row r="943" spans="2:24" x14ac:dyDescent="0.25">
      <c r="B943" s="54" t="str">
        <f>IFERROR(VLOOKUP(A943,Lookup!A:B,2,0),"")</f>
        <v/>
      </c>
      <c r="C943" s="54" t="str">
        <f>IFERROR(VLOOKUP(A943,Lookup!A:C,3,0),"")</f>
        <v/>
      </c>
      <c r="J943" s="103">
        <f>VLOOKUP(A943&amp;G943,Lookup!J:N,5,0)</f>
        <v>0</v>
      </c>
      <c r="O943" s="57">
        <f>IFERROR(VLOOKUP(A943&amp;G943,Lookup!J:K,2,0),"")</f>
        <v>0</v>
      </c>
      <c r="P943" s="110" t="str">
        <f t="shared" si="70"/>
        <v/>
      </c>
      <c r="T943" s="59" t="e">
        <f t="shared" si="71"/>
        <v>#VALUE!</v>
      </c>
      <c r="U943" s="59"/>
      <c r="X943" s="60" t="str">
        <f t="shared" si="72"/>
        <v>D</v>
      </c>
    </row>
    <row r="944" spans="2:24" x14ac:dyDescent="0.25">
      <c r="B944" s="54" t="str">
        <f>IFERROR(VLOOKUP(A944,Lookup!A:B,2,0),"")</f>
        <v/>
      </c>
      <c r="C944" s="54" t="str">
        <f>IFERROR(VLOOKUP(A944,Lookup!A:C,3,0),"")</f>
        <v/>
      </c>
      <c r="J944" s="103">
        <f>VLOOKUP(A944&amp;G944,Lookup!J:N,5,0)</f>
        <v>0</v>
      </c>
      <c r="O944" s="57">
        <f>IFERROR(VLOOKUP(A944&amp;G944,Lookup!J:K,2,0),"")</f>
        <v>0</v>
      </c>
      <c r="P944" s="110" t="str">
        <f t="shared" si="70"/>
        <v/>
      </c>
      <c r="T944" s="59" t="e">
        <f t="shared" si="71"/>
        <v>#VALUE!</v>
      </c>
      <c r="U944" s="59"/>
      <c r="X944" s="60" t="str">
        <f t="shared" si="72"/>
        <v>D</v>
      </c>
    </row>
    <row r="945" spans="2:24" x14ac:dyDescent="0.25">
      <c r="B945" s="54" t="str">
        <f>IFERROR(VLOOKUP(A945,Lookup!A:B,2,0),"")</f>
        <v/>
      </c>
      <c r="C945" s="54" t="str">
        <f>IFERROR(VLOOKUP(A945,Lookup!A:C,3,0),"")</f>
        <v/>
      </c>
      <c r="J945" s="103">
        <f>VLOOKUP(A945&amp;G945,Lookup!J:N,5,0)</f>
        <v>0</v>
      </c>
      <c r="O945" s="57">
        <f>IFERROR(VLOOKUP(A945&amp;G945,Lookup!J:K,2,0),"")</f>
        <v>0</v>
      </c>
      <c r="P945" s="110" t="str">
        <f t="shared" si="70"/>
        <v/>
      </c>
      <c r="T945" s="59" t="e">
        <f t="shared" si="71"/>
        <v>#VALUE!</v>
      </c>
      <c r="U945" s="59"/>
      <c r="X945" s="60" t="str">
        <f t="shared" si="72"/>
        <v>D</v>
      </c>
    </row>
    <row r="946" spans="2:24" x14ac:dyDescent="0.25">
      <c r="B946" s="54" t="str">
        <f>IFERROR(VLOOKUP(A946,Lookup!A:B,2,0),"")</f>
        <v/>
      </c>
      <c r="C946" s="54" t="str">
        <f>IFERROR(VLOOKUP(A946,Lookup!A:C,3,0),"")</f>
        <v/>
      </c>
      <c r="J946" s="103">
        <f>VLOOKUP(A946&amp;G946,Lookup!J:N,5,0)</f>
        <v>0</v>
      </c>
      <c r="O946" s="57">
        <f>IFERROR(VLOOKUP(A946&amp;G946,Lookup!J:K,2,0),"")</f>
        <v>0</v>
      </c>
      <c r="P946" s="110" t="str">
        <f t="shared" si="70"/>
        <v/>
      </c>
      <c r="T946" s="59" t="e">
        <f t="shared" si="71"/>
        <v>#VALUE!</v>
      </c>
      <c r="U946" s="59"/>
      <c r="X946" s="60" t="str">
        <f t="shared" si="72"/>
        <v>D</v>
      </c>
    </row>
    <row r="947" spans="2:24" x14ac:dyDescent="0.25">
      <c r="B947" s="54" t="str">
        <f>IFERROR(VLOOKUP(A947,Lookup!A:B,2,0),"")</f>
        <v/>
      </c>
      <c r="C947" s="54" t="str">
        <f>IFERROR(VLOOKUP(A947,Lookup!A:C,3,0),"")</f>
        <v/>
      </c>
      <c r="J947" s="103">
        <f>VLOOKUP(A947&amp;G947,Lookup!J:N,5,0)</f>
        <v>0</v>
      </c>
      <c r="O947" s="57">
        <f>IFERROR(VLOOKUP(A947&amp;G947,Lookup!J:K,2,0),"")</f>
        <v>0</v>
      </c>
      <c r="P947" s="110" t="str">
        <f t="shared" si="70"/>
        <v/>
      </c>
      <c r="T947" s="59" t="e">
        <f t="shared" si="71"/>
        <v>#VALUE!</v>
      </c>
      <c r="U947" s="59"/>
      <c r="X947" s="60" t="str">
        <f t="shared" si="72"/>
        <v>D</v>
      </c>
    </row>
    <row r="948" spans="2:24" x14ac:dyDescent="0.25">
      <c r="B948" s="54" t="str">
        <f>IFERROR(VLOOKUP(A948,Lookup!A:B,2,0),"")</f>
        <v/>
      </c>
      <c r="C948" s="54" t="str">
        <f>IFERROR(VLOOKUP(A948,Lookup!A:C,3,0),"")</f>
        <v/>
      </c>
      <c r="J948" s="103">
        <f>VLOOKUP(A948&amp;G948,Lookup!J:N,5,0)</f>
        <v>0</v>
      </c>
      <c r="O948" s="57">
        <f>IFERROR(VLOOKUP(A948&amp;G948,Lookup!J:K,2,0),"")</f>
        <v>0</v>
      </c>
      <c r="P948" s="110" t="str">
        <f t="shared" si="70"/>
        <v/>
      </c>
      <c r="T948" s="59" t="e">
        <f t="shared" si="71"/>
        <v>#VALUE!</v>
      </c>
      <c r="U948" s="59"/>
      <c r="X948" s="60" t="str">
        <f t="shared" si="72"/>
        <v>D</v>
      </c>
    </row>
    <row r="949" spans="2:24" x14ac:dyDescent="0.25">
      <c r="B949" s="54" t="str">
        <f>IFERROR(VLOOKUP(A949,Lookup!A:B,2,0),"")</f>
        <v/>
      </c>
      <c r="C949" s="54" t="str">
        <f>IFERROR(VLOOKUP(A949,Lookup!A:C,3,0),"")</f>
        <v/>
      </c>
      <c r="J949" s="103">
        <f>VLOOKUP(A949&amp;G949,Lookup!J:N,5,0)</f>
        <v>0</v>
      </c>
      <c r="O949" s="57">
        <f>IFERROR(VLOOKUP(A949&amp;G949,Lookup!J:K,2,0),"")</f>
        <v>0</v>
      </c>
      <c r="P949" s="110" t="str">
        <f t="shared" si="70"/>
        <v/>
      </c>
      <c r="T949" s="59" t="e">
        <f t="shared" si="71"/>
        <v>#VALUE!</v>
      </c>
      <c r="U949" s="59"/>
      <c r="X949" s="60" t="str">
        <f t="shared" si="72"/>
        <v>D</v>
      </c>
    </row>
    <row r="950" spans="2:24" x14ac:dyDescent="0.25">
      <c r="B950" s="54" t="str">
        <f>IFERROR(VLOOKUP(A950,Lookup!A:B,2,0),"")</f>
        <v/>
      </c>
      <c r="C950" s="54" t="str">
        <f>IFERROR(VLOOKUP(A950,Lookup!A:C,3,0),"")</f>
        <v/>
      </c>
      <c r="J950" s="103">
        <f>VLOOKUP(A950&amp;G950,Lookup!J:N,5,0)</f>
        <v>0</v>
      </c>
      <c r="O950" s="57">
        <f>IFERROR(VLOOKUP(A950&amp;G950,Lookup!J:K,2,0),"")</f>
        <v>0</v>
      </c>
      <c r="P950" s="110" t="str">
        <f t="shared" si="70"/>
        <v/>
      </c>
      <c r="T950" s="59" t="e">
        <f t="shared" si="71"/>
        <v>#VALUE!</v>
      </c>
      <c r="U950" s="59"/>
      <c r="X950" s="60" t="str">
        <f t="shared" si="72"/>
        <v>D</v>
      </c>
    </row>
    <row r="951" spans="2:24" x14ac:dyDescent="0.25">
      <c r="B951" s="54" t="str">
        <f>IFERROR(VLOOKUP(A951,Lookup!A:B,2,0),"")</f>
        <v/>
      </c>
      <c r="C951" s="54" t="str">
        <f>IFERROR(VLOOKUP(A951,Lookup!A:C,3,0),"")</f>
        <v/>
      </c>
      <c r="J951" s="103">
        <f>VLOOKUP(A951&amp;G951,Lookup!J:N,5,0)</f>
        <v>0</v>
      </c>
      <c r="O951" s="57">
        <f>IFERROR(VLOOKUP(A951&amp;G951,Lookup!J:K,2,0),"")</f>
        <v>0</v>
      </c>
      <c r="P951" s="110" t="str">
        <f t="shared" si="70"/>
        <v/>
      </c>
      <c r="T951" s="59" t="e">
        <f t="shared" si="71"/>
        <v>#VALUE!</v>
      </c>
      <c r="U951" s="59"/>
      <c r="X951" s="60" t="str">
        <f t="shared" si="72"/>
        <v>D</v>
      </c>
    </row>
    <row r="952" spans="2:24" x14ac:dyDescent="0.25">
      <c r="B952" s="54" t="str">
        <f>IFERROR(VLOOKUP(A952,Lookup!A:B,2,0),"")</f>
        <v/>
      </c>
      <c r="C952" s="54" t="str">
        <f>IFERROR(VLOOKUP(A952,Lookup!A:C,3,0),"")</f>
        <v/>
      </c>
      <c r="J952" s="103">
        <f>VLOOKUP(A952&amp;G952,Lookup!J:N,5,0)</f>
        <v>0</v>
      </c>
      <c r="O952" s="57">
        <f>IFERROR(VLOOKUP(A952&amp;G952,Lookup!J:K,2,0),"")</f>
        <v>0</v>
      </c>
      <c r="P952" s="110" t="str">
        <f t="shared" si="70"/>
        <v/>
      </c>
      <c r="T952" s="59" t="e">
        <f t="shared" si="71"/>
        <v>#VALUE!</v>
      </c>
      <c r="U952" s="59"/>
      <c r="X952" s="60" t="str">
        <f t="shared" si="72"/>
        <v>D</v>
      </c>
    </row>
    <row r="953" spans="2:24" x14ac:dyDescent="0.25">
      <c r="B953" s="54" t="str">
        <f>IFERROR(VLOOKUP(A953,Lookup!A:B,2,0),"")</f>
        <v/>
      </c>
      <c r="C953" s="54" t="str">
        <f>IFERROR(VLOOKUP(A953,Lookup!A:C,3,0),"")</f>
        <v/>
      </c>
      <c r="J953" s="103">
        <f>VLOOKUP(A953&amp;G953,Lookup!J:N,5,0)</f>
        <v>0</v>
      </c>
      <c r="O953" s="57">
        <f>IFERROR(VLOOKUP(A953&amp;G953,Lookup!J:K,2,0),"")</f>
        <v>0</v>
      </c>
      <c r="P953" s="110" t="str">
        <f t="shared" si="70"/>
        <v/>
      </c>
      <c r="T953" s="59" t="e">
        <f t="shared" si="71"/>
        <v>#VALUE!</v>
      </c>
      <c r="U953" s="59"/>
      <c r="X953" s="60" t="str">
        <f t="shared" si="72"/>
        <v>D</v>
      </c>
    </row>
    <row r="954" spans="2:24" x14ac:dyDescent="0.25">
      <c r="B954" s="54" t="str">
        <f>IFERROR(VLOOKUP(A954,Lookup!A:B,2,0),"")</f>
        <v/>
      </c>
      <c r="C954" s="54" t="str">
        <f>IFERROR(VLOOKUP(A954,Lookup!A:C,3,0),"")</f>
        <v/>
      </c>
      <c r="J954" s="103">
        <f>VLOOKUP(A954&amp;G954,Lookup!J:N,5,0)</f>
        <v>0</v>
      </c>
      <c r="O954" s="57">
        <f>IFERROR(VLOOKUP(A954&amp;G954,Lookup!J:K,2,0),"")</f>
        <v>0</v>
      </c>
      <c r="P954" s="110" t="str">
        <f t="shared" si="70"/>
        <v/>
      </c>
      <c r="T954" s="59" t="e">
        <f t="shared" si="71"/>
        <v>#VALUE!</v>
      </c>
      <c r="U954" s="59"/>
      <c r="X954" s="60" t="str">
        <f t="shared" si="72"/>
        <v>D</v>
      </c>
    </row>
    <row r="955" spans="2:24" x14ac:dyDescent="0.25">
      <c r="B955" s="54" t="str">
        <f>IFERROR(VLOOKUP(A955,Lookup!A:B,2,0),"")</f>
        <v/>
      </c>
      <c r="C955" s="54" t="str">
        <f>IFERROR(VLOOKUP(A955,Lookup!A:C,3,0),"")</f>
        <v/>
      </c>
      <c r="J955" s="103">
        <f>VLOOKUP(A955&amp;G955,Lookup!J:N,5,0)</f>
        <v>0</v>
      </c>
      <c r="O955" s="57">
        <f>IFERROR(VLOOKUP(A955&amp;G955,Lookup!J:K,2,0),"")</f>
        <v>0</v>
      </c>
      <c r="P955" s="110" t="str">
        <f t="shared" si="70"/>
        <v/>
      </c>
      <c r="T955" s="59" t="e">
        <f t="shared" si="71"/>
        <v>#VALUE!</v>
      </c>
      <c r="U955" s="59"/>
      <c r="X955" s="60" t="str">
        <f t="shared" si="72"/>
        <v>D</v>
      </c>
    </row>
    <row r="956" spans="2:24" x14ac:dyDescent="0.25">
      <c r="B956" s="54" t="str">
        <f>IFERROR(VLOOKUP(A956,Lookup!A:B,2,0),"")</f>
        <v/>
      </c>
      <c r="C956" s="54" t="str">
        <f>IFERROR(VLOOKUP(A956,Lookup!A:C,3,0),"")</f>
        <v/>
      </c>
      <c r="J956" s="103">
        <f>VLOOKUP(A956&amp;G956,Lookup!J:N,5,0)</f>
        <v>0</v>
      </c>
      <c r="O956" s="57">
        <f>IFERROR(VLOOKUP(A956&amp;G956,Lookup!J:K,2,0),"")</f>
        <v>0</v>
      </c>
      <c r="P956" s="110" t="str">
        <f t="shared" si="70"/>
        <v/>
      </c>
      <c r="T956" s="59" t="e">
        <f t="shared" si="71"/>
        <v>#VALUE!</v>
      </c>
      <c r="U956" s="59"/>
      <c r="X956" s="60" t="str">
        <f t="shared" si="72"/>
        <v>D</v>
      </c>
    </row>
    <row r="957" spans="2:24" x14ac:dyDescent="0.25">
      <c r="B957" s="54" t="str">
        <f>IFERROR(VLOOKUP(A957,Lookup!A:B,2,0),"")</f>
        <v/>
      </c>
      <c r="C957" s="54" t="str">
        <f>IFERROR(VLOOKUP(A957,Lookup!A:C,3,0),"")</f>
        <v/>
      </c>
      <c r="J957" s="103">
        <f>VLOOKUP(A957&amp;G957,Lookup!J:N,5,0)</f>
        <v>0</v>
      </c>
      <c r="O957" s="57">
        <f>IFERROR(VLOOKUP(A957&amp;G957,Lookup!J:K,2,0),"")</f>
        <v>0</v>
      </c>
      <c r="P957" s="110" t="str">
        <f t="shared" si="70"/>
        <v/>
      </c>
      <c r="T957" s="59" t="e">
        <f t="shared" si="71"/>
        <v>#VALUE!</v>
      </c>
      <c r="U957" s="59"/>
      <c r="X957" s="60" t="str">
        <f t="shared" si="72"/>
        <v>D</v>
      </c>
    </row>
    <row r="958" spans="2:24" x14ac:dyDescent="0.25">
      <c r="B958" s="54" t="str">
        <f>IFERROR(VLOOKUP(A958,Lookup!A:B,2,0),"")</f>
        <v/>
      </c>
      <c r="C958" s="54" t="str">
        <f>IFERROR(VLOOKUP(A958,Lookup!A:C,3,0),"")</f>
        <v/>
      </c>
      <c r="J958" s="103">
        <f>VLOOKUP(A958&amp;G958,Lookup!J:N,5,0)</f>
        <v>0</v>
      </c>
      <c r="O958" s="57">
        <f>IFERROR(VLOOKUP(A958&amp;G958,Lookup!J:K,2,0),"")</f>
        <v>0</v>
      </c>
      <c r="P958" s="110" t="str">
        <f t="shared" si="70"/>
        <v/>
      </c>
      <c r="T958" s="59" t="e">
        <f t="shared" si="71"/>
        <v>#VALUE!</v>
      </c>
      <c r="U958" s="59"/>
      <c r="X958" s="60" t="str">
        <f t="shared" si="72"/>
        <v>D</v>
      </c>
    </row>
    <row r="959" spans="2:24" x14ac:dyDescent="0.25">
      <c r="B959" s="54" t="str">
        <f>IFERROR(VLOOKUP(A959,Lookup!A:B,2,0),"")</f>
        <v/>
      </c>
      <c r="C959" s="54" t="str">
        <f>IFERROR(VLOOKUP(A959,Lookup!A:C,3,0),"")</f>
        <v/>
      </c>
      <c r="J959" s="103">
        <f>VLOOKUP(A959&amp;G959,Lookup!J:N,5,0)</f>
        <v>0</v>
      </c>
      <c r="O959" s="57">
        <f>IFERROR(VLOOKUP(A959&amp;G959,Lookup!J:K,2,0),"")</f>
        <v>0</v>
      </c>
      <c r="P959" s="110" t="str">
        <f t="shared" si="70"/>
        <v/>
      </c>
      <c r="T959" s="59" t="e">
        <f t="shared" si="71"/>
        <v>#VALUE!</v>
      </c>
      <c r="U959" s="59"/>
      <c r="X959" s="60" t="str">
        <f t="shared" si="72"/>
        <v>D</v>
      </c>
    </row>
    <row r="960" spans="2:24" x14ac:dyDescent="0.25">
      <c r="B960" s="54" t="str">
        <f>IFERROR(VLOOKUP(A960,Lookup!A:B,2,0),"")</f>
        <v/>
      </c>
      <c r="C960" s="54" t="str">
        <f>IFERROR(VLOOKUP(A960,Lookup!A:C,3,0),"")</f>
        <v/>
      </c>
      <c r="J960" s="103">
        <f>VLOOKUP(A960&amp;G960,Lookup!J:N,5,0)</f>
        <v>0</v>
      </c>
      <c r="O960" s="57">
        <f>IFERROR(VLOOKUP(A960&amp;G960,Lookup!J:K,2,0),"")</f>
        <v>0</v>
      </c>
      <c r="P960" s="110" t="str">
        <f t="shared" si="70"/>
        <v/>
      </c>
      <c r="T960" s="59" t="e">
        <f t="shared" si="71"/>
        <v>#VALUE!</v>
      </c>
      <c r="U960" s="59"/>
      <c r="X960" s="60" t="str">
        <f t="shared" si="72"/>
        <v>D</v>
      </c>
    </row>
    <row r="961" spans="2:24" x14ac:dyDescent="0.25">
      <c r="B961" s="54" t="str">
        <f>IFERROR(VLOOKUP(A961,Lookup!A:B,2,0),"")</f>
        <v/>
      </c>
      <c r="C961" s="54" t="str">
        <f>IFERROR(VLOOKUP(A961,Lookup!A:C,3,0),"")</f>
        <v/>
      </c>
      <c r="J961" s="103">
        <f>VLOOKUP(A961&amp;G961,Lookup!J:N,5,0)</f>
        <v>0</v>
      </c>
      <c r="O961" s="57">
        <f>IFERROR(VLOOKUP(A961&amp;G961,Lookup!J:K,2,0),"")</f>
        <v>0</v>
      </c>
      <c r="P961" s="110" t="str">
        <f t="shared" si="70"/>
        <v/>
      </c>
      <c r="T961" s="59" t="e">
        <f t="shared" si="71"/>
        <v>#VALUE!</v>
      </c>
      <c r="U961" s="59"/>
      <c r="X961" s="60" t="str">
        <f t="shared" si="72"/>
        <v>D</v>
      </c>
    </row>
    <row r="962" spans="2:24" x14ac:dyDescent="0.25">
      <c r="B962" s="54" t="str">
        <f>IFERROR(VLOOKUP(A962,Lookup!A:B,2,0),"")</f>
        <v/>
      </c>
      <c r="C962" s="54" t="str">
        <f>IFERROR(VLOOKUP(A962,Lookup!A:C,3,0),"")</f>
        <v/>
      </c>
      <c r="J962" s="103">
        <f>VLOOKUP(A962&amp;G962,Lookup!J:N,5,0)</f>
        <v>0</v>
      </c>
      <c r="O962" s="57">
        <f>IFERROR(VLOOKUP(A962&amp;G962,Lookup!J:K,2,0),"")</f>
        <v>0</v>
      </c>
      <c r="P962" s="110" t="str">
        <f t="shared" si="70"/>
        <v/>
      </c>
      <c r="T962" s="59" t="e">
        <f t="shared" si="71"/>
        <v>#VALUE!</v>
      </c>
      <c r="U962" s="59"/>
      <c r="X962" s="60" t="str">
        <f t="shared" si="72"/>
        <v>D</v>
      </c>
    </row>
    <row r="963" spans="2:24" x14ac:dyDescent="0.25">
      <c r="B963" s="54" t="str">
        <f>IFERROR(VLOOKUP(A963,Lookup!A:B,2,0),"")</f>
        <v/>
      </c>
      <c r="C963" s="54" t="str">
        <f>IFERROR(VLOOKUP(A963,Lookup!A:C,3,0),"")</f>
        <v/>
      </c>
      <c r="J963" s="103">
        <f>VLOOKUP(A963&amp;G963,Lookup!J:N,5,0)</f>
        <v>0</v>
      </c>
      <c r="O963" s="57">
        <f>IFERROR(VLOOKUP(A963&amp;G963,Lookup!J:K,2,0),"")</f>
        <v>0</v>
      </c>
      <c r="P963" s="110" t="str">
        <f t="shared" si="70"/>
        <v/>
      </c>
      <c r="T963" s="59" t="e">
        <f t="shared" si="71"/>
        <v>#VALUE!</v>
      </c>
      <c r="U963" s="59"/>
      <c r="X963" s="60" t="str">
        <f t="shared" si="72"/>
        <v>D</v>
      </c>
    </row>
    <row r="964" spans="2:24" x14ac:dyDescent="0.25">
      <c r="B964" s="54" t="str">
        <f>IFERROR(VLOOKUP(A964,Lookup!A:B,2,0),"")</f>
        <v/>
      </c>
      <c r="C964" s="54" t="str">
        <f>IFERROR(VLOOKUP(A964,Lookup!A:C,3,0),"")</f>
        <v/>
      </c>
      <c r="J964" s="103">
        <f>VLOOKUP(A964&amp;G964,Lookup!J:N,5,0)</f>
        <v>0</v>
      </c>
      <c r="O964" s="57">
        <f>IFERROR(VLOOKUP(A964&amp;G964,Lookup!J:K,2,0),"")</f>
        <v>0</v>
      </c>
      <c r="P964" s="110" t="str">
        <f t="shared" ref="P964:P1027" si="73">IF(N964="","",N964+O964)</f>
        <v/>
      </c>
      <c r="T964" s="59" t="e">
        <f t="shared" si="71"/>
        <v>#VALUE!</v>
      </c>
      <c r="U964" s="59"/>
      <c r="X964" s="60" t="str">
        <f t="shared" si="72"/>
        <v>D</v>
      </c>
    </row>
    <row r="965" spans="2:24" x14ac:dyDescent="0.25">
      <c r="B965" s="54" t="str">
        <f>IFERROR(VLOOKUP(A965,Lookup!A:B,2,0),"")</f>
        <v/>
      </c>
      <c r="C965" s="54" t="str">
        <f>IFERROR(VLOOKUP(A965,Lookup!A:C,3,0),"")</f>
        <v/>
      </c>
      <c r="J965" s="103">
        <f>VLOOKUP(A965&amp;G965,Lookup!J:N,5,0)</f>
        <v>0</v>
      </c>
      <c r="O965" s="57">
        <f>IFERROR(VLOOKUP(A965&amp;G965,Lookup!J:K,2,0),"")</f>
        <v>0</v>
      </c>
      <c r="P965" s="110" t="str">
        <f t="shared" si="73"/>
        <v/>
      </c>
      <c r="T965" s="59" t="e">
        <f t="shared" si="71"/>
        <v>#VALUE!</v>
      </c>
      <c r="U965" s="59"/>
      <c r="X965" s="60" t="str">
        <f t="shared" si="72"/>
        <v>D</v>
      </c>
    </row>
    <row r="966" spans="2:24" x14ac:dyDescent="0.25">
      <c r="B966" s="54" t="str">
        <f>IFERROR(VLOOKUP(A966,Lookup!A:B,2,0),"")</f>
        <v/>
      </c>
      <c r="C966" s="54" t="str">
        <f>IFERROR(VLOOKUP(A966,Lookup!A:C,3,0),"")</f>
        <v/>
      </c>
      <c r="J966" s="103">
        <f>VLOOKUP(A966&amp;G966,Lookup!J:N,5,0)</f>
        <v>0</v>
      </c>
      <c r="O966" s="57">
        <f>IFERROR(VLOOKUP(A966&amp;G966,Lookup!J:K,2,0),"")</f>
        <v>0</v>
      </c>
      <c r="P966" s="110" t="str">
        <f t="shared" si="73"/>
        <v/>
      </c>
      <c r="T966" s="59" t="e">
        <f t="shared" si="71"/>
        <v>#VALUE!</v>
      </c>
      <c r="U966" s="59"/>
      <c r="X966" s="60" t="str">
        <f t="shared" si="72"/>
        <v>D</v>
      </c>
    </row>
    <row r="967" spans="2:24" x14ac:dyDescent="0.25">
      <c r="B967" s="54" t="str">
        <f>IFERROR(VLOOKUP(A967,Lookup!A:B,2,0),"")</f>
        <v/>
      </c>
      <c r="C967" s="54" t="str">
        <f>IFERROR(VLOOKUP(A967,Lookup!A:C,3,0),"")</f>
        <v/>
      </c>
      <c r="J967" s="103">
        <f>VLOOKUP(A967&amp;G967,Lookup!J:N,5,0)</f>
        <v>0</v>
      </c>
      <c r="O967" s="57">
        <f>IFERROR(VLOOKUP(A967&amp;G967,Lookup!J:K,2,0),"")</f>
        <v>0</v>
      </c>
      <c r="P967" s="110" t="str">
        <f t="shared" si="73"/>
        <v/>
      </c>
      <c r="T967" s="59" t="e">
        <f t="shared" si="71"/>
        <v>#VALUE!</v>
      </c>
      <c r="U967" s="59"/>
      <c r="X967" s="60" t="str">
        <f t="shared" si="72"/>
        <v>D</v>
      </c>
    </row>
    <row r="968" spans="2:24" x14ac:dyDescent="0.25">
      <c r="B968" s="54" t="str">
        <f>IFERROR(VLOOKUP(A968,Lookup!A:B,2,0),"")</f>
        <v/>
      </c>
      <c r="C968" s="54" t="str">
        <f>IFERROR(VLOOKUP(A968,Lookup!A:C,3,0),"")</f>
        <v/>
      </c>
      <c r="J968" s="103">
        <f>VLOOKUP(A968&amp;G968,Lookup!J:N,5,0)</f>
        <v>0</v>
      </c>
      <c r="O968" s="57">
        <f>IFERROR(VLOOKUP(A968&amp;G968,Lookup!J:K,2,0),"")</f>
        <v>0</v>
      </c>
      <c r="P968" s="110" t="str">
        <f t="shared" si="73"/>
        <v/>
      </c>
      <c r="T968" s="59" t="e">
        <f t="shared" si="71"/>
        <v>#VALUE!</v>
      </c>
      <c r="U968" s="59"/>
      <c r="X968" s="60" t="str">
        <f t="shared" si="72"/>
        <v>D</v>
      </c>
    </row>
    <row r="969" spans="2:24" x14ac:dyDescent="0.25">
      <c r="B969" s="54" t="str">
        <f>IFERROR(VLOOKUP(A969,Lookup!A:B,2,0),"")</f>
        <v/>
      </c>
      <c r="C969" s="54" t="str">
        <f>IFERROR(VLOOKUP(A969,Lookup!A:C,3,0),"")</f>
        <v/>
      </c>
      <c r="J969" s="103">
        <f>VLOOKUP(A969&amp;G969,Lookup!J:N,5,0)</f>
        <v>0</v>
      </c>
      <c r="O969" s="57">
        <f>IFERROR(VLOOKUP(A969&amp;G969,Lookup!J:K,2,0),"")</f>
        <v>0</v>
      </c>
      <c r="P969" s="110" t="str">
        <f t="shared" si="73"/>
        <v/>
      </c>
      <c r="T969" s="59" t="e">
        <f t="shared" si="71"/>
        <v>#VALUE!</v>
      </c>
      <c r="U969" s="59"/>
      <c r="X969" s="60" t="str">
        <f t="shared" si="72"/>
        <v>D</v>
      </c>
    </row>
    <row r="970" spans="2:24" x14ac:dyDescent="0.25">
      <c r="B970" s="54" t="str">
        <f>IFERROR(VLOOKUP(A970,Lookup!A:B,2,0),"")</f>
        <v/>
      </c>
      <c r="C970" s="54" t="str">
        <f>IFERROR(VLOOKUP(A970,Lookup!A:C,3,0),"")</f>
        <v/>
      </c>
      <c r="J970" s="103">
        <f>VLOOKUP(A970&amp;G970,Lookup!J:N,5,0)</f>
        <v>0</v>
      </c>
      <c r="O970" s="57">
        <f>IFERROR(VLOOKUP(A970&amp;G970,Lookup!J:K,2,0),"")</f>
        <v>0</v>
      </c>
      <c r="P970" s="110" t="str">
        <f t="shared" si="73"/>
        <v/>
      </c>
      <c r="T970" s="59" t="e">
        <f t="shared" si="71"/>
        <v>#VALUE!</v>
      </c>
      <c r="U970" s="59"/>
      <c r="X970" s="60" t="str">
        <f t="shared" si="72"/>
        <v>D</v>
      </c>
    </row>
    <row r="971" spans="2:24" x14ac:dyDescent="0.25">
      <c r="B971" s="54" t="str">
        <f>IFERROR(VLOOKUP(A971,Lookup!A:B,2,0),"")</f>
        <v/>
      </c>
      <c r="C971" s="54" t="str">
        <f>IFERROR(VLOOKUP(A971,Lookup!A:C,3,0),"")</f>
        <v/>
      </c>
      <c r="J971" s="103">
        <f>VLOOKUP(A971&amp;G971,Lookup!J:N,5,0)</f>
        <v>0</v>
      </c>
      <c r="O971" s="57">
        <f>IFERROR(VLOOKUP(A971&amp;G971,Lookup!J:K,2,0),"")</f>
        <v>0</v>
      </c>
      <c r="P971" s="110" t="str">
        <f t="shared" si="73"/>
        <v/>
      </c>
      <c r="T971" s="59" t="e">
        <f t="shared" si="71"/>
        <v>#VALUE!</v>
      </c>
      <c r="U971" s="59"/>
      <c r="X971" s="60" t="str">
        <f t="shared" si="72"/>
        <v>D</v>
      </c>
    </row>
    <row r="972" spans="2:24" x14ac:dyDescent="0.25">
      <c r="B972" s="54" t="str">
        <f>IFERROR(VLOOKUP(A972,Lookup!A:B,2,0),"")</f>
        <v/>
      </c>
      <c r="C972" s="54" t="str">
        <f>IFERROR(VLOOKUP(A972,Lookup!A:C,3,0),"")</f>
        <v/>
      </c>
      <c r="J972" s="103">
        <f>VLOOKUP(A972&amp;G972,Lookup!J:N,5,0)</f>
        <v>0</v>
      </c>
      <c r="O972" s="57">
        <f>IFERROR(VLOOKUP(A972&amp;G972,Lookup!J:K,2,0),"")</f>
        <v>0</v>
      </c>
      <c r="P972" s="110" t="str">
        <f t="shared" si="73"/>
        <v/>
      </c>
      <c r="T972" s="59" t="e">
        <f t="shared" si="71"/>
        <v>#VALUE!</v>
      </c>
      <c r="U972" s="59"/>
      <c r="X972" s="60" t="str">
        <f t="shared" si="72"/>
        <v>D</v>
      </c>
    </row>
    <row r="973" spans="2:24" x14ac:dyDescent="0.25">
      <c r="B973" s="54" t="str">
        <f>IFERROR(VLOOKUP(A973,Lookup!A:B,2,0),"")</f>
        <v/>
      </c>
      <c r="C973" s="54" t="str">
        <f>IFERROR(VLOOKUP(A973,Lookup!A:C,3,0),"")</f>
        <v/>
      </c>
      <c r="J973" s="103">
        <f>VLOOKUP(A973&amp;G973,Lookup!J:N,5,0)</f>
        <v>0</v>
      </c>
      <c r="O973" s="57">
        <f>IFERROR(VLOOKUP(A973&amp;G973,Lookup!J:K,2,0),"")</f>
        <v>0</v>
      </c>
      <c r="P973" s="110" t="str">
        <f t="shared" si="73"/>
        <v/>
      </c>
      <c r="T973" s="59" t="e">
        <f t="shared" si="71"/>
        <v>#VALUE!</v>
      </c>
      <c r="U973" s="59"/>
      <c r="X973" s="60" t="str">
        <f t="shared" si="72"/>
        <v>D</v>
      </c>
    </row>
    <row r="974" spans="2:24" x14ac:dyDescent="0.25">
      <c r="B974" s="54" t="str">
        <f>IFERROR(VLOOKUP(A974,Lookup!A:B,2,0),"")</f>
        <v/>
      </c>
      <c r="C974" s="54" t="str">
        <f>IFERROR(VLOOKUP(A974,Lookup!A:C,3,0),"")</f>
        <v/>
      </c>
      <c r="J974" s="103">
        <f>VLOOKUP(A974&amp;G974,Lookup!J:N,5,0)</f>
        <v>0</v>
      </c>
      <c r="O974" s="57">
        <f>IFERROR(VLOOKUP(A974&amp;G974,Lookup!J:K,2,0),"")</f>
        <v>0</v>
      </c>
      <c r="P974" s="110" t="str">
        <f t="shared" si="73"/>
        <v/>
      </c>
      <c r="T974" s="59" t="e">
        <f t="shared" ref="T974:T1037" si="74">IF(Q974-P974&gt;0.0415,"YES",(IF(OR(EXACT(Q974,""), EXACT(P974,"")),"","NO")))</f>
        <v>#VALUE!</v>
      </c>
      <c r="U974" s="59"/>
      <c r="X974" s="60" t="str">
        <f t="shared" si="72"/>
        <v>D</v>
      </c>
    </row>
    <row r="975" spans="2:24" x14ac:dyDescent="0.25">
      <c r="B975" s="54" t="str">
        <f>IFERROR(VLOOKUP(A975,Lookup!A:B,2,0),"")</f>
        <v/>
      </c>
      <c r="C975" s="54" t="str">
        <f>IFERROR(VLOOKUP(A975,Lookup!A:C,3,0),"")</f>
        <v/>
      </c>
      <c r="J975" s="103">
        <f>VLOOKUP(A975&amp;G975,Lookup!J:N,5,0)</f>
        <v>0</v>
      </c>
      <c r="O975" s="57">
        <f>IFERROR(VLOOKUP(A975&amp;G975,Lookup!J:K,2,0),"")</f>
        <v>0</v>
      </c>
      <c r="P975" s="110" t="str">
        <f t="shared" si="73"/>
        <v/>
      </c>
      <c r="T975" s="59" t="e">
        <f t="shared" si="74"/>
        <v>#VALUE!</v>
      </c>
      <c r="U975" s="59"/>
      <c r="X975" s="60" t="str">
        <f t="shared" si="72"/>
        <v>D</v>
      </c>
    </row>
    <row r="976" spans="2:24" x14ac:dyDescent="0.25">
      <c r="B976" s="54" t="str">
        <f>IFERROR(VLOOKUP(A976,Lookup!A:B,2,0),"")</f>
        <v/>
      </c>
      <c r="C976" s="54" t="str">
        <f>IFERROR(VLOOKUP(A976,Lookup!A:C,3,0),"")</f>
        <v/>
      </c>
      <c r="J976" s="103">
        <f>VLOOKUP(A976&amp;G976,Lookup!J:N,5,0)</f>
        <v>0</v>
      </c>
      <c r="O976" s="57">
        <f>IFERROR(VLOOKUP(A976&amp;G976,Lookup!J:K,2,0),"")</f>
        <v>0</v>
      </c>
      <c r="P976" s="110" t="str">
        <f t="shared" si="73"/>
        <v/>
      </c>
      <c r="T976" s="59" t="e">
        <f t="shared" si="74"/>
        <v>#VALUE!</v>
      </c>
      <c r="U976" s="59"/>
      <c r="X976" s="60" t="str">
        <f t="shared" si="72"/>
        <v>D</v>
      </c>
    </row>
    <row r="977" spans="2:24" x14ac:dyDescent="0.25">
      <c r="B977" s="54" t="str">
        <f>IFERROR(VLOOKUP(A977,Lookup!A:B,2,0),"")</f>
        <v/>
      </c>
      <c r="C977" s="54" t="str">
        <f>IFERROR(VLOOKUP(A977,Lookup!A:C,3,0),"")</f>
        <v/>
      </c>
      <c r="J977" s="103">
        <f>VLOOKUP(A977&amp;G977,Lookup!J:N,5,0)</f>
        <v>0</v>
      </c>
      <c r="O977" s="57">
        <f>IFERROR(VLOOKUP(A977&amp;G977,Lookup!J:K,2,0),"")</f>
        <v>0</v>
      </c>
      <c r="P977" s="110" t="str">
        <f t="shared" si="73"/>
        <v/>
      </c>
      <c r="T977" s="59" t="e">
        <f t="shared" si="74"/>
        <v>#VALUE!</v>
      </c>
      <c r="U977" s="59"/>
      <c r="X977" s="60" t="str">
        <f t="shared" si="72"/>
        <v>D</v>
      </c>
    </row>
    <row r="978" spans="2:24" x14ac:dyDescent="0.25">
      <c r="B978" s="54" t="str">
        <f>IFERROR(VLOOKUP(A978,Lookup!A:B,2,0),"")</f>
        <v/>
      </c>
      <c r="C978" s="54" t="str">
        <f>IFERROR(VLOOKUP(A978,Lookup!A:C,3,0),"")</f>
        <v/>
      </c>
      <c r="J978" s="103">
        <f>VLOOKUP(A978&amp;G978,Lookup!J:N,5,0)</f>
        <v>0</v>
      </c>
      <c r="O978" s="57">
        <f>IFERROR(VLOOKUP(A978&amp;G978,Lookup!J:K,2,0),"")</f>
        <v>0</v>
      </c>
      <c r="P978" s="110" t="str">
        <f t="shared" si="73"/>
        <v/>
      </c>
      <c r="T978" s="59" t="e">
        <f t="shared" si="74"/>
        <v>#VALUE!</v>
      </c>
      <c r="U978" s="59"/>
      <c r="X978" s="60" t="str">
        <f t="shared" si="72"/>
        <v>D</v>
      </c>
    </row>
    <row r="979" spans="2:24" x14ac:dyDescent="0.25">
      <c r="B979" s="54" t="str">
        <f>IFERROR(VLOOKUP(A979,Lookup!A:B,2,0),"")</f>
        <v/>
      </c>
      <c r="C979" s="54" t="str">
        <f>IFERROR(VLOOKUP(A979,Lookup!A:C,3,0),"")</f>
        <v/>
      </c>
      <c r="J979" s="103">
        <f>VLOOKUP(A979&amp;G979,Lookup!J:N,5,0)</f>
        <v>0</v>
      </c>
      <c r="O979" s="57">
        <f>IFERROR(VLOOKUP(A979&amp;G979,Lookup!J:K,2,0),"")</f>
        <v>0</v>
      </c>
      <c r="P979" s="110" t="str">
        <f t="shared" si="73"/>
        <v/>
      </c>
      <c r="T979" s="59" t="e">
        <f t="shared" si="74"/>
        <v>#VALUE!</v>
      </c>
      <c r="U979" s="59"/>
      <c r="X979" s="60" t="str">
        <f t="shared" si="72"/>
        <v>D</v>
      </c>
    </row>
    <row r="980" spans="2:24" x14ac:dyDescent="0.25">
      <c r="B980" s="54" t="str">
        <f>IFERROR(VLOOKUP(A980,Lookup!A:B,2,0),"")</f>
        <v/>
      </c>
      <c r="C980" s="54" t="str">
        <f>IFERROR(VLOOKUP(A980,Lookup!A:C,3,0),"")</f>
        <v/>
      </c>
      <c r="J980" s="103">
        <f>VLOOKUP(A980&amp;G980,Lookup!J:N,5,0)</f>
        <v>0</v>
      </c>
      <c r="O980" s="57">
        <f>IFERROR(VLOOKUP(A980&amp;G980,Lookup!J:K,2,0),"")</f>
        <v>0</v>
      </c>
      <c r="P980" s="110" t="str">
        <f t="shared" si="73"/>
        <v/>
      </c>
      <c r="T980" s="59" t="e">
        <f t="shared" si="74"/>
        <v>#VALUE!</v>
      </c>
      <c r="U980" s="59"/>
      <c r="X980" s="60" t="str">
        <f t="shared" si="72"/>
        <v>D</v>
      </c>
    </row>
    <row r="981" spans="2:24" x14ac:dyDescent="0.25">
      <c r="B981" s="54" t="str">
        <f>IFERROR(VLOOKUP(A981,Lookup!A:B,2,0),"")</f>
        <v/>
      </c>
      <c r="C981" s="54" t="str">
        <f>IFERROR(VLOOKUP(A981,Lookup!A:C,3,0),"")</f>
        <v/>
      </c>
      <c r="J981" s="103">
        <f>VLOOKUP(A981&amp;G981,Lookup!J:N,5,0)</f>
        <v>0</v>
      </c>
      <c r="O981" s="57">
        <f>IFERROR(VLOOKUP(A981&amp;G981,Lookup!J:K,2,0),"")</f>
        <v>0</v>
      </c>
      <c r="P981" s="110" t="str">
        <f t="shared" si="73"/>
        <v/>
      </c>
      <c r="T981" s="59" t="e">
        <f t="shared" si="74"/>
        <v>#VALUE!</v>
      </c>
      <c r="U981" s="59"/>
      <c r="X981" s="60" t="str">
        <f t="shared" si="72"/>
        <v>D</v>
      </c>
    </row>
    <row r="982" spans="2:24" x14ac:dyDescent="0.25">
      <c r="B982" s="54" t="str">
        <f>IFERROR(VLOOKUP(A982,Lookup!A:B,2,0),"")</f>
        <v/>
      </c>
      <c r="C982" s="54" t="str">
        <f>IFERROR(VLOOKUP(A982,Lookup!A:C,3,0),"")</f>
        <v/>
      </c>
      <c r="J982" s="103">
        <f>VLOOKUP(A982&amp;G982,Lookup!J:N,5,0)</f>
        <v>0</v>
      </c>
      <c r="O982" s="57">
        <f>IFERROR(VLOOKUP(A982&amp;G982,Lookup!J:K,2,0),"")</f>
        <v>0</v>
      </c>
      <c r="P982" s="110" t="str">
        <f t="shared" si="73"/>
        <v/>
      </c>
      <c r="T982" s="59" t="e">
        <f t="shared" si="74"/>
        <v>#VALUE!</v>
      </c>
      <c r="U982" s="59"/>
      <c r="X982" s="60" t="str">
        <f t="shared" si="72"/>
        <v>D</v>
      </c>
    </row>
    <row r="983" spans="2:24" x14ac:dyDescent="0.25">
      <c r="B983" s="54" t="str">
        <f>IFERROR(VLOOKUP(A983,Lookup!A:B,2,0),"")</f>
        <v/>
      </c>
      <c r="C983" s="54" t="str">
        <f>IFERROR(VLOOKUP(A983,Lookup!A:C,3,0),"")</f>
        <v/>
      </c>
      <c r="J983" s="103">
        <f>VLOOKUP(A983&amp;G983,Lookup!J:N,5,0)</f>
        <v>0</v>
      </c>
      <c r="O983" s="57">
        <f>IFERROR(VLOOKUP(A983&amp;G983,Lookup!J:K,2,0),"")</f>
        <v>0</v>
      </c>
      <c r="P983" s="110" t="str">
        <f t="shared" si="73"/>
        <v/>
      </c>
      <c r="T983" s="59" t="e">
        <f t="shared" si="74"/>
        <v>#VALUE!</v>
      </c>
      <c r="U983" s="59"/>
      <c r="X983" s="60" t="str">
        <f t="shared" si="72"/>
        <v>D</v>
      </c>
    </row>
    <row r="984" spans="2:24" x14ac:dyDescent="0.25">
      <c r="B984" s="54" t="str">
        <f>IFERROR(VLOOKUP(A984,Lookup!A:B,2,0),"")</f>
        <v/>
      </c>
      <c r="C984" s="54" t="str">
        <f>IFERROR(VLOOKUP(A984,Lookup!A:C,3,0),"")</f>
        <v/>
      </c>
      <c r="J984" s="103">
        <f>VLOOKUP(A984&amp;G984,Lookup!J:N,5,0)</f>
        <v>0</v>
      </c>
      <c r="O984" s="57">
        <f>IFERROR(VLOOKUP(A984&amp;G984,Lookup!J:K,2,0),"")</f>
        <v>0</v>
      </c>
      <c r="P984" s="110" t="str">
        <f t="shared" si="73"/>
        <v/>
      </c>
      <c r="T984" s="59" t="e">
        <f t="shared" si="74"/>
        <v>#VALUE!</v>
      </c>
      <c r="U984" s="59"/>
      <c r="X984" s="60" t="str">
        <f t="shared" si="72"/>
        <v>D</v>
      </c>
    </row>
    <row r="985" spans="2:24" x14ac:dyDescent="0.25">
      <c r="B985" s="54" t="str">
        <f>IFERROR(VLOOKUP(A985,Lookup!A:B,2,0),"")</f>
        <v/>
      </c>
      <c r="C985" s="54" t="str">
        <f>IFERROR(VLOOKUP(A985,Lookup!A:C,3,0),"")</f>
        <v/>
      </c>
      <c r="J985" s="103">
        <f>VLOOKUP(A985&amp;G985,Lookup!J:N,5,0)</f>
        <v>0</v>
      </c>
      <c r="O985" s="57">
        <f>IFERROR(VLOOKUP(A985&amp;G985,Lookup!J:K,2,0),"")</f>
        <v>0</v>
      </c>
      <c r="P985" s="110" t="str">
        <f t="shared" si="73"/>
        <v/>
      </c>
      <c r="T985" s="59" t="e">
        <f t="shared" si="74"/>
        <v>#VALUE!</v>
      </c>
      <c r="U985" s="59"/>
      <c r="X985" s="60" t="str">
        <f t="shared" si="72"/>
        <v>D</v>
      </c>
    </row>
    <row r="986" spans="2:24" x14ac:dyDescent="0.25">
      <c r="B986" s="54" t="str">
        <f>IFERROR(VLOOKUP(A986,Lookup!A:B,2,0),"")</f>
        <v/>
      </c>
      <c r="C986" s="54" t="str">
        <f>IFERROR(VLOOKUP(A986,Lookup!A:C,3,0),"")</f>
        <v/>
      </c>
      <c r="J986" s="103">
        <f>VLOOKUP(A986&amp;G986,Lookup!J:N,5,0)</f>
        <v>0</v>
      </c>
      <c r="O986" s="57">
        <f>IFERROR(VLOOKUP(A986&amp;G986,Lookup!J:K,2,0),"")</f>
        <v>0</v>
      </c>
      <c r="P986" s="110" t="str">
        <f t="shared" si="73"/>
        <v/>
      </c>
      <c r="T986" s="59" t="e">
        <f t="shared" si="74"/>
        <v>#VALUE!</v>
      </c>
      <c r="U986" s="59"/>
      <c r="X986" s="60" t="str">
        <f t="shared" si="72"/>
        <v>D</v>
      </c>
    </row>
    <row r="987" spans="2:24" x14ac:dyDescent="0.25">
      <c r="B987" s="54" t="str">
        <f>IFERROR(VLOOKUP(A987,Lookup!A:B,2,0),"")</f>
        <v/>
      </c>
      <c r="C987" s="54" t="str">
        <f>IFERROR(VLOOKUP(A987,Lookup!A:C,3,0),"")</f>
        <v/>
      </c>
      <c r="J987" s="103">
        <f>VLOOKUP(A987&amp;G987,Lookup!J:N,5,0)</f>
        <v>0</v>
      </c>
      <c r="O987" s="57">
        <f>IFERROR(VLOOKUP(A987&amp;G987,Lookup!J:K,2,0),"")</f>
        <v>0</v>
      </c>
      <c r="P987" s="110" t="str">
        <f t="shared" si="73"/>
        <v/>
      </c>
      <c r="T987" s="59" t="e">
        <f t="shared" si="74"/>
        <v>#VALUE!</v>
      </c>
      <c r="U987" s="59"/>
      <c r="X987" s="60" t="str">
        <f t="shared" si="72"/>
        <v>D</v>
      </c>
    </row>
    <row r="988" spans="2:24" x14ac:dyDescent="0.25">
      <c r="B988" s="54" t="str">
        <f>IFERROR(VLOOKUP(A988,Lookup!A:B,2,0),"")</f>
        <v/>
      </c>
      <c r="C988" s="54" t="str">
        <f>IFERROR(VLOOKUP(A988,Lookup!A:C,3,0),"")</f>
        <v/>
      </c>
      <c r="J988" s="103">
        <f>VLOOKUP(A988&amp;G988,Lookup!J:N,5,0)</f>
        <v>0</v>
      </c>
      <c r="O988" s="57">
        <f>IFERROR(VLOOKUP(A988&amp;G988,Lookup!J:K,2,0),"")</f>
        <v>0</v>
      </c>
      <c r="P988" s="110" t="str">
        <f t="shared" si="73"/>
        <v/>
      </c>
      <c r="T988" s="59" t="e">
        <f t="shared" si="74"/>
        <v>#VALUE!</v>
      </c>
      <c r="U988" s="59"/>
      <c r="X988" s="60" t="str">
        <f t="shared" si="72"/>
        <v>D</v>
      </c>
    </row>
    <row r="989" spans="2:24" x14ac:dyDescent="0.25">
      <c r="B989" s="54" t="str">
        <f>IFERROR(VLOOKUP(A989,Lookup!A:B,2,0),"")</f>
        <v/>
      </c>
      <c r="C989" s="54" t="str">
        <f>IFERROR(VLOOKUP(A989,Lookup!A:C,3,0),"")</f>
        <v/>
      </c>
      <c r="J989" s="103">
        <f>VLOOKUP(A989&amp;G989,Lookup!J:N,5,0)</f>
        <v>0</v>
      </c>
      <c r="O989" s="57">
        <f>IFERROR(VLOOKUP(A989&amp;G989,Lookup!J:K,2,0),"")</f>
        <v>0</v>
      </c>
      <c r="P989" s="110" t="str">
        <f t="shared" si="73"/>
        <v/>
      </c>
      <c r="T989" s="59" t="e">
        <f t="shared" si="74"/>
        <v>#VALUE!</v>
      </c>
      <c r="U989" s="59"/>
      <c r="X989" s="60" t="str">
        <f t="shared" si="72"/>
        <v>D</v>
      </c>
    </row>
    <row r="990" spans="2:24" x14ac:dyDescent="0.25">
      <c r="B990" s="54" t="str">
        <f>IFERROR(VLOOKUP(A990,Lookup!A:B,2,0),"")</f>
        <v/>
      </c>
      <c r="C990" s="54" t="str">
        <f>IFERROR(VLOOKUP(A990,Lookup!A:C,3,0),"")</f>
        <v/>
      </c>
      <c r="J990" s="103">
        <f>VLOOKUP(A990&amp;G990,Lookup!J:N,5,0)</f>
        <v>0</v>
      </c>
      <c r="O990" s="57">
        <f>IFERROR(VLOOKUP(A990&amp;G990,Lookup!J:K,2,0),"")</f>
        <v>0</v>
      </c>
      <c r="P990" s="110" t="str">
        <f t="shared" si="73"/>
        <v/>
      </c>
      <c r="T990" s="59" t="e">
        <f t="shared" si="74"/>
        <v>#VALUE!</v>
      </c>
      <c r="U990" s="59"/>
      <c r="X990" s="60" t="str">
        <f t="shared" si="72"/>
        <v>D</v>
      </c>
    </row>
    <row r="991" spans="2:24" x14ac:dyDescent="0.25">
      <c r="B991" s="54" t="str">
        <f>IFERROR(VLOOKUP(A991,Lookup!A:B,2,0),"")</f>
        <v/>
      </c>
      <c r="C991" s="54" t="str">
        <f>IFERROR(VLOOKUP(A991,Lookup!A:C,3,0),"")</f>
        <v/>
      </c>
      <c r="J991" s="103">
        <f>VLOOKUP(A991&amp;G991,Lookup!J:N,5,0)</f>
        <v>0</v>
      </c>
      <c r="O991" s="57">
        <f>IFERROR(VLOOKUP(A991&amp;G991,Lookup!J:K,2,0),"")</f>
        <v>0</v>
      </c>
      <c r="P991" s="110" t="str">
        <f t="shared" si="73"/>
        <v/>
      </c>
      <c r="T991" s="59" t="e">
        <f t="shared" si="74"/>
        <v>#VALUE!</v>
      </c>
      <c r="U991" s="59"/>
      <c r="X991" s="60" t="str">
        <f t="shared" si="72"/>
        <v>D</v>
      </c>
    </row>
    <row r="992" spans="2:24" x14ac:dyDescent="0.25">
      <c r="B992" s="54" t="str">
        <f>IFERROR(VLOOKUP(A992,Lookup!A:B,2,0),"")</f>
        <v/>
      </c>
      <c r="C992" s="54" t="str">
        <f>IFERROR(VLOOKUP(A992,Lookup!A:C,3,0),"")</f>
        <v/>
      </c>
      <c r="J992" s="103">
        <f>VLOOKUP(A992&amp;G992,Lookup!J:N,5,0)</f>
        <v>0</v>
      </c>
      <c r="O992" s="57">
        <f>IFERROR(VLOOKUP(A992&amp;G992,Lookup!J:K,2,0),"")</f>
        <v>0</v>
      </c>
      <c r="P992" s="110" t="str">
        <f t="shared" si="73"/>
        <v/>
      </c>
      <c r="T992" s="59" t="e">
        <f t="shared" si="74"/>
        <v>#VALUE!</v>
      </c>
      <c r="U992" s="59"/>
      <c r="X992" s="60" t="str">
        <f t="shared" si="72"/>
        <v>D</v>
      </c>
    </row>
    <row r="993" spans="2:24" x14ac:dyDescent="0.25">
      <c r="B993" s="54" t="str">
        <f>IFERROR(VLOOKUP(A993,Lookup!A:B,2,0),"")</f>
        <v/>
      </c>
      <c r="C993" s="54" t="str">
        <f>IFERROR(VLOOKUP(A993,Lookup!A:C,3,0),"")</f>
        <v/>
      </c>
      <c r="J993" s="103">
        <f>VLOOKUP(A993&amp;G993,Lookup!J:N,5,0)</f>
        <v>0</v>
      </c>
      <c r="O993" s="57">
        <f>IFERROR(VLOOKUP(A993&amp;G993,Lookup!J:K,2,0),"")</f>
        <v>0</v>
      </c>
      <c r="P993" s="110" t="str">
        <f t="shared" si="73"/>
        <v/>
      </c>
      <c r="T993" s="59" t="e">
        <f t="shared" si="74"/>
        <v>#VALUE!</v>
      </c>
      <c r="U993" s="59"/>
      <c r="X993" s="60" t="str">
        <f t="shared" si="72"/>
        <v>D</v>
      </c>
    </row>
    <row r="994" spans="2:24" x14ac:dyDescent="0.25">
      <c r="B994" s="54" t="str">
        <f>IFERROR(VLOOKUP(A994,Lookup!A:B,2,0),"")</f>
        <v/>
      </c>
      <c r="C994" s="54" t="str">
        <f>IFERROR(VLOOKUP(A994,Lookup!A:C,3,0),"")</f>
        <v/>
      </c>
      <c r="J994" s="103">
        <f>VLOOKUP(A994&amp;G994,Lookup!J:N,5,0)</f>
        <v>0</v>
      </c>
      <c r="O994" s="57">
        <f>IFERROR(VLOOKUP(A994&amp;G994,Lookup!J:K,2,0),"")</f>
        <v>0</v>
      </c>
      <c r="P994" s="110" t="str">
        <f t="shared" si="73"/>
        <v/>
      </c>
      <c r="T994" s="59" t="e">
        <f t="shared" si="74"/>
        <v>#VALUE!</v>
      </c>
      <c r="U994" s="59"/>
      <c r="X994" s="60" t="str">
        <f t="shared" si="72"/>
        <v>D</v>
      </c>
    </row>
    <row r="995" spans="2:24" x14ac:dyDescent="0.25">
      <c r="B995" s="54" t="str">
        <f>IFERROR(VLOOKUP(A995,Lookup!A:B,2,0),"")</f>
        <v/>
      </c>
      <c r="C995" s="54" t="str">
        <f>IFERROR(VLOOKUP(A995,Lookup!A:C,3,0),"")</f>
        <v/>
      </c>
      <c r="J995" s="103">
        <f>VLOOKUP(A995&amp;G995,Lookup!J:N,5,0)</f>
        <v>0</v>
      </c>
      <c r="O995" s="57">
        <f>IFERROR(VLOOKUP(A995&amp;G995,Lookup!J:K,2,0),"")</f>
        <v>0</v>
      </c>
      <c r="P995" s="110" t="str">
        <f t="shared" si="73"/>
        <v/>
      </c>
      <c r="T995" s="59" t="e">
        <f t="shared" si="74"/>
        <v>#VALUE!</v>
      </c>
      <c r="U995" s="59"/>
      <c r="X995" s="60" t="str">
        <f t="shared" si="72"/>
        <v>D</v>
      </c>
    </row>
    <row r="996" spans="2:24" x14ac:dyDescent="0.25">
      <c r="B996" s="54" t="str">
        <f>IFERROR(VLOOKUP(A996,Lookup!A:B,2,0),"")</f>
        <v/>
      </c>
      <c r="C996" s="54" t="str">
        <f>IFERROR(VLOOKUP(A996,Lookup!A:C,3,0),"")</f>
        <v/>
      </c>
      <c r="J996" s="103">
        <f>VLOOKUP(A996&amp;G996,Lookup!J:N,5,0)</f>
        <v>0</v>
      </c>
      <c r="O996" s="57">
        <f>IFERROR(VLOOKUP(A996&amp;G996,Lookup!J:K,2,0),"")</f>
        <v>0</v>
      </c>
      <c r="P996" s="110" t="str">
        <f t="shared" si="73"/>
        <v/>
      </c>
      <c r="T996" s="59" t="e">
        <f t="shared" si="74"/>
        <v>#VALUE!</v>
      </c>
      <c r="U996" s="59"/>
      <c r="X996" s="60" t="str">
        <f t="shared" si="72"/>
        <v>D</v>
      </c>
    </row>
    <row r="997" spans="2:24" x14ac:dyDescent="0.25">
      <c r="B997" s="54" t="str">
        <f>IFERROR(VLOOKUP(A997,Lookup!A:B,2,0),"")</f>
        <v/>
      </c>
      <c r="C997" s="54" t="str">
        <f>IFERROR(VLOOKUP(A997,Lookup!A:C,3,0),"")</f>
        <v/>
      </c>
      <c r="J997" s="103">
        <f>VLOOKUP(A997&amp;G997,Lookup!J:N,5,0)</f>
        <v>0</v>
      </c>
      <c r="O997" s="57">
        <f>IFERROR(VLOOKUP(A997&amp;G997,Lookup!J:K,2,0),"")</f>
        <v>0</v>
      </c>
      <c r="P997" s="110" t="str">
        <f t="shared" si="73"/>
        <v/>
      </c>
      <c r="T997" s="59" t="e">
        <f t="shared" si="74"/>
        <v>#VALUE!</v>
      </c>
      <c r="U997" s="59"/>
      <c r="X997" s="60" t="str">
        <f t="shared" si="72"/>
        <v>D</v>
      </c>
    </row>
    <row r="998" spans="2:24" x14ac:dyDescent="0.25">
      <c r="B998" s="54" t="str">
        <f>IFERROR(VLOOKUP(A998,Lookup!A:B,2,0),"")</f>
        <v/>
      </c>
      <c r="C998" s="54" t="str">
        <f>IFERROR(VLOOKUP(A998,Lookup!A:C,3,0),"")</f>
        <v/>
      </c>
      <c r="J998" s="103">
        <f>VLOOKUP(A998&amp;G998,Lookup!J:N,5,0)</f>
        <v>0</v>
      </c>
      <c r="O998" s="57">
        <f>IFERROR(VLOOKUP(A998&amp;G998,Lookup!J:K,2,0),"")</f>
        <v>0</v>
      </c>
      <c r="P998" s="110" t="str">
        <f t="shared" si="73"/>
        <v/>
      </c>
      <c r="T998" s="59" t="e">
        <f t="shared" si="74"/>
        <v>#VALUE!</v>
      </c>
      <c r="U998" s="59"/>
      <c r="X998" s="60" t="str">
        <f t="shared" si="72"/>
        <v>D</v>
      </c>
    </row>
    <row r="999" spans="2:24" x14ac:dyDescent="0.25">
      <c r="B999" s="54" t="str">
        <f>IFERROR(VLOOKUP(A999,Lookup!A:B,2,0),"")</f>
        <v/>
      </c>
      <c r="C999" s="54" t="str">
        <f>IFERROR(VLOOKUP(A999,Lookup!A:C,3,0),"")</f>
        <v/>
      </c>
      <c r="J999" s="103">
        <f>VLOOKUP(A999&amp;G999,Lookup!J:N,5,0)</f>
        <v>0</v>
      </c>
      <c r="O999" s="57">
        <f>IFERROR(VLOOKUP(A999&amp;G999,Lookup!J:K,2,0),"")</f>
        <v>0</v>
      </c>
      <c r="P999" s="110" t="str">
        <f t="shared" si="73"/>
        <v/>
      </c>
      <c r="T999" s="59" t="e">
        <f t="shared" si="74"/>
        <v>#VALUE!</v>
      </c>
      <c r="U999" s="59"/>
      <c r="X999" s="60" t="str">
        <f t="shared" si="72"/>
        <v>D</v>
      </c>
    </row>
    <row r="1000" spans="2:24" x14ac:dyDescent="0.25">
      <c r="B1000" s="54" t="str">
        <f>IFERROR(VLOOKUP(A1000,Lookup!A:B,2,0),"")</f>
        <v/>
      </c>
      <c r="C1000" s="54" t="str">
        <f>IFERROR(VLOOKUP(A1000,Lookup!A:C,3,0),"")</f>
        <v/>
      </c>
      <c r="J1000" s="103">
        <f>VLOOKUP(A1000&amp;G1000,Lookup!J:N,5,0)</f>
        <v>0</v>
      </c>
      <c r="O1000" s="57">
        <f>IFERROR(VLOOKUP(A1000&amp;G1000,Lookup!J:K,2,0),"")</f>
        <v>0</v>
      </c>
      <c r="P1000" s="110" t="str">
        <f t="shared" si="73"/>
        <v/>
      </c>
      <c r="T1000" s="59" t="e">
        <f t="shared" si="74"/>
        <v>#VALUE!</v>
      </c>
      <c r="U1000" s="59"/>
      <c r="X1000" s="60" t="str">
        <f t="shared" si="72"/>
        <v>D</v>
      </c>
    </row>
    <row r="1001" spans="2:24" x14ac:dyDescent="0.25">
      <c r="B1001" s="54" t="str">
        <f>IFERROR(VLOOKUP(A1001,Lookup!A:B,2,0),"")</f>
        <v/>
      </c>
      <c r="C1001" s="54" t="str">
        <f>IFERROR(VLOOKUP(A1001,Lookup!A:C,3,0),"")</f>
        <v/>
      </c>
      <c r="J1001" s="103">
        <f>VLOOKUP(A1001&amp;G1001,Lookup!J:N,5,0)</f>
        <v>0</v>
      </c>
      <c r="O1001" s="57">
        <f>IFERROR(VLOOKUP(A1001&amp;G1001,Lookup!J:K,2,0),"")</f>
        <v>0</v>
      </c>
      <c r="P1001" s="110" t="str">
        <f t="shared" si="73"/>
        <v/>
      </c>
      <c r="T1001" s="59" t="e">
        <f t="shared" si="74"/>
        <v>#VALUE!</v>
      </c>
      <c r="U1001" s="59"/>
      <c r="X1001" s="60" t="str">
        <f t="shared" si="72"/>
        <v>D</v>
      </c>
    </row>
    <row r="1002" spans="2:24" x14ac:dyDescent="0.25">
      <c r="B1002" s="54" t="str">
        <f>IFERROR(VLOOKUP(A1002,Lookup!A:B,2,0),"")</f>
        <v/>
      </c>
      <c r="C1002" s="54" t="str">
        <f>IFERROR(VLOOKUP(A1002,Lookup!A:C,3,0),"")</f>
        <v/>
      </c>
      <c r="J1002" s="103">
        <f>VLOOKUP(A1002&amp;G1002,Lookup!J:N,5,0)</f>
        <v>0</v>
      </c>
      <c r="O1002" s="57">
        <f>IFERROR(VLOOKUP(A1002&amp;G1002,Lookup!J:K,2,0),"")</f>
        <v>0</v>
      </c>
      <c r="P1002" s="110" t="str">
        <f t="shared" si="73"/>
        <v/>
      </c>
      <c r="T1002" s="59" t="e">
        <f t="shared" si="74"/>
        <v>#VALUE!</v>
      </c>
      <c r="U1002" s="59"/>
      <c r="X1002" s="60" t="str">
        <f t="shared" si="72"/>
        <v>D</v>
      </c>
    </row>
    <row r="1003" spans="2:24" x14ac:dyDescent="0.25">
      <c r="B1003" s="54" t="str">
        <f>IFERROR(VLOOKUP(A1003,Lookup!A:B,2,0),"")</f>
        <v/>
      </c>
      <c r="C1003" s="54" t="str">
        <f>IFERROR(VLOOKUP(A1003,Lookup!A:C,3,0),"")</f>
        <v/>
      </c>
      <c r="J1003" s="103">
        <f>VLOOKUP(A1003&amp;G1003,Lookup!J:N,5,0)</f>
        <v>0</v>
      </c>
      <c r="O1003" s="57">
        <f>IFERROR(VLOOKUP(A1003&amp;G1003,Lookup!J:K,2,0),"")</f>
        <v>0</v>
      </c>
      <c r="P1003" s="110" t="str">
        <f t="shared" si="73"/>
        <v/>
      </c>
      <c r="T1003" s="59" t="e">
        <f t="shared" si="74"/>
        <v>#VALUE!</v>
      </c>
      <c r="U1003" s="59"/>
      <c r="X1003" s="60" t="str">
        <f t="shared" si="72"/>
        <v>D</v>
      </c>
    </row>
    <row r="1004" spans="2:24" x14ac:dyDescent="0.25">
      <c r="B1004" s="54" t="str">
        <f>IFERROR(VLOOKUP(A1004,Lookup!A:B,2,0),"")</f>
        <v/>
      </c>
      <c r="C1004" s="54" t="str">
        <f>IFERROR(VLOOKUP(A1004,Lookup!A:C,3,0),"")</f>
        <v/>
      </c>
      <c r="J1004" s="103">
        <f>VLOOKUP(A1004&amp;G1004,Lookup!J:N,5,0)</f>
        <v>0</v>
      </c>
      <c r="O1004" s="57">
        <f>IFERROR(VLOOKUP(A1004&amp;G1004,Lookup!J:K,2,0),"")</f>
        <v>0</v>
      </c>
      <c r="P1004" s="110" t="str">
        <f t="shared" si="73"/>
        <v/>
      </c>
      <c r="T1004" s="59" t="e">
        <f t="shared" si="74"/>
        <v>#VALUE!</v>
      </c>
      <c r="U1004" s="59"/>
      <c r="X1004" s="60" t="str">
        <f t="shared" si="72"/>
        <v>D</v>
      </c>
    </row>
    <row r="1005" spans="2:24" x14ac:dyDescent="0.25">
      <c r="B1005" s="54" t="str">
        <f>IFERROR(VLOOKUP(A1005,Lookup!A:B,2,0),"")</f>
        <v/>
      </c>
      <c r="C1005" s="54" t="str">
        <f>IFERROR(VLOOKUP(A1005,Lookup!A:C,3,0),"")</f>
        <v/>
      </c>
      <c r="J1005" s="103">
        <f>VLOOKUP(A1005&amp;G1005,Lookup!J:N,5,0)</f>
        <v>0</v>
      </c>
      <c r="O1005" s="57">
        <f>IFERROR(VLOOKUP(A1005&amp;G1005,Lookup!J:K,2,0),"")</f>
        <v>0</v>
      </c>
      <c r="P1005" s="110" t="str">
        <f t="shared" si="73"/>
        <v/>
      </c>
      <c r="T1005" s="59" t="e">
        <f t="shared" si="74"/>
        <v>#VALUE!</v>
      </c>
      <c r="U1005" s="59"/>
      <c r="X1005" s="60" t="str">
        <f t="shared" si="72"/>
        <v>D</v>
      </c>
    </row>
    <row r="1006" spans="2:24" x14ac:dyDescent="0.25">
      <c r="B1006" s="54" t="str">
        <f>IFERROR(VLOOKUP(A1006,Lookup!A:B,2,0),"")</f>
        <v/>
      </c>
      <c r="C1006" s="54" t="str">
        <f>IFERROR(VLOOKUP(A1006,Lookup!A:C,3,0),"")</f>
        <v/>
      </c>
      <c r="J1006" s="103">
        <f>VLOOKUP(A1006&amp;G1006,Lookup!J:N,5,0)</f>
        <v>0</v>
      </c>
      <c r="O1006" s="57">
        <f>IFERROR(VLOOKUP(A1006&amp;G1006,Lookup!J:K,2,0),"")</f>
        <v>0</v>
      </c>
      <c r="P1006" s="110" t="str">
        <f t="shared" si="73"/>
        <v/>
      </c>
      <c r="T1006" s="59" t="e">
        <f t="shared" si="74"/>
        <v>#VALUE!</v>
      </c>
      <c r="U1006" s="59"/>
      <c r="X1006" s="60" t="str">
        <f t="shared" ref="X1006:X1069" si="75">IF(I1006="SET","A",IF(I1006="FREQ","C",IF(I1006="","D","B")))</f>
        <v>D</v>
      </c>
    </row>
    <row r="1007" spans="2:24" x14ac:dyDescent="0.25">
      <c r="B1007" s="54" t="str">
        <f>IFERROR(VLOOKUP(A1007,Lookup!A:B,2,0),"")</f>
        <v/>
      </c>
      <c r="C1007" s="54" t="str">
        <f>IFERROR(VLOOKUP(A1007,Lookup!A:C,3,0),"")</f>
        <v/>
      </c>
      <c r="J1007" s="103">
        <f>VLOOKUP(A1007&amp;G1007,Lookup!J:N,5,0)</f>
        <v>0</v>
      </c>
      <c r="O1007" s="57">
        <f>IFERROR(VLOOKUP(A1007&amp;G1007,Lookup!J:K,2,0),"")</f>
        <v>0</v>
      </c>
      <c r="P1007" s="110" t="str">
        <f t="shared" si="73"/>
        <v/>
      </c>
      <c r="T1007" s="59" t="e">
        <f t="shared" si="74"/>
        <v>#VALUE!</v>
      </c>
      <c r="U1007" s="59"/>
      <c r="X1007" s="60" t="str">
        <f t="shared" si="75"/>
        <v>D</v>
      </c>
    </row>
    <row r="1008" spans="2:24" x14ac:dyDescent="0.25">
      <c r="B1008" s="54" t="str">
        <f>IFERROR(VLOOKUP(A1008,Lookup!A:B,2,0),"")</f>
        <v/>
      </c>
      <c r="C1008" s="54" t="str">
        <f>IFERROR(VLOOKUP(A1008,Lookup!A:C,3,0),"")</f>
        <v/>
      </c>
      <c r="J1008" s="103">
        <f>VLOOKUP(A1008&amp;G1008,Lookup!J:N,5,0)</f>
        <v>0</v>
      </c>
      <c r="O1008" s="57">
        <f>IFERROR(VLOOKUP(A1008&amp;G1008,Lookup!J:K,2,0),"")</f>
        <v>0</v>
      </c>
      <c r="P1008" s="110" t="str">
        <f t="shared" si="73"/>
        <v/>
      </c>
      <c r="T1008" s="59" t="e">
        <f t="shared" si="74"/>
        <v>#VALUE!</v>
      </c>
      <c r="U1008" s="59"/>
      <c r="X1008" s="60" t="str">
        <f t="shared" si="75"/>
        <v>D</v>
      </c>
    </row>
    <row r="1009" spans="2:24" x14ac:dyDescent="0.25">
      <c r="B1009" s="54" t="str">
        <f>IFERROR(VLOOKUP(A1009,Lookup!A:B,2,0),"")</f>
        <v/>
      </c>
      <c r="C1009" s="54" t="str">
        <f>IFERROR(VLOOKUP(A1009,Lookup!A:C,3,0),"")</f>
        <v/>
      </c>
      <c r="J1009" s="103">
        <f>VLOOKUP(A1009&amp;G1009,Lookup!J:N,5,0)</f>
        <v>0</v>
      </c>
      <c r="O1009" s="57">
        <f>IFERROR(VLOOKUP(A1009&amp;G1009,Lookup!J:K,2,0),"")</f>
        <v>0</v>
      </c>
      <c r="P1009" s="110" t="str">
        <f t="shared" si="73"/>
        <v/>
      </c>
      <c r="T1009" s="59" t="e">
        <f t="shared" si="74"/>
        <v>#VALUE!</v>
      </c>
      <c r="U1009" s="59"/>
      <c r="X1009" s="60" t="str">
        <f t="shared" si="75"/>
        <v>D</v>
      </c>
    </row>
    <row r="1010" spans="2:24" x14ac:dyDescent="0.25">
      <c r="B1010" s="54" t="str">
        <f>IFERROR(VLOOKUP(A1010,Lookup!A:B,2,0),"")</f>
        <v/>
      </c>
      <c r="C1010" s="54" t="str">
        <f>IFERROR(VLOOKUP(A1010,Lookup!A:C,3,0),"")</f>
        <v/>
      </c>
      <c r="J1010" s="103">
        <f>VLOOKUP(A1010&amp;G1010,Lookup!J:N,5,0)</f>
        <v>0</v>
      </c>
      <c r="O1010" s="57">
        <f>IFERROR(VLOOKUP(A1010&amp;G1010,Lookup!J:K,2,0),"")</f>
        <v>0</v>
      </c>
      <c r="P1010" s="110" t="str">
        <f t="shared" si="73"/>
        <v/>
      </c>
      <c r="T1010" s="59" t="e">
        <f t="shared" si="74"/>
        <v>#VALUE!</v>
      </c>
      <c r="U1010" s="59"/>
      <c r="X1010" s="60" t="str">
        <f t="shared" si="75"/>
        <v>D</v>
      </c>
    </row>
    <row r="1011" spans="2:24" x14ac:dyDescent="0.25">
      <c r="B1011" s="54" t="str">
        <f>IFERROR(VLOOKUP(A1011,Lookup!A:B,2,0),"")</f>
        <v/>
      </c>
      <c r="C1011" s="54" t="str">
        <f>IFERROR(VLOOKUP(A1011,Lookup!A:C,3,0),"")</f>
        <v/>
      </c>
      <c r="J1011" s="103">
        <f>VLOOKUP(A1011&amp;G1011,Lookup!J:N,5,0)</f>
        <v>0</v>
      </c>
      <c r="O1011" s="57">
        <f>IFERROR(VLOOKUP(A1011&amp;G1011,Lookup!J:K,2,0),"")</f>
        <v>0</v>
      </c>
      <c r="P1011" s="110" t="str">
        <f t="shared" si="73"/>
        <v/>
      </c>
      <c r="T1011" s="59" t="e">
        <f t="shared" si="74"/>
        <v>#VALUE!</v>
      </c>
      <c r="U1011" s="59"/>
      <c r="X1011" s="60" t="str">
        <f t="shared" si="75"/>
        <v>D</v>
      </c>
    </row>
    <row r="1012" spans="2:24" x14ac:dyDescent="0.25">
      <c r="B1012" s="54" t="str">
        <f>IFERROR(VLOOKUP(A1012,Lookup!A:B,2,0),"")</f>
        <v/>
      </c>
      <c r="C1012" s="54" t="str">
        <f>IFERROR(VLOOKUP(A1012,Lookup!A:C,3,0),"")</f>
        <v/>
      </c>
      <c r="J1012" s="103">
        <f>VLOOKUP(A1012&amp;G1012,Lookup!J:N,5,0)</f>
        <v>0</v>
      </c>
      <c r="O1012" s="57">
        <f>IFERROR(VLOOKUP(A1012&amp;G1012,Lookup!J:K,2,0),"")</f>
        <v>0</v>
      </c>
      <c r="P1012" s="110" t="str">
        <f t="shared" si="73"/>
        <v/>
      </c>
      <c r="T1012" s="59" t="e">
        <f t="shared" si="74"/>
        <v>#VALUE!</v>
      </c>
      <c r="U1012" s="59"/>
      <c r="X1012" s="60" t="str">
        <f t="shared" si="75"/>
        <v>D</v>
      </c>
    </row>
    <row r="1013" spans="2:24" x14ac:dyDescent="0.25">
      <c r="B1013" s="54" t="str">
        <f>IFERROR(VLOOKUP(A1013,Lookup!A:B,2,0),"")</f>
        <v/>
      </c>
      <c r="C1013" s="54" t="str">
        <f>IFERROR(VLOOKUP(A1013,Lookup!A:C,3,0),"")</f>
        <v/>
      </c>
      <c r="J1013" s="103">
        <f>VLOOKUP(A1013&amp;G1013,Lookup!J:N,5,0)</f>
        <v>0</v>
      </c>
      <c r="O1013" s="57">
        <f>IFERROR(VLOOKUP(A1013&amp;G1013,Lookup!J:K,2,0),"")</f>
        <v>0</v>
      </c>
      <c r="P1013" s="110" t="str">
        <f t="shared" si="73"/>
        <v/>
      </c>
      <c r="T1013" s="59" t="e">
        <f t="shared" si="74"/>
        <v>#VALUE!</v>
      </c>
      <c r="U1013" s="59"/>
      <c r="X1013" s="60" t="str">
        <f t="shared" si="75"/>
        <v>D</v>
      </c>
    </row>
    <row r="1014" spans="2:24" x14ac:dyDescent="0.25">
      <c r="B1014" s="54" t="str">
        <f>IFERROR(VLOOKUP(A1014,Lookup!A:B,2,0),"")</f>
        <v/>
      </c>
      <c r="C1014" s="54" t="str">
        <f>IFERROR(VLOOKUP(A1014,Lookup!A:C,3,0),"")</f>
        <v/>
      </c>
      <c r="J1014" s="103">
        <f>VLOOKUP(A1014&amp;G1014,Lookup!J:N,5,0)</f>
        <v>0</v>
      </c>
      <c r="O1014" s="57">
        <f>IFERROR(VLOOKUP(A1014&amp;G1014,Lookup!J:K,2,0),"")</f>
        <v>0</v>
      </c>
      <c r="P1014" s="110" t="str">
        <f t="shared" si="73"/>
        <v/>
      </c>
      <c r="T1014" s="59" t="e">
        <f t="shared" si="74"/>
        <v>#VALUE!</v>
      </c>
      <c r="U1014" s="59"/>
      <c r="X1014" s="60" t="str">
        <f t="shared" si="75"/>
        <v>D</v>
      </c>
    </row>
    <row r="1015" spans="2:24" x14ac:dyDescent="0.25">
      <c r="B1015" s="54" t="str">
        <f>IFERROR(VLOOKUP(A1015,Lookup!A:B,2,0),"")</f>
        <v/>
      </c>
      <c r="C1015" s="54" t="str">
        <f>IFERROR(VLOOKUP(A1015,Lookup!A:C,3,0),"")</f>
        <v/>
      </c>
      <c r="J1015" s="103">
        <f>VLOOKUP(A1015&amp;G1015,Lookup!J:N,5,0)</f>
        <v>0</v>
      </c>
      <c r="O1015" s="57">
        <f>IFERROR(VLOOKUP(A1015&amp;G1015,Lookup!J:K,2,0),"")</f>
        <v>0</v>
      </c>
      <c r="P1015" s="110" t="str">
        <f t="shared" si="73"/>
        <v/>
      </c>
      <c r="T1015" s="59" t="e">
        <f t="shared" si="74"/>
        <v>#VALUE!</v>
      </c>
      <c r="U1015" s="59"/>
      <c r="X1015" s="60" t="str">
        <f t="shared" si="75"/>
        <v>D</v>
      </c>
    </row>
    <row r="1016" spans="2:24" x14ac:dyDescent="0.25">
      <c r="B1016" s="54" t="str">
        <f>IFERROR(VLOOKUP(A1016,Lookup!A:B,2,0),"")</f>
        <v/>
      </c>
      <c r="C1016" s="54" t="str">
        <f>IFERROR(VLOOKUP(A1016,Lookup!A:C,3,0),"")</f>
        <v/>
      </c>
      <c r="J1016" s="103">
        <f>VLOOKUP(A1016&amp;G1016,Lookup!J:N,5,0)</f>
        <v>0</v>
      </c>
      <c r="O1016" s="57">
        <f>IFERROR(VLOOKUP(A1016&amp;G1016,Lookup!J:K,2,0),"")</f>
        <v>0</v>
      </c>
      <c r="P1016" s="110" t="str">
        <f t="shared" si="73"/>
        <v/>
      </c>
      <c r="T1016" s="59" t="e">
        <f t="shared" si="74"/>
        <v>#VALUE!</v>
      </c>
      <c r="U1016" s="59"/>
      <c r="X1016" s="60" t="str">
        <f t="shared" si="75"/>
        <v>D</v>
      </c>
    </row>
    <row r="1017" spans="2:24" x14ac:dyDescent="0.25">
      <c r="B1017" s="54" t="str">
        <f>IFERROR(VLOOKUP(A1017,Lookup!A:B,2,0),"")</f>
        <v/>
      </c>
      <c r="C1017" s="54" t="str">
        <f>IFERROR(VLOOKUP(A1017,Lookup!A:C,3,0),"")</f>
        <v/>
      </c>
      <c r="J1017" s="103">
        <f>VLOOKUP(A1017&amp;G1017,Lookup!J:N,5,0)</f>
        <v>0</v>
      </c>
      <c r="O1017" s="57">
        <f>IFERROR(VLOOKUP(A1017&amp;G1017,Lookup!J:K,2,0),"")</f>
        <v>0</v>
      </c>
      <c r="P1017" s="110" t="str">
        <f t="shared" si="73"/>
        <v/>
      </c>
      <c r="T1017" s="59" t="e">
        <f t="shared" si="74"/>
        <v>#VALUE!</v>
      </c>
      <c r="U1017" s="59"/>
      <c r="X1017" s="60" t="str">
        <f t="shared" si="75"/>
        <v>D</v>
      </c>
    </row>
    <row r="1018" spans="2:24" x14ac:dyDescent="0.25">
      <c r="B1018" s="54" t="str">
        <f>IFERROR(VLOOKUP(A1018,Lookup!A:B,2,0),"")</f>
        <v/>
      </c>
      <c r="C1018" s="54" t="str">
        <f>IFERROR(VLOOKUP(A1018,Lookup!A:C,3,0),"")</f>
        <v/>
      </c>
      <c r="J1018" s="103">
        <f>VLOOKUP(A1018&amp;G1018,Lookup!J:N,5,0)</f>
        <v>0</v>
      </c>
      <c r="O1018" s="57">
        <f>IFERROR(VLOOKUP(A1018&amp;G1018,Lookup!J:K,2,0),"")</f>
        <v>0</v>
      </c>
      <c r="P1018" s="110" t="str">
        <f t="shared" si="73"/>
        <v/>
      </c>
      <c r="T1018" s="59" t="e">
        <f t="shared" si="74"/>
        <v>#VALUE!</v>
      </c>
      <c r="U1018" s="59"/>
      <c r="X1018" s="60" t="str">
        <f t="shared" si="75"/>
        <v>D</v>
      </c>
    </row>
    <row r="1019" spans="2:24" x14ac:dyDescent="0.25">
      <c r="B1019" s="54" t="str">
        <f>IFERROR(VLOOKUP(A1019,Lookup!A:B,2,0),"")</f>
        <v/>
      </c>
      <c r="C1019" s="54" t="str">
        <f>IFERROR(VLOOKUP(A1019,Lookup!A:C,3,0),"")</f>
        <v/>
      </c>
      <c r="J1019" s="103">
        <f>VLOOKUP(A1019&amp;G1019,Lookup!J:N,5,0)</f>
        <v>0</v>
      </c>
      <c r="O1019" s="57">
        <f>IFERROR(VLOOKUP(A1019&amp;G1019,Lookup!J:K,2,0),"")</f>
        <v>0</v>
      </c>
      <c r="P1019" s="110" t="str">
        <f t="shared" si="73"/>
        <v/>
      </c>
      <c r="T1019" s="59" t="e">
        <f t="shared" si="74"/>
        <v>#VALUE!</v>
      </c>
      <c r="U1019" s="59"/>
      <c r="X1019" s="60" t="str">
        <f t="shared" si="75"/>
        <v>D</v>
      </c>
    </row>
    <row r="1020" spans="2:24" x14ac:dyDescent="0.25">
      <c r="B1020" s="54" t="str">
        <f>IFERROR(VLOOKUP(A1020,Lookup!A:B,2,0),"")</f>
        <v/>
      </c>
      <c r="C1020" s="54" t="str">
        <f>IFERROR(VLOOKUP(A1020,Lookup!A:C,3,0),"")</f>
        <v/>
      </c>
      <c r="J1020" s="103">
        <f>VLOOKUP(A1020&amp;G1020,Lookup!J:N,5,0)</f>
        <v>0</v>
      </c>
      <c r="O1020" s="57">
        <f>IFERROR(VLOOKUP(A1020&amp;G1020,Lookup!J:K,2,0),"")</f>
        <v>0</v>
      </c>
      <c r="P1020" s="110" t="str">
        <f t="shared" si="73"/>
        <v/>
      </c>
      <c r="T1020" s="59" t="e">
        <f t="shared" si="74"/>
        <v>#VALUE!</v>
      </c>
      <c r="U1020" s="59"/>
      <c r="X1020" s="60" t="str">
        <f t="shared" si="75"/>
        <v>D</v>
      </c>
    </row>
    <row r="1021" spans="2:24" x14ac:dyDescent="0.25">
      <c r="B1021" s="54" t="str">
        <f>IFERROR(VLOOKUP(A1021,Lookup!A:B,2,0),"")</f>
        <v/>
      </c>
      <c r="C1021" s="54" t="str">
        <f>IFERROR(VLOOKUP(A1021,Lookup!A:C,3,0),"")</f>
        <v/>
      </c>
      <c r="J1021" s="103">
        <f>VLOOKUP(A1021&amp;G1021,Lookup!J:N,5,0)</f>
        <v>0</v>
      </c>
      <c r="O1021" s="57">
        <f>IFERROR(VLOOKUP(A1021&amp;G1021,Lookup!J:K,2,0),"")</f>
        <v>0</v>
      </c>
      <c r="P1021" s="110" t="str">
        <f t="shared" si="73"/>
        <v/>
      </c>
      <c r="T1021" s="59" t="e">
        <f t="shared" si="74"/>
        <v>#VALUE!</v>
      </c>
      <c r="U1021" s="59"/>
      <c r="X1021" s="60" t="str">
        <f t="shared" si="75"/>
        <v>D</v>
      </c>
    </row>
    <row r="1022" spans="2:24" x14ac:dyDescent="0.25">
      <c r="B1022" s="54" t="str">
        <f>IFERROR(VLOOKUP(A1022,Lookup!A:B,2,0),"")</f>
        <v/>
      </c>
      <c r="C1022" s="54" t="str">
        <f>IFERROR(VLOOKUP(A1022,Lookup!A:C,3,0),"")</f>
        <v/>
      </c>
      <c r="J1022" s="103">
        <f>VLOOKUP(A1022&amp;G1022,Lookup!J:N,5,0)</f>
        <v>0</v>
      </c>
      <c r="O1022" s="57">
        <f>IFERROR(VLOOKUP(A1022&amp;G1022,Lookup!J:K,2,0),"")</f>
        <v>0</v>
      </c>
      <c r="P1022" s="110" t="str">
        <f t="shared" si="73"/>
        <v/>
      </c>
      <c r="T1022" s="59" t="e">
        <f t="shared" si="74"/>
        <v>#VALUE!</v>
      </c>
      <c r="U1022" s="59"/>
      <c r="X1022" s="60" t="str">
        <f t="shared" si="75"/>
        <v>D</v>
      </c>
    </row>
    <row r="1023" spans="2:24" x14ac:dyDescent="0.25">
      <c r="B1023" s="54" t="str">
        <f>IFERROR(VLOOKUP(A1023,Lookup!A:B,2,0),"")</f>
        <v/>
      </c>
      <c r="C1023" s="54" t="str">
        <f>IFERROR(VLOOKUP(A1023,Lookup!A:C,3,0),"")</f>
        <v/>
      </c>
      <c r="J1023" s="103">
        <f>VLOOKUP(A1023&amp;G1023,Lookup!J:N,5,0)</f>
        <v>0</v>
      </c>
      <c r="O1023" s="57">
        <f>IFERROR(VLOOKUP(A1023&amp;G1023,Lookup!J:K,2,0),"")</f>
        <v>0</v>
      </c>
      <c r="P1023" s="110" t="str">
        <f t="shared" si="73"/>
        <v/>
      </c>
      <c r="T1023" s="59" t="e">
        <f t="shared" si="74"/>
        <v>#VALUE!</v>
      </c>
      <c r="U1023" s="59"/>
      <c r="X1023" s="60" t="str">
        <f t="shared" si="75"/>
        <v>D</v>
      </c>
    </row>
    <row r="1024" spans="2:24" x14ac:dyDescent="0.25">
      <c r="B1024" s="54" t="str">
        <f>IFERROR(VLOOKUP(A1024,Lookup!A:B,2,0),"")</f>
        <v/>
      </c>
      <c r="C1024" s="54" t="str">
        <f>IFERROR(VLOOKUP(A1024,Lookup!A:C,3,0),"")</f>
        <v/>
      </c>
      <c r="J1024" s="103">
        <f>VLOOKUP(A1024&amp;G1024,Lookup!J:N,5,0)</f>
        <v>0</v>
      </c>
      <c r="O1024" s="57">
        <f>IFERROR(VLOOKUP(A1024&amp;G1024,Lookup!J:K,2,0),"")</f>
        <v>0</v>
      </c>
      <c r="P1024" s="110" t="str">
        <f t="shared" si="73"/>
        <v/>
      </c>
      <c r="T1024" s="59" t="e">
        <f t="shared" si="74"/>
        <v>#VALUE!</v>
      </c>
      <c r="U1024" s="59"/>
      <c r="X1024" s="60" t="str">
        <f t="shared" si="75"/>
        <v>D</v>
      </c>
    </row>
    <row r="1025" spans="2:24" x14ac:dyDescent="0.25">
      <c r="B1025" s="54" t="str">
        <f>IFERROR(VLOOKUP(A1025,Lookup!A:B,2,0),"")</f>
        <v/>
      </c>
      <c r="C1025" s="54" t="str">
        <f>IFERROR(VLOOKUP(A1025,Lookup!A:C,3,0),"")</f>
        <v/>
      </c>
      <c r="J1025" s="103">
        <f>VLOOKUP(A1025&amp;G1025,Lookup!J:N,5,0)</f>
        <v>0</v>
      </c>
      <c r="O1025" s="57">
        <f>IFERROR(VLOOKUP(A1025&amp;G1025,Lookup!J:K,2,0),"")</f>
        <v>0</v>
      </c>
      <c r="P1025" s="110" t="str">
        <f t="shared" si="73"/>
        <v/>
      </c>
      <c r="T1025" s="59" t="e">
        <f t="shared" si="74"/>
        <v>#VALUE!</v>
      </c>
      <c r="U1025" s="59"/>
      <c r="X1025" s="60" t="str">
        <f t="shared" si="75"/>
        <v>D</v>
      </c>
    </row>
    <row r="1026" spans="2:24" x14ac:dyDescent="0.25">
      <c r="B1026" s="54" t="str">
        <f>IFERROR(VLOOKUP(A1026,Lookup!A:B,2,0),"")</f>
        <v/>
      </c>
      <c r="C1026" s="54" t="str">
        <f>IFERROR(VLOOKUP(A1026,Lookup!A:C,3,0),"")</f>
        <v/>
      </c>
      <c r="J1026" s="103">
        <f>VLOOKUP(A1026&amp;G1026,Lookup!J:N,5,0)</f>
        <v>0</v>
      </c>
      <c r="O1026" s="57">
        <f>IFERROR(VLOOKUP(A1026&amp;G1026,Lookup!J:K,2,0),"")</f>
        <v>0</v>
      </c>
      <c r="P1026" s="110" t="str">
        <f t="shared" si="73"/>
        <v/>
      </c>
      <c r="T1026" s="59" t="e">
        <f t="shared" si="74"/>
        <v>#VALUE!</v>
      </c>
      <c r="U1026" s="59"/>
      <c r="X1026" s="60" t="str">
        <f t="shared" si="75"/>
        <v>D</v>
      </c>
    </row>
    <row r="1027" spans="2:24" x14ac:dyDescent="0.25">
      <c r="B1027" s="54" t="str">
        <f>IFERROR(VLOOKUP(A1027,Lookup!A:B,2,0),"")</f>
        <v/>
      </c>
      <c r="C1027" s="54" t="str">
        <f>IFERROR(VLOOKUP(A1027,Lookup!A:C,3,0),"")</f>
        <v/>
      </c>
      <c r="J1027" s="103">
        <f>VLOOKUP(A1027&amp;G1027,Lookup!J:N,5,0)</f>
        <v>0</v>
      </c>
      <c r="O1027" s="57">
        <f>IFERROR(VLOOKUP(A1027&amp;G1027,Lookup!J:K,2,0),"")</f>
        <v>0</v>
      </c>
      <c r="P1027" s="110" t="str">
        <f t="shared" si="73"/>
        <v/>
      </c>
      <c r="T1027" s="59" t="e">
        <f t="shared" si="74"/>
        <v>#VALUE!</v>
      </c>
      <c r="U1027" s="59"/>
      <c r="X1027" s="60" t="str">
        <f t="shared" si="75"/>
        <v>D</v>
      </c>
    </row>
    <row r="1028" spans="2:24" x14ac:dyDescent="0.25">
      <c r="B1028" s="54" t="str">
        <f>IFERROR(VLOOKUP(A1028,Lookup!A:B,2,0),"")</f>
        <v/>
      </c>
      <c r="C1028" s="54" t="str">
        <f>IFERROR(VLOOKUP(A1028,Lookup!A:C,3,0),"")</f>
        <v/>
      </c>
      <c r="J1028" s="103">
        <f>VLOOKUP(A1028&amp;G1028,Lookup!J:N,5,0)</f>
        <v>0</v>
      </c>
      <c r="O1028" s="57">
        <f>IFERROR(VLOOKUP(A1028&amp;G1028,Lookup!J:K,2,0),"")</f>
        <v>0</v>
      </c>
      <c r="P1028" s="110" t="str">
        <f t="shared" ref="P1028:P1091" si="76">IF(N1028="","",N1028+O1028)</f>
        <v/>
      </c>
      <c r="T1028" s="59" t="e">
        <f t="shared" si="74"/>
        <v>#VALUE!</v>
      </c>
      <c r="U1028" s="59"/>
      <c r="X1028" s="60" t="str">
        <f t="shared" si="75"/>
        <v>D</v>
      </c>
    </row>
    <row r="1029" spans="2:24" x14ac:dyDescent="0.25">
      <c r="B1029" s="54" t="str">
        <f>IFERROR(VLOOKUP(A1029,Lookup!A:B,2,0),"")</f>
        <v/>
      </c>
      <c r="C1029" s="54" t="str">
        <f>IFERROR(VLOOKUP(A1029,Lookup!A:C,3,0),"")</f>
        <v/>
      </c>
      <c r="J1029" s="103">
        <f>VLOOKUP(A1029&amp;G1029,Lookup!J:N,5,0)</f>
        <v>0</v>
      </c>
      <c r="O1029" s="57">
        <f>IFERROR(VLOOKUP(A1029&amp;G1029,Lookup!J:K,2,0),"")</f>
        <v>0</v>
      </c>
      <c r="P1029" s="110" t="str">
        <f t="shared" si="76"/>
        <v/>
      </c>
      <c r="T1029" s="59" t="e">
        <f t="shared" si="74"/>
        <v>#VALUE!</v>
      </c>
      <c r="U1029" s="59"/>
      <c r="X1029" s="60" t="str">
        <f t="shared" si="75"/>
        <v>D</v>
      </c>
    </row>
    <row r="1030" spans="2:24" x14ac:dyDescent="0.25">
      <c r="B1030" s="54" t="str">
        <f>IFERROR(VLOOKUP(A1030,Lookup!A:B,2,0),"")</f>
        <v/>
      </c>
      <c r="C1030" s="54" t="str">
        <f>IFERROR(VLOOKUP(A1030,Lookup!A:C,3,0),"")</f>
        <v/>
      </c>
      <c r="J1030" s="103">
        <f>VLOOKUP(A1030&amp;G1030,Lookup!J:N,5,0)</f>
        <v>0</v>
      </c>
      <c r="O1030" s="57">
        <f>IFERROR(VLOOKUP(A1030&amp;G1030,Lookup!J:K,2,0),"")</f>
        <v>0</v>
      </c>
      <c r="P1030" s="110" t="str">
        <f t="shared" si="76"/>
        <v/>
      </c>
      <c r="T1030" s="59" t="e">
        <f t="shared" si="74"/>
        <v>#VALUE!</v>
      </c>
      <c r="U1030" s="59"/>
      <c r="X1030" s="60" t="str">
        <f t="shared" si="75"/>
        <v>D</v>
      </c>
    </row>
    <row r="1031" spans="2:24" x14ac:dyDescent="0.25">
      <c r="B1031" s="54" t="str">
        <f>IFERROR(VLOOKUP(A1031,Lookup!A:B,2,0),"")</f>
        <v/>
      </c>
      <c r="C1031" s="54" t="str">
        <f>IFERROR(VLOOKUP(A1031,Lookup!A:C,3,0),"")</f>
        <v/>
      </c>
      <c r="J1031" s="103">
        <f>VLOOKUP(A1031&amp;G1031,Lookup!J:N,5,0)</f>
        <v>0</v>
      </c>
      <c r="O1031" s="57">
        <f>IFERROR(VLOOKUP(A1031&amp;G1031,Lookup!J:K,2,0),"")</f>
        <v>0</v>
      </c>
      <c r="P1031" s="110" t="str">
        <f t="shared" si="76"/>
        <v/>
      </c>
      <c r="T1031" s="59" t="e">
        <f t="shared" si="74"/>
        <v>#VALUE!</v>
      </c>
      <c r="U1031" s="59"/>
      <c r="X1031" s="60" t="str">
        <f t="shared" si="75"/>
        <v>D</v>
      </c>
    </row>
    <row r="1032" spans="2:24" x14ac:dyDescent="0.25">
      <c r="B1032" s="54" t="str">
        <f>IFERROR(VLOOKUP(A1032,Lookup!A:B,2,0),"")</f>
        <v/>
      </c>
      <c r="C1032" s="54" t="str">
        <f>IFERROR(VLOOKUP(A1032,Lookup!A:C,3,0),"")</f>
        <v/>
      </c>
      <c r="J1032" s="103">
        <f>VLOOKUP(A1032&amp;G1032,Lookup!J:N,5,0)</f>
        <v>0</v>
      </c>
      <c r="O1032" s="57">
        <f>IFERROR(VLOOKUP(A1032&amp;G1032,Lookup!J:K,2,0),"")</f>
        <v>0</v>
      </c>
      <c r="P1032" s="110" t="str">
        <f t="shared" si="76"/>
        <v/>
      </c>
      <c r="T1032" s="59" t="e">
        <f t="shared" si="74"/>
        <v>#VALUE!</v>
      </c>
      <c r="U1032" s="59"/>
      <c r="X1032" s="60" t="str">
        <f t="shared" si="75"/>
        <v>D</v>
      </c>
    </row>
    <row r="1033" spans="2:24" x14ac:dyDescent="0.25">
      <c r="B1033" s="54" t="str">
        <f>IFERROR(VLOOKUP(A1033,Lookup!A:B,2,0),"")</f>
        <v/>
      </c>
      <c r="C1033" s="54" t="str">
        <f>IFERROR(VLOOKUP(A1033,Lookup!A:C,3,0),"")</f>
        <v/>
      </c>
      <c r="J1033" s="103">
        <f>VLOOKUP(A1033&amp;G1033,Lookup!J:N,5,0)</f>
        <v>0</v>
      </c>
      <c r="O1033" s="57">
        <f>IFERROR(VLOOKUP(A1033&amp;G1033,Lookup!J:K,2,0),"")</f>
        <v>0</v>
      </c>
      <c r="P1033" s="110" t="str">
        <f t="shared" si="76"/>
        <v/>
      </c>
      <c r="T1033" s="59" t="e">
        <f t="shared" si="74"/>
        <v>#VALUE!</v>
      </c>
      <c r="U1033" s="59"/>
      <c r="X1033" s="60" t="str">
        <f t="shared" si="75"/>
        <v>D</v>
      </c>
    </row>
    <row r="1034" spans="2:24" x14ac:dyDescent="0.25">
      <c r="B1034" s="54" t="str">
        <f>IFERROR(VLOOKUP(A1034,Lookup!A:B,2,0),"")</f>
        <v/>
      </c>
      <c r="C1034" s="54" t="str">
        <f>IFERROR(VLOOKUP(A1034,Lookup!A:C,3,0),"")</f>
        <v/>
      </c>
      <c r="J1034" s="103">
        <f>VLOOKUP(A1034&amp;G1034,Lookup!J:N,5,0)</f>
        <v>0</v>
      </c>
      <c r="O1034" s="57">
        <f>IFERROR(VLOOKUP(A1034&amp;G1034,Lookup!J:K,2,0),"")</f>
        <v>0</v>
      </c>
      <c r="P1034" s="110" t="str">
        <f t="shared" si="76"/>
        <v/>
      </c>
      <c r="T1034" s="59" t="e">
        <f t="shared" si="74"/>
        <v>#VALUE!</v>
      </c>
      <c r="U1034" s="59"/>
      <c r="X1034" s="60" t="str">
        <f t="shared" si="75"/>
        <v>D</v>
      </c>
    </row>
    <row r="1035" spans="2:24" x14ac:dyDescent="0.25">
      <c r="B1035" s="54" t="str">
        <f>IFERROR(VLOOKUP(A1035,Lookup!A:B,2,0),"")</f>
        <v/>
      </c>
      <c r="C1035" s="54" t="str">
        <f>IFERROR(VLOOKUP(A1035,Lookup!A:C,3,0),"")</f>
        <v/>
      </c>
      <c r="J1035" s="103">
        <f>VLOOKUP(A1035&amp;G1035,Lookup!J:N,5,0)</f>
        <v>0</v>
      </c>
      <c r="O1035" s="57">
        <f>IFERROR(VLOOKUP(A1035&amp;G1035,Lookup!J:K,2,0),"")</f>
        <v>0</v>
      </c>
      <c r="P1035" s="110" t="str">
        <f t="shared" si="76"/>
        <v/>
      </c>
      <c r="T1035" s="59" t="e">
        <f t="shared" si="74"/>
        <v>#VALUE!</v>
      </c>
      <c r="U1035" s="59"/>
      <c r="X1035" s="60" t="str">
        <f t="shared" si="75"/>
        <v>D</v>
      </c>
    </row>
    <row r="1036" spans="2:24" x14ac:dyDescent="0.25">
      <c r="B1036" s="54" t="str">
        <f>IFERROR(VLOOKUP(A1036,Lookup!A:B,2,0),"")</f>
        <v/>
      </c>
      <c r="C1036" s="54" t="str">
        <f>IFERROR(VLOOKUP(A1036,Lookup!A:C,3,0),"")</f>
        <v/>
      </c>
      <c r="J1036" s="103">
        <f>VLOOKUP(A1036&amp;G1036,Lookup!J:N,5,0)</f>
        <v>0</v>
      </c>
      <c r="O1036" s="57">
        <f>IFERROR(VLOOKUP(A1036&amp;G1036,Lookup!J:K,2,0),"")</f>
        <v>0</v>
      </c>
      <c r="P1036" s="110" t="str">
        <f t="shared" si="76"/>
        <v/>
      </c>
      <c r="T1036" s="59" t="e">
        <f t="shared" si="74"/>
        <v>#VALUE!</v>
      </c>
      <c r="U1036" s="59"/>
      <c r="X1036" s="60" t="str">
        <f t="shared" si="75"/>
        <v>D</v>
      </c>
    </row>
    <row r="1037" spans="2:24" x14ac:dyDescent="0.25">
      <c r="B1037" s="54" t="str">
        <f>IFERROR(VLOOKUP(A1037,Lookup!A:B,2,0),"")</f>
        <v/>
      </c>
      <c r="C1037" s="54" t="str">
        <f>IFERROR(VLOOKUP(A1037,Lookup!A:C,3,0),"")</f>
        <v/>
      </c>
      <c r="J1037" s="103">
        <f>VLOOKUP(A1037&amp;G1037,Lookup!J:N,5,0)</f>
        <v>0</v>
      </c>
      <c r="O1037" s="57">
        <f>IFERROR(VLOOKUP(A1037&amp;G1037,Lookup!J:K,2,0),"")</f>
        <v>0</v>
      </c>
      <c r="P1037" s="110" t="str">
        <f t="shared" si="76"/>
        <v/>
      </c>
      <c r="T1037" s="59" t="e">
        <f t="shared" si="74"/>
        <v>#VALUE!</v>
      </c>
      <c r="U1037" s="59"/>
      <c r="X1037" s="60" t="str">
        <f t="shared" si="75"/>
        <v>D</v>
      </c>
    </row>
    <row r="1038" spans="2:24" x14ac:dyDescent="0.25">
      <c r="B1038" s="54" t="str">
        <f>IFERROR(VLOOKUP(A1038,Lookup!A:B,2,0),"")</f>
        <v/>
      </c>
      <c r="C1038" s="54" t="str">
        <f>IFERROR(VLOOKUP(A1038,Lookup!A:C,3,0),"")</f>
        <v/>
      </c>
      <c r="J1038" s="103">
        <f>VLOOKUP(A1038&amp;G1038,Lookup!J:N,5,0)</f>
        <v>0</v>
      </c>
      <c r="O1038" s="57">
        <f>IFERROR(VLOOKUP(A1038&amp;G1038,Lookup!J:K,2,0),"")</f>
        <v>0</v>
      </c>
      <c r="P1038" s="110" t="str">
        <f t="shared" si="76"/>
        <v/>
      </c>
      <c r="T1038" s="59" t="e">
        <f t="shared" ref="T1038:T1101" si="77">IF(Q1038-P1038&gt;0.0415,"YES",(IF(OR(EXACT(Q1038,""), EXACT(P1038,"")),"","NO")))</f>
        <v>#VALUE!</v>
      </c>
      <c r="U1038" s="59"/>
      <c r="X1038" s="60" t="str">
        <f t="shared" si="75"/>
        <v>D</v>
      </c>
    </row>
    <row r="1039" spans="2:24" x14ac:dyDescent="0.25">
      <c r="B1039" s="54" t="str">
        <f>IFERROR(VLOOKUP(A1039,Lookup!A:B,2,0),"")</f>
        <v/>
      </c>
      <c r="C1039" s="54" t="str">
        <f>IFERROR(VLOOKUP(A1039,Lookup!A:C,3,0),"")</f>
        <v/>
      </c>
      <c r="J1039" s="103">
        <f>VLOOKUP(A1039&amp;G1039,Lookup!J:N,5,0)</f>
        <v>0</v>
      </c>
      <c r="O1039" s="57">
        <f>IFERROR(VLOOKUP(A1039&amp;G1039,Lookup!J:K,2,0),"")</f>
        <v>0</v>
      </c>
      <c r="P1039" s="110" t="str">
        <f t="shared" si="76"/>
        <v/>
      </c>
      <c r="T1039" s="59" t="e">
        <f t="shared" si="77"/>
        <v>#VALUE!</v>
      </c>
      <c r="U1039" s="59"/>
      <c r="X1039" s="60" t="str">
        <f t="shared" si="75"/>
        <v>D</v>
      </c>
    </row>
    <row r="1040" spans="2:24" x14ac:dyDescent="0.25">
      <c r="B1040" s="54" t="str">
        <f>IFERROR(VLOOKUP(A1040,Lookup!A:B,2,0),"")</f>
        <v/>
      </c>
      <c r="C1040" s="54" t="str">
        <f>IFERROR(VLOOKUP(A1040,Lookup!A:C,3,0),"")</f>
        <v/>
      </c>
      <c r="J1040" s="103">
        <f>VLOOKUP(A1040&amp;G1040,Lookup!J:N,5,0)</f>
        <v>0</v>
      </c>
      <c r="O1040" s="57">
        <f>IFERROR(VLOOKUP(A1040&amp;G1040,Lookup!J:K,2,0),"")</f>
        <v>0</v>
      </c>
      <c r="P1040" s="110" t="str">
        <f t="shared" si="76"/>
        <v/>
      </c>
      <c r="T1040" s="59" t="e">
        <f t="shared" si="77"/>
        <v>#VALUE!</v>
      </c>
      <c r="U1040" s="59"/>
      <c r="X1040" s="60" t="str">
        <f t="shared" si="75"/>
        <v>D</v>
      </c>
    </row>
    <row r="1041" spans="2:24" x14ac:dyDescent="0.25">
      <c r="B1041" s="54" t="str">
        <f>IFERROR(VLOOKUP(A1041,Lookup!A:B,2,0),"")</f>
        <v/>
      </c>
      <c r="C1041" s="54" t="str">
        <f>IFERROR(VLOOKUP(A1041,Lookup!A:C,3,0),"")</f>
        <v/>
      </c>
      <c r="J1041" s="103">
        <f>VLOOKUP(A1041&amp;G1041,Lookup!J:N,5,0)</f>
        <v>0</v>
      </c>
      <c r="O1041" s="57">
        <f>IFERROR(VLOOKUP(A1041&amp;G1041,Lookup!J:K,2,0),"")</f>
        <v>0</v>
      </c>
      <c r="P1041" s="110" t="str">
        <f t="shared" si="76"/>
        <v/>
      </c>
      <c r="T1041" s="59" t="e">
        <f t="shared" si="77"/>
        <v>#VALUE!</v>
      </c>
      <c r="U1041" s="59"/>
      <c r="X1041" s="60" t="str">
        <f t="shared" si="75"/>
        <v>D</v>
      </c>
    </row>
    <row r="1042" spans="2:24" x14ac:dyDescent="0.25">
      <c r="B1042" s="54" t="str">
        <f>IFERROR(VLOOKUP(A1042,Lookup!A:B,2,0),"")</f>
        <v/>
      </c>
      <c r="C1042" s="54" t="str">
        <f>IFERROR(VLOOKUP(A1042,Lookup!A:C,3,0),"")</f>
        <v/>
      </c>
      <c r="J1042" s="103">
        <f>VLOOKUP(A1042&amp;G1042,Lookup!J:N,5,0)</f>
        <v>0</v>
      </c>
      <c r="O1042" s="57">
        <f>IFERROR(VLOOKUP(A1042&amp;G1042,Lookup!J:K,2,0),"")</f>
        <v>0</v>
      </c>
      <c r="P1042" s="110" t="str">
        <f t="shared" si="76"/>
        <v/>
      </c>
      <c r="T1042" s="59" t="e">
        <f t="shared" si="77"/>
        <v>#VALUE!</v>
      </c>
      <c r="U1042" s="59"/>
      <c r="X1042" s="60" t="str">
        <f t="shared" si="75"/>
        <v>D</v>
      </c>
    </row>
    <row r="1043" spans="2:24" x14ac:dyDescent="0.25">
      <c r="B1043" s="54" t="str">
        <f>IFERROR(VLOOKUP(A1043,Lookup!A:B,2,0),"")</f>
        <v/>
      </c>
      <c r="C1043" s="54" t="str">
        <f>IFERROR(VLOOKUP(A1043,Lookup!A:C,3,0),"")</f>
        <v/>
      </c>
      <c r="J1043" s="103">
        <f>VLOOKUP(A1043&amp;G1043,Lookup!J:N,5,0)</f>
        <v>0</v>
      </c>
      <c r="O1043" s="57">
        <f>IFERROR(VLOOKUP(A1043&amp;G1043,Lookup!J:K,2,0),"")</f>
        <v>0</v>
      </c>
      <c r="P1043" s="110" t="str">
        <f t="shared" si="76"/>
        <v/>
      </c>
      <c r="T1043" s="59" t="e">
        <f t="shared" si="77"/>
        <v>#VALUE!</v>
      </c>
      <c r="U1043" s="59"/>
      <c r="X1043" s="60" t="str">
        <f t="shared" si="75"/>
        <v>D</v>
      </c>
    </row>
    <row r="1044" spans="2:24" x14ac:dyDescent="0.25">
      <c r="B1044" s="54" t="str">
        <f>IFERROR(VLOOKUP(A1044,Lookup!A:B,2,0),"")</f>
        <v/>
      </c>
      <c r="C1044" s="54" t="str">
        <f>IFERROR(VLOOKUP(A1044,Lookup!A:C,3,0),"")</f>
        <v/>
      </c>
      <c r="J1044" s="103">
        <f>VLOOKUP(A1044&amp;G1044,Lookup!J:N,5,0)</f>
        <v>0</v>
      </c>
      <c r="O1044" s="57">
        <f>IFERROR(VLOOKUP(A1044&amp;G1044,Lookup!J:K,2,0),"")</f>
        <v>0</v>
      </c>
      <c r="P1044" s="110" t="str">
        <f t="shared" si="76"/>
        <v/>
      </c>
      <c r="T1044" s="59" t="e">
        <f t="shared" si="77"/>
        <v>#VALUE!</v>
      </c>
      <c r="U1044" s="59"/>
      <c r="X1044" s="60" t="str">
        <f t="shared" si="75"/>
        <v>D</v>
      </c>
    </row>
    <row r="1045" spans="2:24" x14ac:dyDescent="0.25">
      <c r="B1045" s="54" t="str">
        <f>IFERROR(VLOOKUP(A1045,Lookup!A:B,2,0),"")</f>
        <v/>
      </c>
      <c r="C1045" s="54" t="str">
        <f>IFERROR(VLOOKUP(A1045,Lookup!A:C,3,0),"")</f>
        <v/>
      </c>
      <c r="J1045" s="103">
        <f>VLOOKUP(A1045&amp;G1045,Lookup!J:N,5,0)</f>
        <v>0</v>
      </c>
      <c r="O1045" s="57">
        <f>IFERROR(VLOOKUP(A1045&amp;G1045,Lookup!J:K,2,0),"")</f>
        <v>0</v>
      </c>
      <c r="P1045" s="110" t="str">
        <f t="shared" si="76"/>
        <v/>
      </c>
      <c r="T1045" s="59" t="e">
        <f t="shared" si="77"/>
        <v>#VALUE!</v>
      </c>
      <c r="U1045" s="59"/>
      <c r="X1045" s="60" t="str">
        <f t="shared" si="75"/>
        <v>D</v>
      </c>
    </row>
    <row r="1046" spans="2:24" x14ac:dyDescent="0.25">
      <c r="B1046" s="54" t="str">
        <f>IFERROR(VLOOKUP(A1046,Lookup!A:B,2,0),"")</f>
        <v/>
      </c>
      <c r="C1046" s="54" t="str">
        <f>IFERROR(VLOOKUP(A1046,Lookup!A:C,3,0),"")</f>
        <v/>
      </c>
      <c r="J1046" s="103">
        <f>VLOOKUP(A1046&amp;G1046,Lookup!J:N,5,0)</f>
        <v>0</v>
      </c>
      <c r="O1046" s="57">
        <f>IFERROR(VLOOKUP(A1046&amp;G1046,Lookup!J:K,2,0),"")</f>
        <v>0</v>
      </c>
      <c r="P1046" s="110" t="str">
        <f t="shared" si="76"/>
        <v/>
      </c>
      <c r="T1046" s="59" t="e">
        <f t="shared" si="77"/>
        <v>#VALUE!</v>
      </c>
      <c r="U1046" s="59"/>
      <c r="X1046" s="60" t="str">
        <f t="shared" si="75"/>
        <v>D</v>
      </c>
    </row>
    <row r="1047" spans="2:24" x14ac:dyDescent="0.25">
      <c r="B1047" s="54" t="str">
        <f>IFERROR(VLOOKUP(A1047,Lookup!A:B,2,0),"")</f>
        <v/>
      </c>
      <c r="C1047" s="54" t="str">
        <f>IFERROR(VLOOKUP(A1047,Lookup!A:C,3,0),"")</f>
        <v/>
      </c>
      <c r="J1047" s="103">
        <f>VLOOKUP(A1047&amp;G1047,Lookup!J:N,5,0)</f>
        <v>0</v>
      </c>
      <c r="O1047" s="57">
        <f>IFERROR(VLOOKUP(A1047&amp;G1047,Lookup!J:K,2,0),"")</f>
        <v>0</v>
      </c>
      <c r="P1047" s="110" t="str">
        <f t="shared" si="76"/>
        <v/>
      </c>
      <c r="T1047" s="59" t="e">
        <f t="shared" si="77"/>
        <v>#VALUE!</v>
      </c>
      <c r="U1047" s="59"/>
      <c r="X1047" s="60" t="str">
        <f t="shared" si="75"/>
        <v>D</v>
      </c>
    </row>
    <row r="1048" spans="2:24" x14ac:dyDescent="0.25">
      <c r="B1048" s="54" t="str">
        <f>IFERROR(VLOOKUP(A1048,Lookup!A:B,2,0),"")</f>
        <v/>
      </c>
      <c r="C1048" s="54" t="str">
        <f>IFERROR(VLOOKUP(A1048,Lookup!A:C,3,0),"")</f>
        <v/>
      </c>
      <c r="J1048" s="103">
        <f>VLOOKUP(A1048&amp;G1048,Lookup!J:N,5,0)</f>
        <v>0</v>
      </c>
      <c r="O1048" s="57">
        <f>IFERROR(VLOOKUP(A1048&amp;G1048,Lookup!J:K,2,0),"")</f>
        <v>0</v>
      </c>
      <c r="P1048" s="110" t="str">
        <f t="shared" si="76"/>
        <v/>
      </c>
      <c r="T1048" s="59" t="e">
        <f t="shared" si="77"/>
        <v>#VALUE!</v>
      </c>
      <c r="U1048" s="59"/>
      <c r="X1048" s="60" t="str">
        <f t="shared" si="75"/>
        <v>D</v>
      </c>
    </row>
    <row r="1049" spans="2:24" x14ac:dyDescent="0.25">
      <c r="B1049" s="54" t="str">
        <f>IFERROR(VLOOKUP(A1049,Lookup!A:B,2,0),"")</f>
        <v/>
      </c>
      <c r="C1049" s="54" t="str">
        <f>IFERROR(VLOOKUP(A1049,Lookup!A:C,3,0),"")</f>
        <v/>
      </c>
      <c r="J1049" s="103">
        <f>VLOOKUP(A1049&amp;G1049,Lookup!J:N,5,0)</f>
        <v>0</v>
      </c>
      <c r="O1049" s="57">
        <f>IFERROR(VLOOKUP(A1049&amp;G1049,Lookup!J:K,2,0),"")</f>
        <v>0</v>
      </c>
      <c r="P1049" s="110" t="str">
        <f t="shared" si="76"/>
        <v/>
      </c>
      <c r="T1049" s="59" t="e">
        <f t="shared" si="77"/>
        <v>#VALUE!</v>
      </c>
      <c r="U1049" s="59"/>
      <c r="X1049" s="60" t="str">
        <f t="shared" si="75"/>
        <v>D</v>
      </c>
    </row>
    <row r="1050" spans="2:24" x14ac:dyDescent="0.25">
      <c r="B1050" s="54" t="str">
        <f>IFERROR(VLOOKUP(A1050,Lookup!A:B,2,0),"")</f>
        <v/>
      </c>
      <c r="C1050" s="54" t="str">
        <f>IFERROR(VLOOKUP(A1050,Lookup!A:C,3,0),"")</f>
        <v/>
      </c>
      <c r="J1050" s="103">
        <f>VLOOKUP(A1050&amp;G1050,Lookup!J:N,5,0)</f>
        <v>0</v>
      </c>
      <c r="O1050" s="57">
        <f>IFERROR(VLOOKUP(A1050&amp;G1050,Lookup!J:K,2,0),"")</f>
        <v>0</v>
      </c>
      <c r="P1050" s="110" t="str">
        <f t="shared" si="76"/>
        <v/>
      </c>
      <c r="T1050" s="59" t="e">
        <f t="shared" si="77"/>
        <v>#VALUE!</v>
      </c>
      <c r="U1050" s="59"/>
      <c r="X1050" s="60" t="str">
        <f t="shared" si="75"/>
        <v>D</v>
      </c>
    </row>
    <row r="1051" spans="2:24" x14ac:dyDescent="0.25">
      <c r="B1051" s="54" t="str">
        <f>IFERROR(VLOOKUP(A1051,Lookup!A:B,2,0),"")</f>
        <v/>
      </c>
      <c r="C1051" s="54" t="str">
        <f>IFERROR(VLOOKUP(A1051,Lookup!A:C,3,0),"")</f>
        <v/>
      </c>
      <c r="J1051" s="103">
        <f>VLOOKUP(A1051&amp;G1051,Lookup!J:N,5,0)</f>
        <v>0</v>
      </c>
      <c r="O1051" s="57">
        <f>IFERROR(VLOOKUP(A1051&amp;G1051,Lookup!J:K,2,0),"")</f>
        <v>0</v>
      </c>
      <c r="P1051" s="110" t="str">
        <f t="shared" si="76"/>
        <v/>
      </c>
      <c r="T1051" s="59" t="e">
        <f t="shared" si="77"/>
        <v>#VALUE!</v>
      </c>
      <c r="U1051" s="59"/>
      <c r="X1051" s="60" t="str">
        <f t="shared" si="75"/>
        <v>D</v>
      </c>
    </row>
    <row r="1052" spans="2:24" x14ac:dyDescent="0.25">
      <c r="B1052" s="54" t="str">
        <f>IFERROR(VLOOKUP(A1052,Lookup!A:B,2,0),"")</f>
        <v/>
      </c>
      <c r="C1052" s="54" t="str">
        <f>IFERROR(VLOOKUP(A1052,Lookup!A:C,3,0),"")</f>
        <v/>
      </c>
      <c r="J1052" s="103">
        <f>VLOOKUP(A1052&amp;G1052,Lookup!J:N,5,0)</f>
        <v>0</v>
      </c>
      <c r="O1052" s="57">
        <f>IFERROR(VLOOKUP(A1052&amp;G1052,Lookup!J:K,2,0),"")</f>
        <v>0</v>
      </c>
      <c r="P1052" s="110" t="str">
        <f t="shared" si="76"/>
        <v/>
      </c>
      <c r="T1052" s="59" t="e">
        <f t="shared" si="77"/>
        <v>#VALUE!</v>
      </c>
      <c r="U1052" s="59"/>
      <c r="X1052" s="60" t="str">
        <f t="shared" si="75"/>
        <v>D</v>
      </c>
    </row>
    <row r="1053" spans="2:24" x14ac:dyDescent="0.25">
      <c r="B1053" s="54" t="str">
        <f>IFERROR(VLOOKUP(A1053,Lookup!A:B,2,0),"")</f>
        <v/>
      </c>
      <c r="C1053" s="54" t="str">
        <f>IFERROR(VLOOKUP(A1053,Lookup!A:C,3,0),"")</f>
        <v/>
      </c>
      <c r="J1053" s="103">
        <f>VLOOKUP(A1053&amp;G1053,Lookup!J:N,5,0)</f>
        <v>0</v>
      </c>
      <c r="O1053" s="57">
        <f>IFERROR(VLOOKUP(A1053&amp;G1053,Lookup!J:K,2,0),"")</f>
        <v>0</v>
      </c>
      <c r="P1053" s="110" t="str">
        <f t="shared" si="76"/>
        <v/>
      </c>
      <c r="T1053" s="59" t="e">
        <f t="shared" si="77"/>
        <v>#VALUE!</v>
      </c>
      <c r="U1053" s="59"/>
      <c r="X1053" s="60" t="str">
        <f t="shared" si="75"/>
        <v>D</v>
      </c>
    </row>
    <row r="1054" spans="2:24" x14ac:dyDescent="0.25">
      <c r="B1054" s="54" t="str">
        <f>IFERROR(VLOOKUP(A1054,Lookup!A:B,2,0),"")</f>
        <v/>
      </c>
      <c r="C1054" s="54" t="str">
        <f>IFERROR(VLOOKUP(A1054,Lookup!A:C,3,0),"")</f>
        <v/>
      </c>
      <c r="J1054" s="103">
        <f>VLOOKUP(A1054&amp;G1054,Lookup!J:N,5,0)</f>
        <v>0</v>
      </c>
      <c r="O1054" s="57">
        <f>IFERROR(VLOOKUP(A1054&amp;G1054,Lookup!J:K,2,0),"")</f>
        <v>0</v>
      </c>
      <c r="P1054" s="110" t="str">
        <f t="shared" si="76"/>
        <v/>
      </c>
      <c r="T1054" s="59" t="e">
        <f t="shared" si="77"/>
        <v>#VALUE!</v>
      </c>
      <c r="U1054" s="59"/>
      <c r="X1054" s="60" t="str">
        <f t="shared" si="75"/>
        <v>D</v>
      </c>
    </row>
    <row r="1055" spans="2:24" x14ac:dyDescent="0.25">
      <c r="B1055" s="54" t="str">
        <f>IFERROR(VLOOKUP(A1055,Lookup!A:B,2,0),"")</f>
        <v/>
      </c>
      <c r="C1055" s="54" t="str">
        <f>IFERROR(VLOOKUP(A1055,Lookup!A:C,3,0),"")</f>
        <v/>
      </c>
      <c r="J1055" s="103">
        <f>VLOOKUP(A1055&amp;G1055,Lookup!J:N,5,0)</f>
        <v>0</v>
      </c>
      <c r="O1055" s="57">
        <f>IFERROR(VLOOKUP(A1055&amp;G1055,Lookup!J:K,2,0),"")</f>
        <v>0</v>
      </c>
      <c r="P1055" s="110" t="str">
        <f t="shared" si="76"/>
        <v/>
      </c>
      <c r="T1055" s="59" t="e">
        <f t="shared" si="77"/>
        <v>#VALUE!</v>
      </c>
      <c r="U1055" s="59"/>
      <c r="X1055" s="60" t="str">
        <f t="shared" si="75"/>
        <v>D</v>
      </c>
    </row>
    <row r="1056" spans="2:24" x14ac:dyDescent="0.25">
      <c r="B1056" s="54" t="str">
        <f>IFERROR(VLOOKUP(A1056,Lookup!A:B,2,0),"")</f>
        <v/>
      </c>
      <c r="C1056" s="54" t="str">
        <f>IFERROR(VLOOKUP(A1056,Lookup!A:C,3,0),"")</f>
        <v/>
      </c>
      <c r="J1056" s="103">
        <f>VLOOKUP(A1056&amp;G1056,Lookup!J:N,5,0)</f>
        <v>0</v>
      </c>
      <c r="O1056" s="57">
        <f>IFERROR(VLOOKUP(A1056&amp;G1056,Lookup!J:K,2,0),"")</f>
        <v>0</v>
      </c>
      <c r="P1056" s="110" t="str">
        <f t="shared" si="76"/>
        <v/>
      </c>
      <c r="T1056" s="59" t="e">
        <f t="shared" si="77"/>
        <v>#VALUE!</v>
      </c>
      <c r="U1056" s="59"/>
      <c r="X1056" s="60" t="str">
        <f t="shared" si="75"/>
        <v>D</v>
      </c>
    </row>
    <row r="1057" spans="2:24" x14ac:dyDescent="0.25">
      <c r="B1057" s="54" t="str">
        <f>IFERROR(VLOOKUP(A1057,Lookup!A:B,2,0),"")</f>
        <v/>
      </c>
      <c r="C1057" s="54" t="str">
        <f>IFERROR(VLOOKUP(A1057,Lookup!A:C,3,0),"")</f>
        <v/>
      </c>
      <c r="J1057" s="103">
        <f>VLOOKUP(A1057&amp;G1057,Lookup!J:N,5,0)</f>
        <v>0</v>
      </c>
      <c r="O1057" s="57">
        <f>IFERROR(VLOOKUP(A1057&amp;G1057,Lookup!J:K,2,0),"")</f>
        <v>0</v>
      </c>
      <c r="P1057" s="110" t="str">
        <f t="shared" si="76"/>
        <v/>
      </c>
      <c r="T1057" s="59" t="e">
        <f t="shared" si="77"/>
        <v>#VALUE!</v>
      </c>
      <c r="U1057" s="59"/>
      <c r="X1057" s="60" t="str">
        <f t="shared" si="75"/>
        <v>D</v>
      </c>
    </row>
    <row r="1058" spans="2:24" x14ac:dyDescent="0.25">
      <c r="B1058" s="54" t="str">
        <f>IFERROR(VLOOKUP(A1058,Lookup!A:B,2,0),"")</f>
        <v/>
      </c>
      <c r="C1058" s="54" t="str">
        <f>IFERROR(VLOOKUP(A1058,Lookup!A:C,3,0),"")</f>
        <v/>
      </c>
      <c r="J1058" s="103">
        <f>VLOOKUP(A1058&amp;G1058,Lookup!J:N,5,0)</f>
        <v>0</v>
      </c>
      <c r="O1058" s="57">
        <f>IFERROR(VLOOKUP(A1058&amp;G1058,Lookup!J:K,2,0),"")</f>
        <v>0</v>
      </c>
      <c r="P1058" s="110" t="str">
        <f t="shared" si="76"/>
        <v/>
      </c>
      <c r="T1058" s="59" t="e">
        <f t="shared" si="77"/>
        <v>#VALUE!</v>
      </c>
      <c r="U1058" s="59"/>
      <c r="X1058" s="60" t="str">
        <f t="shared" si="75"/>
        <v>D</v>
      </c>
    </row>
    <row r="1059" spans="2:24" x14ac:dyDescent="0.25">
      <c r="B1059" s="54" t="str">
        <f>IFERROR(VLOOKUP(A1059,Lookup!A:B,2,0),"")</f>
        <v/>
      </c>
      <c r="C1059" s="54" t="str">
        <f>IFERROR(VLOOKUP(A1059,Lookup!A:C,3,0),"")</f>
        <v/>
      </c>
      <c r="J1059" s="103">
        <f>VLOOKUP(A1059&amp;G1059,Lookup!J:N,5,0)</f>
        <v>0</v>
      </c>
      <c r="O1059" s="57">
        <f>IFERROR(VLOOKUP(A1059&amp;G1059,Lookup!J:K,2,0),"")</f>
        <v>0</v>
      </c>
      <c r="P1059" s="110" t="str">
        <f t="shared" si="76"/>
        <v/>
      </c>
      <c r="T1059" s="59" t="e">
        <f t="shared" si="77"/>
        <v>#VALUE!</v>
      </c>
      <c r="U1059" s="59"/>
      <c r="X1059" s="60" t="str">
        <f t="shared" si="75"/>
        <v>D</v>
      </c>
    </row>
    <row r="1060" spans="2:24" x14ac:dyDescent="0.25">
      <c r="B1060" s="54" t="str">
        <f>IFERROR(VLOOKUP(A1060,Lookup!A:B,2,0),"")</f>
        <v/>
      </c>
      <c r="C1060" s="54" t="str">
        <f>IFERROR(VLOOKUP(A1060,Lookup!A:C,3,0),"")</f>
        <v/>
      </c>
      <c r="J1060" s="103">
        <f>VLOOKUP(A1060&amp;G1060,Lookup!J:N,5,0)</f>
        <v>0</v>
      </c>
      <c r="O1060" s="57">
        <f>IFERROR(VLOOKUP(A1060&amp;G1060,Lookup!J:K,2,0),"")</f>
        <v>0</v>
      </c>
      <c r="P1060" s="110" t="str">
        <f t="shared" si="76"/>
        <v/>
      </c>
      <c r="T1060" s="59" t="e">
        <f t="shared" si="77"/>
        <v>#VALUE!</v>
      </c>
      <c r="U1060" s="59"/>
      <c r="X1060" s="60" t="str">
        <f t="shared" si="75"/>
        <v>D</v>
      </c>
    </row>
    <row r="1061" spans="2:24" x14ac:dyDescent="0.25">
      <c r="B1061" s="54" t="str">
        <f>IFERROR(VLOOKUP(A1061,Lookup!A:B,2,0),"")</f>
        <v/>
      </c>
      <c r="C1061" s="54" t="str">
        <f>IFERROR(VLOOKUP(A1061,Lookup!A:C,3,0),"")</f>
        <v/>
      </c>
      <c r="J1061" s="103">
        <f>VLOOKUP(A1061&amp;G1061,Lookup!J:N,5,0)</f>
        <v>0</v>
      </c>
      <c r="O1061" s="57">
        <f>IFERROR(VLOOKUP(A1061&amp;G1061,Lookup!J:K,2,0),"")</f>
        <v>0</v>
      </c>
      <c r="P1061" s="110" t="str">
        <f t="shared" si="76"/>
        <v/>
      </c>
      <c r="T1061" s="59" t="e">
        <f t="shared" si="77"/>
        <v>#VALUE!</v>
      </c>
      <c r="U1061" s="59"/>
      <c r="X1061" s="60" t="str">
        <f t="shared" si="75"/>
        <v>D</v>
      </c>
    </row>
    <row r="1062" spans="2:24" x14ac:dyDescent="0.25">
      <c r="B1062" s="54" t="str">
        <f>IFERROR(VLOOKUP(A1062,Lookup!A:B,2,0),"")</f>
        <v/>
      </c>
      <c r="C1062" s="54" t="str">
        <f>IFERROR(VLOOKUP(A1062,Lookup!A:C,3,0),"")</f>
        <v/>
      </c>
      <c r="J1062" s="103">
        <f>VLOOKUP(A1062&amp;G1062,Lookup!J:N,5,0)</f>
        <v>0</v>
      </c>
      <c r="O1062" s="57">
        <f>IFERROR(VLOOKUP(A1062&amp;G1062,Lookup!J:K,2,0),"")</f>
        <v>0</v>
      </c>
      <c r="P1062" s="110" t="str">
        <f t="shared" si="76"/>
        <v/>
      </c>
      <c r="T1062" s="59" t="e">
        <f t="shared" si="77"/>
        <v>#VALUE!</v>
      </c>
      <c r="U1062" s="59"/>
      <c r="X1062" s="60" t="str">
        <f t="shared" si="75"/>
        <v>D</v>
      </c>
    </row>
    <row r="1063" spans="2:24" x14ac:dyDescent="0.25">
      <c r="B1063" s="54" t="str">
        <f>IFERROR(VLOOKUP(A1063,Lookup!A:B,2,0),"")</f>
        <v/>
      </c>
      <c r="C1063" s="54" t="str">
        <f>IFERROR(VLOOKUP(A1063,Lookup!A:C,3,0),"")</f>
        <v/>
      </c>
      <c r="J1063" s="103">
        <f>VLOOKUP(A1063&amp;G1063,Lookup!J:N,5,0)</f>
        <v>0</v>
      </c>
      <c r="O1063" s="57">
        <f>IFERROR(VLOOKUP(A1063&amp;G1063,Lookup!J:K,2,0),"")</f>
        <v>0</v>
      </c>
      <c r="P1063" s="110" t="str">
        <f t="shared" si="76"/>
        <v/>
      </c>
      <c r="T1063" s="59" t="e">
        <f t="shared" si="77"/>
        <v>#VALUE!</v>
      </c>
      <c r="U1063" s="59"/>
      <c r="X1063" s="60" t="str">
        <f t="shared" si="75"/>
        <v>D</v>
      </c>
    </row>
    <row r="1064" spans="2:24" x14ac:dyDescent="0.25">
      <c r="B1064" s="54" t="str">
        <f>IFERROR(VLOOKUP(A1064,Lookup!A:B,2,0),"")</f>
        <v/>
      </c>
      <c r="C1064" s="54" t="str">
        <f>IFERROR(VLOOKUP(A1064,Lookup!A:C,3,0),"")</f>
        <v/>
      </c>
      <c r="J1064" s="103">
        <f>VLOOKUP(A1064&amp;G1064,Lookup!J:N,5,0)</f>
        <v>0</v>
      </c>
      <c r="O1064" s="57">
        <f>IFERROR(VLOOKUP(A1064&amp;G1064,Lookup!J:K,2,0),"")</f>
        <v>0</v>
      </c>
      <c r="P1064" s="110" t="str">
        <f t="shared" si="76"/>
        <v/>
      </c>
      <c r="T1064" s="59" t="e">
        <f t="shared" si="77"/>
        <v>#VALUE!</v>
      </c>
      <c r="U1064" s="59"/>
      <c r="X1064" s="60" t="str">
        <f t="shared" si="75"/>
        <v>D</v>
      </c>
    </row>
    <row r="1065" spans="2:24" x14ac:dyDescent="0.25">
      <c r="B1065" s="54" t="str">
        <f>IFERROR(VLOOKUP(A1065,Lookup!A:B,2,0),"")</f>
        <v/>
      </c>
      <c r="C1065" s="54" t="str">
        <f>IFERROR(VLOOKUP(A1065,Lookup!A:C,3,0),"")</f>
        <v/>
      </c>
      <c r="J1065" s="103">
        <f>VLOOKUP(A1065&amp;G1065,Lookup!J:N,5,0)</f>
        <v>0</v>
      </c>
      <c r="O1065" s="57">
        <f>IFERROR(VLOOKUP(A1065&amp;G1065,Lookup!J:K,2,0),"")</f>
        <v>0</v>
      </c>
      <c r="P1065" s="110" t="str">
        <f t="shared" si="76"/>
        <v/>
      </c>
      <c r="T1065" s="59" t="e">
        <f t="shared" si="77"/>
        <v>#VALUE!</v>
      </c>
      <c r="U1065" s="59"/>
      <c r="X1065" s="60" t="str">
        <f t="shared" si="75"/>
        <v>D</v>
      </c>
    </row>
    <row r="1066" spans="2:24" x14ac:dyDescent="0.25">
      <c r="B1066" s="54" t="str">
        <f>IFERROR(VLOOKUP(A1066,Lookup!A:B,2,0),"")</f>
        <v/>
      </c>
      <c r="C1066" s="54" t="str">
        <f>IFERROR(VLOOKUP(A1066,Lookup!A:C,3,0),"")</f>
        <v/>
      </c>
      <c r="J1066" s="103">
        <f>VLOOKUP(A1066&amp;G1066,Lookup!J:N,5,0)</f>
        <v>0</v>
      </c>
      <c r="O1066" s="57">
        <f>IFERROR(VLOOKUP(A1066&amp;G1066,Lookup!J:K,2,0),"")</f>
        <v>0</v>
      </c>
      <c r="P1066" s="110" t="str">
        <f t="shared" si="76"/>
        <v/>
      </c>
      <c r="T1066" s="59" t="e">
        <f t="shared" si="77"/>
        <v>#VALUE!</v>
      </c>
      <c r="U1066" s="59"/>
      <c r="X1066" s="60" t="str">
        <f t="shared" si="75"/>
        <v>D</v>
      </c>
    </row>
    <row r="1067" spans="2:24" x14ac:dyDescent="0.25">
      <c r="B1067" s="54" t="str">
        <f>IFERROR(VLOOKUP(A1067,Lookup!A:B,2,0),"")</f>
        <v/>
      </c>
      <c r="C1067" s="54" t="str">
        <f>IFERROR(VLOOKUP(A1067,Lookup!A:C,3,0),"")</f>
        <v/>
      </c>
      <c r="J1067" s="103">
        <f>VLOOKUP(A1067&amp;G1067,Lookup!J:N,5,0)</f>
        <v>0</v>
      </c>
      <c r="O1067" s="57">
        <f>IFERROR(VLOOKUP(A1067&amp;G1067,Lookup!J:K,2,0),"")</f>
        <v>0</v>
      </c>
      <c r="P1067" s="110" t="str">
        <f t="shared" si="76"/>
        <v/>
      </c>
      <c r="T1067" s="59" t="e">
        <f t="shared" si="77"/>
        <v>#VALUE!</v>
      </c>
      <c r="U1067" s="59"/>
      <c r="X1067" s="60" t="str">
        <f t="shared" si="75"/>
        <v>D</v>
      </c>
    </row>
    <row r="1068" spans="2:24" x14ac:dyDescent="0.25">
      <c r="B1068" s="54" t="str">
        <f>IFERROR(VLOOKUP(A1068,Lookup!A:B,2,0),"")</f>
        <v/>
      </c>
      <c r="C1068" s="54" t="str">
        <f>IFERROR(VLOOKUP(A1068,Lookup!A:C,3,0),"")</f>
        <v/>
      </c>
      <c r="J1068" s="103">
        <f>VLOOKUP(A1068&amp;G1068,Lookup!J:N,5,0)</f>
        <v>0</v>
      </c>
      <c r="O1068" s="57">
        <f>IFERROR(VLOOKUP(A1068&amp;G1068,Lookup!J:K,2,0),"")</f>
        <v>0</v>
      </c>
      <c r="P1068" s="110" t="str">
        <f t="shared" si="76"/>
        <v/>
      </c>
      <c r="T1068" s="59" t="e">
        <f t="shared" si="77"/>
        <v>#VALUE!</v>
      </c>
      <c r="U1068" s="59"/>
      <c r="X1068" s="60" t="str">
        <f t="shared" si="75"/>
        <v>D</v>
      </c>
    </row>
    <row r="1069" spans="2:24" x14ac:dyDescent="0.25">
      <c r="B1069" s="54" t="str">
        <f>IFERROR(VLOOKUP(A1069,Lookup!A:B,2,0),"")</f>
        <v/>
      </c>
      <c r="C1069" s="54" t="str">
        <f>IFERROR(VLOOKUP(A1069,Lookup!A:C,3,0),"")</f>
        <v/>
      </c>
      <c r="J1069" s="103">
        <f>VLOOKUP(A1069&amp;G1069,Lookup!J:N,5,0)</f>
        <v>0</v>
      </c>
      <c r="O1069" s="57">
        <f>IFERROR(VLOOKUP(A1069&amp;G1069,Lookup!J:K,2,0),"")</f>
        <v>0</v>
      </c>
      <c r="P1069" s="110" t="str">
        <f t="shared" si="76"/>
        <v/>
      </c>
      <c r="T1069" s="59" t="e">
        <f t="shared" si="77"/>
        <v>#VALUE!</v>
      </c>
      <c r="U1069" s="59"/>
      <c r="X1069" s="60" t="str">
        <f t="shared" si="75"/>
        <v>D</v>
      </c>
    </row>
    <row r="1070" spans="2:24" x14ac:dyDescent="0.25">
      <c r="B1070" s="54" t="str">
        <f>IFERROR(VLOOKUP(A1070,Lookup!A:B,2,0),"")</f>
        <v/>
      </c>
      <c r="C1070" s="54" t="str">
        <f>IFERROR(VLOOKUP(A1070,Lookup!A:C,3,0),"")</f>
        <v/>
      </c>
      <c r="J1070" s="103">
        <f>VLOOKUP(A1070&amp;G1070,Lookup!J:N,5,0)</f>
        <v>0</v>
      </c>
      <c r="O1070" s="57">
        <f>IFERROR(VLOOKUP(A1070&amp;G1070,Lookup!J:K,2,0),"")</f>
        <v>0</v>
      </c>
      <c r="P1070" s="110" t="str">
        <f t="shared" si="76"/>
        <v/>
      </c>
      <c r="T1070" s="59" t="e">
        <f t="shared" si="77"/>
        <v>#VALUE!</v>
      </c>
      <c r="U1070" s="59"/>
      <c r="X1070" s="60" t="str">
        <f t="shared" ref="X1070:X1096" si="78">IF(I1070="SET","A",IF(I1070="FREQ","C",IF(I1070="","D","B")))</f>
        <v>D</v>
      </c>
    </row>
    <row r="1071" spans="2:24" x14ac:dyDescent="0.25">
      <c r="B1071" s="54" t="str">
        <f>IFERROR(VLOOKUP(A1071,Lookup!A:B,2,0),"")</f>
        <v/>
      </c>
      <c r="C1071" s="54" t="str">
        <f>IFERROR(VLOOKUP(A1071,Lookup!A:C,3,0),"")</f>
        <v/>
      </c>
      <c r="J1071" s="103">
        <f>VLOOKUP(A1071&amp;G1071,Lookup!J:N,5,0)</f>
        <v>0</v>
      </c>
      <c r="O1071" s="57">
        <f>IFERROR(VLOOKUP(A1071&amp;G1071,Lookup!J:K,2,0),"")</f>
        <v>0</v>
      </c>
      <c r="P1071" s="110" t="str">
        <f t="shared" si="76"/>
        <v/>
      </c>
      <c r="T1071" s="59" t="e">
        <f t="shared" si="77"/>
        <v>#VALUE!</v>
      </c>
      <c r="U1071" s="59"/>
      <c r="X1071" s="60" t="str">
        <f t="shared" si="78"/>
        <v>D</v>
      </c>
    </row>
    <row r="1072" spans="2:24" x14ac:dyDescent="0.25">
      <c r="B1072" s="54" t="str">
        <f>IFERROR(VLOOKUP(A1072,Lookup!A:B,2,0),"")</f>
        <v/>
      </c>
      <c r="C1072" s="54" t="str">
        <f>IFERROR(VLOOKUP(A1072,Lookup!A:C,3,0),"")</f>
        <v/>
      </c>
      <c r="J1072" s="103">
        <f>VLOOKUP(A1072&amp;G1072,Lookup!J:N,5,0)</f>
        <v>0</v>
      </c>
      <c r="O1072" s="57">
        <f>IFERROR(VLOOKUP(A1072&amp;G1072,Lookup!J:K,2,0),"")</f>
        <v>0</v>
      </c>
      <c r="P1072" s="110" t="str">
        <f t="shared" si="76"/>
        <v/>
      </c>
      <c r="T1072" s="59" t="e">
        <f t="shared" si="77"/>
        <v>#VALUE!</v>
      </c>
      <c r="U1072" s="59"/>
      <c r="X1072" s="60" t="str">
        <f t="shared" si="78"/>
        <v>D</v>
      </c>
    </row>
    <row r="1073" spans="2:24" x14ac:dyDescent="0.25">
      <c r="B1073" s="54" t="str">
        <f>IFERROR(VLOOKUP(A1073,Lookup!A:B,2,0),"")</f>
        <v/>
      </c>
      <c r="C1073" s="54" t="str">
        <f>IFERROR(VLOOKUP(A1073,Lookup!A:C,3,0),"")</f>
        <v/>
      </c>
      <c r="J1073" s="103">
        <f>VLOOKUP(A1073&amp;G1073,Lookup!J:N,5,0)</f>
        <v>0</v>
      </c>
      <c r="O1073" s="57">
        <f>IFERROR(VLOOKUP(A1073&amp;G1073,Lookup!J:K,2,0),"")</f>
        <v>0</v>
      </c>
      <c r="P1073" s="110" t="str">
        <f t="shared" si="76"/>
        <v/>
      </c>
      <c r="T1073" s="59" t="e">
        <f t="shared" si="77"/>
        <v>#VALUE!</v>
      </c>
      <c r="U1073" s="59"/>
      <c r="X1073" s="60" t="str">
        <f t="shared" si="78"/>
        <v>D</v>
      </c>
    </row>
    <row r="1074" spans="2:24" x14ac:dyDescent="0.25">
      <c r="B1074" s="54" t="str">
        <f>IFERROR(VLOOKUP(A1074,Lookup!A:B,2,0),"")</f>
        <v/>
      </c>
      <c r="C1074" s="54" t="str">
        <f>IFERROR(VLOOKUP(A1074,Lookup!A:C,3,0),"")</f>
        <v/>
      </c>
      <c r="J1074" s="103">
        <f>VLOOKUP(A1074&amp;G1074,Lookup!J:N,5,0)</f>
        <v>0</v>
      </c>
      <c r="O1074" s="57">
        <f>IFERROR(VLOOKUP(A1074&amp;G1074,Lookup!J:K,2,0),"")</f>
        <v>0</v>
      </c>
      <c r="P1074" s="110" t="str">
        <f t="shared" si="76"/>
        <v/>
      </c>
      <c r="T1074" s="59" t="e">
        <f t="shared" si="77"/>
        <v>#VALUE!</v>
      </c>
      <c r="U1074" s="59"/>
      <c r="X1074" s="60" t="str">
        <f t="shared" si="78"/>
        <v>D</v>
      </c>
    </row>
    <row r="1075" spans="2:24" x14ac:dyDescent="0.25">
      <c r="B1075" s="54" t="str">
        <f>IFERROR(VLOOKUP(A1075,Lookup!A:B,2,0),"")</f>
        <v/>
      </c>
      <c r="C1075" s="54" t="str">
        <f>IFERROR(VLOOKUP(A1075,Lookup!A:C,3,0),"")</f>
        <v/>
      </c>
      <c r="J1075" s="103">
        <f>VLOOKUP(A1075&amp;G1075,Lookup!J:N,5,0)</f>
        <v>0</v>
      </c>
      <c r="O1075" s="57">
        <f>IFERROR(VLOOKUP(A1075&amp;G1075,Lookup!J:K,2,0),"")</f>
        <v>0</v>
      </c>
      <c r="P1075" s="110" t="str">
        <f t="shared" si="76"/>
        <v/>
      </c>
      <c r="T1075" s="59" t="e">
        <f t="shared" si="77"/>
        <v>#VALUE!</v>
      </c>
      <c r="U1075" s="59"/>
      <c r="X1075" s="60" t="str">
        <f t="shared" si="78"/>
        <v>D</v>
      </c>
    </row>
    <row r="1076" spans="2:24" x14ac:dyDescent="0.25">
      <c r="B1076" s="54" t="str">
        <f>IFERROR(VLOOKUP(A1076,Lookup!A:B,2,0),"")</f>
        <v/>
      </c>
      <c r="C1076" s="54" t="str">
        <f>IFERROR(VLOOKUP(A1076,Lookup!A:C,3,0),"")</f>
        <v/>
      </c>
      <c r="J1076" s="103">
        <f>VLOOKUP(A1076&amp;G1076,Lookup!J:N,5,0)</f>
        <v>0</v>
      </c>
      <c r="O1076" s="57">
        <f>IFERROR(VLOOKUP(A1076&amp;G1076,Lookup!J:K,2,0),"")</f>
        <v>0</v>
      </c>
      <c r="P1076" s="110" t="str">
        <f t="shared" si="76"/>
        <v/>
      </c>
      <c r="T1076" s="59" t="e">
        <f t="shared" si="77"/>
        <v>#VALUE!</v>
      </c>
      <c r="U1076" s="59"/>
      <c r="X1076" s="60" t="str">
        <f t="shared" si="78"/>
        <v>D</v>
      </c>
    </row>
    <row r="1077" spans="2:24" x14ac:dyDescent="0.25">
      <c r="B1077" s="54" t="str">
        <f>IFERROR(VLOOKUP(A1077,Lookup!A:B,2,0),"")</f>
        <v/>
      </c>
      <c r="C1077" s="54" t="str">
        <f>IFERROR(VLOOKUP(A1077,Lookup!A:C,3,0),"")</f>
        <v/>
      </c>
      <c r="J1077" s="103">
        <f>VLOOKUP(A1077&amp;G1077,Lookup!J:N,5,0)</f>
        <v>0</v>
      </c>
      <c r="O1077" s="57">
        <f>IFERROR(VLOOKUP(A1077&amp;G1077,Lookup!J:K,2,0),"")</f>
        <v>0</v>
      </c>
      <c r="P1077" s="110" t="str">
        <f t="shared" si="76"/>
        <v/>
      </c>
      <c r="T1077" s="59" t="e">
        <f t="shared" si="77"/>
        <v>#VALUE!</v>
      </c>
      <c r="U1077" s="59"/>
      <c r="X1077" s="60" t="str">
        <f t="shared" si="78"/>
        <v>D</v>
      </c>
    </row>
    <row r="1078" spans="2:24" x14ac:dyDescent="0.25">
      <c r="B1078" s="54" t="str">
        <f>IFERROR(VLOOKUP(A1078,Lookup!A:B,2,0),"")</f>
        <v/>
      </c>
      <c r="C1078" s="54" t="str">
        <f>IFERROR(VLOOKUP(A1078,Lookup!A:C,3,0),"")</f>
        <v/>
      </c>
      <c r="J1078" s="103">
        <f>VLOOKUP(A1078&amp;G1078,Lookup!J:N,5,0)</f>
        <v>0</v>
      </c>
      <c r="O1078" s="57">
        <f>IFERROR(VLOOKUP(A1078&amp;G1078,Lookup!J:K,2,0),"")</f>
        <v>0</v>
      </c>
      <c r="P1078" s="110" t="str">
        <f t="shared" si="76"/>
        <v/>
      </c>
      <c r="T1078" s="59" t="e">
        <f t="shared" si="77"/>
        <v>#VALUE!</v>
      </c>
      <c r="U1078" s="59"/>
      <c r="X1078" s="60" t="str">
        <f t="shared" si="78"/>
        <v>D</v>
      </c>
    </row>
    <row r="1079" spans="2:24" x14ac:dyDescent="0.25">
      <c r="B1079" s="54" t="str">
        <f>IFERROR(VLOOKUP(A1079,Lookup!A:B,2,0),"")</f>
        <v/>
      </c>
      <c r="C1079" s="54" t="str">
        <f>IFERROR(VLOOKUP(A1079,Lookup!A:C,3,0),"")</f>
        <v/>
      </c>
      <c r="J1079" s="103">
        <f>VLOOKUP(A1079&amp;G1079,Lookup!J:N,5,0)</f>
        <v>0</v>
      </c>
      <c r="O1079" s="57">
        <f>IFERROR(VLOOKUP(A1079&amp;G1079,Lookup!J:K,2,0),"")</f>
        <v>0</v>
      </c>
      <c r="P1079" s="110" t="str">
        <f t="shared" si="76"/>
        <v/>
      </c>
      <c r="T1079" s="59" t="e">
        <f t="shared" si="77"/>
        <v>#VALUE!</v>
      </c>
      <c r="U1079" s="59"/>
      <c r="X1079" s="60" t="str">
        <f t="shared" si="78"/>
        <v>D</v>
      </c>
    </row>
    <row r="1080" spans="2:24" x14ac:dyDescent="0.25">
      <c r="B1080" s="54" t="str">
        <f>IFERROR(VLOOKUP(A1080,Lookup!A:B,2,0),"")</f>
        <v/>
      </c>
      <c r="C1080" s="54" t="str">
        <f>IFERROR(VLOOKUP(A1080,Lookup!A:C,3,0),"")</f>
        <v/>
      </c>
      <c r="J1080" s="103">
        <f>VLOOKUP(A1080&amp;G1080,Lookup!J:N,5,0)</f>
        <v>0</v>
      </c>
      <c r="O1080" s="57">
        <f>IFERROR(VLOOKUP(A1080&amp;G1080,Lookup!J:K,2,0),"")</f>
        <v>0</v>
      </c>
      <c r="P1080" s="110" t="str">
        <f t="shared" si="76"/>
        <v/>
      </c>
      <c r="T1080" s="59" t="e">
        <f t="shared" si="77"/>
        <v>#VALUE!</v>
      </c>
      <c r="U1080" s="59"/>
      <c r="X1080" s="60" t="str">
        <f t="shared" si="78"/>
        <v>D</v>
      </c>
    </row>
    <row r="1081" spans="2:24" x14ac:dyDescent="0.25">
      <c r="B1081" s="54" t="str">
        <f>IFERROR(VLOOKUP(A1081,Lookup!A:B,2,0),"")</f>
        <v/>
      </c>
      <c r="C1081" s="54" t="str">
        <f>IFERROR(VLOOKUP(A1081,Lookup!A:C,3,0),"")</f>
        <v/>
      </c>
      <c r="J1081" s="103">
        <f>VLOOKUP(A1081&amp;G1081,Lookup!J:N,5,0)</f>
        <v>0</v>
      </c>
      <c r="O1081" s="57">
        <f>IFERROR(VLOOKUP(A1081&amp;G1081,Lookup!J:K,2,0),"")</f>
        <v>0</v>
      </c>
      <c r="P1081" s="110" t="str">
        <f t="shared" si="76"/>
        <v/>
      </c>
      <c r="T1081" s="59" t="e">
        <f t="shared" si="77"/>
        <v>#VALUE!</v>
      </c>
      <c r="U1081" s="59"/>
      <c r="X1081" s="60" t="str">
        <f t="shared" si="78"/>
        <v>D</v>
      </c>
    </row>
    <row r="1082" spans="2:24" x14ac:dyDescent="0.25">
      <c r="B1082" s="54" t="str">
        <f>IFERROR(VLOOKUP(A1082,Lookup!A:B,2,0),"")</f>
        <v/>
      </c>
      <c r="C1082" s="54" t="str">
        <f>IFERROR(VLOOKUP(A1082,Lookup!A:C,3,0),"")</f>
        <v/>
      </c>
      <c r="J1082" s="103">
        <f>VLOOKUP(A1082&amp;G1082,Lookup!J:N,5,0)</f>
        <v>0</v>
      </c>
      <c r="O1082" s="57">
        <f>IFERROR(VLOOKUP(A1082&amp;G1082,Lookup!J:K,2,0),"")</f>
        <v>0</v>
      </c>
      <c r="P1082" s="110" t="str">
        <f t="shared" si="76"/>
        <v/>
      </c>
      <c r="T1082" s="59" t="e">
        <f t="shared" si="77"/>
        <v>#VALUE!</v>
      </c>
      <c r="U1082" s="59"/>
      <c r="X1082" s="60" t="str">
        <f t="shared" si="78"/>
        <v>D</v>
      </c>
    </row>
    <row r="1083" spans="2:24" x14ac:dyDescent="0.25">
      <c r="B1083" s="54" t="str">
        <f>IFERROR(VLOOKUP(A1083,Lookup!A:B,2,0),"")</f>
        <v/>
      </c>
      <c r="C1083" s="54" t="str">
        <f>IFERROR(VLOOKUP(A1083,Lookup!A:C,3,0),"")</f>
        <v/>
      </c>
      <c r="J1083" s="103">
        <f>VLOOKUP(A1083&amp;G1083,Lookup!J:N,5,0)</f>
        <v>0</v>
      </c>
      <c r="O1083" s="57">
        <f>IFERROR(VLOOKUP(A1083&amp;G1083,Lookup!J:K,2,0),"")</f>
        <v>0</v>
      </c>
      <c r="P1083" s="110" t="str">
        <f t="shared" si="76"/>
        <v/>
      </c>
      <c r="T1083" s="59" t="e">
        <f t="shared" si="77"/>
        <v>#VALUE!</v>
      </c>
      <c r="U1083" s="59"/>
      <c r="X1083" s="60" t="str">
        <f t="shared" si="78"/>
        <v>D</v>
      </c>
    </row>
    <row r="1084" spans="2:24" x14ac:dyDescent="0.25">
      <c r="B1084" s="54" t="str">
        <f>IFERROR(VLOOKUP(A1084,Lookup!A:B,2,0),"")</f>
        <v/>
      </c>
      <c r="C1084" s="54" t="str">
        <f>IFERROR(VLOOKUP(A1084,Lookup!A:C,3,0),"")</f>
        <v/>
      </c>
      <c r="J1084" s="103">
        <f>VLOOKUP(A1084&amp;G1084,Lookup!J:N,5,0)</f>
        <v>0</v>
      </c>
      <c r="O1084" s="57">
        <f>IFERROR(VLOOKUP(A1084&amp;G1084,Lookup!J:K,2,0),"")</f>
        <v>0</v>
      </c>
      <c r="P1084" s="110" t="str">
        <f t="shared" si="76"/>
        <v/>
      </c>
      <c r="T1084" s="59" t="e">
        <f t="shared" si="77"/>
        <v>#VALUE!</v>
      </c>
      <c r="U1084" s="59"/>
      <c r="X1084" s="60" t="str">
        <f t="shared" si="78"/>
        <v>D</v>
      </c>
    </row>
    <row r="1085" spans="2:24" x14ac:dyDescent="0.25">
      <c r="B1085" s="54" t="str">
        <f>IFERROR(VLOOKUP(A1085,Lookup!A:B,2,0),"")</f>
        <v/>
      </c>
      <c r="C1085" s="54" t="str">
        <f>IFERROR(VLOOKUP(A1085,Lookup!A:C,3,0),"")</f>
        <v/>
      </c>
      <c r="J1085" s="103">
        <f>VLOOKUP(A1085&amp;G1085,Lookup!J:N,5,0)</f>
        <v>0</v>
      </c>
      <c r="O1085" s="57">
        <f>IFERROR(VLOOKUP(A1085&amp;G1085,Lookup!J:K,2,0),"")</f>
        <v>0</v>
      </c>
      <c r="P1085" s="110" t="str">
        <f t="shared" si="76"/>
        <v/>
      </c>
      <c r="T1085" s="59" t="e">
        <f t="shared" si="77"/>
        <v>#VALUE!</v>
      </c>
      <c r="U1085" s="59"/>
      <c r="X1085" s="60" t="str">
        <f t="shared" si="78"/>
        <v>D</v>
      </c>
    </row>
    <row r="1086" spans="2:24" x14ac:dyDescent="0.25">
      <c r="B1086" s="54" t="str">
        <f>IFERROR(VLOOKUP(A1086,Lookup!A:B,2,0),"")</f>
        <v/>
      </c>
      <c r="C1086" s="54" t="str">
        <f>IFERROR(VLOOKUP(A1086,Lookup!A:C,3,0),"")</f>
        <v/>
      </c>
      <c r="J1086" s="103">
        <f>VLOOKUP(A1086&amp;G1086,Lookup!J:N,5,0)</f>
        <v>0</v>
      </c>
      <c r="O1086" s="57">
        <f>IFERROR(VLOOKUP(A1086&amp;G1086,Lookup!J:K,2,0),"")</f>
        <v>0</v>
      </c>
      <c r="P1086" s="110" t="str">
        <f t="shared" si="76"/>
        <v/>
      </c>
      <c r="T1086" s="59" t="e">
        <f t="shared" si="77"/>
        <v>#VALUE!</v>
      </c>
      <c r="U1086" s="59"/>
      <c r="X1086" s="60" t="str">
        <f t="shared" si="78"/>
        <v>D</v>
      </c>
    </row>
    <row r="1087" spans="2:24" x14ac:dyDescent="0.25">
      <c r="B1087" s="54" t="str">
        <f>IFERROR(VLOOKUP(A1087,Lookup!A:B,2,0),"")</f>
        <v/>
      </c>
      <c r="C1087" s="54" t="str">
        <f>IFERROR(VLOOKUP(A1087,Lookup!A:C,3,0),"")</f>
        <v/>
      </c>
      <c r="J1087" s="103">
        <f>VLOOKUP(A1087&amp;G1087,Lookup!J:N,5,0)</f>
        <v>0</v>
      </c>
      <c r="O1087" s="57">
        <f>IFERROR(VLOOKUP(A1087&amp;G1087,Lookup!J:K,2,0),"")</f>
        <v>0</v>
      </c>
      <c r="P1087" s="110" t="str">
        <f t="shared" si="76"/>
        <v/>
      </c>
      <c r="T1087" s="59" t="e">
        <f t="shared" si="77"/>
        <v>#VALUE!</v>
      </c>
      <c r="U1087" s="59"/>
      <c r="X1087" s="60" t="str">
        <f t="shared" si="78"/>
        <v>D</v>
      </c>
    </row>
    <row r="1088" spans="2:24" x14ac:dyDescent="0.25">
      <c r="B1088" s="54" t="str">
        <f>IFERROR(VLOOKUP(A1088,Lookup!A:B,2,0),"")</f>
        <v/>
      </c>
      <c r="C1088" s="54" t="str">
        <f>IFERROR(VLOOKUP(A1088,Lookup!A:C,3,0),"")</f>
        <v/>
      </c>
      <c r="J1088" s="103">
        <f>VLOOKUP(A1088&amp;G1088,Lookup!J:N,5,0)</f>
        <v>0</v>
      </c>
      <c r="O1088" s="57">
        <f>IFERROR(VLOOKUP(A1088&amp;G1088,Lookup!J:K,2,0),"")</f>
        <v>0</v>
      </c>
      <c r="P1088" s="110" t="str">
        <f t="shared" si="76"/>
        <v/>
      </c>
      <c r="T1088" s="59" t="e">
        <f t="shared" si="77"/>
        <v>#VALUE!</v>
      </c>
      <c r="U1088" s="59"/>
      <c r="X1088" s="60" t="str">
        <f t="shared" si="78"/>
        <v>D</v>
      </c>
    </row>
    <row r="1089" spans="2:24" x14ac:dyDescent="0.25">
      <c r="B1089" s="54" t="str">
        <f>IFERROR(VLOOKUP(A1089,Lookup!A:B,2,0),"")</f>
        <v/>
      </c>
      <c r="C1089" s="54" t="str">
        <f>IFERROR(VLOOKUP(A1089,Lookup!A:C,3,0),"")</f>
        <v/>
      </c>
      <c r="J1089" s="103">
        <f>VLOOKUP(A1089&amp;G1089,Lookup!J:N,5,0)</f>
        <v>0</v>
      </c>
      <c r="O1089" s="57">
        <f>IFERROR(VLOOKUP(A1089&amp;G1089,Lookup!J:K,2,0),"")</f>
        <v>0</v>
      </c>
      <c r="P1089" s="110" t="str">
        <f t="shared" si="76"/>
        <v/>
      </c>
      <c r="T1089" s="59" t="e">
        <f t="shared" si="77"/>
        <v>#VALUE!</v>
      </c>
      <c r="U1089" s="59"/>
      <c r="X1089" s="60" t="str">
        <f t="shared" si="78"/>
        <v>D</v>
      </c>
    </row>
    <row r="1090" spans="2:24" x14ac:dyDescent="0.25">
      <c r="B1090" s="54" t="str">
        <f>IFERROR(VLOOKUP(A1090,Lookup!A:B,2,0),"")</f>
        <v/>
      </c>
      <c r="C1090" s="54" t="str">
        <f>IFERROR(VLOOKUP(A1090,Lookup!A:C,3,0),"")</f>
        <v/>
      </c>
      <c r="J1090" s="103">
        <f>VLOOKUP(A1090&amp;G1090,Lookup!J:N,5,0)</f>
        <v>0</v>
      </c>
      <c r="O1090" s="57">
        <f>IFERROR(VLOOKUP(A1090&amp;G1090,Lookup!J:K,2,0),"")</f>
        <v>0</v>
      </c>
      <c r="P1090" s="110" t="str">
        <f t="shared" si="76"/>
        <v/>
      </c>
      <c r="T1090" s="59" t="e">
        <f t="shared" si="77"/>
        <v>#VALUE!</v>
      </c>
      <c r="U1090" s="59"/>
      <c r="X1090" s="60" t="str">
        <f t="shared" si="78"/>
        <v>D</v>
      </c>
    </row>
    <row r="1091" spans="2:24" x14ac:dyDescent="0.25">
      <c r="B1091" s="54" t="str">
        <f>IFERROR(VLOOKUP(A1091,Lookup!A:B,2,0),"")</f>
        <v/>
      </c>
      <c r="C1091" s="54" t="str">
        <f>IFERROR(VLOOKUP(A1091,Lookup!A:C,3,0),"")</f>
        <v/>
      </c>
      <c r="J1091" s="103">
        <f>VLOOKUP(A1091&amp;G1091,Lookup!J:N,5,0)</f>
        <v>0</v>
      </c>
      <c r="O1091" s="57">
        <f>IFERROR(VLOOKUP(A1091&amp;G1091,Lookup!J:K,2,0),"")</f>
        <v>0</v>
      </c>
      <c r="P1091" s="110" t="str">
        <f t="shared" si="76"/>
        <v/>
      </c>
      <c r="T1091" s="59" t="e">
        <f t="shared" si="77"/>
        <v>#VALUE!</v>
      </c>
      <c r="U1091" s="59"/>
      <c r="X1091" s="60" t="str">
        <f t="shared" si="78"/>
        <v>D</v>
      </c>
    </row>
    <row r="1092" spans="2:24" x14ac:dyDescent="0.25">
      <c r="B1092" s="54" t="str">
        <f>IFERROR(VLOOKUP(A1092,Lookup!A:B,2,0),"")</f>
        <v/>
      </c>
      <c r="C1092" s="54" t="str">
        <f>IFERROR(VLOOKUP(A1092,Lookup!A:C,3,0),"")</f>
        <v/>
      </c>
      <c r="J1092" s="103">
        <f>VLOOKUP(A1092&amp;G1092,Lookup!J:N,5,0)</f>
        <v>0</v>
      </c>
      <c r="O1092" s="57">
        <f>IFERROR(VLOOKUP(A1092&amp;G1092,Lookup!J:K,2,0),"")</f>
        <v>0</v>
      </c>
      <c r="P1092" s="110" t="str">
        <f t="shared" ref="P1092:P1155" si="79">IF(N1092="","",N1092+O1092)</f>
        <v/>
      </c>
      <c r="T1092" s="59" t="e">
        <f t="shared" si="77"/>
        <v>#VALUE!</v>
      </c>
      <c r="U1092" s="59"/>
      <c r="X1092" s="60" t="str">
        <f t="shared" si="78"/>
        <v>D</v>
      </c>
    </row>
    <row r="1093" spans="2:24" x14ac:dyDescent="0.25">
      <c r="B1093" s="54" t="str">
        <f>IFERROR(VLOOKUP(A1093,Lookup!A:B,2,0),"")</f>
        <v/>
      </c>
      <c r="C1093" s="54" t="str">
        <f>IFERROR(VLOOKUP(A1093,Lookup!A:C,3,0),"")</f>
        <v/>
      </c>
      <c r="J1093" s="103">
        <f>VLOOKUP(A1093&amp;G1093,Lookup!J:N,5,0)</f>
        <v>0</v>
      </c>
      <c r="O1093" s="57">
        <f>IFERROR(VLOOKUP(A1093&amp;G1093,Lookup!J:K,2,0),"")</f>
        <v>0</v>
      </c>
      <c r="P1093" s="110" t="str">
        <f t="shared" si="79"/>
        <v/>
      </c>
      <c r="T1093" s="59" t="e">
        <f t="shared" si="77"/>
        <v>#VALUE!</v>
      </c>
      <c r="U1093" s="59"/>
      <c r="X1093" s="60" t="str">
        <f t="shared" si="78"/>
        <v>D</v>
      </c>
    </row>
    <row r="1094" spans="2:24" x14ac:dyDescent="0.25">
      <c r="B1094" s="54" t="str">
        <f>IFERROR(VLOOKUP(A1094,Lookup!A:B,2,0),"")</f>
        <v/>
      </c>
      <c r="C1094" s="54" t="str">
        <f>IFERROR(VLOOKUP(A1094,Lookup!A:C,3,0),"")</f>
        <v/>
      </c>
      <c r="J1094" s="103">
        <f>VLOOKUP(A1094&amp;G1094,Lookup!J:N,5,0)</f>
        <v>0</v>
      </c>
      <c r="O1094" s="57">
        <f>IFERROR(VLOOKUP(A1094&amp;G1094,Lookup!J:K,2,0),"")</f>
        <v>0</v>
      </c>
      <c r="P1094" s="110" t="str">
        <f t="shared" si="79"/>
        <v/>
      </c>
      <c r="T1094" s="59" t="e">
        <f t="shared" si="77"/>
        <v>#VALUE!</v>
      </c>
      <c r="U1094" s="59"/>
      <c r="X1094" s="60" t="str">
        <f t="shared" si="78"/>
        <v>D</v>
      </c>
    </row>
    <row r="1095" spans="2:24" x14ac:dyDescent="0.25">
      <c r="B1095" s="54" t="str">
        <f>IFERROR(VLOOKUP(A1095,Lookup!A:B,2,0),"")</f>
        <v/>
      </c>
      <c r="C1095" s="54" t="str">
        <f>IFERROR(VLOOKUP(A1095,Lookup!A:C,3,0),"")</f>
        <v/>
      </c>
      <c r="J1095" s="103">
        <f>VLOOKUP(A1095&amp;G1095,Lookup!J:N,5,0)</f>
        <v>0</v>
      </c>
      <c r="O1095" s="57">
        <f>IFERROR(VLOOKUP(A1095&amp;G1095,Lookup!J:K,2,0),"")</f>
        <v>0</v>
      </c>
      <c r="P1095" s="110" t="str">
        <f t="shared" si="79"/>
        <v/>
      </c>
      <c r="T1095" s="59" t="e">
        <f t="shared" si="77"/>
        <v>#VALUE!</v>
      </c>
      <c r="U1095" s="59"/>
      <c r="X1095" s="60" t="str">
        <f t="shared" si="78"/>
        <v>D</v>
      </c>
    </row>
    <row r="1096" spans="2:24" x14ac:dyDescent="0.25">
      <c r="B1096" s="54" t="str">
        <f>IFERROR(VLOOKUP(A1096,Lookup!A:B,2,0),"")</f>
        <v/>
      </c>
      <c r="C1096" s="54" t="str">
        <f>IFERROR(VLOOKUP(A1096,Lookup!A:C,3,0),"")</f>
        <v/>
      </c>
      <c r="J1096" s="103">
        <f>VLOOKUP(A1096&amp;G1096,Lookup!J:N,5,0)</f>
        <v>0</v>
      </c>
      <c r="O1096" s="57">
        <f>IFERROR(VLOOKUP(A1096&amp;G1096,Lookup!J:K,2,0),"")</f>
        <v>0</v>
      </c>
      <c r="P1096" s="110" t="str">
        <f t="shared" si="79"/>
        <v/>
      </c>
      <c r="T1096" s="59" t="e">
        <f t="shared" si="77"/>
        <v>#VALUE!</v>
      </c>
      <c r="U1096" s="59"/>
      <c r="X1096" s="60" t="str">
        <f t="shared" si="78"/>
        <v>D</v>
      </c>
    </row>
    <row r="1097" spans="2:24" x14ac:dyDescent="0.25">
      <c r="B1097" s="54" t="str">
        <f>IFERROR(VLOOKUP(A1097,Lookup!A:B,2,0),"")</f>
        <v/>
      </c>
      <c r="C1097" s="54" t="str">
        <f>IFERROR(VLOOKUP(A1097,Lookup!A:C,3,0),"")</f>
        <v/>
      </c>
      <c r="J1097" s="103">
        <f>VLOOKUP(A1097&amp;G1097,Lookup!J:N,5,0)</f>
        <v>0</v>
      </c>
      <c r="O1097" s="57">
        <f>IFERROR(VLOOKUP(A1097&amp;G1097,Lookup!J:K,2,0),"")</f>
        <v>0</v>
      </c>
      <c r="P1097" s="110" t="str">
        <f t="shared" si="79"/>
        <v/>
      </c>
      <c r="T1097" s="59" t="e">
        <f t="shared" si="77"/>
        <v>#VALUE!</v>
      </c>
      <c r="U1097" s="59"/>
    </row>
    <row r="1098" spans="2:24" x14ac:dyDescent="0.25">
      <c r="B1098" s="54" t="str">
        <f>IFERROR(VLOOKUP(A1098,Lookup!A:B,2,0),"")</f>
        <v/>
      </c>
      <c r="C1098" s="54" t="str">
        <f>IFERROR(VLOOKUP(A1098,Lookup!A:C,3,0),"")</f>
        <v/>
      </c>
      <c r="J1098" s="103">
        <f>VLOOKUP(A1098&amp;G1098,Lookup!J:N,5,0)</f>
        <v>0</v>
      </c>
      <c r="O1098" s="57">
        <f>IFERROR(VLOOKUP(A1098&amp;G1098,Lookup!J:K,2,0),"")</f>
        <v>0</v>
      </c>
      <c r="P1098" s="110" t="str">
        <f t="shared" si="79"/>
        <v/>
      </c>
      <c r="T1098" s="59" t="e">
        <f t="shared" si="77"/>
        <v>#VALUE!</v>
      </c>
      <c r="U1098" s="59"/>
    </row>
    <row r="1099" spans="2:24" x14ac:dyDescent="0.25">
      <c r="B1099" s="54" t="str">
        <f>IFERROR(VLOOKUP(A1099,Lookup!A:B,2,0),"")</f>
        <v/>
      </c>
      <c r="C1099" s="54" t="str">
        <f>IFERROR(VLOOKUP(A1099,Lookup!A:C,3,0),"")</f>
        <v/>
      </c>
      <c r="J1099" s="103">
        <f>VLOOKUP(A1099&amp;G1099,Lookup!J:N,5,0)</f>
        <v>0</v>
      </c>
      <c r="O1099" s="57">
        <f>IFERROR(VLOOKUP(A1099&amp;G1099,Lookup!J:K,2,0),"")</f>
        <v>0</v>
      </c>
      <c r="P1099" s="110" t="str">
        <f t="shared" si="79"/>
        <v/>
      </c>
      <c r="T1099" s="59" t="e">
        <f t="shared" si="77"/>
        <v>#VALUE!</v>
      </c>
      <c r="U1099" s="59"/>
    </row>
    <row r="1100" spans="2:24" x14ac:dyDescent="0.25">
      <c r="B1100" s="54" t="str">
        <f>IFERROR(VLOOKUP(A1100,Lookup!A:B,2,0),"")</f>
        <v/>
      </c>
      <c r="C1100" s="54" t="str">
        <f>IFERROR(VLOOKUP(A1100,Lookup!A:C,3,0),"")</f>
        <v/>
      </c>
      <c r="J1100" s="103">
        <f>VLOOKUP(A1100&amp;G1100,Lookup!J:N,5,0)</f>
        <v>0</v>
      </c>
      <c r="O1100" s="57">
        <f>IFERROR(VLOOKUP(A1100&amp;G1100,Lookup!J:K,2,0),"")</f>
        <v>0</v>
      </c>
      <c r="P1100" s="110" t="str">
        <f t="shared" si="79"/>
        <v/>
      </c>
      <c r="T1100" s="59" t="e">
        <f t="shared" si="77"/>
        <v>#VALUE!</v>
      </c>
      <c r="U1100" s="59"/>
    </row>
    <row r="1101" spans="2:24" x14ac:dyDescent="0.25">
      <c r="B1101" s="54" t="str">
        <f>IFERROR(VLOOKUP(A1101,Lookup!A:B,2,0),"")</f>
        <v/>
      </c>
      <c r="C1101" s="54" t="str">
        <f>IFERROR(VLOOKUP(A1101,Lookup!A:C,3,0),"")</f>
        <v/>
      </c>
      <c r="J1101" s="103">
        <f>VLOOKUP(A1101&amp;G1101,Lookup!J:N,5,0)</f>
        <v>0</v>
      </c>
      <c r="O1101" s="57">
        <f>IFERROR(VLOOKUP(A1101&amp;G1101,Lookup!J:K,2,0),"")</f>
        <v>0</v>
      </c>
      <c r="P1101" s="110" t="str">
        <f t="shared" si="79"/>
        <v/>
      </c>
      <c r="T1101" s="59" t="e">
        <f t="shared" si="77"/>
        <v>#VALUE!</v>
      </c>
      <c r="U1101" s="59"/>
    </row>
    <row r="1102" spans="2:24" x14ac:dyDescent="0.25">
      <c r="B1102" s="54" t="str">
        <f>IFERROR(VLOOKUP(A1102,Lookup!A:B,2,0),"")</f>
        <v/>
      </c>
      <c r="C1102" s="54" t="str">
        <f>IFERROR(VLOOKUP(A1102,Lookup!A:C,3,0),"")</f>
        <v/>
      </c>
      <c r="J1102" s="103">
        <f>VLOOKUP(A1102&amp;G1102,Lookup!J:N,5,0)</f>
        <v>0</v>
      </c>
      <c r="O1102" s="57">
        <f>IFERROR(VLOOKUP(A1102&amp;G1102,Lookup!J:K,2,0),"")</f>
        <v>0</v>
      </c>
      <c r="P1102" s="110" t="str">
        <f t="shared" si="79"/>
        <v/>
      </c>
      <c r="T1102" s="59" t="e">
        <f t="shared" ref="T1102:T1165" si="80">IF(Q1102-P1102&gt;0.0415,"YES",(IF(OR(EXACT(Q1102,""), EXACT(P1102,"")),"","NO")))</f>
        <v>#VALUE!</v>
      </c>
      <c r="U1102" s="59"/>
    </row>
    <row r="1103" spans="2:24" x14ac:dyDescent="0.25">
      <c r="B1103" s="54" t="str">
        <f>IFERROR(VLOOKUP(A1103,Lookup!A:B,2,0),"")</f>
        <v/>
      </c>
      <c r="C1103" s="54" t="str">
        <f>IFERROR(VLOOKUP(A1103,Lookup!A:C,3,0),"")</f>
        <v/>
      </c>
      <c r="J1103" s="103">
        <f>VLOOKUP(A1103&amp;G1103,Lookup!J:N,5,0)</f>
        <v>0</v>
      </c>
      <c r="O1103" s="57">
        <f>IFERROR(VLOOKUP(A1103&amp;G1103,Lookup!J:K,2,0),"")</f>
        <v>0</v>
      </c>
      <c r="P1103" s="110" t="str">
        <f t="shared" si="79"/>
        <v/>
      </c>
      <c r="T1103" s="59" t="e">
        <f t="shared" si="80"/>
        <v>#VALUE!</v>
      </c>
      <c r="U1103" s="59"/>
    </row>
    <row r="1104" spans="2:24" x14ac:dyDescent="0.25">
      <c r="B1104" s="54" t="str">
        <f>IFERROR(VLOOKUP(A1104,Lookup!A:B,2,0),"")</f>
        <v/>
      </c>
      <c r="C1104" s="54" t="str">
        <f>IFERROR(VLOOKUP(A1104,Lookup!A:C,3,0),"")</f>
        <v/>
      </c>
      <c r="J1104" s="103">
        <f>VLOOKUP(A1104&amp;G1104,Lookup!J:N,5,0)</f>
        <v>0</v>
      </c>
      <c r="O1104" s="57">
        <f>IFERROR(VLOOKUP(A1104&amp;G1104,Lookup!J:K,2,0),"")</f>
        <v>0</v>
      </c>
      <c r="P1104" s="110" t="str">
        <f t="shared" si="79"/>
        <v/>
      </c>
      <c r="T1104" s="59" t="e">
        <f t="shared" si="80"/>
        <v>#VALUE!</v>
      </c>
      <c r="U1104" s="59"/>
    </row>
    <row r="1105" spans="2:21" x14ac:dyDescent="0.25">
      <c r="B1105" s="54" t="str">
        <f>IFERROR(VLOOKUP(A1105,Lookup!A:B,2,0),"")</f>
        <v/>
      </c>
      <c r="C1105" s="54" t="str">
        <f>IFERROR(VLOOKUP(A1105,Lookup!A:C,3,0),"")</f>
        <v/>
      </c>
      <c r="J1105" s="103">
        <f>VLOOKUP(A1105&amp;G1105,Lookup!J:N,5,0)</f>
        <v>0</v>
      </c>
      <c r="O1105" s="57">
        <f>IFERROR(VLOOKUP(A1105&amp;G1105,Lookup!J:K,2,0),"")</f>
        <v>0</v>
      </c>
      <c r="P1105" s="110" t="str">
        <f t="shared" si="79"/>
        <v/>
      </c>
      <c r="T1105" s="59" t="e">
        <f t="shared" si="80"/>
        <v>#VALUE!</v>
      </c>
      <c r="U1105" s="59"/>
    </row>
    <row r="1106" spans="2:21" x14ac:dyDescent="0.25">
      <c r="B1106" s="54" t="str">
        <f>IFERROR(VLOOKUP(A1106,Lookup!A:B,2,0),"")</f>
        <v/>
      </c>
      <c r="C1106" s="54" t="str">
        <f>IFERROR(VLOOKUP(A1106,Lookup!A:C,3,0),"")</f>
        <v/>
      </c>
      <c r="J1106" s="103">
        <f>VLOOKUP(A1106&amp;G1106,Lookup!J:N,5,0)</f>
        <v>0</v>
      </c>
      <c r="O1106" s="57">
        <f>IFERROR(VLOOKUP(A1106&amp;G1106,Lookup!J:K,2,0),"")</f>
        <v>0</v>
      </c>
      <c r="P1106" s="110" t="str">
        <f t="shared" si="79"/>
        <v/>
      </c>
      <c r="T1106" s="59" t="e">
        <f t="shared" si="80"/>
        <v>#VALUE!</v>
      </c>
      <c r="U1106" s="59"/>
    </row>
    <row r="1107" spans="2:21" x14ac:dyDescent="0.25">
      <c r="B1107" s="54" t="str">
        <f>IFERROR(VLOOKUP(A1107,Lookup!A:B,2,0),"")</f>
        <v/>
      </c>
      <c r="C1107" s="54" t="str">
        <f>IFERROR(VLOOKUP(A1107,Lookup!A:C,3,0),"")</f>
        <v/>
      </c>
      <c r="J1107" s="103">
        <f>VLOOKUP(A1107&amp;G1107,Lookup!J:N,5,0)</f>
        <v>0</v>
      </c>
      <c r="O1107" s="57">
        <f>IFERROR(VLOOKUP(A1107&amp;G1107,Lookup!J:K,2,0),"")</f>
        <v>0</v>
      </c>
      <c r="P1107" s="110" t="str">
        <f t="shared" si="79"/>
        <v/>
      </c>
      <c r="T1107" s="59" t="e">
        <f t="shared" si="80"/>
        <v>#VALUE!</v>
      </c>
      <c r="U1107" s="59"/>
    </row>
    <row r="1108" spans="2:21" x14ac:dyDescent="0.25">
      <c r="B1108" s="54" t="str">
        <f>IFERROR(VLOOKUP(A1108,Lookup!A:B,2,0),"")</f>
        <v/>
      </c>
      <c r="C1108" s="54" t="str">
        <f>IFERROR(VLOOKUP(A1108,Lookup!A:C,3,0),"")</f>
        <v/>
      </c>
      <c r="J1108" s="103">
        <f>VLOOKUP(A1108&amp;G1108,Lookup!J:N,5,0)</f>
        <v>0</v>
      </c>
      <c r="O1108" s="57">
        <f>IFERROR(VLOOKUP(A1108&amp;G1108,Lookup!J:K,2,0),"")</f>
        <v>0</v>
      </c>
      <c r="P1108" s="110" t="str">
        <f t="shared" si="79"/>
        <v/>
      </c>
      <c r="T1108" s="59" t="e">
        <f t="shared" si="80"/>
        <v>#VALUE!</v>
      </c>
      <c r="U1108" s="59"/>
    </row>
    <row r="1109" spans="2:21" x14ac:dyDescent="0.25">
      <c r="B1109" s="54" t="str">
        <f>IFERROR(VLOOKUP(A1109,Lookup!A:B,2,0),"")</f>
        <v/>
      </c>
      <c r="C1109" s="54" t="str">
        <f>IFERROR(VLOOKUP(A1109,Lookup!A:C,3,0),"")</f>
        <v/>
      </c>
      <c r="J1109" s="103">
        <f>VLOOKUP(A1109&amp;G1109,Lookup!J:N,5,0)</f>
        <v>0</v>
      </c>
      <c r="O1109" s="57">
        <f>IFERROR(VLOOKUP(A1109&amp;G1109,Lookup!J:K,2,0),"")</f>
        <v>0</v>
      </c>
      <c r="P1109" s="110" t="str">
        <f t="shared" si="79"/>
        <v/>
      </c>
      <c r="T1109" s="59" t="e">
        <f t="shared" si="80"/>
        <v>#VALUE!</v>
      </c>
      <c r="U1109" s="59"/>
    </row>
    <row r="1110" spans="2:21" x14ac:dyDescent="0.25">
      <c r="B1110" s="54" t="str">
        <f>IFERROR(VLOOKUP(A1110,Lookup!A:B,2,0),"")</f>
        <v/>
      </c>
      <c r="C1110" s="54" t="str">
        <f>IFERROR(VLOOKUP(A1110,Lookup!A:C,3,0),"")</f>
        <v/>
      </c>
      <c r="J1110" s="103">
        <f>VLOOKUP(A1110&amp;G1110,Lookup!J:N,5,0)</f>
        <v>0</v>
      </c>
      <c r="O1110" s="57">
        <f>IFERROR(VLOOKUP(A1110&amp;G1110,Lookup!J:K,2,0),"")</f>
        <v>0</v>
      </c>
      <c r="P1110" s="110" t="str">
        <f t="shared" si="79"/>
        <v/>
      </c>
      <c r="T1110" s="59" t="e">
        <f t="shared" si="80"/>
        <v>#VALUE!</v>
      </c>
      <c r="U1110" s="59"/>
    </row>
    <row r="1111" spans="2:21" x14ac:dyDescent="0.25">
      <c r="B1111" s="54" t="str">
        <f>IFERROR(VLOOKUP(A1111,Lookup!A:B,2,0),"")</f>
        <v/>
      </c>
      <c r="C1111" s="54" t="str">
        <f>IFERROR(VLOOKUP(A1111,Lookup!A:C,3,0),"")</f>
        <v/>
      </c>
      <c r="J1111" s="103">
        <f>VLOOKUP(A1111&amp;G1111,Lookup!J:N,5,0)</f>
        <v>0</v>
      </c>
      <c r="O1111" s="57">
        <f>IFERROR(VLOOKUP(A1111&amp;G1111,Lookup!J:K,2,0),"")</f>
        <v>0</v>
      </c>
      <c r="P1111" s="110" t="str">
        <f t="shared" si="79"/>
        <v/>
      </c>
      <c r="T1111" s="59" t="e">
        <f t="shared" si="80"/>
        <v>#VALUE!</v>
      </c>
      <c r="U1111" s="59"/>
    </row>
    <row r="1112" spans="2:21" x14ac:dyDescent="0.25">
      <c r="B1112" s="54" t="str">
        <f>IFERROR(VLOOKUP(A1112,Lookup!A:B,2,0),"")</f>
        <v/>
      </c>
      <c r="C1112" s="54" t="str">
        <f>IFERROR(VLOOKUP(A1112,Lookup!A:C,3,0),"")</f>
        <v/>
      </c>
      <c r="J1112" s="103">
        <f>VLOOKUP(A1112&amp;G1112,Lookup!J:N,5,0)</f>
        <v>0</v>
      </c>
      <c r="O1112" s="57">
        <f>IFERROR(VLOOKUP(A1112&amp;G1112,Lookup!J:K,2,0),"")</f>
        <v>0</v>
      </c>
      <c r="P1112" s="110" t="str">
        <f t="shared" si="79"/>
        <v/>
      </c>
      <c r="T1112" s="59" t="e">
        <f t="shared" si="80"/>
        <v>#VALUE!</v>
      </c>
      <c r="U1112" s="59"/>
    </row>
    <row r="1113" spans="2:21" x14ac:dyDescent="0.25">
      <c r="B1113" s="54" t="str">
        <f>IFERROR(VLOOKUP(A1113,Lookup!A:B,2,0),"")</f>
        <v/>
      </c>
      <c r="C1113" s="54" t="str">
        <f>IFERROR(VLOOKUP(A1113,Lookup!A:C,3,0),"")</f>
        <v/>
      </c>
      <c r="J1113" s="103">
        <f>VLOOKUP(A1113&amp;G1113,Lookup!J:N,5,0)</f>
        <v>0</v>
      </c>
      <c r="O1113" s="57">
        <f>IFERROR(VLOOKUP(A1113&amp;G1113,Lookup!J:K,2,0),"")</f>
        <v>0</v>
      </c>
      <c r="P1113" s="110" t="str">
        <f t="shared" si="79"/>
        <v/>
      </c>
      <c r="T1113" s="59" t="e">
        <f t="shared" si="80"/>
        <v>#VALUE!</v>
      </c>
      <c r="U1113" s="59"/>
    </row>
    <row r="1114" spans="2:21" x14ac:dyDescent="0.25">
      <c r="B1114" s="54" t="str">
        <f>IFERROR(VLOOKUP(A1114,Lookup!A:B,2,0),"")</f>
        <v/>
      </c>
      <c r="C1114" s="54" t="str">
        <f>IFERROR(VLOOKUP(A1114,Lookup!A:C,3,0),"")</f>
        <v/>
      </c>
      <c r="J1114" s="103">
        <f>VLOOKUP(A1114&amp;G1114,Lookup!J:N,5,0)</f>
        <v>0</v>
      </c>
      <c r="O1114" s="57">
        <f>IFERROR(VLOOKUP(A1114&amp;G1114,Lookup!J:K,2,0),"")</f>
        <v>0</v>
      </c>
      <c r="P1114" s="110" t="str">
        <f t="shared" si="79"/>
        <v/>
      </c>
      <c r="T1114" s="59" t="e">
        <f t="shared" si="80"/>
        <v>#VALUE!</v>
      </c>
      <c r="U1114" s="59"/>
    </row>
    <row r="1115" spans="2:21" x14ac:dyDescent="0.25">
      <c r="B1115" s="54" t="str">
        <f>IFERROR(VLOOKUP(A1115,Lookup!A:B,2,0),"")</f>
        <v/>
      </c>
      <c r="C1115" s="54" t="str">
        <f>IFERROR(VLOOKUP(A1115,Lookup!A:C,3,0),"")</f>
        <v/>
      </c>
      <c r="J1115" s="103">
        <f>VLOOKUP(A1115&amp;G1115,Lookup!J:N,5,0)</f>
        <v>0</v>
      </c>
      <c r="O1115" s="57">
        <f>IFERROR(VLOOKUP(A1115&amp;G1115,Lookup!J:K,2,0),"")</f>
        <v>0</v>
      </c>
      <c r="P1115" s="110" t="str">
        <f t="shared" si="79"/>
        <v/>
      </c>
      <c r="T1115" s="59" t="e">
        <f t="shared" si="80"/>
        <v>#VALUE!</v>
      </c>
      <c r="U1115" s="59"/>
    </row>
    <row r="1116" spans="2:21" x14ac:dyDescent="0.25">
      <c r="B1116" s="54" t="str">
        <f>IFERROR(VLOOKUP(A1116,Lookup!A:B,2,0),"")</f>
        <v/>
      </c>
      <c r="C1116" s="54" t="str">
        <f>IFERROR(VLOOKUP(A1116,Lookup!A:C,3,0),"")</f>
        <v/>
      </c>
      <c r="J1116" s="103">
        <f>VLOOKUP(A1116&amp;G1116,Lookup!J:N,5,0)</f>
        <v>0</v>
      </c>
      <c r="O1116" s="57">
        <f>IFERROR(VLOOKUP(A1116&amp;G1116,Lookup!J:K,2,0),"")</f>
        <v>0</v>
      </c>
      <c r="P1116" s="110" t="str">
        <f t="shared" si="79"/>
        <v/>
      </c>
      <c r="T1116" s="59" t="e">
        <f t="shared" si="80"/>
        <v>#VALUE!</v>
      </c>
      <c r="U1116" s="59"/>
    </row>
    <row r="1117" spans="2:21" x14ac:dyDescent="0.25">
      <c r="B1117" s="54" t="str">
        <f>IFERROR(VLOOKUP(A1117,Lookup!A:B,2,0),"")</f>
        <v/>
      </c>
      <c r="C1117" s="54" t="str">
        <f>IFERROR(VLOOKUP(A1117,Lookup!A:C,3,0),"")</f>
        <v/>
      </c>
      <c r="J1117" s="103">
        <f>VLOOKUP(A1117&amp;G1117,Lookup!J:N,5,0)</f>
        <v>0</v>
      </c>
      <c r="O1117" s="57">
        <f>IFERROR(VLOOKUP(A1117&amp;G1117,Lookup!J:K,2,0),"")</f>
        <v>0</v>
      </c>
      <c r="P1117" s="110" t="str">
        <f t="shared" si="79"/>
        <v/>
      </c>
      <c r="T1117" s="59" t="e">
        <f t="shared" si="80"/>
        <v>#VALUE!</v>
      </c>
      <c r="U1117" s="59"/>
    </row>
    <row r="1118" spans="2:21" x14ac:dyDescent="0.25">
      <c r="B1118" s="54" t="str">
        <f>IFERROR(VLOOKUP(A1118,Lookup!A:B,2,0),"")</f>
        <v/>
      </c>
      <c r="C1118" s="54" t="str">
        <f>IFERROR(VLOOKUP(A1118,Lookup!A:C,3,0),"")</f>
        <v/>
      </c>
      <c r="J1118" s="103">
        <f>VLOOKUP(A1118&amp;G1118,Lookup!J:N,5,0)</f>
        <v>0</v>
      </c>
      <c r="O1118" s="57">
        <f>IFERROR(VLOOKUP(A1118&amp;G1118,Lookup!J:K,2,0),"")</f>
        <v>0</v>
      </c>
      <c r="P1118" s="110" t="str">
        <f t="shared" si="79"/>
        <v/>
      </c>
      <c r="T1118" s="59" t="e">
        <f t="shared" si="80"/>
        <v>#VALUE!</v>
      </c>
      <c r="U1118" s="59"/>
    </row>
    <row r="1119" spans="2:21" x14ac:dyDescent="0.25">
      <c r="B1119" s="54" t="str">
        <f>IFERROR(VLOOKUP(A1119,Lookup!A:B,2,0),"")</f>
        <v/>
      </c>
      <c r="C1119" s="54" t="str">
        <f>IFERROR(VLOOKUP(A1119,Lookup!A:C,3,0),"")</f>
        <v/>
      </c>
      <c r="J1119" s="103">
        <f>VLOOKUP(A1119&amp;G1119,Lookup!J:N,5,0)</f>
        <v>0</v>
      </c>
      <c r="O1119" s="57">
        <f>IFERROR(VLOOKUP(A1119&amp;G1119,Lookup!J:K,2,0),"")</f>
        <v>0</v>
      </c>
      <c r="P1119" s="110" t="str">
        <f t="shared" si="79"/>
        <v/>
      </c>
      <c r="T1119" s="59" t="e">
        <f t="shared" si="80"/>
        <v>#VALUE!</v>
      </c>
      <c r="U1119" s="59"/>
    </row>
    <row r="1120" spans="2:21" x14ac:dyDescent="0.25">
      <c r="B1120" s="54" t="str">
        <f>IFERROR(VLOOKUP(A1120,Lookup!A:B,2,0),"")</f>
        <v/>
      </c>
      <c r="C1120" s="54" t="str">
        <f>IFERROR(VLOOKUP(A1120,Lookup!A:C,3,0),"")</f>
        <v/>
      </c>
      <c r="J1120" s="103">
        <f>VLOOKUP(A1120&amp;G1120,Lookup!J:N,5,0)</f>
        <v>0</v>
      </c>
      <c r="O1120" s="57">
        <f>IFERROR(VLOOKUP(A1120&amp;G1120,Lookup!J:K,2,0),"")</f>
        <v>0</v>
      </c>
      <c r="P1120" s="110" t="str">
        <f t="shared" si="79"/>
        <v/>
      </c>
      <c r="T1120" s="59" t="e">
        <f t="shared" si="80"/>
        <v>#VALUE!</v>
      </c>
      <c r="U1120" s="59"/>
    </row>
    <row r="1121" spans="2:21" x14ac:dyDescent="0.25">
      <c r="B1121" s="54" t="str">
        <f>IFERROR(VLOOKUP(A1121,Lookup!A:B,2,0),"")</f>
        <v/>
      </c>
      <c r="C1121" s="54" t="str">
        <f>IFERROR(VLOOKUP(A1121,Lookup!A:C,3,0),"")</f>
        <v/>
      </c>
      <c r="J1121" s="103">
        <f>VLOOKUP(A1121&amp;G1121,Lookup!J:N,5,0)</f>
        <v>0</v>
      </c>
      <c r="O1121" s="57">
        <f>IFERROR(VLOOKUP(A1121&amp;G1121,Lookup!J:K,2,0),"")</f>
        <v>0</v>
      </c>
      <c r="P1121" s="110" t="str">
        <f t="shared" si="79"/>
        <v/>
      </c>
      <c r="T1121" s="59" t="e">
        <f t="shared" si="80"/>
        <v>#VALUE!</v>
      </c>
      <c r="U1121" s="59"/>
    </row>
    <row r="1122" spans="2:21" x14ac:dyDescent="0.25">
      <c r="B1122" s="54" t="str">
        <f>IFERROR(VLOOKUP(A1122,Lookup!A:B,2,0),"")</f>
        <v/>
      </c>
      <c r="C1122" s="54" t="str">
        <f>IFERROR(VLOOKUP(A1122,Lookup!A:C,3,0),"")</f>
        <v/>
      </c>
      <c r="J1122" s="103">
        <f>VLOOKUP(A1122&amp;G1122,Lookup!J:N,5,0)</f>
        <v>0</v>
      </c>
      <c r="O1122" s="57">
        <f>IFERROR(VLOOKUP(A1122&amp;G1122,Lookup!J:K,2,0),"")</f>
        <v>0</v>
      </c>
      <c r="P1122" s="110" t="str">
        <f t="shared" si="79"/>
        <v/>
      </c>
      <c r="T1122" s="59" t="e">
        <f t="shared" si="80"/>
        <v>#VALUE!</v>
      </c>
      <c r="U1122" s="59"/>
    </row>
    <row r="1123" spans="2:21" x14ac:dyDescent="0.25">
      <c r="B1123" s="54" t="str">
        <f>IFERROR(VLOOKUP(A1123,Lookup!A:B,2,0),"")</f>
        <v/>
      </c>
      <c r="C1123" s="54" t="str">
        <f>IFERROR(VLOOKUP(A1123,Lookup!A:C,3,0),"")</f>
        <v/>
      </c>
      <c r="J1123" s="103">
        <f>VLOOKUP(A1123&amp;G1123,Lookup!J:N,5,0)</f>
        <v>0</v>
      </c>
      <c r="O1123" s="57">
        <f>IFERROR(VLOOKUP(A1123&amp;G1123,Lookup!J:K,2,0),"")</f>
        <v>0</v>
      </c>
      <c r="P1123" s="110" t="str">
        <f t="shared" si="79"/>
        <v/>
      </c>
      <c r="T1123" s="59" t="e">
        <f t="shared" si="80"/>
        <v>#VALUE!</v>
      </c>
      <c r="U1123" s="59"/>
    </row>
    <row r="1124" spans="2:21" x14ac:dyDescent="0.25">
      <c r="B1124" s="54" t="str">
        <f>IFERROR(VLOOKUP(A1124,Lookup!A:B,2,0),"")</f>
        <v/>
      </c>
      <c r="C1124" s="54" t="str">
        <f>IFERROR(VLOOKUP(A1124,Lookup!A:C,3,0),"")</f>
        <v/>
      </c>
      <c r="J1124" s="103">
        <f>VLOOKUP(A1124&amp;G1124,Lookup!J:N,5,0)</f>
        <v>0</v>
      </c>
      <c r="O1124" s="57">
        <f>IFERROR(VLOOKUP(A1124&amp;G1124,Lookup!J:K,2,0),"")</f>
        <v>0</v>
      </c>
      <c r="P1124" s="110" t="str">
        <f t="shared" si="79"/>
        <v/>
      </c>
      <c r="T1124" s="59" t="e">
        <f t="shared" si="80"/>
        <v>#VALUE!</v>
      </c>
      <c r="U1124" s="59"/>
    </row>
    <row r="1125" spans="2:21" x14ac:dyDescent="0.25">
      <c r="B1125" s="54" t="str">
        <f>IFERROR(VLOOKUP(A1125,Lookup!A:B,2,0),"")</f>
        <v/>
      </c>
      <c r="C1125" s="54" t="str">
        <f>IFERROR(VLOOKUP(A1125,Lookup!A:C,3,0),"")</f>
        <v/>
      </c>
      <c r="J1125" s="103">
        <f>VLOOKUP(A1125&amp;G1125,Lookup!J:N,5,0)</f>
        <v>0</v>
      </c>
      <c r="O1125" s="57">
        <f>IFERROR(VLOOKUP(A1125&amp;G1125,Lookup!J:K,2,0),"")</f>
        <v>0</v>
      </c>
      <c r="P1125" s="110" t="str">
        <f t="shared" si="79"/>
        <v/>
      </c>
      <c r="T1125" s="59" t="e">
        <f t="shared" si="80"/>
        <v>#VALUE!</v>
      </c>
      <c r="U1125" s="59"/>
    </row>
    <row r="1126" spans="2:21" x14ac:dyDescent="0.25">
      <c r="B1126" s="54" t="str">
        <f>IFERROR(VLOOKUP(A1126,Lookup!A:B,2,0),"")</f>
        <v/>
      </c>
      <c r="C1126" s="54" t="str">
        <f>IFERROR(VLOOKUP(A1126,Lookup!A:C,3,0),"")</f>
        <v/>
      </c>
      <c r="J1126" s="103">
        <f>VLOOKUP(A1126&amp;G1126,Lookup!J:N,5,0)</f>
        <v>0</v>
      </c>
      <c r="O1126" s="57">
        <f>IFERROR(VLOOKUP(A1126&amp;G1126,Lookup!J:K,2,0),"")</f>
        <v>0</v>
      </c>
      <c r="P1126" s="110" t="str">
        <f t="shared" si="79"/>
        <v/>
      </c>
      <c r="T1126" s="59" t="e">
        <f t="shared" si="80"/>
        <v>#VALUE!</v>
      </c>
      <c r="U1126" s="59"/>
    </row>
    <row r="1127" spans="2:21" x14ac:dyDescent="0.25">
      <c r="B1127" s="54" t="str">
        <f>IFERROR(VLOOKUP(A1127,Lookup!A:B,2,0),"")</f>
        <v/>
      </c>
      <c r="C1127" s="54" t="str">
        <f>IFERROR(VLOOKUP(A1127,Lookup!A:C,3,0),"")</f>
        <v/>
      </c>
      <c r="J1127" s="103">
        <f>VLOOKUP(A1127&amp;G1127,Lookup!J:N,5,0)</f>
        <v>0</v>
      </c>
      <c r="O1127" s="57">
        <f>IFERROR(VLOOKUP(A1127&amp;G1127,Lookup!J:K,2,0),"")</f>
        <v>0</v>
      </c>
      <c r="P1127" s="110" t="str">
        <f t="shared" si="79"/>
        <v/>
      </c>
      <c r="T1127" s="59" t="e">
        <f t="shared" si="80"/>
        <v>#VALUE!</v>
      </c>
      <c r="U1127" s="59"/>
    </row>
    <row r="1128" spans="2:21" x14ac:dyDescent="0.25">
      <c r="B1128" s="54" t="str">
        <f>IFERROR(VLOOKUP(A1128,Lookup!A:B,2,0),"")</f>
        <v/>
      </c>
      <c r="C1128" s="54" t="str">
        <f>IFERROR(VLOOKUP(A1128,Lookup!A:C,3,0),"")</f>
        <v/>
      </c>
      <c r="J1128" s="103">
        <f>VLOOKUP(A1128&amp;G1128,Lookup!J:N,5,0)</f>
        <v>0</v>
      </c>
      <c r="O1128" s="57">
        <f>IFERROR(VLOOKUP(A1128&amp;G1128,Lookup!J:K,2,0),"")</f>
        <v>0</v>
      </c>
      <c r="P1128" s="110" t="str">
        <f t="shared" si="79"/>
        <v/>
      </c>
      <c r="T1128" s="59" t="e">
        <f t="shared" si="80"/>
        <v>#VALUE!</v>
      </c>
      <c r="U1128" s="59"/>
    </row>
    <row r="1129" spans="2:21" x14ac:dyDescent="0.25">
      <c r="B1129" s="54" t="str">
        <f>IFERROR(VLOOKUP(A1129,Lookup!A:B,2,0),"")</f>
        <v/>
      </c>
      <c r="C1129" s="54" t="str">
        <f>IFERROR(VLOOKUP(A1129,Lookup!A:C,3,0),"")</f>
        <v/>
      </c>
      <c r="J1129" s="103">
        <f>VLOOKUP(A1129&amp;G1129,Lookup!J:N,5,0)</f>
        <v>0</v>
      </c>
      <c r="O1129" s="57">
        <f>IFERROR(VLOOKUP(A1129&amp;G1129,Lookup!J:K,2,0),"")</f>
        <v>0</v>
      </c>
      <c r="P1129" s="110" t="str">
        <f t="shared" si="79"/>
        <v/>
      </c>
      <c r="T1129" s="59" t="e">
        <f t="shared" si="80"/>
        <v>#VALUE!</v>
      </c>
      <c r="U1129" s="59"/>
    </row>
    <row r="1130" spans="2:21" x14ac:dyDescent="0.25">
      <c r="B1130" s="54" t="str">
        <f>IFERROR(VLOOKUP(A1130,Lookup!A:B,2,0),"")</f>
        <v/>
      </c>
      <c r="C1130" s="54" t="str">
        <f>IFERROR(VLOOKUP(A1130,Lookup!A:C,3,0),"")</f>
        <v/>
      </c>
      <c r="J1130" s="103">
        <f>VLOOKUP(A1130&amp;G1130,Lookup!J:N,5,0)</f>
        <v>0</v>
      </c>
      <c r="O1130" s="57">
        <f>IFERROR(VLOOKUP(A1130&amp;G1130,Lookup!J:K,2,0),"")</f>
        <v>0</v>
      </c>
      <c r="P1130" s="110" t="str">
        <f t="shared" si="79"/>
        <v/>
      </c>
      <c r="T1130" s="59" t="e">
        <f t="shared" si="80"/>
        <v>#VALUE!</v>
      </c>
      <c r="U1130" s="59"/>
    </row>
    <row r="1131" spans="2:21" x14ac:dyDescent="0.25">
      <c r="B1131" s="54" t="str">
        <f>IFERROR(VLOOKUP(A1131,Lookup!A:B,2,0),"")</f>
        <v/>
      </c>
      <c r="C1131" s="54" t="str">
        <f>IFERROR(VLOOKUP(A1131,Lookup!A:C,3,0),"")</f>
        <v/>
      </c>
      <c r="J1131" s="103">
        <f>VLOOKUP(A1131&amp;G1131,Lookup!J:N,5,0)</f>
        <v>0</v>
      </c>
      <c r="O1131" s="57">
        <f>IFERROR(VLOOKUP(A1131&amp;G1131,Lookup!J:K,2,0),"")</f>
        <v>0</v>
      </c>
      <c r="P1131" s="110" t="str">
        <f t="shared" si="79"/>
        <v/>
      </c>
      <c r="T1131" s="59" t="e">
        <f t="shared" si="80"/>
        <v>#VALUE!</v>
      </c>
      <c r="U1131" s="59"/>
    </row>
    <row r="1132" spans="2:21" x14ac:dyDescent="0.25">
      <c r="B1132" s="54" t="str">
        <f>IFERROR(VLOOKUP(A1132,Lookup!A:B,2,0),"")</f>
        <v/>
      </c>
      <c r="C1132" s="54" t="str">
        <f>IFERROR(VLOOKUP(A1132,Lookup!A:C,3,0),"")</f>
        <v/>
      </c>
      <c r="J1132" s="103">
        <f>VLOOKUP(A1132&amp;G1132,Lookup!J:N,5,0)</f>
        <v>0</v>
      </c>
      <c r="O1132" s="57">
        <f>IFERROR(VLOOKUP(A1132&amp;G1132,Lookup!J:K,2,0),"")</f>
        <v>0</v>
      </c>
      <c r="P1132" s="110" t="str">
        <f t="shared" si="79"/>
        <v/>
      </c>
      <c r="T1132" s="59" t="e">
        <f t="shared" si="80"/>
        <v>#VALUE!</v>
      </c>
      <c r="U1132" s="59"/>
    </row>
    <row r="1133" spans="2:21" x14ac:dyDescent="0.25">
      <c r="B1133" s="54" t="str">
        <f>IFERROR(VLOOKUP(A1133,Lookup!A:B,2,0),"")</f>
        <v/>
      </c>
      <c r="C1133" s="54" t="str">
        <f>IFERROR(VLOOKUP(A1133,Lookup!A:C,3,0),"")</f>
        <v/>
      </c>
      <c r="J1133" s="103">
        <f>VLOOKUP(A1133&amp;G1133,Lookup!J:N,5,0)</f>
        <v>0</v>
      </c>
      <c r="O1133" s="57">
        <f>IFERROR(VLOOKUP(A1133&amp;G1133,Lookup!J:K,2,0),"")</f>
        <v>0</v>
      </c>
      <c r="P1133" s="110" t="str">
        <f t="shared" si="79"/>
        <v/>
      </c>
      <c r="T1133" s="59" t="e">
        <f t="shared" si="80"/>
        <v>#VALUE!</v>
      </c>
      <c r="U1133" s="59"/>
    </row>
    <row r="1134" spans="2:21" x14ac:dyDescent="0.25">
      <c r="B1134" s="54" t="str">
        <f>IFERROR(VLOOKUP(A1134,Lookup!A:B,2,0),"")</f>
        <v/>
      </c>
      <c r="C1134" s="54" t="str">
        <f>IFERROR(VLOOKUP(A1134,Lookup!A:C,3,0),"")</f>
        <v/>
      </c>
      <c r="J1134" s="103">
        <f>VLOOKUP(A1134&amp;G1134,Lookup!J:N,5,0)</f>
        <v>0</v>
      </c>
      <c r="O1134" s="57">
        <f>IFERROR(VLOOKUP(A1134&amp;G1134,Lookup!J:K,2,0),"")</f>
        <v>0</v>
      </c>
      <c r="P1134" s="110" t="str">
        <f t="shared" si="79"/>
        <v/>
      </c>
      <c r="T1134" s="59" t="e">
        <f t="shared" si="80"/>
        <v>#VALUE!</v>
      </c>
      <c r="U1134" s="59"/>
    </row>
    <row r="1135" spans="2:21" x14ac:dyDescent="0.25">
      <c r="B1135" s="54" t="str">
        <f>IFERROR(VLOOKUP(A1135,Lookup!A:B,2,0),"")</f>
        <v/>
      </c>
      <c r="C1135" s="54" t="str">
        <f>IFERROR(VLOOKUP(A1135,Lookup!A:C,3,0),"")</f>
        <v/>
      </c>
      <c r="J1135" s="103">
        <f>VLOOKUP(A1135&amp;G1135,Lookup!J:N,5,0)</f>
        <v>0</v>
      </c>
      <c r="O1135" s="57">
        <f>IFERROR(VLOOKUP(A1135&amp;G1135,Lookup!J:K,2,0),"")</f>
        <v>0</v>
      </c>
      <c r="P1135" s="110" t="str">
        <f t="shared" si="79"/>
        <v/>
      </c>
      <c r="T1135" s="59" t="e">
        <f t="shared" si="80"/>
        <v>#VALUE!</v>
      </c>
      <c r="U1135" s="59"/>
    </row>
    <row r="1136" spans="2:21" x14ac:dyDescent="0.25">
      <c r="B1136" s="54" t="str">
        <f>IFERROR(VLOOKUP(A1136,Lookup!A:B,2,0),"")</f>
        <v/>
      </c>
      <c r="C1136" s="54" t="str">
        <f>IFERROR(VLOOKUP(A1136,Lookup!A:C,3,0),"")</f>
        <v/>
      </c>
      <c r="J1136" s="103">
        <f>VLOOKUP(A1136&amp;G1136,Lookup!J:N,5,0)</f>
        <v>0</v>
      </c>
      <c r="O1136" s="57">
        <f>IFERROR(VLOOKUP(A1136&amp;G1136,Lookup!J:K,2,0),"")</f>
        <v>0</v>
      </c>
      <c r="P1136" s="110" t="str">
        <f t="shared" si="79"/>
        <v/>
      </c>
      <c r="T1136" s="59" t="e">
        <f t="shared" si="80"/>
        <v>#VALUE!</v>
      </c>
      <c r="U1136" s="59"/>
    </row>
    <row r="1137" spans="2:21" x14ac:dyDescent="0.25">
      <c r="B1137" s="54" t="str">
        <f>IFERROR(VLOOKUP(A1137,Lookup!A:B,2,0),"")</f>
        <v/>
      </c>
      <c r="C1137" s="54" t="str">
        <f>IFERROR(VLOOKUP(A1137,Lookup!A:C,3,0),"")</f>
        <v/>
      </c>
      <c r="J1137" s="103">
        <f>VLOOKUP(A1137&amp;G1137,Lookup!J:N,5,0)</f>
        <v>0</v>
      </c>
      <c r="O1137" s="57">
        <f>IFERROR(VLOOKUP(A1137&amp;G1137,Lookup!J:K,2,0),"")</f>
        <v>0</v>
      </c>
      <c r="P1137" s="110" t="str">
        <f t="shared" si="79"/>
        <v/>
      </c>
      <c r="T1137" s="59" t="e">
        <f t="shared" si="80"/>
        <v>#VALUE!</v>
      </c>
      <c r="U1137" s="59"/>
    </row>
    <row r="1138" spans="2:21" x14ac:dyDescent="0.25">
      <c r="B1138" s="54" t="str">
        <f>IFERROR(VLOOKUP(A1138,Lookup!A:B,2,0),"")</f>
        <v/>
      </c>
      <c r="C1138" s="54" t="str">
        <f>IFERROR(VLOOKUP(A1138,Lookup!A:C,3,0),"")</f>
        <v/>
      </c>
      <c r="J1138" s="103">
        <f>VLOOKUP(A1138&amp;G1138,Lookup!J:N,5,0)</f>
        <v>0</v>
      </c>
      <c r="O1138" s="57">
        <f>IFERROR(VLOOKUP(A1138&amp;G1138,Lookup!J:K,2,0),"")</f>
        <v>0</v>
      </c>
      <c r="P1138" s="110" t="str">
        <f t="shared" si="79"/>
        <v/>
      </c>
      <c r="T1138" s="59" t="e">
        <f t="shared" si="80"/>
        <v>#VALUE!</v>
      </c>
      <c r="U1138" s="59"/>
    </row>
    <row r="1139" spans="2:21" x14ac:dyDescent="0.25">
      <c r="B1139" s="54" t="str">
        <f>IFERROR(VLOOKUP(A1139,Lookup!A:B,2,0),"")</f>
        <v/>
      </c>
      <c r="C1139" s="54" t="str">
        <f>IFERROR(VLOOKUP(A1139,Lookup!A:C,3,0),"")</f>
        <v/>
      </c>
      <c r="J1139" s="103">
        <f>VLOOKUP(A1139&amp;G1139,Lookup!J:N,5,0)</f>
        <v>0</v>
      </c>
      <c r="O1139" s="57">
        <f>IFERROR(VLOOKUP(A1139&amp;G1139,Lookup!J:K,2,0),"")</f>
        <v>0</v>
      </c>
      <c r="P1139" s="110" t="str">
        <f t="shared" si="79"/>
        <v/>
      </c>
      <c r="T1139" s="59" t="e">
        <f t="shared" si="80"/>
        <v>#VALUE!</v>
      </c>
      <c r="U1139" s="59"/>
    </row>
    <row r="1140" spans="2:21" x14ac:dyDescent="0.25">
      <c r="B1140" s="54" t="str">
        <f>IFERROR(VLOOKUP(A1140,Lookup!A:B,2,0),"")</f>
        <v/>
      </c>
      <c r="C1140" s="54" t="str">
        <f>IFERROR(VLOOKUP(A1140,Lookup!A:C,3,0),"")</f>
        <v/>
      </c>
      <c r="J1140" s="103">
        <f>VLOOKUP(A1140&amp;G1140,Lookup!J:N,5,0)</f>
        <v>0</v>
      </c>
      <c r="O1140" s="57">
        <f>IFERROR(VLOOKUP(A1140&amp;G1140,Lookup!J:K,2,0),"")</f>
        <v>0</v>
      </c>
      <c r="P1140" s="110" t="str">
        <f t="shared" si="79"/>
        <v/>
      </c>
      <c r="T1140" s="59" t="e">
        <f t="shared" si="80"/>
        <v>#VALUE!</v>
      </c>
      <c r="U1140" s="59"/>
    </row>
    <row r="1141" spans="2:21" x14ac:dyDescent="0.25">
      <c r="B1141" s="54" t="str">
        <f>IFERROR(VLOOKUP(A1141,Lookup!A:B,2,0),"")</f>
        <v/>
      </c>
      <c r="C1141" s="54" t="str">
        <f>IFERROR(VLOOKUP(A1141,Lookup!A:C,3,0),"")</f>
        <v/>
      </c>
      <c r="J1141" s="103">
        <f>VLOOKUP(A1141&amp;G1141,Lookup!J:N,5,0)</f>
        <v>0</v>
      </c>
      <c r="O1141" s="57">
        <f>IFERROR(VLOOKUP(A1141&amp;G1141,Lookup!J:K,2,0),"")</f>
        <v>0</v>
      </c>
      <c r="P1141" s="110" t="str">
        <f t="shared" si="79"/>
        <v/>
      </c>
      <c r="T1141" s="59" t="e">
        <f t="shared" si="80"/>
        <v>#VALUE!</v>
      </c>
      <c r="U1141" s="59"/>
    </row>
    <row r="1142" spans="2:21" x14ac:dyDescent="0.25">
      <c r="B1142" s="54" t="str">
        <f>IFERROR(VLOOKUP(A1142,Lookup!A:B,2,0),"")</f>
        <v/>
      </c>
      <c r="C1142" s="54" t="str">
        <f>IFERROR(VLOOKUP(A1142,Lookup!A:C,3,0),"")</f>
        <v/>
      </c>
      <c r="J1142" s="103">
        <f>VLOOKUP(A1142&amp;G1142,Lookup!J:N,5,0)</f>
        <v>0</v>
      </c>
      <c r="O1142" s="57">
        <f>IFERROR(VLOOKUP(A1142&amp;G1142,Lookup!J:K,2,0),"")</f>
        <v>0</v>
      </c>
      <c r="P1142" s="110" t="str">
        <f t="shared" si="79"/>
        <v/>
      </c>
      <c r="T1142" s="59" t="e">
        <f t="shared" si="80"/>
        <v>#VALUE!</v>
      </c>
      <c r="U1142" s="59"/>
    </row>
    <row r="1143" spans="2:21" x14ac:dyDescent="0.25">
      <c r="B1143" s="54" t="str">
        <f>IFERROR(VLOOKUP(A1143,Lookup!A:B,2,0),"")</f>
        <v/>
      </c>
      <c r="C1143" s="54" t="str">
        <f>IFERROR(VLOOKUP(A1143,Lookup!A:C,3,0),"")</f>
        <v/>
      </c>
      <c r="J1143" s="103">
        <f>VLOOKUP(A1143&amp;G1143,Lookup!J:N,5,0)</f>
        <v>0</v>
      </c>
      <c r="O1143" s="57">
        <f>IFERROR(VLOOKUP(A1143&amp;G1143,Lookup!J:K,2,0),"")</f>
        <v>0</v>
      </c>
      <c r="P1143" s="110" t="str">
        <f t="shared" si="79"/>
        <v/>
      </c>
      <c r="T1143" s="59" t="e">
        <f t="shared" si="80"/>
        <v>#VALUE!</v>
      </c>
      <c r="U1143" s="59"/>
    </row>
    <row r="1144" spans="2:21" x14ac:dyDescent="0.25">
      <c r="B1144" s="54" t="str">
        <f>IFERROR(VLOOKUP(A1144,Lookup!A:B,2,0),"")</f>
        <v/>
      </c>
      <c r="C1144" s="54" t="str">
        <f>IFERROR(VLOOKUP(A1144,Lookup!A:C,3,0),"")</f>
        <v/>
      </c>
      <c r="J1144" s="103">
        <f>VLOOKUP(A1144&amp;G1144,Lookup!J:N,5,0)</f>
        <v>0</v>
      </c>
      <c r="O1144" s="57">
        <f>IFERROR(VLOOKUP(A1144&amp;G1144,Lookup!J:K,2,0),"")</f>
        <v>0</v>
      </c>
      <c r="P1144" s="110" t="str">
        <f t="shared" si="79"/>
        <v/>
      </c>
      <c r="T1144" s="59" t="e">
        <f t="shared" si="80"/>
        <v>#VALUE!</v>
      </c>
      <c r="U1144" s="59"/>
    </row>
    <row r="1145" spans="2:21" x14ac:dyDescent="0.25">
      <c r="B1145" s="54" t="str">
        <f>IFERROR(VLOOKUP(A1145,Lookup!A:B,2,0),"")</f>
        <v/>
      </c>
      <c r="C1145" s="54" t="str">
        <f>IFERROR(VLOOKUP(A1145,Lookup!A:C,3,0),"")</f>
        <v/>
      </c>
      <c r="J1145" s="103">
        <f>VLOOKUP(A1145&amp;G1145,Lookup!J:N,5,0)</f>
        <v>0</v>
      </c>
      <c r="O1145" s="57">
        <f>IFERROR(VLOOKUP(A1145&amp;G1145,Lookup!J:K,2,0),"")</f>
        <v>0</v>
      </c>
      <c r="P1145" s="110" t="str">
        <f t="shared" si="79"/>
        <v/>
      </c>
      <c r="T1145" s="59" t="e">
        <f t="shared" si="80"/>
        <v>#VALUE!</v>
      </c>
      <c r="U1145" s="59"/>
    </row>
    <row r="1146" spans="2:21" x14ac:dyDescent="0.25">
      <c r="B1146" s="54" t="str">
        <f>IFERROR(VLOOKUP(A1146,Lookup!A:B,2,0),"")</f>
        <v/>
      </c>
      <c r="C1146" s="54" t="str">
        <f>IFERROR(VLOOKUP(A1146,Lookup!A:C,3,0),"")</f>
        <v/>
      </c>
      <c r="J1146" s="103">
        <f>VLOOKUP(A1146&amp;G1146,Lookup!J:N,5,0)</f>
        <v>0</v>
      </c>
      <c r="O1146" s="57">
        <f>IFERROR(VLOOKUP(A1146&amp;G1146,Lookup!J:K,2,0),"")</f>
        <v>0</v>
      </c>
      <c r="P1146" s="110" t="str">
        <f t="shared" si="79"/>
        <v/>
      </c>
      <c r="T1146" s="59" t="e">
        <f t="shared" si="80"/>
        <v>#VALUE!</v>
      </c>
      <c r="U1146" s="59"/>
    </row>
    <row r="1147" spans="2:21" x14ac:dyDescent="0.25">
      <c r="B1147" s="54" t="str">
        <f>IFERROR(VLOOKUP(A1147,Lookup!A:B,2,0),"")</f>
        <v/>
      </c>
      <c r="C1147" s="54" t="str">
        <f>IFERROR(VLOOKUP(A1147,Lookup!A:C,3,0),"")</f>
        <v/>
      </c>
      <c r="J1147" s="103">
        <f>VLOOKUP(A1147&amp;G1147,Lookup!J:N,5,0)</f>
        <v>0</v>
      </c>
      <c r="O1147" s="57">
        <f>IFERROR(VLOOKUP(A1147&amp;G1147,Lookup!J:K,2,0),"")</f>
        <v>0</v>
      </c>
      <c r="P1147" s="110" t="str">
        <f t="shared" si="79"/>
        <v/>
      </c>
      <c r="T1147" s="59" t="e">
        <f t="shared" si="80"/>
        <v>#VALUE!</v>
      </c>
      <c r="U1147" s="59"/>
    </row>
    <row r="1148" spans="2:21" x14ac:dyDescent="0.25">
      <c r="B1148" s="54" t="str">
        <f>IFERROR(VLOOKUP(A1148,Lookup!A:B,2,0),"")</f>
        <v/>
      </c>
      <c r="C1148" s="54" t="str">
        <f>IFERROR(VLOOKUP(A1148,Lookup!A:C,3,0),"")</f>
        <v/>
      </c>
      <c r="J1148" s="103">
        <f>VLOOKUP(A1148&amp;G1148,Lookup!J:N,5,0)</f>
        <v>0</v>
      </c>
      <c r="O1148" s="57">
        <f>IFERROR(VLOOKUP(A1148&amp;G1148,Lookup!J:K,2,0),"")</f>
        <v>0</v>
      </c>
      <c r="P1148" s="110" t="str">
        <f t="shared" si="79"/>
        <v/>
      </c>
      <c r="T1148" s="59" t="e">
        <f t="shared" si="80"/>
        <v>#VALUE!</v>
      </c>
      <c r="U1148" s="59"/>
    </row>
    <row r="1149" spans="2:21" x14ac:dyDescent="0.25">
      <c r="B1149" s="54" t="str">
        <f>IFERROR(VLOOKUP(A1149,Lookup!A:B,2,0),"")</f>
        <v/>
      </c>
      <c r="C1149" s="54" t="str">
        <f>IFERROR(VLOOKUP(A1149,Lookup!A:C,3,0),"")</f>
        <v/>
      </c>
      <c r="J1149" s="103">
        <f>VLOOKUP(A1149&amp;G1149,Lookup!J:N,5,0)</f>
        <v>0</v>
      </c>
      <c r="O1149" s="57">
        <f>IFERROR(VLOOKUP(A1149&amp;G1149,Lookup!J:K,2,0),"")</f>
        <v>0</v>
      </c>
      <c r="P1149" s="110" t="str">
        <f t="shared" si="79"/>
        <v/>
      </c>
      <c r="T1149" s="59" t="e">
        <f t="shared" si="80"/>
        <v>#VALUE!</v>
      </c>
      <c r="U1149" s="59"/>
    </row>
    <row r="1150" spans="2:21" x14ac:dyDescent="0.25">
      <c r="B1150" s="54" t="str">
        <f>IFERROR(VLOOKUP(A1150,Lookup!A:B,2,0),"")</f>
        <v/>
      </c>
      <c r="C1150" s="54" t="str">
        <f>IFERROR(VLOOKUP(A1150,Lookup!A:C,3,0),"")</f>
        <v/>
      </c>
      <c r="J1150" s="103">
        <f>VLOOKUP(A1150&amp;G1150,Lookup!J:N,5,0)</f>
        <v>0</v>
      </c>
      <c r="O1150" s="57">
        <f>IFERROR(VLOOKUP(A1150&amp;G1150,Lookup!J:K,2,0),"")</f>
        <v>0</v>
      </c>
      <c r="P1150" s="110" t="str">
        <f t="shared" si="79"/>
        <v/>
      </c>
      <c r="T1150" s="59" t="e">
        <f t="shared" si="80"/>
        <v>#VALUE!</v>
      </c>
      <c r="U1150" s="59"/>
    </row>
    <row r="1151" spans="2:21" x14ac:dyDescent="0.25">
      <c r="B1151" s="54" t="str">
        <f>IFERROR(VLOOKUP(A1151,Lookup!A:B,2,0),"")</f>
        <v/>
      </c>
      <c r="C1151" s="54" t="str">
        <f>IFERROR(VLOOKUP(A1151,Lookup!A:C,3,0),"")</f>
        <v/>
      </c>
      <c r="J1151" s="103">
        <f>VLOOKUP(A1151&amp;G1151,Lookup!J:N,5,0)</f>
        <v>0</v>
      </c>
      <c r="O1151" s="57">
        <f>IFERROR(VLOOKUP(A1151&amp;G1151,Lookup!J:K,2,0),"")</f>
        <v>0</v>
      </c>
      <c r="P1151" s="110" t="str">
        <f t="shared" si="79"/>
        <v/>
      </c>
      <c r="T1151" s="59" t="e">
        <f t="shared" si="80"/>
        <v>#VALUE!</v>
      </c>
      <c r="U1151" s="59"/>
    </row>
    <row r="1152" spans="2:21" x14ac:dyDescent="0.25">
      <c r="B1152" s="54" t="str">
        <f>IFERROR(VLOOKUP(A1152,Lookup!A:B,2,0),"")</f>
        <v/>
      </c>
      <c r="C1152" s="54" t="str">
        <f>IFERROR(VLOOKUP(A1152,Lookup!A:C,3,0),"")</f>
        <v/>
      </c>
      <c r="J1152" s="103">
        <f>VLOOKUP(A1152&amp;G1152,Lookup!J:N,5,0)</f>
        <v>0</v>
      </c>
      <c r="O1152" s="57">
        <f>IFERROR(VLOOKUP(A1152&amp;G1152,Lookup!J:K,2,0),"")</f>
        <v>0</v>
      </c>
      <c r="P1152" s="110" t="str">
        <f t="shared" si="79"/>
        <v/>
      </c>
      <c r="T1152" s="59" t="e">
        <f t="shared" si="80"/>
        <v>#VALUE!</v>
      </c>
      <c r="U1152" s="59"/>
    </row>
    <row r="1153" spans="2:21" x14ac:dyDescent="0.25">
      <c r="B1153" s="54" t="str">
        <f>IFERROR(VLOOKUP(A1153,Lookup!A:B,2,0),"")</f>
        <v/>
      </c>
      <c r="C1153" s="54" t="str">
        <f>IFERROR(VLOOKUP(A1153,Lookup!A:C,3,0),"")</f>
        <v/>
      </c>
      <c r="J1153" s="103">
        <f>VLOOKUP(A1153&amp;G1153,Lookup!J:N,5,0)</f>
        <v>0</v>
      </c>
      <c r="O1153" s="57">
        <f>IFERROR(VLOOKUP(A1153&amp;G1153,Lookup!J:K,2,0),"")</f>
        <v>0</v>
      </c>
      <c r="P1153" s="110" t="str">
        <f t="shared" si="79"/>
        <v/>
      </c>
      <c r="T1153" s="59" t="e">
        <f t="shared" si="80"/>
        <v>#VALUE!</v>
      </c>
      <c r="U1153" s="59"/>
    </row>
    <row r="1154" spans="2:21" x14ac:dyDescent="0.25">
      <c r="B1154" s="54" t="str">
        <f>IFERROR(VLOOKUP(A1154,Lookup!A:B,2,0),"")</f>
        <v/>
      </c>
      <c r="C1154" s="54" t="str">
        <f>IFERROR(VLOOKUP(A1154,Lookup!A:C,3,0),"")</f>
        <v/>
      </c>
      <c r="J1154" s="103">
        <f>VLOOKUP(A1154&amp;G1154,Lookup!J:N,5,0)</f>
        <v>0</v>
      </c>
      <c r="O1154" s="57">
        <f>IFERROR(VLOOKUP(A1154&amp;G1154,Lookup!J:K,2,0),"")</f>
        <v>0</v>
      </c>
      <c r="P1154" s="110" t="str">
        <f t="shared" si="79"/>
        <v/>
      </c>
      <c r="T1154" s="59" t="e">
        <f t="shared" si="80"/>
        <v>#VALUE!</v>
      </c>
      <c r="U1154" s="59"/>
    </row>
    <row r="1155" spans="2:21" x14ac:dyDescent="0.25">
      <c r="B1155" s="54" t="str">
        <f>IFERROR(VLOOKUP(A1155,Lookup!A:B,2,0),"")</f>
        <v/>
      </c>
      <c r="C1155" s="54" t="str">
        <f>IFERROR(VLOOKUP(A1155,Lookup!A:C,3,0),"")</f>
        <v/>
      </c>
      <c r="J1155" s="103">
        <f>VLOOKUP(A1155&amp;G1155,Lookup!J:N,5,0)</f>
        <v>0</v>
      </c>
      <c r="O1155" s="57">
        <f>IFERROR(VLOOKUP(A1155&amp;G1155,Lookup!J:K,2,0),"")</f>
        <v>0</v>
      </c>
      <c r="P1155" s="110" t="str">
        <f t="shared" si="79"/>
        <v/>
      </c>
      <c r="T1155" s="59" t="e">
        <f t="shared" si="80"/>
        <v>#VALUE!</v>
      </c>
      <c r="U1155" s="59"/>
    </row>
    <row r="1156" spans="2:21" x14ac:dyDescent="0.25">
      <c r="B1156" s="54" t="str">
        <f>IFERROR(VLOOKUP(A1156,Lookup!A:B,2,0),"")</f>
        <v/>
      </c>
      <c r="C1156" s="54" t="str">
        <f>IFERROR(VLOOKUP(A1156,Lookup!A:C,3,0),"")</f>
        <v/>
      </c>
      <c r="J1156" s="103">
        <f>VLOOKUP(A1156&amp;G1156,Lookup!J:N,5,0)</f>
        <v>0</v>
      </c>
      <c r="O1156" s="57">
        <f>IFERROR(VLOOKUP(A1156&amp;G1156,Lookup!J:K,2,0),"")</f>
        <v>0</v>
      </c>
      <c r="P1156" s="110" t="str">
        <f t="shared" ref="P1156:P1219" si="81">IF(N1156="","",N1156+O1156)</f>
        <v/>
      </c>
      <c r="T1156" s="59" t="e">
        <f t="shared" si="80"/>
        <v>#VALUE!</v>
      </c>
      <c r="U1156" s="59"/>
    </row>
    <row r="1157" spans="2:21" x14ac:dyDescent="0.25">
      <c r="B1157" s="54" t="str">
        <f>IFERROR(VLOOKUP(A1157,Lookup!A:B,2,0),"")</f>
        <v/>
      </c>
      <c r="C1157" s="54" t="str">
        <f>IFERROR(VLOOKUP(A1157,Lookup!A:C,3,0),"")</f>
        <v/>
      </c>
      <c r="J1157" s="103">
        <f>VLOOKUP(A1157&amp;G1157,Lookup!J:N,5,0)</f>
        <v>0</v>
      </c>
      <c r="O1157" s="57">
        <f>IFERROR(VLOOKUP(A1157&amp;G1157,Lookup!J:K,2,0),"")</f>
        <v>0</v>
      </c>
      <c r="P1157" s="110" t="str">
        <f t="shared" si="81"/>
        <v/>
      </c>
      <c r="T1157" s="59" t="e">
        <f t="shared" si="80"/>
        <v>#VALUE!</v>
      </c>
      <c r="U1157" s="59"/>
    </row>
    <row r="1158" spans="2:21" x14ac:dyDescent="0.25">
      <c r="B1158" s="54" t="str">
        <f>IFERROR(VLOOKUP(A1158,Lookup!A:B,2,0),"")</f>
        <v/>
      </c>
      <c r="C1158" s="54" t="str">
        <f>IFERROR(VLOOKUP(A1158,Lookup!A:C,3,0),"")</f>
        <v/>
      </c>
      <c r="J1158" s="103">
        <f>VLOOKUP(A1158&amp;G1158,Lookup!J:N,5,0)</f>
        <v>0</v>
      </c>
      <c r="O1158" s="57">
        <f>IFERROR(VLOOKUP(A1158&amp;G1158,Lookup!J:K,2,0),"")</f>
        <v>0</v>
      </c>
      <c r="P1158" s="110" t="str">
        <f t="shared" si="81"/>
        <v/>
      </c>
      <c r="T1158" s="59" t="e">
        <f t="shared" si="80"/>
        <v>#VALUE!</v>
      </c>
      <c r="U1158" s="59"/>
    </row>
    <row r="1159" spans="2:21" x14ac:dyDescent="0.25">
      <c r="B1159" s="54" t="str">
        <f>IFERROR(VLOOKUP(A1159,Lookup!A:B,2,0),"")</f>
        <v/>
      </c>
      <c r="C1159" s="54" t="str">
        <f>IFERROR(VLOOKUP(A1159,Lookup!A:C,3,0),"")</f>
        <v/>
      </c>
      <c r="J1159" s="103">
        <f>VLOOKUP(A1159&amp;G1159,Lookup!J:N,5,0)</f>
        <v>0</v>
      </c>
      <c r="O1159" s="57">
        <f>IFERROR(VLOOKUP(A1159&amp;G1159,Lookup!J:K,2,0),"")</f>
        <v>0</v>
      </c>
      <c r="P1159" s="110" t="str">
        <f t="shared" si="81"/>
        <v/>
      </c>
      <c r="T1159" s="59" t="e">
        <f t="shared" si="80"/>
        <v>#VALUE!</v>
      </c>
      <c r="U1159" s="59"/>
    </row>
    <row r="1160" spans="2:21" x14ac:dyDescent="0.25">
      <c r="B1160" s="54" t="str">
        <f>IFERROR(VLOOKUP(A1160,Lookup!A:B,2,0),"")</f>
        <v/>
      </c>
      <c r="C1160" s="54" t="str">
        <f>IFERROR(VLOOKUP(A1160,Lookup!A:C,3,0),"")</f>
        <v/>
      </c>
      <c r="J1160" s="103">
        <f>VLOOKUP(A1160&amp;G1160,Lookup!J:N,5,0)</f>
        <v>0</v>
      </c>
      <c r="O1160" s="57">
        <f>IFERROR(VLOOKUP(A1160&amp;G1160,Lookup!J:K,2,0),"")</f>
        <v>0</v>
      </c>
      <c r="P1160" s="110" t="str">
        <f t="shared" si="81"/>
        <v/>
      </c>
      <c r="T1160" s="59" t="e">
        <f t="shared" si="80"/>
        <v>#VALUE!</v>
      </c>
      <c r="U1160" s="59"/>
    </row>
    <row r="1161" spans="2:21" x14ac:dyDescent="0.25">
      <c r="B1161" s="54" t="str">
        <f>IFERROR(VLOOKUP(A1161,Lookup!A:B,2,0),"")</f>
        <v/>
      </c>
      <c r="C1161" s="54" t="str">
        <f>IFERROR(VLOOKUP(A1161,Lookup!A:C,3,0),"")</f>
        <v/>
      </c>
      <c r="J1161" s="103">
        <f>VLOOKUP(A1161&amp;G1161,Lookup!J:N,5,0)</f>
        <v>0</v>
      </c>
      <c r="O1161" s="57">
        <f>IFERROR(VLOOKUP(A1161&amp;G1161,Lookup!J:K,2,0),"")</f>
        <v>0</v>
      </c>
      <c r="P1161" s="110" t="str">
        <f t="shared" si="81"/>
        <v/>
      </c>
      <c r="T1161" s="59" t="e">
        <f t="shared" si="80"/>
        <v>#VALUE!</v>
      </c>
      <c r="U1161" s="59"/>
    </row>
    <row r="1162" spans="2:21" x14ac:dyDescent="0.25">
      <c r="B1162" s="54" t="str">
        <f>IFERROR(VLOOKUP(A1162,Lookup!A:B,2,0),"")</f>
        <v/>
      </c>
      <c r="C1162" s="54" t="str">
        <f>IFERROR(VLOOKUP(A1162,Lookup!A:C,3,0),"")</f>
        <v/>
      </c>
      <c r="J1162" s="103">
        <f>VLOOKUP(A1162&amp;G1162,Lookup!J:N,5,0)</f>
        <v>0</v>
      </c>
      <c r="O1162" s="57">
        <f>IFERROR(VLOOKUP(A1162&amp;G1162,Lookup!J:K,2,0),"")</f>
        <v>0</v>
      </c>
      <c r="P1162" s="110" t="str">
        <f t="shared" si="81"/>
        <v/>
      </c>
      <c r="T1162" s="59" t="e">
        <f t="shared" si="80"/>
        <v>#VALUE!</v>
      </c>
      <c r="U1162" s="59"/>
    </row>
    <row r="1163" spans="2:21" x14ac:dyDescent="0.25">
      <c r="B1163" s="54" t="str">
        <f>IFERROR(VLOOKUP(A1163,Lookup!A:B,2,0),"")</f>
        <v/>
      </c>
      <c r="C1163" s="54" t="str">
        <f>IFERROR(VLOOKUP(A1163,Lookup!A:C,3,0),"")</f>
        <v/>
      </c>
      <c r="J1163" s="103">
        <f>VLOOKUP(A1163&amp;G1163,Lookup!J:N,5,0)</f>
        <v>0</v>
      </c>
      <c r="O1163" s="57">
        <f>IFERROR(VLOOKUP(A1163&amp;G1163,Lookup!J:K,2,0),"")</f>
        <v>0</v>
      </c>
      <c r="P1163" s="110" t="str">
        <f t="shared" si="81"/>
        <v/>
      </c>
      <c r="T1163" s="59" t="e">
        <f t="shared" si="80"/>
        <v>#VALUE!</v>
      </c>
      <c r="U1163" s="59"/>
    </row>
    <row r="1164" spans="2:21" x14ac:dyDescent="0.25">
      <c r="B1164" s="54" t="str">
        <f>IFERROR(VLOOKUP(A1164,Lookup!A:B,2,0),"")</f>
        <v/>
      </c>
      <c r="C1164" s="54" t="str">
        <f>IFERROR(VLOOKUP(A1164,Lookup!A:C,3,0),"")</f>
        <v/>
      </c>
      <c r="J1164" s="103">
        <f>VLOOKUP(A1164&amp;G1164,Lookup!J:N,5,0)</f>
        <v>0</v>
      </c>
      <c r="O1164" s="57">
        <f>IFERROR(VLOOKUP(A1164&amp;G1164,Lookup!J:K,2,0),"")</f>
        <v>0</v>
      </c>
      <c r="P1164" s="110" t="str">
        <f t="shared" si="81"/>
        <v/>
      </c>
      <c r="T1164" s="59" t="e">
        <f t="shared" si="80"/>
        <v>#VALUE!</v>
      </c>
      <c r="U1164" s="59"/>
    </row>
    <row r="1165" spans="2:21" x14ac:dyDescent="0.25">
      <c r="B1165" s="54" t="str">
        <f>IFERROR(VLOOKUP(A1165,Lookup!A:B,2,0),"")</f>
        <v/>
      </c>
      <c r="C1165" s="54" t="str">
        <f>IFERROR(VLOOKUP(A1165,Lookup!A:C,3,0),"")</f>
        <v/>
      </c>
      <c r="J1165" s="103">
        <f>VLOOKUP(A1165&amp;G1165,Lookup!J:N,5,0)</f>
        <v>0</v>
      </c>
      <c r="O1165" s="57">
        <f>IFERROR(VLOOKUP(A1165&amp;G1165,Lookup!J:K,2,0),"")</f>
        <v>0</v>
      </c>
      <c r="P1165" s="110" t="str">
        <f t="shared" si="81"/>
        <v/>
      </c>
      <c r="T1165" s="59" t="e">
        <f t="shared" si="80"/>
        <v>#VALUE!</v>
      </c>
      <c r="U1165" s="59"/>
    </row>
    <row r="1166" spans="2:21" x14ac:dyDescent="0.25">
      <c r="B1166" s="54" t="str">
        <f>IFERROR(VLOOKUP(A1166,Lookup!A:B,2,0),"")</f>
        <v/>
      </c>
      <c r="C1166" s="54" t="str">
        <f>IFERROR(VLOOKUP(A1166,Lookup!A:C,3,0),"")</f>
        <v/>
      </c>
      <c r="J1166" s="103">
        <f>VLOOKUP(A1166&amp;G1166,Lookup!J:N,5,0)</f>
        <v>0</v>
      </c>
      <c r="O1166" s="57">
        <f>IFERROR(VLOOKUP(A1166&amp;G1166,Lookup!J:K,2,0),"")</f>
        <v>0</v>
      </c>
      <c r="P1166" s="110" t="str">
        <f t="shared" si="81"/>
        <v/>
      </c>
      <c r="T1166" s="59" t="e">
        <f t="shared" ref="T1166:T1229" si="82">IF(Q1166-P1166&gt;0.0415,"YES",(IF(OR(EXACT(Q1166,""), EXACT(P1166,"")),"","NO")))</f>
        <v>#VALUE!</v>
      </c>
      <c r="U1166" s="59"/>
    </row>
    <row r="1167" spans="2:21" x14ac:dyDescent="0.25">
      <c r="B1167" s="54" t="str">
        <f>IFERROR(VLOOKUP(A1167,Lookup!A:B,2,0),"")</f>
        <v/>
      </c>
      <c r="C1167" s="54" t="str">
        <f>IFERROR(VLOOKUP(A1167,Lookup!A:C,3,0),"")</f>
        <v/>
      </c>
      <c r="J1167" s="103">
        <f>VLOOKUP(A1167&amp;G1167,Lookup!J:N,5,0)</f>
        <v>0</v>
      </c>
      <c r="O1167" s="57">
        <f>IFERROR(VLOOKUP(A1167&amp;G1167,Lookup!J:K,2,0),"")</f>
        <v>0</v>
      </c>
      <c r="P1167" s="110" t="str">
        <f t="shared" si="81"/>
        <v/>
      </c>
      <c r="T1167" s="59" t="e">
        <f t="shared" si="82"/>
        <v>#VALUE!</v>
      </c>
      <c r="U1167" s="59"/>
    </row>
    <row r="1168" spans="2:21" x14ac:dyDescent="0.25">
      <c r="B1168" s="54" t="str">
        <f>IFERROR(VLOOKUP(A1168,Lookup!A:B,2,0),"")</f>
        <v/>
      </c>
      <c r="C1168" s="54" t="str">
        <f>IFERROR(VLOOKUP(A1168,Lookup!A:C,3,0),"")</f>
        <v/>
      </c>
      <c r="J1168" s="103">
        <f>VLOOKUP(A1168&amp;G1168,Lookup!J:N,5,0)</f>
        <v>0</v>
      </c>
      <c r="O1168" s="57">
        <f>IFERROR(VLOOKUP(A1168&amp;G1168,Lookup!J:K,2,0),"")</f>
        <v>0</v>
      </c>
      <c r="P1168" s="110" t="str">
        <f t="shared" si="81"/>
        <v/>
      </c>
      <c r="T1168" s="59" t="e">
        <f t="shared" si="82"/>
        <v>#VALUE!</v>
      </c>
      <c r="U1168" s="59"/>
    </row>
    <row r="1169" spans="2:21" x14ac:dyDescent="0.25">
      <c r="B1169" s="54" t="str">
        <f>IFERROR(VLOOKUP(A1169,Lookup!A:B,2,0),"")</f>
        <v/>
      </c>
      <c r="C1169" s="54" t="str">
        <f>IFERROR(VLOOKUP(A1169,Lookup!A:C,3,0),"")</f>
        <v/>
      </c>
      <c r="J1169" s="103">
        <f>VLOOKUP(A1169&amp;G1169,Lookup!J:N,5,0)</f>
        <v>0</v>
      </c>
      <c r="O1169" s="57">
        <f>IFERROR(VLOOKUP(A1169&amp;G1169,Lookup!J:K,2,0),"")</f>
        <v>0</v>
      </c>
      <c r="P1169" s="110" t="str">
        <f t="shared" si="81"/>
        <v/>
      </c>
      <c r="T1169" s="59" t="e">
        <f t="shared" si="82"/>
        <v>#VALUE!</v>
      </c>
      <c r="U1169" s="59"/>
    </row>
    <row r="1170" spans="2:21" x14ac:dyDescent="0.25">
      <c r="B1170" s="54" t="str">
        <f>IFERROR(VLOOKUP(A1170,Lookup!A:B,2,0),"")</f>
        <v/>
      </c>
      <c r="C1170" s="54" t="str">
        <f>IFERROR(VLOOKUP(A1170,Lookup!A:C,3,0),"")</f>
        <v/>
      </c>
      <c r="J1170" s="103">
        <f>VLOOKUP(A1170&amp;G1170,Lookup!J:N,5,0)</f>
        <v>0</v>
      </c>
      <c r="O1170" s="57">
        <f>IFERROR(VLOOKUP(A1170&amp;G1170,Lookup!J:K,2,0),"")</f>
        <v>0</v>
      </c>
      <c r="P1170" s="110" t="str">
        <f t="shared" si="81"/>
        <v/>
      </c>
      <c r="T1170" s="59" t="e">
        <f t="shared" si="82"/>
        <v>#VALUE!</v>
      </c>
      <c r="U1170" s="59"/>
    </row>
    <row r="1171" spans="2:21" x14ac:dyDescent="0.25">
      <c r="B1171" s="54" t="str">
        <f>IFERROR(VLOOKUP(A1171,Lookup!A:B,2,0),"")</f>
        <v/>
      </c>
      <c r="C1171" s="54" t="str">
        <f>IFERROR(VLOOKUP(A1171,Lookup!A:C,3,0),"")</f>
        <v/>
      </c>
      <c r="J1171" s="103">
        <f>VLOOKUP(A1171&amp;G1171,Lookup!J:N,5,0)</f>
        <v>0</v>
      </c>
      <c r="O1171" s="57">
        <f>IFERROR(VLOOKUP(A1171&amp;G1171,Lookup!J:K,2,0),"")</f>
        <v>0</v>
      </c>
      <c r="P1171" s="110" t="str">
        <f t="shared" si="81"/>
        <v/>
      </c>
      <c r="T1171" s="59" t="e">
        <f t="shared" si="82"/>
        <v>#VALUE!</v>
      </c>
      <c r="U1171" s="59"/>
    </row>
    <row r="1172" spans="2:21" x14ac:dyDescent="0.25">
      <c r="B1172" s="54" t="str">
        <f>IFERROR(VLOOKUP(A1172,Lookup!A:B,2,0),"")</f>
        <v/>
      </c>
      <c r="C1172" s="54" t="str">
        <f>IFERROR(VLOOKUP(A1172,Lookup!A:C,3,0),"")</f>
        <v/>
      </c>
      <c r="J1172" s="103">
        <f>VLOOKUP(A1172&amp;G1172,Lookup!J:N,5,0)</f>
        <v>0</v>
      </c>
      <c r="O1172" s="57">
        <f>IFERROR(VLOOKUP(A1172&amp;G1172,Lookup!J:K,2,0),"")</f>
        <v>0</v>
      </c>
      <c r="P1172" s="110" t="str">
        <f t="shared" si="81"/>
        <v/>
      </c>
      <c r="T1172" s="59" t="e">
        <f t="shared" si="82"/>
        <v>#VALUE!</v>
      </c>
      <c r="U1172" s="59"/>
    </row>
    <row r="1173" spans="2:21" x14ac:dyDescent="0.25">
      <c r="B1173" s="54" t="str">
        <f>IFERROR(VLOOKUP(A1173,Lookup!A:B,2,0),"")</f>
        <v/>
      </c>
      <c r="C1173" s="54" t="str">
        <f>IFERROR(VLOOKUP(A1173,Lookup!A:C,3,0),"")</f>
        <v/>
      </c>
      <c r="J1173" s="103">
        <f>VLOOKUP(A1173&amp;G1173,Lookup!J:N,5,0)</f>
        <v>0</v>
      </c>
      <c r="O1173" s="57">
        <f>IFERROR(VLOOKUP(A1173&amp;G1173,Lookup!J:K,2,0),"")</f>
        <v>0</v>
      </c>
      <c r="P1173" s="110" t="str">
        <f t="shared" si="81"/>
        <v/>
      </c>
      <c r="T1173" s="59" t="e">
        <f t="shared" si="82"/>
        <v>#VALUE!</v>
      </c>
      <c r="U1173" s="59"/>
    </row>
    <row r="1174" spans="2:21" x14ac:dyDescent="0.25">
      <c r="B1174" s="54" t="str">
        <f>IFERROR(VLOOKUP(A1174,Lookup!A:B,2,0),"")</f>
        <v/>
      </c>
      <c r="C1174" s="54" t="str">
        <f>IFERROR(VLOOKUP(A1174,Lookup!A:C,3,0),"")</f>
        <v/>
      </c>
      <c r="J1174" s="103">
        <f>VLOOKUP(A1174&amp;G1174,Lookup!J:N,5,0)</f>
        <v>0</v>
      </c>
      <c r="O1174" s="57">
        <f>IFERROR(VLOOKUP(A1174&amp;G1174,Lookup!J:K,2,0),"")</f>
        <v>0</v>
      </c>
      <c r="P1174" s="110" t="str">
        <f t="shared" si="81"/>
        <v/>
      </c>
      <c r="T1174" s="59" t="e">
        <f t="shared" si="82"/>
        <v>#VALUE!</v>
      </c>
      <c r="U1174" s="59"/>
    </row>
    <row r="1175" spans="2:21" x14ac:dyDescent="0.25">
      <c r="B1175" s="54" t="str">
        <f>IFERROR(VLOOKUP(A1175,Lookup!A:B,2,0),"")</f>
        <v/>
      </c>
      <c r="C1175" s="54" t="str">
        <f>IFERROR(VLOOKUP(A1175,Lookup!A:C,3,0),"")</f>
        <v/>
      </c>
      <c r="J1175" s="103">
        <f>VLOOKUP(A1175&amp;G1175,Lookup!J:N,5,0)</f>
        <v>0</v>
      </c>
      <c r="O1175" s="57">
        <f>IFERROR(VLOOKUP(A1175&amp;G1175,Lookup!J:K,2,0),"")</f>
        <v>0</v>
      </c>
      <c r="P1175" s="110" t="str">
        <f t="shared" si="81"/>
        <v/>
      </c>
      <c r="T1175" s="59" t="e">
        <f t="shared" si="82"/>
        <v>#VALUE!</v>
      </c>
      <c r="U1175" s="59"/>
    </row>
    <row r="1176" spans="2:21" x14ac:dyDescent="0.25">
      <c r="B1176" s="54" t="str">
        <f>IFERROR(VLOOKUP(A1176,Lookup!A:B,2,0),"")</f>
        <v/>
      </c>
      <c r="C1176" s="54" t="str">
        <f>IFERROR(VLOOKUP(A1176,Lookup!A:C,3,0),"")</f>
        <v/>
      </c>
      <c r="J1176" s="103">
        <f>VLOOKUP(A1176&amp;G1176,Lookup!J:N,5,0)</f>
        <v>0</v>
      </c>
      <c r="O1176" s="57">
        <f>IFERROR(VLOOKUP(A1176&amp;G1176,Lookup!J:K,2,0),"")</f>
        <v>0</v>
      </c>
      <c r="P1176" s="110" t="str">
        <f t="shared" si="81"/>
        <v/>
      </c>
      <c r="T1176" s="59" t="e">
        <f t="shared" si="82"/>
        <v>#VALUE!</v>
      </c>
      <c r="U1176" s="59"/>
    </row>
    <row r="1177" spans="2:21" x14ac:dyDescent="0.25">
      <c r="B1177" s="54" t="str">
        <f>IFERROR(VLOOKUP(A1177,Lookup!A:B,2,0),"")</f>
        <v/>
      </c>
      <c r="C1177" s="54" t="str">
        <f>IFERROR(VLOOKUP(A1177,Lookup!A:C,3,0),"")</f>
        <v/>
      </c>
      <c r="J1177" s="103">
        <f>VLOOKUP(A1177&amp;G1177,Lookup!J:N,5,0)</f>
        <v>0</v>
      </c>
      <c r="O1177" s="57">
        <f>IFERROR(VLOOKUP(A1177&amp;G1177,Lookup!J:K,2,0),"")</f>
        <v>0</v>
      </c>
      <c r="P1177" s="110" t="str">
        <f t="shared" si="81"/>
        <v/>
      </c>
      <c r="T1177" s="59" t="e">
        <f t="shared" si="82"/>
        <v>#VALUE!</v>
      </c>
      <c r="U1177" s="59"/>
    </row>
    <row r="1178" spans="2:21" x14ac:dyDescent="0.25">
      <c r="B1178" s="54" t="str">
        <f>IFERROR(VLOOKUP(A1178,Lookup!A:B,2,0),"")</f>
        <v/>
      </c>
      <c r="C1178" s="54" t="str">
        <f>IFERROR(VLOOKUP(A1178,Lookup!A:C,3,0),"")</f>
        <v/>
      </c>
      <c r="J1178" s="103">
        <f>VLOOKUP(A1178&amp;G1178,Lookup!J:N,5,0)</f>
        <v>0</v>
      </c>
      <c r="O1178" s="57">
        <f>IFERROR(VLOOKUP(A1178&amp;G1178,Lookup!J:K,2,0),"")</f>
        <v>0</v>
      </c>
      <c r="P1178" s="110" t="str">
        <f t="shared" si="81"/>
        <v/>
      </c>
      <c r="T1178" s="59" t="e">
        <f t="shared" si="82"/>
        <v>#VALUE!</v>
      </c>
      <c r="U1178" s="59"/>
    </row>
    <row r="1179" spans="2:21" x14ac:dyDescent="0.25">
      <c r="B1179" s="54" t="str">
        <f>IFERROR(VLOOKUP(A1179,Lookup!A:B,2,0),"")</f>
        <v/>
      </c>
      <c r="C1179" s="54" t="str">
        <f>IFERROR(VLOOKUP(A1179,Lookup!A:C,3,0),"")</f>
        <v/>
      </c>
      <c r="J1179" s="103">
        <f>VLOOKUP(A1179&amp;G1179,Lookup!J:N,5,0)</f>
        <v>0</v>
      </c>
      <c r="O1179" s="57">
        <f>IFERROR(VLOOKUP(A1179&amp;G1179,Lookup!J:K,2,0),"")</f>
        <v>0</v>
      </c>
      <c r="P1179" s="110" t="str">
        <f t="shared" si="81"/>
        <v/>
      </c>
      <c r="T1179" s="59" t="e">
        <f t="shared" si="82"/>
        <v>#VALUE!</v>
      </c>
      <c r="U1179" s="59"/>
    </row>
    <row r="1180" spans="2:21" x14ac:dyDescent="0.25">
      <c r="B1180" s="54" t="str">
        <f>IFERROR(VLOOKUP(A1180,Lookup!A:B,2,0),"")</f>
        <v/>
      </c>
      <c r="C1180" s="54" t="str">
        <f>IFERROR(VLOOKUP(A1180,Lookup!A:C,3,0),"")</f>
        <v/>
      </c>
      <c r="J1180" s="103">
        <f>VLOOKUP(A1180&amp;G1180,Lookup!J:N,5,0)</f>
        <v>0</v>
      </c>
      <c r="O1180" s="57">
        <f>IFERROR(VLOOKUP(A1180&amp;G1180,Lookup!J:K,2,0),"")</f>
        <v>0</v>
      </c>
      <c r="P1180" s="110" t="str">
        <f t="shared" si="81"/>
        <v/>
      </c>
      <c r="T1180" s="59" t="e">
        <f t="shared" si="82"/>
        <v>#VALUE!</v>
      </c>
      <c r="U1180" s="59"/>
    </row>
    <row r="1181" spans="2:21" x14ac:dyDescent="0.25">
      <c r="B1181" s="54" t="str">
        <f>IFERROR(VLOOKUP(A1181,Lookup!A:B,2,0),"")</f>
        <v/>
      </c>
      <c r="C1181" s="54" t="str">
        <f>IFERROR(VLOOKUP(A1181,Lookup!A:C,3,0),"")</f>
        <v/>
      </c>
      <c r="J1181" s="103">
        <f>VLOOKUP(A1181&amp;G1181,Lookup!J:N,5,0)</f>
        <v>0</v>
      </c>
      <c r="O1181" s="57">
        <f>IFERROR(VLOOKUP(A1181&amp;G1181,Lookup!J:K,2,0),"")</f>
        <v>0</v>
      </c>
      <c r="P1181" s="110" t="str">
        <f t="shared" si="81"/>
        <v/>
      </c>
      <c r="T1181" s="59" t="e">
        <f t="shared" si="82"/>
        <v>#VALUE!</v>
      </c>
      <c r="U1181" s="59"/>
    </row>
    <row r="1182" spans="2:21" x14ac:dyDescent="0.25">
      <c r="B1182" s="54" t="str">
        <f>IFERROR(VLOOKUP(A1182,Lookup!A:B,2,0),"")</f>
        <v/>
      </c>
      <c r="C1182" s="54" t="str">
        <f>IFERROR(VLOOKUP(A1182,Lookup!A:C,3,0),"")</f>
        <v/>
      </c>
      <c r="J1182" s="103">
        <f>VLOOKUP(A1182&amp;G1182,Lookup!J:N,5,0)</f>
        <v>0</v>
      </c>
      <c r="O1182" s="57">
        <f>IFERROR(VLOOKUP(A1182&amp;G1182,Lookup!J:K,2,0),"")</f>
        <v>0</v>
      </c>
      <c r="P1182" s="110" t="str">
        <f t="shared" si="81"/>
        <v/>
      </c>
      <c r="T1182" s="59" t="e">
        <f t="shared" si="82"/>
        <v>#VALUE!</v>
      </c>
      <c r="U1182" s="59"/>
    </row>
    <row r="1183" spans="2:21" x14ac:dyDescent="0.25">
      <c r="B1183" s="54" t="str">
        <f>IFERROR(VLOOKUP(A1183,Lookup!A:B,2,0),"")</f>
        <v/>
      </c>
      <c r="C1183" s="54" t="str">
        <f>IFERROR(VLOOKUP(A1183,Lookup!A:C,3,0),"")</f>
        <v/>
      </c>
      <c r="J1183" s="103">
        <f>VLOOKUP(A1183&amp;G1183,Lookup!J:N,5,0)</f>
        <v>0</v>
      </c>
      <c r="O1183" s="57">
        <f>IFERROR(VLOOKUP(A1183&amp;G1183,Lookup!J:K,2,0),"")</f>
        <v>0</v>
      </c>
      <c r="P1183" s="110" t="str">
        <f t="shared" si="81"/>
        <v/>
      </c>
      <c r="T1183" s="59" t="e">
        <f t="shared" si="82"/>
        <v>#VALUE!</v>
      </c>
      <c r="U1183" s="59"/>
    </row>
    <row r="1184" spans="2:21" x14ac:dyDescent="0.25">
      <c r="B1184" s="54" t="str">
        <f>IFERROR(VLOOKUP(A1184,Lookup!A:B,2,0),"")</f>
        <v/>
      </c>
      <c r="C1184" s="54" t="str">
        <f>IFERROR(VLOOKUP(A1184,Lookup!A:C,3,0),"")</f>
        <v/>
      </c>
      <c r="J1184" s="103">
        <f>VLOOKUP(A1184&amp;G1184,Lookup!J:N,5,0)</f>
        <v>0</v>
      </c>
      <c r="O1184" s="57">
        <f>IFERROR(VLOOKUP(A1184&amp;G1184,Lookup!J:K,2,0),"")</f>
        <v>0</v>
      </c>
      <c r="P1184" s="110" t="str">
        <f t="shared" si="81"/>
        <v/>
      </c>
      <c r="T1184" s="59" t="e">
        <f t="shared" si="82"/>
        <v>#VALUE!</v>
      </c>
      <c r="U1184" s="59"/>
    </row>
    <row r="1185" spans="2:21" x14ac:dyDescent="0.25">
      <c r="B1185" s="54" t="str">
        <f>IFERROR(VLOOKUP(A1185,Lookup!A:B,2,0),"")</f>
        <v/>
      </c>
      <c r="C1185" s="54" t="str">
        <f>IFERROR(VLOOKUP(A1185,Lookup!A:C,3,0),"")</f>
        <v/>
      </c>
      <c r="J1185" s="103">
        <f>VLOOKUP(A1185&amp;G1185,Lookup!J:N,5,0)</f>
        <v>0</v>
      </c>
      <c r="O1185" s="57">
        <f>IFERROR(VLOOKUP(A1185&amp;G1185,Lookup!J:K,2,0),"")</f>
        <v>0</v>
      </c>
      <c r="P1185" s="110" t="str">
        <f t="shared" si="81"/>
        <v/>
      </c>
      <c r="T1185" s="59" t="e">
        <f t="shared" si="82"/>
        <v>#VALUE!</v>
      </c>
      <c r="U1185" s="59"/>
    </row>
    <row r="1186" spans="2:21" x14ac:dyDescent="0.25">
      <c r="B1186" s="54" t="str">
        <f>IFERROR(VLOOKUP(A1186,Lookup!A:B,2,0),"")</f>
        <v/>
      </c>
      <c r="C1186" s="54" t="str">
        <f>IFERROR(VLOOKUP(A1186,Lookup!A:C,3,0),"")</f>
        <v/>
      </c>
      <c r="J1186" s="103">
        <f>VLOOKUP(A1186&amp;G1186,Lookup!J:N,5,0)</f>
        <v>0</v>
      </c>
      <c r="O1186" s="57">
        <f>IFERROR(VLOOKUP(A1186&amp;G1186,Lookup!J:K,2,0),"")</f>
        <v>0</v>
      </c>
      <c r="P1186" s="110" t="str">
        <f t="shared" si="81"/>
        <v/>
      </c>
      <c r="T1186" s="59" t="e">
        <f t="shared" si="82"/>
        <v>#VALUE!</v>
      </c>
      <c r="U1186" s="59"/>
    </row>
    <row r="1187" spans="2:21" x14ac:dyDescent="0.25">
      <c r="B1187" s="54" t="str">
        <f>IFERROR(VLOOKUP(A1187,Lookup!A:B,2,0),"")</f>
        <v/>
      </c>
      <c r="C1187" s="54" t="str">
        <f>IFERROR(VLOOKUP(A1187,Lookup!A:C,3,0),"")</f>
        <v/>
      </c>
      <c r="J1187" s="103">
        <f>VLOOKUP(A1187&amp;G1187,Lookup!J:N,5,0)</f>
        <v>0</v>
      </c>
      <c r="O1187" s="57">
        <f>IFERROR(VLOOKUP(A1187&amp;G1187,Lookup!J:K,2,0),"")</f>
        <v>0</v>
      </c>
      <c r="P1187" s="110" t="str">
        <f t="shared" si="81"/>
        <v/>
      </c>
      <c r="T1187" s="59" t="e">
        <f t="shared" si="82"/>
        <v>#VALUE!</v>
      </c>
      <c r="U1187" s="59"/>
    </row>
    <row r="1188" spans="2:21" x14ac:dyDescent="0.25">
      <c r="B1188" s="54" t="str">
        <f>IFERROR(VLOOKUP(A1188,Lookup!A:B,2,0),"")</f>
        <v/>
      </c>
      <c r="C1188" s="54" t="str">
        <f>IFERROR(VLOOKUP(A1188,Lookup!A:C,3,0),"")</f>
        <v/>
      </c>
      <c r="J1188" s="103">
        <f>VLOOKUP(A1188&amp;G1188,Lookup!J:N,5,0)</f>
        <v>0</v>
      </c>
      <c r="O1188" s="57">
        <f>IFERROR(VLOOKUP(A1188&amp;G1188,Lookup!J:K,2,0),"")</f>
        <v>0</v>
      </c>
      <c r="P1188" s="110" t="str">
        <f t="shared" si="81"/>
        <v/>
      </c>
      <c r="T1188" s="59" t="e">
        <f t="shared" si="82"/>
        <v>#VALUE!</v>
      </c>
      <c r="U1188" s="59"/>
    </row>
    <row r="1189" spans="2:21" x14ac:dyDescent="0.25">
      <c r="B1189" s="54" t="str">
        <f>IFERROR(VLOOKUP(A1189,Lookup!A:B,2,0),"")</f>
        <v/>
      </c>
      <c r="C1189" s="54" t="str">
        <f>IFERROR(VLOOKUP(A1189,Lookup!A:C,3,0),"")</f>
        <v/>
      </c>
      <c r="J1189" s="103">
        <f>VLOOKUP(A1189&amp;G1189,Lookup!J:N,5,0)</f>
        <v>0</v>
      </c>
      <c r="O1189" s="57">
        <f>IFERROR(VLOOKUP(A1189&amp;G1189,Lookup!J:K,2,0),"")</f>
        <v>0</v>
      </c>
      <c r="P1189" s="110" t="str">
        <f t="shared" si="81"/>
        <v/>
      </c>
      <c r="T1189" s="59" t="e">
        <f t="shared" si="82"/>
        <v>#VALUE!</v>
      </c>
      <c r="U1189" s="59"/>
    </row>
    <row r="1190" spans="2:21" x14ac:dyDescent="0.25">
      <c r="B1190" s="54" t="str">
        <f>IFERROR(VLOOKUP(A1190,Lookup!A:B,2,0),"")</f>
        <v/>
      </c>
      <c r="C1190" s="54" t="str">
        <f>IFERROR(VLOOKUP(A1190,Lookup!A:C,3,0),"")</f>
        <v/>
      </c>
      <c r="J1190" s="103">
        <f>VLOOKUP(A1190&amp;G1190,Lookup!J:N,5,0)</f>
        <v>0</v>
      </c>
      <c r="O1190" s="57">
        <f>IFERROR(VLOOKUP(A1190&amp;G1190,Lookup!J:K,2,0),"")</f>
        <v>0</v>
      </c>
      <c r="P1190" s="110" t="str">
        <f t="shared" si="81"/>
        <v/>
      </c>
      <c r="T1190" s="59" t="e">
        <f t="shared" si="82"/>
        <v>#VALUE!</v>
      </c>
      <c r="U1190" s="59"/>
    </row>
    <row r="1191" spans="2:21" x14ac:dyDescent="0.25">
      <c r="B1191" s="54" t="str">
        <f>IFERROR(VLOOKUP(A1191,Lookup!A:B,2,0),"")</f>
        <v/>
      </c>
      <c r="C1191" s="54" t="str">
        <f>IFERROR(VLOOKUP(A1191,Lookup!A:C,3,0),"")</f>
        <v/>
      </c>
      <c r="J1191" s="103">
        <f>VLOOKUP(A1191&amp;G1191,Lookup!J:N,5,0)</f>
        <v>0</v>
      </c>
      <c r="O1191" s="57">
        <f>IFERROR(VLOOKUP(A1191&amp;G1191,Lookup!J:K,2,0),"")</f>
        <v>0</v>
      </c>
      <c r="P1191" s="110" t="str">
        <f t="shared" si="81"/>
        <v/>
      </c>
      <c r="T1191" s="59" t="e">
        <f t="shared" si="82"/>
        <v>#VALUE!</v>
      </c>
      <c r="U1191" s="59"/>
    </row>
    <row r="1192" spans="2:21" x14ac:dyDescent="0.25">
      <c r="B1192" s="54" t="str">
        <f>IFERROR(VLOOKUP(A1192,Lookup!A:B,2,0),"")</f>
        <v/>
      </c>
      <c r="C1192" s="54" t="str">
        <f>IFERROR(VLOOKUP(A1192,Lookup!A:C,3,0),"")</f>
        <v/>
      </c>
      <c r="J1192" s="103">
        <f>VLOOKUP(A1192&amp;G1192,Lookup!J:N,5,0)</f>
        <v>0</v>
      </c>
      <c r="O1192" s="57">
        <f>IFERROR(VLOOKUP(A1192&amp;G1192,Lookup!J:K,2,0),"")</f>
        <v>0</v>
      </c>
      <c r="P1192" s="110" t="str">
        <f t="shared" si="81"/>
        <v/>
      </c>
      <c r="T1192" s="59" t="e">
        <f t="shared" si="82"/>
        <v>#VALUE!</v>
      </c>
      <c r="U1192" s="59"/>
    </row>
    <row r="1193" spans="2:21" x14ac:dyDescent="0.25">
      <c r="B1193" s="54" t="str">
        <f>IFERROR(VLOOKUP(A1193,Lookup!A:B,2,0),"")</f>
        <v/>
      </c>
      <c r="C1193" s="54" t="str">
        <f>IFERROR(VLOOKUP(A1193,Lookup!A:C,3,0),"")</f>
        <v/>
      </c>
      <c r="J1193" s="103">
        <f>VLOOKUP(A1193&amp;G1193,Lookup!J:N,5,0)</f>
        <v>0</v>
      </c>
      <c r="O1193" s="57">
        <f>IFERROR(VLOOKUP(A1193&amp;G1193,Lookup!J:K,2,0),"")</f>
        <v>0</v>
      </c>
      <c r="P1193" s="110" t="str">
        <f t="shared" si="81"/>
        <v/>
      </c>
      <c r="T1193" s="59" t="e">
        <f t="shared" si="82"/>
        <v>#VALUE!</v>
      </c>
      <c r="U1193" s="59"/>
    </row>
    <row r="1194" spans="2:21" x14ac:dyDescent="0.25">
      <c r="B1194" s="54" t="str">
        <f>IFERROR(VLOOKUP(A1194,Lookup!A:B,2,0),"")</f>
        <v/>
      </c>
      <c r="C1194" s="54" t="str">
        <f>IFERROR(VLOOKUP(A1194,Lookup!A:C,3,0),"")</f>
        <v/>
      </c>
      <c r="J1194" s="103">
        <f>VLOOKUP(A1194&amp;G1194,Lookup!J:N,5,0)</f>
        <v>0</v>
      </c>
      <c r="O1194" s="57">
        <f>IFERROR(VLOOKUP(A1194&amp;G1194,Lookup!J:K,2,0),"")</f>
        <v>0</v>
      </c>
      <c r="P1194" s="110" t="str">
        <f t="shared" si="81"/>
        <v/>
      </c>
      <c r="T1194" s="59" t="e">
        <f t="shared" si="82"/>
        <v>#VALUE!</v>
      </c>
      <c r="U1194" s="59"/>
    </row>
    <row r="1195" spans="2:21" x14ac:dyDescent="0.25">
      <c r="B1195" s="54" t="str">
        <f>IFERROR(VLOOKUP(A1195,Lookup!A:B,2,0),"")</f>
        <v/>
      </c>
      <c r="C1195" s="54" t="str">
        <f>IFERROR(VLOOKUP(A1195,Lookup!A:C,3,0),"")</f>
        <v/>
      </c>
      <c r="J1195" s="103">
        <f>VLOOKUP(A1195&amp;G1195,Lookup!J:N,5,0)</f>
        <v>0</v>
      </c>
      <c r="O1195" s="57">
        <f>IFERROR(VLOOKUP(A1195&amp;G1195,Lookup!J:K,2,0),"")</f>
        <v>0</v>
      </c>
      <c r="P1195" s="110" t="str">
        <f t="shared" si="81"/>
        <v/>
      </c>
      <c r="T1195" s="59" t="e">
        <f t="shared" si="82"/>
        <v>#VALUE!</v>
      </c>
      <c r="U1195" s="59"/>
    </row>
    <row r="1196" spans="2:21" x14ac:dyDescent="0.25">
      <c r="B1196" s="54" t="str">
        <f>IFERROR(VLOOKUP(A1196,Lookup!A:B,2,0),"")</f>
        <v/>
      </c>
      <c r="C1196" s="54" t="str">
        <f>IFERROR(VLOOKUP(A1196,Lookup!A:C,3,0),"")</f>
        <v/>
      </c>
      <c r="J1196" s="103">
        <f>VLOOKUP(A1196&amp;G1196,Lookup!J:N,5,0)</f>
        <v>0</v>
      </c>
      <c r="O1196" s="57">
        <f>IFERROR(VLOOKUP(A1196&amp;G1196,Lookup!J:K,2,0),"")</f>
        <v>0</v>
      </c>
      <c r="P1196" s="110" t="str">
        <f t="shared" si="81"/>
        <v/>
      </c>
      <c r="T1196" s="59" t="e">
        <f t="shared" si="82"/>
        <v>#VALUE!</v>
      </c>
      <c r="U1196" s="59"/>
    </row>
    <row r="1197" spans="2:21" x14ac:dyDescent="0.25">
      <c r="B1197" s="54" t="str">
        <f>IFERROR(VLOOKUP(A1197,Lookup!A:B,2,0),"")</f>
        <v/>
      </c>
      <c r="C1197" s="54" t="str">
        <f>IFERROR(VLOOKUP(A1197,Lookup!A:C,3,0),"")</f>
        <v/>
      </c>
      <c r="J1197" s="103">
        <f>VLOOKUP(A1197&amp;G1197,Lookup!J:N,5,0)</f>
        <v>0</v>
      </c>
      <c r="O1197" s="57">
        <f>IFERROR(VLOOKUP(A1197&amp;G1197,Lookup!J:K,2,0),"")</f>
        <v>0</v>
      </c>
      <c r="P1197" s="110" t="str">
        <f t="shared" si="81"/>
        <v/>
      </c>
      <c r="T1197" s="59" t="e">
        <f t="shared" si="82"/>
        <v>#VALUE!</v>
      </c>
      <c r="U1197" s="59"/>
    </row>
    <row r="1198" spans="2:21" x14ac:dyDescent="0.25">
      <c r="B1198" s="54" t="str">
        <f>IFERROR(VLOOKUP(A1198,Lookup!A:B,2,0),"")</f>
        <v/>
      </c>
      <c r="C1198" s="54" t="str">
        <f>IFERROR(VLOOKUP(A1198,Lookup!A:C,3,0),"")</f>
        <v/>
      </c>
      <c r="J1198" s="103">
        <f>VLOOKUP(A1198&amp;G1198,Lookup!J:N,5,0)</f>
        <v>0</v>
      </c>
      <c r="O1198" s="57">
        <f>IFERROR(VLOOKUP(A1198&amp;G1198,Lookup!J:K,2,0),"")</f>
        <v>0</v>
      </c>
      <c r="P1198" s="110" t="str">
        <f t="shared" si="81"/>
        <v/>
      </c>
      <c r="T1198" s="59" t="e">
        <f t="shared" si="82"/>
        <v>#VALUE!</v>
      </c>
      <c r="U1198" s="59"/>
    </row>
    <row r="1199" spans="2:21" x14ac:dyDescent="0.25">
      <c r="B1199" s="54" t="str">
        <f>IFERROR(VLOOKUP(A1199,Lookup!A:B,2,0),"")</f>
        <v/>
      </c>
      <c r="C1199" s="54" t="str">
        <f>IFERROR(VLOOKUP(A1199,Lookup!A:C,3,0),"")</f>
        <v/>
      </c>
      <c r="J1199" s="103">
        <f>VLOOKUP(A1199&amp;G1199,Lookup!J:N,5,0)</f>
        <v>0</v>
      </c>
      <c r="O1199" s="57">
        <f>IFERROR(VLOOKUP(A1199&amp;G1199,Lookup!J:K,2,0),"")</f>
        <v>0</v>
      </c>
      <c r="P1199" s="110" t="str">
        <f t="shared" si="81"/>
        <v/>
      </c>
      <c r="T1199" s="59" t="e">
        <f t="shared" si="82"/>
        <v>#VALUE!</v>
      </c>
      <c r="U1199" s="59"/>
    </row>
    <row r="1200" spans="2:21" x14ac:dyDescent="0.25">
      <c r="B1200" s="54" t="str">
        <f>IFERROR(VLOOKUP(A1200,Lookup!A:B,2,0),"")</f>
        <v/>
      </c>
      <c r="C1200" s="54" t="str">
        <f>IFERROR(VLOOKUP(A1200,Lookup!A:C,3,0),"")</f>
        <v/>
      </c>
      <c r="J1200" s="103">
        <f>VLOOKUP(A1200&amp;G1200,Lookup!J:N,5,0)</f>
        <v>0</v>
      </c>
      <c r="O1200" s="57">
        <f>IFERROR(VLOOKUP(A1200&amp;G1200,Lookup!J:K,2,0),"")</f>
        <v>0</v>
      </c>
      <c r="P1200" s="110" t="str">
        <f t="shared" si="81"/>
        <v/>
      </c>
      <c r="T1200" s="59" t="e">
        <f t="shared" si="82"/>
        <v>#VALUE!</v>
      </c>
      <c r="U1200" s="59"/>
    </row>
    <row r="1201" spans="2:21" x14ac:dyDescent="0.25">
      <c r="B1201" s="54" t="str">
        <f>IFERROR(VLOOKUP(A1201,Lookup!A:B,2,0),"")</f>
        <v/>
      </c>
      <c r="C1201" s="54" t="str">
        <f>IFERROR(VLOOKUP(A1201,Lookup!A:C,3,0),"")</f>
        <v/>
      </c>
      <c r="J1201" s="103">
        <f>VLOOKUP(A1201&amp;G1201,Lookup!J:N,5,0)</f>
        <v>0</v>
      </c>
      <c r="O1201" s="57">
        <f>IFERROR(VLOOKUP(A1201&amp;G1201,Lookup!J:K,2,0),"")</f>
        <v>0</v>
      </c>
      <c r="P1201" s="110" t="str">
        <f t="shared" si="81"/>
        <v/>
      </c>
      <c r="T1201" s="59" t="e">
        <f t="shared" si="82"/>
        <v>#VALUE!</v>
      </c>
      <c r="U1201" s="59"/>
    </row>
    <row r="1202" spans="2:21" x14ac:dyDescent="0.25">
      <c r="B1202" s="54" t="str">
        <f>IFERROR(VLOOKUP(A1202,Lookup!A:B,2,0),"")</f>
        <v/>
      </c>
      <c r="C1202" s="54" t="str">
        <f>IFERROR(VLOOKUP(A1202,Lookup!A:C,3,0),"")</f>
        <v/>
      </c>
      <c r="J1202" s="103">
        <f>VLOOKUP(A1202&amp;G1202,Lookup!J:N,5,0)</f>
        <v>0</v>
      </c>
      <c r="O1202" s="57">
        <f>IFERROR(VLOOKUP(A1202&amp;G1202,Lookup!J:K,2,0),"")</f>
        <v>0</v>
      </c>
      <c r="P1202" s="110" t="str">
        <f t="shared" si="81"/>
        <v/>
      </c>
      <c r="T1202" s="59" t="e">
        <f t="shared" si="82"/>
        <v>#VALUE!</v>
      </c>
      <c r="U1202" s="59"/>
    </row>
    <row r="1203" spans="2:21" x14ac:dyDescent="0.25">
      <c r="B1203" s="54" t="str">
        <f>IFERROR(VLOOKUP(A1203,Lookup!A:B,2,0),"")</f>
        <v/>
      </c>
      <c r="C1203" s="54" t="str">
        <f>IFERROR(VLOOKUP(A1203,Lookup!A:C,3,0),"")</f>
        <v/>
      </c>
      <c r="J1203" s="103">
        <f>VLOOKUP(A1203&amp;G1203,Lookup!J:N,5,0)</f>
        <v>0</v>
      </c>
      <c r="O1203" s="57">
        <f>IFERROR(VLOOKUP(A1203&amp;G1203,Lookup!J:K,2,0),"")</f>
        <v>0</v>
      </c>
      <c r="P1203" s="110" t="str">
        <f t="shared" si="81"/>
        <v/>
      </c>
      <c r="T1203" s="59" t="e">
        <f t="shared" si="82"/>
        <v>#VALUE!</v>
      </c>
      <c r="U1203" s="59"/>
    </row>
    <row r="1204" spans="2:21" x14ac:dyDescent="0.25">
      <c r="B1204" s="54" t="str">
        <f>IFERROR(VLOOKUP(A1204,Lookup!A:B,2,0),"")</f>
        <v/>
      </c>
      <c r="C1204" s="54" t="str">
        <f>IFERROR(VLOOKUP(A1204,Lookup!A:C,3,0),"")</f>
        <v/>
      </c>
      <c r="J1204" s="103">
        <f>VLOOKUP(A1204&amp;G1204,Lookup!J:N,5,0)</f>
        <v>0</v>
      </c>
      <c r="O1204" s="57">
        <f>IFERROR(VLOOKUP(A1204&amp;G1204,Lookup!J:K,2,0),"")</f>
        <v>0</v>
      </c>
      <c r="P1204" s="110" t="str">
        <f t="shared" si="81"/>
        <v/>
      </c>
      <c r="T1204" s="59" t="e">
        <f t="shared" si="82"/>
        <v>#VALUE!</v>
      </c>
      <c r="U1204" s="59"/>
    </row>
    <row r="1205" spans="2:21" x14ac:dyDescent="0.25">
      <c r="B1205" s="54" t="str">
        <f>IFERROR(VLOOKUP(A1205,Lookup!A:B,2,0),"")</f>
        <v/>
      </c>
      <c r="C1205" s="54" t="str">
        <f>IFERROR(VLOOKUP(A1205,Lookup!A:C,3,0),"")</f>
        <v/>
      </c>
      <c r="J1205" s="103">
        <f>VLOOKUP(A1205&amp;G1205,Lookup!J:N,5,0)</f>
        <v>0</v>
      </c>
      <c r="O1205" s="57">
        <f>IFERROR(VLOOKUP(A1205&amp;G1205,Lookup!J:K,2,0),"")</f>
        <v>0</v>
      </c>
      <c r="P1205" s="110" t="str">
        <f t="shared" si="81"/>
        <v/>
      </c>
      <c r="T1205" s="59" t="e">
        <f t="shared" si="82"/>
        <v>#VALUE!</v>
      </c>
      <c r="U1205" s="59"/>
    </row>
    <row r="1206" spans="2:21" x14ac:dyDescent="0.25">
      <c r="B1206" s="54" t="str">
        <f>IFERROR(VLOOKUP(A1206,Lookup!A:B,2,0),"")</f>
        <v/>
      </c>
      <c r="C1206" s="54" t="str">
        <f>IFERROR(VLOOKUP(A1206,Lookup!A:C,3,0),"")</f>
        <v/>
      </c>
      <c r="J1206" s="103">
        <f>VLOOKUP(A1206&amp;G1206,Lookup!J:N,5,0)</f>
        <v>0</v>
      </c>
      <c r="O1206" s="57">
        <f>IFERROR(VLOOKUP(A1206&amp;G1206,Lookup!J:K,2,0),"")</f>
        <v>0</v>
      </c>
      <c r="P1206" s="110" t="str">
        <f t="shared" si="81"/>
        <v/>
      </c>
      <c r="T1206" s="59" t="e">
        <f t="shared" si="82"/>
        <v>#VALUE!</v>
      </c>
      <c r="U1206" s="59"/>
    </row>
    <row r="1207" spans="2:21" x14ac:dyDescent="0.25">
      <c r="B1207" s="54" t="str">
        <f>IFERROR(VLOOKUP(A1207,Lookup!A:B,2,0),"")</f>
        <v/>
      </c>
      <c r="C1207" s="54" t="str">
        <f>IFERROR(VLOOKUP(A1207,Lookup!A:C,3,0),"")</f>
        <v/>
      </c>
      <c r="J1207" s="103">
        <f>VLOOKUP(A1207&amp;G1207,Lookup!J:N,5,0)</f>
        <v>0</v>
      </c>
      <c r="O1207" s="57">
        <f>IFERROR(VLOOKUP(A1207&amp;G1207,Lookup!J:K,2,0),"")</f>
        <v>0</v>
      </c>
      <c r="P1207" s="110" t="str">
        <f t="shared" si="81"/>
        <v/>
      </c>
      <c r="T1207" s="59" t="e">
        <f t="shared" si="82"/>
        <v>#VALUE!</v>
      </c>
      <c r="U1207" s="59"/>
    </row>
    <row r="1208" spans="2:21" x14ac:dyDescent="0.25">
      <c r="B1208" s="54" t="str">
        <f>IFERROR(VLOOKUP(A1208,Lookup!A:B,2,0),"")</f>
        <v/>
      </c>
      <c r="C1208" s="54" t="str">
        <f>IFERROR(VLOOKUP(A1208,Lookup!A:C,3,0),"")</f>
        <v/>
      </c>
      <c r="J1208" s="103">
        <f>VLOOKUP(A1208&amp;G1208,Lookup!J:N,5,0)</f>
        <v>0</v>
      </c>
      <c r="O1208" s="57">
        <f>IFERROR(VLOOKUP(A1208&amp;G1208,Lookup!J:K,2,0),"")</f>
        <v>0</v>
      </c>
      <c r="P1208" s="110" t="str">
        <f t="shared" si="81"/>
        <v/>
      </c>
      <c r="T1208" s="59" t="e">
        <f t="shared" si="82"/>
        <v>#VALUE!</v>
      </c>
      <c r="U1208" s="59"/>
    </row>
    <row r="1209" spans="2:21" x14ac:dyDescent="0.25">
      <c r="B1209" s="54" t="str">
        <f>IFERROR(VLOOKUP(A1209,Lookup!A:B,2,0),"")</f>
        <v/>
      </c>
      <c r="C1209" s="54" t="str">
        <f>IFERROR(VLOOKUP(A1209,Lookup!A:C,3,0),"")</f>
        <v/>
      </c>
      <c r="J1209" s="103">
        <f>VLOOKUP(A1209&amp;G1209,Lookup!J:N,5,0)</f>
        <v>0</v>
      </c>
      <c r="O1209" s="57">
        <f>IFERROR(VLOOKUP(A1209&amp;G1209,Lookup!J:K,2,0),"")</f>
        <v>0</v>
      </c>
      <c r="P1209" s="110" t="str">
        <f t="shared" si="81"/>
        <v/>
      </c>
      <c r="T1209" s="59" t="e">
        <f t="shared" si="82"/>
        <v>#VALUE!</v>
      </c>
      <c r="U1209" s="59"/>
    </row>
    <row r="1210" spans="2:21" x14ac:dyDescent="0.25">
      <c r="B1210" s="54" t="str">
        <f>IFERROR(VLOOKUP(A1210,Lookup!A:B,2,0),"")</f>
        <v/>
      </c>
      <c r="C1210" s="54" t="str">
        <f>IFERROR(VLOOKUP(A1210,Lookup!A:C,3,0),"")</f>
        <v/>
      </c>
      <c r="J1210" s="103">
        <f>VLOOKUP(A1210&amp;G1210,Lookup!J:N,5,0)</f>
        <v>0</v>
      </c>
      <c r="O1210" s="57">
        <f>IFERROR(VLOOKUP(A1210&amp;G1210,Lookup!J:K,2,0),"")</f>
        <v>0</v>
      </c>
      <c r="P1210" s="110" t="str">
        <f t="shared" si="81"/>
        <v/>
      </c>
      <c r="T1210" s="59" t="e">
        <f t="shared" si="82"/>
        <v>#VALUE!</v>
      </c>
      <c r="U1210" s="59"/>
    </row>
    <row r="1211" spans="2:21" x14ac:dyDescent="0.25">
      <c r="B1211" s="54" t="str">
        <f>IFERROR(VLOOKUP(A1211,Lookup!A:B,2,0),"")</f>
        <v/>
      </c>
      <c r="C1211" s="54" t="str">
        <f>IFERROR(VLOOKUP(A1211,Lookup!A:C,3,0),"")</f>
        <v/>
      </c>
      <c r="J1211" s="103">
        <f>VLOOKUP(A1211&amp;G1211,Lookup!J:N,5,0)</f>
        <v>0</v>
      </c>
      <c r="O1211" s="57">
        <f>IFERROR(VLOOKUP(A1211&amp;G1211,Lookup!J:K,2,0),"")</f>
        <v>0</v>
      </c>
      <c r="P1211" s="110" t="str">
        <f t="shared" si="81"/>
        <v/>
      </c>
      <c r="T1211" s="59" t="e">
        <f t="shared" si="82"/>
        <v>#VALUE!</v>
      </c>
      <c r="U1211" s="59"/>
    </row>
    <row r="1212" spans="2:21" x14ac:dyDescent="0.25">
      <c r="B1212" s="54" t="str">
        <f>IFERROR(VLOOKUP(A1212,Lookup!A:B,2,0),"")</f>
        <v/>
      </c>
      <c r="C1212" s="54" t="str">
        <f>IFERROR(VLOOKUP(A1212,Lookup!A:C,3,0),"")</f>
        <v/>
      </c>
      <c r="J1212" s="103">
        <f>VLOOKUP(A1212&amp;G1212,Lookup!J:N,5,0)</f>
        <v>0</v>
      </c>
      <c r="O1212" s="57">
        <f>IFERROR(VLOOKUP(A1212&amp;G1212,Lookup!J:K,2,0),"")</f>
        <v>0</v>
      </c>
      <c r="P1212" s="110" t="str">
        <f t="shared" si="81"/>
        <v/>
      </c>
      <c r="T1212" s="59" t="e">
        <f t="shared" si="82"/>
        <v>#VALUE!</v>
      </c>
      <c r="U1212" s="59"/>
    </row>
    <row r="1213" spans="2:21" x14ac:dyDescent="0.25">
      <c r="B1213" s="54" t="str">
        <f>IFERROR(VLOOKUP(A1213,Lookup!A:B,2,0),"")</f>
        <v/>
      </c>
      <c r="C1213" s="54" t="str">
        <f>IFERROR(VLOOKUP(A1213,Lookup!A:C,3,0),"")</f>
        <v/>
      </c>
      <c r="J1213" s="103">
        <f>VLOOKUP(A1213&amp;G1213,Lookup!J:N,5,0)</f>
        <v>0</v>
      </c>
      <c r="O1213" s="57">
        <f>IFERROR(VLOOKUP(A1213&amp;G1213,Lookup!J:K,2,0),"")</f>
        <v>0</v>
      </c>
      <c r="P1213" s="110" t="str">
        <f t="shared" si="81"/>
        <v/>
      </c>
      <c r="T1213" s="59" t="e">
        <f t="shared" si="82"/>
        <v>#VALUE!</v>
      </c>
      <c r="U1213" s="59"/>
    </row>
    <row r="1214" spans="2:21" x14ac:dyDescent="0.25">
      <c r="B1214" s="54" t="str">
        <f>IFERROR(VLOOKUP(A1214,Lookup!A:B,2,0),"")</f>
        <v/>
      </c>
      <c r="C1214" s="54" t="str">
        <f>IFERROR(VLOOKUP(A1214,Lookup!A:C,3,0),"")</f>
        <v/>
      </c>
      <c r="J1214" s="103">
        <f>VLOOKUP(A1214&amp;G1214,Lookup!J:N,5,0)</f>
        <v>0</v>
      </c>
      <c r="O1214" s="57">
        <f>IFERROR(VLOOKUP(A1214&amp;G1214,Lookup!J:K,2,0),"")</f>
        <v>0</v>
      </c>
      <c r="P1214" s="110" t="str">
        <f t="shared" si="81"/>
        <v/>
      </c>
      <c r="T1214" s="59" t="e">
        <f t="shared" si="82"/>
        <v>#VALUE!</v>
      </c>
      <c r="U1214" s="59"/>
    </row>
    <row r="1215" spans="2:21" x14ac:dyDescent="0.25">
      <c r="B1215" s="54" t="str">
        <f>IFERROR(VLOOKUP(A1215,Lookup!A:B,2,0),"")</f>
        <v/>
      </c>
      <c r="C1215" s="54" t="str">
        <f>IFERROR(VLOOKUP(A1215,Lookup!A:C,3,0),"")</f>
        <v/>
      </c>
      <c r="J1215" s="103">
        <f>VLOOKUP(A1215&amp;G1215,Lookup!J:N,5,0)</f>
        <v>0</v>
      </c>
      <c r="O1215" s="57">
        <f>IFERROR(VLOOKUP(A1215&amp;G1215,Lookup!J:K,2,0),"")</f>
        <v>0</v>
      </c>
      <c r="P1215" s="110" t="str">
        <f t="shared" si="81"/>
        <v/>
      </c>
      <c r="T1215" s="59" t="e">
        <f t="shared" si="82"/>
        <v>#VALUE!</v>
      </c>
      <c r="U1215" s="59"/>
    </row>
    <row r="1216" spans="2:21" x14ac:dyDescent="0.25">
      <c r="B1216" s="54" t="str">
        <f>IFERROR(VLOOKUP(A1216,Lookup!A:B,2,0),"")</f>
        <v/>
      </c>
      <c r="C1216" s="54" t="str">
        <f>IFERROR(VLOOKUP(A1216,Lookup!A:C,3,0),"")</f>
        <v/>
      </c>
      <c r="J1216" s="103">
        <f>VLOOKUP(A1216&amp;G1216,Lookup!J:N,5,0)</f>
        <v>0</v>
      </c>
      <c r="O1216" s="57">
        <f>IFERROR(VLOOKUP(A1216&amp;G1216,Lookup!J:K,2,0),"")</f>
        <v>0</v>
      </c>
      <c r="P1216" s="110" t="str">
        <f t="shared" si="81"/>
        <v/>
      </c>
      <c r="T1216" s="59" t="e">
        <f t="shared" si="82"/>
        <v>#VALUE!</v>
      </c>
      <c r="U1216" s="59"/>
    </row>
    <row r="1217" spans="2:21" x14ac:dyDescent="0.25">
      <c r="B1217" s="54" t="str">
        <f>IFERROR(VLOOKUP(A1217,Lookup!A:B,2,0),"")</f>
        <v/>
      </c>
      <c r="C1217" s="54" t="str">
        <f>IFERROR(VLOOKUP(A1217,Lookup!A:C,3,0),"")</f>
        <v/>
      </c>
      <c r="J1217" s="103">
        <f>VLOOKUP(A1217&amp;G1217,Lookup!J:N,5,0)</f>
        <v>0</v>
      </c>
      <c r="O1217" s="57">
        <f>IFERROR(VLOOKUP(A1217&amp;G1217,Lookup!J:K,2,0),"")</f>
        <v>0</v>
      </c>
      <c r="P1217" s="110" t="str">
        <f t="shared" si="81"/>
        <v/>
      </c>
      <c r="T1217" s="59" t="e">
        <f t="shared" si="82"/>
        <v>#VALUE!</v>
      </c>
      <c r="U1217" s="59"/>
    </row>
    <row r="1218" spans="2:21" x14ac:dyDescent="0.25">
      <c r="B1218" s="54" t="str">
        <f>IFERROR(VLOOKUP(A1218,Lookup!A:B,2,0),"")</f>
        <v/>
      </c>
      <c r="C1218" s="54" t="str">
        <f>IFERROR(VLOOKUP(A1218,Lookup!A:C,3,0),"")</f>
        <v/>
      </c>
      <c r="J1218" s="103">
        <f>VLOOKUP(A1218&amp;G1218,Lookup!J:N,5,0)</f>
        <v>0</v>
      </c>
      <c r="O1218" s="57">
        <f>IFERROR(VLOOKUP(A1218&amp;G1218,Lookup!J:K,2,0),"")</f>
        <v>0</v>
      </c>
      <c r="P1218" s="110" t="str">
        <f t="shared" si="81"/>
        <v/>
      </c>
      <c r="T1218" s="59" t="e">
        <f t="shared" si="82"/>
        <v>#VALUE!</v>
      </c>
      <c r="U1218" s="59"/>
    </row>
    <row r="1219" spans="2:21" x14ac:dyDescent="0.25">
      <c r="B1219" s="54" t="str">
        <f>IFERROR(VLOOKUP(A1219,Lookup!A:B,2,0),"")</f>
        <v/>
      </c>
      <c r="C1219" s="54" t="str">
        <f>IFERROR(VLOOKUP(A1219,Lookup!A:C,3,0),"")</f>
        <v/>
      </c>
      <c r="J1219" s="103">
        <f>VLOOKUP(A1219&amp;G1219,Lookup!J:N,5,0)</f>
        <v>0</v>
      </c>
      <c r="O1219" s="57">
        <f>IFERROR(VLOOKUP(A1219&amp;G1219,Lookup!J:K,2,0),"")</f>
        <v>0</v>
      </c>
      <c r="P1219" s="110" t="str">
        <f t="shared" si="81"/>
        <v/>
      </c>
      <c r="T1219" s="59" t="e">
        <f t="shared" si="82"/>
        <v>#VALUE!</v>
      </c>
      <c r="U1219" s="59"/>
    </row>
    <row r="1220" spans="2:21" x14ac:dyDescent="0.25">
      <c r="B1220" s="54" t="str">
        <f>IFERROR(VLOOKUP(A1220,Lookup!A:B,2,0),"")</f>
        <v/>
      </c>
      <c r="C1220" s="54" t="str">
        <f>IFERROR(VLOOKUP(A1220,Lookup!A:C,3,0),"")</f>
        <v/>
      </c>
      <c r="J1220" s="103">
        <f>VLOOKUP(A1220&amp;G1220,Lookup!J:N,5,0)</f>
        <v>0</v>
      </c>
      <c r="O1220" s="57">
        <f>IFERROR(VLOOKUP(A1220&amp;G1220,Lookup!J:K,2,0),"")</f>
        <v>0</v>
      </c>
      <c r="P1220" s="110" t="str">
        <f t="shared" ref="P1220:P1283" si="83">IF(N1220="","",N1220+O1220)</f>
        <v/>
      </c>
      <c r="T1220" s="59" t="e">
        <f t="shared" si="82"/>
        <v>#VALUE!</v>
      </c>
      <c r="U1220" s="59"/>
    </row>
    <row r="1221" spans="2:21" x14ac:dyDescent="0.25">
      <c r="B1221" s="54" t="str">
        <f>IFERROR(VLOOKUP(A1221,Lookup!A:B,2,0),"")</f>
        <v/>
      </c>
      <c r="C1221" s="54" t="str">
        <f>IFERROR(VLOOKUP(A1221,Lookup!A:C,3,0),"")</f>
        <v/>
      </c>
      <c r="J1221" s="103">
        <f>VLOOKUP(A1221&amp;G1221,Lookup!J:N,5,0)</f>
        <v>0</v>
      </c>
      <c r="O1221" s="57">
        <f>IFERROR(VLOOKUP(A1221&amp;G1221,Lookup!J:K,2,0),"")</f>
        <v>0</v>
      </c>
      <c r="P1221" s="110" t="str">
        <f t="shared" si="83"/>
        <v/>
      </c>
      <c r="T1221" s="59" t="e">
        <f t="shared" si="82"/>
        <v>#VALUE!</v>
      </c>
      <c r="U1221" s="59"/>
    </row>
    <row r="1222" spans="2:21" x14ac:dyDescent="0.25">
      <c r="B1222" s="54" t="str">
        <f>IFERROR(VLOOKUP(A1222,Lookup!A:B,2,0),"")</f>
        <v/>
      </c>
      <c r="C1222" s="54" t="str">
        <f>IFERROR(VLOOKUP(A1222,Lookup!A:C,3,0),"")</f>
        <v/>
      </c>
      <c r="J1222" s="103">
        <f>VLOOKUP(A1222&amp;G1222,Lookup!J:N,5,0)</f>
        <v>0</v>
      </c>
      <c r="O1222" s="57">
        <f>IFERROR(VLOOKUP(A1222&amp;G1222,Lookup!J:K,2,0),"")</f>
        <v>0</v>
      </c>
      <c r="P1222" s="110" t="str">
        <f t="shared" si="83"/>
        <v/>
      </c>
      <c r="T1222" s="59" t="e">
        <f t="shared" si="82"/>
        <v>#VALUE!</v>
      </c>
      <c r="U1222" s="59"/>
    </row>
    <row r="1223" spans="2:21" x14ac:dyDescent="0.25">
      <c r="B1223" s="54" t="str">
        <f>IFERROR(VLOOKUP(A1223,Lookup!A:B,2,0),"")</f>
        <v/>
      </c>
      <c r="C1223" s="54" t="str">
        <f>IFERROR(VLOOKUP(A1223,Lookup!A:C,3,0),"")</f>
        <v/>
      </c>
      <c r="J1223" s="103">
        <f>VLOOKUP(A1223&amp;G1223,Lookup!J:N,5,0)</f>
        <v>0</v>
      </c>
      <c r="O1223" s="57">
        <f>IFERROR(VLOOKUP(A1223&amp;G1223,Lookup!J:K,2,0),"")</f>
        <v>0</v>
      </c>
      <c r="P1223" s="110" t="str">
        <f t="shared" si="83"/>
        <v/>
      </c>
      <c r="T1223" s="59" t="e">
        <f t="shared" si="82"/>
        <v>#VALUE!</v>
      </c>
      <c r="U1223" s="59"/>
    </row>
    <row r="1224" spans="2:21" x14ac:dyDescent="0.25">
      <c r="B1224" s="54" t="str">
        <f>IFERROR(VLOOKUP(A1224,Lookup!A:B,2,0),"")</f>
        <v/>
      </c>
      <c r="C1224" s="54" t="str">
        <f>IFERROR(VLOOKUP(A1224,Lookup!A:C,3,0),"")</f>
        <v/>
      </c>
      <c r="J1224" s="103">
        <f>VLOOKUP(A1224&amp;G1224,Lookup!J:N,5,0)</f>
        <v>0</v>
      </c>
      <c r="O1224" s="57">
        <f>IFERROR(VLOOKUP(A1224&amp;G1224,Lookup!J:K,2,0),"")</f>
        <v>0</v>
      </c>
      <c r="P1224" s="110" t="str">
        <f t="shared" si="83"/>
        <v/>
      </c>
      <c r="T1224" s="59" t="e">
        <f t="shared" si="82"/>
        <v>#VALUE!</v>
      </c>
      <c r="U1224" s="59"/>
    </row>
    <row r="1225" spans="2:21" x14ac:dyDescent="0.25">
      <c r="B1225" s="54" t="str">
        <f>IFERROR(VLOOKUP(A1225,Lookup!A:B,2,0),"")</f>
        <v/>
      </c>
      <c r="C1225" s="54" t="str">
        <f>IFERROR(VLOOKUP(A1225,Lookup!A:C,3,0),"")</f>
        <v/>
      </c>
      <c r="J1225" s="103">
        <f>VLOOKUP(A1225&amp;G1225,Lookup!J:N,5,0)</f>
        <v>0</v>
      </c>
      <c r="O1225" s="57">
        <f>IFERROR(VLOOKUP(A1225&amp;G1225,Lookup!J:K,2,0),"")</f>
        <v>0</v>
      </c>
      <c r="P1225" s="110" t="str">
        <f t="shared" si="83"/>
        <v/>
      </c>
      <c r="T1225" s="59" t="e">
        <f t="shared" si="82"/>
        <v>#VALUE!</v>
      </c>
      <c r="U1225" s="59"/>
    </row>
    <row r="1226" spans="2:21" x14ac:dyDescent="0.25">
      <c r="B1226" s="54" t="str">
        <f>IFERROR(VLOOKUP(A1226,Lookup!A:B,2,0),"")</f>
        <v/>
      </c>
      <c r="C1226" s="54" t="str">
        <f>IFERROR(VLOOKUP(A1226,Lookup!A:C,3,0),"")</f>
        <v/>
      </c>
      <c r="J1226" s="103">
        <f>VLOOKUP(A1226&amp;G1226,Lookup!J:N,5,0)</f>
        <v>0</v>
      </c>
      <c r="O1226" s="57">
        <f>IFERROR(VLOOKUP(A1226&amp;G1226,Lookup!J:K,2,0),"")</f>
        <v>0</v>
      </c>
      <c r="P1226" s="110" t="str">
        <f t="shared" si="83"/>
        <v/>
      </c>
      <c r="T1226" s="59" t="e">
        <f t="shared" si="82"/>
        <v>#VALUE!</v>
      </c>
      <c r="U1226" s="59"/>
    </row>
    <row r="1227" spans="2:21" x14ac:dyDescent="0.25">
      <c r="B1227" s="54" t="str">
        <f>IFERROR(VLOOKUP(A1227,Lookup!A:B,2,0),"")</f>
        <v/>
      </c>
      <c r="C1227" s="54" t="str">
        <f>IFERROR(VLOOKUP(A1227,Lookup!A:C,3,0),"")</f>
        <v/>
      </c>
      <c r="J1227" s="103">
        <f>VLOOKUP(A1227&amp;G1227,Lookup!J:N,5,0)</f>
        <v>0</v>
      </c>
      <c r="O1227" s="57">
        <f>IFERROR(VLOOKUP(A1227&amp;G1227,Lookup!J:K,2,0),"")</f>
        <v>0</v>
      </c>
      <c r="P1227" s="110" t="str">
        <f t="shared" si="83"/>
        <v/>
      </c>
      <c r="T1227" s="59" t="e">
        <f t="shared" si="82"/>
        <v>#VALUE!</v>
      </c>
      <c r="U1227" s="59"/>
    </row>
    <row r="1228" spans="2:21" x14ac:dyDescent="0.25">
      <c r="B1228" s="54" t="str">
        <f>IFERROR(VLOOKUP(A1228,Lookup!A:B,2,0),"")</f>
        <v/>
      </c>
      <c r="C1228" s="54" t="str">
        <f>IFERROR(VLOOKUP(A1228,Lookup!A:C,3,0),"")</f>
        <v/>
      </c>
      <c r="J1228" s="103">
        <f>VLOOKUP(A1228&amp;G1228,Lookup!J:N,5,0)</f>
        <v>0</v>
      </c>
      <c r="O1228" s="57">
        <f>IFERROR(VLOOKUP(A1228&amp;G1228,Lookup!J:K,2,0),"")</f>
        <v>0</v>
      </c>
      <c r="P1228" s="110" t="str">
        <f t="shared" si="83"/>
        <v/>
      </c>
      <c r="T1228" s="59" t="e">
        <f t="shared" si="82"/>
        <v>#VALUE!</v>
      </c>
      <c r="U1228" s="59"/>
    </row>
    <row r="1229" spans="2:21" x14ac:dyDescent="0.25">
      <c r="B1229" s="54" t="str">
        <f>IFERROR(VLOOKUP(A1229,Lookup!A:B,2,0),"")</f>
        <v/>
      </c>
      <c r="C1229" s="54" t="str">
        <f>IFERROR(VLOOKUP(A1229,Lookup!A:C,3,0),"")</f>
        <v/>
      </c>
      <c r="J1229" s="103">
        <f>VLOOKUP(A1229&amp;G1229,Lookup!J:N,5,0)</f>
        <v>0</v>
      </c>
      <c r="O1229" s="57">
        <f>IFERROR(VLOOKUP(A1229&amp;G1229,Lookup!J:K,2,0),"")</f>
        <v>0</v>
      </c>
      <c r="P1229" s="110" t="str">
        <f t="shared" si="83"/>
        <v/>
      </c>
      <c r="T1229" s="59" t="e">
        <f t="shared" si="82"/>
        <v>#VALUE!</v>
      </c>
      <c r="U1229" s="59"/>
    </row>
    <row r="1230" spans="2:21" x14ac:dyDescent="0.25">
      <c r="B1230" s="54" t="str">
        <f>IFERROR(VLOOKUP(A1230,Lookup!A:B,2,0),"")</f>
        <v/>
      </c>
      <c r="C1230" s="54" t="str">
        <f>IFERROR(VLOOKUP(A1230,Lookup!A:C,3,0),"")</f>
        <v/>
      </c>
      <c r="J1230" s="103">
        <f>VLOOKUP(A1230&amp;G1230,Lookup!J:N,5,0)</f>
        <v>0</v>
      </c>
      <c r="O1230" s="57">
        <f>IFERROR(VLOOKUP(A1230&amp;G1230,Lookup!J:K,2,0),"")</f>
        <v>0</v>
      </c>
      <c r="P1230" s="110" t="str">
        <f t="shared" si="83"/>
        <v/>
      </c>
      <c r="T1230" s="59" t="e">
        <f t="shared" ref="T1230:T1293" si="84">IF(Q1230-P1230&gt;0.0415,"YES",(IF(OR(EXACT(Q1230,""), EXACT(P1230,"")),"","NO")))</f>
        <v>#VALUE!</v>
      </c>
      <c r="U1230" s="59"/>
    </row>
    <row r="1231" spans="2:21" x14ac:dyDescent="0.25">
      <c r="B1231" s="54" t="str">
        <f>IFERROR(VLOOKUP(A1231,Lookup!A:B,2,0),"")</f>
        <v/>
      </c>
      <c r="C1231" s="54" t="str">
        <f>IFERROR(VLOOKUP(A1231,Lookup!A:C,3,0),"")</f>
        <v/>
      </c>
      <c r="J1231" s="103">
        <f>VLOOKUP(A1231&amp;G1231,Lookup!J:N,5,0)</f>
        <v>0</v>
      </c>
      <c r="O1231" s="57">
        <f>IFERROR(VLOOKUP(A1231&amp;G1231,Lookup!J:K,2,0),"")</f>
        <v>0</v>
      </c>
      <c r="P1231" s="110" t="str">
        <f t="shared" si="83"/>
        <v/>
      </c>
      <c r="T1231" s="59" t="e">
        <f t="shared" si="84"/>
        <v>#VALUE!</v>
      </c>
      <c r="U1231" s="59"/>
    </row>
    <row r="1232" spans="2:21" x14ac:dyDescent="0.25">
      <c r="B1232" s="54" t="str">
        <f>IFERROR(VLOOKUP(A1232,Lookup!A:B,2,0),"")</f>
        <v/>
      </c>
      <c r="C1232" s="54" t="str">
        <f>IFERROR(VLOOKUP(A1232,Lookup!A:C,3,0),"")</f>
        <v/>
      </c>
      <c r="J1232" s="103">
        <f>VLOOKUP(A1232&amp;G1232,Lookup!J:N,5,0)</f>
        <v>0</v>
      </c>
      <c r="O1232" s="57">
        <f>IFERROR(VLOOKUP(A1232&amp;G1232,Lookup!J:K,2,0),"")</f>
        <v>0</v>
      </c>
      <c r="P1232" s="110" t="str">
        <f t="shared" si="83"/>
        <v/>
      </c>
      <c r="T1232" s="59" t="e">
        <f t="shared" si="84"/>
        <v>#VALUE!</v>
      </c>
      <c r="U1232" s="59"/>
    </row>
    <row r="1233" spans="2:21" x14ac:dyDescent="0.25">
      <c r="B1233" s="54" t="str">
        <f>IFERROR(VLOOKUP(A1233,Lookup!A:B,2,0),"")</f>
        <v/>
      </c>
      <c r="C1233" s="54" t="str">
        <f>IFERROR(VLOOKUP(A1233,Lookup!A:C,3,0),"")</f>
        <v/>
      </c>
      <c r="J1233" s="103">
        <f>VLOOKUP(A1233&amp;G1233,Lookup!J:N,5,0)</f>
        <v>0</v>
      </c>
      <c r="O1233" s="57">
        <f>IFERROR(VLOOKUP(A1233&amp;G1233,Lookup!J:K,2,0),"")</f>
        <v>0</v>
      </c>
      <c r="P1233" s="110" t="str">
        <f t="shared" si="83"/>
        <v/>
      </c>
      <c r="T1233" s="59" t="e">
        <f t="shared" si="84"/>
        <v>#VALUE!</v>
      </c>
      <c r="U1233" s="59"/>
    </row>
    <row r="1234" spans="2:21" x14ac:dyDescent="0.25">
      <c r="B1234" s="54" t="str">
        <f>IFERROR(VLOOKUP(A1234,Lookup!A:B,2,0),"")</f>
        <v/>
      </c>
      <c r="C1234" s="54" t="str">
        <f>IFERROR(VLOOKUP(A1234,Lookup!A:C,3,0),"")</f>
        <v/>
      </c>
      <c r="J1234" s="103">
        <f>VLOOKUP(A1234&amp;G1234,Lookup!J:N,5,0)</f>
        <v>0</v>
      </c>
      <c r="O1234" s="57">
        <f>IFERROR(VLOOKUP(A1234&amp;G1234,Lookup!J:K,2,0),"")</f>
        <v>0</v>
      </c>
      <c r="P1234" s="110" t="str">
        <f t="shared" si="83"/>
        <v/>
      </c>
      <c r="T1234" s="59" t="e">
        <f t="shared" si="84"/>
        <v>#VALUE!</v>
      </c>
      <c r="U1234" s="59"/>
    </row>
    <row r="1235" spans="2:21" x14ac:dyDescent="0.25">
      <c r="B1235" s="54" t="str">
        <f>IFERROR(VLOOKUP(A1235,Lookup!A:B,2,0),"")</f>
        <v/>
      </c>
      <c r="C1235" s="54" t="str">
        <f>IFERROR(VLOOKUP(A1235,Lookup!A:C,3,0),"")</f>
        <v/>
      </c>
      <c r="J1235" s="103">
        <f>VLOOKUP(A1235&amp;G1235,Lookup!J:N,5,0)</f>
        <v>0</v>
      </c>
      <c r="O1235" s="57">
        <f>IFERROR(VLOOKUP(A1235&amp;G1235,Lookup!J:K,2,0),"")</f>
        <v>0</v>
      </c>
      <c r="P1235" s="110" t="str">
        <f t="shared" si="83"/>
        <v/>
      </c>
      <c r="T1235" s="59" t="e">
        <f t="shared" si="84"/>
        <v>#VALUE!</v>
      </c>
      <c r="U1235" s="59"/>
    </row>
    <row r="1236" spans="2:21" x14ac:dyDescent="0.25">
      <c r="B1236" s="54" t="str">
        <f>IFERROR(VLOOKUP(A1236,Lookup!A:B,2,0),"")</f>
        <v/>
      </c>
      <c r="C1236" s="54" t="str">
        <f>IFERROR(VLOOKUP(A1236,Lookup!A:C,3,0),"")</f>
        <v/>
      </c>
      <c r="J1236" s="103">
        <f>VLOOKUP(A1236&amp;G1236,Lookup!J:N,5,0)</f>
        <v>0</v>
      </c>
      <c r="O1236" s="57">
        <f>IFERROR(VLOOKUP(A1236&amp;G1236,Lookup!J:K,2,0),"")</f>
        <v>0</v>
      </c>
      <c r="P1236" s="110" t="str">
        <f t="shared" si="83"/>
        <v/>
      </c>
      <c r="T1236" s="59" t="e">
        <f t="shared" si="84"/>
        <v>#VALUE!</v>
      </c>
      <c r="U1236" s="59"/>
    </row>
    <row r="1237" spans="2:21" x14ac:dyDescent="0.25">
      <c r="B1237" s="54" t="str">
        <f>IFERROR(VLOOKUP(A1237,Lookup!A:B,2,0),"")</f>
        <v/>
      </c>
      <c r="C1237" s="54" t="str">
        <f>IFERROR(VLOOKUP(A1237,Lookup!A:C,3,0),"")</f>
        <v/>
      </c>
      <c r="J1237" s="103">
        <f>VLOOKUP(A1237&amp;G1237,Lookup!J:N,5,0)</f>
        <v>0</v>
      </c>
      <c r="O1237" s="57">
        <f>IFERROR(VLOOKUP(A1237&amp;G1237,Lookup!J:K,2,0),"")</f>
        <v>0</v>
      </c>
      <c r="P1237" s="110" t="str">
        <f t="shared" si="83"/>
        <v/>
      </c>
      <c r="T1237" s="59" t="e">
        <f t="shared" si="84"/>
        <v>#VALUE!</v>
      </c>
      <c r="U1237" s="59"/>
    </row>
    <row r="1238" spans="2:21" x14ac:dyDescent="0.25">
      <c r="B1238" s="54" t="str">
        <f>IFERROR(VLOOKUP(A1238,Lookup!A:B,2,0),"")</f>
        <v/>
      </c>
      <c r="C1238" s="54" t="str">
        <f>IFERROR(VLOOKUP(A1238,Lookup!A:C,3,0),"")</f>
        <v/>
      </c>
      <c r="J1238" s="103">
        <f>VLOOKUP(A1238&amp;G1238,Lookup!J:N,5,0)</f>
        <v>0</v>
      </c>
      <c r="O1238" s="57">
        <f>IFERROR(VLOOKUP(A1238&amp;G1238,Lookup!J:K,2,0),"")</f>
        <v>0</v>
      </c>
      <c r="P1238" s="110" t="str">
        <f t="shared" si="83"/>
        <v/>
      </c>
      <c r="T1238" s="59" t="e">
        <f t="shared" si="84"/>
        <v>#VALUE!</v>
      </c>
      <c r="U1238" s="59"/>
    </row>
    <row r="1239" spans="2:21" x14ac:dyDescent="0.25">
      <c r="B1239" s="54" t="str">
        <f>IFERROR(VLOOKUP(A1239,Lookup!A:B,2,0),"")</f>
        <v/>
      </c>
      <c r="C1239" s="54" t="str">
        <f>IFERROR(VLOOKUP(A1239,Lookup!A:C,3,0),"")</f>
        <v/>
      </c>
      <c r="J1239" s="103">
        <f>VLOOKUP(A1239&amp;G1239,Lookup!J:N,5,0)</f>
        <v>0</v>
      </c>
      <c r="O1239" s="57">
        <f>IFERROR(VLOOKUP(A1239&amp;G1239,Lookup!J:K,2,0),"")</f>
        <v>0</v>
      </c>
      <c r="P1239" s="110" t="str">
        <f t="shared" si="83"/>
        <v/>
      </c>
      <c r="T1239" s="59" t="e">
        <f t="shared" si="84"/>
        <v>#VALUE!</v>
      </c>
      <c r="U1239" s="59"/>
    </row>
    <row r="1240" spans="2:21" x14ac:dyDescent="0.25">
      <c r="B1240" s="54" t="str">
        <f>IFERROR(VLOOKUP(A1240,Lookup!A:B,2,0),"")</f>
        <v/>
      </c>
      <c r="C1240" s="54" t="str">
        <f>IFERROR(VLOOKUP(A1240,Lookup!A:C,3,0),"")</f>
        <v/>
      </c>
      <c r="J1240" s="103">
        <f>VLOOKUP(A1240&amp;G1240,Lookup!J:N,5,0)</f>
        <v>0</v>
      </c>
      <c r="O1240" s="57">
        <f>IFERROR(VLOOKUP(A1240&amp;G1240,Lookup!J:K,2,0),"")</f>
        <v>0</v>
      </c>
      <c r="P1240" s="110" t="str">
        <f t="shared" si="83"/>
        <v/>
      </c>
      <c r="T1240" s="59" t="e">
        <f t="shared" si="84"/>
        <v>#VALUE!</v>
      </c>
      <c r="U1240" s="59"/>
    </row>
    <row r="1241" spans="2:21" x14ac:dyDescent="0.25">
      <c r="B1241" s="54" t="str">
        <f>IFERROR(VLOOKUP(A1241,Lookup!A:B,2,0),"")</f>
        <v/>
      </c>
      <c r="C1241" s="54" t="str">
        <f>IFERROR(VLOOKUP(A1241,Lookup!A:C,3,0),"")</f>
        <v/>
      </c>
      <c r="J1241" s="103">
        <f>VLOOKUP(A1241&amp;G1241,Lookup!J:N,5,0)</f>
        <v>0</v>
      </c>
      <c r="O1241" s="57">
        <f>IFERROR(VLOOKUP(A1241&amp;G1241,Lookup!J:K,2,0),"")</f>
        <v>0</v>
      </c>
      <c r="P1241" s="110" t="str">
        <f t="shared" si="83"/>
        <v/>
      </c>
      <c r="T1241" s="59" t="e">
        <f t="shared" si="84"/>
        <v>#VALUE!</v>
      </c>
      <c r="U1241" s="59"/>
    </row>
    <row r="1242" spans="2:21" x14ac:dyDescent="0.25">
      <c r="B1242" s="54" t="str">
        <f>IFERROR(VLOOKUP(A1242,Lookup!A:B,2,0),"")</f>
        <v/>
      </c>
      <c r="C1242" s="54" t="str">
        <f>IFERROR(VLOOKUP(A1242,Lookup!A:C,3,0),"")</f>
        <v/>
      </c>
      <c r="J1242" s="103">
        <f>VLOOKUP(A1242&amp;G1242,Lookup!J:N,5,0)</f>
        <v>0</v>
      </c>
      <c r="O1242" s="57">
        <f>IFERROR(VLOOKUP(A1242&amp;G1242,Lookup!J:K,2,0),"")</f>
        <v>0</v>
      </c>
      <c r="P1242" s="110" t="str">
        <f t="shared" si="83"/>
        <v/>
      </c>
      <c r="T1242" s="59" t="e">
        <f t="shared" si="84"/>
        <v>#VALUE!</v>
      </c>
      <c r="U1242" s="59"/>
    </row>
    <row r="1243" spans="2:21" x14ac:dyDescent="0.25">
      <c r="B1243" s="54" t="str">
        <f>IFERROR(VLOOKUP(A1243,Lookup!A:B,2,0),"")</f>
        <v/>
      </c>
      <c r="C1243" s="54" t="str">
        <f>IFERROR(VLOOKUP(A1243,Lookup!A:C,3,0),"")</f>
        <v/>
      </c>
      <c r="J1243" s="103">
        <f>VLOOKUP(A1243&amp;G1243,Lookup!J:N,5,0)</f>
        <v>0</v>
      </c>
      <c r="O1243" s="57">
        <f>IFERROR(VLOOKUP(A1243&amp;G1243,Lookup!J:K,2,0),"")</f>
        <v>0</v>
      </c>
      <c r="P1243" s="110" t="str">
        <f t="shared" si="83"/>
        <v/>
      </c>
      <c r="T1243" s="59" t="e">
        <f t="shared" si="84"/>
        <v>#VALUE!</v>
      </c>
      <c r="U1243" s="59"/>
    </row>
    <row r="1244" spans="2:21" x14ac:dyDescent="0.25">
      <c r="B1244" s="54" t="str">
        <f>IFERROR(VLOOKUP(A1244,Lookup!A:B,2,0),"")</f>
        <v/>
      </c>
      <c r="C1244" s="54" t="str">
        <f>IFERROR(VLOOKUP(A1244,Lookup!A:C,3,0),"")</f>
        <v/>
      </c>
      <c r="J1244" s="103">
        <f>VLOOKUP(A1244&amp;G1244,Lookup!J:N,5,0)</f>
        <v>0</v>
      </c>
      <c r="O1244" s="57">
        <f>IFERROR(VLOOKUP(A1244&amp;G1244,Lookup!J:K,2,0),"")</f>
        <v>0</v>
      </c>
      <c r="P1244" s="110" t="str">
        <f t="shared" si="83"/>
        <v/>
      </c>
      <c r="T1244" s="59" t="e">
        <f t="shared" si="84"/>
        <v>#VALUE!</v>
      </c>
      <c r="U1244" s="59"/>
    </row>
    <row r="1245" spans="2:21" x14ac:dyDescent="0.25">
      <c r="B1245" s="54" t="str">
        <f>IFERROR(VLOOKUP(A1245,Lookup!A:B,2,0),"")</f>
        <v/>
      </c>
      <c r="C1245" s="54" t="str">
        <f>IFERROR(VLOOKUP(A1245,Lookup!A:C,3,0),"")</f>
        <v/>
      </c>
      <c r="J1245" s="103">
        <f>VLOOKUP(A1245&amp;G1245,Lookup!J:N,5,0)</f>
        <v>0</v>
      </c>
      <c r="O1245" s="57">
        <f>IFERROR(VLOOKUP(A1245&amp;G1245,Lookup!J:K,2,0),"")</f>
        <v>0</v>
      </c>
      <c r="P1245" s="110" t="str">
        <f t="shared" si="83"/>
        <v/>
      </c>
      <c r="T1245" s="59" t="e">
        <f t="shared" si="84"/>
        <v>#VALUE!</v>
      </c>
      <c r="U1245" s="59"/>
    </row>
    <row r="1246" spans="2:21" x14ac:dyDescent="0.25">
      <c r="B1246" s="54" t="str">
        <f>IFERROR(VLOOKUP(A1246,Lookup!A:B,2,0),"")</f>
        <v/>
      </c>
      <c r="C1246" s="54" t="str">
        <f>IFERROR(VLOOKUP(A1246,Lookup!A:C,3,0),"")</f>
        <v/>
      </c>
      <c r="J1246" s="103">
        <f>VLOOKUP(A1246&amp;G1246,Lookup!J:N,5,0)</f>
        <v>0</v>
      </c>
      <c r="O1246" s="57">
        <f>IFERROR(VLOOKUP(A1246&amp;G1246,Lookup!J:K,2,0),"")</f>
        <v>0</v>
      </c>
      <c r="P1246" s="110" t="str">
        <f t="shared" si="83"/>
        <v/>
      </c>
      <c r="T1246" s="59" t="e">
        <f t="shared" si="84"/>
        <v>#VALUE!</v>
      </c>
      <c r="U1246" s="59"/>
    </row>
    <row r="1247" spans="2:21" x14ac:dyDescent="0.25">
      <c r="B1247" s="54" t="str">
        <f>IFERROR(VLOOKUP(A1247,Lookup!A:B,2,0),"")</f>
        <v/>
      </c>
      <c r="C1247" s="54" t="str">
        <f>IFERROR(VLOOKUP(A1247,Lookup!A:C,3,0),"")</f>
        <v/>
      </c>
      <c r="J1247" s="103">
        <f>VLOOKUP(A1247&amp;G1247,Lookup!J:N,5,0)</f>
        <v>0</v>
      </c>
      <c r="O1247" s="57">
        <f>IFERROR(VLOOKUP(A1247&amp;G1247,Lookup!J:K,2,0),"")</f>
        <v>0</v>
      </c>
      <c r="P1247" s="110" t="str">
        <f t="shared" si="83"/>
        <v/>
      </c>
      <c r="T1247" s="59" t="e">
        <f t="shared" si="84"/>
        <v>#VALUE!</v>
      </c>
      <c r="U1247" s="59"/>
    </row>
    <row r="1248" spans="2:21" x14ac:dyDescent="0.25">
      <c r="B1248" s="54" t="str">
        <f>IFERROR(VLOOKUP(A1248,Lookup!A:B,2,0),"")</f>
        <v/>
      </c>
      <c r="C1248" s="54" t="str">
        <f>IFERROR(VLOOKUP(A1248,Lookup!A:C,3,0),"")</f>
        <v/>
      </c>
      <c r="J1248" s="103">
        <f>VLOOKUP(A1248&amp;G1248,Lookup!J:N,5,0)</f>
        <v>0</v>
      </c>
      <c r="O1248" s="57">
        <f>IFERROR(VLOOKUP(A1248&amp;G1248,Lookup!J:K,2,0),"")</f>
        <v>0</v>
      </c>
      <c r="P1248" s="110" t="str">
        <f t="shared" si="83"/>
        <v/>
      </c>
      <c r="T1248" s="59" t="e">
        <f t="shared" si="84"/>
        <v>#VALUE!</v>
      </c>
      <c r="U1248" s="59"/>
    </row>
    <row r="1249" spans="2:21" x14ac:dyDescent="0.25">
      <c r="B1249" s="54" t="str">
        <f>IFERROR(VLOOKUP(A1249,Lookup!A:B,2,0),"")</f>
        <v/>
      </c>
      <c r="C1249" s="54" t="str">
        <f>IFERROR(VLOOKUP(A1249,Lookup!A:C,3,0),"")</f>
        <v/>
      </c>
      <c r="J1249" s="103">
        <f>VLOOKUP(A1249&amp;G1249,Lookup!J:N,5,0)</f>
        <v>0</v>
      </c>
      <c r="O1249" s="57">
        <f>IFERROR(VLOOKUP(A1249&amp;G1249,Lookup!J:K,2,0),"")</f>
        <v>0</v>
      </c>
      <c r="P1249" s="110" t="str">
        <f t="shared" si="83"/>
        <v/>
      </c>
      <c r="T1249" s="59" t="e">
        <f t="shared" si="84"/>
        <v>#VALUE!</v>
      </c>
      <c r="U1249" s="59"/>
    </row>
    <row r="1250" spans="2:21" x14ac:dyDescent="0.25">
      <c r="B1250" s="54" t="str">
        <f>IFERROR(VLOOKUP(A1250,Lookup!A:B,2,0),"")</f>
        <v/>
      </c>
      <c r="C1250" s="54" t="str">
        <f>IFERROR(VLOOKUP(A1250,Lookup!A:C,3,0),"")</f>
        <v/>
      </c>
      <c r="J1250" s="103">
        <f>VLOOKUP(A1250&amp;G1250,Lookup!J:N,5,0)</f>
        <v>0</v>
      </c>
      <c r="O1250" s="57">
        <f>IFERROR(VLOOKUP(A1250&amp;G1250,Lookup!J:K,2,0),"")</f>
        <v>0</v>
      </c>
      <c r="P1250" s="110" t="str">
        <f t="shared" si="83"/>
        <v/>
      </c>
      <c r="T1250" s="59" t="e">
        <f t="shared" si="84"/>
        <v>#VALUE!</v>
      </c>
      <c r="U1250" s="59"/>
    </row>
    <row r="1251" spans="2:21" x14ac:dyDescent="0.25">
      <c r="B1251" s="54" t="str">
        <f>IFERROR(VLOOKUP(A1251,Lookup!A:B,2,0),"")</f>
        <v/>
      </c>
      <c r="C1251" s="54" t="str">
        <f>IFERROR(VLOOKUP(A1251,Lookup!A:C,3,0),"")</f>
        <v/>
      </c>
      <c r="J1251" s="103">
        <f>VLOOKUP(A1251&amp;G1251,Lookup!J:N,5,0)</f>
        <v>0</v>
      </c>
      <c r="O1251" s="57">
        <f>IFERROR(VLOOKUP(A1251&amp;G1251,Lookup!J:K,2,0),"")</f>
        <v>0</v>
      </c>
      <c r="P1251" s="110" t="str">
        <f t="shared" si="83"/>
        <v/>
      </c>
      <c r="T1251" s="59" t="e">
        <f t="shared" si="84"/>
        <v>#VALUE!</v>
      </c>
      <c r="U1251" s="59"/>
    </row>
    <row r="1252" spans="2:21" x14ac:dyDescent="0.25">
      <c r="B1252" s="54" t="str">
        <f>IFERROR(VLOOKUP(A1252,Lookup!A:B,2,0),"")</f>
        <v/>
      </c>
      <c r="C1252" s="54" t="str">
        <f>IFERROR(VLOOKUP(A1252,Lookup!A:C,3,0),"")</f>
        <v/>
      </c>
      <c r="J1252" s="103">
        <f>VLOOKUP(A1252&amp;G1252,Lookup!J:N,5,0)</f>
        <v>0</v>
      </c>
      <c r="O1252" s="57">
        <f>IFERROR(VLOOKUP(A1252&amp;G1252,Lookup!J:K,2,0),"")</f>
        <v>0</v>
      </c>
      <c r="P1252" s="110" t="str">
        <f t="shared" si="83"/>
        <v/>
      </c>
      <c r="T1252" s="59" t="e">
        <f t="shared" si="84"/>
        <v>#VALUE!</v>
      </c>
      <c r="U1252" s="59"/>
    </row>
    <row r="1253" spans="2:21" x14ac:dyDescent="0.25">
      <c r="B1253" s="54" t="str">
        <f>IFERROR(VLOOKUP(A1253,Lookup!A:B,2,0),"")</f>
        <v/>
      </c>
      <c r="C1253" s="54" t="str">
        <f>IFERROR(VLOOKUP(A1253,Lookup!A:C,3,0),"")</f>
        <v/>
      </c>
      <c r="J1253" s="103">
        <f>VLOOKUP(A1253&amp;G1253,Lookup!J:N,5,0)</f>
        <v>0</v>
      </c>
      <c r="O1253" s="57">
        <f>IFERROR(VLOOKUP(A1253&amp;G1253,Lookup!J:K,2,0),"")</f>
        <v>0</v>
      </c>
      <c r="P1253" s="110" t="str">
        <f t="shared" si="83"/>
        <v/>
      </c>
      <c r="T1253" s="59" t="e">
        <f t="shared" si="84"/>
        <v>#VALUE!</v>
      </c>
      <c r="U1253" s="59"/>
    </row>
    <row r="1254" spans="2:21" x14ac:dyDescent="0.25">
      <c r="B1254" s="54" t="str">
        <f>IFERROR(VLOOKUP(A1254,Lookup!A:B,2,0),"")</f>
        <v/>
      </c>
      <c r="C1254" s="54" t="str">
        <f>IFERROR(VLOOKUP(A1254,Lookup!A:C,3,0),"")</f>
        <v/>
      </c>
      <c r="J1254" s="103">
        <f>VLOOKUP(A1254&amp;G1254,Lookup!J:N,5,0)</f>
        <v>0</v>
      </c>
      <c r="O1254" s="57">
        <f>IFERROR(VLOOKUP(A1254&amp;G1254,Lookup!J:K,2,0),"")</f>
        <v>0</v>
      </c>
      <c r="P1254" s="110" t="str">
        <f t="shared" si="83"/>
        <v/>
      </c>
      <c r="T1254" s="59" t="e">
        <f t="shared" si="84"/>
        <v>#VALUE!</v>
      </c>
      <c r="U1254" s="59"/>
    </row>
    <row r="1255" spans="2:21" x14ac:dyDescent="0.25">
      <c r="B1255" s="54" t="str">
        <f>IFERROR(VLOOKUP(A1255,Lookup!A:B,2,0),"")</f>
        <v/>
      </c>
      <c r="C1255" s="54" t="str">
        <f>IFERROR(VLOOKUP(A1255,Lookup!A:C,3,0),"")</f>
        <v/>
      </c>
      <c r="J1255" s="103">
        <f>VLOOKUP(A1255&amp;G1255,Lookup!J:N,5,0)</f>
        <v>0</v>
      </c>
      <c r="O1255" s="57">
        <f>IFERROR(VLOOKUP(A1255&amp;G1255,Lookup!J:K,2,0),"")</f>
        <v>0</v>
      </c>
      <c r="P1255" s="110" t="str">
        <f t="shared" si="83"/>
        <v/>
      </c>
      <c r="T1255" s="59" t="e">
        <f t="shared" si="84"/>
        <v>#VALUE!</v>
      </c>
      <c r="U1255" s="59"/>
    </row>
    <row r="1256" spans="2:21" x14ac:dyDescent="0.25">
      <c r="B1256" s="54" t="str">
        <f>IFERROR(VLOOKUP(A1256,Lookup!A:B,2,0),"")</f>
        <v/>
      </c>
      <c r="C1256" s="54" t="str">
        <f>IFERROR(VLOOKUP(A1256,Lookup!A:C,3,0),"")</f>
        <v/>
      </c>
      <c r="J1256" s="103">
        <f>VLOOKUP(A1256&amp;G1256,Lookup!J:N,5,0)</f>
        <v>0</v>
      </c>
      <c r="O1256" s="57">
        <f>IFERROR(VLOOKUP(A1256&amp;G1256,Lookup!J:K,2,0),"")</f>
        <v>0</v>
      </c>
      <c r="P1256" s="110" t="str">
        <f t="shared" si="83"/>
        <v/>
      </c>
      <c r="T1256" s="59" t="e">
        <f t="shared" si="84"/>
        <v>#VALUE!</v>
      </c>
      <c r="U1256" s="59"/>
    </row>
    <row r="1257" spans="2:21" x14ac:dyDescent="0.25">
      <c r="B1257" s="54" t="str">
        <f>IFERROR(VLOOKUP(A1257,Lookup!A:B,2,0),"")</f>
        <v/>
      </c>
      <c r="C1257" s="54" t="str">
        <f>IFERROR(VLOOKUP(A1257,Lookup!A:C,3,0),"")</f>
        <v/>
      </c>
      <c r="J1257" s="103">
        <f>VLOOKUP(A1257&amp;G1257,Lookup!J:N,5,0)</f>
        <v>0</v>
      </c>
      <c r="O1257" s="57">
        <f>IFERROR(VLOOKUP(A1257&amp;G1257,Lookup!J:K,2,0),"")</f>
        <v>0</v>
      </c>
      <c r="P1257" s="110" t="str">
        <f t="shared" si="83"/>
        <v/>
      </c>
      <c r="T1257" s="59" t="e">
        <f t="shared" si="84"/>
        <v>#VALUE!</v>
      </c>
      <c r="U1257" s="59"/>
    </row>
    <row r="1258" spans="2:21" x14ac:dyDescent="0.25">
      <c r="B1258" s="54" t="str">
        <f>IFERROR(VLOOKUP(A1258,Lookup!A:B,2,0),"")</f>
        <v/>
      </c>
      <c r="C1258" s="54" t="str">
        <f>IFERROR(VLOOKUP(A1258,Lookup!A:C,3,0),"")</f>
        <v/>
      </c>
      <c r="J1258" s="103">
        <f>VLOOKUP(A1258&amp;G1258,Lookup!J:N,5,0)</f>
        <v>0</v>
      </c>
      <c r="O1258" s="57">
        <f>IFERROR(VLOOKUP(A1258&amp;G1258,Lookup!J:K,2,0),"")</f>
        <v>0</v>
      </c>
      <c r="P1258" s="110" t="str">
        <f t="shared" si="83"/>
        <v/>
      </c>
      <c r="T1258" s="59" t="e">
        <f t="shared" si="84"/>
        <v>#VALUE!</v>
      </c>
      <c r="U1258" s="59"/>
    </row>
    <row r="1259" spans="2:21" x14ac:dyDescent="0.25">
      <c r="B1259" s="54" t="str">
        <f>IFERROR(VLOOKUP(A1259,Lookup!A:B,2,0),"")</f>
        <v/>
      </c>
      <c r="C1259" s="54" t="str">
        <f>IFERROR(VLOOKUP(A1259,Lookup!A:C,3,0),"")</f>
        <v/>
      </c>
      <c r="J1259" s="103">
        <f>VLOOKUP(A1259&amp;G1259,Lookup!J:N,5,0)</f>
        <v>0</v>
      </c>
      <c r="O1259" s="57">
        <f>IFERROR(VLOOKUP(A1259&amp;G1259,Lookup!J:K,2,0),"")</f>
        <v>0</v>
      </c>
      <c r="P1259" s="110" t="str">
        <f t="shared" si="83"/>
        <v/>
      </c>
      <c r="T1259" s="59" t="e">
        <f t="shared" si="84"/>
        <v>#VALUE!</v>
      </c>
      <c r="U1259" s="59"/>
    </row>
    <row r="1260" spans="2:21" x14ac:dyDescent="0.25">
      <c r="B1260" s="54" t="str">
        <f>IFERROR(VLOOKUP(A1260,Lookup!A:B,2,0),"")</f>
        <v/>
      </c>
      <c r="C1260" s="54" t="str">
        <f>IFERROR(VLOOKUP(A1260,Lookup!A:C,3,0),"")</f>
        <v/>
      </c>
      <c r="J1260" s="103">
        <f>VLOOKUP(A1260&amp;G1260,Lookup!J:N,5,0)</f>
        <v>0</v>
      </c>
      <c r="O1260" s="57">
        <f>IFERROR(VLOOKUP(A1260&amp;G1260,Lookup!J:K,2,0),"")</f>
        <v>0</v>
      </c>
      <c r="P1260" s="110" t="str">
        <f t="shared" si="83"/>
        <v/>
      </c>
      <c r="T1260" s="59" t="e">
        <f t="shared" si="84"/>
        <v>#VALUE!</v>
      </c>
      <c r="U1260" s="59"/>
    </row>
    <row r="1261" spans="2:21" x14ac:dyDescent="0.25">
      <c r="B1261" s="54" t="str">
        <f>IFERROR(VLOOKUP(A1261,Lookup!A:B,2,0),"")</f>
        <v/>
      </c>
      <c r="C1261" s="54" t="str">
        <f>IFERROR(VLOOKUP(A1261,Lookup!A:C,3,0),"")</f>
        <v/>
      </c>
      <c r="J1261" s="103">
        <f>VLOOKUP(A1261&amp;G1261,Lookup!J:N,5,0)</f>
        <v>0</v>
      </c>
      <c r="O1261" s="57">
        <f>IFERROR(VLOOKUP(A1261&amp;G1261,Lookup!J:K,2,0),"")</f>
        <v>0</v>
      </c>
      <c r="P1261" s="110" t="str">
        <f t="shared" si="83"/>
        <v/>
      </c>
      <c r="T1261" s="59" t="e">
        <f t="shared" si="84"/>
        <v>#VALUE!</v>
      </c>
      <c r="U1261" s="59"/>
    </row>
    <row r="1262" spans="2:21" x14ac:dyDescent="0.25">
      <c r="B1262" s="54" t="str">
        <f>IFERROR(VLOOKUP(A1262,Lookup!A:B,2,0),"")</f>
        <v/>
      </c>
      <c r="C1262" s="54" t="str">
        <f>IFERROR(VLOOKUP(A1262,Lookup!A:C,3,0),"")</f>
        <v/>
      </c>
      <c r="J1262" s="103">
        <f>VLOOKUP(A1262&amp;G1262,Lookup!J:N,5,0)</f>
        <v>0</v>
      </c>
      <c r="O1262" s="57">
        <f>IFERROR(VLOOKUP(A1262&amp;G1262,Lookup!J:K,2,0),"")</f>
        <v>0</v>
      </c>
      <c r="P1262" s="110" t="str">
        <f t="shared" si="83"/>
        <v/>
      </c>
      <c r="T1262" s="59" t="e">
        <f t="shared" si="84"/>
        <v>#VALUE!</v>
      </c>
      <c r="U1262" s="59"/>
    </row>
    <row r="1263" spans="2:21" x14ac:dyDescent="0.25">
      <c r="B1263" s="54" t="str">
        <f>IFERROR(VLOOKUP(A1263,Lookup!A:B,2,0),"")</f>
        <v/>
      </c>
      <c r="C1263" s="54" t="str">
        <f>IFERROR(VLOOKUP(A1263,Lookup!A:C,3,0),"")</f>
        <v/>
      </c>
      <c r="J1263" s="103">
        <f>VLOOKUP(A1263&amp;G1263,Lookup!J:N,5,0)</f>
        <v>0</v>
      </c>
      <c r="O1263" s="57">
        <f>IFERROR(VLOOKUP(A1263&amp;G1263,Lookup!J:K,2,0),"")</f>
        <v>0</v>
      </c>
      <c r="P1263" s="110" t="str">
        <f t="shared" si="83"/>
        <v/>
      </c>
      <c r="T1263" s="59" t="e">
        <f t="shared" si="84"/>
        <v>#VALUE!</v>
      </c>
      <c r="U1263" s="59"/>
    </row>
    <row r="1264" spans="2:21" x14ac:dyDescent="0.25">
      <c r="B1264" s="54" t="str">
        <f>IFERROR(VLOOKUP(A1264,Lookup!A:B,2,0),"")</f>
        <v/>
      </c>
      <c r="C1264" s="54" t="str">
        <f>IFERROR(VLOOKUP(A1264,Lookup!A:C,3,0),"")</f>
        <v/>
      </c>
      <c r="J1264" s="103">
        <f>VLOOKUP(A1264&amp;G1264,Lookup!J:N,5,0)</f>
        <v>0</v>
      </c>
      <c r="O1264" s="57">
        <f>IFERROR(VLOOKUP(A1264&amp;G1264,Lookup!J:K,2,0),"")</f>
        <v>0</v>
      </c>
      <c r="P1264" s="110" t="str">
        <f t="shared" si="83"/>
        <v/>
      </c>
      <c r="T1264" s="59" t="e">
        <f t="shared" si="84"/>
        <v>#VALUE!</v>
      </c>
      <c r="U1264" s="59"/>
    </row>
    <row r="1265" spans="2:21" x14ac:dyDescent="0.25">
      <c r="B1265" s="54" t="str">
        <f>IFERROR(VLOOKUP(A1265,Lookup!A:B,2,0),"")</f>
        <v/>
      </c>
      <c r="C1265" s="54" t="str">
        <f>IFERROR(VLOOKUP(A1265,Lookup!A:C,3,0),"")</f>
        <v/>
      </c>
      <c r="J1265" s="103">
        <f>VLOOKUP(A1265&amp;G1265,Lookup!J:N,5,0)</f>
        <v>0</v>
      </c>
      <c r="O1265" s="57">
        <f>IFERROR(VLOOKUP(A1265&amp;G1265,Lookup!J:K,2,0),"")</f>
        <v>0</v>
      </c>
      <c r="P1265" s="110" t="str">
        <f t="shared" si="83"/>
        <v/>
      </c>
      <c r="T1265" s="59" t="e">
        <f t="shared" si="84"/>
        <v>#VALUE!</v>
      </c>
      <c r="U1265" s="59"/>
    </row>
    <row r="1266" spans="2:21" x14ac:dyDescent="0.25">
      <c r="B1266" s="54" t="str">
        <f>IFERROR(VLOOKUP(A1266,Lookup!A:B,2,0),"")</f>
        <v/>
      </c>
      <c r="C1266" s="54" t="str">
        <f>IFERROR(VLOOKUP(A1266,Lookup!A:C,3,0),"")</f>
        <v/>
      </c>
      <c r="J1266" s="103">
        <f>VLOOKUP(A1266&amp;G1266,Lookup!J:N,5,0)</f>
        <v>0</v>
      </c>
      <c r="O1266" s="57">
        <f>IFERROR(VLOOKUP(A1266&amp;G1266,Lookup!J:K,2,0),"")</f>
        <v>0</v>
      </c>
      <c r="P1266" s="110" t="str">
        <f t="shared" si="83"/>
        <v/>
      </c>
      <c r="T1266" s="59" t="e">
        <f t="shared" si="84"/>
        <v>#VALUE!</v>
      </c>
      <c r="U1266" s="59"/>
    </row>
    <row r="1267" spans="2:21" x14ac:dyDescent="0.25">
      <c r="B1267" s="54" t="str">
        <f>IFERROR(VLOOKUP(A1267,Lookup!A:B,2,0),"")</f>
        <v/>
      </c>
      <c r="C1267" s="54" t="str">
        <f>IFERROR(VLOOKUP(A1267,Lookup!A:C,3,0),"")</f>
        <v/>
      </c>
      <c r="J1267" s="103">
        <f>VLOOKUP(A1267&amp;G1267,Lookup!J:N,5,0)</f>
        <v>0</v>
      </c>
      <c r="O1267" s="57">
        <f>IFERROR(VLOOKUP(A1267&amp;G1267,Lookup!J:K,2,0),"")</f>
        <v>0</v>
      </c>
      <c r="P1267" s="110" t="str">
        <f t="shared" si="83"/>
        <v/>
      </c>
      <c r="T1267" s="59" t="e">
        <f t="shared" si="84"/>
        <v>#VALUE!</v>
      </c>
      <c r="U1267" s="59"/>
    </row>
    <row r="1268" spans="2:21" x14ac:dyDescent="0.25">
      <c r="B1268" s="54" t="str">
        <f>IFERROR(VLOOKUP(A1268,Lookup!A:B,2,0),"")</f>
        <v/>
      </c>
      <c r="C1268" s="54" t="str">
        <f>IFERROR(VLOOKUP(A1268,Lookup!A:C,3,0),"")</f>
        <v/>
      </c>
      <c r="J1268" s="103">
        <f>VLOOKUP(A1268&amp;G1268,Lookup!J:N,5,0)</f>
        <v>0</v>
      </c>
      <c r="O1268" s="57">
        <f>IFERROR(VLOOKUP(A1268&amp;G1268,Lookup!J:K,2,0),"")</f>
        <v>0</v>
      </c>
      <c r="P1268" s="110" t="str">
        <f t="shared" si="83"/>
        <v/>
      </c>
      <c r="T1268" s="59" t="e">
        <f t="shared" si="84"/>
        <v>#VALUE!</v>
      </c>
      <c r="U1268" s="59"/>
    </row>
    <row r="1269" spans="2:21" x14ac:dyDescent="0.25">
      <c r="B1269" s="54" t="str">
        <f>IFERROR(VLOOKUP(A1269,Lookup!A:B,2,0),"")</f>
        <v/>
      </c>
      <c r="C1269" s="54" t="str">
        <f>IFERROR(VLOOKUP(A1269,Lookup!A:C,3,0),"")</f>
        <v/>
      </c>
      <c r="J1269" s="103">
        <f>VLOOKUP(A1269&amp;G1269,Lookup!J:N,5,0)</f>
        <v>0</v>
      </c>
      <c r="O1269" s="57">
        <f>IFERROR(VLOOKUP(A1269&amp;G1269,Lookup!J:K,2,0),"")</f>
        <v>0</v>
      </c>
      <c r="P1269" s="110" t="str">
        <f t="shared" si="83"/>
        <v/>
      </c>
      <c r="T1269" s="59" t="e">
        <f t="shared" si="84"/>
        <v>#VALUE!</v>
      </c>
      <c r="U1269" s="59"/>
    </row>
    <row r="1270" spans="2:21" x14ac:dyDescent="0.25">
      <c r="B1270" s="54" t="str">
        <f>IFERROR(VLOOKUP(A1270,Lookup!A:B,2,0),"")</f>
        <v/>
      </c>
      <c r="C1270" s="54" t="str">
        <f>IFERROR(VLOOKUP(A1270,Lookup!A:C,3,0),"")</f>
        <v/>
      </c>
      <c r="J1270" s="103">
        <f>VLOOKUP(A1270&amp;G1270,Lookup!J:N,5,0)</f>
        <v>0</v>
      </c>
      <c r="O1270" s="57">
        <f>IFERROR(VLOOKUP(A1270&amp;G1270,Lookup!J:K,2,0),"")</f>
        <v>0</v>
      </c>
      <c r="P1270" s="110" t="str">
        <f t="shared" si="83"/>
        <v/>
      </c>
      <c r="T1270" s="59" t="e">
        <f t="shared" si="84"/>
        <v>#VALUE!</v>
      </c>
      <c r="U1270" s="59"/>
    </row>
    <row r="1271" spans="2:21" x14ac:dyDescent="0.25">
      <c r="B1271" s="54" t="str">
        <f>IFERROR(VLOOKUP(A1271,Lookup!A:B,2,0),"")</f>
        <v/>
      </c>
      <c r="C1271" s="54" t="str">
        <f>IFERROR(VLOOKUP(A1271,Lookup!A:C,3,0),"")</f>
        <v/>
      </c>
      <c r="J1271" s="103">
        <f>VLOOKUP(A1271&amp;G1271,Lookup!J:N,5,0)</f>
        <v>0</v>
      </c>
      <c r="O1271" s="57">
        <f>IFERROR(VLOOKUP(A1271&amp;G1271,Lookup!J:K,2,0),"")</f>
        <v>0</v>
      </c>
      <c r="P1271" s="110" t="str">
        <f t="shared" si="83"/>
        <v/>
      </c>
      <c r="T1271" s="59" t="e">
        <f t="shared" si="84"/>
        <v>#VALUE!</v>
      </c>
      <c r="U1271" s="59"/>
    </row>
    <row r="1272" spans="2:21" x14ac:dyDescent="0.25">
      <c r="B1272" s="54" t="str">
        <f>IFERROR(VLOOKUP(A1272,Lookup!A:B,2,0),"")</f>
        <v/>
      </c>
      <c r="C1272" s="54" t="str">
        <f>IFERROR(VLOOKUP(A1272,Lookup!A:C,3,0),"")</f>
        <v/>
      </c>
      <c r="J1272" s="103">
        <f>VLOOKUP(A1272&amp;G1272,Lookup!J:N,5,0)</f>
        <v>0</v>
      </c>
      <c r="O1272" s="57">
        <f>IFERROR(VLOOKUP(A1272&amp;G1272,Lookup!J:K,2,0),"")</f>
        <v>0</v>
      </c>
      <c r="P1272" s="110" t="str">
        <f t="shared" si="83"/>
        <v/>
      </c>
      <c r="T1272" s="59" t="e">
        <f t="shared" si="84"/>
        <v>#VALUE!</v>
      </c>
      <c r="U1272" s="59"/>
    </row>
    <row r="1273" spans="2:21" x14ac:dyDescent="0.25">
      <c r="B1273" s="54" t="str">
        <f>IFERROR(VLOOKUP(A1273,Lookup!A:B,2,0),"")</f>
        <v/>
      </c>
      <c r="C1273" s="54" t="str">
        <f>IFERROR(VLOOKUP(A1273,Lookup!A:C,3,0),"")</f>
        <v/>
      </c>
      <c r="J1273" s="103">
        <f>VLOOKUP(A1273&amp;G1273,Lookup!J:N,5,0)</f>
        <v>0</v>
      </c>
      <c r="O1273" s="57">
        <f>IFERROR(VLOOKUP(A1273&amp;G1273,Lookup!J:K,2,0),"")</f>
        <v>0</v>
      </c>
      <c r="P1273" s="110" t="str">
        <f t="shared" si="83"/>
        <v/>
      </c>
      <c r="T1273" s="59" t="e">
        <f t="shared" si="84"/>
        <v>#VALUE!</v>
      </c>
      <c r="U1273" s="59"/>
    </row>
    <row r="1274" spans="2:21" x14ac:dyDescent="0.25">
      <c r="B1274" s="54" t="str">
        <f>IFERROR(VLOOKUP(A1274,Lookup!A:B,2,0),"")</f>
        <v/>
      </c>
      <c r="C1274" s="54" t="str">
        <f>IFERROR(VLOOKUP(A1274,Lookup!A:C,3,0),"")</f>
        <v/>
      </c>
      <c r="J1274" s="103">
        <f>VLOOKUP(A1274&amp;G1274,Lookup!J:N,5,0)</f>
        <v>0</v>
      </c>
      <c r="O1274" s="57">
        <f>IFERROR(VLOOKUP(A1274&amp;G1274,Lookup!J:K,2,0),"")</f>
        <v>0</v>
      </c>
      <c r="P1274" s="110" t="str">
        <f t="shared" si="83"/>
        <v/>
      </c>
      <c r="T1274" s="59" t="e">
        <f t="shared" si="84"/>
        <v>#VALUE!</v>
      </c>
      <c r="U1274" s="59"/>
    </row>
    <row r="1275" spans="2:21" x14ac:dyDescent="0.25">
      <c r="B1275" s="54" t="str">
        <f>IFERROR(VLOOKUP(A1275,Lookup!A:B,2,0),"")</f>
        <v/>
      </c>
      <c r="C1275" s="54" t="str">
        <f>IFERROR(VLOOKUP(A1275,Lookup!A:C,3,0),"")</f>
        <v/>
      </c>
      <c r="J1275" s="103">
        <f>VLOOKUP(A1275&amp;G1275,Lookup!J:N,5,0)</f>
        <v>0</v>
      </c>
      <c r="O1275" s="57">
        <f>IFERROR(VLOOKUP(A1275&amp;G1275,Lookup!J:K,2,0),"")</f>
        <v>0</v>
      </c>
      <c r="P1275" s="110" t="str">
        <f t="shared" si="83"/>
        <v/>
      </c>
      <c r="T1275" s="59" t="e">
        <f t="shared" si="84"/>
        <v>#VALUE!</v>
      </c>
      <c r="U1275" s="59"/>
    </row>
    <row r="1276" spans="2:21" x14ac:dyDescent="0.25">
      <c r="B1276" s="54" t="str">
        <f>IFERROR(VLOOKUP(A1276,Lookup!A:B,2,0),"")</f>
        <v/>
      </c>
      <c r="C1276" s="54" t="str">
        <f>IFERROR(VLOOKUP(A1276,Lookup!A:C,3,0),"")</f>
        <v/>
      </c>
      <c r="J1276" s="103">
        <f>VLOOKUP(A1276&amp;G1276,Lookup!J:N,5,0)</f>
        <v>0</v>
      </c>
      <c r="O1276" s="57">
        <f>IFERROR(VLOOKUP(A1276&amp;G1276,Lookup!J:K,2,0),"")</f>
        <v>0</v>
      </c>
      <c r="P1276" s="110" t="str">
        <f t="shared" si="83"/>
        <v/>
      </c>
      <c r="T1276" s="59" t="e">
        <f t="shared" si="84"/>
        <v>#VALUE!</v>
      </c>
      <c r="U1276" s="59"/>
    </row>
    <row r="1277" spans="2:21" x14ac:dyDescent="0.25">
      <c r="B1277" s="54" t="str">
        <f>IFERROR(VLOOKUP(A1277,Lookup!A:B,2,0),"")</f>
        <v/>
      </c>
      <c r="C1277" s="54" t="str">
        <f>IFERROR(VLOOKUP(A1277,Lookup!A:C,3,0),"")</f>
        <v/>
      </c>
      <c r="J1277" s="103">
        <f>VLOOKUP(A1277&amp;G1277,Lookup!J:N,5,0)</f>
        <v>0</v>
      </c>
      <c r="O1277" s="57">
        <f>IFERROR(VLOOKUP(A1277&amp;G1277,Lookup!J:K,2,0),"")</f>
        <v>0</v>
      </c>
      <c r="P1277" s="110" t="str">
        <f t="shared" si="83"/>
        <v/>
      </c>
      <c r="T1277" s="59" t="e">
        <f t="shared" si="84"/>
        <v>#VALUE!</v>
      </c>
      <c r="U1277" s="59"/>
    </row>
    <row r="1278" spans="2:21" x14ac:dyDescent="0.25">
      <c r="B1278" s="54" t="str">
        <f>IFERROR(VLOOKUP(A1278,Lookup!A:B,2,0),"")</f>
        <v/>
      </c>
      <c r="C1278" s="54" t="str">
        <f>IFERROR(VLOOKUP(A1278,Lookup!A:C,3,0),"")</f>
        <v/>
      </c>
      <c r="J1278" s="103">
        <f>VLOOKUP(A1278&amp;G1278,Lookup!J:N,5,0)</f>
        <v>0</v>
      </c>
      <c r="O1278" s="57">
        <f>IFERROR(VLOOKUP(A1278&amp;G1278,Lookup!J:K,2,0),"")</f>
        <v>0</v>
      </c>
      <c r="P1278" s="110" t="str">
        <f t="shared" si="83"/>
        <v/>
      </c>
      <c r="T1278" s="59" t="e">
        <f t="shared" si="84"/>
        <v>#VALUE!</v>
      </c>
      <c r="U1278" s="59"/>
    </row>
    <row r="1279" spans="2:21" x14ac:dyDescent="0.25">
      <c r="B1279" s="54" t="str">
        <f>IFERROR(VLOOKUP(A1279,Lookup!A:B,2,0),"")</f>
        <v/>
      </c>
      <c r="C1279" s="54" t="str">
        <f>IFERROR(VLOOKUP(A1279,Lookup!A:C,3,0),"")</f>
        <v/>
      </c>
      <c r="J1279" s="103">
        <f>VLOOKUP(A1279&amp;G1279,Lookup!J:N,5,0)</f>
        <v>0</v>
      </c>
      <c r="O1279" s="57">
        <f>IFERROR(VLOOKUP(A1279&amp;G1279,Lookup!J:K,2,0),"")</f>
        <v>0</v>
      </c>
      <c r="P1279" s="110" t="str">
        <f t="shared" si="83"/>
        <v/>
      </c>
      <c r="T1279" s="59" t="e">
        <f t="shared" si="84"/>
        <v>#VALUE!</v>
      </c>
      <c r="U1279" s="59"/>
    </row>
    <row r="1280" spans="2:21" x14ac:dyDescent="0.25">
      <c r="B1280" s="54" t="str">
        <f>IFERROR(VLOOKUP(A1280,Lookup!A:B,2,0),"")</f>
        <v/>
      </c>
      <c r="C1280" s="54" t="str">
        <f>IFERROR(VLOOKUP(A1280,Lookup!A:C,3,0),"")</f>
        <v/>
      </c>
      <c r="J1280" s="103">
        <f>VLOOKUP(A1280&amp;G1280,Lookup!J:N,5,0)</f>
        <v>0</v>
      </c>
      <c r="O1280" s="57">
        <f>IFERROR(VLOOKUP(A1280&amp;G1280,Lookup!J:K,2,0),"")</f>
        <v>0</v>
      </c>
      <c r="P1280" s="110" t="str">
        <f t="shared" si="83"/>
        <v/>
      </c>
      <c r="T1280" s="59" t="e">
        <f t="shared" si="84"/>
        <v>#VALUE!</v>
      </c>
      <c r="U1280" s="59"/>
    </row>
    <row r="1281" spans="2:21" x14ac:dyDescent="0.25">
      <c r="B1281" s="54" t="str">
        <f>IFERROR(VLOOKUP(A1281,Lookup!A:B,2,0),"")</f>
        <v/>
      </c>
      <c r="C1281" s="54" t="str">
        <f>IFERROR(VLOOKUP(A1281,Lookup!A:C,3,0),"")</f>
        <v/>
      </c>
      <c r="J1281" s="103">
        <f>VLOOKUP(A1281&amp;G1281,Lookup!J:N,5,0)</f>
        <v>0</v>
      </c>
      <c r="O1281" s="57">
        <f>IFERROR(VLOOKUP(A1281&amp;G1281,Lookup!J:K,2,0),"")</f>
        <v>0</v>
      </c>
      <c r="P1281" s="110" t="str">
        <f t="shared" si="83"/>
        <v/>
      </c>
      <c r="T1281" s="59" t="e">
        <f t="shared" si="84"/>
        <v>#VALUE!</v>
      </c>
      <c r="U1281" s="59"/>
    </row>
    <row r="1282" spans="2:21" x14ac:dyDescent="0.25">
      <c r="B1282" s="54" t="str">
        <f>IFERROR(VLOOKUP(A1282,Lookup!A:B,2,0),"")</f>
        <v/>
      </c>
      <c r="C1282" s="54" t="str">
        <f>IFERROR(VLOOKUP(A1282,Lookup!A:C,3,0),"")</f>
        <v/>
      </c>
      <c r="J1282" s="103">
        <f>VLOOKUP(A1282&amp;G1282,Lookup!J:N,5,0)</f>
        <v>0</v>
      </c>
      <c r="O1282" s="57">
        <f>IFERROR(VLOOKUP(A1282&amp;G1282,Lookup!J:K,2,0),"")</f>
        <v>0</v>
      </c>
      <c r="P1282" s="110" t="str">
        <f t="shared" si="83"/>
        <v/>
      </c>
      <c r="T1282" s="59" t="e">
        <f t="shared" si="84"/>
        <v>#VALUE!</v>
      </c>
      <c r="U1282" s="59"/>
    </row>
    <row r="1283" spans="2:21" x14ac:dyDescent="0.25">
      <c r="B1283" s="54" t="str">
        <f>IFERROR(VLOOKUP(A1283,Lookup!A:B,2,0),"")</f>
        <v/>
      </c>
      <c r="C1283" s="54" t="str">
        <f>IFERROR(VLOOKUP(A1283,Lookup!A:C,3,0),"")</f>
        <v/>
      </c>
      <c r="J1283" s="103">
        <f>VLOOKUP(A1283&amp;G1283,Lookup!J:N,5,0)</f>
        <v>0</v>
      </c>
      <c r="O1283" s="57">
        <f>IFERROR(VLOOKUP(A1283&amp;G1283,Lookup!J:K,2,0),"")</f>
        <v>0</v>
      </c>
      <c r="P1283" s="110" t="str">
        <f t="shared" si="83"/>
        <v/>
      </c>
      <c r="T1283" s="59" t="e">
        <f t="shared" si="84"/>
        <v>#VALUE!</v>
      </c>
      <c r="U1283" s="59"/>
    </row>
    <row r="1284" spans="2:21" x14ac:dyDescent="0.25">
      <c r="B1284" s="54" t="str">
        <f>IFERROR(VLOOKUP(A1284,Lookup!A:B,2,0),"")</f>
        <v/>
      </c>
      <c r="C1284" s="54" t="str">
        <f>IFERROR(VLOOKUP(A1284,Lookup!A:C,3,0),"")</f>
        <v/>
      </c>
      <c r="J1284" s="103">
        <f>VLOOKUP(A1284&amp;G1284,Lookup!J:N,5,0)</f>
        <v>0</v>
      </c>
      <c r="O1284" s="57">
        <f>IFERROR(VLOOKUP(A1284&amp;G1284,Lookup!J:K,2,0),"")</f>
        <v>0</v>
      </c>
      <c r="P1284" s="110" t="str">
        <f t="shared" ref="P1284:P1347" si="85">IF(N1284="","",N1284+O1284)</f>
        <v/>
      </c>
      <c r="T1284" s="59" t="e">
        <f t="shared" si="84"/>
        <v>#VALUE!</v>
      </c>
      <c r="U1284" s="59"/>
    </row>
    <row r="1285" spans="2:21" x14ac:dyDescent="0.25">
      <c r="B1285" s="54" t="str">
        <f>IFERROR(VLOOKUP(A1285,Lookup!A:B,2,0),"")</f>
        <v/>
      </c>
      <c r="C1285" s="54" t="str">
        <f>IFERROR(VLOOKUP(A1285,Lookup!A:C,3,0),"")</f>
        <v/>
      </c>
      <c r="J1285" s="103">
        <f>VLOOKUP(A1285&amp;G1285,Lookup!J:N,5,0)</f>
        <v>0</v>
      </c>
      <c r="O1285" s="57">
        <f>IFERROR(VLOOKUP(A1285&amp;G1285,Lookup!J:K,2,0),"")</f>
        <v>0</v>
      </c>
      <c r="P1285" s="110" t="str">
        <f t="shared" si="85"/>
        <v/>
      </c>
      <c r="T1285" s="59" t="e">
        <f t="shared" si="84"/>
        <v>#VALUE!</v>
      </c>
      <c r="U1285" s="59"/>
    </row>
    <row r="1286" spans="2:21" x14ac:dyDescent="0.25">
      <c r="B1286" s="54" t="str">
        <f>IFERROR(VLOOKUP(A1286,Lookup!A:B,2,0),"")</f>
        <v/>
      </c>
      <c r="C1286" s="54" t="str">
        <f>IFERROR(VLOOKUP(A1286,Lookup!A:C,3,0),"")</f>
        <v/>
      </c>
      <c r="J1286" s="103">
        <f>VLOOKUP(A1286&amp;G1286,Lookup!J:N,5,0)</f>
        <v>0</v>
      </c>
      <c r="O1286" s="57">
        <f>IFERROR(VLOOKUP(A1286&amp;G1286,Lookup!J:K,2,0),"")</f>
        <v>0</v>
      </c>
      <c r="P1286" s="110" t="str">
        <f t="shared" si="85"/>
        <v/>
      </c>
      <c r="T1286" s="59" t="e">
        <f t="shared" si="84"/>
        <v>#VALUE!</v>
      </c>
      <c r="U1286" s="59"/>
    </row>
    <row r="1287" spans="2:21" x14ac:dyDescent="0.25">
      <c r="B1287" s="54" t="str">
        <f>IFERROR(VLOOKUP(A1287,Lookup!A:B,2,0),"")</f>
        <v/>
      </c>
      <c r="C1287" s="54" t="str">
        <f>IFERROR(VLOOKUP(A1287,Lookup!A:C,3,0),"")</f>
        <v/>
      </c>
      <c r="J1287" s="103">
        <f>VLOOKUP(A1287&amp;G1287,Lookup!J:N,5,0)</f>
        <v>0</v>
      </c>
      <c r="O1287" s="57">
        <f>IFERROR(VLOOKUP(A1287&amp;G1287,Lookup!J:K,2,0),"")</f>
        <v>0</v>
      </c>
      <c r="P1287" s="110" t="str">
        <f t="shared" si="85"/>
        <v/>
      </c>
      <c r="T1287" s="59" t="e">
        <f t="shared" si="84"/>
        <v>#VALUE!</v>
      </c>
      <c r="U1287" s="59"/>
    </row>
    <row r="1288" spans="2:21" x14ac:dyDescent="0.25">
      <c r="B1288" s="54" t="str">
        <f>IFERROR(VLOOKUP(A1288,Lookup!A:B,2,0),"")</f>
        <v/>
      </c>
      <c r="C1288" s="54" t="str">
        <f>IFERROR(VLOOKUP(A1288,Lookup!A:C,3,0),"")</f>
        <v/>
      </c>
      <c r="J1288" s="103">
        <f>VLOOKUP(A1288&amp;G1288,Lookup!J:N,5,0)</f>
        <v>0</v>
      </c>
      <c r="O1288" s="57">
        <f>IFERROR(VLOOKUP(A1288&amp;G1288,Lookup!J:K,2,0),"")</f>
        <v>0</v>
      </c>
      <c r="P1288" s="110" t="str">
        <f t="shared" si="85"/>
        <v/>
      </c>
      <c r="T1288" s="59" t="e">
        <f t="shared" si="84"/>
        <v>#VALUE!</v>
      </c>
      <c r="U1288" s="59"/>
    </row>
    <row r="1289" spans="2:21" x14ac:dyDescent="0.25">
      <c r="B1289" s="54" t="str">
        <f>IFERROR(VLOOKUP(A1289,Lookup!A:B,2,0),"")</f>
        <v/>
      </c>
      <c r="C1289" s="54" t="str">
        <f>IFERROR(VLOOKUP(A1289,Lookup!A:C,3,0),"")</f>
        <v/>
      </c>
      <c r="J1289" s="103">
        <f>VLOOKUP(A1289&amp;G1289,Lookup!J:N,5,0)</f>
        <v>0</v>
      </c>
      <c r="O1289" s="57">
        <f>IFERROR(VLOOKUP(A1289&amp;G1289,Lookup!J:K,2,0),"")</f>
        <v>0</v>
      </c>
      <c r="P1289" s="110" t="str">
        <f t="shared" si="85"/>
        <v/>
      </c>
      <c r="T1289" s="59" t="e">
        <f t="shared" si="84"/>
        <v>#VALUE!</v>
      </c>
      <c r="U1289" s="59"/>
    </row>
    <row r="1290" spans="2:21" x14ac:dyDescent="0.25">
      <c r="B1290" s="54" t="str">
        <f>IFERROR(VLOOKUP(A1290,Lookup!A:B,2,0),"")</f>
        <v/>
      </c>
      <c r="C1290" s="54" t="str">
        <f>IFERROR(VLOOKUP(A1290,Lookup!A:C,3,0),"")</f>
        <v/>
      </c>
      <c r="J1290" s="103">
        <f>VLOOKUP(A1290&amp;G1290,Lookup!J:N,5,0)</f>
        <v>0</v>
      </c>
      <c r="O1290" s="57">
        <f>IFERROR(VLOOKUP(A1290&amp;G1290,Lookup!J:K,2,0),"")</f>
        <v>0</v>
      </c>
      <c r="P1290" s="110" t="str">
        <f t="shared" si="85"/>
        <v/>
      </c>
      <c r="T1290" s="59" t="e">
        <f t="shared" si="84"/>
        <v>#VALUE!</v>
      </c>
      <c r="U1290" s="59"/>
    </row>
    <row r="1291" spans="2:21" x14ac:dyDescent="0.25">
      <c r="B1291" s="54" t="str">
        <f>IFERROR(VLOOKUP(A1291,Lookup!A:B,2,0),"")</f>
        <v/>
      </c>
      <c r="C1291" s="54" t="str">
        <f>IFERROR(VLOOKUP(A1291,Lookup!A:C,3,0),"")</f>
        <v/>
      </c>
      <c r="J1291" s="103">
        <f>VLOOKUP(A1291&amp;G1291,Lookup!J:N,5,0)</f>
        <v>0</v>
      </c>
      <c r="O1291" s="57">
        <f>IFERROR(VLOOKUP(A1291&amp;G1291,Lookup!J:K,2,0),"")</f>
        <v>0</v>
      </c>
      <c r="P1291" s="110" t="str">
        <f t="shared" si="85"/>
        <v/>
      </c>
      <c r="T1291" s="59" t="e">
        <f t="shared" si="84"/>
        <v>#VALUE!</v>
      </c>
      <c r="U1291" s="59"/>
    </row>
    <row r="1292" spans="2:21" x14ac:dyDescent="0.25">
      <c r="B1292" s="54" t="str">
        <f>IFERROR(VLOOKUP(A1292,Lookup!A:B,2,0),"")</f>
        <v/>
      </c>
      <c r="C1292" s="54" t="str">
        <f>IFERROR(VLOOKUP(A1292,Lookup!A:C,3,0),"")</f>
        <v/>
      </c>
      <c r="J1292" s="103">
        <f>VLOOKUP(A1292&amp;G1292,Lookup!J:N,5,0)</f>
        <v>0</v>
      </c>
      <c r="O1292" s="57">
        <f>IFERROR(VLOOKUP(A1292&amp;G1292,Lookup!J:K,2,0),"")</f>
        <v>0</v>
      </c>
      <c r="P1292" s="110" t="str">
        <f t="shared" si="85"/>
        <v/>
      </c>
      <c r="T1292" s="59" t="e">
        <f t="shared" si="84"/>
        <v>#VALUE!</v>
      </c>
      <c r="U1292" s="59"/>
    </row>
    <row r="1293" spans="2:21" x14ac:dyDescent="0.25">
      <c r="B1293" s="54" t="str">
        <f>IFERROR(VLOOKUP(A1293,Lookup!A:B,2,0),"")</f>
        <v/>
      </c>
      <c r="C1293" s="54" t="str">
        <f>IFERROR(VLOOKUP(A1293,Lookup!A:C,3,0),"")</f>
        <v/>
      </c>
      <c r="J1293" s="103">
        <f>VLOOKUP(A1293&amp;G1293,Lookup!J:N,5,0)</f>
        <v>0</v>
      </c>
      <c r="O1293" s="57">
        <f>IFERROR(VLOOKUP(A1293&amp;G1293,Lookup!J:K,2,0),"")</f>
        <v>0</v>
      </c>
      <c r="P1293" s="110" t="str">
        <f t="shared" si="85"/>
        <v/>
      </c>
      <c r="T1293" s="59" t="e">
        <f t="shared" si="84"/>
        <v>#VALUE!</v>
      </c>
      <c r="U1293" s="59"/>
    </row>
    <row r="1294" spans="2:21" x14ac:dyDescent="0.25">
      <c r="B1294" s="54" t="str">
        <f>IFERROR(VLOOKUP(A1294,Lookup!A:B,2,0),"")</f>
        <v/>
      </c>
      <c r="C1294" s="54" t="str">
        <f>IFERROR(VLOOKUP(A1294,Lookup!A:C,3,0),"")</f>
        <v/>
      </c>
      <c r="J1294" s="103">
        <f>VLOOKUP(A1294&amp;G1294,Lookup!J:N,5,0)</f>
        <v>0</v>
      </c>
      <c r="O1294" s="57">
        <f>IFERROR(VLOOKUP(A1294&amp;G1294,Lookup!J:K,2,0),"")</f>
        <v>0</v>
      </c>
      <c r="P1294" s="110" t="str">
        <f t="shared" si="85"/>
        <v/>
      </c>
      <c r="T1294" s="59" t="e">
        <f t="shared" ref="T1294:T1357" si="86">IF(Q1294-P1294&gt;0.0415,"YES",(IF(OR(EXACT(Q1294,""), EXACT(P1294,"")),"","NO")))</f>
        <v>#VALUE!</v>
      </c>
      <c r="U1294" s="59"/>
    </row>
    <row r="1295" spans="2:21" x14ac:dyDescent="0.25">
      <c r="B1295" s="54" t="str">
        <f>IFERROR(VLOOKUP(A1295,Lookup!A:B,2,0),"")</f>
        <v/>
      </c>
      <c r="C1295" s="54" t="str">
        <f>IFERROR(VLOOKUP(A1295,Lookup!A:C,3,0),"")</f>
        <v/>
      </c>
      <c r="J1295" s="103">
        <f>VLOOKUP(A1295&amp;G1295,Lookup!J:N,5,0)</f>
        <v>0</v>
      </c>
      <c r="O1295" s="57">
        <f>IFERROR(VLOOKUP(A1295&amp;G1295,Lookup!J:K,2,0),"")</f>
        <v>0</v>
      </c>
      <c r="P1295" s="110" t="str">
        <f t="shared" si="85"/>
        <v/>
      </c>
      <c r="T1295" s="59" t="e">
        <f t="shared" si="86"/>
        <v>#VALUE!</v>
      </c>
      <c r="U1295" s="59"/>
    </row>
    <row r="1296" spans="2:21" x14ac:dyDescent="0.25">
      <c r="B1296" s="54" t="str">
        <f>IFERROR(VLOOKUP(A1296,Lookup!A:B,2,0),"")</f>
        <v/>
      </c>
      <c r="C1296" s="54" t="str">
        <f>IFERROR(VLOOKUP(A1296,Lookup!A:C,3,0),"")</f>
        <v/>
      </c>
      <c r="J1296" s="103">
        <f>VLOOKUP(A1296&amp;G1296,Lookup!J:N,5,0)</f>
        <v>0</v>
      </c>
      <c r="O1296" s="57">
        <f>IFERROR(VLOOKUP(A1296&amp;G1296,Lookup!J:K,2,0),"")</f>
        <v>0</v>
      </c>
      <c r="P1296" s="110" t="str">
        <f t="shared" si="85"/>
        <v/>
      </c>
      <c r="T1296" s="59" t="e">
        <f t="shared" si="86"/>
        <v>#VALUE!</v>
      </c>
      <c r="U1296" s="59"/>
    </row>
    <row r="1297" spans="2:21" x14ac:dyDescent="0.25">
      <c r="B1297" s="54" t="str">
        <f>IFERROR(VLOOKUP(A1297,Lookup!A:B,2,0),"")</f>
        <v/>
      </c>
      <c r="C1297" s="54" t="str">
        <f>IFERROR(VLOOKUP(A1297,Lookup!A:C,3,0),"")</f>
        <v/>
      </c>
      <c r="J1297" s="103">
        <f>VLOOKUP(A1297&amp;G1297,Lookup!J:N,5,0)</f>
        <v>0</v>
      </c>
      <c r="O1297" s="57">
        <f>IFERROR(VLOOKUP(A1297&amp;G1297,Lookup!J:K,2,0),"")</f>
        <v>0</v>
      </c>
      <c r="P1297" s="110" t="str">
        <f t="shared" si="85"/>
        <v/>
      </c>
      <c r="T1297" s="59" t="e">
        <f t="shared" si="86"/>
        <v>#VALUE!</v>
      </c>
      <c r="U1297" s="59"/>
    </row>
    <row r="1298" spans="2:21" x14ac:dyDescent="0.25">
      <c r="B1298" s="54" t="str">
        <f>IFERROR(VLOOKUP(A1298,Lookup!A:B,2,0),"")</f>
        <v/>
      </c>
      <c r="C1298" s="54" t="str">
        <f>IFERROR(VLOOKUP(A1298,Lookup!A:C,3,0),"")</f>
        <v/>
      </c>
      <c r="J1298" s="103">
        <f>VLOOKUP(A1298&amp;G1298,Lookup!J:N,5,0)</f>
        <v>0</v>
      </c>
      <c r="O1298" s="57">
        <f>IFERROR(VLOOKUP(A1298&amp;G1298,Lookup!J:K,2,0),"")</f>
        <v>0</v>
      </c>
      <c r="P1298" s="110" t="str">
        <f t="shared" si="85"/>
        <v/>
      </c>
      <c r="T1298" s="59" t="e">
        <f t="shared" si="86"/>
        <v>#VALUE!</v>
      </c>
      <c r="U1298" s="59"/>
    </row>
    <row r="1299" spans="2:21" x14ac:dyDescent="0.25">
      <c r="B1299" s="54" t="str">
        <f>IFERROR(VLOOKUP(A1299,Lookup!A:B,2,0),"")</f>
        <v/>
      </c>
      <c r="C1299" s="54" t="str">
        <f>IFERROR(VLOOKUP(A1299,Lookup!A:C,3,0),"")</f>
        <v/>
      </c>
      <c r="J1299" s="103">
        <f>VLOOKUP(A1299&amp;G1299,Lookup!J:N,5,0)</f>
        <v>0</v>
      </c>
      <c r="O1299" s="57">
        <f>IFERROR(VLOOKUP(A1299&amp;G1299,Lookup!J:K,2,0),"")</f>
        <v>0</v>
      </c>
      <c r="P1299" s="110" t="str">
        <f t="shared" si="85"/>
        <v/>
      </c>
      <c r="T1299" s="59" t="e">
        <f t="shared" si="86"/>
        <v>#VALUE!</v>
      </c>
      <c r="U1299" s="59"/>
    </row>
    <row r="1300" spans="2:21" x14ac:dyDescent="0.25">
      <c r="B1300" s="54" t="str">
        <f>IFERROR(VLOOKUP(A1300,Lookup!A:B,2,0),"")</f>
        <v/>
      </c>
      <c r="C1300" s="54" t="str">
        <f>IFERROR(VLOOKUP(A1300,Lookup!A:C,3,0),"")</f>
        <v/>
      </c>
      <c r="J1300" s="103">
        <f>VLOOKUP(A1300&amp;G1300,Lookup!J:N,5,0)</f>
        <v>0</v>
      </c>
      <c r="O1300" s="57">
        <f>IFERROR(VLOOKUP(A1300&amp;G1300,Lookup!J:K,2,0),"")</f>
        <v>0</v>
      </c>
      <c r="P1300" s="110" t="str">
        <f t="shared" si="85"/>
        <v/>
      </c>
      <c r="T1300" s="59" t="e">
        <f t="shared" si="86"/>
        <v>#VALUE!</v>
      </c>
      <c r="U1300" s="59"/>
    </row>
    <row r="1301" spans="2:21" x14ac:dyDescent="0.25">
      <c r="B1301" s="54" t="str">
        <f>IFERROR(VLOOKUP(A1301,Lookup!A:B,2,0),"")</f>
        <v/>
      </c>
      <c r="C1301" s="54" t="str">
        <f>IFERROR(VLOOKUP(A1301,Lookup!A:C,3,0),"")</f>
        <v/>
      </c>
      <c r="J1301" s="103">
        <f>VLOOKUP(A1301&amp;G1301,Lookup!J:N,5,0)</f>
        <v>0</v>
      </c>
      <c r="O1301" s="57">
        <f>IFERROR(VLOOKUP(A1301&amp;G1301,Lookup!J:K,2,0),"")</f>
        <v>0</v>
      </c>
      <c r="P1301" s="110" t="str">
        <f t="shared" si="85"/>
        <v/>
      </c>
      <c r="T1301" s="59" t="e">
        <f t="shared" si="86"/>
        <v>#VALUE!</v>
      </c>
      <c r="U1301" s="59"/>
    </row>
    <row r="1302" spans="2:21" x14ac:dyDescent="0.25">
      <c r="B1302" s="54" t="str">
        <f>IFERROR(VLOOKUP(A1302,Lookup!A:B,2,0),"")</f>
        <v/>
      </c>
      <c r="C1302" s="54" t="str">
        <f>IFERROR(VLOOKUP(A1302,Lookup!A:C,3,0),"")</f>
        <v/>
      </c>
      <c r="J1302" s="103">
        <f>VLOOKUP(A1302&amp;G1302,Lookup!J:N,5,0)</f>
        <v>0</v>
      </c>
      <c r="O1302" s="57">
        <f>IFERROR(VLOOKUP(A1302&amp;G1302,Lookup!J:K,2,0),"")</f>
        <v>0</v>
      </c>
      <c r="P1302" s="110" t="str">
        <f t="shared" si="85"/>
        <v/>
      </c>
      <c r="T1302" s="59" t="e">
        <f t="shared" si="86"/>
        <v>#VALUE!</v>
      </c>
      <c r="U1302" s="59"/>
    </row>
    <row r="1303" spans="2:21" x14ac:dyDescent="0.25">
      <c r="B1303" s="54" t="str">
        <f>IFERROR(VLOOKUP(A1303,Lookup!A:B,2,0),"")</f>
        <v/>
      </c>
      <c r="C1303" s="54" t="str">
        <f>IFERROR(VLOOKUP(A1303,Lookup!A:C,3,0),"")</f>
        <v/>
      </c>
      <c r="J1303" s="103">
        <f>VLOOKUP(A1303&amp;G1303,Lookup!J:N,5,0)</f>
        <v>0</v>
      </c>
      <c r="O1303" s="57">
        <f>IFERROR(VLOOKUP(A1303&amp;G1303,Lookup!J:K,2,0),"")</f>
        <v>0</v>
      </c>
      <c r="P1303" s="110" t="str">
        <f t="shared" si="85"/>
        <v/>
      </c>
      <c r="T1303" s="59" t="e">
        <f t="shared" si="86"/>
        <v>#VALUE!</v>
      </c>
      <c r="U1303" s="59"/>
    </row>
    <row r="1304" spans="2:21" x14ac:dyDescent="0.25">
      <c r="B1304" s="54" t="str">
        <f>IFERROR(VLOOKUP(A1304,Lookup!A:B,2,0),"")</f>
        <v/>
      </c>
      <c r="C1304" s="54" t="str">
        <f>IFERROR(VLOOKUP(A1304,Lookup!A:C,3,0),"")</f>
        <v/>
      </c>
      <c r="J1304" s="103">
        <f>VLOOKUP(A1304&amp;G1304,Lookup!J:N,5,0)</f>
        <v>0</v>
      </c>
      <c r="O1304" s="57">
        <f>IFERROR(VLOOKUP(A1304&amp;G1304,Lookup!J:K,2,0),"")</f>
        <v>0</v>
      </c>
      <c r="P1304" s="110" t="str">
        <f t="shared" si="85"/>
        <v/>
      </c>
      <c r="T1304" s="59" t="e">
        <f t="shared" si="86"/>
        <v>#VALUE!</v>
      </c>
      <c r="U1304" s="59"/>
    </row>
    <row r="1305" spans="2:21" x14ac:dyDescent="0.25">
      <c r="B1305" s="54" t="str">
        <f>IFERROR(VLOOKUP(A1305,Lookup!A:B,2,0),"")</f>
        <v/>
      </c>
      <c r="C1305" s="54" t="str">
        <f>IFERROR(VLOOKUP(A1305,Lookup!A:C,3,0),"")</f>
        <v/>
      </c>
      <c r="J1305" s="103">
        <f>VLOOKUP(A1305&amp;G1305,Lookup!J:N,5,0)</f>
        <v>0</v>
      </c>
      <c r="O1305" s="57">
        <f>IFERROR(VLOOKUP(A1305&amp;G1305,Lookup!J:K,2,0),"")</f>
        <v>0</v>
      </c>
      <c r="P1305" s="110" t="str">
        <f t="shared" si="85"/>
        <v/>
      </c>
      <c r="T1305" s="59" t="e">
        <f t="shared" si="86"/>
        <v>#VALUE!</v>
      </c>
      <c r="U1305" s="59"/>
    </row>
    <row r="1306" spans="2:21" x14ac:dyDescent="0.25">
      <c r="B1306" s="54" t="str">
        <f>IFERROR(VLOOKUP(A1306,Lookup!A:B,2,0),"")</f>
        <v/>
      </c>
      <c r="C1306" s="54" t="str">
        <f>IFERROR(VLOOKUP(A1306,Lookup!A:C,3,0),"")</f>
        <v/>
      </c>
      <c r="J1306" s="103">
        <f>VLOOKUP(A1306&amp;G1306,Lookup!J:N,5,0)</f>
        <v>0</v>
      </c>
      <c r="O1306" s="57">
        <f>IFERROR(VLOOKUP(A1306&amp;G1306,Lookup!J:K,2,0),"")</f>
        <v>0</v>
      </c>
      <c r="P1306" s="110" t="str">
        <f t="shared" si="85"/>
        <v/>
      </c>
      <c r="T1306" s="59" t="e">
        <f t="shared" si="86"/>
        <v>#VALUE!</v>
      </c>
      <c r="U1306" s="59"/>
    </row>
    <row r="1307" spans="2:21" x14ac:dyDescent="0.25">
      <c r="B1307" s="54" t="str">
        <f>IFERROR(VLOOKUP(A1307,Lookup!A:B,2,0),"")</f>
        <v/>
      </c>
      <c r="C1307" s="54" t="str">
        <f>IFERROR(VLOOKUP(A1307,Lookup!A:C,3,0),"")</f>
        <v/>
      </c>
      <c r="J1307" s="103">
        <f>VLOOKUP(A1307&amp;G1307,Lookup!J:N,5,0)</f>
        <v>0</v>
      </c>
      <c r="O1307" s="57">
        <f>IFERROR(VLOOKUP(A1307&amp;G1307,Lookup!J:K,2,0),"")</f>
        <v>0</v>
      </c>
      <c r="P1307" s="110" t="str">
        <f t="shared" si="85"/>
        <v/>
      </c>
      <c r="T1307" s="59" t="e">
        <f t="shared" si="86"/>
        <v>#VALUE!</v>
      </c>
      <c r="U1307" s="59"/>
    </row>
    <row r="1308" spans="2:21" x14ac:dyDescent="0.25">
      <c r="B1308" s="54" t="str">
        <f>IFERROR(VLOOKUP(A1308,Lookup!A:B,2,0),"")</f>
        <v/>
      </c>
      <c r="C1308" s="54" t="str">
        <f>IFERROR(VLOOKUP(A1308,Lookup!A:C,3,0),"")</f>
        <v/>
      </c>
      <c r="J1308" s="103">
        <f>VLOOKUP(A1308&amp;G1308,Lookup!J:N,5,0)</f>
        <v>0</v>
      </c>
      <c r="O1308" s="57">
        <f>IFERROR(VLOOKUP(A1308&amp;G1308,Lookup!J:K,2,0),"")</f>
        <v>0</v>
      </c>
      <c r="P1308" s="110" t="str">
        <f t="shared" si="85"/>
        <v/>
      </c>
      <c r="T1308" s="59" t="e">
        <f t="shared" si="86"/>
        <v>#VALUE!</v>
      </c>
      <c r="U1308" s="59"/>
    </row>
    <row r="1309" spans="2:21" x14ac:dyDescent="0.25">
      <c r="B1309" s="54" t="str">
        <f>IFERROR(VLOOKUP(A1309,Lookup!A:B,2,0),"")</f>
        <v/>
      </c>
      <c r="C1309" s="54" t="str">
        <f>IFERROR(VLOOKUP(A1309,Lookup!A:C,3,0),"")</f>
        <v/>
      </c>
      <c r="J1309" s="103">
        <f>VLOOKUP(A1309&amp;G1309,Lookup!J:N,5,0)</f>
        <v>0</v>
      </c>
      <c r="O1309" s="57">
        <f>IFERROR(VLOOKUP(A1309&amp;G1309,Lookup!J:K,2,0),"")</f>
        <v>0</v>
      </c>
      <c r="P1309" s="110" t="str">
        <f t="shared" si="85"/>
        <v/>
      </c>
      <c r="T1309" s="59" t="e">
        <f t="shared" si="86"/>
        <v>#VALUE!</v>
      </c>
      <c r="U1309" s="59"/>
    </row>
    <row r="1310" spans="2:21" x14ac:dyDescent="0.25">
      <c r="B1310" s="54" t="str">
        <f>IFERROR(VLOOKUP(A1310,Lookup!A:B,2,0),"")</f>
        <v/>
      </c>
      <c r="C1310" s="54" t="str">
        <f>IFERROR(VLOOKUP(A1310,Lookup!A:C,3,0),"")</f>
        <v/>
      </c>
      <c r="J1310" s="103">
        <f>VLOOKUP(A1310&amp;G1310,Lookup!J:N,5,0)</f>
        <v>0</v>
      </c>
      <c r="O1310" s="57">
        <f>IFERROR(VLOOKUP(A1310&amp;G1310,Lookup!J:K,2,0),"")</f>
        <v>0</v>
      </c>
      <c r="P1310" s="110" t="str">
        <f t="shared" si="85"/>
        <v/>
      </c>
      <c r="T1310" s="59" t="e">
        <f t="shared" si="86"/>
        <v>#VALUE!</v>
      </c>
      <c r="U1310" s="59"/>
    </row>
    <row r="1311" spans="2:21" x14ac:dyDescent="0.25">
      <c r="B1311" s="54" t="str">
        <f>IFERROR(VLOOKUP(A1311,Lookup!A:B,2,0),"")</f>
        <v/>
      </c>
      <c r="C1311" s="54" t="str">
        <f>IFERROR(VLOOKUP(A1311,Lookup!A:C,3,0),"")</f>
        <v/>
      </c>
      <c r="J1311" s="103">
        <f>VLOOKUP(A1311&amp;G1311,Lookup!J:N,5,0)</f>
        <v>0</v>
      </c>
      <c r="O1311" s="57">
        <f>IFERROR(VLOOKUP(A1311&amp;G1311,Lookup!J:K,2,0),"")</f>
        <v>0</v>
      </c>
      <c r="P1311" s="110" t="str">
        <f t="shared" si="85"/>
        <v/>
      </c>
      <c r="T1311" s="59" t="e">
        <f t="shared" si="86"/>
        <v>#VALUE!</v>
      </c>
      <c r="U1311" s="59"/>
    </row>
    <row r="1312" spans="2:21" x14ac:dyDescent="0.25">
      <c r="B1312" s="54" t="str">
        <f>IFERROR(VLOOKUP(A1312,Lookup!A:B,2,0),"")</f>
        <v/>
      </c>
      <c r="C1312" s="54" t="str">
        <f>IFERROR(VLOOKUP(A1312,Lookup!A:C,3,0),"")</f>
        <v/>
      </c>
      <c r="J1312" s="103">
        <f>VLOOKUP(A1312&amp;G1312,Lookup!J:N,5,0)</f>
        <v>0</v>
      </c>
      <c r="O1312" s="57">
        <f>IFERROR(VLOOKUP(A1312&amp;G1312,Lookup!J:K,2,0),"")</f>
        <v>0</v>
      </c>
      <c r="P1312" s="110" t="str">
        <f t="shared" si="85"/>
        <v/>
      </c>
      <c r="T1312" s="59" t="e">
        <f t="shared" si="86"/>
        <v>#VALUE!</v>
      </c>
      <c r="U1312" s="59"/>
    </row>
    <row r="1313" spans="2:21" x14ac:dyDescent="0.25">
      <c r="B1313" s="54" t="str">
        <f>IFERROR(VLOOKUP(A1313,Lookup!A:B,2,0),"")</f>
        <v/>
      </c>
      <c r="C1313" s="54" t="str">
        <f>IFERROR(VLOOKUP(A1313,Lookup!A:C,3,0),"")</f>
        <v/>
      </c>
      <c r="J1313" s="103">
        <f>VLOOKUP(A1313&amp;G1313,Lookup!J:N,5,0)</f>
        <v>0</v>
      </c>
      <c r="O1313" s="57">
        <f>IFERROR(VLOOKUP(A1313&amp;G1313,Lookup!J:K,2,0),"")</f>
        <v>0</v>
      </c>
      <c r="P1313" s="110" t="str">
        <f t="shared" si="85"/>
        <v/>
      </c>
      <c r="T1313" s="59" t="e">
        <f t="shared" si="86"/>
        <v>#VALUE!</v>
      </c>
      <c r="U1313" s="59"/>
    </row>
    <row r="1314" spans="2:21" x14ac:dyDescent="0.25">
      <c r="B1314" s="54" t="str">
        <f>IFERROR(VLOOKUP(A1314,Lookup!A:B,2,0),"")</f>
        <v/>
      </c>
      <c r="C1314" s="54" t="str">
        <f>IFERROR(VLOOKUP(A1314,Lookup!A:C,3,0),"")</f>
        <v/>
      </c>
      <c r="J1314" s="103">
        <f>VLOOKUP(A1314&amp;G1314,Lookup!J:N,5,0)</f>
        <v>0</v>
      </c>
      <c r="O1314" s="57">
        <f>IFERROR(VLOOKUP(A1314&amp;G1314,Lookup!J:K,2,0),"")</f>
        <v>0</v>
      </c>
      <c r="P1314" s="110" t="str">
        <f t="shared" si="85"/>
        <v/>
      </c>
      <c r="T1314" s="59" t="e">
        <f t="shared" si="86"/>
        <v>#VALUE!</v>
      </c>
      <c r="U1314" s="59"/>
    </row>
    <row r="1315" spans="2:21" x14ac:dyDescent="0.25">
      <c r="B1315" s="54" t="str">
        <f>IFERROR(VLOOKUP(A1315,Lookup!A:B,2,0),"")</f>
        <v/>
      </c>
      <c r="C1315" s="54" t="str">
        <f>IFERROR(VLOOKUP(A1315,Lookup!A:C,3,0),"")</f>
        <v/>
      </c>
      <c r="J1315" s="103">
        <f>VLOOKUP(A1315&amp;G1315,Lookup!J:N,5,0)</f>
        <v>0</v>
      </c>
      <c r="O1315" s="57">
        <f>IFERROR(VLOOKUP(A1315&amp;G1315,Lookup!J:K,2,0),"")</f>
        <v>0</v>
      </c>
      <c r="P1315" s="110" t="str">
        <f t="shared" si="85"/>
        <v/>
      </c>
      <c r="T1315" s="59" t="e">
        <f t="shared" si="86"/>
        <v>#VALUE!</v>
      </c>
      <c r="U1315" s="59"/>
    </row>
    <row r="1316" spans="2:21" x14ac:dyDescent="0.25">
      <c r="B1316" s="54" t="str">
        <f>IFERROR(VLOOKUP(A1316,Lookup!A:B,2,0),"")</f>
        <v/>
      </c>
      <c r="C1316" s="54" t="str">
        <f>IFERROR(VLOOKUP(A1316,Lookup!A:C,3,0),"")</f>
        <v/>
      </c>
      <c r="J1316" s="103">
        <f>VLOOKUP(A1316&amp;G1316,Lookup!J:N,5,0)</f>
        <v>0</v>
      </c>
      <c r="O1316" s="57">
        <f>IFERROR(VLOOKUP(A1316&amp;G1316,Lookup!J:K,2,0),"")</f>
        <v>0</v>
      </c>
      <c r="P1316" s="110" t="str">
        <f t="shared" si="85"/>
        <v/>
      </c>
      <c r="T1316" s="59" t="e">
        <f t="shared" si="86"/>
        <v>#VALUE!</v>
      </c>
      <c r="U1316" s="59"/>
    </row>
    <row r="1317" spans="2:21" x14ac:dyDescent="0.25">
      <c r="B1317" s="54" t="str">
        <f>IFERROR(VLOOKUP(A1317,Lookup!A:B,2,0),"")</f>
        <v/>
      </c>
      <c r="C1317" s="54" t="str">
        <f>IFERROR(VLOOKUP(A1317,Lookup!A:C,3,0),"")</f>
        <v/>
      </c>
      <c r="J1317" s="103">
        <f>VLOOKUP(A1317&amp;G1317,Lookup!J:N,5,0)</f>
        <v>0</v>
      </c>
      <c r="O1317" s="57">
        <f>IFERROR(VLOOKUP(A1317&amp;G1317,Lookup!J:K,2,0),"")</f>
        <v>0</v>
      </c>
      <c r="P1317" s="110" t="str">
        <f t="shared" si="85"/>
        <v/>
      </c>
      <c r="T1317" s="59" t="e">
        <f t="shared" si="86"/>
        <v>#VALUE!</v>
      </c>
      <c r="U1317" s="59"/>
    </row>
    <row r="1318" spans="2:21" x14ac:dyDescent="0.25">
      <c r="B1318" s="54" t="str">
        <f>IFERROR(VLOOKUP(A1318,Lookup!A:B,2,0),"")</f>
        <v/>
      </c>
      <c r="C1318" s="54" t="str">
        <f>IFERROR(VLOOKUP(A1318,Lookup!A:C,3,0),"")</f>
        <v/>
      </c>
      <c r="J1318" s="103">
        <f>VLOOKUP(A1318&amp;G1318,Lookup!J:N,5,0)</f>
        <v>0</v>
      </c>
      <c r="O1318" s="57">
        <f>IFERROR(VLOOKUP(A1318&amp;G1318,Lookup!J:K,2,0),"")</f>
        <v>0</v>
      </c>
      <c r="P1318" s="110" t="str">
        <f t="shared" si="85"/>
        <v/>
      </c>
      <c r="T1318" s="59" t="e">
        <f t="shared" si="86"/>
        <v>#VALUE!</v>
      </c>
      <c r="U1318" s="59"/>
    </row>
    <row r="1319" spans="2:21" x14ac:dyDescent="0.25">
      <c r="B1319" s="54" t="str">
        <f>IFERROR(VLOOKUP(A1319,Lookup!A:B,2,0),"")</f>
        <v/>
      </c>
      <c r="C1319" s="54" t="str">
        <f>IFERROR(VLOOKUP(A1319,Lookup!A:C,3,0),"")</f>
        <v/>
      </c>
      <c r="J1319" s="103">
        <f>VLOOKUP(A1319&amp;G1319,Lookup!J:N,5,0)</f>
        <v>0</v>
      </c>
      <c r="O1319" s="57">
        <f>IFERROR(VLOOKUP(A1319&amp;G1319,Lookup!J:K,2,0),"")</f>
        <v>0</v>
      </c>
      <c r="P1319" s="110" t="str">
        <f t="shared" si="85"/>
        <v/>
      </c>
      <c r="T1319" s="59" t="e">
        <f t="shared" si="86"/>
        <v>#VALUE!</v>
      </c>
      <c r="U1319" s="59"/>
    </row>
    <row r="1320" spans="2:21" x14ac:dyDescent="0.25">
      <c r="B1320" s="54" t="str">
        <f>IFERROR(VLOOKUP(A1320,Lookup!A:B,2,0),"")</f>
        <v/>
      </c>
      <c r="C1320" s="54" t="str">
        <f>IFERROR(VLOOKUP(A1320,Lookup!A:C,3,0),"")</f>
        <v/>
      </c>
      <c r="J1320" s="103">
        <f>VLOOKUP(A1320&amp;G1320,Lookup!J:N,5,0)</f>
        <v>0</v>
      </c>
      <c r="O1320" s="57">
        <f>IFERROR(VLOOKUP(A1320&amp;G1320,Lookup!J:K,2,0),"")</f>
        <v>0</v>
      </c>
      <c r="P1320" s="110" t="str">
        <f t="shared" si="85"/>
        <v/>
      </c>
      <c r="T1320" s="59" t="e">
        <f t="shared" si="86"/>
        <v>#VALUE!</v>
      </c>
      <c r="U1320" s="59"/>
    </row>
    <row r="1321" spans="2:21" x14ac:dyDescent="0.25">
      <c r="B1321" s="54" t="str">
        <f>IFERROR(VLOOKUP(A1321,Lookup!A:B,2,0),"")</f>
        <v/>
      </c>
      <c r="C1321" s="54" t="str">
        <f>IFERROR(VLOOKUP(A1321,Lookup!A:C,3,0),"")</f>
        <v/>
      </c>
      <c r="J1321" s="103">
        <f>VLOOKUP(A1321&amp;G1321,Lookup!J:N,5,0)</f>
        <v>0</v>
      </c>
      <c r="O1321" s="57">
        <f>IFERROR(VLOOKUP(A1321&amp;G1321,Lookup!J:K,2,0),"")</f>
        <v>0</v>
      </c>
      <c r="P1321" s="110" t="str">
        <f t="shared" si="85"/>
        <v/>
      </c>
      <c r="T1321" s="59" t="e">
        <f t="shared" si="86"/>
        <v>#VALUE!</v>
      </c>
      <c r="U1321" s="59"/>
    </row>
    <row r="1322" spans="2:21" x14ac:dyDescent="0.25">
      <c r="B1322" s="54" t="str">
        <f>IFERROR(VLOOKUP(A1322,Lookup!A:B,2,0),"")</f>
        <v/>
      </c>
      <c r="C1322" s="54" t="str">
        <f>IFERROR(VLOOKUP(A1322,Lookup!A:C,3,0),"")</f>
        <v/>
      </c>
      <c r="J1322" s="103">
        <f>VLOOKUP(A1322&amp;G1322,Lookup!J:N,5,0)</f>
        <v>0</v>
      </c>
      <c r="O1322" s="57">
        <f>IFERROR(VLOOKUP(A1322&amp;G1322,Lookup!J:K,2,0),"")</f>
        <v>0</v>
      </c>
      <c r="P1322" s="110" t="str">
        <f t="shared" si="85"/>
        <v/>
      </c>
      <c r="T1322" s="59" t="e">
        <f t="shared" si="86"/>
        <v>#VALUE!</v>
      </c>
      <c r="U1322" s="59"/>
    </row>
    <row r="1323" spans="2:21" x14ac:dyDescent="0.25">
      <c r="B1323" s="54" t="str">
        <f>IFERROR(VLOOKUP(A1323,Lookup!A:B,2,0),"")</f>
        <v/>
      </c>
      <c r="C1323" s="54" t="str">
        <f>IFERROR(VLOOKUP(A1323,Lookup!A:C,3,0),"")</f>
        <v/>
      </c>
      <c r="J1323" s="103">
        <f>VLOOKUP(A1323&amp;G1323,Lookup!J:N,5,0)</f>
        <v>0</v>
      </c>
      <c r="O1323" s="57">
        <f>IFERROR(VLOOKUP(A1323&amp;G1323,Lookup!J:K,2,0),"")</f>
        <v>0</v>
      </c>
      <c r="P1323" s="110" t="str">
        <f t="shared" si="85"/>
        <v/>
      </c>
      <c r="T1323" s="59" t="e">
        <f t="shared" si="86"/>
        <v>#VALUE!</v>
      </c>
      <c r="U1323" s="59"/>
    </row>
    <row r="1324" spans="2:21" x14ac:dyDescent="0.25">
      <c r="B1324" s="54" t="str">
        <f>IFERROR(VLOOKUP(A1324,Lookup!A:B,2,0),"")</f>
        <v/>
      </c>
      <c r="C1324" s="54" t="str">
        <f>IFERROR(VLOOKUP(A1324,Lookup!A:C,3,0),"")</f>
        <v/>
      </c>
      <c r="J1324" s="103">
        <f>VLOOKUP(A1324&amp;G1324,Lookup!J:N,5,0)</f>
        <v>0</v>
      </c>
      <c r="O1324" s="57">
        <f>IFERROR(VLOOKUP(A1324&amp;G1324,Lookup!J:K,2,0),"")</f>
        <v>0</v>
      </c>
      <c r="P1324" s="110" t="str">
        <f t="shared" si="85"/>
        <v/>
      </c>
      <c r="T1324" s="59" t="e">
        <f t="shared" si="86"/>
        <v>#VALUE!</v>
      </c>
      <c r="U1324" s="59"/>
    </row>
    <row r="1325" spans="2:21" x14ac:dyDescent="0.25">
      <c r="B1325" s="54" t="str">
        <f>IFERROR(VLOOKUP(A1325,Lookup!A:B,2,0),"")</f>
        <v/>
      </c>
      <c r="C1325" s="54" t="str">
        <f>IFERROR(VLOOKUP(A1325,Lookup!A:C,3,0),"")</f>
        <v/>
      </c>
      <c r="J1325" s="103">
        <f>VLOOKUP(A1325&amp;G1325,Lookup!J:N,5,0)</f>
        <v>0</v>
      </c>
      <c r="O1325" s="57">
        <f>IFERROR(VLOOKUP(A1325&amp;G1325,Lookup!J:K,2,0),"")</f>
        <v>0</v>
      </c>
      <c r="P1325" s="110" t="str">
        <f t="shared" si="85"/>
        <v/>
      </c>
      <c r="T1325" s="59" t="e">
        <f t="shared" si="86"/>
        <v>#VALUE!</v>
      </c>
      <c r="U1325" s="59"/>
    </row>
    <row r="1326" spans="2:21" x14ac:dyDescent="0.25">
      <c r="B1326" s="54" t="str">
        <f>IFERROR(VLOOKUP(A1326,Lookup!A:B,2,0),"")</f>
        <v/>
      </c>
      <c r="C1326" s="54" t="str">
        <f>IFERROR(VLOOKUP(A1326,Lookup!A:C,3,0),"")</f>
        <v/>
      </c>
      <c r="J1326" s="103">
        <f>VLOOKUP(A1326&amp;G1326,Lookup!J:N,5,0)</f>
        <v>0</v>
      </c>
      <c r="O1326" s="57">
        <f>IFERROR(VLOOKUP(A1326&amp;G1326,Lookup!J:K,2,0),"")</f>
        <v>0</v>
      </c>
      <c r="P1326" s="110" t="str">
        <f t="shared" si="85"/>
        <v/>
      </c>
      <c r="T1326" s="59" t="e">
        <f t="shared" si="86"/>
        <v>#VALUE!</v>
      </c>
      <c r="U1326" s="59"/>
    </row>
    <row r="1327" spans="2:21" x14ac:dyDescent="0.25">
      <c r="B1327" s="54" t="str">
        <f>IFERROR(VLOOKUP(A1327,Lookup!A:B,2,0),"")</f>
        <v/>
      </c>
      <c r="C1327" s="54" t="str">
        <f>IFERROR(VLOOKUP(A1327,Lookup!A:C,3,0),"")</f>
        <v/>
      </c>
      <c r="J1327" s="103">
        <f>VLOOKUP(A1327&amp;G1327,Lookup!J:N,5,0)</f>
        <v>0</v>
      </c>
      <c r="O1327" s="57">
        <f>IFERROR(VLOOKUP(A1327&amp;G1327,Lookup!J:K,2,0),"")</f>
        <v>0</v>
      </c>
      <c r="P1327" s="110" t="str">
        <f t="shared" si="85"/>
        <v/>
      </c>
      <c r="T1327" s="59" t="e">
        <f t="shared" si="86"/>
        <v>#VALUE!</v>
      </c>
      <c r="U1327" s="59"/>
    </row>
    <row r="1328" spans="2:21" x14ac:dyDescent="0.25">
      <c r="B1328" s="54" t="str">
        <f>IFERROR(VLOOKUP(A1328,Lookup!A:B,2,0),"")</f>
        <v/>
      </c>
      <c r="C1328" s="54" t="str">
        <f>IFERROR(VLOOKUP(A1328,Lookup!A:C,3,0),"")</f>
        <v/>
      </c>
      <c r="J1328" s="103">
        <f>VLOOKUP(A1328&amp;G1328,Lookup!J:N,5,0)</f>
        <v>0</v>
      </c>
      <c r="O1328" s="57">
        <f>IFERROR(VLOOKUP(A1328&amp;G1328,Lookup!J:K,2,0),"")</f>
        <v>0</v>
      </c>
      <c r="P1328" s="110" t="str">
        <f t="shared" si="85"/>
        <v/>
      </c>
      <c r="T1328" s="59" t="e">
        <f t="shared" si="86"/>
        <v>#VALUE!</v>
      </c>
      <c r="U1328" s="59"/>
    </row>
    <row r="1329" spans="2:21" x14ac:dyDescent="0.25">
      <c r="B1329" s="54" t="str">
        <f>IFERROR(VLOOKUP(A1329,Lookup!A:B,2,0),"")</f>
        <v/>
      </c>
      <c r="C1329" s="54" t="str">
        <f>IFERROR(VLOOKUP(A1329,Lookup!A:C,3,0),"")</f>
        <v/>
      </c>
      <c r="J1329" s="103">
        <f>VLOOKUP(A1329&amp;G1329,Lookup!J:N,5,0)</f>
        <v>0</v>
      </c>
      <c r="O1329" s="57">
        <f>IFERROR(VLOOKUP(A1329&amp;G1329,Lookup!J:K,2,0),"")</f>
        <v>0</v>
      </c>
      <c r="P1329" s="110" t="str">
        <f t="shared" si="85"/>
        <v/>
      </c>
      <c r="T1329" s="59" t="e">
        <f t="shared" si="86"/>
        <v>#VALUE!</v>
      </c>
      <c r="U1329" s="59"/>
    </row>
    <row r="1330" spans="2:21" x14ac:dyDescent="0.25">
      <c r="B1330" s="54" t="str">
        <f>IFERROR(VLOOKUP(A1330,Lookup!A:B,2,0),"")</f>
        <v/>
      </c>
      <c r="C1330" s="54" t="str">
        <f>IFERROR(VLOOKUP(A1330,Lookup!A:C,3,0),"")</f>
        <v/>
      </c>
      <c r="J1330" s="103">
        <f>VLOOKUP(A1330&amp;G1330,Lookup!J:N,5,0)</f>
        <v>0</v>
      </c>
      <c r="O1330" s="57">
        <f>IFERROR(VLOOKUP(A1330&amp;G1330,Lookup!J:K,2,0),"")</f>
        <v>0</v>
      </c>
      <c r="P1330" s="110" t="str">
        <f t="shared" si="85"/>
        <v/>
      </c>
      <c r="T1330" s="59" t="e">
        <f t="shared" si="86"/>
        <v>#VALUE!</v>
      </c>
      <c r="U1330" s="59"/>
    </row>
    <row r="1331" spans="2:21" x14ac:dyDescent="0.25">
      <c r="B1331" s="54" t="str">
        <f>IFERROR(VLOOKUP(A1331,Lookup!A:B,2,0),"")</f>
        <v/>
      </c>
      <c r="C1331" s="54" t="str">
        <f>IFERROR(VLOOKUP(A1331,Lookup!A:C,3,0),"")</f>
        <v/>
      </c>
      <c r="J1331" s="103">
        <f>VLOOKUP(A1331&amp;G1331,Lookup!J:N,5,0)</f>
        <v>0</v>
      </c>
      <c r="O1331" s="57">
        <f>IFERROR(VLOOKUP(A1331&amp;G1331,Lookup!J:K,2,0),"")</f>
        <v>0</v>
      </c>
      <c r="P1331" s="110" t="str">
        <f t="shared" si="85"/>
        <v/>
      </c>
      <c r="T1331" s="59" t="e">
        <f t="shared" si="86"/>
        <v>#VALUE!</v>
      </c>
      <c r="U1331" s="59"/>
    </row>
    <row r="1332" spans="2:21" x14ac:dyDescent="0.25">
      <c r="B1332" s="54" t="str">
        <f>IFERROR(VLOOKUP(A1332,Lookup!A:B,2,0),"")</f>
        <v/>
      </c>
      <c r="C1332" s="54" t="str">
        <f>IFERROR(VLOOKUP(A1332,Lookup!A:C,3,0),"")</f>
        <v/>
      </c>
      <c r="J1332" s="103">
        <f>VLOOKUP(A1332&amp;G1332,Lookup!J:N,5,0)</f>
        <v>0</v>
      </c>
      <c r="O1332" s="57">
        <f>IFERROR(VLOOKUP(A1332&amp;G1332,Lookup!J:K,2,0),"")</f>
        <v>0</v>
      </c>
      <c r="P1332" s="110" t="str">
        <f t="shared" si="85"/>
        <v/>
      </c>
      <c r="T1332" s="59" t="e">
        <f t="shared" si="86"/>
        <v>#VALUE!</v>
      </c>
      <c r="U1332" s="59"/>
    </row>
    <row r="1333" spans="2:21" x14ac:dyDescent="0.25">
      <c r="B1333" s="54" t="str">
        <f>IFERROR(VLOOKUP(A1333,Lookup!A:B,2,0),"")</f>
        <v/>
      </c>
      <c r="C1333" s="54" t="str">
        <f>IFERROR(VLOOKUP(A1333,Lookup!A:C,3,0),"")</f>
        <v/>
      </c>
      <c r="J1333" s="103">
        <f>VLOOKUP(A1333&amp;G1333,Lookup!J:N,5,0)</f>
        <v>0</v>
      </c>
      <c r="O1333" s="57">
        <f>IFERROR(VLOOKUP(A1333&amp;G1333,Lookup!J:K,2,0),"")</f>
        <v>0</v>
      </c>
      <c r="P1333" s="110" t="str">
        <f t="shared" si="85"/>
        <v/>
      </c>
      <c r="T1333" s="59" t="e">
        <f t="shared" si="86"/>
        <v>#VALUE!</v>
      </c>
      <c r="U1333" s="59"/>
    </row>
    <row r="1334" spans="2:21" x14ac:dyDescent="0.25">
      <c r="B1334" s="54" t="str">
        <f>IFERROR(VLOOKUP(A1334,Lookup!A:B,2,0),"")</f>
        <v/>
      </c>
      <c r="C1334" s="54" t="str">
        <f>IFERROR(VLOOKUP(A1334,Lookup!A:C,3,0),"")</f>
        <v/>
      </c>
      <c r="J1334" s="103">
        <f>VLOOKUP(A1334&amp;G1334,Lookup!J:N,5,0)</f>
        <v>0</v>
      </c>
      <c r="O1334" s="57">
        <f>IFERROR(VLOOKUP(A1334&amp;G1334,Lookup!J:K,2,0),"")</f>
        <v>0</v>
      </c>
      <c r="P1334" s="110" t="str">
        <f t="shared" si="85"/>
        <v/>
      </c>
      <c r="T1334" s="59" t="e">
        <f t="shared" si="86"/>
        <v>#VALUE!</v>
      </c>
      <c r="U1334" s="59"/>
    </row>
    <row r="1335" spans="2:21" x14ac:dyDescent="0.25">
      <c r="B1335" s="54" t="str">
        <f>IFERROR(VLOOKUP(A1335,Lookup!A:B,2,0),"")</f>
        <v/>
      </c>
      <c r="C1335" s="54" t="str">
        <f>IFERROR(VLOOKUP(A1335,Lookup!A:C,3,0),"")</f>
        <v/>
      </c>
      <c r="J1335" s="103">
        <f>VLOOKUP(A1335&amp;G1335,Lookup!J:N,5,0)</f>
        <v>0</v>
      </c>
      <c r="O1335" s="57">
        <f>IFERROR(VLOOKUP(A1335&amp;G1335,Lookup!J:K,2,0),"")</f>
        <v>0</v>
      </c>
      <c r="P1335" s="110" t="str">
        <f t="shared" si="85"/>
        <v/>
      </c>
      <c r="T1335" s="59" t="e">
        <f t="shared" si="86"/>
        <v>#VALUE!</v>
      </c>
      <c r="U1335" s="59"/>
    </row>
    <row r="1336" spans="2:21" x14ac:dyDescent="0.25">
      <c r="B1336" s="54" t="str">
        <f>IFERROR(VLOOKUP(A1336,Lookup!A:B,2,0),"")</f>
        <v/>
      </c>
      <c r="C1336" s="54" t="str">
        <f>IFERROR(VLOOKUP(A1336,Lookup!A:C,3,0),"")</f>
        <v/>
      </c>
      <c r="J1336" s="103">
        <f>VLOOKUP(A1336&amp;G1336,Lookup!J:N,5,0)</f>
        <v>0</v>
      </c>
      <c r="O1336" s="57">
        <f>IFERROR(VLOOKUP(A1336&amp;G1336,Lookup!J:K,2,0),"")</f>
        <v>0</v>
      </c>
      <c r="P1336" s="110" t="str">
        <f t="shared" si="85"/>
        <v/>
      </c>
      <c r="T1336" s="59" t="e">
        <f t="shared" si="86"/>
        <v>#VALUE!</v>
      </c>
      <c r="U1336" s="59"/>
    </row>
    <row r="1337" spans="2:21" x14ac:dyDescent="0.25">
      <c r="B1337" s="54" t="str">
        <f>IFERROR(VLOOKUP(A1337,Lookup!A:B,2,0),"")</f>
        <v/>
      </c>
      <c r="C1337" s="54" t="str">
        <f>IFERROR(VLOOKUP(A1337,Lookup!A:C,3,0),"")</f>
        <v/>
      </c>
      <c r="J1337" s="103">
        <f>VLOOKUP(A1337&amp;G1337,Lookup!J:N,5,0)</f>
        <v>0</v>
      </c>
      <c r="O1337" s="57">
        <f>IFERROR(VLOOKUP(A1337&amp;G1337,Lookup!J:K,2,0),"")</f>
        <v>0</v>
      </c>
      <c r="P1337" s="110" t="str">
        <f t="shared" si="85"/>
        <v/>
      </c>
      <c r="T1337" s="59" t="e">
        <f t="shared" si="86"/>
        <v>#VALUE!</v>
      </c>
      <c r="U1337" s="59"/>
    </row>
    <row r="1338" spans="2:21" x14ac:dyDescent="0.25">
      <c r="B1338" s="54" t="str">
        <f>IFERROR(VLOOKUP(A1338,Lookup!A:B,2,0),"")</f>
        <v/>
      </c>
      <c r="C1338" s="54" t="str">
        <f>IFERROR(VLOOKUP(A1338,Lookup!A:C,3,0),"")</f>
        <v/>
      </c>
      <c r="J1338" s="103">
        <f>VLOOKUP(A1338&amp;G1338,Lookup!J:N,5,0)</f>
        <v>0</v>
      </c>
      <c r="O1338" s="57">
        <f>IFERROR(VLOOKUP(A1338&amp;G1338,Lookup!J:K,2,0),"")</f>
        <v>0</v>
      </c>
      <c r="P1338" s="110" t="str">
        <f t="shared" si="85"/>
        <v/>
      </c>
      <c r="T1338" s="59" t="e">
        <f t="shared" si="86"/>
        <v>#VALUE!</v>
      </c>
      <c r="U1338" s="59"/>
    </row>
    <row r="1339" spans="2:21" x14ac:dyDescent="0.25">
      <c r="B1339" s="54" t="str">
        <f>IFERROR(VLOOKUP(A1339,Lookup!A:B,2,0),"")</f>
        <v/>
      </c>
      <c r="C1339" s="54" t="str">
        <f>IFERROR(VLOOKUP(A1339,Lookup!A:C,3,0),"")</f>
        <v/>
      </c>
      <c r="J1339" s="103">
        <f>VLOOKUP(A1339&amp;G1339,Lookup!J:N,5,0)</f>
        <v>0</v>
      </c>
      <c r="O1339" s="57">
        <f>IFERROR(VLOOKUP(A1339&amp;G1339,Lookup!J:K,2,0),"")</f>
        <v>0</v>
      </c>
      <c r="P1339" s="110" t="str">
        <f t="shared" si="85"/>
        <v/>
      </c>
      <c r="T1339" s="59" t="e">
        <f t="shared" si="86"/>
        <v>#VALUE!</v>
      </c>
      <c r="U1339" s="59"/>
    </row>
    <row r="1340" spans="2:21" x14ac:dyDescent="0.25">
      <c r="B1340" s="54" t="str">
        <f>IFERROR(VLOOKUP(A1340,Lookup!A:B,2,0),"")</f>
        <v/>
      </c>
      <c r="C1340" s="54" t="str">
        <f>IFERROR(VLOOKUP(A1340,Lookup!A:C,3,0),"")</f>
        <v/>
      </c>
      <c r="J1340" s="103">
        <f>VLOOKUP(A1340&amp;G1340,Lookup!J:N,5,0)</f>
        <v>0</v>
      </c>
      <c r="O1340" s="57">
        <f>IFERROR(VLOOKUP(A1340&amp;G1340,Lookup!J:K,2,0),"")</f>
        <v>0</v>
      </c>
      <c r="P1340" s="110" t="str">
        <f t="shared" si="85"/>
        <v/>
      </c>
      <c r="T1340" s="59" t="e">
        <f t="shared" si="86"/>
        <v>#VALUE!</v>
      </c>
      <c r="U1340" s="59"/>
    </row>
    <row r="1341" spans="2:21" x14ac:dyDescent="0.25">
      <c r="B1341" s="54" t="str">
        <f>IFERROR(VLOOKUP(A1341,Lookup!A:B,2,0),"")</f>
        <v/>
      </c>
      <c r="C1341" s="54" t="str">
        <f>IFERROR(VLOOKUP(A1341,Lookup!A:C,3,0),"")</f>
        <v/>
      </c>
      <c r="J1341" s="103">
        <f>VLOOKUP(A1341&amp;G1341,Lookup!J:N,5,0)</f>
        <v>0</v>
      </c>
      <c r="O1341" s="57">
        <f>IFERROR(VLOOKUP(A1341&amp;G1341,Lookup!J:K,2,0),"")</f>
        <v>0</v>
      </c>
      <c r="P1341" s="110" t="str">
        <f t="shared" si="85"/>
        <v/>
      </c>
      <c r="T1341" s="59" t="e">
        <f t="shared" si="86"/>
        <v>#VALUE!</v>
      </c>
      <c r="U1341" s="59"/>
    </row>
    <row r="1342" spans="2:21" x14ac:dyDescent="0.25">
      <c r="B1342" s="54" t="str">
        <f>IFERROR(VLOOKUP(A1342,Lookup!A:B,2,0),"")</f>
        <v/>
      </c>
      <c r="C1342" s="54" t="str">
        <f>IFERROR(VLOOKUP(A1342,Lookup!A:C,3,0),"")</f>
        <v/>
      </c>
      <c r="J1342" s="103">
        <f>VLOOKUP(A1342&amp;G1342,Lookup!J:N,5,0)</f>
        <v>0</v>
      </c>
      <c r="O1342" s="57">
        <f>IFERROR(VLOOKUP(A1342&amp;G1342,Lookup!J:K,2,0),"")</f>
        <v>0</v>
      </c>
      <c r="P1342" s="110" t="str">
        <f t="shared" si="85"/>
        <v/>
      </c>
      <c r="T1342" s="59" t="e">
        <f t="shared" si="86"/>
        <v>#VALUE!</v>
      </c>
      <c r="U1342" s="59"/>
    </row>
    <row r="1343" spans="2:21" x14ac:dyDescent="0.25">
      <c r="B1343" s="54" t="str">
        <f>IFERROR(VLOOKUP(A1343,Lookup!A:B,2,0),"")</f>
        <v/>
      </c>
      <c r="C1343" s="54" t="str">
        <f>IFERROR(VLOOKUP(A1343,Lookup!A:C,3,0),"")</f>
        <v/>
      </c>
      <c r="J1343" s="103">
        <f>VLOOKUP(A1343&amp;G1343,Lookup!J:N,5,0)</f>
        <v>0</v>
      </c>
      <c r="O1343" s="57">
        <f>IFERROR(VLOOKUP(A1343&amp;G1343,Lookup!J:K,2,0),"")</f>
        <v>0</v>
      </c>
      <c r="P1343" s="110" t="str">
        <f t="shared" si="85"/>
        <v/>
      </c>
      <c r="T1343" s="59" t="e">
        <f t="shared" si="86"/>
        <v>#VALUE!</v>
      </c>
      <c r="U1343" s="59"/>
    </row>
    <row r="1344" spans="2:21" x14ac:dyDescent="0.25">
      <c r="B1344" s="54" t="str">
        <f>IFERROR(VLOOKUP(A1344,Lookup!A:B,2,0),"")</f>
        <v/>
      </c>
      <c r="C1344" s="54" t="str">
        <f>IFERROR(VLOOKUP(A1344,Lookup!A:C,3,0),"")</f>
        <v/>
      </c>
      <c r="J1344" s="103">
        <f>VLOOKUP(A1344&amp;G1344,Lookup!J:N,5,0)</f>
        <v>0</v>
      </c>
      <c r="O1344" s="57">
        <f>IFERROR(VLOOKUP(A1344&amp;G1344,Lookup!J:K,2,0),"")</f>
        <v>0</v>
      </c>
      <c r="P1344" s="110" t="str">
        <f t="shared" si="85"/>
        <v/>
      </c>
      <c r="T1344" s="59" t="e">
        <f t="shared" si="86"/>
        <v>#VALUE!</v>
      </c>
      <c r="U1344" s="59"/>
    </row>
    <row r="1345" spans="2:21" x14ac:dyDescent="0.25">
      <c r="B1345" s="54" t="str">
        <f>IFERROR(VLOOKUP(A1345,Lookup!A:B,2,0),"")</f>
        <v/>
      </c>
      <c r="C1345" s="54" t="str">
        <f>IFERROR(VLOOKUP(A1345,Lookup!A:C,3,0),"")</f>
        <v/>
      </c>
      <c r="J1345" s="103">
        <f>VLOOKUP(A1345&amp;G1345,Lookup!J:N,5,0)</f>
        <v>0</v>
      </c>
      <c r="O1345" s="57">
        <f>IFERROR(VLOOKUP(A1345&amp;G1345,Lookup!J:K,2,0),"")</f>
        <v>0</v>
      </c>
      <c r="P1345" s="110" t="str">
        <f t="shared" si="85"/>
        <v/>
      </c>
      <c r="T1345" s="59" t="e">
        <f t="shared" si="86"/>
        <v>#VALUE!</v>
      </c>
      <c r="U1345" s="59"/>
    </row>
    <row r="1346" spans="2:21" x14ac:dyDescent="0.25">
      <c r="B1346" s="54" t="str">
        <f>IFERROR(VLOOKUP(A1346,Lookup!A:B,2,0),"")</f>
        <v/>
      </c>
      <c r="C1346" s="54" t="str">
        <f>IFERROR(VLOOKUP(A1346,Lookup!A:C,3,0),"")</f>
        <v/>
      </c>
      <c r="J1346" s="103">
        <f>VLOOKUP(A1346&amp;G1346,Lookup!J:N,5,0)</f>
        <v>0</v>
      </c>
      <c r="O1346" s="57">
        <f>IFERROR(VLOOKUP(A1346&amp;G1346,Lookup!J:K,2,0),"")</f>
        <v>0</v>
      </c>
      <c r="P1346" s="110" t="str">
        <f t="shared" si="85"/>
        <v/>
      </c>
      <c r="T1346" s="59" t="e">
        <f t="shared" si="86"/>
        <v>#VALUE!</v>
      </c>
      <c r="U1346" s="59"/>
    </row>
    <row r="1347" spans="2:21" x14ac:dyDescent="0.25">
      <c r="B1347" s="54" t="str">
        <f>IFERROR(VLOOKUP(A1347,Lookup!A:B,2,0),"")</f>
        <v/>
      </c>
      <c r="C1347" s="54" t="str">
        <f>IFERROR(VLOOKUP(A1347,Lookup!A:C,3,0),"")</f>
        <v/>
      </c>
      <c r="J1347" s="103">
        <f>VLOOKUP(A1347&amp;G1347,Lookup!J:N,5,0)</f>
        <v>0</v>
      </c>
      <c r="O1347" s="57">
        <f>IFERROR(VLOOKUP(A1347&amp;G1347,Lookup!J:K,2,0),"")</f>
        <v>0</v>
      </c>
      <c r="P1347" s="110" t="str">
        <f t="shared" si="85"/>
        <v/>
      </c>
      <c r="T1347" s="59" t="e">
        <f t="shared" si="86"/>
        <v>#VALUE!</v>
      </c>
      <c r="U1347" s="59"/>
    </row>
    <row r="1348" spans="2:21" x14ac:dyDescent="0.25">
      <c r="B1348" s="54" t="str">
        <f>IFERROR(VLOOKUP(A1348,Lookup!A:B,2,0),"")</f>
        <v/>
      </c>
      <c r="C1348" s="54" t="str">
        <f>IFERROR(VLOOKUP(A1348,Lookup!A:C,3,0),"")</f>
        <v/>
      </c>
      <c r="J1348" s="103">
        <f>VLOOKUP(A1348&amp;G1348,Lookup!J:N,5,0)</f>
        <v>0</v>
      </c>
      <c r="O1348" s="57">
        <f>IFERROR(VLOOKUP(A1348&amp;G1348,Lookup!J:K,2,0),"")</f>
        <v>0</v>
      </c>
      <c r="P1348" s="110" t="str">
        <f t="shared" ref="P1348:P1411" si="87">IF(N1348="","",N1348+O1348)</f>
        <v/>
      </c>
      <c r="T1348" s="59" t="e">
        <f t="shared" si="86"/>
        <v>#VALUE!</v>
      </c>
      <c r="U1348" s="59"/>
    </row>
    <row r="1349" spans="2:21" x14ac:dyDescent="0.25">
      <c r="B1349" s="54" t="str">
        <f>IFERROR(VLOOKUP(A1349,Lookup!A:B,2,0),"")</f>
        <v/>
      </c>
      <c r="C1349" s="54" t="str">
        <f>IFERROR(VLOOKUP(A1349,Lookup!A:C,3,0),"")</f>
        <v/>
      </c>
      <c r="J1349" s="103">
        <f>VLOOKUP(A1349&amp;G1349,Lookup!J:N,5,0)</f>
        <v>0</v>
      </c>
      <c r="O1349" s="57">
        <f>IFERROR(VLOOKUP(A1349&amp;G1349,Lookup!J:K,2,0),"")</f>
        <v>0</v>
      </c>
      <c r="P1349" s="110" t="str">
        <f t="shared" si="87"/>
        <v/>
      </c>
      <c r="T1349" s="59" t="e">
        <f t="shared" si="86"/>
        <v>#VALUE!</v>
      </c>
      <c r="U1349" s="59"/>
    </row>
    <row r="1350" spans="2:21" x14ac:dyDescent="0.25">
      <c r="B1350" s="54" t="str">
        <f>IFERROR(VLOOKUP(A1350,Lookup!A:B,2,0),"")</f>
        <v/>
      </c>
      <c r="C1350" s="54" t="str">
        <f>IFERROR(VLOOKUP(A1350,Lookup!A:C,3,0),"")</f>
        <v/>
      </c>
      <c r="J1350" s="103">
        <f>VLOOKUP(A1350&amp;G1350,Lookup!J:N,5,0)</f>
        <v>0</v>
      </c>
      <c r="O1350" s="57">
        <f>IFERROR(VLOOKUP(A1350&amp;G1350,Lookup!J:K,2,0),"")</f>
        <v>0</v>
      </c>
      <c r="P1350" s="110" t="str">
        <f t="shared" si="87"/>
        <v/>
      </c>
      <c r="T1350" s="59" t="e">
        <f t="shared" si="86"/>
        <v>#VALUE!</v>
      </c>
      <c r="U1350" s="59"/>
    </row>
    <row r="1351" spans="2:21" x14ac:dyDescent="0.25">
      <c r="B1351" s="54" t="str">
        <f>IFERROR(VLOOKUP(A1351,Lookup!A:B,2,0),"")</f>
        <v/>
      </c>
      <c r="C1351" s="54" t="str">
        <f>IFERROR(VLOOKUP(A1351,Lookup!A:C,3,0),"")</f>
        <v/>
      </c>
      <c r="J1351" s="103">
        <f>VLOOKUP(A1351&amp;G1351,Lookup!J:N,5,0)</f>
        <v>0</v>
      </c>
      <c r="O1351" s="57">
        <f>IFERROR(VLOOKUP(A1351&amp;G1351,Lookup!J:K,2,0),"")</f>
        <v>0</v>
      </c>
      <c r="P1351" s="110" t="str">
        <f t="shared" si="87"/>
        <v/>
      </c>
      <c r="T1351" s="59" t="e">
        <f t="shared" si="86"/>
        <v>#VALUE!</v>
      </c>
      <c r="U1351" s="59"/>
    </row>
    <row r="1352" spans="2:21" x14ac:dyDescent="0.25">
      <c r="B1352" s="54" t="str">
        <f>IFERROR(VLOOKUP(A1352,Lookup!A:B,2,0),"")</f>
        <v/>
      </c>
      <c r="C1352" s="54" t="str">
        <f>IFERROR(VLOOKUP(A1352,Lookup!A:C,3,0),"")</f>
        <v/>
      </c>
      <c r="J1352" s="103">
        <f>VLOOKUP(A1352&amp;G1352,Lookup!J:N,5,0)</f>
        <v>0</v>
      </c>
      <c r="O1352" s="57">
        <f>IFERROR(VLOOKUP(A1352&amp;G1352,Lookup!J:K,2,0),"")</f>
        <v>0</v>
      </c>
      <c r="P1352" s="110" t="str">
        <f t="shared" si="87"/>
        <v/>
      </c>
      <c r="T1352" s="59" t="e">
        <f t="shared" si="86"/>
        <v>#VALUE!</v>
      </c>
      <c r="U1352" s="59"/>
    </row>
    <row r="1353" spans="2:21" x14ac:dyDescent="0.25">
      <c r="B1353" s="54" t="str">
        <f>IFERROR(VLOOKUP(A1353,Lookup!A:B,2,0),"")</f>
        <v/>
      </c>
      <c r="C1353" s="54" t="str">
        <f>IFERROR(VLOOKUP(A1353,Lookup!A:C,3,0),"")</f>
        <v/>
      </c>
      <c r="J1353" s="103">
        <f>VLOOKUP(A1353&amp;G1353,Lookup!J:N,5,0)</f>
        <v>0</v>
      </c>
      <c r="O1353" s="57">
        <f>IFERROR(VLOOKUP(A1353&amp;G1353,Lookup!J:K,2,0),"")</f>
        <v>0</v>
      </c>
      <c r="P1353" s="110" t="str">
        <f t="shared" si="87"/>
        <v/>
      </c>
      <c r="T1353" s="59" t="e">
        <f t="shared" si="86"/>
        <v>#VALUE!</v>
      </c>
      <c r="U1353" s="59"/>
    </row>
    <row r="1354" spans="2:21" x14ac:dyDescent="0.25">
      <c r="B1354" s="54" t="str">
        <f>IFERROR(VLOOKUP(A1354,Lookup!A:B,2,0),"")</f>
        <v/>
      </c>
      <c r="C1354" s="54" t="str">
        <f>IFERROR(VLOOKUP(A1354,Lookup!A:C,3,0),"")</f>
        <v/>
      </c>
      <c r="J1354" s="103">
        <f>VLOOKUP(A1354&amp;G1354,Lookup!J:N,5,0)</f>
        <v>0</v>
      </c>
      <c r="O1354" s="57">
        <f>IFERROR(VLOOKUP(A1354&amp;G1354,Lookup!J:K,2,0),"")</f>
        <v>0</v>
      </c>
      <c r="P1354" s="110" t="str">
        <f t="shared" si="87"/>
        <v/>
      </c>
      <c r="T1354" s="59" t="e">
        <f t="shared" si="86"/>
        <v>#VALUE!</v>
      </c>
      <c r="U1354" s="59"/>
    </row>
    <row r="1355" spans="2:21" x14ac:dyDescent="0.25">
      <c r="B1355" s="54" t="str">
        <f>IFERROR(VLOOKUP(A1355,Lookup!A:B,2,0),"")</f>
        <v/>
      </c>
      <c r="C1355" s="54" t="str">
        <f>IFERROR(VLOOKUP(A1355,Lookup!A:C,3,0),"")</f>
        <v/>
      </c>
      <c r="J1355" s="103">
        <f>VLOOKUP(A1355&amp;G1355,Lookup!J:N,5,0)</f>
        <v>0</v>
      </c>
      <c r="O1355" s="57">
        <f>IFERROR(VLOOKUP(A1355&amp;G1355,Lookup!J:K,2,0),"")</f>
        <v>0</v>
      </c>
      <c r="P1355" s="110" t="str">
        <f t="shared" si="87"/>
        <v/>
      </c>
      <c r="T1355" s="59" t="e">
        <f t="shared" si="86"/>
        <v>#VALUE!</v>
      </c>
      <c r="U1355" s="59"/>
    </row>
    <row r="1356" spans="2:21" x14ac:dyDescent="0.25">
      <c r="B1356" s="54" t="str">
        <f>IFERROR(VLOOKUP(A1356,Lookup!A:B,2,0),"")</f>
        <v/>
      </c>
      <c r="C1356" s="54" t="str">
        <f>IFERROR(VLOOKUP(A1356,Lookup!A:C,3,0),"")</f>
        <v/>
      </c>
      <c r="J1356" s="103">
        <f>VLOOKUP(A1356&amp;G1356,Lookup!J:N,5,0)</f>
        <v>0</v>
      </c>
      <c r="O1356" s="57">
        <f>IFERROR(VLOOKUP(A1356&amp;G1356,Lookup!J:K,2,0),"")</f>
        <v>0</v>
      </c>
      <c r="P1356" s="110" t="str">
        <f t="shared" si="87"/>
        <v/>
      </c>
      <c r="T1356" s="59" t="e">
        <f t="shared" si="86"/>
        <v>#VALUE!</v>
      </c>
      <c r="U1356" s="59"/>
    </row>
    <row r="1357" spans="2:21" x14ac:dyDescent="0.25">
      <c r="B1357" s="54" t="str">
        <f>IFERROR(VLOOKUP(A1357,Lookup!A:B,2,0),"")</f>
        <v/>
      </c>
      <c r="C1357" s="54" t="str">
        <f>IFERROR(VLOOKUP(A1357,Lookup!A:C,3,0),"")</f>
        <v/>
      </c>
      <c r="J1357" s="103">
        <f>VLOOKUP(A1357&amp;G1357,Lookup!J:N,5,0)</f>
        <v>0</v>
      </c>
      <c r="O1357" s="57">
        <f>IFERROR(VLOOKUP(A1357&amp;G1357,Lookup!J:K,2,0),"")</f>
        <v>0</v>
      </c>
      <c r="P1357" s="110" t="str">
        <f t="shared" si="87"/>
        <v/>
      </c>
      <c r="T1357" s="59" t="e">
        <f t="shared" si="86"/>
        <v>#VALUE!</v>
      </c>
      <c r="U1357" s="59"/>
    </row>
    <row r="1358" spans="2:21" x14ac:dyDescent="0.25">
      <c r="B1358" s="54" t="str">
        <f>IFERROR(VLOOKUP(A1358,Lookup!A:B,2,0),"")</f>
        <v/>
      </c>
      <c r="C1358" s="54" t="str">
        <f>IFERROR(VLOOKUP(A1358,Lookup!A:C,3,0),"")</f>
        <v/>
      </c>
      <c r="J1358" s="103">
        <f>VLOOKUP(A1358&amp;G1358,Lookup!J:N,5,0)</f>
        <v>0</v>
      </c>
      <c r="O1358" s="57">
        <f>IFERROR(VLOOKUP(A1358&amp;G1358,Lookup!J:K,2,0),"")</f>
        <v>0</v>
      </c>
      <c r="P1358" s="110" t="str">
        <f t="shared" si="87"/>
        <v/>
      </c>
      <c r="T1358" s="59" t="e">
        <f t="shared" ref="T1358:T1421" si="88">IF(Q1358-P1358&gt;0.0415,"YES",(IF(OR(EXACT(Q1358,""), EXACT(P1358,"")),"","NO")))</f>
        <v>#VALUE!</v>
      </c>
      <c r="U1358" s="59"/>
    </row>
    <row r="1359" spans="2:21" x14ac:dyDescent="0.25">
      <c r="B1359" s="54" t="str">
        <f>IFERROR(VLOOKUP(A1359,Lookup!A:B,2,0),"")</f>
        <v/>
      </c>
      <c r="C1359" s="54" t="str">
        <f>IFERROR(VLOOKUP(A1359,Lookup!A:C,3,0),"")</f>
        <v/>
      </c>
      <c r="J1359" s="103">
        <f>VLOOKUP(A1359&amp;G1359,Lookup!J:N,5,0)</f>
        <v>0</v>
      </c>
      <c r="O1359" s="57">
        <f>IFERROR(VLOOKUP(A1359&amp;G1359,Lookup!J:K,2,0),"")</f>
        <v>0</v>
      </c>
      <c r="P1359" s="110" t="str">
        <f t="shared" si="87"/>
        <v/>
      </c>
      <c r="T1359" s="59" t="e">
        <f t="shared" si="88"/>
        <v>#VALUE!</v>
      </c>
      <c r="U1359" s="59"/>
    </row>
    <row r="1360" spans="2:21" x14ac:dyDescent="0.25">
      <c r="B1360" s="54" t="str">
        <f>IFERROR(VLOOKUP(A1360,Lookup!A:B,2,0),"")</f>
        <v/>
      </c>
      <c r="C1360" s="54" t="str">
        <f>IFERROR(VLOOKUP(A1360,Lookup!A:C,3,0),"")</f>
        <v/>
      </c>
      <c r="J1360" s="103">
        <f>VLOOKUP(A1360&amp;G1360,Lookup!J:N,5,0)</f>
        <v>0</v>
      </c>
      <c r="O1360" s="57">
        <f>IFERROR(VLOOKUP(A1360&amp;G1360,Lookup!J:K,2,0),"")</f>
        <v>0</v>
      </c>
      <c r="P1360" s="110" t="str">
        <f t="shared" si="87"/>
        <v/>
      </c>
      <c r="T1360" s="59" t="e">
        <f t="shared" si="88"/>
        <v>#VALUE!</v>
      </c>
      <c r="U1360" s="59"/>
    </row>
    <row r="1361" spans="2:21" x14ac:dyDescent="0.25">
      <c r="B1361" s="54" t="str">
        <f>IFERROR(VLOOKUP(A1361,Lookup!A:B,2,0),"")</f>
        <v/>
      </c>
      <c r="C1361" s="54" t="str">
        <f>IFERROR(VLOOKUP(A1361,Lookup!A:C,3,0),"")</f>
        <v/>
      </c>
      <c r="J1361" s="103">
        <f>VLOOKUP(A1361&amp;G1361,Lookup!J:N,5,0)</f>
        <v>0</v>
      </c>
      <c r="O1361" s="57">
        <f>IFERROR(VLOOKUP(A1361&amp;G1361,Lookup!J:K,2,0),"")</f>
        <v>0</v>
      </c>
      <c r="P1361" s="110" t="str">
        <f t="shared" si="87"/>
        <v/>
      </c>
      <c r="T1361" s="59" t="e">
        <f t="shared" si="88"/>
        <v>#VALUE!</v>
      </c>
      <c r="U1361" s="59"/>
    </row>
    <row r="1362" spans="2:21" x14ac:dyDescent="0.25">
      <c r="B1362" s="54" t="str">
        <f>IFERROR(VLOOKUP(A1362,Lookup!A:B,2,0),"")</f>
        <v/>
      </c>
      <c r="C1362" s="54" t="str">
        <f>IFERROR(VLOOKUP(A1362,Lookup!A:C,3,0),"")</f>
        <v/>
      </c>
      <c r="J1362" s="103">
        <f>VLOOKUP(A1362&amp;G1362,Lookup!J:N,5,0)</f>
        <v>0</v>
      </c>
      <c r="O1362" s="57">
        <f>IFERROR(VLOOKUP(A1362&amp;G1362,Lookup!J:K,2,0),"")</f>
        <v>0</v>
      </c>
      <c r="P1362" s="110" t="str">
        <f t="shared" si="87"/>
        <v/>
      </c>
      <c r="T1362" s="59" t="e">
        <f t="shared" si="88"/>
        <v>#VALUE!</v>
      </c>
      <c r="U1362" s="59"/>
    </row>
    <row r="1363" spans="2:21" x14ac:dyDescent="0.25">
      <c r="B1363" s="54" t="str">
        <f>IFERROR(VLOOKUP(A1363,Lookup!A:B,2,0),"")</f>
        <v/>
      </c>
      <c r="C1363" s="54" t="str">
        <f>IFERROR(VLOOKUP(A1363,Lookup!A:C,3,0),"")</f>
        <v/>
      </c>
      <c r="J1363" s="103">
        <f>VLOOKUP(A1363&amp;G1363,Lookup!J:N,5,0)</f>
        <v>0</v>
      </c>
      <c r="O1363" s="57">
        <f>IFERROR(VLOOKUP(A1363&amp;G1363,Lookup!J:K,2,0),"")</f>
        <v>0</v>
      </c>
      <c r="P1363" s="110" t="str">
        <f t="shared" si="87"/>
        <v/>
      </c>
      <c r="T1363" s="59" t="e">
        <f t="shared" si="88"/>
        <v>#VALUE!</v>
      </c>
      <c r="U1363" s="59"/>
    </row>
    <row r="1364" spans="2:21" x14ac:dyDescent="0.25">
      <c r="B1364" s="54" t="str">
        <f>IFERROR(VLOOKUP(A1364,Lookup!A:B,2,0),"")</f>
        <v/>
      </c>
      <c r="C1364" s="54" t="str">
        <f>IFERROR(VLOOKUP(A1364,Lookup!A:C,3,0),"")</f>
        <v/>
      </c>
      <c r="J1364" s="103">
        <f>VLOOKUP(A1364&amp;G1364,Lookup!J:N,5,0)</f>
        <v>0</v>
      </c>
      <c r="O1364" s="57">
        <f>IFERROR(VLOOKUP(A1364&amp;G1364,Lookup!J:K,2,0),"")</f>
        <v>0</v>
      </c>
      <c r="P1364" s="110" t="str">
        <f t="shared" si="87"/>
        <v/>
      </c>
      <c r="T1364" s="59" t="e">
        <f t="shared" si="88"/>
        <v>#VALUE!</v>
      </c>
      <c r="U1364" s="59"/>
    </row>
    <row r="1365" spans="2:21" x14ac:dyDescent="0.25">
      <c r="B1365" s="54" t="str">
        <f>IFERROR(VLOOKUP(A1365,Lookup!A:B,2,0),"")</f>
        <v/>
      </c>
      <c r="C1365" s="54" t="str">
        <f>IFERROR(VLOOKUP(A1365,Lookup!A:C,3,0),"")</f>
        <v/>
      </c>
      <c r="J1365" s="103">
        <f>VLOOKUP(A1365&amp;G1365,Lookup!J:N,5,0)</f>
        <v>0</v>
      </c>
      <c r="O1365" s="57">
        <f>IFERROR(VLOOKUP(A1365&amp;G1365,Lookup!J:K,2,0),"")</f>
        <v>0</v>
      </c>
      <c r="P1365" s="110" t="str">
        <f t="shared" si="87"/>
        <v/>
      </c>
      <c r="T1365" s="59" t="e">
        <f t="shared" si="88"/>
        <v>#VALUE!</v>
      </c>
      <c r="U1365" s="59"/>
    </row>
    <row r="1366" spans="2:21" x14ac:dyDescent="0.25">
      <c r="B1366" s="54" t="str">
        <f>IFERROR(VLOOKUP(A1366,Lookup!A:B,2,0),"")</f>
        <v/>
      </c>
      <c r="C1366" s="54" t="str">
        <f>IFERROR(VLOOKUP(A1366,Lookup!A:C,3,0),"")</f>
        <v/>
      </c>
      <c r="J1366" s="103">
        <f>VLOOKUP(A1366&amp;G1366,Lookup!J:N,5,0)</f>
        <v>0</v>
      </c>
      <c r="O1366" s="57">
        <f>IFERROR(VLOOKUP(A1366&amp;G1366,Lookup!J:K,2,0),"")</f>
        <v>0</v>
      </c>
      <c r="P1366" s="110" t="str">
        <f t="shared" si="87"/>
        <v/>
      </c>
      <c r="T1366" s="59" t="e">
        <f t="shared" si="88"/>
        <v>#VALUE!</v>
      </c>
      <c r="U1366" s="59"/>
    </row>
    <row r="1367" spans="2:21" x14ac:dyDescent="0.25">
      <c r="B1367" s="54" t="str">
        <f>IFERROR(VLOOKUP(A1367,Lookup!A:B,2,0),"")</f>
        <v/>
      </c>
      <c r="C1367" s="54" t="str">
        <f>IFERROR(VLOOKUP(A1367,Lookup!A:C,3,0),"")</f>
        <v/>
      </c>
      <c r="J1367" s="103">
        <f>VLOOKUP(A1367&amp;G1367,Lookup!J:N,5,0)</f>
        <v>0</v>
      </c>
      <c r="O1367" s="57">
        <f>IFERROR(VLOOKUP(A1367&amp;G1367,Lookup!J:K,2,0),"")</f>
        <v>0</v>
      </c>
      <c r="P1367" s="110" t="str">
        <f t="shared" si="87"/>
        <v/>
      </c>
      <c r="T1367" s="59" t="e">
        <f t="shared" si="88"/>
        <v>#VALUE!</v>
      </c>
      <c r="U1367" s="59"/>
    </row>
    <row r="1368" spans="2:21" x14ac:dyDescent="0.25">
      <c r="B1368" s="54" t="str">
        <f>IFERROR(VLOOKUP(A1368,Lookup!A:B,2,0),"")</f>
        <v/>
      </c>
      <c r="C1368" s="54" t="str">
        <f>IFERROR(VLOOKUP(A1368,Lookup!A:C,3,0),"")</f>
        <v/>
      </c>
      <c r="J1368" s="103">
        <f>VLOOKUP(A1368&amp;G1368,Lookup!J:N,5,0)</f>
        <v>0</v>
      </c>
      <c r="O1368" s="57">
        <f>IFERROR(VLOOKUP(A1368&amp;G1368,Lookup!J:K,2,0),"")</f>
        <v>0</v>
      </c>
      <c r="P1368" s="110" t="str">
        <f t="shared" si="87"/>
        <v/>
      </c>
      <c r="T1368" s="59" t="e">
        <f t="shared" si="88"/>
        <v>#VALUE!</v>
      </c>
      <c r="U1368" s="59"/>
    </row>
    <row r="1369" spans="2:21" x14ac:dyDescent="0.25">
      <c r="B1369" s="54" t="str">
        <f>IFERROR(VLOOKUP(A1369,Lookup!A:B,2,0),"")</f>
        <v/>
      </c>
      <c r="C1369" s="54" t="str">
        <f>IFERROR(VLOOKUP(A1369,Lookup!A:C,3,0),"")</f>
        <v/>
      </c>
      <c r="J1369" s="103">
        <f>VLOOKUP(A1369&amp;G1369,Lookup!J:N,5,0)</f>
        <v>0</v>
      </c>
      <c r="O1369" s="57">
        <f>IFERROR(VLOOKUP(A1369&amp;G1369,Lookup!J:K,2,0),"")</f>
        <v>0</v>
      </c>
      <c r="P1369" s="110" t="str">
        <f t="shared" si="87"/>
        <v/>
      </c>
      <c r="T1369" s="59" t="e">
        <f t="shared" si="88"/>
        <v>#VALUE!</v>
      </c>
      <c r="U1369" s="59"/>
    </row>
    <row r="1370" spans="2:21" x14ac:dyDescent="0.25">
      <c r="B1370" s="54" t="str">
        <f>IFERROR(VLOOKUP(A1370,Lookup!A:B,2,0),"")</f>
        <v/>
      </c>
      <c r="C1370" s="54" t="str">
        <f>IFERROR(VLOOKUP(A1370,Lookup!A:C,3,0),"")</f>
        <v/>
      </c>
      <c r="J1370" s="103">
        <f>VLOOKUP(A1370&amp;G1370,Lookup!J:N,5,0)</f>
        <v>0</v>
      </c>
      <c r="O1370" s="57">
        <f>IFERROR(VLOOKUP(A1370&amp;G1370,Lookup!J:K,2,0),"")</f>
        <v>0</v>
      </c>
      <c r="P1370" s="110" t="str">
        <f t="shared" si="87"/>
        <v/>
      </c>
      <c r="T1370" s="59" t="e">
        <f t="shared" si="88"/>
        <v>#VALUE!</v>
      </c>
      <c r="U1370" s="59"/>
    </row>
    <row r="1371" spans="2:21" x14ac:dyDescent="0.25">
      <c r="B1371" s="54" t="str">
        <f>IFERROR(VLOOKUP(A1371,Lookup!A:B,2,0),"")</f>
        <v/>
      </c>
      <c r="C1371" s="54" t="str">
        <f>IFERROR(VLOOKUP(A1371,Lookup!A:C,3,0),"")</f>
        <v/>
      </c>
      <c r="J1371" s="103">
        <f>VLOOKUP(A1371&amp;G1371,Lookup!J:N,5,0)</f>
        <v>0</v>
      </c>
      <c r="O1371" s="57">
        <f>IFERROR(VLOOKUP(A1371&amp;G1371,Lookup!J:K,2,0),"")</f>
        <v>0</v>
      </c>
      <c r="P1371" s="110" t="str">
        <f t="shared" si="87"/>
        <v/>
      </c>
      <c r="T1371" s="59" t="e">
        <f t="shared" si="88"/>
        <v>#VALUE!</v>
      </c>
      <c r="U1371" s="59"/>
    </row>
    <row r="1372" spans="2:21" x14ac:dyDescent="0.25">
      <c r="B1372" s="54" t="str">
        <f>IFERROR(VLOOKUP(A1372,Lookup!A:B,2,0),"")</f>
        <v/>
      </c>
      <c r="C1372" s="54" t="str">
        <f>IFERROR(VLOOKUP(A1372,Lookup!A:C,3,0),"")</f>
        <v/>
      </c>
      <c r="J1372" s="103">
        <f>VLOOKUP(A1372&amp;G1372,Lookup!J:N,5,0)</f>
        <v>0</v>
      </c>
      <c r="O1372" s="57">
        <f>IFERROR(VLOOKUP(A1372&amp;G1372,Lookup!J:K,2,0),"")</f>
        <v>0</v>
      </c>
      <c r="P1372" s="110" t="str">
        <f t="shared" si="87"/>
        <v/>
      </c>
      <c r="T1372" s="59" t="e">
        <f t="shared" si="88"/>
        <v>#VALUE!</v>
      </c>
      <c r="U1372" s="59"/>
    </row>
    <row r="1373" spans="2:21" x14ac:dyDescent="0.25">
      <c r="B1373" s="54" t="str">
        <f>IFERROR(VLOOKUP(A1373,Lookup!A:B,2,0),"")</f>
        <v/>
      </c>
      <c r="C1373" s="54" t="str">
        <f>IFERROR(VLOOKUP(A1373,Lookup!A:C,3,0),"")</f>
        <v/>
      </c>
      <c r="J1373" s="103">
        <f>VLOOKUP(A1373&amp;G1373,Lookup!J:N,5,0)</f>
        <v>0</v>
      </c>
      <c r="O1373" s="57">
        <f>IFERROR(VLOOKUP(A1373&amp;G1373,Lookup!J:K,2,0),"")</f>
        <v>0</v>
      </c>
      <c r="P1373" s="110" t="str">
        <f t="shared" si="87"/>
        <v/>
      </c>
      <c r="T1373" s="59" t="e">
        <f t="shared" si="88"/>
        <v>#VALUE!</v>
      </c>
      <c r="U1373" s="59"/>
    </row>
    <row r="1374" spans="2:21" x14ac:dyDescent="0.25">
      <c r="B1374" s="54" t="str">
        <f>IFERROR(VLOOKUP(A1374,Lookup!A:B,2,0),"")</f>
        <v/>
      </c>
      <c r="C1374" s="54" t="str">
        <f>IFERROR(VLOOKUP(A1374,Lookup!A:C,3,0),"")</f>
        <v/>
      </c>
      <c r="J1374" s="103">
        <f>VLOOKUP(A1374&amp;G1374,Lookup!J:N,5,0)</f>
        <v>0</v>
      </c>
      <c r="O1374" s="57">
        <f>IFERROR(VLOOKUP(A1374&amp;G1374,Lookup!J:K,2,0),"")</f>
        <v>0</v>
      </c>
      <c r="P1374" s="110" t="str">
        <f t="shared" si="87"/>
        <v/>
      </c>
      <c r="T1374" s="59" t="e">
        <f t="shared" si="88"/>
        <v>#VALUE!</v>
      </c>
      <c r="U1374" s="59"/>
    </row>
    <row r="1375" spans="2:21" x14ac:dyDescent="0.25">
      <c r="B1375" s="54" t="str">
        <f>IFERROR(VLOOKUP(A1375,Lookup!A:B,2,0),"")</f>
        <v/>
      </c>
      <c r="C1375" s="54" t="str">
        <f>IFERROR(VLOOKUP(A1375,Lookup!A:C,3,0),"")</f>
        <v/>
      </c>
      <c r="J1375" s="103">
        <f>VLOOKUP(A1375&amp;G1375,Lookup!J:N,5,0)</f>
        <v>0</v>
      </c>
      <c r="O1375" s="57">
        <f>IFERROR(VLOOKUP(A1375&amp;G1375,Lookup!J:K,2,0),"")</f>
        <v>0</v>
      </c>
      <c r="P1375" s="110" t="str">
        <f t="shared" si="87"/>
        <v/>
      </c>
      <c r="T1375" s="59" t="e">
        <f t="shared" si="88"/>
        <v>#VALUE!</v>
      </c>
      <c r="U1375" s="59"/>
    </row>
    <row r="1376" spans="2:21" x14ac:dyDescent="0.25">
      <c r="B1376" s="54" t="str">
        <f>IFERROR(VLOOKUP(A1376,Lookup!A:B,2,0),"")</f>
        <v/>
      </c>
      <c r="C1376" s="54" t="str">
        <f>IFERROR(VLOOKUP(A1376,Lookup!A:C,3,0),"")</f>
        <v/>
      </c>
      <c r="J1376" s="103">
        <f>VLOOKUP(A1376&amp;G1376,Lookup!J:N,5,0)</f>
        <v>0</v>
      </c>
      <c r="O1376" s="57">
        <f>IFERROR(VLOOKUP(A1376&amp;G1376,Lookup!J:K,2,0),"")</f>
        <v>0</v>
      </c>
      <c r="P1376" s="110" t="str">
        <f t="shared" si="87"/>
        <v/>
      </c>
      <c r="T1376" s="59" t="e">
        <f t="shared" si="88"/>
        <v>#VALUE!</v>
      </c>
      <c r="U1376" s="59"/>
    </row>
    <row r="1377" spans="2:21" x14ac:dyDescent="0.25">
      <c r="B1377" s="54" t="str">
        <f>IFERROR(VLOOKUP(A1377,Lookup!A:B,2,0),"")</f>
        <v/>
      </c>
      <c r="C1377" s="54" t="str">
        <f>IFERROR(VLOOKUP(A1377,Lookup!A:C,3,0),"")</f>
        <v/>
      </c>
      <c r="J1377" s="103">
        <f>VLOOKUP(A1377&amp;G1377,Lookup!J:N,5,0)</f>
        <v>0</v>
      </c>
      <c r="O1377" s="57">
        <f>IFERROR(VLOOKUP(A1377&amp;G1377,Lookup!J:K,2,0),"")</f>
        <v>0</v>
      </c>
      <c r="P1377" s="110" t="str">
        <f t="shared" si="87"/>
        <v/>
      </c>
      <c r="T1377" s="59" t="e">
        <f t="shared" si="88"/>
        <v>#VALUE!</v>
      </c>
      <c r="U1377" s="59"/>
    </row>
    <row r="1378" spans="2:21" x14ac:dyDescent="0.25">
      <c r="B1378" s="54" t="str">
        <f>IFERROR(VLOOKUP(A1378,Lookup!A:B,2,0),"")</f>
        <v/>
      </c>
      <c r="C1378" s="54" t="str">
        <f>IFERROR(VLOOKUP(A1378,Lookup!A:C,3,0),"")</f>
        <v/>
      </c>
      <c r="J1378" s="103">
        <f>VLOOKUP(A1378&amp;G1378,Lookup!J:N,5,0)</f>
        <v>0</v>
      </c>
      <c r="O1378" s="57">
        <f>IFERROR(VLOOKUP(A1378&amp;G1378,Lookup!J:K,2,0),"")</f>
        <v>0</v>
      </c>
      <c r="P1378" s="110" t="str">
        <f t="shared" si="87"/>
        <v/>
      </c>
      <c r="T1378" s="59" t="e">
        <f t="shared" si="88"/>
        <v>#VALUE!</v>
      </c>
      <c r="U1378" s="59"/>
    </row>
    <row r="1379" spans="2:21" x14ac:dyDescent="0.25">
      <c r="B1379" s="54" t="str">
        <f>IFERROR(VLOOKUP(A1379,Lookup!A:B,2,0),"")</f>
        <v/>
      </c>
      <c r="C1379" s="54" t="str">
        <f>IFERROR(VLOOKUP(A1379,Lookup!A:C,3,0),"")</f>
        <v/>
      </c>
      <c r="J1379" s="103">
        <f>VLOOKUP(A1379&amp;G1379,Lookup!J:N,5,0)</f>
        <v>0</v>
      </c>
      <c r="O1379" s="57">
        <f>IFERROR(VLOOKUP(A1379&amp;G1379,Lookup!J:K,2,0),"")</f>
        <v>0</v>
      </c>
      <c r="P1379" s="110" t="str">
        <f t="shared" si="87"/>
        <v/>
      </c>
      <c r="T1379" s="59" t="e">
        <f t="shared" si="88"/>
        <v>#VALUE!</v>
      </c>
      <c r="U1379" s="59"/>
    </row>
    <row r="1380" spans="2:21" x14ac:dyDescent="0.25">
      <c r="B1380" s="54" t="str">
        <f>IFERROR(VLOOKUP(A1380,Lookup!A:B,2,0),"")</f>
        <v/>
      </c>
      <c r="C1380" s="54" t="str">
        <f>IFERROR(VLOOKUP(A1380,Lookup!A:C,3,0),"")</f>
        <v/>
      </c>
      <c r="J1380" s="103">
        <f>VLOOKUP(A1380&amp;G1380,Lookup!J:N,5,0)</f>
        <v>0</v>
      </c>
      <c r="O1380" s="57">
        <f>IFERROR(VLOOKUP(A1380&amp;G1380,Lookup!J:K,2,0),"")</f>
        <v>0</v>
      </c>
      <c r="P1380" s="110" t="str">
        <f t="shared" si="87"/>
        <v/>
      </c>
      <c r="T1380" s="59" t="e">
        <f t="shared" si="88"/>
        <v>#VALUE!</v>
      </c>
      <c r="U1380" s="59"/>
    </row>
    <row r="1381" spans="2:21" x14ac:dyDescent="0.25">
      <c r="B1381" s="54" t="str">
        <f>IFERROR(VLOOKUP(A1381,Lookup!A:B,2,0),"")</f>
        <v/>
      </c>
      <c r="C1381" s="54" t="str">
        <f>IFERROR(VLOOKUP(A1381,Lookup!A:C,3,0),"")</f>
        <v/>
      </c>
      <c r="J1381" s="103">
        <f>VLOOKUP(A1381&amp;G1381,Lookup!J:N,5,0)</f>
        <v>0</v>
      </c>
      <c r="O1381" s="57">
        <f>IFERROR(VLOOKUP(A1381&amp;G1381,Lookup!J:K,2,0),"")</f>
        <v>0</v>
      </c>
      <c r="P1381" s="110" t="str">
        <f t="shared" si="87"/>
        <v/>
      </c>
      <c r="T1381" s="59" t="e">
        <f t="shared" si="88"/>
        <v>#VALUE!</v>
      </c>
      <c r="U1381" s="59"/>
    </row>
    <row r="1382" spans="2:21" x14ac:dyDescent="0.25">
      <c r="B1382" s="54" t="str">
        <f>IFERROR(VLOOKUP(A1382,Lookup!A:B,2,0),"")</f>
        <v/>
      </c>
      <c r="C1382" s="54" t="str">
        <f>IFERROR(VLOOKUP(A1382,Lookup!A:C,3,0),"")</f>
        <v/>
      </c>
      <c r="J1382" s="103">
        <f>VLOOKUP(A1382&amp;G1382,Lookup!J:N,5,0)</f>
        <v>0</v>
      </c>
      <c r="O1382" s="57">
        <f>IFERROR(VLOOKUP(A1382&amp;G1382,Lookup!J:K,2,0),"")</f>
        <v>0</v>
      </c>
      <c r="P1382" s="110" t="str">
        <f t="shared" si="87"/>
        <v/>
      </c>
      <c r="T1382" s="59" t="e">
        <f t="shared" si="88"/>
        <v>#VALUE!</v>
      </c>
      <c r="U1382" s="59"/>
    </row>
    <row r="1383" spans="2:21" x14ac:dyDescent="0.25">
      <c r="B1383" s="54" t="str">
        <f>IFERROR(VLOOKUP(A1383,Lookup!A:B,2,0),"")</f>
        <v/>
      </c>
      <c r="C1383" s="54" t="str">
        <f>IFERROR(VLOOKUP(A1383,Lookup!A:C,3,0),"")</f>
        <v/>
      </c>
      <c r="J1383" s="103">
        <f>VLOOKUP(A1383&amp;G1383,Lookup!J:N,5,0)</f>
        <v>0</v>
      </c>
      <c r="O1383" s="57">
        <f>IFERROR(VLOOKUP(A1383&amp;G1383,Lookup!J:K,2,0),"")</f>
        <v>0</v>
      </c>
      <c r="P1383" s="110" t="str">
        <f t="shared" si="87"/>
        <v/>
      </c>
      <c r="T1383" s="59" t="e">
        <f t="shared" si="88"/>
        <v>#VALUE!</v>
      </c>
      <c r="U1383" s="59"/>
    </row>
    <row r="1384" spans="2:21" x14ac:dyDescent="0.25">
      <c r="B1384" s="54" t="str">
        <f>IFERROR(VLOOKUP(A1384,Lookup!A:B,2,0),"")</f>
        <v/>
      </c>
      <c r="C1384" s="54" t="str">
        <f>IFERROR(VLOOKUP(A1384,Lookup!A:C,3,0),"")</f>
        <v/>
      </c>
      <c r="J1384" s="103">
        <f>VLOOKUP(A1384&amp;G1384,Lookup!J:N,5,0)</f>
        <v>0</v>
      </c>
      <c r="O1384" s="57">
        <f>IFERROR(VLOOKUP(A1384&amp;G1384,Lookup!J:K,2,0),"")</f>
        <v>0</v>
      </c>
      <c r="P1384" s="110" t="str">
        <f t="shared" si="87"/>
        <v/>
      </c>
      <c r="T1384" s="59" t="e">
        <f t="shared" si="88"/>
        <v>#VALUE!</v>
      </c>
      <c r="U1384" s="59"/>
    </row>
    <row r="1385" spans="2:21" x14ac:dyDescent="0.25">
      <c r="B1385" s="54" t="str">
        <f>IFERROR(VLOOKUP(A1385,Lookup!A:B,2,0),"")</f>
        <v/>
      </c>
      <c r="C1385" s="54" t="str">
        <f>IFERROR(VLOOKUP(A1385,Lookup!A:C,3,0),"")</f>
        <v/>
      </c>
      <c r="J1385" s="103">
        <f>VLOOKUP(A1385&amp;G1385,Lookup!J:N,5,0)</f>
        <v>0</v>
      </c>
      <c r="O1385" s="57">
        <f>IFERROR(VLOOKUP(A1385&amp;G1385,Lookup!J:K,2,0),"")</f>
        <v>0</v>
      </c>
      <c r="P1385" s="110" t="str">
        <f t="shared" si="87"/>
        <v/>
      </c>
      <c r="T1385" s="59" t="e">
        <f t="shared" si="88"/>
        <v>#VALUE!</v>
      </c>
      <c r="U1385" s="59"/>
    </row>
    <row r="1386" spans="2:21" x14ac:dyDescent="0.25">
      <c r="B1386" s="54" t="str">
        <f>IFERROR(VLOOKUP(A1386,Lookup!A:B,2,0),"")</f>
        <v/>
      </c>
      <c r="C1386" s="54" t="str">
        <f>IFERROR(VLOOKUP(A1386,Lookup!A:C,3,0),"")</f>
        <v/>
      </c>
      <c r="J1386" s="103">
        <f>VLOOKUP(A1386&amp;G1386,Lookup!J:N,5,0)</f>
        <v>0</v>
      </c>
      <c r="O1386" s="57">
        <f>IFERROR(VLOOKUP(A1386&amp;G1386,Lookup!J:K,2,0),"")</f>
        <v>0</v>
      </c>
      <c r="P1386" s="110" t="str">
        <f t="shared" si="87"/>
        <v/>
      </c>
      <c r="T1386" s="59" t="e">
        <f t="shared" si="88"/>
        <v>#VALUE!</v>
      </c>
      <c r="U1386" s="59"/>
    </row>
    <row r="1387" spans="2:21" x14ac:dyDescent="0.25">
      <c r="B1387" s="54" t="str">
        <f>IFERROR(VLOOKUP(A1387,Lookup!A:B,2,0),"")</f>
        <v/>
      </c>
      <c r="C1387" s="54" t="str">
        <f>IFERROR(VLOOKUP(A1387,Lookup!A:C,3,0),"")</f>
        <v/>
      </c>
      <c r="J1387" s="103">
        <f>VLOOKUP(A1387&amp;G1387,Lookup!J:N,5,0)</f>
        <v>0</v>
      </c>
      <c r="O1387" s="57">
        <f>IFERROR(VLOOKUP(A1387&amp;G1387,Lookup!J:K,2,0),"")</f>
        <v>0</v>
      </c>
      <c r="P1387" s="110" t="str">
        <f t="shared" si="87"/>
        <v/>
      </c>
      <c r="T1387" s="59" t="e">
        <f t="shared" si="88"/>
        <v>#VALUE!</v>
      </c>
      <c r="U1387" s="59"/>
    </row>
    <row r="1388" spans="2:21" x14ac:dyDescent="0.25">
      <c r="B1388" s="54" t="str">
        <f>IFERROR(VLOOKUP(A1388,Lookup!A:B,2,0),"")</f>
        <v/>
      </c>
      <c r="C1388" s="54" t="str">
        <f>IFERROR(VLOOKUP(A1388,Lookup!A:C,3,0),"")</f>
        <v/>
      </c>
      <c r="J1388" s="103">
        <f>VLOOKUP(A1388&amp;G1388,Lookup!J:N,5,0)</f>
        <v>0</v>
      </c>
      <c r="O1388" s="57">
        <f>IFERROR(VLOOKUP(A1388&amp;G1388,Lookup!J:K,2,0),"")</f>
        <v>0</v>
      </c>
      <c r="P1388" s="110" t="str">
        <f t="shared" si="87"/>
        <v/>
      </c>
      <c r="T1388" s="59" t="e">
        <f t="shared" si="88"/>
        <v>#VALUE!</v>
      </c>
      <c r="U1388" s="59"/>
    </row>
    <row r="1389" spans="2:21" x14ac:dyDescent="0.25">
      <c r="B1389" s="54" t="str">
        <f>IFERROR(VLOOKUP(A1389,Lookup!A:B,2,0),"")</f>
        <v/>
      </c>
      <c r="C1389" s="54" t="str">
        <f>IFERROR(VLOOKUP(A1389,Lookup!A:C,3,0),"")</f>
        <v/>
      </c>
      <c r="J1389" s="103">
        <f>VLOOKUP(A1389&amp;G1389,Lookup!J:N,5,0)</f>
        <v>0</v>
      </c>
      <c r="O1389" s="57">
        <f>IFERROR(VLOOKUP(A1389&amp;G1389,Lookup!J:K,2,0),"")</f>
        <v>0</v>
      </c>
      <c r="P1389" s="110" t="str">
        <f t="shared" si="87"/>
        <v/>
      </c>
      <c r="T1389" s="59" t="e">
        <f t="shared" si="88"/>
        <v>#VALUE!</v>
      </c>
      <c r="U1389" s="59"/>
    </row>
    <row r="1390" spans="2:21" x14ac:dyDescent="0.25">
      <c r="B1390" s="54" t="str">
        <f>IFERROR(VLOOKUP(A1390,Lookup!A:B,2,0),"")</f>
        <v/>
      </c>
      <c r="C1390" s="54" t="str">
        <f>IFERROR(VLOOKUP(A1390,Lookup!A:C,3,0),"")</f>
        <v/>
      </c>
      <c r="J1390" s="103">
        <f>VLOOKUP(A1390&amp;G1390,Lookup!J:N,5,0)</f>
        <v>0</v>
      </c>
      <c r="O1390" s="57">
        <f>IFERROR(VLOOKUP(A1390&amp;G1390,Lookup!J:K,2,0),"")</f>
        <v>0</v>
      </c>
      <c r="P1390" s="110" t="str">
        <f t="shared" si="87"/>
        <v/>
      </c>
      <c r="T1390" s="59" t="e">
        <f t="shared" si="88"/>
        <v>#VALUE!</v>
      </c>
      <c r="U1390" s="59"/>
    </row>
    <row r="1391" spans="2:21" x14ac:dyDescent="0.25">
      <c r="B1391" s="54" t="str">
        <f>IFERROR(VLOOKUP(A1391,Lookup!A:B,2,0),"")</f>
        <v/>
      </c>
      <c r="C1391" s="54" t="str">
        <f>IFERROR(VLOOKUP(A1391,Lookup!A:C,3,0),"")</f>
        <v/>
      </c>
      <c r="J1391" s="103">
        <f>VLOOKUP(A1391&amp;G1391,Lookup!J:N,5,0)</f>
        <v>0</v>
      </c>
      <c r="O1391" s="57">
        <f>IFERROR(VLOOKUP(A1391&amp;G1391,Lookup!J:K,2,0),"")</f>
        <v>0</v>
      </c>
      <c r="P1391" s="110" t="str">
        <f t="shared" si="87"/>
        <v/>
      </c>
      <c r="T1391" s="59" t="e">
        <f t="shared" si="88"/>
        <v>#VALUE!</v>
      </c>
      <c r="U1391" s="59"/>
    </row>
    <row r="1392" spans="2:21" x14ac:dyDescent="0.25">
      <c r="B1392" s="54" t="str">
        <f>IFERROR(VLOOKUP(A1392,Lookup!A:B,2,0),"")</f>
        <v/>
      </c>
      <c r="C1392" s="54" t="str">
        <f>IFERROR(VLOOKUP(A1392,Lookup!A:C,3,0),"")</f>
        <v/>
      </c>
      <c r="J1392" s="103">
        <f>VLOOKUP(A1392&amp;G1392,Lookup!J:N,5,0)</f>
        <v>0</v>
      </c>
      <c r="O1392" s="57">
        <f>IFERROR(VLOOKUP(A1392&amp;G1392,Lookup!J:K,2,0),"")</f>
        <v>0</v>
      </c>
      <c r="P1392" s="110" t="str">
        <f t="shared" si="87"/>
        <v/>
      </c>
      <c r="T1392" s="59" t="e">
        <f t="shared" si="88"/>
        <v>#VALUE!</v>
      </c>
      <c r="U1392" s="59"/>
    </row>
    <row r="1393" spans="2:21" x14ac:dyDescent="0.25">
      <c r="B1393" s="54" t="str">
        <f>IFERROR(VLOOKUP(A1393,Lookup!A:B,2,0),"")</f>
        <v/>
      </c>
      <c r="C1393" s="54" t="str">
        <f>IFERROR(VLOOKUP(A1393,Lookup!A:C,3,0),"")</f>
        <v/>
      </c>
      <c r="J1393" s="103">
        <f>VLOOKUP(A1393&amp;G1393,Lookup!J:N,5,0)</f>
        <v>0</v>
      </c>
      <c r="O1393" s="57">
        <f>IFERROR(VLOOKUP(A1393&amp;G1393,Lookup!J:K,2,0),"")</f>
        <v>0</v>
      </c>
      <c r="P1393" s="110" t="str">
        <f t="shared" si="87"/>
        <v/>
      </c>
      <c r="T1393" s="59" t="e">
        <f t="shared" si="88"/>
        <v>#VALUE!</v>
      </c>
      <c r="U1393" s="59"/>
    </row>
    <row r="1394" spans="2:21" x14ac:dyDescent="0.25">
      <c r="B1394" s="54" t="str">
        <f>IFERROR(VLOOKUP(A1394,Lookup!A:B,2,0),"")</f>
        <v/>
      </c>
      <c r="C1394" s="54" t="str">
        <f>IFERROR(VLOOKUP(A1394,Lookup!A:C,3,0),"")</f>
        <v/>
      </c>
      <c r="J1394" s="103">
        <f>VLOOKUP(A1394&amp;G1394,Lookup!J:N,5,0)</f>
        <v>0</v>
      </c>
      <c r="O1394" s="57">
        <f>IFERROR(VLOOKUP(A1394&amp;G1394,Lookup!J:K,2,0),"")</f>
        <v>0</v>
      </c>
      <c r="P1394" s="110" t="str">
        <f t="shared" si="87"/>
        <v/>
      </c>
      <c r="T1394" s="59" t="e">
        <f t="shared" si="88"/>
        <v>#VALUE!</v>
      </c>
      <c r="U1394" s="59"/>
    </row>
    <row r="1395" spans="2:21" x14ac:dyDescent="0.25">
      <c r="B1395" s="54" t="str">
        <f>IFERROR(VLOOKUP(A1395,Lookup!A:B,2,0),"")</f>
        <v/>
      </c>
      <c r="C1395" s="54" t="str">
        <f>IFERROR(VLOOKUP(A1395,Lookup!A:C,3,0),"")</f>
        <v/>
      </c>
      <c r="J1395" s="103">
        <f>VLOOKUP(A1395&amp;G1395,Lookup!J:N,5,0)</f>
        <v>0</v>
      </c>
      <c r="O1395" s="57">
        <f>IFERROR(VLOOKUP(A1395&amp;G1395,Lookup!J:K,2,0),"")</f>
        <v>0</v>
      </c>
      <c r="P1395" s="110" t="str">
        <f t="shared" si="87"/>
        <v/>
      </c>
      <c r="T1395" s="59" t="e">
        <f t="shared" si="88"/>
        <v>#VALUE!</v>
      </c>
      <c r="U1395" s="59"/>
    </row>
    <row r="1396" spans="2:21" x14ac:dyDescent="0.25">
      <c r="B1396" s="54" t="str">
        <f>IFERROR(VLOOKUP(A1396,Lookup!A:B,2,0),"")</f>
        <v/>
      </c>
      <c r="C1396" s="54" t="str">
        <f>IFERROR(VLOOKUP(A1396,Lookup!A:C,3,0),"")</f>
        <v/>
      </c>
      <c r="J1396" s="103">
        <f>VLOOKUP(A1396&amp;G1396,Lookup!J:N,5,0)</f>
        <v>0</v>
      </c>
      <c r="O1396" s="57">
        <f>IFERROR(VLOOKUP(A1396&amp;G1396,Lookup!J:K,2,0),"")</f>
        <v>0</v>
      </c>
      <c r="P1396" s="110" t="str">
        <f t="shared" si="87"/>
        <v/>
      </c>
      <c r="T1396" s="59" t="e">
        <f t="shared" si="88"/>
        <v>#VALUE!</v>
      </c>
      <c r="U1396" s="59"/>
    </row>
    <row r="1397" spans="2:21" x14ac:dyDescent="0.25">
      <c r="B1397" s="54" t="str">
        <f>IFERROR(VLOOKUP(A1397,Lookup!A:B,2,0),"")</f>
        <v/>
      </c>
      <c r="C1397" s="54" t="str">
        <f>IFERROR(VLOOKUP(A1397,Lookup!A:C,3,0),"")</f>
        <v/>
      </c>
      <c r="J1397" s="103">
        <f>VLOOKUP(A1397&amp;G1397,Lookup!J:N,5,0)</f>
        <v>0</v>
      </c>
      <c r="O1397" s="57">
        <f>IFERROR(VLOOKUP(A1397&amp;G1397,Lookup!J:K,2,0),"")</f>
        <v>0</v>
      </c>
      <c r="P1397" s="110" t="str">
        <f t="shared" si="87"/>
        <v/>
      </c>
      <c r="T1397" s="59" t="e">
        <f t="shared" si="88"/>
        <v>#VALUE!</v>
      </c>
      <c r="U1397" s="59"/>
    </row>
    <row r="1398" spans="2:21" x14ac:dyDescent="0.25">
      <c r="B1398" s="54" t="str">
        <f>IFERROR(VLOOKUP(A1398,Lookup!A:B,2,0),"")</f>
        <v/>
      </c>
      <c r="C1398" s="54" t="str">
        <f>IFERROR(VLOOKUP(A1398,Lookup!A:C,3,0),"")</f>
        <v/>
      </c>
      <c r="J1398" s="103">
        <f>VLOOKUP(A1398&amp;G1398,Lookup!J:N,5,0)</f>
        <v>0</v>
      </c>
      <c r="O1398" s="57">
        <f>IFERROR(VLOOKUP(A1398&amp;G1398,Lookup!J:K,2,0),"")</f>
        <v>0</v>
      </c>
      <c r="P1398" s="110" t="str">
        <f t="shared" si="87"/>
        <v/>
      </c>
      <c r="T1398" s="59" t="e">
        <f t="shared" si="88"/>
        <v>#VALUE!</v>
      </c>
      <c r="U1398" s="59"/>
    </row>
    <row r="1399" spans="2:21" x14ac:dyDescent="0.25">
      <c r="B1399" s="54" t="str">
        <f>IFERROR(VLOOKUP(A1399,Lookup!A:B,2,0),"")</f>
        <v/>
      </c>
      <c r="C1399" s="54" t="str">
        <f>IFERROR(VLOOKUP(A1399,Lookup!A:C,3,0),"")</f>
        <v/>
      </c>
      <c r="J1399" s="103">
        <f>VLOOKUP(A1399&amp;G1399,Lookup!J:N,5,0)</f>
        <v>0</v>
      </c>
      <c r="O1399" s="57">
        <f>IFERROR(VLOOKUP(A1399&amp;G1399,Lookup!J:K,2,0),"")</f>
        <v>0</v>
      </c>
      <c r="P1399" s="110" t="str">
        <f t="shared" si="87"/>
        <v/>
      </c>
      <c r="T1399" s="59" t="e">
        <f t="shared" si="88"/>
        <v>#VALUE!</v>
      </c>
      <c r="U1399" s="59"/>
    </row>
    <row r="1400" spans="2:21" x14ac:dyDescent="0.25">
      <c r="B1400" s="54" t="str">
        <f>IFERROR(VLOOKUP(A1400,Lookup!A:B,2,0),"")</f>
        <v/>
      </c>
      <c r="C1400" s="54" t="str">
        <f>IFERROR(VLOOKUP(A1400,Lookup!A:C,3,0),"")</f>
        <v/>
      </c>
      <c r="J1400" s="103">
        <f>VLOOKUP(A1400&amp;G1400,Lookup!J:N,5,0)</f>
        <v>0</v>
      </c>
      <c r="O1400" s="57">
        <f>IFERROR(VLOOKUP(A1400&amp;G1400,Lookup!J:K,2,0),"")</f>
        <v>0</v>
      </c>
      <c r="P1400" s="110" t="str">
        <f t="shared" si="87"/>
        <v/>
      </c>
      <c r="T1400" s="59" t="e">
        <f t="shared" si="88"/>
        <v>#VALUE!</v>
      </c>
      <c r="U1400" s="59"/>
    </row>
    <row r="1401" spans="2:21" x14ac:dyDescent="0.25">
      <c r="B1401" s="54" t="str">
        <f>IFERROR(VLOOKUP(A1401,Lookup!A:B,2,0),"")</f>
        <v/>
      </c>
      <c r="C1401" s="54" t="str">
        <f>IFERROR(VLOOKUP(A1401,Lookup!A:C,3,0),"")</f>
        <v/>
      </c>
      <c r="J1401" s="103">
        <f>VLOOKUP(A1401&amp;G1401,Lookup!J:N,5,0)</f>
        <v>0</v>
      </c>
      <c r="O1401" s="57">
        <f>IFERROR(VLOOKUP(A1401&amp;G1401,Lookup!J:K,2,0),"")</f>
        <v>0</v>
      </c>
      <c r="P1401" s="110" t="str">
        <f t="shared" si="87"/>
        <v/>
      </c>
      <c r="T1401" s="59" t="e">
        <f t="shared" si="88"/>
        <v>#VALUE!</v>
      </c>
      <c r="U1401" s="59"/>
    </row>
    <row r="1402" spans="2:21" x14ac:dyDescent="0.25">
      <c r="B1402" s="54" t="str">
        <f>IFERROR(VLOOKUP(A1402,Lookup!A:B,2,0),"")</f>
        <v/>
      </c>
      <c r="C1402" s="54" t="str">
        <f>IFERROR(VLOOKUP(A1402,Lookup!A:C,3,0),"")</f>
        <v/>
      </c>
      <c r="J1402" s="103">
        <f>VLOOKUP(A1402&amp;G1402,Lookup!J:N,5,0)</f>
        <v>0</v>
      </c>
      <c r="O1402" s="57">
        <f>IFERROR(VLOOKUP(A1402&amp;G1402,Lookup!J:K,2,0),"")</f>
        <v>0</v>
      </c>
      <c r="P1402" s="110" t="str">
        <f t="shared" si="87"/>
        <v/>
      </c>
      <c r="T1402" s="59" t="e">
        <f t="shared" si="88"/>
        <v>#VALUE!</v>
      </c>
      <c r="U1402" s="59"/>
    </row>
    <row r="1403" spans="2:21" x14ac:dyDescent="0.25">
      <c r="B1403" s="54" t="str">
        <f>IFERROR(VLOOKUP(A1403,Lookup!A:B,2,0),"")</f>
        <v/>
      </c>
      <c r="C1403" s="54" t="str">
        <f>IFERROR(VLOOKUP(A1403,Lookup!A:C,3,0),"")</f>
        <v/>
      </c>
      <c r="J1403" s="103">
        <f>VLOOKUP(A1403&amp;G1403,Lookup!J:N,5,0)</f>
        <v>0</v>
      </c>
      <c r="O1403" s="57">
        <f>IFERROR(VLOOKUP(A1403&amp;G1403,Lookup!J:K,2,0),"")</f>
        <v>0</v>
      </c>
      <c r="P1403" s="110" t="str">
        <f t="shared" si="87"/>
        <v/>
      </c>
      <c r="T1403" s="59" t="e">
        <f t="shared" si="88"/>
        <v>#VALUE!</v>
      </c>
      <c r="U1403" s="59"/>
    </row>
    <row r="1404" spans="2:21" x14ac:dyDescent="0.25">
      <c r="B1404" s="54" t="str">
        <f>IFERROR(VLOOKUP(A1404,Lookup!A:B,2,0),"")</f>
        <v/>
      </c>
      <c r="C1404" s="54" t="str">
        <f>IFERROR(VLOOKUP(A1404,Lookup!A:C,3,0),"")</f>
        <v/>
      </c>
      <c r="J1404" s="103">
        <f>VLOOKUP(A1404&amp;G1404,Lookup!J:N,5,0)</f>
        <v>0</v>
      </c>
      <c r="O1404" s="57">
        <f>IFERROR(VLOOKUP(A1404&amp;G1404,Lookup!J:K,2,0),"")</f>
        <v>0</v>
      </c>
      <c r="P1404" s="110" t="str">
        <f t="shared" si="87"/>
        <v/>
      </c>
      <c r="T1404" s="59" t="e">
        <f t="shared" si="88"/>
        <v>#VALUE!</v>
      </c>
      <c r="U1404" s="59"/>
    </row>
    <row r="1405" spans="2:21" x14ac:dyDescent="0.25">
      <c r="B1405" s="54" t="str">
        <f>IFERROR(VLOOKUP(A1405,Lookup!A:B,2,0),"")</f>
        <v/>
      </c>
      <c r="C1405" s="54" t="str">
        <f>IFERROR(VLOOKUP(A1405,Lookup!A:C,3,0),"")</f>
        <v/>
      </c>
      <c r="J1405" s="103">
        <f>VLOOKUP(A1405&amp;G1405,Lookup!J:N,5,0)</f>
        <v>0</v>
      </c>
      <c r="O1405" s="57">
        <f>IFERROR(VLOOKUP(A1405&amp;G1405,Lookup!J:K,2,0),"")</f>
        <v>0</v>
      </c>
      <c r="P1405" s="110" t="str">
        <f t="shared" si="87"/>
        <v/>
      </c>
      <c r="T1405" s="59" t="e">
        <f t="shared" si="88"/>
        <v>#VALUE!</v>
      </c>
      <c r="U1405" s="59"/>
    </row>
    <row r="1406" spans="2:21" x14ac:dyDescent="0.25">
      <c r="B1406" s="54" t="str">
        <f>IFERROR(VLOOKUP(A1406,Lookup!A:B,2,0),"")</f>
        <v/>
      </c>
      <c r="C1406" s="54" t="str">
        <f>IFERROR(VLOOKUP(A1406,Lookup!A:C,3,0),"")</f>
        <v/>
      </c>
      <c r="J1406" s="103">
        <f>VLOOKUP(A1406&amp;G1406,Lookup!J:N,5,0)</f>
        <v>0</v>
      </c>
      <c r="O1406" s="57">
        <f>IFERROR(VLOOKUP(A1406&amp;G1406,Lookup!J:K,2,0),"")</f>
        <v>0</v>
      </c>
      <c r="P1406" s="110" t="str">
        <f t="shared" si="87"/>
        <v/>
      </c>
      <c r="T1406" s="59" t="e">
        <f t="shared" si="88"/>
        <v>#VALUE!</v>
      </c>
      <c r="U1406" s="59"/>
    </row>
    <row r="1407" spans="2:21" x14ac:dyDescent="0.25">
      <c r="B1407" s="54" t="str">
        <f>IFERROR(VLOOKUP(A1407,Lookup!A:B,2,0),"")</f>
        <v/>
      </c>
      <c r="C1407" s="54" t="str">
        <f>IFERROR(VLOOKUP(A1407,Lookup!A:C,3,0),"")</f>
        <v/>
      </c>
      <c r="J1407" s="103">
        <f>VLOOKUP(A1407&amp;G1407,Lookup!J:N,5,0)</f>
        <v>0</v>
      </c>
      <c r="O1407" s="57">
        <f>IFERROR(VLOOKUP(A1407&amp;G1407,Lookup!J:K,2,0),"")</f>
        <v>0</v>
      </c>
      <c r="P1407" s="110" t="str">
        <f t="shared" si="87"/>
        <v/>
      </c>
      <c r="T1407" s="59" t="e">
        <f t="shared" si="88"/>
        <v>#VALUE!</v>
      </c>
      <c r="U1407" s="59"/>
    </row>
    <row r="1408" spans="2:21" x14ac:dyDescent="0.25">
      <c r="B1408" s="54" t="str">
        <f>IFERROR(VLOOKUP(A1408,Lookup!A:B,2,0),"")</f>
        <v/>
      </c>
      <c r="C1408" s="54" t="str">
        <f>IFERROR(VLOOKUP(A1408,Lookup!A:C,3,0),"")</f>
        <v/>
      </c>
      <c r="J1408" s="103">
        <f>VLOOKUP(A1408&amp;G1408,Lookup!J:N,5,0)</f>
        <v>0</v>
      </c>
      <c r="O1408" s="57">
        <f>IFERROR(VLOOKUP(A1408&amp;G1408,Lookup!J:K,2,0),"")</f>
        <v>0</v>
      </c>
      <c r="P1408" s="110" t="str">
        <f t="shared" si="87"/>
        <v/>
      </c>
      <c r="T1408" s="59" t="e">
        <f t="shared" si="88"/>
        <v>#VALUE!</v>
      </c>
      <c r="U1408" s="59"/>
    </row>
    <row r="1409" spans="2:21" x14ac:dyDescent="0.25">
      <c r="B1409" s="54" t="str">
        <f>IFERROR(VLOOKUP(A1409,Lookup!A:B,2,0),"")</f>
        <v/>
      </c>
      <c r="C1409" s="54" t="str">
        <f>IFERROR(VLOOKUP(A1409,Lookup!A:C,3,0),"")</f>
        <v/>
      </c>
      <c r="J1409" s="103">
        <f>VLOOKUP(A1409&amp;G1409,Lookup!J:N,5,0)</f>
        <v>0</v>
      </c>
      <c r="O1409" s="57">
        <f>IFERROR(VLOOKUP(A1409&amp;G1409,Lookup!J:K,2,0),"")</f>
        <v>0</v>
      </c>
      <c r="P1409" s="110" t="str">
        <f t="shared" si="87"/>
        <v/>
      </c>
      <c r="T1409" s="59" t="e">
        <f t="shared" si="88"/>
        <v>#VALUE!</v>
      </c>
      <c r="U1409" s="59"/>
    </row>
    <row r="1410" spans="2:21" x14ac:dyDescent="0.25">
      <c r="B1410" s="54" t="str">
        <f>IFERROR(VLOOKUP(A1410,Lookup!A:B,2,0),"")</f>
        <v/>
      </c>
      <c r="C1410" s="54" t="str">
        <f>IFERROR(VLOOKUP(A1410,Lookup!A:C,3,0),"")</f>
        <v/>
      </c>
      <c r="J1410" s="103">
        <f>VLOOKUP(A1410&amp;G1410,Lookup!J:N,5,0)</f>
        <v>0</v>
      </c>
      <c r="O1410" s="57">
        <f>IFERROR(VLOOKUP(A1410&amp;G1410,Lookup!J:K,2,0),"")</f>
        <v>0</v>
      </c>
      <c r="P1410" s="110" t="str">
        <f t="shared" si="87"/>
        <v/>
      </c>
      <c r="T1410" s="59" t="e">
        <f t="shared" si="88"/>
        <v>#VALUE!</v>
      </c>
      <c r="U1410" s="59"/>
    </row>
    <row r="1411" spans="2:21" x14ac:dyDescent="0.25">
      <c r="B1411" s="54" t="str">
        <f>IFERROR(VLOOKUP(A1411,Lookup!A:B,2,0),"")</f>
        <v/>
      </c>
      <c r="C1411" s="54" t="str">
        <f>IFERROR(VLOOKUP(A1411,Lookup!A:C,3,0),"")</f>
        <v/>
      </c>
      <c r="J1411" s="103">
        <f>VLOOKUP(A1411&amp;G1411,Lookup!J:N,5,0)</f>
        <v>0</v>
      </c>
      <c r="O1411" s="57">
        <f>IFERROR(VLOOKUP(A1411&amp;G1411,Lookup!J:K,2,0),"")</f>
        <v>0</v>
      </c>
      <c r="P1411" s="110" t="str">
        <f t="shared" si="87"/>
        <v/>
      </c>
      <c r="T1411" s="59" t="e">
        <f t="shared" si="88"/>
        <v>#VALUE!</v>
      </c>
      <c r="U1411" s="59"/>
    </row>
    <row r="1412" spans="2:21" x14ac:dyDescent="0.25">
      <c r="B1412" s="54" t="str">
        <f>IFERROR(VLOOKUP(A1412,Lookup!A:B,2,0),"")</f>
        <v/>
      </c>
      <c r="C1412" s="54" t="str">
        <f>IFERROR(VLOOKUP(A1412,Lookup!A:C,3,0),"")</f>
        <v/>
      </c>
      <c r="J1412" s="103">
        <f>VLOOKUP(A1412&amp;G1412,Lookup!J:N,5,0)</f>
        <v>0</v>
      </c>
      <c r="O1412" s="57">
        <f>IFERROR(VLOOKUP(A1412&amp;G1412,Lookup!J:K,2,0),"")</f>
        <v>0</v>
      </c>
      <c r="P1412" s="110" t="str">
        <f t="shared" ref="P1412:P1475" si="89">IF(N1412="","",N1412+O1412)</f>
        <v/>
      </c>
      <c r="T1412" s="59" t="e">
        <f t="shared" si="88"/>
        <v>#VALUE!</v>
      </c>
      <c r="U1412" s="59"/>
    </row>
    <row r="1413" spans="2:21" x14ac:dyDescent="0.25">
      <c r="B1413" s="54" t="str">
        <f>IFERROR(VLOOKUP(A1413,Lookup!A:B,2,0),"")</f>
        <v/>
      </c>
      <c r="C1413" s="54" t="str">
        <f>IFERROR(VLOOKUP(A1413,Lookup!A:C,3,0),"")</f>
        <v/>
      </c>
      <c r="J1413" s="103">
        <f>VLOOKUP(A1413&amp;G1413,Lookup!J:N,5,0)</f>
        <v>0</v>
      </c>
      <c r="O1413" s="57">
        <f>IFERROR(VLOOKUP(A1413&amp;G1413,Lookup!J:K,2,0),"")</f>
        <v>0</v>
      </c>
      <c r="P1413" s="110" t="str">
        <f t="shared" si="89"/>
        <v/>
      </c>
      <c r="T1413" s="59" t="e">
        <f t="shared" si="88"/>
        <v>#VALUE!</v>
      </c>
      <c r="U1413" s="59"/>
    </row>
    <row r="1414" spans="2:21" x14ac:dyDescent="0.25">
      <c r="B1414" s="54" t="str">
        <f>IFERROR(VLOOKUP(A1414,Lookup!A:B,2,0),"")</f>
        <v/>
      </c>
      <c r="C1414" s="54" t="str">
        <f>IFERROR(VLOOKUP(A1414,Lookup!A:C,3,0),"")</f>
        <v/>
      </c>
      <c r="J1414" s="103">
        <f>VLOOKUP(A1414&amp;G1414,Lookup!J:N,5,0)</f>
        <v>0</v>
      </c>
      <c r="O1414" s="57">
        <f>IFERROR(VLOOKUP(A1414&amp;G1414,Lookup!J:K,2,0),"")</f>
        <v>0</v>
      </c>
      <c r="P1414" s="110" t="str">
        <f t="shared" si="89"/>
        <v/>
      </c>
      <c r="T1414" s="59" t="e">
        <f t="shared" si="88"/>
        <v>#VALUE!</v>
      </c>
      <c r="U1414" s="59"/>
    </row>
    <row r="1415" spans="2:21" x14ac:dyDescent="0.25">
      <c r="B1415" s="54" t="str">
        <f>IFERROR(VLOOKUP(A1415,Lookup!A:B,2,0),"")</f>
        <v/>
      </c>
      <c r="C1415" s="54" t="str">
        <f>IFERROR(VLOOKUP(A1415,Lookup!A:C,3,0),"")</f>
        <v/>
      </c>
      <c r="J1415" s="103">
        <f>VLOOKUP(A1415&amp;G1415,Lookup!J:N,5,0)</f>
        <v>0</v>
      </c>
      <c r="O1415" s="57">
        <f>IFERROR(VLOOKUP(A1415&amp;G1415,Lookup!J:K,2,0),"")</f>
        <v>0</v>
      </c>
      <c r="P1415" s="110" t="str">
        <f t="shared" si="89"/>
        <v/>
      </c>
      <c r="T1415" s="59" t="e">
        <f t="shared" si="88"/>
        <v>#VALUE!</v>
      </c>
      <c r="U1415" s="59"/>
    </row>
    <row r="1416" spans="2:21" x14ac:dyDescent="0.25">
      <c r="B1416" s="54" t="str">
        <f>IFERROR(VLOOKUP(A1416,Lookup!A:B,2,0),"")</f>
        <v/>
      </c>
      <c r="C1416" s="54" t="str">
        <f>IFERROR(VLOOKUP(A1416,Lookup!A:C,3,0),"")</f>
        <v/>
      </c>
      <c r="J1416" s="103">
        <f>VLOOKUP(A1416&amp;G1416,Lookup!J:N,5,0)</f>
        <v>0</v>
      </c>
      <c r="O1416" s="57">
        <f>IFERROR(VLOOKUP(A1416&amp;G1416,Lookup!J:K,2,0),"")</f>
        <v>0</v>
      </c>
      <c r="P1416" s="110" t="str">
        <f t="shared" si="89"/>
        <v/>
      </c>
      <c r="T1416" s="59" t="e">
        <f t="shared" si="88"/>
        <v>#VALUE!</v>
      </c>
      <c r="U1416" s="59"/>
    </row>
    <row r="1417" spans="2:21" x14ac:dyDescent="0.25">
      <c r="B1417" s="54" t="str">
        <f>IFERROR(VLOOKUP(A1417,Lookup!A:B,2,0),"")</f>
        <v/>
      </c>
      <c r="C1417" s="54" t="str">
        <f>IFERROR(VLOOKUP(A1417,Lookup!A:C,3,0),"")</f>
        <v/>
      </c>
      <c r="J1417" s="103">
        <f>VLOOKUP(A1417&amp;G1417,Lookup!J:N,5,0)</f>
        <v>0</v>
      </c>
      <c r="O1417" s="57">
        <f>IFERROR(VLOOKUP(A1417&amp;G1417,Lookup!J:K,2,0),"")</f>
        <v>0</v>
      </c>
      <c r="P1417" s="110" t="str">
        <f t="shared" si="89"/>
        <v/>
      </c>
      <c r="T1417" s="59" t="e">
        <f t="shared" si="88"/>
        <v>#VALUE!</v>
      </c>
      <c r="U1417" s="59"/>
    </row>
    <row r="1418" spans="2:21" x14ac:dyDescent="0.25">
      <c r="B1418" s="54" t="str">
        <f>IFERROR(VLOOKUP(A1418,Lookup!A:B,2,0),"")</f>
        <v/>
      </c>
      <c r="C1418" s="54" t="str">
        <f>IFERROR(VLOOKUP(A1418,Lookup!A:C,3,0),"")</f>
        <v/>
      </c>
      <c r="J1418" s="103">
        <f>VLOOKUP(A1418&amp;G1418,Lookup!J:N,5,0)</f>
        <v>0</v>
      </c>
      <c r="O1418" s="57">
        <f>IFERROR(VLOOKUP(A1418&amp;G1418,Lookup!J:K,2,0),"")</f>
        <v>0</v>
      </c>
      <c r="P1418" s="110" t="str">
        <f t="shared" si="89"/>
        <v/>
      </c>
      <c r="T1418" s="59" t="e">
        <f t="shared" si="88"/>
        <v>#VALUE!</v>
      </c>
      <c r="U1418" s="59"/>
    </row>
    <row r="1419" spans="2:21" x14ac:dyDescent="0.25">
      <c r="B1419" s="54" t="str">
        <f>IFERROR(VLOOKUP(A1419,Lookup!A:B,2,0),"")</f>
        <v/>
      </c>
      <c r="C1419" s="54" t="str">
        <f>IFERROR(VLOOKUP(A1419,Lookup!A:C,3,0),"")</f>
        <v/>
      </c>
      <c r="J1419" s="103">
        <f>VLOOKUP(A1419&amp;G1419,Lookup!J:N,5,0)</f>
        <v>0</v>
      </c>
      <c r="O1419" s="57">
        <f>IFERROR(VLOOKUP(A1419&amp;G1419,Lookup!J:K,2,0),"")</f>
        <v>0</v>
      </c>
      <c r="P1419" s="110" t="str">
        <f t="shared" si="89"/>
        <v/>
      </c>
      <c r="T1419" s="59" t="e">
        <f t="shared" si="88"/>
        <v>#VALUE!</v>
      </c>
      <c r="U1419" s="59"/>
    </row>
    <row r="1420" spans="2:21" x14ac:dyDescent="0.25">
      <c r="B1420" s="54" t="str">
        <f>IFERROR(VLOOKUP(A1420,Lookup!A:B,2,0),"")</f>
        <v/>
      </c>
      <c r="C1420" s="54" t="str">
        <f>IFERROR(VLOOKUP(A1420,Lookup!A:C,3,0),"")</f>
        <v/>
      </c>
      <c r="J1420" s="103">
        <f>VLOOKUP(A1420&amp;G1420,Lookup!J:N,5,0)</f>
        <v>0</v>
      </c>
      <c r="O1420" s="57">
        <f>IFERROR(VLOOKUP(A1420&amp;G1420,Lookup!J:K,2,0),"")</f>
        <v>0</v>
      </c>
      <c r="P1420" s="110" t="str">
        <f t="shared" si="89"/>
        <v/>
      </c>
      <c r="T1420" s="59" t="e">
        <f t="shared" si="88"/>
        <v>#VALUE!</v>
      </c>
      <c r="U1420" s="59"/>
    </row>
    <row r="1421" spans="2:21" x14ac:dyDescent="0.25">
      <c r="B1421" s="54" t="str">
        <f>IFERROR(VLOOKUP(A1421,Lookup!A:B,2,0),"")</f>
        <v/>
      </c>
      <c r="C1421" s="54" t="str">
        <f>IFERROR(VLOOKUP(A1421,Lookup!A:C,3,0),"")</f>
        <v/>
      </c>
      <c r="J1421" s="103">
        <f>VLOOKUP(A1421&amp;G1421,Lookup!J:N,5,0)</f>
        <v>0</v>
      </c>
      <c r="O1421" s="57">
        <f>IFERROR(VLOOKUP(A1421&amp;G1421,Lookup!J:K,2,0),"")</f>
        <v>0</v>
      </c>
      <c r="P1421" s="110" t="str">
        <f t="shared" si="89"/>
        <v/>
      </c>
      <c r="T1421" s="59" t="e">
        <f t="shared" si="88"/>
        <v>#VALUE!</v>
      </c>
      <c r="U1421" s="59"/>
    </row>
    <row r="1422" spans="2:21" x14ac:dyDescent="0.25">
      <c r="B1422" s="54" t="str">
        <f>IFERROR(VLOOKUP(A1422,Lookup!A:B,2,0),"")</f>
        <v/>
      </c>
      <c r="C1422" s="54" t="str">
        <f>IFERROR(VLOOKUP(A1422,Lookup!A:C,3,0),"")</f>
        <v/>
      </c>
      <c r="J1422" s="103">
        <f>VLOOKUP(A1422&amp;G1422,Lookup!J:N,5,0)</f>
        <v>0</v>
      </c>
      <c r="O1422" s="57">
        <f>IFERROR(VLOOKUP(A1422&amp;G1422,Lookup!J:K,2,0),"")</f>
        <v>0</v>
      </c>
      <c r="P1422" s="110" t="str">
        <f t="shared" si="89"/>
        <v/>
      </c>
      <c r="T1422" s="59" t="e">
        <f t="shared" ref="T1422:T1485" si="90">IF(Q1422-P1422&gt;0.0415,"YES",(IF(OR(EXACT(Q1422,""), EXACT(P1422,"")),"","NO")))</f>
        <v>#VALUE!</v>
      </c>
      <c r="U1422" s="59"/>
    </row>
    <row r="1423" spans="2:21" x14ac:dyDescent="0.25">
      <c r="B1423" s="54" t="str">
        <f>IFERROR(VLOOKUP(A1423,Lookup!A:B,2,0),"")</f>
        <v/>
      </c>
      <c r="C1423" s="54" t="str">
        <f>IFERROR(VLOOKUP(A1423,Lookup!A:C,3,0),"")</f>
        <v/>
      </c>
      <c r="J1423" s="103">
        <f>VLOOKUP(A1423&amp;G1423,Lookup!J:N,5,0)</f>
        <v>0</v>
      </c>
      <c r="O1423" s="57">
        <f>IFERROR(VLOOKUP(A1423&amp;G1423,Lookup!J:K,2,0),"")</f>
        <v>0</v>
      </c>
      <c r="P1423" s="110" t="str">
        <f t="shared" si="89"/>
        <v/>
      </c>
      <c r="T1423" s="59" t="e">
        <f t="shared" si="90"/>
        <v>#VALUE!</v>
      </c>
      <c r="U1423" s="59"/>
    </row>
    <row r="1424" spans="2:21" x14ac:dyDescent="0.25">
      <c r="B1424" s="54" t="str">
        <f>IFERROR(VLOOKUP(A1424,Lookup!A:B,2,0),"")</f>
        <v/>
      </c>
      <c r="C1424" s="54" t="str">
        <f>IFERROR(VLOOKUP(A1424,Lookup!A:C,3,0),"")</f>
        <v/>
      </c>
      <c r="J1424" s="103">
        <f>VLOOKUP(A1424&amp;G1424,Lookup!J:N,5,0)</f>
        <v>0</v>
      </c>
      <c r="O1424" s="57">
        <f>IFERROR(VLOOKUP(A1424&amp;G1424,Lookup!J:K,2,0),"")</f>
        <v>0</v>
      </c>
      <c r="P1424" s="110" t="str">
        <f t="shared" si="89"/>
        <v/>
      </c>
      <c r="T1424" s="59" t="e">
        <f t="shared" si="90"/>
        <v>#VALUE!</v>
      </c>
      <c r="U1424" s="59"/>
    </row>
    <row r="1425" spans="2:21" x14ac:dyDescent="0.25">
      <c r="B1425" s="54" t="str">
        <f>IFERROR(VLOOKUP(A1425,Lookup!A:B,2,0),"")</f>
        <v/>
      </c>
      <c r="C1425" s="54" t="str">
        <f>IFERROR(VLOOKUP(A1425,Lookup!A:C,3,0),"")</f>
        <v/>
      </c>
      <c r="J1425" s="103">
        <f>VLOOKUP(A1425&amp;G1425,Lookup!J:N,5,0)</f>
        <v>0</v>
      </c>
      <c r="O1425" s="57">
        <f>IFERROR(VLOOKUP(A1425&amp;G1425,Lookup!J:K,2,0),"")</f>
        <v>0</v>
      </c>
      <c r="P1425" s="110" t="str">
        <f t="shared" si="89"/>
        <v/>
      </c>
      <c r="T1425" s="59" t="e">
        <f t="shared" si="90"/>
        <v>#VALUE!</v>
      </c>
      <c r="U1425" s="59"/>
    </row>
    <row r="1426" spans="2:21" x14ac:dyDescent="0.25">
      <c r="B1426" s="54" t="str">
        <f>IFERROR(VLOOKUP(A1426,Lookup!A:B,2,0),"")</f>
        <v/>
      </c>
      <c r="C1426" s="54" t="str">
        <f>IFERROR(VLOOKUP(A1426,Lookup!A:C,3,0),"")</f>
        <v/>
      </c>
      <c r="J1426" s="103">
        <f>VLOOKUP(A1426&amp;G1426,Lookup!J:N,5,0)</f>
        <v>0</v>
      </c>
      <c r="O1426" s="57">
        <f>IFERROR(VLOOKUP(A1426&amp;G1426,Lookup!J:K,2,0),"")</f>
        <v>0</v>
      </c>
      <c r="P1426" s="110" t="str">
        <f t="shared" si="89"/>
        <v/>
      </c>
      <c r="T1426" s="59" t="e">
        <f t="shared" si="90"/>
        <v>#VALUE!</v>
      </c>
      <c r="U1426" s="59"/>
    </row>
    <row r="1427" spans="2:21" x14ac:dyDescent="0.25">
      <c r="B1427" s="54" t="str">
        <f>IFERROR(VLOOKUP(A1427,Lookup!A:B,2,0),"")</f>
        <v/>
      </c>
      <c r="C1427" s="54" t="str">
        <f>IFERROR(VLOOKUP(A1427,Lookup!A:C,3,0),"")</f>
        <v/>
      </c>
      <c r="J1427" s="103">
        <f>VLOOKUP(A1427&amp;G1427,Lookup!J:N,5,0)</f>
        <v>0</v>
      </c>
      <c r="O1427" s="57">
        <f>IFERROR(VLOOKUP(A1427&amp;G1427,Lookup!J:K,2,0),"")</f>
        <v>0</v>
      </c>
      <c r="P1427" s="110" t="str">
        <f t="shared" si="89"/>
        <v/>
      </c>
      <c r="T1427" s="59" t="e">
        <f t="shared" si="90"/>
        <v>#VALUE!</v>
      </c>
      <c r="U1427" s="59"/>
    </row>
    <row r="1428" spans="2:21" x14ac:dyDescent="0.25">
      <c r="B1428" s="54" t="str">
        <f>IFERROR(VLOOKUP(A1428,Lookup!A:B,2,0),"")</f>
        <v/>
      </c>
      <c r="C1428" s="54" t="str">
        <f>IFERROR(VLOOKUP(A1428,Lookup!A:C,3,0),"")</f>
        <v/>
      </c>
      <c r="J1428" s="103">
        <f>VLOOKUP(A1428&amp;G1428,Lookup!J:N,5,0)</f>
        <v>0</v>
      </c>
      <c r="O1428" s="57">
        <f>IFERROR(VLOOKUP(A1428&amp;G1428,Lookup!J:K,2,0),"")</f>
        <v>0</v>
      </c>
      <c r="P1428" s="110" t="str">
        <f t="shared" si="89"/>
        <v/>
      </c>
      <c r="T1428" s="59" t="e">
        <f t="shared" si="90"/>
        <v>#VALUE!</v>
      </c>
      <c r="U1428" s="59"/>
    </row>
    <row r="1429" spans="2:21" x14ac:dyDescent="0.25">
      <c r="B1429" s="54" t="str">
        <f>IFERROR(VLOOKUP(A1429,Lookup!A:B,2,0),"")</f>
        <v/>
      </c>
      <c r="C1429" s="54" t="str">
        <f>IFERROR(VLOOKUP(A1429,Lookup!A:C,3,0),"")</f>
        <v/>
      </c>
      <c r="J1429" s="103">
        <f>VLOOKUP(A1429&amp;G1429,Lookup!J:N,5,0)</f>
        <v>0</v>
      </c>
      <c r="O1429" s="57">
        <f>IFERROR(VLOOKUP(A1429&amp;G1429,Lookup!J:K,2,0),"")</f>
        <v>0</v>
      </c>
      <c r="P1429" s="110" t="str">
        <f t="shared" si="89"/>
        <v/>
      </c>
      <c r="T1429" s="59" t="e">
        <f t="shared" si="90"/>
        <v>#VALUE!</v>
      </c>
      <c r="U1429" s="59"/>
    </row>
    <row r="1430" spans="2:21" x14ac:dyDescent="0.25">
      <c r="B1430" s="54" t="str">
        <f>IFERROR(VLOOKUP(A1430,Lookup!A:B,2,0),"")</f>
        <v/>
      </c>
      <c r="C1430" s="54" t="str">
        <f>IFERROR(VLOOKUP(A1430,Lookup!A:C,3,0),"")</f>
        <v/>
      </c>
      <c r="J1430" s="103">
        <f>VLOOKUP(A1430&amp;G1430,Lookup!J:N,5,0)</f>
        <v>0</v>
      </c>
      <c r="O1430" s="57">
        <f>IFERROR(VLOOKUP(A1430&amp;G1430,Lookup!J:K,2,0),"")</f>
        <v>0</v>
      </c>
      <c r="P1430" s="110" t="str">
        <f t="shared" si="89"/>
        <v/>
      </c>
      <c r="T1430" s="59" t="e">
        <f t="shared" si="90"/>
        <v>#VALUE!</v>
      </c>
      <c r="U1430" s="59"/>
    </row>
    <row r="1431" spans="2:21" x14ac:dyDescent="0.25">
      <c r="B1431" s="54" t="str">
        <f>IFERROR(VLOOKUP(A1431,Lookup!A:B,2,0),"")</f>
        <v/>
      </c>
      <c r="C1431" s="54" t="str">
        <f>IFERROR(VLOOKUP(A1431,Lookup!A:C,3,0),"")</f>
        <v/>
      </c>
      <c r="J1431" s="103">
        <f>VLOOKUP(A1431&amp;G1431,Lookup!J:N,5,0)</f>
        <v>0</v>
      </c>
      <c r="O1431" s="57">
        <f>IFERROR(VLOOKUP(A1431&amp;G1431,Lookup!J:K,2,0),"")</f>
        <v>0</v>
      </c>
      <c r="P1431" s="110" t="str">
        <f t="shared" si="89"/>
        <v/>
      </c>
      <c r="T1431" s="59" t="e">
        <f t="shared" si="90"/>
        <v>#VALUE!</v>
      </c>
      <c r="U1431" s="59"/>
    </row>
    <row r="1432" spans="2:21" x14ac:dyDescent="0.25">
      <c r="B1432" s="54" t="str">
        <f>IFERROR(VLOOKUP(A1432,Lookup!A:B,2,0),"")</f>
        <v/>
      </c>
      <c r="C1432" s="54" t="str">
        <f>IFERROR(VLOOKUP(A1432,Lookup!A:C,3,0),"")</f>
        <v/>
      </c>
      <c r="J1432" s="103">
        <f>VLOOKUP(A1432&amp;G1432,Lookup!J:N,5,0)</f>
        <v>0</v>
      </c>
      <c r="O1432" s="57">
        <f>IFERROR(VLOOKUP(A1432&amp;G1432,Lookup!J:K,2,0),"")</f>
        <v>0</v>
      </c>
      <c r="P1432" s="110" t="str">
        <f t="shared" si="89"/>
        <v/>
      </c>
      <c r="T1432" s="59" t="e">
        <f t="shared" si="90"/>
        <v>#VALUE!</v>
      </c>
      <c r="U1432" s="59"/>
    </row>
    <row r="1433" spans="2:21" x14ac:dyDescent="0.25">
      <c r="B1433" s="54" t="str">
        <f>IFERROR(VLOOKUP(A1433,Lookup!A:B,2,0),"")</f>
        <v/>
      </c>
      <c r="C1433" s="54" t="str">
        <f>IFERROR(VLOOKUP(A1433,Lookup!A:C,3,0),"")</f>
        <v/>
      </c>
      <c r="J1433" s="103">
        <f>VLOOKUP(A1433&amp;G1433,Lookup!J:N,5,0)</f>
        <v>0</v>
      </c>
      <c r="O1433" s="57">
        <f>IFERROR(VLOOKUP(A1433&amp;G1433,Lookup!J:K,2,0),"")</f>
        <v>0</v>
      </c>
      <c r="P1433" s="110" t="str">
        <f t="shared" si="89"/>
        <v/>
      </c>
      <c r="T1433" s="59" t="e">
        <f t="shared" si="90"/>
        <v>#VALUE!</v>
      </c>
      <c r="U1433" s="59"/>
    </row>
    <row r="1434" spans="2:21" x14ac:dyDescent="0.25">
      <c r="B1434" s="54" t="str">
        <f>IFERROR(VLOOKUP(A1434,Lookup!A:B,2,0),"")</f>
        <v/>
      </c>
      <c r="C1434" s="54" t="str">
        <f>IFERROR(VLOOKUP(A1434,Lookup!A:C,3,0),"")</f>
        <v/>
      </c>
      <c r="J1434" s="103">
        <f>VLOOKUP(A1434&amp;G1434,Lookup!J:N,5,0)</f>
        <v>0</v>
      </c>
      <c r="O1434" s="57">
        <f>IFERROR(VLOOKUP(A1434&amp;G1434,Lookup!J:K,2,0),"")</f>
        <v>0</v>
      </c>
      <c r="P1434" s="110" t="str">
        <f t="shared" si="89"/>
        <v/>
      </c>
      <c r="T1434" s="59" t="e">
        <f t="shared" si="90"/>
        <v>#VALUE!</v>
      </c>
      <c r="U1434" s="59"/>
    </row>
    <row r="1435" spans="2:21" x14ac:dyDescent="0.25">
      <c r="B1435" s="54" t="str">
        <f>IFERROR(VLOOKUP(A1435,Lookup!A:B,2,0),"")</f>
        <v/>
      </c>
      <c r="C1435" s="54" t="str">
        <f>IFERROR(VLOOKUP(A1435,Lookup!A:C,3,0),"")</f>
        <v/>
      </c>
      <c r="J1435" s="103">
        <f>VLOOKUP(A1435&amp;G1435,Lookup!J:N,5,0)</f>
        <v>0</v>
      </c>
      <c r="O1435" s="57">
        <f>IFERROR(VLOOKUP(A1435&amp;G1435,Lookup!J:K,2,0),"")</f>
        <v>0</v>
      </c>
      <c r="P1435" s="110" t="str">
        <f t="shared" si="89"/>
        <v/>
      </c>
      <c r="T1435" s="59" t="e">
        <f t="shared" si="90"/>
        <v>#VALUE!</v>
      </c>
      <c r="U1435" s="59"/>
    </row>
    <row r="1436" spans="2:21" x14ac:dyDescent="0.25">
      <c r="B1436" s="54" t="str">
        <f>IFERROR(VLOOKUP(A1436,Lookup!A:B,2,0),"")</f>
        <v/>
      </c>
      <c r="C1436" s="54" t="str">
        <f>IFERROR(VLOOKUP(A1436,Lookup!A:C,3,0),"")</f>
        <v/>
      </c>
      <c r="J1436" s="103">
        <f>VLOOKUP(A1436&amp;G1436,Lookup!J:N,5,0)</f>
        <v>0</v>
      </c>
      <c r="O1436" s="57">
        <f>IFERROR(VLOOKUP(A1436&amp;G1436,Lookup!J:K,2,0),"")</f>
        <v>0</v>
      </c>
      <c r="P1436" s="110" t="str">
        <f t="shared" si="89"/>
        <v/>
      </c>
      <c r="T1436" s="59" t="e">
        <f t="shared" si="90"/>
        <v>#VALUE!</v>
      </c>
      <c r="U1436" s="59"/>
    </row>
    <row r="1437" spans="2:21" x14ac:dyDescent="0.25">
      <c r="B1437" s="54" t="str">
        <f>IFERROR(VLOOKUP(A1437,Lookup!A:B,2,0),"")</f>
        <v/>
      </c>
      <c r="C1437" s="54" t="str">
        <f>IFERROR(VLOOKUP(A1437,Lookup!A:C,3,0),"")</f>
        <v/>
      </c>
      <c r="J1437" s="103">
        <f>VLOOKUP(A1437&amp;G1437,Lookup!J:N,5,0)</f>
        <v>0</v>
      </c>
      <c r="O1437" s="57">
        <f>IFERROR(VLOOKUP(A1437&amp;G1437,Lookup!J:K,2,0),"")</f>
        <v>0</v>
      </c>
      <c r="P1437" s="110" t="str">
        <f t="shared" si="89"/>
        <v/>
      </c>
      <c r="T1437" s="59" t="e">
        <f t="shared" si="90"/>
        <v>#VALUE!</v>
      </c>
      <c r="U1437" s="59"/>
    </row>
    <row r="1438" spans="2:21" x14ac:dyDescent="0.25">
      <c r="B1438" s="54" t="str">
        <f>IFERROR(VLOOKUP(A1438,Lookup!A:B,2,0),"")</f>
        <v/>
      </c>
      <c r="C1438" s="54" t="str">
        <f>IFERROR(VLOOKUP(A1438,Lookup!A:C,3,0),"")</f>
        <v/>
      </c>
      <c r="J1438" s="103">
        <f>VLOOKUP(A1438&amp;G1438,Lookup!J:N,5,0)</f>
        <v>0</v>
      </c>
      <c r="O1438" s="57">
        <f>IFERROR(VLOOKUP(A1438&amp;G1438,Lookup!J:K,2,0),"")</f>
        <v>0</v>
      </c>
      <c r="P1438" s="110" t="str">
        <f t="shared" si="89"/>
        <v/>
      </c>
      <c r="T1438" s="59" t="e">
        <f t="shared" si="90"/>
        <v>#VALUE!</v>
      </c>
      <c r="U1438" s="59"/>
    </row>
    <row r="1439" spans="2:21" x14ac:dyDescent="0.25">
      <c r="B1439" s="54" t="str">
        <f>IFERROR(VLOOKUP(A1439,Lookup!A:B,2,0),"")</f>
        <v/>
      </c>
      <c r="C1439" s="54" t="str">
        <f>IFERROR(VLOOKUP(A1439,Lookup!A:C,3,0),"")</f>
        <v/>
      </c>
      <c r="J1439" s="103">
        <f>VLOOKUP(A1439&amp;G1439,Lookup!J:N,5,0)</f>
        <v>0</v>
      </c>
      <c r="O1439" s="57">
        <f>IFERROR(VLOOKUP(A1439&amp;G1439,Lookup!J:K,2,0),"")</f>
        <v>0</v>
      </c>
      <c r="P1439" s="110" t="str">
        <f t="shared" si="89"/>
        <v/>
      </c>
      <c r="T1439" s="59" t="e">
        <f t="shared" si="90"/>
        <v>#VALUE!</v>
      </c>
      <c r="U1439" s="59"/>
    </row>
    <row r="1440" spans="2:21" x14ac:dyDescent="0.25">
      <c r="B1440" s="54" t="str">
        <f>IFERROR(VLOOKUP(A1440,Lookup!A:B,2,0),"")</f>
        <v/>
      </c>
      <c r="C1440" s="54" t="str">
        <f>IFERROR(VLOOKUP(A1440,Lookup!A:C,3,0),"")</f>
        <v/>
      </c>
      <c r="J1440" s="103">
        <f>VLOOKUP(A1440&amp;G1440,Lookup!J:N,5,0)</f>
        <v>0</v>
      </c>
      <c r="O1440" s="57">
        <f>IFERROR(VLOOKUP(A1440&amp;G1440,Lookup!J:K,2,0),"")</f>
        <v>0</v>
      </c>
      <c r="P1440" s="110" t="str">
        <f t="shared" si="89"/>
        <v/>
      </c>
      <c r="T1440" s="59" t="e">
        <f t="shared" si="90"/>
        <v>#VALUE!</v>
      </c>
      <c r="U1440" s="59"/>
    </row>
    <row r="1441" spans="2:21" x14ac:dyDescent="0.25">
      <c r="B1441" s="54" t="str">
        <f>IFERROR(VLOOKUP(A1441,Lookup!A:B,2,0),"")</f>
        <v/>
      </c>
      <c r="C1441" s="54" t="str">
        <f>IFERROR(VLOOKUP(A1441,Lookup!A:C,3,0),"")</f>
        <v/>
      </c>
      <c r="J1441" s="103">
        <f>VLOOKUP(A1441&amp;G1441,Lookup!J:N,5,0)</f>
        <v>0</v>
      </c>
      <c r="O1441" s="57">
        <f>IFERROR(VLOOKUP(A1441&amp;G1441,Lookup!J:K,2,0),"")</f>
        <v>0</v>
      </c>
      <c r="P1441" s="110" t="str">
        <f t="shared" si="89"/>
        <v/>
      </c>
      <c r="T1441" s="59" t="e">
        <f t="shared" si="90"/>
        <v>#VALUE!</v>
      </c>
      <c r="U1441" s="59"/>
    </row>
    <row r="1442" spans="2:21" x14ac:dyDescent="0.25">
      <c r="B1442" s="54" t="str">
        <f>IFERROR(VLOOKUP(A1442,Lookup!A:B,2,0),"")</f>
        <v/>
      </c>
      <c r="C1442" s="54" t="str">
        <f>IFERROR(VLOOKUP(A1442,Lookup!A:C,3,0),"")</f>
        <v/>
      </c>
      <c r="J1442" s="103">
        <f>VLOOKUP(A1442&amp;G1442,Lookup!J:N,5,0)</f>
        <v>0</v>
      </c>
      <c r="O1442" s="57">
        <f>IFERROR(VLOOKUP(A1442&amp;G1442,Lookup!J:K,2,0),"")</f>
        <v>0</v>
      </c>
      <c r="P1442" s="110" t="str">
        <f t="shared" si="89"/>
        <v/>
      </c>
      <c r="T1442" s="59" t="e">
        <f t="shared" si="90"/>
        <v>#VALUE!</v>
      </c>
      <c r="U1442" s="59"/>
    </row>
    <row r="1443" spans="2:21" x14ac:dyDescent="0.25">
      <c r="B1443" s="54" t="str">
        <f>IFERROR(VLOOKUP(A1443,Lookup!A:B,2,0),"")</f>
        <v/>
      </c>
      <c r="C1443" s="54" t="str">
        <f>IFERROR(VLOOKUP(A1443,Lookup!A:C,3,0),"")</f>
        <v/>
      </c>
      <c r="J1443" s="103">
        <f>VLOOKUP(A1443&amp;G1443,Lookup!J:N,5,0)</f>
        <v>0</v>
      </c>
      <c r="O1443" s="57">
        <f>IFERROR(VLOOKUP(A1443&amp;G1443,Lookup!J:K,2,0),"")</f>
        <v>0</v>
      </c>
      <c r="P1443" s="110" t="str">
        <f t="shared" si="89"/>
        <v/>
      </c>
      <c r="T1443" s="59" t="e">
        <f t="shared" si="90"/>
        <v>#VALUE!</v>
      </c>
      <c r="U1443" s="59"/>
    </row>
    <row r="1444" spans="2:21" x14ac:dyDescent="0.25">
      <c r="B1444" s="54" t="str">
        <f>IFERROR(VLOOKUP(A1444,Lookup!A:B,2,0),"")</f>
        <v/>
      </c>
      <c r="C1444" s="54" t="str">
        <f>IFERROR(VLOOKUP(A1444,Lookup!A:C,3,0),"")</f>
        <v/>
      </c>
      <c r="J1444" s="103">
        <f>VLOOKUP(A1444&amp;G1444,Lookup!J:N,5,0)</f>
        <v>0</v>
      </c>
      <c r="O1444" s="57">
        <f>IFERROR(VLOOKUP(A1444&amp;G1444,Lookup!J:K,2,0),"")</f>
        <v>0</v>
      </c>
      <c r="P1444" s="110" t="str">
        <f t="shared" si="89"/>
        <v/>
      </c>
      <c r="T1444" s="59" t="e">
        <f t="shared" si="90"/>
        <v>#VALUE!</v>
      </c>
      <c r="U1444" s="59"/>
    </row>
    <row r="1445" spans="2:21" x14ac:dyDescent="0.25">
      <c r="B1445" s="54" t="str">
        <f>IFERROR(VLOOKUP(A1445,Lookup!A:B,2,0),"")</f>
        <v/>
      </c>
      <c r="C1445" s="54" t="str">
        <f>IFERROR(VLOOKUP(A1445,Lookup!A:C,3,0),"")</f>
        <v/>
      </c>
      <c r="J1445" s="103">
        <f>VLOOKUP(A1445&amp;G1445,Lookup!J:N,5,0)</f>
        <v>0</v>
      </c>
      <c r="O1445" s="57">
        <f>IFERROR(VLOOKUP(A1445&amp;G1445,Lookup!J:K,2,0),"")</f>
        <v>0</v>
      </c>
      <c r="P1445" s="110" t="str">
        <f t="shared" si="89"/>
        <v/>
      </c>
      <c r="T1445" s="59" t="e">
        <f t="shared" si="90"/>
        <v>#VALUE!</v>
      </c>
      <c r="U1445" s="59"/>
    </row>
    <row r="1446" spans="2:21" x14ac:dyDescent="0.25">
      <c r="B1446" s="54" t="str">
        <f>IFERROR(VLOOKUP(A1446,Lookup!A:B,2,0),"")</f>
        <v/>
      </c>
      <c r="C1446" s="54" t="str">
        <f>IFERROR(VLOOKUP(A1446,Lookup!A:C,3,0),"")</f>
        <v/>
      </c>
      <c r="J1446" s="103">
        <f>VLOOKUP(A1446&amp;G1446,Lookup!J:N,5,0)</f>
        <v>0</v>
      </c>
      <c r="O1446" s="57">
        <f>IFERROR(VLOOKUP(A1446&amp;G1446,Lookup!J:K,2,0),"")</f>
        <v>0</v>
      </c>
      <c r="P1446" s="110" t="str">
        <f t="shared" si="89"/>
        <v/>
      </c>
      <c r="T1446" s="59" t="e">
        <f t="shared" si="90"/>
        <v>#VALUE!</v>
      </c>
      <c r="U1446" s="59"/>
    </row>
    <row r="1447" spans="2:21" x14ac:dyDescent="0.25">
      <c r="B1447" s="54" t="str">
        <f>IFERROR(VLOOKUP(A1447,Lookup!A:B,2,0),"")</f>
        <v/>
      </c>
      <c r="C1447" s="54" t="str">
        <f>IFERROR(VLOOKUP(A1447,Lookup!A:C,3,0),"")</f>
        <v/>
      </c>
      <c r="J1447" s="103">
        <f>VLOOKUP(A1447&amp;G1447,Lookup!J:N,5,0)</f>
        <v>0</v>
      </c>
      <c r="O1447" s="57">
        <f>IFERROR(VLOOKUP(A1447&amp;G1447,Lookup!J:K,2,0),"")</f>
        <v>0</v>
      </c>
      <c r="P1447" s="110" t="str">
        <f t="shared" si="89"/>
        <v/>
      </c>
      <c r="T1447" s="59" t="e">
        <f t="shared" si="90"/>
        <v>#VALUE!</v>
      </c>
      <c r="U1447" s="59"/>
    </row>
    <row r="1448" spans="2:21" x14ac:dyDescent="0.25">
      <c r="B1448" s="54" t="str">
        <f>IFERROR(VLOOKUP(A1448,Lookup!A:B,2,0),"")</f>
        <v/>
      </c>
      <c r="C1448" s="54" t="str">
        <f>IFERROR(VLOOKUP(A1448,Lookup!A:C,3,0),"")</f>
        <v/>
      </c>
      <c r="J1448" s="103">
        <f>VLOOKUP(A1448&amp;G1448,Lookup!J:N,5,0)</f>
        <v>0</v>
      </c>
      <c r="O1448" s="57">
        <f>IFERROR(VLOOKUP(A1448&amp;G1448,Lookup!J:K,2,0),"")</f>
        <v>0</v>
      </c>
      <c r="P1448" s="110" t="str">
        <f t="shared" si="89"/>
        <v/>
      </c>
      <c r="T1448" s="59" t="e">
        <f t="shared" si="90"/>
        <v>#VALUE!</v>
      </c>
      <c r="U1448" s="59"/>
    </row>
    <row r="1449" spans="2:21" x14ac:dyDescent="0.25">
      <c r="B1449" s="54" t="str">
        <f>IFERROR(VLOOKUP(A1449,Lookup!A:B,2,0),"")</f>
        <v/>
      </c>
      <c r="C1449" s="54" t="str">
        <f>IFERROR(VLOOKUP(A1449,Lookup!A:C,3,0),"")</f>
        <v/>
      </c>
      <c r="J1449" s="103">
        <f>VLOOKUP(A1449&amp;G1449,Lookup!J:N,5,0)</f>
        <v>0</v>
      </c>
      <c r="O1449" s="57">
        <f>IFERROR(VLOOKUP(A1449&amp;G1449,Lookup!J:K,2,0),"")</f>
        <v>0</v>
      </c>
      <c r="P1449" s="110" t="str">
        <f t="shared" si="89"/>
        <v/>
      </c>
      <c r="T1449" s="59" t="e">
        <f t="shared" si="90"/>
        <v>#VALUE!</v>
      </c>
      <c r="U1449" s="59"/>
    </row>
    <row r="1450" spans="2:21" x14ac:dyDescent="0.25">
      <c r="B1450" s="54" t="str">
        <f>IFERROR(VLOOKUP(A1450,Lookup!A:B,2,0),"")</f>
        <v/>
      </c>
      <c r="C1450" s="54" t="str">
        <f>IFERROR(VLOOKUP(A1450,Lookup!A:C,3,0),"")</f>
        <v/>
      </c>
      <c r="J1450" s="103">
        <f>VLOOKUP(A1450&amp;G1450,Lookup!J:N,5,0)</f>
        <v>0</v>
      </c>
      <c r="O1450" s="57">
        <f>IFERROR(VLOOKUP(A1450&amp;G1450,Lookup!J:K,2,0),"")</f>
        <v>0</v>
      </c>
      <c r="P1450" s="110" t="str">
        <f t="shared" si="89"/>
        <v/>
      </c>
      <c r="T1450" s="59" t="e">
        <f t="shared" si="90"/>
        <v>#VALUE!</v>
      </c>
      <c r="U1450" s="59"/>
    </row>
    <row r="1451" spans="2:21" x14ac:dyDescent="0.25">
      <c r="B1451" s="54" t="str">
        <f>IFERROR(VLOOKUP(A1451,Lookup!A:B,2,0),"")</f>
        <v/>
      </c>
      <c r="C1451" s="54" t="str">
        <f>IFERROR(VLOOKUP(A1451,Lookup!A:C,3,0),"")</f>
        <v/>
      </c>
      <c r="J1451" s="103">
        <f>VLOOKUP(A1451&amp;G1451,Lookup!J:N,5,0)</f>
        <v>0</v>
      </c>
      <c r="O1451" s="57">
        <f>IFERROR(VLOOKUP(A1451&amp;G1451,Lookup!J:K,2,0),"")</f>
        <v>0</v>
      </c>
      <c r="P1451" s="110" t="str">
        <f t="shared" si="89"/>
        <v/>
      </c>
      <c r="T1451" s="59" t="e">
        <f t="shared" si="90"/>
        <v>#VALUE!</v>
      </c>
      <c r="U1451" s="59"/>
    </row>
    <row r="1452" spans="2:21" x14ac:dyDescent="0.25">
      <c r="B1452" s="54" t="str">
        <f>IFERROR(VLOOKUP(A1452,Lookup!A:B,2,0),"")</f>
        <v/>
      </c>
      <c r="C1452" s="54" t="str">
        <f>IFERROR(VLOOKUP(A1452,Lookup!A:C,3,0),"")</f>
        <v/>
      </c>
      <c r="J1452" s="103">
        <f>VLOOKUP(A1452&amp;G1452,Lookup!J:N,5,0)</f>
        <v>0</v>
      </c>
      <c r="O1452" s="57">
        <f>IFERROR(VLOOKUP(A1452&amp;G1452,Lookup!J:K,2,0),"")</f>
        <v>0</v>
      </c>
      <c r="P1452" s="110" t="str">
        <f t="shared" si="89"/>
        <v/>
      </c>
      <c r="T1452" s="59" t="e">
        <f t="shared" si="90"/>
        <v>#VALUE!</v>
      </c>
      <c r="U1452" s="59"/>
    </row>
    <row r="1453" spans="2:21" x14ac:dyDescent="0.25">
      <c r="B1453" s="54" t="str">
        <f>IFERROR(VLOOKUP(A1453,Lookup!A:B,2,0),"")</f>
        <v/>
      </c>
      <c r="C1453" s="54" t="str">
        <f>IFERROR(VLOOKUP(A1453,Lookup!A:C,3,0),"")</f>
        <v/>
      </c>
      <c r="J1453" s="103">
        <f>VLOOKUP(A1453&amp;G1453,Lookup!J:N,5,0)</f>
        <v>0</v>
      </c>
      <c r="O1453" s="57">
        <f>IFERROR(VLOOKUP(A1453&amp;G1453,Lookup!J:K,2,0),"")</f>
        <v>0</v>
      </c>
      <c r="P1453" s="110" t="str">
        <f t="shared" si="89"/>
        <v/>
      </c>
      <c r="T1453" s="59" t="e">
        <f t="shared" si="90"/>
        <v>#VALUE!</v>
      </c>
      <c r="U1453" s="59"/>
    </row>
    <row r="1454" spans="2:21" x14ac:dyDescent="0.25">
      <c r="B1454" s="54" t="str">
        <f>IFERROR(VLOOKUP(A1454,Lookup!A:B,2,0),"")</f>
        <v/>
      </c>
      <c r="C1454" s="54" t="str">
        <f>IFERROR(VLOOKUP(A1454,Lookup!A:C,3,0),"")</f>
        <v/>
      </c>
      <c r="J1454" s="103">
        <f>VLOOKUP(A1454&amp;G1454,Lookup!J:N,5,0)</f>
        <v>0</v>
      </c>
      <c r="O1454" s="57">
        <f>IFERROR(VLOOKUP(A1454&amp;G1454,Lookup!J:K,2,0),"")</f>
        <v>0</v>
      </c>
      <c r="P1454" s="110" t="str">
        <f t="shared" si="89"/>
        <v/>
      </c>
      <c r="T1454" s="59" t="e">
        <f t="shared" si="90"/>
        <v>#VALUE!</v>
      </c>
      <c r="U1454" s="59"/>
    </row>
    <row r="1455" spans="2:21" x14ac:dyDescent="0.25">
      <c r="B1455" s="54" t="str">
        <f>IFERROR(VLOOKUP(A1455,Lookup!A:B,2,0),"")</f>
        <v/>
      </c>
      <c r="C1455" s="54" t="str">
        <f>IFERROR(VLOOKUP(A1455,Lookup!A:C,3,0),"")</f>
        <v/>
      </c>
      <c r="J1455" s="103">
        <f>VLOOKUP(A1455&amp;G1455,Lookup!J:N,5,0)</f>
        <v>0</v>
      </c>
      <c r="O1455" s="57">
        <f>IFERROR(VLOOKUP(A1455&amp;G1455,Lookup!J:K,2,0),"")</f>
        <v>0</v>
      </c>
      <c r="P1455" s="110" t="str">
        <f t="shared" si="89"/>
        <v/>
      </c>
      <c r="T1455" s="59" t="e">
        <f t="shared" si="90"/>
        <v>#VALUE!</v>
      </c>
      <c r="U1455" s="59"/>
    </row>
    <row r="1456" spans="2:21" x14ac:dyDescent="0.25">
      <c r="B1456" s="54" t="str">
        <f>IFERROR(VLOOKUP(A1456,Lookup!A:B,2,0),"")</f>
        <v/>
      </c>
      <c r="C1456" s="54" t="str">
        <f>IFERROR(VLOOKUP(A1456,Lookup!A:C,3,0),"")</f>
        <v/>
      </c>
      <c r="J1456" s="103">
        <f>VLOOKUP(A1456&amp;G1456,Lookup!J:N,5,0)</f>
        <v>0</v>
      </c>
      <c r="O1456" s="57">
        <f>IFERROR(VLOOKUP(A1456&amp;G1456,Lookup!J:K,2,0),"")</f>
        <v>0</v>
      </c>
      <c r="P1456" s="110" t="str">
        <f t="shared" si="89"/>
        <v/>
      </c>
      <c r="T1456" s="59" t="e">
        <f t="shared" si="90"/>
        <v>#VALUE!</v>
      </c>
      <c r="U1456" s="59"/>
    </row>
    <row r="1457" spans="2:21" x14ac:dyDescent="0.25">
      <c r="B1457" s="54" t="str">
        <f>IFERROR(VLOOKUP(A1457,Lookup!A:B,2,0),"")</f>
        <v/>
      </c>
      <c r="C1457" s="54" t="str">
        <f>IFERROR(VLOOKUP(A1457,Lookup!A:C,3,0),"")</f>
        <v/>
      </c>
      <c r="J1457" s="103">
        <f>VLOOKUP(A1457&amp;G1457,Lookup!J:N,5,0)</f>
        <v>0</v>
      </c>
      <c r="O1457" s="57">
        <f>IFERROR(VLOOKUP(A1457&amp;G1457,Lookup!J:K,2,0),"")</f>
        <v>0</v>
      </c>
      <c r="P1457" s="110" t="str">
        <f t="shared" si="89"/>
        <v/>
      </c>
      <c r="T1457" s="59" t="e">
        <f t="shared" si="90"/>
        <v>#VALUE!</v>
      </c>
      <c r="U1457" s="59"/>
    </row>
    <row r="1458" spans="2:21" x14ac:dyDescent="0.25">
      <c r="B1458" s="54" t="str">
        <f>IFERROR(VLOOKUP(A1458,Lookup!A:B,2,0),"")</f>
        <v/>
      </c>
      <c r="C1458" s="54" t="str">
        <f>IFERROR(VLOOKUP(A1458,Lookup!A:C,3,0),"")</f>
        <v/>
      </c>
      <c r="J1458" s="103">
        <f>VLOOKUP(A1458&amp;G1458,Lookup!J:N,5,0)</f>
        <v>0</v>
      </c>
      <c r="O1458" s="57">
        <f>IFERROR(VLOOKUP(A1458&amp;G1458,Lookup!J:K,2,0),"")</f>
        <v>0</v>
      </c>
      <c r="P1458" s="110" t="str">
        <f t="shared" si="89"/>
        <v/>
      </c>
      <c r="T1458" s="59" t="e">
        <f t="shared" si="90"/>
        <v>#VALUE!</v>
      </c>
      <c r="U1458" s="59"/>
    </row>
    <row r="1459" spans="2:21" x14ac:dyDescent="0.25">
      <c r="B1459" s="54" t="str">
        <f>IFERROR(VLOOKUP(A1459,Lookup!A:B,2,0),"")</f>
        <v/>
      </c>
      <c r="C1459" s="54" t="str">
        <f>IFERROR(VLOOKUP(A1459,Lookup!A:C,3,0),"")</f>
        <v/>
      </c>
      <c r="J1459" s="103">
        <f>VLOOKUP(A1459&amp;G1459,Lookup!J:N,5,0)</f>
        <v>0</v>
      </c>
      <c r="O1459" s="57">
        <f>IFERROR(VLOOKUP(A1459&amp;G1459,Lookup!J:K,2,0),"")</f>
        <v>0</v>
      </c>
      <c r="P1459" s="110" t="str">
        <f t="shared" si="89"/>
        <v/>
      </c>
      <c r="T1459" s="59" t="e">
        <f t="shared" si="90"/>
        <v>#VALUE!</v>
      </c>
      <c r="U1459" s="59"/>
    </row>
    <row r="1460" spans="2:21" x14ac:dyDescent="0.25">
      <c r="B1460" s="54" t="str">
        <f>IFERROR(VLOOKUP(A1460,Lookup!A:B,2,0),"")</f>
        <v/>
      </c>
      <c r="C1460" s="54" t="str">
        <f>IFERROR(VLOOKUP(A1460,Lookup!A:C,3,0),"")</f>
        <v/>
      </c>
      <c r="J1460" s="103">
        <f>VLOOKUP(A1460&amp;G1460,Lookup!J:N,5,0)</f>
        <v>0</v>
      </c>
      <c r="O1460" s="57">
        <f>IFERROR(VLOOKUP(A1460&amp;G1460,Lookup!J:K,2,0),"")</f>
        <v>0</v>
      </c>
      <c r="P1460" s="110" t="str">
        <f t="shared" si="89"/>
        <v/>
      </c>
      <c r="T1460" s="59" t="e">
        <f t="shared" si="90"/>
        <v>#VALUE!</v>
      </c>
      <c r="U1460" s="59"/>
    </row>
    <row r="1461" spans="2:21" x14ac:dyDescent="0.25">
      <c r="B1461" s="54" t="str">
        <f>IFERROR(VLOOKUP(A1461,Lookup!A:B,2,0),"")</f>
        <v/>
      </c>
      <c r="C1461" s="54" t="str">
        <f>IFERROR(VLOOKUP(A1461,Lookup!A:C,3,0),"")</f>
        <v/>
      </c>
      <c r="J1461" s="103">
        <f>VLOOKUP(A1461&amp;G1461,Lookup!J:N,5,0)</f>
        <v>0</v>
      </c>
      <c r="O1461" s="57">
        <f>IFERROR(VLOOKUP(A1461&amp;G1461,Lookup!J:K,2,0),"")</f>
        <v>0</v>
      </c>
      <c r="P1461" s="110" t="str">
        <f t="shared" si="89"/>
        <v/>
      </c>
      <c r="T1461" s="59" t="e">
        <f t="shared" si="90"/>
        <v>#VALUE!</v>
      </c>
      <c r="U1461" s="59"/>
    </row>
    <row r="1462" spans="2:21" x14ac:dyDescent="0.25">
      <c r="B1462" s="54" t="str">
        <f>IFERROR(VLOOKUP(A1462,Lookup!A:B,2,0),"")</f>
        <v/>
      </c>
      <c r="C1462" s="54" t="str">
        <f>IFERROR(VLOOKUP(A1462,Lookup!A:C,3,0),"")</f>
        <v/>
      </c>
      <c r="J1462" s="103">
        <f>VLOOKUP(A1462&amp;G1462,Lookup!J:N,5,0)</f>
        <v>0</v>
      </c>
      <c r="O1462" s="57">
        <f>IFERROR(VLOOKUP(A1462&amp;G1462,Lookup!J:K,2,0),"")</f>
        <v>0</v>
      </c>
      <c r="P1462" s="110" t="str">
        <f t="shared" si="89"/>
        <v/>
      </c>
      <c r="T1462" s="59" t="e">
        <f t="shared" si="90"/>
        <v>#VALUE!</v>
      </c>
      <c r="U1462" s="59"/>
    </row>
    <row r="1463" spans="2:21" x14ac:dyDescent="0.25">
      <c r="B1463" s="54" t="str">
        <f>IFERROR(VLOOKUP(A1463,Lookup!A:B,2,0),"")</f>
        <v/>
      </c>
      <c r="C1463" s="54" t="str">
        <f>IFERROR(VLOOKUP(A1463,Lookup!A:C,3,0),"")</f>
        <v/>
      </c>
      <c r="J1463" s="103">
        <f>VLOOKUP(A1463&amp;G1463,Lookup!J:N,5,0)</f>
        <v>0</v>
      </c>
      <c r="O1463" s="57">
        <f>IFERROR(VLOOKUP(A1463&amp;G1463,Lookup!J:K,2,0),"")</f>
        <v>0</v>
      </c>
      <c r="P1463" s="110" t="str">
        <f t="shared" si="89"/>
        <v/>
      </c>
      <c r="T1463" s="59" t="e">
        <f t="shared" si="90"/>
        <v>#VALUE!</v>
      </c>
      <c r="U1463" s="59"/>
    </row>
    <row r="1464" spans="2:21" x14ac:dyDescent="0.25">
      <c r="B1464" s="54" t="str">
        <f>IFERROR(VLOOKUP(A1464,Lookup!A:B,2,0),"")</f>
        <v/>
      </c>
      <c r="C1464" s="54" t="str">
        <f>IFERROR(VLOOKUP(A1464,Lookup!A:C,3,0),"")</f>
        <v/>
      </c>
      <c r="J1464" s="103">
        <f>VLOOKUP(A1464&amp;G1464,Lookup!J:N,5,0)</f>
        <v>0</v>
      </c>
      <c r="O1464" s="57">
        <f>IFERROR(VLOOKUP(A1464&amp;G1464,Lookup!J:K,2,0),"")</f>
        <v>0</v>
      </c>
      <c r="P1464" s="110" t="str">
        <f t="shared" si="89"/>
        <v/>
      </c>
      <c r="T1464" s="59" t="e">
        <f t="shared" si="90"/>
        <v>#VALUE!</v>
      </c>
      <c r="U1464" s="59"/>
    </row>
    <row r="1465" spans="2:21" x14ac:dyDescent="0.25">
      <c r="B1465" s="54" t="str">
        <f>IFERROR(VLOOKUP(A1465,Lookup!A:B,2,0),"")</f>
        <v/>
      </c>
      <c r="C1465" s="54" t="str">
        <f>IFERROR(VLOOKUP(A1465,Lookup!A:C,3,0),"")</f>
        <v/>
      </c>
      <c r="J1465" s="103">
        <f>VLOOKUP(A1465&amp;G1465,Lookup!J:N,5,0)</f>
        <v>0</v>
      </c>
      <c r="O1465" s="57">
        <f>IFERROR(VLOOKUP(A1465&amp;G1465,Lookup!J:K,2,0),"")</f>
        <v>0</v>
      </c>
      <c r="P1465" s="110" t="str">
        <f t="shared" si="89"/>
        <v/>
      </c>
      <c r="T1465" s="59" t="e">
        <f t="shared" si="90"/>
        <v>#VALUE!</v>
      </c>
      <c r="U1465" s="59"/>
    </row>
    <row r="1466" spans="2:21" x14ac:dyDescent="0.25">
      <c r="B1466" s="54" t="str">
        <f>IFERROR(VLOOKUP(A1466,Lookup!A:B,2,0),"")</f>
        <v/>
      </c>
      <c r="C1466" s="54" t="str">
        <f>IFERROR(VLOOKUP(A1466,Lookup!A:C,3,0),"")</f>
        <v/>
      </c>
      <c r="J1466" s="103">
        <f>VLOOKUP(A1466&amp;G1466,Lookup!J:N,5,0)</f>
        <v>0</v>
      </c>
      <c r="O1466" s="57">
        <f>IFERROR(VLOOKUP(A1466&amp;G1466,Lookup!J:K,2,0),"")</f>
        <v>0</v>
      </c>
      <c r="P1466" s="110" t="str">
        <f t="shared" si="89"/>
        <v/>
      </c>
      <c r="T1466" s="59" t="e">
        <f t="shared" si="90"/>
        <v>#VALUE!</v>
      </c>
      <c r="U1466" s="59"/>
    </row>
    <row r="1467" spans="2:21" x14ac:dyDescent="0.25">
      <c r="B1467" s="54" t="str">
        <f>IFERROR(VLOOKUP(A1467,Lookup!A:B,2,0),"")</f>
        <v/>
      </c>
      <c r="C1467" s="54" t="str">
        <f>IFERROR(VLOOKUP(A1467,Lookup!A:C,3,0),"")</f>
        <v/>
      </c>
      <c r="J1467" s="103">
        <f>VLOOKUP(A1467&amp;G1467,Lookup!J:N,5,0)</f>
        <v>0</v>
      </c>
      <c r="O1467" s="57">
        <f>IFERROR(VLOOKUP(A1467&amp;G1467,Lookup!J:K,2,0),"")</f>
        <v>0</v>
      </c>
      <c r="P1467" s="110" t="str">
        <f t="shared" si="89"/>
        <v/>
      </c>
      <c r="T1467" s="59" t="e">
        <f t="shared" si="90"/>
        <v>#VALUE!</v>
      </c>
      <c r="U1467" s="59"/>
    </row>
    <row r="1468" spans="2:21" x14ac:dyDescent="0.25">
      <c r="B1468" s="54" t="str">
        <f>IFERROR(VLOOKUP(A1468,Lookup!A:B,2,0),"")</f>
        <v/>
      </c>
      <c r="C1468" s="54" t="str">
        <f>IFERROR(VLOOKUP(A1468,Lookup!A:C,3,0),"")</f>
        <v/>
      </c>
      <c r="J1468" s="103">
        <f>VLOOKUP(A1468&amp;G1468,Lookup!J:N,5,0)</f>
        <v>0</v>
      </c>
      <c r="O1468" s="57">
        <f>IFERROR(VLOOKUP(A1468&amp;G1468,Lookup!J:K,2,0),"")</f>
        <v>0</v>
      </c>
      <c r="P1468" s="110" t="str">
        <f t="shared" si="89"/>
        <v/>
      </c>
      <c r="T1468" s="59" t="e">
        <f t="shared" si="90"/>
        <v>#VALUE!</v>
      </c>
      <c r="U1468" s="59"/>
    </row>
    <row r="1469" spans="2:21" x14ac:dyDescent="0.25">
      <c r="B1469" s="54" t="str">
        <f>IFERROR(VLOOKUP(A1469,Lookup!A:B,2,0),"")</f>
        <v/>
      </c>
      <c r="C1469" s="54" t="str">
        <f>IFERROR(VLOOKUP(A1469,Lookup!A:C,3,0),"")</f>
        <v/>
      </c>
      <c r="J1469" s="103">
        <f>VLOOKUP(A1469&amp;G1469,Lookup!J:N,5,0)</f>
        <v>0</v>
      </c>
      <c r="O1469" s="57">
        <f>IFERROR(VLOOKUP(A1469&amp;G1469,Lookup!J:K,2,0),"")</f>
        <v>0</v>
      </c>
      <c r="P1469" s="110" t="str">
        <f t="shared" si="89"/>
        <v/>
      </c>
      <c r="T1469" s="59" t="e">
        <f t="shared" si="90"/>
        <v>#VALUE!</v>
      </c>
      <c r="U1469" s="59"/>
    </row>
    <row r="1470" spans="2:21" x14ac:dyDescent="0.25">
      <c r="B1470" s="54" t="str">
        <f>IFERROR(VLOOKUP(A1470,Lookup!A:B,2,0),"")</f>
        <v/>
      </c>
      <c r="C1470" s="54" t="str">
        <f>IFERROR(VLOOKUP(A1470,Lookup!A:C,3,0),"")</f>
        <v/>
      </c>
      <c r="J1470" s="103">
        <f>VLOOKUP(A1470&amp;G1470,Lookup!J:N,5,0)</f>
        <v>0</v>
      </c>
      <c r="O1470" s="57">
        <f>IFERROR(VLOOKUP(A1470&amp;G1470,Lookup!J:K,2,0),"")</f>
        <v>0</v>
      </c>
      <c r="P1470" s="110" t="str">
        <f t="shared" si="89"/>
        <v/>
      </c>
      <c r="T1470" s="59" t="e">
        <f t="shared" si="90"/>
        <v>#VALUE!</v>
      </c>
      <c r="U1470" s="59"/>
    </row>
    <row r="1471" spans="2:21" x14ac:dyDescent="0.25">
      <c r="B1471" s="54" t="str">
        <f>IFERROR(VLOOKUP(A1471,Lookup!A:B,2,0),"")</f>
        <v/>
      </c>
      <c r="C1471" s="54" t="str">
        <f>IFERROR(VLOOKUP(A1471,Lookup!A:C,3,0),"")</f>
        <v/>
      </c>
      <c r="J1471" s="103">
        <f>VLOOKUP(A1471&amp;G1471,Lookup!J:N,5,0)</f>
        <v>0</v>
      </c>
      <c r="O1471" s="57">
        <f>IFERROR(VLOOKUP(A1471&amp;G1471,Lookup!J:K,2,0),"")</f>
        <v>0</v>
      </c>
      <c r="P1471" s="110" t="str">
        <f t="shared" si="89"/>
        <v/>
      </c>
      <c r="T1471" s="59" t="e">
        <f t="shared" si="90"/>
        <v>#VALUE!</v>
      </c>
      <c r="U1471" s="59"/>
    </row>
    <row r="1472" spans="2:21" x14ac:dyDescent="0.25">
      <c r="B1472" s="54" t="str">
        <f>IFERROR(VLOOKUP(A1472,Lookup!A:B,2,0),"")</f>
        <v/>
      </c>
      <c r="C1472" s="54" t="str">
        <f>IFERROR(VLOOKUP(A1472,Lookup!A:C,3,0),"")</f>
        <v/>
      </c>
      <c r="J1472" s="103">
        <f>VLOOKUP(A1472&amp;G1472,Lookup!J:N,5,0)</f>
        <v>0</v>
      </c>
      <c r="O1472" s="57">
        <f>IFERROR(VLOOKUP(A1472&amp;G1472,Lookup!J:K,2,0),"")</f>
        <v>0</v>
      </c>
      <c r="P1472" s="110" t="str">
        <f t="shared" si="89"/>
        <v/>
      </c>
      <c r="T1472" s="59" t="e">
        <f t="shared" si="90"/>
        <v>#VALUE!</v>
      </c>
      <c r="U1472" s="59"/>
    </row>
    <row r="1473" spans="2:21" x14ac:dyDescent="0.25">
      <c r="B1473" s="54" t="str">
        <f>IFERROR(VLOOKUP(A1473,Lookup!A:B,2,0),"")</f>
        <v/>
      </c>
      <c r="C1473" s="54" t="str">
        <f>IFERROR(VLOOKUP(A1473,Lookup!A:C,3,0),"")</f>
        <v/>
      </c>
      <c r="J1473" s="103">
        <f>VLOOKUP(A1473&amp;G1473,Lookup!J:N,5,0)</f>
        <v>0</v>
      </c>
      <c r="O1473" s="57">
        <f>IFERROR(VLOOKUP(A1473&amp;G1473,Lookup!J:K,2,0),"")</f>
        <v>0</v>
      </c>
      <c r="P1473" s="110" t="str">
        <f t="shared" si="89"/>
        <v/>
      </c>
      <c r="T1473" s="59" t="e">
        <f t="shared" si="90"/>
        <v>#VALUE!</v>
      </c>
      <c r="U1473" s="59"/>
    </row>
    <row r="1474" spans="2:21" x14ac:dyDescent="0.25">
      <c r="B1474" s="54" t="str">
        <f>IFERROR(VLOOKUP(A1474,Lookup!A:B,2,0),"")</f>
        <v/>
      </c>
      <c r="C1474" s="54" t="str">
        <f>IFERROR(VLOOKUP(A1474,Lookup!A:C,3,0),"")</f>
        <v/>
      </c>
      <c r="J1474" s="103">
        <f>VLOOKUP(A1474&amp;G1474,Lookup!J:N,5,0)</f>
        <v>0</v>
      </c>
      <c r="O1474" s="57">
        <f>IFERROR(VLOOKUP(A1474&amp;G1474,Lookup!J:K,2,0),"")</f>
        <v>0</v>
      </c>
      <c r="P1474" s="110" t="str">
        <f t="shared" si="89"/>
        <v/>
      </c>
      <c r="T1474" s="59" t="e">
        <f t="shared" si="90"/>
        <v>#VALUE!</v>
      </c>
      <c r="U1474" s="59"/>
    </row>
    <row r="1475" spans="2:21" x14ac:dyDescent="0.25">
      <c r="B1475" s="54" t="str">
        <f>IFERROR(VLOOKUP(A1475,Lookup!A:B,2,0),"")</f>
        <v/>
      </c>
      <c r="C1475" s="54" t="str">
        <f>IFERROR(VLOOKUP(A1475,Lookup!A:C,3,0),"")</f>
        <v/>
      </c>
      <c r="J1475" s="103">
        <f>VLOOKUP(A1475&amp;G1475,Lookup!J:N,5,0)</f>
        <v>0</v>
      </c>
      <c r="O1475" s="57">
        <f>IFERROR(VLOOKUP(A1475&amp;G1475,Lookup!J:K,2,0),"")</f>
        <v>0</v>
      </c>
      <c r="P1475" s="110" t="str">
        <f t="shared" si="89"/>
        <v/>
      </c>
      <c r="T1475" s="59" t="e">
        <f t="shared" si="90"/>
        <v>#VALUE!</v>
      </c>
      <c r="U1475" s="59"/>
    </row>
    <row r="1476" spans="2:21" x14ac:dyDescent="0.25">
      <c r="B1476" s="54" t="str">
        <f>IFERROR(VLOOKUP(A1476,Lookup!A:B,2,0),"")</f>
        <v/>
      </c>
      <c r="C1476" s="54" t="str">
        <f>IFERROR(VLOOKUP(A1476,Lookup!A:C,3,0),"")</f>
        <v/>
      </c>
      <c r="J1476" s="103">
        <f>VLOOKUP(A1476&amp;G1476,Lookup!J:N,5,0)</f>
        <v>0</v>
      </c>
      <c r="O1476" s="57">
        <f>IFERROR(VLOOKUP(A1476&amp;G1476,Lookup!J:K,2,0),"")</f>
        <v>0</v>
      </c>
      <c r="P1476" s="110" t="str">
        <f t="shared" ref="P1476:P1539" si="91">IF(N1476="","",N1476+O1476)</f>
        <v/>
      </c>
      <c r="T1476" s="59" t="e">
        <f t="shared" si="90"/>
        <v>#VALUE!</v>
      </c>
      <c r="U1476" s="59"/>
    </row>
    <row r="1477" spans="2:21" x14ac:dyDescent="0.25">
      <c r="B1477" s="54" t="str">
        <f>IFERROR(VLOOKUP(A1477,Lookup!A:B,2,0),"")</f>
        <v/>
      </c>
      <c r="C1477" s="54" t="str">
        <f>IFERROR(VLOOKUP(A1477,Lookup!A:C,3,0),"")</f>
        <v/>
      </c>
      <c r="J1477" s="103">
        <f>VLOOKUP(A1477&amp;G1477,Lookup!J:N,5,0)</f>
        <v>0</v>
      </c>
      <c r="O1477" s="57">
        <f>IFERROR(VLOOKUP(A1477&amp;G1477,Lookup!J:K,2,0),"")</f>
        <v>0</v>
      </c>
      <c r="P1477" s="110" t="str">
        <f t="shared" si="91"/>
        <v/>
      </c>
      <c r="T1477" s="59" t="e">
        <f t="shared" si="90"/>
        <v>#VALUE!</v>
      </c>
      <c r="U1477" s="59"/>
    </row>
    <row r="1478" spans="2:21" x14ac:dyDescent="0.25">
      <c r="B1478" s="54" t="str">
        <f>IFERROR(VLOOKUP(A1478,Lookup!A:B,2,0),"")</f>
        <v/>
      </c>
      <c r="C1478" s="54" t="str">
        <f>IFERROR(VLOOKUP(A1478,Lookup!A:C,3,0),"")</f>
        <v/>
      </c>
      <c r="J1478" s="103">
        <f>VLOOKUP(A1478&amp;G1478,Lookup!J:N,5,0)</f>
        <v>0</v>
      </c>
      <c r="O1478" s="57">
        <f>IFERROR(VLOOKUP(A1478&amp;G1478,Lookup!J:K,2,0),"")</f>
        <v>0</v>
      </c>
      <c r="P1478" s="110" t="str">
        <f t="shared" si="91"/>
        <v/>
      </c>
      <c r="T1478" s="59" t="e">
        <f t="shared" si="90"/>
        <v>#VALUE!</v>
      </c>
      <c r="U1478" s="59"/>
    </row>
    <row r="1479" spans="2:21" x14ac:dyDescent="0.25">
      <c r="B1479" s="54" t="str">
        <f>IFERROR(VLOOKUP(A1479,Lookup!A:B,2,0),"")</f>
        <v/>
      </c>
      <c r="C1479" s="54" t="str">
        <f>IFERROR(VLOOKUP(A1479,Lookup!A:C,3,0),"")</f>
        <v/>
      </c>
      <c r="J1479" s="103">
        <f>VLOOKUP(A1479&amp;G1479,Lookup!J:N,5,0)</f>
        <v>0</v>
      </c>
      <c r="O1479" s="57">
        <f>IFERROR(VLOOKUP(A1479&amp;G1479,Lookup!J:K,2,0),"")</f>
        <v>0</v>
      </c>
      <c r="P1479" s="110" t="str">
        <f t="shared" si="91"/>
        <v/>
      </c>
      <c r="T1479" s="59" t="e">
        <f t="shared" si="90"/>
        <v>#VALUE!</v>
      </c>
      <c r="U1479" s="59"/>
    </row>
    <row r="1480" spans="2:21" x14ac:dyDescent="0.25">
      <c r="B1480" s="54" t="str">
        <f>IFERROR(VLOOKUP(A1480,Lookup!A:B,2,0),"")</f>
        <v/>
      </c>
      <c r="C1480" s="54" t="str">
        <f>IFERROR(VLOOKUP(A1480,Lookup!A:C,3,0),"")</f>
        <v/>
      </c>
      <c r="J1480" s="103">
        <f>VLOOKUP(A1480&amp;G1480,Lookup!J:N,5,0)</f>
        <v>0</v>
      </c>
      <c r="O1480" s="57">
        <f>IFERROR(VLOOKUP(A1480&amp;G1480,Lookup!J:K,2,0),"")</f>
        <v>0</v>
      </c>
      <c r="P1480" s="110" t="str">
        <f t="shared" si="91"/>
        <v/>
      </c>
      <c r="T1480" s="59" t="e">
        <f t="shared" si="90"/>
        <v>#VALUE!</v>
      </c>
      <c r="U1480" s="59"/>
    </row>
    <row r="1481" spans="2:21" x14ac:dyDescent="0.25">
      <c r="B1481" s="54" t="str">
        <f>IFERROR(VLOOKUP(A1481,Lookup!A:B,2,0),"")</f>
        <v/>
      </c>
      <c r="C1481" s="54" t="str">
        <f>IFERROR(VLOOKUP(A1481,Lookup!A:C,3,0),"")</f>
        <v/>
      </c>
      <c r="J1481" s="103">
        <f>VLOOKUP(A1481&amp;G1481,Lookup!J:N,5,0)</f>
        <v>0</v>
      </c>
      <c r="O1481" s="57">
        <f>IFERROR(VLOOKUP(A1481&amp;G1481,Lookup!J:K,2,0),"")</f>
        <v>0</v>
      </c>
      <c r="P1481" s="110" t="str">
        <f t="shared" si="91"/>
        <v/>
      </c>
      <c r="T1481" s="59" t="e">
        <f t="shared" si="90"/>
        <v>#VALUE!</v>
      </c>
      <c r="U1481" s="59"/>
    </row>
    <row r="1482" spans="2:21" x14ac:dyDescent="0.25">
      <c r="B1482" s="54" t="str">
        <f>IFERROR(VLOOKUP(A1482,Lookup!A:B,2,0),"")</f>
        <v/>
      </c>
      <c r="C1482" s="54" t="str">
        <f>IFERROR(VLOOKUP(A1482,Lookup!A:C,3,0),"")</f>
        <v/>
      </c>
      <c r="J1482" s="103">
        <f>VLOOKUP(A1482&amp;G1482,Lookup!J:N,5,0)</f>
        <v>0</v>
      </c>
      <c r="O1482" s="57">
        <f>IFERROR(VLOOKUP(A1482&amp;G1482,Lookup!J:K,2,0),"")</f>
        <v>0</v>
      </c>
      <c r="P1482" s="110" t="str">
        <f t="shared" si="91"/>
        <v/>
      </c>
      <c r="T1482" s="59" t="e">
        <f t="shared" si="90"/>
        <v>#VALUE!</v>
      </c>
      <c r="U1482" s="59"/>
    </row>
    <row r="1483" spans="2:21" x14ac:dyDescent="0.25">
      <c r="B1483" s="54" t="str">
        <f>IFERROR(VLOOKUP(A1483,Lookup!A:B,2,0),"")</f>
        <v/>
      </c>
      <c r="C1483" s="54" t="str">
        <f>IFERROR(VLOOKUP(A1483,Lookup!A:C,3,0),"")</f>
        <v/>
      </c>
      <c r="J1483" s="103">
        <f>VLOOKUP(A1483&amp;G1483,Lookup!J:N,5,0)</f>
        <v>0</v>
      </c>
      <c r="O1483" s="57">
        <f>IFERROR(VLOOKUP(A1483&amp;G1483,Lookup!J:K,2,0),"")</f>
        <v>0</v>
      </c>
      <c r="P1483" s="110" t="str">
        <f t="shared" si="91"/>
        <v/>
      </c>
      <c r="T1483" s="59" t="e">
        <f t="shared" si="90"/>
        <v>#VALUE!</v>
      </c>
      <c r="U1483" s="59"/>
    </row>
    <row r="1484" spans="2:21" x14ac:dyDescent="0.25">
      <c r="B1484" s="54" t="str">
        <f>IFERROR(VLOOKUP(A1484,Lookup!A:B,2,0),"")</f>
        <v/>
      </c>
      <c r="C1484" s="54" t="str">
        <f>IFERROR(VLOOKUP(A1484,Lookup!A:C,3,0),"")</f>
        <v/>
      </c>
      <c r="J1484" s="103">
        <f>VLOOKUP(A1484&amp;G1484,Lookup!J:N,5,0)</f>
        <v>0</v>
      </c>
      <c r="O1484" s="57">
        <f>IFERROR(VLOOKUP(A1484&amp;G1484,Lookup!J:K,2,0),"")</f>
        <v>0</v>
      </c>
      <c r="P1484" s="110" t="str">
        <f t="shared" si="91"/>
        <v/>
      </c>
      <c r="T1484" s="59" t="e">
        <f t="shared" si="90"/>
        <v>#VALUE!</v>
      </c>
      <c r="U1484" s="59"/>
    </row>
    <row r="1485" spans="2:21" x14ac:dyDescent="0.25">
      <c r="B1485" s="54" t="str">
        <f>IFERROR(VLOOKUP(A1485,Lookup!A:B,2,0),"")</f>
        <v/>
      </c>
      <c r="C1485" s="54" t="str">
        <f>IFERROR(VLOOKUP(A1485,Lookup!A:C,3,0),"")</f>
        <v/>
      </c>
      <c r="J1485" s="103">
        <f>VLOOKUP(A1485&amp;G1485,Lookup!J:N,5,0)</f>
        <v>0</v>
      </c>
      <c r="O1485" s="57">
        <f>IFERROR(VLOOKUP(A1485&amp;G1485,Lookup!J:K,2,0),"")</f>
        <v>0</v>
      </c>
      <c r="P1485" s="110" t="str">
        <f t="shared" si="91"/>
        <v/>
      </c>
      <c r="T1485" s="59" t="e">
        <f t="shared" si="90"/>
        <v>#VALUE!</v>
      </c>
      <c r="U1485" s="59"/>
    </row>
    <row r="1486" spans="2:21" x14ac:dyDescent="0.25">
      <c r="B1486" s="54" t="str">
        <f>IFERROR(VLOOKUP(A1486,Lookup!A:B,2,0),"")</f>
        <v/>
      </c>
      <c r="C1486" s="54" t="str">
        <f>IFERROR(VLOOKUP(A1486,Lookup!A:C,3,0),"")</f>
        <v/>
      </c>
      <c r="J1486" s="103">
        <f>VLOOKUP(A1486&amp;G1486,Lookup!J:N,5,0)</f>
        <v>0</v>
      </c>
      <c r="O1486" s="57">
        <f>IFERROR(VLOOKUP(A1486&amp;G1486,Lookup!J:K,2,0),"")</f>
        <v>0</v>
      </c>
      <c r="P1486" s="110" t="str">
        <f t="shared" si="91"/>
        <v/>
      </c>
      <c r="T1486" s="59" t="e">
        <f t="shared" ref="T1486:T1549" si="92">IF(Q1486-P1486&gt;0.0415,"YES",(IF(OR(EXACT(Q1486,""), EXACT(P1486,"")),"","NO")))</f>
        <v>#VALUE!</v>
      </c>
      <c r="U1486" s="59"/>
    </row>
    <row r="1487" spans="2:21" x14ac:dyDescent="0.25">
      <c r="B1487" s="54" t="str">
        <f>IFERROR(VLOOKUP(A1487,Lookup!A:B,2,0),"")</f>
        <v/>
      </c>
      <c r="C1487" s="54" t="str">
        <f>IFERROR(VLOOKUP(A1487,Lookup!A:C,3,0),"")</f>
        <v/>
      </c>
      <c r="J1487" s="103">
        <f>VLOOKUP(A1487&amp;G1487,Lookup!J:N,5,0)</f>
        <v>0</v>
      </c>
      <c r="O1487" s="57">
        <f>IFERROR(VLOOKUP(A1487&amp;G1487,Lookup!J:K,2,0),"")</f>
        <v>0</v>
      </c>
      <c r="P1487" s="110" t="str">
        <f t="shared" si="91"/>
        <v/>
      </c>
      <c r="T1487" s="59" t="e">
        <f t="shared" si="92"/>
        <v>#VALUE!</v>
      </c>
      <c r="U1487" s="59"/>
    </row>
    <row r="1488" spans="2:21" x14ac:dyDescent="0.25">
      <c r="B1488" s="54" t="str">
        <f>IFERROR(VLOOKUP(A1488,Lookup!A:B,2,0),"")</f>
        <v/>
      </c>
      <c r="C1488" s="54" t="str">
        <f>IFERROR(VLOOKUP(A1488,Lookup!A:C,3,0),"")</f>
        <v/>
      </c>
      <c r="J1488" s="103">
        <f>VLOOKUP(A1488&amp;G1488,Lookup!J:N,5,0)</f>
        <v>0</v>
      </c>
      <c r="O1488" s="57">
        <f>IFERROR(VLOOKUP(A1488&amp;G1488,Lookup!J:K,2,0),"")</f>
        <v>0</v>
      </c>
      <c r="P1488" s="110" t="str">
        <f t="shared" si="91"/>
        <v/>
      </c>
      <c r="T1488" s="59" t="e">
        <f t="shared" si="92"/>
        <v>#VALUE!</v>
      </c>
      <c r="U1488" s="59"/>
    </row>
    <row r="1489" spans="2:21" x14ac:dyDescent="0.25">
      <c r="B1489" s="54" t="str">
        <f>IFERROR(VLOOKUP(A1489,Lookup!A:B,2,0),"")</f>
        <v/>
      </c>
      <c r="C1489" s="54" t="str">
        <f>IFERROR(VLOOKUP(A1489,Lookup!A:C,3,0),"")</f>
        <v/>
      </c>
      <c r="J1489" s="103">
        <f>VLOOKUP(A1489&amp;G1489,Lookup!J:N,5,0)</f>
        <v>0</v>
      </c>
      <c r="O1489" s="57">
        <f>IFERROR(VLOOKUP(A1489&amp;G1489,Lookup!J:K,2,0),"")</f>
        <v>0</v>
      </c>
      <c r="P1489" s="110" t="str">
        <f t="shared" si="91"/>
        <v/>
      </c>
      <c r="T1489" s="59" t="e">
        <f t="shared" si="92"/>
        <v>#VALUE!</v>
      </c>
      <c r="U1489" s="59"/>
    </row>
    <row r="1490" spans="2:21" x14ac:dyDescent="0.25">
      <c r="B1490" s="54" t="str">
        <f>IFERROR(VLOOKUP(A1490,Lookup!A:B,2,0),"")</f>
        <v/>
      </c>
      <c r="C1490" s="54" t="str">
        <f>IFERROR(VLOOKUP(A1490,Lookup!A:C,3,0),"")</f>
        <v/>
      </c>
      <c r="J1490" s="103">
        <f>VLOOKUP(A1490&amp;G1490,Lookup!J:N,5,0)</f>
        <v>0</v>
      </c>
      <c r="O1490" s="57">
        <f>IFERROR(VLOOKUP(A1490&amp;G1490,Lookup!J:K,2,0),"")</f>
        <v>0</v>
      </c>
      <c r="P1490" s="110" t="str">
        <f t="shared" si="91"/>
        <v/>
      </c>
      <c r="T1490" s="59" t="e">
        <f t="shared" si="92"/>
        <v>#VALUE!</v>
      </c>
      <c r="U1490" s="59"/>
    </row>
    <row r="1491" spans="2:21" x14ac:dyDescent="0.25">
      <c r="B1491" s="54" t="str">
        <f>IFERROR(VLOOKUP(A1491,Lookup!A:B,2,0),"")</f>
        <v/>
      </c>
      <c r="C1491" s="54" t="str">
        <f>IFERROR(VLOOKUP(A1491,Lookup!A:C,3,0),"")</f>
        <v/>
      </c>
      <c r="J1491" s="103">
        <f>VLOOKUP(A1491&amp;G1491,Lookup!J:N,5,0)</f>
        <v>0</v>
      </c>
      <c r="O1491" s="57">
        <f>IFERROR(VLOOKUP(A1491&amp;G1491,Lookup!J:K,2,0),"")</f>
        <v>0</v>
      </c>
      <c r="P1491" s="110" t="str">
        <f t="shared" si="91"/>
        <v/>
      </c>
      <c r="T1491" s="59" t="e">
        <f t="shared" si="92"/>
        <v>#VALUE!</v>
      </c>
      <c r="U1491" s="59"/>
    </row>
    <row r="1492" spans="2:21" x14ac:dyDescent="0.25">
      <c r="B1492" s="54" t="str">
        <f>IFERROR(VLOOKUP(A1492,Lookup!A:B,2,0),"")</f>
        <v/>
      </c>
      <c r="C1492" s="54" t="str">
        <f>IFERROR(VLOOKUP(A1492,Lookup!A:C,3,0),"")</f>
        <v/>
      </c>
      <c r="J1492" s="103">
        <f>VLOOKUP(A1492&amp;G1492,Lookup!J:N,5,0)</f>
        <v>0</v>
      </c>
      <c r="O1492" s="57">
        <f>IFERROR(VLOOKUP(A1492&amp;G1492,Lookup!J:K,2,0),"")</f>
        <v>0</v>
      </c>
      <c r="P1492" s="110" t="str">
        <f t="shared" si="91"/>
        <v/>
      </c>
      <c r="T1492" s="59" t="e">
        <f t="shared" si="92"/>
        <v>#VALUE!</v>
      </c>
      <c r="U1492" s="59"/>
    </row>
    <row r="1493" spans="2:21" x14ac:dyDescent="0.25">
      <c r="B1493" s="54" t="str">
        <f>IFERROR(VLOOKUP(A1493,Lookup!A:B,2,0),"")</f>
        <v/>
      </c>
      <c r="C1493" s="54" t="str">
        <f>IFERROR(VLOOKUP(A1493,Lookup!A:C,3,0),"")</f>
        <v/>
      </c>
      <c r="J1493" s="103">
        <f>VLOOKUP(A1493&amp;G1493,Lookup!J:N,5,0)</f>
        <v>0</v>
      </c>
      <c r="O1493" s="57">
        <f>IFERROR(VLOOKUP(A1493&amp;G1493,Lookup!J:K,2,0),"")</f>
        <v>0</v>
      </c>
      <c r="P1493" s="110" t="str">
        <f t="shared" si="91"/>
        <v/>
      </c>
      <c r="T1493" s="59" t="e">
        <f t="shared" si="92"/>
        <v>#VALUE!</v>
      </c>
      <c r="U1493" s="59"/>
    </row>
    <row r="1494" spans="2:21" x14ac:dyDescent="0.25">
      <c r="B1494" s="54" t="str">
        <f>IFERROR(VLOOKUP(A1494,Lookup!A:B,2,0),"")</f>
        <v/>
      </c>
      <c r="C1494" s="54" t="str">
        <f>IFERROR(VLOOKUP(A1494,Lookup!A:C,3,0),"")</f>
        <v/>
      </c>
      <c r="J1494" s="103">
        <f>VLOOKUP(A1494&amp;G1494,Lookup!J:N,5,0)</f>
        <v>0</v>
      </c>
      <c r="O1494" s="57">
        <f>IFERROR(VLOOKUP(A1494&amp;G1494,Lookup!J:K,2,0),"")</f>
        <v>0</v>
      </c>
      <c r="P1494" s="110" t="str">
        <f t="shared" si="91"/>
        <v/>
      </c>
      <c r="T1494" s="59" t="e">
        <f t="shared" si="92"/>
        <v>#VALUE!</v>
      </c>
      <c r="U1494" s="59"/>
    </row>
    <row r="1495" spans="2:21" x14ac:dyDescent="0.25">
      <c r="B1495" s="54" t="str">
        <f>IFERROR(VLOOKUP(A1495,Lookup!A:B,2,0),"")</f>
        <v/>
      </c>
      <c r="C1495" s="54" t="str">
        <f>IFERROR(VLOOKUP(A1495,Lookup!A:C,3,0),"")</f>
        <v/>
      </c>
      <c r="J1495" s="103">
        <f>VLOOKUP(A1495&amp;G1495,Lookup!J:N,5,0)</f>
        <v>0</v>
      </c>
      <c r="O1495" s="57">
        <f>IFERROR(VLOOKUP(A1495&amp;G1495,Lookup!J:K,2,0),"")</f>
        <v>0</v>
      </c>
      <c r="P1495" s="110" t="str">
        <f t="shared" si="91"/>
        <v/>
      </c>
      <c r="T1495" s="59" t="e">
        <f t="shared" si="92"/>
        <v>#VALUE!</v>
      </c>
      <c r="U1495" s="59"/>
    </row>
    <row r="1496" spans="2:21" x14ac:dyDescent="0.25">
      <c r="B1496" s="54" t="str">
        <f>IFERROR(VLOOKUP(A1496,Lookup!A:B,2,0),"")</f>
        <v/>
      </c>
      <c r="C1496" s="54" t="str">
        <f>IFERROR(VLOOKUP(A1496,Lookup!A:C,3,0),"")</f>
        <v/>
      </c>
      <c r="J1496" s="103">
        <f>VLOOKUP(A1496&amp;G1496,Lookup!J:N,5,0)</f>
        <v>0</v>
      </c>
      <c r="O1496" s="57">
        <f>IFERROR(VLOOKUP(A1496&amp;G1496,Lookup!J:K,2,0),"")</f>
        <v>0</v>
      </c>
      <c r="P1496" s="110" t="str">
        <f t="shared" si="91"/>
        <v/>
      </c>
      <c r="T1496" s="59" t="e">
        <f t="shared" si="92"/>
        <v>#VALUE!</v>
      </c>
      <c r="U1496" s="59"/>
    </row>
    <row r="1497" spans="2:21" x14ac:dyDescent="0.25">
      <c r="B1497" s="54" t="str">
        <f>IFERROR(VLOOKUP(A1497,Lookup!A:B,2,0),"")</f>
        <v/>
      </c>
      <c r="C1497" s="54" t="str">
        <f>IFERROR(VLOOKUP(A1497,Lookup!A:C,3,0),"")</f>
        <v/>
      </c>
      <c r="J1497" s="103">
        <f>VLOOKUP(A1497&amp;G1497,Lookup!J:N,5,0)</f>
        <v>0</v>
      </c>
      <c r="O1497" s="57">
        <f>IFERROR(VLOOKUP(A1497&amp;G1497,Lookup!J:K,2,0),"")</f>
        <v>0</v>
      </c>
      <c r="P1497" s="110" t="str">
        <f t="shared" si="91"/>
        <v/>
      </c>
      <c r="T1497" s="59" t="e">
        <f t="shared" si="92"/>
        <v>#VALUE!</v>
      </c>
      <c r="U1497" s="59"/>
    </row>
    <row r="1498" spans="2:21" x14ac:dyDescent="0.25">
      <c r="B1498" s="54" t="str">
        <f>IFERROR(VLOOKUP(A1498,Lookup!A:B,2,0),"")</f>
        <v/>
      </c>
      <c r="C1498" s="54" t="str">
        <f>IFERROR(VLOOKUP(A1498,Lookup!A:C,3,0),"")</f>
        <v/>
      </c>
      <c r="J1498" s="103">
        <f>VLOOKUP(A1498&amp;G1498,Lookup!J:N,5,0)</f>
        <v>0</v>
      </c>
      <c r="O1498" s="57">
        <f>IFERROR(VLOOKUP(A1498&amp;G1498,Lookup!J:K,2,0),"")</f>
        <v>0</v>
      </c>
      <c r="P1498" s="110" t="str">
        <f t="shared" si="91"/>
        <v/>
      </c>
      <c r="T1498" s="59" t="e">
        <f t="shared" si="92"/>
        <v>#VALUE!</v>
      </c>
      <c r="U1498" s="59"/>
    </row>
    <row r="1499" spans="2:21" x14ac:dyDescent="0.25">
      <c r="B1499" s="54" t="str">
        <f>IFERROR(VLOOKUP(A1499,Lookup!A:B,2,0),"")</f>
        <v/>
      </c>
      <c r="C1499" s="54" t="str">
        <f>IFERROR(VLOOKUP(A1499,Lookup!A:C,3,0),"")</f>
        <v/>
      </c>
      <c r="J1499" s="103">
        <f>VLOOKUP(A1499&amp;G1499,Lookup!J:N,5,0)</f>
        <v>0</v>
      </c>
      <c r="O1499" s="57">
        <f>IFERROR(VLOOKUP(A1499&amp;G1499,Lookup!J:K,2,0),"")</f>
        <v>0</v>
      </c>
      <c r="P1499" s="110" t="str">
        <f t="shared" si="91"/>
        <v/>
      </c>
      <c r="T1499" s="59" t="e">
        <f t="shared" si="92"/>
        <v>#VALUE!</v>
      </c>
      <c r="U1499" s="59"/>
    </row>
    <row r="1500" spans="2:21" x14ac:dyDescent="0.25">
      <c r="B1500" s="54" t="str">
        <f>IFERROR(VLOOKUP(A1500,Lookup!A:B,2,0),"")</f>
        <v/>
      </c>
      <c r="C1500" s="54" t="str">
        <f>IFERROR(VLOOKUP(A1500,Lookup!A:C,3,0),"")</f>
        <v/>
      </c>
      <c r="J1500" s="103">
        <f>VLOOKUP(A1500&amp;G1500,Lookup!J:N,5,0)</f>
        <v>0</v>
      </c>
      <c r="O1500" s="57">
        <f>IFERROR(VLOOKUP(A1500&amp;G1500,Lookup!J:K,2,0),"")</f>
        <v>0</v>
      </c>
      <c r="P1500" s="110" t="str">
        <f t="shared" si="91"/>
        <v/>
      </c>
      <c r="T1500" s="59" t="e">
        <f t="shared" si="92"/>
        <v>#VALUE!</v>
      </c>
      <c r="U1500" s="59"/>
    </row>
    <row r="1501" spans="2:21" x14ac:dyDescent="0.25">
      <c r="B1501" s="54" t="str">
        <f>IFERROR(VLOOKUP(A1501,Lookup!A:B,2,0),"")</f>
        <v/>
      </c>
      <c r="C1501" s="54" t="str">
        <f>IFERROR(VLOOKUP(A1501,Lookup!A:C,3,0),"")</f>
        <v/>
      </c>
      <c r="J1501" s="103">
        <f>VLOOKUP(A1501&amp;G1501,Lookup!J:N,5,0)</f>
        <v>0</v>
      </c>
      <c r="O1501" s="57">
        <f>IFERROR(VLOOKUP(A1501&amp;G1501,Lookup!J:K,2,0),"")</f>
        <v>0</v>
      </c>
      <c r="P1501" s="110" t="str">
        <f t="shared" si="91"/>
        <v/>
      </c>
      <c r="T1501" s="59" t="e">
        <f t="shared" si="92"/>
        <v>#VALUE!</v>
      </c>
      <c r="U1501" s="59"/>
    </row>
    <row r="1502" spans="2:21" x14ac:dyDescent="0.25">
      <c r="B1502" s="54" t="str">
        <f>IFERROR(VLOOKUP(A1502,Lookup!A:B,2,0),"")</f>
        <v/>
      </c>
      <c r="C1502" s="54" t="str">
        <f>IFERROR(VLOOKUP(A1502,Lookup!A:C,3,0),"")</f>
        <v/>
      </c>
      <c r="J1502" s="103">
        <f>VLOOKUP(A1502&amp;G1502,Lookup!J:N,5,0)</f>
        <v>0</v>
      </c>
      <c r="O1502" s="57">
        <f>IFERROR(VLOOKUP(A1502&amp;G1502,Lookup!J:K,2,0),"")</f>
        <v>0</v>
      </c>
      <c r="P1502" s="110" t="str">
        <f t="shared" si="91"/>
        <v/>
      </c>
      <c r="T1502" s="59" t="e">
        <f t="shared" si="92"/>
        <v>#VALUE!</v>
      </c>
      <c r="U1502" s="59"/>
    </row>
    <row r="1503" spans="2:21" x14ac:dyDescent="0.25">
      <c r="B1503" s="54" t="str">
        <f>IFERROR(VLOOKUP(A1503,Lookup!A:B,2,0),"")</f>
        <v/>
      </c>
      <c r="C1503" s="54" t="str">
        <f>IFERROR(VLOOKUP(A1503,Lookup!A:C,3,0),"")</f>
        <v/>
      </c>
      <c r="J1503" s="103">
        <f>VLOOKUP(A1503&amp;G1503,Lookup!J:N,5,0)</f>
        <v>0</v>
      </c>
      <c r="O1503" s="57">
        <f>IFERROR(VLOOKUP(A1503&amp;G1503,Lookup!J:K,2,0),"")</f>
        <v>0</v>
      </c>
      <c r="P1503" s="110" t="str">
        <f t="shared" si="91"/>
        <v/>
      </c>
      <c r="T1503" s="59" t="e">
        <f t="shared" si="92"/>
        <v>#VALUE!</v>
      </c>
      <c r="U1503" s="59"/>
    </row>
    <row r="1504" spans="2:21" x14ac:dyDescent="0.25">
      <c r="B1504" s="54" t="str">
        <f>IFERROR(VLOOKUP(A1504,Lookup!A:B,2,0),"")</f>
        <v/>
      </c>
      <c r="C1504" s="54" t="str">
        <f>IFERROR(VLOOKUP(A1504,Lookup!A:C,3,0),"")</f>
        <v/>
      </c>
      <c r="J1504" s="103">
        <f>VLOOKUP(A1504&amp;G1504,Lookup!J:N,5,0)</f>
        <v>0</v>
      </c>
      <c r="O1504" s="57">
        <f>IFERROR(VLOOKUP(A1504&amp;G1504,Lookup!J:K,2,0),"")</f>
        <v>0</v>
      </c>
      <c r="P1504" s="110" t="str">
        <f t="shared" si="91"/>
        <v/>
      </c>
      <c r="T1504" s="59" t="e">
        <f t="shared" si="92"/>
        <v>#VALUE!</v>
      </c>
      <c r="U1504" s="59"/>
    </row>
    <row r="1505" spans="2:21" x14ac:dyDescent="0.25">
      <c r="B1505" s="54" t="str">
        <f>IFERROR(VLOOKUP(A1505,Lookup!A:B,2,0),"")</f>
        <v/>
      </c>
      <c r="C1505" s="54" t="str">
        <f>IFERROR(VLOOKUP(A1505,Lookup!A:C,3,0),"")</f>
        <v/>
      </c>
      <c r="J1505" s="103">
        <f>VLOOKUP(A1505&amp;G1505,Lookup!J:N,5,0)</f>
        <v>0</v>
      </c>
      <c r="O1505" s="57">
        <f>IFERROR(VLOOKUP(A1505&amp;G1505,Lookup!J:K,2,0),"")</f>
        <v>0</v>
      </c>
      <c r="P1505" s="110" t="str">
        <f t="shared" si="91"/>
        <v/>
      </c>
      <c r="T1505" s="59" t="e">
        <f t="shared" si="92"/>
        <v>#VALUE!</v>
      </c>
      <c r="U1505" s="59"/>
    </row>
    <row r="1506" spans="2:21" x14ac:dyDescent="0.25">
      <c r="B1506" s="54" t="str">
        <f>IFERROR(VLOOKUP(A1506,Lookup!A:B,2,0),"")</f>
        <v/>
      </c>
      <c r="C1506" s="54" t="str">
        <f>IFERROR(VLOOKUP(A1506,Lookup!A:C,3,0),"")</f>
        <v/>
      </c>
      <c r="J1506" s="103">
        <f>VLOOKUP(A1506&amp;G1506,Lookup!J:N,5,0)</f>
        <v>0</v>
      </c>
      <c r="O1506" s="57">
        <f>IFERROR(VLOOKUP(A1506&amp;G1506,Lookup!J:K,2,0),"")</f>
        <v>0</v>
      </c>
      <c r="P1506" s="110" t="str">
        <f t="shared" si="91"/>
        <v/>
      </c>
      <c r="T1506" s="59" t="e">
        <f t="shared" si="92"/>
        <v>#VALUE!</v>
      </c>
      <c r="U1506" s="59"/>
    </row>
    <row r="1507" spans="2:21" x14ac:dyDescent="0.25">
      <c r="B1507" s="54" t="str">
        <f>IFERROR(VLOOKUP(A1507,Lookup!A:B,2,0),"")</f>
        <v/>
      </c>
      <c r="C1507" s="54" t="str">
        <f>IFERROR(VLOOKUP(A1507,Lookup!A:C,3,0),"")</f>
        <v/>
      </c>
      <c r="J1507" s="103">
        <f>VLOOKUP(A1507&amp;G1507,Lookup!J:N,5,0)</f>
        <v>0</v>
      </c>
      <c r="O1507" s="57">
        <f>IFERROR(VLOOKUP(A1507&amp;G1507,Lookup!J:K,2,0),"")</f>
        <v>0</v>
      </c>
      <c r="P1507" s="110" t="str">
        <f t="shared" si="91"/>
        <v/>
      </c>
      <c r="T1507" s="59" t="e">
        <f t="shared" si="92"/>
        <v>#VALUE!</v>
      </c>
      <c r="U1507" s="59"/>
    </row>
    <row r="1508" spans="2:21" x14ac:dyDescent="0.25">
      <c r="B1508" s="54" t="str">
        <f>IFERROR(VLOOKUP(A1508,Lookup!A:B,2,0),"")</f>
        <v/>
      </c>
      <c r="C1508" s="54" t="str">
        <f>IFERROR(VLOOKUP(A1508,Lookup!A:C,3,0),"")</f>
        <v/>
      </c>
      <c r="J1508" s="103">
        <f>VLOOKUP(A1508&amp;G1508,Lookup!J:N,5,0)</f>
        <v>0</v>
      </c>
      <c r="O1508" s="57">
        <f>IFERROR(VLOOKUP(A1508&amp;G1508,Lookup!J:K,2,0),"")</f>
        <v>0</v>
      </c>
      <c r="P1508" s="110" t="str">
        <f t="shared" si="91"/>
        <v/>
      </c>
      <c r="T1508" s="59" t="e">
        <f t="shared" si="92"/>
        <v>#VALUE!</v>
      </c>
      <c r="U1508" s="59"/>
    </row>
    <row r="1509" spans="2:21" x14ac:dyDescent="0.25">
      <c r="B1509" s="54" t="str">
        <f>IFERROR(VLOOKUP(A1509,Lookup!A:B,2,0),"")</f>
        <v/>
      </c>
      <c r="C1509" s="54" t="str">
        <f>IFERROR(VLOOKUP(A1509,Lookup!A:C,3,0),"")</f>
        <v/>
      </c>
      <c r="J1509" s="103">
        <f>VLOOKUP(A1509&amp;G1509,Lookup!J:N,5,0)</f>
        <v>0</v>
      </c>
      <c r="O1509" s="57">
        <f>IFERROR(VLOOKUP(A1509&amp;G1509,Lookup!J:K,2,0),"")</f>
        <v>0</v>
      </c>
      <c r="P1509" s="110" t="str">
        <f t="shared" si="91"/>
        <v/>
      </c>
      <c r="T1509" s="59" t="e">
        <f t="shared" si="92"/>
        <v>#VALUE!</v>
      </c>
      <c r="U1509" s="59"/>
    </row>
    <row r="1510" spans="2:21" x14ac:dyDescent="0.25">
      <c r="B1510" s="54" t="str">
        <f>IFERROR(VLOOKUP(A1510,Lookup!A:B,2,0),"")</f>
        <v/>
      </c>
      <c r="C1510" s="54" t="str">
        <f>IFERROR(VLOOKUP(A1510,Lookup!A:C,3,0),"")</f>
        <v/>
      </c>
      <c r="J1510" s="103">
        <f>VLOOKUP(A1510&amp;G1510,Lookup!J:N,5,0)</f>
        <v>0</v>
      </c>
      <c r="O1510" s="57">
        <f>IFERROR(VLOOKUP(A1510&amp;G1510,Lookup!J:K,2,0),"")</f>
        <v>0</v>
      </c>
      <c r="P1510" s="110" t="str">
        <f t="shared" si="91"/>
        <v/>
      </c>
      <c r="T1510" s="59" t="e">
        <f t="shared" si="92"/>
        <v>#VALUE!</v>
      </c>
      <c r="U1510" s="59"/>
    </row>
    <row r="1511" spans="2:21" x14ac:dyDescent="0.25">
      <c r="B1511" s="54" t="str">
        <f>IFERROR(VLOOKUP(A1511,Lookup!A:B,2,0),"")</f>
        <v/>
      </c>
      <c r="C1511" s="54" t="str">
        <f>IFERROR(VLOOKUP(A1511,Lookup!A:C,3,0),"")</f>
        <v/>
      </c>
      <c r="J1511" s="103">
        <f>VLOOKUP(A1511&amp;G1511,Lookup!J:N,5,0)</f>
        <v>0</v>
      </c>
      <c r="O1511" s="57">
        <f>IFERROR(VLOOKUP(A1511&amp;G1511,Lookup!J:K,2,0),"")</f>
        <v>0</v>
      </c>
      <c r="P1511" s="110" t="str">
        <f t="shared" si="91"/>
        <v/>
      </c>
      <c r="T1511" s="59" t="e">
        <f t="shared" si="92"/>
        <v>#VALUE!</v>
      </c>
      <c r="U1511" s="59"/>
    </row>
    <row r="1512" spans="2:21" x14ac:dyDescent="0.25">
      <c r="B1512" s="54" t="str">
        <f>IFERROR(VLOOKUP(A1512,Lookup!A:B,2,0),"")</f>
        <v/>
      </c>
      <c r="C1512" s="54" t="str">
        <f>IFERROR(VLOOKUP(A1512,Lookup!A:C,3,0),"")</f>
        <v/>
      </c>
      <c r="J1512" s="103">
        <f>VLOOKUP(A1512&amp;G1512,Lookup!J:N,5,0)</f>
        <v>0</v>
      </c>
      <c r="O1512" s="57">
        <f>IFERROR(VLOOKUP(A1512&amp;G1512,Lookup!J:K,2,0),"")</f>
        <v>0</v>
      </c>
      <c r="P1512" s="110" t="str">
        <f t="shared" si="91"/>
        <v/>
      </c>
      <c r="T1512" s="59" t="e">
        <f t="shared" si="92"/>
        <v>#VALUE!</v>
      </c>
      <c r="U1512" s="59"/>
    </row>
    <row r="1513" spans="2:21" x14ac:dyDescent="0.25">
      <c r="B1513" s="54" t="str">
        <f>IFERROR(VLOOKUP(A1513,Lookup!A:B,2,0),"")</f>
        <v/>
      </c>
      <c r="C1513" s="54" t="str">
        <f>IFERROR(VLOOKUP(A1513,Lookup!A:C,3,0),"")</f>
        <v/>
      </c>
      <c r="J1513" s="103">
        <f>VLOOKUP(A1513&amp;G1513,Lookup!J:N,5,0)</f>
        <v>0</v>
      </c>
      <c r="O1513" s="57">
        <f>IFERROR(VLOOKUP(A1513&amp;G1513,Lookup!J:K,2,0),"")</f>
        <v>0</v>
      </c>
      <c r="P1513" s="110" t="str">
        <f t="shared" si="91"/>
        <v/>
      </c>
      <c r="T1513" s="59" t="e">
        <f t="shared" si="92"/>
        <v>#VALUE!</v>
      </c>
      <c r="U1513" s="59"/>
    </row>
    <row r="1514" spans="2:21" x14ac:dyDescent="0.25">
      <c r="B1514" s="54" t="str">
        <f>IFERROR(VLOOKUP(A1514,Lookup!A:B,2,0),"")</f>
        <v/>
      </c>
      <c r="C1514" s="54" t="str">
        <f>IFERROR(VLOOKUP(A1514,Lookup!A:C,3,0),"")</f>
        <v/>
      </c>
      <c r="J1514" s="103">
        <f>VLOOKUP(A1514&amp;G1514,Lookup!J:N,5,0)</f>
        <v>0</v>
      </c>
      <c r="O1514" s="57">
        <f>IFERROR(VLOOKUP(A1514&amp;G1514,Lookup!J:K,2,0),"")</f>
        <v>0</v>
      </c>
      <c r="P1514" s="110" t="str">
        <f t="shared" si="91"/>
        <v/>
      </c>
      <c r="T1514" s="59" t="e">
        <f t="shared" si="92"/>
        <v>#VALUE!</v>
      </c>
      <c r="U1514" s="59"/>
    </row>
    <row r="1515" spans="2:21" x14ac:dyDescent="0.25">
      <c r="B1515" s="54" t="str">
        <f>IFERROR(VLOOKUP(A1515,Lookup!A:B,2,0),"")</f>
        <v/>
      </c>
      <c r="C1515" s="54" t="str">
        <f>IFERROR(VLOOKUP(A1515,Lookup!A:C,3,0),"")</f>
        <v/>
      </c>
      <c r="J1515" s="103">
        <f>VLOOKUP(A1515&amp;G1515,Lookup!J:N,5,0)</f>
        <v>0</v>
      </c>
      <c r="O1515" s="57">
        <f>IFERROR(VLOOKUP(A1515&amp;G1515,Lookup!J:K,2,0),"")</f>
        <v>0</v>
      </c>
      <c r="P1515" s="110" t="str">
        <f t="shared" si="91"/>
        <v/>
      </c>
      <c r="T1515" s="59" t="e">
        <f t="shared" si="92"/>
        <v>#VALUE!</v>
      </c>
      <c r="U1515" s="59"/>
    </row>
    <row r="1516" spans="2:21" x14ac:dyDescent="0.25">
      <c r="B1516" s="54" t="str">
        <f>IFERROR(VLOOKUP(A1516,Lookup!A:B,2,0),"")</f>
        <v/>
      </c>
      <c r="C1516" s="54" t="str">
        <f>IFERROR(VLOOKUP(A1516,Lookup!A:C,3,0),"")</f>
        <v/>
      </c>
      <c r="J1516" s="103">
        <f>VLOOKUP(A1516&amp;G1516,Lookup!J:N,5,0)</f>
        <v>0</v>
      </c>
      <c r="O1516" s="57">
        <f>IFERROR(VLOOKUP(A1516&amp;G1516,Lookup!J:K,2,0),"")</f>
        <v>0</v>
      </c>
      <c r="P1516" s="110" t="str">
        <f t="shared" si="91"/>
        <v/>
      </c>
      <c r="T1516" s="59" t="e">
        <f t="shared" si="92"/>
        <v>#VALUE!</v>
      </c>
      <c r="U1516" s="59"/>
    </row>
    <row r="1517" spans="2:21" x14ac:dyDescent="0.25">
      <c r="B1517" s="54" t="str">
        <f>IFERROR(VLOOKUP(A1517,Lookup!A:B,2,0),"")</f>
        <v/>
      </c>
      <c r="C1517" s="54" t="str">
        <f>IFERROR(VLOOKUP(A1517,Lookup!A:C,3,0),"")</f>
        <v/>
      </c>
      <c r="J1517" s="103">
        <f>VLOOKUP(A1517&amp;G1517,Lookup!J:N,5,0)</f>
        <v>0</v>
      </c>
      <c r="O1517" s="57">
        <f>IFERROR(VLOOKUP(A1517&amp;G1517,Lookup!J:K,2,0),"")</f>
        <v>0</v>
      </c>
      <c r="P1517" s="110" t="str">
        <f t="shared" si="91"/>
        <v/>
      </c>
      <c r="T1517" s="59" t="e">
        <f t="shared" si="92"/>
        <v>#VALUE!</v>
      </c>
      <c r="U1517" s="59"/>
    </row>
    <row r="1518" spans="2:21" x14ac:dyDescent="0.25">
      <c r="B1518" s="54" t="str">
        <f>IFERROR(VLOOKUP(A1518,Lookup!A:B,2,0),"")</f>
        <v/>
      </c>
      <c r="C1518" s="54" t="str">
        <f>IFERROR(VLOOKUP(A1518,Lookup!A:C,3,0),"")</f>
        <v/>
      </c>
      <c r="J1518" s="103">
        <f>VLOOKUP(A1518&amp;G1518,Lookup!J:N,5,0)</f>
        <v>0</v>
      </c>
      <c r="O1518" s="57">
        <f>IFERROR(VLOOKUP(A1518&amp;G1518,Lookup!J:K,2,0),"")</f>
        <v>0</v>
      </c>
      <c r="P1518" s="110" t="str">
        <f t="shared" si="91"/>
        <v/>
      </c>
      <c r="T1518" s="59" t="e">
        <f t="shared" si="92"/>
        <v>#VALUE!</v>
      </c>
      <c r="U1518" s="59"/>
    </row>
    <row r="1519" spans="2:21" x14ac:dyDescent="0.25">
      <c r="B1519" s="54" t="str">
        <f>IFERROR(VLOOKUP(A1519,Lookup!A:B,2,0),"")</f>
        <v/>
      </c>
      <c r="C1519" s="54" t="str">
        <f>IFERROR(VLOOKUP(A1519,Lookup!A:C,3,0),"")</f>
        <v/>
      </c>
      <c r="J1519" s="103">
        <f>VLOOKUP(A1519&amp;G1519,Lookup!J:N,5,0)</f>
        <v>0</v>
      </c>
      <c r="O1519" s="57">
        <f>IFERROR(VLOOKUP(A1519&amp;G1519,Lookup!J:K,2,0),"")</f>
        <v>0</v>
      </c>
      <c r="P1519" s="110" t="str">
        <f t="shared" si="91"/>
        <v/>
      </c>
      <c r="T1519" s="59" t="e">
        <f t="shared" si="92"/>
        <v>#VALUE!</v>
      </c>
      <c r="U1519" s="59"/>
    </row>
    <row r="1520" spans="2:21" x14ac:dyDescent="0.25">
      <c r="B1520" s="54" t="str">
        <f>IFERROR(VLOOKUP(A1520,Lookup!A:B,2,0),"")</f>
        <v/>
      </c>
      <c r="C1520" s="54" t="str">
        <f>IFERROR(VLOOKUP(A1520,Lookup!A:C,3,0),"")</f>
        <v/>
      </c>
      <c r="J1520" s="103">
        <f>VLOOKUP(A1520&amp;G1520,Lookup!J:N,5,0)</f>
        <v>0</v>
      </c>
      <c r="O1520" s="57">
        <f>IFERROR(VLOOKUP(A1520&amp;G1520,Lookup!J:K,2,0),"")</f>
        <v>0</v>
      </c>
      <c r="P1520" s="110" t="str">
        <f t="shared" si="91"/>
        <v/>
      </c>
      <c r="T1520" s="59" t="e">
        <f t="shared" si="92"/>
        <v>#VALUE!</v>
      </c>
      <c r="U1520" s="59"/>
    </row>
    <row r="1521" spans="2:21" x14ac:dyDescent="0.25">
      <c r="B1521" s="54" t="str">
        <f>IFERROR(VLOOKUP(A1521,Lookup!A:B,2,0),"")</f>
        <v/>
      </c>
      <c r="C1521" s="54" t="str">
        <f>IFERROR(VLOOKUP(A1521,Lookup!A:C,3,0),"")</f>
        <v/>
      </c>
      <c r="J1521" s="103">
        <f>VLOOKUP(A1521&amp;G1521,Lookup!J:N,5,0)</f>
        <v>0</v>
      </c>
      <c r="O1521" s="57">
        <f>IFERROR(VLOOKUP(A1521&amp;G1521,Lookup!J:K,2,0),"")</f>
        <v>0</v>
      </c>
      <c r="P1521" s="110" t="str">
        <f t="shared" si="91"/>
        <v/>
      </c>
      <c r="T1521" s="59" t="e">
        <f t="shared" si="92"/>
        <v>#VALUE!</v>
      </c>
      <c r="U1521" s="59"/>
    </row>
    <row r="1522" spans="2:21" x14ac:dyDescent="0.25">
      <c r="B1522" s="54" t="str">
        <f>IFERROR(VLOOKUP(A1522,Lookup!A:B,2,0),"")</f>
        <v/>
      </c>
      <c r="C1522" s="54" t="str">
        <f>IFERROR(VLOOKUP(A1522,Lookup!A:C,3,0),"")</f>
        <v/>
      </c>
      <c r="J1522" s="103">
        <f>VLOOKUP(A1522&amp;G1522,Lookup!J:N,5,0)</f>
        <v>0</v>
      </c>
      <c r="O1522" s="57">
        <f>IFERROR(VLOOKUP(A1522&amp;G1522,Lookup!J:K,2,0),"")</f>
        <v>0</v>
      </c>
      <c r="P1522" s="110" t="str">
        <f t="shared" si="91"/>
        <v/>
      </c>
      <c r="T1522" s="59" t="e">
        <f t="shared" si="92"/>
        <v>#VALUE!</v>
      </c>
      <c r="U1522" s="59"/>
    </row>
    <row r="1523" spans="2:21" x14ac:dyDescent="0.25">
      <c r="B1523" s="54" t="str">
        <f>IFERROR(VLOOKUP(A1523,Lookup!A:B,2,0),"")</f>
        <v/>
      </c>
      <c r="C1523" s="54" t="str">
        <f>IFERROR(VLOOKUP(A1523,Lookup!A:C,3,0),"")</f>
        <v/>
      </c>
      <c r="J1523" s="103">
        <f>VLOOKUP(A1523&amp;G1523,Lookup!J:N,5,0)</f>
        <v>0</v>
      </c>
      <c r="O1523" s="57">
        <f>IFERROR(VLOOKUP(A1523&amp;G1523,Lookup!J:K,2,0),"")</f>
        <v>0</v>
      </c>
      <c r="P1523" s="110" t="str">
        <f t="shared" si="91"/>
        <v/>
      </c>
      <c r="T1523" s="59" t="e">
        <f t="shared" si="92"/>
        <v>#VALUE!</v>
      </c>
      <c r="U1523" s="59"/>
    </row>
    <row r="1524" spans="2:21" x14ac:dyDescent="0.25">
      <c r="B1524" s="54" t="str">
        <f>IFERROR(VLOOKUP(A1524,Lookup!A:B,2,0),"")</f>
        <v/>
      </c>
      <c r="C1524" s="54" t="str">
        <f>IFERROR(VLOOKUP(A1524,Lookup!A:C,3,0),"")</f>
        <v/>
      </c>
      <c r="J1524" s="103">
        <f>VLOOKUP(A1524&amp;G1524,Lookup!J:N,5,0)</f>
        <v>0</v>
      </c>
      <c r="O1524" s="57">
        <f>IFERROR(VLOOKUP(A1524&amp;G1524,Lookup!J:K,2,0),"")</f>
        <v>0</v>
      </c>
      <c r="P1524" s="110" t="str">
        <f t="shared" si="91"/>
        <v/>
      </c>
      <c r="T1524" s="59" t="e">
        <f t="shared" si="92"/>
        <v>#VALUE!</v>
      </c>
      <c r="U1524" s="59"/>
    </row>
    <row r="1525" spans="2:21" x14ac:dyDescent="0.25">
      <c r="B1525" s="54" t="str">
        <f>IFERROR(VLOOKUP(A1525,Lookup!A:B,2,0),"")</f>
        <v/>
      </c>
      <c r="C1525" s="54" t="str">
        <f>IFERROR(VLOOKUP(A1525,Lookup!A:C,3,0),"")</f>
        <v/>
      </c>
      <c r="J1525" s="103">
        <f>VLOOKUP(A1525&amp;G1525,Lookup!J:N,5,0)</f>
        <v>0</v>
      </c>
      <c r="O1525" s="57">
        <f>IFERROR(VLOOKUP(A1525&amp;G1525,Lookup!J:K,2,0),"")</f>
        <v>0</v>
      </c>
      <c r="P1525" s="110" t="str">
        <f t="shared" si="91"/>
        <v/>
      </c>
      <c r="T1525" s="59" t="e">
        <f t="shared" si="92"/>
        <v>#VALUE!</v>
      </c>
      <c r="U1525" s="59"/>
    </row>
    <row r="1526" spans="2:21" x14ac:dyDescent="0.25">
      <c r="B1526" s="54" t="str">
        <f>IFERROR(VLOOKUP(A1526,Lookup!A:B,2,0),"")</f>
        <v/>
      </c>
      <c r="C1526" s="54" t="str">
        <f>IFERROR(VLOOKUP(A1526,Lookup!A:C,3,0),"")</f>
        <v/>
      </c>
      <c r="J1526" s="103">
        <f>VLOOKUP(A1526&amp;G1526,Lookup!J:N,5,0)</f>
        <v>0</v>
      </c>
      <c r="O1526" s="57">
        <f>IFERROR(VLOOKUP(A1526&amp;G1526,Lookup!J:K,2,0),"")</f>
        <v>0</v>
      </c>
      <c r="P1526" s="110" t="str">
        <f t="shared" si="91"/>
        <v/>
      </c>
      <c r="T1526" s="59" t="e">
        <f t="shared" si="92"/>
        <v>#VALUE!</v>
      </c>
      <c r="U1526" s="59"/>
    </row>
    <row r="1527" spans="2:21" x14ac:dyDescent="0.25">
      <c r="B1527" s="54" t="str">
        <f>IFERROR(VLOOKUP(A1527,Lookup!A:B,2,0),"")</f>
        <v/>
      </c>
      <c r="C1527" s="54" t="str">
        <f>IFERROR(VLOOKUP(A1527,Lookup!A:C,3,0),"")</f>
        <v/>
      </c>
      <c r="J1527" s="103">
        <f>VLOOKUP(A1527&amp;G1527,Lookup!J:N,5,0)</f>
        <v>0</v>
      </c>
      <c r="O1527" s="57">
        <f>IFERROR(VLOOKUP(A1527&amp;G1527,Lookup!J:K,2,0),"")</f>
        <v>0</v>
      </c>
      <c r="P1527" s="110" t="str">
        <f t="shared" si="91"/>
        <v/>
      </c>
      <c r="T1527" s="59" t="e">
        <f t="shared" si="92"/>
        <v>#VALUE!</v>
      </c>
      <c r="U1527" s="59"/>
    </row>
    <row r="1528" spans="2:21" x14ac:dyDescent="0.25">
      <c r="B1528" s="54" t="str">
        <f>IFERROR(VLOOKUP(A1528,Lookup!A:B,2,0),"")</f>
        <v/>
      </c>
      <c r="C1528" s="54" t="str">
        <f>IFERROR(VLOOKUP(A1528,Lookup!A:C,3,0),"")</f>
        <v/>
      </c>
      <c r="J1528" s="103">
        <f>VLOOKUP(A1528&amp;G1528,Lookup!J:N,5,0)</f>
        <v>0</v>
      </c>
      <c r="O1528" s="57">
        <f>IFERROR(VLOOKUP(A1528&amp;G1528,Lookup!J:K,2,0),"")</f>
        <v>0</v>
      </c>
      <c r="P1528" s="110" t="str">
        <f t="shared" si="91"/>
        <v/>
      </c>
      <c r="T1528" s="59" t="e">
        <f t="shared" si="92"/>
        <v>#VALUE!</v>
      </c>
      <c r="U1528" s="59"/>
    </row>
    <row r="1529" spans="2:21" x14ac:dyDescent="0.25">
      <c r="B1529" s="54" t="str">
        <f>IFERROR(VLOOKUP(A1529,Lookup!A:B,2,0),"")</f>
        <v/>
      </c>
      <c r="C1529" s="54" t="str">
        <f>IFERROR(VLOOKUP(A1529,Lookup!A:C,3,0),"")</f>
        <v/>
      </c>
      <c r="J1529" s="103">
        <f>VLOOKUP(A1529&amp;G1529,Lookup!J:N,5,0)</f>
        <v>0</v>
      </c>
      <c r="O1529" s="57">
        <f>IFERROR(VLOOKUP(A1529&amp;G1529,Lookup!J:K,2,0),"")</f>
        <v>0</v>
      </c>
      <c r="P1529" s="110" t="str">
        <f t="shared" si="91"/>
        <v/>
      </c>
      <c r="T1529" s="59" t="e">
        <f t="shared" si="92"/>
        <v>#VALUE!</v>
      </c>
      <c r="U1529" s="59"/>
    </row>
    <row r="1530" spans="2:21" x14ac:dyDescent="0.25">
      <c r="B1530" s="54" t="str">
        <f>IFERROR(VLOOKUP(A1530,Lookup!A:B,2,0),"")</f>
        <v/>
      </c>
      <c r="C1530" s="54" t="str">
        <f>IFERROR(VLOOKUP(A1530,Lookup!A:C,3,0),"")</f>
        <v/>
      </c>
      <c r="J1530" s="103">
        <f>VLOOKUP(A1530&amp;G1530,Lookup!J:N,5,0)</f>
        <v>0</v>
      </c>
      <c r="O1530" s="57">
        <f>IFERROR(VLOOKUP(A1530&amp;G1530,Lookup!J:K,2,0),"")</f>
        <v>0</v>
      </c>
      <c r="P1530" s="110" t="str">
        <f t="shared" si="91"/>
        <v/>
      </c>
      <c r="T1530" s="59" t="e">
        <f t="shared" si="92"/>
        <v>#VALUE!</v>
      </c>
      <c r="U1530" s="59"/>
    </row>
    <row r="1531" spans="2:21" x14ac:dyDescent="0.25">
      <c r="B1531" s="54" t="str">
        <f>IFERROR(VLOOKUP(A1531,Lookup!A:B,2,0),"")</f>
        <v/>
      </c>
      <c r="C1531" s="54" t="str">
        <f>IFERROR(VLOOKUP(A1531,Lookup!A:C,3,0),"")</f>
        <v/>
      </c>
      <c r="J1531" s="103">
        <f>VLOOKUP(A1531&amp;G1531,Lookup!J:N,5,0)</f>
        <v>0</v>
      </c>
      <c r="O1531" s="57">
        <f>IFERROR(VLOOKUP(A1531&amp;G1531,Lookup!J:K,2,0),"")</f>
        <v>0</v>
      </c>
      <c r="P1531" s="110" t="str">
        <f t="shared" si="91"/>
        <v/>
      </c>
      <c r="T1531" s="59" t="e">
        <f t="shared" si="92"/>
        <v>#VALUE!</v>
      </c>
      <c r="U1531" s="59"/>
    </row>
    <row r="1532" spans="2:21" x14ac:dyDescent="0.25">
      <c r="B1532" s="54" t="str">
        <f>IFERROR(VLOOKUP(A1532,Lookup!A:B,2,0),"")</f>
        <v/>
      </c>
      <c r="C1532" s="54" t="str">
        <f>IFERROR(VLOOKUP(A1532,Lookup!A:C,3,0),"")</f>
        <v/>
      </c>
      <c r="J1532" s="103">
        <f>VLOOKUP(A1532&amp;G1532,Lookup!J:N,5,0)</f>
        <v>0</v>
      </c>
      <c r="O1532" s="57">
        <f>IFERROR(VLOOKUP(A1532&amp;G1532,Lookup!J:K,2,0),"")</f>
        <v>0</v>
      </c>
      <c r="P1532" s="110" t="str">
        <f t="shared" si="91"/>
        <v/>
      </c>
      <c r="T1532" s="59" t="e">
        <f t="shared" si="92"/>
        <v>#VALUE!</v>
      </c>
      <c r="U1532" s="59"/>
    </row>
    <row r="1533" spans="2:21" x14ac:dyDescent="0.25">
      <c r="B1533" s="54" t="str">
        <f>IFERROR(VLOOKUP(A1533,Lookup!A:B,2,0),"")</f>
        <v/>
      </c>
      <c r="C1533" s="54" t="str">
        <f>IFERROR(VLOOKUP(A1533,Lookup!A:C,3,0),"")</f>
        <v/>
      </c>
      <c r="J1533" s="103">
        <f>VLOOKUP(A1533&amp;G1533,Lookup!J:N,5,0)</f>
        <v>0</v>
      </c>
      <c r="O1533" s="57">
        <f>IFERROR(VLOOKUP(A1533&amp;G1533,Lookup!J:K,2,0),"")</f>
        <v>0</v>
      </c>
      <c r="P1533" s="110" t="str">
        <f t="shared" si="91"/>
        <v/>
      </c>
      <c r="T1533" s="59" t="e">
        <f t="shared" si="92"/>
        <v>#VALUE!</v>
      </c>
      <c r="U1533" s="59"/>
    </row>
    <row r="1534" spans="2:21" x14ac:dyDescent="0.25">
      <c r="B1534" s="54" t="str">
        <f>IFERROR(VLOOKUP(A1534,Lookup!A:B,2,0),"")</f>
        <v/>
      </c>
      <c r="C1534" s="54" t="str">
        <f>IFERROR(VLOOKUP(A1534,Lookup!A:C,3,0),"")</f>
        <v/>
      </c>
      <c r="J1534" s="103">
        <f>VLOOKUP(A1534&amp;G1534,Lookup!J:N,5,0)</f>
        <v>0</v>
      </c>
      <c r="O1534" s="57">
        <f>IFERROR(VLOOKUP(A1534&amp;G1534,Lookup!J:K,2,0),"")</f>
        <v>0</v>
      </c>
      <c r="P1534" s="110" t="str">
        <f t="shared" si="91"/>
        <v/>
      </c>
      <c r="T1534" s="59" t="e">
        <f t="shared" si="92"/>
        <v>#VALUE!</v>
      </c>
      <c r="U1534" s="59"/>
    </row>
    <row r="1535" spans="2:21" x14ac:dyDescent="0.25">
      <c r="B1535" s="54" t="str">
        <f>IFERROR(VLOOKUP(A1535,Lookup!A:B,2,0),"")</f>
        <v/>
      </c>
      <c r="C1535" s="54" t="str">
        <f>IFERROR(VLOOKUP(A1535,Lookup!A:C,3,0),"")</f>
        <v/>
      </c>
      <c r="J1535" s="103">
        <f>VLOOKUP(A1535&amp;G1535,Lookup!J:N,5,0)</f>
        <v>0</v>
      </c>
      <c r="O1535" s="57">
        <f>IFERROR(VLOOKUP(A1535&amp;G1535,Lookup!J:K,2,0),"")</f>
        <v>0</v>
      </c>
      <c r="P1535" s="110" t="str">
        <f t="shared" si="91"/>
        <v/>
      </c>
      <c r="T1535" s="59" t="e">
        <f t="shared" si="92"/>
        <v>#VALUE!</v>
      </c>
      <c r="U1535" s="59"/>
    </row>
    <row r="1536" spans="2:21" x14ac:dyDescent="0.25">
      <c r="B1536" s="54" t="str">
        <f>IFERROR(VLOOKUP(A1536,Lookup!A:B,2,0),"")</f>
        <v/>
      </c>
      <c r="C1536" s="54" t="str">
        <f>IFERROR(VLOOKUP(A1536,Lookup!A:C,3,0),"")</f>
        <v/>
      </c>
      <c r="J1536" s="103">
        <f>VLOOKUP(A1536&amp;G1536,Lookup!J:N,5,0)</f>
        <v>0</v>
      </c>
      <c r="O1536" s="57">
        <f>IFERROR(VLOOKUP(A1536&amp;G1536,Lookup!J:K,2,0),"")</f>
        <v>0</v>
      </c>
      <c r="P1536" s="110" t="str">
        <f t="shared" si="91"/>
        <v/>
      </c>
      <c r="T1536" s="59" t="e">
        <f t="shared" si="92"/>
        <v>#VALUE!</v>
      </c>
      <c r="U1536" s="59"/>
    </row>
    <row r="1537" spans="2:21" x14ac:dyDescent="0.25">
      <c r="B1537" s="54" t="str">
        <f>IFERROR(VLOOKUP(A1537,Lookup!A:B,2,0),"")</f>
        <v/>
      </c>
      <c r="C1537" s="54" t="str">
        <f>IFERROR(VLOOKUP(A1537,Lookup!A:C,3,0),"")</f>
        <v/>
      </c>
      <c r="J1537" s="103">
        <f>VLOOKUP(A1537&amp;G1537,Lookup!J:N,5,0)</f>
        <v>0</v>
      </c>
      <c r="O1537" s="57">
        <f>IFERROR(VLOOKUP(A1537&amp;G1537,Lookup!J:K,2,0),"")</f>
        <v>0</v>
      </c>
      <c r="P1537" s="110" t="str">
        <f t="shared" si="91"/>
        <v/>
      </c>
      <c r="T1537" s="59" t="e">
        <f t="shared" si="92"/>
        <v>#VALUE!</v>
      </c>
      <c r="U1537" s="59"/>
    </row>
    <row r="1538" spans="2:21" x14ac:dyDescent="0.25">
      <c r="B1538" s="54" t="str">
        <f>IFERROR(VLOOKUP(A1538,Lookup!A:B,2,0),"")</f>
        <v/>
      </c>
      <c r="C1538" s="54" t="str">
        <f>IFERROR(VLOOKUP(A1538,Lookup!A:C,3,0),"")</f>
        <v/>
      </c>
      <c r="J1538" s="103">
        <f>VLOOKUP(A1538&amp;G1538,Lookup!J:N,5,0)</f>
        <v>0</v>
      </c>
      <c r="O1538" s="57">
        <f>IFERROR(VLOOKUP(A1538&amp;G1538,Lookup!J:K,2,0),"")</f>
        <v>0</v>
      </c>
      <c r="P1538" s="110" t="str">
        <f t="shared" si="91"/>
        <v/>
      </c>
      <c r="T1538" s="59" t="e">
        <f t="shared" si="92"/>
        <v>#VALUE!</v>
      </c>
      <c r="U1538" s="59"/>
    </row>
    <row r="1539" spans="2:21" x14ac:dyDescent="0.25">
      <c r="B1539" s="54" t="str">
        <f>IFERROR(VLOOKUP(A1539,Lookup!A:B,2,0),"")</f>
        <v/>
      </c>
      <c r="C1539" s="54" t="str">
        <f>IFERROR(VLOOKUP(A1539,Lookup!A:C,3,0),"")</f>
        <v/>
      </c>
      <c r="J1539" s="103">
        <f>VLOOKUP(A1539&amp;G1539,Lookup!J:N,5,0)</f>
        <v>0</v>
      </c>
      <c r="O1539" s="57">
        <f>IFERROR(VLOOKUP(A1539&amp;G1539,Lookup!J:K,2,0),"")</f>
        <v>0</v>
      </c>
      <c r="P1539" s="110" t="str">
        <f t="shared" si="91"/>
        <v/>
      </c>
      <c r="T1539" s="59" t="e">
        <f t="shared" si="92"/>
        <v>#VALUE!</v>
      </c>
      <c r="U1539" s="59"/>
    </row>
    <row r="1540" spans="2:21" x14ac:dyDescent="0.25">
      <c r="B1540" s="54" t="str">
        <f>IFERROR(VLOOKUP(A1540,Lookup!A:B,2,0),"")</f>
        <v/>
      </c>
      <c r="C1540" s="54" t="str">
        <f>IFERROR(VLOOKUP(A1540,Lookup!A:C,3,0),"")</f>
        <v/>
      </c>
      <c r="J1540" s="103">
        <f>VLOOKUP(A1540&amp;G1540,Lookup!J:N,5,0)</f>
        <v>0</v>
      </c>
      <c r="O1540" s="57">
        <f>IFERROR(VLOOKUP(A1540&amp;G1540,Lookup!J:K,2,0),"")</f>
        <v>0</v>
      </c>
      <c r="P1540" s="110" t="str">
        <f t="shared" ref="P1540:P1603" si="93">IF(N1540="","",N1540+O1540)</f>
        <v/>
      </c>
      <c r="T1540" s="59" t="e">
        <f t="shared" si="92"/>
        <v>#VALUE!</v>
      </c>
      <c r="U1540" s="59"/>
    </row>
    <row r="1541" spans="2:21" x14ac:dyDescent="0.25">
      <c r="B1541" s="54" t="str">
        <f>IFERROR(VLOOKUP(A1541,Lookup!A:B,2,0),"")</f>
        <v/>
      </c>
      <c r="C1541" s="54" t="str">
        <f>IFERROR(VLOOKUP(A1541,Lookup!A:C,3,0),"")</f>
        <v/>
      </c>
      <c r="J1541" s="103">
        <f>VLOOKUP(A1541&amp;G1541,Lookup!J:N,5,0)</f>
        <v>0</v>
      </c>
      <c r="O1541" s="57">
        <f>IFERROR(VLOOKUP(A1541&amp;G1541,Lookup!J:K,2,0),"")</f>
        <v>0</v>
      </c>
      <c r="P1541" s="110" t="str">
        <f t="shared" si="93"/>
        <v/>
      </c>
      <c r="T1541" s="59" t="e">
        <f t="shared" si="92"/>
        <v>#VALUE!</v>
      </c>
      <c r="U1541" s="59"/>
    </row>
    <row r="1542" spans="2:21" x14ac:dyDescent="0.25">
      <c r="B1542" s="54" t="str">
        <f>IFERROR(VLOOKUP(A1542,Lookup!A:B,2,0),"")</f>
        <v/>
      </c>
      <c r="C1542" s="54" t="str">
        <f>IFERROR(VLOOKUP(A1542,Lookup!A:C,3,0),"")</f>
        <v/>
      </c>
      <c r="J1542" s="103">
        <f>VLOOKUP(A1542&amp;G1542,Lookup!J:N,5,0)</f>
        <v>0</v>
      </c>
      <c r="O1542" s="57">
        <f>IFERROR(VLOOKUP(A1542&amp;G1542,Lookup!J:K,2,0),"")</f>
        <v>0</v>
      </c>
      <c r="P1542" s="110" t="str">
        <f t="shared" si="93"/>
        <v/>
      </c>
      <c r="T1542" s="59" t="e">
        <f t="shared" si="92"/>
        <v>#VALUE!</v>
      </c>
      <c r="U1542" s="59"/>
    </row>
    <row r="1543" spans="2:21" x14ac:dyDescent="0.25">
      <c r="B1543" s="54" t="str">
        <f>IFERROR(VLOOKUP(A1543,Lookup!A:B,2,0),"")</f>
        <v/>
      </c>
      <c r="C1543" s="54" t="str">
        <f>IFERROR(VLOOKUP(A1543,Lookup!A:C,3,0),"")</f>
        <v/>
      </c>
      <c r="J1543" s="103">
        <f>VLOOKUP(A1543&amp;G1543,Lookup!J:N,5,0)</f>
        <v>0</v>
      </c>
      <c r="O1543" s="57">
        <f>IFERROR(VLOOKUP(A1543&amp;G1543,Lookup!J:K,2,0),"")</f>
        <v>0</v>
      </c>
      <c r="P1543" s="110" t="str">
        <f t="shared" si="93"/>
        <v/>
      </c>
      <c r="T1543" s="59" t="e">
        <f t="shared" si="92"/>
        <v>#VALUE!</v>
      </c>
      <c r="U1543" s="59"/>
    </row>
    <row r="1544" spans="2:21" x14ac:dyDescent="0.25">
      <c r="B1544" s="54" t="str">
        <f>IFERROR(VLOOKUP(A1544,Lookup!A:B,2,0),"")</f>
        <v/>
      </c>
      <c r="C1544" s="54" t="str">
        <f>IFERROR(VLOOKUP(A1544,Lookup!A:C,3,0),"")</f>
        <v/>
      </c>
      <c r="J1544" s="103">
        <f>VLOOKUP(A1544&amp;G1544,Lookup!J:N,5,0)</f>
        <v>0</v>
      </c>
      <c r="O1544" s="57">
        <f>IFERROR(VLOOKUP(A1544&amp;G1544,Lookup!J:K,2,0),"")</f>
        <v>0</v>
      </c>
      <c r="P1544" s="110" t="str">
        <f t="shared" si="93"/>
        <v/>
      </c>
      <c r="T1544" s="59" t="e">
        <f t="shared" si="92"/>
        <v>#VALUE!</v>
      </c>
      <c r="U1544" s="59"/>
    </row>
    <row r="1545" spans="2:21" x14ac:dyDescent="0.25">
      <c r="B1545" s="54" t="str">
        <f>IFERROR(VLOOKUP(A1545,Lookup!A:B,2,0),"")</f>
        <v/>
      </c>
      <c r="C1545" s="54" t="str">
        <f>IFERROR(VLOOKUP(A1545,Lookup!A:C,3,0),"")</f>
        <v/>
      </c>
      <c r="J1545" s="103">
        <f>VLOOKUP(A1545&amp;G1545,Lookup!J:N,5,0)</f>
        <v>0</v>
      </c>
      <c r="O1545" s="57">
        <f>IFERROR(VLOOKUP(A1545&amp;G1545,Lookup!J:K,2,0),"")</f>
        <v>0</v>
      </c>
      <c r="P1545" s="110" t="str">
        <f t="shared" si="93"/>
        <v/>
      </c>
      <c r="T1545" s="59" t="e">
        <f t="shared" si="92"/>
        <v>#VALUE!</v>
      </c>
      <c r="U1545" s="59"/>
    </row>
    <row r="1546" spans="2:21" x14ac:dyDescent="0.25">
      <c r="B1546" s="54" t="str">
        <f>IFERROR(VLOOKUP(A1546,Lookup!A:B,2,0),"")</f>
        <v/>
      </c>
      <c r="C1546" s="54" t="str">
        <f>IFERROR(VLOOKUP(A1546,Lookup!A:C,3,0),"")</f>
        <v/>
      </c>
      <c r="J1546" s="103">
        <f>VLOOKUP(A1546&amp;G1546,Lookup!J:N,5,0)</f>
        <v>0</v>
      </c>
      <c r="O1546" s="57">
        <f>IFERROR(VLOOKUP(A1546&amp;G1546,Lookup!J:K,2,0),"")</f>
        <v>0</v>
      </c>
      <c r="P1546" s="110" t="str">
        <f t="shared" si="93"/>
        <v/>
      </c>
      <c r="T1546" s="59" t="e">
        <f t="shared" si="92"/>
        <v>#VALUE!</v>
      </c>
      <c r="U1546" s="59"/>
    </row>
    <row r="1547" spans="2:21" x14ac:dyDescent="0.25">
      <c r="B1547" s="54" t="str">
        <f>IFERROR(VLOOKUP(A1547,Lookup!A:B,2,0),"")</f>
        <v/>
      </c>
      <c r="C1547" s="54" t="str">
        <f>IFERROR(VLOOKUP(A1547,Lookup!A:C,3,0),"")</f>
        <v/>
      </c>
      <c r="J1547" s="103">
        <f>VLOOKUP(A1547&amp;G1547,Lookup!J:N,5,0)</f>
        <v>0</v>
      </c>
      <c r="O1547" s="57">
        <f>IFERROR(VLOOKUP(A1547&amp;G1547,Lookup!J:K,2,0),"")</f>
        <v>0</v>
      </c>
      <c r="P1547" s="110" t="str">
        <f t="shared" si="93"/>
        <v/>
      </c>
      <c r="T1547" s="59" t="e">
        <f t="shared" si="92"/>
        <v>#VALUE!</v>
      </c>
      <c r="U1547" s="59"/>
    </row>
    <row r="1548" spans="2:21" x14ac:dyDescent="0.25">
      <c r="B1548" s="54" t="str">
        <f>IFERROR(VLOOKUP(A1548,Lookup!A:B,2,0),"")</f>
        <v/>
      </c>
      <c r="C1548" s="54" t="str">
        <f>IFERROR(VLOOKUP(A1548,Lookup!A:C,3,0),"")</f>
        <v/>
      </c>
      <c r="J1548" s="103">
        <f>VLOOKUP(A1548&amp;G1548,Lookup!J:N,5,0)</f>
        <v>0</v>
      </c>
      <c r="O1548" s="57">
        <f>IFERROR(VLOOKUP(A1548&amp;G1548,Lookup!J:K,2,0),"")</f>
        <v>0</v>
      </c>
      <c r="P1548" s="110" t="str">
        <f t="shared" si="93"/>
        <v/>
      </c>
      <c r="T1548" s="59" t="e">
        <f t="shared" si="92"/>
        <v>#VALUE!</v>
      </c>
      <c r="U1548" s="59"/>
    </row>
    <row r="1549" spans="2:21" x14ac:dyDescent="0.25">
      <c r="B1549" s="54" t="str">
        <f>IFERROR(VLOOKUP(A1549,Lookup!A:B,2,0),"")</f>
        <v/>
      </c>
      <c r="C1549" s="54" t="str">
        <f>IFERROR(VLOOKUP(A1549,Lookup!A:C,3,0),"")</f>
        <v/>
      </c>
      <c r="J1549" s="103">
        <f>VLOOKUP(A1549&amp;G1549,Lookup!J:N,5,0)</f>
        <v>0</v>
      </c>
      <c r="O1549" s="57">
        <f>IFERROR(VLOOKUP(A1549&amp;G1549,Lookup!J:K,2,0),"")</f>
        <v>0</v>
      </c>
      <c r="P1549" s="110" t="str">
        <f t="shared" si="93"/>
        <v/>
      </c>
      <c r="T1549" s="59" t="e">
        <f t="shared" si="92"/>
        <v>#VALUE!</v>
      </c>
      <c r="U1549" s="59"/>
    </row>
    <row r="1550" spans="2:21" x14ac:dyDescent="0.25">
      <c r="B1550" s="54" t="str">
        <f>IFERROR(VLOOKUP(A1550,Lookup!A:B,2,0),"")</f>
        <v/>
      </c>
      <c r="C1550" s="54" t="str">
        <f>IFERROR(VLOOKUP(A1550,Lookup!A:C,3,0),"")</f>
        <v/>
      </c>
      <c r="J1550" s="103">
        <f>VLOOKUP(A1550&amp;G1550,Lookup!J:N,5,0)</f>
        <v>0</v>
      </c>
      <c r="O1550" s="57">
        <f>IFERROR(VLOOKUP(A1550&amp;G1550,Lookup!J:K,2,0),"")</f>
        <v>0</v>
      </c>
      <c r="P1550" s="110" t="str">
        <f t="shared" si="93"/>
        <v/>
      </c>
      <c r="T1550" s="59" t="e">
        <f t="shared" ref="T1550:T1613" si="94">IF(Q1550-P1550&gt;0.0415,"YES",(IF(OR(EXACT(Q1550,""), EXACT(P1550,"")),"","NO")))</f>
        <v>#VALUE!</v>
      </c>
      <c r="U1550" s="59"/>
    </row>
    <row r="1551" spans="2:21" x14ac:dyDescent="0.25">
      <c r="B1551" s="54" t="str">
        <f>IFERROR(VLOOKUP(A1551,Lookup!A:B,2,0),"")</f>
        <v/>
      </c>
      <c r="C1551" s="54" t="str">
        <f>IFERROR(VLOOKUP(A1551,Lookup!A:C,3,0),"")</f>
        <v/>
      </c>
      <c r="J1551" s="103">
        <f>VLOOKUP(A1551&amp;G1551,Lookup!J:N,5,0)</f>
        <v>0</v>
      </c>
      <c r="O1551" s="57">
        <f>IFERROR(VLOOKUP(A1551&amp;G1551,Lookup!J:K,2,0),"")</f>
        <v>0</v>
      </c>
      <c r="P1551" s="110" t="str">
        <f t="shared" si="93"/>
        <v/>
      </c>
      <c r="T1551" s="59" t="e">
        <f t="shared" si="94"/>
        <v>#VALUE!</v>
      </c>
      <c r="U1551" s="59"/>
    </row>
    <row r="1552" spans="2:21" x14ac:dyDescent="0.25">
      <c r="B1552" s="54" t="str">
        <f>IFERROR(VLOOKUP(A1552,Lookup!A:B,2,0),"")</f>
        <v/>
      </c>
      <c r="C1552" s="54" t="str">
        <f>IFERROR(VLOOKUP(A1552,Lookup!A:C,3,0),"")</f>
        <v/>
      </c>
      <c r="J1552" s="103">
        <f>VLOOKUP(A1552&amp;G1552,Lookup!J:N,5,0)</f>
        <v>0</v>
      </c>
      <c r="O1552" s="57">
        <f>IFERROR(VLOOKUP(A1552&amp;G1552,Lookup!J:K,2,0),"")</f>
        <v>0</v>
      </c>
      <c r="P1552" s="110" t="str">
        <f t="shared" si="93"/>
        <v/>
      </c>
      <c r="T1552" s="59" t="e">
        <f t="shared" si="94"/>
        <v>#VALUE!</v>
      </c>
      <c r="U1552" s="59"/>
    </row>
    <row r="1553" spans="2:21" x14ac:dyDescent="0.25">
      <c r="B1553" s="54" t="str">
        <f>IFERROR(VLOOKUP(A1553,Lookup!A:B,2,0),"")</f>
        <v/>
      </c>
      <c r="C1553" s="54" t="str">
        <f>IFERROR(VLOOKUP(A1553,Lookup!A:C,3,0),"")</f>
        <v/>
      </c>
      <c r="J1553" s="103">
        <f>VLOOKUP(A1553&amp;G1553,Lookup!J:N,5,0)</f>
        <v>0</v>
      </c>
      <c r="O1553" s="57">
        <f>IFERROR(VLOOKUP(A1553&amp;G1553,Lookup!J:K,2,0),"")</f>
        <v>0</v>
      </c>
      <c r="P1553" s="110" t="str">
        <f t="shared" si="93"/>
        <v/>
      </c>
      <c r="T1553" s="59" t="e">
        <f t="shared" si="94"/>
        <v>#VALUE!</v>
      </c>
      <c r="U1553" s="59"/>
    </row>
    <row r="1554" spans="2:21" x14ac:dyDescent="0.25">
      <c r="B1554" s="54" t="str">
        <f>IFERROR(VLOOKUP(A1554,Lookup!A:B,2,0),"")</f>
        <v/>
      </c>
      <c r="C1554" s="54" t="str">
        <f>IFERROR(VLOOKUP(A1554,Lookup!A:C,3,0),"")</f>
        <v/>
      </c>
      <c r="J1554" s="103">
        <f>VLOOKUP(A1554&amp;G1554,Lookup!J:N,5,0)</f>
        <v>0</v>
      </c>
      <c r="O1554" s="57">
        <f>IFERROR(VLOOKUP(A1554&amp;G1554,Lookup!J:K,2,0),"")</f>
        <v>0</v>
      </c>
      <c r="P1554" s="110" t="str">
        <f t="shared" si="93"/>
        <v/>
      </c>
      <c r="T1554" s="59" t="e">
        <f t="shared" si="94"/>
        <v>#VALUE!</v>
      </c>
      <c r="U1554" s="59"/>
    </row>
    <row r="1555" spans="2:21" x14ac:dyDescent="0.25">
      <c r="B1555" s="54" t="str">
        <f>IFERROR(VLOOKUP(A1555,Lookup!A:B,2,0),"")</f>
        <v/>
      </c>
      <c r="C1555" s="54" t="str">
        <f>IFERROR(VLOOKUP(A1555,Lookup!A:C,3,0),"")</f>
        <v/>
      </c>
      <c r="J1555" s="103">
        <f>VLOOKUP(A1555&amp;G1555,Lookup!J:N,5,0)</f>
        <v>0</v>
      </c>
      <c r="O1555" s="57">
        <f>IFERROR(VLOOKUP(A1555&amp;G1555,Lookup!J:K,2,0),"")</f>
        <v>0</v>
      </c>
      <c r="P1555" s="110" t="str">
        <f t="shared" si="93"/>
        <v/>
      </c>
      <c r="T1555" s="59" t="e">
        <f t="shared" si="94"/>
        <v>#VALUE!</v>
      </c>
      <c r="U1555" s="59"/>
    </row>
    <row r="1556" spans="2:21" x14ac:dyDescent="0.25">
      <c r="B1556" s="54" t="str">
        <f>IFERROR(VLOOKUP(A1556,Lookup!A:B,2,0),"")</f>
        <v/>
      </c>
      <c r="C1556" s="54" t="str">
        <f>IFERROR(VLOOKUP(A1556,Lookup!A:C,3,0),"")</f>
        <v/>
      </c>
      <c r="J1556" s="103">
        <f>VLOOKUP(A1556&amp;G1556,Lookup!J:N,5,0)</f>
        <v>0</v>
      </c>
      <c r="O1556" s="57">
        <f>IFERROR(VLOOKUP(A1556&amp;G1556,Lookup!J:K,2,0),"")</f>
        <v>0</v>
      </c>
      <c r="P1556" s="110" t="str">
        <f t="shared" si="93"/>
        <v/>
      </c>
      <c r="T1556" s="59" t="e">
        <f t="shared" si="94"/>
        <v>#VALUE!</v>
      </c>
      <c r="U1556" s="59"/>
    </row>
    <row r="1557" spans="2:21" x14ac:dyDescent="0.25">
      <c r="B1557" s="54" t="str">
        <f>IFERROR(VLOOKUP(A1557,Lookup!A:B,2,0),"")</f>
        <v/>
      </c>
      <c r="C1557" s="54" t="str">
        <f>IFERROR(VLOOKUP(A1557,Lookup!A:C,3,0),"")</f>
        <v/>
      </c>
      <c r="J1557" s="103">
        <f>VLOOKUP(A1557&amp;G1557,Lookup!J:N,5,0)</f>
        <v>0</v>
      </c>
      <c r="O1557" s="57">
        <f>IFERROR(VLOOKUP(A1557&amp;G1557,Lookup!J:K,2,0),"")</f>
        <v>0</v>
      </c>
      <c r="P1557" s="110" t="str">
        <f t="shared" si="93"/>
        <v/>
      </c>
      <c r="T1557" s="59" t="e">
        <f t="shared" si="94"/>
        <v>#VALUE!</v>
      </c>
      <c r="U1557" s="59"/>
    </row>
    <row r="1558" spans="2:21" x14ac:dyDescent="0.25">
      <c r="B1558" s="54" t="str">
        <f>IFERROR(VLOOKUP(A1558,Lookup!A:B,2,0),"")</f>
        <v/>
      </c>
      <c r="C1558" s="54" t="str">
        <f>IFERROR(VLOOKUP(A1558,Lookup!A:C,3,0),"")</f>
        <v/>
      </c>
      <c r="J1558" s="103">
        <f>VLOOKUP(A1558&amp;G1558,Lookup!J:N,5,0)</f>
        <v>0</v>
      </c>
      <c r="O1558" s="57">
        <f>IFERROR(VLOOKUP(A1558&amp;G1558,Lookup!J:K,2,0),"")</f>
        <v>0</v>
      </c>
      <c r="P1558" s="110" t="str">
        <f t="shared" si="93"/>
        <v/>
      </c>
      <c r="T1558" s="59" t="e">
        <f t="shared" si="94"/>
        <v>#VALUE!</v>
      </c>
      <c r="U1558" s="59"/>
    </row>
    <row r="1559" spans="2:21" x14ac:dyDescent="0.25">
      <c r="B1559" s="54" t="str">
        <f>IFERROR(VLOOKUP(A1559,Lookup!A:B,2,0),"")</f>
        <v/>
      </c>
      <c r="C1559" s="54" t="str">
        <f>IFERROR(VLOOKUP(A1559,Lookup!A:C,3,0),"")</f>
        <v/>
      </c>
      <c r="J1559" s="103">
        <f>VLOOKUP(A1559&amp;G1559,Lookup!J:N,5,0)</f>
        <v>0</v>
      </c>
      <c r="O1559" s="57">
        <f>IFERROR(VLOOKUP(A1559&amp;G1559,Lookup!J:K,2,0),"")</f>
        <v>0</v>
      </c>
      <c r="P1559" s="110" t="str">
        <f t="shared" si="93"/>
        <v/>
      </c>
      <c r="T1559" s="59" t="e">
        <f t="shared" si="94"/>
        <v>#VALUE!</v>
      </c>
      <c r="U1559" s="59"/>
    </row>
    <row r="1560" spans="2:21" x14ac:dyDescent="0.25">
      <c r="B1560" s="54" t="str">
        <f>IFERROR(VLOOKUP(A1560,Lookup!A:B,2,0),"")</f>
        <v/>
      </c>
      <c r="C1560" s="54" t="str">
        <f>IFERROR(VLOOKUP(A1560,Lookup!A:C,3,0),"")</f>
        <v/>
      </c>
      <c r="J1560" s="103">
        <f>VLOOKUP(A1560&amp;G1560,Lookup!J:N,5,0)</f>
        <v>0</v>
      </c>
      <c r="O1560" s="57">
        <f>IFERROR(VLOOKUP(A1560&amp;G1560,Lookup!J:K,2,0),"")</f>
        <v>0</v>
      </c>
      <c r="P1560" s="110" t="str">
        <f t="shared" si="93"/>
        <v/>
      </c>
      <c r="T1560" s="59" t="e">
        <f t="shared" si="94"/>
        <v>#VALUE!</v>
      </c>
      <c r="U1560" s="59"/>
    </row>
    <row r="1561" spans="2:21" x14ac:dyDescent="0.25">
      <c r="B1561" s="54" t="str">
        <f>IFERROR(VLOOKUP(A1561,Lookup!A:B,2,0),"")</f>
        <v/>
      </c>
      <c r="C1561" s="54" t="str">
        <f>IFERROR(VLOOKUP(A1561,Lookup!A:C,3,0),"")</f>
        <v/>
      </c>
      <c r="J1561" s="103">
        <f>VLOOKUP(A1561&amp;G1561,Lookup!J:N,5,0)</f>
        <v>0</v>
      </c>
      <c r="O1561" s="57">
        <f>IFERROR(VLOOKUP(A1561&amp;G1561,Lookup!J:K,2,0),"")</f>
        <v>0</v>
      </c>
      <c r="P1561" s="110" t="str">
        <f t="shared" si="93"/>
        <v/>
      </c>
      <c r="T1561" s="59" t="e">
        <f t="shared" si="94"/>
        <v>#VALUE!</v>
      </c>
      <c r="U1561" s="59"/>
    </row>
    <row r="1562" spans="2:21" x14ac:dyDescent="0.25">
      <c r="B1562" s="54" t="str">
        <f>IFERROR(VLOOKUP(A1562,Lookup!A:B,2,0),"")</f>
        <v/>
      </c>
      <c r="C1562" s="54" t="str">
        <f>IFERROR(VLOOKUP(A1562,Lookup!A:C,3,0),"")</f>
        <v/>
      </c>
      <c r="J1562" s="103">
        <f>VLOOKUP(A1562&amp;G1562,Lookup!J:N,5,0)</f>
        <v>0</v>
      </c>
      <c r="O1562" s="57">
        <f>IFERROR(VLOOKUP(A1562&amp;G1562,Lookup!J:K,2,0),"")</f>
        <v>0</v>
      </c>
      <c r="P1562" s="110" t="str">
        <f t="shared" si="93"/>
        <v/>
      </c>
      <c r="T1562" s="59" t="e">
        <f t="shared" si="94"/>
        <v>#VALUE!</v>
      </c>
      <c r="U1562" s="59"/>
    </row>
    <row r="1563" spans="2:21" x14ac:dyDescent="0.25">
      <c r="B1563" s="54" t="str">
        <f>IFERROR(VLOOKUP(A1563,Lookup!A:B,2,0),"")</f>
        <v/>
      </c>
      <c r="C1563" s="54" t="str">
        <f>IFERROR(VLOOKUP(A1563,Lookup!A:C,3,0),"")</f>
        <v/>
      </c>
      <c r="J1563" s="103">
        <f>VLOOKUP(A1563&amp;G1563,Lookup!J:N,5,0)</f>
        <v>0</v>
      </c>
      <c r="O1563" s="57">
        <f>IFERROR(VLOOKUP(A1563&amp;G1563,Lookup!J:K,2,0),"")</f>
        <v>0</v>
      </c>
      <c r="P1563" s="110" t="str">
        <f t="shared" si="93"/>
        <v/>
      </c>
      <c r="T1563" s="59" t="e">
        <f t="shared" si="94"/>
        <v>#VALUE!</v>
      </c>
      <c r="U1563" s="59"/>
    </row>
    <row r="1564" spans="2:21" x14ac:dyDescent="0.25">
      <c r="B1564" s="54" t="str">
        <f>IFERROR(VLOOKUP(A1564,Lookup!A:B,2,0),"")</f>
        <v/>
      </c>
      <c r="C1564" s="54" t="str">
        <f>IFERROR(VLOOKUP(A1564,Lookup!A:C,3,0),"")</f>
        <v/>
      </c>
      <c r="J1564" s="103">
        <f>VLOOKUP(A1564&amp;G1564,Lookup!J:N,5,0)</f>
        <v>0</v>
      </c>
      <c r="O1564" s="57">
        <f>IFERROR(VLOOKUP(A1564&amp;G1564,Lookup!J:K,2,0),"")</f>
        <v>0</v>
      </c>
      <c r="P1564" s="110" t="str">
        <f t="shared" si="93"/>
        <v/>
      </c>
      <c r="T1564" s="59" t="e">
        <f t="shared" si="94"/>
        <v>#VALUE!</v>
      </c>
      <c r="U1564" s="59"/>
    </row>
    <row r="1565" spans="2:21" x14ac:dyDescent="0.25">
      <c r="B1565" s="54" t="str">
        <f>IFERROR(VLOOKUP(A1565,Lookup!A:B,2,0),"")</f>
        <v/>
      </c>
      <c r="C1565" s="54" t="str">
        <f>IFERROR(VLOOKUP(A1565,Lookup!A:C,3,0),"")</f>
        <v/>
      </c>
      <c r="J1565" s="103">
        <f>VLOOKUP(A1565&amp;G1565,Lookup!J:N,5,0)</f>
        <v>0</v>
      </c>
      <c r="O1565" s="57">
        <f>IFERROR(VLOOKUP(A1565&amp;G1565,Lookup!J:K,2,0),"")</f>
        <v>0</v>
      </c>
      <c r="P1565" s="110" t="str">
        <f t="shared" si="93"/>
        <v/>
      </c>
      <c r="T1565" s="59" t="e">
        <f t="shared" si="94"/>
        <v>#VALUE!</v>
      </c>
      <c r="U1565" s="59"/>
    </row>
    <row r="1566" spans="2:21" x14ac:dyDescent="0.25">
      <c r="B1566" s="54" t="str">
        <f>IFERROR(VLOOKUP(A1566,Lookup!A:B,2,0),"")</f>
        <v/>
      </c>
      <c r="C1566" s="54" t="str">
        <f>IFERROR(VLOOKUP(A1566,Lookup!A:C,3,0),"")</f>
        <v/>
      </c>
      <c r="J1566" s="103">
        <f>VLOOKUP(A1566&amp;G1566,Lookup!J:N,5,0)</f>
        <v>0</v>
      </c>
      <c r="O1566" s="57">
        <f>IFERROR(VLOOKUP(A1566&amp;G1566,Lookup!J:K,2,0),"")</f>
        <v>0</v>
      </c>
      <c r="P1566" s="110" t="str">
        <f t="shared" si="93"/>
        <v/>
      </c>
      <c r="T1566" s="59" t="e">
        <f t="shared" si="94"/>
        <v>#VALUE!</v>
      </c>
      <c r="U1566" s="59"/>
    </row>
    <row r="1567" spans="2:21" x14ac:dyDescent="0.25">
      <c r="B1567" s="54" t="str">
        <f>IFERROR(VLOOKUP(A1567,Lookup!A:B,2,0),"")</f>
        <v/>
      </c>
      <c r="C1567" s="54" t="str">
        <f>IFERROR(VLOOKUP(A1567,Lookup!A:C,3,0),"")</f>
        <v/>
      </c>
      <c r="J1567" s="103">
        <f>VLOOKUP(A1567&amp;G1567,Lookup!J:N,5,0)</f>
        <v>0</v>
      </c>
      <c r="O1567" s="57">
        <f>IFERROR(VLOOKUP(A1567&amp;G1567,Lookup!J:K,2,0),"")</f>
        <v>0</v>
      </c>
      <c r="P1567" s="110" t="str">
        <f t="shared" si="93"/>
        <v/>
      </c>
      <c r="T1567" s="59" t="e">
        <f t="shared" si="94"/>
        <v>#VALUE!</v>
      </c>
      <c r="U1567" s="59"/>
    </row>
    <row r="1568" spans="2:21" x14ac:dyDescent="0.25">
      <c r="B1568" s="54" t="str">
        <f>IFERROR(VLOOKUP(A1568,Lookup!A:B,2,0),"")</f>
        <v/>
      </c>
      <c r="C1568" s="54" t="str">
        <f>IFERROR(VLOOKUP(A1568,Lookup!A:C,3,0),"")</f>
        <v/>
      </c>
      <c r="J1568" s="103">
        <f>VLOOKUP(A1568&amp;G1568,Lookup!J:N,5,0)</f>
        <v>0</v>
      </c>
      <c r="O1568" s="57">
        <f>IFERROR(VLOOKUP(A1568&amp;G1568,Lookup!J:K,2,0),"")</f>
        <v>0</v>
      </c>
      <c r="P1568" s="110" t="str">
        <f t="shared" si="93"/>
        <v/>
      </c>
      <c r="T1568" s="59" t="e">
        <f t="shared" si="94"/>
        <v>#VALUE!</v>
      </c>
      <c r="U1568" s="59"/>
    </row>
    <row r="1569" spans="2:21" x14ac:dyDescent="0.25">
      <c r="B1569" s="54" t="str">
        <f>IFERROR(VLOOKUP(A1569,Lookup!A:B,2,0),"")</f>
        <v/>
      </c>
      <c r="C1569" s="54" t="str">
        <f>IFERROR(VLOOKUP(A1569,Lookup!A:C,3,0),"")</f>
        <v/>
      </c>
      <c r="J1569" s="103">
        <f>VLOOKUP(A1569&amp;G1569,Lookup!J:N,5,0)</f>
        <v>0</v>
      </c>
      <c r="O1569" s="57">
        <f>IFERROR(VLOOKUP(A1569&amp;G1569,Lookup!J:K,2,0),"")</f>
        <v>0</v>
      </c>
      <c r="P1569" s="110" t="str">
        <f t="shared" si="93"/>
        <v/>
      </c>
      <c r="T1569" s="59" t="e">
        <f t="shared" si="94"/>
        <v>#VALUE!</v>
      </c>
      <c r="U1569" s="59"/>
    </row>
    <row r="1570" spans="2:21" x14ac:dyDescent="0.25">
      <c r="B1570" s="54" t="str">
        <f>IFERROR(VLOOKUP(A1570,Lookup!A:B,2,0),"")</f>
        <v/>
      </c>
      <c r="C1570" s="54" t="str">
        <f>IFERROR(VLOOKUP(A1570,Lookup!A:C,3,0),"")</f>
        <v/>
      </c>
      <c r="J1570" s="103">
        <f>VLOOKUP(A1570&amp;G1570,Lookup!J:N,5,0)</f>
        <v>0</v>
      </c>
      <c r="O1570" s="57">
        <f>IFERROR(VLOOKUP(A1570&amp;G1570,Lookup!J:K,2,0),"")</f>
        <v>0</v>
      </c>
      <c r="P1570" s="110" t="str">
        <f t="shared" si="93"/>
        <v/>
      </c>
      <c r="T1570" s="59" t="e">
        <f t="shared" si="94"/>
        <v>#VALUE!</v>
      </c>
      <c r="U1570" s="59"/>
    </row>
    <row r="1571" spans="2:21" x14ac:dyDescent="0.25">
      <c r="B1571" s="54" t="str">
        <f>IFERROR(VLOOKUP(A1571,Lookup!A:B,2,0),"")</f>
        <v/>
      </c>
      <c r="C1571" s="54" t="str">
        <f>IFERROR(VLOOKUP(A1571,Lookup!A:C,3,0),"")</f>
        <v/>
      </c>
      <c r="J1571" s="103">
        <f>VLOOKUP(A1571&amp;G1571,Lookup!J:N,5,0)</f>
        <v>0</v>
      </c>
      <c r="O1571" s="57">
        <f>IFERROR(VLOOKUP(A1571&amp;G1571,Lookup!J:K,2,0),"")</f>
        <v>0</v>
      </c>
      <c r="P1571" s="110" t="str">
        <f t="shared" si="93"/>
        <v/>
      </c>
      <c r="T1571" s="59" t="e">
        <f t="shared" si="94"/>
        <v>#VALUE!</v>
      </c>
      <c r="U1571" s="59"/>
    </row>
    <row r="1572" spans="2:21" x14ac:dyDescent="0.25">
      <c r="B1572" s="54" t="str">
        <f>IFERROR(VLOOKUP(A1572,Lookup!A:B,2,0),"")</f>
        <v/>
      </c>
      <c r="C1572" s="54" t="str">
        <f>IFERROR(VLOOKUP(A1572,Lookup!A:C,3,0),"")</f>
        <v/>
      </c>
      <c r="J1572" s="103">
        <f>VLOOKUP(A1572&amp;G1572,Lookup!J:N,5,0)</f>
        <v>0</v>
      </c>
      <c r="O1572" s="57">
        <f>IFERROR(VLOOKUP(A1572&amp;G1572,Lookup!J:K,2,0),"")</f>
        <v>0</v>
      </c>
      <c r="P1572" s="110" t="str">
        <f t="shared" si="93"/>
        <v/>
      </c>
      <c r="T1572" s="59" t="e">
        <f t="shared" si="94"/>
        <v>#VALUE!</v>
      </c>
      <c r="U1572" s="59"/>
    </row>
    <row r="1573" spans="2:21" x14ac:dyDescent="0.25">
      <c r="B1573" s="54" t="str">
        <f>IFERROR(VLOOKUP(A1573,Lookup!A:B,2,0),"")</f>
        <v/>
      </c>
      <c r="C1573" s="54" t="str">
        <f>IFERROR(VLOOKUP(A1573,Lookup!A:C,3,0),"")</f>
        <v/>
      </c>
      <c r="J1573" s="103">
        <f>VLOOKUP(A1573&amp;G1573,Lookup!J:N,5,0)</f>
        <v>0</v>
      </c>
      <c r="O1573" s="57">
        <f>IFERROR(VLOOKUP(A1573&amp;G1573,Lookup!J:K,2,0),"")</f>
        <v>0</v>
      </c>
      <c r="P1573" s="110" t="str">
        <f t="shared" si="93"/>
        <v/>
      </c>
      <c r="T1573" s="59" t="e">
        <f t="shared" si="94"/>
        <v>#VALUE!</v>
      </c>
      <c r="U1573" s="59"/>
    </row>
    <row r="1574" spans="2:21" x14ac:dyDescent="0.25">
      <c r="B1574" s="54" t="str">
        <f>IFERROR(VLOOKUP(A1574,Lookup!A:B,2,0),"")</f>
        <v/>
      </c>
      <c r="C1574" s="54" t="str">
        <f>IFERROR(VLOOKUP(A1574,Lookup!A:C,3,0),"")</f>
        <v/>
      </c>
      <c r="J1574" s="103">
        <f>VLOOKUP(A1574&amp;G1574,Lookup!J:N,5,0)</f>
        <v>0</v>
      </c>
      <c r="O1574" s="57">
        <f>IFERROR(VLOOKUP(A1574&amp;G1574,Lookup!J:K,2,0),"")</f>
        <v>0</v>
      </c>
      <c r="P1574" s="110" t="str">
        <f t="shared" si="93"/>
        <v/>
      </c>
      <c r="T1574" s="59" t="e">
        <f t="shared" si="94"/>
        <v>#VALUE!</v>
      </c>
      <c r="U1574" s="59"/>
    </row>
    <row r="1575" spans="2:21" x14ac:dyDescent="0.25">
      <c r="B1575" s="54" t="str">
        <f>IFERROR(VLOOKUP(A1575,Lookup!A:B,2,0),"")</f>
        <v/>
      </c>
      <c r="C1575" s="54" t="str">
        <f>IFERROR(VLOOKUP(A1575,Lookup!A:C,3,0),"")</f>
        <v/>
      </c>
      <c r="J1575" s="103">
        <f>VLOOKUP(A1575&amp;G1575,Lookup!J:N,5,0)</f>
        <v>0</v>
      </c>
      <c r="O1575" s="57">
        <f>IFERROR(VLOOKUP(A1575&amp;G1575,Lookup!J:K,2,0),"")</f>
        <v>0</v>
      </c>
      <c r="P1575" s="110" t="str">
        <f t="shared" si="93"/>
        <v/>
      </c>
      <c r="T1575" s="59" t="e">
        <f t="shared" si="94"/>
        <v>#VALUE!</v>
      </c>
      <c r="U1575" s="59"/>
    </row>
    <row r="1576" spans="2:21" x14ac:dyDescent="0.25">
      <c r="B1576" s="54" t="str">
        <f>IFERROR(VLOOKUP(A1576,Lookup!A:B,2,0),"")</f>
        <v/>
      </c>
      <c r="C1576" s="54" t="str">
        <f>IFERROR(VLOOKUP(A1576,Lookup!A:C,3,0),"")</f>
        <v/>
      </c>
      <c r="J1576" s="103">
        <f>VLOOKUP(A1576&amp;G1576,Lookup!J:N,5,0)</f>
        <v>0</v>
      </c>
      <c r="O1576" s="57">
        <f>IFERROR(VLOOKUP(A1576&amp;G1576,Lookup!J:K,2,0),"")</f>
        <v>0</v>
      </c>
      <c r="P1576" s="110" t="str">
        <f t="shared" si="93"/>
        <v/>
      </c>
      <c r="T1576" s="59" t="e">
        <f t="shared" si="94"/>
        <v>#VALUE!</v>
      </c>
      <c r="U1576" s="59"/>
    </row>
    <row r="1577" spans="2:21" x14ac:dyDescent="0.25">
      <c r="B1577" s="54" t="str">
        <f>IFERROR(VLOOKUP(A1577,Lookup!A:B,2,0),"")</f>
        <v/>
      </c>
      <c r="C1577" s="54" t="str">
        <f>IFERROR(VLOOKUP(A1577,Lookup!A:C,3,0),"")</f>
        <v/>
      </c>
      <c r="J1577" s="103">
        <f>VLOOKUP(A1577&amp;G1577,Lookup!J:N,5,0)</f>
        <v>0</v>
      </c>
      <c r="O1577" s="57">
        <f>IFERROR(VLOOKUP(A1577&amp;G1577,Lookup!J:K,2,0),"")</f>
        <v>0</v>
      </c>
      <c r="P1577" s="110" t="str">
        <f t="shared" si="93"/>
        <v/>
      </c>
      <c r="T1577" s="59" t="e">
        <f t="shared" si="94"/>
        <v>#VALUE!</v>
      </c>
      <c r="U1577" s="59"/>
    </row>
    <row r="1578" spans="2:21" x14ac:dyDescent="0.25">
      <c r="B1578" s="54" t="str">
        <f>IFERROR(VLOOKUP(A1578,Lookup!A:B,2,0),"")</f>
        <v/>
      </c>
      <c r="C1578" s="54" t="str">
        <f>IFERROR(VLOOKUP(A1578,Lookup!A:C,3,0),"")</f>
        <v/>
      </c>
      <c r="J1578" s="103">
        <f>VLOOKUP(A1578&amp;G1578,Lookup!J:N,5,0)</f>
        <v>0</v>
      </c>
      <c r="O1578" s="57">
        <f>IFERROR(VLOOKUP(A1578&amp;G1578,Lookup!J:K,2,0),"")</f>
        <v>0</v>
      </c>
      <c r="P1578" s="110" t="str">
        <f t="shared" si="93"/>
        <v/>
      </c>
      <c r="T1578" s="59" t="e">
        <f t="shared" si="94"/>
        <v>#VALUE!</v>
      </c>
      <c r="U1578" s="59"/>
    </row>
    <row r="1579" spans="2:21" x14ac:dyDescent="0.25">
      <c r="B1579" s="54" t="str">
        <f>IFERROR(VLOOKUP(A1579,Lookup!A:B,2,0),"")</f>
        <v/>
      </c>
      <c r="C1579" s="54" t="str">
        <f>IFERROR(VLOOKUP(A1579,Lookup!A:C,3,0),"")</f>
        <v/>
      </c>
      <c r="J1579" s="103">
        <f>VLOOKUP(A1579&amp;G1579,Lookup!J:N,5,0)</f>
        <v>0</v>
      </c>
      <c r="O1579" s="57">
        <f>IFERROR(VLOOKUP(A1579&amp;G1579,Lookup!J:K,2,0),"")</f>
        <v>0</v>
      </c>
      <c r="P1579" s="110" t="str">
        <f t="shared" si="93"/>
        <v/>
      </c>
      <c r="T1579" s="59" t="e">
        <f t="shared" si="94"/>
        <v>#VALUE!</v>
      </c>
      <c r="U1579" s="59"/>
    </row>
    <row r="1580" spans="2:21" x14ac:dyDescent="0.25">
      <c r="B1580" s="54" t="str">
        <f>IFERROR(VLOOKUP(A1580,Lookup!A:B,2,0),"")</f>
        <v/>
      </c>
      <c r="C1580" s="54" t="str">
        <f>IFERROR(VLOOKUP(A1580,Lookup!A:C,3,0),"")</f>
        <v/>
      </c>
      <c r="J1580" s="103">
        <f>VLOOKUP(A1580&amp;G1580,Lookup!J:N,5,0)</f>
        <v>0</v>
      </c>
      <c r="O1580" s="57">
        <f>IFERROR(VLOOKUP(A1580&amp;G1580,Lookup!J:K,2,0),"")</f>
        <v>0</v>
      </c>
      <c r="P1580" s="110" t="str">
        <f t="shared" si="93"/>
        <v/>
      </c>
      <c r="T1580" s="59" t="e">
        <f t="shared" si="94"/>
        <v>#VALUE!</v>
      </c>
      <c r="U1580" s="59"/>
    </row>
    <row r="1581" spans="2:21" x14ac:dyDescent="0.25">
      <c r="B1581" s="54" t="str">
        <f>IFERROR(VLOOKUP(A1581,Lookup!A:B,2,0),"")</f>
        <v/>
      </c>
      <c r="C1581" s="54" t="str">
        <f>IFERROR(VLOOKUP(A1581,Lookup!A:C,3,0),"")</f>
        <v/>
      </c>
      <c r="J1581" s="103">
        <f>VLOOKUP(A1581&amp;G1581,Lookup!J:N,5,0)</f>
        <v>0</v>
      </c>
      <c r="O1581" s="57">
        <f>IFERROR(VLOOKUP(A1581&amp;G1581,Lookup!J:K,2,0),"")</f>
        <v>0</v>
      </c>
      <c r="P1581" s="110" t="str">
        <f t="shared" si="93"/>
        <v/>
      </c>
      <c r="T1581" s="59" t="e">
        <f t="shared" si="94"/>
        <v>#VALUE!</v>
      </c>
      <c r="U1581" s="59"/>
    </row>
    <row r="1582" spans="2:21" x14ac:dyDescent="0.25">
      <c r="B1582" s="54" t="str">
        <f>IFERROR(VLOOKUP(A1582,Lookup!A:B,2,0),"")</f>
        <v/>
      </c>
      <c r="C1582" s="54" t="str">
        <f>IFERROR(VLOOKUP(A1582,Lookup!A:C,3,0),"")</f>
        <v/>
      </c>
      <c r="J1582" s="103">
        <f>VLOOKUP(A1582&amp;G1582,Lookup!J:N,5,0)</f>
        <v>0</v>
      </c>
      <c r="O1582" s="57">
        <f>IFERROR(VLOOKUP(A1582&amp;G1582,Lookup!J:K,2,0),"")</f>
        <v>0</v>
      </c>
      <c r="P1582" s="110" t="str">
        <f t="shared" si="93"/>
        <v/>
      </c>
      <c r="T1582" s="59" t="e">
        <f t="shared" si="94"/>
        <v>#VALUE!</v>
      </c>
      <c r="U1582" s="59"/>
    </row>
    <row r="1583" spans="2:21" x14ac:dyDescent="0.25">
      <c r="B1583" s="54" t="str">
        <f>IFERROR(VLOOKUP(A1583,Lookup!A:B,2,0),"")</f>
        <v/>
      </c>
      <c r="C1583" s="54" t="str">
        <f>IFERROR(VLOOKUP(A1583,Lookup!A:C,3,0),"")</f>
        <v/>
      </c>
      <c r="J1583" s="103">
        <f>VLOOKUP(A1583&amp;G1583,Lookup!J:N,5,0)</f>
        <v>0</v>
      </c>
      <c r="O1583" s="57">
        <f>IFERROR(VLOOKUP(A1583&amp;G1583,Lookup!J:K,2,0),"")</f>
        <v>0</v>
      </c>
      <c r="P1583" s="110" t="str">
        <f t="shared" si="93"/>
        <v/>
      </c>
      <c r="T1583" s="59" t="e">
        <f t="shared" si="94"/>
        <v>#VALUE!</v>
      </c>
      <c r="U1583" s="59"/>
    </row>
    <row r="1584" spans="2:21" x14ac:dyDescent="0.25">
      <c r="B1584" s="54" t="str">
        <f>IFERROR(VLOOKUP(A1584,Lookup!A:B,2,0),"")</f>
        <v/>
      </c>
      <c r="C1584" s="54" t="str">
        <f>IFERROR(VLOOKUP(A1584,Lookup!A:C,3,0),"")</f>
        <v/>
      </c>
      <c r="J1584" s="103">
        <f>VLOOKUP(A1584&amp;G1584,Lookup!J:N,5,0)</f>
        <v>0</v>
      </c>
      <c r="O1584" s="57">
        <f>IFERROR(VLOOKUP(A1584&amp;G1584,Lookup!J:K,2,0),"")</f>
        <v>0</v>
      </c>
      <c r="P1584" s="110" t="str">
        <f t="shared" si="93"/>
        <v/>
      </c>
      <c r="T1584" s="59" t="e">
        <f t="shared" si="94"/>
        <v>#VALUE!</v>
      </c>
      <c r="U1584" s="59"/>
    </row>
    <row r="1585" spans="2:21" x14ac:dyDescent="0.25">
      <c r="B1585" s="54" t="str">
        <f>IFERROR(VLOOKUP(A1585,Lookup!A:B,2,0),"")</f>
        <v/>
      </c>
      <c r="C1585" s="54" t="str">
        <f>IFERROR(VLOOKUP(A1585,Lookup!A:C,3,0),"")</f>
        <v/>
      </c>
      <c r="J1585" s="103">
        <f>VLOOKUP(A1585&amp;G1585,Lookup!J:N,5,0)</f>
        <v>0</v>
      </c>
      <c r="O1585" s="57">
        <f>IFERROR(VLOOKUP(A1585&amp;G1585,Lookup!J:K,2,0),"")</f>
        <v>0</v>
      </c>
      <c r="P1585" s="110" t="str">
        <f t="shared" si="93"/>
        <v/>
      </c>
      <c r="T1585" s="59" t="e">
        <f t="shared" si="94"/>
        <v>#VALUE!</v>
      </c>
      <c r="U1585" s="59"/>
    </row>
    <row r="1586" spans="2:21" x14ac:dyDescent="0.25">
      <c r="B1586" s="54" t="str">
        <f>IFERROR(VLOOKUP(A1586,Lookup!A:B,2,0),"")</f>
        <v/>
      </c>
      <c r="C1586" s="54" t="str">
        <f>IFERROR(VLOOKUP(A1586,Lookup!A:C,3,0),"")</f>
        <v/>
      </c>
      <c r="J1586" s="103">
        <f>VLOOKUP(A1586&amp;G1586,Lookup!J:N,5,0)</f>
        <v>0</v>
      </c>
      <c r="O1586" s="57">
        <f>IFERROR(VLOOKUP(A1586&amp;G1586,Lookup!J:K,2,0),"")</f>
        <v>0</v>
      </c>
      <c r="P1586" s="110" t="str">
        <f t="shared" si="93"/>
        <v/>
      </c>
      <c r="T1586" s="59" t="e">
        <f t="shared" si="94"/>
        <v>#VALUE!</v>
      </c>
      <c r="U1586" s="59"/>
    </row>
    <row r="1587" spans="2:21" x14ac:dyDescent="0.25">
      <c r="B1587" s="54" t="str">
        <f>IFERROR(VLOOKUP(A1587,Lookup!A:B,2,0),"")</f>
        <v/>
      </c>
      <c r="C1587" s="54" t="str">
        <f>IFERROR(VLOOKUP(A1587,Lookup!A:C,3,0),"")</f>
        <v/>
      </c>
      <c r="J1587" s="103">
        <f>VLOOKUP(A1587&amp;G1587,Lookup!J:N,5,0)</f>
        <v>0</v>
      </c>
      <c r="O1587" s="57">
        <f>IFERROR(VLOOKUP(A1587&amp;G1587,Lookup!J:K,2,0),"")</f>
        <v>0</v>
      </c>
      <c r="P1587" s="110" t="str">
        <f t="shared" si="93"/>
        <v/>
      </c>
      <c r="T1587" s="59" t="e">
        <f t="shared" si="94"/>
        <v>#VALUE!</v>
      </c>
      <c r="U1587" s="59"/>
    </row>
    <row r="1588" spans="2:21" x14ac:dyDescent="0.25">
      <c r="B1588" s="54" t="str">
        <f>IFERROR(VLOOKUP(A1588,Lookup!A:B,2,0),"")</f>
        <v/>
      </c>
      <c r="C1588" s="54" t="str">
        <f>IFERROR(VLOOKUP(A1588,Lookup!A:C,3,0),"")</f>
        <v/>
      </c>
      <c r="J1588" s="103">
        <f>VLOOKUP(A1588&amp;G1588,Lookup!J:N,5,0)</f>
        <v>0</v>
      </c>
      <c r="O1588" s="57">
        <f>IFERROR(VLOOKUP(A1588&amp;G1588,Lookup!J:K,2,0),"")</f>
        <v>0</v>
      </c>
      <c r="P1588" s="110" t="str">
        <f t="shared" si="93"/>
        <v/>
      </c>
      <c r="T1588" s="59" t="e">
        <f t="shared" si="94"/>
        <v>#VALUE!</v>
      </c>
      <c r="U1588" s="59"/>
    </row>
    <row r="1589" spans="2:21" x14ac:dyDescent="0.25">
      <c r="B1589" s="54" t="str">
        <f>IFERROR(VLOOKUP(A1589,Lookup!A:B,2,0),"")</f>
        <v/>
      </c>
      <c r="C1589" s="54" t="str">
        <f>IFERROR(VLOOKUP(A1589,Lookup!A:C,3,0),"")</f>
        <v/>
      </c>
      <c r="J1589" s="103">
        <f>VLOOKUP(A1589&amp;G1589,Lookup!J:N,5,0)</f>
        <v>0</v>
      </c>
      <c r="O1589" s="57">
        <f>IFERROR(VLOOKUP(A1589&amp;G1589,Lookup!J:K,2,0),"")</f>
        <v>0</v>
      </c>
      <c r="P1589" s="110" t="str">
        <f t="shared" si="93"/>
        <v/>
      </c>
      <c r="T1589" s="59" t="e">
        <f t="shared" si="94"/>
        <v>#VALUE!</v>
      </c>
      <c r="U1589" s="59"/>
    </row>
    <row r="1590" spans="2:21" x14ac:dyDescent="0.25">
      <c r="B1590" s="54" t="str">
        <f>IFERROR(VLOOKUP(A1590,Lookup!A:B,2,0),"")</f>
        <v/>
      </c>
      <c r="C1590" s="54" t="str">
        <f>IFERROR(VLOOKUP(A1590,Lookup!A:C,3,0),"")</f>
        <v/>
      </c>
      <c r="J1590" s="103">
        <f>VLOOKUP(A1590&amp;G1590,Lookup!J:N,5,0)</f>
        <v>0</v>
      </c>
      <c r="O1590" s="57">
        <f>IFERROR(VLOOKUP(A1590&amp;G1590,Lookup!J:K,2,0),"")</f>
        <v>0</v>
      </c>
      <c r="P1590" s="110" t="str">
        <f t="shared" si="93"/>
        <v/>
      </c>
      <c r="T1590" s="59" t="e">
        <f t="shared" si="94"/>
        <v>#VALUE!</v>
      </c>
      <c r="U1590" s="59"/>
    </row>
    <row r="1591" spans="2:21" x14ac:dyDescent="0.25">
      <c r="B1591" s="54" t="str">
        <f>IFERROR(VLOOKUP(A1591,Lookup!A:B,2,0),"")</f>
        <v/>
      </c>
      <c r="C1591" s="54" t="str">
        <f>IFERROR(VLOOKUP(A1591,Lookup!A:C,3,0),"")</f>
        <v/>
      </c>
      <c r="J1591" s="103">
        <f>VLOOKUP(A1591&amp;G1591,Lookup!J:N,5,0)</f>
        <v>0</v>
      </c>
      <c r="O1591" s="57">
        <f>IFERROR(VLOOKUP(A1591&amp;G1591,Lookup!J:K,2,0),"")</f>
        <v>0</v>
      </c>
      <c r="P1591" s="110" t="str">
        <f t="shared" si="93"/>
        <v/>
      </c>
      <c r="T1591" s="59" t="e">
        <f t="shared" si="94"/>
        <v>#VALUE!</v>
      </c>
      <c r="U1591" s="59"/>
    </row>
    <row r="1592" spans="2:21" x14ac:dyDescent="0.25">
      <c r="B1592" s="54" t="str">
        <f>IFERROR(VLOOKUP(A1592,Lookup!A:B,2,0),"")</f>
        <v/>
      </c>
      <c r="C1592" s="54" t="str">
        <f>IFERROR(VLOOKUP(A1592,Lookup!A:C,3,0),"")</f>
        <v/>
      </c>
      <c r="J1592" s="103">
        <f>VLOOKUP(A1592&amp;G1592,Lookup!J:N,5,0)</f>
        <v>0</v>
      </c>
      <c r="O1592" s="57">
        <f>IFERROR(VLOOKUP(A1592&amp;G1592,Lookup!J:K,2,0),"")</f>
        <v>0</v>
      </c>
      <c r="P1592" s="110" t="str">
        <f t="shared" si="93"/>
        <v/>
      </c>
      <c r="T1592" s="59" t="e">
        <f t="shared" si="94"/>
        <v>#VALUE!</v>
      </c>
      <c r="U1592" s="59"/>
    </row>
    <row r="1593" spans="2:21" x14ac:dyDescent="0.25">
      <c r="B1593" s="54" t="str">
        <f>IFERROR(VLOOKUP(A1593,Lookup!A:B,2,0),"")</f>
        <v/>
      </c>
      <c r="C1593" s="54" t="str">
        <f>IFERROR(VLOOKUP(A1593,Lookup!A:C,3,0),"")</f>
        <v/>
      </c>
      <c r="J1593" s="103">
        <f>VLOOKUP(A1593&amp;G1593,Lookup!J:N,5,0)</f>
        <v>0</v>
      </c>
      <c r="O1593" s="57">
        <f>IFERROR(VLOOKUP(A1593&amp;G1593,Lookup!J:K,2,0),"")</f>
        <v>0</v>
      </c>
      <c r="P1593" s="110" t="str">
        <f t="shared" si="93"/>
        <v/>
      </c>
      <c r="T1593" s="59" t="e">
        <f t="shared" si="94"/>
        <v>#VALUE!</v>
      </c>
      <c r="U1593" s="59"/>
    </row>
    <row r="1594" spans="2:21" x14ac:dyDescent="0.25">
      <c r="B1594" s="54" t="str">
        <f>IFERROR(VLOOKUP(A1594,Lookup!A:B,2,0),"")</f>
        <v/>
      </c>
      <c r="C1594" s="54" t="str">
        <f>IFERROR(VLOOKUP(A1594,Lookup!A:C,3,0),"")</f>
        <v/>
      </c>
      <c r="J1594" s="103">
        <f>VLOOKUP(A1594&amp;G1594,Lookup!J:N,5,0)</f>
        <v>0</v>
      </c>
      <c r="O1594" s="57">
        <f>IFERROR(VLOOKUP(A1594&amp;G1594,Lookup!J:K,2,0),"")</f>
        <v>0</v>
      </c>
      <c r="P1594" s="110" t="str">
        <f t="shared" si="93"/>
        <v/>
      </c>
      <c r="T1594" s="59" t="e">
        <f t="shared" si="94"/>
        <v>#VALUE!</v>
      </c>
      <c r="U1594" s="59"/>
    </row>
    <row r="1595" spans="2:21" x14ac:dyDescent="0.25">
      <c r="B1595" s="54" t="str">
        <f>IFERROR(VLOOKUP(A1595,Lookup!A:B,2,0),"")</f>
        <v/>
      </c>
      <c r="C1595" s="54" t="str">
        <f>IFERROR(VLOOKUP(A1595,Lookup!A:C,3,0),"")</f>
        <v/>
      </c>
      <c r="J1595" s="103">
        <f>VLOOKUP(A1595&amp;G1595,Lookup!J:N,5,0)</f>
        <v>0</v>
      </c>
      <c r="O1595" s="57">
        <f>IFERROR(VLOOKUP(A1595&amp;G1595,Lookup!J:K,2,0),"")</f>
        <v>0</v>
      </c>
      <c r="P1595" s="110" t="str">
        <f t="shared" si="93"/>
        <v/>
      </c>
      <c r="T1595" s="59" t="e">
        <f t="shared" si="94"/>
        <v>#VALUE!</v>
      </c>
      <c r="U1595" s="59"/>
    </row>
    <row r="1596" spans="2:21" x14ac:dyDescent="0.25">
      <c r="B1596" s="54" t="str">
        <f>IFERROR(VLOOKUP(A1596,Lookup!A:B,2,0),"")</f>
        <v/>
      </c>
      <c r="C1596" s="54" t="str">
        <f>IFERROR(VLOOKUP(A1596,Lookup!A:C,3,0),"")</f>
        <v/>
      </c>
      <c r="J1596" s="103">
        <f>VLOOKUP(A1596&amp;G1596,Lookup!J:N,5,0)</f>
        <v>0</v>
      </c>
      <c r="O1596" s="57">
        <f>IFERROR(VLOOKUP(A1596&amp;G1596,Lookup!J:K,2,0),"")</f>
        <v>0</v>
      </c>
      <c r="P1596" s="110" t="str">
        <f t="shared" si="93"/>
        <v/>
      </c>
      <c r="T1596" s="59" t="e">
        <f t="shared" si="94"/>
        <v>#VALUE!</v>
      </c>
      <c r="U1596" s="59"/>
    </row>
    <row r="1597" spans="2:21" x14ac:dyDescent="0.25">
      <c r="B1597" s="54" t="str">
        <f>IFERROR(VLOOKUP(A1597,Lookup!A:B,2,0),"")</f>
        <v/>
      </c>
      <c r="C1597" s="54" t="str">
        <f>IFERROR(VLOOKUP(A1597,Lookup!A:C,3,0),"")</f>
        <v/>
      </c>
      <c r="J1597" s="103">
        <f>VLOOKUP(A1597&amp;G1597,Lookup!J:N,5,0)</f>
        <v>0</v>
      </c>
      <c r="O1597" s="57">
        <f>IFERROR(VLOOKUP(A1597&amp;G1597,Lookup!J:K,2,0),"")</f>
        <v>0</v>
      </c>
      <c r="P1597" s="110" t="str">
        <f t="shared" si="93"/>
        <v/>
      </c>
      <c r="T1597" s="59" t="e">
        <f t="shared" si="94"/>
        <v>#VALUE!</v>
      </c>
      <c r="U1597" s="59"/>
    </row>
    <row r="1598" spans="2:21" x14ac:dyDescent="0.25">
      <c r="B1598" s="54" t="str">
        <f>IFERROR(VLOOKUP(A1598,Lookup!A:B,2,0),"")</f>
        <v/>
      </c>
      <c r="C1598" s="54" t="str">
        <f>IFERROR(VLOOKUP(A1598,Lookup!A:C,3,0),"")</f>
        <v/>
      </c>
      <c r="J1598" s="103">
        <f>VLOOKUP(A1598&amp;G1598,Lookup!J:N,5,0)</f>
        <v>0</v>
      </c>
      <c r="O1598" s="57">
        <f>IFERROR(VLOOKUP(A1598&amp;G1598,Lookup!J:K,2,0),"")</f>
        <v>0</v>
      </c>
      <c r="P1598" s="110" t="str">
        <f t="shared" si="93"/>
        <v/>
      </c>
      <c r="T1598" s="59" t="e">
        <f t="shared" si="94"/>
        <v>#VALUE!</v>
      </c>
      <c r="U1598" s="59"/>
    </row>
    <row r="1599" spans="2:21" x14ac:dyDescent="0.25">
      <c r="B1599" s="54" t="str">
        <f>IFERROR(VLOOKUP(A1599,Lookup!A:B,2,0),"")</f>
        <v/>
      </c>
      <c r="C1599" s="54" t="str">
        <f>IFERROR(VLOOKUP(A1599,Lookup!A:C,3,0),"")</f>
        <v/>
      </c>
      <c r="J1599" s="103">
        <f>VLOOKUP(A1599&amp;G1599,Lookup!J:N,5,0)</f>
        <v>0</v>
      </c>
      <c r="O1599" s="57">
        <f>IFERROR(VLOOKUP(A1599&amp;G1599,Lookup!J:K,2,0),"")</f>
        <v>0</v>
      </c>
      <c r="P1599" s="110" t="str">
        <f t="shared" si="93"/>
        <v/>
      </c>
      <c r="T1599" s="59" t="e">
        <f t="shared" si="94"/>
        <v>#VALUE!</v>
      </c>
      <c r="U1599" s="59"/>
    </row>
    <row r="1600" spans="2:21" x14ac:dyDescent="0.25">
      <c r="B1600" s="54" t="str">
        <f>IFERROR(VLOOKUP(A1600,Lookup!A:B,2,0),"")</f>
        <v/>
      </c>
      <c r="C1600" s="54" t="str">
        <f>IFERROR(VLOOKUP(A1600,Lookup!A:C,3,0),"")</f>
        <v/>
      </c>
      <c r="J1600" s="103">
        <f>VLOOKUP(A1600&amp;G1600,Lookup!J:N,5,0)</f>
        <v>0</v>
      </c>
      <c r="O1600" s="57">
        <f>IFERROR(VLOOKUP(A1600&amp;G1600,Lookup!J:K,2,0),"")</f>
        <v>0</v>
      </c>
      <c r="P1600" s="110" t="str">
        <f t="shared" si="93"/>
        <v/>
      </c>
      <c r="T1600" s="59" t="e">
        <f t="shared" si="94"/>
        <v>#VALUE!</v>
      </c>
      <c r="U1600" s="59"/>
    </row>
    <row r="1601" spans="2:21" x14ac:dyDescent="0.25">
      <c r="B1601" s="54" t="str">
        <f>IFERROR(VLOOKUP(A1601,Lookup!A:B,2,0),"")</f>
        <v/>
      </c>
      <c r="C1601" s="54" t="str">
        <f>IFERROR(VLOOKUP(A1601,Lookup!A:C,3,0),"")</f>
        <v/>
      </c>
      <c r="J1601" s="103">
        <f>VLOOKUP(A1601&amp;G1601,Lookup!J:N,5,0)</f>
        <v>0</v>
      </c>
      <c r="O1601" s="57">
        <f>IFERROR(VLOOKUP(A1601&amp;G1601,Lookup!J:K,2,0),"")</f>
        <v>0</v>
      </c>
      <c r="P1601" s="110" t="str">
        <f t="shared" si="93"/>
        <v/>
      </c>
      <c r="T1601" s="59" t="e">
        <f t="shared" si="94"/>
        <v>#VALUE!</v>
      </c>
      <c r="U1601" s="59"/>
    </row>
    <row r="1602" spans="2:21" x14ac:dyDescent="0.25">
      <c r="B1602" s="54" t="str">
        <f>IFERROR(VLOOKUP(A1602,Lookup!A:B,2,0),"")</f>
        <v/>
      </c>
      <c r="C1602" s="54" t="str">
        <f>IFERROR(VLOOKUP(A1602,Lookup!A:C,3,0),"")</f>
        <v/>
      </c>
      <c r="J1602" s="103">
        <f>VLOOKUP(A1602&amp;G1602,Lookup!J:N,5,0)</f>
        <v>0</v>
      </c>
      <c r="O1602" s="57">
        <f>IFERROR(VLOOKUP(A1602&amp;G1602,Lookup!J:K,2,0),"")</f>
        <v>0</v>
      </c>
      <c r="P1602" s="110" t="str">
        <f t="shared" si="93"/>
        <v/>
      </c>
      <c r="T1602" s="59" t="e">
        <f t="shared" si="94"/>
        <v>#VALUE!</v>
      </c>
      <c r="U1602" s="59"/>
    </row>
    <row r="1603" spans="2:21" x14ac:dyDescent="0.25">
      <c r="B1603" s="54" t="str">
        <f>IFERROR(VLOOKUP(A1603,Lookup!A:B,2,0),"")</f>
        <v/>
      </c>
      <c r="C1603" s="54" t="str">
        <f>IFERROR(VLOOKUP(A1603,Lookup!A:C,3,0),"")</f>
        <v/>
      </c>
      <c r="J1603" s="103">
        <f>VLOOKUP(A1603&amp;G1603,Lookup!J:N,5,0)</f>
        <v>0</v>
      </c>
      <c r="O1603" s="57">
        <f>IFERROR(VLOOKUP(A1603&amp;G1603,Lookup!J:K,2,0),"")</f>
        <v>0</v>
      </c>
      <c r="P1603" s="110" t="str">
        <f t="shared" si="93"/>
        <v/>
      </c>
      <c r="T1603" s="59" t="e">
        <f t="shared" si="94"/>
        <v>#VALUE!</v>
      </c>
      <c r="U1603" s="59"/>
    </row>
    <row r="1604" spans="2:21" x14ac:dyDescent="0.25">
      <c r="B1604" s="54" t="str">
        <f>IFERROR(VLOOKUP(A1604,Lookup!A:B,2,0),"")</f>
        <v/>
      </c>
      <c r="C1604" s="54" t="str">
        <f>IFERROR(VLOOKUP(A1604,Lookup!A:C,3,0),"")</f>
        <v/>
      </c>
      <c r="J1604" s="103">
        <f>VLOOKUP(A1604&amp;G1604,Lookup!J:N,5,0)</f>
        <v>0</v>
      </c>
      <c r="O1604" s="57">
        <f>IFERROR(VLOOKUP(A1604&amp;G1604,Lookup!J:K,2,0),"")</f>
        <v>0</v>
      </c>
      <c r="P1604" s="110" t="str">
        <f t="shared" ref="P1604:P1667" si="95">IF(N1604="","",N1604+O1604)</f>
        <v/>
      </c>
      <c r="T1604" s="59" t="e">
        <f t="shared" si="94"/>
        <v>#VALUE!</v>
      </c>
      <c r="U1604" s="59"/>
    </row>
    <row r="1605" spans="2:21" x14ac:dyDescent="0.25">
      <c r="B1605" s="54" t="str">
        <f>IFERROR(VLOOKUP(A1605,Lookup!A:B,2,0),"")</f>
        <v/>
      </c>
      <c r="C1605" s="54" t="str">
        <f>IFERROR(VLOOKUP(A1605,Lookup!A:C,3,0),"")</f>
        <v/>
      </c>
      <c r="J1605" s="103">
        <f>VLOOKUP(A1605&amp;G1605,Lookup!J:N,5,0)</f>
        <v>0</v>
      </c>
      <c r="O1605" s="57">
        <f>IFERROR(VLOOKUP(A1605&amp;G1605,Lookup!J:K,2,0),"")</f>
        <v>0</v>
      </c>
      <c r="P1605" s="110" t="str">
        <f t="shared" si="95"/>
        <v/>
      </c>
      <c r="T1605" s="59" t="e">
        <f t="shared" si="94"/>
        <v>#VALUE!</v>
      </c>
      <c r="U1605" s="59"/>
    </row>
    <row r="1606" spans="2:21" x14ac:dyDescent="0.25">
      <c r="B1606" s="54" t="str">
        <f>IFERROR(VLOOKUP(A1606,Lookup!A:B,2,0),"")</f>
        <v/>
      </c>
      <c r="C1606" s="54" t="str">
        <f>IFERROR(VLOOKUP(A1606,Lookup!A:C,3,0),"")</f>
        <v/>
      </c>
      <c r="J1606" s="103">
        <f>VLOOKUP(A1606&amp;G1606,Lookup!J:N,5,0)</f>
        <v>0</v>
      </c>
      <c r="O1606" s="57">
        <f>IFERROR(VLOOKUP(A1606&amp;G1606,Lookup!J:K,2,0),"")</f>
        <v>0</v>
      </c>
      <c r="P1606" s="110" t="str">
        <f t="shared" si="95"/>
        <v/>
      </c>
      <c r="T1606" s="59" t="e">
        <f t="shared" si="94"/>
        <v>#VALUE!</v>
      </c>
      <c r="U1606" s="59"/>
    </row>
    <row r="1607" spans="2:21" x14ac:dyDescent="0.25">
      <c r="B1607" s="54" t="str">
        <f>IFERROR(VLOOKUP(A1607,Lookup!A:B,2,0),"")</f>
        <v/>
      </c>
      <c r="C1607" s="54" t="str">
        <f>IFERROR(VLOOKUP(A1607,Lookup!A:C,3,0),"")</f>
        <v/>
      </c>
      <c r="J1607" s="103">
        <f>VLOOKUP(A1607&amp;G1607,Lookup!J:N,5,0)</f>
        <v>0</v>
      </c>
      <c r="O1607" s="57">
        <f>IFERROR(VLOOKUP(A1607&amp;G1607,Lookup!J:K,2,0),"")</f>
        <v>0</v>
      </c>
      <c r="P1607" s="110" t="str">
        <f t="shared" si="95"/>
        <v/>
      </c>
      <c r="T1607" s="59" t="e">
        <f t="shared" si="94"/>
        <v>#VALUE!</v>
      </c>
      <c r="U1607" s="59"/>
    </row>
    <row r="1608" spans="2:21" x14ac:dyDescent="0.25">
      <c r="B1608" s="54" t="str">
        <f>IFERROR(VLOOKUP(A1608,Lookup!A:B,2,0),"")</f>
        <v/>
      </c>
      <c r="C1608" s="54" t="str">
        <f>IFERROR(VLOOKUP(A1608,Lookup!A:C,3,0),"")</f>
        <v/>
      </c>
      <c r="J1608" s="103">
        <f>VLOOKUP(A1608&amp;G1608,Lookup!J:N,5,0)</f>
        <v>0</v>
      </c>
      <c r="O1608" s="57">
        <f>IFERROR(VLOOKUP(A1608&amp;G1608,Lookup!J:K,2,0),"")</f>
        <v>0</v>
      </c>
      <c r="P1608" s="110" t="str">
        <f t="shared" si="95"/>
        <v/>
      </c>
      <c r="T1608" s="59" t="e">
        <f t="shared" si="94"/>
        <v>#VALUE!</v>
      </c>
      <c r="U1608" s="59"/>
    </row>
    <row r="1609" spans="2:21" x14ac:dyDescent="0.25">
      <c r="B1609" s="54" t="str">
        <f>IFERROR(VLOOKUP(A1609,Lookup!A:B,2,0),"")</f>
        <v/>
      </c>
      <c r="C1609" s="54" t="str">
        <f>IFERROR(VLOOKUP(A1609,Lookup!A:C,3,0),"")</f>
        <v/>
      </c>
      <c r="J1609" s="103">
        <f>VLOOKUP(A1609&amp;G1609,Lookup!J:N,5,0)</f>
        <v>0</v>
      </c>
      <c r="O1609" s="57">
        <f>IFERROR(VLOOKUP(A1609&amp;G1609,Lookup!J:K,2,0),"")</f>
        <v>0</v>
      </c>
      <c r="P1609" s="110" t="str">
        <f t="shared" si="95"/>
        <v/>
      </c>
      <c r="T1609" s="59" t="e">
        <f t="shared" si="94"/>
        <v>#VALUE!</v>
      </c>
      <c r="U1609" s="59"/>
    </row>
    <row r="1610" spans="2:21" x14ac:dyDescent="0.25">
      <c r="B1610" s="54" t="str">
        <f>IFERROR(VLOOKUP(A1610,Lookup!A:B,2,0),"")</f>
        <v/>
      </c>
      <c r="C1610" s="54" t="str">
        <f>IFERROR(VLOOKUP(A1610,Lookup!A:C,3,0),"")</f>
        <v/>
      </c>
      <c r="J1610" s="103">
        <f>VLOOKUP(A1610&amp;G1610,Lookup!J:N,5,0)</f>
        <v>0</v>
      </c>
      <c r="O1610" s="57">
        <f>IFERROR(VLOOKUP(A1610&amp;G1610,Lookup!J:K,2,0),"")</f>
        <v>0</v>
      </c>
      <c r="P1610" s="110" t="str">
        <f t="shared" si="95"/>
        <v/>
      </c>
      <c r="T1610" s="59" t="e">
        <f t="shared" si="94"/>
        <v>#VALUE!</v>
      </c>
      <c r="U1610" s="59"/>
    </row>
    <row r="1611" spans="2:21" x14ac:dyDescent="0.25">
      <c r="B1611" s="54" t="str">
        <f>IFERROR(VLOOKUP(A1611,Lookup!A:B,2,0),"")</f>
        <v/>
      </c>
      <c r="C1611" s="54" t="str">
        <f>IFERROR(VLOOKUP(A1611,Lookup!A:C,3,0),"")</f>
        <v/>
      </c>
      <c r="J1611" s="103">
        <f>VLOOKUP(A1611&amp;G1611,Lookup!J:N,5,0)</f>
        <v>0</v>
      </c>
      <c r="O1611" s="57">
        <f>IFERROR(VLOOKUP(A1611&amp;G1611,Lookup!J:K,2,0),"")</f>
        <v>0</v>
      </c>
      <c r="P1611" s="110" t="str">
        <f t="shared" si="95"/>
        <v/>
      </c>
      <c r="T1611" s="59" t="e">
        <f t="shared" si="94"/>
        <v>#VALUE!</v>
      </c>
      <c r="U1611" s="59"/>
    </row>
    <row r="1612" spans="2:21" x14ac:dyDescent="0.25">
      <c r="B1612" s="54" t="str">
        <f>IFERROR(VLOOKUP(A1612,Lookup!A:B,2,0),"")</f>
        <v/>
      </c>
      <c r="C1612" s="54" t="str">
        <f>IFERROR(VLOOKUP(A1612,Lookup!A:C,3,0),"")</f>
        <v/>
      </c>
      <c r="J1612" s="103">
        <f>VLOOKUP(A1612&amp;G1612,Lookup!J:N,5,0)</f>
        <v>0</v>
      </c>
      <c r="O1612" s="57">
        <f>IFERROR(VLOOKUP(A1612&amp;G1612,Lookup!J:K,2,0),"")</f>
        <v>0</v>
      </c>
      <c r="P1612" s="110" t="str">
        <f t="shared" si="95"/>
        <v/>
      </c>
      <c r="T1612" s="59" t="e">
        <f t="shared" si="94"/>
        <v>#VALUE!</v>
      </c>
      <c r="U1612" s="59"/>
    </row>
    <row r="1613" spans="2:21" x14ac:dyDescent="0.25">
      <c r="B1613" s="54" t="str">
        <f>IFERROR(VLOOKUP(A1613,Lookup!A:B,2,0),"")</f>
        <v/>
      </c>
      <c r="C1613" s="54" t="str">
        <f>IFERROR(VLOOKUP(A1613,Lookup!A:C,3,0),"")</f>
        <v/>
      </c>
      <c r="J1613" s="103">
        <f>VLOOKUP(A1613&amp;G1613,Lookup!J:N,5,0)</f>
        <v>0</v>
      </c>
      <c r="O1613" s="57">
        <f>IFERROR(VLOOKUP(A1613&amp;G1613,Lookup!J:K,2,0),"")</f>
        <v>0</v>
      </c>
      <c r="P1613" s="110" t="str">
        <f t="shared" si="95"/>
        <v/>
      </c>
      <c r="T1613" s="59" t="e">
        <f t="shared" si="94"/>
        <v>#VALUE!</v>
      </c>
      <c r="U1613" s="59"/>
    </row>
    <row r="1614" spans="2:21" x14ac:dyDescent="0.25">
      <c r="B1614" s="54" t="str">
        <f>IFERROR(VLOOKUP(A1614,Lookup!A:B,2,0),"")</f>
        <v/>
      </c>
      <c r="C1614" s="54" t="str">
        <f>IFERROR(VLOOKUP(A1614,Lookup!A:C,3,0),"")</f>
        <v/>
      </c>
      <c r="J1614" s="103">
        <f>VLOOKUP(A1614&amp;G1614,Lookup!J:N,5,0)</f>
        <v>0</v>
      </c>
      <c r="O1614" s="57">
        <f>IFERROR(VLOOKUP(A1614&amp;G1614,Lookup!J:K,2,0),"")</f>
        <v>0</v>
      </c>
      <c r="P1614" s="110" t="str">
        <f t="shared" si="95"/>
        <v/>
      </c>
      <c r="T1614" s="59" t="e">
        <f t="shared" ref="T1614:T1677" si="96">IF(Q1614-P1614&gt;0.0415,"YES",(IF(OR(EXACT(Q1614,""), EXACT(P1614,"")),"","NO")))</f>
        <v>#VALUE!</v>
      </c>
      <c r="U1614" s="59"/>
    </row>
    <row r="1615" spans="2:21" x14ac:dyDescent="0.25">
      <c r="B1615" s="54" t="str">
        <f>IFERROR(VLOOKUP(A1615,Lookup!A:B,2,0),"")</f>
        <v/>
      </c>
      <c r="C1615" s="54" t="str">
        <f>IFERROR(VLOOKUP(A1615,Lookup!A:C,3,0),"")</f>
        <v/>
      </c>
      <c r="J1615" s="103">
        <f>VLOOKUP(A1615&amp;G1615,Lookup!J:N,5,0)</f>
        <v>0</v>
      </c>
      <c r="O1615" s="57">
        <f>IFERROR(VLOOKUP(A1615&amp;G1615,Lookup!J:K,2,0),"")</f>
        <v>0</v>
      </c>
      <c r="P1615" s="110" t="str">
        <f t="shared" si="95"/>
        <v/>
      </c>
      <c r="T1615" s="59" t="e">
        <f t="shared" si="96"/>
        <v>#VALUE!</v>
      </c>
      <c r="U1615" s="59"/>
    </row>
    <row r="1616" spans="2:21" x14ac:dyDescent="0.25">
      <c r="B1616" s="54" t="str">
        <f>IFERROR(VLOOKUP(A1616,Lookup!A:B,2,0),"")</f>
        <v/>
      </c>
      <c r="C1616" s="54" t="str">
        <f>IFERROR(VLOOKUP(A1616,Lookup!A:C,3,0),"")</f>
        <v/>
      </c>
      <c r="J1616" s="103">
        <f>VLOOKUP(A1616&amp;G1616,Lookup!J:N,5,0)</f>
        <v>0</v>
      </c>
      <c r="O1616" s="57">
        <f>IFERROR(VLOOKUP(A1616&amp;G1616,Lookup!J:K,2,0),"")</f>
        <v>0</v>
      </c>
      <c r="P1616" s="110" t="str">
        <f t="shared" si="95"/>
        <v/>
      </c>
      <c r="T1616" s="59" t="e">
        <f t="shared" si="96"/>
        <v>#VALUE!</v>
      </c>
      <c r="U1616" s="59"/>
    </row>
    <row r="1617" spans="2:21" x14ac:dyDescent="0.25">
      <c r="B1617" s="54" t="str">
        <f>IFERROR(VLOOKUP(A1617,Lookup!A:B,2,0),"")</f>
        <v/>
      </c>
      <c r="C1617" s="54" t="str">
        <f>IFERROR(VLOOKUP(A1617,Lookup!A:C,3,0),"")</f>
        <v/>
      </c>
      <c r="J1617" s="103">
        <f>VLOOKUP(A1617&amp;G1617,Lookup!J:N,5,0)</f>
        <v>0</v>
      </c>
      <c r="O1617" s="57">
        <f>IFERROR(VLOOKUP(A1617&amp;G1617,Lookup!J:K,2,0),"")</f>
        <v>0</v>
      </c>
      <c r="P1617" s="110" t="str">
        <f t="shared" si="95"/>
        <v/>
      </c>
      <c r="T1617" s="59" t="e">
        <f t="shared" si="96"/>
        <v>#VALUE!</v>
      </c>
      <c r="U1617" s="59"/>
    </row>
    <row r="1618" spans="2:21" x14ac:dyDescent="0.25">
      <c r="B1618" s="54" t="str">
        <f>IFERROR(VLOOKUP(A1618,Lookup!A:B,2,0),"")</f>
        <v/>
      </c>
      <c r="C1618" s="54" t="str">
        <f>IFERROR(VLOOKUP(A1618,Lookup!A:C,3,0),"")</f>
        <v/>
      </c>
      <c r="J1618" s="103">
        <f>VLOOKUP(A1618&amp;G1618,Lookup!J:N,5,0)</f>
        <v>0</v>
      </c>
      <c r="O1618" s="57">
        <f>IFERROR(VLOOKUP(A1618&amp;G1618,Lookup!J:K,2,0),"")</f>
        <v>0</v>
      </c>
      <c r="P1618" s="110" t="str">
        <f t="shared" si="95"/>
        <v/>
      </c>
      <c r="T1618" s="59" t="e">
        <f t="shared" si="96"/>
        <v>#VALUE!</v>
      </c>
      <c r="U1618" s="59"/>
    </row>
    <row r="1619" spans="2:21" x14ac:dyDescent="0.25">
      <c r="B1619" s="54" t="str">
        <f>IFERROR(VLOOKUP(A1619,Lookup!A:B,2,0),"")</f>
        <v/>
      </c>
      <c r="C1619" s="54" t="str">
        <f>IFERROR(VLOOKUP(A1619,Lookup!A:C,3,0),"")</f>
        <v/>
      </c>
      <c r="J1619" s="103">
        <f>VLOOKUP(A1619&amp;G1619,Lookup!J:N,5,0)</f>
        <v>0</v>
      </c>
      <c r="O1619" s="57">
        <f>IFERROR(VLOOKUP(A1619&amp;G1619,Lookup!J:K,2,0),"")</f>
        <v>0</v>
      </c>
      <c r="P1619" s="110" t="str">
        <f t="shared" si="95"/>
        <v/>
      </c>
      <c r="T1619" s="59" t="e">
        <f t="shared" si="96"/>
        <v>#VALUE!</v>
      </c>
      <c r="U1619" s="59"/>
    </row>
    <row r="1620" spans="2:21" x14ac:dyDescent="0.25">
      <c r="B1620" s="54" t="str">
        <f>IFERROR(VLOOKUP(A1620,Lookup!A:B,2,0),"")</f>
        <v/>
      </c>
      <c r="C1620" s="54" t="str">
        <f>IFERROR(VLOOKUP(A1620,Lookup!A:C,3,0),"")</f>
        <v/>
      </c>
      <c r="J1620" s="103">
        <f>VLOOKUP(A1620&amp;G1620,Lookup!J:N,5,0)</f>
        <v>0</v>
      </c>
      <c r="O1620" s="57">
        <f>IFERROR(VLOOKUP(A1620&amp;G1620,Lookup!J:K,2,0),"")</f>
        <v>0</v>
      </c>
      <c r="P1620" s="110" t="str">
        <f t="shared" si="95"/>
        <v/>
      </c>
      <c r="T1620" s="59" t="e">
        <f t="shared" si="96"/>
        <v>#VALUE!</v>
      </c>
      <c r="U1620" s="59"/>
    </row>
    <row r="1621" spans="2:21" x14ac:dyDescent="0.25">
      <c r="B1621" s="54" t="str">
        <f>IFERROR(VLOOKUP(A1621,Lookup!A:B,2,0),"")</f>
        <v/>
      </c>
      <c r="C1621" s="54" t="str">
        <f>IFERROR(VLOOKUP(A1621,Lookup!A:C,3,0),"")</f>
        <v/>
      </c>
      <c r="J1621" s="103">
        <f>VLOOKUP(A1621&amp;G1621,Lookup!J:N,5,0)</f>
        <v>0</v>
      </c>
      <c r="O1621" s="57">
        <f>IFERROR(VLOOKUP(A1621&amp;G1621,Lookup!J:K,2,0),"")</f>
        <v>0</v>
      </c>
      <c r="P1621" s="110" t="str">
        <f t="shared" si="95"/>
        <v/>
      </c>
      <c r="T1621" s="59" t="e">
        <f t="shared" si="96"/>
        <v>#VALUE!</v>
      </c>
      <c r="U1621" s="59"/>
    </row>
    <row r="1622" spans="2:21" x14ac:dyDescent="0.25">
      <c r="B1622" s="54" t="str">
        <f>IFERROR(VLOOKUP(A1622,Lookup!A:B,2,0),"")</f>
        <v/>
      </c>
      <c r="C1622" s="54" t="str">
        <f>IFERROR(VLOOKUP(A1622,Lookup!A:C,3,0),"")</f>
        <v/>
      </c>
      <c r="J1622" s="103">
        <f>VLOOKUP(A1622&amp;G1622,Lookup!J:N,5,0)</f>
        <v>0</v>
      </c>
      <c r="O1622" s="57">
        <f>IFERROR(VLOOKUP(A1622&amp;G1622,Lookup!J:K,2,0),"")</f>
        <v>0</v>
      </c>
      <c r="P1622" s="110" t="str">
        <f t="shared" si="95"/>
        <v/>
      </c>
      <c r="T1622" s="59" t="e">
        <f t="shared" si="96"/>
        <v>#VALUE!</v>
      </c>
      <c r="U1622" s="59"/>
    </row>
    <row r="1623" spans="2:21" x14ac:dyDescent="0.25">
      <c r="B1623" s="54" t="str">
        <f>IFERROR(VLOOKUP(A1623,Lookup!A:B,2,0),"")</f>
        <v/>
      </c>
      <c r="C1623" s="54" t="str">
        <f>IFERROR(VLOOKUP(A1623,Lookup!A:C,3,0),"")</f>
        <v/>
      </c>
      <c r="J1623" s="103">
        <f>VLOOKUP(A1623&amp;G1623,Lookup!J:N,5,0)</f>
        <v>0</v>
      </c>
      <c r="O1623" s="57">
        <f>IFERROR(VLOOKUP(A1623&amp;G1623,Lookup!J:K,2,0),"")</f>
        <v>0</v>
      </c>
      <c r="P1623" s="110" t="str">
        <f t="shared" si="95"/>
        <v/>
      </c>
      <c r="T1623" s="59" t="e">
        <f t="shared" si="96"/>
        <v>#VALUE!</v>
      </c>
      <c r="U1623" s="59"/>
    </row>
    <row r="1624" spans="2:21" x14ac:dyDescent="0.25">
      <c r="B1624" s="54" t="str">
        <f>IFERROR(VLOOKUP(A1624,Lookup!A:B,2,0),"")</f>
        <v/>
      </c>
      <c r="C1624" s="54" t="str">
        <f>IFERROR(VLOOKUP(A1624,Lookup!A:C,3,0),"")</f>
        <v/>
      </c>
      <c r="J1624" s="103">
        <f>VLOOKUP(A1624&amp;G1624,Lookup!J:N,5,0)</f>
        <v>0</v>
      </c>
      <c r="O1624" s="57">
        <f>IFERROR(VLOOKUP(A1624&amp;G1624,Lookup!J:K,2,0),"")</f>
        <v>0</v>
      </c>
      <c r="P1624" s="110" t="str">
        <f t="shared" si="95"/>
        <v/>
      </c>
      <c r="T1624" s="59" t="e">
        <f t="shared" si="96"/>
        <v>#VALUE!</v>
      </c>
      <c r="U1624" s="59"/>
    </row>
    <row r="1625" spans="2:21" x14ac:dyDescent="0.25">
      <c r="B1625" s="54" t="str">
        <f>IFERROR(VLOOKUP(A1625,Lookup!A:B,2,0),"")</f>
        <v/>
      </c>
      <c r="C1625" s="54" t="str">
        <f>IFERROR(VLOOKUP(A1625,Lookup!A:C,3,0),"")</f>
        <v/>
      </c>
      <c r="J1625" s="103">
        <f>VLOOKUP(A1625&amp;G1625,Lookup!J:N,5,0)</f>
        <v>0</v>
      </c>
      <c r="O1625" s="57">
        <f>IFERROR(VLOOKUP(A1625&amp;G1625,Lookup!J:K,2,0),"")</f>
        <v>0</v>
      </c>
      <c r="P1625" s="110" t="str">
        <f t="shared" si="95"/>
        <v/>
      </c>
      <c r="T1625" s="59" t="e">
        <f t="shared" si="96"/>
        <v>#VALUE!</v>
      </c>
      <c r="U1625" s="59"/>
    </row>
    <row r="1626" spans="2:21" x14ac:dyDescent="0.25">
      <c r="B1626" s="54" t="str">
        <f>IFERROR(VLOOKUP(A1626,Lookup!A:B,2,0),"")</f>
        <v/>
      </c>
      <c r="C1626" s="54" t="str">
        <f>IFERROR(VLOOKUP(A1626,Lookup!A:C,3,0),"")</f>
        <v/>
      </c>
      <c r="J1626" s="103">
        <f>VLOOKUP(A1626&amp;G1626,Lookup!J:N,5,0)</f>
        <v>0</v>
      </c>
      <c r="O1626" s="57">
        <f>IFERROR(VLOOKUP(A1626&amp;G1626,Lookup!J:K,2,0),"")</f>
        <v>0</v>
      </c>
      <c r="P1626" s="110" t="str">
        <f t="shared" si="95"/>
        <v/>
      </c>
      <c r="T1626" s="59" t="e">
        <f t="shared" si="96"/>
        <v>#VALUE!</v>
      </c>
      <c r="U1626" s="59"/>
    </row>
    <row r="1627" spans="2:21" x14ac:dyDescent="0.25">
      <c r="B1627" s="54" t="str">
        <f>IFERROR(VLOOKUP(A1627,Lookup!A:B,2,0),"")</f>
        <v/>
      </c>
      <c r="C1627" s="54" t="str">
        <f>IFERROR(VLOOKUP(A1627,Lookup!A:C,3,0),"")</f>
        <v/>
      </c>
      <c r="J1627" s="103">
        <f>VLOOKUP(A1627&amp;G1627,Lookup!J:N,5,0)</f>
        <v>0</v>
      </c>
      <c r="O1627" s="57">
        <f>IFERROR(VLOOKUP(A1627&amp;G1627,Lookup!J:K,2,0),"")</f>
        <v>0</v>
      </c>
      <c r="P1627" s="110" t="str">
        <f t="shared" si="95"/>
        <v/>
      </c>
      <c r="T1627" s="59" t="e">
        <f t="shared" si="96"/>
        <v>#VALUE!</v>
      </c>
      <c r="U1627" s="59"/>
    </row>
    <row r="1628" spans="2:21" x14ac:dyDescent="0.25">
      <c r="B1628" s="54" t="str">
        <f>IFERROR(VLOOKUP(A1628,Lookup!A:B,2,0),"")</f>
        <v/>
      </c>
      <c r="C1628" s="54" t="str">
        <f>IFERROR(VLOOKUP(A1628,Lookup!A:C,3,0),"")</f>
        <v/>
      </c>
      <c r="J1628" s="103">
        <f>VLOOKUP(A1628&amp;G1628,Lookup!J:N,5,0)</f>
        <v>0</v>
      </c>
      <c r="O1628" s="57">
        <f>IFERROR(VLOOKUP(A1628&amp;G1628,Lookup!J:K,2,0),"")</f>
        <v>0</v>
      </c>
      <c r="P1628" s="110" t="str">
        <f t="shared" si="95"/>
        <v/>
      </c>
      <c r="T1628" s="59" t="e">
        <f t="shared" si="96"/>
        <v>#VALUE!</v>
      </c>
      <c r="U1628" s="59"/>
    </row>
    <row r="1629" spans="2:21" x14ac:dyDescent="0.25">
      <c r="B1629" s="54" t="str">
        <f>IFERROR(VLOOKUP(A1629,Lookup!A:B,2,0),"")</f>
        <v/>
      </c>
      <c r="C1629" s="54" t="str">
        <f>IFERROR(VLOOKUP(A1629,Lookup!A:C,3,0),"")</f>
        <v/>
      </c>
      <c r="J1629" s="103">
        <f>VLOOKUP(A1629&amp;G1629,Lookup!J:N,5,0)</f>
        <v>0</v>
      </c>
      <c r="O1629" s="57">
        <f>IFERROR(VLOOKUP(A1629&amp;G1629,Lookup!J:K,2,0),"")</f>
        <v>0</v>
      </c>
      <c r="P1629" s="110" t="str">
        <f t="shared" si="95"/>
        <v/>
      </c>
      <c r="T1629" s="59" t="e">
        <f t="shared" si="96"/>
        <v>#VALUE!</v>
      </c>
      <c r="U1629" s="59"/>
    </row>
    <row r="1630" spans="2:21" x14ac:dyDescent="0.25">
      <c r="B1630" s="54" t="str">
        <f>IFERROR(VLOOKUP(A1630,Lookup!A:B,2,0),"")</f>
        <v/>
      </c>
      <c r="C1630" s="54" t="str">
        <f>IFERROR(VLOOKUP(A1630,Lookup!A:C,3,0),"")</f>
        <v/>
      </c>
      <c r="J1630" s="103">
        <f>VLOOKUP(A1630&amp;G1630,Lookup!J:N,5,0)</f>
        <v>0</v>
      </c>
      <c r="O1630" s="57">
        <f>IFERROR(VLOOKUP(A1630&amp;G1630,Lookup!J:K,2,0),"")</f>
        <v>0</v>
      </c>
      <c r="P1630" s="110" t="str">
        <f t="shared" si="95"/>
        <v/>
      </c>
      <c r="T1630" s="59" t="e">
        <f t="shared" si="96"/>
        <v>#VALUE!</v>
      </c>
      <c r="U1630" s="59"/>
    </row>
    <row r="1631" spans="2:21" x14ac:dyDescent="0.25">
      <c r="B1631" s="54" t="str">
        <f>IFERROR(VLOOKUP(A1631,Lookup!A:B,2,0),"")</f>
        <v/>
      </c>
      <c r="C1631" s="54" t="str">
        <f>IFERROR(VLOOKUP(A1631,Lookup!A:C,3,0),"")</f>
        <v/>
      </c>
      <c r="J1631" s="103">
        <f>VLOOKUP(A1631&amp;G1631,Lookup!J:N,5,0)</f>
        <v>0</v>
      </c>
      <c r="O1631" s="57">
        <f>IFERROR(VLOOKUP(A1631&amp;G1631,Lookup!J:K,2,0),"")</f>
        <v>0</v>
      </c>
      <c r="P1631" s="110" t="str">
        <f t="shared" si="95"/>
        <v/>
      </c>
      <c r="T1631" s="59" t="e">
        <f t="shared" si="96"/>
        <v>#VALUE!</v>
      </c>
      <c r="U1631" s="59"/>
    </row>
    <row r="1632" spans="2:21" x14ac:dyDescent="0.25">
      <c r="B1632" s="54" t="str">
        <f>IFERROR(VLOOKUP(A1632,Lookup!A:B,2,0),"")</f>
        <v/>
      </c>
      <c r="C1632" s="54" t="str">
        <f>IFERROR(VLOOKUP(A1632,Lookup!A:C,3,0),"")</f>
        <v/>
      </c>
      <c r="J1632" s="103">
        <f>VLOOKUP(A1632&amp;G1632,Lookup!J:N,5,0)</f>
        <v>0</v>
      </c>
      <c r="O1632" s="57">
        <f>IFERROR(VLOOKUP(A1632&amp;G1632,Lookup!J:K,2,0),"")</f>
        <v>0</v>
      </c>
      <c r="P1632" s="110" t="str">
        <f t="shared" si="95"/>
        <v/>
      </c>
      <c r="T1632" s="59" t="e">
        <f t="shared" si="96"/>
        <v>#VALUE!</v>
      </c>
      <c r="U1632" s="59"/>
    </row>
    <row r="1633" spans="2:21" x14ac:dyDescent="0.25">
      <c r="B1633" s="54" t="str">
        <f>IFERROR(VLOOKUP(A1633,Lookup!A:B,2,0),"")</f>
        <v/>
      </c>
      <c r="C1633" s="54" t="str">
        <f>IFERROR(VLOOKUP(A1633,Lookup!A:C,3,0),"")</f>
        <v/>
      </c>
      <c r="J1633" s="103">
        <f>VLOOKUP(A1633&amp;G1633,Lookup!J:N,5,0)</f>
        <v>0</v>
      </c>
      <c r="O1633" s="57">
        <f>IFERROR(VLOOKUP(A1633&amp;G1633,Lookup!J:K,2,0),"")</f>
        <v>0</v>
      </c>
      <c r="P1633" s="110" t="str">
        <f t="shared" si="95"/>
        <v/>
      </c>
      <c r="T1633" s="59" t="e">
        <f t="shared" si="96"/>
        <v>#VALUE!</v>
      </c>
      <c r="U1633" s="59"/>
    </row>
    <row r="1634" spans="2:21" x14ac:dyDescent="0.25">
      <c r="B1634" s="54" t="str">
        <f>IFERROR(VLOOKUP(A1634,Lookup!A:B,2,0),"")</f>
        <v/>
      </c>
      <c r="C1634" s="54" t="str">
        <f>IFERROR(VLOOKUP(A1634,Lookup!A:C,3,0),"")</f>
        <v/>
      </c>
      <c r="J1634" s="103">
        <f>VLOOKUP(A1634&amp;G1634,Lookup!J:N,5,0)</f>
        <v>0</v>
      </c>
      <c r="O1634" s="57">
        <f>IFERROR(VLOOKUP(A1634&amp;G1634,Lookup!J:K,2,0),"")</f>
        <v>0</v>
      </c>
      <c r="P1634" s="110" t="str">
        <f t="shared" si="95"/>
        <v/>
      </c>
      <c r="T1634" s="59" t="e">
        <f t="shared" si="96"/>
        <v>#VALUE!</v>
      </c>
      <c r="U1634" s="59"/>
    </row>
    <row r="1635" spans="2:21" x14ac:dyDescent="0.25">
      <c r="B1635" s="54" t="str">
        <f>IFERROR(VLOOKUP(A1635,Lookup!A:B,2,0),"")</f>
        <v/>
      </c>
      <c r="C1635" s="54" t="str">
        <f>IFERROR(VLOOKUP(A1635,Lookup!A:C,3,0),"")</f>
        <v/>
      </c>
      <c r="J1635" s="103">
        <f>VLOOKUP(A1635&amp;G1635,Lookup!J:N,5,0)</f>
        <v>0</v>
      </c>
      <c r="O1635" s="57">
        <f>IFERROR(VLOOKUP(A1635&amp;G1635,Lookup!J:K,2,0),"")</f>
        <v>0</v>
      </c>
      <c r="P1635" s="110" t="str">
        <f t="shared" si="95"/>
        <v/>
      </c>
      <c r="T1635" s="59" t="e">
        <f t="shared" si="96"/>
        <v>#VALUE!</v>
      </c>
      <c r="U1635" s="59"/>
    </row>
    <row r="1636" spans="2:21" x14ac:dyDescent="0.25">
      <c r="B1636" s="54" t="str">
        <f>IFERROR(VLOOKUP(A1636,Lookup!A:B,2,0),"")</f>
        <v/>
      </c>
      <c r="C1636" s="54" t="str">
        <f>IFERROR(VLOOKUP(A1636,Lookup!A:C,3,0),"")</f>
        <v/>
      </c>
      <c r="J1636" s="103">
        <f>VLOOKUP(A1636&amp;G1636,Lookup!J:N,5,0)</f>
        <v>0</v>
      </c>
      <c r="O1636" s="57">
        <f>IFERROR(VLOOKUP(A1636&amp;G1636,Lookup!J:K,2,0),"")</f>
        <v>0</v>
      </c>
      <c r="P1636" s="110" t="str">
        <f t="shared" si="95"/>
        <v/>
      </c>
      <c r="T1636" s="59" t="e">
        <f t="shared" si="96"/>
        <v>#VALUE!</v>
      </c>
      <c r="U1636" s="59"/>
    </row>
    <row r="1637" spans="2:21" x14ac:dyDescent="0.25">
      <c r="B1637" s="54" t="str">
        <f>IFERROR(VLOOKUP(A1637,Lookup!A:B,2,0),"")</f>
        <v/>
      </c>
      <c r="C1637" s="54" t="str">
        <f>IFERROR(VLOOKUP(A1637,Lookup!A:C,3,0),"")</f>
        <v/>
      </c>
      <c r="J1637" s="103">
        <f>VLOOKUP(A1637&amp;G1637,Lookup!J:N,5,0)</f>
        <v>0</v>
      </c>
      <c r="O1637" s="57">
        <f>IFERROR(VLOOKUP(A1637&amp;G1637,Lookup!J:K,2,0),"")</f>
        <v>0</v>
      </c>
      <c r="P1637" s="110" t="str">
        <f t="shared" si="95"/>
        <v/>
      </c>
      <c r="T1637" s="59" t="e">
        <f t="shared" si="96"/>
        <v>#VALUE!</v>
      </c>
      <c r="U1637" s="59"/>
    </row>
    <row r="1638" spans="2:21" x14ac:dyDescent="0.25">
      <c r="B1638" s="54" t="str">
        <f>IFERROR(VLOOKUP(A1638,Lookup!A:B,2,0),"")</f>
        <v/>
      </c>
      <c r="C1638" s="54" t="str">
        <f>IFERROR(VLOOKUP(A1638,Lookup!A:C,3,0),"")</f>
        <v/>
      </c>
      <c r="J1638" s="103">
        <f>VLOOKUP(A1638&amp;G1638,Lookup!J:N,5,0)</f>
        <v>0</v>
      </c>
      <c r="O1638" s="57">
        <f>IFERROR(VLOOKUP(A1638&amp;G1638,Lookup!J:K,2,0),"")</f>
        <v>0</v>
      </c>
      <c r="P1638" s="110" t="str">
        <f t="shared" si="95"/>
        <v/>
      </c>
      <c r="T1638" s="59" t="e">
        <f t="shared" si="96"/>
        <v>#VALUE!</v>
      </c>
      <c r="U1638" s="59"/>
    </row>
    <row r="1639" spans="2:21" x14ac:dyDescent="0.25">
      <c r="B1639" s="54" t="str">
        <f>IFERROR(VLOOKUP(A1639,Lookup!A:B,2,0),"")</f>
        <v/>
      </c>
      <c r="C1639" s="54" t="str">
        <f>IFERROR(VLOOKUP(A1639,Lookup!A:C,3,0),"")</f>
        <v/>
      </c>
      <c r="J1639" s="103">
        <f>VLOOKUP(A1639&amp;G1639,Lookup!J:N,5,0)</f>
        <v>0</v>
      </c>
      <c r="O1639" s="57">
        <f>IFERROR(VLOOKUP(A1639&amp;G1639,Lookup!J:K,2,0),"")</f>
        <v>0</v>
      </c>
      <c r="P1639" s="110" t="str">
        <f t="shared" si="95"/>
        <v/>
      </c>
      <c r="T1639" s="59" t="e">
        <f t="shared" si="96"/>
        <v>#VALUE!</v>
      </c>
      <c r="U1639" s="59"/>
    </row>
    <row r="1640" spans="2:21" x14ac:dyDescent="0.25">
      <c r="B1640" s="54" t="str">
        <f>IFERROR(VLOOKUP(A1640,Lookup!A:B,2,0),"")</f>
        <v/>
      </c>
      <c r="C1640" s="54" t="str">
        <f>IFERROR(VLOOKUP(A1640,Lookup!A:C,3,0),"")</f>
        <v/>
      </c>
      <c r="J1640" s="103">
        <f>VLOOKUP(A1640&amp;G1640,Lookup!J:N,5,0)</f>
        <v>0</v>
      </c>
      <c r="O1640" s="57">
        <f>IFERROR(VLOOKUP(A1640&amp;G1640,Lookup!J:K,2,0),"")</f>
        <v>0</v>
      </c>
      <c r="P1640" s="110" t="str">
        <f t="shared" si="95"/>
        <v/>
      </c>
      <c r="T1640" s="59" t="e">
        <f t="shared" si="96"/>
        <v>#VALUE!</v>
      </c>
      <c r="U1640" s="59"/>
    </row>
    <row r="1641" spans="2:21" x14ac:dyDescent="0.25">
      <c r="B1641" s="54" t="str">
        <f>IFERROR(VLOOKUP(A1641,Lookup!A:B,2,0),"")</f>
        <v/>
      </c>
      <c r="C1641" s="54" t="str">
        <f>IFERROR(VLOOKUP(A1641,Lookup!A:C,3,0),"")</f>
        <v/>
      </c>
      <c r="J1641" s="103">
        <f>VLOOKUP(A1641&amp;G1641,Lookup!J:N,5,0)</f>
        <v>0</v>
      </c>
      <c r="O1641" s="57">
        <f>IFERROR(VLOOKUP(A1641&amp;G1641,Lookup!J:K,2,0),"")</f>
        <v>0</v>
      </c>
      <c r="P1641" s="110" t="str">
        <f t="shared" si="95"/>
        <v/>
      </c>
      <c r="T1641" s="59" t="e">
        <f t="shared" si="96"/>
        <v>#VALUE!</v>
      </c>
      <c r="U1641" s="59"/>
    </row>
    <row r="1642" spans="2:21" x14ac:dyDescent="0.25">
      <c r="B1642" s="54" t="str">
        <f>IFERROR(VLOOKUP(A1642,Lookup!A:B,2,0),"")</f>
        <v/>
      </c>
      <c r="C1642" s="54" t="str">
        <f>IFERROR(VLOOKUP(A1642,Lookup!A:C,3,0),"")</f>
        <v/>
      </c>
      <c r="J1642" s="103">
        <f>VLOOKUP(A1642&amp;G1642,Lookup!J:N,5,0)</f>
        <v>0</v>
      </c>
      <c r="O1642" s="57">
        <f>IFERROR(VLOOKUP(A1642&amp;G1642,Lookup!J:K,2,0),"")</f>
        <v>0</v>
      </c>
      <c r="P1642" s="110" t="str">
        <f t="shared" si="95"/>
        <v/>
      </c>
      <c r="T1642" s="59" t="e">
        <f t="shared" si="96"/>
        <v>#VALUE!</v>
      </c>
      <c r="U1642" s="59"/>
    </row>
    <row r="1643" spans="2:21" x14ac:dyDescent="0.25">
      <c r="B1643" s="54" t="str">
        <f>IFERROR(VLOOKUP(A1643,Lookup!A:B,2,0),"")</f>
        <v/>
      </c>
      <c r="C1643" s="54" t="str">
        <f>IFERROR(VLOOKUP(A1643,Lookup!A:C,3,0),"")</f>
        <v/>
      </c>
      <c r="J1643" s="103">
        <f>VLOOKUP(A1643&amp;G1643,Lookup!J:N,5,0)</f>
        <v>0</v>
      </c>
      <c r="O1643" s="57">
        <f>IFERROR(VLOOKUP(A1643&amp;G1643,Lookup!J:K,2,0),"")</f>
        <v>0</v>
      </c>
      <c r="P1643" s="110" t="str">
        <f t="shared" si="95"/>
        <v/>
      </c>
      <c r="T1643" s="59" t="e">
        <f t="shared" si="96"/>
        <v>#VALUE!</v>
      </c>
      <c r="U1643" s="59"/>
    </row>
    <row r="1644" spans="2:21" x14ac:dyDescent="0.25">
      <c r="B1644" s="54" t="str">
        <f>IFERROR(VLOOKUP(A1644,Lookup!A:B,2,0),"")</f>
        <v/>
      </c>
      <c r="C1644" s="54" t="str">
        <f>IFERROR(VLOOKUP(A1644,Lookup!A:C,3,0),"")</f>
        <v/>
      </c>
      <c r="J1644" s="103">
        <f>VLOOKUP(A1644&amp;G1644,Lookup!J:N,5,0)</f>
        <v>0</v>
      </c>
      <c r="O1644" s="57">
        <f>IFERROR(VLOOKUP(A1644&amp;G1644,Lookup!J:K,2,0),"")</f>
        <v>0</v>
      </c>
      <c r="P1644" s="110" t="str">
        <f t="shared" si="95"/>
        <v/>
      </c>
      <c r="T1644" s="59" t="e">
        <f t="shared" si="96"/>
        <v>#VALUE!</v>
      </c>
      <c r="U1644" s="59"/>
    </row>
    <row r="1645" spans="2:21" x14ac:dyDescent="0.25">
      <c r="B1645" s="54" t="str">
        <f>IFERROR(VLOOKUP(A1645,Lookup!A:B,2,0),"")</f>
        <v/>
      </c>
      <c r="C1645" s="54" t="str">
        <f>IFERROR(VLOOKUP(A1645,Lookup!A:C,3,0),"")</f>
        <v/>
      </c>
      <c r="J1645" s="103">
        <f>VLOOKUP(A1645&amp;G1645,Lookup!J:N,5,0)</f>
        <v>0</v>
      </c>
      <c r="O1645" s="57">
        <f>IFERROR(VLOOKUP(A1645&amp;G1645,Lookup!J:K,2,0),"")</f>
        <v>0</v>
      </c>
      <c r="P1645" s="110" t="str">
        <f t="shared" si="95"/>
        <v/>
      </c>
      <c r="T1645" s="59" t="e">
        <f t="shared" si="96"/>
        <v>#VALUE!</v>
      </c>
      <c r="U1645" s="59"/>
    </row>
    <row r="1646" spans="2:21" x14ac:dyDescent="0.25">
      <c r="B1646" s="54" t="str">
        <f>IFERROR(VLOOKUP(A1646,Lookup!A:B,2,0),"")</f>
        <v/>
      </c>
      <c r="C1646" s="54" t="str">
        <f>IFERROR(VLOOKUP(A1646,Lookup!A:C,3,0),"")</f>
        <v/>
      </c>
      <c r="J1646" s="103">
        <f>VLOOKUP(A1646&amp;G1646,Lookup!J:N,5,0)</f>
        <v>0</v>
      </c>
      <c r="O1646" s="57">
        <f>IFERROR(VLOOKUP(A1646&amp;G1646,Lookup!J:K,2,0),"")</f>
        <v>0</v>
      </c>
      <c r="P1646" s="110" t="str">
        <f t="shared" si="95"/>
        <v/>
      </c>
      <c r="T1646" s="59" t="e">
        <f t="shared" si="96"/>
        <v>#VALUE!</v>
      </c>
      <c r="U1646" s="59"/>
    </row>
    <row r="1647" spans="2:21" x14ac:dyDescent="0.25">
      <c r="B1647" s="54" t="str">
        <f>IFERROR(VLOOKUP(A1647,Lookup!A:B,2,0),"")</f>
        <v/>
      </c>
      <c r="C1647" s="54" t="str">
        <f>IFERROR(VLOOKUP(A1647,Lookup!A:C,3,0),"")</f>
        <v/>
      </c>
      <c r="J1647" s="103">
        <f>VLOOKUP(A1647&amp;G1647,Lookup!J:N,5,0)</f>
        <v>0</v>
      </c>
      <c r="O1647" s="57">
        <f>IFERROR(VLOOKUP(A1647&amp;G1647,Lookup!J:K,2,0),"")</f>
        <v>0</v>
      </c>
      <c r="P1647" s="110" t="str">
        <f t="shared" si="95"/>
        <v/>
      </c>
      <c r="T1647" s="59" t="e">
        <f t="shared" si="96"/>
        <v>#VALUE!</v>
      </c>
      <c r="U1647" s="59"/>
    </row>
    <row r="1648" spans="2:21" x14ac:dyDescent="0.25">
      <c r="B1648" s="54" t="str">
        <f>IFERROR(VLOOKUP(A1648,Lookup!A:B,2,0),"")</f>
        <v/>
      </c>
      <c r="C1648" s="54" t="str">
        <f>IFERROR(VLOOKUP(A1648,Lookup!A:C,3,0),"")</f>
        <v/>
      </c>
      <c r="J1648" s="103">
        <f>VLOOKUP(A1648&amp;G1648,Lookup!J:N,5,0)</f>
        <v>0</v>
      </c>
      <c r="O1648" s="57">
        <f>IFERROR(VLOOKUP(A1648&amp;G1648,Lookup!J:K,2,0),"")</f>
        <v>0</v>
      </c>
      <c r="P1648" s="110" t="str">
        <f t="shared" si="95"/>
        <v/>
      </c>
      <c r="T1648" s="59" t="e">
        <f t="shared" si="96"/>
        <v>#VALUE!</v>
      </c>
      <c r="U1648" s="59"/>
    </row>
    <row r="1649" spans="2:21" x14ac:dyDescent="0.25">
      <c r="B1649" s="54" t="str">
        <f>IFERROR(VLOOKUP(A1649,Lookup!A:B,2,0),"")</f>
        <v/>
      </c>
      <c r="C1649" s="54" t="str">
        <f>IFERROR(VLOOKUP(A1649,Lookup!A:C,3,0),"")</f>
        <v/>
      </c>
      <c r="J1649" s="103">
        <f>VLOOKUP(A1649&amp;G1649,Lookup!J:N,5,0)</f>
        <v>0</v>
      </c>
      <c r="O1649" s="57">
        <f>IFERROR(VLOOKUP(A1649&amp;G1649,Lookup!J:K,2,0),"")</f>
        <v>0</v>
      </c>
      <c r="P1649" s="110" t="str">
        <f t="shared" si="95"/>
        <v/>
      </c>
      <c r="T1649" s="59" t="e">
        <f t="shared" si="96"/>
        <v>#VALUE!</v>
      </c>
      <c r="U1649" s="59"/>
    </row>
    <row r="1650" spans="2:21" x14ac:dyDescent="0.25">
      <c r="B1650" s="54" t="str">
        <f>IFERROR(VLOOKUP(A1650,Lookup!A:B,2,0),"")</f>
        <v/>
      </c>
      <c r="C1650" s="54" t="str">
        <f>IFERROR(VLOOKUP(A1650,Lookup!A:C,3,0),"")</f>
        <v/>
      </c>
      <c r="J1650" s="103">
        <f>VLOOKUP(A1650&amp;G1650,Lookup!J:N,5,0)</f>
        <v>0</v>
      </c>
      <c r="O1650" s="57">
        <f>IFERROR(VLOOKUP(A1650&amp;G1650,Lookup!J:K,2,0),"")</f>
        <v>0</v>
      </c>
      <c r="P1650" s="110" t="str">
        <f t="shared" si="95"/>
        <v/>
      </c>
      <c r="T1650" s="59" t="e">
        <f t="shared" si="96"/>
        <v>#VALUE!</v>
      </c>
      <c r="U1650" s="59"/>
    </row>
    <row r="1651" spans="2:21" x14ac:dyDescent="0.25">
      <c r="B1651" s="54" t="str">
        <f>IFERROR(VLOOKUP(A1651,Lookup!A:B,2,0),"")</f>
        <v/>
      </c>
      <c r="C1651" s="54" t="str">
        <f>IFERROR(VLOOKUP(A1651,Lookup!A:C,3,0),"")</f>
        <v/>
      </c>
      <c r="J1651" s="103">
        <f>VLOOKUP(A1651&amp;G1651,Lookup!J:N,5,0)</f>
        <v>0</v>
      </c>
      <c r="O1651" s="57">
        <f>IFERROR(VLOOKUP(A1651&amp;G1651,Lookup!J:K,2,0),"")</f>
        <v>0</v>
      </c>
      <c r="P1651" s="110" t="str">
        <f t="shared" si="95"/>
        <v/>
      </c>
      <c r="T1651" s="59" t="e">
        <f t="shared" si="96"/>
        <v>#VALUE!</v>
      </c>
      <c r="U1651" s="59"/>
    </row>
    <row r="1652" spans="2:21" x14ac:dyDescent="0.25">
      <c r="B1652" s="54" t="str">
        <f>IFERROR(VLOOKUP(A1652,Lookup!A:B,2,0),"")</f>
        <v/>
      </c>
      <c r="C1652" s="54" t="str">
        <f>IFERROR(VLOOKUP(A1652,Lookup!A:C,3,0),"")</f>
        <v/>
      </c>
      <c r="J1652" s="103">
        <f>VLOOKUP(A1652&amp;G1652,Lookup!J:N,5,0)</f>
        <v>0</v>
      </c>
      <c r="O1652" s="57">
        <f>IFERROR(VLOOKUP(A1652&amp;G1652,Lookup!J:K,2,0),"")</f>
        <v>0</v>
      </c>
      <c r="P1652" s="110" t="str">
        <f t="shared" si="95"/>
        <v/>
      </c>
      <c r="T1652" s="59" t="e">
        <f t="shared" si="96"/>
        <v>#VALUE!</v>
      </c>
      <c r="U1652" s="59"/>
    </row>
    <row r="1653" spans="2:21" x14ac:dyDescent="0.25">
      <c r="B1653" s="54" t="str">
        <f>IFERROR(VLOOKUP(A1653,Lookup!A:B,2,0),"")</f>
        <v/>
      </c>
      <c r="C1653" s="54" t="str">
        <f>IFERROR(VLOOKUP(A1653,Lookup!A:C,3,0),"")</f>
        <v/>
      </c>
      <c r="J1653" s="103">
        <f>VLOOKUP(A1653&amp;G1653,Lookup!J:N,5,0)</f>
        <v>0</v>
      </c>
      <c r="O1653" s="57">
        <f>IFERROR(VLOOKUP(A1653&amp;G1653,Lookup!J:K,2,0),"")</f>
        <v>0</v>
      </c>
      <c r="P1653" s="110" t="str">
        <f t="shared" si="95"/>
        <v/>
      </c>
      <c r="T1653" s="59" t="e">
        <f t="shared" si="96"/>
        <v>#VALUE!</v>
      </c>
      <c r="U1653" s="59"/>
    </row>
    <row r="1654" spans="2:21" x14ac:dyDescent="0.25">
      <c r="B1654" s="54" t="str">
        <f>IFERROR(VLOOKUP(A1654,Lookup!A:B,2,0),"")</f>
        <v/>
      </c>
      <c r="C1654" s="54" t="str">
        <f>IFERROR(VLOOKUP(A1654,Lookup!A:C,3,0),"")</f>
        <v/>
      </c>
      <c r="J1654" s="103">
        <f>VLOOKUP(A1654&amp;G1654,Lookup!J:N,5,0)</f>
        <v>0</v>
      </c>
      <c r="O1654" s="57">
        <f>IFERROR(VLOOKUP(A1654&amp;G1654,Lookup!J:K,2,0),"")</f>
        <v>0</v>
      </c>
      <c r="P1654" s="110" t="str">
        <f t="shared" si="95"/>
        <v/>
      </c>
      <c r="T1654" s="59" t="e">
        <f t="shared" si="96"/>
        <v>#VALUE!</v>
      </c>
      <c r="U1654" s="59"/>
    </row>
    <row r="1655" spans="2:21" x14ac:dyDescent="0.25">
      <c r="B1655" s="54" t="str">
        <f>IFERROR(VLOOKUP(A1655,Lookup!A:B,2,0),"")</f>
        <v/>
      </c>
      <c r="C1655" s="54" t="str">
        <f>IFERROR(VLOOKUP(A1655,Lookup!A:C,3,0),"")</f>
        <v/>
      </c>
      <c r="J1655" s="103">
        <f>VLOOKUP(A1655&amp;G1655,Lookup!J:N,5,0)</f>
        <v>0</v>
      </c>
      <c r="O1655" s="57">
        <f>IFERROR(VLOOKUP(A1655&amp;G1655,Lookup!J:K,2,0),"")</f>
        <v>0</v>
      </c>
      <c r="P1655" s="110" t="str">
        <f t="shared" si="95"/>
        <v/>
      </c>
      <c r="T1655" s="59" t="e">
        <f t="shared" si="96"/>
        <v>#VALUE!</v>
      </c>
      <c r="U1655" s="59"/>
    </row>
    <row r="1656" spans="2:21" x14ac:dyDescent="0.25">
      <c r="B1656" s="54" t="str">
        <f>IFERROR(VLOOKUP(A1656,Lookup!A:B,2,0),"")</f>
        <v/>
      </c>
      <c r="C1656" s="54" t="str">
        <f>IFERROR(VLOOKUP(A1656,Lookup!A:C,3,0),"")</f>
        <v/>
      </c>
      <c r="J1656" s="103">
        <f>VLOOKUP(A1656&amp;G1656,Lookup!J:N,5,0)</f>
        <v>0</v>
      </c>
      <c r="O1656" s="57">
        <f>IFERROR(VLOOKUP(A1656&amp;G1656,Lookup!J:K,2,0),"")</f>
        <v>0</v>
      </c>
      <c r="P1656" s="110" t="str">
        <f t="shared" si="95"/>
        <v/>
      </c>
      <c r="T1656" s="59" t="e">
        <f t="shared" si="96"/>
        <v>#VALUE!</v>
      </c>
      <c r="U1656" s="59"/>
    </row>
    <row r="1657" spans="2:21" x14ac:dyDescent="0.25">
      <c r="B1657" s="54" t="str">
        <f>IFERROR(VLOOKUP(A1657,Lookup!A:B,2,0),"")</f>
        <v/>
      </c>
      <c r="C1657" s="54" t="str">
        <f>IFERROR(VLOOKUP(A1657,Lookup!A:C,3,0),"")</f>
        <v/>
      </c>
      <c r="J1657" s="103">
        <f>VLOOKUP(A1657&amp;G1657,Lookup!J:N,5,0)</f>
        <v>0</v>
      </c>
      <c r="O1657" s="57">
        <f>IFERROR(VLOOKUP(A1657&amp;G1657,Lookup!J:K,2,0),"")</f>
        <v>0</v>
      </c>
      <c r="P1657" s="110" t="str">
        <f t="shared" si="95"/>
        <v/>
      </c>
      <c r="T1657" s="59" t="e">
        <f t="shared" si="96"/>
        <v>#VALUE!</v>
      </c>
      <c r="U1657" s="59"/>
    </row>
    <row r="1658" spans="2:21" x14ac:dyDescent="0.25">
      <c r="B1658" s="54" t="str">
        <f>IFERROR(VLOOKUP(A1658,Lookup!A:B,2,0),"")</f>
        <v/>
      </c>
      <c r="C1658" s="54" t="str">
        <f>IFERROR(VLOOKUP(A1658,Lookup!A:C,3,0),"")</f>
        <v/>
      </c>
      <c r="J1658" s="103">
        <f>VLOOKUP(A1658&amp;G1658,Lookup!J:N,5,0)</f>
        <v>0</v>
      </c>
      <c r="O1658" s="57">
        <f>IFERROR(VLOOKUP(A1658&amp;G1658,Lookup!J:K,2,0),"")</f>
        <v>0</v>
      </c>
      <c r="P1658" s="110" t="str">
        <f t="shared" si="95"/>
        <v/>
      </c>
      <c r="T1658" s="59" t="e">
        <f t="shared" si="96"/>
        <v>#VALUE!</v>
      </c>
      <c r="U1658" s="59"/>
    </row>
    <row r="1659" spans="2:21" x14ac:dyDescent="0.25">
      <c r="B1659" s="54" t="str">
        <f>IFERROR(VLOOKUP(A1659,Lookup!A:B,2,0),"")</f>
        <v/>
      </c>
      <c r="C1659" s="54" t="str">
        <f>IFERROR(VLOOKUP(A1659,Lookup!A:C,3,0),"")</f>
        <v/>
      </c>
      <c r="J1659" s="103">
        <f>VLOOKUP(A1659&amp;G1659,Lookup!J:N,5,0)</f>
        <v>0</v>
      </c>
      <c r="O1659" s="57">
        <f>IFERROR(VLOOKUP(A1659&amp;G1659,Lookup!J:K,2,0),"")</f>
        <v>0</v>
      </c>
      <c r="P1659" s="110" t="str">
        <f t="shared" si="95"/>
        <v/>
      </c>
      <c r="T1659" s="59" t="e">
        <f t="shared" si="96"/>
        <v>#VALUE!</v>
      </c>
      <c r="U1659" s="59"/>
    </row>
    <row r="1660" spans="2:21" x14ac:dyDescent="0.25">
      <c r="B1660" s="54" t="str">
        <f>IFERROR(VLOOKUP(A1660,Lookup!A:B,2,0),"")</f>
        <v/>
      </c>
      <c r="C1660" s="54" t="str">
        <f>IFERROR(VLOOKUP(A1660,Lookup!A:C,3,0),"")</f>
        <v/>
      </c>
      <c r="J1660" s="103">
        <f>VLOOKUP(A1660&amp;G1660,Lookup!J:N,5,0)</f>
        <v>0</v>
      </c>
      <c r="O1660" s="57">
        <f>IFERROR(VLOOKUP(A1660&amp;G1660,Lookup!J:K,2,0),"")</f>
        <v>0</v>
      </c>
      <c r="P1660" s="110" t="str">
        <f t="shared" si="95"/>
        <v/>
      </c>
      <c r="T1660" s="59" t="e">
        <f t="shared" si="96"/>
        <v>#VALUE!</v>
      </c>
      <c r="U1660" s="59"/>
    </row>
    <row r="1661" spans="2:21" x14ac:dyDescent="0.25">
      <c r="B1661" s="54" t="str">
        <f>IFERROR(VLOOKUP(A1661,Lookup!A:B,2,0),"")</f>
        <v/>
      </c>
      <c r="C1661" s="54" t="str">
        <f>IFERROR(VLOOKUP(A1661,Lookup!A:C,3,0),"")</f>
        <v/>
      </c>
      <c r="J1661" s="103">
        <f>VLOOKUP(A1661&amp;G1661,Lookup!J:N,5,0)</f>
        <v>0</v>
      </c>
      <c r="O1661" s="57">
        <f>IFERROR(VLOOKUP(A1661&amp;G1661,Lookup!J:K,2,0),"")</f>
        <v>0</v>
      </c>
      <c r="P1661" s="110" t="str">
        <f t="shared" si="95"/>
        <v/>
      </c>
      <c r="T1661" s="59" t="e">
        <f t="shared" si="96"/>
        <v>#VALUE!</v>
      </c>
      <c r="U1661" s="59"/>
    </row>
    <row r="1662" spans="2:21" x14ac:dyDescent="0.25">
      <c r="B1662" s="54" t="str">
        <f>IFERROR(VLOOKUP(A1662,Lookup!A:B,2,0),"")</f>
        <v/>
      </c>
      <c r="C1662" s="54" t="str">
        <f>IFERROR(VLOOKUP(A1662,Lookup!A:C,3,0),"")</f>
        <v/>
      </c>
      <c r="J1662" s="103">
        <f>VLOOKUP(A1662&amp;G1662,Lookup!J:N,5,0)</f>
        <v>0</v>
      </c>
      <c r="O1662" s="57">
        <f>IFERROR(VLOOKUP(A1662&amp;G1662,Lookup!J:K,2,0),"")</f>
        <v>0</v>
      </c>
      <c r="P1662" s="110" t="str">
        <f t="shared" si="95"/>
        <v/>
      </c>
      <c r="T1662" s="59" t="e">
        <f t="shared" si="96"/>
        <v>#VALUE!</v>
      </c>
      <c r="U1662" s="59"/>
    </row>
    <row r="1663" spans="2:21" x14ac:dyDescent="0.25">
      <c r="B1663" s="54" t="str">
        <f>IFERROR(VLOOKUP(A1663,Lookup!A:B,2,0),"")</f>
        <v/>
      </c>
      <c r="C1663" s="54" t="str">
        <f>IFERROR(VLOOKUP(A1663,Lookup!A:C,3,0),"")</f>
        <v/>
      </c>
      <c r="J1663" s="103">
        <f>VLOOKUP(A1663&amp;G1663,Lookup!J:N,5,0)</f>
        <v>0</v>
      </c>
      <c r="O1663" s="57">
        <f>IFERROR(VLOOKUP(A1663&amp;G1663,Lookup!J:K,2,0),"")</f>
        <v>0</v>
      </c>
      <c r="P1663" s="110" t="str">
        <f t="shared" si="95"/>
        <v/>
      </c>
      <c r="T1663" s="59" t="e">
        <f t="shared" si="96"/>
        <v>#VALUE!</v>
      </c>
      <c r="U1663" s="59"/>
    </row>
    <row r="1664" spans="2:21" x14ac:dyDescent="0.25">
      <c r="B1664" s="54" t="str">
        <f>IFERROR(VLOOKUP(A1664,Lookup!A:B,2,0),"")</f>
        <v/>
      </c>
      <c r="C1664" s="54" t="str">
        <f>IFERROR(VLOOKUP(A1664,Lookup!A:C,3,0),"")</f>
        <v/>
      </c>
      <c r="J1664" s="103">
        <f>VLOOKUP(A1664&amp;G1664,Lookup!J:N,5,0)</f>
        <v>0</v>
      </c>
      <c r="O1664" s="57">
        <f>IFERROR(VLOOKUP(A1664&amp;G1664,Lookup!J:K,2,0),"")</f>
        <v>0</v>
      </c>
      <c r="P1664" s="110" t="str">
        <f t="shared" si="95"/>
        <v/>
      </c>
      <c r="T1664" s="59" t="e">
        <f t="shared" si="96"/>
        <v>#VALUE!</v>
      </c>
      <c r="U1664" s="59"/>
    </row>
    <row r="1665" spans="2:21" x14ac:dyDescent="0.25">
      <c r="B1665" s="54" t="str">
        <f>IFERROR(VLOOKUP(A1665,Lookup!A:B,2,0),"")</f>
        <v/>
      </c>
      <c r="C1665" s="54" t="str">
        <f>IFERROR(VLOOKUP(A1665,Lookup!A:C,3,0),"")</f>
        <v/>
      </c>
      <c r="J1665" s="103">
        <f>VLOOKUP(A1665&amp;G1665,Lookup!J:N,5,0)</f>
        <v>0</v>
      </c>
      <c r="O1665" s="57">
        <f>IFERROR(VLOOKUP(A1665&amp;G1665,Lookup!J:K,2,0),"")</f>
        <v>0</v>
      </c>
      <c r="P1665" s="110" t="str">
        <f t="shared" si="95"/>
        <v/>
      </c>
      <c r="T1665" s="59" t="e">
        <f t="shared" si="96"/>
        <v>#VALUE!</v>
      </c>
      <c r="U1665" s="59"/>
    </row>
    <row r="1666" spans="2:21" x14ac:dyDescent="0.25">
      <c r="B1666" s="54" t="str">
        <f>IFERROR(VLOOKUP(A1666,Lookup!A:B,2,0),"")</f>
        <v/>
      </c>
      <c r="C1666" s="54" t="str">
        <f>IFERROR(VLOOKUP(A1666,Lookup!A:C,3,0),"")</f>
        <v/>
      </c>
      <c r="J1666" s="103">
        <f>VLOOKUP(A1666&amp;G1666,Lookup!J:N,5,0)</f>
        <v>0</v>
      </c>
      <c r="O1666" s="57">
        <f>IFERROR(VLOOKUP(A1666&amp;G1666,Lookup!J:K,2,0),"")</f>
        <v>0</v>
      </c>
      <c r="P1666" s="110" t="str">
        <f t="shared" si="95"/>
        <v/>
      </c>
      <c r="T1666" s="59" t="e">
        <f t="shared" si="96"/>
        <v>#VALUE!</v>
      </c>
      <c r="U1666" s="59"/>
    </row>
    <row r="1667" spans="2:21" x14ac:dyDescent="0.25">
      <c r="B1667" s="54" t="str">
        <f>IFERROR(VLOOKUP(A1667,Lookup!A:B,2,0),"")</f>
        <v/>
      </c>
      <c r="C1667" s="54" t="str">
        <f>IFERROR(VLOOKUP(A1667,Lookup!A:C,3,0),"")</f>
        <v/>
      </c>
      <c r="J1667" s="103">
        <f>VLOOKUP(A1667&amp;G1667,Lookup!J:N,5,0)</f>
        <v>0</v>
      </c>
      <c r="O1667" s="57">
        <f>IFERROR(VLOOKUP(A1667&amp;G1667,Lookup!J:K,2,0),"")</f>
        <v>0</v>
      </c>
      <c r="P1667" s="110" t="str">
        <f t="shared" si="95"/>
        <v/>
      </c>
      <c r="T1667" s="59" t="e">
        <f t="shared" si="96"/>
        <v>#VALUE!</v>
      </c>
      <c r="U1667" s="59"/>
    </row>
    <row r="1668" spans="2:21" x14ac:dyDescent="0.25">
      <c r="B1668" s="54" t="str">
        <f>IFERROR(VLOOKUP(A1668,Lookup!A:B,2,0),"")</f>
        <v/>
      </c>
      <c r="C1668" s="54" t="str">
        <f>IFERROR(VLOOKUP(A1668,Lookup!A:C,3,0),"")</f>
        <v/>
      </c>
      <c r="J1668" s="103">
        <f>VLOOKUP(A1668&amp;G1668,Lookup!J:N,5,0)</f>
        <v>0</v>
      </c>
      <c r="O1668" s="57">
        <f>IFERROR(VLOOKUP(A1668&amp;G1668,Lookup!J:K,2,0),"")</f>
        <v>0</v>
      </c>
      <c r="P1668" s="110" t="str">
        <f t="shared" ref="P1668:P1731" si="97">IF(N1668="","",N1668+O1668)</f>
        <v/>
      </c>
      <c r="T1668" s="59" t="e">
        <f t="shared" si="96"/>
        <v>#VALUE!</v>
      </c>
      <c r="U1668" s="59"/>
    </row>
    <row r="1669" spans="2:21" x14ac:dyDescent="0.25">
      <c r="B1669" s="54" t="str">
        <f>IFERROR(VLOOKUP(A1669,Lookup!A:B,2,0),"")</f>
        <v/>
      </c>
      <c r="C1669" s="54" t="str">
        <f>IFERROR(VLOOKUP(A1669,Lookup!A:C,3,0),"")</f>
        <v/>
      </c>
      <c r="J1669" s="103">
        <f>VLOOKUP(A1669&amp;G1669,Lookup!J:N,5,0)</f>
        <v>0</v>
      </c>
      <c r="O1669" s="57">
        <f>IFERROR(VLOOKUP(A1669&amp;G1669,Lookup!J:K,2,0),"")</f>
        <v>0</v>
      </c>
      <c r="P1669" s="110" t="str">
        <f t="shared" si="97"/>
        <v/>
      </c>
      <c r="T1669" s="59" t="e">
        <f t="shared" si="96"/>
        <v>#VALUE!</v>
      </c>
      <c r="U1669" s="59"/>
    </row>
    <row r="1670" spans="2:21" x14ac:dyDescent="0.25">
      <c r="B1670" s="54" t="str">
        <f>IFERROR(VLOOKUP(A1670,Lookup!A:B,2,0),"")</f>
        <v/>
      </c>
      <c r="C1670" s="54" t="str">
        <f>IFERROR(VLOOKUP(A1670,Lookup!A:C,3,0),"")</f>
        <v/>
      </c>
      <c r="J1670" s="103">
        <f>VLOOKUP(A1670&amp;G1670,Lookup!J:N,5,0)</f>
        <v>0</v>
      </c>
      <c r="O1670" s="57">
        <f>IFERROR(VLOOKUP(A1670&amp;G1670,Lookup!J:K,2,0),"")</f>
        <v>0</v>
      </c>
      <c r="P1670" s="110" t="str">
        <f t="shared" si="97"/>
        <v/>
      </c>
      <c r="T1670" s="59" t="e">
        <f t="shared" si="96"/>
        <v>#VALUE!</v>
      </c>
      <c r="U1670" s="59"/>
    </row>
    <row r="1671" spans="2:21" x14ac:dyDescent="0.25">
      <c r="B1671" s="54" t="str">
        <f>IFERROR(VLOOKUP(A1671,Lookup!A:B,2,0),"")</f>
        <v/>
      </c>
      <c r="C1671" s="54" t="str">
        <f>IFERROR(VLOOKUP(A1671,Lookup!A:C,3,0),"")</f>
        <v/>
      </c>
      <c r="J1671" s="103">
        <f>VLOOKUP(A1671&amp;G1671,Lookup!J:N,5,0)</f>
        <v>0</v>
      </c>
      <c r="O1671" s="57">
        <f>IFERROR(VLOOKUP(A1671&amp;G1671,Lookup!J:K,2,0),"")</f>
        <v>0</v>
      </c>
      <c r="P1671" s="110" t="str">
        <f t="shared" si="97"/>
        <v/>
      </c>
      <c r="T1671" s="59" t="e">
        <f t="shared" si="96"/>
        <v>#VALUE!</v>
      </c>
      <c r="U1671" s="59"/>
    </row>
    <row r="1672" spans="2:21" x14ac:dyDescent="0.25">
      <c r="B1672" s="54" t="str">
        <f>IFERROR(VLOOKUP(A1672,Lookup!A:B,2,0),"")</f>
        <v/>
      </c>
      <c r="C1672" s="54" t="str">
        <f>IFERROR(VLOOKUP(A1672,Lookup!A:C,3,0),"")</f>
        <v/>
      </c>
      <c r="J1672" s="103">
        <f>VLOOKUP(A1672&amp;G1672,Lookup!J:N,5,0)</f>
        <v>0</v>
      </c>
      <c r="O1672" s="57">
        <f>IFERROR(VLOOKUP(A1672&amp;G1672,Lookup!J:K,2,0),"")</f>
        <v>0</v>
      </c>
      <c r="P1672" s="110" t="str">
        <f t="shared" si="97"/>
        <v/>
      </c>
      <c r="T1672" s="59" t="e">
        <f t="shared" si="96"/>
        <v>#VALUE!</v>
      </c>
      <c r="U1672" s="59"/>
    </row>
    <row r="1673" spans="2:21" x14ac:dyDescent="0.25">
      <c r="B1673" s="54" t="str">
        <f>IFERROR(VLOOKUP(A1673,Lookup!A:B,2,0),"")</f>
        <v/>
      </c>
      <c r="C1673" s="54" t="str">
        <f>IFERROR(VLOOKUP(A1673,Lookup!A:C,3,0),"")</f>
        <v/>
      </c>
      <c r="J1673" s="103">
        <f>VLOOKUP(A1673&amp;G1673,Lookup!J:N,5,0)</f>
        <v>0</v>
      </c>
      <c r="O1673" s="57">
        <f>IFERROR(VLOOKUP(A1673&amp;G1673,Lookup!J:K,2,0),"")</f>
        <v>0</v>
      </c>
      <c r="P1673" s="110" t="str">
        <f t="shared" si="97"/>
        <v/>
      </c>
      <c r="T1673" s="59" t="e">
        <f t="shared" si="96"/>
        <v>#VALUE!</v>
      </c>
      <c r="U1673" s="59"/>
    </row>
    <row r="1674" spans="2:21" x14ac:dyDescent="0.25">
      <c r="B1674" s="54" t="str">
        <f>IFERROR(VLOOKUP(A1674,Lookup!A:B,2,0),"")</f>
        <v/>
      </c>
      <c r="C1674" s="54" t="str">
        <f>IFERROR(VLOOKUP(A1674,Lookup!A:C,3,0),"")</f>
        <v/>
      </c>
      <c r="J1674" s="103">
        <f>VLOOKUP(A1674&amp;G1674,Lookup!J:N,5,0)</f>
        <v>0</v>
      </c>
      <c r="O1674" s="57">
        <f>IFERROR(VLOOKUP(A1674&amp;G1674,Lookup!J:K,2,0),"")</f>
        <v>0</v>
      </c>
      <c r="P1674" s="110" t="str">
        <f t="shared" si="97"/>
        <v/>
      </c>
      <c r="T1674" s="59" t="e">
        <f t="shared" si="96"/>
        <v>#VALUE!</v>
      </c>
      <c r="U1674" s="59"/>
    </row>
    <row r="1675" spans="2:21" x14ac:dyDescent="0.25">
      <c r="B1675" s="54" t="str">
        <f>IFERROR(VLOOKUP(A1675,Lookup!A:B,2,0),"")</f>
        <v/>
      </c>
      <c r="C1675" s="54" t="str">
        <f>IFERROR(VLOOKUP(A1675,Lookup!A:C,3,0),"")</f>
        <v/>
      </c>
      <c r="J1675" s="103">
        <f>VLOOKUP(A1675&amp;G1675,Lookup!J:N,5,0)</f>
        <v>0</v>
      </c>
      <c r="O1675" s="57">
        <f>IFERROR(VLOOKUP(A1675&amp;G1675,Lookup!J:K,2,0),"")</f>
        <v>0</v>
      </c>
      <c r="P1675" s="110" t="str">
        <f t="shared" si="97"/>
        <v/>
      </c>
      <c r="T1675" s="59" t="e">
        <f t="shared" si="96"/>
        <v>#VALUE!</v>
      </c>
      <c r="U1675" s="59"/>
    </row>
    <row r="1676" spans="2:21" x14ac:dyDescent="0.25">
      <c r="B1676" s="54" t="str">
        <f>IFERROR(VLOOKUP(A1676,Lookup!A:B,2,0),"")</f>
        <v/>
      </c>
      <c r="C1676" s="54" t="str">
        <f>IFERROR(VLOOKUP(A1676,Lookup!A:C,3,0),"")</f>
        <v/>
      </c>
      <c r="J1676" s="103">
        <f>VLOOKUP(A1676&amp;G1676,Lookup!J:N,5,0)</f>
        <v>0</v>
      </c>
      <c r="O1676" s="57">
        <f>IFERROR(VLOOKUP(A1676&amp;G1676,Lookup!J:K,2,0),"")</f>
        <v>0</v>
      </c>
      <c r="P1676" s="110" t="str">
        <f t="shared" si="97"/>
        <v/>
      </c>
      <c r="T1676" s="59" t="e">
        <f t="shared" si="96"/>
        <v>#VALUE!</v>
      </c>
      <c r="U1676" s="59"/>
    </row>
    <row r="1677" spans="2:21" x14ac:dyDescent="0.25">
      <c r="B1677" s="54" t="str">
        <f>IFERROR(VLOOKUP(A1677,Lookup!A:B,2,0),"")</f>
        <v/>
      </c>
      <c r="C1677" s="54" t="str">
        <f>IFERROR(VLOOKUP(A1677,Lookup!A:C,3,0),"")</f>
        <v/>
      </c>
      <c r="J1677" s="103">
        <f>VLOOKUP(A1677&amp;G1677,Lookup!J:N,5,0)</f>
        <v>0</v>
      </c>
      <c r="O1677" s="57">
        <f>IFERROR(VLOOKUP(A1677&amp;G1677,Lookup!J:K,2,0),"")</f>
        <v>0</v>
      </c>
      <c r="P1677" s="110" t="str">
        <f t="shared" si="97"/>
        <v/>
      </c>
      <c r="T1677" s="59" t="e">
        <f t="shared" si="96"/>
        <v>#VALUE!</v>
      </c>
      <c r="U1677" s="59"/>
    </row>
    <row r="1678" spans="2:21" x14ac:dyDescent="0.25">
      <c r="B1678" s="54" t="str">
        <f>IFERROR(VLOOKUP(A1678,Lookup!A:B,2,0),"")</f>
        <v/>
      </c>
      <c r="C1678" s="54" t="str">
        <f>IFERROR(VLOOKUP(A1678,Lookup!A:C,3,0),"")</f>
        <v/>
      </c>
      <c r="J1678" s="103">
        <f>VLOOKUP(A1678&amp;G1678,Lookup!J:N,5,0)</f>
        <v>0</v>
      </c>
      <c r="O1678" s="57">
        <f>IFERROR(VLOOKUP(A1678&amp;G1678,Lookup!J:K,2,0),"")</f>
        <v>0</v>
      </c>
      <c r="P1678" s="110" t="str">
        <f t="shared" si="97"/>
        <v/>
      </c>
      <c r="T1678" s="59" t="e">
        <f t="shared" ref="T1678:T1741" si="98">IF(Q1678-P1678&gt;0.0415,"YES",(IF(OR(EXACT(Q1678,""), EXACT(P1678,"")),"","NO")))</f>
        <v>#VALUE!</v>
      </c>
      <c r="U1678" s="59"/>
    </row>
    <row r="1679" spans="2:21" x14ac:dyDescent="0.25">
      <c r="B1679" s="54" t="str">
        <f>IFERROR(VLOOKUP(A1679,Lookup!A:B,2,0),"")</f>
        <v/>
      </c>
      <c r="C1679" s="54" t="str">
        <f>IFERROR(VLOOKUP(A1679,Lookup!A:C,3,0),"")</f>
        <v/>
      </c>
      <c r="J1679" s="103">
        <f>VLOOKUP(A1679&amp;G1679,Lookup!J:N,5,0)</f>
        <v>0</v>
      </c>
      <c r="O1679" s="57">
        <f>IFERROR(VLOOKUP(A1679&amp;G1679,Lookup!J:K,2,0),"")</f>
        <v>0</v>
      </c>
      <c r="P1679" s="110" t="str">
        <f t="shared" si="97"/>
        <v/>
      </c>
      <c r="T1679" s="59" t="e">
        <f t="shared" si="98"/>
        <v>#VALUE!</v>
      </c>
      <c r="U1679" s="59"/>
    </row>
    <row r="1680" spans="2:21" x14ac:dyDescent="0.25">
      <c r="B1680" s="54" t="str">
        <f>IFERROR(VLOOKUP(A1680,Lookup!A:B,2,0),"")</f>
        <v/>
      </c>
      <c r="C1680" s="54" t="str">
        <f>IFERROR(VLOOKUP(A1680,Lookup!A:C,3,0),"")</f>
        <v/>
      </c>
      <c r="J1680" s="103">
        <f>VLOOKUP(A1680&amp;G1680,Lookup!J:N,5,0)</f>
        <v>0</v>
      </c>
      <c r="O1680" s="57">
        <f>IFERROR(VLOOKUP(A1680&amp;G1680,Lookup!J:K,2,0),"")</f>
        <v>0</v>
      </c>
      <c r="P1680" s="110" t="str">
        <f t="shared" si="97"/>
        <v/>
      </c>
      <c r="T1680" s="59" t="e">
        <f t="shared" si="98"/>
        <v>#VALUE!</v>
      </c>
      <c r="U1680" s="59"/>
    </row>
    <row r="1681" spans="2:21" x14ac:dyDescent="0.25">
      <c r="B1681" s="54" t="str">
        <f>IFERROR(VLOOKUP(A1681,Lookup!A:B,2,0),"")</f>
        <v/>
      </c>
      <c r="C1681" s="54" t="str">
        <f>IFERROR(VLOOKUP(A1681,Lookup!A:C,3,0),"")</f>
        <v/>
      </c>
      <c r="J1681" s="103">
        <f>VLOOKUP(A1681&amp;G1681,Lookup!J:N,5,0)</f>
        <v>0</v>
      </c>
      <c r="O1681" s="57">
        <f>IFERROR(VLOOKUP(A1681&amp;G1681,Lookup!J:K,2,0),"")</f>
        <v>0</v>
      </c>
      <c r="P1681" s="110" t="str">
        <f t="shared" si="97"/>
        <v/>
      </c>
      <c r="T1681" s="59" t="e">
        <f t="shared" si="98"/>
        <v>#VALUE!</v>
      </c>
      <c r="U1681" s="59"/>
    </row>
    <row r="1682" spans="2:21" x14ac:dyDescent="0.25">
      <c r="B1682" s="54" t="str">
        <f>IFERROR(VLOOKUP(A1682,Lookup!A:B,2,0),"")</f>
        <v/>
      </c>
      <c r="C1682" s="54" t="str">
        <f>IFERROR(VLOOKUP(A1682,Lookup!A:C,3,0),"")</f>
        <v/>
      </c>
      <c r="J1682" s="103">
        <f>VLOOKUP(A1682&amp;G1682,Lookup!J:N,5,0)</f>
        <v>0</v>
      </c>
      <c r="O1682" s="57">
        <f>IFERROR(VLOOKUP(A1682&amp;G1682,Lookup!J:K,2,0),"")</f>
        <v>0</v>
      </c>
      <c r="P1682" s="110" t="str">
        <f t="shared" si="97"/>
        <v/>
      </c>
      <c r="T1682" s="59" t="e">
        <f t="shared" si="98"/>
        <v>#VALUE!</v>
      </c>
      <c r="U1682" s="59"/>
    </row>
    <row r="1683" spans="2:21" x14ac:dyDescent="0.25">
      <c r="B1683" s="54" t="str">
        <f>IFERROR(VLOOKUP(A1683,Lookup!A:B,2,0),"")</f>
        <v/>
      </c>
      <c r="C1683" s="54" t="str">
        <f>IFERROR(VLOOKUP(A1683,Lookup!A:C,3,0),"")</f>
        <v/>
      </c>
      <c r="J1683" s="103">
        <f>VLOOKUP(A1683&amp;G1683,Lookup!J:N,5,0)</f>
        <v>0</v>
      </c>
      <c r="O1683" s="57">
        <f>IFERROR(VLOOKUP(A1683&amp;G1683,Lookup!J:K,2,0),"")</f>
        <v>0</v>
      </c>
      <c r="P1683" s="110" t="str">
        <f t="shared" si="97"/>
        <v/>
      </c>
      <c r="T1683" s="59" t="e">
        <f t="shared" si="98"/>
        <v>#VALUE!</v>
      </c>
      <c r="U1683" s="59"/>
    </row>
    <row r="1684" spans="2:21" x14ac:dyDescent="0.25">
      <c r="B1684" s="54" t="str">
        <f>IFERROR(VLOOKUP(A1684,Lookup!A:B,2,0),"")</f>
        <v/>
      </c>
      <c r="C1684" s="54" t="str">
        <f>IFERROR(VLOOKUP(A1684,Lookup!A:C,3,0),"")</f>
        <v/>
      </c>
      <c r="J1684" s="103">
        <f>VLOOKUP(A1684&amp;G1684,Lookup!J:N,5,0)</f>
        <v>0</v>
      </c>
      <c r="O1684" s="57">
        <f>IFERROR(VLOOKUP(A1684&amp;G1684,Lookup!J:K,2,0),"")</f>
        <v>0</v>
      </c>
      <c r="P1684" s="110" t="str">
        <f t="shared" si="97"/>
        <v/>
      </c>
      <c r="T1684" s="59" t="e">
        <f t="shared" si="98"/>
        <v>#VALUE!</v>
      </c>
      <c r="U1684" s="59"/>
    </row>
    <row r="1685" spans="2:21" x14ac:dyDescent="0.25">
      <c r="B1685" s="54" t="str">
        <f>IFERROR(VLOOKUP(A1685,Lookup!A:B,2,0),"")</f>
        <v/>
      </c>
      <c r="C1685" s="54" t="str">
        <f>IFERROR(VLOOKUP(A1685,Lookup!A:C,3,0),"")</f>
        <v/>
      </c>
      <c r="J1685" s="103">
        <f>VLOOKUP(A1685&amp;G1685,Lookup!J:N,5,0)</f>
        <v>0</v>
      </c>
      <c r="O1685" s="57">
        <f>IFERROR(VLOOKUP(A1685&amp;G1685,Lookup!J:K,2,0),"")</f>
        <v>0</v>
      </c>
      <c r="P1685" s="110" t="str">
        <f t="shared" si="97"/>
        <v/>
      </c>
      <c r="T1685" s="59" t="e">
        <f t="shared" si="98"/>
        <v>#VALUE!</v>
      </c>
      <c r="U1685" s="59"/>
    </row>
    <row r="1686" spans="2:21" x14ac:dyDescent="0.25">
      <c r="B1686" s="54" t="str">
        <f>IFERROR(VLOOKUP(A1686,Lookup!A:B,2,0),"")</f>
        <v/>
      </c>
      <c r="C1686" s="54" t="str">
        <f>IFERROR(VLOOKUP(A1686,Lookup!A:C,3,0),"")</f>
        <v/>
      </c>
      <c r="J1686" s="103">
        <f>VLOOKUP(A1686&amp;G1686,Lookup!J:N,5,0)</f>
        <v>0</v>
      </c>
      <c r="O1686" s="57">
        <f>IFERROR(VLOOKUP(A1686&amp;G1686,Lookup!J:K,2,0),"")</f>
        <v>0</v>
      </c>
      <c r="P1686" s="110" t="str">
        <f t="shared" si="97"/>
        <v/>
      </c>
      <c r="T1686" s="59" t="e">
        <f t="shared" si="98"/>
        <v>#VALUE!</v>
      </c>
      <c r="U1686" s="59"/>
    </row>
    <row r="1687" spans="2:21" x14ac:dyDescent="0.25">
      <c r="B1687" s="54" t="str">
        <f>IFERROR(VLOOKUP(A1687,Lookup!A:B,2,0),"")</f>
        <v/>
      </c>
      <c r="C1687" s="54" t="str">
        <f>IFERROR(VLOOKUP(A1687,Lookup!A:C,3,0),"")</f>
        <v/>
      </c>
      <c r="J1687" s="103">
        <f>VLOOKUP(A1687&amp;G1687,Lookup!J:N,5,0)</f>
        <v>0</v>
      </c>
      <c r="O1687" s="57">
        <f>IFERROR(VLOOKUP(A1687&amp;G1687,Lookup!J:K,2,0),"")</f>
        <v>0</v>
      </c>
      <c r="P1687" s="110" t="str">
        <f t="shared" si="97"/>
        <v/>
      </c>
      <c r="T1687" s="59" t="e">
        <f t="shared" si="98"/>
        <v>#VALUE!</v>
      </c>
      <c r="U1687" s="59"/>
    </row>
    <row r="1688" spans="2:21" x14ac:dyDescent="0.25">
      <c r="B1688" s="54" t="str">
        <f>IFERROR(VLOOKUP(A1688,Lookup!A:B,2,0),"")</f>
        <v/>
      </c>
      <c r="C1688" s="54" t="str">
        <f>IFERROR(VLOOKUP(A1688,Lookup!A:C,3,0),"")</f>
        <v/>
      </c>
      <c r="J1688" s="103">
        <f>VLOOKUP(A1688&amp;G1688,Lookup!J:N,5,0)</f>
        <v>0</v>
      </c>
      <c r="O1688" s="57">
        <f>IFERROR(VLOOKUP(A1688&amp;G1688,Lookup!J:K,2,0),"")</f>
        <v>0</v>
      </c>
      <c r="P1688" s="110" t="str">
        <f t="shared" si="97"/>
        <v/>
      </c>
      <c r="T1688" s="59" t="e">
        <f t="shared" si="98"/>
        <v>#VALUE!</v>
      </c>
      <c r="U1688" s="59"/>
    </row>
    <row r="1689" spans="2:21" x14ac:dyDescent="0.25">
      <c r="B1689" s="54" t="str">
        <f>IFERROR(VLOOKUP(A1689,Lookup!A:B,2,0),"")</f>
        <v/>
      </c>
      <c r="C1689" s="54" t="str">
        <f>IFERROR(VLOOKUP(A1689,Lookup!A:C,3,0),"")</f>
        <v/>
      </c>
      <c r="J1689" s="103">
        <f>VLOOKUP(A1689&amp;G1689,Lookup!J:N,5,0)</f>
        <v>0</v>
      </c>
      <c r="O1689" s="57">
        <f>IFERROR(VLOOKUP(A1689&amp;G1689,Lookup!J:K,2,0),"")</f>
        <v>0</v>
      </c>
      <c r="P1689" s="110" t="str">
        <f t="shared" si="97"/>
        <v/>
      </c>
      <c r="T1689" s="59" t="e">
        <f t="shared" si="98"/>
        <v>#VALUE!</v>
      </c>
      <c r="U1689" s="59"/>
    </row>
    <row r="1690" spans="2:21" x14ac:dyDescent="0.25">
      <c r="B1690" s="54" t="str">
        <f>IFERROR(VLOOKUP(A1690,Lookup!A:B,2,0),"")</f>
        <v/>
      </c>
      <c r="C1690" s="54" t="str">
        <f>IFERROR(VLOOKUP(A1690,Lookup!A:C,3,0),"")</f>
        <v/>
      </c>
      <c r="J1690" s="103">
        <f>VLOOKUP(A1690&amp;G1690,Lookup!J:N,5,0)</f>
        <v>0</v>
      </c>
      <c r="O1690" s="57">
        <f>IFERROR(VLOOKUP(A1690&amp;G1690,Lookup!J:K,2,0),"")</f>
        <v>0</v>
      </c>
      <c r="P1690" s="110" t="str">
        <f t="shared" si="97"/>
        <v/>
      </c>
      <c r="T1690" s="59" t="e">
        <f t="shared" si="98"/>
        <v>#VALUE!</v>
      </c>
      <c r="U1690" s="59"/>
    </row>
    <row r="1691" spans="2:21" x14ac:dyDescent="0.25">
      <c r="B1691" s="54" t="str">
        <f>IFERROR(VLOOKUP(A1691,Lookup!A:B,2,0),"")</f>
        <v/>
      </c>
      <c r="C1691" s="54" t="str">
        <f>IFERROR(VLOOKUP(A1691,Lookup!A:C,3,0),"")</f>
        <v/>
      </c>
      <c r="J1691" s="103">
        <f>VLOOKUP(A1691&amp;G1691,Lookup!J:N,5,0)</f>
        <v>0</v>
      </c>
      <c r="O1691" s="57">
        <f>IFERROR(VLOOKUP(A1691&amp;G1691,Lookup!J:K,2,0),"")</f>
        <v>0</v>
      </c>
      <c r="P1691" s="110" t="str">
        <f t="shared" si="97"/>
        <v/>
      </c>
      <c r="T1691" s="59" t="e">
        <f t="shared" si="98"/>
        <v>#VALUE!</v>
      </c>
      <c r="U1691" s="59"/>
    </row>
    <row r="1692" spans="2:21" x14ac:dyDescent="0.25">
      <c r="B1692" s="54" t="str">
        <f>IFERROR(VLOOKUP(A1692,Lookup!A:B,2,0),"")</f>
        <v/>
      </c>
      <c r="C1692" s="54" t="str">
        <f>IFERROR(VLOOKUP(A1692,Lookup!A:C,3,0),"")</f>
        <v/>
      </c>
      <c r="J1692" s="103">
        <f>VLOOKUP(A1692&amp;G1692,Lookup!J:N,5,0)</f>
        <v>0</v>
      </c>
      <c r="O1692" s="57">
        <f>IFERROR(VLOOKUP(A1692&amp;G1692,Lookup!J:K,2,0),"")</f>
        <v>0</v>
      </c>
      <c r="P1692" s="110" t="str">
        <f t="shared" si="97"/>
        <v/>
      </c>
      <c r="T1692" s="59" t="e">
        <f t="shared" si="98"/>
        <v>#VALUE!</v>
      </c>
      <c r="U1692" s="59"/>
    </row>
    <row r="1693" spans="2:21" x14ac:dyDescent="0.25">
      <c r="B1693" s="54" t="str">
        <f>IFERROR(VLOOKUP(A1693,Lookup!A:B,2,0),"")</f>
        <v/>
      </c>
      <c r="C1693" s="54" t="str">
        <f>IFERROR(VLOOKUP(A1693,Lookup!A:C,3,0),"")</f>
        <v/>
      </c>
      <c r="J1693" s="103">
        <f>VLOOKUP(A1693&amp;G1693,Lookup!J:N,5,0)</f>
        <v>0</v>
      </c>
      <c r="O1693" s="57">
        <f>IFERROR(VLOOKUP(A1693&amp;G1693,Lookup!J:K,2,0),"")</f>
        <v>0</v>
      </c>
      <c r="P1693" s="110" t="str">
        <f t="shared" si="97"/>
        <v/>
      </c>
      <c r="T1693" s="59" t="e">
        <f t="shared" si="98"/>
        <v>#VALUE!</v>
      </c>
      <c r="U1693" s="59"/>
    </row>
    <row r="1694" spans="2:21" x14ac:dyDescent="0.25">
      <c r="B1694" s="54" t="str">
        <f>IFERROR(VLOOKUP(A1694,Lookup!A:B,2,0),"")</f>
        <v/>
      </c>
      <c r="C1694" s="54" t="str">
        <f>IFERROR(VLOOKUP(A1694,Lookup!A:C,3,0),"")</f>
        <v/>
      </c>
      <c r="J1694" s="103">
        <f>VLOOKUP(A1694&amp;G1694,Lookup!J:N,5,0)</f>
        <v>0</v>
      </c>
      <c r="O1694" s="57">
        <f>IFERROR(VLOOKUP(A1694&amp;G1694,Lookup!J:K,2,0),"")</f>
        <v>0</v>
      </c>
      <c r="P1694" s="110" t="str">
        <f t="shared" si="97"/>
        <v/>
      </c>
      <c r="T1694" s="59" t="e">
        <f t="shared" si="98"/>
        <v>#VALUE!</v>
      </c>
      <c r="U1694" s="59"/>
    </row>
    <row r="1695" spans="2:21" x14ac:dyDescent="0.25">
      <c r="B1695" s="54" t="str">
        <f>IFERROR(VLOOKUP(A1695,Lookup!A:B,2,0),"")</f>
        <v/>
      </c>
      <c r="C1695" s="54" t="str">
        <f>IFERROR(VLOOKUP(A1695,Lookup!A:C,3,0),"")</f>
        <v/>
      </c>
      <c r="J1695" s="103">
        <f>VLOOKUP(A1695&amp;G1695,Lookup!J:N,5,0)</f>
        <v>0</v>
      </c>
      <c r="O1695" s="57">
        <f>IFERROR(VLOOKUP(A1695&amp;G1695,Lookup!J:K,2,0),"")</f>
        <v>0</v>
      </c>
      <c r="P1695" s="110" t="str">
        <f t="shared" si="97"/>
        <v/>
      </c>
      <c r="T1695" s="59" t="e">
        <f t="shared" si="98"/>
        <v>#VALUE!</v>
      </c>
      <c r="U1695" s="59"/>
    </row>
    <row r="1696" spans="2:21" x14ac:dyDescent="0.25">
      <c r="B1696" s="54" t="str">
        <f>IFERROR(VLOOKUP(A1696,Lookup!A:B,2,0),"")</f>
        <v/>
      </c>
      <c r="C1696" s="54" t="str">
        <f>IFERROR(VLOOKUP(A1696,Lookup!A:C,3,0),"")</f>
        <v/>
      </c>
      <c r="J1696" s="103">
        <f>VLOOKUP(A1696&amp;G1696,Lookup!J:N,5,0)</f>
        <v>0</v>
      </c>
      <c r="O1696" s="57">
        <f>IFERROR(VLOOKUP(A1696&amp;G1696,Lookup!J:K,2,0),"")</f>
        <v>0</v>
      </c>
      <c r="P1696" s="110" t="str">
        <f t="shared" si="97"/>
        <v/>
      </c>
      <c r="T1696" s="59" t="e">
        <f t="shared" si="98"/>
        <v>#VALUE!</v>
      </c>
      <c r="U1696" s="59"/>
    </row>
    <row r="1697" spans="2:21" x14ac:dyDescent="0.25">
      <c r="B1697" s="54" t="str">
        <f>IFERROR(VLOOKUP(A1697,Lookup!A:B,2,0),"")</f>
        <v/>
      </c>
      <c r="C1697" s="54" t="str">
        <f>IFERROR(VLOOKUP(A1697,Lookup!A:C,3,0),"")</f>
        <v/>
      </c>
      <c r="J1697" s="103">
        <f>VLOOKUP(A1697&amp;G1697,Lookup!J:N,5,0)</f>
        <v>0</v>
      </c>
      <c r="O1697" s="57">
        <f>IFERROR(VLOOKUP(A1697&amp;G1697,Lookup!J:K,2,0),"")</f>
        <v>0</v>
      </c>
      <c r="P1697" s="110" t="str">
        <f t="shared" si="97"/>
        <v/>
      </c>
      <c r="T1697" s="59" t="e">
        <f t="shared" si="98"/>
        <v>#VALUE!</v>
      </c>
      <c r="U1697" s="59"/>
    </row>
    <row r="1698" spans="2:21" x14ac:dyDescent="0.25">
      <c r="B1698" s="54" t="str">
        <f>IFERROR(VLOOKUP(A1698,Lookup!A:B,2,0),"")</f>
        <v/>
      </c>
      <c r="C1698" s="54" t="str">
        <f>IFERROR(VLOOKUP(A1698,Lookup!A:C,3,0),"")</f>
        <v/>
      </c>
      <c r="J1698" s="103">
        <f>VLOOKUP(A1698&amp;G1698,Lookup!J:N,5,0)</f>
        <v>0</v>
      </c>
      <c r="O1698" s="57">
        <f>IFERROR(VLOOKUP(A1698&amp;G1698,Lookup!J:K,2,0),"")</f>
        <v>0</v>
      </c>
      <c r="P1698" s="110" t="str">
        <f t="shared" si="97"/>
        <v/>
      </c>
      <c r="T1698" s="59" t="e">
        <f t="shared" si="98"/>
        <v>#VALUE!</v>
      </c>
      <c r="U1698" s="59"/>
    </row>
    <row r="1699" spans="2:21" x14ac:dyDescent="0.25">
      <c r="B1699" s="54" t="str">
        <f>IFERROR(VLOOKUP(A1699,Lookup!A:B,2,0),"")</f>
        <v/>
      </c>
      <c r="C1699" s="54" t="str">
        <f>IFERROR(VLOOKUP(A1699,Lookup!A:C,3,0),"")</f>
        <v/>
      </c>
      <c r="J1699" s="103">
        <f>VLOOKUP(A1699&amp;G1699,Lookup!J:N,5,0)</f>
        <v>0</v>
      </c>
      <c r="O1699" s="57">
        <f>IFERROR(VLOOKUP(A1699&amp;G1699,Lookup!J:K,2,0),"")</f>
        <v>0</v>
      </c>
      <c r="P1699" s="110" t="str">
        <f t="shared" si="97"/>
        <v/>
      </c>
      <c r="T1699" s="59" t="e">
        <f t="shared" si="98"/>
        <v>#VALUE!</v>
      </c>
      <c r="U1699" s="59"/>
    </row>
    <row r="1700" spans="2:21" x14ac:dyDescent="0.25">
      <c r="B1700" s="54" t="str">
        <f>IFERROR(VLOOKUP(A1700,Lookup!A:B,2,0),"")</f>
        <v/>
      </c>
      <c r="C1700" s="54" t="str">
        <f>IFERROR(VLOOKUP(A1700,Lookup!A:C,3,0),"")</f>
        <v/>
      </c>
      <c r="J1700" s="103">
        <f>VLOOKUP(A1700&amp;G1700,Lookup!J:N,5,0)</f>
        <v>0</v>
      </c>
      <c r="O1700" s="57">
        <f>IFERROR(VLOOKUP(A1700&amp;G1700,Lookup!J:K,2,0),"")</f>
        <v>0</v>
      </c>
      <c r="P1700" s="110" t="str">
        <f t="shared" si="97"/>
        <v/>
      </c>
      <c r="T1700" s="59" t="e">
        <f t="shared" si="98"/>
        <v>#VALUE!</v>
      </c>
      <c r="U1700" s="59"/>
    </row>
    <row r="1701" spans="2:21" x14ac:dyDescent="0.25">
      <c r="B1701" s="54" t="str">
        <f>IFERROR(VLOOKUP(A1701,Lookup!A:B,2,0),"")</f>
        <v/>
      </c>
      <c r="C1701" s="54" t="str">
        <f>IFERROR(VLOOKUP(A1701,Lookup!A:C,3,0),"")</f>
        <v/>
      </c>
      <c r="J1701" s="103">
        <f>VLOOKUP(A1701&amp;G1701,Lookup!J:N,5,0)</f>
        <v>0</v>
      </c>
      <c r="O1701" s="57">
        <f>IFERROR(VLOOKUP(A1701&amp;G1701,Lookup!J:K,2,0),"")</f>
        <v>0</v>
      </c>
      <c r="P1701" s="110" t="str">
        <f t="shared" si="97"/>
        <v/>
      </c>
      <c r="T1701" s="59" t="e">
        <f t="shared" si="98"/>
        <v>#VALUE!</v>
      </c>
      <c r="U1701" s="59"/>
    </row>
    <row r="1702" spans="2:21" x14ac:dyDescent="0.25">
      <c r="B1702" s="54" t="str">
        <f>IFERROR(VLOOKUP(A1702,Lookup!A:B,2,0),"")</f>
        <v/>
      </c>
      <c r="C1702" s="54" t="str">
        <f>IFERROR(VLOOKUP(A1702,Lookup!A:C,3,0),"")</f>
        <v/>
      </c>
      <c r="J1702" s="103">
        <f>VLOOKUP(A1702&amp;G1702,Lookup!J:N,5,0)</f>
        <v>0</v>
      </c>
      <c r="O1702" s="57">
        <f>IFERROR(VLOOKUP(A1702&amp;G1702,Lookup!J:K,2,0),"")</f>
        <v>0</v>
      </c>
      <c r="P1702" s="110" t="str">
        <f t="shared" si="97"/>
        <v/>
      </c>
      <c r="T1702" s="59" t="e">
        <f t="shared" si="98"/>
        <v>#VALUE!</v>
      </c>
      <c r="U1702" s="59"/>
    </row>
    <row r="1703" spans="2:21" x14ac:dyDescent="0.25">
      <c r="B1703" s="54" t="str">
        <f>IFERROR(VLOOKUP(A1703,Lookup!A:B,2,0),"")</f>
        <v/>
      </c>
      <c r="C1703" s="54" t="str">
        <f>IFERROR(VLOOKUP(A1703,Lookup!A:C,3,0),"")</f>
        <v/>
      </c>
      <c r="J1703" s="103">
        <f>VLOOKUP(A1703&amp;G1703,Lookup!J:N,5,0)</f>
        <v>0</v>
      </c>
      <c r="O1703" s="57">
        <f>IFERROR(VLOOKUP(A1703&amp;G1703,Lookup!J:K,2,0),"")</f>
        <v>0</v>
      </c>
      <c r="P1703" s="110" t="str">
        <f t="shared" si="97"/>
        <v/>
      </c>
      <c r="T1703" s="59" t="e">
        <f t="shared" si="98"/>
        <v>#VALUE!</v>
      </c>
      <c r="U1703" s="59"/>
    </row>
    <row r="1704" spans="2:21" x14ac:dyDescent="0.25">
      <c r="B1704" s="54" t="str">
        <f>IFERROR(VLOOKUP(A1704,Lookup!A:B,2,0),"")</f>
        <v/>
      </c>
      <c r="C1704" s="54" t="str">
        <f>IFERROR(VLOOKUP(A1704,Lookup!A:C,3,0),"")</f>
        <v/>
      </c>
      <c r="J1704" s="103">
        <f>VLOOKUP(A1704&amp;G1704,Lookup!J:N,5,0)</f>
        <v>0</v>
      </c>
      <c r="O1704" s="57">
        <f>IFERROR(VLOOKUP(A1704&amp;G1704,Lookup!J:K,2,0),"")</f>
        <v>0</v>
      </c>
      <c r="P1704" s="110" t="str">
        <f t="shared" si="97"/>
        <v/>
      </c>
      <c r="T1704" s="59" t="e">
        <f t="shared" si="98"/>
        <v>#VALUE!</v>
      </c>
      <c r="U1704" s="59"/>
    </row>
    <row r="1705" spans="2:21" x14ac:dyDescent="0.25">
      <c r="B1705" s="54" t="str">
        <f>IFERROR(VLOOKUP(A1705,Lookup!A:B,2,0),"")</f>
        <v/>
      </c>
      <c r="C1705" s="54" t="str">
        <f>IFERROR(VLOOKUP(A1705,Lookup!A:C,3,0),"")</f>
        <v/>
      </c>
      <c r="J1705" s="103">
        <f>VLOOKUP(A1705&amp;G1705,Lookup!J:N,5,0)</f>
        <v>0</v>
      </c>
      <c r="O1705" s="57">
        <f>IFERROR(VLOOKUP(A1705&amp;G1705,Lookup!J:K,2,0),"")</f>
        <v>0</v>
      </c>
      <c r="P1705" s="110" t="str">
        <f t="shared" si="97"/>
        <v/>
      </c>
      <c r="T1705" s="59" t="e">
        <f t="shared" si="98"/>
        <v>#VALUE!</v>
      </c>
      <c r="U1705" s="59"/>
    </row>
    <row r="1706" spans="2:21" x14ac:dyDescent="0.25">
      <c r="B1706" s="54" t="str">
        <f>IFERROR(VLOOKUP(A1706,Lookup!A:B,2,0),"")</f>
        <v/>
      </c>
      <c r="C1706" s="54" t="str">
        <f>IFERROR(VLOOKUP(A1706,Lookup!A:C,3,0),"")</f>
        <v/>
      </c>
      <c r="J1706" s="103">
        <f>VLOOKUP(A1706&amp;G1706,Lookup!J:N,5,0)</f>
        <v>0</v>
      </c>
      <c r="O1706" s="57">
        <f>IFERROR(VLOOKUP(A1706&amp;G1706,Lookup!J:K,2,0),"")</f>
        <v>0</v>
      </c>
      <c r="P1706" s="110" t="str">
        <f t="shared" si="97"/>
        <v/>
      </c>
      <c r="T1706" s="59" t="e">
        <f t="shared" si="98"/>
        <v>#VALUE!</v>
      </c>
      <c r="U1706" s="59"/>
    </row>
    <row r="1707" spans="2:21" x14ac:dyDescent="0.25">
      <c r="B1707" s="54" t="str">
        <f>IFERROR(VLOOKUP(A1707,Lookup!A:B,2,0),"")</f>
        <v/>
      </c>
      <c r="C1707" s="54" t="str">
        <f>IFERROR(VLOOKUP(A1707,Lookup!A:C,3,0),"")</f>
        <v/>
      </c>
      <c r="J1707" s="103">
        <f>VLOOKUP(A1707&amp;G1707,Lookup!J:N,5,0)</f>
        <v>0</v>
      </c>
      <c r="O1707" s="57">
        <f>IFERROR(VLOOKUP(A1707&amp;G1707,Lookup!J:K,2,0),"")</f>
        <v>0</v>
      </c>
      <c r="P1707" s="110" t="str">
        <f t="shared" si="97"/>
        <v/>
      </c>
      <c r="T1707" s="59" t="e">
        <f t="shared" si="98"/>
        <v>#VALUE!</v>
      </c>
      <c r="U1707" s="59"/>
    </row>
    <row r="1708" spans="2:21" x14ac:dyDescent="0.25">
      <c r="B1708" s="54" t="str">
        <f>IFERROR(VLOOKUP(A1708,Lookup!A:B,2,0),"")</f>
        <v/>
      </c>
      <c r="C1708" s="54" t="str">
        <f>IFERROR(VLOOKUP(A1708,Lookup!A:C,3,0),"")</f>
        <v/>
      </c>
      <c r="J1708" s="103">
        <f>VLOOKUP(A1708&amp;G1708,Lookup!J:N,5,0)</f>
        <v>0</v>
      </c>
      <c r="O1708" s="57">
        <f>IFERROR(VLOOKUP(A1708&amp;G1708,Lookup!J:K,2,0),"")</f>
        <v>0</v>
      </c>
      <c r="P1708" s="110" t="str">
        <f t="shared" si="97"/>
        <v/>
      </c>
      <c r="T1708" s="59" t="e">
        <f t="shared" si="98"/>
        <v>#VALUE!</v>
      </c>
      <c r="U1708" s="59"/>
    </row>
    <row r="1709" spans="2:21" x14ac:dyDescent="0.25">
      <c r="B1709" s="54" t="str">
        <f>IFERROR(VLOOKUP(A1709,Lookup!A:B,2,0),"")</f>
        <v/>
      </c>
      <c r="C1709" s="54" t="str">
        <f>IFERROR(VLOOKUP(A1709,Lookup!A:C,3,0),"")</f>
        <v/>
      </c>
      <c r="J1709" s="103">
        <f>VLOOKUP(A1709&amp;G1709,Lookup!J:N,5,0)</f>
        <v>0</v>
      </c>
      <c r="O1709" s="57">
        <f>IFERROR(VLOOKUP(A1709&amp;G1709,Lookup!J:K,2,0),"")</f>
        <v>0</v>
      </c>
      <c r="P1709" s="110" t="str">
        <f t="shared" si="97"/>
        <v/>
      </c>
      <c r="T1709" s="59" t="e">
        <f t="shared" si="98"/>
        <v>#VALUE!</v>
      </c>
      <c r="U1709" s="59"/>
    </row>
    <row r="1710" spans="2:21" x14ac:dyDescent="0.25">
      <c r="B1710" s="54" t="str">
        <f>IFERROR(VLOOKUP(A1710,Lookup!A:B,2,0),"")</f>
        <v/>
      </c>
      <c r="C1710" s="54" t="str">
        <f>IFERROR(VLOOKUP(A1710,Lookup!A:C,3,0),"")</f>
        <v/>
      </c>
      <c r="J1710" s="103">
        <f>VLOOKUP(A1710&amp;G1710,Lookup!J:N,5,0)</f>
        <v>0</v>
      </c>
      <c r="O1710" s="57">
        <f>IFERROR(VLOOKUP(A1710&amp;G1710,Lookup!J:K,2,0),"")</f>
        <v>0</v>
      </c>
      <c r="P1710" s="110" t="str">
        <f t="shared" si="97"/>
        <v/>
      </c>
      <c r="T1710" s="59" t="e">
        <f t="shared" si="98"/>
        <v>#VALUE!</v>
      </c>
      <c r="U1710" s="59"/>
    </row>
    <row r="1711" spans="2:21" x14ac:dyDescent="0.25">
      <c r="B1711" s="54" t="str">
        <f>IFERROR(VLOOKUP(A1711,Lookup!A:B,2,0),"")</f>
        <v/>
      </c>
      <c r="C1711" s="54" t="str">
        <f>IFERROR(VLOOKUP(A1711,Lookup!A:C,3,0),"")</f>
        <v/>
      </c>
      <c r="J1711" s="103">
        <f>VLOOKUP(A1711&amp;G1711,Lookup!J:N,5,0)</f>
        <v>0</v>
      </c>
      <c r="O1711" s="57">
        <f>IFERROR(VLOOKUP(A1711&amp;G1711,Lookup!J:K,2,0),"")</f>
        <v>0</v>
      </c>
      <c r="P1711" s="110" t="str">
        <f t="shared" si="97"/>
        <v/>
      </c>
      <c r="T1711" s="59" t="e">
        <f t="shared" si="98"/>
        <v>#VALUE!</v>
      </c>
      <c r="U1711" s="59"/>
    </row>
    <row r="1712" spans="2:21" x14ac:dyDescent="0.25">
      <c r="B1712" s="54" t="str">
        <f>IFERROR(VLOOKUP(A1712,Lookup!A:B,2,0),"")</f>
        <v/>
      </c>
      <c r="C1712" s="54" t="str">
        <f>IFERROR(VLOOKUP(A1712,Lookup!A:C,3,0),"")</f>
        <v/>
      </c>
      <c r="J1712" s="103">
        <f>VLOOKUP(A1712&amp;G1712,Lookup!J:N,5,0)</f>
        <v>0</v>
      </c>
      <c r="O1712" s="57">
        <f>IFERROR(VLOOKUP(A1712&amp;G1712,Lookup!J:K,2,0),"")</f>
        <v>0</v>
      </c>
      <c r="P1712" s="110" t="str">
        <f t="shared" si="97"/>
        <v/>
      </c>
      <c r="T1712" s="59" t="e">
        <f t="shared" si="98"/>
        <v>#VALUE!</v>
      </c>
      <c r="U1712" s="59"/>
    </row>
    <row r="1713" spans="2:21" x14ac:dyDescent="0.25">
      <c r="B1713" s="54" t="str">
        <f>IFERROR(VLOOKUP(A1713,Lookup!A:B,2,0),"")</f>
        <v/>
      </c>
      <c r="C1713" s="54" t="str">
        <f>IFERROR(VLOOKUP(A1713,Lookup!A:C,3,0),"")</f>
        <v/>
      </c>
      <c r="J1713" s="103">
        <f>VLOOKUP(A1713&amp;G1713,Lookup!J:N,5,0)</f>
        <v>0</v>
      </c>
      <c r="O1713" s="57">
        <f>IFERROR(VLOOKUP(A1713&amp;G1713,Lookup!J:K,2,0),"")</f>
        <v>0</v>
      </c>
      <c r="P1713" s="110" t="str">
        <f t="shared" si="97"/>
        <v/>
      </c>
      <c r="T1713" s="59" t="e">
        <f t="shared" si="98"/>
        <v>#VALUE!</v>
      </c>
      <c r="U1713" s="59"/>
    </row>
    <row r="1714" spans="2:21" x14ac:dyDescent="0.25">
      <c r="B1714" s="54" t="str">
        <f>IFERROR(VLOOKUP(A1714,Lookup!A:B,2,0),"")</f>
        <v/>
      </c>
      <c r="C1714" s="54" t="str">
        <f>IFERROR(VLOOKUP(A1714,Lookup!A:C,3,0),"")</f>
        <v/>
      </c>
      <c r="J1714" s="103">
        <f>VLOOKUP(A1714&amp;G1714,Lookup!J:N,5,0)</f>
        <v>0</v>
      </c>
      <c r="O1714" s="57">
        <f>IFERROR(VLOOKUP(A1714&amp;G1714,Lookup!J:K,2,0),"")</f>
        <v>0</v>
      </c>
      <c r="P1714" s="110" t="str">
        <f t="shared" si="97"/>
        <v/>
      </c>
      <c r="T1714" s="59" t="e">
        <f t="shared" si="98"/>
        <v>#VALUE!</v>
      </c>
      <c r="U1714" s="59"/>
    </row>
    <row r="1715" spans="2:21" x14ac:dyDescent="0.25">
      <c r="B1715" s="54" t="str">
        <f>IFERROR(VLOOKUP(A1715,Lookup!A:B,2,0),"")</f>
        <v/>
      </c>
      <c r="C1715" s="54" t="str">
        <f>IFERROR(VLOOKUP(A1715,Lookup!A:C,3,0),"")</f>
        <v/>
      </c>
      <c r="J1715" s="103">
        <f>VLOOKUP(A1715&amp;G1715,Lookup!J:N,5,0)</f>
        <v>0</v>
      </c>
      <c r="O1715" s="57">
        <f>IFERROR(VLOOKUP(A1715&amp;G1715,Lookup!J:K,2,0),"")</f>
        <v>0</v>
      </c>
      <c r="P1715" s="110" t="str">
        <f t="shared" si="97"/>
        <v/>
      </c>
      <c r="T1715" s="59" t="e">
        <f t="shared" si="98"/>
        <v>#VALUE!</v>
      </c>
      <c r="U1715" s="59"/>
    </row>
    <row r="1716" spans="2:21" x14ac:dyDescent="0.25">
      <c r="B1716" s="54" t="str">
        <f>IFERROR(VLOOKUP(A1716,Lookup!A:B,2,0),"")</f>
        <v/>
      </c>
      <c r="C1716" s="54" t="str">
        <f>IFERROR(VLOOKUP(A1716,Lookup!A:C,3,0),"")</f>
        <v/>
      </c>
      <c r="J1716" s="103">
        <f>VLOOKUP(A1716&amp;G1716,Lookup!J:N,5,0)</f>
        <v>0</v>
      </c>
      <c r="O1716" s="57">
        <f>IFERROR(VLOOKUP(A1716&amp;G1716,Lookup!J:K,2,0),"")</f>
        <v>0</v>
      </c>
      <c r="P1716" s="110" t="str">
        <f t="shared" si="97"/>
        <v/>
      </c>
      <c r="T1716" s="59" t="e">
        <f t="shared" si="98"/>
        <v>#VALUE!</v>
      </c>
      <c r="U1716" s="59"/>
    </row>
    <row r="1717" spans="2:21" x14ac:dyDescent="0.25">
      <c r="B1717" s="54" t="str">
        <f>IFERROR(VLOOKUP(A1717,Lookup!A:B,2,0),"")</f>
        <v/>
      </c>
      <c r="C1717" s="54" t="str">
        <f>IFERROR(VLOOKUP(A1717,Lookup!A:C,3,0),"")</f>
        <v/>
      </c>
      <c r="J1717" s="103">
        <f>VLOOKUP(A1717&amp;G1717,Lookup!J:N,5,0)</f>
        <v>0</v>
      </c>
      <c r="O1717" s="57">
        <f>IFERROR(VLOOKUP(A1717&amp;G1717,Lookup!J:K,2,0),"")</f>
        <v>0</v>
      </c>
      <c r="P1717" s="110" t="str">
        <f t="shared" si="97"/>
        <v/>
      </c>
      <c r="T1717" s="59" t="e">
        <f t="shared" si="98"/>
        <v>#VALUE!</v>
      </c>
      <c r="U1717" s="59"/>
    </row>
    <row r="1718" spans="2:21" x14ac:dyDescent="0.25">
      <c r="B1718" s="54" t="str">
        <f>IFERROR(VLOOKUP(A1718,Lookup!A:B,2,0),"")</f>
        <v/>
      </c>
      <c r="C1718" s="54" t="str">
        <f>IFERROR(VLOOKUP(A1718,Lookup!A:C,3,0),"")</f>
        <v/>
      </c>
      <c r="J1718" s="103">
        <f>VLOOKUP(A1718&amp;G1718,Lookup!J:N,5,0)</f>
        <v>0</v>
      </c>
      <c r="O1718" s="57">
        <f>IFERROR(VLOOKUP(A1718&amp;G1718,Lookup!J:K,2,0),"")</f>
        <v>0</v>
      </c>
      <c r="P1718" s="110" t="str">
        <f t="shared" si="97"/>
        <v/>
      </c>
      <c r="T1718" s="59" t="e">
        <f t="shared" si="98"/>
        <v>#VALUE!</v>
      </c>
      <c r="U1718" s="59"/>
    </row>
    <row r="1719" spans="2:21" x14ac:dyDescent="0.25">
      <c r="B1719" s="54" t="str">
        <f>IFERROR(VLOOKUP(A1719,Lookup!A:B,2,0),"")</f>
        <v/>
      </c>
      <c r="C1719" s="54" t="str">
        <f>IFERROR(VLOOKUP(A1719,Lookup!A:C,3,0),"")</f>
        <v/>
      </c>
      <c r="J1719" s="103">
        <f>VLOOKUP(A1719&amp;G1719,Lookup!J:N,5,0)</f>
        <v>0</v>
      </c>
      <c r="O1719" s="57">
        <f>IFERROR(VLOOKUP(A1719&amp;G1719,Lookup!J:K,2,0),"")</f>
        <v>0</v>
      </c>
      <c r="P1719" s="110" t="str">
        <f t="shared" si="97"/>
        <v/>
      </c>
      <c r="T1719" s="59" t="e">
        <f t="shared" si="98"/>
        <v>#VALUE!</v>
      </c>
      <c r="U1719" s="59"/>
    </row>
    <row r="1720" spans="2:21" x14ac:dyDescent="0.25">
      <c r="B1720" s="54" t="str">
        <f>IFERROR(VLOOKUP(A1720,Lookup!A:B,2,0),"")</f>
        <v/>
      </c>
      <c r="C1720" s="54" t="str">
        <f>IFERROR(VLOOKUP(A1720,Lookup!A:C,3,0),"")</f>
        <v/>
      </c>
      <c r="J1720" s="103">
        <f>VLOOKUP(A1720&amp;G1720,Lookup!J:N,5,0)</f>
        <v>0</v>
      </c>
      <c r="O1720" s="57">
        <f>IFERROR(VLOOKUP(A1720&amp;G1720,Lookup!J:K,2,0),"")</f>
        <v>0</v>
      </c>
      <c r="P1720" s="110" t="str">
        <f t="shared" si="97"/>
        <v/>
      </c>
      <c r="T1720" s="59" t="e">
        <f t="shared" si="98"/>
        <v>#VALUE!</v>
      </c>
      <c r="U1720" s="59"/>
    </row>
    <row r="1721" spans="2:21" x14ac:dyDescent="0.25">
      <c r="B1721" s="54" t="str">
        <f>IFERROR(VLOOKUP(A1721,Lookup!A:B,2,0),"")</f>
        <v/>
      </c>
      <c r="C1721" s="54" t="str">
        <f>IFERROR(VLOOKUP(A1721,Lookup!A:C,3,0),"")</f>
        <v/>
      </c>
      <c r="J1721" s="103">
        <f>VLOOKUP(A1721&amp;G1721,Lookup!J:N,5,0)</f>
        <v>0</v>
      </c>
      <c r="O1721" s="57">
        <f>IFERROR(VLOOKUP(A1721&amp;G1721,Lookup!J:K,2,0),"")</f>
        <v>0</v>
      </c>
      <c r="P1721" s="110" t="str">
        <f t="shared" si="97"/>
        <v/>
      </c>
      <c r="T1721" s="59" t="e">
        <f t="shared" si="98"/>
        <v>#VALUE!</v>
      </c>
      <c r="U1721" s="59"/>
    </row>
    <row r="1722" spans="2:21" x14ac:dyDescent="0.25">
      <c r="B1722" s="54" t="str">
        <f>IFERROR(VLOOKUP(A1722,Lookup!A:B,2,0),"")</f>
        <v/>
      </c>
      <c r="C1722" s="54" t="str">
        <f>IFERROR(VLOOKUP(A1722,Lookup!A:C,3,0),"")</f>
        <v/>
      </c>
      <c r="J1722" s="103">
        <f>VLOOKUP(A1722&amp;G1722,Lookup!J:N,5,0)</f>
        <v>0</v>
      </c>
      <c r="O1722" s="57">
        <f>IFERROR(VLOOKUP(A1722&amp;G1722,Lookup!J:K,2,0),"")</f>
        <v>0</v>
      </c>
      <c r="P1722" s="110" t="str">
        <f t="shared" si="97"/>
        <v/>
      </c>
      <c r="T1722" s="59" t="e">
        <f t="shared" si="98"/>
        <v>#VALUE!</v>
      </c>
      <c r="U1722" s="59"/>
    </row>
    <row r="1723" spans="2:21" x14ac:dyDescent="0.25">
      <c r="B1723" s="54" t="str">
        <f>IFERROR(VLOOKUP(A1723,Lookup!A:B,2,0),"")</f>
        <v/>
      </c>
      <c r="C1723" s="54" t="str">
        <f>IFERROR(VLOOKUP(A1723,Lookup!A:C,3,0),"")</f>
        <v/>
      </c>
      <c r="J1723" s="103">
        <f>VLOOKUP(A1723&amp;G1723,Lookup!J:N,5,0)</f>
        <v>0</v>
      </c>
      <c r="O1723" s="57">
        <f>IFERROR(VLOOKUP(A1723&amp;G1723,Lookup!J:K,2,0),"")</f>
        <v>0</v>
      </c>
      <c r="P1723" s="110" t="str">
        <f t="shared" si="97"/>
        <v/>
      </c>
      <c r="T1723" s="59" t="e">
        <f t="shared" si="98"/>
        <v>#VALUE!</v>
      </c>
      <c r="U1723" s="59"/>
    </row>
    <row r="1724" spans="2:21" x14ac:dyDescent="0.25">
      <c r="B1724" s="54" t="str">
        <f>IFERROR(VLOOKUP(A1724,Lookup!A:B,2,0),"")</f>
        <v/>
      </c>
      <c r="C1724" s="54" t="str">
        <f>IFERROR(VLOOKUP(A1724,Lookup!A:C,3,0),"")</f>
        <v/>
      </c>
      <c r="J1724" s="103">
        <f>VLOOKUP(A1724&amp;G1724,Lookup!J:N,5,0)</f>
        <v>0</v>
      </c>
      <c r="O1724" s="57">
        <f>IFERROR(VLOOKUP(A1724&amp;G1724,Lookup!J:K,2,0),"")</f>
        <v>0</v>
      </c>
      <c r="P1724" s="110" t="str">
        <f t="shared" si="97"/>
        <v/>
      </c>
      <c r="T1724" s="59" t="e">
        <f t="shared" si="98"/>
        <v>#VALUE!</v>
      </c>
      <c r="U1724" s="59"/>
    </row>
    <row r="1725" spans="2:21" x14ac:dyDescent="0.25">
      <c r="B1725" s="54" t="str">
        <f>IFERROR(VLOOKUP(A1725,Lookup!A:B,2,0),"")</f>
        <v/>
      </c>
      <c r="C1725" s="54" t="str">
        <f>IFERROR(VLOOKUP(A1725,Lookup!A:C,3,0),"")</f>
        <v/>
      </c>
      <c r="J1725" s="103">
        <f>VLOOKUP(A1725&amp;G1725,Lookup!J:N,5,0)</f>
        <v>0</v>
      </c>
      <c r="O1725" s="57">
        <f>IFERROR(VLOOKUP(A1725&amp;G1725,Lookup!J:K,2,0),"")</f>
        <v>0</v>
      </c>
      <c r="P1725" s="110" t="str">
        <f t="shared" si="97"/>
        <v/>
      </c>
      <c r="T1725" s="59" t="e">
        <f t="shared" si="98"/>
        <v>#VALUE!</v>
      </c>
      <c r="U1725" s="59"/>
    </row>
    <row r="1726" spans="2:21" x14ac:dyDescent="0.25">
      <c r="B1726" s="54" t="str">
        <f>IFERROR(VLOOKUP(A1726,Lookup!A:B,2,0),"")</f>
        <v/>
      </c>
      <c r="C1726" s="54" t="str">
        <f>IFERROR(VLOOKUP(A1726,Lookup!A:C,3,0),"")</f>
        <v/>
      </c>
      <c r="J1726" s="103">
        <f>VLOOKUP(A1726&amp;G1726,Lookup!J:N,5,0)</f>
        <v>0</v>
      </c>
      <c r="O1726" s="57">
        <f>IFERROR(VLOOKUP(A1726&amp;G1726,Lookup!J:K,2,0),"")</f>
        <v>0</v>
      </c>
      <c r="P1726" s="110" t="str">
        <f t="shared" si="97"/>
        <v/>
      </c>
      <c r="T1726" s="59" t="e">
        <f t="shared" si="98"/>
        <v>#VALUE!</v>
      </c>
      <c r="U1726" s="59"/>
    </row>
    <row r="1727" spans="2:21" x14ac:dyDescent="0.25">
      <c r="B1727" s="54" t="str">
        <f>IFERROR(VLOOKUP(A1727,Lookup!A:B,2,0),"")</f>
        <v/>
      </c>
      <c r="C1727" s="54" t="str">
        <f>IFERROR(VLOOKUP(A1727,Lookup!A:C,3,0),"")</f>
        <v/>
      </c>
      <c r="J1727" s="103">
        <f>VLOOKUP(A1727&amp;G1727,Lookup!J:N,5,0)</f>
        <v>0</v>
      </c>
      <c r="O1727" s="57">
        <f>IFERROR(VLOOKUP(A1727&amp;G1727,Lookup!J:K,2,0),"")</f>
        <v>0</v>
      </c>
      <c r="P1727" s="110" t="str">
        <f t="shared" si="97"/>
        <v/>
      </c>
      <c r="T1727" s="59" t="e">
        <f t="shared" si="98"/>
        <v>#VALUE!</v>
      </c>
      <c r="U1727" s="59"/>
    </row>
    <row r="1728" spans="2:21" x14ac:dyDescent="0.25">
      <c r="B1728" s="54" t="str">
        <f>IFERROR(VLOOKUP(A1728,Lookup!A:B,2,0),"")</f>
        <v/>
      </c>
      <c r="C1728" s="54" t="str">
        <f>IFERROR(VLOOKUP(A1728,Lookup!A:C,3,0),"")</f>
        <v/>
      </c>
      <c r="J1728" s="103">
        <f>VLOOKUP(A1728&amp;G1728,Lookup!J:N,5,0)</f>
        <v>0</v>
      </c>
      <c r="O1728" s="57">
        <f>IFERROR(VLOOKUP(A1728&amp;G1728,Lookup!J:K,2,0),"")</f>
        <v>0</v>
      </c>
      <c r="P1728" s="110" t="str">
        <f t="shared" si="97"/>
        <v/>
      </c>
      <c r="T1728" s="59" t="e">
        <f t="shared" si="98"/>
        <v>#VALUE!</v>
      </c>
      <c r="U1728" s="59"/>
    </row>
    <row r="1729" spans="2:21" x14ac:dyDescent="0.25">
      <c r="B1729" s="54" t="str">
        <f>IFERROR(VLOOKUP(A1729,Lookup!A:B,2,0),"")</f>
        <v/>
      </c>
      <c r="C1729" s="54" t="str">
        <f>IFERROR(VLOOKUP(A1729,Lookup!A:C,3,0),"")</f>
        <v/>
      </c>
      <c r="J1729" s="103">
        <f>VLOOKUP(A1729&amp;G1729,Lookup!J:N,5,0)</f>
        <v>0</v>
      </c>
      <c r="O1729" s="57">
        <f>IFERROR(VLOOKUP(A1729&amp;G1729,Lookup!J:K,2,0),"")</f>
        <v>0</v>
      </c>
      <c r="P1729" s="110" t="str">
        <f t="shared" si="97"/>
        <v/>
      </c>
      <c r="T1729" s="59" t="e">
        <f t="shared" si="98"/>
        <v>#VALUE!</v>
      </c>
      <c r="U1729" s="59"/>
    </row>
    <row r="1730" spans="2:21" x14ac:dyDescent="0.25">
      <c r="B1730" s="54" t="str">
        <f>IFERROR(VLOOKUP(A1730,Lookup!A:B,2,0),"")</f>
        <v/>
      </c>
      <c r="C1730" s="54" t="str">
        <f>IFERROR(VLOOKUP(A1730,Lookup!A:C,3,0),"")</f>
        <v/>
      </c>
      <c r="J1730" s="103">
        <f>VLOOKUP(A1730&amp;G1730,Lookup!J:N,5,0)</f>
        <v>0</v>
      </c>
      <c r="O1730" s="57">
        <f>IFERROR(VLOOKUP(A1730&amp;G1730,Lookup!J:K,2,0),"")</f>
        <v>0</v>
      </c>
      <c r="P1730" s="110" t="str">
        <f t="shared" si="97"/>
        <v/>
      </c>
      <c r="T1730" s="59" t="e">
        <f t="shared" si="98"/>
        <v>#VALUE!</v>
      </c>
      <c r="U1730" s="59"/>
    </row>
    <row r="1731" spans="2:21" x14ac:dyDescent="0.25">
      <c r="B1731" s="54" t="str">
        <f>IFERROR(VLOOKUP(A1731,Lookup!A:B,2,0),"")</f>
        <v/>
      </c>
      <c r="C1731" s="54" t="str">
        <f>IFERROR(VLOOKUP(A1731,Lookup!A:C,3,0),"")</f>
        <v/>
      </c>
      <c r="J1731" s="103">
        <f>VLOOKUP(A1731&amp;G1731,Lookup!J:N,5,0)</f>
        <v>0</v>
      </c>
      <c r="O1731" s="57">
        <f>IFERROR(VLOOKUP(A1731&amp;G1731,Lookup!J:K,2,0),"")</f>
        <v>0</v>
      </c>
      <c r="P1731" s="110" t="str">
        <f t="shared" si="97"/>
        <v/>
      </c>
      <c r="T1731" s="59" t="e">
        <f t="shared" si="98"/>
        <v>#VALUE!</v>
      </c>
      <c r="U1731" s="59"/>
    </row>
    <row r="1732" spans="2:21" x14ac:dyDescent="0.25">
      <c r="B1732" s="54" t="str">
        <f>IFERROR(VLOOKUP(A1732,Lookup!A:B,2,0),"")</f>
        <v/>
      </c>
      <c r="C1732" s="54" t="str">
        <f>IFERROR(VLOOKUP(A1732,Lookup!A:C,3,0),"")</f>
        <v/>
      </c>
      <c r="J1732" s="103">
        <f>VLOOKUP(A1732&amp;G1732,Lookup!J:N,5,0)</f>
        <v>0</v>
      </c>
      <c r="O1732" s="57">
        <f>IFERROR(VLOOKUP(A1732&amp;G1732,Lookup!J:K,2,0),"")</f>
        <v>0</v>
      </c>
      <c r="P1732" s="110" t="str">
        <f t="shared" ref="P1732:P1795" si="99">IF(N1732="","",N1732+O1732)</f>
        <v/>
      </c>
      <c r="T1732" s="59" t="e">
        <f t="shared" si="98"/>
        <v>#VALUE!</v>
      </c>
      <c r="U1732" s="59"/>
    </row>
    <row r="1733" spans="2:21" x14ac:dyDescent="0.25">
      <c r="B1733" s="54" t="str">
        <f>IFERROR(VLOOKUP(A1733,Lookup!A:B,2,0),"")</f>
        <v/>
      </c>
      <c r="C1733" s="54" t="str">
        <f>IFERROR(VLOOKUP(A1733,Lookup!A:C,3,0),"")</f>
        <v/>
      </c>
      <c r="J1733" s="103">
        <f>VLOOKUP(A1733&amp;G1733,Lookup!J:N,5,0)</f>
        <v>0</v>
      </c>
      <c r="O1733" s="57">
        <f>IFERROR(VLOOKUP(A1733&amp;G1733,Lookup!J:K,2,0),"")</f>
        <v>0</v>
      </c>
      <c r="P1733" s="110" t="str">
        <f t="shared" si="99"/>
        <v/>
      </c>
      <c r="T1733" s="59" t="e">
        <f t="shared" si="98"/>
        <v>#VALUE!</v>
      </c>
      <c r="U1733" s="59"/>
    </row>
    <row r="1734" spans="2:21" x14ac:dyDescent="0.25">
      <c r="B1734" s="54" t="str">
        <f>IFERROR(VLOOKUP(A1734,Lookup!A:B,2,0),"")</f>
        <v/>
      </c>
      <c r="C1734" s="54" t="str">
        <f>IFERROR(VLOOKUP(A1734,Lookup!A:C,3,0),"")</f>
        <v/>
      </c>
      <c r="J1734" s="103">
        <f>VLOOKUP(A1734&amp;G1734,Lookup!J:N,5,0)</f>
        <v>0</v>
      </c>
      <c r="O1734" s="57">
        <f>IFERROR(VLOOKUP(A1734&amp;G1734,Lookup!J:K,2,0),"")</f>
        <v>0</v>
      </c>
      <c r="P1734" s="110" t="str">
        <f t="shared" si="99"/>
        <v/>
      </c>
      <c r="T1734" s="59" t="e">
        <f t="shared" si="98"/>
        <v>#VALUE!</v>
      </c>
      <c r="U1734" s="59"/>
    </row>
    <row r="1735" spans="2:21" x14ac:dyDescent="0.25">
      <c r="B1735" s="54" t="str">
        <f>IFERROR(VLOOKUP(A1735,Lookup!A:B,2,0),"")</f>
        <v/>
      </c>
      <c r="C1735" s="54" t="str">
        <f>IFERROR(VLOOKUP(A1735,Lookup!A:C,3,0),"")</f>
        <v/>
      </c>
      <c r="J1735" s="103">
        <f>VLOOKUP(A1735&amp;G1735,Lookup!J:N,5,0)</f>
        <v>0</v>
      </c>
      <c r="O1735" s="57">
        <f>IFERROR(VLOOKUP(A1735&amp;G1735,Lookup!J:K,2,0),"")</f>
        <v>0</v>
      </c>
      <c r="P1735" s="110" t="str">
        <f t="shared" si="99"/>
        <v/>
      </c>
      <c r="T1735" s="59" t="e">
        <f t="shared" si="98"/>
        <v>#VALUE!</v>
      </c>
      <c r="U1735" s="59"/>
    </row>
    <row r="1736" spans="2:21" x14ac:dyDescent="0.25">
      <c r="B1736" s="54" t="str">
        <f>IFERROR(VLOOKUP(A1736,Lookup!A:B,2,0),"")</f>
        <v/>
      </c>
      <c r="C1736" s="54" t="str">
        <f>IFERROR(VLOOKUP(A1736,Lookup!A:C,3,0),"")</f>
        <v/>
      </c>
      <c r="J1736" s="103">
        <f>VLOOKUP(A1736&amp;G1736,Lookup!J:N,5,0)</f>
        <v>0</v>
      </c>
      <c r="O1736" s="57">
        <f>IFERROR(VLOOKUP(A1736&amp;G1736,Lookup!J:K,2,0),"")</f>
        <v>0</v>
      </c>
      <c r="P1736" s="110" t="str">
        <f t="shared" si="99"/>
        <v/>
      </c>
      <c r="T1736" s="59" t="e">
        <f t="shared" si="98"/>
        <v>#VALUE!</v>
      </c>
      <c r="U1736" s="59"/>
    </row>
    <row r="1737" spans="2:21" x14ac:dyDescent="0.25">
      <c r="B1737" s="54" t="str">
        <f>IFERROR(VLOOKUP(A1737,Lookup!A:B,2,0),"")</f>
        <v/>
      </c>
      <c r="C1737" s="54" t="str">
        <f>IFERROR(VLOOKUP(A1737,Lookup!A:C,3,0),"")</f>
        <v/>
      </c>
      <c r="J1737" s="103">
        <f>VLOOKUP(A1737&amp;G1737,Lookup!J:N,5,0)</f>
        <v>0</v>
      </c>
      <c r="O1737" s="57">
        <f>IFERROR(VLOOKUP(A1737&amp;G1737,Lookup!J:K,2,0),"")</f>
        <v>0</v>
      </c>
      <c r="P1737" s="110" t="str">
        <f t="shared" si="99"/>
        <v/>
      </c>
      <c r="T1737" s="59" t="e">
        <f t="shared" si="98"/>
        <v>#VALUE!</v>
      </c>
      <c r="U1737" s="59"/>
    </row>
    <row r="1738" spans="2:21" x14ac:dyDescent="0.25">
      <c r="B1738" s="54" t="str">
        <f>IFERROR(VLOOKUP(A1738,Lookup!A:B,2,0),"")</f>
        <v/>
      </c>
      <c r="C1738" s="54" t="str">
        <f>IFERROR(VLOOKUP(A1738,Lookup!A:C,3,0),"")</f>
        <v/>
      </c>
      <c r="J1738" s="103">
        <f>VLOOKUP(A1738&amp;G1738,Lookup!J:N,5,0)</f>
        <v>0</v>
      </c>
      <c r="O1738" s="57">
        <f>IFERROR(VLOOKUP(A1738&amp;G1738,Lookup!J:K,2,0),"")</f>
        <v>0</v>
      </c>
      <c r="P1738" s="110" t="str">
        <f t="shared" si="99"/>
        <v/>
      </c>
      <c r="T1738" s="59" t="e">
        <f t="shared" si="98"/>
        <v>#VALUE!</v>
      </c>
      <c r="U1738" s="59"/>
    </row>
    <row r="1739" spans="2:21" x14ac:dyDescent="0.25">
      <c r="B1739" s="54" t="str">
        <f>IFERROR(VLOOKUP(A1739,Lookup!A:B,2,0),"")</f>
        <v/>
      </c>
      <c r="C1739" s="54" t="str">
        <f>IFERROR(VLOOKUP(A1739,Lookup!A:C,3,0),"")</f>
        <v/>
      </c>
      <c r="J1739" s="103">
        <f>VLOOKUP(A1739&amp;G1739,Lookup!J:N,5,0)</f>
        <v>0</v>
      </c>
      <c r="O1739" s="57">
        <f>IFERROR(VLOOKUP(A1739&amp;G1739,Lookup!J:K,2,0),"")</f>
        <v>0</v>
      </c>
      <c r="P1739" s="110" t="str">
        <f t="shared" si="99"/>
        <v/>
      </c>
      <c r="T1739" s="59" t="e">
        <f t="shared" si="98"/>
        <v>#VALUE!</v>
      </c>
      <c r="U1739" s="59"/>
    </row>
    <row r="1740" spans="2:21" x14ac:dyDescent="0.25">
      <c r="B1740" s="54" t="str">
        <f>IFERROR(VLOOKUP(A1740,Lookup!A:B,2,0),"")</f>
        <v/>
      </c>
      <c r="C1740" s="54" t="str">
        <f>IFERROR(VLOOKUP(A1740,Lookup!A:C,3,0),"")</f>
        <v/>
      </c>
      <c r="J1740" s="103">
        <f>VLOOKUP(A1740&amp;G1740,Lookup!J:N,5,0)</f>
        <v>0</v>
      </c>
      <c r="O1740" s="57">
        <f>IFERROR(VLOOKUP(A1740&amp;G1740,Lookup!J:K,2,0),"")</f>
        <v>0</v>
      </c>
      <c r="P1740" s="110" t="str">
        <f t="shared" si="99"/>
        <v/>
      </c>
      <c r="T1740" s="59" t="e">
        <f t="shared" si="98"/>
        <v>#VALUE!</v>
      </c>
      <c r="U1740" s="59"/>
    </row>
    <row r="1741" spans="2:21" x14ac:dyDescent="0.25">
      <c r="B1741" s="54" t="str">
        <f>IFERROR(VLOOKUP(A1741,Lookup!A:B,2,0),"")</f>
        <v/>
      </c>
      <c r="C1741" s="54" t="str">
        <f>IFERROR(VLOOKUP(A1741,Lookup!A:C,3,0),"")</f>
        <v/>
      </c>
      <c r="J1741" s="103">
        <f>VLOOKUP(A1741&amp;G1741,Lookup!J:N,5,0)</f>
        <v>0</v>
      </c>
      <c r="O1741" s="57">
        <f>IFERROR(VLOOKUP(A1741&amp;G1741,Lookup!J:K,2,0),"")</f>
        <v>0</v>
      </c>
      <c r="P1741" s="110" t="str">
        <f t="shared" si="99"/>
        <v/>
      </c>
      <c r="T1741" s="59" t="e">
        <f t="shared" si="98"/>
        <v>#VALUE!</v>
      </c>
      <c r="U1741" s="59"/>
    </row>
    <row r="1742" spans="2:21" x14ac:dyDescent="0.25">
      <c r="B1742" s="54" t="str">
        <f>IFERROR(VLOOKUP(A1742,Lookup!A:B,2,0),"")</f>
        <v/>
      </c>
      <c r="C1742" s="54" t="str">
        <f>IFERROR(VLOOKUP(A1742,Lookup!A:C,3,0),"")</f>
        <v/>
      </c>
      <c r="J1742" s="103">
        <f>VLOOKUP(A1742&amp;G1742,Lookup!J:N,5,0)</f>
        <v>0</v>
      </c>
      <c r="O1742" s="57">
        <f>IFERROR(VLOOKUP(A1742&amp;G1742,Lookup!J:K,2,0),"")</f>
        <v>0</v>
      </c>
      <c r="P1742" s="110" t="str">
        <f t="shared" si="99"/>
        <v/>
      </c>
      <c r="T1742" s="59" t="e">
        <f t="shared" ref="T1742:T1805" si="100">IF(Q1742-P1742&gt;0.0415,"YES",(IF(OR(EXACT(Q1742,""), EXACT(P1742,"")),"","NO")))</f>
        <v>#VALUE!</v>
      </c>
      <c r="U1742" s="59"/>
    </row>
    <row r="1743" spans="2:21" x14ac:dyDescent="0.25">
      <c r="B1743" s="54" t="str">
        <f>IFERROR(VLOOKUP(A1743,Lookup!A:B,2,0),"")</f>
        <v/>
      </c>
      <c r="C1743" s="54" t="str">
        <f>IFERROR(VLOOKUP(A1743,Lookup!A:C,3,0),"")</f>
        <v/>
      </c>
      <c r="J1743" s="103">
        <f>VLOOKUP(A1743&amp;G1743,Lookup!J:N,5,0)</f>
        <v>0</v>
      </c>
      <c r="O1743" s="57">
        <f>IFERROR(VLOOKUP(A1743&amp;G1743,Lookup!J:K,2,0),"")</f>
        <v>0</v>
      </c>
      <c r="P1743" s="110" t="str">
        <f t="shared" si="99"/>
        <v/>
      </c>
      <c r="T1743" s="59" t="e">
        <f t="shared" si="100"/>
        <v>#VALUE!</v>
      </c>
      <c r="U1743" s="59"/>
    </row>
    <row r="1744" spans="2:21" x14ac:dyDescent="0.25">
      <c r="B1744" s="54" t="str">
        <f>IFERROR(VLOOKUP(A1744,Lookup!A:B,2,0),"")</f>
        <v/>
      </c>
      <c r="C1744" s="54" t="str">
        <f>IFERROR(VLOOKUP(A1744,Lookup!A:C,3,0),"")</f>
        <v/>
      </c>
      <c r="J1744" s="103">
        <f>VLOOKUP(A1744&amp;G1744,Lookup!J:N,5,0)</f>
        <v>0</v>
      </c>
      <c r="O1744" s="57">
        <f>IFERROR(VLOOKUP(A1744&amp;G1744,Lookup!J:K,2,0),"")</f>
        <v>0</v>
      </c>
      <c r="P1744" s="110" t="str">
        <f t="shared" si="99"/>
        <v/>
      </c>
      <c r="T1744" s="59" t="e">
        <f t="shared" si="100"/>
        <v>#VALUE!</v>
      </c>
      <c r="U1744" s="59"/>
    </row>
    <row r="1745" spans="2:21" x14ac:dyDescent="0.25">
      <c r="B1745" s="54" t="str">
        <f>IFERROR(VLOOKUP(A1745,Lookup!A:B,2,0),"")</f>
        <v/>
      </c>
      <c r="C1745" s="54" t="str">
        <f>IFERROR(VLOOKUP(A1745,Lookup!A:C,3,0),"")</f>
        <v/>
      </c>
      <c r="J1745" s="103">
        <f>VLOOKUP(A1745&amp;G1745,Lookup!J:N,5,0)</f>
        <v>0</v>
      </c>
      <c r="O1745" s="57">
        <f>IFERROR(VLOOKUP(A1745&amp;G1745,Lookup!J:K,2,0),"")</f>
        <v>0</v>
      </c>
      <c r="P1745" s="110" t="str">
        <f t="shared" si="99"/>
        <v/>
      </c>
      <c r="T1745" s="59" t="e">
        <f t="shared" si="100"/>
        <v>#VALUE!</v>
      </c>
      <c r="U1745" s="59"/>
    </row>
    <row r="1746" spans="2:21" x14ac:dyDescent="0.25">
      <c r="B1746" s="54" t="str">
        <f>IFERROR(VLOOKUP(A1746,Lookup!A:B,2,0),"")</f>
        <v/>
      </c>
      <c r="C1746" s="54" t="str">
        <f>IFERROR(VLOOKUP(A1746,Lookup!A:C,3,0),"")</f>
        <v/>
      </c>
      <c r="J1746" s="103">
        <f>VLOOKUP(A1746&amp;G1746,Lookup!J:N,5,0)</f>
        <v>0</v>
      </c>
      <c r="O1746" s="57">
        <f>IFERROR(VLOOKUP(A1746&amp;G1746,Lookup!J:K,2,0),"")</f>
        <v>0</v>
      </c>
      <c r="P1746" s="110" t="str">
        <f t="shared" si="99"/>
        <v/>
      </c>
      <c r="T1746" s="59" t="e">
        <f t="shared" si="100"/>
        <v>#VALUE!</v>
      </c>
      <c r="U1746" s="59"/>
    </row>
    <row r="1747" spans="2:21" x14ac:dyDescent="0.25">
      <c r="B1747" s="54" t="str">
        <f>IFERROR(VLOOKUP(A1747,Lookup!A:B,2,0),"")</f>
        <v/>
      </c>
      <c r="C1747" s="54" t="str">
        <f>IFERROR(VLOOKUP(A1747,Lookup!A:C,3,0),"")</f>
        <v/>
      </c>
      <c r="J1747" s="103">
        <f>VLOOKUP(A1747&amp;G1747,Lookup!J:N,5,0)</f>
        <v>0</v>
      </c>
      <c r="O1747" s="57">
        <f>IFERROR(VLOOKUP(A1747&amp;G1747,Lookup!J:K,2,0),"")</f>
        <v>0</v>
      </c>
      <c r="P1747" s="110" t="str">
        <f t="shared" si="99"/>
        <v/>
      </c>
      <c r="T1747" s="59" t="e">
        <f t="shared" si="100"/>
        <v>#VALUE!</v>
      </c>
      <c r="U1747" s="59"/>
    </row>
    <row r="1748" spans="2:21" x14ac:dyDescent="0.25">
      <c r="B1748" s="54" t="str">
        <f>IFERROR(VLOOKUP(A1748,Lookup!A:B,2,0),"")</f>
        <v/>
      </c>
      <c r="C1748" s="54" t="str">
        <f>IFERROR(VLOOKUP(A1748,Lookup!A:C,3,0),"")</f>
        <v/>
      </c>
      <c r="J1748" s="103">
        <f>VLOOKUP(A1748&amp;G1748,Lookup!J:N,5,0)</f>
        <v>0</v>
      </c>
      <c r="O1748" s="57">
        <f>IFERROR(VLOOKUP(A1748&amp;G1748,Lookup!J:K,2,0),"")</f>
        <v>0</v>
      </c>
      <c r="P1748" s="110" t="str">
        <f t="shared" si="99"/>
        <v/>
      </c>
      <c r="T1748" s="59" t="e">
        <f t="shared" si="100"/>
        <v>#VALUE!</v>
      </c>
      <c r="U1748" s="59"/>
    </row>
    <row r="1749" spans="2:21" x14ac:dyDescent="0.25">
      <c r="B1749" s="54" t="str">
        <f>IFERROR(VLOOKUP(A1749,Lookup!A:B,2,0),"")</f>
        <v/>
      </c>
      <c r="C1749" s="54" t="str">
        <f>IFERROR(VLOOKUP(A1749,Lookup!A:C,3,0),"")</f>
        <v/>
      </c>
      <c r="J1749" s="103">
        <f>VLOOKUP(A1749&amp;G1749,Lookup!J:N,5,0)</f>
        <v>0</v>
      </c>
      <c r="O1749" s="57">
        <f>IFERROR(VLOOKUP(A1749&amp;G1749,Lookup!J:K,2,0),"")</f>
        <v>0</v>
      </c>
      <c r="P1749" s="110" t="str">
        <f t="shared" si="99"/>
        <v/>
      </c>
      <c r="T1749" s="59" t="e">
        <f t="shared" si="100"/>
        <v>#VALUE!</v>
      </c>
      <c r="U1749" s="59"/>
    </row>
    <row r="1750" spans="2:21" x14ac:dyDescent="0.25">
      <c r="B1750" s="54" t="str">
        <f>IFERROR(VLOOKUP(A1750,Lookup!A:B,2,0),"")</f>
        <v/>
      </c>
      <c r="C1750" s="54" t="str">
        <f>IFERROR(VLOOKUP(A1750,Lookup!A:C,3,0),"")</f>
        <v/>
      </c>
      <c r="J1750" s="103">
        <f>VLOOKUP(A1750&amp;G1750,Lookup!J:N,5,0)</f>
        <v>0</v>
      </c>
      <c r="O1750" s="57">
        <f>IFERROR(VLOOKUP(A1750&amp;G1750,Lookup!J:K,2,0),"")</f>
        <v>0</v>
      </c>
      <c r="P1750" s="110" t="str">
        <f t="shared" si="99"/>
        <v/>
      </c>
      <c r="T1750" s="59" t="e">
        <f t="shared" si="100"/>
        <v>#VALUE!</v>
      </c>
      <c r="U1750" s="59"/>
    </row>
    <row r="1751" spans="2:21" x14ac:dyDescent="0.25">
      <c r="B1751" s="54" t="str">
        <f>IFERROR(VLOOKUP(A1751,Lookup!A:B,2,0),"")</f>
        <v/>
      </c>
      <c r="C1751" s="54" t="str">
        <f>IFERROR(VLOOKUP(A1751,Lookup!A:C,3,0),"")</f>
        <v/>
      </c>
      <c r="J1751" s="103">
        <f>VLOOKUP(A1751&amp;G1751,Lookup!J:N,5,0)</f>
        <v>0</v>
      </c>
      <c r="O1751" s="57">
        <f>IFERROR(VLOOKUP(A1751&amp;G1751,Lookup!J:K,2,0),"")</f>
        <v>0</v>
      </c>
      <c r="P1751" s="110" t="str">
        <f t="shared" si="99"/>
        <v/>
      </c>
      <c r="T1751" s="59" t="e">
        <f t="shared" si="100"/>
        <v>#VALUE!</v>
      </c>
      <c r="U1751" s="59"/>
    </row>
    <row r="1752" spans="2:21" x14ac:dyDescent="0.25">
      <c r="B1752" s="54" t="str">
        <f>IFERROR(VLOOKUP(A1752,Lookup!A:B,2,0),"")</f>
        <v/>
      </c>
      <c r="C1752" s="54" t="str">
        <f>IFERROR(VLOOKUP(A1752,Lookup!A:C,3,0),"")</f>
        <v/>
      </c>
      <c r="J1752" s="103">
        <f>VLOOKUP(A1752&amp;G1752,Lookup!J:N,5,0)</f>
        <v>0</v>
      </c>
      <c r="O1752" s="57">
        <f>IFERROR(VLOOKUP(A1752&amp;G1752,Lookup!J:K,2,0),"")</f>
        <v>0</v>
      </c>
      <c r="P1752" s="110" t="str">
        <f t="shared" si="99"/>
        <v/>
      </c>
      <c r="T1752" s="59" t="e">
        <f t="shared" si="100"/>
        <v>#VALUE!</v>
      </c>
      <c r="U1752" s="59"/>
    </row>
    <row r="1753" spans="2:21" x14ac:dyDescent="0.25">
      <c r="B1753" s="54" t="str">
        <f>IFERROR(VLOOKUP(A1753,Lookup!A:B,2,0),"")</f>
        <v/>
      </c>
      <c r="C1753" s="54" t="str">
        <f>IFERROR(VLOOKUP(A1753,Lookup!A:C,3,0),"")</f>
        <v/>
      </c>
      <c r="J1753" s="103">
        <f>VLOOKUP(A1753&amp;G1753,Lookup!J:N,5,0)</f>
        <v>0</v>
      </c>
      <c r="O1753" s="57">
        <f>IFERROR(VLOOKUP(A1753&amp;G1753,Lookup!J:K,2,0),"")</f>
        <v>0</v>
      </c>
      <c r="P1753" s="110" t="str">
        <f t="shared" si="99"/>
        <v/>
      </c>
      <c r="T1753" s="59" t="e">
        <f t="shared" si="100"/>
        <v>#VALUE!</v>
      </c>
      <c r="U1753" s="59"/>
    </row>
    <row r="1754" spans="2:21" x14ac:dyDescent="0.25">
      <c r="B1754" s="54" t="str">
        <f>IFERROR(VLOOKUP(A1754,Lookup!A:B,2,0),"")</f>
        <v/>
      </c>
      <c r="C1754" s="54" t="str">
        <f>IFERROR(VLOOKUP(A1754,Lookup!A:C,3,0),"")</f>
        <v/>
      </c>
      <c r="J1754" s="103">
        <f>VLOOKUP(A1754&amp;G1754,Lookup!J:N,5,0)</f>
        <v>0</v>
      </c>
      <c r="O1754" s="57">
        <f>IFERROR(VLOOKUP(A1754&amp;G1754,Lookup!J:K,2,0),"")</f>
        <v>0</v>
      </c>
      <c r="P1754" s="110" t="str">
        <f t="shared" si="99"/>
        <v/>
      </c>
      <c r="T1754" s="59" t="e">
        <f t="shared" si="100"/>
        <v>#VALUE!</v>
      </c>
      <c r="U1754" s="59"/>
    </row>
    <row r="1755" spans="2:21" x14ac:dyDescent="0.25">
      <c r="B1755" s="54" t="str">
        <f>IFERROR(VLOOKUP(A1755,Lookup!A:B,2,0),"")</f>
        <v/>
      </c>
      <c r="C1755" s="54" t="str">
        <f>IFERROR(VLOOKUP(A1755,Lookup!A:C,3,0),"")</f>
        <v/>
      </c>
      <c r="J1755" s="103">
        <f>VLOOKUP(A1755&amp;G1755,Lookup!J:N,5,0)</f>
        <v>0</v>
      </c>
      <c r="O1755" s="57">
        <f>IFERROR(VLOOKUP(A1755&amp;G1755,Lookup!J:K,2,0),"")</f>
        <v>0</v>
      </c>
      <c r="P1755" s="110" t="str">
        <f t="shared" si="99"/>
        <v/>
      </c>
      <c r="T1755" s="59" t="e">
        <f t="shared" si="100"/>
        <v>#VALUE!</v>
      </c>
      <c r="U1755" s="59"/>
    </row>
    <row r="1756" spans="2:21" x14ac:dyDescent="0.25">
      <c r="B1756" s="54" t="str">
        <f>IFERROR(VLOOKUP(A1756,Lookup!A:B,2,0),"")</f>
        <v/>
      </c>
      <c r="C1756" s="54" t="str">
        <f>IFERROR(VLOOKUP(A1756,Lookup!A:C,3,0),"")</f>
        <v/>
      </c>
      <c r="J1756" s="103">
        <f>VLOOKUP(A1756&amp;G1756,Lookup!J:N,5,0)</f>
        <v>0</v>
      </c>
      <c r="O1756" s="57">
        <f>IFERROR(VLOOKUP(A1756&amp;G1756,Lookup!J:K,2,0),"")</f>
        <v>0</v>
      </c>
      <c r="P1756" s="110" t="str">
        <f t="shared" si="99"/>
        <v/>
      </c>
      <c r="T1756" s="59" t="e">
        <f t="shared" si="100"/>
        <v>#VALUE!</v>
      </c>
      <c r="U1756" s="59"/>
    </row>
    <row r="1757" spans="2:21" x14ac:dyDescent="0.25">
      <c r="B1757" s="54" t="str">
        <f>IFERROR(VLOOKUP(A1757,Lookup!A:B,2,0),"")</f>
        <v/>
      </c>
      <c r="C1757" s="54" t="str">
        <f>IFERROR(VLOOKUP(A1757,Lookup!A:C,3,0),"")</f>
        <v/>
      </c>
      <c r="J1757" s="103">
        <f>VLOOKUP(A1757&amp;G1757,Lookup!J:N,5,0)</f>
        <v>0</v>
      </c>
      <c r="O1757" s="57">
        <f>IFERROR(VLOOKUP(A1757&amp;G1757,Lookup!J:K,2,0),"")</f>
        <v>0</v>
      </c>
      <c r="P1757" s="110" t="str">
        <f t="shared" si="99"/>
        <v/>
      </c>
      <c r="T1757" s="59" t="e">
        <f t="shared" si="100"/>
        <v>#VALUE!</v>
      </c>
      <c r="U1757" s="59"/>
    </row>
    <row r="1758" spans="2:21" x14ac:dyDescent="0.25">
      <c r="B1758" s="54" t="str">
        <f>IFERROR(VLOOKUP(A1758,Lookup!A:B,2,0),"")</f>
        <v/>
      </c>
      <c r="C1758" s="54" t="str">
        <f>IFERROR(VLOOKUP(A1758,Lookup!A:C,3,0),"")</f>
        <v/>
      </c>
      <c r="J1758" s="103">
        <f>VLOOKUP(A1758&amp;G1758,Lookup!J:N,5,0)</f>
        <v>0</v>
      </c>
      <c r="O1758" s="57">
        <f>IFERROR(VLOOKUP(A1758&amp;G1758,Lookup!J:K,2,0),"")</f>
        <v>0</v>
      </c>
      <c r="P1758" s="110" t="str">
        <f t="shared" si="99"/>
        <v/>
      </c>
      <c r="T1758" s="59" t="e">
        <f t="shared" si="100"/>
        <v>#VALUE!</v>
      </c>
      <c r="U1758" s="59"/>
    </row>
    <row r="1759" spans="2:21" x14ac:dyDescent="0.25">
      <c r="B1759" s="54" t="str">
        <f>IFERROR(VLOOKUP(A1759,Lookup!A:B,2,0),"")</f>
        <v/>
      </c>
      <c r="C1759" s="54" t="str">
        <f>IFERROR(VLOOKUP(A1759,Lookup!A:C,3,0),"")</f>
        <v/>
      </c>
      <c r="J1759" s="103">
        <f>VLOOKUP(A1759&amp;G1759,Lookup!J:N,5,0)</f>
        <v>0</v>
      </c>
      <c r="O1759" s="57">
        <f>IFERROR(VLOOKUP(A1759&amp;G1759,Lookup!J:K,2,0),"")</f>
        <v>0</v>
      </c>
      <c r="P1759" s="110" t="str">
        <f t="shared" si="99"/>
        <v/>
      </c>
      <c r="T1759" s="59" t="e">
        <f t="shared" si="100"/>
        <v>#VALUE!</v>
      </c>
      <c r="U1759" s="59"/>
    </row>
    <row r="1760" spans="2:21" x14ac:dyDescent="0.25">
      <c r="B1760" s="54" t="str">
        <f>IFERROR(VLOOKUP(A1760,Lookup!A:B,2,0),"")</f>
        <v/>
      </c>
      <c r="C1760" s="54" t="str">
        <f>IFERROR(VLOOKUP(A1760,Lookup!A:C,3,0),"")</f>
        <v/>
      </c>
      <c r="J1760" s="103">
        <f>VLOOKUP(A1760&amp;G1760,Lookup!J:N,5,0)</f>
        <v>0</v>
      </c>
      <c r="O1760" s="57">
        <f>IFERROR(VLOOKUP(A1760&amp;G1760,Lookup!J:K,2,0),"")</f>
        <v>0</v>
      </c>
      <c r="P1760" s="110" t="str">
        <f t="shared" si="99"/>
        <v/>
      </c>
      <c r="T1760" s="59" t="e">
        <f t="shared" si="100"/>
        <v>#VALUE!</v>
      </c>
      <c r="U1760" s="59"/>
    </row>
    <row r="1761" spans="2:21" x14ac:dyDescent="0.25">
      <c r="B1761" s="54" t="str">
        <f>IFERROR(VLOOKUP(A1761,Lookup!A:B,2,0),"")</f>
        <v/>
      </c>
      <c r="C1761" s="54" t="str">
        <f>IFERROR(VLOOKUP(A1761,Lookup!A:C,3,0),"")</f>
        <v/>
      </c>
      <c r="J1761" s="103">
        <f>VLOOKUP(A1761&amp;G1761,Lookup!J:N,5,0)</f>
        <v>0</v>
      </c>
      <c r="O1761" s="57">
        <f>IFERROR(VLOOKUP(A1761&amp;G1761,Lookup!J:K,2,0),"")</f>
        <v>0</v>
      </c>
      <c r="P1761" s="110" t="str">
        <f t="shared" si="99"/>
        <v/>
      </c>
      <c r="T1761" s="59" t="e">
        <f t="shared" si="100"/>
        <v>#VALUE!</v>
      </c>
      <c r="U1761" s="59"/>
    </row>
    <row r="1762" spans="2:21" x14ac:dyDescent="0.25">
      <c r="B1762" s="54" t="str">
        <f>IFERROR(VLOOKUP(A1762,Lookup!A:B,2,0),"")</f>
        <v/>
      </c>
      <c r="C1762" s="54" t="str">
        <f>IFERROR(VLOOKUP(A1762,Lookup!A:C,3,0),"")</f>
        <v/>
      </c>
      <c r="J1762" s="103">
        <f>VLOOKUP(A1762&amp;G1762,Lookup!J:N,5,0)</f>
        <v>0</v>
      </c>
      <c r="O1762" s="57">
        <f>IFERROR(VLOOKUP(A1762&amp;G1762,Lookup!J:K,2,0),"")</f>
        <v>0</v>
      </c>
      <c r="P1762" s="110" t="str">
        <f t="shared" si="99"/>
        <v/>
      </c>
      <c r="T1762" s="59" t="e">
        <f t="shared" si="100"/>
        <v>#VALUE!</v>
      </c>
      <c r="U1762" s="59"/>
    </row>
    <row r="1763" spans="2:21" x14ac:dyDescent="0.25">
      <c r="B1763" s="54" t="str">
        <f>IFERROR(VLOOKUP(A1763,Lookup!A:B,2,0),"")</f>
        <v/>
      </c>
      <c r="C1763" s="54" t="str">
        <f>IFERROR(VLOOKUP(A1763,Lookup!A:C,3,0),"")</f>
        <v/>
      </c>
      <c r="J1763" s="103">
        <f>VLOOKUP(A1763&amp;G1763,Lookup!J:N,5,0)</f>
        <v>0</v>
      </c>
      <c r="O1763" s="57">
        <f>IFERROR(VLOOKUP(A1763&amp;G1763,Lookup!J:K,2,0),"")</f>
        <v>0</v>
      </c>
      <c r="P1763" s="110" t="str">
        <f t="shared" si="99"/>
        <v/>
      </c>
      <c r="T1763" s="59" t="e">
        <f t="shared" si="100"/>
        <v>#VALUE!</v>
      </c>
      <c r="U1763" s="59"/>
    </row>
    <row r="1764" spans="2:21" x14ac:dyDescent="0.25">
      <c r="B1764" s="54" t="str">
        <f>IFERROR(VLOOKUP(A1764,Lookup!A:B,2,0),"")</f>
        <v/>
      </c>
      <c r="C1764" s="54" t="str">
        <f>IFERROR(VLOOKUP(A1764,Lookup!A:C,3,0),"")</f>
        <v/>
      </c>
      <c r="J1764" s="103">
        <f>VLOOKUP(A1764&amp;G1764,Lookup!J:N,5,0)</f>
        <v>0</v>
      </c>
      <c r="O1764" s="57">
        <f>IFERROR(VLOOKUP(A1764&amp;G1764,Lookup!J:K,2,0),"")</f>
        <v>0</v>
      </c>
      <c r="P1764" s="110" t="str">
        <f t="shared" si="99"/>
        <v/>
      </c>
      <c r="T1764" s="59" t="e">
        <f t="shared" si="100"/>
        <v>#VALUE!</v>
      </c>
      <c r="U1764" s="59"/>
    </row>
    <row r="1765" spans="2:21" x14ac:dyDescent="0.25">
      <c r="B1765" s="54" t="str">
        <f>IFERROR(VLOOKUP(A1765,Lookup!A:B,2,0),"")</f>
        <v/>
      </c>
      <c r="C1765" s="54" t="str">
        <f>IFERROR(VLOOKUP(A1765,Lookup!A:C,3,0),"")</f>
        <v/>
      </c>
      <c r="J1765" s="103">
        <f>VLOOKUP(A1765&amp;G1765,Lookup!J:N,5,0)</f>
        <v>0</v>
      </c>
      <c r="O1765" s="57">
        <f>IFERROR(VLOOKUP(A1765&amp;G1765,Lookup!J:K,2,0),"")</f>
        <v>0</v>
      </c>
      <c r="P1765" s="110" t="str">
        <f t="shared" si="99"/>
        <v/>
      </c>
      <c r="T1765" s="59" t="e">
        <f t="shared" si="100"/>
        <v>#VALUE!</v>
      </c>
      <c r="U1765" s="59"/>
    </row>
    <row r="1766" spans="2:21" x14ac:dyDescent="0.25">
      <c r="B1766" s="54" t="str">
        <f>IFERROR(VLOOKUP(A1766,Lookup!A:B,2,0),"")</f>
        <v/>
      </c>
      <c r="C1766" s="54" t="str">
        <f>IFERROR(VLOOKUP(A1766,Lookup!A:C,3,0),"")</f>
        <v/>
      </c>
      <c r="J1766" s="103">
        <f>VLOOKUP(A1766&amp;G1766,Lookup!J:N,5,0)</f>
        <v>0</v>
      </c>
      <c r="O1766" s="57">
        <f>IFERROR(VLOOKUP(A1766&amp;G1766,Lookup!J:K,2,0),"")</f>
        <v>0</v>
      </c>
      <c r="P1766" s="110" t="str">
        <f t="shared" si="99"/>
        <v/>
      </c>
      <c r="T1766" s="59" t="e">
        <f t="shared" si="100"/>
        <v>#VALUE!</v>
      </c>
      <c r="U1766" s="59"/>
    </row>
    <row r="1767" spans="2:21" x14ac:dyDescent="0.25">
      <c r="B1767" s="54" t="str">
        <f>IFERROR(VLOOKUP(A1767,Lookup!A:B,2,0),"")</f>
        <v/>
      </c>
      <c r="C1767" s="54" t="str">
        <f>IFERROR(VLOOKUP(A1767,Lookup!A:C,3,0),"")</f>
        <v/>
      </c>
      <c r="J1767" s="103">
        <f>VLOOKUP(A1767&amp;G1767,Lookup!J:N,5,0)</f>
        <v>0</v>
      </c>
      <c r="O1767" s="57">
        <f>IFERROR(VLOOKUP(A1767&amp;G1767,Lookup!J:K,2,0),"")</f>
        <v>0</v>
      </c>
      <c r="P1767" s="110" t="str">
        <f t="shared" si="99"/>
        <v/>
      </c>
      <c r="T1767" s="59" t="e">
        <f t="shared" si="100"/>
        <v>#VALUE!</v>
      </c>
      <c r="U1767" s="59"/>
    </row>
    <row r="1768" spans="2:21" x14ac:dyDescent="0.25">
      <c r="B1768" s="54" t="str">
        <f>IFERROR(VLOOKUP(A1768,Lookup!A:B,2,0),"")</f>
        <v/>
      </c>
      <c r="C1768" s="54" t="str">
        <f>IFERROR(VLOOKUP(A1768,Lookup!A:C,3,0),"")</f>
        <v/>
      </c>
      <c r="J1768" s="103">
        <f>VLOOKUP(A1768&amp;G1768,Lookup!J:N,5,0)</f>
        <v>0</v>
      </c>
      <c r="O1768" s="57">
        <f>IFERROR(VLOOKUP(A1768&amp;G1768,Lookup!J:K,2,0),"")</f>
        <v>0</v>
      </c>
      <c r="P1768" s="110" t="str">
        <f t="shared" si="99"/>
        <v/>
      </c>
      <c r="T1768" s="59" t="e">
        <f t="shared" si="100"/>
        <v>#VALUE!</v>
      </c>
      <c r="U1768" s="59"/>
    </row>
    <row r="1769" spans="2:21" x14ac:dyDescent="0.25">
      <c r="B1769" s="54" t="str">
        <f>IFERROR(VLOOKUP(A1769,Lookup!A:B,2,0),"")</f>
        <v/>
      </c>
      <c r="C1769" s="54" t="str">
        <f>IFERROR(VLOOKUP(A1769,Lookup!A:C,3,0),"")</f>
        <v/>
      </c>
      <c r="J1769" s="103">
        <f>VLOOKUP(A1769&amp;G1769,Lookup!J:N,5,0)</f>
        <v>0</v>
      </c>
      <c r="O1769" s="57">
        <f>IFERROR(VLOOKUP(A1769&amp;G1769,Lookup!J:K,2,0),"")</f>
        <v>0</v>
      </c>
      <c r="P1769" s="110" t="str">
        <f t="shared" si="99"/>
        <v/>
      </c>
      <c r="T1769" s="59" t="e">
        <f t="shared" si="100"/>
        <v>#VALUE!</v>
      </c>
      <c r="U1769" s="59"/>
    </row>
    <row r="1770" spans="2:21" x14ac:dyDescent="0.25">
      <c r="B1770" s="54" t="str">
        <f>IFERROR(VLOOKUP(A1770,Lookup!A:B,2,0),"")</f>
        <v/>
      </c>
      <c r="C1770" s="54" t="str">
        <f>IFERROR(VLOOKUP(A1770,Lookup!A:C,3,0),"")</f>
        <v/>
      </c>
      <c r="J1770" s="103">
        <f>VLOOKUP(A1770&amp;G1770,Lookup!J:N,5,0)</f>
        <v>0</v>
      </c>
      <c r="O1770" s="57">
        <f>IFERROR(VLOOKUP(A1770&amp;G1770,Lookup!J:K,2,0),"")</f>
        <v>0</v>
      </c>
      <c r="P1770" s="110" t="str">
        <f t="shared" si="99"/>
        <v/>
      </c>
      <c r="T1770" s="59" t="e">
        <f t="shared" si="100"/>
        <v>#VALUE!</v>
      </c>
      <c r="U1770" s="59"/>
    </row>
    <row r="1771" spans="2:21" x14ac:dyDescent="0.25">
      <c r="B1771" s="54" t="str">
        <f>IFERROR(VLOOKUP(A1771,Lookup!A:B,2,0),"")</f>
        <v/>
      </c>
      <c r="C1771" s="54" t="str">
        <f>IFERROR(VLOOKUP(A1771,Lookup!A:C,3,0),"")</f>
        <v/>
      </c>
      <c r="J1771" s="103">
        <f>VLOOKUP(A1771&amp;G1771,Lookup!J:N,5,0)</f>
        <v>0</v>
      </c>
      <c r="O1771" s="57">
        <f>IFERROR(VLOOKUP(A1771&amp;G1771,Lookup!J:K,2,0),"")</f>
        <v>0</v>
      </c>
      <c r="P1771" s="110" t="str">
        <f t="shared" si="99"/>
        <v/>
      </c>
      <c r="T1771" s="59" t="e">
        <f t="shared" si="100"/>
        <v>#VALUE!</v>
      </c>
      <c r="U1771" s="59"/>
    </row>
    <row r="1772" spans="2:21" x14ac:dyDescent="0.25">
      <c r="B1772" s="54" t="str">
        <f>IFERROR(VLOOKUP(A1772,Lookup!A:B,2,0),"")</f>
        <v/>
      </c>
      <c r="C1772" s="54" t="str">
        <f>IFERROR(VLOOKUP(A1772,Lookup!A:C,3,0),"")</f>
        <v/>
      </c>
      <c r="J1772" s="103">
        <f>VLOOKUP(A1772&amp;G1772,Lookup!J:N,5,0)</f>
        <v>0</v>
      </c>
      <c r="O1772" s="57">
        <f>IFERROR(VLOOKUP(A1772&amp;G1772,Lookup!J:K,2,0),"")</f>
        <v>0</v>
      </c>
      <c r="P1772" s="110" t="str">
        <f t="shared" si="99"/>
        <v/>
      </c>
      <c r="T1772" s="59" t="e">
        <f t="shared" si="100"/>
        <v>#VALUE!</v>
      </c>
      <c r="U1772" s="59"/>
    </row>
    <row r="1773" spans="2:21" x14ac:dyDescent="0.25">
      <c r="B1773" s="54" t="str">
        <f>IFERROR(VLOOKUP(A1773,Lookup!A:B,2,0),"")</f>
        <v/>
      </c>
      <c r="C1773" s="54" t="str">
        <f>IFERROR(VLOOKUP(A1773,Lookup!A:C,3,0),"")</f>
        <v/>
      </c>
      <c r="J1773" s="103">
        <f>VLOOKUP(A1773&amp;G1773,Lookup!J:N,5,0)</f>
        <v>0</v>
      </c>
      <c r="O1773" s="57">
        <f>IFERROR(VLOOKUP(A1773&amp;G1773,Lookup!J:K,2,0),"")</f>
        <v>0</v>
      </c>
      <c r="P1773" s="110" t="str">
        <f t="shared" si="99"/>
        <v/>
      </c>
      <c r="T1773" s="59" t="e">
        <f t="shared" si="100"/>
        <v>#VALUE!</v>
      </c>
      <c r="U1773" s="59"/>
    </row>
    <row r="1774" spans="2:21" x14ac:dyDescent="0.25">
      <c r="B1774" s="54" t="str">
        <f>IFERROR(VLOOKUP(A1774,Lookup!A:B,2,0),"")</f>
        <v/>
      </c>
      <c r="C1774" s="54" t="str">
        <f>IFERROR(VLOOKUP(A1774,Lookup!A:C,3,0),"")</f>
        <v/>
      </c>
      <c r="J1774" s="103">
        <f>VLOOKUP(A1774&amp;G1774,Lookup!J:N,5,0)</f>
        <v>0</v>
      </c>
      <c r="O1774" s="57">
        <f>IFERROR(VLOOKUP(A1774&amp;G1774,Lookup!J:K,2,0),"")</f>
        <v>0</v>
      </c>
      <c r="P1774" s="110" t="str">
        <f t="shared" si="99"/>
        <v/>
      </c>
      <c r="T1774" s="59" t="e">
        <f t="shared" si="100"/>
        <v>#VALUE!</v>
      </c>
      <c r="U1774" s="59"/>
    </row>
    <row r="1775" spans="2:21" x14ac:dyDescent="0.25">
      <c r="B1775" s="54" t="str">
        <f>IFERROR(VLOOKUP(A1775,Lookup!A:B,2,0),"")</f>
        <v/>
      </c>
      <c r="C1775" s="54" t="str">
        <f>IFERROR(VLOOKUP(A1775,Lookup!A:C,3,0),"")</f>
        <v/>
      </c>
      <c r="J1775" s="103">
        <f>VLOOKUP(A1775&amp;G1775,Lookup!J:N,5,0)</f>
        <v>0</v>
      </c>
      <c r="O1775" s="57">
        <f>IFERROR(VLOOKUP(A1775&amp;G1775,Lookup!J:K,2,0),"")</f>
        <v>0</v>
      </c>
      <c r="P1775" s="110" t="str">
        <f t="shared" si="99"/>
        <v/>
      </c>
      <c r="T1775" s="59" t="e">
        <f t="shared" si="100"/>
        <v>#VALUE!</v>
      </c>
      <c r="U1775" s="59"/>
    </row>
    <row r="1776" spans="2:21" x14ac:dyDescent="0.25">
      <c r="B1776" s="54" t="str">
        <f>IFERROR(VLOOKUP(A1776,Lookup!A:B,2,0),"")</f>
        <v/>
      </c>
      <c r="C1776" s="54" t="str">
        <f>IFERROR(VLOOKUP(A1776,Lookup!A:C,3,0),"")</f>
        <v/>
      </c>
      <c r="J1776" s="103">
        <f>VLOOKUP(A1776&amp;G1776,Lookup!J:N,5,0)</f>
        <v>0</v>
      </c>
      <c r="O1776" s="57">
        <f>IFERROR(VLOOKUP(A1776&amp;G1776,Lookup!J:K,2,0),"")</f>
        <v>0</v>
      </c>
      <c r="P1776" s="110" t="str">
        <f t="shared" si="99"/>
        <v/>
      </c>
      <c r="T1776" s="59" t="e">
        <f t="shared" si="100"/>
        <v>#VALUE!</v>
      </c>
      <c r="U1776" s="59"/>
    </row>
    <row r="1777" spans="2:21" x14ac:dyDescent="0.25">
      <c r="B1777" s="54" t="str">
        <f>IFERROR(VLOOKUP(A1777,Lookup!A:B,2,0),"")</f>
        <v/>
      </c>
      <c r="C1777" s="54" t="str">
        <f>IFERROR(VLOOKUP(A1777,Lookup!A:C,3,0),"")</f>
        <v/>
      </c>
      <c r="J1777" s="103">
        <f>VLOOKUP(A1777&amp;G1777,Lookup!J:N,5,0)</f>
        <v>0</v>
      </c>
      <c r="O1777" s="57">
        <f>IFERROR(VLOOKUP(A1777&amp;G1777,Lookup!J:K,2,0),"")</f>
        <v>0</v>
      </c>
      <c r="P1777" s="110" t="str">
        <f t="shared" si="99"/>
        <v/>
      </c>
      <c r="T1777" s="59" t="e">
        <f t="shared" si="100"/>
        <v>#VALUE!</v>
      </c>
      <c r="U1777" s="59"/>
    </row>
    <row r="1778" spans="2:21" x14ac:dyDescent="0.25">
      <c r="B1778" s="54" t="str">
        <f>IFERROR(VLOOKUP(A1778,Lookup!A:B,2,0),"")</f>
        <v/>
      </c>
      <c r="C1778" s="54" t="str">
        <f>IFERROR(VLOOKUP(A1778,Lookup!A:C,3,0),"")</f>
        <v/>
      </c>
      <c r="J1778" s="103">
        <f>VLOOKUP(A1778&amp;G1778,Lookup!J:N,5,0)</f>
        <v>0</v>
      </c>
      <c r="O1778" s="57">
        <f>IFERROR(VLOOKUP(A1778&amp;G1778,Lookup!J:K,2,0),"")</f>
        <v>0</v>
      </c>
      <c r="P1778" s="110" t="str">
        <f t="shared" si="99"/>
        <v/>
      </c>
      <c r="T1778" s="59" t="e">
        <f t="shared" si="100"/>
        <v>#VALUE!</v>
      </c>
      <c r="U1778" s="59"/>
    </row>
    <row r="1779" spans="2:21" x14ac:dyDescent="0.25">
      <c r="B1779" s="54" t="str">
        <f>IFERROR(VLOOKUP(A1779,Lookup!A:B,2,0),"")</f>
        <v/>
      </c>
      <c r="C1779" s="54" t="str">
        <f>IFERROR(VLOOKUP(A1779,Lookup!A:C,3,0),"")</f>
        <v/>
      </c>
      <c r="J1779" s="103">
        <f>VLOOKUP(A1779&amp;G1779,Lookup!J:N,5,0)</f>
        <v>0</v>
      </c>
      <c r="O1779" s="57">
        <f>IFERROR(VLOOKUP(A1779&amp;G1779,Lookup!J:K,2,0),"")</f>
        <v>0</v>
      </c>
      <c r="P1779" s="110" t="str">
        <f t="shared" si="99"/>
        <v/>
      </c>
      <c r="T1779" s="59" t="e">
        <f t="shared" si="100"/>
        <v>#VALUE!</v>
      </c>
      <c r="U1779" s="59"/>
    </row>
    <row r="1780" spans="2:21" x14ac:dyDescent="0.25">
      <c r="B1780" s="54" t="str">
        <f>IFERROR(VLOOKUP(A1780,Lookup!A:B,2,0),"")</f>
        <v/>
      </c>
      <c r="C1780" s="54" t="str">
        <f>IFERROR(VLOOKUP(A1780,Lookup!A:C,3,0),"")</f>
        <v/>
      </c>
      <c r="J1780" s="103">
        <f>VLOOKUP(A1780&amp;G1780,Lookup!J:N,5,0)</f>
        <v>0</v>
      </c>
      <c r="O1780" s="57">
        <f>IFERROR(VLOOKUP(A1780&amp;G1780,Lookup!J:K,2,0),"")</f>
        <v>0</v>
      </c>
      <c r="P1780" s="110" t="str">
        <f t="shared" si="99"/>
        <v/>
      </c>
      <c r="T1780" s="59" t="e">
        <f t="shared" si="100"/>
        <v>#VALUE!</v>
      </c>
      <c r="U1780" s="59"/>
    </row>
    <row r="1781" spans="2:21" x14ac:dyDescent="0.25">
      <c r="B1781" s="54" t="str">
        <f>IFERROR(VLOOKUP(A1781,Lookup!A:B,2,0),"")</f>
        <v/>
      </c>
      <c r="C1781" s="54" t="str">
        <f>IFERROR(VLOOKUP(A1781,Lookup!A:C,3,0),"")</f>
        <v/>
      </c>
      <c r="J1781" s="103">
        <f>VLOOKUP(A1781&amp;G1781,Lookup!J:N,5,0)</f>
        <v>0</v>
      </c>
      <c r="O1781" s="57">
        <f>IFERROR(VLOOKUP(A1781&amp;G1781,Lookup!J:K,2,0),"")</f>
        <v>0</v>
      </c>
      <c r="P1781" s="110" t="str">
        <f t="shared" si="99"/>
        <v/>
      </c>
      <c r="T1781" s="59" t="e">
        <f t="shared" si="100"/>
        <v>#VALUE!</v>
      </c>
      <c r="U1781" s="59"/>
    </row>
    <row r="1782" spans="2:21" x14ac:dyDescent="0.25">
      <c r="B1782" s="54" t="str">
        <f>IFERROR(VLOOKUP(A1782,Lookup!A:B,2,0),"")</f>
        <v/>
      </c>
      <c r="C1782" s="54" t="str">
        <f>IFERROR(VLOOKUP(A1782,Lookup!A:C,3,0),"")</f>
        <v/>
      </c>
      <c r="J1782" s="103">
        <f>VLOOKUP(A1782&amp;G1782,Lookup!J:N,5,0)</f>
        <v>0</v>
      </c>
      <c r="O1782" s="57">
        <f>IFERROR(VLOOKUP(A1782&amp;G1782,Lookup!J:K,2,0),"")</f>
        <v>0</v>
      </c>
      <c r="P1782" s="110" t="str">
        <f t="shared" si="99"/>
        <v/>
      </c>
      <c r="T1782" s="59" t="e">
        <f t="shared" si="100"/>
        <v>#VALUE!</v>
      </c>
      <c r="U1782" s="59"/>
    </row>
    <row r="1783" spans="2:21" x14ac:dyDescent="0.25">
      <c r="B1783" s="54" t="str">
        <f>IFERROR(VLOOKUP(A1783,Lookup!A:B,2,0),"")</f>
        <v/>
      </c>
      <c r="C1783" s="54" t="str">
        <f>IFERROR(VLOOKUP(A1783,Lookup!A:C,3,0),"")</f>
        <v/>
      </c>
      <c r="J1783" s="103">
        <f>VLOOKUP(A1783&amp;G1783,Lookup!J:N,5,0)</f>
        <v>0</v>
      </c>
      <c r="O1783" s="57">
        <f>IFERROR(VLOOKUP(A1783&amp;G1783,Lookup!J:K,2,0),"")</f>
        <v>0</v>
      </c>
      <c r="P1783" s="110" t="str">
        <f t="shared" si="99"/>
        <v/>
      </c>
      <c r="T1783" s="59" t="e">
        <f t="shared" si="100"/>
        <v>#VALUE!</v>
      </c>
      <c r="U1783" s="59"/>
    </row>
    <row r="1784" spans="2:21" x14ac:dyDescent="0.25">
      <c r="B1784" s="54" t="str">
        <f>IFERROR(VLOOKUP(A1784,Lookup!A:B,2,0),"")</f>
        <v/>
      </c>
      <c r="C1784" s="54" t="str">
        <f>IFERROR(VLOOKUP(A1784,Lookup!A:C,3,0),"")</f>
        <v/>
      </c>
      <c r="J1784" s="103">
        <f>VLOOKUP(A1784&amp;G1784,Lookup!J:N,5,0)</f>
        <v>0</v>
      </c>
      <c r="O1784" s="57">
        <f>IFERROR(VLOOKUP(A1784&amp;G1784,Lookup!J:K,2,0),"")</f>
        <v>0</v>
      </c>
      <c r="P1784" s="110" t="str">
        <f t="shared" si="99"/>
        <v/>
      </c>
      <c r="T1784" s="59" t="e">
        <f t="shared" si="100"/>
        <v>#VALUE!</v>
      </c>
      <c r="U1784" s="59"/>
    </row>
    <row r="1785" spans="2:21" x14ac:dyDescent="0.25">
      <c r="B1785" s="54" t="str">
        <f>IFERROR(VLOOKUP(A1785,Lookup!A:B,2,0),"")</f>
        <v/>
      </c>
      <c r="C1785" s="54" t="str">
        <f>IFERROR(VLOOKUP(A1785,Lookup!A:C,3,0),"")</f>
        <v/>
      </c>
      <c r="J1785" s="103">
        <f>VLOOKUP(A1785&amp;G1785,Lookup!J:N,5,0)</f>
        <v>0</v>
      </c>
      <c r="O1785" s="57">
        <f>IFERROR(VLOOKUP(A1785&amp;G1785,Lookup!J:K,2,0),"")</f>
        <v>0</v>
      </c>
      <c r="P1785" s="110" t="str">
        <f t="shared" si="99"/>
        <v/>
      </c>
      <c r="T1785" s="59" t="e">
        <f t="shared" si="100"/>
        <v>#VALUE!</v>
      </c>
      <c r="U1785" s="59"/>
    </row>
    <row r="1786" spans="2:21" x14ac:dyDescent="0.25">
      <c r="B1786" s="54" t="str">
        <f>IFERROR(VLOOKUP(A1786,Lookup!A:B,2,0),"")</f>
        <v/>
      </c>
      <c r="C1786" s="54" t="str">
        <f>IFERROR(VLOOKUP(A1786,Lookup!A:C,3,0),"")</f>
        <v/>
      </c>
      <c r="J1786" s="103">
        <f>VLOOKUP(A1786&amp;G1786,Lookup!J:N,5,0)</f>
        <v>0</v>
      </c>
      <c r="O1786" s="57">
        <f>IFERROR(VLOOKUP(A1786&amp;G1786,Lookup!J:K,2,0),"")</f>
        <v>0</v>
      </c>
      <c r="P1786" s="110" t="str">
        <f t="shared" si="99"/>
        <v/>
      </c>
      <c r="T1786" s="59" t="e">
        <f t="shared" si="100"/>
        <v>#VALUE!</v>
      </c>
      <c r="U1786" s="59"/>
    </row>
    <row r="1787" spans="2:21" x14ac:dyDescent="0.25">
      <c r="B1787" s="54" t="str">
        <f>IFERROR(VLOOKUP(A1787,Lookup!A:B,2,0),"")</f>
        <v/>
      </c>
      <c r="C1787" s="54" t="str">
        <f>IFERROR(VLOOKUP(A1787,Lookup!A:C,3,0),"")</f>
        <v/>
      </c>
      <c r="J1787" s="103">
        <f>VLOOKUP(A1787&amp;G1787,Lookup!J:N,5,0)</f>
        <v>0</v>
      </c>
      <c r="O1787" s="57">
        <f>IFERROR(VLOOKUP(A1787&amp;G1787,Lookup!J:K,2,0),"")</f>
        <v>0</v>
      </c>
      <c r="P1787" s="110" t="str">
        <f t="shared" si="99"/>
        <v/>
      </c>
      <c r="T1787" s="59" t="e">
        <f t="shared" si="100"/>
        <v>#VALUE!</v>
      </c>
      <c r="U1787" s="59"/>
    </row>
    <row r="1788" spans="2:21" x14ac:dyDescent="0.25">
      <c r="B1788" s="54" t="str">
        <f>IFERROR(VLOOKUP(A1788,Lookup!A:B,2,0),"")</f>
        <v/>
      </c>
      <c r="C1788" s="54" t="str">
        <f>IFERROR(VLOOKUP(A1788,Lookup!A:C,3,0),"")</f>
        <v/>
      </c>
      <c r="J1788" s="103">
        <f>VLOOKUP(A1788&amp;G1788,Lookup!J:N,5,0)</f>
        <v>0</v>
      </c>
      <c r="O1788" s="57">
        <f>IFERROR(VLOOKUP(A1788&amp;G1788,Lookup!J:K,2,0),"")</f>
        <v>0</v>
      </c>
      <c r="P1788" s="110" t="str">
        <f t="shared" si="99"/>
        <v/>
      </c>
      <c r="T1788" s="59" t="e">
        <f t="shared" si="100"/>
        <v>#VALUE!</v>
      </c>
      <c r="U1788" s="59"/>
    </row>
    <row r="1789" spans="2:21" x14ac:dyDescent="0.25">
      <c r="B1789" s="54" t="str">
        <f>IFERROR(VLOOKUP(A1789,Lookup!A:B,2,0),"")</f>
        <v/>
      </c>
      <c r="C1789" s="54" t="str">
        <f>IFERROR(VLOOKUP(A1789,Lookup!A:C,3,0),"")</f>
        <v/>
      </c>
      <c r="J1789" s="103">
        <f>VLOOKUP(A1789&amp;G1789,Lookup!J:N,5,0)</f>
        <v>0</v>
      </c>
      <c r="O1789" s="57">
        <f>IFERROR(VLOOKUP(A1789&amp;G1789,Lookup!J:K,2,0),"")</f>
        <v>0</v>
      </c>
      <c r="P1789" s="110" t="str">
        <f t="shared" si="99"/>
        <v/>
      </c>
      <c r="T1789" s="59" t="e">
        <f t="shared" si="100"/>
        <v>#VALUE!</v>
      </c>
      <c r="U1789" s="59"/>
    </row>
    <row r="1790" spans="2:21" x14ac:dyDescent="0.25">
      <c r="B1790" s="54" t="str">
        <f>IFERROR(VLOOKUP(A1790,Lookup!A:B,2,0),"")</f>
        <v/>
      </c>
      <c r="C1790" s="54" t="str">
        <f>IFERROR(VLOOKUP(A1790,Lookup!A:C,3,0),"")</f>
        <v/>
      </c>
      <c r="J1790" s="103">
        <f>VLOOKUP(A1790&amp;G1790,Lookup!J:N,5,0)</f>
        <v>0</v>
      </c>
      <c r="O1790" s="57">
        <f>IFERROR(VLOOKUP(A1790&amp;G1790,Lookup!J:K,2,0),"")</f>
        <v>0</v>
      </c>
      <c r="P1790" s="110" t="str">
        <f t="shared" si="99"/>
        <v/>
      </c>
      <c r="T1790" s="59" t="e">
        <f t="shared" si="100"/>
        <v>#VALUE!</v>
      </c>
      <c r="U1790" s="59"/>
    </row>
    <row r="1791" spans="2:21" x14ac:dyDescent="0.25">
      <c r="B1791" s="54" t="str">
        <f>IFERROR(VLOOKUP(A1791,Lookup!A:B,2,0),"")</f>
        <v/>
      </c>
      <c r="C1791" s="54" t="str">
        <f>IFERROR(VLOOKUP(A1791,Lookup!A:C,3,0),"")</f>
        <v/>
      </c>
      <c r="J1791" s="103">
        <f>VLOOKUP(A1791&amp;G1791,Lookup!J:N,5,0)</f>
        <v>0</v>
      </c>
      <c r="O1791" s="57">
        <f>IFERROR(VLOOKUP(A1791&amp;G1791,Lookup!J:K,2,0),"")</f>
        <v>0</v>
      </c>
      <c r="P1791" s="110" t="str">
        <f t="shared" si="99"/>
        <v/>
      </c>
      <c r="T1791" s="59" t="e">
        <f t="shared" si="100"/>
        <v>#VALUE!</v>
      </c>
      <c r="U1791" s="59"/>
    </row>
    <row r="1792" spans="2:21" x14ac:dyDescent="0.25">
      <c r="B1792" s="54" t="str">
        <f>IFERROR(VLOOKUP(A1792,Lookup!A:B,2,0),"")</f>
        <v/>
      </c>
      <c r="C1792" s="54" t="str">
        <f>IFERROR(VLOOKUP(A1792,Lookup!A:C,3,0),"")</f>
        <v/>
      </c>
      <c r="J1792" s="103">
        <f>VLOOKUP(A1792&amp;G1792,Lookup!J:N,5,0)</f>
        <v>0</v>
      </c>
      <c r="O1792" s="57">
        <f>IFERROR(VLOOKUP(A1792&amp;G1792,Lookup!J:K,2,0),"")</f>
        <v>0</v>
      </c>
      <c r="P1792" s="110" t="str">
        <f t="shared" si="99"/>
        <v/>
      </c>
      <c r="T1792" s="59" t="e">
        <f t="shared" si="100"/>
        <v>#VALUE!</v>
      </c>
      <c r="U1792" s="59"/>
    </row>
    <row r="1793" spans="2:21" x14ac:dyDescent="0.25">
      <c r="B1793" s="54" t="str">
        <f>IFERROR(VLOOKUP(A1793,Lookup!A:B,2,0),"")</f>
        <v/>
      </c>
      <c r="C1793" s="54" t="str">
        <f>IFERROR(VLOOKUP(A1793,Lookup!A:C,3,0),"")</f>
        <v/>
      </c>
      <c r="J1793" s="103">
        <f>VLOOKUP(A1793&amp;G1793,Lookup!J:N,5,0)</f>
        <v>0</v>
      </c>
      <c r="O1793" s="57">
        <f>IFERROR(VLOOKUP(A1793&amp;G1793,Lookup!J:K,2,0),"")</f>
        <v>0</v>
      </c>
      <c r="P1793" s="110" t="str">
        <f t="shared" si="99"/>
        <v/>
      </c>
      <c r="T1793" s="59" t="e">
        <f t="shared" si="100"/>
        <v>#VALUE!</v>
      </c>
      <c r="U1793" s="59"/>
    </row>
    <row r="1794" spans="2:21" x14ac:dyDescent="0.25">
      <c r="B1794" s="54" t="str">
        <f>IFERROR(VLOOKUP(A1794,Lookup!A:B,2,0),"")</f>
        <v/>
      </c>
      <c r="C1794" s="54" t="str">
        <f>IFERROR(VLOOKUP(A1794,Lookup!A:C,3,0),"")</f>
        <v/>
      </c>
      <c r="J1794" s="103">
        <f>VLOOKUP(A1794&amp;G1794,Lookup!J:N,5,0)</f>
        <v>0</v>
      </c>
      <c r="O1794" s="57">
        <f>IFERROR(VLOOKUP(A1794&amp;G1794,Lookup!J:K,2,0),"")</f>
        <v>0</v>
      </c>
      <c r="P1794" s="110" t="str">
        <f t="shared" si="99"/>
        <v/>
      </c>
      <c r="T1794" s="59" t="e">
        <f t="shared" si="100"/>
        <v>#VALUE!</v>
      </c>
      <c r="U1794" s="59"/>
    </row>
    <row r="1795" spans="2:21" x14ac:dyDescent="0.25">
      <c r="B1795" s="54" t="str">
        <f>IFERROR(VLOOKUP(A1795,Lookup!A:B,2,0),"")</f>
        <v/>
      </c>
      <c r="C1795" s="54" t="str">
        <f>IFERROR(VLOOKUP(A1795,Lookup!A:C,3,0),"")</f>
        <v/>
      </c>
      <c r="J1795" s="103">
        <f>VLOOKUP(A1795&amp;G1795,Lookup!J:N,5,0)</f>
        <v>0</v>
      </c>
      <c r="O1795" s="57">
        <f>IFERROR(VLOOKUP(A1795&amp;G1795,Lookup!J:K,2,0),"")</f>
        <v>0</v>
      </c>
      <c r="P1795" s="110" t="str">
        <f t="shared" si="99"/>
        <v/>
      </c>
      <c r="T1795" s="59" t="e">
        <f t="shared" si="100"/>
        <v>#VALUE!</v>
      </c>
      <c r="U1795" s="59"/>
    </row>
    <row r="1796" spans="2:21" x14ac:dyDescent="0.25">
      <c r="B1796" s="54" t="str">
        <f>IFERROR(VLOOKUP(A1796,Lookup!A:B,2,0),"")</f>
        <v/>
      </c>
      <c r="C1796" s="54" t="str">
        <f>IFERROR(VLOOKUP(A1796,Lookup!A:C,3,0),"")</f>
        <v/>
      </c>
      <c r="J1796" s="103">
        <f>VLOOKUP(A1796&amp;G1796,Lookup!J:N,5,0)</f>
        <v>0</v>
      </c>
      <c r="O1796" s="57">
        <f>IFERROR(VLOOKUP(A1796&amp;G1796,Lookup!J:K,2,0),"")</f>
        <v>0</v>
      </c>
      <c r="P1796" s="110" t="str">
        <f t="shared" ref="P1796:P1859" si="101">IF(N1796="","",N1796+O1796)</f>
        <v/>
      </c>
      <c r="T1796" s="59" t="e">
        <f t="shared" si="100"/>
        <v>#VALUE!</v>
      </c>
      <c r="U1796" s="59"/>
    </row>
    <row r="1797" spans="2:21" x14ac:dyDescent="0.25">
      <c r="B1797" s="54" t="str">
        <f>IFERROR(VLOOKUP(A1797,Lookup!A:B,2,0),"")</f>
        <v/>
      </c>
      <c r="C1797" s="54" t="str">
        <f>IFERROR(VLOOKUP(A1797,Lookup!A:C,3,0),"")</f>
        <v/>
      </c>
      <c r="J1797" s="103">
        <f>VLOOKUP(A1797&amp;G1797,Lookup!J:N,5,0)</f>
        <v>0</v>
      </c>
      <c r="O1797" s="57">
        <f>IFERROR(VLOOKUP(A1797&amp;G1797,Lookup!J:K,2,0),"")</f>
        <v>0</v>
      </c>
      <c r="P1797" s="110" t="str">
        <f t="shared" si="101"/>
        <v/>
      </c>
      <c r="T1797" s="59" t="e">
        <f t="shared" si="100"/>
        <v>#VALUE!</v>
      </c>
      <c r="U1797" s="59"/>
    </row>
    <row r="1798" spans="2:21" x14ac:dyDescent="0.25">
      <c r="B1798" s="54" t="str">
        <f>IFERROR(VLOOKUP(A1798,Lookup!A:B,2,0),"")</f>
        <v/>
      </c>
      <c r="C1798" s="54" t="str">
        <f>IFERROR(VLOOKUP(A1798,Lookup!A:C,3,0),"")</f>
        <v/>
      </c>
      <c r="J1798" s="103">
        <f>VLOOKUP(A1798&amp;G1798,Lookup!J:N,5,0)</f>
        <v>0</v>
      </c>
      <c r="O1798" s="57">
        <f>IFERROR(VLOOKUP(A1798&amp;G1798,Lookup!J:K,2,0),"")</f>
        <v>0</v>
      </c>
      <c r="P1798" s="110" t="str">
        <f t="shared" si="101"/>
        <v/>
      </c>
      <c r="T1798" s="59" t="e">
        <f t="shared" si="100"/>
        <v>#VALUE!</v>
      </c>
      <c r="U1798" s="59"/>
    </row>
    <row r="1799" spans="2:21" x14ac:dyDescent="0.25">
      <c r="B1799" s="54" t="str">
        <f>IFERROR(VLOOKUP(A1799,Lookup!A:B,2,0),"")</f>
        <v/>
      </c>
      <c r="C1799" s="54" t="str">
        <f>IFERROR(VLOOKUP(A1799,Lookup!A:C,3,0),"")</f>
        <v/>
      </c>
      <c r="J1799" s="103">
        <f>VLOOKUP(A1799&amp;G1799,Lookup!J:N,5,0)</f>
        <v>0</v>
      </c>
      <c r="O1799" s="57">
        <f>IFERROR(VLOOKUP(A1799&amp;G1799,Lookup!J:K,2,0),"")</f>
        <v>0</v>
      </c>
      <c r="P1799" s="110" t="str">
        <f t="shared" si="101"/>
        <v/>
      </c>
      <c r="T1799" s="59" t="e">
        <f t="shared" si="100"/>
        <v>#VALUE!</v>
      </c>
      <c r="U1799" s="59"/>
    </row>
    <row r="1800" spans="2:21" x14ac:dyDescent="0.25">
      <c r="B1800" s="54" t="str">
        <f>IFERROR(VLOOKUP(A1800,Lookup!A:B,2,0),"")</f>
        <v/>
      </c>
      <c r="C1800" s="54" t="str">
        <f>IFERROR(VLOOKUP(A1800,Lookup!A:C,3,0),"")</f>
        <v/>
      </c>
      <c r="J1800" s="103">
        <f>VLOOKUP(A1800&amp;G1800,Lookup!J:N,5,0)</f>
        <v>0</v>
      </c>
      <c r="O1800" s="57">
        <f>IFERROR(VLOOKUP(A1800&amp;G1800,Lookup!J:K,2,0),"")</f>
        <v>0</v>
      </c>
      <c r="P1800" s="110" t="str">
        <f t="shared" si="101"/>
        <v/>
      </c>
      <c r="T1800" s="59" t="e">
        <f t="shared" si="100"/>
        <v>#VALUE!</v>
      </c>
      <c r="U1800" s="59"/>
    </row>
    <row r="1801" spans="2:21" x14ac:dyDescent="0.25">
      <c r="B1801" s="54" t="str">
        <f>IFERROR(VLOOKUP(A1801,Lookup!A:B,2,0),"")</f>
        <v/>
      </c>
      <c r="C1801" s="54" t="str">
        <f>IFERROR(VLOOKUP(A1801,Lookup!A:C,3,0),"")</f>
        <v/>
      </c>
      <c r="J1801" s="103">
        <f>VLOOKUP(A1801&amp;G1801,Lookup!J:N,5,0)</f>
        <v>0</v>
      </c>
      <c r="O1801" s="57">
        <f>IFERROR(VLOOKUP(A1801&amp;G1801,Lookup!J:K,2,0),"")</f>
        <v>0</v>
      </c>
      <c r="P1801" s="110" t="str">
        <f t="shared" si="101"/>
        <v/>
      </c>
      <c r="T1801" s="59" t="e">
        <f t="shared" si="100"/>
        <v>#VALUE!</v>
      </c>
      <c r="U1801" s="59"/>
    </row>
    <row r="1802" spans="2:21" x14ac:dyDescent="0.25">
      <c r="B1802" s="54" t="str">
        <f>IFERROR(VLOOKUP(A1802,Lookup!A:B,2,0),"")</f>
        <v/>
      </c>
      <c r="C1802" s="54" t="str">
        <f>IFERROR(VLOOKUP(A1802,Lookup!A:C,3,0),"")</f>
        <v/>
      </c>
      <c r="J1802" s="103">
        <f>VLOOKUP(A1802&amp;G1802,Lookup!J:N,5,0)</f>
        <v>0</v>
      </c>
      <c r="O1802" s="57">
        <f>IFERROR(VLOOKUP(A1802&amp;G1802,Lookup!J:K,2,0),"")</f>
        <v>0</v>
      </c>
      <c r="P1802" s="110" t="str">
        <f t="shared" si="101"/>
        <v/>
      </c>
      <c r="T1802" s="59" t="e">
        <f t="shared" si="100"/>
        <v>#VALUE!</v>
      </c>
      <c r="U1802" s="59"/>
    </row>
    <row r="1803" spans="2:21" x14ac:dyDescent="0.25">
      <c r="B1803" s="54" t="str">
        <f>IFERROR(VLOOKUP(A1803,Lookup!A:B,2,0),"")</f>
        <v/>
      </c>
      <c r="C1803" s="54" t="str">
        <f>IFERROR(VLOOKUP(A1803,Lookup!A:C,3,0),"")</f>
        <v/>
      </c>
      <c r="J1803" s="103">
        <f>VLOOKUP(A1803&amp;G1803,Lookup!J:N,5,0)</f>
        <v>0</v>
      </c>
      <c r="O1803" s="57">
        <f>IFERROR(VLOOKUP(A1803&amp;G1803,Lookup!J:K,2,0),"")</f>
        <v>0</v>
      </c>
      <c r="P1803" s="110" t="str">
        <f t="shared" si="101"/>
        <v/>
      </c>
      <c r="T1803" s="59" t="e">
        <f t="shared" si="100"/>
        <v>#VALUE!</v>
      </c>
      <c r="U1803" s="59"/>
    </row>
    <row r="1804" spans="2:21" x14ac:dyDescent="0.25">
      <c r="B1804" s="54" t="str">
        <f>IFERROR(VLOOKUP(A1804,Lookup!A:B,2,0),"")</f>
        <v/>
      </c>
      <c r="C1804" s="54" t="str">
        <f>IFERROR(VLOOKUP(A1804,Lookup!A:C,3,0),"")</f>
        <v/>
      </c>
      <c r="J1804" s="103">
        <f>VLOOKUP(A1804&amp;G1804,Lookup!J:N,5,0)</f>
        <v>0</v>
      </c>
      <c r="O1804" s="57">
        <f>IFERROR(VLOOKUP(A1804&amp;G1804,Lookup!J:K,2,0),"")</f>
        <v>0</v>
      </c>
      <c r="P1804" s="110" t="str">
        <f t="shared" si="101"/>
        <v/>
      </c>
      <c r="T1804" s="59" t="e">
        <f t="shared" si="100"/>
        <v>#VALUE!</v>
      </c>
      <c r="U1804" s="59"/>
    </row>
    <row r="1805" spans="2:21" x14ac:dyDescent="0.25">
      <c r="B1805" s="54" t="str">
        <f>IFERROR(VLOOKUP(A1805,Lookup!A:B,2,0),"")</f>
        <v/>
      </c>
      <c r="C1805" s="54" t="str">
        <f>IFERROR(VLOOKUP(A1805,Lookup!A:C,3,0),"")</f>
        <v/>
      </c>
      <c r="J1805" s="103">
        <f>VLOOKUP(A1805&amp;G1805,Lookup!J:N,5,0)</f>
        <v>0</v>
      </c>
      <c r="O1805" s="57">
        <f>IFERROR(VLOOKUP(A1805&amp;G1805,Lookup!J:K,2,0),"")</f>
        <v>0</v>
      </c>
      <c r="P1805" s="110" t="str">
        <f t="shared" si="101"/>
        <v/>
      </c>
      <c r="T1805" s="59" t="e">
        <f t="shared" si="100"/>
        <v>#VALUE!</v>
      </c>
      <c r="U1805" s="59"/>
    </row>
    <row r="1806" spans="2:21" x14ac:dyDescent="0.25">
      <c r="B1806" s="54" t="str">
        <f>IFERROR(VLOOKUP(A1806,Lookup!A:B,2,0),"")</f>
        <v/>
      </c>
      <c r="C1806" s="54" t="str">
        <f>IFERROR(VLOOKUP(A1806,Lookup!A:C,3,0),"")</f>
        <v/>
      </c>
      <c r="J1806" s="103">
        <f>VLOOKUP(A1806&amp;G1806,Lookup!J:N,5,0)</f>
        <v>0</v>
      </c>
      <c r="O1806" s="57">
        <f>IFERROR(VLOOKUP(A1806&amp;G1806,Lookup!J:K,2,0),"")</f>
        <v>0</v>
      </c>
      <c r="P1806" s="110" t="str">
        <f t="shared" si="101"/>
        <v/>
      </c>
      <c r="T1806" s="59" t="e">
        <f t="shared" ref="T1806:T1869" si="102">IF(Q1806-P1806&gt;0.0415,"YES",(IF(OR(EXACT(Q1806,""), EXACT(P1806,"")),"","NO")))</f>
        <v>#VALUE!</v>
      </c>
      <c r="U1806" s="59"/>
    </row>
    <row r="1807" spans="2:21" x14ac:dyDescent="0.25">
      <c r="B1807" s="54" t="str">
        <f>IFERROR(VLOOKUP(A1807,Lookup!A:B,2,0),"")</f>
        <v/>
      </c>
      <c r="C1807" s="54" t="str">
        <f>IFERROR(VLOOKUP(A1807,Lookup!A:C,3,0),"")</f>
        <v/>
      </c>
      <c r="J1807" s="103">
        <f>VLOOKUP(A1807&amp;G1807,Lookup!J:N,5,0)</f>
        <v>0</v>
      </c>
      <c r="O1807" s="57">
        <f>IFERROR(VLOOKUP(A1807&amp;G1807,Lookup!J:K,2,0),"")</f>
        <v>0</v>
      </c>
      <c r="P1807" s="110" t="str">
        <f t="shared" si="101"/>
        <v/>
      </c>
      <c r="T1807" s="59" t="e">
        <f t="shared" si="102"/>
        <v>#VALUE!</v>
      </c>
      <c r="U1807" s="59"/>
    </row>
    <row r="1808" spans="2:21" x14ac:dyDescent="0.25">
      <c r="B1808" s="54" t="str">
        <f>IFERROR(VLOOKUP(A1808,Lookup!A:B,2,0),"")</f>
        <v/>
      </c>
      <c r="C1808" s="54" t="str">
        <f>IFERROR(VLOOKUP(A1808,Lookup!A:C,3,0),"")</f>
        <v/>
      </c>
      <c r="J1808" s="103">
        <f>VLOOKUP(A1808&amp;G1808,Lookup!J:N,5,0)</f>
        <v>0</v>
      </c>
      <c r="O1808" s="57">
        <f>IFERROR(VLOOKUP(A1808&amp;G1808,Lookup!J:K,2,0),"")</f>
        <v>0</v>
      </c>
      <c r="P1808" s="110" t="str">
        <f t="shared" si="101"/>
        <v/>
      </c>
      <c r="T1808" s="59" t="e">
        <f t="shared" si="102"/>
        <v>#VALUE!</v>
      </c>
      <c r="U1808" s="59"/>
    </row>
    <row r="1809" spans="2:21" x14ac:dyDescent="0.25">
      <c r="B1809" s="54" t="str">
        <f>IFERROR(VLOOKUP(A1809,Lookup!A:B,2,0),"")</f>
        <v/>
      </c>
      <c r="C1809" s="54" t="str">
        <f>IFERROR(VLOOKUP(A1809,Lookup!A:C,3,0),"")</f>
        <v/>
      </c>
      <c r="J1809" s="103">
        <f>VLOOKUP(A1809&amp;G1809,Lookup!J:N,5,0)</f>
        <v>0</v>
      </c>
      <c r="O1809" s="57">
        <f>IFERROR(VLOOKUP(A1809&amp;G1809,Lookup!J:K,2,0),"")</f>
        <v>0</v>
      </c>
      <c r="P1809" s="110" t="str">
        <f t="shared" si="101"/>
        <v/>
      </c>
      <c r="T1809" s="59" t="e">
        <f t="shared" si="102"/>
        <v>#VALUE!</v>
      </c>
      <c r="U1809" s="59"/>
    </row>
    <row r="1810" spans="2:21" x14ac:dyDescent="0.25">
      <c r="B1810" s="54" t="str">
        <f>IFERROR(VLOOKUP(A1810,Lookup!A:B,2,0),"")</f>
        <v/>
      </c>
      <c r="C1810" s="54" t="str">
        <f>IFERROR(VLOOKUP(A1810,Lookup!A:C,3,0),"")</f>
        <v/>
      </c>
      <c r="J1810" s="103">
        <f>VLOOKUP(A1810&amp;G1810,Lookup!J:N,5,0)</f>
        <v>0</v>
      </c>
      <c r="O1810" s="57">
        <f>IFERROR(VLOOKUP(A1810&amp;G1810,Lookup!J:K,2,0),"")</f>
        <v>0</v>
      </c>
      <c r="P1810" s="110" t="str">
        <f t="shared" si="101"/>
        <v/>
      </c>
      <c r="T1810" s="59" t="e">
        <f t="shared" si="102"/>
        <v>#VALUE!</v>
      </c>
      <c r="U1810" s="59"/>
    </row>
    <row r="1811" spans="2:21" x14ac:dyDescent="0.25">
      <c r="B1811" s="54" t="str">
        <f>IFERROR(VLOOKUP(A1811,Lookup!A:B,2,0),"")</f>
        <v/>
      </c>
      <c r="C1811" s="54" t="str">
        <f>IFERROR(VLOOKUP(A1811,Lookup!A:C,3,0),"")</f>
        <v/>
      </c>
      <c r="J1811" s="103">
        <f>VLOOKUP(A1811&amp;G1811,Lookup!J:N,5,0)</f>
        <v>0</v>
      </c>
      <c r="O1811" s="57">
        <f>IFERROR(VLOOKUP(A1811&amp;G1811,Lookup!J:K,2,0),"")</f>
        <v>0</v>
      </c>
      <c r="P1811" s="110" t="str">
        <f t="shared" si="101"/>
        <v/>
      </c>
      <c r="T1811" s="59" t="e">
        <f t="shared" si="102"/>
        <v>#VALUE!</v>
      </c>
      <c r="U1811" s="59"/>
    </row>
    <row r="1812" spans="2:21" x14ac:dyDescent="0.25">
      <c r="B1812" s="54" t="str">
        <f>IFERROR(VLOOKUP(A1812,Lookup!A:B,2,0),"")</f>
        <v/>
      </c>
      <c r="C1812" s="54" t="str">
        <f>IFERROR(VLOOKUP(A1812,Lookup!A:C,3,0),"")</f>
        <v/>
      </c>
      <c r="J1812" s="103">
        <f>VLOOKUP(A1812&amp;G1812,Lookup!J:N,5,0)</f>
        <v>0</v>
      </c>
      <c r="O1812" s="57">
        <f>IFERROR(VLOOKUP(A1812&amp;G1812,Lookup!J:K,2,0),"")</f>
        <v>0</v>
      </c>
      <c r="P1812" s="110" t="str">
        <f t="shared" si="101"/>
        <v/>
      </c>
      <c r="T1812" s="59" t="e">
        <f t="shared" si="102"/>
        <v>#VALUE!</v>
      </c>
      <c r="U1812" s="59"/>
    </row>
    <row r="1813" spans="2:21" x14ac:dyDescent="0.25">
      <c r="B1813" s="54" t="str">
        <f>IFERROR(VLOOKUP(A1813,Lookup!A:B,2,0),"")</f>
        <v/>
      </c>
      <c r="C1813" s="54" t="str">
        <f>IFERROR(VLOOKUP(A1813,Lookup!A:C,3,0),"")</f>
        <v/>
      </c>
      <c r="J1813" s="103">
        <f>VLOOKUP(A1813&amp;G1813,Lookup!J:N,5,0)</f>
        <v>0</v>
      </c>
      <c r="O1813" s="57">
        <f>IFERROR(VLOOKUP(A1813&amp;G1813,Lookup!J:K,2,0),"")</f>
        <v>0</v>
      </c>
      <c r="P1813" s="110" t="str">
        <f t="shared" si="101"/>
        <v/>
      </c>
      <c r="T1813" s="59" t="e">
        <f t="shared" si="102"/>
        <v>#VALUE!</v>
      </c>
      <c r="U1813" s="59"/>
    </row>
    <row r="1814" spans="2:21" x14ac:dyDescent="0.25">
      <c r="B1814" s="54" t="str">
        <f>IFERROR(VLOOKUP(A1814,Lookup!A:B,2,0),"")</f>
        <v/>
      </c>
      <c r="C1814" s="54" t="str">
        <f>IFERROR(VLOOKUP(A1814,Lookup!A:C,3,0),"")</f>
        <v/>
      </c>
      <c r="J1814" s="103">
        <f>VLOOKUP(A1814&amp;G1814,Lookup!J:N,5,0)</f>
        <v>0</v>
      </c>
      <c r="O1814" s="57">
        <f>IFERROR(VLOOKUP(A1814&amp;G1814,Lookup!J:K,2,0),"")</f>
        <v>0</v>
      </c>
      <c r="P1814" s="110" t="str">
        <f t="shared" si="101"/>
        <v/>
      </c>
      <c r="T1814" s="59" t="e">
        <f t="shared" si="102"/>
        <v>#VALUE!</v>
      </c>
      <c r="U1814" s="59"/>
    </row>
    <row r="1815" spans="2:21" x14ac:dyDescent="0.25">
      <c r="B1815" s="54" t="str">
        <f>IFERROR(VLOOKUP(A1815,Lookup!A:B,2,0),"")</f>
        <v/>
      </c>
      <c r="C1815" s="54" t="str">
        <f>IFERROR(VLOOKUP(A1815,Lookup!A:C,3,0),"")</f>
        <v/>
      </c>
      <c r="J1815" s="103">
        <f>VLOOKUP(A1815&amp;G1815,Lookup!J:N,5,0)</f>
        <v>0</v>
      </c>
      <c r="O1815" s="57">
        <f>IFERROR(VLOOKUP(A1815&amp;G1815,Lookup!J:K,2,0),"")</f>
        <v>0</v>
      </c>
      <c r="P1815" s="110" t="str">
        <f t="shared" si="101"/>
        <v/>
      </c>
      <c r="T1815" s="59" t="e">
        <f t="shared" si="102"/>
        <v>#VALUE!</v>
      </c>
      <c r="U1815" s="59"/>
    </row>
    <row r="1816" spans="2:21" x14ac:dyDescent="0.25">
      <c r="B1816" s="54" t="str">
        <f>IFERROR(VLOOKUP(A1816,Lookup!A:B,2,0),"")</f>
        <v/>
      </c>
      <c r="C1816" s="54" t="str">
        <f>IFERROR(VLOOKUP(A1816,Lookup!A:C,3,0),"")</f>
        <v/>
      </c>
      <c r="J1816" s="103">
        <f>VLOOKUP(A1816&amp;G1816,Lookup!J:N,5,0)</f>
        <v>0</v>
      </c>
      <c r="O1816" s="57">
        <f>IFERROR(VLOOKUP(A1816&amp;G1816,Lookup!J:K,2,0),"")</f>
        <v>0</v>
      </c>
      <c r="P1816" s="110" t="str">
        <f t="shared" si="101"/>
        <v/>
      </c>
      <c r="T1816" s="59" t="e">
        <f t="shared" si="102"/>
        <v>#VALUE!</v>
      </c>
      <c r="U1816" s="59"/>
    </row>
    <row r="1817" spans="2:21" x14ac:dyDescent="0.25">
      <c r="B1817" s="54" t="str">
        <f>IFERROR(VLOOKUP(A1817,Lookup!A:B,2,0),"")</f>
        <v/>
      </c>
      <c r="C1817" s="54" t="str">
        <f>IFERROR(VLOOKUP(A1817,Lookup!A:C,3,0),"")</f>
        <v/>
      </c>
      <c r="J1817" s="103">
        <f>VLOOKUP(A1817&amp;G1817,Lookup!J:N,5,0)</f>
        <v>0</v>
      </c>
      <c r="O1817" s="57">
        <f>IFERROR(VLOOKUP(A1817&amp;G1817,Lookup!J:K,2,0),"")</f>
        <v>0</v>
      </c>
      <c r="P1817" s="110" t="str">
        <f t="shared" si="101"/>
        <v/>
      </c>
      <c r="T1817" s="59" t="e">
        <f t="shared" si="102"/>
        <v>#VALUE!</v>
      </c>
      <c r="U1817" s="59"/>
    </row>
    <row r="1818" spans="2:21" x14ac:dyDescent="0.25">
      <c r="B1818" s="54" t="str">
        <f>IFERROR(VLOOKUP(A1818,Lookup!A:B,2,0),"")</f>
        <v/>
      </c>
      <c r="C1818" s="54" t="str">
        <f>IFERROR(VLOOKUP(A1818,Lookup!A:C,3,0),"")</f>
        <v/>
      </c>
      <c r="J1818" s="103">
        <f>VLOOKUP(A1818&amp;G1818,Lookup!J:N,5,0)</f>
        <v>0</v>
      </c>
      <c r="O1818" s="57">
        <f>IFERROR(VLOOKUP(A1818&amp;G1818,Lookup!J:K,2,0),"")</f>
        <v>0</v>
      </c>
      <c r="P1818" s="110" t="str">
        <f t="shared" si="101"/>
        <v/>
      </c>
      <c r="T1818" s="59" t="e">
        <f t="shared" si="102"/>
        <v>#VALUE!</v>
      </c>
      <c r="U1818" s="59"/>
    </row>
    <row r="1819" spans="2:21" x14ac:dyDescent="0.25">
      <c r="B1819" s="54" t="str">
        <f>IFERROR(VLOOKUP(A1819,Lookup!A:B,2,0),"")</f>
        <v/>
      </c>
      <c r="C1819" s="54" t="str">
        <f>IFERROR(VLOOKUP(A1819,Lookup!A:C,3,0),"")</f>
        <v/>
      </c>
      <c r="J1819" s="103">
        <f>VLOOKUP(A1819&amp;G1819,Lookup!J:N,5,0)</f>
        <v>0</v>
      </c>
      <c r="O1819" s="57">
        <f>IFERROR(VLOOKUP(A1819&amp;G1819,Lookup!J:K,2,0),"")</f>
        <v>0</v>
      </c>
      <c r="P1819" s="110" t="str">
        <f t="shared" si="101"/>
        <v/>
      </c>
      <c r="T1819" s="59" t="e">
        <f t="shared" si="102"/>
        <v>#VALUE!</v>
      </c>
      <c r="U1819" s="59"/>
    </row>
    <row r="1820" spans="2:21" x14ac:dyDescent="0.25">
      <c r="B1820" s="54" t="str">
        <f>IFERROR(VLOOKUP(A1820,Lookup!A:B,2,0),"")</f>
        <v/>
      </c>
      <c r="C1820" s="54" t="str">
        <f>IFERROR(VLOOKUP(A1820,Lookup!A:C,3,0),"")</f>
        <v/>
      </c>
      <c r="J1820" s="103">
        <f>VLOOKUP(A1820&amp;G1820,Lookup!J:N,5,0)</f>
        <v>0</v>
      </c>
      <c r="O1820" s="57">
        <f>IFERROR(VLOOKUP(A1820&amp;G1820,Lookup!J:K,2,0),"")</f>
        <v>0</v>
      </c>
      <c r="P1820" s="110" t="str">
        <f t="shared" si="101"/>
        <v/>
      </c>
      <c r="T1820" s="59" t="e">
        <f t="shared" si="102"/>
        <v>#VALUE!</v>
      </c>
      <c r="U1820" s="59"/>
    </row>
    <row r="1821" spans="2:21" x14ac:dyDescent="0.25">
      <c r="B1821" s="54" t="str">
        <f>IFERROR(VLOOKUP(A1821,Lookup!A:B,2,0),"")</f>
        <v/>
      </c>
      <c r="C1821" s="54" t="str">
        <f>IFERROR(VLOOKUP(A1821,Lookup!A:C,3,0),"")</f>
        <v/>
      </c>
      <c r="J1821" s="103">
        <f>VLOOKUP(A1821&amp;G1821,Lookup!J:N,5,0)</f>
        <v>0</v>
      </c>
      <c r="O1821" s="57">
        <f>IFERROR(VLOOKUP(A1821&amp;G1821,Lookup!J:K,2,0),"")</f>
        <v>0</v>
      </c>
      <c r="P1821" s="110" t="str">
        <f t="shared" si="101"/>
        <v/>
      </c>
      <c r="T1821" s="59" t="e">
        <f t="shared" si="102"/>
        <v>#VALUE!</v>
      </c>
      <c r="U1821" s="59"/>
    </row>
    <row r="1822" spans="2:21" x14ac:dyDescent="0.25">
      <c r="B1822" s="54" t="str">
        <f>IFERROR(VLOOKUP(A1822,Lookup!A:B,2,0),"")</f>
        <v/>
      </c>
      <c r="C1822" s="54" t="str">
        <f>IFERROR(VLOOKUP(A1822,Lookup!A:C,3,0),"")</f>
        <v/>
      </c>
      <c r="J1822" s="103">
        <f>VLOOKUP(A1822&amp;G1822,Lookup!J:N,5,0)</f>
        <v>0</v>
      </c>
      <c r="O1822" s="57">
        <f>IFERROR(VLOOKUP(A1822&amp;G1822,Lookup!J:K,2,0),"")</f>
        <v>0</v>
      </c>
      <c r="P1822" s="110" t="str">
        <f t="shared" si="101"/>
        <v/>
      </c>
      <c r="T1822" s="59" t="e">
        <f t="shared" si="102"/>
        <v>#VALUE!</v>
      </c>
      <c r="U1822" s="59"/>
    </row>
    <row r="1823" spans="2:21" x14ac:dyDescent="0.25">
      <c r="B1823" s="54" t="str">
        <f>IFERROR(VLOOKUP(A1823,Lookup!A:B,2,0),"")</f>
        <v/>
      </c>
      <c r="C1823" s="54" t="str">
        <f>IFERROR(VLOOKUP(A1823,Lookup!A:C,3,0),"")</f>
        <v/>
      </c>
      <c r="J1823" s="103">
        <f>VLOOKUP(A1823&amp;G1823,Lookup!J:N,5,0)</f>
        <v>0</v>
      </c>
      <c r="O1823" s="57">
        <f>IFERROR(VLOOKUP(A1823&amp;G1823,Lookup!J:K,2,0),"")</f>
        <v>0</v>
      </c>
      <c r="P1823" s="110" t="str">
        <f t="shared" si="101"/>
        <v/>
      </c>
      <c r="T1823" s="59" t="e">
        <f t="shared" si="102"/>
        <v>#VALUE!</v>
      </c>
      <c r="U1823" s="59"/>
    </row>
    <row r="1824" spans="2:21" x14ac:dyDescent="0.25">
      <c r="B1824" s="54" t="str">
        <f>IFERROR(VLOOKUP(A1824,Lookup!A:B,2,0),"")</f>
        <v/>
      </c>
      <c r="C1824" s="54" t="str">
        <f>IFERROR(VLOOKUP(A1824,Lookup!A:C,3,0),"")</f>
        <v/>
      </c>
      <c r="J1824" s="103">
        <f>VLOOKUP(A1824&amp;G1824,Lookup!J:N,5,0)</f>
        <v>0</v>
      </c>
      <c r="O1824" s="57">
        <f>IFERROR(VLOOKUP(A1824&amp;G1824,Lookup!J:K,2,0),"")</f>
        <v>0</v>
      </c>
      <c r="P1824" s="110" t="str">
        <f t="shared" si="101"/>
        <v/>
      </c>
      <c r="T1824" s="59" t="e">
        <f t="shared" si="102"/>
        <v>#VALUE!</v>
      </c>
      <c r="U1824" s="59"/>
    </row>
    <row r="1825" spans="2:21" x14ac:dyDescent="0.25">
      <c r="B1825" s="54" t="str">
        <f>IFERROR(VLOOKUP(A1825,Lookup!A:B,2,0),"")</f>
        <v/>
      </c>
      <c r="C1825" s="54" t="str">
        <f>IFERROR(VLOOKUP(A1825,Lookup!A:C,3,0),"")</f>
        <v/>
      </c>
      <c r="J1825" s="103">
        <f>VLOOKUP(A1825&amp;G1825,Lookup!J:N,5,0)</f>
        <v>0</v>
      </c>
      <c r="O1825" s="57">
        <f>IFERROR(VLOOKUP(A1825&amp;G1825,Lookup!J:K,2,0),"")</f>
        <v>0</v>
      </c>
      <c r="P1825" s="110" t="str">
        <f t="shared" si="101"/>
        <v/>
      </c>
      <c r="T1825" s="59" t="e">
        <f t="shared" si="102"/>
        <v>#VALUE!</v>
      </c>
      <c r="U1825" s="59"/>
    </row>
    <row r="1826" spans="2:21" x14ac:dyDescent="0.25">
      <c r="B1826" s="54" t="str">
        <f>IFERROR(VLOOKUP(A1826,Lookup!A:B,2,0),"")</f>
        <v/>
      </c>
      <c r="C1826" s="54" t="str">
        <f>IFERROR(VLOOKUP(A1826,Lookup!A:C,3,0),"")</f>
        <v/>
      </c>
      <c r="J1826" s="103">
        <f>VLOOKUP(A1826&amp;G1826,Lookup!J:N,5,0)</f>
        <v>0</v>
      </c>
      <c r="O1826" s="57">
        <f>IFERROR(VLOOKUP(A1826&amp;G1826,Lookup!J:K,2,0),"")</f>
        <v>0</v>
      </c>
      <c r="P1826" s="110" t="str">
        <f t="shared" si="101"/>
        <v/>
      </c>
      <c r="T1826" s="59" t="e">
        <f t="shared" si="102"/>
        <v>#VALUE!</v>
      </c>
      <c r="U1826" s="59"/>
    </row>
    <row r="1827" spans="2:21" x14ac:dyDescent="0.25">
      <c r="B1827" s="54" t="str">
        <f>IFERROR(VLOOKUP(A1827,Lookup!A:B,2,0),"")</f>
        <v/>
      </c>
      <c r="C1827" s="54" t="str">
        <f>IFERROR(VLOOKUP(A1827,Lookup!A:C,3,0),"")</f>
        <v/>
      </c>
      <c r="J1827" s="103">
        <f>VLOOKUP(A1827&amp;G1827,Lookup!J:N,5,0)</f>
        <v>0</v>
      </c>
      <c r="O1827" s="57">
        <f>IFERROR(VLOOKUP(A1827&amp;G1827,Lookup!J:K,2,0),"")</f>
        <v>0</v>
      </c>
      <c r="P1827" s="110" t="str">
        <f t="shared" si="101"/>
        <v/>
      </c>
      <c r="T1827" s="59" t="e">
        <f t="shared" si="102"/>
        <v>#VALUE!</v>
      </c>
      <c r="U1827" s="59"/>
    </row>
    <row r="1828" spans="2:21" x14ac:dyDescent="0.25">
      <c r="B1828" s="54" t="str">
        <f>IFERROR(VLOOKUP(A1828,Lookup!A:B,2,0),"")</f>
        <v/>
      </c>
      <c r="C1828" s="54" t="str">
        <f>IFERROR(VLOOKUP(A1828,Lookup!A:C,3,0),"")</f>
        <v/>
      </c>
      <c r="J1828" s="103">
        <f>VLOOKUP(A1828&amp;G1828,Lookup!J:N,5,0)</f>
        <v>0</v>
      </c>
      <c r="O1828" s="57">
        <f>IFERROR(VLOOKUP(A1828&amp;G1828,Lookup!J:K,2,0),"")</f>
        <v>0</v>
      </c>
      <c r="P1828" s="110" t="str">
        <f t="shared" si="101"/>
        <v/>
      </c>
      <c r="T1828" s="59" t="e">
        <f t="shared" si="102"/>
        <v>#VALUE!</v>
      </c>
      <c r="U1828" s="59"/>
    </row>
    <row r="1829" spans="2:21" x14ac:dyDescent="0.25">
      <c r="B1829" s="54" t="str">
        <f>IFERROR(VLOOKUP(A1829,Lookup!A:B,2,0),"")</f>
        <v/>
      </c>
      <c r="C1829" s="54" t="str">
        <f>IFERROR(VLOOKUP(A1829,Lookup!A:C,3,0),"")</f>
        <v/>
      </c>
      <c r="J1829" s="103">
        <f>VLOOKUP(A1829&amp;G1829,Lookup!J:N,5,0)</f>
        <v>0</v>
      </c>
      <c r="O1829" s="57">
        <f>IFERROR(VLOOKUP(A1829&amp;G1829,Lookup!J:K,2,0),"")</f>
        <v>0</v>
      </c>
      <c r="P1829" s="110" t="str">
        <f t="shared" si="101"/>
        <v/>
      </c>
      <c r="T1829" s="59" t="e">
        <f t="shared" si="102"/>
        <v>#VALUE!</v>
      </c>
      <c r="U1829" s="59"/>
    </row>
    <row r="1830" spans="2:21" x14ac:dyDescent="0.25">
      <c r="B1830" s="54" t="str">
        <f>IFERROR(VLOOKUP(A1830,Lookup!A:B,2,0),"")</f>
        <v/>
      </c>
      <c r="C1830" s="54" t="str">
        <f>IFERROR(VLOOKUP(A1830,Lookup!A:C,3,0),"")</f>
        <v/>
      </c>
      <c r="J1830" s="103">
        <f>VLOOKUP(A1830&amp;G1830,Lookup!J:N,5,0)</f>
        <v>0</v>
      </c>
      <c r="O1830" s="57">
        <f>IFERROR(VLOOKUP(A1830&amp;G1830,Lookup!J:K,2,0),"")</f>
        <v>0</v>
      </c>
      <c r="P1830" s="110" t="str">
        <f t="shared" si="101"/>
        <v/>
      </c>
      <c r="T1830" s="59" t="e">
        <f t="shared" si="102"/>
        <v>#VALUE!</v>
      </c>
      <c r="U1830" s="59"/>
    </row>
    <row r="1831" spans="2:21" x14ac:dyDescent="0.25">
      <c r="B1831" s="54" t="str">
        <f>IFERROR(VLOOKUP(A1831,Lookup!A:B,2,0),"")</f>
        <v/>
      </c>
      <c r="C1831" s="54" t="str">
        <f>IFERROR(VLOOKUP(A1831,Lookup!A:C,3,0),"")</f>
        <v/>
      </c>
      <c r="J1831" s="103">
        <f>VLOOKUP(A1831&amp;G1831,Lookup!J:N,5,0)</f>
        <v>0</v>
      </c>
      <c r="O1831" s="57">
        <f>IFERROR(VLOOKUP(A1831&amp;G1831,Lookup!J:K,2,0),"")</f>
        <v>0</v>
      </c>
      <c r="P1831" s="110" t="str">
        <f t="shared" si="101"/>
        <v/>
      </c>
      <c r="T1831" s="59" t="e">
        <f t="shared" si="102"/>
        <v>#VALUE!</v>
      </c>
      <c r="U1831" s="59"/>
    </row>
    <row r="1832" spans="2:21" x14ac:dyDescent="0.25">
      <c r="B1832" s="54" t="str">
        <f>IFERROR(VLOOKUP(A1832,Lookup!A:B,2,0),"")</f>
        <v/>
      </c>
      <c r="C1832" s="54" t="str">
        <f>IFERROR(VLOOKUP(A1832,Lookup!A:C,3,0),"")</f>
        <v/>
      </c>
      <c r="J1832" s="103">
        <f>VLOOKUP(A1832&amp;G1832,Lookup!J:N,5,0)</f>
        <v>0</v>
      </c>
      <c r="O1832" s="57">
        <f>IFERROR(VLOOKUP(A1832&amp;G1832,Lookup!J:K,2,0),"")</f>
        <v>0</v>
      </c>
      <c r="P1832" s="110" t="str">
        <f t="shared" si="101"/>
        <v/>
      </c>
      <c r="T1832" s="59" t="e">
        <f t="shared" si="102"/>
        <v>#VALUE!</v>
      </c>
      <c r="U1832" s="59"/>
    </row>
    <row r="1833" spans="2:21" x14ac:dyDescent="0.25">
      <c r="B1833" s="54" t="str">
        <f>IFERROR(VLOOKUP(A1833,Lookup!A:B,2,0),"")</f>
        <v/>
      </c>
      <c r="C1833" s="54" t="str">
        <f>IFERROR(VLOOKUP(A1833,Lookup!A:C,3,0),"")</f>
        <v/>
      </c>
      <c r="J1833" s="103">
        <f>VLOOKUP(A1833&amp;G1833,Lookup!J:N,5,0)</f>
        <v>0</v>
      </c>
      <c r="O1833" s="57">
        <f>IFERROR(VLOOKUP(A1833&amp;G1833,Lookup!J:K,2,0),"")</f>
        <v>0</v>
      </c>
      <c r="P1833" s="110" t="str">
        <f t="shared" si="101"/>
        <v/>
      </c>
      <c r="T1833" s="59" t="e">
        <f t="shared" si="102"/>
        <v>#VALUE!</v>
      </c>
      <c r="U1833" s="59"/>
    </row>
    <row r="1834" spans="2:21" x14ac:dyDescent="0.25">
      <c r="B1834" s="54" t="str">
        <f>IFERROR(VLOOKUP(A1834,Lookup!A:B,2,0),"")</f>
        <v/>
      </c>
      <c r="C1834" s="54" t="str">
        <f>IFERROR(VLOOKUP(A1834,Lookup!A:C,3,0),"")</f>
        <v/>
      </c>
      <c r="J1834" s="103">
        <f>VLOOKUP(A1834&amp;G1834,Lookup!J:N,5,0)</f>
        <v>0</v>
      </c>
      <c r="O1834" s="57">
        <f>IFERROR(VLOOKUP(A1834&amp;G1834,Lookup!J:K,2,0),"")</f>
        <v>0</v>
      </c>
      <c r="P1834" s="110" t="str">
        <f t="shared" si="101"/>
        <v/>
      </c>
      <c r="T1834" s="59" t="e">
        <f t="shared" si="102"/>
        <v>#VALUE!</v>
      </c>
      <c r="U1834" s="59"/>
    </row>
    <row r="1835" spans="2:21" x14ac:dyDescent="0.25">
      <c r="B1835" s="54" t="str">
        <f>IFERROR(VLOOKUP(A1835,Lookup!A:B,2,0),"")</f>
        <v/>
      </c>
      <c r="C1835" s="54" t="str">
        <f>IFERROR(VLOOKUP(A1835,Lookup!A:C,3,0),"")</f>
        <v/>
      </c>
      <c r="J1835" s="103">
        <f>VLOOKUP(A1835&amp;G1835,Lookup!J:N,5,0)</f>
        <v>0</v>
      </c>
      <c r="O1835" s="57">
        <f>IFERROR(VLOOKUP(A1835&amp;G1835,Lookup!J:K,2,0),"")</f>
        <v>0</v>
      </c>
      <c r="P1835" s="110" t="str">
        <f t="shared" si="101"/>
        <v/>
      </c>
      <c r="T1835" s="59" t="e">
        <f t="shared" si="102"/>
        <v>#VALUE!</v>
      </c>
      <c r="U1835" s="59"/>
    </row>
    <row r="1836" spans="2:21" x14ac:dyDescent="0.25">
      <c r="B1836" s="54" t="str">
        <f>IFERROR(VLOOKUP(A1836,Lookup!A:B,2,0),"")</f>
        <v/>
      </c>
      <c r="C1836" s="54" t="str">
        <f>IFERROR(VLOOKUP(A1836,Lookup!A:C,3,0),"")</f>
        <v/>
      </c>
      <c r="J1836" s="103">
        <f>VLOOKUP(A1836&amp;G1836,Lookup!J:N,5,0)</f>
        <v>0</v>
      </c>
      <c r="O1836" s="57">
        <f>IFERROR(VLOOKUP(A1836&amp;G1836,Lookup!J:K,2,0),"")</f>
        <v>0</v>
      </c>
      <c r="P1836" s="110" t="str">
        <f t="shared" si="101"/>
        <v/>
      </c>
      <c r="T1836" s="59" t="e">
        <f t="shared" si="102"/>
        <v>#VALUE!</v>
      </c>
      <c r="U1836" s="59"/>
    </row>
    <row r="1837" spans="2:21" x14ac:dyDescent="0.25">
      <c r="B1837" s="54" t="str">
        <f>IFERROR(VLOOKUP(A1837,Lookup!A:B,2,0),"")</f>
        <v/>
      </c>
      <c r="C1837" s="54" t="str">
        <f>IFERROR(VLOOKUP(A1837,Lookup!A:C,3,0),"")</f>
        <v/>
      </c>
      <c r="J1837" s="103">
        <f>VLOOKUP(A1837&amp;G1837,Lookup!J:N,5,0)</f>
        <v>0</v>
      </c>
      <c r="O1837" s="57">
        <f>IFERROR(VLOOKUP(A1837&amp;G1837,Lookup!J:K,2,0),"")</f>
        <v>0</v>
      </c>
      <c r="P1837" s="110" t="str">
        <f t="shared" si="101"/>
        <v/>
      </c>
      <c r="T1837" s="59" t="e">
        <f t="shared" si="102"/>
        <v>#VALUE!</v>
      </c>
      <c r="U1837" s="59"/>
    </row>
    <row r="1838" spans="2:21" x14ac:dyDescent="0.25">
      <c r="B1838" s="54" t="str">
        <f>IFERROR(VLOOKUP(A1838,Lookup!A:B,2,0),"")</f>
        <v/>
      </c>
      <c r="C1838" s="54" t="str">
        <f>IFERROR(VLOOKUP(A1838,Lookup!A:C,3,0),"")</f>
        <v/>
      </c>
      <c r="J1838" s="103">
        <f>VLOOKUP(A1838&amp;G1838,Lookup!J:N,5,0)</f>
        <v>0</v>
      </c>
      <c r="O1838" s="57">
        <f>IFERROR(VLOOKUP(A1838&amp;G1838,Lookup!J:K,2,0),"")</f>
        <v>0</v>
      </c>
      <c r="P1838" s="110" t="str">
        <f t="shared" si="101"/>
        <v/>
      </c>
      <c r="T1838" s="59" t="e">
        <f t="shared" si="102"/>
        <v>#VALUE!</v>
      </c>
      <c r="U1838" s="59"/>
    </row>
    <row r="1839" spans="2:21" x14ac:dyDescent="0.25">
      <c r="B1839" s="54" t="str">
        <f>IFERROR(VLOOKUP(A1839,Lookup!A:B,2,0),"")</f>
        <v/>
      </c>
      <c r="C1839" s="54" t="str">
        <f>IFERROR(VLOOKUP(A1839,Lookup!A:C,3,0),"")</f>
        <v/>
      </c>
      <c r="J1839" s="103">
        <f>VLOOKUP(A1839&amp;G1839,Lookup!J:N,5,0)</f>
        <v>0</v>
      </c>
      <c r="O1839" s="57">
        <f>IFERROR(VLOOKUP(A1839&amp;G1839,Lookup!J:K,2,0),"")</f>
        <v>0</v>
      </c>
      <c r="P1839" s="110" t="str">
        <f t="shared" si="101"/>
        <v/>
      </c>
      <c r="T1839" s="59" t="e">
        <f t="shared" si="102"/>
        <v>#VALUE!</v>
      </c>
      <c r="U1839" s="59"/>
    </row>
    <row r="1840" spans="2:21" x14ac:dyDescent="0.25">
      <c r="B1840" s="54" t="str">
        <f>IFERROR(VLOOKUP(A1840,Lookup!A:B,2,0),"")</f>
        <v/>
      </c>
      <c r="C1840" s="54" t="str">
        <f>IFERROR(VLOOKUP(A1840,Lookup!A:C,3,0),"")</f>
        <v/>
      </c>
      <c r="J1840" s="103">
        <f>VLOOKUP(A1840&amp;G1840,Lookup!J:N,5,0)</f>
        <v>0</v>
      </c>
      <c r="O1840" s="57">
        <f>IFERROR(VLOOKUP(A1840&amp;G1840,Lookup!J:K,2,0),"")</f>
        <v>0</v>
      </c>
      <c r="P1840" s="110" t="str">
        <f t="shared" si="101"/>
        <v/>
      </c>
      <c r="T1840" s="59" t="e">
        <f t="shared" si="102"/>
        <v>#VALUE!</v>
      </c>
      <c r="U1840" s="59"/>
    </row>
    <row r="1841" spans="2:21" x14ac:dyDescent="0.25">
      <c r="B1841" s="54" t="str">
        <f>IFERROR(VLOOKUP(A1841,Lookup!A:B,2,0),"")</f>
        <v/>
      </c>
      <c r="C1841" s="54" t="str">
        <f>IFERROR(VLOOKUP(A1841,Lookup!A:C,3,0),"")</f>
        <v/>
      </c>
      <c r="J1841" s="103">
        <f>VLOOKUP(A1841&amp;G1841,Lookup!J:N,5,0)</f>
        <v>0</v>
      </c>
      <c r="O1841" s="57">
        <f>IFERROR(VLOOKUP(A1841&amp;G1841,Lookup!J:K,2,0),"")</f>
        <v>0</v>
      </c>
      <c r="P1841" s="110" t="str">
        <f t="shared" si="101"/>
        <v/>
      </c>
      <c r="T1841" s="59" t="e">
        <f t="shared" si="102"/>
        <v>#VALUE!</v>
      </c>
      <c r="U1841" s="59"/>
    </row>
    <row r="1842" spans="2:21" x14ac:dyDescent="0.25">
      <c r="B1842" s="54" t="str">
        <f>IFERROR(VLOOKUP(A1842,Lookup!A:B,2,0),"")</f>
        <v/>
      </c>
      <c r="C1842" s="54" t="str">
        <f>IFERROR(VLOOKUP(A1842,Lookup!A:C,3,0),"")</f>
        <v/>
      </c>
      <c r="J1842" s="103">
        <f>VLOOKUP(A1842&amp;G1842,Lookup!J:N,5,0)</f>
        <v>0</v>
      </c>
      <c r="O1842" s="57">
        <f>IFERROR(VLOOKUP(A1842&amp;G1842,Lookup!J:K,2,0),"")</f>
        <v>0</v>
      </c>
      <c r="P1842" s="110" t="str">
        <f t="shared" si="101"/>
        <v/>
      </c>
      <c r="T1842" s="59" t="e">
        <f t="shared" si="102"/>
        <v>#VALUE!</v>
      </c>
      <c r="U1842" s="59"/>
    </row>
    <row r="1843" spans="2:21" x14ac:dyDescent="0.25">
      <c r="B1843" s="54" t="str">
        <f>IFERROR(VLOOKUP(A1843,Lookup!A:B,2,0),"")</f>
        <v/>
      </c>
      <c r="C1843" s="54" t="str">
        <f>IFERROR(VLOOKUP(A1843,Lookup!A:C,3,0),"")</f>
        <v/>
      </c>
      <c r="J1843" s="103">
        <f>VLOOKUP(A1843&amp;G1843,Lookup!J:N,5,0)</f>
        <v>0</v>
      </c>
      <c r="O1843" s="57">
        <f>IFERROR(VLOOKUP(A1843&amp;G1843,Lookup!J:K,2,0),"")</f>
        <v>0</v>
      </c>
      <c r="P1843" s="110" t="str">
        <f t="shared" si="101"/>
        <v/>
      </c>
      <c r="T1843" s="59" t="e">
        <f t="shared" si="102"/>
        <v>#VALUE!</v>
      </c>
      <c r="U1843" s="59"/>
    </row>
    <row r="1844" spans="2:21" x14ac:dyDescent="0.25">
      <c r="B1844" s="54" t="str">
        <f>IFERROR(VLOOKUP(A1844,Lookup!A:B,2,0),"")</f>
        <v/>
      </c>
      <c r="C1844" s="54" t="str">
        <f>IFERROR(VLOOKUP(A1844,Lookup!A:C,3,0),"")</f>
        <v/>
      </c>
      <c r="J1844" s="103">
        <f>VLOOKUP(A1844&amp;G1844,Lookup!J:N,5,0)</f>
        <v>0</v>
      </c>
      <c r="O1844" s="57">
        <f>IFERROR(VLOOKUP(A1844&amp;G1844,Lookup!J:K,2,0),"")</f>
        <v>0</v>
      </c>
      <c r="P1844" s="110" t="str">
        <f t="shared" si="101"/>
        <v/>
      </c>
      <c r="T1844" s="59" t="e">
        <f t="shared" si="102"/>
        <v>#VALUE!</v>
      </c>
      <c r="U1844" s="59"/>
    </row>
    <row r="1845" spans="2:21" x14ac:dyDescent="0.25">
      <c r="B1845" s="54" t="str">
        <f>IFERROR(VLOOKUP(A1845,Lookup!A:B,2,0),"")</f>
        <v/>
      </c>
      <c r="C1845" s="54" t="str">
        <f>IFERROR(VLOOKUP(A1845,Lookup!A:C,3,0),"")</f>
        <v/>
      </c>
      <c r="J1845" s="103">
        <f>VLOOKUP(A1845&amp;G1845,Lookup!J:N,5,0)</f>
        <v>0</v>
      </c>
      <c r="O1845" s="57">
        <f>IFERROR(VLOOKUP(A1845&amp;G1845,Lookup!J:K,2,0),"")</f>
        <v>0</v>
      </c>
      <c r="P1845" s="110" t="str">
        <f t="shared" si="101"/>
        <v/>
      </c>
      <c r="T1845" s="59" t="e">
        <f t="shared" si="102"/>
        <v>#VALUE!</v>
      </c>
      <c r="U1845" s="59"/>
    </row>
    <row r="1846" spans="2:21" x14ac:dyDescent="0.25">
      <c r="B1846" s="54" t="str">
        <f>IFERROR(VLOOKUP(A1846,Lookup!A:B,2,0),"")</f>
        <v/>
      </c>
      <c r="C1846" s="54" t="str">
        <f>IFERROR(VLOOKUP(A1846,Lookup!A:C,3,0),"")</f>
        <v/>
      </c>
      <c r="J1846" s="103">
        <f>VLOOKUP(A1846&amp;G1846,Lookup!J:N,5,0)</f>
        <v>0</v>
      </c>
      <c r="O1846" s="57">
        <f>IFERROR(VLOOKUP(A1846&amp;G1846,Lookup!J:K,2,0),"")</f>
        <v>0</v>
      </c>
      <c r="P1846" s="110" t="str">
        <f t="shared" si="101"/>
        <v/>
      </c>
      <c r="T1846" s="59" t="e">
        <f t="shared" si="102"/>
        <v>#VALUE!</v>
      </c>
      <c r="U1846" s="59"/>
    </row>
    <row r="1847" spans="2:21" x14ac:dyDescent="0.25">
      <c r="B1847" s="54" t="str">
        <f>IFERROR(VLOOKUP(A1847,Lookup!A:B,2,0),"")</f>
        <v/>
      </c>
      <c r="C1847" s="54" t="str">
        <f>IFERROR(VLOOKUP(A1847,Lookup!A:C,3,0),"")</f>
        <v/>
      </c>
      <c r="J1847" s="103">
        <f>VLOOKUP(A1847&amp;G1847,Lookup!J:N,5,0)</f>
        <v>0</v>
      </c>
      <c r="O1847" s="57">
        <f>IFERROR(VLOOKUP(A1847&amp;G1847,Lookup!J:K,2,0),"")</f>
        <v>0</v>
      </c>
      <c r="P1847" s="110" t="str">
        <f t="shared" si="101"/>
        <v/>
      </c>
      <c r="T1847" s="59" t="e">
        <f t="shared" si="102"/>
        <v>#VALUE!</v>
      </c>
      <c r="U1847" s="59"/>
    </row>
    <row r="1848" spans="2:21" x14ac:dyDescent="0.25">
      <c r="B1848" s="54" t="str">
        <f>IFERROR(VLOOKUP(A1848,Lookup!A:B,2,0),"")</f>
        <v/>
      </c>
      <c r="C1848" s="54" t="str">
        <f>IFERROR(VLOOKUP(A1848,Lookup!A:C,3,0),"")</f>
        <v/>
      </c>
      <c r="J1848" s="103">
        <f>VLOOKUP(A1848&amp;G1848,Lookup!J:N,5,0)</f>
        <v>0</v>
      </c>
      <c r="O1848" s="57">
        <f>IFERROR(VLOOKUP(A1848&amp;G1848,Lookup!J:K,2,0),"")</f>
        <v>0</v>
      </c>
      <c r="P1848" s="110" t="str">
        <f t="shared" si="101"/>
        <v/>
      </c>
      <c r="T1848" s="59" t="e">
        <f t="shared" si="102"/>
        <v>#VALUE!</v>
      </c>
      <c r="U1848" s="59"/>
    </row>
    <row r="1849" spans="2:21" x14ac:dyDescent="0.25">
      <c r="B1849" s="54" t="str">
        <f>IFERROR(VLOOKUP(A1849,Lookup!A:B,2,0),"")</f>
        <v/>
      </c>
      <c r="C1849" s="54" t="str">
        <f>IFERROR(VLOOKUP(A1849,Lookup!A:C,3,0),"")</f>
        <v/>
      </c>
      <c r="J1849" s="103">
        <f>VLOOKUP(A1849&amp;G1849,Lookup!J:N,5,0)</f>
        <v>0</v>
      </c>
      <c r="O1849" s="57">
        <f>IFERROR(VLOOKUP(A1849&amp;G1849,Lookup!J:K,2,0),"")</f>
        <v>0</v>
      </c>
      <c r="P1849" s="110" t="str">
        <f t="shared" si="101"/>
        <v/>
      </c>
      <c r="T1849" s="59" t="e">
        <f t="shared" si="102"/>
        <v>#VALUE!</v>
      </c>
      <c r="U1849" s="59"/>
    </row>
    <row r="1850" spans="2:21" x14ac:dyDescent="0.25">
      <c r="B1850" s="54" t="str">
        <f>IFERROR(VLOOKUP(A1850,Lookup!A:B,2,0),"")</f>
        <v/>
      </c>
      <c r="C1850" s="54" t="str">
        <f>IFERROR(VLOOKUP(A1850,Lookup!A:C,3,0),"")</f>
        <v/>
      </c>
      <c r="J1850" s="103">
        <f>VLOOKUP(A1850&amp;G1850,Lookup!J:N,5,0)</f>
        <v>0</v>
      </c>
      <c r="O1850" s="57">
        <f>IFERROR(VLOOKUP(A1850&amp;G1850,Lookup!J:K,2,0),"")</f>
        <v>0</v>
      </c>
      <c r="P1850" s="110" t="str">
        <f t="shared" si="101"/>
        <v/>
      </c>
      <c r="T1850" s="59" t="e">
        <f t="shared" si="102"/>
        <v>#VALUE!</v>
      </c>
      <c r="U1850" s="59"/>
    </row>
    <row r="1851" spans="2:21" x14ac:dyDescent="0.25">
      <c r="B1851" s="54" t="str">
        <f>IFERROR(VLOOKUP(A1851,Lookup!A:B,2,0),"")</f>
        <v/>
      </c>
      <c r="C1851" s="54" t="str">
        <f>IFERROR(VLOOKUP(A1851,Lookup!A:C,3,0),"")</f>
        <v/>
      </c>
      <c r="J1851" s="103">
        <f>VLOOKUP(A1851&amp;G1851,Lookup!J:N,5,0)</f>
        <v>0</v>
      </c>
      <c r="O1851" s="57">
        <f>IFERROR(VLOOKUP(A1851&amp;G1851,Lookup!J:K,2,0),"")</f>
        <v>0</v>
      </c>
      <c r="P1851" s="110" t="str">
        <f t="shared" si="101"/>
        <v/>
      </c>
      <c r="T1851" s="59" t="e">
        <f t="shared" si="102"/>
        <v>#VALUE!</v>
      </c>
      <c r="U1851" s="59"/>
    </row>
    <row r="1852" spans="2:21" x14ac:dyDescent="0.25">
      <c r="B1852" s="54" t="str">
        <f>IFERROR(VLOOKUP(A1852,Lookup!A:B,2,0),"")</f>
        <v/>
      </c>
      <c r="C1852" s="54" t="str">
        <f>IFERROR(VLOOKUP(A1852,Lookup!A:C,3,0),"")</f>
        <v/>
      </c>
      <c r="J1852" s="103">
        <f>VLOOKUP(A1852&amp;G1852,Lookup!J:N,5,0)</f>
        <v>0</v>
      </c>
      <c r="O1852" s="57">
        <f>IFERROR(VLOOKUP(A1852&amp;G1852,Lookup!J:K,2,0),"")</f>
        <v>0</v>
      </c>
      <c r="P1852" s="110" t="str">
        <f t="shared" si="101"/>
        <v/>
      </c>
      <c r="T1852" s="59" t="e">
        <f t="shared" si="102"/>
        <v>#VALUE!</v>
      </c>
      <c r="U1852" s="59"/>
    </row>
    <row r="1853" spans="2:21" x14ac:dyDescent="0.25">
      <c r="B1853" s="54" t="str">
        <f>IFERROR(VLOOKUP(A1853,Lookup!A:B,2,0),"")</f>
        <v/>
      </c>
      <c r="C1853" s="54" t="str">
        <f>IFERROR(VLOOKUP(A1853,Lookup!A:C,3,0),"")</f>
        <v/>
      </c>
      <c r="J1853" s="103">
        <f>VLOOKUP(A1853&amp;G1853,Lookup!J:N,5,0)</f>
        <v>0</v>
      </c>
      <c r="O1853" s="57">
        <f>IFERROR(VLOOKUP(A1853&amp;G1853,Lookup!J:K,2,0),"")</f>
        <v>0</v>
      </c>
      <c r="P1853" s="110" t="str">
        <f t="shared" si="101"/>
        <v/>
      </c>
      <c r="T1853" s="59" t="e">
        <f t="shared" si="102"/>
        <v>#VALUE!</v>
      </c>
      <c r="U1853" s="59"/>
    </row>
    <row r="1854" spans="2:21" x14ac:dyDescent="0.25">
      <c r="B1854" s="54" t="str">
        <f>IFERROR(VLOOKUP(A1854,Lookup!A:B,2,0),"")</f>
        <v/>
      </c>
      <c r="C1854" s="54" t="str">
        <f>IFERROR(VLOOKUP(A1854,Lookup!A:C,3,0),"")</f>
        <v/>
      </c>
      <c r="J1854" s="103">
        <f>VLOOKUP(A1854&amp;G1854,Lookup!J:N,5,0)</f>
        <v>0</v>
      </c>
      <c r="O1854" s="57">
        <f>IFERROR(VLOOKUP(A1854&amp;G1854,Lookup!J:K,2,0),"")</f>
        <v>0</v>
      </c>
      <c r="P1854" s="110" t="str">
        <f t="shared" si="101"/>
        <v/>
      </c>
      <c r="T1854" s="59" t="e">
        <f t="shared" si="102"/>
        <v>#VALUE!</v>
      </c>
      <c r="U1854" s="59"/>
    </row>
    <row r="1855" spans="2:21" x14ac:dyDescent="0.25">
      <c r="B1855" s="54" t="str">
        <f>IFERROR(VLOOKUP(A1855,Lookup!A:B,2,0),"")</f>
        <v/>
      </c>
      <c r="C1855" s="54" t="str">
        <f>IFERROR(VLOOKUP(A1855,Lookup!A:C,3,0),"")</f>
        <v/>
      </c>
      <c r="J1855" s="103">
        <f>VLOOKUP(A1855&amp;G1855,Lookup!J:N,5,0)</f>
        <v>0</v>
      </c>
      <c r="O1855" s="57">
        <f>IFERROR(VLOOKUP(A1855&amp;G1855,Lookup!J:K,2,0),"")</f>
        <v>0</v>
      </c>
      <c r="P1855" s="110" t="str">
        <f t="shared" si="101"/>
        <v/>
      </c>
      <c r="T1855" s="59" t="e">
        <f t="shared" si="102"/>
        <v>#VALUE!</v>
      </c>
      <c r="U1855" s="59"/>
    </row>
    <row r="1856" spans="2:21" x14ac:dyDescent="0.25">
      <c r="B1856" s="54" t="str">
        <f>IFERROR(VLOOKUP(A1856,Lookup!A:B,2,0),"")</f>
        <v/>
      </c>
      <c r="C1856" s="54" t="str">
        <f>IFERROR(VLOOKUP(A1856,Lookup!A:C,3,0),"")</f>
        <v/>
      </c>
      <c r="J1856" s="103">
        <f>VLOOKUP(A1856&amp;G1856,Lookup!J:N,5,0)</f>
        <v>0</v>
      </c>
      <c r="O1856" s="57">
        <f>IFERROR(VLOOKUP(A1856&amp;G1856,Lookup!J:K,2,0),"")</f>
        <v>0</v>
      </c>
      <c r="P1856" s="110" t="str">
        <f t="shared" si="101"/>
        <v/>
      </c>
      <c r="T1856" s="59" t="e">
        <f t="shared" si="102"/>
        <v>#VALUE!</v>
      </c>
      <c r="U1856" s="59"/>
    </row>
    <row r="1857" spans="2:21" x14ac:dyDescent="0.25">
      <c r="B1857" s="54" t="str">
        <f>IFERROR(VLOOKUP(A1857,Lookup!A:B,2,0),"")</f>
        <v/>
      </c>
      <c r="C1857" s="54" t="str">
        <f>IFERROR(VLOOKUP(A1857,Lookup!A:C,3,0),"")</f>
        <v/>
      </c>
      <c r="J1857" s="103">
        <f>VLOOKUP(A1857&amp;G1857,Lookup!J:N,5,0)</f>
        <v>0</v>
      </c>
      <c r="O1857" s="57">
        <f>IFERROR(VLOOKUP(A1857&amp;G1857,Lookup!J:K,2,0),"")</f>
        <v>0</v>
      </c>
      <c r="P1857" s="110" t="str">
        <f t="shared" si="101"/>
        <v/>
      </c>
      <c r="T1857" s="59" t="e">
        <f t="shared" si="102"/>
        <v>#VALUE!</v>
      </c>
      <c r="U1857" s="59"/>
    </row>
    <row r="1858" spans="2:21" x14ac:dyDescent="0.25">
      <c r="B1858" s="54" t="str">
        <f>IFERROR(VLOOKUP(A1858,Lookup!A:B,2,0),"")</f>
        <v/>
      </c>
      <c r="C1858" s="54" t="str">
        <f>IFERROR(VLOOKUP(A1858,Lookup!A:C,3,0),"")</f>
        <v/>
      </c>
      <c r="J1858" s="103">
        <f>VLOOKUP(A1858&amp;G1858,Lookup!J:N,5,0)</f>
        <v>0</v>
      </c>
      <c r="O1858" s="57">
        <f>IFERROR(VLOOKUP(A1858&amp;G1858,Lookup!J:K,2,0),"")</f>
        <v>0</v>
      </c>
      <c r="P1858" s="110" t="str">
        <f t="shared" si="101"/>
        <v/>
      </c>
      <c r="T1858" s="59" t="e">
        <f t="shared" si="102"/>
        <v>#VALUE!</v>
      </c>
      <c r="U1858" s="59"/>
    </row>
    <row r="1859" spans="2:21" x14ac:dyDescent="0.25">
      <c r="B1859" s="54" t="str">
        <f>IFERROR(VLOOKUP(A1859,Lookup!A:B,2,0),"")</f>
        <v/>
      </c>
      <c r="C1859" s="54" t="str">
        <f>IFERROR(VLOOKUP(A1859,Lookup!A:C,3,0),"")</f>
        <v/>
      </c>
      <c r="J1859" s="103">
        <f>VLOOKUP(A1859&amp;G1859,Lookup!J:N,5,0)</f>
        <v>0</v>
      </c>
      <c r="O1859" s="57">
        <f>IFERROR(VLOOKUP(A1859&amp;G1859,Lookup!J:K,2,0),"")</f>
        <v>0</v>
      </c>
      <c r="P1859" s="110" t="str">
        <f t="shared" si="101"/>
        <v/>
      </c>
      <c r="T1859" s="59" t="e">
        <f t="shared" si="102"/>
        <v>#VALUE!</v>
      </c>
      <c r="U1859" s="59"/>
    </row>
    <row r="1860" spans="2:21" x14ac:dyDescent="0.25">
      <c r="B1860" s="54" t="str">
        <f>IFERROR(VLOOKUP(A1860,Lookup!A:B,2,0),"")</f>
        <v/>
      </c>
      <c r="C1860" s="54" t="str">
        <f>IFERROR(VLOOKUP(A1860,Lookup!A:C,3,0),"")</f>
        <v/>
      </c>
      <c r="J1860" s="103">
        <f>VLOOKUP(A1860&amp;G1860,Lookup!J:N,5,0)</f>
        <v>0</v>
      </c>
      <c r="O1860" s="57">
        <f>IFERROR(VLOOKUP(A1860&amp;G1860,Lookup!J:K,2,0),"")</f>
        <v>0</v>
      </c>
      <c r="P1860" s="110" t="str">
        <f t="shared" ref="P1860:P1923" si="103">IF(N1860="","",N1860+O1860)</f>
        <v/>
      </c>
      <c r="T1860" s="59" t="e">
        <f t="shared" si="102"/>
        <v>#VALUE!</v>
      </c>
      <c r="U1860" s="59"/>
    </row>
    <row r="1861" spans="2:21" x14ac:dyDescent="0.25">
      <c r="B1861" s="54" t="str">
        <f>IFERROR(VLOOKUP(A1861,Lookup!A:B,2,0),"")</f>
        <v/>
      </c>
      <c r="C1861" s="54" t="str">
        <f>IFERROR(VLOOKUP(A1861,Lookup!A:C,3,0),"")</f>
        <v/>
      </c>
      <c r="J1861" s="103">
        <f>VLOOKUP(A1861&amp;G1861,Lookup!J:N,5,0)</f>
        <v>0</v>
      </c>
      <c r="O1861" s="57">
        <f>IFERROR(VLOOKUP(A1861&amp;G1861,Lookup!J:K,2,0),"")</f>
        <v>0</v>
      </c>
      <c r="P1861" s="110" t="str">
        <f t="shared" si="103"/>
        <v/>
      </c>
      <c r="T1861" s="59" t="e">
        <f t="shared" si="102"/>
        <v>#VALUE!</v>
      </c>
      <c r="U1861" s="59"/>
    </row>
    <row r="1862" spans="2:21" x14ac:dyDescent="0.25">
      <c r="B1862" s="54" t="str">
        <f>IFERROR(VLOOKUP(A1862,Lookup!A:B,2,0),"")</f>
        <v/>
      </c>
      <c r="C1862" s="54" t="str">
        <f>IFERROR(VLOOKUP(A1862,Lookup!A:C,3,0),"")</f>
        <v/>
      </c>
      <c r="J1862" s="103">
        <f>VLOOKUP(A1862&amp;G1862,Lookup!J:N,5,0)</f>
        <v>0</v>
      </c>
      <c r="O1862" s="57">
        <f>IFERROR(VLOOKUP(A1862&amp;G1862,Lookup!J:K,2,0),"")</f>
        <v>0</v>
      </c>
      <c r="P1862" s="110" t="str">
        <f t="shared" si="103"/>
        <v/>
      </c>
      <c r="T1862" s="59" t="e">
        <f t="shared" si="102"/>
        <v>#VALUE!</v>
      </c>
      <c r="U1862" s="59"/>
    </row>
    <row r="1863" spans="2:21" x14ac:dyDescent="0.25">
      <c r="B1863" s="54" t="str">
        <f>IFERROR(VLOOKUP(A1863,Lookup!A:B,2,0),"")</f>
        <v/>
      </c>
      <c r="C1863" s="54" t="str">
        <f>IFERROR(VLOOKUP(A1863,Lookup!A:C,3,0),"")</f>
        <v/>
      </c>
      <c r="J1863" s="103">
        <f>VLOOKUP(A1863&amp;G1863,Lookup!J:N,5,0)</f>
        <v>0</v>
      </c>
      <c r="O1863" s="57">
        <f>IFERROR(VLOOKUP(A1863&amp;G1863,Lookup!J:K,2,0),"")</f>
        <v>0</v>
      </c>
      <c r="P1863" s="110" t="str">
        <f t="shared" si="103"/>
        <v/>
      </c>
      <c r="T1863" s="59" t="e">
        <f t="shared" si="102"/>
        <v>#VALUE!</v>
      </c>
      <c r="U1863" s="59"/>
    </row>
    <row r="1864" spans="2:21" x14ac:dyDescent="0.25">
      <c r="B1864" s="54" t="str">
        <f>IFERROR(VLOOKUP(A1864,Lookup!A:B,2,0),"")</f>
        <v/>
      </c>
      <c r="C1864" s="54" t="str">
        <f>IFERROR(VLOOKUP(A1864,Lookup!A:C,3,0),"")</f>
        <v/>
      </c>
      <c r="J1864" s="103">
        <f>VLOOKUP(A1864&amp;G1864,Lookup!J:N,5,0)</f>
        <v>0</v>
      </c>
      <c r="O1864" s="57">
        <f>IFERROR(VLOOKUP(A1864&amp;G1864,Lookup!J:K,2,0),"")</f>
        <v>0</v>
      </c>
      <c r="P1864" s="110" t="str">
        <f t="shared" si="103"/>
        <v/>
      </c>
      <c r="T1864" s="59" t="e">
        <f t="shared" si="102"/>
        <v>#VALUE!</v>
      </c>
      <c r="U1864" s="59"/>
    </row>
    <row r="1865" spans="2:21" x14ac:dyDescent="0.25">
      <c r="B1865" s="54" t="str">
        <f>IFERROR(VLOOKUP(A1865,Lookup!A:B,2,0),"")</f>
        <v/>
      </c>
      <c r="C1865" s="54" t="str">
        <f>IFERROR(VLOOKUP(A1865,Lookup!A:C,3,0),"")</f>
        <v/>
      </c>
      <c r="J1865" s="103">
        <f>VLOOKUP(A1865&amp;G1865,Lookup!J:N,5,0)</f>
        <v>0</v>
      </c>
      <c r="O1865" s="57">
        <f>IFERROR(VLOOKUP(A1865&amp;G1865,Lookup!J:K,2,0),"")</f>
        <v>0</v>
      </c>
      <c r="P1865" s="110" t="str">
        <f t="shared" si="103"/>
        <v/>
      </c>
      <c r="T1865" s="59" t="e">
        <f t="shared" si="102"/>
        <v>#VALUE!</v>
      </c>
      <c r="U1865" s="59"/>
    </row>
    <row r="1866" spans="2:21" x14ac:dyDescent="0.25">
      <c r="B1866" s="54" t="str">
        <f>IFERROR(VLOOKUP(A1866,Lookup!A:B,2,0),"")</f>
        <v/>
      </c>
      <c r="C1866" s="54" t="str">
        <f>IFERROR(VLOOKUP(A1866,Lookup!A:C,3,0),"")</f>
        <v/>
      </c>
      <c r="J1866" s="103">
        <f>VLOOKUP(A1866&amp;G1866,Lookup!J:N,5,0)</f>
        <v>0</v>
      </c>
      <c r="O1866" s="57">
        <f>IFERROR(VLOOKUP(A1866&amp;G1866,Lookup!J:K,2,0),"")</f>
        <v>0</v>
      </c>
      <c r="P1866" s="110" t="str">
        <f t="shared" si="103"/>
        <v/>
      </c>
      <c r="T1866" s="59" t="e">
        <f t="shared" si="102"/>
        <v>#VALUE!</v>
      </c>
      <c r="U1866" s="59"/>
    </row>
    <row r="1867" spans="2:21" x14ac:dyDescent="0.25">
      <c r="B1867" s="54" t="str">
        <f>IFERROR(VLOOKUP(A1867,Lookup!A:B,2,0),"")</f>
        <v/>
      </c>
      <c r="C1867" s="54" t="str">
        <f>IFERROR(VLOOKUP(A1867,Lookup!A:C,3,0),"")</f>
        <v/>
      </c>
      <c r="J1867" s="103">
        <f>VLOOKUP(A1867&amp;G1867,Lookup!J:N,5,0)</f>
        <v>0</v>
      </c>
      <c r="O1867" s="57">
        <f>IFERROR(VLOOKUP(A1867&amp;G1867,Lookup!J:K,2,0),"")</f>
        <v>0</v>
      </c>
      <c r="P1867" s="110" t="str">
        <f t="shared" si="103"/>
        <v/>
      </c>
      <c r="T1867" s="59" t="e">
        <f t="shared" si="102"/>
        <v>#VALUE!</v>
      </c>
      <c r="U1867" s="59"/>
    </row>
    <row r="1868" spans="2:21" x14ac:dyDescent="0.25">
      <c r="B1868" s="54" t="str">
        <f>IFERROR(VLOOKUP(A1868,Lookup!A:B,2,0),"")</f>
        <v/>
      </c>
      <c r="C1868" s="54" t="str">
        <f>IFERROR(VLOOKUP(A1868,Lookup!A:C,3,0),"")</f>
        <v/>
      </c>
      <c r="J1868" s="103">
        <f>VLOOKUP(A1868&amp;G1868,Lookup!J:N,5,0)</f>
        <v>0</v>
      </c>
      <c r="O1868" s="57">
        <f>IFERROR(VLOOKUP(A1868&amp;G1868,Lookup!J:K,2,0),"")</f>
        <v>0</v>
      </c>
      <c r="P1868" s="110" t="str">
        <f t="shared" si="103"/>
        <v/>
      </c>
      <c r="T1868" s="59" t="e">
        <f t="shared" si="102"/>
        <v>#VALUE!</v>
      </c>
      <c r="U1868" s="59"/>
    </row>
    <row r="1869" spans="2:21" x14ac:dyDescent="0.25">
      <c r="B1869" s="54" t="str">
        <f>IFERROR(VLOOKUP(A1869,Lookup!A:B,2,0),"")</f>
        <v/>
      </c>
      <c r="C1869" s="54" t="str">
        <f>IFERROR(VLOOKUP(A1869,Lookup!A:C,3,0),"")</f>
        <v/>
      </c>
      <c r="J1869" s="103">
        <f>VLOOKUP(A1869&amp;G1869,Lookup!J:N,5,0)</f>
        <v>0</v>
      </c>
      <c r="O1869" s="57">
        <f>IFERROR(VLOOKUP(A1869&amp;G1869,Lookup!J:K,2,0),"")</f>
        <v>0</v>
      </c>
      <c r="P1869" s="110" t="str">
        <f t="shared" si="103"/>
        <v/>
      </c>
      <c r="T1869" s="59" t="e">
        <f t="shared" si="102"/>
        <v>#VALUE!</v>
      </c>
      <c r="U1869" s="59"/>
    </row>
    <row r="1870" spans="2:21" x14ac:dyDescent="0.25">
      <c r="B1870" s="54" t="str">
        <f>IFERROR(VLOOKUP(A1870,Lookup!A:B,2,0),"")</f>
        <v/>
      </c>
      <c r="C1870" s="54" t="str">
        <f>IFERROR(VLOOKUP(A1870,Lookup!A:C,3,0),"")</f>
        <v/>
      </c>
      <c r="J1870" s="103">
        <f>VLOOKUP(A1870&amp;G1870,Lookup!J:N,5,0)</f>
        <v>0</v>
      </c>
      <c r="O1870" s="57">
        <f>IFERROR(VLOOKUP(A1870&amp;G1870,Lookup!J:K,2,0),"")</f>
        <v>0</v>
      </c>
      <c r="P1870" s="110" t="str">
        <f t="shared" si="103"/>
        <v/>
      </c>
      <c r="T1870" s="59" t="e">
        <f t="shared" ref="T1870:T1933" si="104">IF(Q1870-P1870&gt;0.0415,"YES",(IF(OR(EXACT(Q1870,""), EXACT(P1870,"")),"","NO")))</f>
        <v>#VALUE!</v>
      </c>
      <c r="U1870" s="59"/>
    </row>
    <row r="1871" spans="2:21" x14ac:dyDescent="0.25">
      <c r="B1871" s="54" t="str">
        <f>IFERROR(VLOOKUP(A1871,Lookup!A:B,2,0),"")</f>
        <v/>
      </c>
      <c r="C1871" s="54" t="str">
        <f>IFERROR(VLOOKUP(A1871,Lookup!A:C,3,0),"")</f>
        <v/>
      </c>
      <c r="J1871" s="103">
        <f>VLOOKUP(A1871&amp;G1871,Lookup!J:N,5,0)</f>
        <v>0</v>
      </c>
      <c r="O1871" s="57">
        <f>IFERROR(VLOOKUP(A1871&amp;G1871,Lookup!J:K,2,0),"")</f>
        <v>0</v>
      </c>
      <c r="P1871" s="110" t="str">
        <f t="shared" si="103"/>
        <v/>
      </c>
      <c r="T1871" s="59" t="e">
        <f t="shared" si="104"/>
        <v>#VALUE!</v>
      </c>
      <c r="U1871" s="59"/>
    </row>
    <row r="1872" spans="2:21" x14ac:dyDescent="0.25">
      <c r="B1872" s="54" t="str">
        <f>IFERROR(VLOOKUP(A1872,Lookup!A:B,2,0),"")</f>
        <v/>
      </c>
      <c r="C1872" s="54" t="str">
        <f>IFERROR(VLOOKUP(A1872,Lookup!A:C,3,0),"")</f>
        <v/>
      </c>
      <c r="J1872" s="103">
        <f>VLOOKUP(A1872&amp;G1872,Lookup!J:N,5,0)</f>
        <v>0</v>
      </c>
      <c r="O1872" s="57">
        <f>IFERROR(VLOOKUP(A1872&amp;G1872,Lookup!J:K,2,0),"")</f>
        <v>0</v>
      </c>
      <c r="P1872" s="110" t="str">
        <f t="shared" si="103"/>
        <v/>
      </c>
      <c r="T1872" s="59" t="e">
        <f t="shared" si="104"/>
        <v>#VALUE!</v>
      </c>
      <c r="U1872" s="59"/>
    </row>
    <row r="1873" spans="2:21" x14ac:dyDescent="0.25">
      <c r="B1873" s="54" t="str">
        <f>IFERROR(VLOOKUP(A1873,Lookup!A:B,2,0),"")</f>
        <v/>
      </c>
      <c r="C1873" s="54" t="str">
        <f>IFERROR(VLOOKUP(A1873,Lookup!A:C,3,0),"")</f>
        <v/>
      </c>
      <c r="J1873" s="103">
        <f>VLOOKUP(A1873&amp;G1873,Lookup!J:N,5,0)</f>
        <v>0</v>
      </c>
      <c r="O1873" s="57">
        <f>IFERROR(VLOOKUP(A1873&amp;G1873,Lookup!J:K,2,0),"")</f>
        <v>0</v>
      </c>
      <c r="P1873" s="110" t="str">
        <f t="shared" si="103"/>
        <v/>
      </c>
      <c r="T1873" s="59" t="e">
        <f t="shared" si="104"/>
        <v>#VALUE!</v>
      </c>
      <c r="U1873" s="59"/>
    </row>
    <row r="1874" spans="2:21" x14ac:dyDescent="0.25">
      <c r="B1874" s="54" t="str">
        <f>IFERROR(VLOOKUP(A1874,Lookup!A:B,2,0),"")</f>
        <v/>
      </c>
      <c r="C1874" s="54" t="str">
        <f>IFERROR(VLOOKUP(A1874,Lookup!A:C,3,0),"")</f>
        <v/>
      </c>
      <c r="J1874" s="103">
        <f>VLOOKUP(A1874&amp;G1874,Lookup!J:N,5,0)</f>
        <v>0</v>
      </c>
      <c r="O1874" s="57">
        <f>IFERROR(VLOOKUP(A1874&amp;G1874,Lookup!J:K,2,0),"")</f>
        <v>0</v>
      </c>
      <c r="P1874" s="110" t="str">
        <f t="shared" si="103"/>
        <v/>
      </c>
      <c r="T1874" s="59" t="e">
        <f t="shared" si="104"/>
        <v>#VALUE!</v>
      </c>
      <c r="U1874" s="59"/>
    </row>
    <row r="1875" spans="2:21" x14ac:dyDescent="0.25">
      <c r="B1875" s="54" t="str">
        <f>IFERROR(VLOOKUP(A1875,Lookup!A:B,2,0),"")</f>
        <v/>
      </c>
      <c r="C1875" s="54" t="str">
        <f>IFERROR(VLOOKUP(A1875,Lookup!A:C,3,0),"")</f>
        <v/>
      </c>
      <c r="J1875" s="103">
        <f>VLOOKUP(A1875&amp;G1875,Lookup!J:N,5,0)</f>
        <v>0</v>
      </c>
      <c r="O1875" s="57">
        <f>IFERROR(VLOOKUP(A1875&amp;G1875,Lookup!J:K,2,0),"")</f>
        <v>0</v>
      </c>
      <c r="P1875" s="110" t="str">
        <f t="shared" si="103"/>
        <v/>
      </c>
      <c r="T1875" s="59" t="e">
        <f t="shared" si="104"/>
        <v>#VALUE!</v>
      </c>
      <c r="U1875" s="59"/>
    </row>
    <row r="1876" spans="2:21" x14ac:dyDescent="0.25">
      <c r="B1876" s="54" t="str">
        <f>IFERROR(VLOOKUP(A1876,Lookup!A:B,2,0),"")</f>
        <v/>
      </c>
      <c r="C1876" s="54" t="str">
        <f>IFERROR(VLOOKUP(A1876,Lookup!A:C,3,0),"")</f>
        <v/>
      </c>
      <c r="J1876" s="103">
        <f>VLOOKUP(A1876&amp;G1876,Lookup!J:N,5,0)</f>
        <v>0</v>
      </c>
      <c r="O1876" s="57">
        <f>IFERROR(VLOOKUP(A1876&amp;G1876,Lookup!J:K,2,0),"")</f>
        <v>0</v>
      </c>
      <c r="P1876" s="110" t="str">
        <f t="shared" si="103"/>
        <v/>
      </c>
      <c r="T1876" s="59" t="e">
        <f t="shared" si="104"/>
        <v>#VALUE!</v>
      </c>
      <c r="U1876" s="59"/>
    </row>
    <row r="1877" spans="2:21" x14ac:dyDescent="0.25">
      <c r="B1877" s="54" t="str">
        <f>IFERROR(VLOOKUP(A1877,Lookup!A:B,2,0),"")</f>
        <v/>
      </c>
      <c r="C1877" s="54" t="str">
        <f>IFERROR(VLOOKUP(A1877,Lookup!A:C,3,0),"")</f>
        <v/>
      </c>
      <c r="J1877" s="103">
        <f>VLOOKUP(A1877&amp;G1877,Lookup!J:N,5,0)</f>
        <v>0</v>
      </c>
      <c r="O1877" s="57">
        <f>IFERROR(VLOOKUP(A1877&amp;G1877,Lookup!J:K,2,0),"")</f>
        <v>0</v>
      </c>
      <c r="P1877" s="110" t="str">
        <f t="shared" si="103"/>
        <v/>
      </c>
      <c r="T1877" s="59" t="e">
        <f t="shared" si="104"/>
        <v>#VALUE!</v>
      </c>
      <c r="U1877" s="59"/>
    </row>
    <row r="1878" spans="2:21" x14ac:dyDescent="0.25">
      <c r="B1878" s="54" t="str">
        <f>IFERROR(VLOOKUP(A1878,Lookup!A:B,2,0),"")</f>
        <v/>
      </c>
      <c r="C1878" s="54" t="str">
        <f>IFERROR(VLOOKUP(A1878,Lookup!A:C,3,0),"")</f>
        <v/>
      </c>
      <c r="J1878" s="103">
        <f>VLOOKUP(A1878&amp;G1878,Lookup!J:N,5,0)</f>
        <v>0</v>
      </c>
      <c r="O1878" s="57">
        <f>IFERROR(VLOOKUP(A1878&amp;G1878,Lookup!J:K,2,0),"")</f>
        <v>0</v>
      </c>
      <c r="P1878" s="110" t="str">
        <f t="shared" si="103"/>
        <v/>
      </c>
      <c r="T1878" s="59" t="e">
        <f t="shared" si="104"/>
        <v>#VALUE!</v>
      </c>
      <c r="U1878" s="59"/>
    </row>
    <row r="1879" spans="2:21" x14ac:dyDescent="0.25">
      <c r="B1879" s="54" t="str">
        <f>IFERROR(VLOOKUP(A1879,Lookup!A:B,2,0),"")</f>
        <v/>
      </c>
      <c r="C1879" s="54" t="str">
        <f>IFERROR(VLOOKUP(A1879,Lookup!A:C,3,0),"")</f>
        <v/>
      </c>
      <c r="J1879" s="103">
        <f>VLOOKUP(A1879&amp;G1879,Lookup!J:N,5,0)</f>
        <v>0</v>
      </c>
      <c r="O1879" s="57">
        <f>IFERROR(VLOOKUP(A1879&amp;G1879,Lookup!J:K,2,0),"")</f>
        <v>0</v>
      </c>
      <c r="P1879" s="110" t="str">
        <f t="shared" si="103"/>
        <v/>
      </c>
      <c r="T1879" s="59" t="e">
        <f t="shared" si="104"/>
        <v>#VALUE!</v>
      </c>
      <c r="U1879" s="59"/>
    </row>
    <row r="1880" spans="2:21" x14ac:dyDescent="0.25">
      <c r="B1880" s="54" t="str">
        <f>IFERROR(VLOOKUP(A1880,Lookup!A:B,2,0),"")</f>
        <v/>
      </c>
      <c r="C1880" s="54" t="str">
        <f>IFERROR(VLOOKUP(A1880,Lookup!A:C,3,0),"")</f>
        <v/>
      </c>
      <c r="J1880" s="103">
        <f>VLOOKUP(A1880&amp;G1880,Lookup!J:N,5,0)</f>
        <v>0</v>
      </c>
      <c r="O1880" s="57">
        <f>IFERROR(VLOOKUP(A1880&amp;G1880,Lookup!J:K,2,0),"")</f>
        <v>0</v>
      </c>
      <c r="P1880" s="110" t="str">
        <f t="shared" si="103"/>
        <v/>
      </c>
      <c r="T1880" s="59" t="e">
        <f t="shared" si="104"/>
        <v>#VALUE!</v>
      </c>
      <c r="U1880" s="59"/>
    </row>
    <row r="1881" spans="2:21" x14ac:dyDescent="0.25">
      <c r="B1881" s="54" t="str">
        <f>IFERROR(VLOOKUP(A1881,Lookup!A:B,2,0),"")</f>
        <v/>
      </c>
      <c r="C1881" s="54" t="str">
        <f>IFERROR(VLOOKUP(A1881,Lookup!A:C,3,0),"")</f>
        <v/>
      </c>
      <c r="J1881" s="103">
        <f>VLOOKUP(A1881&amp;G1881,Lookup!J:N,5,0)</f>
        <v>0</v>
      </c>
      <c r="O1881" s="57">
        <f>IFERROR(VLOOKUP(A1881&amp;G1881,Lookup!J:K,2,0),"")</f>
        <v>0</v>
      </c>
      <c r="P1881" s="110" t="str">
        <f t="shared" si="103"/>
        <v/>
      </c>
      <c r="T1881" s="59" t="e">
        <f t="shared" si="104"/>
        <v>#VALUE!</v>
      </c>
      <c r="U1881" s="59"/>
    </row>
    <row r="1882" spans="2:21" x14ac:dyDescent="0.25">
      <c r="B1882" s="54" t="str">
        <f>IFERROR(VLOOKUP(A1882,Lookup!A:B,2,0),"")</f>
        <v/>
      </c>
      <c r="C1882" s="54" t="str">
        <f>IFERROR(VLOOKUP(A1882,Lookup!A:C,3,0),"")</f>
        <v/>
      </c>
      <c r="J1882" s="103">
        <f>VLOOKUP(A1882&amp;G1882,Lookup!J:N,5,0)</f>
        <v>0</v>
      </c>
      <c r="O1882" s="57">
        <f>IFERROR(VLOOKUP(A1882&amp;G1882,Lookup!J:K,2,0),"")</f>
        <v>0</v>
      </c>
      <c r="P1882" s="110" t="str">
        <f t="shared" si="103"/>
        <v/>
      </c>
      <c r="T1882" s="59" t="e">
        <f t="shared" si="104"/>
        <v>#VALUE!</v>
      </c>
      <c r="U1882" s="59"/>
    </row>
    <row r="1883" spans="2:21" x14ac:dyDescent="0.25">
      <c r="B1883" s="54" t="str">
        <f>IFERROR(VLOOKUP(A1883,Lookup!A:B,2,0),"")</f>
        <v/>
      </c>
      <c r="C1883" s="54" t="str">
        <f>IFERROR(VLOOKUP(A1883,Lookup!A:C,3,0),"")</f>
        <v/>
      </c>
      <c r="J1883" s="103">
        <f>VLOOKUP(A1883&amp;G1883,Lookup!J:N,5,0)</f>
        <v>0</v>
      </c>
      <c r="O1883" s="57">
        <f>IFERROR(VLOOKUP(A1883&amp;G1883,Lookup!J:K,2,0),"")</f>
        <v>0</v>
      </c>
      <c r="P1883" s="110" t="str">
        <f t="shared" si="103"/>
        <v/>
      </c>
      <c r="T1883" s="59" t="e">
        <f t="shared" si="104"/>
        <v>#VALUE!</v>
      </c>
      <c r="U1883" s="59"/>
    </row>
    <row r="1884" spans="2:21" x14ac:dyDescent="0.25">
      <c r="B1884" s="54" t="str">
        <f>IFERROR(VLOOKUP(A1884,Lookup!A:B,2,0),"")</f>
        <v/>
      </c>
      <c r="C1884" s="54" t="str">
        <f>IFERROR(VLOOKUP(A1884,Lookup!A:C,3,0),"")</f>
        <v/>
      </c>
      <c r="J1884" s="103">
        <f>VLOOKUP(A1884&amp;G1884,Lookup!J:N,5,0)</f>
        <v>0</v>
      </c>
      <c r="O1884" s="57">
        <f>IFERROR(VLOOKUP(A1884&amp;G1884,Lookup!J:K,2,0),"")</f>
        <v>0</v>
      </c>
      <c r="P1884" s="110" t="str">
        <f t="shared" si="103"/>
        <v/>
      </c>
      <c r="T1884" s="59" t="e">
        <f t="shared" si="104"/>
        <v>#VALUE!</v>
      </c>
      <c r="U1884" s="59"/>
    </row>
    <row r="1885" spans="2:21" x14ac:dyDescent="0.25">
      <c r="B1885" s="54" t="str">
        <f>IFERROR(VLOOKUP(A1885,Lookup!A:B,2,0),"")</f>
        <v/>
      </c>
      <c r="C1885" s="54" t="str">
        <f>IFERROR(VLOOKUP(A1885,Lookup!A:C,3,0),"")</f>
        <v/>
      </c>
      <c r="J1885" s="103">
        <f>VLOOKUP(A1885&amp;G1885,Lookup!J:N,5,0)</f>
        <v>0</v>
      </c>
      <c r="O1885" s="57">
        <f>IFERROR(VLOOKUP(A1885&amp;G1885,Lookup!J:K,2,0),"")</f>
        <v>0</v>
      </c>
      <c r="P1885" s="110" t="str">
        <f t="shared" si="103"/>
        <v/>
      </c>
      <c r="T1885" s="59" t="e">
        <f t="shared" si="104"/>
        <v>#VALUE!</v>
      </c>
      <c r="U1885" s="59"/>
    </row>
    <row r="1886" spans="2:21" x14ac:dyDescent="0.25">
      <c r="B1886" s="54" t="str">
        <f>IFERROR(VLOOKUP(A1886,Lookup!A:B,2,0),"")</f>
        <v/>
      </c>
      <c r="C1886" s="54" t="str">
        <f>IFERROR(VLOOKUP(A1886,Lookup!A:C,3,0),"")</f>
        <v/>
      </c>
      <c r="J1886" s="103">
        <f>VLOOKUP(A1886&amp;G1886,Lookup!J:N,5,0)</f>
        <v>0</v>
      </c>
      <c r="O1886" s="57">
        <f>IFERROR(VLOOKUP(A1886&amp;G1886,Lookup!J:K,2,0),"")</f>
        <v>0</v>
      </c>
      <c r="P1886" s="110" t="str">
        <f t="shared" si="103"/>
        <v/>
      </c>
      <c r="T1886" s="59" t="e">
        <f t="shared" si="104"/>
        <v>#VALUE!</v>
      </c>
      <c r="U1886" s="59"/>
    </row>
    <row r="1887" spans="2:21" x14ac:dyDescent="0.25">
      <c r="B1887" s="54" t="str">
        <f>IFERROR(VLOOKUP(A1887,Lookup!A:B,2,0),"")</f>
        <v/>
      </c>
      <c r="C1887" s="54" t="str">
        <f>IFERROR(VLOOKUP(A1887,Lookup!A:C,3,0),"")</f>
        <v/>
      </c>
      <c r="J1887" s="103">
        <f>VLOOKUP(A1887&amp;G1887,Lookup!J:N,5,0)</f>
        <v>0</v>
      </c>
      <c r="O1887" s="57">
        <f>IFERROR(VLOOKUP(A1887&amp;G1887,Lookup!J:K,2,0),"")</f>
        <v>0</v>
      </c>
      <c r="P1887" s="110" t="str">
        <f t="shared" si="103"/>
        <v/>
      </c>
      <c r="T1887" s="59" t="e">
        <f t="shared" si="104"/>
        <v>#VALUE!</v>
      </c>
      <c r="U1887" s="59"/>
    </row>
    <row r="1888" spans="2:21" x14ac:dyDescent="0.25">
      <c r="B1888" s="54" t="str">
        <f>IFERROR(VLOOKUP(A1888,Lookup!A:B,2,0),"")</f>
        <v/>
      </c>
      <c r="C1888" s="54" t="str">
        <f>IFERROR(VLOOKUP(A1888,Lookup!A:C,3,0),"")</f>
        <v/>
      </c>
      <c r="J1888" s="103">
        <f>VLOOKUP(A1888&amp;G1888,Lookup!J:N,5,0)</f>
        <v>0</v>
      </c>
      <c r="O1888" s="57">
        <f>IFERROR(VLOOKUP(A1888&amp;G1888,Lookup!J:K,2,0),"")</f>
        <v>0</v>
      </c>
      <c r="P1888" s="110" t="str">
        <f t="shared" si="103"/>
        <v/>
      </c>
      <c r="T1888" s="59" t="e">
        <f t="shared" si="104"/>
        <v>#VALUE!</v>
      </c>
      <c r="U1888" s="59"/>
    </row>
    <row r="1889" spans="2:21" x14ac:dyDescent="0.25">
      <c r="B1889" s="54" t="str">
        <f>IFERROR(VLOOKUP(A1889,Lookup!A:B,2,0),"")</f>
        <v/>
      </c>
      <c r="C1889" s="54" t="str">
        <f>IFERROR(VLOOKUP(A1889,Lookup!A:C,3,0),"")</f>
        <v/>
      </c>
      <c r="J1889" s="103">
        <f>VLOOKUP(A1889&amp;G1889,Lookup!J:N,5,0)</f>
        <v>0</v>
      </c>
      <c r="O1889" s="57">
        <f>IFERROR(VLOOKUP(A1889&amp;G1889,Lookup!J:K,2,0),"")</f>
        <v>0</v>
      </c>
      <c r="P1889" s="110" t="str">
        <f t="shared" si="103"/>
        <v/>
      </c>
      <c r="T1889" s="59" t="e">
        <f t="shared" si="104"/>
        <v>#VALUE!</v>
      </c>
      <c r="U1889" s="59"/>
    </row>
    <row r="1890" spans="2:21" x14ac:dyDescent="0.25">
      <c r="B1890" s="54" t="str">
        <f>IFERROR(VLOOKUP(A1890,Lookup!A:B,2,0),"")</f>
        <v/>
      </c>
      <c r="C1890" s="54" t="str">
        <f>IFERROR(VLOOKUP(A1890,Lookup!A:C,3,0),"")</f>
        <v/>
      </c>
      <c r="J1890" s="103">
        <f>VLOOKUP(A1890&amp;G1890,Lookup!J:N,5,0)</f>
        <v>0</v>
      </c>
      <c r="O1890" s="57">
        <f>IFERROR(VLOOKUP(A1890&amp;G1890,Lookup!J:K,2,0),"")</f>
        <v>0</v>
      </c>
      <c r="P1890" s="110" t="str">
        <f t="shared" si="103"/>
        <v/>
      </c>
      <c r="T1890" s="59" t="e">
        <f t="shared" si="104"/>
        <v>#VALUE!</v>
      </c>
      <c r="U1890" s="59"/>
    </row>
    <row r="1891" spans="2:21" x14ac:dyDescent="0.25">
      <c r="B1891" s="54" t="str">
        <f>IFERROR(VLOOKUP(A1891,Lookup!A:B,2,0),"")</f>
        <v/>
      </c>
      <c r="C1891" s="54" t="str">
        <f>IFERROR(VLOOKUP(A1891,Lookup!A:C,3,0),"")</f>
        <v/>
      </c>
      <c r="J1891" s="103">
        <f>VLOOKUP(A1891&amp;G1891,Lookup!J:N,5,0)</f>
        <v>0</v>
      </c>
      <c r="O1891" s="57">
        <f>IFERROR(VLOOKUP(A1891&amp;G1891,Lookup!J:K,2,0),"")</f>
        <v>0</v>
      </c>
      <c r="P1891" s="110" t="str">
        <f t="shared" si="103"/>
        <v/>
      </c>
      <c r="T1891" s="59" t="e">
        <f t="shared" si="104"/>
        <v>#VALUE!</v>
      </c>
      <c r="U1891" s="59"/>
    </row>
    <row r="1892" spans="2:21" x14ac:dyDescent="0.25">
      <c r="B1892" s="54" t="str">
        <f>IFERROR(VLOOKUP(A1892,Lookup!A:B,2,0),"")</f>
        <v/>
      </c>
      <c r="C1892" s="54" t="str">
        <f>IFERROR(VLOOKUP(A1892,Lookup!A:C,3,0),"")</f>
        <v/>
      </c>
      <c r="J1892" s="103">
        <f>VLOOKUP(A1892&amp;G1892,Lookup!J:N,5,0)</f>
        <v>0</v>
      </c>
      <c r="O1892" s="57">
        <f>IFERROR(VLOOKUP(A1892&amp;G1892,Lookup!J:K,2,0),"")</f>
        <v>0</v>
      </c>
      <c r="P1892" s="110" t="str">
        <f t="shared" si="103"/>
        <v/>
      </c>
      <c r="T1892" s="59" t="e">
        <f t="shared" si="104"/>
        <v>#VALUE!</v>
      </c>
      <c r="U1892" s="59"/>
    </row>
    <row r="1893" spans="2:21" x14ac:dyDescent="0.25">
      <c r="B1893" s="54" t="str">
        <f>IFERROR(VLOOKUP(A1893,Lookup!A:B,2,0),"")</f>
        <v/>
      </c>
      <c r="C1893" s="54" t="str">
        <f>IFERROR(VLOOKUP(A1893,Lookup!A:C,3,0),"")</f>
        <v/>
      </c>
      <c r="J1893" s="103">
        <f>VLOOKUP(A1893&amp;G1893,Lookup!J:N,5,0)</f>
        <v>0</v>
      </c>
      <c r="O1893" s="57">
        <f>IFERROR(VLOOKUP(A1893&amp;G1893,Lookup!J:K,2,0),"")</f>
        <v>0</v>
      </c>
      <c r="P1893" s="110" t="str">
        <f t="shared" si="103"/>
        <v/>
      </c>
      <c r="T1893" s="59" t="e">
        <f t="shared" si="104"/>
        <v>#VALUE!</v>
      </c>
      <c r="U1893" s="59"/>
    </row>
    <row r="1894" spans="2:21" x14ac:dyDescent="0.25">
      <c r="B1894" s="54" t="str">
        <f>IFERROR(VLOOKUP(A1894,Lookup!A:B,2,0),"")</f>
        <v/>
      </c>
      <c r="C1894" s="54" t="str">
        <f>IFERROR(VLOOKUP(A1894,Lookup!A:C,3,0),"")</f>
        <v/>
      </c>
      <c r="J1894" s="103">
        <f>VLOOKUP(A1894&amp;G1894,Lookup!J:N,5,0)</f>
        <v>0</v>
      </c>
      <c r="O1894" s="57">
        <f>IFERROR(VLOOKUP(A1894&amp;G1894,Lookup!J:K,2,0),"")</f>
        <v>0</v>
      </c>
      <c r="P1894" s="110" t="str">
        <f t="shared" si="103"/>
        <v/>
      </c>
      <c r="T1894" s="59" t="e">
        <f t="shared" si="104"/>
        <v>#VALUE!</v>
      </c>
      <c r="U1894" s="59"/>
    </row>
    <row r="1895" spans="2:21" x14ac:dyDescent="0.25">
      <c r="B1895" s="54" t="str">
        <f>IFERROR(VLOOKUP(A1895,Lookup!A:B,2,0),"")</f>
        <v/>
      </c>
      <c r="C1895" s="54" t="str">
        <f>IFERROR(VLOOKUP(A1895,Lookup!A:C,3,0),"")</f>
        <v/>
      </c>
      <c r="J1895" s="103">
        <f>VLOOKUP(A1895&amp;G1895,Lookup!J:N,5,0)</f>
        <v>0</v>
      </c>
      <c r="O1895" s="57">
        <f>IFERROR(VLOOKUP(A1895&amp;G1895,Lookup!J:K,2,0),"")</f>
        <v>0</v>
      </c>
      <c r="P1895" s="110" t="str">
        <f t="shared" si="103"/>
        <v/>
      </c>
      <c r="T1895" s="59" t="e">
        <f t="shared" si="104"/>
        <v>#VALUE!</v>
      </c>
      <c r="U1895" s="59"/>
    </row>
    <row r="1896" spans="2:21" x14ac:dyDescent="0.25">
      <c r="B1896" s="54" t="str">
        <f>IFERROR(VLOOKUP(A1896,Lookup!A:B,2,0),"")</f>
        <v/>
      </c>
      <c r="C1896" s="54" t="str">
        <f>IFERROR(VLOOKUP(A1896,Lookup!A:C,3,0),"")</f>
        <v/>
      </c>
      <c r="J1896" s="103">
        <f>VLOOKUP(A1896&amp;G1896,Lookup!J:N,5,0)</f>
        <v>0</v>
      </c>
      <c r="O1896" s="57">
        <f>IFERROR(VLOOKUP(A1896&amp;G1896,Lookup!J:K,2,0),"")</f>
        <v>0</v>
      </c>
      <c r="P1896" s="110" t="str">
        <f t="shared" si="103"/>
        <v/>
      </c>
      <c r="T1896" s="59" t="e">
        <f t="shared" si="104"/>
        <v>#VALUE!</v>
      </c>
      <c r="U1896" s="59"/>
    </row>
    <row r="1897" spans="2:21" x14ac:dyDescent="0.25">
      <c r="B1897" s="54" t="str">
        <f>IFERROR(VLOOKUP(A1897,Lookup!A:B,2,0),"")</f>
        <v/>
      </c>
      <c r="C1897" s="54" t="str">
        <f>IFERROR(VLOOKUP(A1897,Lookup!A:C,3,0),"")</f>
        <v/>
      </c>
      <c r="J1897" s="103">
        <f>VLOOKUP(A1897&amp;G1897,Lookup!J:N,5,0)</f>
        <v>0</v>
      </c>
      <c r="O1897" s="57">
        <f>IFERROR(VLOOKUP(A1897&amp;G1897,Lookup!J:K,2,0),"")</f>
        <v>0</v>
      </c>
      <c r="P1897" s="110" t="str">
        <f t="shared" si="103"/>
        <v/>
      </c>
      <c r="T1897" s="59" t="e">
        <f t="shared" si="104"/>
        <v>#VALUE!</v>
      </c>
      <c r="U1897" s="59"/>
    </row>
    <row r="1898" spans="2:21" x14ac:dyDescent="0.25">
      <c r="B1898" s="54" t="str">
        <f>IFERROR(VLOOKUP(A1898,Lookup!A:B,2,0),"")</f>
        <v/>
      </c>
      <c r="C1898" s="54" t="str">
        <f>IFERROR(VLOOKUP(A1898,Lookup!A:C,3,0),"")</f>
        <v/>
      </c>
      <c r="J1898" s="103">
        <f>VLOOKUP(A1898&amp;G1898,Lookup!J:N,5,0)</f>
        <v>0</v>
      </c>
      <c r="O1898" s="57">
        <f>IFERROR(VLOOKUP(A1898&amp;G1898,Lookup!J:K,2,0),"")</f>
        <v>0</v>
      </c>
      <c r="P1898" s="110" t="str">
        <f t="shared" si="103"/>
        <v/>
      </c>
      <c r="T1898" s="59" t="e">
        <f t="shared" si="104"/>
        <v>#VALUE!</v>
      </c>
      <c r="U1898" s="59"/>
    </row>
    <row r="1899" spans="2:21" x14ac:dyDescent="0.25">
      <c r="B1899" s="54" t="str">
        <f>IFERROR(VLOOKUP(A1899,Lookup!A:B,2,0),"")</f>
        <v/>
      </c>
      <c r="C1899" s="54" t="str">
        <f>IFERROR(VLOOKUP(A1899,Lookup!A:C,3,0),"")</f>
        <v/>
      </c>
      <c r="J1899" s="103">
        <f>VLOOKUP(A1899&amp;G1899,Lookup!J:N,5,0)</f>
        <v>0</v>
      </c>
      <c r="O1899" s="57">
        <f>IFERROR(VLOOKUP(A1899&amp;G1899,Lookup!J:K,2,0),"")</f>
        <v>0</v>
      </c>
      <c r="P1899" s="110" t="str">
        <f t="shared" si="103"/>
        <v/>
      </c>
      <c r="T1899" s="59" t="e">
        <f t="shared" si="104"/>
        <v>#VALUE!</v>
      </c>
      <c r="U1899" s="59"/>
    </row>
    <row r="1900" spans="2:21" x14ac:dyDescent="0.25">
      <c r="B1900" s="54" t="str">
        <f>IFERROR(VLOOKUP(A1900,Lookup!A:B,2,0),"")</f>
        <v/>
      </c>
      <c r="C1900" s="54" t="str">
        <f>IFERROR(VLOOKUP(A1900,Lookup!A:C,3,0),"")</f>
        <v/>
      </c>
      <c r="J1900" s="103">
        <f>VLOOKUP(A1900&amp;G1900,Lookup!J:N,5,0)</f>
        <v>0</v>
      </c>
      <c r="O1900" s="57">
        <f>IFERROR(VLOOKUP(A1900&amp;G1900,Lookup!J:K,2,0),"")</f>
        <v>0</v>
      </c>
      <c r="P1900" s="110" t="str">
        <f t="shared" si="103"/>
        <v/>
      </c>
      <c r="T1900" s="59" t="e">
        <f t="shared" si="104"/>
        <v>#VALUE!</v>
      </c>
      <c r="U1900" s="59"/>
    </row>
    <row r="1901" spans="2:21" x14ac:dyDescent="0.25">
      <c r="B1901" s="54" t="str">
        <f>IFERROR(VLOOKUP(A1901,Lookup!A:B,2,0),"")</f>
        <v/>
      </c>
      <c r="C1901" s="54" t="str">
        <f>IFERROR(VLOOKUP(A1901,Lookup!A:C,3,0),"")</f>
        <v/>
      </c>
      <c r="J1901" s="103">
        <f>VLOOKUP(A1901&amp;G1901,Lookup!J:N,5,0)</f>
        <v>0</v>
      </c>
      <c r="O1901" s="57">
        <f>IFERROR(VLOOKUP(A1901&amp;G1901,Lookup!J:K,2,0),"")</f>
        <v>0</v>
      </c>
      <c r="P1901" s="110" t="str">
        <f t="shared" si="103"/>
        <v/>
      </c>
      <c r="T1901" s="59" t="e">
        <f t="shared" si="104"/>
        <v>#VALUE!</v>
      </c>
      <c r="U1901" s="59"/>
    </row>
    <row r="1902" spans="2:21" x14ac:dyDescent="0.25">
      <c r="B1902" s="54" t="str">
        <f>IFERROR(VLOOKUP(A1902,Lookup!A:B,2,0),"")</f>
        <v/>
      </c>
      <c r="C1902" s="54" t="str">
        <f>IFERROR(VLOOKUP(A1902,Lookup!A:C,3,0),"")</f>
        <v/>
      </c>
      <c r="J1902" s="103">
        <f>VLOOKUP(A1902&amp;G1902,Lookup!J:N,5,0)</f>
        <v>0</v>
      </c>
      <c r="O1902" s="57">
        <f>IFERROR(VLOOKUP(A1902&amp;G1902,Lookup!J:K,2,0),"")</f>
        <v>0</v>
      </c>
      <c r="P1902" s="110" t="str">
        <f t="shared" si="103"/>
        <v/>
      </c>
      <c r="T1902" s="59" t="e">
        <f t="shared" si="104"/>
        <v>#VALUE!</v>
      </c>
      <c r="U1902" s="59"/>
    </row>
    <row r="1903" spans="2:21" x14ac:dyDescent="0.25">
      <c r="B1903" s="54" t="str">
        <f>IFERROR(VLOOKUP(A1903,Lookup!A:B,2,0),"")</f>
        <v/>
      </c>
      <c r="C1903" s="54" t="str">
        <f>IFERROR(VLOOKUP(A1903,Lookup!A:C,3,0),"")</f>
        <v/>
      </c>
      <c r="J1903" s="103">
        <f>VLOOKUP(A1903&amp;G1903,Lookup!J:N,5,0)</f>
        <v>0</v>
      </c>
      <c r="O1903" s="57">
        <f>IFERROR(VLOOKUP(A1903&amp;G1903,Lookup!J:K,2,0),"")</f>
        <v>0</v>
      </c>
      <c r="P1903" s="110" t="str">
        <f t="shared" si="103"/>
        <v/>
      </c>
      <c r="T1903" s="59" t="e">
        <f t="shared" si="104"/>
        <v>#VALUE!</v>
      </c>
      <c r="U1903" s="59"/>
    </row>
    <row r="1904" spans="2:21" x14ac:dyDescent="0.25">
      <c r="B1904" s="54" t="str">
        <f>IFERROR(VLOOKUP(A1904,Lookup!A:B,2,0),"")</f>
        <v/>
      </c>
      <c r="C1904" s="54" t="str">
        <f>IFERROR(VLOOKUP(A1904,Lookup!A:C,3,0),"")</f>
        <v/>
      </c>
      <c r="J1904" s="103">
        <f>VLOOKUP(A1904&amp;G1904,Lookup!J:N,5,0)</f>
        <v>0</v>
      </c>
      <c r="O1904" s="57">
        <f>IFERROR(VLOOKUP(A1904&amp;G1904,Lookup!J:K,2,0),"")</f>
        <v>0</v>
      </c>
      <c r="P1904" s="110" t="str">
        <f t="shared" si="103"/>
        <v/>
      </c>
      <c r="T1904" s="59" t="e">
        <f t="shared" si="104"/>
        <v>#VALUE!</v>
      </c>
      <c r="U1904" s="59"/>
    </row>
    <row r="1905" spans="2:21" x14ac:dyDescent="0.25">
      <c r="B1905" s="54" t="str">
        <f>IFERROR(VLOOKUP(A1905,Lookup!A:B,2,0),"")</f>
        <v/>
      </c>
      <c r="C1905" s="54" t="str">
        <f>IFERROR(VLOOKUP(A1905,Lookup!A:C,3,0),"")</f>
        <v/>
      </c>
      <c r="J1905" s="103">
        <f>VLOOKUP(A1905&amp;G1905,Lookup!J:N,5,0)</f>
        <v>0</v>
      </c>
      <c r="O1905" s="57">
        <f>IFERROR(VLOOKUP(A1905&amp;G1905,Lookup!J:K,2,0),"")</f>
        <v>0</v>
      </c>
      <c r="P1905" s="110" t="str">
        <f t="shared" si="103"/>
        <v/>
      </c>
      <c r="T1905" s="59" t="e">
        <f t="shared" si="104"/>
        <v>#VALUE!</v>
      </c>
      <c r="U1905" s="59"/>
    </row>
    <row r="1906" spans="2:21" x14ac:dyDescent="0.25">
      <c r="B1906" s="54" t="str">
        <f>IFERROR(VLOOKUP(A1906,Lookup!A:B,2,0),"")</f>
        <v/>
      </c>
      <c r="C1906" s="54" t="str">
        <f>IFERROR(VLOOKUP(A1906,Lookup!A:C,3,0),"")</f>
        <v/>
      </c>
      <c r="J1906" s="103">
        <f>VLOOKUP(A1906&amp;G1906,Lookup!J:N,5,0)</f>
        <v>0</v>
      </c>
      <c r="O1906" s="57">
        <f>IFERROR(VLOOKUP(A1906&amp;G1906,Lookup!J:K,2,0),"")</f>
        <v>0</v>
      </c>
      <c r="P1906" s="110" t="str">
        <f t="shared" si="103"/>
        <v/>
      </c>
      <c r="T1906" s="59" t="e">
        <f t="shared" si="104"/>
        <v>#VALUE!</v>
      </c>
      <c r="U1906" s="59"/>
    </row>
    <row r="1907" spans="2:21" x14ac:dyDescent="0.25">
      <c r="B1907" s="54" t="str">
        <f>IFERROR(VLOOKUP(A1907,Lookup!A:B,2,0),"")</f>
        <v/>
      </c>
      <c r="C1907" s="54" t="str">
        <f>IFERROR(VLOOKUP(A1907,Lookup!A:C,3,0),"")</f>
        <v/>
      </c>
      <c r="J1907" s="103">
        <f>VLOOKUP(A1907&amp;G1907,Lookup!J:N,5,0)</f>
        <v>0</v>
      </c>
      <c r="O1907" s="57">
        <f>IFERROR(VLOOKUP(A1907&amp;G1907,Lookup!J:K,2,0),"")</f>
        <v>0</v>
      </c>
      <c r="P1907" s="110" t="str">
        <f t="shared" si="103"/>
        <v/>
      </c>
      <c r="T1907" s="59" t="e">
        <f t="shared" si="104"/>
        <v>#VALUE!</v>
      </c>
      <c r="U1907" s="59"/>
    </row>
    <row r="1908" spans="2:21" x14ac:dyDescent="0.25">
      <c r="B1908" s="54" t="str">
        <f>IFERROR(VLOOKUP(A1908,Lookup!A:B,2,0),"")</f>
        <v/>
      </c>
      <c r="C1908" s="54" t="str">
        <f>IFERROR(VLOOKUP(A1908,Lookup!A:C,3,0),"")</f>
        <v/>
      </c>
      <c r="J1908" s="103">
        <f>VLOOKUP(A1908&amp;G1908,Lookup!J:N,5,0)</f>
        <v>0</v>
      </c>
      <c r="O1908" s="57">
        <f>IFERROR(VLOOKUP(A1908&amp;G1908,Lookup!J:K,2,0),"")</f>
        <v>0</v>
      </c>
      <c r="P1908" s="110" t="str">
        <f t="shared" si="103"/>
        <v/>
      </c>
      <c r="T1908" s="59" t="e">
        <f t="shared" si="104"/>
        <v>#VALUE!</v>
      </c>
      <c r="U1908" s="59"/>
    </row>
    <row r="1909" spans="2:21" x14ac:dyDescent="0.25">
      <c r="B1909" s="54" t="str">
        <f>IFERROR(VLOOKUP(A1909,Lookup!A:B,2,0),"")</f>
        <v/>
      </c>
      <c r="C1909" s="54" t="str">
        <f>IFERROR(VLOOKUP(A1909,Lookup!A:C,3,0),"")</f>
        <v/>
      </c>
      <c r="J1909" s="103">
        <f>VLOOKUP(A1909&amp;G1909,Lookup!J:N,5,0)</f>
        <v>0</v>
      </c>
      <c r="O1909" s="57">
        <f>IFERROR(VLOOKUP(A1909&amp;G1909,Lookup!J:K,2,0),"")</f>
        <v>0</v>
      </c>
      <c r="P1909" s="110" t="str">
        <f t="shared" si="103"/>
        <v/>
      </c>
      <c r="T1909" s="59" t="e">
        <f t="shared" si="104"/>
        <v>#VALUE!</v>
      </c>
      <c r="U1909" s="59"/>
    </row>
    <row r="1910" spans="2:21" x14ac:dyDescent="0.25">
      <c r="B1910" s="54" t="str">
        <f>IFERROR(VLOOKUP(A1910,Lookup!A:B,2,0),"")</f>
        <v/>
      </c>
      <c r="C1910" s="54" t="str">
        <f>IFERROR(VLOOKUP(A1910,Lookup!A:C,3,0),"")</f>
        <v/>
      </c>
      <c r="J1910" s="103">
        <f>VLOOKUP(A1910&amp;G1910,Lookup!J:N,5,0)</f>
        <v>0</v>
      </c>
      <c r="O1910" s="57">
        <f>IFERROR(VLOOKUP(A1910&amp;G1910,Lookup!J:K,2,0),"")</f>
        <v>0</v>
      </c>
      <c r="P1910" s="110" t="str">
        <f t="shared" si="103"/>
        <v/>
      </c>
      <c r="T1910" s="59" t="e">
        <f t="shared" si="104"/>
        <v>#VALUE!</v>
      </c>
      <c r="U1910" s="59"/>
    </row>
    <row r="1911" spans="2:21" x14ac:dyDescent="0.25">
      <c r="B1911" s="54" t="str">
        <f>IFERROR(VLOOKUP(A1911,Lookup!A:B,2,0),"")</f>
        <v/>
      </c>
      <c r="C1911" s="54" t="str">
        <f>IFERROR(VLOOKUP(A1911,Lookup!A:C,3,0),"")</f>
        <v/>
      </c>
      <c r="J1911" s="103">
        <f>VLOOKUP(A1911&amp;G1911,Lookup!J:N,5,0)</f>
        <v>0</v>
      </c>
      <c r="O1911" s="57">
        <f>IFERROR(VLOOKUP(A1911&amp;G1911,Lookup!J:K,2,0),"")</f>
        <v>0</v>
      </c>
      <c r="P1911" s="110" t="str">
        <f t="shared" si="103"/>
        <v/>
      </c>
      <c r="T1911" s="59" t="e">
        <f t="shared" si="104"/>
        <v>#VALUE!</v>
      </c>
      <c r="U1911" s="59"/>
    </row>
    <row r="1912" spans="2:21" x14ac:dyDescent="0.25">
      <c r="B1912" s="54" t="str">
        <f>IFERROR(VLOOKUP(A1912,Lookup!A:B,2,0),"")</f>
        <v/>
      </c>
      <c r="C1912" s="54" t="str">
        <f>IFERROR(VLOOKUP(A1912,Lookup!A:C,3,0),"")</f>
        <v/>
      </c>
      <c r="J1912" s="103">
        <f>VLOOKUP(A1912&amp;G1912,Lookup!J:N,5,0)</f>
        <v>0</v>
      </c>
      <c r="O1912" s="57">
        <f>IFERROR(VLOOKUP(A1912&amp;G1912,Lookup!J:K,2,0),"")</f>
        <v>0</v>
      </c>
      <c r="P1912" s="110" t="str">
        <f t="shared" si="103"/>
        <v/>
      </c>
      <c r="T1912" s="59" t="e">
        <f t="shared" si="104"/>
        <v>#VALUE!</v>
      </c>
      <c r="U1912" s="59"/>
    </row>
    <row r="1913" spans="2:21" x14ac:dyDescent="0.25">
      <c r="B1913" s="54" t="str">
        <f>IFERROR(VLOOKUP(A1913,Lookup!A:B,2,0),"")</f>
        <v/>
      </c>
      <c r="C1913" s="54" t="str">
        <f>IFERROR(VLOOKUP(A1913,Lookup!A:C,3,0),"")</f>
        <v/>
      </c>
      <c r="J1913" s="103">
        <f>VLOOKUP(A1913&amp;G1913,Lookup!J:N,5,0)</f>
        <v>0</v>
      </c>
      <c r="O1913" s="57">
        <f>IFERROR(VLOOKUP(A1913&amp;G1913,Lookup!J:K,2,0),"")</f>
        <v>0</v>
      </c>
      <c r="P1913" s="110" t="str">
        <f t="shared" si="103"/>
        <v/>
      </c>
      <c r="T1913" s="59" t="e">
        <f t="shared" si="104"/>
        <v>#VALUE!</v>
      </c>
      <c r="U1913" s="59"/>
    </row>
    <row r="1914" spans="2:21" x14ac:dyDescent="0.25">
      <c r="B1914" s="54" t="str">
        <f>IFERROR(VLOOKUP(A1914,Lookup!A:B,2,0),"")</f>
        <v/>
      </c>
      <c r="C1914" s="54" t="str">
        <f>IFERROR(VLOOKUP(A1914,Lookup!A:C,3,0),"")</f>
        <v/>
      </c>
      <c r="J1914" s="103">
        <f>VLOOKUP(A1914&amp;G1914,Lookup!J:N,5,0)</f>
        <v>0</v>
      </c>
      <c r="O1914" s="57">
        <f>IFERROR(VLOOKUP(A1914&amp;G1914,Lookup!J:K,2,0),"")</f>
        <v>0</v>
      </c>
      <c r="P1914" s="110" t="str">
        <f t="shared" si="103"/>
        <v/>
      </c>
      <c r="T1914" s="59" t="e">
        <f t="shared" si="104"/>
        <v>#VALUE!</v>
      </c>
      <c r="U1914" s="59"/>
    </row>
    <row r="1915" spans="2:21" x14ac:dyDescent="0.25">
      <c r="B1915" s="54" t="str">
        <f>IFERROR(VLOOKUP(A1915,Lookup!A:B,2,0),"")</f>
        <v/>
      </c>
      <c r="C1915" s="54" t="str">
        <f>IFERROR(VLOOKUP(A1915,Lookup!A:C,3,0),"")</f>
        <v/>
      </c>
      <c r="J1915" s="103">
        <f>VLOOKUP(A1915&amp;G1915,Lookup!J:N,5,0)</f>
        <v>0</v>
      </c>
      <c r="O1915" s="57">
        <f>IFERROR(VLOOKUP(A1915&amp;G1915,Lookup!J:K,2,0),"")</f>
        <v>0</v>
      </c>
      <c r="P1915" s="110" t="str">
        <f t="shared" si="103"/>
        <v/>
      </c>
      <c r="T1915" s="59" t="e">
        <f t="shared" si="104"/>
        <v>#VALUE!</v>
      </c>
      <c r="U1915" s="59"/>
    </row>
    <row r="1916" spans="2:21" x14ac:dyDescent="0.25">
      <c r="B1916" s="54" t="str">
        <f>IFERROR(VLOOKUP(A1916,Lookup!A:B,2,0),"")</f>
        <v/>
      </c>
      <c r="C1916" s="54" t="str">
        <f>IFERROR(VLOOKUP(A1916,Lookup!A:C,3,0),"")</f>
        <v/>
      </c>
      <c r="J1916" s="103">
        <f>VLOOKUP(A1916&amp;G1916,Lookup!J:N,5,0)</f>
        <v>0</v>
      </c>
      <c r="O1916" s="57">
        <f>IFERROR(VLOOKUP(A1916&amp;G1916,Lookup!J:K,2,0),"")</f>
        <v>0</v>
      </c>
      <c r="P1916" s="110" t="str">
        <f t="shared" si="103"/>
        <v/>
      </c>
      <c r="T1916" s="59" t="e">
        <f t="shared" si="104"/>
        <v>#VALUE!</v>
      </c>
      <c r="U1916" s="59"/>
    </row>
    <row r="1917" spans="2:21" x14ac:dyDescent="0.25">
      <c r="B1917" s="54" t="str">
        <f>IFERROR(VLOOKUP(A1917,Lookup!A:B,2,0),"")</f>
        <v/>
      </c>
      <c r="C1917" s="54" t="str">
        <f>IFERROR(VLOOKUP(A1917,Lookup!A:C,3,0),"")</f>
        <v/>
      </c>
      <c r="J1917" s="103">
        <f>VLOOKUP(A1917&amp;G1917,Lookup!J:N,5,0)</f>
        <v>0</v>
      </c>
      <c r="O1917" s="57">
        <f>IFERROR(VLOOKUP(A1917&amp;G1917,Lookup!J:K,2,0),"")</f>
        <v>0</v>
      </c>
      <c r="P1917" s="110" t="str">
        <f t="shared" si="103"/>
        <v/>
      </c>
      <c r="T1917" s="59" t="e">
        <f t="shared" si="104"/>
        <v>#VALUE!</v>
      </c>
      <c r="U1917" s="59"/>
    </row>
    <row r="1918" spans="2:21" x14ac:dyDescent="0.25">
      <c r="B1918" s="54" t="str">
        <f>IFERROR(VLOOKUP(A1918,Lookup!A:B,2,0),"")</f>
        <v/>
      </c>
      <c r="C1918" s="54" t="str">
        <f>IFERROR(VLOOKUP(A1918,Lookup!A:C,3,0),"")</f>
        <v/>
      </c>
      <c r="J1918" s="103">
        <f>VLOOKUP(A1918&amp;G1918,Lookup!J:N,5,0)</f>
        <v>0</v>
      </c>
      <c r="O1918" s="57">
        <f>IFERROR(VLOOKUP(A1918&amp;G1918,Lookup!J:K,2,0),"")</f>
        <v>0</v>
      </c>
      <c r="P1918" s="110" t="str">
        <f t="shared" si="103"/>
        <v/>
      </c>
      <c r="T1918" s="59" t="e">
        <f t="shared" si="104"/>
        <v>#VALUE!</v>
      </c>
      <c r="U1918" s="59"/>
    </row>
    <row r="1919" spans="2:21" x14ac:dyDescent="0.25">
      <c r="B1919" s="54" t="str">
        <f>IFERROR(VLOOKUP(A1919,Lookup!A:B,2,0),"")</f>
        <v/>
      </c>
      <c r="C1919" s="54" t="str">
        <f>IFERROR(VLOOKUP(A1919,Lookup!A:C,3,0),"")</f>
        <v/>
      </c>
      <c r="J1919" s="103">
        <f>VLOOKUP(A1919&amp;G1919,Lookup!J:N,5,0)</f>
        <v>0</v>
      </c>
      <c r="O1919" s="57">
        <f>IFERROR(VLOOKUP(A1919&amp;G1919,Lookup!J:K,2,0),"")</f>
        <v>0</v>
      </c>
      <c r="P1919" s="110" t="str">
        <f t="shared" si="103"/>
        <v/>
      </c>
      <c r="T1919" s="59" t="e">
        <f t="shared" si="104"/>
        <v>#VALUE!</v>
      </c>
      <c r="U1919" s="59"/>
    </row>
    <row r="1920" spans="2:21" x14ac:dyDescent="0.25">
      <c r="B1920" s="54" t="str">
        <f>IFERROR(VLOOKUP(A1920,Lookup!A:B,2,0),"")</f>
        <v/>
      </c>
      <c r="C1920" s="54" t="str">
        <f>IFERROR(VLOOKUP(A1920,Lookup!A:C,3,0),"")</f>
        <v/>
      </c>
      <c r="J1920" s="103">
        <f>VLOOKUP(A1920&amp;G1920,Lookup!J:N,5,0)</f>
        <v>0</v>
      </c>
      <c r="O1920" s="57">
        <f>IFERROR(VLOOKUP(A1920&amp;G1920,Lookup!J:K,2,0),"")</f>
        <v>0</v>
      </c>
      <c r="P1920" s="110" t="str">
        <f t="shared" si="103"/>
        <v/>
      </c>
      <c r="T1920" s="59" t="e">
        <f t="shared" si="104"/>
        <v>#VALUE!</v>
      </c>
      <c r="U1920" s="59"/>
    </row>
    <row r="1921" spans="2:21" x14ac:dyDescent="0.25">
      <c r="B1921" s="54" t="str">
        <f>IFERROR(VLOOKUP(A1921,Lookup!A:B,2,0),"")</f>
        <v/>
      </c>
      <c r="C1921" s="54" t="str">
        <f>IFERROR(VLOOKUP(A1921,Lookup!A:C,3,0),"")</f>
        <v/>
      </c>
      <c r="J1921" s="103">
        <f>VLOOKUP(A1921&amp;G1921,Lookup!J:N,5,0)</f>
        <v>0</v>
      </c>
      <c r="O1921" s="57">
        <f>IFERROR(VLOOKUP(A1921&amp;G1921,Lookup!J:K,2,0),"")</f>
        <v>0</v>
      </c>
      <c r="P1921" s="110" t="str">
        <f t="shared" si="103"/>
        <v/>
      </c>
      <c r="T1921" s="59" t="e">
        <f t="shared" si="104"/>
        <v>#VALUE!</v>
      </c>
      <c r="U1921" s="59"/>
    </row>
    <row r="1922" spans="2:21" x14ac:dyDescent="0.25">
      <c r="B1922" s="54" t="str">
        <f>IFERROR(VLOOKUP(A1922,Lookup!A:B,2,0),"")</f>
        <v/>
      </c>
      <c r="C1922" s="54" t="str">
        <f>IFERROR(VLOOKUP(A1922,Lookup!A:C,3,0),"")</f>
        <v/>
      </c>
      <c r="J1922" s="103">
        <f>VLOOKUP(A1922&amp;G1922,Lookup!J:N,5,0)</f>
        <v>0</v>
      </c>
      <c r="O1922" s="57">
        <f>IFERROR(VLOOKUP(A1922&amp;G1922,Lookup!J:K,2,0),"")</f>
        <v>0</v>
      </c>
      <c r="P1922" s="110" t="str">
        <f t="shared" si="103"/>
        <v/>
      </c>
      <c r="T1922" s="59" t="e">
        <f t="shared" si="104"/>
        <v>#VALUE!</v>
      </c>
      <c r="U1922" s="59"/>
    </row>
    <row r="1923" spans="2:21" x14ac:dyDescent="0.25">
      <c r="B1923" s="54" t="str">
        <f>IFERROR(VLOOKUP(A1923,Lookup!A:B,2,0),"")</f>
        <v/>
      </c>
      <c r="C1923" s="54" t="str">
        <f>IFERROR(VLOOKUP(A1923,Lookup!A:C,3,0),"")</f>
        <v/>
      </c>
      <c r="J1923" s="103">
        <f>VLOOKUP(A1923&amp;G1923,Lookup!J:N,5,0)</f>
        <v>0</v>
      </c>
      <c r="O1923" s="57">
        <f>IFERROR(VLOOKUP(A1923&amp;G1923,Lookup!J:K,2,0),"")</f>
        <v>0</v>
      </c>
      <c r="P1923" s="110" t="str">
        <f t="shared" si="103"/>
        <v/>
      </c>
      <c r="T1923" s="59" t="e">
        <f t="shared" si="104"/>
        <v>#VALUE!</v>
      </c>
      <c r="U1923" s="59"/>
    </row>
    <row r="1924" spans="2:21" x14ac:dyDescent="0.25">
      <c r="B1924" s="54" t="str">
        <f>IFERROR(VLOOKUP(A1924,Lookup!A:B,2,0),"")</f>
        <v/>
      </c>
      <c r="C1924" s="54" t="str">
        <f>IFERROR(VLOOKUP(A1924,Lookup!A:C,3,0),"")</f>
        <v/>
      </c>
      <c r="J1924" s="103">
        <f>VLOOKUP(A1924&amp;G1924,Lookup!J:N,5,0)</f>
        <v>0</v>
      </c>
      <c r="O1924" s="57">
        <f>IFERROR(VLOOKUP(A1924&amp;G1924,Lookup!J:K,2,0),"")</f>
        <v>0</v>
      </c>
      <c r="P1924" s="110" t="str">
        <f t="shared" ref="P1924:P1987" si="105">IF(N1924="","",N1924+O1924)</f>
        <v/>
      </c>
      <c r="T1924" s="59" t="e">
        <f t="shared" si="104"/>
        <v>#VALUE!</v>
      </c>
      <c r="U1924" s="59"/>
    </row>
    <row r="1925" spans="2:21" x14ac:dyDescent="0.25">
      <c r="B1925" s="54" t="str">
        <f>IFERROR(VLOOKUP(A1925,Lookup!A:B,2,0),"")</f>
        <v/>
      </c>
      <c r="C1925" s="54" t="str">
        <f>IFERROR(VLOOKUP(A1925,Lookup!A:C,3,0),"")</f>
        <v/>
      </c>
      <c r="J1925" s="103">
        <f>VLOOKUP(A1925&amp;G1925,Lookup!J:N,5,0)</f>
        <v>0</v>
      </c>
      <c r="O1925" s="57">
        <f>IFERROR(VLOOKUP(A1925&amp;G1925,Lookup!J:K,2,0),"")</f>
        <v>0</v>
      </c>
      <c r="P1925" s="110" t="str">
        <f t="shared" si="105"/>
        <v/>
      </c>
      <c r="T1925" s="59" t="e">
        <f t="shared" si="104"/>
        <v>#VALUE!</v>
      </c>
      <c r="U1925" s="59"/>
    </row>
    <row r="1926" spans="2:21" x14ac:dyDescent="0.25">
      <c r="B1926" s="54" t="str">
        <f>IFERROR(VLOOKUP(A1926,Lookup!A:B,2,0),"")</f>
        <v/>
      </c>
      <c r="C1926" s="54" t="str">
        <f>IFERROR(VLOOKUP(A1926,Lookup!A:C,3,0),"")</f>
        <v/>
      </c>
      <c r="J1926" s="103">
        <f>VLOOKUP(A1926&amp;G1926,Lookup!J:N,5,0)</f>
        <v>0</v>
      </c>
      <c r="O1926" s="57">
        <f>IFERROR(VLOOKUP(A1926&amp;G1926,Lookup!J:K,2,0),"")</f>
        <v>0</v>
      </c>
      <c r="P1926" s="110" t="str">
        <f t="shared" si="105"/>
        <v/>
      </c>
      <c r="T1926" s="59" t="e">
        <f t="shared" si="104"/>
        <v>#VALUE!</v>
      </c>
      <c r="U1926" s="59"/>
    </row>
    <row r="1927" spans="2:21" x14ac:dyDescent="0.25">
      <c r="B1927" s="54" t="str">
        <f>IFERROR(VLOOKUP(A1927,Lookup!A:B,2,0),"")</f>
        <v/>
      </c>
      <c r="C1927" s="54" t="str">
        <f>IFERROR(VLOOKUP(A1927,Lookup!A:C,3,0),"")</f>
        <v/>
      </c>
      <c r="J1927" s="103">
        <f>VLOOKUP(A1927&amp;G1927,Lookup!J:N,5,0)</f>
        <v>0</v>
      </c>
      <c r="O1927" s="57">
        <f>IFERROR(VLOOKUP(A1927&amp;G1927,Lookup!J:K,2,0),"")</f>
        <v>0</v>
      </c>
      <c r="P1927" s="110" t="str">
        <f t="shared" si="105"/>
        <v/>
      </c>
      <c r="T1927" s="59" t="e">
        <f t="shared" si="104"/>
        <v>#VALUE!</v>
      </c>
      <c r="U1927" s="59"/>
    </row>
    <row r="1928" spans="2:21" x14ac:dyDescent="0.25">
      <c r="B1928" s="54" t="str">
        <f>IFERROR(VLOOKUP(A1928,Lookup!A:B,2,0),"")</f>
        <v/>
      </c>
      <c r="C1928" s="54" t="str">
        <f>IFERROR(VLOOKUP(A1928,Lookup!A:C,3,0),"")</f>
        <v/>
      </c>
      <c r="J1928" s="103">
        <f>VLOOKUP(A1928&amp;G1928,Lookup!J:N,5,0)</f>
        <v>0</v>
      </c>
      <c r="O1928" s="57">
        <f>IFERROR(VLOOKUP(A1928&amp;G1928,Lookup!J:K,2,0),"")</f>
        <v>0</v>
      </c>
      <c r="P1928" s="110" t="str">
        <f t="shared" si="105"/>
        <v/>
      </c>
      <c r="T1928" s="59" t="e">
        <f t="shared" si="104"/>
        <v>#VALUE!</v>
      </c>
      <c r="U1928" s="59"/>
    </row>
    <row r="1929" spans="2:21" x14ac:dyDescent="0.25">
      <c r="B1929" s="54" t="str">
        <f>IFERROR(VLOOKUP(A1929,Lookup!A:B,2,0),"")</f>
        <v/>
      </c>
      <c r="C1929" s="54" t="str">
        <f>IFERROR(VLOOKUP(A1929,Lookup!A:C,3,0),"")</f>
        <v/>
      </c>
      <c r="J1929" s="103">
        <f>VLOOKUP(A1929&amp;G1929,Lookup!J:N,5,0)</f>
        <v>0</v>
      </c>
      <c r="O1929" s="57">
        <f>IFERROR(VLOOKUP(A1929&amp;G1929,Lookup!J:K,2,0),"")</f>
        <v>0</v>
      </c>
      <c r="P1929" s="110" t="str">
        <f t="shared" si="105"/>
        <v/>
      </c>
      <c r="T1929" s="59" t="e">
        <f t="shared" si="104"/>
        <v>#VALUE!</v>
      </c>
      <c r="U1929" s="59"/>
    </row>
    <row r="1930" spans="2:21" x14ac:dyDescent="0.25">
      <c r="B1930" s="54" t="str">
        <f>IFERROR(VLOOKUP(A1930,Lookup!A:B,2,0),"")</f>
        <v/>
      </c>
      <c r="C1930" s="54" t="str">
        <f>IFERROR(VLOOKUP(A1930,Lookup!A:C,3,0),"")</f>
        <v/>
      </c>
      <c r="J1930" s="103">
        <f>VLOOKUP(A1930&amp;G1930,Lookup!J:N,5,0)</f>
        <v>0</v>
      </c>
      <c r="O1930" s="57">
        <f>IFERROR(VLOOKUP(A1930&amp;G1930,Lookup!J:K,2,0),"")</f>
        <v>0</v>
      </c>
      <c r="P1930" s="110" t="str">
        <f t="shared" si="105"/>
        <v/>
      </c>
      <c r="T1930" s="59" t="e">
        <f t="shared" si="104"/>
        <v>#VALUE!</v>
      </c>
      <c r="U1930" s="59"/>
    </row>
    <row r="1931" spans="2:21" x14ac:dyDescent="0.25">
      <c r="B1931" s="54" t="str">
        <f>IFERROR(VLOOKUP(A1931,Lookup!A:B,2,0),"")</f>
        <v/>
      </c>
      <c r="C1931" s="54" t="str">
        <f>IFERROR(VLOOKUP(A1931,Lookup!A:C,3,0),"")</f>
        <v/>
      </c>
      <c r="J1931" s="103">
        <f>VLOOKUP(A1931&amp;G1931,Lookup!J:N,5,0)</f>
        <v>0</v>
      </c>
      <c r="O1931" s="57">
        <f>IFERROR(VLOOKUP(A1931&amp;G1931,Lookup!J:K,2,0),"")</f>
        <v>0</v>
      </c>
      <c r="P1931" s="110" t="str">
        <f t="shared" si="105"/>
        <v/>
      </c>
      <c r="T1931" s="59" t="e">
        <f t="shared" si="104"/>
        <v>#VALUE!</v>
      </c>
      <c r="U1931" s="59"/>
    </row>
    <row r="1932" spans="2:21" x14ac:dyDescent="0.25">
      <c r="B1932" s="54" t="str">
        <f>IFERROR(VLOOKUP(A1932,Lookup!A:B,2,0),"")</f>
        <v/>
      </c>
      <c r="C1932" s="54" t="str">
        <f>IFERROR(VLOOKUP(A1932,Lookup!A:C,3,0),"")</f>
        <v/>
      </c>
      <c r="J1932" s="103">
        <f>VLOOKUP(A1932&amp;G1932,Lookup!J:N,5,0)</f>
        <v>0</v>
      </c>
      <c r="O1932" s="57">
        <f>IFERROR(VLOOKUP(A1932&amp;G1932,Lookup!J:K,2,0),"")</f>
        <v>0</v>
      </c>
      <c r="P1932" s="110" t="str">
        <f t="shared" si="105"/>
        <v/>
      </c>
      <c r="T1932" s="59" t="e">
        <f t="shared" si="104"/>
        <v>#VALUE!</v>
      </c>
      <c r="U1932" s="59"/>
    </row>
    <row r="1933" spans="2:21" x14ac:dyDescent="0.25">
      <c r="B1933" s="54" t="str">
        <f>IFERROR(VLOOKUP(A1933,Lookup!A:B,2,0),"")</f>
        <v/>
      </c>
      <c r="C1933" s="54" t="str">
        <f>IFERROR(VLOOKUP(A1933,Lookup!A:C,3,0),"")</f>
        <v/>
      </c>
      <c r="J1933" s="103">
        <f>VLOOKUP(A1933&amp;G1933,Lookup!J:N,5,0)</f>
        <v>0</v>
      </c>
      <c r="O1933" s="57">
        <f>IFERROR(VLOOKUP(A1933&amp;G1933,Lookup!J:K,2,0),"")</f>
        <v>0</v>
      </c>
      <c r="P1933" s="110" t="str">
        <f t="shared" si="105"/>
        <v/>
      </c>
      <c r="T1933" s="59" t="e">
        <f t="shared" si="104"/>
        <v>#VALUE!</v>
      </c>
      <c r="U1933" s="59"/>
    </row>
    <row r="1934" spans="2:21" x14ac:dyDescent="0.25">
      <c r="B1934" s="54" t="str">
        <f>IFERROR(VLOOKUP(A1934,Lookup!A:B,2,0),"")</f>
        <v/>
      </c>
      <c r="C1934" s="54" t="str">
        <f>IFERROR(VLOOKUP(A1934,Lookup!A:C,3,0),"")</f>
        <v/>
      </c>
      <c r="J1934" s="103">
        <f>VLOOKUP(A1934&amp;G1934,Lookup!J:N,5,0)</f>
        <v>0</v>
      </c>
      <c r="O1934" s="57">
        <f>IFERROR(VLOOKUP(A1934&amp;G1934,Lookup!J:K,2,0),"")</f>
        <v>0</v>
      </c>
      <c r="P1934" s="110" t="str">
        <f t="shared" si="105"/>
        <v/>
      </c>
      <c r="T1934" s="59" t="e">
        <f t="shared" ref="T1934:T1997" si="106">IF(Q1934-P1934&gt;0.0415,"YES",(IF(OR(EXACT(Q1934,""), EXACT(P1934,"")),"","NO")))</f>
        <v>#VALUE!</v>
      </c>
      <c r="U1934" s="59"/>
    </row>
    <row r="1935" spans="2:21" x14ac:dyDescent="0.25">
      <c r="B1935" s="54" t="str">
        <f>IFERROR(VLOOKUP(A1935,Lookup!A:B,2,0),"")</f>
        <v/>
      </c>
      <c r="C1935" s="54" t="str">
        <f>IFERROR(VLOOKUP(A1935,Lookup!A:C,3,0),"")</f>
        <v/>
      </c>
      <c r="J1935" s="103">
        <f>VLOOKUP(A1935&amp;G1935,Lookup!J:N,5,0)</f>
        <v>0</v>
      </c>
      <c r="O1935" s="57">
        <f>IFERROR(VLOOKUP(A1935&amp;G1935,Lookup!J:K,2,0),"")</f>
        <v>0</v>
      </c>
      <c r="P1935" s="110" t="str">
        <f t="shared" si="105"/>
        <v/>
      </c>
      <c r="T1935" s="59" t="e">
        <f t="shared" si="106"/>
        <v>#VALUE!</v>
      </c>
      <c r="U1935" s="59"/>
    </row>
    <row r="1936" spans="2:21" x14ac:dyDescent="0.25">
      <c r="B1936" s="54" t="str">
        <f>IFERROR(VLOOKUP(A1936,Lookup!A:B,2,0),"")</f>
        <v/>
      </c>
      <c r="C1936" s="54" t="str">
        <f>IFERROR(VLOOKUP(A1936,Lookup!A:C,3,0),"")</f>
        <v/>
      </c>
      <c r="J1936" s="103">
        <f>VLOOKUP(A1936&amp;G1936,Lookup!J:N,5,0)</f>
        <v>0</v>
      </c>
      <c r="O1936" s="57">
        <f>IFERROR(VLOOKUP(A1936&amp;G1936,Lookup!J:K,2,0),"")</f>
        <v>0</v>
      </c>
      <c r="P1936" s="110" t="str">
        <f t="shared" si="105"/>
        <v/>
      </c>
      <c r="T1936" s="59" t="e">
        <f t="shared" si="106"/>
        <v>#VALUE!</v>
      </c>
      <c r="U1936" s="59"/>
    </row>
    <row r="1937" spans="2:21" x14ac:dyDescent="0.25">
      <c r="B1937" s="54" t="str">
        <f>IFERROR(VLOOKUP(A1937,Lookup!A:B,2,0),"")</f>
        <v/>
      </c>
      <c r="C1937" s="54" t="str">
        <f>IFERROR(VLOOKUP(A1937,Lookup!A:C,3,0),"")</f>
        <v/>
      </c>
      <c r="J1937" s="103">
        <f>VLOOKUP(A1937&amp;G1937,Lookup!J:N,5,0)</f>
        <v>0</v>
      </c>
      <c r="O1937" s="57">
        <f>IFERROR(VLOOKUP(A1937&amp;G1937,Lookup!J:K,2,0),"")</f>
        <v>0</v>
      </c>
      <c r="P1937" s="110" t="str">
        <f t="shared" si="105"/>
        <v/>
      </c>
      <c r="T1937" s="59" t="e">
        <f t="shared" si="106"/>
        <v>#VALUE!</v>
      </c>
      <c r="U1937" s="59"/>
    </row>
    <row r="1938" spans="2:21" x14ac:dyDescent="0.25">
      <c r="B1938" s="54" t="str">
        <f>IFERROR(VLOOKUP(A1938,Lookup!A:B,2,0),"")</f>
        <v/>
      </c>
      <c r="C1938" s="54" t="str">
        <f>IFERROR(VLOOKUP(A1938,Lookup!A:C,3,0),"")</f>
        <v/>
      </c>
      <c r="J1938" s="103">
        <f>VLOOKUP(A1938&amp;G1938,Lookup!J:N,5,0)</f>
        <v>0</v>
      </c>
      <c r="O1938" s="57">
        <f>IFERROR(VLOOKUP(A1938&amp;G1938,Lookup!J:K,2,0),"")</f>
        <v>0</v>
      </c>
      <c r="P1938" s="110" t="str">
        <f t="shared" si="105"/>
        <v/>
      </c>
      <c r="T1938" s="59" t="e">
        <f t="shared" si="106"/>
        <v>#VALUE!</v>
      </c>
      <c r="U1938" s="59"/>
    </row>
    <row r="1939" spans="2:21" x14ac:dyDescent="0.25">
      <c r="B1939" s="54" t="str">
        <f>IFERROR(VLOOKUP(A1939,Lookup!A:B,2,0),"")</f>
        <v/>
      </c>
      <c r="C1939" s="54" t="str">
        <f>IFERROR(VLOOKUP(A1939,Lookup!A:C,3,0),"")</f>
        <v/>
      </c>
      <c r="J1939" s="103">
        <f>VLOOKUP(A1939&amp;G1939,Lookup!J:N,5,0)</f>
        <v>0</v>
      </c>
      <c r="O1939" s="57">
        <f>IFERROR(VLOOKUP(A1939&amp;G1939,Lookup!J:K,2,0),"")</f>
        <v>0</v>
      </c>
      <c r="P1939" s="110" t="str">
        <f t="shared" si="105"/>
        <v/>
      </c>
      <c r="T1939" s="59" t="e">
        <f t="shared" si="106"/>
        <v>#VALUE!</v>
      </c>
      <c r="U1939" s="59"/>
    </row>
    <row r="1940" spans="2:21" x14ac:dyDescent="0.25">
      <c r="B1940" s="54" t="str">
        <f>IFERROR(VLOOKUP(A1940,Lookup!A:B,2,0),"")</f>
        <v/>
      </c>
      <c r="C1940" s="54" t="str">
        <f>IFERROR(VLOOKUP(A1940,Lookup!A:C,3,0),"")</f>
        <v/>
      </c>
      <c r="J1940" s="103">
        <f>VLOOKUP(A1940&amp;G1940,Lookup!J:N,5,0)</f>
        <v>0</v>
      </c>
      <c r="O1940" s="57">
        <f>IFERROR(VLOOKUP(A1940&amp;G1940,Lookup!J:K,2,0),"")</f>
        <v>0</v>
      </c>
      <c r="P1940" s="110" t="str">
        <f t="shared" si="105"/>
        <v/>
      </c>
      <c r="T1940" s="59" t="e">
        <f t="shared" si="106"/>
        <v>#VALUE!</v>
      </c>
      <c r="U1940" s="59"/>
    </row>
    <row r="1941" spans="2:21" x14ac:dyDescent="0.25">
      <c r="B1941" s="54" t="str">
        <f>IFERROR(VLOOKUP(A1941,Lookup!A:B,2,0),"")</f>
        <v/>
      </c>
      <c r="C1941" s="54" t="str">
        <f>IFERROR(VLOOKUP(A1941,Lookup!A:C,3,0),"")</f>
        <v/>
      </c>
      <c r="J1941" s="103">
        <f>VLOOKUP(A1941&amp;G1941,Lookup!J:N,5,0)</f>
        <v>0</v>
      </c>
      <c r="O1941" s="57">
        <f>IFERROR(VLOOKUP(A1941&amp;G1941,Lookup!J:K,2,0),"")</f>
        <v>0</v>
      </c>
      <c r="P1941" s="110" t="str">
        <f t="shared" si="105"/>
        <v/>
      </c>
      <c r="T1941" s="59" t="e">
        <f t="shared" si="106"/>
        <v>#VALUE!</v>
      </c>
      <c r="U1941" s="59"/>
    </row>
    <row r="1942" spans="2:21" x14ac:dyDescent="0.25">
      <c r="B1942" s="54" t="str">
        <f>IFERROR(VLOOKUP(A1942,Lookup!A:B,2,0),"")</f>
        <v/>
      </c>
      <c r="C1942" s="54" t="str">
        <f>IFERROR(VLOOKUP(A1942,Lookup!A:C,3,0),"")</f>
        <v/>
      </c>
      <c r="J1942" s="103">
        <f>VLOOKUP(A1942&amp;G1942,Lookup!J:N,5,0)</f>
        <v>0</v>
      </c>
      <c r="O1942" s="57">
        <f>IFERROR(VLOOKUP(A1942&amp;G1942,Lookup!J:K,2,0),"")</f>
        <v>0</v>
      </c>
      <c r="P1942" s="110" t="str">
        <f t="shared" si="105"/>
        <v/>
      </c>
      <c r="T1942" s="59" t="e">
        <f t="shared" si="106"/>
        <v>#VALUE!</v>
      </c>
      <c r="U1942" s="59"/>
    </row>
    <row r="1943" spans="2:21" x14ac:dyDescent="0.25">
      <c r="B1943" s="54" t="str">
        <f>IFERROR(VLOOKUP(A1943,Lookup!A:B,2,0),"")</f>
        <v/>
      </c>
      <c r="C1943" s="54" t="str">
        <f>IFERROR(VLOOKUP(A1943,Lookup!A:C,3,0),"")</f>
        <v/>
      </c>
      <c r="J1943" s="103">
        <f>VLOOKUP(A1943&amp;G1943,Lookup!J:N,5,0)</f>
        <v>0</v>
      </c>
      <c r="O1943" s="57">
        <f>IFERROR(VLOOKUP(A1943&amp;G1943,Lookup!J:K,2,0),"")</f>
        <v>0</v>
      </c>
      <c r="P1943" s="110" t="str">
        <f t="shared" si="105"/>
        <v/>
      </c>
      <c r="T1943" s="59" t="e">
        <f t="shared" si="106"/>
        <v>#VALUE!</v>
      </c>
      <c r="U1943" s="59"/>
    </row>
    <row r="1944" spans="2:21" x14ac:dyDescent="0.25">
      <c r="B1944" s="54" t="str">
        <f>IFERROR(VLOOKUP(A1944,Lookup!A:B,2,0),"")</f>
        <v/>
      </c>
      <c r="C1944" s="54" t="str">
        <f>IFERROR(VLOOKUP(A1944,Lookup!A:C,3,0),"")</f>
        <v/>
      </c>
      <c r="J1944" s="103">
        <f>VLOOKUP(A1944&amp;G1944,Lookup!J:N,5,0)</f>
        <v>0</v>
      </c>
      <c r="O1944" s="57">
        <f>IFERROR(VLOOKUP(A1944&amp;G1944,Lookup!J:K,2,0),"")</f>
        <v>0</v>
      </c>
      <c r="P1944" s="110" t="str">
        <f t="shared" si="105"/>
        <v/>
      </c>
      <c r="T1944" s="59" t="e">
        <f t="shared" si="106"/>
        <v>#VALUE!</v>
      </c>
      <c r="U1944" s="59"/>
    </row>
    <row r="1945" spans="2:21" x14ac:dyDescent="0.25">
      <c r="B1945" s="54" t="str">
        <f>IFERROR(VLOOKUP(A1945,Lookup!A:B,2,0),"")</f>
        <v/>
      </c>
      <c r="C1945" s="54" t="str">
        <f>IFERROR(VLOOKUP(A1945,Lookup!A:C,3,0),"")</f>
        <v/>
      </c>
      <c r="J1945" s="103">
        <f>VLOOKUP(A1945&amp;G1945,Lookup!J:N,5,0)</f>
        <v>0</v>
      </c>
      <c r="O1945" s="57">
        <f>IFERROR(VLOOKUP(A1945&amp;G1945,Lookup!J:K,2,0),"")</f>
        <v>0</v>
      </c>
      <c r="P1945" s="110" t="str">
        <f t="shared" si="105"/>
        <v/>
      </c>
      <c r="T1945" s="59" t="e">
        <f t="shared" si="106"/>
        <v>#VALUE!</v>
      </c>
      <c r="U1945" s="59"/>
    </row>
    <row r="1946" spans="2:21" x14ac:dyDescent="0.25">
      <c r="B1946" s="54" t="str">
        <f>IFERROR(VLOOKUP(A1946,Lookup!A:B,2,0),"")</f>
        <v/>
      </c>
      <c r="C1946" s="54" t="str">
        <f>IFERROR(VLOOKUP(A1946,Lookup!A:C,3,0),"")</f>
        <v/>
      </c>
      <c r="J1946" s="103">
        <f>VLOOKUP(A1946&amp;G1946,Lookup!J:N,5,0)</f>
        <v>0</v>
      </c>
      <c r="O1946" s="57">
        <f>IFERROR(VLOOKUP(A1946&amp;G1946,Lookup!J:K,2,0),"")</f>
        <v>0</v>
      </c>
      <c r="P1946" s="110" t="str">
        <f t="shared" si="105"/>
        <v/>
      </c>
      <c r="T1946" s="59" t="e">
        <f t="shared" si="106"/>
        <v>#VALUE!</v>
      </c>
      <c r="U1946" s="59"/>
    </row>
    <row r="1947" spans="2:21" x14ac:dyDescent="0.25">
      <c r="B1947" s="54" t="str">
        <f>IFERROR(VLOOKUP(A1947,Lookup!A:B,2,0),"")</f>
        <v/>
      </c>
      <c r="C1947" s="54" t="str">
        <f>IFERROR(VLOOKUP(A1947,Lookup!A:C,3,0),"")</f>
        <v/>
      </c>
      <c r="J1947" s="103">
        <f>VLOOKUP(A1947&amp;G1947,Lookup!J:N,5,0)</f>
        <v>0</v>
      </c>
      <c r="O1947" s="57">
        <f>IFERROR(VLOOKUP(A1947&amp;G1947,Lookup!J:K,2,0),"")</f>
        <v>0</v>
      </c>
      <c r="P1947" s="110" t="str">
        <f t="shared" si="105"/>
        <v/>
      </c>
      <c r="T1947" s="59" t="e">
        <f t="shared" si="106"/>
        <v>#VALUE!</v>
      </c>
      <c r="U1947" s="59"/>
    </row>
    <row r="1948" spans="2:21" x14ac:dyDescent="0.25">
      <c r="B1948" s="54" t="str">
        <f>IFERROR(VLOOKUP(A1948,Lookup!A:B,2,0),"")</f>
        <v/>
      </c>
      <c r="C1948" s="54" t="str">
        <f>IFERROR(VLOOKUP(A1948,Lookup!A:C,3,0),"")</f>
        <v/>
      </c>
      <c r="J1948" s="103">
        <f>VLOOKUP(A1948&amp;G1948,Lookup!J:N,5,0)</f>
        <v>0</v>
      </c>
      <c r="O1948" s="57">
        <f>IFERROR(VLOOKUP(A1948&amp;G1948,Lookup!J:K,2,0),"")</f>
        <v>0</v>
      </c>
      <c r="P1948" s="110" t="str">
        <f t="shared" si="105"/>
        <v/>
      </c>
      <c r="T1948" s="59" t="e">
        <f t="shared" si="106"/>
        <v>#VALUE!</v>
      </c>
      <c r="U1948" s="59"/>
    </row>
    <row r="1949" spans="2:21" x14ac:dyDescent="0.25">
      <c r="B1949" s="54" t="str">
        <f>IFERROR(VLOOKUP(A1949,Lookup!A:B,2,0),"")</f>
        <v/>
      </c>
      <c r="C1949" s="54" t="str">
        <f>IFERROR(VLOOKUP(A1949,Lookup!A:C,3,0),"")</f>
        <v/>
      </c>
      <c r="J1949" s="103">
        <f>VLOOKUP(A1949&amp;G1949,Lookup!J:N,5,0)</f>
        <v>0</v>
      </c>
      <c r="O1949" s="57">
        <f>IFERROR(VLOOKUP(A1949&amp;G1949,Lookup!J:K,2,0),"")</f>
        <v>0</v>
      </c>
      <c r="P1949" s="110" t="str">
        <f t="shared" si="105"/>
        <v/>
      </c>
      <c r="T1949" s="59" t="e">
        <f t="shared" si="106"/>
        <v>#VALUE!</v>
      </c>
      <c r="U1949" s="59"/>
    </row>
    <row r="1950" spans="2:21" x14ac:dyDescent="0.25">
      <c r="B1950" s="54" t="str">
        <f>IFERROR(VLOOKUP(A1950,Lookup!A:B,2,0),"")</f>
        <v/>
      </c>
      <c r="C1950" s="54" t="str">
        <f>IFERROR(VLOOKUP(A1950,Lookup!A:C,3,0),"")</f>
        <v/>
      </c>
      <c r="J1950" s="103">
        <f>VLOOKUP(A1950&amp;G1950,Lookup!J:N,5,0)</f>
        <v>0</v>
      </c>
      <c r="O1950" s="57">
        <f>IFERROR(VLOOKUP(A1950&amp;G1950,Lookup!J:K,2,0),"")</f>
        <v>0</v>
      </c>
      <c r="P1950" s="110" t="str">
        <f t="shared" si="105"/>
        <v/>
      </c>
      <c r="T1950" s="59" t="e">
        <f t="shared" si="106"/>
        <v>#VALUE!</v>
      </c>
      <c r="U1950" s="59"/>
    </row>
    <row r="1951" spans="2:21" x14ac:dyDescent="0.25">
      <c r="B1951" s="54" t="str">
        <f>IFERROR(VLOOKUP(A1951,Lookup!A:B,2,0),"")</f>
        <v/>
      </c>
      <c r="C1951" s="54" t="str">
        <f>IFERROR(VLOOKUP(A1951,Lookup!A:C,3,0),"")</f>
        <v/>
      </c>
      <c r="J1951" s="103">
        <f>VLOOKUP(A1951&amp;G1951,Lookup!J:N,5,0)</f>
        <v>0</v>
      </c>
      <c r="O1951" s="57">
        <f>IFERROR(VLOOKUP(A1951&amp;G1951,Lookup!J:K,2,0),"")</f>
        <v>0</v>
      </c>
      <c r="P1951" s="110" t="str">
        <f t="shared" si="105"/>
        <v/>
      </c>
      <c r="T1951" s="59" t="e">
        <f t="shared" si="106"/>
        <v>#VALUE!</v>
      </c>
      <c r="U1951" s="59"/>
    </row>
    <row r="1952" spans="2:21" x14ac:dyDescent="0.25">
      <c r="B1952" s="54" t="str">
        <f>IFERROR(VLOOKUP(A1952,Lookup!A:B,2,0),"")</f>
        <v/>
      </c>
      <c r="C1952" s="54" t="str">
        <f>IFERROR(VLOOKUP(A1952,Lookup!A:C,3,0),"")</f>
        <v/>
      </c>
      <c r="J1952" s="103">
        <f>VLOOKUP(A1952&amp;G1952,Lookup!J:N,5,0)</f>
        <v>0</v>
      </c>
      <c r="O1952" s="57">
        <f>IFERROR(VLOOKUP(A1952&amp;G1952,Lookup!J:K,2,0),"")</f>
        <v>0</v>
      </c>
      <c r="P1952" s="110" t="str">
        <f t="shared" si="105"/>
        <v/>
      </c>
      <c r="T1952" s="59" t="e">
        <f t="shared" si="106"/>
        <v>#VALUE!</v>
      </c>
      <c r="U1952" s="59"/>
    </row>
    <row r="1953" spans="2:21" x14ac:dyDescent="0.25">
      <c r="B1953" s="54" t="str">
        <f>IFERROR(VLOOKUP(A1953,Lookup!A:B,2,0),"")</f>
        <v/>
      </c>
      <c r="C1953" s="54" t="str">
        <f>IFERROR(VLOOKUP(A1953,Lookup!A:C,3,0),"")</f>
        <v/>
      </c>
      <c r="J1953" s="103">
        <f>VLOOKUP(A1953&amp;G1953,Lookup!J:N,5,0)</f>
        <v>0</v>
      </c>
      <c r="O1953" s="57">
        <f>IFERROR(VLOOKUP(A1953&amp;G1953,Lookup!J:K,2,0),"")</f>
        <v>0</v>
      </c>
      <c r="P1953" s="110" t="str">
        <f t="shared" si="105"/>
        <v/>
      </c>
      <c r="T1953" s="59" t="e">
        <f t="shared" si="106"/>
        <v>#VALUE!</v>
      </c>
      <c r="U1953" s="59"/>
    </row>
    <row r="1954" spans="2:21" x14ac:dyDescent="0.25">
      <c r="B1954" s="54" t="str">
        <f>IFERROR(VLOOKUP(A1954,Lookup!A:B,2,0),"")</f>
        <v/>
      </c>
      <c r="C1954" s="54" t="str">
        <f>IFERROR(VLOOKUP(A1954,Lookup!A:C,3,0),"")</f>
        <v/>
      </c>
      <c r="J1954" s="103">
        <f>VLOOKUP(A1954&amp;G1954,Lookup!J:N,5,0)</f>
        <v>0</v>
      </c>
      <c r="O1954" s="57">
        <f>IFERROR(VLOOKUP(A1954&amp;G1954,Lookup!J:K,2,0),"")</f>
        <v>0</v>
      </c>
      <c r="P1954" s="110" t="str">
        <f t="shared" si="105"/>
        <v/>
      </c>
      <c r="T1954" s="59" t="e">
        <f t="shared" si="106"/>
        <v>#VALUE!</v>
      </c>
      <c r="U1954" s="59"/>
    </row>
    <row r="1955" spans="2:21" x14ac:dyDescent="0.25">
      <c r="B1955" s="54" t="str">
        <f>IFERROR(VLOOKUP(A1955,Lookup!A:B,2,0),"")</f>
        <v/>
      </c>
      <c r="C1955" s="54" t="str">
        <f>IFERROR(VLOOKUP(A1955,Lookup!A:C,3,0),"")</f>
        <v/>
      </c>
      <c r="J1955" s="103">
        <f>VLOOKUP(A1955&amp;G1955,Lookup!J:N,5,0)</f>
        <v>0</v>
      </c>
      <c r="O1955" s="57">
        <f>IFERROR(VLOOKUP(A1955&amp;G1955,Lookup!J:K,2,0),"")</f>
        <v>0</v>
      </c>
      <c r="P1955" s="110" t="str">
        <f t="shared" si="105"/>
        <v/>
      </c>
      <c r="T1955" s="59" t="e">
        <f t="shared" si="106"/>
        <v>#VALUE!</v>
      </c>
      <c r="U1955" s="59"/>
    </row>
    <row r="1956" spans="2:21" x14ac:dyDescent="0.25">
      <c r="B1956" s="54" t="str">
        <f>IFERROR(VLOOKUP(A1956,Lookup!A:B,2,0),"")</f>
        <v/>
      </c>
      <c r="C1956" s="54" t="str">
        <f>IFERROR(VLOOKUP(A1956,Lookup!A:C,3,0),"")</f>
        <v/>
      </c>
      <c r="J1956" s="103">
        <f>VLOOKUP(A1956&amp;G1956,Lookup!J:N,5,0)</f>
        <v>0</v>
      </c>
      <c r="O1956" s="57">
        <f>IFERROR(VLOOKUP(A1956&amp;G1956,Lookup!J:K,2,0),"")</f>
        <v>0</v>
      </c>
      <c r="P1956" s="110" t="str">
        <f t="shared" si="105"/>
        <v/>
      </c>
      <c r="T1956" s="59" t="e">
        <f t="shared" si="106"/>
        <v>#VALUE!</v>
      </c>
      <c r="U1956" s="59"/>
    </row>
    <row r="1957" spans="2:21" x14ac:dyDescent="0.25">
      <c r="B1957" s="54" t="str">
        <f>IFERROR(VLOOKUP(A1957,Lookup!A:B,2,0),"")</f>
        <v/>
      </c>
      <c r="C1957" s="54" t="str">
        <f>IFERROR(VLOOKUP(A1957,Lookup!A:C,3,0),"")</f>
        <v/>
      </c>
      <c r="J1957" s="103">
        <f>VLOOKUP(A1957&amp;G1957,Lookup!J:N,5,0)</f>
        <v>0</v>
      </c>
      <c r="O1957" s="57">
        <f>IFERROR(VLOOKUP(A1957&amp;G1957,Lookup!J:K,2,0),"")</f>
        <v>0</v>
      </c>
      <c r="P1957" s="110" t="str">
        <f t="shared" si="105"/>
        <v/>
      </c>
      <c r="T1957" s="59" t="e">
        <f t="shared" si="106"/>
        <v>#VALUE!</v>
      </c>
      <c r="U1957" s="59"/>
    </row>
    <row r="1958" spans="2:21" x14ac:dyDescent="0.25">
      <c r="B1958" s="54" t="str">
        <f>IFERROR(VLOOKUP(A1958,Lookup!A:B,2,0),"")</f>
        <v/>
      </c>
      <c r="C1958" s="54" t="str">
        <f>IFERROR(VLOOKUP(A1958,Lookup!A:C,3,0),"")</f>
        <v/>
      </c>
      <c r="J1958" s="103">
        <f>VLOOKUP(A1958&amp;G1958,Lookup!J:N,5,0)</f>
        <v>0</v>
      </c>
      <c r="O1958" s="57">
        <f>IFERROR(VLOOKUP(A1958&amp;G1958,Lookup!J:K,2,0),"")</f>
        <v>0</v>
      </c>
      <c r="P1958" s="110" t="str">
        <f t="shared" si="105"/>
        <v/>
      </c>
      <c r="T1958" s="59" t="e">
        <f t="shared" si="106"/>
        <v>#VALUE!</v>
      </c>
      <c r="U1958" s="59"/>
    </row>
    <row r="1959" spans="2:21" x14ac:dyDescent="0.25">
      <c r="B1959" s="54" t="str">
        <f>IFERROR(VLOOKUP(A1959,Lookup!A:B,2,0),"")</f>
        <v/>
      </c>
      <c r="C1959" s="54" t="str">
        <f>IFERROR(VLOOKUP(A1959,Lookup!A:C,3,0),"")</f>
        <v/>
      </c>
      <c r="J1959" s="103">
        <f>VLOOKUP(A1959&amp;G1959,Lookup!J:N,5,0)</f>
        <v>0</v>
      </c>
      <c r="O1959" s="57">
        <f>IFERROR(VLOOKUP(A1959&amp;G1959,Lookup!J:K,2,0),"")</f>
        <v>0</v>
      </c>
      <c r="P1959" s="110" t="str">
        <f t="shared" si="105"/>
        <v/>
      </c>
      <c r="T1959" s="59" t="e">
        <f t="shared" si="106"/>
        <v>#VALUE!</v>
      </c>
      <c r="U1959" s="59"/>
    </row>
    <row r="1960" spans="2:21" x14ac:dyDescent="0.25">
      <c r="B1960" s="54" t="str">
        <f>IFERROR(VLOOKUP(A1960,Lookup!A:B,2,0),"")</f>
        <v/>
      </c>
      <c r="C1960" s="54" t="str">
        <f>IFERROR(VLOOKUP(A1960,Lookup!A:C,3,0),"")</f>
        <v/>
      </c>
      <c r="J1960" s="103">
        <f>VLOOKUP(A1960&amp;G1960,Lookup!J:N,5,0)</f>
        <v>0</v>
      </c>
      <c r="O1960" s="57">
        <f>IFERROR(VLOOKUP(A1960&amp;G1960,Lookup!J:K,2,0),"")</f>
        <v>0</v>
      </c>
      <c r="P1960" s="110" t="str">
        <f t="shared" si="105"/>
        <v/>
      </c>
      <c r="T1960" s="59" t="e">
        <f t="shared" si="106"/>
        <v>#VALUE!</v>
      </c>
      <c r="U1960" s="59"/>
    </row>
    <row r="1961" spans="2:21" x14ac:dyDescent="0.25">
      <c r="B1961" s="54" t="str">
        <f>IFERROR(VLOOKUP(A1961,Lookup!A:B,2,0),"")</f>
        <v/>
      </c>
      <c r="C1961" s="54" t="str">
        <f>IFERROR(VLOOKUP(A1961,Lookup!A:C,3,0),"")</f>
        <v/>
      </c>
      <c r="J1961" s="103">
        <f>VLOOKUP(A1961&amp;G1961,Lookup!J:N,5,0)</f>
        <v>0</v>
      </c>
      <c r="O1961" s="57">
        <f>IFERROR(VLOOKUP(A1961&amp;G1961,Lookup!J:K,2,0),"")</f>
        <v>0</v>
      </c>
      <c r="P1961" s="110" t="str">
        <f t="shared" si="105"/>
        <v/>
      </c>
      <c r="T1961" s="59" t="e">
        <f t="shared" si="106"/>
        <v>#VALUE!</v>
      </c>
      <c r="U1961" s="59"/>
    </row>
    <row r="1962" spans="2:21" x14ac:dyDescent="0.25">
      <c r="B1962" s="54" t="str">
        <f>IFERROR(VLOOKUP(A1962,Lookup!A:B,2,0),"")</f>
        <v/>
      </c>
      <c r="C1962" s="54" t="str">
        <f>IFERROR(VLOOKUP(A1962,Lookup!A:C,3,0),"")</f>
        <v/>
      </c>
      <c r="J1962" s="103">
        <f>VLOOKUP(A1962&amp;G1962,Lookup!J:N,5,0)</f>
        <v>0</v>
      </c>
      <c r="O1962" s="57">
        <f>IFERROR(VLOOKUP(A1962&amp;G1962,Lookup!J:K,2,0),"")</f>
        <v>0</v>
      </c>
      <c r="P1962" s="110" t="str">
        <f t="shared" si="105"/>
        <v/>
      </c>
      <c r="T1962" s="59" t="e">
        <f t="shared" si="106"/>
        <v>#VALUE!</v>
      </c>
      <c r="U1962" s="59"/>
    </row>
    <row r="1963" spans="2:21" x14ac:dyDescent="0.25">
      <c r="B1963" s="54" t="str">
        <f>IFERROR(VLOOKUP(A1963,Lookup!A:B,2,0),"")</f>
        <v/>
      </c>
      <c r="C1963" s="54" t="str">
        <f>IFERROR(VLOOKUP(A1963,Lookup!A:C,3,0),"")</f>
        <v/>
      </c>
      <c r="J1963" s="103">
        <f>VLOOKUP(A1963&amp;G1963,Lookup!J:N,5,0)</f>
        <v>0</v>
      </c>
      <c r="O1963" s="57">
        <f>IFERROR(VLOOKUP(A1963&amp;G1963,Lookup!J:K,2,0),"")</f>
        <v>0</v>
      </c>
      <c r="P1963" s="110" t="str">
        <f t="shared" si="105"/>
        <v/>
      </c>
      <c r="T1963" s="59" t="e">
        <f t="shared" si="106"/>
        <v>#VALUE!</v>
      </c>
      <c r="U1963" s="59"/>
    </row>
    <row r="1964" spans="2:21" x14ac:dyDescent="0.25">
      <c r="B1964" s="54" t="str">
        <f>IFERROR(VLOOKUP(A1964,Lookup!A:B,2,0),"")</f>
        <v/>
      </c>
      <c r="C1964" s="54" t="str">
        <f>IFERROR(VLOOKUP(A1964,Lookup!A:C,3,0),"")</f>
        <v/>
      </c>
      <c r="J1964" s="103">
        <f>VLOOKUP(A1964&amp;G1964,Lookup!J:N,5,0)</f>
        <v>0</v>
      </c>
      <c r="O1964" s="57">
        <f>IFERROR(VLOOKUP(A1964&amp;G1964,Lookup!J:K,2,0),"")</f>
        <v>0</v>
      </c>
      <c r="P1964" s="110" t="str">
        <f t="shared" si="105"/>
        <v/>
      </c>
      <c r="T1964" s="59" t="e">
        <f t="shared" si="106"/>
        <v>#VALUE!</v>
      </c>
      <c r="U1964" s="59"/>
    </row>
    <row r="1965" spans="2:21" x14ac:dyDescent="0.25">
      <c r="B1965" s="54" t="str">
        <f>IFERROR(VLOOKUP(A1965,Lookup!A:B,2,0),"")</f>
        <v/>
      </c>
      <c r="C1965" s="54" t="str">
        <f>IFERROR(VLOOKUP(A1965,Lookup!A:C,3,0),"")</f>
        <v/>
      </c>
      <c r="J1965" s="103">
        <f>VLOOKUP(A1965&amp;G1965,Lookup!J:N,5,0)</f>
        <v>0</v>
      </c>
      <c r="O1965" s="57">
        <f>IFERROR(VLOOKUP(A1965&amp;G1965,Lookup!J:K,2,0),"")</f>
        <v>0</v>
      </c>
      <c r="P1965" s="110" t="str">
        <f t="shared" si="105"/>
        <v/>
      </c>
      <c r="T1965" s="59" t="e">
        <f t="shared" si="106"/>
        <v>#VALUE!</v>
      </c>
      <c r="U1965" s="59"/>
    </row>
    <row r="1966" spans="2:21" x14ac:dyDescent="0.25">
      <c r="B1966" s="54" t="str">
        <f>IFERROR(VLOOKUP(A1966,Lookup!A:B,2,0),"")</f>
        <v/>
      </c>
      <c r="C1966" s="54" t="str">
        <f>IFERROR(VLOOKUP(A1966,Lookup!A:C,3,0),"")</f>
        <v/>
      </c>
      <c r="J1966" s="103">
        <f>VLOOKUP(A1966&amp;G1966,Lookup!J:N,5,0)</f>
        <v>0</v>
      </c>
      <c r="O1966" s="57">
        <f>IFERROR(VLOOKUP(A1966&amp;G1966,Lookup!J:K,2,0),"")</f>
        <v>0</v>
      </c>
      <c r="P1966" s="110" t="str">
        <f t="shared" si="105"/>
        <v/>
      </c>
      <c r="T1966" s="59" t="e">
        <f t="shared" si="106"/>
        <v>#VALUE!</v>
      </c>
      <c r="U1966" s="59"/>
    </row>
    <row r="1967" spans="2:21" x14ac:dyDescent="0.25">
      <c r="B1967" s="54" t="str">
        <f>IFERROR(VLOOKUP(A1967,Lookup!A:B,2,0),"")</f>
        <v/>
      </c>
      <c r="C1967" s="54" t="str">
        <f>IFERROR(VLOOKUP(A1967,Lookup!A:C,3,0),"")</f>
        <v/>
      </c>
      <c r="J1967" s="103">
        <f>VLOOKUP(A1967&amp;G1967,Lookup!J:N,5,0)</f>
        <v>0</v>
      </c>
      <c r="O1967" s="57">
        <f>IFERROR(VLOOKUP(A1967&amp;G1967,Lookup!J:K,2,0),"")</f>
        <v>0</v>
      </c>
      <c r="P1967" s="110" t="str">
        <f t="shared" si="105"/>
        <v/>
      </c>
      <c r="T1967" s="59" t="e">
        <f t="shared" si="106"/>
        <v>#VALUE!</v>
      </c>
      <c r="U1967" s="59"/>
    </row>
    <row r="1968" spans="2:21" x14ac:dyDescent="0.25">
      <c r="B1968" s="54" t="str">
        <f>IFERROR(VLOOKUP(A1968,Lookup!A:B,2,0),"")</f>
        <v/>
      </c>
      <c r="C1968" s="54" t="str">
        <f>IFERROR(VLOOKUP(A1968,Lookup!A:C,3,0),"")</f>
        <v/>
      </c>
      <c r="J1968" s="103">
        <f>VLOOKUP(A1968&amp;G1968,Lookup!J:N,5,0)</f>
        <v>0</v>
      </c>
      <c r="O1968" s="57">
        <f>IFERROR(VLOOKUP(A1968&amp;G1968,Lookup!J:K,2,0),"")</f>
        <v>0</v>
      </c>
      <c r="P1968" s="110" t="str">
        <f t="shared" si="105"/>
        <v/>
      </c>
      <c r="T1968" s="59" t="e">
        <f t="shared" si="106"/>
        <v>#VALUE!</v>
      </c>
      <c r="U1968" s="59"/>
    </row>
    <row r="1969" spans="2:21" x14ac:dyDescent="0.25">
      <c r="B1969" s="54" t="str">
        <f>IFERROR(VLOOKUP(A1969,Lookup!A:B,2,0),"")</f>
        <v/>
      </c>
      <c r="C1969" s="54" t="str">
        <f>IFERROR(VLOOKUP(A1969,Lookup!A:C,3,0),"")</f>
        <v/>
      </c>
      <c r="J1969" s="103">
        <f>VLOOKUP(A1969&amp;G1969,Lookup!J:N,5,0)</f>
        <v>0</v>
      </c>
      <c r="O1969" s="57">
        <f>IFERROR(VLOOKUP(A1969&amp;G1969,Lookup!J:K,2,0),"")</f>
        <v>0</v>
      </c>
      <c r="P1969" s="110" t="str">
        <f t="shared" si="105"/>
        <v/>
      </c>
      <c r="T1969" s="59" t="e">
        <f t="shared" si="106"/>
        <v>#VALUE!</v>
      </c>
      <c r="U1969" s="59"/>
    </row>
    <row r="1970" spans="2:21" x14ac:dyDescent="0.25">
      <c r="B1970" s="54" t="str">
        <f>IFERROR(VLOOKUP(A1970,Lookup!A:B,2,0),"")</f>
        <v/>
      </c>
      <c r="C1970" s="54" t="str">
        <f>IFERROR(VLOOKUP(A1970,Lookup!A:C,3,0),"")</f>
        <v/>
      </c>
      <c r="J1970" s="103">
        <f>VLOOKUP(A1970&amp;G1970,Lookup!J:N,5,0)</f>
        <v>0</v>
      </c>
      <c r="O1970" s="57">
        <f>IFERROR(VLOOKUP(A1970&amp;G1970,Lookup!J:K,2,0),"")</f>
        <v>0</v>
      </c>
      <c r="P1970" s="110" t="str">
        <f t="shared" si="105"/>
        <v/>
      </c>
      <c r="T1970" s="59" t="e">
        <f t="shared" si="106"/>
        <v>#VALUE!</v>
      </c>
      <c r="U1970" s="59"/>
    </row>
    <row r="1971" spans="2:21" x14ac:dyDescent="0.25">
      <c r="B1971" s="54" t="str">
        <f>IFERROR(VLOOKUP(A1971,Lookup!A:B,2,0),"")</f>
        <v/>
      </c>
      <c r="C1971" s="54" t="str">
        <f>IFERROR(VLOOKUP(A1971,Lookup!A:C,3,0),"")</f>
        <v/>
      </c>
      <c r="J1971" s="103">
        <f>VLOOKUP(A1971&amp;G1971,Lookup!J:N,5,0)</f>
        <v>0</v>
      </c>
      <c r="O1971" s="57">
        <f>IFERROR(VLOOKUP(A1971&amp;G1971,Lookup!J:K,2,0),"")</f>
        <v>0</v>
      </c>
      <c r="P1971" s="110" t="str">
        <f t="shared" si="105"/>
        <v/>
      </c>
      <c r="T1971" s="59" t="e">
        <f t="shared" si="106"/>
        <v>#VALUE!</v>
      </c>
      <c r="U1971" s="59"/>
    </row>
    <row r="1972" spans="2:21" x14ac:dyDescent="0.25">
      <c r="B1972" s="54" t="str">
        <f>IFERROR(VLOOKUP(A1972,Lookup!A:B,2,0),"")</f>
        <v/>
      </c>
      <c r="C1972" s="54" t="str">
        <f>IFERROR(VLOOKUP(A1972,Lookup!A:C,3,0),"")</f>
        <v/>
      </c>
      <c r="J1972" s="103">
        <f>VLOOKUP(A1972&amp;G1972,Lookup!J:N,5,0)</f>
        <v>0</v>
      </c>
      <c r="O1972" s="57">
        <f>IFERROR(VLOOKUP(A1972&amp;G1972,Lookup!J:K,2,0),"")</f>
        <v>0</v>
      </c>
      <c r="P1972" s="110" t="str">
        <f t="shared" si="105"/>
        <v/>
      </c>
      <c r="T1972" s="59" t="e">
        <f t="shared" si="106"/>
        <v>#VALUE!</v>
      </c>
      <c r="U1972" s="59"/>
    </row>
    <row r="1973" spans="2:21" x14ac:dyDescent="0.25">
      <c r="B1973" s="54" t="str">
        <f>IFERROR(VLOOKUP(A1973,Lookup!A:B,2,0),"")</f>
        <v/>
      </c>
      <c r="C1973" s="54" t="str">
        <f>IFERROR(VLOOKUP(A1973,Lookup!A:C,3,0),"")</f>
        <v/>
      </c>
      <c r="J1973" s="103">
        <f>VLOOKUP(A1973&amp;G1973,Lookup!J:N,5,0)</f>
        <v>0</v>
      </c>
      <c r="O1973" s="57">
        <f>IFERROR(VLOOKUP(A1973&amp;G1973,Lookup!J:K,2,0),"")</f>
        <v>0</v>
      </c>
      <c r="P1973" s="110" t="str">
        <f t="shared" si="105"/>
        <v/>
      </c>
      <c r="T1973" s="59" t="e">
        <f t="shared" si="106"/>
        <v>#VALUE!</v>
      </c>
      <c r="U1973" s="59"/>
    </row>
    <row r="1974" spans="2:21" x14ac:dyDescent="0.25">
      <c r="B1974" s="54" t="str">
        <f>IFERROR(VLOOKUP(A1974,Lookup!A:B,2,0),"")</f>
        <v/>
      </c>
      <c r="C1974" s="54" t="str">
        <f>IFERROR(VLOOKUP(A1974,Lookup!A:C,3,0),"")</f>
        <v/>
      </c>
      <c r="J1974" s="103">
        <f>VLOOKUP(A1974&amp;G1974,Lookup!J:N,5,0)</f>
        <v>0</v>
      </c>
      <c r="O1974" s="57">
        <f>IFERROR(VLOOKUP(A1974&amp;G1974,Lookup!J:K,2,0),"")</f>
        <v>0</v>
      </c>
      <c r="P1974" s="110" t="str">
        <f t="shared" si="105"/>
        <v/>
      </c>
      <c r="T1974" s="59" t="e">
        <f t="shared" si="106"/>
        <v>#VALUE!</v>
      </c>
      <c r="U1974" s="59"/>
    </row>
    <row r="1975" spans="2:21" x14ac:dyDescent="0.25">
      <c r="B1975" s="54" t="str">
        <f>IFERROR(VLOOKUP(A1975,Lookup!A:B,2,0),"")</f>
        <v/>
      </c>
      <c r="C1975" s="54" t="str">
        <f>IFERROR(VLOOKUP(A1975,Lookup!A:C,3,0),"")</f>
        <v/>
      </c>
      <c r="J1975" s="103">
        <f>VLOOKUP(A1975&amp;G1975,Lookup!J:N,5,0)</f>
        <v>0</v>
      </c>
      <c r="O1975" s="57">
        <f>IFERROR(VLOOKUP(A1975&amp;G1975,Lookup!J:K,2,0),"")</f>
        <v>0</v>
      </c>
      <c r="P1975" s="110" t="str">
        <f t="shared" si="105"/>
        <v/>
      </c>
      <c r="T1975" s="59" t="e">
        <f t="shared" si="106"/>
        <v>#VALUE!</v>
      </c>
      <c r="U1975" s="59"/>
    </row>
    <row r="1976" spans="2:21" x14ac:dyDescent="0.25">
      <c r="B1976" s="54" t="str">
        <f>IFERROR(VLOOKUP(A1976,Lookup!A:B,2,0),"")</f>
        <v/>
      </c>
      <c r="C1976" s="54" t="str">
        <f>IFERROR(VLOOKUP(A1976,Lookup!A:C,3,0),"")</f>
        <v/>
      </c>
      <c r="J1976" s="103">
        <f>VLOOKUP(A1976&amp;G1976,Lookup!J:N,5,0)</f>
        <v>0</v>
      </c>
      <c r="O1976" s="57">
        <f>IFERROR(VLOOKUP(A1976&amp;G1976,Lookup!J:K,2,0),"")</f>
        <v>0</v>
      </c>
      <c r="P1976" s="110" t="str">
        <f t="shared" si="105"/>
        <v/>
      </c>
      <c r="T1976" s="59" t="e">
        <f t="shared" si="106"/>
        <v>#VALUE!</v>
      </c>
      <c r="U1976" s="59"/>
    </row>
    <row r="1977" spans="2:21" x14ac:dyDescent="0.25">
      <c r="B1977" s="54" t="str">
        <f>IFERROR(VLOOKUP(A1977,Lookup!A:B,2,0),"")</f>
        <v/>
      </c>
      <c r="C1977" s="54" t="str">
        <f>IFERROR(VLOOKUP(A1977,Lookup!A:C,3,0),"")</f>
        <v/>
      </c>
      <c r="J1977" s="103">
        <f>VLOOKUP(A1977&amp;G1977,Lookup!J:N,5,0)</f>
        <v>0</v>
      </c>
      <c r="O1977" s="57">
        <f>IFERROR(VLOOKUP(A1977&amp;G1977,Lookup!J:K,2,0),"")</f>
        <v>0</v>
      </c>
      <c r="P1977" s="110" t="str">
        <f t="shared" si="105"/>
        <v/>
      </c>
      <c r="T1977" s="59" t="e">
        <f t="shared" si="106"/>
        <v>#VALUE!</v>
      </c>
      <c r="U1977" s="59"/>
    </row>
    <row r="1978" spans="2:21" x14ac:dyDescent="0.25">
      <c r="B1978" s="54" t="str">
        <f>IFERROR(VLOOKUP(A1978,Lookup!A:B,2,0),"")</f>
        <v/>
      </c>
      <c r="C1978" s="54" t="str">
        <f>IFERROR(VLOOKUP(A1978,Lookup!A:C,3,0),"")</f>
        <v/>
      </c>
      <c r="J1978" s="103">
        <f>VLOOKUP(A1978&amp;G1978,Lookup!J:N,5,0)</f>
        <v>0</v>
      </c>
      <c r="O1978" s="57">
        <f>IFERROR(VLOOKUP(A1978&amp;G1978,Lookup!J:K,2,0),"")</f>
        <v>0</v>
      </c>
      <c r="P1978" s="110" t="str">
        <f t="shared" si="105"/>
        <v/>
      </c>
      <c r="T1978" s="59" t="e">
        <f t="shared" si="106"/>
        <v>#VALUE!</v>
      </c>
      <c r="U1978" s="59"/>
    </row>
    <row r="1979" spans="2:21" x14ac:dyDescent="0.25">
      <c r="B1979" s="54" t="str">
        <f>IFERROR(VLOOKUP(A1979,Lookup!A:B,2,0),"")</f>
        <v/>
      </c>
      <c r="C1979" s="54" t="str">
        <f>IFERROR(VLOOKUP(A1979,Lookup!A:C,3,0),"")</f>
        <v/>
      </c>
      <c r="J1979" s="103">
        <f>VLOOKUP(A1979&amp;G1979,Lookup!J:N,5,0)</f>
        <v>0</v>
      </c>
      <c r="O1979" s="57">
        <f>IFERROR(VLOOKUP(A1979&amp;G1979,Lookup!J:K,2,0),"")</f>
        <v>0</v>
      </c>
      <c r="P1979" s="110" t="str">
        <f t="shared" si="105"/>
        <v/>
      </c>
      <c r="T1979" s="59" t="e">
        <f t="shared" si="106"/>
        <v>#VALUE!</v>
      </c>
      <c r="U1979" s="59"/>
    </row>
    <row r="1980" spans="2:21" x14ac:dyDescent="0.25">
      <c r="B1980" s="54" t="str">
        <f>IFERROR(VLOOKUP(A1980,Lookup!A:B,2,0),"")</f>
        <v/>
      </c>
      <c r="C1980" s="54" t="str">
        <f>IFERROR(VLOOKUP(A1980,Lookup!A:C,3,0),"")</f>
        <v/>
      </c>
      <c r="J1980" s="103">
        <f>VLOOKUP(A1980&amp;G1980,Lookup!J:N,5,0)</f>
        <v>0</v>
      </c>
      <c r="O1980" s="57">
        <f>IFERROR(VLOOKUP(A1980&amp;G1980,Lookup!J:K,2,0),"")</f>
        <v>0</v>
      </c>
      <c r="P1980" s="110" t="str">
        <f t="shared" si="105"/>
        <v/>
      </c>
      <c r="T1980" s="59" t="e">
        <f t="shared" si="106"/>
        <v>#VALUE!</v>
      </c>
      <c r="U1980" s="59"/>
    </row>
    <row r="1981" spans="2:21" x14ac:dyDescent="0.25">
      <c r="B1981" s="54" t="str">
        <f>IFERROR(VLOOKUP(A1981,Lookup!A:B,2,0),"")</f>
        <v/>
      </c>
      <c r="C1981" s="54" t="str">
        <f>IFERROR(VLOOKUP(A1981,Lookup!A:C,3,0),"")</f>
        <v/>
      </c>
      <c r="J1981" s="103">
        <f>VLOOKUP(A1981&amp;G1981,Lookup!J:N,5,0)</f>
        <v>0</v>
      </c>
      <c r="O1981" s="57">
        <f>IFERROR(VLOOKUP(A1981&amp;G1981,Lookup!J:K,2,0),"")</f>
        <v>0</v>
      </c>
      <c r="P1981" s="110" t="str">
        <f t="shared" si="105"/>
        <v/>
      </c>
      <c r="T1981" s="59" t="e">
        <f t="shared" si="106"/>
        <v>#VALUE!</v>
      </c>
      <c r="U1981" s="59"/>
    </row>
    <row r="1982" spans="2:21" x14ac:dyDescent="0.25">
      <c r="B1982" s="54" t="str">
        <f>IFERROR(VLOOKUP(A1982,Lookup!A:B,2,0),"")</f>
        <v/>
      </c>
      <c r="C1982" s="54" t="str">
        <f>IFERROR(VLOOKUP(A1982,Lookup!A:C,3,0),"")</f>
        <v/>
      </c>
      <c r="J1982" s="103">
        <f>VLOOKUP(A1982&amp;G1982,Lookup!J:N,5,0)</f>
        <v>0</v>
      </c>
      <c r="O1982" s="57">
        <f>IFERROR(VLOOKUP(A1982&amp;G1982,Lookup!J:K,2,0),"")</f>
        <v>0</v>
      </c>
      <c r="P1982" s="110" t="str">
        <f t="shared" si="105"/>
        <v/>
      </c>
      <c r="T1982" s="59" t="e">
        <f t="shared" si="106"/>
        <v>#VALUE!</v>
      </c>
      <c r="U1982" s="59"/>
    </row>
    <row r="1983" spans="2:21" x14ac:dyDescent="0.25">
      <c r="B1983" s="54" t="str">
        <f>IFERROR(VLOOKUP(A1983,Lookup!A:B,2,0),"")</f>
        <v/>
      </c>
      <c r="C1983" s="54" t="str">
        <f>IFERROR(VLOOKUP(A1983,Lookup!A:C,3,0),"")</f>
        <v/>
      </c>
      <c r="J1983" s="103">
        <f>VLOOKUP(A1983&amp;G1983,Lookup!J:N,5,0)</f>
        <v>0</v>
      </c>
      <c r="O1983" s="57">
        <f>IFERROR(VLOOKUP(A1983&amp;G1983,Lookup!J:K,2,0),"")</f>
        <v>0</v>
      </c>
      <c r="P1983" s="110" t="str">
        <f t="shared" si="105"/>
        <v/>
      </c>
      <c r="T1983" s="59" t="e">
        <f t="shared" si="106"/>
        <v>#VALUE!</v>
      </c>
      <c r="U1983" s="59"/>
    </row>
    <row r="1984" spans="2:21" x14ac:dyDescent="0.25">
      <c r="B1984" s="54" t="str">
        <f>IFERROR(VLOOKUP(A1984,Lookup!A:B,2,0),"")</f>
        <v/>
      </c>
      <c r="C1984" s="54" t="str">
        <f>IFERROR(VLOOKUP(A1984,Lookup!A:C,3,0),"")</f>
        <v/>
      </c>
      <c r="J1984" s="103">
        <f>VLOOKUP(A1984&amp;G1984,Lookup!J:N,5,0)</f>
        <v>0</v>
      </c>
      <c r="O1984" s="57">
        <f>IFERROR(VLOOKUP(A1984&amp;G1984,Lookup!J:K,2,0),"")</f>
        <v>0</v>
      </c>
      <c r="P1984" s="110" t="str">
        <f t="shared" si="105"/>
        <v/>
      </c>
      <c r="T1984" s="59" t="e">
        <f t="shared" si="106"/>
        <v>#VALUE!</v>
      </c>
      <c r="U1984" s="59"/>
    </row>
    <row r="1985" spans="2:21" x14ac:dyDescent="0.25">
      <c r="B1985" s="54" t="str">
        <f>IFERROR(VLOOKUP(A1985,Lookup!A:B,2,0),"")</f>
        <v/>
      </c>
      <c r="C1985" s="54" t="str">
        <f>IFERROR(VLOOKUP(A1985,Lookup!A:C,3,0),"")</f>
        <v/>
      </c>
      <c r="J1985" s="103">
        <f>VLOOKUP(A1985&amp;G1985,Lookup!J:N,5,0)</f>
        <v>0</v>
      </c>
      <c r="O1985" s="57">
        <f>IFERROR(VLOOKUP(A1985&amp;G1985,Lookup!J:K,2,0),"")</f>
        <v>0</v>
      </c>
      <c r="P1985" s="110" t="str">
        <f t="shared" si="105"/>
        <v/>
      </c>
      <c r="T1985" s="59" t="e">
        <f t="shared" si="106"/>
        <v>#VALUE!</v>
      </c>
      <c r="U1985" s="59"/>
    </row>
    <row r="1986" spans="2:21" x14ac:dyDescent="0.25">
      <c r="B1986" s="54" t="str">
        <f>IFERROR(VLOOKUP(A1986,Lookup!A:B,2,0),"")</f>
        <v/>
      </c>
      <c r="C1986" s="54" t="str">
        <f>IFERROR(VLOOKUP(A1986,Lookup!A:C,3,0),"")</f>
        <v/>
      </c>
      <c r="J1986" s="103">
        <f>VLOOKUP(A1986&amp;G1986,Lookup!J:N,5,0)</f>
        <v>0</v>
      </c>
      <c r="O1986" s="57">
        <f>IFERROR(VLOOKUP(A1986&amp;G1986,Lookup!J:K,2,0),"")</f>
        <v>0</v>
      </c>
      <c r="P1986" s="110" t="str">
        <f t="shared" si="105"/>
        <v/>
      </c>
      <c r="T1986" s="59" t="e">
        <f t="shared" si="106"/>
        <v>#VALUE!</v>
      </c>
      <c r="U1986" s="59"/>
    </row>
    <row r="1987" spans="2:21" x14ac:dyDescent="0.25">
      <c r="B1987" s="54" t="str">
        <f>IFERROR(VLOOKUP(A1987,Lookup!A:B,2,0),"")</f>
        <v/>
      </c>
      <c r="C1987" s="54" t="str">
        <f>IFERROR(VLOOKUP(A1987,Lookup!A:C,3,0),"")</f>
        <v/>
      </c>
      <c r="J1987" s="103">
        <f>VLOOKUP(A1987&amp;G1987,Lookup!J:N,5,0)</f>
        <v>0</v>
      </c>
      <c r="O1987" s="57">
        <f>IFERROR(VLOOKUP(A1987&amp;G1987,Lookup!J:K,2,0),"")</f>
        <v>0</v>
      </c>
      <c r="P1987" s="110" t="str">
        <f t="shared" si="105"/>
        <v/>
      </c>
      <c r="T1987" s="59" t="e">
        <f t="shared" si="106"/>
        <v>#VALUE!</v>
      </c>
      <c r="U1987" s="59"/>
    </row>
    <row r="1988" spans="2:21" x14ac:dyDescent="0.25">
      <c r="B1988" s="54" t="str">
        <f>IFERROR(VLOOKUP(A1988,Lookup!A:B,2,0),"")</f>
        <v/>
      </c>
      <c r="C1988" s="54" t="str">
        <f>IFERROR(VLOOKUP(A1988,Lookup!A:C,3,0),"")</f>
        <v/>
      </c>
      <c r="J1988" s="103">
        <f>VLOOKUP(A1988&amp;G1988,Lookup!J:N,5,0)</f>
        <v>0</v>
      </c>
      <c r="O1988" s="57">
        <f>IFERROR(VLOOKUP(A1988&amp;G1988,Lookup!J:K,2,0),"")</f>
        <v>0</v>
      </c>
      <c r="P1988" s="110" t="str">
        <f t="shared" ref="P1988:P2051" si="107">IF(N1988="","",N1988+O1988)</f>
        <v/>
      </c>
      <c r="T1988" s="59" t="e">
        <f t="shared" si="106"/>
        <v>#VALUE!</v>
      </c>
      <c r="U1988" s="59"/>
    </row>
    <row r="1989" spans="2:21" x14ac:dyDescent="0.25">
      <c r="B1989" s="54" t="str">
        <f>IFERROR(VLOOKUP(A1989,Lookup!A:B,2,0),"")</f>
        <v/>
      </c>
      <c r="C1989" s="54" t="str">
        <f>IFERROR(VLOOKUP(A1989,Lookup!A:C,3,0),"")</f>
        <v/>
      </c>
      <c r="J1989" s="103">
        <f>VLOOKUP(A1989&amp;G1989,Lookup!J:N,5,0)</f>
        <v>0</v>
      </c>
      <c r="O1989" s="57">
        <f>IFERROR(VLOOKUP(A1989&amp;G1989,Lookup!J:K,2,0),"")</f>
        <v>0</v>
      </c>
      <c r="P1989" s="110" t="str">
        <f t="shared" si="107"/>
        <v/>
      </c>
      <c r="T1989" s="59" t="e">
        <f t="shared" si="106"/>
        <v>#VALUE!</v>
      </c>
      <c r="U1989" s="59"/>
    </row>
    <row r="1990" spans="2:21" x14ac:dyDescent="0.25">
      <c r="B1990" s="54" t="str">
        <f>IFERROR(VLOOKUP(A1990,Lookup!A:B,2,0),"")</f>
        <v/>
      </c>
      <c r="C1990" s="54" t="str">
        <f>IFERROR(VLOOKUP(A1990,Lookup!A:C,3,0),"")</f>
        <v/>
      </c>
      <c r="J1990" s="103">
        <f>VLOOKUP(A1990&amp;G1990,Lookup!J:N,5,0)</f>
        <v>0</v>
      </c>
      <c r="O1990" s="57">
        <f>IFERROR(VLOOKUP(A1990&amp;G1990,Lookup!J:K,2,0),"")</f>
        <v>0</v>
      </c>
      <c r="P1990" s="110" t="str">
        <f t="shared" si="107"/>
        <v/>
      </c>
      <c r="T1990" s="59" t="e">
        <f t="shared" si="106"/>
        <v>#VALUE!</v>
      </c>
      <c r="U1990" s="59"/>
    </row>
    <row r="1991" spans="2:21" x14ac:dyDescent="0.25">
      <c r="B1991" s="54" t="str">
        <f>IFERROR(VLOOKUP(A1991,Lookup!A:B,2,0),"")</f>
        <v/>
      </c>
      <c r="C1991" s="54" t="str">
        <f>IFERROR(VLOOKUP(A1991,Lookup!A:C,3,0),"")</f>
        <v/>
      </c>
      <c r="J1991" s="103">
        <f>VLOOKUP(A1991&amp;G1991,Lookup!J:N,5,0)</f>
        <v>0</v>
      </c>
      <c r="O1991" s="57">
        <f>IFERROR(VLOOKUP(A1991&amp;G1991,Lookup!J:K,2,0),"")</f>
        <v>0</v>
      </c>
      <c r="P1991" s="110" t="str">
        <f t="shared" si="107"/>
        <v/>
      </c>
      <c r="T1991" s="59" t="e">
        <f t="shared" si="106"/>
        <v>#VALUE!</v>
      </c>
      <c r="U1991" s="59"/>
    </row>
    <row r="1992" spans="2:21" x14ac:dyDescent="0.25">
      <c r="B1992" s="54" t="str">
        <f>IFERROR(VLOOKUP(A1992,Lookup!A:B,2,0),"")</f>
        <v/>
      </c>
      <c r="C1992" s="54" t="str">
        <f>IFERROR(VLOOKUP(A1992,Lookup!A:C,3,0),"")</f>
        <v/>
      </c>
      <c r="J1992" s="103">
        <f>VLOOKUP(A1992&amp;G1992,Lookup!J:N,5,0)</f>
        <v>0</v>
      </c>
      <c r="O1992" s="57">
        <f>IFERROR(VLOOKUP(A1992&amp;G1992,Lookup!J:K,2,0),"")</f>
        <v>0</v>
      </c>
      <c r="P1992" s="110" t="str">
        <f t="shared" si="107"/>
        <v/>
      </c>
      <c r="T1992" s="59" t="e">
        <f t="shared" si="106"/>
        <v>#VALUE!</v>
      </c>
      <c r="U1992" s="59"/>
    </row>
    <row r="1993" spans="2:21" x14ac:dyDescent="0.25">
      <c r="B1993" s="54" t="str">
        <f>IFERROR(VLOOKUP(A1993,Lookup!A:B,2,0),"")</f>
        <v/>
      </c>
      <c r="C1993" s="54" t="str">
        <f>IFERROR(VLOOKUP(A1993,Lookup!A:C,3,0),"")</f>
        <v/>
      </c>
      <c r="J1993" s="103">
        <f>VLOOKUP(A1993&amp;G1993,Lookup!J:N,5,0)</f>
        <v>0</v>
      </c>
      <c r="O1993" s="57">
        <f>IFERROR(VLOOKUP(A1993&amp;G1993,Lookup!J:K,2,0),"")</f>
        <v>0</v>
      </c>
      <c r="P1993" s="110" t="str">
        <f t="shared" si="107"/>
        <v/>
      </c>
      <c r="T1993" s="59" t="e">
        <f t="shared" si="106"/>
        <v>#VALUE!</v>
      </c>
      <c r="U1993" s="59"/>
    </row>
    <row r="1994" spans="2:21" x14ac:dyDescent="0.25">
      <c r="B1994" s="54" t="str">
        <f>IFERROR(VLOOKUP(A1994,Lookup!A:B,2,0),"")</f>
        <v/>
      </c>
      <c r="C1994" s="54" t="str">
        <f>IFERROR(VLOOKUP(A1994,Lookup!A:C,3,0),"")</f>
        <v/>
      </c>
      <c r="J1994" s="103">
        <f>VLOOKUP(A1994&amp;G1994,Lookup!J:N,5,0)</f>
        <v>0</v>
      </c>
      <c r="O1994" s="57">
        <f>IFERROR(VLOOKUP(A1994&amp;G1994,Lookup!J:K,2,0),"")</f>
        <v>0</v>
      </c>
      <c r="P1994" s="110" t="str">
        <f t="shared" si="107"/>
        <v/>
      </c>
      <c r="T1994" s="59" t="e">
        <f t="shared" si="106"/>
        <v>#VALUE!</v>
      </c>
      <c r="U1994" s="59"/>
    </row>
    <row r="1995" spans="2:21" x14ac:dyDescent="0.25">
      <c r="B1995" s="54" t="str">
        <f>IFERROR(VLOOKUP(A1995,Lookup!A:B,2,0),"")</f>
        <v/>
      </c>
      <c r="C1995" s="54" t="str">
        <f>IFERROR(VLOOKUP(A1995,Lookup!A:C,3,0),"")</f>
        <v/>
      </c>
      <c r="J1995" s="103">
        <f>VLOOKUP(A1995&amp;G1995,Lookup!J:N,5,0)</f>
        <v>0</v>
      </c>
      <c r="O1995" s="57">
        <f>IFERROR(VLOOKUP(A1995&amp;G1995,Lookup!J:K,2,0),"")</f>
        <v>0</v>
      </c>
      <c r="P1995" s="110" t="str">
        <f t="shared" si="107"/>
        <v/>
      </c>
      <c r="T1995" s="59" t="e">
        <f t="shared" si="106"/>
        <v>#VALUE!</v>
      </c>
      <c r="U1995" s="59"/>
    </row>
    <row r="1996" spans="2:21" x14ac:dyDescent="0.25">
      <c r="B1996" s="54" t="str">
        <f>IFERROR(VLOOKUP(A1996,Lookup!A:B,2,0),"")</f>
        <v/>
      </c>
      <c r="C1996" s="54" t="str">
        <f>IFERROR(VLOOKUP(A1996,Lookup!A:C,3,0),"")</f>
        <v/>
      </c>
      <c r="J1996" s="103">
        <f>VLOOKUP(A1996&amp;G1996,Lookup!J:N,5,0)</f>
        <v>0</v>
      </c>
      <c r="O1996" s="57">
        <f>IFERROR(VLOOKUP(A1996&amp;G1996,Lookup!J:K,2,0),"")</f>
        <v>0</v>
      </c>
      <c r="P1996" s="110" t="str">
        <f t="shared" si="107"/>
        <v/>
      </c>
      <c r="T1996" s="59" t="e">
        <f t="shared" si="106"/>
        <v>#VALUE!</v>
      </c>
      <c r="U1996" s="59"/>
    </row>
    <row r="1997" spans="2:21" x14ac:dyDescent="0.25">
      <c r="B1997" s="54" t="str">
        <f>IFERROR(VLOOKUP(A1997,Lookup!A:B,2,0),"")</f>
        <v/>
      </c>
      <c r="C1997" s="54" t="str">
        <f>IFERROR(VLOOKUP(A1997,Lookup!A:C,3,0),"")</f>
        <v/>
      </c>
      <c r="J1997" s="103">
        <f>VLOOKUP(A1997&amp;G1997,Lookup!J:N,5,0)</f>
        <v>0</v>
      </c>
      <c r="O1997" s="57">
        <f>IFERROR(VLOOKUP(A1997&amp;G1997,Lookup!J:K,2,0),"")</f>
        <v>0</v>
      </c>
      <c r="P1997" s="110" t="str">
        <f t="shared" si="107"/>
        <v/>
      </c>
      <c r="T1997" s="59" t="e">
        <f t="shared" si="106"/>
        <v>#VALUE!</v>
      </c>
      <c r="U1997" s="59"/>
    </row>
    <row r="1998" spans="2:21" x14ac:dyDescent="0.25">
      <c r="B1998" s="54" t="str">
        <f>IFERROR(VLOOKUP(A1998,Lookup!A:B,2,0),"")</f>
        <v/>
      </c>
      <c r="C1998" s="54" t="str">
        <f>IFERROR(VLOOKUP(A1998,Lookup!A:C,3,0),"")</f>
        <v/>
      </c>
      <c r="J1998" s="103">
        <f>VLOOKUP(A1998&amp;G1998,Lookup!J:N,5,0)</f>
        <v>0</v>
      </c>
      <c r="O1998" s="57">
        <f>IFERROR(VLOOKUP(A1998&amp;G1998,Lookup!J:K,2,0),"")</f>
        <v>0</v>
      </c>
      <c r="P1998" s="110" t="str">
        <f t="shared" si="107"/>
        <v/>
      </c>
      <c r="T1998" s="59" t="e">
        <f t="shared" ref="T1998:T2061" si="108">IF(Q1998-P1998&gt;0.0415,"YES",(IF(OR(EXACT(Q1998,""), EXACT(P1998,"")),"","NO")))</f>
        <v>#VALUE!</v>
      </c>
      <c r="U1998" s="59"/>
    </row>
    <row r="1999" spans="2:21" x14ac:dyDescent="0.25">
      <c r="B1999" s="54" t="str">
        <f>IFERROR(VLOOKUP(A1999,Lookup!A:B,2,0),"")</f>
        <v/>
      </c>
      <c r="C1999" s="54" t="str">
        <f>IFERROR(VLOOKUP(A1999,Lookup!A:C,3,0),"")</f>
        <v/>
      </c>
      <c r="J1999" s="103">
        <f>VLOOKUP(A1999&amp;G1999,Lookup!J:N,5,0)</f>
        <v>0</v>
      </c>
      <c r="O1999" s="57">
        <f>IFERROR(VLOOKUP(A1999&amp;G1999,Lookup!J:K,2,0),"")</f>
        <v>0</v>
      </c>
      <c r="P1999" s="110" t="str">
        <f t="shared" si="107"/>
        <v/>
      </c>
      <c r="T1999" s="59" t="e">
        <f t="shared" si="108"/>
        <v>#VALUE!</v>
      </c>
      <c r="U1999" s="59"/>
    </row>
    <row r="2000" spans="2:21" x14ac:dyDescent="0.25">
      <c r="B2000" s="54" t="str">
        <f>IFERROR(VLOOKUP(A2000,Lookup!A:B,2,0),"")</f>
        <v/>
      </c>
      <c r="C2000" s="54" t="str">
        <f>IFERROR(VLOOKUP(A2000,Lookup!A:C,3,0),"")</f>
        <v/>
      </c>
      <c r="J2000" s="103">
        <f>VLOOKUP(A2000&amp;G2000,Lookup!J:N,5,0)</f>
        <v>0</v>
      </c>
      <c r="O2000" s="57">
        <f>IFERROR(VLOOKUP(A2000&amp;G2000,Lookup!J:K,2,0),"")</f>
        <v>0</v>
      </c>
      <c r="P2000" s="110" t="str">
        <f t="shared" si="107"/>
        <v/>
      </c>
      <c r="T2000" s="59" t="e">
        <f t="shared" si="108"/>
        <v>#VALUE!</v>
      </c>
      <c r="U2000" s="59"/>
    </row>
    <row r="2001" spans="2:21" x14ac:dyDescent="0.25">
      <c r="B2001" s="54" t="str">
        <f>IFERROR(VLOOKUP(A2001,Lookup!A:B,2,0),"")</f>
        <v/>
      </c>
      <c r="C2001" s="54" t="str">
        <f>IFERROR(VLOOKUP(A2001,Lookup!A:C,3,0),"")</f>
        <v/>
      </c>
      <c r="J2001" s="103">
        <f>VLOOKUP(A2001&amp;G2001,Lookup!J:N,5,0)</f>
        <v>0</v>
      </c>
      <c r="O2001" s="57">
        <f>IFERROR(VLOOKUP(A2001&amp;G2001,Lookup!J:K,2,0),"")</f>
        <v>0</v>
      </c>
      <c r="P2001" s="110" t="str">
        <f t="shared" si="107"/>
        <v/>
      </c>
      <c r="T2001" s="59" t="e">
        <f t="shared" si="108"/>
        <v>#VALUE!</v>
      </c>
      <c r="U2001" s="59"/>
    </row>
    <row r="2002" spans="2:21" x14ac:dyDescent="0.25">
      <c r="B2002" s="54" t="str">
        <f>IFERROR(VLOOKUP(A2002,Lookup!A:B,2,0),"")</f>
        <v/>
      </c>
      <c r="C2002" s="54" t="str">
        <f>IFERROR(VLOOKUP(A2002,Lookup!A:C,3,0),"")</f>
        <v/>
      </c>
      <c r="J2002" s="103">
        <f>VLOOKUP(A2002&amp;G2002,Lookup!J:N,5,0)</f>
        <v>0</v>
      </c>
      <c r="O2002" s="57">
        <f>IFERROR(VLOOKUP(A2002&amp;G2002,Lookup!J:K,2,0),"")</f>
        <v>0</v>
      </c>
      <c r="P2002" s="110" t="str">
        <f t="shared" si="107"/>
        <v/>
      </c>
      <c r="T2002" s="59" t="e">
        <f t="shared" si="108"/>
        <v>#VALUE!</v>
      </c>
      <c r="U2002" s="59"/>
    </row>
    <row r="2003" spans="2:21" x14ac:dyDescent="0.25">
      <c r="B2003" s="54" t="str">
        <f>IFERROR(VLOOKUP(A2003,Lookup!A:B,2,0),"")</f>
        <v/>
      </c>
      <c r="C2003" s="54" t="str">
        <f>IFERROR(VLOOKUP(A2003,Lookup!A:C,3,0),"")</f>
        <v/>
      </c>
      <c r="J2003" s="103">
        <f>VLOOKUP(A2003&amp;G2003,Lookup!J:N,5,0)</f>
        <v>0</v>
      </c>
      <c r="O2003" s="57">
        <f>IFERROR(VLOOKUP(A2003&amp;G2003,Lookup!J:K,2,0),"")</f>
        <v>0</v>
      </c>
      <c r="P2003" s="110" t="str">
        <f t="shared" si="107"/>
        <v/>
      </c>
      <c r="T2003" s="59" t="e">
        <f t="shared" si="108"/>
        <v>#VALUE!</v>
      </c>
      <c r="U2003" s="59"/>
    </row>
    <row r="2004" spans="2:21" x14ac:dyDescent="0.25">
      <c r="B2004" s="54" t="str">
        <f>IFERROR(VLOOKUP(A2004,Lookup!A:B,2,0),"")</f>
        <v/>
      </c>
      <c r="C2004" s="54" t="str">
        <f>IFERROR(VLOOKUP(A2004,Lookup!A:C,3,0),"")</f>
        <v/>
      </c>
      <c r="J2004" s="103">
        <f>VLOOKUP(A2004&amp;G2004,Lookup!J:N,5,0)</f>
        <v>0</v>
      </c>
      <c r="O2004" s="57">
        <f>IFERROR(VLOOKUP(A2004&amp;G2004,Lookup!J:K,2,0),"")</f>
        <v>0</v>
      </c>
      <c r="P2004" s="110" t="str">
        <f t="shared" si="107"/>
        <v/>
      </c>
      <c r="T2004" s="59" t="e">
        <f t="shared" si="108"/>
        <v>#VALUE!</v>
      </c>
      <c r="U2004" s="59"/>
    </row>
    <row r="2005" spans="2:21" x14ac:dyDescent="0.25">
      <c r="B2005" s="54" t="str">
        <f>IFERROR(VLOOKUP(A2005,Lookup!A:B,2,0),"")</f>
        <v/>
      </c>
      <c r="C2005" s="54" t="str">
        <f>IFERROR(VLOOKUP(A2005,Lookup!A:C,3,0),"")</f>
        <v/>
      </c>
      <c r="J2005" s="103">
        <f>VLOOKUP(A2005&amp;G2005,Lookup!J:N,5,0)</f>
        <v>0</v>
      </c>
      <c r="O2005" s="57">
        <f>IFERROR(VLOOKUP(A2005&amp;G2005,Lookup!J:K,2,0),"")</f>
        <v>0</v>
      </c>
      <c r="P2005" s="110" t="str">
        <f t="shared" si="107"/>
        <v/>
      </c>
      <c r="T2005" s="59" t="e">
        <f t="shared" si="108"/>
        <v>#VALUE!</v>
      </c>
      <c r="U2005" s="59"/>
    </row>
    <row r="2006" spans="2:21" x14ac:dyDescent="0.25">
      <c r="B2006" s="54" t="str">
        <f>IFERROR(VLOOKUP(A2006,Lookup!A:B,2,0),"")</f>
        <v/>
      </c>
      <c r="C2006" s="54" t="str">
        <f>IFERROR(VLOOKUP(A2006,Lookup!A:C,3,0),"")</f>
        <v/>
      </c>
      <c r="J2006" s="103">
        <f>VLOOKUP(A2006&amp;G2006,Lookup!J:N,5,0)</f>
        <v>0</v>
      </c>
      <c r="O2006" s="57">
        <f>IFERROR(VLOOKUP(A2006&amp;G2006,Lookup!J:K,2,0),"")</f>
        <v>0</v>
      </c>
      <c r="P2006" s="110" t="str">
        <f t="shared" si="107"/>
        <v/>
      </c>
      <c r="T2006" s="59" t="e">
        <f t="shared" si="108"/>
        <v>#VALUE!</v>
      </c>
      <c r="U2006" s="59"/>
    </row>
    <row r="2007" spans="2:21" x14ac:dyDescent="0.25">
      <c r="B2007" s="54" t="str">
        <f>IFERROR(VLOOKUP(A2007,Lookup!A:B,2,0),"")</f>
        <v/>
      </c>
      <c r="C2007" s="54" t="str">
        <f>IFERROR(VLOOKUP(A2007,Lookup!A:C,3,0),"")</f>
        <v/>
      </c>
      <c r="J2007" s="103">
        <f>VLOOKUP(A2007&amp;G2007,Lookup!J:N,5,0)</f>
        <v>0</v>
      </c>
      <c r="O2007" s="57">
        <f>IFERROR(VLOOKUP(A2007&amp;G2007,Lookup!J:K,2,0),"")</f>
        <v>0</v>
      </c>
      <c r="P2007" s="110" t="str">
        <f t="shared" si="107"/>
        <v/>
      </c>
      <c r="T2007" s="59" t="e">
        <f t="shared" si="108"/>
        <v>#VALUE!</v>
      </c>
      <c r="U2007" s="59"/>
    </row>
    <row r="2008" spans="2:21" x14ac:dyDescent="0.25">
      <c r="B2008" s="54" t="str">
        <f>IFERROR(VLOOKUP(A2008,Lookup!A:B,2,0),"")</f>
        <v/>
      </c>
      <c r="C2008" s="54" t="str">
        <f>IFERROR(VLOOKUP(A2008,Lookup!A:C,3,0),"")</f>
        <v/>
      </c>
      <c r="J2008" s="103">
        <f>VLOOKUP(A2008&amp;G2008,Lookup!J:N,5,0)</f>
        <v>0</v>
      </c>
      <c r="O2008" s="57">
        <f>IFERROR(VLOOKUP(A2008&amp;G2008,Lookup!J:K,2,0),"")</f>
        <v>0</v>
      </c>
      <c r="P2008" s="110" t="str">
        <f t="shared" si="107"/>
        <v/>
      </c>
      <c r="T2008" s="59" t="e">
        <f t="shared" si="108"/>
        <v>#VALUE!</v>
      </c>
      <c r="U2008" s="59"/>
    </row>
    <row r="2009" spans="2:21" x14ac:dyDescent="0.25">
      <c r="B2009" s="54" t="str">
        <f>IFERROR(VLOOKUP(A2009,Lookup!A:B,2,0),"")</f>
        <v/>
      </c>
      <c r="C2009" s="54" t="str">
        <f>IFERROR(VLOOKUP(A2009,Lookup!A:C,3,0),"")</f>
        <v/>
      </c>
      <c r="J2009" s="103">
        <f>VLOOKUP(A2009&amp;G2009,Lookup!J:N,5,0)</f>
        <v>0</v>
      </c>
      <c r="O2009" s="57">
        <f>IFERROR(VLOOKUP(A2009&amp;G2009,Lookup!J:K,2,0),"")</f>
        <v>0</v>
      </c>
      <c r="P2009" s="110" t="str">
        <f t="shared" si="107"/>
        <v/>
      </c>
      <c r="T2009" s="59" t="e">
        <f t="shared" si="108"/>
        <v>#VALUE!</v>
      </c>
      <c r="U2009" s="59"/>
    </row>
    <row r="2010" spans="2:21" x14ac:dyDescent="0.25">
      <c r="B2010" s="54" t="str">
        <f>IFERROR(VLOOKUP(A2010,Lookup!A:B,2,0),"")</f>
        <v/>
      </c>
      <c r="C2010" s="54" t="str">
        <f>IFERROR(VLOOKUP(A2010,Lookup!A:C,3,0),"")</f>
        <v/>
      </c>
      <c r="J2010" s="103">
        <f>VLOOKUP(A2010&amp;G2010,Lookup!J:N,5,0)</f>
        <v>0</v>
      </c>
      <c r="O2010" s="57">
        <f>IFERROR(VLOOKUP(A2010&amp;G2010,Lookup!J:K,2,0),"")</f>
        <v>0</v>
      </c>
      <c r="P2010" s="110" t="str">
        <f t="shared" si="107"/>
        <v/>
      </c>
      <c r="T2010" s="59" t="e">
        <f t="shared" si="108"/>
        <v>#VALUE!</v>
      </c>
      <c r="U2010" s="59"/>
    </row>
    <row r="2011" spans="2:21" x14ac:dyDescent="0.25">
      <c r="B2011" s="54" t="str">
        <f>IFERROR(VLOOKUP(A2011,Lookup!A:B,2,0),"")</f>
        <v/>
      </c>
      <c r="C2011" s="54" t="str">
        <f>IFERROR(VLOOKUP(A2011,Lookup!A:C,3,0),"")</f>
        <v/>
      </c>
      <c r="J2011" s="103">
        <f>VLOOKUP(A2011&amp;G2011,Lookup!J:N,5,0)</f>
        <v>0</v>
      </c>
      <c r="O2011" s="57">
        <f>IFERROR(VLOOKUP(A2011&amp;G2011,Lookup!J:K,2,0),"")</f>
        <v>0</v>
      </c>
      <c r="P2011" s="110" t="str">
        <f t="shared" si="107"/>
        <v/>
      </c>
      <c r="T2011" s="59" t="e">
        <f t="shared" si="108"/>
        <v>#VALUE!</v>
      </c>
      <c r="U2011" s="59"/>
    </row>
    <row r="2012" spans="2:21" x14ac:dyDescent="0.25">
      <c r="B2012" s="54" t="str">
        <f>IFERROR(VLOOKUP(A2012,Lookup!A:B,2,0),"")</f>
        <v/>
      </c>
      <c r="C2012" s="54" t="str">
        <f>IFERROR(VLOOKUP(A2012,Lookup!A:C,3,0),"")</f>
        <v/>
      </c>
      <c r="J2012" s="103">
        <f>VLOOKUP(A2012&amp;G2012,Lookup!J:N,5,0)</f>
        <v>0</v>
      </c>
      <c r="O2012" s="57">
        <f>IFERROR(VLOOKUP(A2012&amp;G2012,Lookup!J:K,2,0),"")</f>
        <v>0</v>
      </c>
      <c r="P2012" s="110" t="str">
        <f t="shared" si="107"/>
        <v/>
      </c>
      <c r="T2012" s="59" t="e">
        <f t="shared" si="108"/>
        <v>#VALUE!</v>
      </c>
      <c r="U2012" s="59"/>
    </row>
    <row r="2013" spans="2:21" x14ac:dyDescent="0.25">
      <c r="B2013" s="54" t="str">
        <f>IFERROR(VLOOKUP(A2013,Lookup!A:B,2,0),"")</f>
        <v/>
      </c>
      <c r="C2013" s="54" t="str">
        <f>IFERROR(VLOOKUP(A2013,Lookup!A:C,3,0),"")</f>
        <v/>
      </c>
      <c r="J2013" s="103">
        <f>VLOOKUP(A2013&amp;G2013,Lookup!J:N,5,0)</f>
        <v>0</v>
      </c>
      <c r="O2013" s="57">
        <f>IFERROR(VLOOKUP(A2013&amp;G2013,Lookup!J:K,2,0),"")</f>
        <v>0</v>
      </c>
      <c r="P2013" s="110" t="str">
        <f t="shared" si="107"/>
        <v/>
      </c>
      <c r="T2013" s="59" t="e">
        <f t="shared" si="108"/>
        <v>#VALUE!</v>
      </c>
      <c r="U2013" s="59"/>
    </row>
    <row r="2014" spans="2:21" x14ac:dyDescent="0.25">
      <c r="B2014" s="54" t="str">
        <f>IFERROR(VLOOKUP(A2014,Lookup!A:B,2,0),"")</f>
        <v/>
      </c>
      <c r="C2014" s="54" t="str">
        <f>IFERROR(VLOOKUP(A2014,Lookup!A:C,3,0),"")</f>
        <v/>
      </c>
      <c r="J2014" s="103">
        <f>VLOOKUP(A2014&amp;G2014,Lookup!J:N,5,0)</f>
        <v>0</v>
      </c>
      <c r="O2014" s="57">
        <f>IFERROR(VLOOKUP(A2014&amp;G2014,Lookup!J:K,2,0),"")</f>
        <v>0</v>
      </c>
      <c r="P2014" s="110" t="str">
        <f t="shared" si="107"/>
        <v/>
      </c>
      <c r="T2014" s="59" t="e">
        <f t="shared" si="108"/>
        <v>#VALUE!</v>
      </c>
      <c r="U2014" s="59"/>
    </row>
    <row r="2015" spans="2:21" x14ac:dyDescent="0.25">
      <c r="B2015" s="54" t="str">
        <f>IFERROR(VLOOKUP(A2015,Lookup!A:B,2,0),"")</f>
        <v/>
      </c>
      <c r="C2015" s="54" t="str">
        <f>IFERROR(VLOOKUP(A2015,Lookup!A:C,3,0),"")</f>
        <v/>
      </c>
      <c r="J2015" s="103">
        <f>VLOOKUP(A2015&amp;G2015,Lookup!J:N,5,0)</f>
        <v>0</v>
      </c>
      <c r="O2015" s="57">
        <f>IFERROR(VLOOKUP(A2015&amp;G2015,Lookup!J:K,2,0),"")</f>
        <v>0</v>
      </c>
      <c r="P2015" s="110" t="str">
        <f t="shared" si="107"/>
        <v/>
      </c>
      <c r="T2015" s="59" t="e">
        <f t="shared" si="108"/>
        <v>#VALUE!</v>
      </c>
      <c r="U2015" s="59"/>
    </row>
    <row r="2016" spans="2:21" x14ac:dyDescent="0.25">
      <c r="B2016" s="54" t="str">
        <f>IFERROR(VLOOKUP(A2016,Lookup!A:B,2,0),"")</f>
        <v/>
      </c>
      <c r="C2016" s="54" t="str">
        <f>IFERROR(VLOOKUP(A2016,Lookup!A:C,3,0),"")</f>
        <v/>
      </c>
      <c r="J2016" s="103">
        <f>VLOOKUP(A2016&amp;G2016,Lookup!J:N,5,0)</f>
        <v>0</v>
      </c>
      <c r="O2016" s="57">
        <f>IFERROR(VLOOKUP(A2016&amp;G2016,Lookup!J:K,2,0),"")</f>
        <v>0</v>
      </c>
      <c r="P2016" s="110" t="str">
        <f t="shared" si="107"/>
        <v/>
      </c>
      <c r="T2016" s="59" t="e">
        <f t="shared" si="108"/>
        <v>#VALUE!</v>
      </c>
      <c r="U2016" s="59"/>
    </row>
    <row r="2017" spans="2:21" x14ac:dyDescent="0.25">
      <c r="B2017" s="54" t="str">
        <f>IFERROR(VLOOKUP(A2017,Lookup!A:B,2,0),"")</f>
        <v/>
      </c>
      <c r="C2017" s="54" t="str">
        <f>IFERROR(VLOOKUP(A2017,Lookup!A:C,3,0),"")</f>
        <v/>
      </c>
      <c r="J2017" s="103">
        <f>VLOOKUP(A2017&amp;G2017,Lookup!J:N,5,0)</f>
        <v>0</v>
      </c>
      <c r="O2017" s="57">
        <f>IFERROR(VLOOKUP(A2017&amp;G2017,Lookup!J:K,2,0),"")</f>
        <v>0</v>
      </c>
      <c r="P2017" s="110" t="str">
        <f t="shared" si="107"/>
        <v/>
      </c>
      <c r="T2017" s="59" t="e">
        <f t="shared" si="108"/>
        <v>#VALUE!</v>
      </c>
      <c r="U2017" s="59"/>
    </row>
    <row r="2018" spans="2:21" x14ac:dyDescent="0.25">
      <c r="B2018" s="54" t="str">
        <f>IFERROR(VLOOKUP(A2018,Lookup!A:B,2,0),"")</f>
        <v/>
      </c>
      <c r="C2018" s="54" t="str">
        <f>IFERROR(VLOOKUP(A2018,Lookup!A:C,3,0),"")</f>
        <v/>
      </c>
      <c r="J2018" s="103">
        <f>VLOOKUP(A2018&amp;G2018,Lookup!J:N,5,0)</f>
        <v>0</v>
      </c>
      <c r="O2018" s="57">
        <f>IFERROR(VLOOKUP(A2018&amp;G2018,Lookup!J:K,2,0),"")</f>
        <v>0</v>
      </c>
      <c r="P2018" s="110" t="str">
        <f t="shared" si="107"/>
        <v/>
      </c>
      <c r="T2018" s="59" t="e">
        <f t="shared" si="108"/>
        <v>#VALUE!</v>
      </c>
      <c r="U2018" s="59"/>
    </row>
    <row r="2019" spans="2:21" x14ac:dyDescent="0.25">
      <c r="B2019" s="54" t="str">
        <f>IFERROR(VLOOKUP(A2019,Lookup!A:B,2,0),"")</f>
        <v/>
      </c>
      <c r="C2019" s="54" t="str">
        <f>IFERROR(VLOOKUP(A2019,Lookup!A:C,3,0),"")</f>
        <v/>
      </c>
      <c r="J2019" s="103">
        <f>VLOOKUP(A2019&amp;G2019,Lookup!J:N,5,0)</f>
        <v>0</v>
      </c>
      <c r="O2019" s="57">
        <f>IFERROR(VLOOKUP(A2019&amp;G2019,Lookup!J:K,2,0),"")</f>
        <v>0</v>
      </c>
      <c r="P2019" s="110" t="str">
        <f t="shared" si="107"/>
        <v/>
      </c>
      <c r="T2019" s="59" t="e">
        <f t="shared" si="108"/>
        <v>#VALUE!</v>
      </c>
      <c r="U2019" s="59"/>
    </row>
    <row r="2020" spans="2:21" x14ac:dyDescent="0.25">
      <c r="B2020" s="54" t="str">
        <f>IFERROR(VLOOKUP(A2020,Lookup!A:B,2,0),"")</f>
        <v/>
      </c>
      <c r="C2020" s="54" t="str">
        <f>IFERROR(VLOOKUP(A2020,Lookup!A:C,3,0),"")</f>
        <v/>
      </c>
      <c r="J2020" s="103">
        <f>VLOOKUP(A2020&amp;G2020,Lookup!J:N,5,0)</f>
        <v>0</v>
      </c>
      <c r="O2020" s="57">
        <f>IFERROR(VLOOKUP(A2020&amp;G2020,Lookup!J:K,2,0),"")</f>
        <v>0</v>
      </c>
      <c r="P2020" s="110" t="str">
        <f t="shared" si="107"/>
        <v/>
      </c>
      <c r="T2020" s="59" t="e">
        <f t="shared" si="108"/>
        <v>#VALUE!</v>
      </c>
      <c r="U2020" s="59"/>
    </row>
    <row r="2021" spans="2:21" x14ac:dyDescent="0.25">
      <c r="B2021" s="54" t="str">
        <f>IFERROR(VLOOKUP(A2021,Lookup!A:B,2,0),"")</f>
        <v/>
      </c>
      <c r="C2021" s="54" t="str">
        <f>IFERROR(VLOOKUP(A2021,Lookup!A:C,3,0),"")</f>
        <v/>
      </c>
      <c r="J2021" s="103">
        <f>VLOOKUP(A2021&amp;G2021,Lookup!J:N,5,0)</f>
        <v>0</v>
      </c>
      <c r="O2021" s="57">
        <f>IFERROR(VLOOKUP(A2021&amp;G2021,Lookup!J:K,2,0),"")</f>
        <v>0</v>
      </c>
      <c r="P2021" s="110" t="str">
        <f t="shared" si="107"/>
        <v/>
      </c>
      <c r="T2021" s="59" t="e">
        <f t="shared" si="108"/>
        <v>#VALUE!</v>
      </c>
      <c r="U2021" s="59"/>
    </row>
    <row r="2022" spans="2:21" x14ac:dyDescent="0.25">
      <c r="B2022" s="54" t="str">
        <f>IFERROR(VLOOKUP(A2022,Lookup!A:B,2,0),"")</f>
        <v/>
      </c>
      <c r="C2022" s="54" t="str">
        <f>IFERROR(VLOOKUP(A2022,Lookup!A:C,3,0),"")</f>
        <v/>
      </c>
      <c r="J2022" s="103">
        <f>VLOOKUP(A2022&amp;G2022,Lookup!J:N,5,0)</f>
        <v>0</v>
      </c>
      <c r="O2022" s="57">
        <f>IFERROR(VLOOKUP(A2022&amp;G2022,Lookup!J:K,2,0),"")</f>
        <v>0</v>
      </c>
      <c r="P2022" s="110" t="str">
        <f t="shared" si="107"/>
        <v/>
      </c>
      <c r="T2022" s="59" t="e">
        <f t="shared" si="108"/>
        <v>#VALUE!</v>
      </c>
      <c r="U2022" s="59"/>
    </row>
    <row r="2023" spans="2:21" x14ac:dyDescent="0.25">
      <c r="B2023" s="54" t="str">
        <f>IFERROR(VLOOKUP(A2023,Lookup!A:B,2,0),"")</f>
        <v/>
      </c>
      <c r="C2023" s="54" t="str">
        <f>IFERROR(VLOOKUP(A2023,Lookup!A:C,3,0),"")</f>
        <v/>
      </c>
      <c r="J2023" s="103">
        <f>VLOOKUP(A2023&amp;G2023,Lookup!J:N,5,0)</f>
        <v>0</v>
      </c>
      <c r="O2023" s="57">
        <f>IFERROR(VLOOKUP(A2023&amp;G2023,Lookup!J:K,2,0),"")</f>
        <v>0</v>
      </c>
      <c r="P2023" s="110" t="str">
        <f t="shared" si="107"/>
        <v/>
      </c>
      <c r="T2023" s="59" t="e">
        <f t="shared" si="108"/>
        <v>#VALUE!</v>
      </c>
      <c r="U2023" s="59"/>
    </row>
    <row r="2024" spans="2:21" x14ac:dyDescent="0.25">
      <c r="B2024" s="54" t="str">
        <f>IFERROR(VLOOKUP(A2024,Lookup!A:B,2,0),"")</f>
        <v/>
      </c>
      <c r="C2024" s="54" t="str">
        <f>IFERROR(VLOOKUP(A2024,Lookup!A:C,3,0),"")</f>
        <v/>
      </c>
      <c r="J2024" s="103">
        <f>VLOOKUP(A2024&amp;G2024,Lookup!J:N,5,0)</f>
        <v>0</v>
      </c>
      <c r="O2024" s="57">
        <f>IFERROR(VLOOKUP(A2024&amp;G2024,Lookup!J:K,2,0),"")</f>
        <v>0</v>
      </c>
      <c r="P2024" s="110" t="str">
        <f t="shared" si="107"/>
        <v/>
      </c>
      <c r="T2024" s="59" t="e">
        <f t="shared" si="108"/>
        <v>#VALUE!</v>
      </c>
      <c r="U2024" s="59"/>
    </row>
    <row r="2025" spans="2:21" x14ac:dyDescent="0.25">
      <c r="B2025" s="54" t="str">
        <f>IFERROR(VLOOKUP(A2025,Lookup!A:B,2,0),"")</f>
        <v/>
      </c>
      <c r="C2025" s="54" t="str">
        <f>IFERROR(VLOOKUP(A2025,Lookup!A:C,3,0),"")</f>
        <v/>
      </c>
      <c r="J2025" s="103">
        <f>VLOOKUP(A2025&amp;G2025,Lookup!J:N,5,0)</f>
        <v>0</v>
      </c>
      <c r="O2025" s="57">
        <f>IFERROR(VLOOKUP(A2025&amp;G2025,Lookup!J:K,2,0),"")</f>
        <v>0</v>
      </c>
      <c r="P2025" s="110" t="str">
        <f t="shared" si="107"/>
        <v/>
      </c>
      <c r="T2025" s="59" t="e">
        <f t="shared" si="108"/>
        <v>#VALUE!</v>
      </c>
      <c r="U2025" s="59"/>
    </row>
    <row r="2026" spans="2:21" x14ac:dyDescent="0.25">
      <c r="B2026" s="54" t="str">
        <f>IFERROR(VLOOKUP(A2026,Lookup!A:B,2,0),"")</f>
        <v/>
      </c>
      <c r="C2026" s="54" t="str">
        <f>IFERROR(VLOOKUP(A2026,Lookup!A:C,3,0),"")</f>
        <v/>
      </c>
      <c r="J2026" s="103">
        <f>VLOOKUP(A2026&amp;G2026,Lookup!J:N,5,0)</f>
        <v>0</v>
      </c>
      <c r="O2026" s="57">
        <f>IFERROR(VLOOKUP(A2026&amp;G2026,Lookup!J:K,2,0),"")</f>
        <v>0</v>
      </c>
      <c r="P2026" s="110" t="str">
        <f t="shared" si="107"/>
        <v/>
      </c>
      <c r="T2026" s="59" t="e">
        <f t="shared" si="108"/>
        <v>#VALUE!</v>
      </c>
      <c r="U2026" s="59"/>
    </row>
    <row r="2027" spans="2:21" x14ac:dyDescent="0.25">
      <c r="B2027" s="54" t="str">
        <f>IFERROR(VLOOKUP(A2027,Lookup!A:B,2,0),"")</f>
        <v/>
      </c>
      <c r="C2027" s="54" t="str">
        <f>IFERROR(VLOOKUP(A2027,Lookup!A:C,3,0),"")</f>
        <v/>
      </c>
      <c r="J2027" s="103">
        <f>VLOOKUP(A2027&amp;G2027,Lookup!J:N,5,0)</f>
        <v>0</v>
      </c>
      <c r="O2027" s="57">
        <f>IFERROR(VLOOKUP(A2027&amp;G2027,Lookup!J:K,2,0),"")</f>
        <v>0</v>
      </c>
      <c r="P2027" s="110" t="str">
        <f t="shared" si="107"/>
        <v/>
      </c>
      <c r="T2027" s="59" t="e">
        <f t="shared" si="108"/>
        <v>#VALUE!</v>
      </c>
      <c r="U2027" s="59"/>
    </row>
    <row r="2028" spans="2:21" x14ac:dyDescent="0.25">
      <c r="B2028" s="54" t="str">
        <f>IFERROR(VLOOKUP(A2028,Lookup!A:B,2,0),"")</f>
        <v/>
      </c>
      <c r="C2028" s="54" t="str">
        <f>IFERROR(VLOOKUP(A2028,Lookup!A:C,3,0),"")</f>
        <v/>
      </c>
      <c r="J2028" s="103">
        <f>VLOOKUP(A2028&amp;G2028,Lookup!J:N,5,0)</f>
        <v>0</v>
      </c>
      <c r="O2028" s="57">
        <f>IFERROR(VLOOKUP(A2028&amp;G2028,Lookup!J:K,2,0),"")</f>
        <v>0</v>
      </c>
      <c r="P2028" s="110" t="str">
        <f t="shared" si="107"/>
        <v/>
      </c>
      <c r="T2028" s="59" t="e">
        <f t="shared" si="108"/>
        <v>#VALUE!</v>
      </c>
      <c r="U2028" s="59"/>
    </row>
    <row r="2029" spans="2:21" x14ac:dyDescent="0.25">
      <c r="B2029" s="54" t="str">
        <f>IFERROR(VLOOKUP(A2029,Lookup!A:B,2,0),"")</f>
        <v/>
      </c>
      <c r="C2029" s="54" t="str">
        <f>IFERROR(VLOOKUP(A2029,Lookup!A:C,3,0),"")</f>
        <v/>
      </c>
      <c r="J2029" s="103">
        <f>VLOOKUP(A2029&amp;G2029,Lookup!J:N,5,0)</f>
        <v>0</v>
      </c>
      <c r="O2029" s="57">
        <f>IFERROR(VLOOKUP(A2029&amp;G2029,Lookup!J:K,2,0),"")</f>
        <v>0</v>
      </c>
      <c r="P2029" s="110" t="str">
        <f t="shared" si="107"/>
        <v/>
      </c>
      <c r="T2029" s="59" t="e">
        <f t="shared" si="108"/>
        <v>#VALUE!</v>
      </c>
      <c r="U2029" s="59"/>
    </row>
    <row r="2030" spans="2:21" x14ac:dyDescent="0.25">
      <c r="B2030" s="54" t="str">
        <f>IFERROR(VLOOKUP(A2030,Lookup!A:B,2,0),"")</f>
        <v/>
      </c>
      <c r="C2030" s="54" t="str">
        <f>IFERROR(VLOOKUP(A2030,Lookup!A:C,3,0),"")</f>
        <v/>
      </c>
      <c r="J2030" s="103">
        <f>VLOOKUP(A2030&amp;G2030,Lookup!J:N,5,0)</f>
        <v>0</v>
      </c>
      <c r="O2030" s="57">
        <f>IFERROR(VLOOKUP(A2030&amp;G2030,Lookup!J:K,2,0),"")</f>
        <v>0</v>
      </c>
      <c r="P2030" s="110" t="str">
        <f t="shared" si="107"/>
        <v/>
      </c>
      <c r="T2030" s="59" t="e">
        <f t="shared" si="108"/>
        <v>#VALUE!</v>
      </c>
      <c r="U2030" s="59"/>
    </row>
    <row r="2031" spans="2:21" x14ac:dyDescent="0.25">
      <c r="B2031" s="54" t="str">
        <f>IFERROR(VLOOKUP(A2031,Lookup!A:B,2,0),"")</f>
        <v/>
      </c>
      <c r="C2031" s="54" t="str">
        <f>IFERROR(VLOOKUP(A2031,Lookup!A:C,3,0),"")</f>
        <v/>
      </c>
      <c r="J2031" s="103">
        <f>VLOOKUP(A2031&amp;G2031,Lookup!J:N,5,0)</f>
        <v>0</v>
      </c>
      <c r="O2031" s="57">
        <f>IFERROR(VLOOKUP(A2031&amp;G2031,Lookup!J:K,2,0),"")</f>
        <v>0</v>
      </c>
      <c r="P2031" s="110" t="str">
        <f t="shared" si="107"/>
        <v/>
      </c>
      <c r="T2031" s="59" t="e">
        <f t="shared" si="108"/>
        <v>#VALUE!</v>
      </c>
      <c r="U2031" s="59"/>
    </row>
    <row r="2032" spans="2:21" x14ac:dyDescent="0.25">
      <c r="B2032" s="54" t="str">
        <f>IFERROR(VLOOKUP(A2032,Lookup!A:B,2,0),"")</f>
        <v/>
      </c>
      <c r="C2032" s="54" t="str">
        <f>IFERROR(VLOOKUP(A2032,Lookup!A:C,3,0),"")</f>
        <v/>
      </c>
      <c r="J2032" s="103">
        <f>VLOOKUP(A2032&amp;G2032,Lookup!J:N,5,0)</f>
        <v>0</v>
      </c>
      <c r="O2032" s="57">
        <f>IFERROR(VLOOKUP(A2032&amp;G2032,Lookup!J:K,2,0),"")</f>
        <v>0</v>
      </c>
      <c r="P2032" s="110" t="str">
        <f t="shared" si="107"/>
        <v/>
      </c>
      <c r="T2032" s="59" t="e">
        <f t="shared" si="108"/>
        <v>#VALUE!</v>
      </c>
      <c r="U2032" s="59"/>
    </row>
    <row r="2033" spans="2:21" x14ac:dyDescent="0.25">
      <c r="B2033" s="54" t="str">
        <f>IFERROR(VLOOKUP(A2033,Lookup!A:B,2,0),"")</f>
        <v/>
      </c>
      <c r="C2033" s="54" t="str">
        <f>IFERROR(VLOOKUP(A2033,Lookup!A:C,3,0),"")</f>
        <v/>
      </c>
      <c r="J2033" s="103">
        <f>VLOOKUP(A2033&amp;G2033,Lookup!J:N,5,0)</f>
        <v>0</v>
      </c>
      <c r="O2033" s="57">
        <f>IFERROR(VLOOKUP(A2033&amp;G2033,Lookup!J:K,2,0),"")</f>
        <v>0</v>
      </c>
      <c r="P2033" s="110" t="str">
        <f t="shared" si="107"/>
        <v/>
      </c>
      <c r="T2033" s="59" t="e">
        <f t="shared" si="108"/>
        <v>#VALUE!</v>
      </c>
      <c r="U2033" s="59"/>
    </row>
    <row r="2034" spans="2:21" x14ac:dyDescent="0.25">
      <c r="B2034" s="54" t="str">
        <f>IFERROR(VLOOKUP(A2034,Lookup!A:B,2,0),"")</f>
        <v/>
      </c>
      <c r="C2034" s="54" t="str">
        <f>IFERROR(VLOOKUP(A2034,Lookup!A:C,3,0),"")</f>
        <v/>
      </c>
      <c r="J2034" s="103">
        <f>VLOOKUP(A2034&amp;G2034,Lookup!J:N,5,0)</f>
        <v>0</v>
      </c>
      <c r="O2034" s="57">
        <f>IFERROR(VLOOKUP(A2034&amp;G2034,Lookup!J:K,2,0),"")</f>
        <v>0</v>
      </c>
      <c r="P2034" s="110" t="str">
        <f t="shared" si="107"/>
        <v/>
      </c>
      <c r="T2034" s="59" t="e">
        <f t="shared" si="108"/>
        <v>#VALUE!</v>
      </c>
      <c r="U2034" s="59"/>
    </row>
    <row r="2035" spans="2:21" x14ac:dyDescent="0.25">
      <c r="B2035" s="54" t="str">
        <f>IFERROR(VLOOKUP(A2035,Lookup!A:B,2,0),"")</f>
        <v/>
      </c>
      <c r="C2035" s="54" t="str">
        <f>IFERROR(VLOOKUP(A2035,Lookup!A:C,3,0),"")</f>
        <v/>
      </c>
      <c r="J2035" s="103">
        <f>VLOOKUP(A2035&amp;G2035,Lookup!J:N,5,0)</f>
        <v>0</v>
      </c>
      <c r="O2035" s="57">
        <f>IFERROR(VLOOKUP(A2035&amp;G2035,Lookup!J:K,2,0),"")</f>
        <v>0</v>
      </c>
      <c r="P2035" s="110" t="str">
        <f t="shared" si="107"/>
        <v/>
      </c>
      <c r="T2035" s="59" t="e">
        <f t="shared" si="108"/>
        <v>#VALUE!</v>
      </c>
      <c r="U2035" s="59"/>
    </row>
    <row r="2036" spans="2:21" x14ac:dyDescent="0.25">
      <c r="B2036" s="54" t="str">
        <f>IFERROR(VLOOKUP(A2036,Lookup!A:B,2,0),"")</f>
        <v/>
      </c>
      <c r="C2036" s="54" t="str">
        <f>IFERROR(VLOOKUP(A2036,Lookup!A:C,3,0),"")</f>
        <v/>
      </c>
      <c r="J2036" s="103">
        <f>VLOOKUP(A2036&amp;G2036,Lookup!J:N,5,0)</f>
        <v>0</v>
      </c>
      <c r="O2036" s="57">
        <f>IFERROR(VLOOKUP(A2036&amp;G2036,Lookup!J:K,2,0),"")</f>
        <v>0</v>
      </c>
      <c r="P2036" s="110" t="str">
        <f t="shared" si="107"/>
        <v/>
      </c>
      <c r="T2036" s="59" t="e">
        <f t="shared" si="108"/>
        <v>#VALUE!</v>
      </c>
      <c r="U2036" s="59"/>
    </row>
    <row r="2037" spans="2:21" x14ac:dyDescent="0.25">
      <c r="B2037" s="54" t="str">
        <f>IFERROR(VLOOKUP(A2037,Lookup!A:B,2,0),"")</f>
        <v/>
      </c>
      <c r="C2037" s="54" t="str">
        <f>IFERROR(VLOOKUP(A2037,Lookup!A:C,3,0),"")</f>
        <v/>
      </c>
      <c r="J2037" s="103">
        <f>VLOOKUP(A2037&amp;G2037,Lookup!J:N,5,0)</f>
        <v>0</v>
      </c>
      <c r="O2037" s="57">
        <f>IFERROR(VLOOKUP(A2037&amp;G2037,Lookup!J:K,2,0),"")</f>
        <v>0</v>
      </c>
      <c r="P2037" s="110" t="str">
        <f t="shared" si="107"/>
        <v/>
      </c>
      <c r="T2037" s="59" t="e">
        <f t="shared" si="108"/>
        <v>#VALUE!</v>
      </c>
      <c r="U2037" s="59"/>
    </row>
    <row r="2038" spans="2:21" x14ac:dyDescent="0.25">
      <c r="B2038" s="54" t="str">
        <f>IFERROR(VLOOKUP(A2038,Lookup!A:B,2,0),"")</f>
        <v/>
      </c>
      <c r="C2038" s="54" t="str">
        <f>IFERROR(VLOOKUP(A2038,Lookup!A:C,3,0),"")</f>
        <v/>
      </c>
      <c r="J2038" s="103">
        <f>VLOOKUP(A2038&amp;G2038,Lookup!J:N,5,0)</f>
        <v>0</v>
      </c>
      <c r="O2038" s="57">
        <f>IFERROR(VLOOKUP(A2038&amp;G2038,Lookup!J:K,2,0),"")</f>
        <v>0</v>
      </c>
      <c r="P2038" s="110" t="str">
        <f t="shared" si="107"/>
        <v/>
      </c>
      <c r="T2038" s="59" t="e">
        <f t="shared" si="108"/>
        <v>#VALUE!</v>
      </c>
      <c r="U2038" s="59"/>
    </row>
    <row r="2039" spans="2:21" x14ac:dyDescent="0.25">
      <c r="B2039" s="54" t="str">
        <f>IFERROR(VLOOKUP(A2039,Lookup!A:B,2,0),"")</f>
        <v/>
      </c>
      <c r="C2039" s="54" t="str">
        <f>IFERROR(VLOOKUP(A2039,Lookup!A:C,3,0),"")</f>
        <v/>
      </c>
      <c r="J2039" s="103">
        <f>VLOOKUP(A2039&amp;G2039,Lookup!J:N,5,0)</f>
        <v>0</v>
      </c>
      <c r="O2039" s="57">
        <f>IFERROR(VLOOKUP(A2039&amp;G2039,Lookup!J:K,2,0),"")</f>
        <v>0</v>
      </c>
      <c r="P2039" s="110" t="str">
        <f t="shared" si="107"/>
        <v/>
      </c>
      <c r="T2039" s="59" t="e">
        <f t="shared" si="108"/>
        <v>#VALUE!</v>
      </c>
      <c r="U2039" s="59"/>
    </row>
    <row r="2040" spans="2:21" x14ac:dyDescent="0.25">
      <c r="B2040" s="54" t="str">
        <f>IFERROR(VLOOKUP(A2040,Lookup!A:B,2,0),"")</f>
        <v/>
      </c>
      <c r="C2040" s="54" t="str">
        <f>IFERROR(VLOOKUP(A2040,Lookup!A:C,3,0),"")</f>
        <v/>
      </c>
      <c r="J2040" s="103">
        <f>VLOOKUP(A2040&amp;G2040,Lookup!J:N,5,0)</f>
        <v>0</v>
      </c>
      <c r="O2040" s="57">
        <f>IFERROR(VLOOKUP(A2040&amp;G2040,Lookup!J:K,2,0),"")</f>
        <v>0</v>
      </c>
      <c r="P2040" s="110" t="str">
        <f t="shared" si="107"/>
        <v/>
      </c>
      <c r="T2040" s="59" t="e">
        <f t="shared" si="108"/>
        <v>#VALUE!</v>
      </c>
      <c r="U2040" s="59"/>
    </row>
    <row r="2041" spans="2:21" x14ac:dyDescent="0.25">
      <c r="B2041" s="54" t="str">
        <f>IFERROR(VLOOKUP(A2041,Lookup!A:B,2,0),"")</f>
        <v/>
      </c>
      <c r="C2041" s="54" t="str">
        <f>IFERROR(VLOOKUP(A2041,Lookup!A:C,3,0),"")</f>
        <v/>
      </c>
      <c r="J2041" s="103">
        <f>VLOOKUP(A2041&amp;G2041,Lookup!J:N,5,0)</f>
        <v>0</v>
      </c>
      <c r="O2041" s="57">
        <f>IFERROR(VLOOKUP(A2041&amp;G2041,Lookup!J:K,2,0),"")</f>
        <v>0</v>
      </c>
      <c r="P2041" s="110" t="str">
        <f t="shared" si="107"/>
        <v/>
      </c>
      <c r="T2041" s="59" t="e">
        <f t="shared" si="108"/>
        <v>#VALUE!</v>
      </c>
      <c r="U2041" s="59"/>
    </row>
    <row r="2042" spans="2:21" x14ac:dyDescent="0.25">
      <c r="B2042" s="54" t="str">
        <f>IFERROR(VLOOKUP(A2042,Lookup!A:B,2,0),"")</f>
        <v/>
      </c>
      <c r="C2042" s="54" t="str">
        <f>IFERROR(VLOOKUP(A2042,Lookup!A:C,3,0),"")</f>
        <v/>
      </c>
      <c r="J2042" s="103">
        <f>VLOOKUP(A2042&amp;G2042,Lookup!J:N,5,0)</f>
        <v>0</v>
      </c>
      <c r="O2042" s="57">
        <f>IFERROR(VLOOKUP(A2042&amp;G2042,Lookup!J:K,2,0),"")</f>
        <v>0</v>
      </c>
      <c r="P2042" s="110" t="str">
        <f t="shared" si="107"/>
        <v/>
      </c>
      <c r="T2042" s="59" t="e">
        <f t="shared" si="108"/>
        <v>#VALUE!</v>
      </c>
      <c r="U2042" s="59"/>
    </row>
    <row r="2043" spans="2:21" x14ac:dyDescent="0.25">
      <c r="B2043" s="54" t="str">
        <f>IFERROR(VLOOKUP(A2043,Lookup!A:B,2,0),"")</f>
        <v/>
      </c>
      <c r="C2043" s="54" t="str">
        <f>IFERROR(VLOOKUP(A2043,Lookup!A:C,3,0),"")</f>
        <v/>
      </c>
      <c r="J2043" s="103">
        <f>VLOOKUP(A2043&amp;G2043,Lookup!J:N,5,0)</f>
        <v>0</v>
      </c>
      <c r="O2043" s="57">
        <f>IFERROR(VLOOKUP(A2043&amp;G2043,Lookup!J:K,2,0),"")</f>
        <v>0</v>
      </c>
      <c r="P2043" s="110" t="str">
        <f t="shared" si="107"/>
        <v/>
      </c>
      <c r="T2043" s="59" t="e">
        <f t="shared" si="108"/>
        <v>#VALUE!</v>
      </c>
      <c r="U2043" s="59"/>
    </row>
    <row r="2044" spans="2:21" x14ac:dyDescent="0.25">
      <c r="B2044" s="54" t="str">
        <f>IFERROR(VLOOKUP(A2044,Lookup!A:B,2,0),"")</f>
        <v/>
      </c>
      <c r="C2044" s="54" t="str">
        <f>IFERROR(VLOOKUP(A2044,Lookup!A:C,3,0),"")</f>
        <v/>
      </c>
      <c r="J2044" s="103">
        <f>VLOOKUP(A2044&amp;G2044,Lookup!J:N,5,0)</f>
        <v>0</v>
      </c>
      <c r="O2044" s="57">
        <f>IFERROR(VLOOKUP(A2044&amp;G2044,Lookup!J:K,2,0),"")</f>
        <v>0</v>
      </c>
      <c r="P2044" s="110" t="str">
        <f t="shared" si="107"/>
        <v/>
      </c>
      <c r="T2044" s="59" t="e">
        <f t="shared" si="108"/>
        <v>#VALUE!</v>
      </c>
      <c r="U2044" s="59"/>
    </row>
    <row r="2045" spans="2:21" x14ac:dyDescent="0.25">
      <c r="B2045" s="54" t="str">
        <f>IFERROR(VLOOKUP(A2045,Lookup!A:B,2,0),"")</f>
        <v/>
      </c>
      <c r="C2045" s="54" t="str">
        <f>IFERROR(VLOOKUP(A2045,Lookup!A:C,3,0),"")</f>
        <v/>
      </c>
      <c r="J2045" s="103">
        <f>VLOOKUP(A2045&amp;G2045,Lookup!J:N,5,0)</f>
        <v>0</v>
      </c>
      <c r="O2045" s="57">
        <f>IFERROR(VLOOKUP(A2045&amp;G2045,Lookup!J:K,2,0),"")</f>
        <v>0</v>
      </c>
      <c r="P2045" s="110" t="str">
        <f t="shared" si="107"/>
        <v/>
      </c>
      <c r="T2045" s="59" t="e">
        <f t="shared" si="108"/>
        <v>#VALUE!</v>
      </c>
      <c r="U2045" s="59"/>
    </row>
    <row r="2046" spans="2:21" x14ac:dyDescent="0.25">
      <c r="B2046" s="54" t="str">
        <f>IFERROR(VLOOKUP(A2046,Lookup!A:B,2,0),"")</f>
        <v/>
      </c>
      <c r="C2046" s="54" t="str">
        <f>IFERROR(VLOOKUP(A2046,Lookup!A:C,3,0),"")</f>
        <v/>
      </c>
      <c r="J2046" s="103">
        <f>VLOOKUP(A2046&amp;G2046,Lookup!J:N,5,0)</f>
        <v>0</v>
      </c>
      <c r="O2046" s="57">
        <f>IFERROR(VLOOKUP(A2046&amp;G2046,Lookup!J:K,2,0),"")</f>
        <v>0</v>
      </c>
      <c r="P2046" s="110" t="str">
        <f t="shared" si="107"/>
        <v/>
      </c>
      <c r="T2046" s="59" t="e">
        <f t="shared" si="108"/>
        <v>#VALUE!</v>
      </c>
      <c r="U2046" s="59"/>
    </row>
    <row r="2047" spans="2:21" x14ac:dyDescent="0.25">
      <c r="B2047" s="54" t="str">
        <f>IFERROR(VLOOKUP(A2047,Lookup!A:B,2,0),"")</f>
        <v/>
      </c>
      <c r="C2047" s="54" t="str">
        <f>IFERROR(VLOOKUP(A2047,Lookup!A:C,3,0),"")</f>
        <v/>
      </c>
      <c r="J2047" s="103">
        <f>VLOOKUP(A2047&amp;G2047,Lookup!J:N,5,0)</f>
        <v>0</v>
      </c>
      <c r="O2047" s="57">
        <f>IFERROR(VLOOKUP(A2047&amp;G2047,Lookup!J:K,2,0),"")</f>
        <v>0</v>
      </c>
      <c r="P2047" s="110" t="str">
        <f t="shared" si="107"/>
        <v/>
      </c>
      <c r="T2047" s="59" t="e">
        <f t="shared" si="108"/>
        <v>#VALUE!</v>
      </c>
      <c r="U2047" s="59"/>
    </row>
    <row r="2048" spans="2:21" x14ac:dyDescent="0.25">
      <c r="B2048" s="54" t="str">
        <f>IFERROR(VLOOKUP(A2048,Lookup!A:B,2,0),"")</f>
        <v/>
      </c>
      <c r="C2048" s="54" t="str">
        <f>IFERROR(VLOOKUP(A2048,Lookup!A:C,3,0),"")</f>
        <v/>
      </c>
      <c r="J2048" s="103">
        <f>VLOOKUP(A2048&amp;G2048,Lookup!J:N,5,0)</f>
        <v>0</v>
      </c>
      <c r="O2048" s="57">
        <f>IFERROR(VLOOKUP(A2048&amp;G2048,Lookup!J:K,2,0),"")</f>
        <v>0</v>
      </c>
      <c r="P2048" s="110" t="str">
        <f t="shared" si="107"/>
        <v/>
      </c>
      <c r="T2048" s="59" t="e">
        <f t="shared" si="108"/>
        <v>#VALUE!</v>
      </c>
      <c r="U2048" s="59"/>
    </row>
    <row r="2049" spans="2:21" x14ac:dyDescent="0.25">
      <c r="B2049" s="54" t="str">
        <f>IFERROR(VLOOKUP(A2049,Lookup!A:B,2,0),"")</f>
        <v/>
      </c>
      <c r="C2049" s="54" t="str">
        <f>IFERROR(VLOOKUP(A2049,Lookup!A:C,3,0),"")</f>
        <v/>
      </c>
      <c r="J2049" s="103">
        <f>VLOOKUP(A2049&amp;G2049,Lookup!J:N,5,0)</f>
        <v>0</v>
      </c>
      <c r="O2049" s="57">
        <f>IFERROR(VLOOKUP(A2049&amp;G2049,Lookup!J:K,2,0),"")</f>
        <v>0</v>
      </c>
      <c r="P2049" s="110" t="str">
        <f t="shared" si="107"/>
        <v/>
      </c>
      <c r="T2049" s="59" t="e">
        <f t="shared" si="108"/>
        <v>#VALUE!</v>
      </c>
      <c r="U2049" s="59"/>
    </row>
    <row r="2050" spans="2:21" x14ac:dyDescent="0.25">
      <c r="B2050" s="54" t="str">
        <f>IFERROR(VLOOKUP(A2050,Lookup!A:B,2,0),"")</f>
        <v/>
      </c>
      <c r="C2050" s="54" t="str">
        <f>IFERROR(VLOOKUP(A2050,Lookup!A:C,3,0),"")</f>
        <v/>
      </c>
      <c r="J2050" s="103">
        <f>VLOOKUP(A2050&amp;G2050,Lookup!J:N,5,0)</f>
        <v>0</v>
      </c>
      <c r="O2050" s="57">
        <f>IFERROR(VLOOKUP(A2050&amp;G2050,Lookup!J:K,2,0),"")</f>
        <v>0</v>
      </c>
      <c r="P2050" s="110" t="str">
        <f t="shared" si="107"/>
        <v/>
      </c>
      <c r="T2050" s="59" t="e">
        <f t="shared" si="108"/>
        <v>#VALUE!</v>
      </c>
      <c r="U2050" s="59"/>
    </row>
    <row r="2051" spans="2:21" x14ac:dyDescent="0.25">
      <c r="B2051" s="54" t="str">
        <f>IFERROR(VLOOKUP(A2051,Lookup!A:B,2,0),"")</f>
        <v/>
      </c>
      <c r="C2051" s="54" t="str">
        <f>IFERROR(VLOOKUP(A2051,Lookup!A:C,3,0),"")</f>
        <v/>
      </c>
      <c r="J2051" s="103">
        <f>VLOOKUP(A2051&amp;G2051,Lookup!J:N,5,0)</f>
        <v>0</v>
      </c>
      <c r="O2051" s="57">
        <f>IFERROR(VLOOKUP(A2051&amp;G2051,Lookup!J:K,2,0),"")</f>
        <v>0</v>
      </c>
      <c r="P2051" s="110" t="str">
        <f t="shared" si="107"/>
        <v/>
      </c>
      <c r="T2051" s="59" t="e">
        <f t="shared" si="108"/>
        <v>#VALUE!</v>
      </c>
      <c r="U2051" s="59"/>
    </row>
    <row r="2052" spans="2:21" x14ac:dyDescent="0.25">
      <c r="B2052" s="54" t="str">
        <f>IFERROR(VLOOKUP(A2052,Lookup!A:B,2,0),"")</f>
        <v/>
      </c>
      <c r="C2052" s="54" t="str">
        <f>IFERROR(VLOOKUP(A2052,Lookup!A:C,3,0),"")</f>
        <v/>
      </c>
      <c r="J2052" s="103">
        <f>VLOOKUP(A2052&amp;G2052,Lookup!J:N,5,0)</f>
        <v>0</v>
      </c>
      <c r="O2052" s="57">
        <f>IFERROR(VLOOKUP(A2052&amp;G2052,Lookup!J:K,2,0),"")</f>
        <v>0</v>
      </c>
      <c r="P2052" s="110" t="str">
        <f t="shared" ref="P2052:P2102" si="109">IF(N2052="","",N2052+O2052)</f>
        <v/>
      </c>
      <c r="T2052" s="59" t="e">
        <f t="shared" si="108"/>
        <v>#VALUE!</v>
      </c>
      <c r="U2052" s="59"/>
    </row>
    <row r="2053" spans="2:21" x14ac:dyDescent="0.25">
      <c r="B2053" s="54" t="str">
        <f>IFERROR(VLOOKUP(A2053,Lookup!A:B,2,0),"")</f>
        <v/>
      </c>
      <c r="C2053" s="54" t="str">
        <f>IFERROR(VLOOKUP(A2053,Lookup!A:C,3,0),"")</f>
        <v/>
      </c>
      <c r="J2053" s="103">
        <f>VLOOKUP(A2053&amp;G2053,Lookup!J:N,5,0)</f>
        <v>0</v>
      </c>
      <c r="O2053" s="57">
        <f>IFERROR(VLOOKUP(A2053&amp;G2053,Lookup!J:K,2,0),"")</f>
        <v>0</v>
      </c>
      <c r="P2053" s="110" t="str">
        <f t="shared" si="109"/>
        <v/>
      </c>
      <c r="T2053" s="59" t="e">
        <f t="shared" si="108"/>
        <v>#VALUE!</v>
      </c>
      <c r="U2053" s="59"/>
    </row>
    <row r="2054" spans="2:21" x14ac:dyDescent="0.25">
      <c r="B2054" s="54" t="str">
        <f>IFERROR(VLOOKUP(A2054,Lookup!A:B,2,0),"")</f>
        <v/>
      </c>
      <c r="C2054" s="54" t="str">
        <f>IFERROR(VLOOKUP(A2054,Lookup!A:C,3,0),"")</f>
        <v/>
      </c>
      <c r="J2054" s="103">
        <f>VLOOKUP(A2054&amp;G2054,Lookup!J:N,5,0)</f>
        <v>0</v>
      </c>
      <c r="O2054" s="57">
        <f>IFERROR(VLOOKUP(A2054&amp;G2054,Lookup!J:K,2,0),"")</f>
        <v>0</v>
      </c>
      <c r="P2054" s="110" t="str">
        <f t="shared" si="109"/>
        <v/>
      </c>
      <c r="T2054" s="59" t="e">
        <f t="shared" si="108"/>
        <v>#VALUE!</v>
      </c>
      <c r="U2054" s="59"/>
    </row>
    <row r="2055" spans="2:21" x14ac:dyDescent="0.25">
      <c r="B2055" s="54" t="str">
        <f>IFERROR(VLOOKUP(A2055,Lookup!A:B,2,0),"")</f>
        <v/>
      </c>
      <c r="C2055" s="54" t="str">
        <f>IFERROR(VLOOKUP(A2055,Lookup!A:C,3,0),"")</f>
        <v/>
      </c>
      <c r="J2055" s="103">
        <f>VLOOKUP(A2055&amp;G2055,Lookup!J:N,5,0)</f>
        <v>0</v>
      </c>
      <c r="O2055" s="57">
        <f>IFERROR(VLOOKUP(A2055&amp;G2055,Lookup!J:K,2,0),"")</f>
        <v>0</v>
      </c>
      <c r="P2055" s="110" t="str">
        <f t="shared" si="109"/>
        <v/>
      </c>
      <c r="T2055" s="59" t="e">
        <f t="shared" si="108"/>
        <v>#VALUE!</v>
      </c>
      <c r="U2055" s="59"/>
    </row>
    <row r="2056" spans="2:21" x14ac:dyDescent="0.25">
      <c r="B2056" s="54" t="str">
        <f>IFERROR(VLOOKUP(A2056,Lookup!A:B,2,0),"")</f>
        <v/>
      </c>
      <c r="C2056" s="54" t="str">
        <f>IFERROR(VLOOKUP(A2056,Lookup!A:C,3,0),"")</f>
        <v/>
      </c>
      <c r="J2056" s="103">
        <f>VLOOKUP(A2056&amp;G2056,Lookup!J:N,5,0)</f>
        <v>0</v>
      </c>
      <c r="O2056" s="57">
        <f>IFERROR(VLOOKUP(A2056&amp;G2056,Lookup!J:K,2,0),"")</f>
        <v>0</v>
      </c>
      <c r="P2056" s="110" t="str">
        <f t="shared" si="109"/>
        <v/>
      </c>
      <c r="T2056" s="59" t="e">
        <f t="shared" si="108"/>
        <v>#VALUE!</v>
      </c>
      <c r="U2056" s="59"/>
    </row>
    <row r="2057" spans="2:21" x14ac:dyDescent="0.25">
      <c r="B2057" s="54" t="str">
        <f>IFERROR(VLOOKUP(A2057,Lookup!A:B,2,0),"")</f>
        <v/>
      </c>
      <c r="C2057" s="54" t="str">
        <f>IFERROR(VLOOKUP(A2057,Lookup!A:C,3,0),"")</f>
        <v/>
      </c>
      <c r="J2057" s="103">
        <f>VLOOKUP(A2057&amp;G2057,Lookup!J:N,5,0)</f>
        <v>0</v>
      </c>
      <c r="O2057" s="57">
        <f>IFERROR(VLOOKUP(A2057&amp;G2057,Lookup!J:K,2,0),"")</f>
        <v>0</v>
      </c>
      <c r="P2057" s="110" t="str">
        <f t="shared" si="109"/>
        <v/>
      </c>
      <c r="T2057" s="59" t="e">
        <f t="shared" si="108"/>
        <v>#VALUE!</v>
      </c>
      <c r="U2057" s="59"/>
    </row>
    <row r="2058" spans="2:21" x14ac:dyDescent="0.25">
      <c r="B2058" s="54" t="str">
        <f>IFERROR(VLOOKUP(A2058,Lookup!A:B,2,0),"")</f>
        <v/>
      </c>
      <c r="C2058" s="54" t="str">
        <f>IFERROR(VLOOKUP(A2058,Lookup!A:C,3,0),"")</f>
        <v/>
      </c>
      <c r="J2058" s="103">
        <f>VLOOKUP(A2058&amp;G2058,Lookup!J:N,5,0)</f>
        <v>0</v>
      </c>
      <c r="O2058" s="57">
        <f>IFERROR(VLOOKUP(A2058&amp;G2058,Lookup!J:K,2,0),"")</f>
        <v>0</v>
      </c>
      <c r="P2058" s="110" t="str">
        <f t="shared" si="109"/>
        <v/>
      </c>
      <c r="T2058" s="59" t="e">
        <f t="shared" si="108"/>
        <v>#VALUE!</v>
      </c>
      <c r="U2058" s="59"/>
    </row>
    <row r="2059" spans="2:21" x14ac:dyDescent="0.25">
      <c r="B2059" s="54" t="str">
        <f>IFERROR(VLOOKUP(A2059,Lookup!A:B,2,0),"")</f>
        <v/>
      </c>
      <c r="C2059" s="54" t="str">
        <f>IFERROR(VLOOKUP(A2059,Lookup!A:C,3,0),"")</f>
        <v/>
      </c>
      <c r="J2059" s="103">
        <f>VLOOKUP(A2059&amp;G2059,Lookup!J:N,5,0)</f>
        <v>0</v>
      </c>
      <c r="O2059" s="57">
        <f>IFERROR(VLOOKUP(A2059&amp;G2059,Lookup!J:K,2,0),"")</f>
        <v>0</v>
      </c>
      <c r="P2059" s="110" t="str">
        <f t="shared" si="109"/>
        <v/>
      </c>
      <c r="T2059" s="59" t="e">
        <f t="shared" si="108"/>
        <v>#VALUE!</v>
      </c>
      <c r="U2059" s="59"/>
    </row>
    <row r="2060" spans="2:21" x14ac:dyDescent="0.25">
      <c r="B2060" s="54" t="str">
        <f>IFERROR(VLOOKUP(A2060,Lookup!A:B,2,0),"")</f>
        <v/>
      </c>
      <c r="C2060" s="54" t="str">
        <f>IFERROR(VLOOKUP(A2060,Lookup!A:C,3,0),"")</f>
        <v/>
      </c>
      <c r="J2060" s="103">
        <f>VLOOKUP(A2060&amp;G2060,Lookup!J:N,5,0)</f>
        <v>0</v>
      </c>
      <c r="O2060" s="57">
        <f>IFERROR(VLOOKUP(A2060&amp;G2060,Lookup!J:K,2,0),"")</f>
        <v>0</v>
      </c>
      <c r="P2060" s="110" t="str">
        <f t="shared" si="109"/>
        <v/>
      </c>
      <c r="T2060" s="59" t="e">
        <f t="shared" si="108"/>
        <v>#VALUE!</v>
      </c>
      <c r="U2060" s="59"/>
    </row>
    <row r="2061" spans="2:21" x14ac:dyDescent="0.25">
      <c r="B2061" s="54" t="str">
        <f>IFERROR(VLOOKUP(A2061,Lookup!A:B,2,0),"")</f>
        <v/>
      </c>
      <c r="C2061" s="54" t="str">
        <f>IFERROR(VLOOKUP(A2061,Lookup!A:C,3,0),"")</f>
        <v/>
      </c>
      <c r="J2061" s="103">
        <f>VLOOKUP(A2061&amp;G2061,Lookup!J:N,5,0)</f>
        <v>0</v>
      </c>
      <c r="O2061" s="57">
        <f>IFERROR(VLOOKUP(A2061&amp;G2061,Lookup!J:K,2,0),"")</f>
        <v>0</v>
      </c>
      <c r="P2061" s="110" t="str">
        <f t="shared" si="109"/>
        <v/>
      </c>
      <c r="T2061" s="59" t="e">
        <f t="shared" si="108"/>
        <v>#VALUE!</v>
      </c>
      <c r="U2061" s="59"/>
    </row>
    <row r="2062" spans="2:21" x14ac:dyDescent="0.25">
      <c r="B2062" s="54" t="str">
        <f>IFERROR(VLOOKUP(A2062,Lookup!A:B,2,0),"")</f>
        <v/>
      </c>
      <c r="C2062" s="54" t="str">
        <f>IFERROR(VLOOKUP(A2062,Lookup!A:C,3,0),"")</f>
        <v/>
      </c>
      <c r="J2062" s="103">
        <f>VLOOKUP(A2062&amp;G2062,Lookup!J:N,5,0)</f>
        <v>0</v>
      </c>
      <c r="O2062" s="57">
        <f>IFERROR(VLOOKUP(A2062&amp;G2062,Lookup!J:K,2,0),"")</f>
        <v>0</v>
      </c>
      <c r="P2062" s="110" t="str">
        <f t="shared" si="109"/>
        <v/>
      </c>
      <c r="T2062" s="59" t="e">
        <f t="shared" ref="T2062:T2102" si="110">IF(Q2062-P2062&gt;0.0415,"YES",(IF(OR(EXACT(Q2062,""), EXACT(P2062,"")),"","NO")))</f>
        <v>#VALUE!</v>
      </c>
      <c r="U2062" s="59"/>
    </row>
    <row r="2063" spans="2:21" x14ac:dyDescent="0.25">
      <c r="B2063" s="54" t="str">
        <f>IFERROR(VLOOKUP(A2063,Lookup!A:B,2,0),"")</f>
        <v/>
      </c>
      <c r="C2063" s="54" t="str">
        <f>IFERROR(VLOOKUP(A2063,Lookup!A:C,3,0),"")</f>
        <v/>
      </c>
      <c r="J2063" s="103">
        <f>VLOOKUP(A2063&amp;G2063,Lookup!J:N,5,0)</f>
        <v>0</v>
      </c>
      <c r="O2063" s="57">
        <f>IFERROR(VLOOKUP(A2063&amp;G2063,Lookup!J:K,2,0),"")</f>
        <v>0</v>
      </c>
      <c r="P2063" s="110" t="str">
        <f t="shared" si="109"/>
        <v/>
      </c>
      <c r="T2063" s="59" t="e">
        <f t="shared" si="110"/>
        <v>#VALUE!</v>
      </c>
      <c r="U2063" s="59"/>
    </row>
    <row r="2064" spans="2:21" x14ac:dyDescent="0.25">
      <c r="B2064" s="54" t="str">
        <f>IFERROR(VLOOKUP(A2064,Lookup!A:B,2,0),"")</f>
        <v/>
      </c>
      <c r="C2064" s="54" t="str">
        <f>IFERROR(VLOOKUP(A2064,Lookup!A:C,3,0),"")</f>
        <v/>
      </c>
      <c r="J2064" s="103">
        <f>VLOOKUP(A2064&amp;G2064,Lookup!J:N,5,0)</f>
        <v>0</v>
      </c>
      <c r="O2064" s="57">
        <f>IFERROR(VLOOKUP(A2064&amp;G2064,Lookup!J:K,2,0),"")</f>
        <v>0</v>
      </c>
      <c r="P2064" s="110" t="str">
        <f t="shared" si="109"/>
        <v/>
      </c>
      <c r="T2064" s="59" t="e">
        <f t="shared" si="110"/>
        <v>#VALUE!</v>
      </c>
      <c r="U2064" s="59"/>
    </row>
    <row r="2065" spans="2:21" x14ac:dyDescent="0.25">
      <c r="B2065" s="54" t="str">
        <f>IFERROR(VLOOKUP(A2065,Lookup!A:B,2,0),"")</f>
        <v/>
      </c>
      <c r="C2065" s="54" t="str">
        <f>IFERROR(VLOOKUP(A2065,Lookup!A:C,3,0),"")</f>
        <v/>
      </c>
      <c r="J2065" s="103">
        <f>VLOOKUP(A2065&amp;G2065,Lookup!J:N,5,0)</f>
        <v>0</v>
      </c>
      <c r="O2065" s="57">
        <f>IFERROR(VLOOKUP(A2065&amp;G2065,Lookup!J:K,2,0),"")</f>
        <v>0</v>
      </c>
      <c r="P2065" s="110" t="str">
        <f t="shared" si="109"/>
        <v/>
      </c>
      <c r="T2065" s="59" t="e">
        <f t="shared" si="110"/>
        <v>#VALUE!</v>
      </c>
      <c r="U2065" s="59"/>
    </row>
    <row r="2066" spans="2:21" x14ac:dyDescent="0.25">
      <c r="B2066" s="54" t="str">
        <f>IFERROR(VLOOKUP(A2066,Lookup!A:B,2,0),"")</f>
        <v/>
      </c>
      <c r="C2066" s="54" t="str">
        <f>IFERROR(VLOOKUP(A2066,Lookup!A:C,3,0),"")</f>
        <v/>
      </c>
      <c r="J2066" s="103">
        <f>VLOOKUP(A2066&amp;G2066,Lookup!J:N,5,0)</f>
        <v>0</v>
      </c>
      <c r="O2066" s="57">
        <f>IFERROR(VLOOKUP(A2066&amp;G2066,Lookup!J:K,2,0),"")</f>
        <v>0</v>
      </c>
      <c r="P2066" s="110" t="str">
        <f t="shared" si="109"/>
        <v/>
      </c>
      <c r="T2066" s="59" t="e">
        <f t="shared" si="110"/>
        <v>#VALUE!</v>
      </c>
      <c r="U2066" s="59"/>
    </row>
    <row r="2067" spans="2:21" x14ac:dyDescent="0.25">
      <c r="B2067" s="54" t="str">
        <f>IFERROR(VLOOKUP(A2067,Lookup!A:B,2,0),"")</f>
        <v/>
      </c>
      <c r="C2067" s="54" t="str">
        <f>IFERROR(VLOOKUP(A2067,Lookup!A:C,3,0),"")</f>
        <v/>
      </c>
      <c r="J2067" s="103">
        <f>VLOOKUP(A2067&amp;G2067,Lookup!J:N,5,0)</f>
        <v>0</v>
      </c>
      <c r="O2067" s="57">
        <f>IFERROR(VLOOKUP(A2067&amp;G2067,Lookup!J:K,2,0),"")</f>
        <v>0</v>
      </c>
      <c r="P2067" s="110" t="str">
        <f t="shared" si="109"/>
        <v/>
      </c>
      <c r="T2067" s="59" t="e">
        <f t="shared" si="110"/>
        <v>#VALUE!</v>
      </c>
      <c r="U2067" s="59"/>
    </row>
    <row r="2068" spans="2:21" x14ac:dyDescent="0.25">
      <c r="B2068" s="54" t="str">
        <f>IFERROR(VLOOKUP(A2068,Lookup!A:B,2,0),"")</f>
        <v/>
      </c>
      <c r="C2068" s="54" t="str">
        <f>IFERROR(VLOOKUP(A2068,Lookup!A:C,3,0),"")</f>
        <v/>
      </c>
      <c r="J2068" s="103">
        <f>VLOOKUP(A2068&amp;G2068,Lookup!J:N,5,0)</f>
        <v>0</v>
      </c>
      <c r="O2068" s="57">
        <f>IFERROR(VLOOKUP(A2068&amp;G2068,Lookup!J:K,2,0),"")</f>
        <v>0</v>
      </c>
      <c r="P2068" s="110" t="str">
        <f t="shared" si="109"/>
        <v/>
      </c>
      <c r="T2068" s="59" t="e">
        <f t="shared" si="110"/>
        <v>#VALUE!</v>
      </c>
      <c r="U2068" s="59"/>
    </row>
    <row r="2069" spans="2:21" x14ac:dyDescent="0.25">
      <c r="B2069" s="54" t="str">
        <f>IFERROR(VLOOKUP(A2069,Lookup!A:B,2,0),"")</f>
        <v/>
      </c>
      <c r="C2069" s="54" t="str">
        <f>IFERROR(VLOOKUP(A2069,Lookup!A:C,3,0),"")</f>
        <v/>
      </c>
      <c r="J2069" s="103">
        <f>VLOOKUP(A2069&amp;G2069,Lookup!J:N,5,0)</f>
        <v>0</v>
      </c>
      <c r="O2069" s="57">
        <f>IFERROR(VLOOKUP(A2069&amp;G2069,Lookup!J:K,2,0),"")</f>
        <v>0</v>
      </c>
      <c r="P2069" s="110" t="str">
        <f t="shared" si="109"/>
        <v/>
      </c>
      <c r="T2069" s="59" t="e">
        <f t="shared" si="110"/>
        <v>#VALUE!</v>
      </c>
      <c r="U2069" s="59"/>
    </row>
    <row r="2070" spans="2:21" x14ac:dyDescent="0.25">
      <c r="B2070" s="54" t="str">
        <f>IFERROR(VLOOKUP(A2070,Lookup!A:B,2,0),"")</f>
        <v/>
      </c>
      <c r="C2070" s="54" t="str">
        <f>IFERROR(VLOOKUP(A2070,Lookup!A:C,3,0),"")</f>
        <v/>
      </c>
      <c r="J2070" s="103">
        <f>VLOOKUP(A2070&amp;G2070,Lookup!J:N,5,0)</f>
        <v>0</v>
      </c>
      <c r="O2070" s="57">
        <f>IFERROR(VLOOKUP(A2070&amp;G2070,Lookup!J:K,2,0),"")</f>
        <v>0</v>
      </c>
      <c r="P2070" s="110" t="str">
        <f t="shared" si="109"/>
        <v/>
      </c>
      <c r="T2070" s="59" t="e">
        <f t="shared" si="110"/>
        <v>#VALUE!</v>
      </c>
      <c r="U2070" s="59"/>
    </row>
    <row r="2071" spans="2:21" x14ac:dyDescent="0.25">
      <c r="B2071" s="54" t="str">
        <f>IFERROR(VLOOKUP(A2071,Lookup!A:B,2,0),"")</f>
        <v/>
      </c>
      <c r="C2071" s="54" t="str">
        <f>IFERROR(VLOOKUP(A2071,Lookup!A:C,3,0),"")</f>
        <v/>
      </c>
      <c r="J2071" s="103">
        <f>VLOOKUP(A2071&amp;G2071,Lookup!J:N,5,0)</f>
        <v>0</v>
      </c>
      <c r="O2071" s="57">
        <f>IFERROR(VLOOKUP(A2071&amp;G2071,Lookup!J:K,2,0),"")</f>
        <v>0</v>
      </c>
      <c r="P2071" s="110" t="str">
        <f t="shared" si="109"/>
        <v/>
      </c>
      <c r="T2071" s="59" t="e">
        <f t="shared" si="110"/>
        <v>#VALUE!</v>
      </c>
      <c r="U2071" s="59"/>
    </row>
    <row r="2072" spans="2:21" x14ac:dyDescent="0.25">
      <c r="B2072" s="54" t="str">
        <f>IFERROR(VLOOKUP(A2072,Lookup!A:B,2,0),"")</f>
        <v/>
      </c>
      <c r="C2072" s="54" t="str">
        <f>IFERROR(VLOOKUP(A2072,Lookup!A:C,3,0),"")</f>
        <v/>
      </c>
      <c r="J2072" s="103">
        <f>VLOOKUP(A2072&amp;G2072,Lookup!J:N,5,0)</f>
        <v>0</v>
      </c>
      <c r="O2072" s="57">
        <f>IFERROR(VLOOKUP(A2072&amp;G2072,Lookup!J:K,2,0),"")</f>
        <v>0</v>
      </c>
      <c r="P2072" s="110" t="str">
        <f t="shared" si="109"/>
        <v/>
      </c>
      <c r="T2072" s="59" t="e">
        <f t="shared" si="110"/>
        <v>#VALUE!</v>
      </c>
      <c r="U2072" s="59"/>
    </row>
    <row r="2073" spans="2:21" x14ac:dyDescent="0.25">
      <c r="B2073" s="54" t="str">
        <f>IFERROR(VLOOKUP(A2073,Lookup!A:B,2,0),"")</f>
        <v/>
      </c>
      <c r="C2073" s="54" t="str">
        <f>IFERROR(VLOOKUP(A2073,Lookup!A:C,3,0),"")</f>
        <v/>
      </c>
      <c r="J2073" s="103">
        <f>VLOOKUP(A2073&amp;G2073,Lookup!J:N,5,0)</f>
        <v>0</v>
      </c>
      <c r="O2073" s="57">
        <f>IFERROR(VLOOKUP(A2073&amp;G2073,Lookup!J:K,2,0),"")</f>
        <v>0</v>
      </c>
      <c r="P2073" s="110" t="str">
        <f t="shared" si="109"/>
        <v/>
      </c>
      <c r="T2073" s="59" t="e">
        <f t="shared" si="110"/>
        <v>#VALUE!</v>
      </c>
      <c r="U2073" s="59"/>
    </row>
    <row r="2074" spans="2:21" x14ac:dyDescent="0.25">
      <c r="B2074" s="54" t="str">
        <f>IFERROR(VLOOKUP(A2074,Lookup!A:B,2,0),"")</f>
        <v/>
      </c>
      <c r="C2074" s="54" t="str">
        <f>IFERROR(VLOOKUP(A2074,Lookup!A:C,3,0),"")</f>
        <v/>
      </c>
      <c r="J2074" s="103">
        <f>VLOOKUP(A2074&amp;G2074,Lookup!J:N,5,0)</f>
        <v>0</v>
      </c>
      <c r="O2074" s="57">
        <f>IFERROR(VLOOKUP(A2074&amp;G2074,Lookup!J:K,2,0),"")</f>
        <v>0</v>
      </c>
      <c r="P2074" s="110" t="str">
        <f t="shared" si="109"/>
        <v/>
      </c>
      <c r="T2074" s="59" t="e">
        <f t="shared" si="110"/>
        <v>#VALUE!</v>
      </c>
      <c r="U2074" s="59"/>
    </row>
    <row r="2075" spans="2:21" x14ac:dyDescent="0.25">
      <c r="B2075" s="54" t="str">
        <f>IFERROR(VLOOKUP(A2075,Lookup!A:B,2,0),"")</f>
        <v/>
      </c>
      <c r="C2075" s="54" t="str">
        <f>IFERROR(VLOOKUP(A2075,Lookup!A:C,3,0),"")</f>
        <v/>
      </c>
      <c r="J2075" s="103">
        <f>VLOOKUP(A2075&amp;G2075,Lookup!J:N,5,0)</f>
        <v>0</v>
      </c>
      <c r="O2075" s="57">
        <f>IFERROR(VLOOKUP(A2075&amp;G2075,Lookup!J:K,2,0),"")</f>
        <v>0</v>
      </c>
      <c r="P2075" s="110" t="str">
        <f t="shared" si="109"/>
        <v/>
      </c>
      <c r="T2075" s="59" t="e">
        <f t="shared" si="110"/>
        <v>#VALUE!</v>
      </c>
      <c r="U2075" s="59"/>
    </row>
    <row r="2076" spans="2:21" x14ac:dyDescent="0.25">
      <c r="B2076" s="54" t="str">
        <f>IFERROR(VLOOKUP(A2076,Lookup!A:B,2,0),"")</f>
        <v/>
      </c>
      <c r="C2076" s="54" t="str">
        <f>IFERROR(VLOOKUP(A2076,Lookup!A:C,3,0),"")</f>
        <v/>
      </c>
      <c r="J2076" s="103">
        <f>VLOOKUP(A2076&amp;G2076,Lookup!J:N,5,0)</f>
        <v>0</v>
      </c>
      <c r="O2076" s="57">
        <f>IFERROR(VLOOKUP(A2076&amp;G2076,Lookup!J:K,2,0),"")</f>
        <v>0</v>
      </c>
      <c r="P2076" s="110" t="str">
        <f t="shared" si="109"/>
        <v/>
      </c>
      <c r="T2076" s="59" t="e">
        <f t="shared" si="110"/>
        <v>#VALUE!</v>
      </c>
      <c r="U2076" s="59"/>
    </row>
    <row r="2077" spans="2:21" x14ac:dyDescent="0.25">
      <c r="B2077" s="54" t="str">
        <f>IFERROR(VLOOKUP(A2077,Lookup!A:B,2,0),"")</f>
        <v/>
      </c>
      <c r="C2077" s="54" t="str">
        <f>IFERROR(VLOOKUP(A2077,Lookup!A:C,3,0),"")</f>
        <v/>
      </c>
      <c r="J2077" s="103">
        <f>VLOOKUP(A2077&amp;G2077,Lookup!J:N,5,0)</f>
        <v>0</v>
      </c>
      <c r="O2077" s="57">
        <f>IFERROR(VLOOKUP(A2077&amp;G2077,Lookup!J:K,2,0),"")</f>
        <v>0</v>
      </c>
      <c r="P2077" s="110" t="str">
        <f t="shared" si="109"/>
        <v/>
      </c>
      <c r="T2077" s="59" t="e">
        <f t="shared" si="110"/>
        <v>#VALUE!</v>
      </c>
      <c r="U2077" s="59"/>
    </row>
    <row r="2078" spans="2:21" x14ac:dyDescent="0.25">
      <c r="B2078" s="54" t="str">
        <f>IFERROR(VLOOKUP(A2078,Lookup!A:B,2,0),"")</f>
        <v/>
      </c>
      <c r="C2078" s="54" t="str">
        <f>IFERROR(VLOOKUP(A2078,Lookup!A:C,3,0),"")</f>
        <v/>
      </c>
      <c r="J2078" s="103">
        <f>VLOOKUP(A2078&amp;G2078,Lookup!J:N,5,0)</f>
        <v>0</v>
      </c>
      <c r="O2078" s="57">
        <f>IFERROR(VLOOKUP(A2078&amp;G2078,Lookup!J:K,2,0),"")</f>
        <v>0</v>
      </c>
      <c r="P2078" s="110" t="str">
        <f t="shared" si="109"/>
        <v/>
      </c>
      <c r="T2078" s="59" t="e">
        <f t="shared" si="110"/>
        <v>#VALUE!</v>
      </c>
      <c r="U2078" s="59"/>
    </row>
    <row r="2079" spans="2:21" x14ac:dyDescent="0.25">
      <c r="B2079" s="54" t="str">
        <f>IFERROR(VLOOKUP(A2079,Lookup!A:B,2,0),"")</f>
        <v/>
      </c>
      <c r="C2079" s="54" t="str">
        <f>IFERROR(VLOOKUP(A2079,Lookup!A:C,3,0),"")</f>
        <v/>
      </c>
      <c r="J2079" s="103">
        <f>VLOOKUP(A2079&amp;G2079,Lookup!J:N,5,0)</f>
        <v>0</v>
      </c>
      <c r="O2079" s="57">
        <f>IFERROR(VLOOKUP(A2079&amp;G2079,Lookup!J:K,2,0),"")</f>
        <v>0</v>
      </c>
      <c r="P2079" s="110" t="str">
        <f t="shared" si="109"/>
        <v/>
      </c>
      <c r="T2079" s="59" t="e">
        <f t="shared" si="110"/>
        <v>#VALUE!</v>
      </c>
      <c r="U2079" s="59"/>
    </row>
    <row r="2080" spans="2:21" x14ac:dyDescent="0.25">
      <c r="B2080" s="54" t="str">
        <f>IFERROR(VLOOKUP(A2080,Lookup!A:B,2,0),"")</f>
        <v/>
      </c>
      <c r="C2080" s="54" t="str">
        <f>IFERROR(VLOOKUP(A2080,Lookup!A:C,3,0),"")</f>
        <v/>
      </c>
      <c r="J2080" s="103">
        <f>VLOOKUP(A2080&amp;G2080,Lookup!J:N,5,0)</f>
        <v>0</v>
      </c>
      <c r="O2080" s="57">
        <f>IFERROR(VLOOKUP(A2080&amp;G2080,Lookup!J:K,2,0),"")</f>
        <v>0</v>
      </c>
      <c r="P2080" s="110" t="str">
        <f t="shared" si="109"/>
        <v/>
      </c>
      <c r="T2080" s="59" t="e">
        <f t="shared" si="110"/>
        <v>#VALUE!</v>
      </c>
      <c r="U2080" s="59"/>
    </row>
    <row r="2081" spans="2:21" x14ac:dyDescent="0.25">
      <c r="B2081" s="54" t="str">
        <f>IFERROR(VLOOKUP(A2081,Lookup!A:B,2,0),"")</f>
        <v/>
      </c>
      <c r="C2081" s="54" t="str">
        <f>IFERROR(VLOOKUP(A2081,Lookup!A:C,3,0),"")</f>
        <v/>
      </c>
      <c r="J2081" s="103">
        <f>VLOOKUP(A2081&amp;G2081,Lookup!J:N,5,0)</f>
        <v>0</v>
      </c>
      <c r="O2081" s="57">
        <f>IFERROR(VLOOKUP(A2081&amp;G2081,Lookup!J:K,2,0),"")</f>
        <v>0</v>
      </c>
      <c r="P2081" s="110" t="str">
        <f t="shared" si="109"/>
        <v/>
      </c>
      <c r="T2081" s="59" t="e">
        <f t="shared" si="110"/>
        <v>#VALUE!</v>
      </c>
      <c r="U2081" s="59"/>
    </row>
    <row r="2082" spans="2:21" x14ac:dyDescent="0.25">
      <c r="B2082" s="54" t="str">
        <f>IFERROR(VLOOKUP(A2082,Lookup!A:B,2,0),"")</f>
        <v/>
      </c>
      <c r="C2082" s="54" t="str">
        <f>IFERROR(VLOOKUP(A2082,Lookup!A:C,3,0),"")</f>
        <v/>
      </c>
      <c r="J2082" s="103">
        <f>VLOOKUP(A2082&amp;G2082,Lookup!J:N,5,0)</f>
        <v>0</v>
      </c>
      <c r="O2082" s="57">
        <f>IFERROR(VLOOKUP(A2082&amp;G2082,Lookup!J:K,2,0),"")</f>
        <v>0</v>
      </c>
      <c r="P2082" s="110" t="str">
        <f t="shared" si="109"/>
        <v/>
      </c>
      <c r="T2082" s="59" t="e">
        <f t="shared" si="110"/>
        <v>#VALUE!</v>
      </c>
      <c r="U2082" s="59"/>
    </row>
    <row r="2083" spans="2:21" x14ac:dyDescent="0.25">
      <c r="B2083" s="54" t="str">
        <f>IFERROR(VLOOKUP(A2083,Lookup!A:B,2,0),"")</f>
        <v/>
      </c>
      <c r="C2083" s="54" t="str">
        <f>IFERROR(VLOOKUP(A2083,Lookup!A:C,3,0),"")</f>
        <v/>
      </c>
      <c r="J2083" s="103">
        <f>VLOOKUP(A2083&amp;G2083,Lookup!J:N,5,0)</f>
        <v>0</v>
      </c>
      <c r="O2083" s="57">
        <f>IFERROR(VLOOKUP(A2083&amp;G2083,Lookup!J:K,2,0),"")</f>
        <v>0</v>
      </c>
      <c r="P2083" s="110" t="str">
        <f t="shared" si="109"/>
        <v/>
      </c>
      <c r="T2083" s="59" t="e">
        <f t="shared" si="110"/>
        <v>#VALUE!</v>
      </c>
      <c r="U2083" s="59"/>
    </row>
    <row r="2084" spans="2:21" x14ac:dyDescent="0.25">
      <c r="B2084" s="54" t="str">
        <f>IFERROR(VLOOKUP(A2084,Lookup!A:B,2,0),"")</f>
        <v/>
      </c>
      <c r="C2084" s="54" t="str">
        <f>IFERROR(VLOOKUP(A2084,Lookup!A:C,3,0),"")</f>
        <v/>
      </c>
      <c r="J2084" s="103">
        <f>VLOOKUP(A2084&amp;G2084,Lookup!J:N,5,0)</f>
        <v>0</v>
      </c>
      <c r="O2084" s="57">
        <f>IFERROR(VLOOKUP(A2084&amp;G2084,Lookup!J:K,2,0),"")</f>
        <v>0</v>
      </c>
      <c r="P2084" s="110" t="str">
        <f t="shared" si="109"/>
        <v/>
      </c>
      <c r="T2084" s="59" t="e">
        <f t="shared" si="110"/>
        <v>#VALUE!</v>
      </c>
      <c r="U2084" s="59"/>
    </row>
    <row r="2085" spans="2:21" x14ac:dyDescent="0.25">
      <c r="B2085" s="54" t="str">
        <f>IFERROR(VLOOKUP(A2085,Lookup!A:B,2,0),"")</f>
        <v/>
      </c>
      <c r="C2085" s="54" t="str">
        <f>IFERROR(VLOOKUP(A2085,Lookup!A:C,3,0),"")</f>
        <v/>
      </c>
      <c r="J2085" s="103">
        <f>VLOOKUP(A2085&amp;G2085,Lookup!J:N,5,0)</f>
        <v>0</v>
      </c>
      <c r="O2085" s="57">
        <f>IFERROR(VLOOKUP(A2085&amp;G2085,Lookup!J:K,2,0),"")</f>
        <v>0</v>
      </c>
      <c r="P2085" s="110" t="str">
        <f t="shared" si="109"/>
        <v/>
      </c>
      <c r="T2085" s="59" t="e">
        <f t="shared" si="110"/>
        <v>#VALUE!</v>
      </c>
      <c r="U2085" s="59"/>
    </row>
    <row r="2086" spans="2:21" x14ac:dyDescent="0.25">
      <c r="B2086" s="54" t="str">
        <f>IFERROR(VLOOKUP(A2086,Lookup!A:B,2,0),"")</f>
        <v/>
      </c>
      <c r="C2086" s="54" t="str">
        <f>IFERROR(VLOOKUP(A2086,Lookup!A:C,3,0),"")</f>
        <v/>
      </c>
      <c r="J2086" s="103">
        <f>VLOOKUP(A2086&amp;G2086,Lookup!J:N,5,0)</f>
        <v>0</v>
      </c>
      <c r="O2086" s="57">
        <f>IFERROR(VLOOKUP(A2086&amp;G2086,Lookup!J:K,2,0),"")</f>
        <v>0</v>
      </c>
      <c r="P2086" s="110" t="str">
        <f t="shared" si="109"/>
        <v/>
      </c>
      <c r="T2086" s="59" t="e">
        <f t="shared" si="110"/>
        <v>#VALUE!</v>
      </c>
      <c r="U2086" s="59"/>
    </row>
    <row r="2087" spans="2:21" x14ac:dyDescent="0.25">
      <c r="B2087" s="54" t="str">
        <f>IFERROR(VLOOKUP(A2087,Lookup!A:B,2,0),"")</f>
        <v/>
      </c>
      <c r="C2087" s="54" t="str">
        <f>IFERROR(VLOOKUP(A2087,Lookup!A:C,3,0),"")</f>
        <v/>
      </c>
      <c r="J2087" s="103">
        <f>VLOOKUP(A2087&amp;G2087,Lookup!J:N,5,0)</f>
        <v>0</v>
      </c>
      <c r="O2087" s="57">
        <f>IFERROR(VLOOKUP(A2087&amp;G2087,Lookup!J:K,2,0),"")</f>
        <v>0</v>
      </c>
      <c r="P2087" s="110" t="str">
        <f t="shared" si="109"/>
        <v/>
      </c>
      <c r="T2087" s="59" t="e">
        <f t="shared" si="110"/>
        <v>#VALUE!</v>
      </c>
      <c r="U2087" s="59"/>
    </row>
    <row r="2088" spans="2:21" x14ac:dyDescent="0.25">
      <c r="B2088" s="54" t="str">
        <f>IFERROR(VLOOKUP(A2088,Lookup!A:B,2,0),"")</f>
        <v/>
      </c>
      <c r="C2088" s="54" t="str">
        <f>IFERROR(VLOOKUP(A2088,Lookup!A:C,3,0),"")</f>
        <v/>
      </c>
      <c r="J2088" s="103">
        <f>VLOOKUP(A2088&amp;G2088,Lookup!J:N,5,0)</f>
        <v>0</v>
      </c>
      <c r="O2088" s="57">
        <f>IFERROR(VLOOKUP(A2088&amp;G2088,Lookup!J:K,2,0),"")</f>
        <v>0</v>
      </c>
      <c r="P2088" s="110" t="str">
        <f t="shared" si="109"/>
        <v/>
      </c>
      <c r="T2088" s="59" t="e">
        <f t="shared" si="110"/>
        <v>#VALUE!</v>
      </c>
      <c r="U2088" s="59"/>
    </row>
    <row r="2089" spans="2:21" x14ac:dyDescent="0.25">
      <c r="B2089" s="54" t="str">
        <f>IFERROR(VLOOKUP(A2089,Lookup!A:B,2,0),"")</f>
        <v/>
      </c>
      <c r="C2089" s="54" t="str">
        <f>IFERROR(VLOOKUP(A2089,Lookup!A:C,3,0),"")</f>
        <v/>
      </c>
      <c r="J2089" s="103">
        <f>VLOOKUP(A2089&amp;G2089,Lookup!J:N,5,0)</f>
        <v>0</v>
      </c>
      <c r="O2089" s="57">
        <f>IFERROR(VLOOKUP(A2089&amp;G2089,Lookup!J:K,2,0),"")</f>
        <v>0</v>
      </c>
      <c r="P2089" s="110" t="str">
        <f t="shared" si="109"/>
        <v/>
      </c>
      <c r="T2089" s="59" t="e">
        <f t="shared" si="110"/>
        <v>#VALUE!</v>
      </c>
      <c r="U2089" s="59"/>
    </row>
    <row r="2090" spans="2:21" x14ac:dyDescent="0.25">
      <c r="B2090" s="54" t="str">
        <f>IFERROR(VLOOKUP(A2090,Lookup!A:B,2,0),"")</f>
        <v/>
      </c>
      <c r="C2090" s="54" t="str">
        <f>IFERROR(VLOOKUP(A2090,Lookup!A:C,3,0),"")</f>
        <v/>
      </c>
      <c r="J2090" s="103">
        <f>VLOOKUP(A2090&amp;G2090,Lookup!J:N,5,0)</f>
        <v>0</v>
      </c>
      <c r="O2090" s="57">
        <f>IFERROR(VLOOKUP(A2090&amp;G2090,Lookup!J:K,2,0),"")</f>
        <v>0</v>
      </c>
      <c r="P2090" s="110" t="str">
        <f t="shared" si="109"/>
        <v/>
      </c>
      <c r="T2090" s="59" t="e">
        <f t="shared" si="110"/>
        <v>#VALUE!</v>
      </c>
      <c r="U2090" s="59"/>
    </row>
    <row r="2091" spans="2:21" x14ac:dyDescent="0.25">
      <c r="B2091" s="54" t="str">
        <f>IFERROR(VLOOKUP(A2091,Lookup!A:B,2,0),"")</f>
        <v/>
      </c>
      <c r="C2091" s="54" t="str">
        <f>IFERROR(VLOOKUP(A2091,Lookup!A:C,3,0),"")</f>
        <v/>
      </c>
      <c r="J2091" s="103">
        <f>VLOOKUP(A2091&amp;G2091,Lookup!J:N,5,0)</f>
        <v>0</v>
      </c>
      <c r="O2091" s="57">
        <f>IFERROR(VLOOKUP(A2091&amp;G2091,Lookup!J:K,2,0),"")</f>
        <v>0</v>
      </c>
      <c r="P2091" s="110" t="str">
        <f t="shared" si="109"/>
        <v/>
      </c>
      <c r="T2091" s="59" t="e">
        <f t="shared" si="110"/>
        <v>#VALUE!</v>
      </c>
      <c r="U2091" s="59"/>
    </row>
    <row r="2092" spans="2:21" x14ac:dyDescent="0.25">
      <c r="B2092" s="54" t="str">
        <f>IFERROR(VLOOKUP(A2092,Lookup!A:B,2,0),"")</f>
        <v/>
      </c>
      <c r="C2092" s="54" t="str">
        <f>IFERROR(VLOOKUP(A2092,Lookup!A:C,3,0),"")</f>
        <v/>
      </c>
      <c r="J2092" s="103">
        <f>VLOOKUP(A2092&amp;G2092,Lookup!J:N,5,0)</f>
        <v>0</v>
      </c>
      <c r="O2092" s="57">
        <f>IFERROR(VLOOKUP(A2092&amp;G2092,Lookup!J:K,2,0),"")</f>
        <v>0</v>
      </c>
      <c r="P2092" s="110" t="str">
        <f t="shared" si="109"/>
        <v/>
      </c>
      <c r="T2092" s="59" t="e">
        <f t="shared" si="110"/>
        <v>#VALUE!</v>
      </c>
      <c r="U2092" s="59"/>
    </row>
    <row r="2093" spans="2:21" x14ac:dyDescent="0.25">
      <c r="B2093" s="54" t="str">
        <f>IFERROR(VLOOKUP(A2093,Lookup!A:B,2,0),"")</f>
        <v/>
      </c>
      <c r="C2093" s="54" t="str">
        <f>IFERROR(VLOOKUP(A2093,Lookup!A:C,3,0),"")</f>
        <v/>
      </c>
      <c r="J2093" s="103">
        <f>VLOOKUP(A2093&amp;G2093,Lookup!J:N,5,0)</f>
        <v>0</v>
      </c>
      <c r="O2093" s="57">
        <f>IFERROR(VLOOKUP(A2093&amp;G2093,Lookup!J:K,2,0),"")</f>
        <v>0</v>
      </c>
      <c r="P2093" s="110" t="str">
        <f t="shared" si="109"/>
        <v/>
      </c>
      <c r="T2093" s="59" t="e">
        <f t="shared" si="110"/>
        <v>#VALUE!</v>
      </c>
      <c r="U2093" s="59"/>
    </row>
    <row r="2094" spans="2:21" x14ac:dyDescent="0.25">
      <c r="B2094" s="54" t="str">
        <f>IFERROR(VLOOKUP(A2094,Lookup!A:B,2,0),"")</f>
        <v/>
      </c>
      <c r="C2094" s="54" t="str">
        <f>IFERROR(VLOOKUP(A2094,Lookup!A:C,3,0),"")</f>
        <v/>
      </c>
      <c r="J2094" s="103">
        <f>VLOOKUP(A2094&amp;G2094,Lookup!J:N,5,0)</f>
        <v>0</v>
      </c>
      <c r="O2094" s="57">
        <f>IFERROR(VLOOKUP(A2094&amp;G2094,Lookup!J:K,2,0),"")</f>
        <v>0</v>
      </c>
      <c r="P2094" s="110" t="str">
        <f t="shared" si="109"/>
        <v/>
      </c>
      <c r="T2094" s="59" t="e">
        <f t="shared" si="110"/>
        <v>#VALUE!</v>
      </c>
      <c r="U2094" s="59"/>
    </row>
    <row r="2095" spans="2:21" x14ac:dyDescent="0.25">
      <c r="B2095" s="54" t="str">
        <f>IFERROR(VLOOKUP(A2095,Lookup!A:B,2,0),"")</f>
        <v/>
      </c>
      <c r="C2095" s="54" t="str">
        <f>IFERROR(VLOOKUP(A2095,Lookup!A:C,3,0),"")</f>
        <v/>
      </c>
      <c r="J2095" s="103">
        <f>VLOOKUP(A2095&amp;G2095,Lookup!J:N,5,0)</f>
        <v>0</v>
      </c>
      <c r="O2095" s="57">
        <f>IFERROR(VLOOKUP(A2095&amp;G2095,Lookup!J:K,2,0),"")</f>
        <v>0</v>
      </c>
      <c r="P2095" s="110" t="str">
        <f t="shared" si="109"/>
        <v/>
      </c>
      <c r="T2095" s="59" t="e">
        <f t="shared" si="110"/>
        <v>#VALUE!</v>
      </c>
      <c r="U2095" s="59"/>
    </row>
    <row r="2096" spans="2:21" x14ac:dyDescent="0.25">
      <c r="B2096" s="54" t="str">
        <f>IFERROR(VLOOKUP(A2096,Lookup!A:B,2,0),"")</f>
        <v/>
      </c>
      <c r="C2096" s="54" t="str">
        <f>IFERROR(VLOOKUP(A2096,Lookup!A:C,3,0),"")</f>
        <v/>
      </c>
      <c r="J2096" s="103">
        <f>VLOOKUP(A2096&amp;G2096,Lookup!J:N,5,0)</f>
        <v>0</v>
      </c>
      <c r="O2096" s="57">
        <f>IFERROR(VLOOKUP(A2096&amp;G2096,Lookup!J:K,2,0),"")</f>
        <v>0</v>
      </c>
      <c r="P2096" s="110" t="str">
        <f t="shared" si="109"/>
        <v/>
      </c>
      <c r="T2096" s="59" t="e">
        <f t="shared" si="110"/>
        <v>#VALUE!</v>
      </c>
      <c r="U2096" s="59"/>
    </row>
    <row r="2097" spans="2:21" x14ac:dyDescent="0.25">
      <c r="B2097" s="54" t="str">
        <f>IFERROR(VLOOKUP(A2097,Lookup!A:B,2,0),"")</f>
        <v/>
      </c>
      <c r="C2097" s="54" t="str">
        <f>IFERROR(VLOOKUP(A2097,Lookup!A:C,3,0),"")</f>
        <v/>
      </c>
      <c r="J2097" s="103">
        <f>VLOOKUP(A2097&amp;G2097,Lookup!J:N,5,0)</f>
        <v>0</v>
      </c>
      <c r="O2097" s="57">
        <f>IFERROR(VLOOKUP(A2097&amp;G2097,Lookup!J:K,2,0),"")</f>
        <v>0</v>
      </c>
      <c r="P2097" s="110" t="str">
        <f t="shared" si="109"/>
        <v/>
      </c>
      <c r="T2097" s="59" t="e">
        <f t="shared" si="110"/>
        <v>#VALUE!</v>
      </c>
      <c r="U2097" s="59"/>
    </row>
    <row r="2098" spans="2:21" x14ac:dyDescent="0.25">
      <c r="B2098" s="54" t="str">
        <f>IFERROR(VLOOKUP(A2098,Lookup!A:B,2,0),"")</f>
        <v/>
      </c>
      <c r="C2098" s="54" t="str">
        <f>IFERROR(VLOOKUP(A2098,Lookup!A:C,3,0),"")</f>
        <v/>
      </c>
      <c r="J2098" s="103">
        <f>VLOOKUP(A2098&amp;G2098,Lookup!J:N,5,0)</f>
        <v>0</v>
      </c>
      <c r="O2098" s="57">
        <f>IFERROR(VLOOKUP(A2098&amp;G2098,Lookup!J:K,2,0),"")</f>
        <v>0</v>
      </c>
      <c r="P2098" s="110" t="str">
        <f t="shared" si="109"/>
        <v/>
      </c>
      <c r="T2098" s="59" t="e">
        <f t="shared" si="110"/>
        <v>#VALUE!</v>
      </c>
      <c r="U2098" s="59"/>
    </row>
    <row r="2099" spans="2:21" x14ac:dyDescent="0.25">
      <c r="B2099" s="54" t="str">
        <f>IFERROR(VLOOKUP(A2099,Lookup!A:B,2,0),"")</f>
        <v/>
      </c>
      <c r="C2099" s="54" t="str">
        <f>IFERROR(VLOOKUP(A2099,Lookup!A:C,3,0),"")</f>
        <v/>
      </c>
      <c r="J2099" s="103">
        <f>VLOOKUP(A2099&amp;G2099,Lookup!J:N,5,0)</f>
        <v>0</v>
      </c>
      <c r="O2099" s="57">
        <f>IFERROR(VLOOKUP(A2099&amp;G2099,Lookup!J:K,2,0),"")</f>
        <v>0</v>
      </c>
      <c r="P2099" s="110" t="str">
        <f t="shared" si="109"/>
        <v/>
      </c>
      <c r="T2099" s="59" t="e">
        <f t="shared" si="110"/>
        <v>#VALUE!</v>
      </c>
      <c r="U2099" s="59"/>
    </row>
    <row r="2100" spans="2:21" x14ac:dyDescent="0.25">
      <c r="B2100" s="54" t="str">
        <f>IFERROR(VLOOKUP(A2100,Lookup!A:B,2,0),"")</f>
        <v/>
      </c>
      <c r="C2100" s="54" t="str">
        <f>IFERROR(VLOOKUP(A2100,Lookup!A:C,3,0),"")</f>
        <v/>
      </c>
      <c r="J2100" s="103">
        <f>VLOOKUP(A2100&amp;G2100,Lookup!J:N,5,0)</f>
        <v>0</v>
      </c>
      <c r="O2100" s="57">
        <f>IFERROR(VLOOKUP(A2100&amp;G2100,Lookup!J:K,2,0),"")</f>
        <v>0</v>
      </c>
      <c r="P2100" s="110" t="str">
        <f t="shared" si="109"/>
        <v/>
      </c>
      <c r="T2100" s="59" t="e">
        <f t="shared" si="110"/>
        <v>#VALUE!</v>
      </c>
      <c r="U2100" s="59"/>
    </row>
    <row r="2101" spans="2:21" x14ac:dyDescent="0.25">
      <c r="B2101" s="54" t="str">
        <f>IFERROR(VLOOKUP(A2101,Lookup!A:B,2,0),"")</f>
        <v/>
      </c>
      <c r="C2101" s="54" t="str">
        <f>IFERROR(VLOOKUP(A2101,Lookup!A:C,3,0),"")</f>
        <v/>
      </c>
      <c r="J2101" s="103">
        <f>VLOOKUP(A2101&amp;G2101,Lookup!J:N,5,0)</f>
        <v>0</v>
      </c>
      <c r="O2101" s="57">
        <f>IFERROR(VLOOKUP(A2101&amp;G2101,Lookup!J:K,2,0),"")</f>
        <v>0</v>
      </c>
      <c r="P2101" s="110" t="str">
        <f t="shared" si="109"/>
        <v/>
      </c>
      <c r="T2101" s="59" t="e">
        <f t="shared" si="110"/>
        <v>#VALUE!</v>
      </c>
      <c r="U2101" s="59"/>
    </row>
    <row r="2102" spans="2:21" x14ac:dyDescent="0.25">
      <c r="B2102" s="54" t="str">
        <f>IFERROR(VLOOKUP(A2102,Lookup!A:B,2,0),"")</f>
        <v/>
      </c>
      <c r="C2102" s="54" t="str">
        <f>IFERROR(VLOOKUP(A2102,Lookup!A:C,3,0),"")</f>
        <v/>
      </c>
      <c r="J2102" s="103">
        <f>VLOOKUP(A2102&amp;G2102,Lookup!J:N,5,0)</f>
        <v>0</v>
      </c>
      <c r="O2102" s="57">
        <f>IFERROR(VLOOKUP(A2102&amp;G2102,Lookup!J:K,2,0),"")</f>
        <v>0</v>
      </c>
      <c r="P2102" s="110" t="str">
        <f t="shared" si="109"/>
        <v/>
      </c>
      <c r="T2102" s="59" t="e">
        <f t="shared" si="110"/>
        <v>#VALUE!</v>
      </c>
      <c r="U2102" s="59"/>
    </row>
  </sheetData>
  <sortState ref="A4:X100">
    <sortCondition ref="X3"/>
  </sortState>
  <mergeCells count="3">
    <mergeCell ref="A1:B2"/>
    <mergeCell ref="Q1:X2"/>
    <mergeCell ref="D1:N2"/>
  </mergeCells>
  <conditionalFormatting sqref="V4:V1048576">
    <cfRule type="cellIs" dxfId="6" priority="1" operator="equal">
      <formula>"OK"</formula>
    </cfRule>
    <cfRule type="cellIs" dxfId="5" priority="2" operator="equal">
      <formula>"NOT OK"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r:id="rId5">
            <anchor moveWithCells="1">
              <from>
                <xdr:col>15</xdr:col>
                <xdr:colOff>152400</xdr:colOff>
                <xdr:row>0</xdr:row>
                <xdr:rowOff>123825</xdr:rowOff>
              </from>
              <to>
                <xdr:col>15</xdr:col>
                <xdr:colOff>1171575</xdr:colOff>
                <xdr:row>0</xdr:row>
                <xdr:rowOff>409575</xdr:rowOff>
              </to>
            </anchor>
          </controlPr>
        </control>
      </mc:Choice>
      <mc:Fallback>
        <control shapeId="2050" r:id="rId4" name="CommandButton1"/>
      </mc:Fallback>
    </mc:AlternateContent>
    <mc:AlternateContent xmlns:mc="http://schemas.openxmlformats.org/markup-compatibility/2006">
      <mc:Choice Requires="x14">
        <control shapeId="2051" r:id="rId6" name="CommandButton2">
          <controlPr defaultSize="0" autoLine="0" r:id="rId7">
            <anchor moveWithCells="1">
              <from>
                <xdr:col>15</xdr:col>
                <xdr:colOff>171450</xdr:colOff>
                <xdr:row>1</xdr:row>
                <xdr:rowOff>371475</xdr:rowOff>
              </from>
              <to>
                <xdr:col>15</xdr:col>
                <xdr:colOff>1219200</xdr:colOff>
                <xdr:row>1</xdr:row>
                <xdr:rowOff>657225</xdr:rowOff>
              </to>
            </anchor>
          </controlPr>
        </control>
      </mc:Choice>
      <mc:Fallback>
        <control shapeId="2051" r:id="rId6" name="CommandButton2"/>
      </mc:Fallback>
    </mc:AlternateContent>
    <mc:AlternateContent xmlns:mc="http://schemas.openxmlformats.org/markup-compatibility/2006">
      <mc:Choice Requires="x14">
        <control shapeId="2052" r:id="rId8" name="CommandButton3">
          <controlPr defaultSize="0" autoLine="0" r:id="rId9">
            <anchor moveWithCells="1">
              <from>
                <xdr:col>15</xdr:col>
                <xdr:colOff>171450</xdr:colOff>
                <xdr:row>0</xdr:row>
                <xdr:rowOff>476250</xdr:rowOff>
              </from>
              <to>
                <xdr:col>15</xdr:col>
                <xdr:colOff>1200150</xdr:colOff>
                <xdr:row>1</xdr:row>
                <xdr:rowOff>276225</xdr:rowOff>
              </to>
            </anchor>
          </controlPr>
        </control>
      </mc:Choice>
      <mc:Fallback>
        <control shapeId="2052" r:id="rId8" name="CommandButton3"/>
      </mc:Fallback>
    </mc:AlternateContent>
    <mc:AlternateContent xmlns:mc="http://schemas.openxmlformats.org/markup-compatibility/2006">
      <mc:Choice Requires="x14">
        <control shapeId="2053" r:id="rId10" name="CommandButton4">
          <controlPr defaultSize="0" autoLine="0" autoPict="0" r:id="rId11">
            <anchor moveWithCells="1">
              <from>
                <xdr:col>2</xdr:col>
                <xdr:colOff>590550</xdr:colOff>
                <xdr:row>0</xdr:row>
                <xdr:rowOff>200025</xdr:rowOff>
              </from>
              <to>
                <xdr:col>3</xdr:col>
                <xdr:colOff>457200</xdr:colOff>
                <xdr:row>1</xdr:row>
                <xdr:rowOff>323850</xdr:rowOff>
              </to>
            </anchor>
          </controlPr>
        </control>
      </mc:Choice>
      <mc:Fallback>
        <control shapeId="2053" r:id="rId10" name="CommandButton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100"/>
  <dimension ref="A1:AB2321"/>
  <sheetViews>
    <sheetView showGridLines="0" workbookViewId="0">
      <pane xSplit="1" topLeftCell="M1" activePane="topRight" state="frozen"/>
      <selection pane="topRight" activeCell="W4" sqref="W4"/>
    </sheetView>
  </sheetViews>
  <sheetFormatPr defaultColWidth="0" defaultRowHeight="15" x14ac:dyDescent="0.25"/>
  <cols>
    <col min="1" max="1" width="12.85546875" style="51" customWidth="1"/>
    <col min="2" max="2" width="8.28515625" style="61" customWidth="1"/>
    <col min="3" max="3" width="23.5703125" style="63" customWidth="1"/>
    <col min="4" max="4" width="11" style="51" customWidth="1"/>
    <col min="5" max="5" width="11.5703125" style="51" bestFit="1" customWidth="1"/>
    <col min="6" max="6" width="11.5703125" style="51" customWidth="1"/>
    <col min="7" max="7" width="12.42578125" style="71" bestFit="1" customWidth="1"/>
    <col min="8" max="8" width="9.7109375" style="51" customWidth="1"/>
    <col min="9" max="9" width="23.5703125" style="51" customWidth="1"/>
    <col min="10" max="10" width="15.5703125" style="108" hidden="1" customWidth="1"/>
    <col min="11" max="11" width="21" style="116" customWidth="1"/>
    <col min="12" max="13" width="18.140625" style="51" bestFit="1" customWidth="1"/>
    <col min="14" max="14" width="19.140625" style="51" customWidth="1"/>
    <col min="15" max="15" width="14.42578125" style="64" hidden="1" customWidth="1"/>
    <col min="16" max="16" width="23.7109375" style="116" customWidth="1"/>
    <col min="17" max="17" width="20" style="51" customWidth="1"/>
    <col min="18" max="19" width="19.140625" style="52" customWidth="1"/>
    <col min="20" max="21" width="8.28515625" style="51" customWidth="1"/>
    <col min="22" max="22" width="12.5703125" style="51" customWidth="1"/>
    <col min="23" max="23" width="27.7109375" style="51" bestFit="1" customWidth="1"/>
    <col min="24" max="24" width="9.140625" style="65" hidden="1" customWidth="1"/>
    <col min="25" max="28" width="0" style="61" hidden="1" customWidth="1"/>
    <col min="29" max="16384" width="9.140625" style="61" hidden="1"/>
  </cols>
  <sheetData>
    <row r="1" spans="1:24" ht="39.75" customHeight="1" x14ac:dyDescent="0.25">
      <c r="A1" s="134"/>
      <c r="B1" s="135"/>
      <c r="C1" s="82"/>
      <c r="D1" s="148" t="s">
        <v>114</v>
      </c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83"/>
      <c r="P1" s="122"/>
      <c r="Q1" s="144"/>
      <c r="R1" s="146"/>
      <c r="S1" s="147"/>
      <c r="T1" s="147"/>
      <c r="U1" s="147"/>
      <c r="V1" s="147"/>
      <c r="W1" s="147"/>
      <c r="X1" s="147"/>
    </row>
    <row r="2" spans="1:24" ht="60.6" customHeight="1" x14ac:dyDescent="0.25">
      <c r="A2" s="136"/>
      <c r="B2" s="137"/>
      <c r="C2" s="73"/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73"/>
      <c r="P2" s="118"/>
      <c r="Q2" s="145"/>
      <c r="R2" s="146"/>
      <c r="S2" s="147"/>
      <c r="T2" s="147"/>
      <c r="U2" s="147"/>
      <c r="V2" s="147"/>
      <c r="W2" s="147"/>
      <c r="X2" s="147"/>
    </row>
    <row r="3" spans="1:24" s="62" customFormat="1" ht="62.25" customHeight="1" x14ac:dyDescent="0.3">
      <c r="A3" s="76" t="s">
        <v>89</v>
      </c>
      <c r="B3" s="76" t="s">
        <v>3</v>
      </c>
      <c r="C3" s="76" t="s">
        <v>0</v>
      </c>
      <c r="D3" s="76" t="s">
        <v>4</v>
      </c>
      <c r="E3" s="76" t="s">
        <v>6</v>
      </c>
      <c r="F3" s="76" t="s">
        <v>91</v>
      </c>
      <c r="G3" s="130" t="s">
        <v>108</v>
      </c>
      <c r="H3" s="76" t="s">
        <v>117</v>
      </c>
      <c r="I3" s="76" t="s">
        <v>5</v>
      </c>
      <c r="J3" s="104" t="s">
        <v>121</v>
      </c>
      <c r="K3" s="114" t="s">
        <v>123</v>
      </c>
      <c r="L3" s="76" t="s">
        <v>7</v>
      </c>
      <c r="M3" s="76" t="s">
        <v>8</v>
      </c>
      <c r="N3" s="76" t="s">
        <v>9</v>
      </c>
      <c r="O3" s="76" t="s">
        <v>2</v>
      </c>
      <c r="P3" s="114" t="s">
        <v>10</v>
      </c>
      <c r="Q3" s="76" t="s">
        <v>11</v>
      </c>
      <c r="R3" s="76" t="s">
        <v>14</v>
      </c>
      <c r="S3" s="76" t="s">
        <v>113</v>
      </c>
      <c r="T3" s="76" t="s">
        <v>12</v>
      </c>
      <c r="U3" s="76" t="s">
        <v>150</v>
      </c>
      <c r="V3" s="76" t="s">
        <v>13</v>
      </c>
      <c r="W3" s="76" t="s">
        <v>111</v>
      </c>
      <c r="X3" s="76" t="s">
        <v>109</v>
      </c>
    </row>
    <row r="4" spans="1:24" s="66" customFormat="1" ht="14.45" x14ac:dyDescent="0.3">
      <c r="A4" s="53" t="s">
        <v>134</v>
      </c>
      <c r="B4" s="91" t="str">
        <f>IFERROR(VLOOKUP(A4,Lookup!A:B,2,0),"")</f>
        <v/>
      </c>
      <c r="C4" s="92" t="str">
        <f>IFERROR(VLOOKUP(A4,Lookup!A:C,3,0),"")</f>
        <v/>
      </c>
      <c r="D4" s="59" t="s">
        <v>137</v>
      </c>
      <c r="E4" s="59" t="s">
        <v>135</v>
      </c>
      <c r="F4" s="59">
        <v>20543400</v>
      </c>
      <c r="G4" s="94" t="s">
        <v>128</v>
      </c>
      <c r="H4" s="59"/>
      <c r="I4" s="59"/>
      <c r="J4" s="106" t="e">
        <f>VLOOKUP(A4&amp;G4,Lookup!J:N,5,0)</f>
        <v>#N/A</v>
      </c>
      <c r="K4" s="110"/>
      <c r="L4" s="59"/>
      <c r="M4" s="59"/>
      <c r="N4" s="59"/>
      <c r="O4" s="90" t="str">
        <f>IFERROR(VLOOKUP(A4&amp;G4,Lookup!J:K,2,0),"")</f>
        <v/>
      </c>
      <c r="P4" s="110" t="str">
        <f>IF(N4="","",N4+O4)</f>
        <v/>
      </c>
      <c r="Q4" s="59"/>
      <c r="R4" s="87" t="str">
        <f>IF(OR(EXACT(N4,""), EXACT(L4,"")),"",N4-L4)</f>
        <v/>
      </c>
      <c r="S4" s="87" t="str">
        <f>IF(OR(EXACT(Q4,""), EXACT(L4,"")),"",Q4-L4)</f>
        <v/>
      </c>
      <c r="T4" s="59" t="e">
        <f>IF(Q4-P4&gt;0,"YES",(IF(OR(EXACT(Q4,""), EXACT(P4,"")),"","NO")))</f>
        <v>#VALUE!</v>
      </c>
      <c r="U4" s="59"/>
      <c r="V4" s="59"/>
      <c r="W4" s="59" t="s">
        <v>136</v>
      </c>
      <c r="X4" s="93" t="str">
        <f t="shared" ref="X4:X35" si="0">IF(I4="SET","A",IF(I4="FREQ","C",IF(I4="","D","B")))</f>
        <v>D</v>
      </c>
    </row>
    <row r="5" spans="1:24" s="66" customFormat="1" ht="14.45" x14ac:dyDescent="0.3">
      <c r="A5" s="53" t="s">
        <v>144</v>
      </c>
      <c r="B5" s="91" t="s">
        <v>133</v>
      </c>
      <c r="C5" s="92" t="s">
        <v>133</v>
      </c>
      <c r="D5" s="59" t="s">
        <v>146</v>
      </c>
      <c r="E5" s="59" t="s">
        <v>145</v>
      </c>
      <c r="F5" s="59">
        <v>20544526</v>
      </c>
      <c r="G5" s="94" t="s">
        <v>149</v>
      </c>
      <c r="H5" s="59"/>
      <c r="I5" s="59"/>
      <c r="J5" s="106"/>
      <c r="K5" s="110"/>
      <c r="L5" s="59"/>
      <c r="M5" s="59"/>
      <c r="N5" s="59"/>
      <c r="O5" s="90" t="s">
        <v>133</v>
      </c>
      <c r="P5" s="110" t="s">
        <v>133</v>
      </c>
      <c r="Q5" s="59"/>
      <c r="R5" s="87" t="s">
        <v>133</v>
      </c>
      <c r="S5" s="87" t="s">
        <v>133</v>
      </c>
      <c r="T5" s="59" t="e">
        <v>#VALUE!</v>
      </c>
      <c r="U5" s="59"/>
      <c r="V5" s="59"/>
      <c r="W5" s="59"/>
      <c r="X5" s="93" t="str">
        <f t="shared" si="0"/>
        <v>D</v>
      </c>
    </row>
    <row r="6" spans="1:24" s="66" customFormat="1" ht="14.45" x14ac:dyDescent="0.3">
      <c r="A6" s="53" t="s">
        <v>43</v>
      </c>
      <c r="B6" s="91" t="str">
        <f>IFERROR(VLOOKUP(A6,Lookup!A:B,2,0),"")</f>
        <v>EH811</v>
      </c>
      <c r="C6" s="92" t="str">
        <f>IFERROR(VLOOKUP(A6,Lookup!A:C,3,0),"")</f>
        <v>Ring Wheel 42Crm stg2</v>
      </c>
      <c r="D6" s="59" t="s">
        <v>148</v>
      </c>
      <c r="E6" s="59" t="s">
        <v>147</v>
      </c>
      <c r="F6" s="59">
        <v>20543416</v>
      </c>
      <c r="G6" s="94" t="s">
        <v>141</v>
      </c>
      <c r="H6" s="59"/>
      <c r="I6" s="59"/>
      <c r="J6" s="106" t="e">
        <f>VLOOKUP(A6&amp;G6,Lookup!J:N,5,0)</f>
        <v>#N/A</v>
      </c>
      <c r="K6" s="110"/>
      <c r="L6" s="59"/>
      <c r="M6" s="59"/>
      <c r="N6" s="59"/>
      <c r="O6" s="90" t="str">
        <f>IFERROR(VLOOKUP(A6&amp;G6,Lookup!J:K,2,0),"")</f>
        <v/>
      </c>
      <c r="P6" s="110" t="str">
        <f t="shared" ref="P6:P37" si="1">IF(N6="","",N6+O6)</f>
        <v/>
      </c>
      <c r="Q6" s="59"/>
      <c r="R6" s="87" t="str">
        <f t="shared" ref="R6:R37" si="2">IF(OR(EXACT(N6,""), EXACT(L6,"")),"",N6-L6)</f>
        <v/>
      </c>
      <c r="S6" s="87" t="str">
        <f t="shared" ref="S6:S37" si="3">IF(OR(EXACT(Q6,""), EXACT(L6,"")),"",Q6-L6)</f>
        <v/>
      </c>
      <c r="T6" s="59" t="e">
        <f t="shared" ref="T6:T37" si="4">IF(Q6-P6&gt;0,"YES",(IF(OR(EXACT(Q6,""), EXACT(P6,"")),"","NO")))</f>
        <v>#VALUE!</v>
      </c>
      <c r="U6" s="59"/>
      <c r="V6" s="59"/>
      <c r="W6" s="59"/>
      <c r="X6" s="93" t="str">
        <f t="shared" si="0"/>
        <v>D</v>
      </c>
    </row>
    <row r="7" spans="1:24" s="66" customFormat="1" ht="14.45" x14ac:dyDescent="0.3">
      <c r="A7" s="53"/>
      <c r="B7" s="91" t="str">
        <f>IFERROR(VLOOKUP(A7,Lookup!A:B,2,0),"")</f>
        <v/>
      </c>
      <c r="C7" s="92" t="str">
        <f>IFERROR(VLOOKUP(A7,Lookup!A:C,3,0),"")</f>
        <v/>
      </c>
      <c r="D7" s="59"/>
      <c r="E7" s="59"/>
      <c r="F7" s="59"/>
      <c r="G7" s="94"/>
      <c r="H7" s="59"/>
      <c r="I7" s="59"/>
      <c r="J7" s="106">
        <f>VLOOKUP(A7&amp;G7,Lookup!J:N,5,0)</f>
        <v>0</v>
      </c>
      <c r="K7" s="110"/>
      <c r="L7" s="109"/>
      <c r="M7" s="59"/>
      <c r="N7" s="59"/>
      <c r="O7" s="112">
        <v>1.7361111111111112E-2</v>
      </c>
      <c r="P7" s="110" t="str">
        <f t="shared" si="1"/>
        <v/>
      </c>
      <c r="Q7" s="59"/>
      <c r="R7" s="87" t="str">
        <f t="shared" si="2"/>
        <v/>
      </c>
      <c r="S7" s="87" t="str">
        <f t="shared" si="3"/>
        <v/>
      </c>
      <c r="T7" s="59" t="e">
        <f t="shared" si="4"/>
        <v>#VALUE!</v>
      </c>
      <c r="U7" s="59"/>
      <c r="V7" s="59"/>
      <c r="W7" s="59"/>
      <c r="X7" s="93" t="str">
        <f t="shared" si="0"/>
        <v>D</v>
      </c>
    </row>
    <row r="8" spans="1:24" s="66" customFormat="1" ht="14.45" x14ac:dyDescent="0.3">
      <c r="A8" s="53"/>
      <c r="B8" s="91" t="str">
        <f>IFERROR(VLOOKUP(A8,Lookup!A:B,2,0),"")</f>
        <v/>
      </c>
      <c r="C8" s="92" t="str">
        <f>IFERROR(VLOOKUP(A8,Lookup!A:C,3,0),"")</f>
        <v/>
      </c>
      <c r="D8" s="59"/>
      <c r="E8" s="59"/>
      <c r="F8" s="59"/>
      <c r="G8" s="94"/>
      <c r="H8" s="59"/>
      <c r="I8" s="59"/>
      <c r="J8" s="106">
        <f>VLOOKUP(A8&amp;G8,Lookup!J:N,5,0)</f>
        <v>0</v>
      </c>
      <c r="K8" s="110"/>
      <c r="L8" s="59"/>
      <c r="M8" s="59"/>
      <c r="N8" s="59"/>
      <c r="O8" s="112">
        <v>5.9027777777777797E-2</v>
      </c>
      <c r="P8" s="110" t="str">
        <f t="shared" si="1"/>
        <v/>
      </c>
      <c r="Q8" s="59"/>
      <c r="R8" s="87" t="str">
        <f t="shared" si="2"/>
        <v/>
      </c>
      <c r="S8" s="87" t="str">
        <f t="shared" si="3"/>
        <v/>
      </c>
      <c r="T8" s="59" t="e">
        <f t="shared" si="4"/>
        <v>#VALUE!</v>
      </c>
      <c r="U8" s="59"/>
      <c r="V8" s="59"/>
      <c r="W8" s="59"/>
      <c r="X8" s="93" t="str">
        <f t="shared" si="0"/>
        <v>D</v>
      </c>
    </row>
    <row r="9" spans="1:24" s="66" customFormat="1" ht="14.45" x14ac:dyDescent="0.3">
      <c r="A9" s="53"/>
      <c r="B9" s="91" t="str">
        <f>IFERROR(VLOOKUP(A9,Lookup!A:B,2,0),"")</f>
        <v/>
      </c>
      <c r="C9" s="92" t="str">
        <f>IFERROR(VLOOKUP(A9,Lookup!A:C,3,0),"")</f>
        <v/>
      </c>
      <c r="D9" s="59"/>
      <c r="E9" s="59"/>
      <c r="F9" s="59"/>
      <c r="G9" s="94"/>
      <c r="H9" s="59"/>
      <c r="I9" s="59"/>
      <c r="J9" s="106">
        <f>VLOOKUP(A9&amp;G9,Lookup!J:N,5,0)</f>
        <v>0</v>
      </c>
      <c r="K9" s="110"/>
      <c r="L9" s="59"/>
      <c r="M9" s="59"/>
      <c r="N9" s="109"/>
      <c r="O9" s="112">
        <v>0.100694444444444</v>
      </c>
      <c r="P9" s="110" t="str">
        <f t="shared" si="1"/>
        <v/>
      </c>
      <c r="Q9" s="59"/>
      <c r="R9" s="87" t="str">
        <f t="shared" si="2"/>
        <v/>
      </c>
      <c r="S9" s="87" t="str">
        <f t="shared" si="3"/>
        <v/>
      </c>
      <c r="T9" s="59" t="e">
        <f t="shared" si="4"/>
        <v>#VALUE!</v>
      </c>
      <c r="U9" s="59"/>
      <c r="V9" s="59"/>
      <c r="W9" s="59"/>
      <c r="X9" s="93" t="str">
        <f t="shared" si="0"/>
        <v>D</v>
      </c>
    </row>
    <row r="10" spans="1:24" s="66" customFormat="1" ht="14.45" x14ac:dyDescent="0.3">
      <c r="A10" s="53"/>
      <c r="B10" s="91" t="str">
        <f>IFERROR(VLOOKUP(A10,Lookup!A:B,2,0),"")</f>
        <v/>
      </c>
      <c r="C10" s="92" t="str">
        <f>IFERROR(VLOOKUP(A10,Lookup!A:C,3,0),"")</f>
        <v/>
      </c>
      <c r="D10" s="59"/>
      <c r="E10" s="59"/>
      <c r="F10" s="59"/>
      <c r="G10" s="94"/>
      <c r="H10" s="59"/>
      <c r="I10" s="59"/>
      <c r="J10" s="106">
        <f>VLOOKUP(A10&amp;G10,Lookup!J:N,5,0)</f>
        <v>0</v>
      </c>
      <c r="K10" s="110"/>
      <c r="L10" s="59"/>
      <c r="M10" s="59"/>
      <c r="N10" s="59"/>
      <c r="O10" s="112">
        <v>0.14236111111111099</v>
      </c>
      <c r="P10" s="110" t="str">
        <f t="shared" si="1"/>
        <v/>
      </c>
      <c r="Q10" s="59"/>
      <c r="R10" s="87" t="str">
        <f t="shared" si="2"/>
        <v/>
      </c>
      <c r="S10" s="87" t="str">
        <f t="shared" si="3"/>
        <v/>
      </c>
      <c r="T10" s="59" t="e">
        <f t="shared" si="4"/>
        <v>#VALUE!</v>
      </c>
      <c r="U10" s="59"/>
      <c r="V10" s="59"/>
      <c r="W10" s="59"/>
      <c r="X10" s="93" t="str">
        <f t="shared" si="0"/>
        <v>D</v>
      </c>
    </row>
    <row r="11" spans="1:24" s="66" customFormat="1" ht="14.45" x14ac:dyDescent="0.3">
      <c r="A11" s="53"/>
      <c r="B11" s="91" t="str">
        <f>IFERROR(VLOOKUP(A11,Lookup!A:B,2,0),"")</f>
        <v/>
      </c>
      <c r="C11" s="92" t="str">
        <f>IFERROR(VLOOKUP(A11,Lookup!A:C,3,0),"")</f>
        <v/>
      </c>
      <c r="D11" s="59"/>
      <c r="E11" s="59"/>
      <c r="F11" s="59"/>
      <c r="G11" s="94"/>
      <c r="H11" s="59"/>
      <c r="I11" s="59"/>
      <c r="J11" s="106">
        <f>VLOOKUP(A11&amp;G11,Lookup!J:N,5,0)</f>
        <v>0</v>
      </c>
      <c r="K11" s="110"/>
      <c r="L11" s="59"/>
      <c r="M11" s="59"/>
      <c r="N11" s="59"/>
      <c r="O11" s="112">
        <v>0.18402777777777801</v>
      </c>
      <c r="P11" s="110" t="str">
        <f t="shared" si="1"/>
        <v/>
      </c>
      <c r="Q11" s="59"/>
      <c r="R11" s="87" t="str">
        <f t="shared" si="2"/>
        <v/>
      </c>
      <c r="S11" s="87" t="str">
        <f t="shared" si="3"/>
        <v/>
      </c>
      <c r="T11" s="59" t="e">
        <f t="shared" si="4"/>
        <v>#VALUE!</v>
      </c>
      <c r="U11" s="59"/>
      <c r="V11" s="59"/>
      <c r="W11" s="59"/>
      <c r="X11" s="93" t="str">
        <f t="shared" si="0"/>
        <v>D</v>
      </c>
    </row>
    <row r="12" spans="1:24" s="66" customFormat="1" ht="14.45" x14ac:dyDescent="0.3">
      <c r="A12" s="53"/>
      <c r="B12" s="91" t="str">
        <f>IFERROR(VLOOKUP(A12,Lookup!A:B,2,0),"")</f>
        <v/>
      </c>
      <c r="C12" s="92" t="str">
        <f>IFERROR(VLOOKUP(A12,Lookup!A:C,3,0),"")</f>
        <v/>
      </c>
      <c r="D12" s="59"/>
      <c r="E12" s="59"/>
      <c r="F12" s="59"/>
      <c r="G12" s="94"/>
      <c r="H12" s="59"/>
      <c r="I12" s="59"/>
      <c r="J12" s="106">
        <f>VLOOKUP(A12&amp;G12,Lookup!J:N,5,0)</f>
        <v>0</v>
      </c>
      <c r="K12" s="110"/>
      <c r="L12" s="59"/>
      <c r="M12" s="59"/>
      <c r="N12" s="59"/>
      <c r="O12" s="112">
        <v>0.225694444444444</v>
      </c>
      <c r="P12" s="110" t="str">
        <f t="shared" si="1"/>
        <v/>
      </c>
      <c r="Q12" s="59"/>
      <c r="R12" s="87" t="str">
        <f t="shared" si="2"/>
        <v/>
      </c>
      <c r="S12" s="87" t="str">
        <f t="shared" si="3"/>
        <v/>
      </c>
      <c r="T12" s="59" t="e">
        <f t="shared" si="4"/>
        <v>#VALUE!</v>
      </c>
      <c r="U12" s="59"/>
      <c r="V12" s="59"/>
      <c r="W12" s="59"/>
      <c r="X12" s="93" t="str">
        <f t="shared" si="0"/>
        <v>D</v>
      </c>
    </row>
    <row r="13" spans="1:24" s="66" customFormat="1" ht="14.45" x14ac:dyDescent="0.3">
      <c r="A13" s="53"/>
      <c r="B13" s="91" t="str">
        <f>IFERROR(VLOOKUP(A13,Lookup!A:B,2,0),"")</f>
        <v/>
      </c>
      <c r="C13" s="92" t="str">
        <f>IFERROR(VLOOKUP(A13,Lookup!A:C,3,0),"")</f>
        <v/>
      </c>
      <c r="D13" s="59"/>
      <c r="E13" s="59"/>
      <c r="F13" s="59"/>
      <c r="G13" s="94"/>
      <c r="H13" s="59"/>
      <c r="I13" s="59"/>
      <c r="J13" s="106">
        <f>VLOOKUP(A13&amp;G13,Lookup!J:N,5,0)</f>
        <v>0</v>
      </c>
      <c r="K13" s="110"/>
      <c r="L13" s="59"/>
      <c r="M13" s="59"/>
      <c r="N13" s="59"/>
      <c r="O13" s="112">
        <v>0.26736111111111099</v>
      </c>
      <c r="P13" s="110" t="str">
        <f t="shared" si="1"/>
        <v/>
      </c>
      <c r="Q13" s="59"/>
      <c r="R13" s="87" t="str">
        <f t="shared" si="2"/>
        <v/>
      </c>
      <c r="S13" s="87" t="str">
        <f t="shared" si="3"/>
        <v/>
      </c>
      <c r="T13" s="59" t="e">
        <f t="shared" si="4"/>
        <v>#VALUE!</v>
      </c>
      <c r="U13" s="59"/>
      <c r="V13" s="59"/>
      <c r="W13" s="59"/>
      <c r="X13" s="93" t="str">
        <f t="shared" si="0"/>
        <v>D</v>
      </c>
    </row>
    <row r="14" spans="1:24" s="66" customFormat="1" ht="14.45" x14ac:dyDescent="0.3">
      <c r="A14" s="53"/>
      <c r="B14" s="91" t="str">
        <f>IFERROR(VLOOKUP(A14,Lookup!A:B,2,0),"")</f>
        <v/>
      </c>
      <c r="C14" s="92" t="str">
        <f>IFERROR(VLOOKUP(A14,Lookup!A:C,3,0),"")</f>
        <v/>
      </c>
      <c r="D14" s="59"/>
      <c r="E14" s="59"/>
      <c r="F14" s="59"/>
      <c r="G14" s="94"/>
      <c r="H14" s="59"/>
      <c r="I14" s="59"/>
      <c r="J14" s="106">
        <f>VLOOKUP(A14&amp;G14,Lookup!J:N,5,0)</f>
        <v>0</v>
      </c>
      <c r="K14" s="110"/>
      <c r="L14" s="59"/>
      <c r="M14" s="59"/>
      <c r="N14" s="59"/>
      <c r="O14" s="112">
        <v>0.30902777777777801</v>
      </c>
      <c r="P14" s="110" t="str">
        <f t="shared" si="1"/>
        <v/>
      </c>
      <c r="Q14" s="59"/>
      <c r="R14" s="87" t="str">
        <f t="shared" si="2"/>
        <v/>
      </c>
      <c r="S14" s="87" t="str">
        <f t="shared" si="3"/>
        <v/>
      </c>
      <c r="T14" s="59" t="e">
        <f t="shared" si="4"/>
        <v>#VALUE!</v>
      </c>
      <c r="U14" s="59"/>
      <c r="V14" s="59"/>
      <c r="W14" s="59"/>
      <c r="X14" s="93" t="str">
        <f t="shared" si="0"/>
        <v>D</v>
      </c>
    </row>
    <row r="15" spans="1:24" s="66" customFormat="1" ht="14.45" x14ac:dyDescent="0.3">
      <c r="A15" s="53"/>
      <c r="B15" s="91" t="str">
        <f>IFERROR(VLOOKUP(A15,Lookup!A:B,2,0),"")</f>
        <v/>
      </c>
      <c r="C15" s="92" t="str">
        <f>IFERROR(VLOOKUP(A15,Lookup!A:C,3,0),"")</f>
        <v/>
      </c>
      <c r="D15" s="59"/>
      <c r="E15" s="59"/>
      <c r="F15" s="59"/>
      <c r="G15" s="94"/>
      <c r="H15" s="59"/>
      <c r="I15" s="59"/>
      <c r="J15" s="106">
        <f>VLOOKUP(A15&amp;G15,Lookup!J:N,5,0)</f>
        <v>0</v>
      </c>
      <c r="K15" s="110"/>
      <c r="L15" s="59"/>
      <c r="M15" s="59"/>
      <c r="N15" s="59"/>
      <c r="O15" s="112">
        <v>0.35069444444444398</v>
      </c>
      <c r="P15" s="110" t="str">
        <f t="shared" si="1"/>
        <v/>
      </c>
      <c r="Q15" s="59"/>
      <c r="R15" s="87" t="str">
        <f t="shared" si="2"/>
        <v/>
      </c>
      <c r="S15" s="87" t="str">
        <f t="shared" si="3"/>
        <v/>
      </c>
      <c r="T15" s="59" t="e">
        <f t="shared" si="4"/>
        <v>#VALUE!</v>
      </c>
      <c r="U15" s="59"/>
      <c r="V15" s="59"/>
      <c r="W15" s="59"/>
      <c r="X15" s="93" t="str">
        <f t="shared" si="0"/>
        <v>D</v>
      </c>
    </row>
    <row r="16" spans="1:24" s="66" customFormat="1" ht="14.45" x14ac:dyDescent="0.3">
      <c r="A16" s="53"/>
      <c r="B16" s="91" t="str">
        <f>IFERROR(VLOOKUP(A16,Lookup!A:B,2,0),"")</f>
        <v/>
      </c>
      <c r="C16" s="92" t="str">
        <f>IFERROR(VLOOKUP(A16,Lookup!A:C,3,0),"")</f>
        <v/>
      </c>
      <c r="D16" s="59"/>
      <c r="E16" s="59"/>
      <c r="F16" s="59"/>
      <c r="G16" s="94"/>
      <c r="H16" s="59"/>
      <c r="I16" s="59"/>
      <c r="J16" s="106">
        <f>VLOOKUP(A16&amp;G16,Lookup!J:N,5,0)</f>
        <v>0</v>
      </c>
      <c r="K16" s="110"/>
      <c r="L16" s="59"/>
      <c r="M16" s="59"/>
      <c r="N16" s="59"/>
      <c r="O16" s="112">
        <v>0.39236111111111099</v>
      </c>
      <c r="P16" s="110" t="str">
        <f t="shared" si="1"/>
        <v/>
      </c>
      <c r="Q16" s="59"/>
      <c r="R16" s="87" t="str">
        <f t="shared" si="2"/>
        <v/>
      </c>
      <c r="S16" s="87" t="str">
        <f t="shared" si="3"/>
        <v/>
      </c>
      <c r="T16" s="59" t="e">
        <f t="shared" si="4"/>
        <v>#VALUE!</v>
      </c>
      <c r="U16" s="59"/>
      <c r="V16" s="59"/>
      <c r="W16" s="59"/>
      <c r="X16" s="93" t="str">
        <f t="shared" si="0"/>
        <v>D</v>
      </c>
    </row>
    <row r="17" spans="1:24" s="66" customFormat="1" x14ac:dyDescent="0.25">
      <c r="A17" s="53"/>
      <c r="B17" s="91" t="str">
        <f>IFERROR(VLOOKUP(A17,Lookup!A:B,2,0),"")</f>
        <v/>
      </c>
      <c r="C17" s="92" t="str">
        <f>IFERROR(VLOOKUP(A17,Lookup!A:C,3,0),"")</f>
        <v/>
      </c>
      <c r="D17" s="59"/>
      <c r="E17" s="59"/>
      <c r="F17" s="59"/>
      <c r="G17" s="94"/>
      <c r="H17" s="59"/>
      <c r="I17" s="59"/>
      <c r="J17" s="106">
        <f>VLOOKUP(A17&amp;G17,Lookup!J:N,5,0)</f>
        <v>0</v>
      </c>
      <c r="K17" s="110"/>
      <c r="L17" s="59"/>
      <c r="M17" s="59"/>
      <c r="N17" s="59"/>
      <c r="O17" s="112">
        <v>0.43402777777777801</v>
      </c>
      <c r="P17" s="110" t="str">
        <f t="shared" si="1"/>
        <v/>
      </c>
      <c r="Q17" s="59"/>
      <c r="R17" s="87" t="str">
        <f t="shared" si="2"/>
        <v/>
      </c>
      <c r="S17" s="87" t="str">
        <f t="shared" si="3"/>
        <v/>
      </c>
      <c r="T17" s="59" t="e">
        <f t="shared" si="4"/>
        <v>#VALUE!</v>
      </c>
      <c r="U17" s="59"/>
      <c r="V17" s="59"/>
      <c r="W17" s="59"/>
      <c r="X17" s="93" t="str">
        <f t="shared" si="0"/>
        <v>D</v>
      </c>
    </row>
    <row r="18" spans="1:24" s="66" customFormat="1" x14ac:dyDescent="0.25">
      <c r="A18" s="53"/>
      <c r="B18" s="91" t="str">
        <f>IFERROR(VLOOKUP(A18,Lookup!A:B,2,0),"")</f>
        <v/>
      </c>
      <c r="C18" s="92" t="str">
        <f>IFERROR(VLOOKUP(A18,Lookup!A:C,3,0),"")</f>
        <v/>
      </c>
      <c r="D18" s="59"/>
      <c r="E18" s="59"/>
      <c r="F18" s="59"/>
      <c r="G18" s="94"/>
      <c r="H18" s="59"/>
      <c r="I18" s="59"/>
      <c r="J18" s="106">
        <f>VLOOKUP(A18&amp;G18,Lookup!J:N,5,0)</f>
        <v>0</v>
      </c>
      <c r="K18" s="110"/>
      <c r="L18" s="59"/>
      <c r="M18" s="59"/>
      <c r="N18" s="59"/>
      <c r="O18" s="112">
        <v>0.47569444444444398</v>
      </c>
      <c r="P18" s="110" t="str">
        <f t="shared" si="1"/>
        <v/>
      </c>
      <c r="Q18" s="59"/>
      <c r="R18" s="87" t="str">
        <f t="shared" si="2"/>
        <v/>
      </c>
      <c r="S18" s="87" t="str">
        <f t="shared" si="3"/>
        <v/>
      </c>
      <c r="T18" s="59" t="e">
        <f t="shared" si="4"/>
        <v>#VALUE!</v>
      </c>
      <c r="U18" s="59"/>
      <c r="V18" s="59"/>
      <c r="W18" s="59"/>
      <c r="X18" s="93" t="str">
        <f t="shared" si="0"/>
        <v>D</v>
      </c>
    </row>
    <row r="19" spans="1:24" s="66" customFormat="1" x14ac:dyDescent="0.25">
      <c r="A19" s="53"/>
      <c r="B19" s="91" t="str">
        <f>IFERROR(VLOOKUP(A19,Lookup!A:B,2,0),"")</f>
        <v/>
      </c>
      <c r="C19" s="92" t="str">
        <f>IFERROR(VLOOKUP(A19,Lookup!A:C,3,0),"")</f>
        <v/>
      </c>
      <c r="D19" s="59"/>
      <c r="E19" s="59"/>
      <c r="F19" s="59"/>
      <c r="G19" s="94"/>
      <c r="H19" s="59"/>
      <c r="I19" s="59"/>
      <c r="J19" s="106">
        <f>VLOOKUP(A19&amp;G19,Lookup!J:N,5,0)</f>
        <v>0</v>
      </c>
      <c r="K19" s="110"/>
      <c r="L19" s="59"/>
      <c r="M19" s="59"/>
      <c r="N19" s="59"/>
      <c r="O19" s="112">
        <v>0.51736111111111105</v>
      </c>
      <c r="P19" s="110" t="str">
        <f t="shared" si="1"/>
        <v/>
      </c>
      <c r="Q19" s="59"/>
      <c r="R19" s="87" t="str">
        <f t="shared" si="2"/>
        <v/>
      </c>
      <c r="S19" s="87" t="str">
        <f t="shared" si="3"/>
        <v/>
      </c>
      <c r="T19" s="59" t="e">
        <f t="shared" si="4"/>
        <v>#VALUE!</v>
      </c>
      <c r="U19" s="59"/>
      <c r="V19" s="59"/>
      <c r="W19" s="59"/>
      <c r="X19" s="93" t="str">
        <f t="shared" si="0"/>
        <v>D</v>
      </c>
    </row>
    <row r="20" spans="1:24" s="66" customFormat="1" x14ac:dyDescent="0.25">
      <c r="A20" s="53"/>
      <c r="B20" s="91" t="str">
        <f>IFERROR(VLOOKUP(A20,Lookup!A:B,2,0),"")</f>
        <v/>
      </c>
      <c r="C20" s="92" t="str">
        <f>IFERROR(VLOOKUP(A20,Lookup!A:C,3,0),"")</f>
        <v/>
      </c>
      <c r="D20" s="59"/>
      <c r="E20" s="59"/>
      <c r="F20" s="59"/>
      <c r="G20" s="94"/>
      <c r="H20" s="59"/>
      <c r="I20" s="59"/>
      <c r="J20" s="106">
        <f>VLOOKUP(A20&amp;G20,Lookup!J:N,5,0)</f>
        <v>0</v>
      </c>
      <c r="K20" s="110"/>
      <c r="L20" s="59"/>
      <c r="M20" s="59"/>
      <c r="N20" s="59"/>
      <c r="O20" s="112">
        <v>0.55902777777777801</v>
      </c>
      <c r="P20" s="110" t="str">
        <f t="shared" si="1"/>
        <v/>
      </c>
      <c r="Q20" s="59"/>
      <c r="R20" s="87" t="str">
        <f t="shared" si="2"/>
        <v/>
      </c>
      <c r="S20" s="87" t="str">
        <f t="shared" si="3"/>
        <v/>
      </c>
      <c r="T20" s="59" t="e">
        <f t="shared" si="4"/>
        <v>#VALUE!</v>
      </c>
      <c r="U20" s="59"/>
      <c r="V20" s="59"/>
      <c r="W20" s="59"/>
      <c r="X20" s="93" t="str">
        <f t="shared" si="0"/>
        <v>D</v>
      </c>
    </row>
    <row r="21" spans="1:24" s="66" customFormat="1" x14ac:dyDescent="0.25">
      <c r="A21" s="53"/>
      <c r="B21" s="91" t="str">
        <f>IFERROR(VLOOKUP(A21,Lookup!A:B,2,0),"")</f>
        <v/>
      </c>
      <c r="C21" s="92" t="str">
        <f>IFERROR(VLOOKUP(A21,Lookup!A:C,3,0),"")</f>
        <v/>
      </c>
      <c r="D21" s="59"/>
      <c r="E21" s="59"/>
      <c r="F21" s="59"/>
      <c r="G21" s="94"/>
      <c r="H21" s="59"/>
      <c r="I21" s="59"/>
      <c r="J21" s="106">
        <f>VLOOKUP(A21&amp;G21,Lookup!J:N,5,0)</f>
        <v>0</v>
      </c>
      <c r="K21" s="110"/>
      <c r="L21" s="59"/>
      <c r="M21" s="59"/>
      <c r="N21" s="59"/>
      <c r="O21" s="112">
        <v>0.60069444444444497</v>
      </c>
      <c r="P21" s="110" t="str">
        <f t="shared" si="1"/>
        <v/>
      </c>
      <c r="Q21" s="59"/>
      <c r="R21" s="87" t="str">
        <f t="shared" si="2"/>
        <v/>
      </c>
      <c r="S21" s="87" t="str">
        <f t="shared" si="3"/>
        <v/>
      </c>
      <c r="T21" s="59" t="e">
        <f t="shared" si="4"/>
        <v>#VALUE!</v>
      </c>
      <c r="U21" s="59"/>
      <c r="V21" s="59"/>
      <c r="W21" s="59"/>
      <c r="X21" s="93" t="str">
        <f t="shared" si="0"/>
        <v>D</v>
      </c>
    </row>
    <row r="22" spans="1:24" s="66" customFormat="1" x14ac:dyDescent="0.25">
      <c r="A22" s="53"/>
      <c r="B22" s="91" t="str">
        <f>IFERROR(VLOOKUP(A22,Lookup!A:B,2,0),"")</f>
        <v/>
      </c>
      <c r="C22" s="92" t="str">
        <f>IFERROR(VLOOKUP(A22,Lookup!A:C,3,0),"")</f>
        <v/>
      </c>
      <c r="D22" s="59"/>
      <c r="E22" s="59"/>
      <c r="F22" s="59"/>
      <c r="G22" s="94"/>
      <c r="H22" s="59"/>
      <c r="I22" s="59"/>
      <c r="J22" s="106">
        <f>VLOOKUP(A22&amp;G22,Lookup!J:N,5,0)</f>
        <v>0</v>
      </c>
      <c r="K22" s="110"/>
      <c r="L22" s="59"/>
      <c r="M22" s="59"/>
      <c r="N22" s="59"/>
      <c r="O22" s="112">
        <v>0.64236111111111105</v>
      </c>
      <c r="P22" s="110" t="str">
        <f t="shared" si="1"/>
        <v/>
      </c>
      <c r="Q22" s="59"/>
      <c r="R22" s="87" t="str">
        <f t="shared" si="2"/>
        <v/>
      </c>
      <c r="S22" s="87" t="str">
        <f t="shared" si="3"/>
        <v/>
      </c>
      <c r="T22" s="59" t="e">
        <f t="shared" si="4"/>
        <v>#VALUE!</v>
      </c>
      <c r="U22" s="59"/>
      <c r="V22" s="59"/>
      <c r="W22" s="59"/>
      <c r="X22" s="93" t="str">
        <f t="shared" si="0"/>
        <v>D</v>
      </c>
    </row>
    <row r="23" spans="1:24" s="66" customFormat="1" x14ac:dyDescent="0.25">
      <c r="A23" s="53"/>
      <c r="B23" s="91" t="str">
        <f>IFERROR(VLOOKUP(A23,Lookup!A:B,2,0),"")</f>
        <v/>
      </c>
      <c r="C23" s="92" t="str">
        <f>IFERROR(VLOOKUP(A23,Lookup!A:C,3,0),"")</f>
        <v/>
      </c>
      <c r="D23" s="59"/>
      <c r="E23" s="59"/>
      <c r="F23" s="59"/>
      <c r="G23" s="94"/>
      <c r="H23" s="59"/>
      <c r="I23" s="59"/>
      <c r="J23" s="106">
        <f>VLOOKUP(A23&amp;G23,Lookup!J:N,5,0)</f>
        <v>0</v>
      </c>
      <c r="K23" s="110"/>
      <c r="L23" s="59"/>
      <c r="M23" s="59"/>
      <c r="N23" s="59"/>
      <c r="O23" s="112">
        <v>0.68402777777777801</v>
      </c>
      <c r="P23" s="110" t="str">
        <f t="shared" si="1"/>
        <v/>
      </c>
      <c r="Q23" s="59"/>
      <c r="R23" s="87" t="str">
        <f t="shared" si="2"/>
        <v/>
      </c>
      <c r="S23" s="87" t="str">
        <f t="shared" si="3"/>
        <v/>
      </c>
      <c r="T23" s="59" t="e">
        <f t="shared" si="4"/>
        <v>#VALUE!</v>
      </c>
      <c r="U23" s="59"/>
      <c r="V23" s="59"/>
      <c r="W23" s="59"/>
      <c r="X23" s="93" t="str">
        <f t="shared" si="0"/>
        <v>D</v>
      </c>
    </row>
    <row r="24" spans="1:24" s="66" customFormat="1" x14ac:dyDescent="0.25">
      <c r="A24" s="53"/>
      <c r="B24" s="91" t="str">
        <f>IFERROR(VLOOKUP(A24,Lookup!A:B,2,0),"")</f>
        <v/>
      </c>
      <c r="C24" s="92" t="str">
        <f>IFERROR(VLOOKUP(A24,Lookup!A:C,3,0),"")</f>
        <v/>
      </c>
      <c r="D24" s="59"/>
      <c r="E24" s="59"/>
      <c r="F24" s="59"/>
      <c r="G24" s="94"/>
      <c r="H24" s="59"/>
      <c r="I24" s="59"/>
      <c r="J24" s="106">
        <f>VLOOKUP(A24&amp;G24,Lookup!J:N,5,0)</f>
        <v>0</v>
      </c>
      <c r="K24" s="110"/>
      <c r="L24" s="59"/>
      <c r="M24" s="59"/>
      <c r="N24" s="59"/>
      <c r="O24" s="112">
        <v>0.72569444444444497</v>
      </c>
      <c r="P24" s="110" t="str">
        <f t="shared" si="1"/>
        <v/>
      </c>
      <c r="Q24" s="59"/>
      <c r="R24" s="87" t="str">
        <f t="shared" si="2"/>
        <v/>
      </c>
      <c r="S24" s="87" t="str">
        <f t="shared" si="3"/>
        <v/>
      </c>
      <c r="T24" s="59" t="e">
        <f t="shared" si="4"/>
        <v>#VALUE!</v>
      </c>
      <c r="U24" s="59"/>
      <c r="V24" s="59"/>
      <c r="W24" s="59"/>
      <c r="X24" s="93" t="str">
        <f t="shared" si="0"/>
        <v>D</v>
      </c>
    </row>
    <row r="25" spans="1:24" s="66" customFormat="1" x14ac:dyDescent="0.25">
      <c r="A25" s="53"/>
      <c r="B25" s="91" t="str">
        <f>IFERROR(VLOOKUP(A25,Lookup!A:B,2,0),"")</f>
        <v/>
      </c>
      <c r="C25" s="92" t="str">
        <f>IFERROR(VLOOKUP(A25,Lookup!A:C,3,0),"")</f>
        <v/>
      </c>
      <c r="D25" s="59"/>
      <c r="E25" s="59"/>
      <c r="F25" s="59"/>
      <c r="G25" s="94"/>
      <c r="H25" s="59"/>
      <c r="I25" s="59"/>
      <c r="J25" s="106">
        <f>VLOOKUP(A25&amp;G25,Lookup!J:N,5,0)</f>
        <v>0</v>
      </c>
      <c r="K25" s="110"/>
      <c r="L25" s="59"/>
      <c r="M25" s="59"/>
      <c r="N25" s="59"/>
      <c r="O25" s="112">
        <v>0.76736111111111105</v>
      </c>
      <c r="P25" s="110" t="str">
        <f t="shared" si="1"/>
        <v/>
      </c>
      <c r="Q25" s="59"/>
      <c r="R25" s="87" t="str">
        <f t="shared" si="2"/>
        <v/>
      </c>
      <c r="S25" s="87" t="str">
        <f t="shared" si="3"/>
        <v/>
      </c>
      <c r="T25" s="59" t="e">
        <f t="shared" si="4"/>
        <v>#VALUE!</v>
      </c>
      <c r="U25" s="59"/>
      <c r="V25" s="59"/>
      <c r="W25" s="59"/>
      <c r="X25" s="93" t="str">
        <f t="shared" si="0"/>
        <v>D</v>
      </c>
    </row>
    <row r="26" spans="1:24" s="66" customFormat="1" x14ac:dyDescent="0.25">
      <c r="A26" s="53"/>
      <c r="B26" s="91" t="str">
        <f>IFERROR(VLOOKUP(A26,Lookup!A:B,2,0),"")</f>
        <v/>
      </c>
      <c r="C26" s="92" t="str">
        <f>IFERROR(VLOOKUP(A26,Lookup!A:C,3,0),"")</f>
        <v/>
      </c>
      <c r="D26" s="59"/>
      <c r="E26" s="59"/>
      <c r="F26" s="59"/>
      <c r="G26" s="94"/>
      <c r="H26" s="59"/>
      <c r="I26" s="59"/>
      <c r="J26" s="106">
        <f>VLOOKUP(A26&amp;G26,Lookup!J:N,5,0)</f>
        <v>0</v>
      </c>
      <c r="K26" s="110"/>
      <c r="L26" s="59"/>
      <c r="M26" s="59"/>
      <c r="N26" s="59"/>
      <c r="O26" s="112">
        <v>0.80902777777777801</v>
      </c>
      <c r="P26" s="110" t="str">
        <f t="shared" si="1"/>
        <v/>
      </c>
      <c r="Q26" s="59"/>
      <c r="R26" s="87" t="str">
        <f t="shared" si="2"/>
        <v/>
      </c>
      <c r="S26" s="87" t="str">
        <f t="shared" si="3"/>
        <v/>
      </c>
      <c r="T26" s="59" t="e">
        <f t="shared" si="4"/>
        <v>#VALUE!</v>
      </c>
      <c r="U26" s="59"/>
      <c r="V26" s="59"/>
      <c r="W26" s="59"/>
      <c r="X26" s="93" t="str">
        <f t="shared" si="0"/>
        <v>D</v>
      </c>
    </row>
    <row r="27" spans="1:24" s="66" customFormat="1" x14ac:dyDescent="0.25">
      <c r="A27" s="53"/>
      <c r="B27" s="91" t="str">
        <f>IFERROR(VLOOKUP(A27,Lookup!A:B,2,0),"")</f>
        <v/>
      </c>
      <c r="C27" s="92" t="str">
        <f>IFERROR(VLOOKUP(A27,Lookup!A:C,3,0),"")</f>
        <v/>
      </c>
      <c r="D27" s="59"/>
      <c r="E27" s="59"/>
      <c r="F27" s="59"/>
      <c r="G27" s="94"/>
      <c r="H27" s="59"/>
      <c r="I27" s="59"/>
      <c r="J27" s="106">
        <f>VLOOKUP(A27&amp;G27,Lookup!J:N,5,0)</f>
        <v>0</v>
      </c>
      <c r="K27" s="110"/>
      <c r="L27" s="59"/>
      <c r="M27" s="59"/>
      <c r="N27" s="59"/>
      <c r="O27" s="112">
        <v>0.85069444444444497</v>
      </c>
      <c r="P27" s="110" t="str">
        <f t="shared" si="1"/>
        <v/>
      </c>
      <c r="Q27" s="59"/>
      <c r="R27" s="87" t="str">
        <f t="shared" si="2"/>
        <v/>
      </c>
      <c r="S27" s="87" t="str">
        <f t="shared" si="3"/>
        <v/>
      </c>
      <c r="T27" s="59" t="e">
        <f t="shared" si="4"/>
        <v>#VALUE!</v>
      </c>
      <c r="U27" s="59"/>
      <c r="V27" s="59"/>
      <c r="W27" s="59"/>
      <c r="X27" s="93" t="str">
        <f t="shared" si="0"/>
        <v>D</v>
      </c>
    </row>
    <row r="28" spans="1:24" s="66" customFormat="1" x14ac:dyDescent="0.25">
      <c r="A28" s="53"/>
      <c r="B28" s="91" t="str">
        <f>IFERROR(VLOOKUP(A28,Lookup!A:B,2,0),"")</f>
        <v/>
      </c>
      <c r="C28" s="92" t="str">
        <f>IFERROR(VLOOKUP(A28,Lookup!A:C,3,0),"")</f>
        <v/>
      </c>
      <c r="D28" s="59"/>
      <c r="E28" s="59"/>
      <c r="F28" s="59"/>
      <c r="G28" s="94"/>
      <c r="H28" s="59"/>
      <c r="I28" s="59"/>
      <c r="J28" s="106">
        <f>VLOOKUP(A28&amp;G28,Lookup!J:N,5,0)</f>
        <v>0</v>
      </c>
      <c r="K28" s="110"/>
      <c r="L28" s="59"/>
      <c r="M28" s="59"/>
      <c r="N28" s="59"/>
      <c r="O28" s="112">
        <v>0.89236111111111105</v>
      </c>
      <c r="P28" s="110" t="str">
        <f t="shared" si="1"/>
        <v/>
      </c>
      <c r="Q28" s="59"/>
      <c r="R28" s="87" t="str">
        <f t="shared" si="2"/>
        <v/>
      </c>
      <c r="S28" s="87" t="str">
        <f t="shared" si="3"/>
        <v/>
      </c>
      <c r="T28" s="59" t="e">
        <f t="shared" si="4"/>
        <v>#VALUE!</v>
      </c>
      <c r="U28" s="59"/>
      <c r="V28" s="59"/>
      <c r="W28" s="59"/>
      <c r="X28" s="93" t="str">
        <f t="shared" si="0"/>
        <v>D</v>
      </c>
    </row>
    <row r="29" spans="1:24" s="66" customFormat="1" x14ac:dyDescent="0.25">
      <c r="A29" s="53"/>
      <c r="B29" s="91" t="str">
        <f>IFERROR(VLOOKUP(A29,Lookup!A:B,2,0),"")</f>
        <v/>
      </c>
      <c r="C29" s="92" t="str">
        <f>IFERROR(VLOOKUP(A29,Lookup!A:C,3,0),"")</f>
        <v/>
      </c>
      <c r="D29" s="59"/>
      <c r="E29" s="59"/>
      <c r="F29" s="59"/>
      <c r="G29" s="94"/>
      <c r="H29" s="59"/>
      <c r="I29" s="59"/>
      <c r="J29" s="106">
        <f>VLOOKUP(A29&amp;G29,Lookup!J:N,5,0)</f>
        <v>0</v>
      </c>
      <c r="K29" s="110"/>
      <c r="L29" s="59"/>
      <c r="M29" s="59"/>
      <c r="N29" s="59"/>
      <c r="O29" s="112">
        <v>0.93402777777777801</v>
      </c>
      <c r="P29" s="110" t="str">
        <f t="shared" si="1"/>
        <v/>
      </c>
      <c r="Q29" s="59"/>
      <c r="R29" s="87" t="str">
        <f t="shared" si="2"/>
        <v/>
      </c>
      <c r="S29" s="87" t="str">
        <f t="shared" si="3"/>
        <v/>
      </c>
      <c r="T29" s="59" t="e">
        <f t="shared" si="4"/>
        <v>#VALUE!</v>
      </c>
      <c r="U29" s="59"/>
      <c r="V29" s="59"/>
      <c r="W29" s="59"/>
      <c r="X29" s="93" t="str">
        <f t="shared" si="0"/>
        <v>D</v>
      </c>
    </row>
    <row r="30" spans="1:24" s="66" customFormat="1" x14ac:dyDescent="0.25">
      <c r="A30" s="53"/>
      <c r="B30" s="91" t="str">
        <f>IFERROR(VLOOKUP(A30,Lookup!A:B,2,0),"")</f>
        <v/>
      </c>
      <c r="C30" s="92" t="str">
        <f>IFERROR(VLOOKUP(A30,Lookup!A:C,3,0),"")</f>
        <v/>
      </c>
      <c r="D30" s="59"/>
      <c r="E30" s="59"/>
      <c r="F30" s="59"/>
      <c r="G30" s="94"/>
      <c r="H30" s="59"/>
      <c r="I30" s="59"/>
      <c r="J30" s="106">
        <f>VLOOKUP(A30&amp;G30,Lookup!J:N,5,0)</f>
        <v>0</v>
      </c>
      <c r="K30" s="110"/>
      <c r="L30" s="59"/>
      <c r="M30" s="59"/>
      <c r="N30" s="59"/>
      <c r="O30" s="112">
        <v>0.97569444444444497</v>
      </c>
      <c r="P30" s="110" t="str">
        <f t="shared" si="1"/>
        <v/>
      </c>
      <c r="Q30" s="59"/>
      <c r="R30" s="87" t="str">
        <f t="shared" si="2"/>
        <v/>
      </c>
      <c r="S30" s="87" t="str">
        <f t="shared" si="3"/>
        <v/>
      </c>
      <c r="T30" s="59" t="e">
        <f t="shared" si="4"/>
        <v>#VALUE!</v>
      </c>
      <c r="U30" s="59"/>
      <c r="V30" s="59"/>
      <c r="W30" s="59"/>
      <c r="X30" s="93" t="str">
        <f t="shared" si="0"/>
        <v>D</v>
      </c>
    </row>
    <row r="31" spans="1:24" s="66" customFormat="1" x14ac:dyDescent="0.25">
      <c r="A31" s="53"/>
      <c r="B31" s="91" t="str">
        <f>IFERROR(VLOOKUP(A31,Lookup!A:B,2,0),"")</f>
        <v/>
      </c>
      <c r="C31" s="92" t="str">
        <f>IFERROR(VLOOKUP(A31,Lookup!A:C,3,0),"")</f>
        <v/>
      </c>
      <c r="D31" s="59"/>
      <c r="E31" s="59"/>
      <c r="F31" s="59"/>
      <c r="G31" s="94"/>
      <c r="H31" s="59"/>
      <c r="I31" s="59"/>
      <c r="J31" s="106">
        <f>VLOOKUP(A31&amp;G31,Lookup!J:N,5,0)</f>
        <v>0</v>
      </c>
      <c r="K31" s="110"/>
      <c r="L31" s="59"/>
      <c r="M31" s="59"/>
      <c r="N31" s="59"/>
      <c r="O31" s="112">
        <v>1.0173611111111101</v>
      </c>
      <c r="P31" s="110" t="str">
        <f t="shared" si="1"/>
        <v/>
      </c>
      <c r="Q31" s="59"/>
      <c r="R31" s="87" t="str">
        <f t="shared" si="2"/>
        <v/>
      </c>
      <c r="S31" s="87" t="str">
        <f t="shared" si="3"/>
        <v/>
      </c>
      <c r="T31" s="59" t="e">
        <f t="shared" si="4"/>
        <v>#VALUE!</v>
      </c>
      <c r="U31" s="59"/>
      <c r="V31" s="59"/>
      <c r="W31" s="59"/>
      <c r="X31" s="93" t="str">
        <f t="shared" si="0"/>
        <v>D</v>
      </c>
    </row>
    <row r="32" spans="1:24" s="66" customFormat="1" x14ac:dyDescent="0.25">
      <c r="A32" s="53"/>
      <c r="B32" s="91" t="str">
        <f>IFERROR(VLOOKUP(A32,Lookup!A:B,2,0),"")</f>
        <v/>
      </c>
      <c r="C32" s="92" t="str">
        <f>IFERROR(VLOOKUP(A32,Lookup!A:C,3,0),"")</f>
        <v/>
      </c>
      <c r="D32" s="59"/>
      <c r="E32" s="59"/>
      <c r="F32" s="59"/>
      <c r="G32" s="94"/>
      <c r="H32" s="59"/>
      <c r="I32" s="59"/>
      <c r="J32" s="106">
        <f>VLOOKUP(A32&amp;G32,Lookup!J:N,5,0)</f>
        <v>0</v>
      </c>
      <c r="K32" s="110"/>
      <c r="L32" s="59"/>
      <c r="M32" s="59"/>
      <c r="N32" s="59"/>
      <c r="O32" s="112">
        <v>1.0590277777777799</v>
      </c>
      <c r="P32" s="110" t="str">
        <f t="shared" si="1"/>
        <v/>
      </c>
      <c r="Q32" s="59"/>
      <c r="R32" s="87" t="str">
        <f t="shared" si="2"/>
        <v/>
      </c>
      <c r="S32" s="87" t="str">
        <f t="shared" si="3"/>
        <v/>
      </c>
      <c r="T32" s="59" t="e">
        <f t="shared" si="4"/>
        <v>#VALUE!</v>
      </c>
      <c r="U32" s="59"/>
      <c r="V32" s="59"/>
      <c r="W32" s="59"/>
      <c r="X32" s="93" t="str">
        <f t="shared" si="0"/>
        <v>D</v>
      </c>
    </row>
    <row r="33" spans="1:24" s="66" customFormat="1" x14ac:dyDescent="0.25">
      <c r="A33" s="53"/>
      <c r="B33" s="91" t="str">
        <f>IFERROR(VLOOKUP(A33,Lookup!A:B,2,0),"")</f>
        <v/>
      </c>
      <c r="C33" s="92" t="str">
        <f>IFERROR(VLOOKUP(A33,Lookup!A:C,3,0),"")</f>
        <v/>
      </c>
      <c r="D33" s="59"/>
      <c r="E33" s="59"/>
      <c r="F33" s="59"/>
      <c r="G33" s="94"/>
      <c r="H33" s="59"/>
      <c r="I33" s="59"/>
      <c r="J33" s="106">
        <f>VLOOKUP(A33&amp;G33,Lookup!J:N,5,0)</f>
        <v>0</v>
      </c>
      <c r="K33" s="110"/>
      <c r="L33" s="59"/>
      <c r="M33" s="59"/>
      <c r="N33" s="59"/>
      <c r="O33" s="112">
        <v>1.10069444444444</v>
      </c>
      <c r="P33" s="110" t="str">
        <f t="shared" si="1"/>
        <v/>
      </c>
      <c r="Q33" s="59"/>
      <c r="R33" s="87" t="str">
        <f t="shared" si="2"/>
        <v/>
      </c>
      <c r="S33" s="87" t="str">
        <f t="shared" si="3"/>
        <v/>
      </c>
      <c r="T33" s="59" t="e">
        <f t="shared" si="4"/>
        <v>#VALUE!</v>
      </c>
      <c r="U33" s="59"/>
      <c r="V33" s="59"/>
      <c r="W33" s="59"/>
      <c r="X33" s="93" t="str">
        <f t="shared" si="0"/>
        <v>D</v>
      </c>
    </row>
    <row r="34" spans="1:24" s="66" customFormat="1" x14ac:dyDescent="0.25">
      <c r="A34" s="53"/>
      <c r="B34" s="91" t="str">
        <f>IFERROR(VLOOKUP(A34,Lookup!A:B,2,0),"")</f>
        <v/>
      </c>
      <c r="C34" s="92" t="str">
        <f>IFERROR(VLOOKUP(A34,Lookup!A:C,3,0),"")</f>
        <v/>
      </c>
      <c r="D34" s="59"/>
      <c r="E34" s="59"/>
      <c r="F34" s="59"/>
      <c r="G34" s="94"/>
      <c r="H34" s="59"/>
      <c r="I34" s="59"/>
      <c r="J34" s="106">
        <f>VLOOKUP(A34&amp;G34,Lookup!J:N,5,0)</f>
        <v>0</v>
      </c>
      <c r="K34" s="110"/>
      <c r="L34" s="59"/>
      <c r="M34" s="59"/>
      <c r="N34" s="59"/>
      <c r="O34" s="112">
        <v>1.1423611111111101</v>
      </c>
      <c r="P34" s="110" t="str">
        <f t="shared" si="1"/>
        <v/>
      </c>
      <c r="Q34" s="59"/>
      <c r="R34" s="87" t="str">
        <f t="shared" si="2"/>
        <v/>
      </c>
      <c r="S34" s="87" t="str">
        <f t="shared" si="3"/>
        <v/>
      </c>
      <c r="T34" s="59" t="e">
        <f t="shared" si="4"/>
        <v>#VALUE!</v>
      </c>
      <c r="U34" s="59"/>
      <c r="V34" s="59"/>
      <c r="W34" s="59"/>
      <c r="X34" s="93" t="str">
        <f t="shared" si="0"/>
        <v>D</v>
      </c>
    </row>
    <row r="35" spans="1:24" s="66" customFormat="1" x14ac:dyDescent="0.25">
      <c r="A35" s="53"/>
      <c r="B35" s="91" t="str">
        <f>IFERROR(VLOOKUP(A35,Lookup!A:B,2,0),"")</f>
        <v/>
      </c>
      <c r="C35" s="92" t="str">
        <f>IFERROR(VLOOKUP(A35,Lookup!A:C,3,0),"")</f>
        <v/>
      </c>
      <c r="D35" s="59"/>
      <c r="E35" s="59"/>
      <c r="F35" s="59"/>
      <c r="G35" s="94"/>
      <c r="H35" s="59"/>
      <c r="I35" s="59"/>
      <c r="J35" s="106">
        <f>VLOOKUP(A35&amp;G35,Lookup!J:N,5,0)</f>
        <v>0</v>
      </c>
      <c r="K35" s="110"/>
      <c r="L35" s="59"/>
      <c r="M35" s="59"/>
      <c r="N35" s="59"/>
      <c r="O35" s="112">
        <v>1.1840277777777799</v>
      </c>
      <c r="P35" s="110" t="str">
        <f t="shared" si="1"/>
        <v/>
      </c>
      <c r="Q35" s="59"/>
      <c r="R35" s="87" t="str">
        <f t="shared" si="2"/>
        <v/>
      </c>
      <c r="S35" s="87" t="str">
        <f t="shared" si="3"/>
        <v/>
      </c>
      <c r="T35" s="59" t="e">
        <f t="shared" si="4"/>
        <v>#VALUE!</v>
      </c>
      <c r="U35" s="59"/>
      <c r="V35" s="59"/>
      <c r="W35" s="59"/>
      <c r="X35" s="93" t="str">
        <f t="shared" si="0"/>
        <v>D</v>
      </c>
    </row>
    <row r="36" spans="1:24" s="66" customFormat="1" x14ac:dyDescent="0.25">
      <c r="A36" s="53"/>
      <c r="B36" s="91" t="str">
        <f>IFERROR(VLOOKUP(A36,Lookup!A:B,2,0),"")</f>
        <v/>
      </c>
      <c r="C36" s="92" t="str">
        <f>IFERROR(VLOOKUP(A36,Lookup!A:C,3,0),"")</f>
        <v/>
      </c>
      <c r="D36" s="59"/>
      <c r="E36" s="59"/>
      <c r="F36" s="59"/>
      <c r="G36" s="94"/>
      <c r="H36" s="59"/>
      <c r="I36" s="59"/>
      <c r="J36" s="106">
        <f>VLOOKUP(A36&amp;G36,Lookup!J:N,5,0)</f>
        <v>0</v>
      </c>
      <c r="K36" s="110"/>
      <c r="L36" s="59"/>
      <c r="M36" s="59"/>
      <c r="N36" s="59"/>
      <c r="O36" s="112">
        <v>1.22569444444444</v>
      </c>
      <c r="P36" s="110" t="str">
        <f t="shared" si="1"/>
        <v/>
      </c>
      <c r="Q36" s="59"/>
      <c r="R36" s="87" t="str">
        <f t="shared" si="2"/>
        <v/>
      </c>
      <c r="S36" s="87" t="str">
        <f t="shared" si="3"/>
        <v/>
      </c>
      <c r="T36" s="59" t="e">
        <f t="shared" si="4"/>
        <v>#VALUE!</v>
      </c>
      <c r="U36" s="59"/>
      <c r="V36" s="59"/>
      <c r="W36" s="59"/>
      <c r="X36" s="93" t="str">
        <f t="shared" ref="X36:X67" si="5">IF(I36="SET","A",IF(I36="FREQ","C",IF(I36="","D","B")))</f>
        <v>D</v>
      </c>
    </row>
    <row r="37" spans="1:24" s="66" customFormat="1" x14ac:dyDescent="0.25">
      <c r="A37" s="53"/>
      <c r="B37" s="91" t="str">
        <f>IFERROR(VLOOKUP(A37,Lookup!A:B,2,0),"")</f>
        <v/>
      </c>
      <c r="C37" s="92" t="str">
        <f>IFERROR(VLOOKUP(A37,Lookup!A:C,3,0),"")</f>
        <v/>
      </c>
      <c r="D37" s="59"/>
      <c r="E37" s="59"/>
      <c r="F37" s="59"/>
      <c r="G37" s="94"/>
      <c r="H37" s="59"/>
      <c r="I37" s="59"/>
      <c r="J37" s="106">
        <f>VLOOKUP(A37&amp;G37,Lookup!J:N,5,0)</f>
        <v>0</v>
      </c>
      <c r="K37" s="110"/>
      <c r="L37" s="59"/>
      <c r="M37" s="59"/>
      <c r="N37" s="59"/>
      <c r="O37" s="112">
        <v>1.2673611111111101</v>
      </c>
      <c r="P37" s="110" t="str">
        <f t="shared" si="1"/>
        <v/>
      </c>
      <c r="Q37" s="59"/>
      <c r="R37" s="87" t="str">
        <f t="shared" si="2"/>
        <v/>
      </c>
      <c r="S37" s="87" t="str">
        <f t="shared" si="3"/>
        <v/>
      </c>
      <c r="T37" s="59" t="e">
        <f t="shared" si="4"/>
        <v>#VALUE!</v>
      </c>
      <c r="U37" s="59"/>
      <c r="V37" s="59"/>
      <c r="W37" s="59"/>
      <c r="X37" s="93" t="str">
        <f t="shared" si="5"/>
        <v>D</v>
      </c>
    </row>
    <row r="38" spans="1:24" s="66" customFormat="1" x14ac:dyDescent="0.25">
      <c r="A38" s="53"/>
      <c r="B38" s="91" t="str">
        <f>IFERROR(VLOOKUP(A38,Lookup!A:B,2,0),"")</f>
        <v/>
      </c>
      <c r="C38" s="92" t="str">
        <f>IFERROR(VLOOKUP(A38,Lookup!A:C,3,0),"")</f>
        <v/>
      </c>
      <c r="D38" s="59"/>
      <c r="E38" s="59"/>
      <c r="F38" s="59"/>
      <c r="G38" s="94"/>
      <c r="H38" s="59"/>
      <c r="I38" s="59"/>
      <c r="J38" s="106">
        <f>VLOOKUP(A38&amp;G38,Lookup!J:N,5,0)</f>
        <v>0</v>
      </c>
      <c r="K38" s="110"/>
      <c r="L38" s="59"/>
      <c r="M38" s="59"/>
      <c r="N38" s="59"/>
      <c r="O38" s="112">
        <v>1.3090277777777799</v>
      </c>
      <c r="P38" s="110" t="str">
        <f t="shared" ref="P38:P69" si="6">IF(N38="","",N38+O38)</f>
        <v/>
      </c>
      <c r="Q38" s="59"/>
      <c r="R38" s="87" t="str">
        <f t="shared" ref="R38:R69" si="7">IF(OR(EXACT(N38,""), EXACT(L38,"")),"",N38-L38)</f>
        <v/>
      </c>
      <c r="S38" s="87" t="str">
        <f t="shared" ref="S38:S69" si="8">IF(OR(EXACT(Q38,""), EXACT(L38,"")),"",Q38-L38)</f>
        <v/>
      </c>
      <c r="T38" s="59" t="e">
        <f t="shared" ref="T38:T59" si="9">IF(Q38-P38&gt;0,"YES",(IF(OR(EXACT(Q38,""), EXACT(P38,"")),"","NO")))</f>
        <v>#VALUE!</v>
      </c>
      <c r="U38" s="59"/>
      <c r="V38" s="59"/>
      <c r="W38" s="59"/>
      <c r="X38" s="93" t="str">
        <f t="shared" si="5"/>
        <v>D</v>
      </c>
    </row>
    <row r="39" spans="1:24" s="66" customFormat="1" x14ac:dyDescent="0.25">
      <c r="A39" s="53"/>
      <c r="B39" s="91" t="str">
        <f>IFERROR(VLOOKUP(A39,Lookup!A:B,2,0),"")</f>
        <v/>
      </c>
      <c r="C39" s="92" t="str">
        <f>IFERROR(VLOOKUP(A39,Lookup!A:C,3,0),"")</f>
        <v/>
      </c>
      <c r="D39" s="59"/>
      <c r="E39" s="59"/>
      <c r="F39" s="59"/>
      <c r="G39" s="94"/>
      <c r="H39" s="59"/>
      <c r="I39" s="59"/>
      <c r="J39" s="106">
        <f>VLOOKUP(A39&amp;G39,Lookup!J:N,5,0)</f>
        <v>0</v>
      </c>
      <c r="K39" s="110"/>
      <c r="L39" s="59"/>
      <c r="M39" s="59"/>
      <c r="N39" s="59"/>
      <c r="O39" s="112">
        <v>1.35069444444444</v>
      </c>
      <c r="P39" s="110" t="str">
        <f t="shared" si="6"/>
        <v/>
      </c>
      <c r="Q39" s="59"/>
      <c r="R39" s="87" t="str">
        <f t="shared" si="7"/>
        <v/>
      </c>
      <c r="S39" s="87" t="str">
        <f t="shared" si="8"/>
        <v/>
      </c>
      <c r="T39" s="59" t="e">
        <f t="shared" si="9"/>
        <v>#VALUE!</v>
      </c>
      <c r="U39" s="59"/>
      <c r="V39" s="59"/>
      <c r="W39" s="59"/>
      <c r="X39" s="93" t="str">
        <f t="shared" si="5"/>
        <v>D</v>
      </c>
    </row>
    <row r="40" spans="1:24" s="66" customFormat="1" x14ac:dyDescent="0.25">
      <c r="A40" s="53"/>
      <c r="B40" s="91" t="str">
        <f>IFERROR(VLOOKUP(A40,Lookup!A:B,2,0),"")</f>
        <v/>
      </c>
      <c r="C40" s="92" t="str">
        <f>IFERROR(VLOOKUP(A40,Lookup!A:C,3,0),"")</f>
        <v/>
      </c>
      <c r="D40" s="59"/>
      <c r="E40" s="59"/>
      <c r="F40" s="59"/>
      <c r="G40" s="94"/>
      <c r="H40" s="59"/>
      <c r="I40" s="59"/>
      <c r="J40" s="106">
        <f>VLOOKUP(A40&amp;G40,Lookup!J:N,5,0)</f>
        <v>0</v>
      </c>
      <c r="K40" s="110"/>
      <c r="L40" s="59"/>
      <c r="M40" s="59"/>
      <c r="N40" s="59"/>
      <c r="O40" s="112">
        <v>1.3923611111111101</v>
      </c>
      <c r="P40" s="110" t="str">
        <f t="shared" si="6"/>
        <v/>
      </c>
      <c r="Q40" s="59"/>
      <c r="R40" s="87" t="str">
        <f t="shared" si="7"/>
        <v/>
      </c>
      <c r="S40" s="87" t="str">
        <f t="shared" si="8"/>
        <v/>
      </c>
      <c r="T40" s="59" t="e">
        <f t="shared" si="9"/>
        <v>#VALUE!</v>
      </c>
      <c r="U40" s="59"/>
      <c r="V40" s="59"/>
      <c r="W40" s="59"/>
      <c r="X40" s="93" t="str">
        <f t="shared" si="5"/>
        <v>D</v>
      </c>
    </row>
    <row r="41" spans="1:24" s="66" customFormat="1" x14ac:dyDescent="0.25">
      <c r="A41" s="53"/>
      <c r="B41" s="91" t="str">
        <f>IFERROR(VLOOKUP(A41,Lookup!A:B,2,0),"")</f>
        <v/>
      </c>
      <c r="C41" s="92" t="str">
        <f>IFERROR(VLOOKUP(A41,Lookup!A:C,3,0),"")</f>
        <v/>
      </c>
      <c r="D41" s="59"/>
      <c r="E41" s="59"/>
      <c r="F41" s="59"/>
      <c r="G41" s="94"/>
      <c r="H41" s="59"/>
      <c r="I41" s="59"/>
      <c r="J41" s="106">
        <f>VLOOKUP(A41&amp;G41,Lookup!J:N,5,0)</f>
        <v>0</v>
      </c>
      <c r="K41" s="110"/>
      <c r="L41" s="59"/>
      <c r="M41" s="59"/>
      <c r="N41" s="59"/>
      <c r="O41" s="112">
        <v>1.4340277777777799</v>
      </c>
      <c r="P41" s="110" t="str">
        <f t="shared" si="6"/>
        <v/>
      </c>
      <c r="Q41" s="59"/>
      <c r="R41" s="87" t="str">
        <f t="shared" si="7"/>
        <v/>
      </c>
      <c r="S41" s="87" t="str">
        <f t="shared" si="8"/>
        <v/>
      </c>
      <c r="T41" s="59" t="e">
        <f t="shared" si="9"/>
        <v>#VALUE!</v>
      </c>
      <c r="U41" s="59"/>
      <c r="V41" s="59"/>
      <c r="W41" s="59"/>
      <c r="X41" s="93" t="str">
        <f t="shared" si="5"/>
        <v>D</v>
      </c>
    </row>
    <row r="42" spans="1:24" s="66" customFormat="1" x14ac:dyDescent="0.25">
      <c r="A42" s="53"/>
      <c r="B42" s="91" t="str">
        <f>IFERROR(VLOOKUP(A42,Lookup!A:B,2,0),"")</f>
        <v/>
      </c>
      <c r="C42" s="92" t="str">
        <f>IFERROR(VLOOKUP(A42,Lookup!A:C,3,0),"")</f>
        <v/>
      </c>
      <c r="D42" s="59"/>
      <c r="E42" s="59"/>
      <c r="F42" s="59"/>
      <c r="G42" s="94"/>
      <c r="H42" s="59"/>
      <c r="I42" s="59"/>
      <c r="J42" s="106">
        <f>VLOOKUP(A42&amp;G42,Lookup!J:N,5,0)</f>
        <v>0</v>
      </c>
      <c r="K42" s="110"/>
      <c r="L42" s="59"/>
      <c r="M42" s="59"/>
      <c r="N42" s="59"/>
      <c r="O42" s="112">
        <v>1.47569444444444</v>
      </c>
      <c r="P42" s="110" t="str">
        <f t="shared" si="6"/>
        <v/>
      </c>
      <c r="Q42" s="59"/>
      <c r="R42" s="87" t="str">
        <f t="shared" si="7"/>
        <v/>
      </c>
      <c r="S42" s="87" t="str">
        <f t="shared" si="8"/>
        <v/>
      </c>
      <c r="T42" s="59" t="e">
        <f t="shared" si="9"/>
        <v>#VALUE!</v>
      </c>
      <c r="U42" s="59"/>
      <c r="V42" s="59"/>
      <c r="W42" s="59"/>
      <c r="X42" s="93" t="str">
        <f t="shared" si="5"/>
        <v>D</v>
      </c>
    </row>
    <row r="43" spans="1:24" s="66" customFormat="1" x14ac:dyDescent="0.25">
      <c r="A43" s="53"/>
      <c r="B43" s="91" t="str">
        <f>IFERROR(VLOOKUP(A43,Lookup!A:B,2,0),"")</f>
        <v/>
      </c>
      <c r="C43" s="92" t="str">
        <f>IFERROR(VLOOKUP(A43,Lookup!A:C,3,0),"")</f>
        <v/>
      </c>
      <c r="D43" s="59"/>
      <c r="E43" s="59"/>
      <c r="F43" s="59"/>
      <c r="G43" s="94"/>
      <c r="H43" s="59"/>
      <c r="I43" s="59"/>
      <c r="J43" s="106">
        <f>VLOOKUP(A43&amp;G43,Lookup!J:N,5,0)</f>
        <v>0</v>
      </c>
      <c r="K43" s="110"/>
      <c r="L43" s="59"/>
      <c r="M43" s="59"/>
      <c r="N43" s="59"/>
      <c r="O43" s="112">
        <v>1.5173611111111101</v>
      </c>
      <c r="P43" s="110" t="str">
        <f t="shared" si="6"/>
        <v/>
      </c>
      <c r="Q43" s="59"/>
      <c r="R43" s="87" t="str">
        <f t="shared" si="7"/>
        <v/>
      </c>
      <c r="S43" s="87" t="str">
        <f t="shared" si="8"/>
        <v/>
      </c>
      <c r="T43" s="59" t="e">
        <f t="shared" si="9"/>
        <v>#VALUE!</v>
      </c>
      <c r="U43" s="59"/>
      <c r="V43" s="59"/>
      <c r="W43" s="59"/>
      <c r="X43" s="93" t="str">
        <f t="shared" si="5"/>
        <v>D</v>
      </c>
    </row>
    <row r="44" spans="1:24" s="66" customFormat="1" x14ac:dyDescent="0.25">
      <c r="A44" s="53"/>
      <c r="B44" s="91" t="str">
        <f>IFERROR(VLOOKUP(A44,Lookup!A:B,2,0),"")</f>
        <v/>
      </c>
      <c r="C44" s="92" t="str">
        <f>IFERROR(VLOOKUP(A44,Lookup!A:C,3,0),"")</f>
        <v/>
      </c>
      <c r="D44" s="59"/>
      <c r="E44" s="59"/>
      <c r="F44" s="59"/>
      <c r="G44" s="94"/>
      <c r="H44" s="59"/>
      <c r="I44" s="59"/>
      <c r="J44" s="106">
        <f>VLOOKUP(A44&amp;G44,Lookup!J:N,5,0)</f>
        <v>0</v>
      </c>
      <c r="K44" s="110"/>
      <c r="L44" s="59"/>
      <c r="M44" s="59"/>
      <c r="N44" s="59"/>
      <c r="O44" s="112">
        <v>1.5590277777777799</v>
      </c>
      <c r="P44" s="110" t="str">
        <f t="shared" si="6"/>
        <v/>
      </c>
      <c r="Q44" s="59"/>
      <c r="R44" s="87" t="str">
        <f t="shared" si="7"/>
        <v/>
      </c>
      <c r="S44" s="87" t="str">
        <f t="shared" si="8"/>
        <v/>
      </c>
      <c r="T44" s="59" t="e">
        <f t="shared" si="9"/>
        <v>#VALUE!</v>
      </c>
      <c r="U44" s="59"/>
      <c r="V44" s="59"/>
      <c r="W44" s="59"/>
      <c r="X44" s="93" t="str">
        <f t="shared" si="5"/>
        <v>D</v>
      </c>
    </row>
    <row r="45" spans="1:24" s="66" customFormat="1" x14ac:dyDescent="0.25">
      <c r="A45" s="53"/>
      <c r="B45" s="91" t="str">
        <f>IFERROR(VLOOKUP(A45,Lookup!A:B,2,0),"")</f>
        <v/>
      </c>
      <c r="C45" s="92" t="str">
        <f>IFERROR(VLOOKUP(A45,Lookup!A:C,3,0),"")</f>
        <v/>
      </c>
      <c r="D45" s="59"/>
      <c r="E45" s="59"/>
      <c r="F45" s="59"/>
      <c r="G45" s="94"/>
      <c r="H45" s="59"/>
      <c r="I45" s="59"/>
      <c r="J45" s="106">
        <f>VLOOKUP(A45&amp;G45,Lookup!J:N,5,0)</f>
        <v>0</v>
      </c>
      <c r="K45" s="110"/>
      <c r="L45" s="59"/>
      <c r="M45" s="59"/>
      <c r="N45" s="59"/>
      <c r="O45" s="112">
        <v>1.60069444444444</v>
      </c>
      <c r="P45" s="110" t="str">
        <f t="shared" si="6"/>
        <v/>
      </c>
      <c r="Q45" s="59"/>
      <c r="R45" s="87" t="str">
        <f t="shared" si="7"/>
        <v/>
      </c>
      <c r="S45" s="87" t="str">
        <f t="shared" si="8"/>
        <v/>
      </c>
      <c r="T45" s="59" t="e">
        <f t="shared" si="9"/>
        <v>#VALUE!</v>
      </c>
      <c r="U45" s="59"/>
      <c r="V45" s="59"/>
      <c r="W45" s="59"/>
      <c r="X45" s="93" t="str">
        <f t="shared" si="5"/>
        <v>D</v>
      </c>
    </row>
    <row r="46" spans="1:24" s="66" customFormat="1" x14ac:dyDescent="0.25">
      <c r="A46" s="53"/>
      <c r="B46" s="91" t="str">
        <f>IFERROR(VLOOKUP(A46,Lookup!A:B,2,0),"")</f>
        <v/>
      </c>
      <c r="C46" s="92" t="str">
        <f>IFERROR(VLOOKUP(A46,Lookup!A:C,3,0),"")</f>
        <v/>
      </c>
      <c r="D46" s="59"/>
      <c r="E46" s="59"/>
      <c r="F46" s="59"/>
      <c r="G46" s="94"/>
      <c r="H46" s="59"/>
      <c r="I46" s="59"/>
      <c r="J46" s="106">
        <f>VLOOKUP(A46&amp;G46,Lookup!J:N,5,0)</f>
        <v>0</v>
      </c>
      <c r="K46" s="110"/>
      <c r="L46" s="59"/>
      <c r="M46" s="59"/>
      <c r="N46" s="59"/>
      <c r="O46" s="112">
        <v>1.6423611111111101</v>
      </c>
      <c r="P46" s="110" t="str">
        <f t="shared" si="6"/>
        <v/>
      </c>
      <c r="Q46" s="59"/>
      <c r="R46" s="87" t="str">
        <f t="shared" si="7"/>
        <v/>
      </c>
      <c r="S46" s="87" t="str">
        <f t="shared" si="8"/>
        <v/>
      </c>
      <c r="T46" s="59" t="e">
        <f t="shared" si="9"/>
        <v>#VALUE!</v>
      </c>
      <c r="U46" s="59"/>
      <c r="V46" s="59"/>
      <c r="W46" s="59"/>
      <c r="X46" s="93" t="str">
        <f t="shared" si="5"/>
        <v>D</v>
      </c>
    </row>
    <row r="47" spans="1:24" s="66" customFormat="1" x14ac:dyDescent="0.25">
      <c r="A47" s="53"/>
      <c r="B47" s="91" t="str">
        <f>IFERROR(VLOOKUP(A47,Lookup!A:B,2,0),"")</f>
        <v/>
      </c>
      <c r="C47" s="92" t="str">
        <f>IFERROR(VLOOKUP(A47,Lookup!A:C,3,0),"")</f>
        <v/>
      </c>
      <c r="D47" s="59"/>
      <c r="E47" s="59"/>
      <c r="F47" s="59"/>
      <c r="G47" s="94"/>
      <c r="H47" s="59"/>
      <c r="I47" s="59"/>
      <c r="J47" s="106">
        <f>VLOOKUP(A47&amp;G47,Lookup!J:N,5,0)</f>
        <v>0</v>
      </c>
      <c r="K47" s="110"/>
      <c r="L47" s="59"/>
      <c r="M47" s="59"/>
      <c r="N47" s="59"/>
      <c r="O47" s="112">
        <v>1.6840277777777799</v>
      </c>
      <c r="P47" s="110" t="str">
        <f t="shared" si="6"/>
        <v/>
      </c>
      <c r="Q47" s="59"/>
      <c r="R47" s="87" t="str">
        <f t="shared" si="7"/>
        <v/>
      </c>
      <c r="S47" s="87" t="str">
        <f t="shared" si="8"/>
        <v/>
      </c>
      <c r="T47" s="59" t="e">
        <f t="shared" si="9"/>
        <v>#VALUE!</v>
      </c>
      <c r="U47" s="59"/>
      <c r="V47" s="59"/>
      <c r="W47" s="59"/>
      <c r="X47" s="93" t="str">
        <f t="shared" si="5"/>
        <v>D</v>
      </c>
    </row>
    <row r="48" spans="1:24" s="66" customFormat="1" x14ac:dyDescent="0.25">
      <c r="A48" s="53"/>
      <c r="B48" s="91" t="str">
        <f>IFERROR(VLOOKUP(A48,Lookup!A:B,2,0),"")</f>
        <v/>
      </c>
      <c r="C48" s="92" t="str">
        <f>IFERROR(VLOOKUP(A48,Lookup!A:C,3,0),"")</f>
        <v/>
      </c>
      <c r="D48" s="59"/>
      <c r="E48" s="59"/>
      <c r="F48" s="59"/>
      <c r="G48" s="94"/>
      <c r="H48" s="59"/>
      <c r="I48" s="59"/>
      <c r="J48" s="106">
        <f>VLOOKUP(A48&amp;G48,Lookup!J:N,5,0)</f>
        <v>0</v>
      </c>
      <c r="K48" s="110"/>
      <c r="L48" s="59"/>
      <c r="M48" s="59"/>
      <c r="N48" s="59"/>
      <c r="O48" s="112">
        <v>1.72569444444444</v>
      </c>
      <c r="P48" s="110" t="str">
        <f t="shared" si="6"/>
        <v/>
      </c>
      <c r="Q48" s="59"/>
      <c r="R48" s="87" t="str">
        <f t="shared" si="7"/>
        <v/>
      </c>
      <c r="S48" s="87" t="str">
        <f t="shared" si="8"/>
        <v/>
      </c>
      <c r="T48" s="59" t="e">
        <f t="shared" si="9"/>
        <v>#VALUE!</v>
      </c>
      <c r="U48" s="59"/>
      <c r="V48" s="59"/>
      <c r="W48" s="59"/>
      <c r="X48" s="93" t="str">
        <f t="shared" si="5"/>
        <v>D</v>
      </c>
    </row>
    <row r="49" spans="1:24" s="66" customFormat="1" x14ac:dyDescent="0.25">
      <c r="A49" s="53"/>
      <c r="B49" s="91" t="str">
        <f>IFERROR(VLOOKUP(A49,Lookup!A:B,2,0),"")</f>
        <v/>
      </c>
      <c r="C49" s="92" t="str">
        <f>IFERROR(VLOOKUP(A49,Lookup!A:C,3,0),"")</f>
        <v/>
      </c>
      <c r="D49" s="59"/>
      <c r="E49" s="59"/>
      <c r="F49" s="59"/>
      <c r="G49" s="94"/>
      <c r="H49" s="59"/>
      <c r="I49" s="59"/>
      <c r="J49" s="106">
        <f>VLOOKUP(A49&amp;G49,Lookup!J:N,5,0)</f>
        <v>0</v>
      </c>
      <c r="K49" s="110"/>
      <c r="L49" s="59"/>
      <c r="M49" s="59"/>
      <c r="N49" s="59"/>
      <c r="O49" s="112">
        <v>1.7673611111111101</v>
      </c>
      <c r="P49" s="110" t="str">
        <f t="shared" si="6"/>
        <v/>
      </c>
      <c r="Q49" s="59"/>
      <c r="R49" s="87" t="str">
        <f t="shared" si="7"/>
        <v/>
      </c>
      <c r="S49" s="87" t="str">
        <f t="shared" si="8"/>
        <v/>
      </c>
      <c r="T49" s="59" t="e">
        <f t="shared" si="9"/>
        <v>#VALUE!</v>
      </c>
      <c r="U49" s="59"/>
      <c r="V49" s="59"/>
      <c r="W49" s="59"/>
      <c r="X49" s="93" t="str">
        <f t="shared" si="5"/>
        <v>D</v>
      </c>
    </row>
    <row r="50" spans="1:24" s="66" customFormat="1" x14ac:dyDescent="0.25">
      <c r="A50" s="53"/>
      <c r="B50" s="91" t="str">
        <f>IFERROR(VLOOKUP(A50,Lookup!A:B,2,0),"")</f>
        <v/>
      </c>
      <c r="C50" s="92" t="str">
        <f>IFERROR(VLOOKUP(A50,Lookup!A:C,3,0),"")</f>
        <v/>
      </c>
      <c r="D50" s="59"/>
      <c r="E50" s="59"/>
      <c r="F50" s="59"/>
      <c r="G50" s="94"/>
      <c r="H50" s="59"/>
      <c r="I50" s="59"/>
      <c r="J50" s="106">
        <f>VLOOKUP(A50&amp;G50,Lookup!J:N,5,0)</f>
        <v>0</v>
      </c>
      <c r="K50" s="110"/>
      <c r="L50" s="59"/>
      <c r="M50" s="59"/>
      <c r="N50" s="59"/>
      <c r="O50" s="112">
        <v>1.8090277777777799</v>
      </c>
      <c r="P50" s="110" t="str">
        <f t="shared" si="6"/>
        <v/>
      </c>
      <c r="Q50" s="59"/>
      <c r="R50" s="87" t="str">
        <f t="shared" si="7"/>
        <v/>
      </c>
      <c r="S50" s="87" t="str">
        <f t="shared" si="8"/>
        <v/>
      </c>
      <c r="T50" s="59" t="e">
        <f t="shared" si="9"/>
        <v>#VALUE!</v>
      </c>
      <c r="U50" s="59"/>
      <c r="V50" s="59"/>
      <c r="W50" s="59"/>
      <c r="X50" s="93" t="str">
        <f t="shared" si="5"/>
        <v>D</v>
      </c>
    </row>
    <row r="51" spans="1:24" s="66" customFormat="1" x14ac:dyDescent="0.25">
      <c r="A51" s="53"/>
      <c r="B51" s="91" t="str">
        <f>IFERROR(VLOOKUP(A51,Lookup!A:B,2,0),"")</f>
        <v/>
      </c>
      <c r="C51" s="92" t="str">
        <f>IFERROR(VLOOKUP(A51,Lookup!A:C,3,0),"")</f>
        <v/>
      </c>
      <c r="D51" s="59"/>
      <c r="E51" s="59"/>
      <c r="F51" s="59"/>
      <c r="G51" s="94"/>
      <c r="H51" s="59"/>
      <c r="I51" s="59"/>
      <c r="J51" s="106">
        <f>VLOOKUP(A51&amp;G51,Lookup!J:N,5,0)</f>
        <v>0</v>
      </c>
      <c r="K51" s="110"/>
      <c r="L51" s="59"/>
      <c r="M51" s="59"/>
      <c r="N51" s="59"/>
      <c r="O51" s="112">
        <v>1.85069444444444</v>
      </c>
      <c r="P51" s="110" t="str">
        <f t="shared" si="6"/>
        <v/>
      </c>
      <c r="Q51" s="59"/>
      <c r="R51" s="87" t="str">
        <f t="shared" si="7"/>
        <v/>
      </c>
      <c r="S51" s="87" t="str">
        <f t="shared" si="8"/>
        <v/>
      </c>
      <c r="T51" s="59" t="e">
        <f t="shared" si="9"/>
        <v>#VALUE!</v>
      </c>
      <c r="U51" s="59"/>
      <c r="V51" s="59"/>
      <c r="W51" s="59"/>
      <c r="X51" s="93" t="str">
        <f t="shared" si="5"/>
        <v>D</v>
      </c>
    </row>
    <row r="52" spans="1:24" s="66" customFormat="1" x14ac:dyDescent="0.25">
      <c r="A52" s="53"/>
      <c r="B52" s="91" t="str">
        <f>IFERROR(VLOOKUP(A52,Lookup!A:B,2,0),"")</f>
        <v/>
      </c>
      <c r="C52" s="92" t="str">
        <f>IFERROR(VLOOKUP(A52,Lookup!A:C,3,0),"")</f>
        <v/>
      </c>
      <c r="D52" s="59"/>
      <c r="E52" s="59"/>
      <c r="F52" s="59"/>
      <c r="G52" s="94"/>
      <c r="H52" s="59"/>
      <c r="I52" s="59"/>
      <c r="J52" s="106">
        <f>VLOOKUP(A52&amp;G52,Lookup!J:N,5,0)</f>
        <v>0</v>
      </c>
      <c r="K52" s="110"/>
      <c r="L52" s="59"/>
      <c r="M52" s="59"/>
      <c r="N52" s="59"/>
      <c r="O52" s="112">
        <v>1.8923611111111101</v>
      </c>
      <c r="P52" s="110" t="str">
        <f t="shared" si="6"/>
        <v/>
      </c>
      <c r="Q52" s="59"/>
      <c r="R52" s="87" t="str">
        <f t="shared" si="7"/>
        <v/>
      </c>
      <c r="S52" s="87" t="str">
        <f t="shared" si="8"/>
        <v/>
      </c>
      <c r="T52" s="59" t="e">
        <f t="shared" si="9"/>
        <v>#VALUE!</v>
      </c>
      <c r="U52" s="59"/>
      <c r="V52" s="59"/>
      <c r="W52" s="59"/>
      <c r="X52" s="93" t="str">
        <f t="shared" si="5"/>
        <v>D</v>
      </c>
    </row>
    <row r="53" spans="1:24" s="66" customFormat="1" x14ac:dyDescent="0.25">
      <c r="A53" s="53"/>
      <c r="B53" s="91" t="str">
        <f>IFERROR(VLOOKUP(A53,Lookup!A:B,2,0),"")</f>
        <v/>
      </c>
      <c r="C53" s="92" t="str">
        <f>IFERROR(VLOOKUP(A53,Lookup!A:C,3,0),"")</f>
        <v/>
      </c>
      <c r="D53" s="59"/>
      <c r="E53" s="59"/>
      <c r="F53" s="59"/>
      <c r="G53" s="94"/>
      <c r="H53" s="59"/>
      <c r="I53" s="59"/>
      <c r="J53" s="106">
        <f>VLOOKUP(A53&amp;G53,Lookup!J:N,5,0)</f>
        <v>0</v>
      </c>
      <c r="K53" s="110"/>
      <c r="L53" s="59"/>
      <c r="M53" s="59"/>
      <c r="N53" s="59"/>
      <c r="O53" s="112">
        <v>1.9340277777777799</v>
      </c>
      <c r="P53" s="110" t="str">
        <f t="shared" si="6"/>
        <v/>
      </c>
      <c r="Q53" s="59"/>
      <c r="R53" s="87" t="str">
        <f t="shared" si="7"/>
        <v/>
      </c>
      <c r="S53" s="87" t="str">
        <f t="shared" si="8"/>
        <v/>
      </c>
      <c r="T53" s="59" t="e">
        <f t="shared" si="9"/>
        <v>#VALUE!</v>
      </c>
      <c r="U53" s="59"/>
      <c r="V53" s="59"/>
      <c r="W53" s="59"/>
      <c r="X53" s="93" t="str">
        <f t="shared" si="5"/>
        <v>D</v>
      </c>
    </row>
    <row r="54" spans="1:24" s="66" customFormat="1" x14ac:dyDescent="0.25">
      <c r="A54" s="53"/>
      <c r="B54" s="91" t="str">
        <f>IFERROR(VLOOKUP(A54,Lookup!A:B,2,0),"")</f>
        <v/>
      </c>
      <c r="C54" s="92" t="str">
        <f>IFERROR(VLOOKUP(A54,Lookup!A:C,3,0),"")</f>
        <v/>
      </c>
      <c r="D54" s="59"/>
      <c r="E54" s="59"/>
      <c r="F54" s="59"/>
      <c r="G54" s="94"/>
      <c r="H54" s="59"/>
      <c r="I54" s="59"/>
      <c r="J54" s="106">
        <f>VLOOKUP(A54&amp;G54,Lookup!J:N,5,0)</f>
        <v>0</v>
      </c>
      <c r="K54" s="110"/>
      <c r="L54" s="59"/>
      <c r="M54" s="59"/>
      <c r="N54" s="59"/>
      <c r="O54" s="112">
        <v>1.97569444444444</v>
      </c>
      <c r="P54" s="110" t="str">
        <f t="shared" si="6"/>
        <v/>
      </c>
      <c r="Q54" s="59"/>
      <c r="R54" s="87" t="str">
        <f t="shared" si="7"/>
        <v/>
      </c>
      <c r="S54" s="87" t="str">
        <f t="shared" si="8"/>
        <v/>
      </c>
      <c r="T54" s="59" t="e">
        <f t="shared" si="9"/>
        <v>#VALUE!</v>
      </c>
      <c r="U54" s="59"/>
      <c r="V54" s="59"/>
      <c r="W54" s="59"/>
      <c r="X54" s="93" t="str">
        <f t="shared" si="5"/>
        <v>D</v>
      </c>
    </row>
    <row r="55" spans="1:24" s="66" customFormat="1" x14ac:dyDescent="0.25">
      <c r="A55" s="53"/>
      <c r="B55" s="91" t="str">
        <f>IFERROR(VLOOKUP(A55,Lookup!A:B,2,0),"")</f>
        <v/>
      </c>
      <c r="C55" s="92" t="str">
        <f>IFERROR(VLOOKUP(A55,Lookup!A:C,3,0),"")</f>
        <v/>
      </c>
      <c r="D55" s="59"/>
      <c r="E55" s="59"/>
      <c r="F55" s="59"/>
      <c r="G55" s="94"/>
      <c r="H55" s="59"/>
      <c r="I55" s="59"/>
      <c r="J55" s="106">
        <f>VLOOKUP(A55&amp;G55,Lookup!J:N,5,0)</f>
        <v>0</v>
      </c>
      <c r="K55" s="110"/>
      <c r="L55" s="59"/>
      <c r="M55" s="59"/>
      <c r="N55" s="59"/>
      <c r="O55" s="112">
        <v>2.0173611111111098</v>
      </c>
      <c r="P55" s="110" t="str">
        <f t="shared" si="6"/>
        <v/>
      </c>
      <c r="Q55" s="59"/>
      <c r="R55" s="87" t="str">
        <f t="shared" si="7"/>
        <v/>
      </c>
      <c r="S55" s="87" t="str">
        <f t="shared" si="8"/>
        <v/>
      </c>
      <c r="T55" s="59" t="e">
        <f t="shared" si="9"/>
        <v>#VALUE!</v>
      </c>
      <c r="U55" s="59"/>
      <c r="V55" s="59"/>
      <c r="W55" s="59"/>
      <c r="X55" s="93" t="str">
        <f t="shared" si="5"/>
        <v>D</v>
      </c>
    </row>
    <row r="56" spans="1:24" s="66" customFormat="1" x14ac:dyDescent="0.25">
      <c r="A56" s="53"/>
      <c r="B56" s="91" t="str">
        <f>IFERROR(VLOOKUP(A56,Lookup!A:B,2,0),"")</f>
        <v/>
      </c>
      <c r="C56" s="92" t="str">
        <f>IFERROR(VLOOKUP(A56,Lookup!A:C,3,0),"")</f>
        <v/>
      </c>
      <c r="D56" s="59"/>
      <c r="E56" s="59"/>
      <c r="F56" s="59"/>
      <c r="G56" s="94"/>
      <c r="H56" s="59"/>
      <c r="I56" s="59"/>
      <c r="J56" s="106">
        <f>VLOOKUP(A56&amp;G56,Lookup!J:N,5,0)</f>
        <v>0</v>
      </c>
      <c r="K56" s="110"/>
      <c r="L56" s="59"/>
      <c r="M56" s="59"/>
      <c r="N56" s="59"/>
      <c r="O56" s="112">
        <v>2.0590277777777799</v>
      </c>
      <c r="P56" s="110" t="str">
        <f t="shared" si="6"/>
        <v/>
      </c>
      <c r="Q56" s="59"/>
      <c r="R56" s="87" t="str">
        <f t="shared" si="7"/>
        <v/>
      </c>
      <c r="S56" s="87" t="str">
        <f t="shared" si="8"/>
        <v/>
      </c>
      <c r="T56" s="59" t="e">
        <f t="shared" si="9"/>
        <v>#VALUE!</v>
      </c>
      <c r="U56" s="59"/>
      <c r="V56" s="59"/>
      <c r="W56" s="59"/>
      <c r="X56" s="93" t="str">
        <f t="shared" si="5"/>
        <v>D</v>
      </c>
    </row>
    <row r="57" spans="1:24" s="66" customFormat="1" x14ac:dyDescent="0.25">
      <c r="A57" s="53"/>
      <c r="B57" s="91" t="str">
        <f>IFERROR(VLOOKUP(A57,Lookup!A:B,2,0),"")</f>
        <v/>
      </c>
      <c r="C57" s="92" t="str">
        <f>IFERROR(VLOOKUP(A57,Lookup!A:C,3,0),"")</f>
        <v/>
      </c>
      <c r="D57" s="59"/>
      <c r="E57" s="59"/>
      <c r="F57" s="59"/>
      <c r="G57" s="94"/>
      <c r="H57" s="59"/>
      <c r="I57" s="59"/>
      <c r="J57" s="106">
        <f>VLOOKUP(A57&amp;G57,Lookup!J:N,5,0)</f>
        <v>0</v>
      </c>
      <c r="K57" s="110"/>
      <c r="L57" s="59"/>
      <c r="M57" s="59"/>
      <c r="N57" s="59"/>
      <c r="O57" s="112">
        <v>2.1006944444444402</v>
      </c>
      <c r="P57" s="110" t="str">
        <f t="shared" si="6"/>
        <v/>
      </c>
      <c r="Q57" s="59"/>
      <c r="R57" s="87" t="str">
        <f t="shared" si="7"/>
        <v/>
      </c>
      <c r="S57" s="87" t="str">
        <f t="shared" si="8"/>
        <v/>
      </c>
      <c r="T57" s="59" t="e">
        <f t="shared" si="9"/>
        <v>#VALUE!</v>
      </c>
      <c r="U57" s="59"/>
      <c r="V57" s="59"/>
      <c r="W57" s="59"/>
      <c r="X57" s="93" t="str">
        <f t="shared" si="5"/>
        <v>D</v>
      </c>
    </row>
    <row r="58" spans="1:24" s="66" customFormat="1" x14ac:dyDescent="0.25">
      <c r="A58" s="53"/>
      <c r="B58" s="91" t="str">
        <f>IFERROR(VLOOKUP(A58,Lookup!A:B,2,0),"")</f>
        <v/>
      </c>
      <c r="C58" s="92" t="str">
        <f>IFERROR(VLOOKUP(A58,Lookup!A:C,3,0),"")</f>
        <v/>
      </c>
      <c r="D58" s="59"/>
      <c r="E58" s="59"/>
      <c r="F58" s="59"/>
      <c r="G58" s="94"/>
      <c r="H58" s="59"/>
      <c r="I58" s="59"/>
      <c r="J58" s="106">
        <f>VLOOKUP(A58&amp;G58,Lookup!J:N,5,0)</f>
        <v>0</v>
      </c>
      <c r="K58" s="110"/>
      <c r="L58" s="59"/>
      <c r="M58" s="59"/>
      <c r="N58" s="59"/>
      <c r="O58" s="112">
        <v>2.1423611111111098</v>
      </c>
      <c r="P58" s="110" t="str">
        <f t="shared" si="6"/>
        <v/>
      </c>
      <c r="Q58" s="59"/>
      <c r="R58" s="87" t="str">
        <f t="shared" si="7"/>
        <v/>
      </c>
      <c r="S58" s="87" t="str">
        <f t="shared" si="8"/>
        <v/>
      </c>
      <c r="T58" s="59" t="e">
        <f t="shared" si="9"/>
        <v>#VALUE!</v>
      </c>
      <c r="U58" s="59"/>
      <c r="V58" s="59"/>
      <c r="W58" s="59"/>
      <c r="X58" s="93" t="str">
        <f t="shared" si="5"/>
        <v>D</v>
      </c>
    </row>
    <row r="59" spans="1:24" s="66" customFormat="1" x14ac:dyDescent="0.25">
      <c r="A59" s="53"/>
      <c r="B59" s="91" t="str">
        <f>IFERROR(VLOOKUP(A59,Lookup!A:B,2,0),"")</f>
        <v/>
      </c>
      <c r="C59" s="92" t="str">
        <f>IFERROR(VLOOKUP(A59,Lookup!A:C,3,0),"")</f>
        <v/>
      </c>
      <c r="D59" s="59"/>
      <c r="E59" s="59"/>
      <c r="F59" s="59"/>
      <c r="G59" s="94"/>
      <c r="H59" s="59"/>
      <c r="I59" s="59"/>
      <c r="J59" s="106">
        <f>VLOOKUP(A59&amp;G59,Lookup!J:N,5,0)</f>
        <v>0</v>
      </c>
      <c r="K59" s="110"/>
      <c r="L59" s="59"/>
      <c r="M59" s="59"/>
      <c r="N59" s="59"/>
      <c r="O59" s="112">
        <v>2.1840277777777799</v>
      </c>
      <c r="P59" s="110" t="str">
        <f t="shared" si="6"/>
        <v/>
      </c>
      <c r="Q59" s="59"/>
      <c r="R59" s="87" t="str">
        <f t="shared" si="7"/>
        <v/>
      </c>
      <c r="S59" s="87" t="str">
        <f t="shared" si="8"/>
        <v/>
      </c>
      <c r="T59" s="59" t="e">
        <f t="shared" si="9"/>
        <v>#VALUE!</v>
      </c>
      <c r="U59" s="59"/>
      <c r="V59" s="59"/>
      <c r="W59" s="59"/>
      <c r="X59" s="93" t="str">
        <f t="shared" si="5"/>
        <v>D</v>
      </c>
    </row>
    <row r="60" spans="1:24" s="66" customFormat="1" x14ac:dyDescent="0.25">
      <c r="A60" s="53"/>
      <c r="B60" s="91" t="str">
        <f>IFERROR(VLOOKUP(A60,Lookup!A:B,2,0),"")</f>
        <v/>
      </c>
      <c r="C60" s="92" t="str">
        <f>IFERROR(VLOOKUP(A60,Lookup!A:C,3,0),"")</f>
        <v/>
      </c>
      <c r="D60" s="59"/>
      <c r="E60" s="59"/>
      <c r="F60" s="59"/>
      <c r="G60" s="94"/>
      <c r="H60" s="59"/>
      <c r="I60" s="59"/>
      <c r="J60" s="106">
        <f>VLOOKUP(A60&amp;G60,Lookup!J:N,5,0)</f>
        <v>0</v>
      </c>
      <c r="K60" s="110"/>
      <c r="L60" s="59"/>
      <c r="M60" s="59"/>
      <c r="N60" s="59"/>
      <c r="O60" s="112">
        <v>2.2256944444444402</v>
      </c>
      <c r="P60" s="110" t="str">
        <f t="shared" si="6"/>
        <v/>
      </c>
      <c r="Q60" s="59"/>
      <c r="R60" s="87" t="str">
        <f t="shared" si="7"/>
        <v/>
      </c>
      <c r="S60" s="87" t="str">
        <f t="shared" si="8"/>
        <v/>
      </c>
      <c r="T60" s="59"/>
      <c r="U60" s="59"/>
      <c r="V60" s="59"/>
      <c r="W60" s="59"/>
      <c r="X60" s="93" t="str">
        <f t="shared" si="5"/>
        <v>D</v>
      </c>
    </row>
    <row r="61" spans="1:24" s="66" customFormat="1" x14ac:dyDescent="0.25">
      <c r="A61" s="53"/>
      <c r="B61" s="91" t="str">
        <f>IFERROR(VLOOKUP(A61,Lookup!A:B,2,0),"")</f>
        <v/>
      </c>
      <c r="C61" s="92" t="str">
        <f>IFERROR(VLOOKUP(A61,Lookup!A:C,3,0),"")</f>
        <v/>
      </c>
      <c r="D61" s="59"/>
      <c r="E61" s="59"/>
      <c r="F61" s="59"/>
      <c r="G61" s="94"/>
      <c r="H61" s="59"/>
      <c r="I61" s="59"/>
      <c r="J61" s="106">
        <f>VLOOKUP(A61&amp;G61,Lookup!J:N,5,0)</f>
        <v>0</v>
      </c>
      <c r="K61" s="110"/>
      <c r="L61" s="59"/>
      <c r="M61" s="59"/>
      <c r="N61" s="59"/>
      <c r="O61" s="112">
        <v>2.2673611111111098</v>
      </c>
      <c r="P61" s="110" t="str">
        <f t="shared" si="6"/>
        <v/>
      </c>
      <c r="Q61" s="59"/>
      <c r="R61" s="87" t="str">
        <f t="shared" si="7"/>
        <v/>
      </c>
      <c r="S61" s="87" t="str">
        <f t="shared" si="8"/>
        <v/>
      </c>
      <c r="T61" s="59"/>
      <c r="U61" s="59"/>
      <c r="V61" s="59"/>
      <c r="W61" s="59"/>
      <c r="X61" s="93" t="str">
        <f t="shared" si="5"/>
        <v>D</v>
      </c>
    </row>
    <row r="62" spans="1:24" s="66" customFormat="1" x14ac:dyDescent="0.25">
      <c r="A62" s="53"/>
      <c r="B62" s="91" t="str">
        <f>IFERROR(VLOOKUP(A62,Lookup!A:B,2,0),"")</f>
        <v/>
      </c>
      <c r="C62" s="92" t="str">
        <f>IFERROR(VLOOKUP(A62,Lookup!A:C,3,0),"")</f>
        <v/>
      </c>
      <c r="D62" s="59"/>
      <c r="E62" s="59"/>
      <c r="F62" s="59"/>
      <c r="G62" s="94"/>
      <c r="H62" s="59"/>
      <c r="I62" s="59"/>
      <c r="J62" s="106">
        <f>VLOOKUP(A62&amp;G62,Lookup!J:N,5,0)</f>
        <v>0</v>
      </c>
      <c r="K62" s="110"/>
      <c r="L62" s="59"/>
      <c r="M62" s="59"/>
      <c r="N62" s="59"/>
      <c r="O62" s="112">
        <v>2.3090277777777799</v>
      </c>
      <c r="P62" s="110" t="str">
        <f t="shared" si="6"/>
        <v/>
      </c>
      <c r="Q62" s="59"/>
      <c r="R62" s="87" t="str">
        <f t="shared" si="7"/>
        <v/>
      </c>
      <c r="S62" s="87" t="str">
        <f t="shared" si="8"/>
        <v/>
      </c>
      <c r="T62" s="59"/>
      <c r="U62" s="59"/>
      <c r="V62" s="59"/>
      <c r="W62" s="59"/>
      <c r="X62" s="93" t="str">
        <f t="shared" si="5"/>
        <v>D</v>
      </c>
    </row>
    <row r="63" spans="1:24" s="66" customFormat="1" x14ac:dyDescent="0.25">
      <c r="A63" s="53"/>
      <c r="B63" s="91" t="str">
        <f>IFERROR(VLOOKUP(A63,Lookup!A:B,2,0),"")</f>
        <v/>
      </c>
      <c r="C63" s="92" t="str">
        <f>IFERROR(VLOOKUP(A63,Lookup!A:C,3,0),"")</f>
        <v/>
      </c>
      <c r="D63" s="59"/>
      <c r="E63" s="59"/>
      <c r="F63" s="59"/>
      <c r="G63" s="94"/>
      <c r="H63" s="59"/>
      <c r="I63" s="59"/>
      <c r="J63" s="106">
        <f>VLOOKUP(A63&amp;G63,Lookup!J:N,5,0)</f>
        <v>0</v>
      </c>
      <c r="K63" s="110"/>
      <c r="L63" s="59"/>
      <c r="M63" s="59"/>
      <c r="N63" s="59"/>
      <c r="O63" s="112">
        <v>2.3506944444444402</v>
      </c>
      <c r="P63" s="110" t="str">
        <f t="shared" si="6"/>
        <v/>
      </c>
      <c r="Q63" s="59"/>
      <c r="R63" s="87" t="str">
        <f t="shared" si="7"/>
        <v/>
      </c>
      <c r="S63" s="87" t="str">
        <f t="shared" si="8"/>
        <v/>
      </c>
      <c r="T63" s="59"/>
      <c r="U63" s="59"/>
      <c r="V63" s="59"/>
      <c r="W63" s="59"/>
      <c r="X63" s="93" t="str">
        <f t="shared" si="5"/>
        <v>D</v>
      </c>
    </row>
    <row r="64" spans="1:24" s="66" customFormat="1" x14ac:dyDescent="0.25">
      <c r="A64" s="53"/>
      <c r="B64" s="91" t="str">
        <f>IFERROR(VLOOKUP(A64,Lookup!A:B,2,0),"")</f>
        <v/>
      </c>
      <c r="C64" s="92" t="str">
        <f>IFERROR(VLOOKUP(A64,Lookup!A:C,3,0),"")</f>
        <v/>
      </c>
      <c r="D64" s="59"/>
      <c r="E64" s="59"/>
      <c r="F64" s="59"/>
      <c r="G64" s="94"/>
      <c r="H64" s="59"/>
      <c r="I64" s="59"/>
      <c r="J64" s="106">
        <f>VLOOKUP(A64&amp;G64,Lookup!J:N,5,0)</f>
        <v>0</v>
      </c>
      <c r="K64" s="110"/>
      <c r="L64" s="59"/>
      <c r="M64" s="59"/>
      <c r="N64" s="59"/>
      <c r="O64" s="112">
        <v>2.3923611111111098</v>
      </c>
      <c r="P64" s="110" t="str">
        <f t="shared" si="6"/>
        <v/>
      </c>
      <c r="Q64" s="59"/>
      <c r="R64" s="87" t="str">
        <f t="shared" si="7"/>
        <v/>
      </c>
      <c r="S64" s="87" t="str">
        <f t="shared" si="8"/>
        <v/>
      </c>
      <c r="T64" s="59"/>
      <c r="U64" s="59"/>
      <c r="V64" s="59"/>
      <c r="W64" s="59"/>
      <c r="X64" s="93" t="str">
        <f t="shared" si="5"/>
        <v>D</v>
      </c>
    </row>
    <row r="65" spans="1:24" s="66" customFormat="1" x14ac:dyDescent="0.25">
      <c r="A65" s="53"/>
      <c r="B65" s="91" t="str">
        <f>IFERROR(VLOOKUP(A65,Lookup!A:B,2,0),"")</f>
        <v/>
      </c>
      <c r="C65" s="92" t="str">
        <f>IFERROR(VLOOKUP(A65,Lookup!A:C,3,0),"")</f>
        <v/>
      </c>
      <c r="D65" s="59"/>
      <c r="E65" s="59"/>
      <c r="F65" s="59"/>
      <c r="G65" s="94"/>
      <c r="H65" s="59"/>
      <c r="I65" s="59"/>
      <c r="J65" s="106">
        <f>VLOOKUP(A65&amp;G65,Lookup!J:N,5,0)</f>
        <v>0</v>
      </c>
      <c r="K65" s="110"/>
      <c r="L65" s="59"/>
      <c r="M65" s="59"/>
      <c r="N65" s="59"/>
      <c r="O65" s="112">
        <v>2.4340277777777799</v>
      </c>
      <c r="P65" s="110" t="str">
        <f t="shared" si="6"/>
        <v/>
      </c>
      <c r="Q65" s="59"/>
      <c r="R65" s="87" t="str">
        <f t="shared" si="7"/>
        <v/>
      </c>
      <c r="S65" s="87" t="str">
        <f t="shared" si="8"/>
        <v/>
      </c>
      <c r="T65" s="59"/>
      <c r="U65" s="59"/>
      <c r="V65" s="59"/>
      <c r="W65" s="59"/>
      <c r="X65" s="93" t="str">
        <f t="shared" si="5"/>
        <v>D</v>
      </c>
    </row>
    <row r="66" spans="1:24" s="66" customFormat="1" x14ac:dyDescent="0.25">
      <c r="A66" s="53"/>
      <c r="B66" s="91" t="str">
        <f>IFERROR(VLOOKUP(A66,Lookup!A:B,2,0),"")</f>
        <v/>
      </c>
      <c r="C66" s="92" t="str">
        <f>IFERROR(VLOOKUP(A66,Lookup!A:C,3,0),"")</f>
        <v/>
      </c>
      <c r="D66" s="59"/>
      <c r="E66" s="59"/>
      <c r="F66" s="59"/>
      <c r="G66" s="94"/>
      <c r="H66" s="59"/>
      <c r="I66" s="59"/>
      <c r="J66" s="106">
        <f>VLOOKUP(A66&amp;G66,Lookup!J:N,5,0)</f>
        <v>0</v>
      </c>
      <c r="K66" s="110"/>
      <c r="L66" s="59"/>
      <c r="M66" s="59"/>
      <c r="N66" s="59"/>
      <c r="O66" s="112">
        <v>2.4756944444444402</v>
      </c>
      <c r="P66" s="110" t="str">
        <f t="shared" si="6"/>
        <v/>
      </c>
      <c r="Q66" s="59"/>
      <c r="R66" s="87" t="str">
        <f t="shared" si="7"/>
        <v/>
      </c>
      <c r="S66" s="87" t="str">
        <f t="shared" si="8"/>
        <v/>
      </c>
      <c r="T66" s="59"/>
      <c r="U66" s="59"/>
      <c r="V66" s="59"/>
      <c r="W66" s="59"/>
      <c r="X66" s="93" t="str">
        <f t="shared" si="5"/>
        <v>D</v>
      </c>
    </row>
    <row r="67" spans="1:24" s="66" customFormat="1" x14ac:dyDescent="0.25">
      <c r="A67" s="53"/>
      <c r="B67" s="91" t="str">
        <f>IFERROR(VLOOKUP(A67,Lookup!A:B,2,0),"")</f>
        <v/>
      </c>
      <c r="C67" s="92" t="str">
        <f>IFERROR(VLOOKUP(A67,Lookup!A:C,3,0),"")</f>
        <v/>
      </c>
      <c r="D67" s="59"/>
      <c r="E67" s="59"/>
      <c r="F67" s="59"/>
      <c r="G67" s="94"/>
      <c r="H67" s="59"/>
      <c r="I67" s="59"/>
      <c r="J67" s="106">
        <f>VLOOKUP(A67&amp;G67,Lookup!J:N,5,0)</f>
        <v>0</v>
      </c>
      <c r="K67" s="110"/>
      <c r="L67" s="59"/>
      <c r="M67" s="59"/>
      <c r="N67" s="59"/>
      <c r="O67" s="112">
        <v>2.5173611111111098</v>
      </c>
      <c r="P67" s="110" t="str">
        <f t="shared" si="6"/>
        <v/>
      </c>
      <c r="Q67" s="59"/>
      <c r="R67" s="87" t="str">
        <f t="shared" si="7"/>
        <v/>
      </c>
      <c r="S67" s="87" t="str">
        <f t="shared" si="8"/>
        <v/>
      </c>
      <c r="T67" s="59"/>
      <c r="U67" s="59"/>
      <c r="V67" s="59"/>
      <c r="W67" s="59"/>
      <c r="X67" s="93" t="str">
        <f t="shared" si="5"/>
        <v>D</v>
      </c>
    </row>
    <row r="68" spans="1:24" s="66" customFormat="1" x14ac:dyDescent="0.25">
      <c r="A68" s="53"/>
      <c r="B68" s="91" t="str">
        <f>IFERROR(VLOOKUP(A68,Lookup!A:B,2,0),"")</f>
        <v/>
      </c>
      <c r="C68" s="92" t="str">
        <f>IFERROR(VLOOKUP(A68,Lookup!A:C,3,0),"")</f>
        <v/>
      </c>
      <c r="D68" s="59"/>
      <c r="E68" s="59"/>
      <c r="F68" s="59"/>
      <c r="G68" s="94"/>
      <c r="H68" s="59"/>
      <c r="I68" s="59"/>
      <c r="J68" s="106">
        <f>VLOOKUP(A68&amp;G68,Lookup!J:N,5,0)</f>
        <v>0</v>
      </c>
      <c r="K68" s="110"/>
      <c r="L68" s="59"/>
      <c r="M68" s="59"/>
      <c r="N68" s="59"/>
      <c r="O68" s="112">
        <v>2.5590277777777799</v>
      </c>
      <c r="P68" s="110" t="str">
        <f t="shared" si="6"/>
        <v/>
      </c>
      <c r="Q68" s="59"/>
      <c r="R68" s="87" t="str">
        <f t="shared" si="7"/>
        <v/>
      </c>
      <c r="S68" s="87" t="str">
        <f t="shared" si="8"/>
        <v/>
      </c>
      <c r="T68" s="59"/>
      <c r="U68" s="59"/>
      <c r="V68" s="59"/>
      <c r="W68" s="59"/>
      <c r="X68" s="93" t="str">
        <f t="shared" ref="X68:X100" si="10">IF(I68="SET","A",IF(I68="FREQ","C",IF(I68="","D","B")))</f>
        <v>D</v>
      </c>
    </row>
    <row r="69" spans="1:24" s="66" customFormat="1" x14ac:dyDescent="0.25">
      <c r="A69" s="53"/>
      <c r="B69" s="91" t="str">
        <f>IFERROR(VLOOKUP(A69,Lookup!A:B,2,0),"")</f>
        <v/>
      </c>
      <c r="C69" s="92" t="str">
        <f>IFERROR(VLOOKUP(A69,Lookup!A:C,3,0),"")</f>
        <v/>
      </c>
      <c r="D69" s="59"/>
      <c r="E69" s="59"/>
      <c r="F69" s="59"/>
      <c r="G69" s="94"/>
      <c r="H69" s="59"/>
      <c r="I69" s="59"/>
      <c r="J69" s="106">
        <f>VLOOKUP(A69&amp;G69,Lookup!J:N,5,0)</f>
        <v>0</v>
      </c>
      <c r="K69" s="110"/>
      <c r="L69" s="59"/>
      <c r="M69" s="59"/>
      <c r="N69" s="59"/>
      <c r="O69" s="112">
        <v>2.6006944444444402</v>
      </c>
      <c r="P69" s="110" t="str">
        <f t="shared" si="6"/>
        <v/>
      </c>
      <c r="Q69" s="59"/>
      <c r="R69" s="87" t="str">
        <f t="shared" si="7"/>
        <v/>
      </c>
      <c r="S69" s="87" t="str">
        <f t="shared" si="8"/>
        <v/>
      </c>
      <c r="T69" s="59"/>
      <c r="U69" s="59"/>
      <c r="V69" s="59"/>
      <c r="W69" s="59"/>
      <c r="X69" s="93" t="str">
        <f t="shared" si="10"/>
        <v>D</v>
      </c>
    </row>
    <row r="70" spans="1:24" s="66" customFormat="1" x14ac:dyDescent="0.25">
      <c r="A70" s="53"/>
      <c r="B70" s="91" t="str">
        <f>IFERROR(VLOOKUP(A70,Lookup!A:B,2,0),"")</f>
        <v/>
      </c>
      <c r="C70" s="92" t="str">
        <f>IFERROR(VLOOKUP(A70,Lookup!A:C,3,0),"")</f>
        <v/>
      </c>
      <c r="D70" s="59"/>
      <c r="E70" s="59"/>
      <c r="F70" s="59"/>
      <c r="G70" s="94"/>
      <c r="H70" s="59"/>
      <c r="I70" s="59"/>
      <c r="J70" s="106">
        <f>VLOOKUP(A70&amp;G70,Lookup!J:N,5,0)</f>
        <v>0</v>
      </c>
      <c r="K70" s="110"/>
      <c r="L70" s="59"/>
      <c r="M70" s="59"/>
      <c r="N70" s="59"/>
      <c r="O70" s="112">
        <v>2.6423611111111098</v>
      </c>
      <c r="P70" s="110" t="str">
        <f t="shared" ref="P70:P100" si="11">IF(N70="","",N70+O70)</f>
        <v/>
      </c>
      <c r="Q70" s="59"/>
      <c r="R70" s="87" t="str">
        <f t="shared" ref="R70:R100" si="12">IF(OR(EXACT(N70,""), EXACT(L70,"")),"",N70-L70)</f>
        <v/>
      </c>
      <c r="S70" s="87" t="str">
        <f t="shared" ref="S70:S100" si="13">IF(OR(EXACT(Q70,""), EXACT(L70,"")),"",Q70-L70)</f>
        <v/>
      </c>
      <c r="T70" s="59"/>
      <c r="U70" s="59"/>
      <c r="V70" s="59"/>
      <c r="W70" s="59"/>
      <c r="X70" s="93" t="str">
        <f t="shared" si="10"/>
        <v>D</v>
      </c>
    </row>
    <row r="71" spans="1:24" s="66" customFormat="1" x14ac:dyDescent="0.25">
      <c r="A71" s="53"/>
      <c r="B71" s="91" t="str">
        <f>IFERROR(VLOOKUP(A71,Lookup!A:B,2,0),"")</f>
        <v/>
      </c>
      <c r="C71" s="92" t="str">
        <f>IFERROR(VLOOKUP(A71,Lookup!A:C,3,0),"")</f>
        <v/>
      </c>
      <c r="D71" s="59"/>
      <c r="E71" s="59"/>
      <c r="F71" s="59"/>
      <c r="G71" s="94"/>
      <c r="H71" s="59"/>
      <c r="I71" s="59"/>
      <c r="J71" s="106">
        <f>VLOOKUP(A71&amp;G71,Lookup!J:N,5,0)</f>
        <v>0</v>
      </c>
      <c r="K71" s="110"/>
      <c r="L71" s="59"/>
      <c r="M71" s="59"/>
      <c r="N71" s="59"/>
      <c r="O71" s="112">
        <v>2.6840277777777799</v>
      </c>
      <c r="P71" s="110" t="str">
        <f t="shared" si="11"/>
        <v/>
      </c>
      <c r="Q71" s="59"/>
      <c r="R71" s="87" t="str">
        <f t="shared" si="12"/>
        <v/>
      </c>
      <c r="S71" s="87" t="str">
        <f t="shared" si="13"/>
        <v/>
      </c>
      <c r="T71" s="59"/>
      <c r="U71" s="59"/>
      <c r="V71" s="59"/>
      <c r="W71" s="59"/>
      <c r="X71" s="93" t="str">
        <f t="shared" si="10"/>
        <v>D</v>
      </c>
    </row>
    <row r="72" spans="1:24" s="66" customFormat="1" x14ac:dyDescent="0.25">
      <c r="A72" s="53"/>
      <c r="B72" s="91" t="str">
        <f>IFERROR(VLOOKUP(A72,Lookup!A:B,2,0),"")</f>
        <v/>
      </c>
      <c r="C72" s="92" t="str">
        <f>IFERROR(VLOOKUP(A72,Lookup!A:C,3,0),"")</f>
        <v/>
      </c>
      <c r="D72" s="59"/>
      <c r="E72" s="59"/>
      <c r="F72" s="59"/>
      <c r="G72" s="94"/>
      <c r="H72" s="59"/>
      <c r="I72" s="59"/>
      <c r="J72" s="106">
        <f>VLOOKUP(A72&amp;G72,Lookup!J:N,5,0)</f>
        <v>0</v>
      </c>
      <c r="K72" s="110"/>
      <c r="L72" s="59"/>
      <c r="M72" s="59"/>
      <c r="N72" s="59"/>
      <c r="O72" s="112">
        <v>2.7256944444444402</v>
      </c>
      <c r="P72" s="110" t="str">
        <f t="shared" si="11"/>
        <v/>
      </c>
      <c r="Q72" s="59"/>
      <c r="R72" s="87" t="str">
        <f t="shared" si="12"/>
        <v/>
      </c>
      <c r="S72" s="87" t="str">
        <f t="shared" si="13"/>
        <v/>
      </c>
      <c r="T72" s="59"/>
      <c r="U72" s="59"/>
      <c r="V72" s="59"/>
      <c r="W72" s="59"/>
      <c r="X72" s="93" t="str">
        <f t="shared" si="10"/>
        <v>D</v>
      </c>
    </row>
    <row r="73" spans="1:24" s="66" customFormat="1" x14ac:dyDescent="0.25">
      <c r="A73" s="53"/>
      <c r="B73" s="91" t="str">
        <f>IFERROR(VLOOKUP(A73,Lookup!A:B,2,0),"")</f>
        <v/>
      </c>
      <c r="C73" s="92" t="str">
        <f>IFERROR(VLOOKUP(A73,Lookup!A:C,3,0),"")</f>
        <v/>
      </c>
      <c r="D73" s="59"/>
      <c r="E73" s="59"/>
      <c r="F73" s="59"/>
      <c r="G73" s="94"/>
      <c r="H73" s="59"/>
      <c r="I73" s="59"/>
      <c r="J73" s="106">
        <f>VLOOKUP(A73&amp;G73,Lookup!J:N,5,0)</f>
        <v>0</v>
      </c>
      <c r="K73" s="110"/>
      <c r="L73" s="59"/>
      <c r="M73" s="59"/>
      <c r="N73" s="59"/>
      <c r="O73" s="112">
        <v>2.7673611111111098</v>
      </c>
      <c r="P73" s="110" t="str">
        <f t="shared" si="11"/>
        <v/>
      </c>
      <c r="Q73" s="59"/>
      <c r="R73" s="87" t="str">
        <f t="shared" si="12"/>
        <v/>
      </c>
      <c r="S73" s="87" t="str">
        <f t="shared" si="13"/>
        <v/>
      </c>
      <c r="T73" s="59"/>
      <c r="U73" s="59"/>
      <c r="V73" s="59"/>
      <c r="W73" s="59"/>
      <c r="X73" s="93" t="str">
        <f t="shared" si="10"/>
        <v>D</v>
      </c>
    </row>
    <row r="74" spans="1:24" s="66" customFormat="1" x14ac:dyDescent="0.25">
      <c r="A74" s="53"/>
      <c r="B74" s="91" t="str">
        <f>IFERROR(VLOOKUP(A74,Lookup!A:B,2,0),"")</f>
        <v/>
      </c>
      <c r="C74" s="92" t="str">
        <f>IFERROR(VLOOKUP(A74,Lookup!A:C,3,0),"")</f>
        <v/>
      </c>
      <c r="D74" s="59"/>
      <c r="E74" s="59"/>
      <c r="F74" s="59"/>
      <c r="G74" s="94"/>
      <c r="H74" s="59"/>
      <c r="I74" s="59"/>
      <c r="J74" s="106">
        <f>VLOOKUP(A74&amp;G74,Lookup!J:N,5,0)</f>
        <v>0</v>
      </c>
      <c r="K74" s="110"/>
      <c r="L74" s="59"/>
      <c r="M74" s="59"/>
      <c r="N74" s="59"/>
      <c r="O74" s="112">
        <v>2.8090277777777799</v>
      </c>
      <c r="P74" s="110" t="str">
        <f t="shared" si="11"/>
        <v/>
      </c>
      <c r="Q74" s="59"/>
      <c r="R74" s="87" t="str">
        <f t="shared" si="12"/>
        <v/>
      </c>
      <c r="S74" s="87" t="str">
        <f t="shared" si="13"/>
        <v/>
      </c>
      <c r="T74" s="59"/>
      <c r="U74" s="59"/>
      <c r="V74" s="59"/>
      <c r="W74" s="59"/>
      <c r="X74" s="93" t="str">
        <f t="shared" si="10"/>
        <v>D</v>
      </c>
    </row>
    <row r="75" spans="1:24" s="66" customFormat="1" x14ac:dyDescent="0.25">
      <c r="A75" s="53"/>
      <c r="B75" s="91" t="str">
        <f>IFERROR(VLOOKUP(A75,Lookup!A:B,2,0),"")</f>
        <v/>
      </c>
      <c r="C75" s="92" t="str">
        <f>IFERROR(VLOOKUP(A75,Lookup!A:C,3,0),"")</f>
        <v/>
      </c>
      <c r="D75" s="59"/>
      <c r="E75" s="59"/>
      <c r="F75" s="59"/>
      <c r="G75" s="94"/>
      <c r="H75" s="59"/>
      <c r="I75" s="59"/>
      <c r="J75" s="106">
        <f>VLOOKUP(A75&amp;G75,Lookup!J:N,5,0)</f>
        <v>0</v>
      </c>
      <c r="K75" s="110"/>
      <c r="L75" s="59"/>
      <c r="M75" s="59"/>
      <c r="N75" s="59"/>
      <c r="O75" s="112">
        <v>2.8506944444444402</v>
      </c>
      <c r="P75" s="110" t="str">
        <f t="shared" si="11"/>
        <v/>
      </c>
      <c r="Q75" s="59"/>
      <c r="R75" s="87" t="str">
        <f t="shared" si="12"/>
        <v/>
      </c>
      <c r="S75" s="87" t="str">
        <f t="shared" si="13"/>
        <v/>
      </c>
      <c r="T75" s="59"/>
      <c r="U75" s="59"/>
      <c r="V75" s="59"/>
      <c r="W75" s="59"/>
      <c r="X75" s="93" t="str">
        <f t="shared" si="10"/>
        <v>D</v>
      </c>
    </row>
    <row r="76" spans="1:24" s="66" customFormat="1" x14ac:dyDescent="0.25">
      <c r="A76" s="53"/>
      <c r="B76" s="91" t="str">
        <f>IFERROR(VLOOKUP(A76,Lookup!A:B,2,0),"")</f>
        <v/>
      </c>
      <c r="C76" s="92" t="str">
        <f>IFERROR(VLOOKUP(A76,Lookup!A:C,3,0),"")</f>
        <v/>
      </c>
      <c r="D76" s="59"/>
      <c r="E76" s="59"/>
      <c r="F76" s="59"/>
      <c r="G76" s="94"/>
      <c r="H76" s="59"/>
      <c r="I76" s="59"/>
      <c r="J76" s="106">
        <f>VLOOKUP(A76&amp;G76,Lookup!J:N,5,0)</f>
        <v>0</v>
      </c>
      <c r="K76" s="110"/>
      <c r="L76" s="59"/>
      <c r="M76" s="59"/>
      <c r="N76" s="59"/>
      <c r="O76" s="112">
        <v>2.8923611111111098</v>
      </c>
      <c r="P76" s="110" t="str">
        <f t="shared" si="11"/>
        <v/>
      </c>
      <c r="Q76" s="59"/>
      <c r="R76" s="87" t="str">
        <f t="shared" si="12"/>
        <v/>
      </c>
      <c r="S76" s="87" t="str">
        <f t="shared" si="13"/>
        <v/>
      </c>
      <c r="T76" s="59"/>
      <c r="U76" s="59"/>
      <c r="V76" s="59"/>
      <c r="W76" s="59"/>
      <c r="X76" s="93" t="str">
        <f t="shared" si="10"/>
        <v>D</v>
      </c>
    </row>
    <row r="77" spans="1:24" s="66" customFormat="1" x14ac:dyDescent="0.25">
      <c r="A77" s="53"/>
      <c r="B77" s="91" t="str">
        <f>IFERROR(VLOOKUP(A77,Lookup!A:B,2,0),"")</f>
        <v/>
      </c>
      <c r="C77" s="92" t="str">
        <f>IFERROR(VLOOKUP(A77,Lookup!A:C,3,0),"")</f>
        <v/>
      </c>
      <c r="D77" s="59"/>
      <c r="E77" s="59"/>
      <c r="F77" s="59"/>
      <c r="G77" s="94"/>
      <c r="H77" s="59"/>
      <c r="I77" s="59"/>
      <c r="J77" s="106">
        <f>VLOOKUP(A77&amp;G77,Lookup!J:N,5,0)</f>
        <v>0</v>
      </c>
      <c r="K77" s="110"/>
      <c r="L77" s="59"/>
      <c r="M77" s="59"/>
      <c r="N77" s="59"/>
      <c r="O77" s="112">
        <v>2.9340277777777799</v>
      </c>
      <c r="P77" s="110" t="str">
        <f t="shared" si="11"/>
        <v/>
      </c>
      <c r="Q77" s="59"/>
      <c r="R77" s="87" t="str">
        <f t="shared" si="12"/>
        <v/>
      </c>
      <c r="S77" s="87" t="str">
        <f t="shared" si="13"/>
        <v/>
      </c>
      <c r="T77" s="59"/>
      <c r="U77" s="59"/>
      <c r="V77" s="59"/>
      <c r="W77" s="59"/>
      <c r="X77" s="93" t="str">
        <f t="shared" si="10"/>
        <v>D</v>
      </c>
    </row>
    <row r="78" spans="1:24" s="66" customFormat="1" x14ac:dyDescent="0.25">
      <c r="A78" s="53"/>
      <c r="B78" s="91" t="str">
        <f>IFERROR(VLOOKUP(A78,Lookup!A:B,2,0),"")</f>
        <v/>
      </c>
      <c r="C78" s="92" t="str">
        <f>IFERROR(VLOOKUP(A78,Lookup!A:C,3,0),"")</f>
        <v/>
      </c>
      <c r="D78" s="59"/>
      <c r="E78" s="59"/>
      <c r="F78" s="59"/>
      <c r="G78" s="94"/>
      <c r="H78" s="59"/>
      <c r="I78" s="59"/>
      <c r="J78" s="106">
        <f>VLOOKUP(A78&amp;G78,Lookup!J:N,5,0)</f>
        <v>0</v>
      </c>
      <c r="K78" s="110"/>
      <c r="L78" s="59"/>
      <c r="M78" s="59"/>
      <c r="N78" s="59"/>
      <c r="O78" s="112">
        <v>2.9756944444444402</v>
      </c>
      <c r="P78" s="110" t="str">
        <f t="shared" si="11"/>
        <v/>
      </c>
      <c r="Q78" s="59"/>
      <c r="R78" s="87" t="str">
        <f t="shared" si="12"/>
        <v/>
      </c>
      <c r="S78" s="87" t="str">
        <f t="shared" si="13"/>
        <v/>
      </c>
      <c r="T78" s="59"/>
      <c r="U78" s="59"/>
      <c r="V78" s="59"/>
      <c r="W78" s="59"/>
      <c r="X78" s="93" t="str">
        <f t="shared" si="10"/>
        <v>D</v>
      </c>
    </row>
    <row r="79" spans="1:24" s="66" customFormat="1" x14ac:dyDescent="0.25">
      <c r="A79" s="53"/>
      <c r="B79" s="91" t="str">
        <f>IFERROR(VLOOKUP(A79,Lookup!A:B,2,0),"")</f>
        <v/>
      </c>
      <c r="C79" s="92" t="str">
        <f>IFERROR(VLOOKUP(A79,Lookup!A:C,3,0),"")</f>
        <v/>
      </c>
      <c r="D79" s="59"/>
      <c r="E79" s="59"/>
      <c r="F79" s="59"/>
      <c r="G79" s="94"/>
      <c r="H79" s="59"/>
      <c r="I79" s="59"/>
      <c r="J79" s="106">
        <f>VLOOKUP(A79&amp;G79,Lookup!J:N,5,0)</f>
        <v>0</v>
      </c>
      <c r="K79" s="110"/>
      <c r="L79" s="59"/>
      <c r="M79" s="59"/>
      <c r="N79" s="59"/>
      <c r="O79" s="112">
        <v>3.0173611111111098</v>
      </c>
      <c r="P79" s="110" t="str">
        <f t="shared" si="11"/>
        <v/>
      </c>
      <c r="Q79" s="59"/>
      <c r="R79" s="87" t="str">
        <f t="shared" si="12"/>
        <v/>
      </c>
      <c r="S79" s="87" t="str">
        <f t="shared" si="13"/>
        <v/>
      </c>
      <c r="T79" s="59"/>
      <c r="U79" s="59"/>
      <c r="V79" s="59"/>
      <c r="W79" s="59"/>
      <c r="X79" s="93" t="str">
        <f t="shared" si="10"/>
        <v>D</v>
      </c>
    </row>
    <row r="80" spans="1:24" s="66" customFormat="1" x14ac:dyDescent="0.25">
      <c r="A80" s="53"/>
      <c r="B80" s="91" t="str">
        <f>IFERROR(VLOOKUP(A80,Lookup!A:B,2,0),"")</f>
        <v/>
      </c>
      <c r="C80" s="92" t="str">
        <f>IFERROR(VLOOKUP(A80,Lookup!A:C,3,0),"")</f>
        <v/>
      </c>
      <c r="D80" s="59"/>
      <c r="E80" s="59"/>
      <c r="F80" s="59"/>
      <c r="G80" s="94"/>
      <c r="H80" s="59"/>
      <c r="I80" s="59"/>
      <c r="J80" s="106">
        <f>VLOOKUP(A80&amp;G80,Lookup!J:N,5,0)</f>
        <v>0</v>
      </c>
      <c r="K80" s="110"/>
      <c r="L80" s="59"/>
      <c r="M80" s="59"/>
      <c r="N80" s="59"/>
      <c r="O80" s="112">
        <v>3.0590277777777799</v>
      </c>
      <c r="P80" s="110" t="str">
        <f t="shared" si="11"/>
        <v/>
      </c>
      <c r="Q80" s="59"/>
      <c r="R80" s="87" t="str">
        <f t="shared" si="12"/>
        <v/>
      </c>
      <c r="S80" s="87" t="str">
        <f t="shared" si="13"/>
        <v/>
      </c>
      <c r="T80" s="59"/>
      <c r="U80" s="59"/>
      <c r="V80" s="59"/>
      <c r="W80" s="59"/>
      <c r="X80" s="93" t="str">
        <f t="shared" si="10"/>
        <v>D</v>
      </c>
    </row>
    <row r="81" spans="1:24" s="66" customFormat="1" x14ac:dyDescent="0.25">
      <c r="A81" s="53"/>
      <c r="B81" s="91" t="str">
        <f>IFERROR(VLOOKUP(A81,Lookup!A:B,2,0),"")</f>
        <v/>
      </c>
      <c r="C81" s="92" t="str">
        <f>IFERROR(VLOOKUP(A81,Lookup!A:C,3,0),"")</f>
        <v/>
      </c>
      <c r="D81" s="59"/>
      <c r="E81" s="59"/>
      <c r="F81" s="59"/>
      <c r="G81" s="94"/>
      <c r="H81" s="59"/>
      <c r="I81" s="59"/>
      <c r="J81" s="106">
        <f>VLOOKUP(A81&amp;G81,Lookup!J:N,5,0)</f>
        <v>0</v>
      </c>
      <c r="K81" s="110"/>
      <c r="L81" s="59"/>
      <c r="M81" s="59"/>
      <c r="N81" s="59"/>
      <c r="O81" s="112">
        <v>3.1006944444444402</v>
      </c>
      <c r="P81" s="110" t="str">
        <f t="shared" si="11"/>
        <v/>
      </c>
      <c r="Q81" s="59"/>
      <c r="R81" s="87" t="str">
        <f t="shared" si="12"/>
        <v/>
      </c>
      <c r="S81" s="87" t="str">
        <f t="shared" si="13"/>
        <v/>
      </c>
      <c r="T81" s="59"/>
      <c r="U81" s="59"/>
      <c r="V81" s="59"/>
      <c r="W81" s="59"/>
      <c r="X81" s="93" t="str">
        <f t="shared" si="10"/>
        <v>D</v>
      </c>
    </row>
    <row r="82" spans="1:24" s="66" customFormat="1" x14ac:dyDescent="0.25">
      <c r="A82" s="53"/>
      <c r="B82" s="91" t="str">
        <f>IFERROR(VLOOKUP(A82,Lookup!A:B,2,0),"")</f>
        <v/>
      </c>
      <c r="C82" s="92" t="str">
        <f>IFERROR(VLOOKUP(A82,Lookup!A:C,3,0),"")</f>
        <v/>
      </c>
      <c r="D82" s="59"/>
      <c r="E82" s="59"/>
      <c r="F82" s="59"/>
      <c r="G82" s="94"/>
      <c r="H82" s="59"/>
      <c r="I82" s="59"/>
      <c r="J82" s="106">
        <f>VLOOKUP(A82&amp;G82,Lookup!J:N,5,0)</f>
        <v>0</v>
      </c>
      <c r="K82" s="110"/>
      <c r="L82" s="59"/>
      <c r="M82" s="59"/>
      <c r="N82" s="59"/>
      <c r="O82" s="112">
        <v>3.1423611111111098</v>
      </c>
      <c r="P82" s="110" t="str">
        <f t="shared" si="11"/>
        <v/>
      </c>
      <c r="Q82" s="59"/>
      <c r="R82" s="87" t="str">
        <f t="shared" si="12"/>
        <v/>
      </c>
      <c r="S82" s="87" t="str">
        <f t="shared" si="13"/>
        <v/>
      </c>
      <c r="T82" s="59"/>
      <c r="U82" s="59"/>
      <c r="V82" s="59"/>
      <c r="W82" s="59"/>
      <c r="X82" s="93" t="str">
        <f t="shared" si="10"/>
        <v>D</v>
      </c>
    </row>
    <row r="83" spans="1:24" s="66" customFormat="1" x14ac:dyDescent="0.25">
      <c r="A83" s="53"/>
      <c r="B83" s="91" t="str">
        <f>IFERROR(VLOOKUP(A83,Lookup!A:B,2,0),"")</f>
        <v/>
      </c>
      <c r="C83" s="92" t="str">
        <f>IFERROR(VLOOKUP(A83,Lookup!A:C,3,0),"")</f>
        <v/>
      </c>
      <c r="D83" s="59"/>
      <c r="E83" s="59"/>
      <c r="F83" s="59"/>
      <c r="G83" s="94"/>
      <c r="H83" s="59"/>
      <c r="I83" s="59"/>
      <c r="J83" s="106">
        <f>VLOOKUP(A83&amp;G83,Lookup!J:N,5,0)</f>
        <v>0</v>
      </c>
      <c r="K83" s="110"/>
      <c r="L83" s="59"/>
      <c r="M83" s="59"/>
      <c r="N83" s="59"/>
      <c r="O83" s="112">
        <v>3.1840277777777799</v>
      </c>
      <c r="P83" s="110" t="str">
        <f t="shared" si="11"/>
        <v/>
      </c>
      <c r="Q83" s="59"/>
      <c r="R83" s="87" t="str">
        <f t="shared" si="12"/>
        <v/>
      </c>
      <c r="S83" s="87" t="str">
        <f t="shared" si="13"/>
        <v/>
      </c>
      <c r="T83" s="59"/>
      <c r="U83" s="59"/>
      <c r="V83" s="59"/>
      <c r="W83" s="59"/>
      <c r="X83" s="93" t="str">
        <f t="shared" si="10"/>
        <v>D</v>
      </c>
    </row>
    <row r="84" spans="1:24" s="66" customFormat="1" x14ac:dyDescent="0.25">
      <c r="A84" s="53"/>
      <c r="B84" s="91" t="str">
        <f>IFERROR(VLOOKUP(A84,Lookup!A:B,2,0),"")</f>
        <v/>
      </c>
      <c r="C84" s="92" t="str">
        <f>IFERROR(VLOOKUP(A84,Lookup!A:C,3,0),"")</f>
        <v/>
      </c>
      <c r="D84" s="59"/>
      <c r="E84" s="59"/>
      <c r="F84" s="59"/>
      <c r="G84" s="94"/>
      <c r="H84" s="59"/>
      <c r="I84" s="59"/>
      <c r="J84" s="106">
        <f>VLOOKUP(A84&amp;G84,Lookup!J:N,5,0)</f>
        <v>0</v>
      </c>
      <c r="K84" s="110"/>
      <c r="L84" s="59"/>
      <c r="M84" s="59"/>
      <c r="N84" s="59"/>
      <c r="O84" s="112">
        <v>3.2256944444444402</v>
      </c>
      <c r="P84" s="110" t="str">
        <f t="shared" si="11"/>
        <v/>
      </c>
      <c r="Q84" s="59"/>
      <c r="R84" s="87" t="str">
        <f t="shared" si="12"/>
        <v/>
      </c>
      <c r="S84" s="87" t="str">
        <f t="shared" si="13"/>
        <v/>
      </c>
      <c r="T84" s="59"/>
      <c r="U84" s="59"/>
      <c r="V84" s="59"/>
      <c r="W84" s="59"/>
      <c r="X84" s="93" t="str">
        <f t="shared" si="10"/>
        <v>D</v>
      </c>
    </row>
    <row r="85" spans="1:24" s="66" customFormat="1" x14ac:dyDescent="0.25">
      <c r="A85" s="53"/>
      <c r="B85" s="91" t="str">
        <f>IFERROR(VLOOKUP(A85,Lookup!A:B,2,0),"")</f>
        <v/>
      </c>
      <c r="C85" s="92" t="str">
        <f>IFERROR(VLOOKUP(A85,Lookup!A:C,3,0),"")</f>
        <v/>
      </c>
      <c r="D85" s="59"/>
      <c r="E85" s="59"/>
      <c r="F85" s="59"/>
      <c r="G85" s="94"/>
      <c r="H85" s="59"/>
      <c r="I85" s="59"/>
      <c r="J85" s="106">
        <f>VLOOKUP(A85&amp;G85,Lookup!J:N,5,0)</f>
        <v>0</v>
      </c>
      <c r="K85" s="110"/>
      <c r="L85" s="59"/>
      <c r="M85" s="59"/>
      <c r="N85" s="59"/>
      <c r="O85" s="112">
        <v>3.2673611111111098</v>
      </c>
      <c r="P85" s="110" t="str">
        <f t="shared" si="11"/>
        <v/>
      </c>
      <c r="Q85" s="59"/>
      <c r="R85" s="87" t="str">
        <f t="shared" si="12"/>
        <v/>
      </c>
      <c r="S85" s="87" t="str">
        <f t="shared" si="13"/>
        <v/>
      </c>
      <c r="T85" s="59"/>
      <c r="U85" s="59"/>
      <c r="V85" s="59"/>
      <c r="W85" s="59"/>
      <c r="X85" s="93" t="str">
        <f t="shared" si="10"/>
        <v>D</v>
      </c>
    </row>
    <row r="86" spans="1:24" s="66" customFormat="1" x14ac:dyDescent="0.25">
      <c r="A86" s="53"/>
      <c r="B86" s="91" t="str">
        <f>IFERROR(VLOOKUP(A86,Lookup!A:B,2,0),"")</f>
        <v/>
      </c>
      <c r="C86" s="92" t="str">
        <f>IFERROR(VLOOKUP(A86,Lookup!A:C,3,0),"")</f>
        <v/>
      </c>
      <c r="D86" s="59"/>
      <c r="E86" s="59"/>
      <c r="F86" s="59"/>
      <c r="G86" s="94"/>
      <c r="H86" s="59"/>
      <c r="I86" s="59"/>
      <c r="J86" s="106">
        <f>VLOOKUP(A86&amp;G86,Lookup!J:N,5,0)</f>
        <v>0</v>
      </c>
      <c r="K86" s="110"/>
      <c r="L86" s="59"/>
      <c r="M86" s="59"/>
      <c r="N86" s="59"/>
      <c r="O86" s="112">
        <v>3.3090277777777799</v>
      </c>
      <c r="P86" s="110" t="str">
        <f t="shared" si="11"/>
        <v/>
      </c>
      <c r="Q86" s="59"/>
      <c r="R86" s="87" t="str">
        <f t="shared" si="12"/>
        <v/>
      </c>
      <c r="S86" s="87" t="str">
        <f t="shared" si="13"/>
        <v/>
      </c>
      <c r="T86" s="59"/>
      <c r="U86" s="59"/>
      <c r="V86" s="59"/>
      <c r="W86" s="59"/>
      <c r="X86" s="93" t="str">
        <f t="shared" si="10"/>
        <v>D</v>
      </c>
    </row>
    <row r="87" spans="1:24" s="66" customFormat="1" x14ac:dyDescent="0.25">
      <c r="A87" s="53"/>
      <c r="B87" s="91" t="str">
        <f>IFERROR(VLOOKUP(A87,Lookup!A:B,2,0),"")</f>
        <v/>
      </c>
      <c r="C87" s="92" t="str">
        <f>IFERROR(VLOOKUP(A87,Lookup!A:C,3,0),"")</f>
        <v/>
      </c>
      <c r="D87" s="59"/>
      <c r="E87" s="59"/>
      <c r="F87" s="59"/>
      <c r="G87" s="94"/>
      <c r="H87" s="59"/>
      <c r="I87" s="59"/>
      <c r="J87" s="106">
        <f>VLOOKUP(A87&amp;G87,Lookup!J:N,5,0)</f>
        <v>0</v>
      </c>
      <c r="K87" s="110"/>
      <c r="L87" s="59"/>
      <c r="M87" s="59"/>
      <c r="N87" s="59"/>
      <c r="O87" s="112">
        <v>3.3506944444444402</v>
      </c>
      <c r="P87" s="110" t="str">
        <f t="shared" si="11"/>
        <v/>
      </c>
      <c r="Q87" s="59"/>
      <c r="R87" s="87" t="str">
        <f t="shared" si="12"/>
        <v/>
      </c>
      <c r="S87" s="87" t="str">
        <f t="shared" si="13"/>
        <v/>
      </c>
      <c r="T87" s="59"/>
      <c r="U87" s="59"/>
      <c r="V87" s="59"/>
      <c r="W87" s="59"/>
      <c r="X87" s="93" t="str">
        <f t="shared" si="10"/>
        <v>D</v>
      </c>
    </row>
    <row r="88" spans="1:24" s="66" customFormat="1" x14ac:dyDescent="0.25">
      <c r="A88" s="53"/>
      <c r="B88" s="91" t="str">
        <f>IFERROR(VLOOKUP(A88,Lookup!A:B,2,0),"")</f>
        <v/>
      </c>
      <c r="C88" s="92" t="str">
        <f>IFERROR(VLOOKUP(A88,Lookup!A:C,3,0),"")</f>
        <v/>
      </c>
      <c r="D88" s="59"/>
      <c r="E88" s="59"/>
      <c r="F88" s="59"/>
      <c r="G88" s="94"/>
      <c r="H88" s="59"/>
      <c r="I88" s="59"/>
      <c r="J88" s="106">
        <f>VLOOKUP(A88&amp;G88,Lookup!J:N,5,0)</f>
        <v>0</v>
      </c>
      <c r="K88" s="110"/>
      <c r="L88" s="59"/>
      <c r="M88" s="59"/>
      <c r="N88" s="59"/>
      <c r="O88" s="112">
        <v>3.3923611111111098</v>
      </c>
      <c r="P88" s="110" t="str">
        <f t="shared" si="11"/>
        <v/>
      </c>
      <c r="Q88" s="59"/>
      <c r="R88" s="87" t="str">
        <f t="shared" si="12"/>
        <v/>
      </c>
      <c r="S88" s="87" t="str">
        <f t="shared" si="13"/>
        <v/>
      </c>
      <c r="T88" s="59"/>
      <c r="U88" s="59"/>
      <c r="V88" s="59"/>
      <c r="W88" s="59"/>
      <c r="X88" s="93" t="str">
        <f t="shared" si="10"/>
        <v>D</v>
      </c>
    </row>
    <row r="89" spans="1:24" s="66" customFormat="1" x14ac:dyDescent="0.25">
      <c r="A89" s="53"/>
      <c r="B89" s="91" t="str">
        <f>IFERROR(VLOOKUP(A89,Lookup!A:B,2,0),"")</f>
        <v/>
      </c>
      <c r="C89" s="92" t="str">
        <f>IFERROR(VLOOKUP(A89,Lookup!A:C,3,0),"")</f>
        <v/>
      </c>
      <c r="D89" s="59"/>
      <c r="E89" s="59"/>
      <c r="F89" s="59"/>
      <c r="G89" s="94"/>
      <c r="H89" s="59"/>
      <c r="I89" s="59"/>
      <c r="J89" s="106">
        <f>VLOOKUP(A89&amp;G89,Lookup!J:N,5,0)</f>
        <v>0</v>
      </c>
      <c r="K89" s="110"/>
      <c r="L89" s="59"/>
      <c r="M89" s="59"/>
      <c r="N89" s="59"/>
      <c r="O89" s="112">
        <v>3.4340277777777799</v>
      </c>
      <c r="P89" s="110" t="str">
        <f t="shared" si="11"/>
        <v/>
      </c>
      <c r="Q89" s="59"/>
      <c r="R89" s="87" t="str">
        <f t="shared" si="12"/>
        <v/>
      </c>
      <c r="S89" s="87" t="str">
        <f t="shared" si="13"/>
        <v/>
      </c>
      <c r="T89" s="59"/>
      <c r="U89" s="59"/>
      <c r="V89" s="59"/>
      <c r="W89" s="59"/>
      <c r="X89" s="93" t="str">
        <f t="shared" si="10"/>
        <v>D</v>
      </c>
    </row>
    <row r="90" spans="1:24" s="66" customFormat="1" x14ac:dyDescent="0.25">
      <c r="A90" s="53"/>
      <c r="B90" s="91" t="str">
        <f>IFERROR(VLOOKUP(A90,Lookup!A:B,2,0),"")</f>
        <v/>
      </c>
      <c r="C90" s="92" t="str">
        <f>IFERROR(VLOOKUP(A90,Lookup!A:C,3,0),"")</f>
        <v/>
      </c>
      <c r="D90" s="59"/>
      <c r="E90" s="59"/>
      <c r="F90" s="59"/>
      <c r="G90" s="94"/>
      <c r="H90" s="59"/>
      <c r="I90" s="59"/>
      <c r="J90" s="106">
        <f>VLOOKUP(A90&amp;G90,Lookup!J:N,5,0)</f>
        <v>0</v>
      </c>
      <c r="K90" s="110"/>
      <c r="L90" s="59"/>
      <c r="M90" s="59"/>
      <c r="N90" s="59"/>
      <c r="O90" s="112">
        <v>3.4756944444444402</v>
      </c>
      <c r="P90" s="110" t="str">
        <f t="shared" si="11"/>
        <v/>
      </c>
      <c r="Q90" s="59"/>
      <c r="R90" s="87" t="str">
        <f t="shared" si="12"/>
        <v/>
      </c>
      <c r="S90" s="87" t="str">
        <f t="shared" si="13"/>
        <v/>
      </c>
      <c r="T90" s="59"/>
      <c r="U90" s="59"/>
      <c r="V90" s="59"/>
      <c r="W90" s="59"/>
      <c r="X90" s="93" t="str">
        <f t="shared" si="10"/>
        <v>D</v>
      </c>
    </row>
    <row r="91" spans="1:24" s="66" customFormat="1" x14ac:dyDescent="0.25">
      <c r="A91" s="53"/>
      <c r="B91" s="91" t="str">
        <f>IFERROR(VLOOKUP(A91,Lookup!A:B,2,0),"")</f>
        <v/>
      </c>
      <c r="C91" s="92" t="str">
        <f>IFERROR(VLOOKUP(A91,Lookup!A:C,3,0),"")</f>
        <v/>
      </c>
      <c r="D91" s="59"/>
      <c r="E91" s="59"/>
      <c r="F91" s="59"/>
      <c r="G91" s="94"/>
      <c r="H91" s="59"/>
      <c r="I91" s="59"/>
      <c r="J91" s="106">
        <f>VLOOKUP(A91&amp;G91,Lookup!J:N,5,0)</f>
        <v>0</v>
      </c>
      <c r="K91" s="110"/>
      <c r="L91" s="59"/>
      <c r="M91" s="59"/>
      <c r="N91" s="59"/>
      <c r="O91" s="112">
        <v>3.5173611111111098</v>
      </c>
      <c r="P91" s="110" t="str">
        <f t="shared" si="11"/>
        <v/>
      </c>
      <c r="Q91" s="59"/>
      <c r="R91" s="87" t="str">
        <f t="shared" si="12"/>
        <v/>
      </c>
      <c r="S91" s="87" t="str">
        <f t="shared" si="13"/>
        <v/>
      </c>
      <c r="T91" s="59"/>
      <c r="U91" s="59"/>
      <c r="V91" s="59"/>
      <c r="W91" s="59"/>
      <c r="X91" s="93" t="str">
        <f t="shared" si="10"/>
        <v>D</v>
      </c>
    </row>
    <row r="92" spans="1:24" s="66" customFormat="1" x14ac:dyDescent="0.25">
      <c r="A92" s="53"/>
      <c r="B92" s="91" t="str">
        <f>IFERROR(VLOOKUP(A92,Lookup!A:B,2,0),"")</f>
        <v/>
      </c>
      <c r="C92" s="92" t="str">
        <f>IFERROR(VLOOKUP(A92,Lookup!A:C,3,0),"")</f>
        <v/>
      </c>
      <c r="D92" s="59"/>
      <c r="E92" s="59"/>
      <c r="F92" s="59"/>
      <c r="G92" s="94"/>
      <c r="H92" s="59"/>
      <c r="I92" s="59"/>
      <c r="J92" s="106">
        <f>VLOOKUP(A92&amp;G92,Lookup!J:N,5,0)</f>
        <v>0</v>
      </c>
      <c r="K92" s="110"/>
      <c r="L92" s="59"/>
      <c r="M92" s="59"/>
      <c r="N92" s="59"/>
      <c r="O92" s="112">
        <v>3.5590277777777799</v>
      </c>
      <c r="P92" s="110" t="str">
        <f t="shared" si="11"/>
        <v/>
      </c>
      <c r="Q92" s="59"/>
      <c r="R92" s="87" t="str">
        <f t="shared" si="12"/>
        <v/>
      </c>
      <c r="S92" s="87" t="str">
        <f t="shared" si="13"/>
        <v/>
      </c>
      <c r="T92" s="59"/>
      <c r="U92" s="59"/>
      <c r="V92" s="59"/>
      <c r="W92" s="59"/>
      <c r="X92" s="93" t="str">
        <f t="shared" si="10"/>
        <v>D</v>
      </c>
    </row>
    <row r="93" spans="1:24" s="66" customFormat="1" x14ac:dyDescent="0.25">
      <c r="A93" s="53"/>
      <c r="B93" s="91" t="str">
        <f>IFERROR(VLOOKUP(A93,Lookup!A:B,2,0),"")</f>
        <v/>
      </c>
      <c r="C93" s="92" t="str">
        <f>IFERROR(VLOOKUP(A93,Lookup!A:C,3,0),"")</f>
        <v/>
      </c>
      <c r="D93" s="59"/>
      <c r="E93" s="59"/>
      <c r="F93" s="59"/>
      <c r="G93" s="94"/>
      <c r="H93" s="59"/>
      <c r="I93" s="59"/>
      <c r="J93" s="106">
        <f>VLOOKUP(A93&amp;G93,Lookup!J:N,5,0)</f>
        <v>0</v>
      </c>
      <c r="K93" s="110"/>
      <c r="L93" s="59"/>
      <c r="M93" s="59"/>
      <c r="N93" s="59"/>
      <c r="O93" s="112">
        <v>3.6006944444444402</v>
      </c>
      <c r="P93" s="110" t="str">
        <f t="shared" si="11"/>
        <v/>
      </c>
      <c r="Q93" s="59"/>
      <c r="R93" s="87" t="str">
        <f t="shared" si="12"/>
        <v/>
      </c>
      <c r="S93" s="87" t="str">
        <f t="shared" si="13"/>
        <v/>
      </c>
      <c r="T93" s="59"/>
      <c r="U93" s="59"/>
      <c r="V93" s="59"/>
      <c r="W93" s="59"/>
      <c r="X93" s="93" t="str">
        <f t="shared" si="10"/>
        <v>D</v>
      </c>
    </row>
    <row r="94" spans="1:24" s="66" customFormat="1" x14ac:dyDescent="0.25">
      <c r="A94" s="53"/>
      <c r="B94" s="91" t="str">
        <f>IFERROR(VLOOKUP(A94,Lookup!A:B,2,0),"")</f>
        <v/>
      </c>
      <c r="C94" s="92" t="str">
        <f>IFERROR(VLOOKUP(A94,Lookup!A:C,3,0),"")</f>
        <v/>
      </c>
      <c r="D94" s="59"/>
      <c r="E94" s="59"/>
      <c r="F94" s="59"/>
      <c r="G94" s="94"/>
      <c r="H94" s="59"/>
      <c r="I94" s="59"/>
      <c r="J94" s="106">
        <f>VLOOKUP(A94&amp;G94,Lookup!J:N,5,0)</f>
        <v>0</v>
      </c>
      <c r="K94" s="110"/>
      <c r="L94" s="59"/>
      <c r="M94" s="59"/>
      <c r="N94" s="59"/>
      <c r="O94" s="112">
        <v>3.6423611111111098</v>
      </c>
      <c r="P94" s="110" t="str">
        <f t="shared" si="11"/>
        <v/>
      </c>
      <c r="Q94" s="59"/>
      <c r="R94" s="87" t="str">
        <f t="shared" si="12"/>
        <v/>
      </c>
      <c r="S94" s="87" t="str">
        <f t="shared" si="13"/>
        <v/>
      </c>
      <c r="T94" s="59"/>
      <c r="U94" s="59"/>
      <c r="V94" s="59"/>
      <c r="W94" s="59"/>
      <c r="X94" s="93" t="str">
        <f t="shared" si="10"/>
        <v>D</v>
      </c>
    </row>
    <row r="95" spans="1:24" s="66" customFormat="1" x14ac:dyDescent="0.25">
      <c r="A95" s="53"/>
      <c r="B95" s="91" t="str">
        <f>IFERROR(VLOOKUP(A95,Lookup!A:B,2,0),"")</f>
        <v/>
      </c>
      <c r="C95" s="92" t="str">
        <f>IFERROR(VLOOKUP(A95,Lookup!A:C,3,0),"")</f>
        <v/>
      </c>
      <c r="D95" s="59"/>
      <c r="E95" s="59"/>
      <c r="F95" s="59"/>
      <c r="G95" s="94"/>
      <c r="H95" s="59"/>
      <c r="I95" s="59"/>
      <c r="J95" s="106">
        <f>VLOOKUP(A95&amp;G95,Lookup!J:N,5,0)</f>
        <v>0</v>
      </c>
      <c r="K95" s="110"/>
      <c r="L95" s="59"/>
      <c r="M95" s="59"/>
      <c r="N95" s="59"/>
      <c r="O95" s="112">
        <v>3.6840277777777799</v>
      </c>
      <c r="P95" s="110" t="str">
        <f t="shared" si="11"/>
        <v/>
      </c>
      <c r="Q95" s="59"/>
      <c r="R95" s="87" t="str">
        <f t="shared" si="12"/>
        <v/>
      </c>
      <c r="S95" s="87" t="str">
        <f t="shared" si="13"/>
        <v/>
      </c>
      <c r="T95" s="59"/>
      <c r="U95" s="59"/>
      <c r="V95" s="59"/>
      <c r="W95" s="59"/>
      <c r="X95" s="93" t="str">
        <f t="shared" si="10"/>
        <v>D</v>
      </c>
    </row>
    <row r="96" spans="1:24" s="66" customFormat="1" x14ac:dyDescent="0.25">
      <c r="A96" s="53"/>
      <c r="B96" s="91" t="str">
        <f>IFERROR(VLOOKUP(A96,Lookup!A:B,2,0),"")</f>
        <v/>
      </c>
      <c r="C96" s="92" t="str">
        <f>IFERROR(VLOOKUP(A96,Lookup!A:C,3,0),"")</f>
        <v/>
      </c>
      <c r="D96" s="59"/>
      <c r="E96" s="59"/>
      <c r="F96" s="59"/>
      <c r="G96" s="94"/>
      <c r="H96" s="59"/>
      <c r="I96" s="59"/>
      <c r="J96" s="106">
        <f>VLOOKUP(A96&amp;G96,Lookup!J:N,5,0)</f>
        <v>0</v>
      </c>
      <c r="K96" s="110"/>
      <c r="L96" s="59"/>
      <c r="M96" s="59"/>
      <c r="N96" s="59"/>
      <c r="O96" s="112">
        <v>3.7256944444444402</v>
      </c>
      <c r="P96" s="110" t="str">
        <f t="shared" si="11"/>
        <v/>
      </c>
      <c r="Q96" s="59"/>
      <c r="R96" s="87" t="str">
        <f t="shared" si="12"/>
        <v/>
      </c>
      <c r="S96" s="87" t="str">
        <f t="shared" si="13"/>
        <v/>
      </c>
      <c r="T96" s="59"/>
      <c r="U96" s="59"/>
      <c r="V96" s="59"/>
      <c r="W96" s="59"/>
      <c r="X96" s="93" t="str">
        <f t="shared" si="10"/>
        <v>D</v>
      </c>
    </row>
    <row r="97" spans="1:24" s="66" customFormat="1" x14ac:dyDescent="0.25">
      <c r="A97" s="53"/>
      <c r="B97" s="91" t="str">
        <f>IFERROR(VLOOKUP(A97,Lookup!A:B,2,0),"")</f>
        <v/>
      </c>
      <c r="C97" s="92" t="str">
        <f>IFERROR(VLOOKUP(A97,Lookup!A:C,3,0),"")</f>
        <v/>
      </c>
      <c r="D97" s="59"/>
      <c r="E97" s="59"/>
      <c r="F97" s="59"/>
      <c r="G97" s="94"/>
      <c r="H97" s="59"/>
      <c r="I97" s="59"/>
      <c r="J97" s="106">
        <f>VLOOKUP(A97&amp;G97,Lookup!J:N,5,0)</f>
        <v>0</v>
      </c>
      <c r="K97" s="110"/>
      <c r="L97" s="59"/>
      <c r="M97" s="59"/>
      <c r="N97" s="59"/>
      <c r="O97" s="112">
        <v>3.7673611111111098</v>
      </c>
      <c r="P97" s="110" t="str">
        <f t="shared" si="11"/>
        <v/>
      </c>
      <c r="Q97" s="59"/>
      <c r="R97" s="87" t="str">
        <f t="shared" si="12"/>
        <v/>
      </c>
      <c r="S97" s="87" t="str">
        <f t="shared" si="13"/>
        <v/>
      </c>
      <c r="T97" s="59"/>
      <c r="U97" s="59"/>
      <c r="V97" s="59"/>
      <c r="W97" s="59"/>
      <c r="X97" s="93" t="str">
        <f t="shared" si="10"/>
        <v>D</v>
      </c>
    </row>
    <row r="98" spans="1:24" s="66" customFormat="1" x14ac:dyDescent="0.25">
      <c r="A98" s="53"/>
      <c r="B98" s="91" t="str">
        <f>IFERROR(VLOOKUP(A98,Lookup!A:B,2,0),"")</f>
        <v/>
      </c>
      <c r="C98" s="92" t="str">
        <f>IFERROR(VLOOKUP(A98,Lookup!A:C,3,0),"")</f>
        <v/>
      </c>
      <c r="D98" s="59"/>
      <c r="E98" s="59"/>
      <c r="F98" s="59"/>
      <c r="G98" s="94"/>
      <c r="H98" s="59"/>
      <c r="I98" s="59"/>
      <c r="J98" s="106">
        <f>VLOOKUP(A98&amp;G98,Lookup!J:N,5,0)</f>
        <v>0</v>
      </c>
      <c r="K98" s="110"/>
      <c r="L98" s="59"/>
      <c r="M98" s="59"/>
      <c r="N98" s="59"/>
      <c r="O98" s="112">
        <v>3.8090277777777799</v>
      </c>
      <c r="P98" s="110" t="str">
        <f t="shared" si="11"/>
        <v/>
      </c>
      <c r="Q98" s="59"/>
      <c r="R98" s="87" t="str">
        <f t="shared" si="12"/>
        <v/>
      </c>
      <c r="S98" s="87" t="str">
        <f t="shared" si="13"/>
        <v/>
      </c>
      <c r="T98" s="59"/>
      <c r="U98" s="59"/>
      <c r="V98" s="59"/>
      <c r="W98" s="59"/>
      <c r="X98" s="93" t="str">
        <f t="shared" si="10"/>
        <v>D</v>
      </c>
    </row>
    <row r="99" spans="1:24" s="66" customFormat="1" x14ac:dyDescent="0.25">
      <c r="A99" s="53"/>
      <c r="B99" s="91" t="str">
        <f>IFERROR(VLOOKUP(A99,Lookup!A:B,2,0),"")</f>
        <v/>
      </c>
      <c r="C99" s="92" t="str">
        <f>IFERROR(VLOOKUP(A99,Lookup!A:C,3,0),"")</f>
        <v/>
      </c>
      <c r="D99" s="59"/>
      <c r="E99" s="59"/>
      <c r="F99" s="59"/>
      <c r="G99" s="94"/>
      <c r="H99" s="59"/>
      <c r="I99" s="59"/>
      <c r="J99" s="106">
        <f>VLOOKUP(A99&amp;G99,Lookup!J:N,5,0)</f>
        <v>0</v>
      </c>
      <c r="K99" s="110"/>
      <c r="L99" s="59"/>
      <c r="M99" s="59"/>
      <c r="N99" s="59"/>
      <c r="O99" s="112">
        <v>3.8506944444444402</v>
      </c>
      <c r="P99" s="110" t="str">
        <f t="shared" si="11"/>
        <v/>
      </c>
      <c r="Q99" s="59"/>
      <c r="R99" s="87" t="str">
        <f t="shared" si="12"/>
        <v/>
      </c>
      <c r="S99" s="87" t="str">
        <f t="shared" si="13"/>
        <v/>
      </c>
      <c r="T99" s="59"/>
      <c r="U99" s="59"/>
      <c r="V99" s="59"/>
      <c r="W99" s="59"/>
      <c r="X99" s="93" t="str">
        <f t="shared" si="10"/>
        <v>D</v>
      </c>
    </row>
    <row r="100" spans="1:24" s="66" customFormat="1" x14ac:dyDescent="0.25">
      <c r="A100" s="53"/>
      <c r="B100" s="91" t="str">
        <f>IFERROR(VLOOKUP(A100,Lookup!A:B,2,0),"")</f>
        <v/>
      </c>
      <c r="C100" s="92" t="str">
        <f>IFERROR(VLOOKUP(A100,Lookup!A:C,3,0),"")</f>
        <v/>
      </c>
      <c r="D100" s="59"/>
      <c r="E100" s="59"/>
      <c r="F100" s="59"/>
      <c r="G100" s="94"/>
      <c r="H100" s="59"/>
      <c r="I100" s="59"/>
      <c r="J100" s="106">
        <f>VLOOKUP(A100&amp;G100,Lookup!J:N,5,0)</f>
        <v>0</v>
      </c>
      <c r="K100" s="110"/>
      <c r="L100" s="59"/>
      <c r="M100" s="59"/>
      <c r="N100" s="59"/>
      <c r="O100" s="112">
        <v>3.8923611111111098</v>
      </c>
      <c r="P100" s="110" t="str">
        <f t="shared" si="11"/>
        <v/>
      </c>
      <c r="Q100" s="59"/>
      <c r="R100" s="87" t="str">
        <f t="shared" si="12"/>
        <v/>
      </c>
      <c r="S100" s="87" t="str">
        <f t="shared" si="13"/>
        <v/>
      </c>
      <c r="T100" s="59"/>
      <c r="U100" s="59"/>
      <c r="V100" s="59"/>
      <c r="W100" s="59"/>
      <c r="X100" s="93" t="str">
        <f t="shared" si="10"/>
        <v>D</v>
      </c>
    </row>
    <row r="101" spans="1:24" s="66" customFormat="1" x14ac:dyDescent="0.25">
      <c r="A101" s="53"/>
      <c r="B101" s="91" t="str">
        <f>IFERROR(VLOOKUP(A101,Lookup!A:B,2,0),"")</f>
        <v/>
      </c>
      <c r="C101" s="92" t="str">
        <f>IFERROR(VLOOKUP(A101,Lookup!A:C,3,0),"")</f>
        <v/>
      </c>
      <c r="D101" s="59"/>
      <c r="E101" s="59"/>
      <c r="F101" s="59"/>
      <c r="G101" s="94"/>
      <c r="H101" s="59"/>
      <c r="I101" s="59"/>
      <c r="J101" s="106">
        <f>VLOOKUP(A101&amp;G101,Lookup!J:N,5,0)</f>
        <v>0</v>
      </c>
      <c r="K101" s="110"/>
      <c r="L101" s="59"/>
      <c r="M101" s="59"/>
      <c r="N101" s="59"/>
      <c r="O101" s="112">
        <v>3.9340277777777799</v>
      </c>
      <c r="P101" s="110" t="str">
        <f t="shared" ref="P101:P130" si="14">IF(N101="","",N101+O101)</f>
        <v/>
      </c>
      <c r="Q101" s="59"/>
      <c r="R101" s="87" t="str">
        <f t="shared" ref="R101:R134" si="15">IF(OR(EXACT(N101,""), EXACT(L101,"")),"",N101-L101)</f>
        <v/>
      </c>
      <c r="S101" s="87" t="str">
        <f t="shared" ref="S101:S134" si="16">IF(OR(EXACT(Q101,""), EXACT(L101,"")),"",Q101-L101)</f>
        <v/>
      </c>
      <c r="T101" s="59"/>
      <c r="U101" s="59"/>
      <c r="V101" s="59"/>
      <c r="W101" s="59"/>
      <c r="X101" s="93" t="str">
        <f t="shared" ref="X101:X130" si="17">IF(I101="SET","A",IF(I101="FREQ","C",IF(I101="","D","B")))</f>
        <v>D</v>
      </c>
    </row>
    <row r="102" spans="1:24" s="66" customFormat="1" x14ac:dyDescent="0.25">
      <c r="A102" s="53"/>
      <c r="B102" s="91" t="str">
        <f>IFERROR(VLOOKUP(A102,Lookup!A:B,2,0),"")</f>
        <v/>
      </c>
      <c r="C102" s="92" t="str">
        <f>IFERROR(VLOOKUP(A102,Lookup!A:C,3,0),"")</f>
        <v/>
      </c>
      <c r="D102" s="59"/>
      <c r="E102" s="59"/>
      <c r="F102" s="59"/>
      <c r="G102" s="94"/>
      <c r="H102" s="59"/>
      <c r="I102" s="59"/>
      <c r="J102" s="106">
        <f>VLOOKUP(A102&amp;G102,Lookup!J:N,5,0)</f>
        <v>0</v>
      </c>
      <c r="K102" s="110"/>
      <c r="L102" s="59"/>
      <c r="M102" s="59"/>
      <c r="N102" s="59"/>
      <c r="O102" s="112">
        <v>3.9756944444444402</v>
      </c>
      <c r="P102" s="110" t="str">
        <f t="shared" si="14"/>
        <v/>
      </c>
      <c r="Q102" s="59"/>
      <c r="R102" s="87" t="str">
        <f t="shared" si="15"/>
        <v/>
      </c>
      <c r="S102" s="87" t="str">
        <f t="shared" si="16"/>
        <v/>
      </c>
      <c r="T102" s="59"/>
      <c r="U102" s="59"/>
      <c r="V102" s="59"/>
      <c r="W102" s="59"/>
      <c r="X102" s="93" t="str">
        <f t="shared" si="17"/>
        <v>D</v>
      </c>
    </row>
    <row r="103" spans="1:24" s="66" customFormat="1" x14ac:dyDescent="0.25">
      <c r="A103" s="53"/>
      <c r="B103" s="91" t="str">
        <f>IFERROR(VLOOKUP(A103,Lookup!A:B,2,0),"")</f>
        <v/>
      </c>
      <c r="C103" s="92" t="str">
        <f>IFERROR(VLOOKUP(A103,Lookup!A:C,3,0),"")</f>
        <v/>
      </c>
      <c r="D103" s="59"/>
      <c r="E103" s="59"/>
      <c r="F103" s="59"/>
      <c r="G103" s="94"/>
      <c r="H103" s="59"/>
      <c r="I103" s="59"/>
      <c r="J103" s="106">
        <f>VLOOKUP(A103&amp;G103,Lookup!J:N,5,0)</f>
        <v>0</v>
      </c>
      <c r="K103" s="110"/>
      <c r="L103" s="59"/>
      <c r="M103" s="59"/>
      <c r="N103" s="59"/>
      <c r="O103" s="112">
        <v>4.0173611111111098</v>
      </c>
      <c r="P103" s="110" t="str">
        <f t="shared" si="14"/>
        <v/>
      </c>
      <c r="Q103" s="59"/>
      <c r="R103" s="87" t="str">
        <f t="shared" si="15"/>
        <v/>
      </c>
      <c r="S103" s="87" t="str">
        <f t="shared" si="16"/>
        <v/>
      </c>
      <c r="T103" s="59"/>
      <c r="U103" s="59"/>
      <c r="V103" s="59"/>
      <c r="W103" s="59"/>
      <c r="X103" s="93" t="str">
        <f t="shared" si="17"/>
        <v>D</v>
      </c>
    </row>
    <row r="104" spans="1:24" s="66" customFormat="1" x14ac:dyDescent="0.25">
      <c r="A104" s="53"/>
      <c r="B104" s="91" t="str">
        <f>IFERROR(VLOOKUP(A104,Lookup!A:B,2,0),"")</f>
        <v/>
      </c>
      <c r="C104" s="92" t="str">
        <f>IFERROR(VLOOKUP(A104,Lookup!A:C,3,0),"")</f>
        <v/>
      </c>
      <c r="D104" s="59"/>
      <c r="E104" s="59"/>
      <c r="F104" s="59"/>
      <c r="G104" s="94"/>
      <c r="H104" s="59"/>
      <c r="I104" s="59"/>
      <c r="J104" s="106">
        <f>VLOOKUP(A104&amp;G104,Lookup!J:N,5,0)</f>
        <v>0</v>
      </c>
      <c r="K104" s="110"/>
      <c r="L104" s="59"/>
      <c r="M104" s="59"/>
      <c r="N104" s="59"/>
      <c r="O104" s="112">
        <v>4.0590277777777803</v>
      </c>
      <c r="P104" s="110" t="str">
        <f t="shared" si="14"/>
        <v/>
      </c>
      <c r="Q104" s="59"/>
      <c r="R104" s="87" t="str">
        <f t="shared" si="15"/>
        <v/>
      </c>
      <c r="S104" s="87" t="str">
        <f t="shared" si="16"/>
        <v/>
      </c>
      <c r="T104" s="59"/>
      <c r="U104" s="59"/>
      <c r="V104" s="59"/>
      <c r="W104" s="59"/>
      <c r="X104" s="93" t="str">
        <f t="shared" si="17"/>
        <v>D</v>
      </c>
    </row>
    <row r="105" spans="1:24" s="66" customFormat="1" x14ac:dyDescent="0.25">
      <c r="A105" s="53"/>
      <c r="B105" s="91" t="str">
        <f>IFERROR(VLOOKUP(A105,Lookup!A:B,2,0),"")</f>
        <v/>
      </c>
      <c r="C105" s="92" t="str">
        <f>IFERROR(VLOOKUP(A105,Lookup!A:C,3,0),"")</f>
        <v/>
      </c>
      <c r="D105" s="59"/>
      <c r="E105" s="59"/>
      <c r="F105" s="59"/>
      <c r="G105" s="94"/>
      <c r="H105" s="59"/>
      <c r="I105" s="59"/>
      <c r="J105" s="106">
        <f>VLOOKUP(A105&amp;G105,Lookup!J:N,5,0)</f>
        <v>0</v>
      </c>
      <c r="K105" s="110"/>
      <c r="L105" s="59"/>
      <c r="M105" s="59"/>
      <c r="N105" s="59"/>
      <c r="O105" s="112">
        <v>4.1006944444444402</v>
      </c>
      <c r="P105" s="110" t="str">
        <f t="shared" si="14"/>
        <v/>
      </c>
      <c r="Q105" s="59"/>
      <c r="R105" s="87" t="str">
        <f t="shared" si="15"/>
        <v/>
      </c>
      <c r="S105" s="87" t="str">
        <f t="shared" si="16"/>
        <v/>
      </c>
      <c r="T105" s="59"/>
      <c r="U105" s="59"/>
      <c r="V105" s="59"/>
      <c r="W105" s="59"/>
      <c r="X105" s="93" t="str">
        <f t="shared" si="17"/>
        <v>D</v>
      </c>
    </row>
    <row r="106" spans="1:24" s="66" customFormat="1" x14ac:dyDescent="0.25">
      <c r="A106" s="53"/>
      <c r="B106" s="91" t="str">
        <f>IFERROR(VLOOKUP(A106,Lookup!A:B,2,0),"")</f>
        <v/>
      </c>
      <c r="C106" s="92" t="str">
        <f>IFERROR(VLOOKUP(A106,Lookup!A:C,3,0),"")</f>
        <v/>
      </c>
      <c r="D106" s="59"/>
      <c r="E106" s="59"/>
      <c r="F106" s="59"/>
      <c r="G106" s="94"/>
      <c r="H106" s="59"/>
      <c r="I106" s="59"/>
      <c r="J106" s="106">
        <f>VLOOKUP(A106&amp;G106,Lookup!J:N,5,0)</f>
        <v>0</v>
      </c>
      <c r="K106" s="110"/>
      <c r="L106" s="59"/>
      <c r="M106" s="59"/>
      <c r="N106" s="59"/>
      <c r="O106" s="112">
        <v>4.1423611111111098</v>
      </c>
      <c r="P106" s="110" t="str">
        <f t="shared" si="14"/>
        <v/>
      </c>
      <c r="Q106" s="59"/>
      <c r="R106" s="87" t="str">
        <f t="shared" si="15"/>
        <v/>
      </c>
      <c r="S106" s="87" t="str">
        <f t="shared" si="16"/>
        <v/>
      </c>
      <c r="T106" s="59"/>
      <c r="U106" s="59"/>
      <c r="V106" s="59"/>
      <c r="W106" s="59"/>
      <c r="X106" s="93" t="str">
        <f t="shared" si="17"/>
        <v>D</v>
      </c>
    </row>
    <row r="107" spans="1:24" s="66" customFormat="1" x14ac:dyDescent="0.25">
      <c r="A107" s="53"/>
      <c r="B107" s="91" t="str">
        <f>IFERROR(VLOOKUP(A107,Lookup!A:B,2,0),"")</f>
        <v/>
      </c>
      <c r="C107" s="92" t="str">
        <f>IFERROR(VLOOKUP(A107,Lookup!A:C,3,0),"")</f>
        <v/>
      </c>
      <c r="D107" s="59"/>
      <c r="E107" s="59"/>
      <c r="F107" s="59"/>
      <c r="G107" s="94"/>
      <c r="H107" s="59"/>
      <c r="I107" s="59"/>
      <c r="J107" s="106">
        <f>VLOOKUP(A107&amp;G107,Lookup!J:N,5,0)</f>
        <v>0</v>
      </c>
      <c r="K107" s="110"/>
      <c r="L107" s="59"/>
      <c r="M107" s="59"/>
      <c r="N107" s="59"/>
      <c r="O107" s="112">
        <v>4.1840277777777803</v>
      </c>
      <c r="P107" s="110" t="str">
        <f t="shared" si="14"/>
        <v/>
      </c>
      <c r="Q107" s="59"/>
      <c r="R107" s="87" t="str">
        <f t="shared" si="15"/>
        <v/>
      </c>
      <c r="S107" s="87" t="str">
        <f t="shared" si="16"/>
        <v/>
      </c>
      <c r="T107" s="59"/>
      <c r="U107" s="59"/>
      <c r="V107" s="59"/>
      <c r="W107" s="59"/>
      <c r="X107" s="93" t="str">
        <f t="shared" si="17"/>
        <v>D</v>
      </c>
    </row>
    <row r="108" spans="1:24" s="66" customFormat="1" x14ac:dyDescent="0.25">
      <c r="A108" s="53"/>
      <c r="B108" s="91" t="str">
        <f>IFERROR(VLOOKUP(A108,Lookup!A:B,2,0),"")</f>
        <v/>
      </c>
      <c r="C108" s="92" t="str">
        <f>IFERROR(VLOOKUP(A108,Lookup!A:C,3,0),"")</f>
        <v/>
      </c>
      <c r="D108" s="59"/>
      <c r="E108" s="59"/>
      <c r="F108" s="59"/>
      <c r="G108" s="94"/>
      <c r="H108" s="59"/>
      <c r="I108" s="59"/>
      <c r="J108" s="106">
        <f>VLOOKUP(A108&amp;G108,Lookup!J:N,5,0)</f>
        <v>0</v>
      </c>
      <c r="K108" s="110"/>
      <c r="L108" s="59"/>
      <c r="M108" s="59"/>
      <c r="N108" s="59"/>
      <c r="O108" s="112">
        <v>4.2256944444444402</v>
      </c>
      <c r="P108" s="110" t="str">
        <f t="shared" si="14"/>
        <v/>
      </c>
      <c r="Q108" s="59"/>
      <c r="R108" s="87" t="str">
        <f t="shared" si="15"/>
        <v/>
      </c>
      <c r="S108" s="87" t="str">
        <f t="shared" si="16"/>
        <v/>
      </c>
      <c r="T108" s="59"/>
      <c r="U108" s="59"/>
      <c r="V108" s="59"/>
      <c r="W108" s="59"/>
      <c r="X108" s="93" t="str">
        <f t="shared" si="17"/>
        <v>D</v>
      </c>
    </row>
    <row r="109" spans="1:24" s="66" customFormat="1" x14ac:dyDescent="0.25">
      <c r="A109" s="53"/>
      <c r="B109" s="91" t="str">
        <f>IFERROR(VLOOKUP(A109,Lookup!A:B,2,0),"")</f>
        <v/>
      </c>
      <c r="C109" s="92" t="str">
        <f>IFERROR(VLOOKUP(A109,Lookup!A:C,3,0),"")</f>
        <v/>
      </c>
      <c r="D109" s="59"/>
      <c r="E109" s="59"/>
      <c r="F109" s="59"/>
      <c r="G109" s="94"/>
      <c r="H109" s="59"/>
      <c r="I109" s="59"/>
      <c r="J109" s="106">
        <f>VLOOKUP(A109&amp;G109,Lookup!J:N,5,0)</f>
        <v>0</v>
      </c>
      <c r="K109" s="110"/>
      <c r="L109" s="59"/>
      <c r="M109" s="59"/>
      <c r="N109" s="59"/>
      <c r="O109" s="112">
        <v>4.2673611111111098</v>
      </c>
      <c r="P109" s="110" t="str">
        <f t="shared" si="14"/>
        <v/>
      </c>
      <c r="Q109" s="59"/>
      <c r="R109" s="87" t="str">
        <f t="shared" si="15"/>
        <v/>
      </c>
      <c r="S109" s="87" t="str">
        <f t="shared" si="16"/>
        <v/>
      </c>
      <c r="T109" s="59"/>
      <c r="U109" s="59"/>
      <c r="V109" s="59"/>
      <c r="W109" s="59"/>
      <c r="X109" s="93" t="str">
        <f t="shared" si="17"/>
        <v>D</v>
      </c>
    </row>
    <row r="110" spans="1:24" s="66" customFormat="1" x14ac:dyDescent="0.25">
      <c r="A110" s="53"/>
      <c r="B110" s="91" t="str">
        <f>IFERROR(VLOOKUP(A110,Lookup!A:B,2,0),"")</f>
        <v/>
      </c>
      <c r="C110" s="92" t="str">
        <f>IFERROR(VLOOKUP(A110,Lookup!A:C,3,0),"")</f>
        <v/>
      </c>
      <c r="D110" s="59"/>
      <c r="E110" s="59"/>
      <c r="F110" s="59"/>
      <c r="G110" s="94"/>
      <c r="H110" s="59"/>
      <c r="I110" s="59"/>
      <c r="J110" s="106">
        <f>VLOOKUP(A110&amp;G110,Lookup!J:N,5,0)</f>
        <v>0</v>
      </c>
      <c r="K110" s="110"/>
      <c r="L110" s="59"/>
      <c r="M110" s="59"/>
      <c r="N110" s="59"/>
      <c r="O110" s="112">
        <v>4.3090277777777803</v>
      </c>
      <c r="P110" s="110" t="str">
        <f t="shared" si="14"/>
        <v/>
      </c>
      <c r="Q110" s="59"/>
      <c r="R110" s="87" t="str">
        <f t="shared" si="15"/>
        <v/>
      </c>
      <c r="S110" s="87" t="str">
        <f t="shared" si="16"/>
        <v/>
      </c>
      <c r="T110" s="59"/>
      <c r="U110" s="59"/>
      <c r="V110" s="59"/>
      <c r="W110" s="59"/>
      <c r="X110" s="93" t="str">
        <f t="shared" si="17"/>
        <v>D</v>
      </c>
    </row>
    <row r="111" spans="1:24" s="66" customFormat="1" x14ac:dyDescent="0.25">
      <c r="A111" s="53"/>
      <c r="B111" s="91" t="str">
        <f>IFERROR(VLOOKUP(A111,Lookup!A:B,2,0),"")</f>
        <v/>
      </c>
      <c r="C111" s="92" t="str">
        <f>IFERROR(VLOOKUP(A111,Lookup!A:C,3,0),"")</f>
        <v/>
      </c>
      <c r="D111" s="59"/>
      <c r="E111" s="59"/>
      <c r="F111" s="59"/>
      <c r="G111" s="94"/>
      <c r="H111" s="59"/>
      <c r="I111" s="59"/>
      <c r="J111" s="106">
        <f>VLOOKUP(A111&amp;G111,Lookup!J:N,5,0)</f>
        <v>0</v>
      </c>
      <c r="K111" s="110"/>
      <c r="L111" s="59"/>
      <c r="M111" s="59"/>
      <c r="N111" s="59"/>
      <c r="O111" s="112">
        <v>4.3506944444444402</v>
      </c>
      <c r="P111" s="110" t="str">
        <f t="shared" si="14"/>
        <v/>
      </c>
      <c r="Q111" s="59"/>
      <c r="R111" s="87" t="str">
        <f t="shared" si="15"/>
        <v/>
      </c>
      <c r="S111" s="87" t="str">
        <f t="shared" si="16"/>
        <v/>
      </c>
      <c r="T111" s="59"/>
      <c r="U111" s="59"/>
      <c r="V111" s="59"/>
      <c r="W111" s="59"/>
      <c r="X111" s="93" t="str">
        <f t="shared" si="17"/>
        <v>D</v>
      </c>
    </row>
    <row r="112" spans="1:24" s="66" customFormat="1" x14ac:dyDescent="0.25">
      <c r="A112" s="53"/>
      <c r="B112" s="91" t="str">
        <f>IFERROR(VLOOKUP(A112,Lookup!A:B,2,0),"")</f>
        <v/>
      </c>
      <c r="C112" s="92" t="str">
        <f>IFERROR(VLOOKUP(A112,Lookup!A:C,3,0),"")</f>
        <v/>
      </c>
      <c r="D112" s="59"/>
      <c r="E112" s="59"/>
      <c r="F112" s="59"/>
      <c r="G112" s="94"/>
      <c r="H112" s="59"/>
      <c r="I112" s="59"/>
      <c r="J112" s="106">
        <f>VLOOKUP(A112&amp;G112,Lookup!J:N,5,0)</f>
        <v>0</v>
      </c>
      <c r="K112" s="110"/>
      <c r="L112" s="59"/>
      <c r="M112" s="59"/>
      <c r="N112" s="59"/>
      <c r="O112" s="112">
        <v>4.3923611111111098</v>
      </c>
      <c r="P112" s="110" t="str">
        <f t="shared" si="14"/>
        <v/>
      </c>
      <c r="Q112" s="59"/>
      <c r="R112" s="87" t="str">
        <f t="shared" si="15"/>
        <v/>
      </c>
      <c r="S112" s="87" t="str">
        <f t="shared" si="16"/>
        <v/>
      </c>
      <c r="T112" s="59"/>
      <c r="U112" s="59"/>
      <c r="V112" s="59"/>
      <c r="W112" s="59"/>
      <c r="X112" s="93" t="str">
        <f t="shared" si="17"/>
        <v>D</v>
      </c>
    </row>
    <row r="113" spans="1:24" s="66" customFormat="1" x14ac:dyDescent="0.25">
      <c r="A113" s="53"/>
      <c r="B113" s="91" t="str">
        <f>IFERROR(VLOOKUP(A113,Lookup!A:B,2,0),"")</f>
        <v/>
      </c>
      <c r="C113" s="92" t="str">
        <f>IFERROR(VLOOKUP(A113,Lookup!A:C,3,0),"")</f>
        <v/>
      </c>
      <c r="D113" s="59"/>
      <c r="E113" s="59"/>
      <c r="F113" s="59"/>
      <c r="G113" s="94"/>
      <c r="H113" s="59"/>
      <c r="I113" s="59"/>
      <c r="J113" s="106">
        <f>VLOOKUP(A113&amp;G113,Lookup!J:N,5,0)</f>
        <v>0</v>
      </c>
      <c r="K113" s="110"/>
      <c r="L113" s="59"/>
      <c r="M113" s="59"/>
      <c r="N113" s="59"/>
      <c r="O113" s="112">
        <v>4.4340277777777803</v>
      </c>
      <c r="P113" s="110" t="str">
        <f t="shared" si="14"/>
        <v/>
      </c>
      <c r="Q113" s="59"/>
      <c r="R113" s="87" t="str">
        <f t="shared" si="15"/>
        <v/>
      </c>
      <c r="S113" s="87" t="str">
        <f t="shared" si="16"/>
        <v/>
      </c>
      <c r="T113" s="59"/>
      <c r="U113" s="59"/>
      <c r="V113" s="59"/>
      <c r="W113" s="59"/>
      <c r="X113" s="93" t="str">
        <f t="shared" si="17"/>
        <v>D</v>
      </c>
    </row>
    <row r="114" spans="1:24" s="66" customFormat="1" x14ac:dyDescent="0.25">
      <c r="A114" s="53"/>
      <c r="B114" s="91" t="str">
        <f>IFERROR(VLOOKUP(A114,Lookup!A:B,2,0),"")</f>
        <v/>
      </c>
      <c r="C114" s="92" t="str">
        <f>IFERROR(VLOOKUP(A114,Lookup!A:C,3,0),"")</f>
        <v/>
      </c>
      <c r="D114" s="59"/>
      <c r="E114" s="59"/>
      <c r="F114" s="59"/>
      <c r="G114" s="94"/>
      <c r="H114" s="59"/>
      <c r="I114" s="59"/>
      <c r="J114" s="106">
        <f>VLOOKUP(A114&amp;G114,Lookup!J:N,5,0)</f>
        <v>0</v>
      </c>
      <c r="K114" s="110"/>
      <c r="L114" s="59"/>
      <c r="M114" s="59"/>
      <c r="N114" s="59"/>
      <c r="O114" s="112">
        <v>4.4756944444444402</v>
      </c>
      <c r="P114" s="110" t="str">
        <f t="shared" si="14"/>
        <v/>
      </c>
      <c r="Q114" s="59"/>
      <c r="R114" s="87" t="str">
        <f t="shared" si="15"/>
        <v/>
      </c>
      <c r="S114" s="87" t="str">
        <f t="shared" si="16"/>
        <v/>
      </c>
      <c r="T114" s="59"/>
      <c r="U114" s="59"/>
      <c r="V114" s="59"/>
      <c r="W114" s="59"/>
      <c r="X114" s="93" t="str">
        <f t="shared" si="17"/>
        <v>D</v>
      </c>
    </row>
    <row r="115" spans="1:24" s="66" customFormat="1" x14ac:dyDescent="0.25">
      <c r="A115" s="53"/>
      <c r="B115" s="91" t="str">
        <f>IFERROR(VLOOKUP(A115,Lookup!A:B,2,0),"")</f>
        <v/>
      </c>
      <c r="C115" s="92" t="str">
        <f>IFERROR(VLOOKUP(A115,Lookup!A:C,3,0),"")</f>
        <v/>
      </c>
      <c r="D115" s="59"/>
      <c r="E115" s="59"/>
      <c r="F115" s="59"/>
      <c r="G115" s="94"/>
      <c r="H115" s="59"/>
      <c r="I115" s="59"/>
      <c r="J115" s="106">
        <f>VLOOKUP(A115&amp;G115,Lookup!J:N,5,0)</f>
        <v>0</v>
      </c>
      <c r="K115" s="110"/>
      <c r="L115" s="59"/>
      <c r="M115" s="59"/>
      <c r="N115" s="59"/>
      <c r="O115" s="112">
        <v>4.5173611111111098</v>
      </c>
      <c r="P115" s="110" t="str">
        <f t="shared" si="14"/>
        <v/>
      </c>
      <c r="Q115" s="59"/>
      <c r="R115" s="87" t="str">
        <f t="shared" si="15"/>
        <v/>
      </c>
      <c r="S115" s="87" t="str">
        <f t="shared" si="16"/>
        <v/>
      </c>
      <c r="T115" s="59"/>
      <c r="U115" s="59"/>
      <c r="V115" s="59"/>
      <c r="W115" s="59"/>
      <c r="X115" s="93" t="str">
        <f t="shared" si="17"/>
        <v>D</v>
      </c>
    </row>
    <row r="116" spans="1:24" s="66" customFormat="1" x14ac:dyDescent="0.25">
      <c r="A116" s="53"/>
      <c r="B116" s="91" t="str">
        <f>IFERROR(VLOOKUP(A116,Lookup!A:B,2,0),"")</f>
        <v/>
      </c>
      <c r="C116" s="92" t="str">
        <f>IFERROR(VLOOKUP(A116,Lookup!A:C,3,0),"")</f>
        <v/>
      </c>
      <c r="D116" s="59"/>
      <c r="E116" s="59"/>
      <c r="F116" s="59"/>
      <c r="G116" s="94"/>
      <c r="H116" s="59"/>
      <c r="I116" s="59"/>
      <c r="J116" s="106">
        <f>VLOOKUP(A116&amp;G116,Lookup!J:N,5,0)</f>
        <v>0</v>
      </c>
      <c r="K116" s="110"/>
      <c r="L116" s="59"/>
      <c r="M116" s="59"/>
      <c r="N116" s="59"/>
      <c r="O116" s="112">
        <v>4.5590277777777803</v>
      </c>
      <c r="P116" s="110" t="str">
        <f t="shared" si="14"/>
        <v/>
      </c>
      <c r="Q116" s="59"/>
      <c r="R116" s="87" t="str">
        <f t="shared" si="15"/>
        <v/>
      </c>
      <c r="S116" s="87" t="str">
        <f t="shared" si="16"/>
        <v/>
      </c>
      <c r="T116" s="59"/>
      <c r="U116" s="59"/>
      <c r="V116" s="59"/>
      <c r="W116" s="59"/>
      <c r="X116" s="93" t="str">
        <f t="shared" si="17"/>
        <v>D</v>
      </c>
    </row>
    <row r="117" spans="1:24" s="66" customFormat="1" x14ac:dyDescent="0.25">
      <c r="A117" s="53"/>
      <c r="B117" s="91" t="str">
        <f>IFERROR(VLOOKUP(A117,Lookup!A:B,2,0),"")</f>
        <v/>
      </c>
      <c r="C117" s="92" t="str">
        <f>IFERROR(VLOOKUP(A117,Lookup!A:C,3,0),"")</f>
        <v/>
      </c>
      <c r="D117" s="59"/>
      <c r="E117" s="59"/>
      <c r="F117" s="59"/>
      <c r="G117" s="94"/>
      <c r="H117" s="59"/>
      <c r="I117" s="59"/>
      <c r="J117" s="106">
        <f>VLOOKUP(A117&amp;G117,Lookup!J:N,5,0)</f>
        <v>0</v>
      </c>
      <c r="K117" s="110"/>
      <c r="L117" s="59"/>
      <c r="M117" s="59"/>
      <c r="N117" s="59"/>
      <c r="O117" s="112">
        <v>4.6006944444444402</v>
      </c>
      <c r="P117" s="110" t="str">
        <f t="shared" si="14"/>
        <v/>
      </c>
      <c r="Q117" s="59"/>
      <c r="R117" s="87" t="str">
        <f t="shared" si="15"/>
        <v/>
      </c>
      <c r="S117" s="87" t="str">
        <f t="shared" si="16"/>
        <v/>
      </c>
      <c r="T117" s="59"/>
      <c r="U117" s="59"/>
      <c r="V117" s="59"/>
      <c r="W117" s="59"/>
      <c r="X117" s="93" t="str">
        <f t="shared" si="17"/>
        <v>D</v>
      </c>
    </row>
    <row r="118" spans="1:24" s="66" customFormat="1" x14ac:dyDescent="0.25">
      <c r="A118" s="53"/>
      <c r="B118" s="91" t="str">
        <f>IFERROR(VLOOKUP(A118,Lookup!A:B,2,0),"")</f>
        <v/>
      </c>
      <c r="C118" s="92" t="str">
        <f>IFERROR(VLOOKUP(A118,Lookup!A:C,3,0),"")</f>
        <v/>
      </c>
      <c r="D118" s="59"/>
      <c r="E118" s="59"/>
      <c r="F118" s="59"/>
      <c r="G118" s="94"/>
      <c r="H118" s="59"/>
      <c r="I118" s="59"/>
      <c r="J118" s="106">
        <f>VLOOKUP(A118&amp;G118,Lookup!J:N,5,0)</f>
        <v>0</v>
      </c>
      <c r="K118" s="110"/>
      <c r="L118" s="59"/>
      <c r="M118" s="59"/>
      <c r="N118" s="59"/>
      <c r="O118" s="112">
        <v>4.6423611111111098</v>
      </c>
      <c r="P118" s="110" t="str">
        <f t="shared" si="14"/>
        <v/>
      </c>
      <c r="Q118" s="59"/>
      <c r="R118" s="87" t="str">
        <f t="shared" si="15"/>
        <v/>
      </c>
      <c r="S118" s="87" t="str">
        <f t="shared" si="16"/>
        <v/>
      </c>
      <c r="T118" s="59"/>
      <c r="U118" s="59"/>
      <c r="V118" s="59"/>
      <c r="W118" s="59"/>
      <c r="X118" s="93" t="str">
        <f t="shared" si="17"/>
        <v>D</v>
      </c>
    </row>
    <row r="119" spans="1:24" s="66" customFormat="1" x14ac:dyDescent="0.25">
      <c r="A119" s="53"/>
      <c r="B119" s="91" t="str">
        <f>IFERROR(VLOOKUP(A119,Lookup!A:B,2,0),"")</f>
        <v/>
      </c>
      <c r="C119" s="92" t="str">
        <f>IFERROR(VLOOKUP(A119,Lookup!A:C,3,0),"")</f>
        <v/>
      </c>
      <c r="D119" s="59"/>
      <c r="E119" s="59"/>
      <c r="F119" s="59"/>
      <c r="G119" s="94"/>
      <c r="H119" s="59"/>
      <c r="I119" s="59"/>
      <c r="J119" s="106">
        <f>VLOOKUP(A119&amp;G119,Lookup!J:N,5,0)</f>
        <v>0</v>
      </c>
      <c r="K119" s="110"/>
      <c r="L119" s="59"/>
      <c r="M119" s="59"/>
      <c r="N119" s="59"/>
      <c r="O119" s="112">
        <v>4.6840277777777803</v>
      </c>
      <c r="P119" s="110" t="str">
        <f t="shared" si="14"/>
        <v/>
      </c>
      <c r="Q119" s="59"/>
      <c r="R119" s="87" t="str">
        <f t="shared" si="15"/>
        <v/>
      </c>
      <c r="S119" s="87" t="str">
        <f t="shared" si="16"/>
        <v/>
      </c>
      <c r="T119" s="59"/>
      <c r="U119" s="59"/>
      <c r="V119" s="59"/>
      <c r="W119" s="59"/>
      <c r="X119" s="93" t="str">
        <f t="shared" si="17"/>
        <v>D</v>
      </c>
    </row>
    <row r="120" spans="1:24" s="66" customFormat="1" x14ac:dyDescent="0.25">
      <c r="A120" s="53"/>
      <c r="B120" s="91" t="str">
        <f>IFERROR(VLOOKUP(A120,Lookup!A:B,2,0),"")</f>
        <v/>
      </c>
      <c r="C120" s="92" t="str">
        <f>IFERROR(VLOOKUP(A120,Lookup!A:C,3,0),"")</f>
        <v/>
      </c>
      <c r="D120" s="59"/>
      <c r="E120" s="59"/>
      <c r="F120" s="59"/>
      <c r="G120" s="94"/>
      <c r="H120" s="59"/>
      <c r="I120" s="59"/>
      <c r="J120" s="106">
        <f>VLOOKUP(A120&amp;G120,Lookup!J:N,5,0)</f>
        <v>0</v>
      </c>
      <c r="K120" s="110"/>
      <c r="L120" s="59"/>
      <c r="M120" s="59"/>
      <c r="N120" s="59"/>
      <c r="O120" s="112">
        <v>4.7256944444444402</v>
      </c>
      <c r="P120" s="110" t="str">
        <f t="shared" si="14"/>
        <v/>
      </c>
      <c r="Q120" s="59"/>
      <c r="R120" s="87" t="str">
        <f t="shared" si="15"/>
        <v/>
      </c>
      <c r="S120" s="87" t="str">
        <f t="shared" si="16"/>
        <v/>
      </c>
      <c r="T120" s="59"/>
      <c r="U120" s="59"/>
      <c r="V120" s="59"/>
      <c r="W120" s="59"/>
      <c r="X120" s="93" t="str">
        <f t="shared" si="17"/>
        <v>D</v>
      </c>
    </row>
    <row r="121" spans="1:24" s="66" customFormat="1" x14ac:dyDescent="0.25">
      <c r="A121" s="53"/>
      <c r="B121" s="91" t="str">
        <f>IFERROR(VLOOKUP(A121,Lookup!A:B,2,0),"")</f>
        <v/>
      </c>
      <c r="C121" s="92" t="str">
        <f>IFERROR(VLOOKUP(A121,Lookup!A:C,3,0),"")</f>
        <v/>
      </c>
      <c r="D121" s="59"/>
      <c r="E121" s="59"/>
      <c r="F121" s="59"/>
      <c r="G121" s="94"/>
      <c r="H121" s="59"/>
      <c r="I121" s="59"/>
      <c r="J121" s="106">
        <f>VLOOKUP(A121&amp;G121,Lookup!J:N,5,0)</f>
        <v>0</v>
      </c>
      <c r="K121" s="110"/>
      <c r="L121" s="59"/>
      <c r="M121" s="59"/>
      <c r="N121" s="59"/>
      <c r="O121" s="112">
        <v>4.7673611111111098</v>
      </c>
      <c r="P121" s="110" t="str">
        <f t="shared" si="14"/>
        <v/>
      </c>
      <c r="Q121" s="59"/>
      <c r="R121" s="87" t="str">
        <f t="shared" si="15"/>
        <v/>
      </c>
      <c r="S121" s="87" t="str">
        <f t="shared" si="16"/>
        <v/>
      </c>
      <c r="T121" s="59"/>
      <c r="U121" s="59"/>
      <c r="V121" s="59"/>
      <c r="W121" s="59"/>
      <c r="X121" s="93" t="str">
        <f t="shared" si="17"/>
        <v>D</v>
      </c>
    </row>
    <row r="122" spans="1:24" s="66" customFormat="1" x14ac:dyDescent="0.25">
      <c r="A122" s="53"/>
      <c r="B122" s="91" t="str">
        <f>IFERROR(VLOOKUP(A122,Lookup!A:B,2,0),"")</f>
        <v/>
      </c>
      <c r="C122" s="92" t="str">
        <f>IFERROR(VLOOKUP(A122,Lookup!A:C,3,0),"")</f>
        <v/>
      </c>
      <c r="D122" s="59"/>
      <c r="E122" s="59"/>
      <c r="F122" s="59"/>
      <c r="G122" s="94"/>
      <c r="H122" s="59"/>
      <c r="I122" s="59"/>
      <c r="J122" s="106">
        <f>VLOOKUP(A122&amp;G122,Lookup!J:N,5,0)</f>
        <v>0</v>
      </c>
      <c r="K122" s="110"/>
      <c r="L122" s="59"/>
      <c r="M122" s="59"/>
      <c r="N122" s="59"/>
      <c r="O122" s="112">
        <v>4.8090277777777803</v>
      </c>
      <c r="P122" s="110" t="str">
        <f t="shared" si="14"/>
        <v/>
      </c>
      <c r="Q122" s="59"/>
      <c r="R122" s="87" t="str">
        <f t="shared" si="15"/>
        <v/>
      </c>
      <c r="S122" s="87" t="str">
        <f t="shared" si="16"/>
        <v/>
      </c>
      <c r="T122" s="59"/>
      <c r="U122" s="59"/>
      <c r="V122" s="59"/>
      <c r="W122" s="59"/>
      <c r="X122" s="93" t="str">
        <f t="shared" si="17"/>
        <v>D</v>
      </c>
    </row>
    <row r="123" spans="1:24" s="66" customFormat="1" x14ac:dyDescent="0.25">
      <c r="A123" s="53"/>
      <c r="B123" s="91" t="str">
        <f>IFERROR(VLOOKUP(A123,Lookup!A:B,2,0),"")</f>
        <v/>
      </c>
      <c r="C123" s="92" t="str">
        <f>IFERROR(VLOOKUP(A123,Lookup!A:C,3,0),"")</f>
        <v/>
      </c>
      <c r="D123" s="59"/>
      <c r="E123" s="59"/>
      <c r="F123" s="59"/>
      <c r="G123" s="94"/>
      <c r="H123" s="59"/>
      <c r="I123" s="59"/>
      <c r="J123" s="106">
        <f>VLOOKUP(A123&amp;G123,Lookup!J:N,5,0)</f>
        <v>0</v>
      </c>
      <c r="K123" s="110"/>
      <c r="L123" s="59"/>
      <c r="M123" s="59"/>
      <c r="N123" s="59"/>
      <c r="O123" s="112">
        <v>4.8506944444444402</v>
      </c>
      <c r="P123" s="110" t="str">
        <f t="shared" si="14"/>
        <v/>
      </c>
      <c r="Q123" s="59"/>
      <c r="R123" s="87" t="str">
        <f t="shared" si="15"/>
        <v/>
      </c>
      <c r="S123" s="87" t="str">
        <f t="shared" si="16"/>
        <v/>
      </c>
      <c r="T123" s="59"/>
      <c r="U123" s="59"/>
      <c r="V123" s="59"/>
      <c r="W123" s="59"/>
      <c r="X123" s="93" t="str">
        <f t="shared" si="17"/>
        <v>D</v>
      </c>
    </row>
    <row r="124" spans="1:24" s="66" customFormat="1" x14ac:dyDescent="0.25">
      <c r="A124" s="53"/>
      <c r="B124" s="91" t="str">
        <f>IFERROR(VLOOKUP(A124,Lookup!A:B,2,0),"")</f>
        <v/>
      </c>
      <c r="C124" s="92" t="str">
        <f>IFERROR(VLOOKUP(A124,Lookup!A:C,3,0),"")</f>
        <v/>
      </c>
      <c r="D124" s="59"/>
      <c r="E124" s="59"/>
      <c r="F124" s="59"/>
      <c r="G124" s="94"/>
      <c r="H124" s="59"/>
      <c r="I124" s="59"/>
      <c r="J124" s="106">
        <f>VLOOKUP(A124&amp;G124,Lookup!J:N,5,0)</f>
        <v>0</v>
      </c>
      <c r="K124" s="110"/>
      <c r="L124" s="59"/>
      <c r="M124" s="59"/>
      <c r="N124" s="59"/>
      <c r="O124" s="112">
        <v>4.8923611111111098</v>
      </c>
      <c r="P124" s="110" t="str">
        <f t="shared" si="14"/>
        <v/>
      </c>
      <c r="Q124" s="59"/>
      <c r="R124" s="87" t="str">
        <f t="shared" si="15"/>
        <v/>
      </c>
      <c r="S124" s="87" t="str">
        <f t="shared" si="16"/>
        <v/>
      </c>
      <c r="T124" s="59"/>
      <c r="U124" s="59"/>
      <c r="V124" s="59"/>
      <c r="W124" s="59"/>
      <c r="X124" s="93" t="str">
        <f t="shared" si="17"/>
        <v>D</v>
      </c>
    </row>
    <row r="125" spans="1:24" s="66" customFormat="1" x14ac:dyDescent="0.25">
      <c r="A125" s="53"/>
      <c r="B125" s="91" t="str">
        <f>IFERROR(VLOOKUP(A125,Lookup!A:B,2,0),"")</f>
        <v/>
      </c>
      <c r="C125" s="92" t="str">
        <f>IFERROR(VLOOKUP(A125,Lookup!A:C,3,0),"")</f>
        <v/>
      </c>
      <c r="D125" s="59"/>
      <c r="E125" s="59"/>
      <c r="F125" s="59"/>
      <c r="G125" s="94"/>
      <c r="H125" s="59"/>
      <c r="I125" s="59"/>
      <c r="J125" s="106">
        <f>VLOOKUP(A125&amp;G125,Lookup!J:N,5,0)</f>
        <v>0</v>
      </c>
      <c r="K125" s="110"/>
      <c r="L125" s="59"/>
      <c r="M125" s="59"/>
      <c r="N125" s="59"/>
      <c r="O125" s="112">
        <v>4.9340277777777803</v>
      </c>
      <c r="P125" s="110" t="str">
        <f t="shared" si="14"/>
        <v/>
      </c>
      <c r="Q125" s="59"/>
      <c r="R125" s="87" t="str">
        <f t="shared" si="15"/>
        <v/>
      </c>
      <c r="S125" s="87" t="str">
        <f t="shared" si="16"/>
        <v/>
      </c>
      <c r="T125" s="59"/>
      <c r="U125" s="59"/>
      <c r="V125" s="59"/>
      <c r="W125" s="59"/>
      <c r="X125" s="93" t="str">
        <f t="shared" si="17"/>
        <v>D</v>
      </c>
    </row>
    <row r="126" spans="1:24" s="66" customFormat="1" x14ac:dyDescent="0.25">
      <c r="A126" s="53"/>
      <c r="B126" s="91" t="str">
        <f>IFERROR(VLOOKUP(A126,Lookup!A:B,2,0),"")</f>
        <v/>
      </c>
      <c r="C126" s="92" t="str">
        <f>IFERROR(VLOOKUP(A126,Lookup!A:C,3,0),"")</f>
        <v/>
      </c>
      <c r="D126" s="59"/>
      <c r="E126" s="59"/>
      <c r="F126" s="59"/>
      <c r="G126" s="94"/>
      <c r="H126" s="59"/>
      <c r="I126" s="59"/>
      <c r="J126" s="106">
        <f>VLOOKUP(A126&amp;G126,Lookup!J:N,5,0)</f>
        <v>0</v>
      </c>
      <c r="K126" s="110"/>
      <c r="L126" s="59"/>
      <c r="M126" s="59"/>
      <c r="N126" s="59"/>
      <c r="O126" s="112">
        <v>4.9756944444444402</v>
      </c>
      <c r="P126" s="110" t="str">
        <f t="shared" si="14"/>
        <v/>
      </c>
      <c r="Q126" s="59"/>
      <c r="R126" s="87" t="str">
        <f t="shared" si="15"/>
        <v/>
      </c>
      <c r="S126" s="87" t="str">
        <f t="shared" si="16"/>
        <v/>
      </c>
      <c r="T126" s="59"/>
      <c r="U126" s="59"/>
      <c r="V126" s="59"/>
      <c r="W126" s="59"/>
      <c r="X126" s="93" t="str">
        <f t="shared" si="17"/>
        <v>D</v>
      </c>
    </row>
    <row r="127" spans="1:24" s="66" customFormat="1" x14ac:dyDescent="0.25">
      <c r="A127" s="53"/>
      <c r="B127" s="91" t="str">
        <f>IFERROR(VLOOKUP(A127,Lookup!A:B,2,0),"")</f>
        <v/>
      </c>
      <c r="C127" s="92" t="str">
        <f>IFERROR(VLOOKUP(A127,Lookup!A:C,3,0),"")</f>
        <v/>
      </c>
      <c r="D127" s="59"/>
      <c r="E127" s="59"/>
      <c r="F127" s="59"/>
      <c r="G127" s="94"/>
      <c r="H127" s="59"/>
      <c r="I127" s="59"/>
      <c r="J127" s="106">
        <f>VLOOKUP(A127&amp;G127,Lookup!J:N,5,0)</f>
        <v>0</v>
      </c>
      <c r="K127" s="110"/>
      <c r="L127" s="59"/>
      <c r="M127" s="59"/>
      <c r="N127" s="59"/>
      <c r="O127" s="112">
        <v>5.0173611111111098</v>
      </c>
      <c r="P127" s="110" t="str">
        <f t="shared" si="14"/>
        <v/>
      </c>
      <c r="Q127" s="59"/>
      <c r="R127" s="87" t="str">
        <f t="shared" si="15"/>
        <v/>
      </c>
      <c r="S127" s="87" t="str">
        <f t="shared" si="16"/>
        <v/>
      </c>
      <c r="T127" s="59"/>
      <c r="U127" s="59"/>
      <c r="V127" s="59"/>
      <c r="W127" s="59"/>
      <c r="X127" s="93" t="str">
        <f t="shared" si="17"/>
        <v>D</v>
      </c>
    </row>
    <row r="128" spans="1:24" s="66" customFormat="1" x14ac:dyDescent="0.25">
      <c r="A128" s="53"/>
      <c r="B128" s="91" t="str">
        <f>IFERROR(VLOOKUP(A128,Lookup!A:B,2,0),"")</f>
        <v/>
      </c>
      <c r="C128" s="92" t="str">
        <f>IFERROR(VLOOKUP(A128,Lookup!A:C,3,0),"")</f>
        <v/>
      </c>
      <c r="D128" s="59"/>
      <c r="E128" s="59"/>
      <c r="F128" s="59"/>
      <c r="G128" s="94"/>
      <c r="H128" s="59"/>
      <c r="I128" s="59"/>
      <c r="J128" s="106">
        <f>VLOOKUP(A128&amp;G128,Lookup!J:N,5,0)</f>
        <v>0</v>
      </c>
      <c r="K128" s="110"/>
      <c r="L128" s="59"/>
      <c r="M128" s="59"/>
      <c r="N128" s="59"/>
      <c r="O128" s="112">
        <v>5.0590277777777803</v>
      </c>
      <c r="P128" s="110" t="str">
        <f t="shared" si="14"/>
        <v/>
      </c>
      <c r="Q128" s="59"/>
      <c r="R128" s="87" t="str">
        <f t="shared" si="15"/>
        <v/>
      </c>
      <c r="S128" s="87" t="str">
        <f t="shared" si="16"/>
        <v/>
      </c>
      <c r="T128" s="59"/>
      <c r="U128" s="59"/>
      <c r="V128" s="59"/>
      <c r="W128" s="59"/>
      <c r="X128" s="93" t="str">
        <f t="shared" si="17"/>
        <v>D</v>
      </c>
    </row>
    <row r="129" spans="1:24" s="66" customFormat="1" x14ac:dyDescent="0.25">
      <c r="A129" s="53"/>
      <c r="B129" s="91" t="str">
        <f>IFERROR(VLOOKUP(A129,Lookup!A:B,2,0),"")</f>
        <v/>
      </c>
      <c r="C129" s="92" t="str">
        <f>IFERROR(VLOOKUP(A129,Lookup!A:C,3,0),"")</f>
        <v/>
      </c>
      <c r="D129" s="59"/>
      <c r="E129" s="59"/>
      <c r="F129" s="59"/>
      <c r="G129" s="94"/>
      <c r="H129" s="59"/>
      <c r="I129" s="59"/>
      <c r="J129" s="106">
        <f>VLOOKUP(A129&amp;G129,Lookup!J:N,5,0)</f>
        <v>0</v>
      </c>
      <c r="K129" s="110"/>
      <c r="L129" s="59"/>
      <c r="M129" s="59"/>
      <c r="N129" s="59"/>
      <c r="O129" s="112">
        <v>5.1006944444444402</v>
      </c>
      <c r="P129" s="110" t="str">
        <f t="shared" si="14"/>
        <v/>
      </c>
      <c r="Q129" s="59"/>
      <c r="R129" s="87" t="str">
        <f t="shared" si="15"/>
        <v/>
      </c>
      <c r="S129" s="87" t="str">
        <f t="shared" si="16"/>
        <v/>
      </c>
      <c r="T129" s="59"/>
      <c r="U129" s="59"/>
      <c r="V129" s="59"/>
      <c r="W129" s="59"/>
      <c r="X129" s="93" t="str">
        <f t="shared" si="17"/>
        <v>D</v>
      </c>
    </row>
    <row r="130" spans="1:24" s="66" customFormat="1" x14ac:dyDescent="0.25">
      <c r="A130" s="53"/>
      <c r="B130" s="91" t="str">
        <f>IFERROR(VLOOKUP(A130,Lookup!A:B,2,0),"")</f>
        <v/>
      </c>
      <c r="C130" s="92" t="str">
        <f>IFERROR(VLOOKUP(A130,Lookup!A:C,3,0),"")</f>
        <v/>
      </c>
      <c r="D130" s="59"/>
      <c r="E130" s="59"/>
      <c r="F130" s="59"/>
      <c r="G130" s="94"/>
      <c r="H130" s="59"/>
      <c r="I130" s="59"/>
      <c r="J130" s="106">
        <f>VLOOKUP(A130&amp;G130,Lookup!J:N,5,0)</f>
        <v>0</v>
      </c>
      <c r="K130" s="110"/>
      <c r="L130" s="59"/>
      <c r="M130" s="59"/>
      <c r="N130" s="59"/>
      <c r="O130" s="112">
        <v>5.1423611111111098</v>
      </c>
      <c r="P130" s="110" t="str">
        <f t="shared" si="14"/>
        <v/>
      </c>
      <c r="Q130" s="59"/>
      <c r="R130" s="87" t="str">
        <f t="shared" si="15"/>
        <v/>
      </c>
      <c r="S130" s="87" t="str">
        <f t="shared" si="16"/>
        <v/>
      </c>
      <c r="T130" s="59"/>
      <c r="U130" s="59"/>
      <c r="V130" s="59"/>
      <c r="W130" s="59"/>
      <c r="X130" s="93" t="str">
        <f t="shared" si="17"/>
        <v>D</v>
      </c>
    </row>
    <row r="131" spans="1:24" s="66" customFormat="1" x14ac:dyDescent="0.25">
      <c r="A131" s="53"/>
      <c r="B131" s="91" t="str">
        <f>IFERROR(VLOOKUP(A131,Lookup!A:B,2,0),"")</f>
        <v/>
      </c>
      <c r="C131" s="92" t="str">
        <f>IFERROR(VLOOKUP(A131,Lookup!A:C,3,0),"")</f>
        <v/>
      </c>
      <c r="D131" s="59"/>
      <c r="E131" s="59"/>
      <c r="F131" s="59"/>
      <c r="G131" s="94"/>
      <c r="H131" s="59"/>
      <c r="I131" s="59"/>
      <c r="J131" s="106">
        <f>VLOOKUP(A131&amp;G131,Lookup!J:N,5,0)</f>
        <v>0</v>
      </c>
      <c r="K131" s="110"/>
      <c r="L131" s="59"/>
      <c r="M131" s="59"/>
      <c r="N131" s="59"/>
      <c r="O131" s="112">
        <v>5.1840277777777803</v>
      </c>
      <c r="P131" s="110" t="str">
        <f t="shared" ref="P131:P194" si="18">IF(N131="","",N131+O131)</f>
        <v/>
      </c>
      <c r="Q131" s="59"/>
      <c r="R131" s="87" t="str">
        <f t="shared" si="15"/>
        <v/>
      </c>
      <c r="S131" s="87" t="str">
        <f t="shared" si="16"/>
        <v/>
      </c>
      <c r="T131" s="59"/>
      <c r="U131" s="59"/>
      <c r="V131" s="59"/>
      <c r="W131" s="59"/>
      <c r="X131" s="93" t="str">
        <f t="shared" ref="X131:X194" si="19">IF(I131="SET","A",IF(I131="FREQ","C",IF(I131="","D","B")))</f>
        <v>D</v>
      </c>
    </row>
    <row r="132" spans="1:24" s="66" customFormat="1" x14ac:dyDescent="0.25">
      <c r="A132" s="53"/>
      <c r="B132" s="91" t="str">
        <f>IFERROR(VLOOKUP(A132,Lookup!A:B,2,0),"")</f>
        <v/>
      </c>
      <c r="C132" s="92" t="str">
        <f>IFERROR(VLOOKUP(A132,Lookup!A:C,3,0),"")</f>
        <v/>
      </c>
      <c r="D132" s="59"/>
      <c r="E132" s="59"/>
      <c r="F132" s="59"/>
      <c r="G132" s="94"/>
      <c r="H132" s="59"/>
      <c r="I132" s="59"/>
      <c r="J132" s="106">
        <f>VLOOKUP(A132&amp;G132,Lookup!J:N,5,0)</f>
        <v>0</v>
      </c>
      <c r="K132" s="110"/>
      <c r="L132" s="59"/>
      <c r="M132" s="59"/>
      <c r="N132" s="59"/>
      <c r="O132" s="112">
        <v>5.2256944444444402</v>
      </c>
      <c r="P132" s="110" t="str">
        <f t="shared" si="18"/>
        <v/>
      </c>
      <c r="Q132" s="59"/>
      <c r="R132" s="87" t="str">
        <f t="shared" si="15"/>
        <v/>
      </c>
      <c r="S132" s="87" t="str">
        <f t="shared" si="16"/>
        <v/>
      </c>
      <c r="T132" s="59"/>
      <c r="U132" s="59"/>
      <c r="V132" s="59"/>
      <c r="W132" s="59"/>
      <c r="X132" s="93" t="str">
        <f t="shared" si="19"/>
        <v>D</v>
      </c>
    </row>
    <row r="133" spans="1:24" s="66" customFormat="1" x14ac:dyDescent="0.25">
      <c r="A133" s="53"/>
      <c r="B133" s="91" t="str">
        <f>IFERROR(VLOOKUP(A133,Lookup!A:B,2,0),"")</f>
        <v/>
      </c>
      <c r="C133" s="92" t="str">
        <f>IFERROR(VLOOKUP(A133,Lookup!A:C,3,0),"")</f>
        <v/>
      </c>
      <c r="D133" s="59"/>
      <c r="E133" s="59"/>
      <c r="F133" s="59"/>
      <c r="G133" s="94"/>
      <c r="H133" s="59"/>
      <c r="I133" s="59"/>
      <c r="J133" s="106">
        <f>VLOOKUP(A133&amp;G133,Lookup!J:N,5,0)</f>
        <v>0</v>
      </c>
      <c r="K133" s="110"/>
      <c r="L133" s="59"/>
      <c r="M133" s="59"/>
      <c r="N133" s="59"/>
      <c r="O133" s="112">
        <v>5.2673611111111098</v>
      </c>
      <c r="P133" s="110" t="str">
        <f t="shared" si="18"/>
        <v/>
      </c>
      <c r="Q133" s="59"/>
      <c r="R133" s="87" t="str">
        <f t="shared" si="15"/>
        <v/>
      </c>
      <c r="S133" s="87" t="str">
        <f t="shared" si="16"/>
        <v/>
      </c>
      <c r="T133" s="59"/>
      <c r="U133" s="59"/>
      <c r="V133" s="59"/>
      <c r="W133" s="59"/>
      <c r="X133" s="93" t="str">
        <f t="shared" si="19"/>
        <v>D</v>
      </c>
    </row>
    <row r="134" spans="1:24" s="66" customFormat="1" x14ac:dyDescent="0.25">
      <c r="A134" s="53"/>
      <c r="B134" s="91" t="str">
        <f>IFERROR(VLOOKUP(A134,Lookup!A:B,2,0),"")</f>
        <v/>
      </c>
      <c r="C134" s="92" t="str">
        <f>IFERROR(VLOOKUP(A134,Lookup!A:C,3,0),"")</f>
        <v/>
      </c>
      <c r="D134" s="59"/>
      <c r="E134" s="59"/>
      <c r="F134" s="59"/>
      <c r="G134" s="94"/>
      <c r="H134" s="59"/>
      <c r="I134" s="59"/>
      <c r="J134" s="106">
        <f>VLOOKUP(A134&amp;G134,Lookup!J:N,5,0)</f>
        <v>0</v>
      </c>
      <c r="K134" s="110"/>
      <c r="L134" s="59"/>
      <c r="M134" s="59"/>
      <c r="N134" s="59"/>
      <c r="O134" s="112">
        <v>5.3090277777777803</v>
      </c>
      <c r="P134" s="110" t="str">
        <f t="shared" si="18"/>
        <v/>
      </c>
      <c r="Q134" s="59"/>
      <c r="R134" s="87" t="str">
        <f t="shared" si="15"/>
        <v/>
      </c>
      <c r="S134" s="87" t="str">
        <f t="shared" si="16"/>
        <v/>
      </c>
      <c r="T134" s="59"/>
      <c r="U134" s="59"/>
      <c r="V134" s="59"/>
      <c r="W134" s="59"/>
      <c r="X134" s="93" t="str">
        <f t="shared" si="19"/>
        <v>D</v>
      </c>
    </row>
    <row r="135" spans="1:24" s="66" customFormat="1" x14ac:dyDescent="0.25">
      <c r="A135" s="53"/>
      <c r="B135" s="91" t="str">
        <f>IFERROR(VLOOKUP(A135,Lookup!A:B,2,0),"")</f>
        <v/>
      </c>
      <c r="C135" s="92" t="str">
        <f>IFERROR(VLOOKUP(A135,Lookup!A:C,3,0),"")</f>
        <v/>
      </c>
      <c r="D135" s="59"/>
      <c r="E135" s="59"/>
      <c r="F135" s="59"/>
      <c r="G135" s="94"/>
      <c r="H135" s="59"/>
      <c r="I135" s="59"/>
      <c r="J135" s="106">
        <f>VLOOKUP(A135&amp;G135,Lookup!J:N,5,0)</f>
        <v>0</v>
      </c>
      <c r="K135" s="110"/>
      <c r="L135" s="59"/>
      <c r="M135" s="59"/>
      <c r="N135" s="59"/>
      <c r="O135" s="112">
        <v>5.3506944444444402</v>
      </c>
      <c r="P135" s="110" t="str">
        <f t="shared" si="18"/>
        <v/>
      </c>
      <c r="Q135" s="59"/>
      <c r="R135" s="87" t="str">
        <f t="shared" ref="R135:R198" si="20">IF(OR(EXACT(N135,""), EXACT(L135,"")),"",N135-L135)</f>
        <v/>
      </c>
      <c r="S135" s="87" t="str">
        <f t="shared" ref="S135:S198" si="21">IF(OR(EXACT(Q135,""), EXACT(L135,"")),"",Q135-L135)</f>
        <v/>
      </c>
      <c r="T135" s="59"/>
      <c r="U135" s="59"/>
      <c r="V135" s="59"/>
      <c r="W135" s="59"/>
      <c r="X135" s="93" t="str">
        <f t="shared" si="19"/>
        <v>D</v>
      </c>
    </row>
    <row r="136" spans="1:24" s="66" customFormat="1" x14ac:dyDescent="0.25">
      <c r="A136" s="53"/>
      <c r="B136" s="91" t="str">
        <f>IFERROR(VLOOKUP(A136,Lookup!A:B,2,0),"")</f>
        <v/>
      </c>
      <c r="C136" s="92" t="str">
        <f>IFERROR(VLOOKUP(A136,Lookup!A:C,3,0),"")</f>
        <v/>
      </c>
      <c r="D136" s="59"/>
      <c r="E136" s="59"/>
      <c r="F136" s="59"/>
      <c r="G136" s="94"/>
      <c r="H136" s="59"/>
      <c r="I136" s="59"/>
      <c r="J136" s="106">
        <f>VLOOKUP(A136&amp;G136,Lookup!J:N,5,0)</f>
        <v>0</v>
      </c>
      <c r="K136" s="110"/>
      <c r="L136" s="59"/>
      <c r="M136" s="59"/>
      <c r="N136" s="59"/>
      <c r="O136" s="112">
        <v>5.3923611111111098</v>
      </c>
      <c r="P136" s="110" t="str">
        <f t="shared" si="18"/>
        <v/>
      </c>
      <c r="Q136" s="59"/>
      <c r="R136" s="87" t="str">
        <f t="shared" si="20"/>
        <v/>
      </c>
      <c r="S136" s="87" t="str">
        <f t="shared" si="21"/>
        <v/>
      </c>
      <c r="T136" s="59"/>
      <c r="U136" s="59"/>
      <c r="V136" s="59"/>
      <c r="W136" s="59"/>
      <c r="X136" s="93" t="str">
        <f t="shared" si="19"/>
        <v>D</v>
      </c>
    </row>
    <row r="137" spans="1:24" s="66" customFormat="1" x14ac:dyDescent="0.25">
      <c r="A137" s="53"/>
      <c r="B137" s="91" t="str">
        <f>IFERROR(VLOOKUP(A137,Lookup!A:B,2,0),"")</f>
        <v/>
      </c>
      <c r="C137" s="92" t="str">
        <f>IFERROR(VLOOKUP(A137,Lookup!A:C,3,0),"")</f>
        <v/>
      </c>
      <c r="D137" s="59"/>
      <c r="E137" s="59"/>
      <c r="F137" s="59"/>
      <c r="G137" s="94"/>
      <c r="H137" s="59"/>
      <c r="I137" s="59"/>
      <c r="J137" s="106">
        <f>VLOOKUP(A137&amp;G137,Lookup!J:N,5,0)</f>
        <v>0</v>
      </c>
      <c r="K137" s="110"/>
      <c r="L137" s="59"/>
      <c r="M137" s="59"/>
      <c r="N137" s="59"/>
      <c r="O137" s="112">
        <v>5.4340277777777803</v>
      </c>
      <c r="P137" s="110" t="str">
        <f t="shared" si="18"/>
        <v/>
      </c>
      <c r="Q137" s="59"/>
      <c r="R137" s="87" t="str">
        <f t="shared" si="20"/>
        <v/>
      </c>
      <c r="S137" s="87" t="str">
        <f t="shared" si="21"/>
        <v/>
      </c>
      <c r="T137" s="59"/>
      <c r="U137" s="59"/>
      <c r="V137" s="59"/>
      <c r="W137" s="59"/>
      <c r="X137" s="93" t="str">
        <f t="shared" si="19"/>
        <v>D</v>
      </c>
    </row>
    <row r="138" spans="1:24" s="66" customFormat="1" x14ac:dyDescent="0.25">
      <c r="A138" s="53"/>
      <c r="B138" s="91" t="str">
        <f>IFERROR(VLOOKUP(A138,Lookup!A:B,2,0),"")</f>
        <v/>
      </c>
      <c r="C138" s="92" t="str">
        <f>IFERROR(VLOOKUP(A138,Lookup!A:C,3,0),"")</f>
        <v/>
      </c>
      <c r="D138" s="59"/>
      <c r="E138" s="59"/>
      <c r="F138" s="59"/>
      <c r="G138" s="94"/>
      <c r="H138" s="59"/>
      <c r="I138" s="59"/>
      <c r="J138" s="106">
        <f>VLOOKUP(A138&amp;G138,Lookup!J:N,5,0)</f>
        <v>0</v>
      </c>
      <c r="K138" s="110"/>
      <c r="L138" s="59"/>
      <c r="M138" s="59"/>
      <c r="N138" s="59"/>
      <c r="O138" s="112">
        <v>5.4756944444444402</v>
      </c>
      <c r="P138" s="110" t="str">
        <f t="shared" si="18"/>
        <v/>
      </c>
      <c r="Q138" s="59"/>
      <c r="R138" s="87" t="str">
        <f t="shared" si="20"/>
        <v/>
      </c>
      <c r="S138" s="87" t="str">
        <f t="shared" si="21"/>
        <v/>
      </c>
      <c r="T138" s="59"/>
      <c r="U138" s="59"/>
      <c r="V138" s="59"/>
      <c r="W138" s="59"/>
      <c r="X138" s="93" t="str">
        <f t="shared" si="19"/>
        <v>D</v>
      </c>
    </row>
    <row r="139" spans="1:24" s="66" customFormat="1" x14ac:dyDescent="0.25">
      <c r="A139" s="53"/>
      <c r="B139" s="91" t="str">
        <f>IFERROR(VLOOKUP(A139,Lookup!A:B,2,0),"")</f>
        <v/>
      </c>
      <c r="C139" s="92" t="str">
        <f>IFERROR(VLOOKUP(A139,Lookup!A:C,3,0),"")</f>
        <v/>
      </c>
      <c r="D139" s="59"/>
      <c r="E139" s="59"/>
      <c r="F139" s="59"/>
      <c r="G139" s="94"/>
      <c r="H139" s="59"/>
      <c r="I139" s="59"/>
      <c r="J139" s="106">
        <f>VLOOKUP(A139&amp;G139,Lookup!J:N,5,0)</f>
        <v>0</v>
      </c>
      <c r="K139" s="110"/>
      <c r="L139" s="59"/>
      <c r="M139" s="59"/>
      <c r="N139" s="59"/>
      <c r="O139" s="112">
        <v>5.5173611111111098</v>
      </c>
      <c r="P139" s="110" t="str">
        <f t="shared" si="18"/>
        <v/>
      </c>
      <c r="Q139" s="59"/>
      <c r="R139" s="87" t="str">
        <f t="shared" si="20"/>
        <v/>
      </c>
      <c r="S139" s="87" t="str">
        <f t="shared" si="21"/>
        <v/>
      </c>
      <c r="T139" s="59"/>
      <c r="U139" s="59"/>
      <c r="V139" s="59"/>
      <c r="W139" s="59"/>
      <c r="X139" s="93" t="str">
        <f t="shared" si="19"/>
        <v>D</v>
      </c>
    </row>
    <row r="140" spans="1:24" s="66" customFormat="1" x14ac:dyDescent="0.25">
      <c r="A140" s="53"/>
      <c r="B140" s="91" t="str">
        <f>IFERROR(VLOOKUP(A140,Lookup!A:B,2,0),"")</f>
        <v/>
      </c>
      <c r="C140" s="92" t="str">
        <f>IFERROR(VLOOKUP(A140,Lookup!A:C,3,0),"")</f>
        <v/>
      </c>
      <c r="D140" s="59"/>
      <c r="E140" s="59"/>
      <c r="F140" s="59"/>
      <c r="G140" s="94"/>
      <c r="H140" s="59"/>
      <c r="I140" s="59"/>
      <c r="J140" s="106">
        <f>VLOOKUP(A140&amp;G140,Lookup!J:N,5,0)</f>
        <v>0</v>
      </c>
      <c r="K140" s="110"/>
      <c r="L140" s="59"/>
      <c r="M140" s="59"/>
      <c r="N140" s="59"/>
      <c r="O140" s="112">
        <v>5.5590277777777803</v>
      </c>
      <c r="P140" s="110" t="str">
        <f t="shared" si="18"/>
        <v/>
      </c>
      <c r="Q140" s="59"/>
      <c r="R140" s="87" t="str">
        <f t="shared" si="20"/>
        <v/>
      </c>
      <c r="S140" s="87" t="str">
        <f t="shared" si="21"/>
        <v/>
      </c>
      <c r="T140" s="59"/>
      <c r="U140" s="59"/>
      <c r="V140" s="59"/>
      <c r="W140" s="59"/>
      <c r="X140" s="93" t="str">
        <f t="shared" si="19"/>
        <v>D</v>
      </c>
    </row>
    <row r="141" spans="1:24" s="66" customFormat="1" x14ac:dyDescent="0.25">
      <c r="A141" s="53"/>
      <c r="B141" s="91" t="str">
        <f>IFERROR(VLOOKUP(A141,Lookup!A:B,2,0),"")</f>
        <v/>
      </c>
      <c r="C141" s="92" t="str">
        <f>IFERROR(VLOOKUP(A141,Lookup!A:C,3,0),"")</f>
        <v/>
      </c>
      <c r="D141" s="59"/>
      <c r="E141" s="59"/>
      <c r="F141" s="59"/>
      <c r="G141" s="94"/>
      <c r="H141" s="59"/>
      <c r="I141" s="59"/>
      <c r="J141" s="106">
        <f>VLOOKUP(A141&amp;G141,Lookup!J:N,5,0)</f>
        <v>0</v>
      </c>
      <c r="K141" s="110"/>
      <c r="L141" s="59"/>
      <c r="M141" s="59"/>
      <c r="N141" s="59"/>
      <c r="O141" s="112">
        <v>5.6006944444444402</v>
      </c>
      <c r="P141" s="110" t="str">
        <f t="shared" si="18"/>
        <v/>
      </c>
      <c r="Q141" s="59"/>
      <c r="R141" s="87" t="str">
        <f t="shared" si="20"/>
        <v/>
      </c>
      <c r="S141" s="87" t="str">
        <f t="shared" si="21"/>
        <v/>
      </c>
      <c r="T141" s="59"/>
      <c r="U141" s="59"/>
      <c r="V141" s="59"/>
      <c r="W141" s="59"/>
      <c r="X141" s="93" t="str">
        <f t="shared" si="19"/>
        <v>D</v>
      </c>
    </row>
    <row r="142" spans="1:24" s="66" customFormat="1" x14ac:dyDescent="0.25">
      <c r="A142" s="53"/>
      <c r="B142" s="91" t="str">
        <f>IFERROR(VLOOKUP(A142,Lookup!A:B,2,0),"")</f>
        <v/>
      </c>
      <c r="C142" s="92" t="str">
        <f>IFERROR(VLOOKUP(A142,Lookup!A:C,3,0),"")</f>
        <v/>
      </c>
      <c r="D142" s="59"/>
      <c r="E142" s="59"/>
      <c r="F142" s="59"/>
      <c r="G142" s="94"/>
      <c r="H142" s="59"/>
      <c r="I142" s="59"/>
      <c r="J142" s="106">
        <f>VLOOKUP(A142&amp;G142,Lookup!J:N,5,0)</f>
        <v>0</v>
      </c>
      <c r="K142" s="110"/>
      <c r="L142" s="59"/>
      <c r="M142" s="59"/>
      <c r="N142" s="59"/>
      <c r="O142" s="112">
        <v>5.6423611111111098</v>
      </c>
      <c r="P142" s="110" t="str">
        <f t="shared" si="18"/>
        <v/>
      </c>
      <c r="Q142" s="59"/>
      <c r="R142" s="87" t="str">
        <f t="shared" si="20"/>
        <v/>
      </c>
      <c r="S142" s="87" t="str">
        <f t="shared" si="21"/>
        <v/>
      </c>
      <c r="T142" s="59"/>
      <c r="U142" s="59"/>
      <c r="V142" s="59"/>
      <c r="W142" s="59"/>
      <c r="X142" s="93" t="str">
        <f t="shared" si="19"/>
        <v>D</v>
      </c>
    </row>
    <row r="143" spans="1:24" s="66" customFormat="1" x14ac:dyDescent="0.25">
      <c r="A143" s="53"/>
      <c r="B143" s="91" t="str">
        <f>IFERROR(VLOOKUP(A143,Lookup!A:B,2,0),"")</f>
        <v/>
      </c>
      <c r="C143" s="92" t="str">
        <f>IFERROR(VLOOKUP(A143,Lookup!A:C,3,0),"")</f>
        <v/>
      </c>
      <c r="D143" s="59"/>
      <c r="E143" s="59"/>
      <c r="F143" s="59"/>
      <c r="G143" s="94"/>
      <c r="H143" s="59"/>
      <c r="I143" s="59"/>
      <c r="J143" s="106">
        <f>VLOOKUP(A143&amp;G143,Lookup!J:N,5,0)</f>
        <v>0</v>
      </c>
      <c r="K143" s="110"/>
      <c r="L143" s="59"/>
      <c r="M143" s="59"/>
      <c r="N143" s="59"/>
      <c r="O143" s="112">
        <v>5.6840277777777803</v>
      </c>
      <c r="P143" s="110" t="str">
        <f t="shared" si="18"/>
        <v/>
      </c>
      <c r="Q143" s="59"/>
      <c r="R143" s="87" t="str">
        <f t="shared" si="20"/>
        <v/>
      </c>
      <c r="S143" s="87" t="str">
        <f t="shared" si="21"/>
        <v/>
      </c>
      <c r="T143" s="59"/>
      <c r="U143" s="59"/>
      <c r="V143" s="59"/>
      <c r="W143" s="59"/>
      <c r="X143" s="93" t="str">
        <f t="shared" si="19"/>
        <v>D</v>
      </c>
    </row>
    <row r="144" spans="1:24" s="66" customFormat="1" x14ac:dyDescent="0.25">
      <c r="A144" s="53"/>
      <c r="B144" s="91" t="str">
        <f>IFERROR(VLOOKUP(A144,Lookup!A:B,2,0),"")</f>
        <v/>
      </c>
      <c r="C144" s="92" t="str">
        <f>IFERROR(VLOOKUP(A144,Lookup!A:C,3,0),"")</f>
        <v/>
      </c>
      <c r="D144" s="59"/>
      <c r="E144" s="59"/>
      <c r="F144" s="59"/>
      <c r="G144" s="94"/>
      <c r="H144" s="59"/>
      <c r="I144" s="59"/>
      <c r="J144" s="106">
        <f>VLOOKUP(A144&amp;G144,Lookup!J:N,5,0)</f>
        <v>0</v>
      </c>
      <c r="K144" s="110"/>
      <c r="L144" s="59"/>
      <c r="M144" s="59"/>
      <c r="N144" s="59"/>
      <c r="O144" s="112">
        <v>5.7256944444444402</v>
      </c>
      <c r="P144" s="110" t="str">
        <f t="shared" si="18"/>
        <v/>
      </c>
      <c r="Q144" s="59"/>
      <c r="R144" s="87" t="str">
        <f t="shared" si="20"/>
        <v/>
      </c>
      <c r="S144" s="87" t="str">
        <f t="shared" si="21"/>
        <v/>
      </c>
      <c r="T144" s="59"/>
      <c r="U144" s="59"/>
      <c r="V144" s="59"/>
      <c r="W144" s="59"/>
      <c r="X144" s="93" t="str">
        <f t="shared" si="19"/>
        <v>D</v>
      </c>
    </row>
    <row r="145" spans="1:24" s="66" customFormat="1" x14ac:dyDescent="0.25">
      <c r="A145" s="53"/>
      <c r="B145" s="91" t="str">
        <f>IFERROR(VLOOKUP(A145,Lookup!A:B,2,0),"")</f>
        <v/>
      </c>
      <c r="C145" s="92" t="str">
        <f>IFERROR(VLOOKUP(A145,Lookup!A:C,3,0),"")</f>
        <v/>
      </c>
      <c r="D145" s="59"/>
      <c r="E145" s="59"/>
      <c r="F145" s="59"/>
      <c r="G145" s="94"/>
      <c r="H145" s="59"/>
      <c r="I145" s="59"/>
      <c r="J145" s="106">
        <f>VLOOKUP(A145&amp;G145,Lookup!J:N,5,0)</f>
        <v>0</v>
      </c>
      <c r="K145" s="110"/>
      <c r="L145" s="59"/>
      <c r="M145" s="59"/>
      <c r="N145" s="59"/>
      <c r="O145" s="112">
        <v>5.7673611111111098</v>
      </c>
      <c r="P145" s="110" t="str">
        <f t="shared" si="18"/>
        <v/>
      </c>
      <c r="Q145" s="59"/>
      <c r="R145" s="87" t="str">
        <f t="shared" si="20"/>
        <v/>
      </c>
      <c r="S145" s="87" t="str">
        <f t="shared" si="21"/>
        <v/>
      </c>
      <c r="T145" s="59"/>
      <c r="U145" s="59"/>
      <c r="V145" s="59"/>
      <c r="W145" s="59"/>
      <c r="X145" s="93" t="str">
        <f t="shared" si="19"/>
        <v>D</v>
      </c>
    </row>
    <row r="146" spans="1:24" s="66" customFormat="1" x14ac:dyDescent="0.25">
      <c r="A146" s="53"/>
      <c r="B146" s="91" t="str">
        <f>IFERROR(VLOOKUP(A146,Lookup!A:B,2,0),"")</f>
        <v/>
      </c>
      <c r="C146" s="92" t="str">
        <f>IFERROR(VLOOKUP(A146,Lookup!A:C,3,0),"")</f>
        <v/>
      </c>
      <c r="D146" s="59"/>
      <c r="E146" s="59"/>
      <c r="F146" s="59"/>
      <c r="G146" s="94"/>
      <c r="H146" s="59"/>
      <c r="I146" s="59"/>
      <c r="J146" s="106">
        <f>VLOOKUP(A146&amp;G146,Lookup!J:N,5,0)</f>
        <v>0</v>
      </c>
      <c r="K146" s="110"/>
      <c r="L146" s="59"/>
      <c r="M146" s="59"/>
      <c r="N146" s="59"/>
      <c r="O146" s="112">
        <v>5.8090277777777803</v>
      </c>
      <c r="P146" s="110" t="str">
        <f t="shared" si="18"/>
        <v/>
      </c>
      <c r="Q146" s="59"/>
      <c r="R146" s="87" t="str">
        <f t="shared" si="20"/>
        <v/>
      </c>
      <c r="S146" s="87" t="str">
        <f t="shared" si="21"/>
        <v/>
      </c>
      <c r="T146" s="59"/>
      <c r="U146" s="59"/>
      <c r="V146" s="59"/>
      <c r="W146" s="59"/>
      <c r="X146" s="93" t="str">
        <f t="shared" si="19"/>
        <v>D</v>
      </c>
    </row>
    <row r="147" spans="1:24" s="66" customFormat="1" x14ac:dyDescent="0.25">
      <c r="A147" s="53"/>
      <c r="B147" s="91" t="str">
        <f>IFERROR(VLOOKUP(A147,Lookup!A:B,2,0),"")</f>
        <v/>
      </c>
      <c r="C147" s="92" t="str">
        <f>IFERROR(VLOOKUP(A147,Lookup!A:C,3,0),"")</f>
        <v/>
      </c>
      <c r="D147" s="59"/>
      <c r="E147" s="59"/>
      <c r="F147" s="59"/>
      <c r="G147" s="94"/>
      <c r="H147" s="59"/>
      <c r="I147" s="59"/>
      <c r="J147" s="106">
        <f>VLOOKUP(A147&amp;G147,Lookup!J:N,5,0)</f>
        <v>0</v>
      </c>
      <c r="K147" s="110"/>
      <c r="L147" s="59"/>
      <c r="M147" s="59"/>
      <c r="N147" s="59"/>
      <c r="O147" s="112">
        <v>5.8506944444444402</v>
      </c>
      <c r="P147" s="110" t="str">
        <f t="shared" si="18"/>
        <v/>
      </c>
      <c r="Q147" s="59"/>
      <c r="R147" s="87" t="str">
        <f t="shared" si="20"/>
        <v/>
      </c>
      <c r="S147" s="87" t="str">
        <f t="shared" si="21"/>
        <v/>
      </c>
      <c r="T147" s="59"/>
      <c r="U147" s="59"/>
      <c r="V147" s="59"/>
      <c r="W147" s="59"/>
      <c r="X147" s="93" t="str">
        <f t="shared" si="19"/>
        <v>D</v>
      </c>
    </row>
    <row r="148" spans="1:24" s="66" customFormat="1" x14ac:dyDescent="0.25">
      <c r="A148" s="53"/>
      <c r="B148" s="91" t="str">
        <f>IFERROR(VLOOKUP(A148,Lookup!A:B,2,0),"")</f>
        <v/>
      </c>
      <c r="C148" s="92" t="str">
        <f>IFERROR(VLOOKUP(A148,Lookup!A:C,3,0),"")</f>
        <v/>
      </c>
      <c r="D148" s="59"/>
      <c r="E148" s="59"/>
      <c r="F148" s="59"/>
      <c r="G148" s="94"/>
      <c r="H148" s="59"/>
      <c r="I148" s="59"/>
      <c r="J148" s="106">
        <f>VLOOKUP(A148&amp;G148,Lookup!J:N,5,0)</f>
        <v>0</v>
      </c>
      <c r="K148" s="110"/>
      <c r="L148" s="59"/>
      <c r="M148" s="59"/>
      <c r="N148" s="59"/>
      <c r="O148" s="112">
        <v>5.8923611111111098</v>
      </c>
      <c r="P148" s="110" t="str">
        <f t="shared" si="18"/>
        <v/>
      </c>
      <c r="Q148" s="59"/>
      <c r="R148" s="87" t="str">
        <f t="shared" si="20"/>
        <v/>
      </c>
      <c r="S148" s="87" t="str">
        <f t="shared" si="21"/>
        <v/>
      </c>
      <c r="T148" s="59"/>
      <c r="U148" s="59"/>
      <c r="V148" s="59"/>
      <c r="W148" s="59"/>
      <c r="X148" s="93" t="str">
        <f t="shared" si="19"/>
        <v>D</v>
      </c>
    </row>
    <row r="149" spans="1:24" s="66" customFormat="1" x14ac:dyDescent="0.25">
      <c r="A149" s="53"/>
      <c r="B149" s="91" t="str">
        <f>IFERROR(VLOOKUP(A149,Lookup!A:B,2,0),"")</f>
        <v/>
      </c>
      <c r="C149" s="92" t="str">
        <f>IFERROR(VLOOKUP(A149,Lookup!A:C,3,0),"")</f>
        <v/>
      </c>
      <c r="D149" s="59"/>
      <c r="E149" s="59"/>
      <c r="F149" s="59"/>
      <c r="G149" s="94"/>
      <c r="H149" s="59"/>
      <c r="I149" s="59"/>
      <c r="J149" s="106">
        <f>VLOOKUP(A149&amp;G149,Lookup!J:N,5,0)</f>
        <v>0</v>
      </c>
      <c r="K149" s="110"/>
      <c r="L149" s="59"/>
      <c r="M149" s="59"/>
      <c r="N149" s="59"/>
      <c r="O149" s="112">
        <v>5.9340277777777803</v>
      </c>
      <c r="P149" s="110" t="str">
        <f t="shared" si="18"/>
        <v/>
      </c>
      <c r="Q149" s="59"/>
      <c r="R149" s="87" t="str">
        <f t="shared" si="20"/>
        <v/>
      </c>
      <c r="S149" s="87" t="str">
        <f t="shared" si="21"/>
        <v/>
      </c>
      <c r="T149" s="59"/>
      <c r="U149" s="59"/>
      <c r="V149" s="59"/>
      <c r="W149" s="59"/>
      <c r="X149" s="93" t="str">
        <f t="shared" si="19"/>
        <v>D</v>
      </c>
    </row>
    <row r="150" spans="1:24" s="66" customFormat="1" x14ac:dyDescent="0.25">
      <c r="A150" s="53"/>
      <c r="B150" s="91" t="str">
        <f>IFERROR(VLOOKUP(A150,Lookup!A:B,2,0),"")</f>
        <v/>
      </c>
      <c r="C150" s="92" t="str">
        <f>IFERROR(VLOOKUP(A150,Lookup!A:C,3,0),"")</f>
        <v/>
      </c>
      <c r="D150" s="59"/>
      <c r="E150" s="59"/>
      <c r="F150" s="59"/>
      <c r="G150" s="94"/>
      <c r="H150" s="59"/>
      <c r="I150" s="59"/>
      <c r="J150" s="106">
        <f>VLOOKUP(A150&amp;G150,Lookup!J:N,5,0)</f>
        <v>0</v>
      </c>
      <c r="K150" s="110"/>
      <c r="L150" s="59"/>
      <c r="M150" s="59"/>
      <c r="N150" s="59"/>
      <c r="O150" s="112">
        <v>5.9756944444444402</v>
      </c>
      <c r="P150" s="110" t="str">
        <f t="shared" si="18"/>
        <v/>
      </c>
      <c r="Q150" s="59"/>
      <c r="R150" s="87" t="str">
        <f t="shared" si="20"/>
        <v/>
      </c>
      <c r="S150" s="87" t="str">
        <f t="shared" si="21"/>
        <v/>
      </c>
      <c r="T150" s="59"/>
      <c r="U150" s="59"/>
      <c r="V150" s="59"/>
      <c r="W150" s="59"/>
      <c r="X150" s="93" t="str">
        <f t="shared" si="19"/>
        <v>D</v>
      </c>
    </row>
    <row r="151" spans="1:24" s="66" customFormat="1" x14ac:dyDescent="0.25">
      <c r="A151" s="53"/>
      <c r="B151" s="91" t="str">
        <f>IFERROR(VLOOKUP(A151,Lookup!A:B,2,0),"")</f>
        <v/>
      </c>
      <c r="C151" s="92" t="str">
        <f>IFERROR(VLOOKUP(A151,Lookup!A:C,3,0),"")</f>
        <v/>
      </c>
      <c r="D151" s="59"/>
      <c r="E151" s="59"/>
      <c r="F151" s="59"/>
      <c r="G151" s="94"/>
      <c r="H151" s="59"/>
      <c r="I151" s="59"/>
      <c r="J151" s="106">
        <f>VLOOKUP(A151&amp;G151,Lookup!J:N,5,0)</f>
        <v>0</v>
      </c>
      <c r="K151" s="110"/>
      <c r="L151" s="59"/>
      <c r="M151" s="59"/>
      <c r="N151" s="59"/>
      <c r="O151" s="112">
        <v>6.0173611111111098</v>
      </c>
      <c r="P151" s="110" t="str">
        <f t="shared" si="18"/>
        <v/>
      </c>
      <c r="Q151" s="59"/>
      <c r="R151" s="87" t="str">
        <f t="shared" si="20"/>
        <v/>
      </c>
      <c r="S151" s="87" t="str">
        <f t="shared" si="21"/>
        <v/>
      </c>
      <c r="T151" s="59"/>
      <c r="U151" s="59"/>
      <c r="V151" s="59"/>
      <c r="W151" s="59"/>
      <c r="X151" s="93" t="str">
        <f t="shared" si="19"/>
        <v>D</v>
      </c>
    </row>
    <row r="152" spans="1:24" s="66" customFormat="1" x14ac:dyDescent="0.25">
      <c r="A152" s="53"/>
      <c r="B152" s="91" t="str">
        <f>IFERROR(VLOOKUP(A152,Lookup!A:B,2,0),"")</f>
        <v/>
      </c>
      <c r="C152" s="92" t="str">
        <f>IFERROR(VLOOKUP(A152,Lookup!A:C,3,0),"")</f>
        <v/>
      </c>
      <c r="D152" s="59"/>
      <c r="E152" s="59"/>
      <c r="F152" s="59"/>
      <c r="G152" s="94"/>
      <c r="H152" s="59"/>
      <c r="I152" s="59"/>
      <c r="J152" s="106">
        <f>VLOOKUP(A152&amp;G152,Lookup!J:N,5,0)</f>
        <v>0</v>
      </c>
      <c r="K152" s="110"/>
      <c r="L152" s="59"/>
      <c r="M152" s="59"/>
      <c r="N152" s="59"/>
      <c r="O152" s="112">
        <v>6.0590277777777803</v>
      </c>
      <c r="P152" s="110" t="str">
        <f t="shared" si="18"/>
        <v/>
      </c>
      <c r="Q152" s="59"/>
      <c r="R152" s="87" t="str">
        <f t="shared" si="20"/>
        <v/>
      </c>
      <c r="S152" s="87" t="str">
        <f t="shared" si="21"/>
        <v/>
      </c>
      <c r="T152" s="59"/>
      <c r="U152" s="59"/>
      <c r="V152" s="59"/>
      <c r="W152" s="59"/>
      <c r="X152" s="93" t="str">
        <f t="shared" si="19"/>
        <v>D</v>
      </c>
    </row>
    <row r="153" spans="1:24" s="66" customFormat="1" x14ac:dyDescent="0.25">
      <c r="A153" s="53"/>
      <c r="B153" s="91" t="str">
        <f>IFERROR(VLOOKUP(A153,Lookup!A:B,2,0),"")</f>
        <v/>
      </c>
      <c r="C153" s="92" t="str">
        <f>IFERROR(VLOOKUP(A153,Lookup!A:C,3,0),"")</f>
        <v/>
      </c>
      <c r="D153" s="59"/>
      <c r="E153" s="59"/>
      <c r="F153" s="59"/>
      <c r="G153" s="94"/>
      <c r="H153" s="59"/>
      <c r="I153" s="59"/>
      <c r="J153" s="106">
        <f>VLOOKUP(A153&amp;G153,Lookup!J:N,5,0)</f>
        <v>0</v>
      </c>
      <c r="K153" s="110"/>
      <c r="L153" s="59"/>
      <c r="M153" s="59"/>
      <c r="N153" s="59"/>
      <c r="O153" s="112">
        <v>6.1006944444444402</v>
      </c>
      <c r="P153" s="110" t="str">
        <f t="shared" si="18"/>
        <v/>
      </c>
      <c r="Q153" s="59"/>
      <c r="R153" s="87" t="str">
        <f t="shared" si="20"/>
        <v/>
      </c>
      <c r="S153" s="87" t="str">
        <f t="shared" si="21"/>
        <v/>
      </c>
      <c r="T153" s="59"/>
      <c r="U153" s="59"/>
      <c r="V153" s="59"/>
      <c r="W153" s="59"/>
      <c r="X153" s="93" t="str">
        <f t="shared" si="19"/>
        <v>D</v>
      </c>
    </row>
    <row r="154" spans="1:24" s="66" customFormat="1" x14ac:dyDescent="0.25">
      <c r="A154" s="53"/>
      <c r="B154" s="91" t="str">
        <f>IFERROR(VLOOKUP(A154,Lookup!A:B,2,0),"")</f>
        <v/>
      </c>
      <c r="C154" s="92" t="str">
        <f>IFERROR(VLOOKUP(A154,Lookup!A:C,3,0),"")</f>
        <v/>
      </c>
      <c r="D154" s="59"/>
      <c r="E154" s="59"/>
      <c r="F154" s="59"/>
      <c r="G154" s="94"/>
      <c r="H154" s="59"/>
      <c r="I154" s="59"/>
      <c r="J154" s="106">
        <f>VLOOKUP(A154&amp;G154,Lookup!J:N,5,0)</f>
        <v>0</v>
      </c>
      <c r="K154" s="110"/>
      <c r="L154" s="59"/>
      <c r="M154" s="59"/>
      <c r="N154" s="59"/>
      <c r="O154" s="112">
        <v>6.1423611111111098</v>
      </c>
      <c r="P154" s="110" t="str">
        <f t="shared" si="18"/>
        <v/>
      </c>
      <c r="Q154" s="59"/>
      <c r="R154" s="87" t="str">
        <f t="shared" si="20"/>
        <v/>
      </c>
      <c r="S154" s="87" t="str">
        <f t="shared" si="21"/>
        <v/>
      </c>
      <c r="T154" s="59"/>
      <c r="U154" s="59"/>
      <c r="V154" s="59"/>
      <c r="W154" s="59"/>
      <c r="X154" s="93" t="str">
        <f t="shared" si="19"/>
        <v>D</v>
      </c>
    </row>
    <row r="155" spans="1:24" s="66" customFormat="1" x14ac:dyDescent="0.25">
      <c r="A155" s="53"/>
      <c r="B155" s="91" t="str">
        <f>IFERROR(VLOOKUP(A155,Lookup!A:B,2,0),"")</f>
        <v/>
      </c>
      <c r="C155" s="92" t="str">
        <f>IFERROR(VLOOKUP(A155,Lookup!A:C,3,0),"")</f>
        <v/>
      </c>
      <c r="D155" s="59"/>
      <c r="E155" s="59"/>
      <c r="F155" s="59"/>
      <c r="G155" s="94"/>
      <c r="H155" s="59"/>
      <c r="I155" s="59"/>
      <c r="J155" s="106">
        <f>VLOOKUP(A155&amp;G155,Lookup!J:N,5,0)</f>
        <v>0</v>
      </c>
      <c r="K155" s="110"/>
      <c r="L155" s="59"/>
      <c r="M155" s="59"/>
      <c r="N155" s="59"/>
      <c r="O155" s="112">
        <v>6.1840277777777803</v>
      </c>
      <c r="P155" s="110" t="str">
        <f t="shared" si="18"/>
        <v/>
      </c>
      <c r="Q155" s="59"/>
      <c r="R155" s="87" t="str">
        <f t="shared" si="20"/>
        <v/>
      </c>
      <c r="S155" s="87" t="str">
        <f t="shared" si="21"/>
        <v/>
      </c>
      <c r="T155" s="59"/>
      <c r="U155" s="59"/>
      <c r="V155" s="59"/>
      <c r="W155" s="59"/>
      <c r="X155" s="93" t="str">
        <f t="shared" si="19"/>
        <v>D</v>
      </c>
    </row>
    <row r="156" spans="1:24" s="66" customFormat="1" x14ac:dyDescent="0.25">
      <c r="A156" s="53"/>
      <c r="B156" s="91" t="str">
        <f>IFERROR(VLOOKUP(A156,Lookup!A:B,2,0),"")</f>
        <v/>
      </c>
      <c r="C156" s="92" t="str">
        <f>IFERROR(VLOOKUP(A156,Lookup!A:C,3,0),"")</f>
        <v/>
      </c>
      <c r="D156" s="59"/>
      <c r="E156" s="59"/>
      <c r="F156" s="59"/>
      <c r="G156" s="94"/>
      <c r="H156" s="59"/>
      <c r="I156" s="59"/>
      <c r="J156" s="106">
        <f>VLOOKUP(A156&amp;G156,Lookup!J:N,5,0)</f>
        <v>0</v>
      </c>
      <c r="K156" s="110"/>
      <c r="L156" s="59"/>
      <c r="M156" s="59"/>
      <c r="N156" s="59"/>
      <c r="O156" s="112">
        <v>6.2256944444444402</v>
      </c>
      <c r="P156" s="110" t="str">
        <f t="shared" si="18"/>
        <v/>
      </c>
      <c r="Q156" s="59"/>
      <c r="R156" s="87" t="str">
        <f t="shared" si="20"/>
        <v/>
      </c>
      <c r="S156" s="87" t="str">
        <f t="shared" si="21"/>
        <v/>
      </c>
      <c r="T156" s="59"/>
      <c r="U156" s="59"/>
      <c r="V156" s="59"/>
      <c r="W156" s="59"/>
      <c r="X156" s="93" t="str">
        <f t="shared" si="19"/>
        <v>D</v>
      </c>
    </row>
    <row r="157" spans="1:24" s="66" customFormat="1" x14ac:dyDescent="0.25">
      <c r="A157" s="53"/>
      <c r="B157" s="91" t="str">
        <f>IFERROR(VLOOKUP(A157,Lookup!A:B,2,0),"")</f>
        <v/>
      </c>
      <c r="C157" s="92" t="str">
        <f>IFERROR(VLOOKUP(A157,Lookup!A:C,3,0),"")</f>
        <v/>
      </c>
      <c r="D157" s="59"/>
      <c r="E157" s="59"/>
      <c r="F157" s="59"/>
      <c r="G157" s="94"/>
      <c r="H157" s="59"/>
      <c r="I157" s="59"/>
      <c r="J157" s="106">
        <f>VLOOKUP(A157&amp;G157,Lookup!J:N,5,0)</f>
        <v>0</v>
      </c>
      <c r="K157" s="110"/>
      <c r="L157" s="59"/>
      <c r="M157" s="59"/>
      <c r="N157" s="59"/>
      <c r="O157" s="112">
        <v>6.2673611111111098</v>
      </c>
      <c r="P157" s="110" t="str">
        <f t="shared" si="18"/>
        <v/>
      </c>
      <c r="Q157" s="59"/>
      <c r="R157" s="87" t="str">
        <f t="shared" si="20"/>
        <v/>
      </c>
      <c r="S157" s="87" t="str">
        <f t="shared" si="21"/>
        <v/>
      </c>
      <c r="T157" s="59"/>
      <c r="U157" s="59"/>
      <c r="V157" s="59"/>
      <c r="W157" s="59"/>
      <c r="X157" s="93" t="str">
        <f t="shared" si="19"/>
        <v>D</v>
      </c>
    </row>
    <row r="158" spans="1:24" s="66" customFormat="1" x14ac:dyDescent="0.25">
      <c r="A158" s="53"/>
      <c r="B158" s="91" t="str">
        <f>IFERROR(VLOOKUP(A158,Lookup!A:B,2,0),"")</f>
        <v/>
      </c>
      <c r="C158" s="92" t="str">
        <f>IFERROR(VLOOKUP(A158,Lookup!A:C,3,0),"")</f>
        <v/>
      </c>
      <c r="D158" s="59"/>
      <c r="E158" s="59"/>
      <c r="F158" s="59"/>
      <c r="G158" s="94"/>
      <c r="H158" s="59"/>
      <c r="I158" s="59"/>
      <c r="J158" s="106">
        <f>VLOOKUP(A158&amp;G158,Lookup!J:N,5,0)</f>
        <v>0</v>
      </c>
      <c r="K158" s="110"/>
      <c r="L158" s="59"/>
      <c r="M158" s="59"/>
      <c r="N158" s="59"/>
      <c r="O158" s="112">
        <v>6.3090277777777803</v>
      </c>
      <c r="P158" s="110" t="str">
        <f t="shared" si="18"/>
        <v/>
      </c>
      <c r="Q158" s="59"/>
      <c r="R158" s="87" t="str">
        <f t="shared" si="20"/>
        <v/>
      </c>
      <c r="S158" s="87" t="str">
        <f t="shared" si="21"/>
        <v/>
      </c>
      <c r="T158" s="59"/>
      <c r="U158" s="59"/>
      <c r="V158" s="59"/>
      <c r="W158" s="59"/>
      <c r="X158" s="93" t="str">
        <f t="shared" si="19"/>
        <v>D</v>
      </c>
    </row>
    <row r="159" spans="1:24" s="66" customFormat="1" x14ac:dyDescent="0.25">
      <c r="A159" s="53"/>
      <c r="B159" s="91" t="str">
        <f>IFERROR(VLOOKUP(A159,Lookup!A:B,2,0),"")</f>
        <v/>
      </c>
      <c r="C159" s="92" t="str">
        <f>IFERROR(VLOOKUP(A159,Lookup!A:C,3,0),"")</f>
        <v/>
      </c>
      <c r="D159" s="59"/>
      <c r="E159" s="59"/>
      <c r="F159" s="59"/>
      <c r="G159" s="94"/>
      <c r="H159" s="59"/>
      <c r="I159" s="59"/>
      <c r="J159" s="106">
        <f>VLOOKUP(A159&amp;G159,Lookup!J:N,5,0)</f>
        <v>0</v>
      </c>
      <c r="K159" s="110"/>
      <c r="L159" s="59"/>
      <c r="M159" s="59"/>
      <c r="N159" s="59"/>
      <c r="O159" s="112">
        <v>6.3506944444444402</v>
      </c>
      <c r="P159" s="110" t="str">
        <f t="shared" si="18"/>
        <v/>
      </c>
      <c r="Q159" s="59"/>
      <c r="R159" s="87" t="str">
        <f t="shared" si="20"/>
        <v/>
      </c>
      <c r="S159" s="87" t="str">
        <f t="shared" si="21"/>
        <v/>
      </c>
      <c r="T159" s="59"/>
      <c r="U159" s="59"/>
      <c r="V159" s="59"/>
      <c r="W159" s="59"/>
      <c r="X159" s="93" t="str">
        <f t="shared" si="19"/>
        <v>D</v>
      </c>
    </row>
    <row r="160" spans="1:24" s="66" customFormat="1" x14ac:dyDescent="0.25">
      <c r="A160" s="53"/>
      <c r="B160" s="91" t="str">
        <f>IFERROR(VLOOKUP(A160,Lookup!A:B,2,0),"")</f>
        <v/>
      </c>
      <c r="C160" s="92" t="str">
        <f>IFERROR(VLOOKUP(A160,Lookup!A:C,3,0),"")</f>
        <v/>
      </c>
      <c r="D160" s="59"/>
      <c r="E160" s="59"/>
      <c r="F160" s="59"/>
      <c r="G160" s="94"/>
      <c r="H160" s="59"/>
      <c r="I160" s="59"/>
      <c r="J160" s="106">
        <f>VLOOKUP(A160&amp;G160,Lookup!J:N,5,0)</f>
        <v>0</v>
      </c>
      <c r="K160" s="110"/>
      <c r="L160" s="59"/>
      <c r="M160" s="59"/>
      <c r="N160" s="59"/>
      <c r="O160" s="112">
        <v>6.3923611111111098</v>
      </c>
      <c r="P160" s="110" t="str">
        <f t="shared" si="18"/>
        <v/>
      </c>
      <c r="Q160" s="59"/>
      <c r="R160" s="87" t="str">
        <f t="shared" si="20"/>
        <v/>
      </c>
      <c r="S160" s="87" t="str">
        <f t="shared" si="21"/>
        <v/>
      </c>
      <c r="T160" s="59"/>
      <c r="U160" s="59"/>
      <c r="V160" s="59"/>
      <c r="W160" s="59"/>
      <c r="X160" s="93" t="str">
        <f t="shared" si="19"/>
        <v>D</v>
      </c>
    </row>
    <row r="161" spans="1:24" s="66" customFormat="1" x14ac:dyDescent="0.25">
      <c r="A161" s="53"/>
      <c r="B161" s="91" t="str">
        <f>IFERROR(VLOOKUP(A161,Lookup!A:B,2,0),"")</f>
        <v/>
      </c>
      <c r="C161" s="92" t="str">
        <f>IFERROR(VLOOKUP(A161,Lookup!A:C,3,0),"")</f>
        <v/>
      </c>
      <c r="D161" s="59"/>
      <c r="E161" s="59"/>
      <c r="F161" s="59"/>
      <c r="G161" s="94"/>
      <c r="H161" s="59"/>
      <c r="I161" s="59"/>
      <c r="J161" s="106">
        <f>VLOOKUP(A161&amp;G161,Lookup!J:N,5,0)</f>
        <v>0</v>
      </c>
      <c r="K161" s="110"/>
      <c r="L161" s="59"/>
      <c r="M161" s="59"/>
      <c r="N161" s="59"/>
      <c r="O161" s="112">
        <v>6.4340277777777803</v>
      </c>
      <c r="P161" s="110" t="str">
        <f t="shared" si="18"/>
        <v/>
      </c>
      <c r="Q161" s="59"/>
      <c r="R161" s="87" t="str">
        <f t="shared" si="20"/>
        <v/>
      </c>
      <c r="S161" s="87" t="str">
        <f t="shared" si="21"/>
        <v/>
      </c>
      <c r="T161" s="59"/>
      <c r="U161" s="59"/>
      <c r="V161" s="59"/>
      <c r="W161" s="59"/>
      <c r="X161" s="93" t="str">
        <f t="shared" si="19"/>
        <v>D</v>
      </c>
    </row>
    <row r="162" spans="1:24" s="66" customFormat="1" x14ac:dyDescent="0.25">
      <c r="A162" s="53"/>
      <c r="B162" s="91" t="str">
        <f>IFERROR(VLOOKUP(A162,Lookup!A:B,2,0),"")</f>
        <v/>
      </c>
      <c r="C162" s="92" t="str">
        <f>IFERROR(VLOOKUP(A162,Lookup!A:C,3,0),"")</f>
        <v/>
      </c>
      <c r="D162" s="59"/>
      <c r="E162" s="59"/>
      <c r="F162" s="59"/>
      <c r="G162" s="94"/>
      <c r="H162" s="59"/>
      <c r="I162" s="59"/>
      <c r="J162" s="106">
        <f>VLOOKUP(A162&amp;G162,Lookup!J:N,5,0)</f>
        <v>0</v>
      </c>
      <c r="K162" s="110"/>
      <c r="L162" s="59"/>
      <c r="M162" s="59"/>
      <c r="N162" s="59"/>
      <c r="O162" s="112">
        <v>6.4756944444444402</v>
      </c>
      <c r="P162" s="110" t="str">
        <f t="shared" si="18"/>
        <v/>
      </c>
      <c r="Q162" s="59"/>
      <c r="R162" s="87" t="str">
        <f t="shared" si="20"/>
        <v/>
      </c>
      <c r="S162" s="87" t="str">
        <f t="shared" si="21"/>
        <v/>
      </c>
      <c r="T162" s="59"/>
      <c r="U162" s="59"/>
      <c r="V162" s="59"/>
      <c r="W162" s="59"/>
      <c r="X162" s="93" t="str">
        <f t="shared" si="19"/>
        <v>D</v>
      </c>
    </row>
    <row r="163" spans="1:24" s="66" customFormat="1" x14ac:dyDescent="0.25">
      <c r="A163" s="53"/>
      <c r="B163" s="91" t="str">
        <f>IFERROR(VLOOKUP(A163,Lookup!A:B,2,0),"")</f>
        <v/>
      </c>
      <c r="C163" s="92" t="str">
        <f>IFERROR(VLOOKUP(A163,Lookup!A:C,3,0),"")</f>
        <v/>
      </c>
      <c r="D163" s="59"/>
      <c r="E163" s="59"/>
      <c r="F163" s="59"/>
      <c r="G163" s="94"/>
      <c r="H163" s="59"/>
      <c r="I163" s="59"/>
      <c r="J163" s="106">
        <f>VLOOKUP(A163&amp;G163,Lookup!J:N,5,0)</f>
        <v>0</v>
      </c>
      <c r="K163" s="110"/>
      <c r="L163" s="59"/>
      <c r="M163" s="59"/>
      <c r="N163" s="59"/>
      <c r="O163" s="112">
        <v>6.5173611111111098</v>
      </c>
      <c r="P163" s="110" t="str">
        <f t="shared" si="18"/>
        <v/>
      </c>
      <c r="Q163" s="59"/>
      <c r="R163" s="87" t="str">
        <f t="shared" si="20"/>
        <v/>
      </c>
      <c r="S163" s="87" t="str">
        <f t="shared" si="21"/>
        <v/>
      </c>
      <c r="T163" s="59"/>
      <c r="U163" s="59"/>
      <c r="V163" s="59"/>
      <c r="W163" s="59"/>
      <c r="X163" s="93" t="str">
        <f t="shared" si="19"/>
        <v>D</v>
      </c>
    </row>
    <row r="164" spans="1:24" s="66" customFormat="1" x14ac:dyDescent="0.25">
      <c r="A164" s="53"/>
      <c r="B164" s="91" t="str">
        <f>IFERROR(VLOOKUP(A164,Lookup!A:B,2,0),"")</f>
        <v/>
      </c>
      <c r="C164" s="92" t="str">
        <f>IFERROR(VLOOKUP(A164,Lookup!A:C,3,0),"")</f>
        <v/>
      </c>
      <c r="D164" s="59"/>
      <c r="E164" s="59"/>
      <c r="F164" s="59"/>
      <c r="G164" s="94"/>
      <c r="H164" s="59"/>
      <c r="I164" s="59"/>
      <c r="J164" s="106">
        <f>VLOOKUP(A164&amp;G164,Lookup!J:N,5,0)</f>
        <v>0</v>
      </c>
      <c r="K164" s="110"/>
      <c r="L164" s="59"/>
      <c r="M164" s="59"/>
      <c r="N164" s="59"/>
      <c r="O164" s="112">
        <v>6.5590277777777803</v>
      </c>
      <c r="P164" s="110" t="str">
        <f t="shared" si="18"/>
        <v/>
      </c>
      <c r="Q164" s="59"/>
      <c r="R164" s="87" t="str">
        <f t="shared" si="20"/>
        <v/>
      </c>
      <c r="S164" s="87" t="str">
        <f t="shared" si="21"/>
        <v/>
      </c>
      <c r="T164" s="59"/>
      <c r="U164" s="59"/>
      <c r="V164" s="59"/>
      <c r="W164" s="59"/>
      <c r="X164" s="93" t="str">
        <f t="shared" si="19"/>
        <v>D</v>
      </c>
    </row>
    <row r="165" spans="1:24" s="66" customFormat="1" x14ac:dyDescent="0.25">
      <c r="A165" s="53"/>
      <c r="B165" s="91" t="str">
        <f>IFERROR(VLOOKUP(A165,Lookup!A:B,2,0),"")</f>
        <v/>
      </c>
      <c r="C165" s="92" t="str">
        <f>IFERROR(VLOOKUP(A165,Lookup!A:C,3,0),"")</f>
        <v/>
      </c>
      <c r="D165" s="59"/>
      <c r="E165" s="59"/>
      <c r="F165" s="59"/>
      <c r="G165" s="94"/>
      <c r="H165" s="59"/>
      <c r="I165" s="59"/>
      <c r="J165" s="106">
        <f>VLOOKUP(A165&amp;G165,Lookup!J:N,5,0)</f>
        <v>0</v>
      </c>
      <c r="K165" s="110"/>
      <c r="L165" s="59"/>
      <c r="M165" s="59"/>
      <c r="N165" s="59"/>
      <c r="O165" s="112">
        <v>6.6006944444444402</v>
      </c>
      <c r="P165" s="110" t="str">
        <f t="shared" si="18"/>
        <v/>
      </c>
      <c r="Q165" s="59"/>
      <c r="R165" s="87" t="str">
        <f t="shared" si="20"/>
        <v/>
      </c>
      <c r="S165" s="87" t="str">
        <f t="shared" si="21"/>
        <v/>
      </c>
      <c r="T165" s="59"/>
      <c r="U165" s="59"/>
      <c r="V165" s="59"/>
      <c r="W165" s="59"/>
      <c r="X165" s="93" t="str">
        <f t="shared" si="19"/>
        <v>D</v>
      </c>
    </row>
    <row r="166" spans="1:24" s="66" customFormat="1" x14ac:dyDescent="0.25">
      <c r="A166" s="53"/>
      <c r="B166" s="91" t="str">
        <f>IFERROR(VLOOKUP(A166,Lookup!A:B,2,0),"")</f>
        <v/>
      </c>
      <c r="C166" s="92" t="str">
        <f>IFERROR(VLOOKUP(A166,Lookup!A:C,3,0),"")</f>
        <v/>
      </c>
      <c r="D166" s="59"/>
      <c r="E166" s="59"/>
      <c r="F166" s="59"/>
      <c r="G166" s="94"/>
      <c r="H166" s="59"/>
      <c r="I166" s="59"/>
      <c r="J166" s="106">
        <f>VLOOKUP(A166&amp;G166,Lookup!J:N,5,0)</f>
        <v>0</v>
      </c>
      <c r="K166" s="110"/>
      <c r="L166" s="59"/>
      <c r="M166" s="59"/>
      <c r="N166" s="59"/>
      <c r="O166" s="112">
        <v>6.6423611111111098</v>
      </c>
      <c r="P166" s="110" t="str">
        <f t="shared" si="18"/>
        <v/>
      </c>
      <c r="Q166" s="59"/>
      <c r="R166" s="87" t="str">
        <f t="shared" si="20"/>
        <v/>
      </c>
      <c r="S166" s="87" t="str">
        <f t="shared" si="21"/>
        <v/>
      </c>
      <c r="T166" s="59"/>
      <c r="U166" s="59"/>
      <c r="V166" s="59"/>
      <c r="W166" s="59"/>
      <c r="X166" s="93" t="str">
        <f t="shared" si="19"/>
        <v>D</v>
      </c>
    </row>
    <row r="167" spans="1:24" s="66" customFormat="1" x14ac:dyDescent="0.25">
      <c r="A167" s="53"/>
      <c r="B167" s="91" t="str">
        <f>IFERROR(VLOOKUP(A167,Lookup!A:B,2,0),"")</f>
        <v/>
      </c>
      <c r="C167" s="92" t="str">
        <f>IFERROR(VLOOKUP(A167,Lookup!A:C,3,0),"")</f>
        <v/>
      </c>
      <c r="D167" s="59"/>
      <c r="E167" s="59"/>
      <c r="F167" s="59"/>
      <c r="G167" s="94"/>
      <c r="H167" s="59"/>
      <c r="I167" s="59"/>
      <c r="J167" s="106">
        <f>VLOOKUP(A167&amp;G167,Lookup!J:N,5,0)</f>
        <v>0</v>
      </c>
      <c r="K167" s="110"/>
      <c r="L167" s="59"/>
      <c r="M167" s="59"/>
      <c r="N167" s="59"/>
      <c r="O167" s="112">
        <v>6.6840277777777803</v>
      </c>
      <c r="P167" s="110" t="str">
        <f t="shared" si="18"/>
        <v/>
      </c>
      <c r="Q167" s="59"/>
      <c r="R167" s="87" t="str">
        <f t="shared" si="20"/>
        <v/>
      </c>
      <c r="S167" s="87" t="str">
        <f t="shared" si="21"/>
        <v/>
      </c>
      <c r="T167" s="59"/>
      <c r="U167" s="59"/>
      <c r="V167" s="59"/>
      <c r="W167" s="59"/>
      <c r="X167" s="93" t="str">
        <f t="shared" si="19"/>
        <v>D</v>
      </c>
    </row>
    <row r="168" spans="1:24" s="66" customFormat="1" x14ac:dyDescent="0.25">
      <c r="A168" s="53"/>
      <c r="B168" s="91" t="str">
        <f>IFERROR(VLOOKUP(A168,Lookup!A:B,2,0),"")</f>
        <v/>
      </c>
      <c r="C168" s="92" t="str">
        <f>IFERROR(VLOOKUP(A168,Lookup!A:C,3,0),"")</f>
        <v/>
      </c>
      <c r="D168" s="59"/>
      <c r="E168" s="59"/>
      <c r="F168" s="59"/>
      <c r="G168" s="94"/>
      <c r="H168" s="59"/>
      <c r="I168" s="59"/>
      <c r="J168" s="106">
        <f>VLOOKUP(A168&amp;G168,Lookup!J:N,5,0)</f>
        <v>0</v>
      </c>
      <c r="K168" s="110"/>
      <c r="L168" s="59"/>
      <c r="M168" s="59"/>
      <c r="N168" s="59"/>
      <c r="O168" s="112">
        <v>6.7256944444444402</v>
      </c>
      <c r="P168" s="110" t="str">
        <f t="shared" si="18"/>
        <v/>
      </c>
      <c r="Q168" s="59"/>
      <c r="R168" s="87" t="str">
        <f t="shared" si="20"/>
        <v/>
      </c>
      <c r="S168" s="87" t="str">
        <f t="shared" si="21"/>
        <v/>
      </c>
      <c r="T168" s="59"/>
      <c r="U168" s="59"/>
      <c r="V168" s="59"/>
      <c r="W168" s="59"/>
      <c r="X168" s="93" t="str">
        <f t="shared" si="19"/>
        <v>D</v>
      </c>
    </row>
    <row r="169" spans="1:24" s="66" customFormat="1" x14ac:dyDescent="0.25">
      <c r="A169" s="53"/>
      <c r="B169" s="91" t="str">
        <f>IFERROR(VLOOKUP(A169,Lookup!A:B,2,0),"")</f>
        <v/>
      </c>
      <c r="C169" s="92" t="str">
        <f>IFERROR(VLOOKUP(A169,Lookup!A:C,3,0),"")</f>
        <v/>
      </c>
      <c r="D169" s="59"/>
      <c r="E169" s="59"/>
      <c r="F169" s="59"/>
      <c r="G169" s="94"/>
      <c r="H169" s="59"/>
      <c r="I169" s="59"/>
      <c r="J169" s="106">
        <f>VLOOKUP(A169&amp;G169,Lookup!J:N,5,0)</f>
        <v>0</v>
      </c>
      <c r="K169" s="110"/>
      <c r="L169" s="59"/>
      <c r="M169" s="59"/>
      <c r="N169" s="59"/>
      <c r="O169" s="112">
        <v>6.7673611111111098</v>
      </c>
      <c r="P169" s="110" t="str">
        <f t="shared" si="18"/>
        <v/>
      </c>
      <c r="Q169" s="59"/>
      <c r="R169" s="87" t="str">
        <f t="shared" si="20"/>
        <v/>
      </c>
      <c r="S169" s="87" t="str">
        <f t="shared" si="21"/>
        <v/>
      </c>
      <c r="T169" s="59"/>
      <c r="U169" s="59"/>
      <c r="V169" s="59"/>
      <c r="W169" s="59"/>
      <c r="X169" s="93" t="str">
        <f t="shared" si="19"/>
        <v>D</v>
      </c>
    </row>
    <row r="170" spans="1:24" s="66" customFormat="1" x14ac:dyDescent="0.25">
      <c r="A170" s="53"/>
      <c r="B170" s="91" t="str">
        <f>IFERROR(VLOOKUP(A170,Lookup!A:B,2,0),"")</f>
        <v/>
      </c>
      <c r="C170" s="92" t="str">
        <f>IFERROR(VLOOKUP(A170,Lookup!A:C,3,0),"")</f>
        <v/>
      </c>
      <c r="D170" s="59"/>
      <c r="E170" s="59"/>
      <c r="F170" s="59"/>
      <c r="G170" s="94"/>
      <c r="H170" s="59"/>
      <c r="I170" s="59"/>
      <c r="J170" s="106">
        <f>VLOOKUP(A170&amp;G170,Lookup!J:N,5,0)</f>
        <v>0</v>
      </c>
      <c r="K170" s="110"/>
      <c r="L170" s="59"/>
      <c r="M170" s="59"/>
      <c r="N170" s="59"/>
      <c r="O170" s="112">
        <v>6.8090277777777803</v>
      </c>
      <c r="P170" s="110" t="str">
        <f t="shared" si="18"/>
        <v/>
      </c>
      <c r="Q170" s="59"/>
      <c r="R170" s="87" t="str">
        <f t="shared" si="20"/>
        <v/>
      </c>
      <c r="S170" s="87" t="str">
        <f t="shared" si="21"/>
        <v/>
      </c>
      <c r="T170" s="59"/>
      <c r="U170" s="59"/>
      <c r="V170" s="59"/>
      <c r="W170" s="59"/>
      <c r="X170" s="93" t="str">
        <f t="shared" si="19"/>
        <v>D</v>
      </c>
    </row>
    <row r="171" spans="1:24" s="66" customFormat="1" x14ac:dyDescent="0.25">
      <c r="A171" s="53"/>
      <c r="B171" s="91" t="str">
        <f>IFERROR(VLOOKUP(A171,Lookup!A:B,2,0),"")</f>
        <v/>
      </c>
      <c r="C171" s="92" t="str">
        <f>IFERROR(VLOOKUP(A171,Lookup!A:C,3,0),"")</f>
        <v/>
      </c>
      <c r="D171" s="59"/>
      <c r="E171" s="59"/>
      <c r="F171" s="59"/>
      <c r="G171" s="94"/>
      <c r="H171" s="59"/>
      <c r="I171" s="59"/>
      <c r="J171" s="106">
        <f>VLOOKUP(A171&amp;G171,Lookup!J:N,5,0)</f>
        <v>0</v>
      </c>
      <c r="K171" s="110"/>
      <c r="L171" s="59"/>
      <c r="M171" s="59"/>
      <c r="N171" s="59"/>
      <c r="O171" s="112">
        <v>6.8506944444444402</v>
      </c>
      <c r="P171" s="110" t="str">
        <f t="shared" si="18"/>
        <v/>
      </c>
      <c r="Q171" s="59"/>
      <c r="R171" s="87" t="str">
        <f t="shared" si="20"/>
        <v/>
      </c>
      <c r="S171" s="87" t="str">
        <f t="shared" si="21"/>
        <v/>
      </c>
      <c r="T171" s="59"/>
      <c r="U171" s="59"/>
      <c r="V171" s="59"/>
      <c r="W171" s="59"/>
      <c r="X171" s="93" t="str">
        <f t="shared" si="19"/>
        <v>D</v>
      </c>
    </row>
    <row r="172" spans="1:24" s="66" customFormat="1" x14ac:dyDescent="0.25">
      <c r="A172" s="53"/>
      <c r="B172" s="91" t="str">
        <f>IFERROR(VLOOKUP(A172,Lookup!A:B,2,0),"")</f>
        <v/>
      </c>
      <c r="C172" s="92" t="str">
        <f>IFERROR(VLOOKUP(A172,Lookup!A:C,3,0),"")</f>
        <v/>
      </c>
      <c r="D172" s="59"/>
      <c r="E172" s="59"/>
      <c r="F172" s="59"/>
      <c r="G172" s="94"/>
      <c r="H172" s="59"/>
      <c r="I172" s="59"/>
      <c r="J172" s="106">
        <f>VLOOKUP(A172&amp;G172,Lookup!J:N,5,0)</f>
        <v>0</v>
      </c>
      <c r="K172" s="110"/>
      <c r="L172" s="59"/>
      <c r="M172" s="59"/>
      <c r="N172" s="59"/>
      <c r="O172" s="112">
        <v>6.8923611111111098</v>
      </c>
      <c r="P172" s="110" t="str">
        <f t="shared" si="18"/>
        <v/>
      </c>
      <c r="Q172" s="59"/>
      <c r="R172" s="87" t="str">
        <f t="shared" si="20"/>
        <v/>
      </c>
      <c r="S172" s="87" t="str">
        <f t="shared" si="21"/>
        <v/>
      </c>
      <c r="T172" s="59"/>
      <c r="U172" s="59"/>
      <c r="V172" s="59"/>
      <c r="W172" s="59"/>
      <c r="X172" s="93" t="str">
        <f t="shared" si="19"/>
        <v>D</v>
      </c>
    </row>
    <row r="173" spans="1:24" s="66" customFormat="1" x14ac:dyDescent="0.25">
      <c r="A173" s="53"/>
      <c r="B173" s="91" t="str">
        <f>IFERROR(VLOOKUP(A173,Lookup!A:B,2,0),"")</f>
        <v/>
      </c>
      <c r="C173" s="92" t="str">
        <f>IFERROR(VLOOKUP(A173,Lookup!A:C,3,0),"")</f>
        <v/>
      </c>
      <c r="D173" s="59"/>
      <c r="E173" s="59"/>
      <c r="F173" s="59"/>
      <c r="G173" s="94"/>
      <c r="H173" s="59"/>
      <c r="I173" s="59"/>
      <c r="J173" s="106">
        <f>VLOOKUP(A173&amp;G173,Lookup!J:N,5,0)</f>
        <v>0</v>
      </c>
      <c r="K173" s="110"/>
      <c r="L173" s="59"/>
      <c r="M173" s="59"/>
      <c r="N173" s="59"/>
      <c r="O173" s="112">
        <v>6.9340277777777803</v>
      </c>
      <c r="P173" s="110" t="str">
        <f t="shared" si="18"/>
        <v/>
      </c>
      <c r="Q173" s="59"/>
      <c r="R173" s="87" t="str">
        <f t="shared" si="20"/>
        <v/>
      </c>
      <c r="S173" s="87" t="str">
        <f t="shared" si="21"/>
        <v/>
      </c>
      <c r="T173" s="59"/>
      <c r="U173" s="59"/>
      <c r="V173" s="59"/>
      <c r="W173" s="59"/>
      <c r="X173" s="93" t="str">
        <f t="shared" si="19"/>
        <v>D</v>
      </c>
    </row>
    <row r="174" spans="1:24" s="66" customFormat="1" x14ac:dyDescent="0.25">
      <c r="A174" s="53"/>
      <c r="B174" s="91" t="str">
        <f>IFERROR(VLOOKUP(A174,Lookup!A:B,2,0),"")</f>
        <v/>
      </c>
      <c r="C174" s="92" t="str">
        <f>IFERROR(VLOOKUP(A174,Lookup!A:C,3,0),"")</f>
        <v/>
      </c>
      <c r="D174" s="59"/>
      <c r="E174" s="59"/>
      <c r="F174" s="59"/>
      <c r="G174" s="94"/>
      <c r="H174" s="59"/>
      <c r="I174" s="59"/>
      <c r="J174" s="106">
        <f>VLOOKUP(A174&amp;G174,Lookup!J:N,5,0)</f>
        <v>0</v>
      </c>
      <c r="K174" s="110"/>
      <c r="L174" s="59"/>
      <c r="M174" s="59"/>
      <c r="N174" s="59"/>
      <c r="O174" s="112">
        <v>6.9756944444444402</v>
      </c>
      <c r="P174" s="110" t="str">
        <f t="shared" si="18"/>
        <v/>
      </c>
      <c r="Q174" s="59"/>
      <c r="R174" s="87" t="str">
        <f t="shared" si="20"/>
        <v/>
      </c>
      <c r="S174" s="87" t="str">
        <f t="shared" si="21"/>
        <v/>
      </c>
      <c r="T174" s="59"/>
      <c r="U174" s="59"/>
      <c r="V174" s="59"/>
      <c r="W174" s="59"/>
      <c r="X174" s="93" t="str">
        <f t="shared" si="19"/>
        <v>D</v>
      </c>
    </row>
    <row r="175" spans="1:24" s="66" customFormat="1" x14ac:dyDescent="0.25">
      <c r="A175" s="53"/>
      <c r="B175" s="91" t="str">
        <f>IFERROR(VLOOKUP(A175,Lookup!A:B,2,0),"")</f>
        <v/>
      </c>
      <c r="C175" s="92" t="str">
        <f>IFERROR(VLOOKUP(A175,Lookup!A:C,3,0),"")</f>
        <v/>
      </c>
      <c r="D175" s="59"/>
      <c r="E175" s="59"/>
      <c r="F175" s="59"/>
      <c r="G175" s="94"/>
      <c r="H175" s="59"/>
      <c r="I175" s="59"/>
      <c r="J175" s="106">
        <f>VLOOKUP(A175&amp;G175,Lookup!J:N,5,0)</f>
        <v>0</v>
      </c>
      <c r="K175" s="110"/>
      <c r="L175" s="59"/>
      <c r="M175" s="59"/>
      <c r="N175" s="59"/>
      <c r="O175" s="112">
        <v>7.0173611111111098</v>
      </c>
      <c r="P175" s="110" t="str">
        <f t="shared" si="18"/>
        <v/>
      </c>
      <c r="Q175" s="59"/>
      <c r="R175" s="87" t="str">
        <f t="shared" si="20"/>
        <v/>
      </c>
      <c r="S175" s="87" t="str">
        <f t="shared" si="21"/>
        <v/>
      </c>
      <c r="T175" s="59"/>
      <c r="U175" s="59"/>
      <c r="V175" s="59"/>
      <c r="W175" s="59"/>
      <c r="X175" s="93" t="str">
        <f t="shared" si="19"/>
        <v>D</v>
      </c>
    </row>
    <row r="176" spans="1:24" s="66" customFormat="1" x14ac:dyDescent="0.25">
      <c r="A176" s="53"/>
      <c r="B176" s="91" t="str">
        <f>IFERROR(VLOOKUP(A176,Lookup!A:B,2,0),"")</f>
        <v/>
      </c>
      <c r="C176" s="92" t="str">
        <f>IFERROR(VLOOKUP(A176,Lookup!A:C,3,0),"")</f>
        <v/>
      </c>
      <c r="D176" s="59"/>
      <c r="E176" s="59"/>
      <c r="F176" s="59"/>
      <c r="G176" s="94"/>
      <c r="H176" s="59"/>
      <c r="I176" s="59"/>
      <c r="J176" s="106">
        <f>VLOOKUP(A176&amp;G176,Lookup!J:N,5,0)</f>
        <v>0</v>
      </c>
      <c r="K176" s="110"/>
      <c r="L176" s="59"/>
      <c r="M176" s="59"/>
      <c r="N176" s="59"/>
      <c r="O176" s="112">
        <v>7.0590277777777803</v>
      </c>
      <c r="P176" s="110" t="str">
        <f t="shared" si="18"/>
        <v/>
      </c>
      <c r="Q176" s="59"/>
      <c r="R176" s="87" t="str">
        <f t="shared" si="20"/>
        <v/>
      </c>
      <c r="S176" s="87" t="str">
        <f t="shared" si="21"/>
        <v/>
      </c>
      <c r="T176" s="59"/>
      <c r="U176" s="59"/>
      <c r="V176" s="59"/>
      <c r="W176" s="59"/>
      <c r="X176" s="93" t="str">
        <f t="shared" si="19"/>
        <v>D</v>
      </c>
    </row>
    <row r="177" spans="1:24" s="66" customFormat="1" x14ac:dyDescent="0.25">
      <c r="A177" s="53"/>
      <c r="B177" s="91" t="str">
        <f>IFERROR(VLOOKUP(A177,Lookup!A:B,2,0),"")</f>
        <v/>
      </c>
      <c r="C177" s="92" t="str">
        <f>IFERROR(VLOOKUP(A177,Lookup!A:C,3,0),"")</f>
        <v/>
      </c>
      <c r="D177" s="59"/>
      <c r="E177" s="59"/>
      <c r="F177" s="59"/>
      <c r="G177" s="94"/>
      <c r="H177" s="59"/>
      <c r="I177" s="59"/>
      <c r="J177" s="106">
        <f>VLOOKUP(A177&amp;G177,Lookup!J:N,5,0)</f>
        <v>0</v>
      </c>
      <c r="K177" s="110"/>
      <c r="L177" s="59"/>
      <c r="M177" s="59"/>
      <c r="N177" s="59"/>
      <c r="O177" s="112">
        <v>7.1006944444444402</v>
      </c>
      <c r="P177" s="110" t="str">
        <f t="shared" si="18"/>
        <v/>
      </c>
      <c r="Q177" s="59"/>
      <c r="R177" s="87" t="str">
        <f t="shared" si="20"/>
        <v/>
      </c>
      <c r="S177" s="87" t="str">
        <f t="shared" si="21"/>
        <v/>
      </c>
      <c r="T177" s="59"/>
      <c r="U177" s="59"/>
      <c r="V177" s="59"/>
      <c r="W177" s="59"/>
      <c r="X177" s="93" t="str">
        <f t="shared" si="19"/>
        <v>D</v>
      </c>
    </row>
    <row r="178" spans="1:24" s="66" customFormat="1" x14ac:dyDescent="0.25">
      <c r="A178" s="53"/>
      <c r="B178" s="91" t="str">
        <f>IFERROR(VLOOKUP(A178,Lookup!A:B,2,0),"")</f>
        <v/>
      </c>
      <c r="C178" s="92" t="str">
        <f>IFERROR(VLOOKUP(A178,Lookup!A:C,3,0),"")</f>
        <v/>
      </c>
      <c r="D178" s="59"/>
      <c r="E178" s="59"/>
      <c r="F178" s="59"/>
      <c r="G178" s="94"/>
      <c r="H178" s="59"/>
      <c r="I178" s="59"/>
      <c r="J178" s="106">
        <f>VLOOKUP(A178&amp;G178,Lookup!J:N,5,0)</f>
        <v>0</v>
      </c>
      <c r="K178" s="110"/>
      <c r="L178" s="59"/>
      <c r="M178" s="59"/>
      <c r="N178" s="59"/>
      <c r="O178" s="112">
        <v>7.1423611111111098</v>
      </c>
      <c r="P178" s="110" t="str">
        <f t="shared" si="18"/>
        <v/>
      </c>
      <c r="Q178" s="59"/>
      <c r="R178" s="87" t="str">
        <f t="shared" si="20"/>
        <v/>
      </c>
      <c r="S178" s="87" t="str">
        <f t="shared" si="21"/>
        <v/>
      </c>
      <c r="T178" s="59"/>
      <c r="U178" s="59"/>
      <c r="V178" s="59"/>
      <c r="W178" s="59"/>
      <c r="X178" s="93" t="str">
        <f t="shared" si="19"/>
        <v>D</v>
      </c>
    </row>
    <row r="179" spans="1:24" s="66" customFormat="1" x14ac:dyDescent="0.25">
      <c r="A179" s="53"/>
      <c r="B179" s="91" t="str">
        <f>IFERROR(VLOOKUP(A179,Lookup!A:B,2,0),"")</f>
        <v/>
      </c>
      <c r="C179" s="92" t="str">
        <f>IFERROR(VLOOKUP(A179,Lookup!A:C,3,0),"")</f>
        <v/>
      </c>
      <c r="D179" s="59"/>
      <c r="E179" s="59"/>
      <c r="F179" s="59"/>
      <c r="G179" s="94"/>
      <c r="H179" s="59"/>
      <c r="I179" s="59"/>
      <c r="J179" s="106">
        <f>VLOOKUP(A179&amp;G179,Lookup!J:N,5,0)</f>
        <v>0</v>
      </c>
      <c r="K179" s="110"/>
      <c r="L179" s="59"/>
      <c r="M179" s="59"/>
      <c r="N179" s="59"/>
      <c r="O179" s="112">
        <v>7.1840277777777803</v>
      </c>
      <c r="P179" s="110" t="str">
        <f t="shared" si="18"/>
        <v/>
      </c>
      <c r="Q179" s="59"/>
      <c r="R179" s="87" t="str">
        <f t="shared" si="20"/>
        <v/>
      </c>
      <c r="S179" s="87" t="str">
        <f t="shared" si="21"/>
        <v/>
      </c>
      <c r="T179" s="59"/>
      <c r="U179" s="59"/>
      <c r="V179" s="59"/>
      <c r="W179" s="59"/>
      <c r="X179" s="93" t="str">
        <f t="shared" si="19"/>
        <v>D</v>
      </c>
    </row>
    <row r="180" spans="1:24" s="66" customFormat="1" x14ac:dyDescent="0.25">
      <c r="A180" s="53"/>
      <c r="B180" s="91" t="str">
        <f>IFERROR(VLOOKUP(A180,Lookup!A:B,2,0),"")</f>
        <v/>
      </c>
      <c r="C180" s="92" t="str">
        <f>IFERROR(VLOOKUP(A180,Lookup!A:C,3,0),"")</f>
        <v/>
      </c>
      <c r="D180" s="59"/>
      <c r="E180" s="59"/>
      <c r="F180" s="59"/>
      <c r="G180" s="94"/>
      <c r="H180" s="59"/>
      <c r="I180" s="59"/>
      <c r="J180" s="106">
        <f>VLOOKUP(A180&amp;G180,Lookup!J:N,5,0)</f>
        <v>0</v>
      </c>
      <c r="K180" s="110"/>
      <c r="L180" s="59"/>
      <c r="M180" s="59"/>
      <c r="N180" s="59"/>
      <c r="O180" s="112">
        <v>7.2256944444444402</v>
      </c>
      <c r="P180" s="110" t="str">
        <f t="shared" si="18"/>
        <v/>
      </c>
      <c r="Q180" s="59"/>
      <c r="R180" s="87" t="str">
        <f t="shared" si="20"/>
        <v/>
      </c>
      <c r="S180" s="87" t="str">
        <f t="shared" si="21"/>
        <v/>
      </c>
      <c r="T180" s="59"/>
      <c r="U180" s="59"/>
      <c r="V180" s="59"/>
      <c r="W180" s="59"/>
      <c r="X180" s="93" t="str">
        <f t="shared" si="19"/>
        <v>D</v>
      </c>
    </row>
    <row r="181" spans="1:24" s="66" customFormat="1" x14ac:dyDescent="0.25">
      <c r="A181" s="53"/>
      <c r="B181" s="91" t="str">
        <f>IFERROR(VLOOKUP(A181,Lookup!A:B,2,0),"")</f>
        <v/>
      </c>
      <c r="C181" s="92" t="str">
        <f>IFERROR(VLOOKUP(A181,Lookup!A:C,3,0),"")</f>
        <v/>
      </c>
      <c r="D181" s="59"/>
      <c r="E181" s="59"/>
      <c r="F181" s="59"/>
      <c r="G181" s="94"/>
      <c r="H181" s="59"/>
      <c r="I181" s="59"/>
      <c r="J181" s="106">
        <f>VLOOKUP(A181&amp;G181,Lookup!J:N,5,0)</f>
        <v>0</v>
      </c>
      <c r="K181" s="110"/>
      <c r="L181" s="59"/>
      <c r="M181" s="59"/>
      <c r="N181" s="59"/>
      <c r="O181" s="112">
        <v>7.2673611111111098</v>
      </c>
      <c r="P181" s="110" t="str">
        <f t="shared" si="18"/>
        <v/>
      </c>
      <c r="Q181" s="59"/>
      <c r="R181" s="87" t="str">
        <f t="shared" si="20"/>
        <v/>
      </c>
      <c r="S181" s="87" t="str">
        <f t="shared" si="21"/>
        <v/>
      </c>
      <c r="T181" s="59"/>
      <c r="U181" s="59"/>
      <c r="V181" s="59"/>
      <c r="W181" s="59"/>
      <c r="X181" s="93" t="str">
        <f t="shared" si="19"/>
        <v>D</v>
      </c>
    </row>
    <row r="182" spans="1:24" s="66" customFormat="1" x14ac:dyDescent="0.25">
      <c r="A182" s="53"/>
      <c r="B182" s="91" t="str">
        <f>IFERROR(VLOOKUP(A182,Lookup!A:B,2,0),"")</f>
        <v/>
      </c>
      <c r="C182" s="92" t="str">
        <f>IFERROR(VLOOKUP(A182,Lookup!A:C,3,0),"")</f>
        <v/>
      </c>
      <c r="D182" s="59"/>
      <c r="E182" s="59"/>
      <c r="F182" s="59"/>
      <c r="G182" s="94"/>
      <c r="H182" s="59"/>
      <c r="I182" s="59"/>
      <c r="J182" s="106">
        <f>VLOOKUP(A182&amp;G182,Lookup!J:N,5,0)</f>
        <v>0</v>
      </c>
      <c r="K182" s="110"/>
      <c r="L182" s="59"/>
      <c r="M182" s="59"/>
      <c r="N182" s="59"/>
      <c r="O182" s="112">
        <v>7.3090277777777803</v>
      </c>
      <c r="P182" s="110" t="str">
        <f t="shared" si="18"/>
        <v/>
      </c>
      <c r="Q182" s="59"/>
      <c r="R182" s="87" t="str">
        <f t="shared" si="20"/>
        <v/>
      </c>
      <c r="S182" s="87" t="str">
        <f t="shared" si="21"/>
        <v/>
      </c>
      <c r="T182" s="59"/>
      <c r="U182" s="59"/>
      <c r="V182" s="59"/>
      <c r="W182" s="59"/>
      <c r="X182" s="93" t="str">
        <f t="shared" si="19"/>
        <v>D</v>
      </c>
    </row>
    <row r="183" spans="1:24" s="66" customFormat="1" x14ac:dyDescent="0.25">
      <c r="A183" s="53"/>
      <c r="B183" s="91" t="str">
        <f>IFERROR(VLOOKUP(A183,Lookup!A:B,2,0),"")</f>
        <v/>
      </c>
      <c r="C183" s="92" t="str">
        <f>IFERROR(VLOOKUP(A183,Lookup!A:C,3,0),"")</f>
        <v/>
      </c>
      <c r="D183" s="59"/>
      <c r="E183" s="59"/>
      <c r="F183" s="59"/>
      <c r="G183" s="94"/>
      <c r="H183" s="59"/>
      <c r="I183" s="59"/>
      <c r="J183" s="106">
        <f>VLOOKUP(A183&amp;G183,Lookup!J:N,5,0)</f>
        <v>0</v>
      </c>
      <c r="K183" s="110"/>
      <c r="L183" s="59"/>
      <c r="M183" s="59"/>
      <c r="N183" s="59"/>
      <c r="O183" s="112">
        <v>7.3506944444444402</v>
      </c>
      <c r="P183" s="110" t="str">
        <f t="shared" si="18"/>
        <v/>
      </c>
      <c r="Q183" s="59"/>
      <c r="R183" s="87" t="str">
        <f t="shared" si="20"/>
        <v/>
      </c>
      <c r="S183" s="87" t="str">
        <f t="shared" si="21"/>
        <v/>
      </c>
      <c r="T183" s="59"/>
      <c r="U183" s="59"/>
      <c r="V183" s="59"/>
      <c r="W183" s="59"/>
      <c r="X183" s="93" t="str">
        <f t="shared" si="19"/>
        <v>D</v>
      </c>
    </row>
    <row r="184" spans="1:24" s="66" customFormat="1" x14ac:dyDescent="0.25">
      <c r="A184" s="53"/>
      <c r="B184" s="91" t="str">
        <f>IFERROR(VLOOKUP(A184,Lookup!A:B,2,0),"")</f>
        <v/>
      </c>
      <c r="C184" s="92" t="str">
        <f>IFERROR(VLOOKUP(A184,Lookup!A:C,3,0),"")</f>
        <v/>
      </c>
      <c r="D184" s="59"/>
      <c r="E184" s="59"/>
      <c r="F184" s="59"/>
      <c r="G184" s="94"/>
      <c r="H184" s="59"/>
      <c r="I184" s="59"/>
      <c r="J184" s="106">
        <f>VLOOKUP(A184&amp;G184,Lookup!J:N,5,0)</f>
        <v>0</v>
      </c>
      <c r="K184" s="110"/>
      <c r="L184" s="59"/>
      <c r="M184" s="59"/>
      <c r="N184" s="59"/>
      <c r="O184" s="112">
        <v>7.3923611111111098</v>
      </c>
      <c r="P184" s="110" t="str">
        <f t="shared" si="18"/>
        <v/>
      </c>
      <c r="Q184" s="59"/>
      <c r="R184" s="87" t="str">
        <f t="shared" si="20"/>
        <v/>
      </c>
      <c r="S184" s="87" t="str">
        <f t="shared" si="21"/>
        <v/>
      </c>
      <c r="T184" s="59"/>
      <c r="U184" s="59"/>
      <c r="V184" s="59"/>
      <c r="W184" s="59"/>
      <c r="X184" s="93" t="str">
        <f t="shared" si="19"/>
        <v>D</v>
      </c>
    </row>
    <row r="185" spans="1:24" s="66" customFormat="1" x14ac:dyDescent="0.25">
      <c r="A185" s="53"/>
      <c r="B185" s="91" t="str">
        <f>IFERROR(VLOOKUP(A185,Lookup!A:B,2,0),"")</f>
        <v/>
      </c>
      <c r="C185" s="92" t="str">
        <f>IFERROR(VLOOKUP(A185,Lookup!A:C,3,0),"")</f>
        <v/>
      </c>
      <c r="D185" s="59"/>
      <c r="E185" s="59"/>
      <c r="F185" s="59"/>
      <c r="G185" s="94"/>
      <c r="H185" s="59"/>
      <c r="I185" s="59"/>
      <c r="J185" s="106">
        <f>VLOOKUP(A185&amp;G185,Lookup!J:N,5,0)</f>
        <v>0</v>
      </c>
      <c r="K185" s="110"/>
      <c r="L185" s="59"/>
      <c r="M185" s="59"/>
      <c r="N185" s="59"/>
      <c r="O185" s="112">
        <v>7.4340277777777803</v>
      </c>
      <c r="P185" s="110" t="str">
        <f t="shared" si="18"/>
        <v/>
      </c>
      <c r="Q185" s="59"/>
      <c r="R185" s="87" t="str">
        <f t="shared" si="20"/>
        <v/>
      </c>
      <c r="S185" s="87" t="str">
        <f t="shared" si="21"/>
        <v/>
      </c>
      <c r="T185" s="59"/>
      <c r="U185" s="59"/>
      <c r="V185" s="59"/>
      <c r="W185" s="59"/>
      <c r="X185" s="93" t="str">
        <f t="shared" si="19"/>
        <v>D</v>
      </c>
    </row>
    <row r="186" spans="1:24" s="66" customFormat="1" x14ac:dyDescent="0.25">
      <c r="A186" s="53"/>
      <c r="B186" s="91" t="str">
        <f>IFERROR(VLOOKUP(A186,Lookup!A:B,2,0),"")</f>
        <v/>
      </c>
      <c r="C186" s="92" t="str">
        <f>IFERROR(VLOOKUP(A186,Lookup!A:C,3,0),"")</f>
        <v/>
      </c>
      <c r="D186" s="59"/>
      <c r="E186" s="59"/>
      <c r="F186" s="59"/>
      <c r="G186" s="94"/>
      <c r="H186" s="59"/>
      <c r="I186" s="59"/>
      <c r="J186" s="106">
        <f>VLOOKUP(A186&amp;G186,Lookup!J:N,5,0)</f>
        <v>0</v>
      </c>
      <c r="K186" s="110"/>
      <c r="L186" s="59"/>
      <c r="M186" s="59"/>
      <c r="N186" s="59"/>
      <c r="O186" s="112">
        <v>7.4756944444444402</v>
      </c>
      <c r="P186" s="110" t="str">
        <f t="shared" si="18"/>
        <v/>
      </c>
      <c r="Q186" s="59"/>
      <c r="R186" s="87" t="str">
        <f t="shared" si="20"/>
        <v/>
      </c>
      <c r="S186" s="87" t="str">
        <f t="shared" si="21"/>
        <v/>
      </c>
      <c r="T186" s="59"/>
      <c r="U186" s="59"/>
      <c r="V186" s="59"/>
      <c r="W186" s="59"/>
      <c r="X186" s="93" t="str">
        <f t="shared" si="19"/>
        <v>D</v>
      </c>
    </row>
    <row r="187" spans="1:24" s="66" customFormat="1" x14ac:dyDescent="0.25">
      <c r="A187" s="53"/>
      <c r="B187" s="91" t="str">
        <f>IFERROR(VLOOKUP(A187,Lookup!A:B,2,0),"")</f>
        <v/>
      </c>
      <c r="C187" s="92" t="str">
        <f>IFERROR(VLOOKUP(A187,Lookup!A:C,3,0),"")</f>
        <v/>
      </c>
      <c r="D187" s="59"/>
      <c r="E187" s="59"/>
      <c r="F187" s="59"/>
      <c r="G187" s="94"/>
      <c r="H187" s="59"/>
      <c r="I187" s="59"/>
      <c r="J187" s="106">
        <f>VLOOKUP(A187&amp;G187,Lookup!J:N,5,0)</f>
        <v>0</v>
      </c>
      <c r="K187" s="110"/>
      <c r="L187" s="59"/>
      <c r="M187" s="59"/>
      <c r="N187" s="59"/>
      <c r="O187" s="112">
        <v>7.5173611111111098</v>
      </c>
      <c r="P187" s="110" t="str">
        <f t="shared" si="18"/>
        <v/>
      </c>
      <c r="Q187" s="59"/>
      <c r="R187" s="87" t="str">
        <f t="shared" si="20"/>
        <v/>
      </c>
      <c r="S187" s="87" t="str">
        <f t="shared" si="21"/>
        <v/>
      </c>
      <c r="T187" s="59"/>
      <c r="U187" s="59"/>
      <c r="V187" s="59"/>
      <c r="W187" s="59"/>
      <c r="X187" s="93" t="str">
        <f t="shared" si="19"/>
        <v>D</v>
      </c>
    </row>
    <row r="188" spans="1:24" s="66" customFormat="1" x14ac:dyDescent="0.25">
      <c r="A188" s="53"/>
      <c r="B188" s="91" t="str">
        <f>IFERROR(VLOOKUP(A188,Lookup!A:B,2,0),"")</f>
        <v/>
      </c>
      <c r="C188" s="92" t="str">
        <f>IFERROR(VLOOKUP(A188,Lookup!A:C,3,0),"")</f>
        <v/>
      </c>
      <c r="D188" s="59"/>
      <c r="E188" s="59"/>
      <c r="F188" s="59"/>
      <c r="G188" s="94"/>
      <c r="H188" s="59"/>
      <c r="I188" s="59"/>
      <c r="J188" s="106">
        <f>VLOOKUP(A188&amp;G188,Lookup!J:N,5,0)</f>
        <v>0</v>
      </c>
      <c r="K188" s="110"/>
      <c r="L188" s="59"/>
      <c r="M188" s="59"/>
      <c r="N188" s="59"/>
      <c r="O188" s="112">
        <v>7.5590277777777803</v>
      </c>
      <c r="P188" s="110" t="str">
        <f t="shared" si="18"/>
        <v/>
      </c>
      <c r="Q188" s="59"/>
      <c r="R188" s="87" t="str">
        <f t="shared" si="20"/>
        <v/>
      </c>
      <c r="S188" s="87" t="str">
        <f t="shared" si="21"/>
        <v/>
      </c>
      <c r="T188" s="59"/>
      <c r="U188" s="59"/>
      <c r="V188" s="59"/>
      <c r="W188" s="59"/>
      <c r="X188" s="93" t="str">
        <f t="shared" si="19"/>
        <v>D</v>
      </c>
    </row>
    <row r="189" spans="1:24" s="66" customFormat="1" x14ac:dyDescent="0.25">
      <c r="A189" s="53"/>
      <c r="B189" s="91" t="str">
        <f>IFERROR(VLOOKUP(A189,Lookup!A:B,2,0),"")</f>
        <v/>
      </c>
      <c r="C189" s="92" t="str">
        <f>IFERROR(VLOOKUP(A189,Lookup!A:C,3,0),"")</f>
        <v/>
      </c>
      <c r="D189" s="59"/>
      <c r="E189" s="59"/>
      <c r="F189" s="59"/>
      <c r="G189" s="94"/>
      <c r="H189" s="59"/>
      <c r="I189" s="59"/>
      <c r="J189" s="106">
        <f>VLOOKUP(A189&amp;G189,Lookup!J:N,5,0)</f>
        <v>0</v>
      </c>
      <c r="K189" s="110"/>
      <c r="L189" s="59"/>
      <c r="M189" s="59"/>
      <c r="N189" s="59"/>
      <c r="O189" s="112">
        <v>7.6006944444444402</v>
      </c>
      <c r="P189" s="110" t="str">
        <f t="shared" si="18"/>
        <v/>
      </c>
      <c r="Q189" s="59"/>
      <c r="R189" s="87" t="str">
        <f t="shared" si="20"/>
        <v/>
      </c>
      <c r="S189" s="87" t="str">
        <f t="shared" si="21"/>
        <v/>
      </c>
      <c r="T189" s="59"/>
      <c r="U189" s="59"/>
      <c r="V189" s="59"/>
      <c r="W189" s="59"/>
      <c r="X189" s="93" t="str">
        <f t="shared" si="19"/>
        <v>D</v>
      </c>
    </row>
    <row r="190" spans="1:24" s="66" customFormat="1" x14ac:dyDescent="0.25">
      <c r="A190" s="53"/>
      <c r="B190" s="91" t="str">
        <f>IFERROR(VLOOKUP(A190,Lookup!A:B,2,0),"")</f>
        <v/>
      </c>
      <c r="C190" s="92" t="str">
        <f>IFERROR(VLOOKUP(A190,Lookup!A:C,3,0),"")</f>
        <v/>
      </c>
      <c r="D190" s="59"/>
      <c r="E190" s="59"/>
      <c r="F190" s="59"/>
      <c r="G190" s="94"/>
      <c r="H190" s="59"/>
      <c r="I190" s="59"/>
      <c r="J190" s="106">
        <f>VLOOKUP(A190&amp;G190,Lookup!J:N,5,0)</f>
        <v>0</v>
      </c>
      <c r="K190" s="110"/>
      <c r="L190" s="59"/>
      <c r="M190" s="59"/>
      <c r="N190" s="59"/>
      <c r="O190" s="112">
        <v>7.6423611111111098</v>
      </c>
      <c r="P190" s="110" t="str">
        <f t="shared" si="18"/>
        <v/>
      </c>
      <c r="Q190" s="59"/>
      <c r="R190" s="87" t="str">
        <f t="shared" si="20"/>
        <v/>
      </c>
      <c r="S190" s="87" t="str">
        <f t="shared" si="21"/>
        <v/>
      </c>
      <c r="T190" s="59"/>
      <c r="U190" s="59"/>
      <c r="V190" s="59"/>
      <c r="W190" s="59"/>
      <c r="X190" s="93" t="str">
        <f t="shared" si="19"/>
        <v>D</v>
      </c>
    </row>
    <row r="191" spans="1:24" s="66" customFormat="1" x14ac:dyDescent="0.25">
      <c r="A191" s="53"/>
      <c r="B191" s="91" t="str">
        <f>IFERROR(VLOOKUP(A191,Lookup!A:B,2,0),"")</f>
        <v/>
      </c>
      <c r="C191" s="92" t="str">
        <f>IFERROR(VLOOKUP(A191,Lookup!A:C,3,0),"")</f>
        <v/>
      </c>
      <c r="D191" s="59"/>
      <c r="E191" s="59"/>
      <c r="F191" s="59"/>
      <c r="G191" s="94"/>
      <c r="H191" s="59"/>
      <c r="I191" s="59"/>
      <c r="J191" s="106">
        <f>VLOOKUP(A191&amp;G191,Lookup!J:N,5,0)</f>
        <v>0</v>
      </c>
      <c r="K191" s="110"/>
      <c r="L191" s="59"/>
      <c r="M191" s="59"/>
      <c r="N191" s="59"/>
      <c r="O191" s="112">
        <v>7.6840277777777803</v>
      </c>
      <c r="P191" s="110" t="str">
        <f t="shared" si="18"/>
        <v/>
      </c>
      <c r="Q191" s="59"/>
      <c r="R191" s="87" t="str">
        <f t="shared" si="20"/>
        <v/>
      </c>
      <c r="S191" s="87" t="str">
        <f t="shared" si="21"/>
        <v/>
      </c>
      <c r="T191" s="59"/>
      <c r="U191" s="59"/>
      <c r="V191" s="59"/>
      <c r="W191" s="59"/>
      <c r="X191" s="93" t="str">
        <f t="shared" si="19"/>
        <v>D</v>
      </c>
    </row>
    <row r="192" spans="1:24" s="66" customFormat="1" x14ac:dyDescent="0.25">
      <c r="A192" s="53"/>
      <c r="B192" s="91" t="str">
        <f>IFERROR(VLOOKUP(A192,Lookup!A:B,2,0),"")</f>
        <v/>
      </c>
      <c r="C192" s="92" t="str">
        <f>IFERROR(VLOOKUP(A192,Lookup!A:C,3,0),"")</f>
        <v/>
      </c>
      <c r="D192" s="59"/>
      <c r="E192" s="59"/>
      <c r="F192" s="59"/>
      <c r="G192" s="94"/>
      <c r="H192" s="59"/>
      <c r="I192" s="59"/>
      <c r="J192" s="106">
        <f>VLOOKUP(A192&amp;G192,Lookup!J:N,5,0)</f>
        <v>0</v>
      </c>
      <c r="K192" s="110"/>
      <c r="L192" s="59"/>
      <c r="M192" s="59"/>
      <c r="N192" s="59"/>
      <c r="O192" s="112">
        <v>7.7256944444444402</v>
      </c>
      <c r="P192" s="110" t="str">
        <f t="shared" si="18"/>
        <v/>
      </c>
      <c r="Q192" s="59"/>
      <c r="R192" s="87" t="str">
        <f t="shared" si="20"/>
        <v/>
      </c>
      <c r="S192" s="87" t="str">
        <f t="shared" si="21"/>
        <v/>
      </c>
      <c r="T192" s="59"/>
      <c r="U192" s="59"/>
      <c r="V192" s="59"/>
      <c r="W192" s="59"/>
      <c r="X192" s="93" t="str">
        <f t="shared" si="19"/>
        <v>D</v>
      </c>
    </row>
    <row r="193" spans="1:24" s="66" customFormat="1" x14ac:dyDescent="0.25">
      <c r="A193" s="53"/>
      <c r="B193" s="91" t="str">
        <f>IFERROR(VLOOKUP(A193,Lookup!A:B,2,0),"")</f>
        <v/>
      </c>
      <c r="C193" s="92" t="str">
        <f>IFERROR(VLOOKUP(A193,Lookup!A:C,3,0),"")</f>
        <v/>
      </c>
      <c r="D193" s="59"/>
      <c r="E193" s="59"/>
      <c r="F193" s="59"/>
      <c r="G193" s="94"/>
      <c r="H193" s="59"/>
      <c r="I193" s="59"/>
      <c r="J193" s="106">
        <f>VLOOKUP(A193&amp;G193,Lookup!J:N,5,0)</f>
        <v>0</v>
      </c>
      <c r="K193" s="110"/>
      <c r="L193" s="59"/>
      <c r="M193" s="59"/>
      <c r="N193" s="59"/>
      <c r="O193" s="112">
        <v>7.7673611111111098</v>
      </c>
      <c r="P193" s="110" t="str">
        <f t="shared" si="18"/>
        <v/>
      </c>
      <c r="Q193" s="59"/>
      <c r="R193" s="87" t="str">
        <f t="shared" si="20"/>
        <v/>
      </c>
      <c r="S193" s="87" t="str">
        <f t="shared" si="21"/>
        <v/>
      </c>
      <c r="T193" s="59"/>
      <c r="U193" s="59"/>
      <c r="V193" s="59"/>
      <c r="W193" s="59"/>
      <c r="X193" s="93" t="str">
        <f t="shared" si="19"/>
        <v>D</v>
      </c>
    </row>
    <row r="194" spans="1:24" s="66" customFormat="1" x14ac:dyDescent="0.25">
      <c r="A194" s="53"/>
      <c r="B194" s="91" t="str">
        <f>IFERROR(VLOOKUP(A194,Lookup!A:B,2,0),"")</f>
        <v/>
      </c>
      <c r="C194" s="92" t="str">
        <f>IFERROR(VLOOKUP(A194,Lookup!A:C,3,0),"")</f>
        <v/>
      </c>
      <c r="D194" s="59"/>
      <c r="E194" s="59"/>
      <c r="F194" s="59"/>
      <c r="G194" s="94"/>
      <c r="H194" s="59"/>
      <c r="I194" s="59"/>
      <c r="J194" s="106">
        <f>VLOOKUP(A194&amp;G194,Lookup!J:N,5,0)</f>
        <v>0</v>
      </c>
      <c r="K194" s="110"/>
      <c r="L194" s="59"/>
      <c r="M194" s="59"/>
      <c r="N194" s="59"/>
      <c r="O194" s="112">
        <v>7.8090277777777803</v>
      </c>
      <c r="P194" s="110" t="str">
        <f t="shared" si="18"/>
        <v/>
      </c>
      <c r="Q194" s="59"/>
      <c r="R194" s="87" t="str">
        <f t="shared" si="20"/>
        <v/>
      </c>
      <c r="S194" s="87" t="str">
        <f t="shared" si="21"/>
        <v/>
      </c>
      <c r="T194" s="59"/>
      <c r="U194" s="59"/>
      <c r="V194" s="59"/>
      <c r="W194" s="59"/>
      <c r="X194" s="93" t="str">
        <f t="shared" si="19"/>
        <v>D</v>
      </c>
    </row>
    <row r="195" spans="1:24" s="66" customFormat="1" x14ac:dyDescent="0.25">
      <c r="A195" s="53"/>
      <c r="B195" s="91" t="str">
        <f>IFERROR(VLOOKUP(A195,Lookup!A:B,2,0),"")</f>
        <v/>
      </c>
      <c r="C195" s="92" t="str">
        <f>IFERROR(VLOOKUP(A195,Lookup!A:C,3,0),"")</f>
        <v/>
      </c>
      <c r="D195" s="59"/>
      <c r="E195" s="59"/>
      <c r="F195" s="59"/>
      <c r="G195" s="94"/>
      <c r="H195" s="59"/>
      <c r="I195" s="59"/>
      <c r="J195" s="106">
        <f>VLOOKUP(A195&amp;G195,Lookup!J:N,5,0)</f>
        <v>0</v>
      </c>
      <c r="K195" s="110"/>
      <c r="L195" s="59"/>
      <c r="M195" s="59"/>
      <c r="N195" s="59"/>
      <c r="O195" s="112">
        <v>7.8506944444444402</v>
      </c>
      <c r="P195" s="110" t="str">
        <f t="shared" ref="P195:P258" si="22">IF(N195="","",N195+O195)</f>
        <v/>
      </c>
      <c r="Q195" s="59"/>
      <c r="R195" s="87" t="str">
        <f t="shared" si="20"/>
        <v/>
      </c>
      <c r="S195" s="87" t="str">
        <f t="shared" si="21"/>
        <v/>
      </c>
      <c r="T195" s="59"/>
      <c r="U195" s="59"/>
      <c r="V195" s="59"/>
      <c r="W195" s="59"/>
      <c r="X195" s="93" t="str">
        <f t="shared" ref="X195:X258" si="23">IF(I195="SET","A",IF(I195="FREQ","C",IF(I195="","D","B")))</f>
        <v>D</v>
      </c>
    </row>
    <row r="196" spans="1:24" s="66" customFormat="1" x14ac:dyDescent="0.25">
      <c r="A196" s="53"/>
      <c r="B196" s="91" t="str">
        <f>IFERROR(VLOOKUP(A196,Lookup!A:B,2,0),"")</f>
        <v/>
      </c>
      <c r="C196" s="92" t="str">
        <f>IFERROR(VLOOKUP(A196,Lookup!A:C,3,0),"")</f>
        <v/>
      </c>
      <c r="D196" s="59"/>
      <c r="E196" s="59"/>
      <c r="F196" s="59"/>
      <c r="G196" s="94"/>
      <c r="H196" s="59"/>
      <c r="I196" s="59"/>
      <c r="J196" s="106">
        <f>VLOOKUP(A196&amp;G196,Lookup!J:N,5,0)</f>
        <v>0</v>
      </c>
      <c r="K196" s="110"/>
      <c r="L196" s="59"/>
      <c r="M196" s="59"/>
      <c r="N196" s="59"/>
      <c r="O196" s="112">
        <v>7.8923611111111098</v>
      </c>
      <c r="P196" s="110" t="str">
        <f t="shared" si="22"/>
        <v/>
      </c>
      <c r="Q196" s="59"/>
      <c r="R196" s="87" t="str">
        <f t="shared" si="20"/>
        <v/>
      </c>
      <c r="S196" s="87" t="str">
        <f t="shared" si="21"/>
        <v/>
      </c>
      <c r="T196" s="59"/>
      <c r="U196" s="59"/>
      <c r="V196" s="59"/>
      <c r="W196" s="59"/>
      <c r="X196" s="93" t="str">
        <f t="shared" si="23"/>
        <v>D</v>
      </c>
    </row>
    <row r="197" spans="1:24" s="66" customFormat="1" x14ac:dyDescent="0.25">
      <c r="A197" s="53"/>
      <c r="B197" s="91" t="str">
        <f>IFERROR(VLOOKUP(A197,Lookup!A:B,2,0),"")</f>
        <v/>
      </c>
      <c r="C197" s="92" t="str">
        <f>IFERROR(VLOOKUP(A197,Lookup!A:C,3,0),"")</f>
        <v/>
      </c>
      <c r="D197" s="59"/>
      <c r="E197" s="59"/>
      <c r="F197" s="59"/>
      <c r="G197" s="94"/>
      <c r="H197" s="59"/>
      <c r="I197" s="59"/>
      <c r="J197" s="106">
        <f>VLOOKUP(A197&amp;G197,Lookup!J:N,5,0)</f>
        <v>0</v>
      </c>
      <c r="K197" s="110"/>
      <c r="L197" s="59"/>
      <c r="M197" s="59"/>
      <c r="N197" s="59"/>
      <c r="O197" s="112">
        <v>7.9340277777777803</v>
      </c>
      <c r="P197" s="110" t="str">
        <f t="shared" si="22"/>
        <v/>
      </c>
      <c r="Q197" s="59"/>
      <c r="R197" s="87" t="str">
        <f t="shared" si="20"/>
        <v/>
      </c>
      <c r="S197" s="87" t="str">
        <f t="shared" si="21"/>
        <v/>
      </c>
      <c r="T197" s="59"/>
      <c r="U197" s="59"/>
      <c r="V197" s="59"/>
      <c r="W197" s="59"/>
      <c r="X197" s="93" t="str">
        <f t="shared" si="23"/>
        <v>D</v>
      </c>
    </row>
    <row r="198" spans="1:24" s="66" customFormat="1" x14ac:dyDescent="0.25">
      <c r="A198" s="53"/>
      <c r="B198" s="91" t="str">
        <f>IFERROR(VLOOKUP(A198,Lookup!A:B,2,0),"")</f>
        <v/>
      </c>
      <c r="C198" s="92" t="str">
        <f>IFERROR(VLOOKUP(A198,Lookup!A:C,3,0),"")</f>
        <v/>
      </c>
      <c r="D198" s="59"/>
      <c r="E198" s="59"/>
      <c r="F198" s="59"/>
      <c r="G198" s="94"/>
      <c r="H198" s="59"/>
      <c r="I198" s="59"/>
      <c r="J198" s="106">
        <f>VLOOKUP(A198&amp;G198,Lookup!J:N,5,0)</f>
        <v>0</v>
      </c>
      <c r="K198" s="110"/>
      <c r="L198" s="59"/>
      <c r="M198" s="59"/>
      <c r="N198" s="59"/>
      <c r="O198" s="112">
        <v>7.9756944444444402</v>
      </c>
      <c r="P198" s="110" t="str">
        <f t="shared" si="22"/>
        <v/>
      </c>
      <c r="Q198" s="59"/>
      <c r="R198" s="87" t="str">
        <f t="shared" si="20"/>
        <v/>
      </c>
      <c r="S198" s="87" t="str">
        <f t="shared" si="21"/>
        <v/>
      </c>
      <c r="T198" s="59"/>
      <c r="U198" s="59"/>
      <c r="V198" s="59"/>
      <c r="W198" s="59"/>
      <c r="X198" s="93" t="str">
        <f t="shared" si="23"/>
        <v>D</v>
      </c>
    </row>
    <row r="199" spans="1:24" s="66" customFormat="1" x14ac:dyDescent="0.25">
      <c r="A199" s="53"/>
      <c r="B199" s="91" t="str">
        <f>IFERROR(VLOOKUP(A199,Lookup!A:B,2,0),"")</f>
        <v/>
      </c>
      <c r="C199" s="92" t="str">
        <f>IFERROR(VLOOKUP(A199,Lookup!A:C,3,0),"")</f>
        <v/>
      </c>
      <c r="D199" s="59"/>
      <c r="E199" s="59"/>
      <c r="F199" s="59"/>
      <c r="G199" s="94"/>
      <c r="H199" s="59"/>
      <c r="I199" s="59"/>
      <c r="J199" s="106">
        <f>VLOOKUP(A199&amp;G199,Lookup!J:N,5,0)</f>
        <v>0</v>
      </c>
      <c r="K199" s="110"/>
      <c r="L199" s="59"/>
      <c r="M199" s="59"/>
      <c r="N199" s="59"/>
      <c r="O199" s="112">
        <v>8.0173611111111107</v>
      </c>
      <c r="P199" s="110" t="str">
        <f t="shared" si="22"/>
        <v/>
      </c>
      <c r="Q199" s="59"/>
      <c r="R199" s="87" t="str">
        <f t="shared" ref="R199:R262" si="24">IF(OR(EXACT(N199,""), EXACT(L199,"")),"",N199-L199)</f>
        <v/>
      </c>
      <c r="S199" s="87" t="str">
        <f t="shared" ref="S199:S262" si="25">IF(OR(EXACT(Q199,""), EXACT(L199,"")),"",Q199-L199)</f>
        <v/>
      </c>
      <c r="T199" s="59"/>
      <c r="U199" s="59"/>
      <c r="V199" s="59"/>
      <c r="W199" s="59"/>
      <c r="X199" s="93" t="str">
        <f t="shared" si="23"/>
        <v>D</v>
      </c>
    </row>
    <row r="200" spans="1:24" s="66" customFormat="1" x14ac:dyDescent="0.25">
      <c r="A200" s="53"/>
      <c r="B200" s="91" t="str">
        <f>IFERROR(VLOOKUP(A200,Lookup!A:B,2,0),"")</f>
        <v/>
      </c>
      <c r="C200" s="92" t="str">
        <f>IFERROR(VLOOKUP(A200,Lookup!A:C,3,0),"")</f>
        <v/>
      </c>
      <c r="D200" s="59"/>
      <c r="E200" s="59"/>
      <c r="F200" s="59"/>
      <c r="G200" s="94"/>
      <c r="H200" s="59"/>
      <c r="I200" s="59"/>
      <c r="J200" s="106">
        <f>VLOOKUP(A200&amp;G200,Lookup!J:N,5,0)</f>
        <v>0</v>
      </c>
      <c r="K200" s="110"/>
      <c r="L200" s="59"/>
      <c r="M200" s="59"/>
      <c r="N200" s="59"/>
      <c r="O200" s="112">
        <v>8.0590277777777803</v>
      </c>
      <c r="P200" s="110" t="str">
        <f t="shared" si="22"/>
        <v/>
      </c>
      <c r="Q200" s="59"/>
      <c r="R200" s="87" t="str">
        <f t="shared" si="24"/>
        <v/>
      </c>
      <c r="S200" s="87" t="str">
        <f t="shared" si="25"/>
        <v/>
      </c>
      <c r="T200" s="59"/>
      <c r="U200" s="59"/>
      <c r="V200" s="59"/>
      <c r="W200" s="59"/>
      <c r="X200" s="93" t="str">
        <f t="shared" si="23"/>
        <v>D</v>
      </c>
    </row>
    <row r="201" spans="1:24" s="66" customFormat="1" x14ac:dyDescent="0.25">
      <c r="A201" s="53"/>
      <c r="B201" s="91" t="str">
        <f>IFERROR(VLOOKUP(A201,Lookup!A:B,2,0),"")</f>
        <v/>
      </c>
      <c r="C201" s="92" t="str">
        <f>IFERROR(VLOOKUP(A201,Lookup!A:C,3,0),"")</f>
        <v/>
      </c>
      <c r="D201" s="59"/>
      <c r="E201" s="59"/>
      <c r="F201" s="59"/>
      <c r="G201" s="94"/>
      <c r="H201" s="59"/>
      <c r="I201" s="59"/>
      <c r="J201" s="106">
        <f>VLOOKUP(A201&amp;G201,Lookup!J:N,5,0)</f>
        <v>0</v>
      </c>
      <c r="K201" s="110"/>
      <c r="L201" s="59"/>
      <c r="M201" s="59"/>
      <c r="N201" s="59"/>
      <c r="O201" s="112">
        <v>8.1006944444444393</v>
      </c>
      <c r="P201" s="110" t="str">
        <f t="shared" si="22"/>
        <v/>
      </c>
      <c r="Q201" s="59"/>
      <c r="R201" s="87" t="str">
        <f t="shared" si="24"/>
        <v/>
      </c>
      <c r="S201" s="87" t="str">
        <f t="shared" si="25"/>
        <v/>
      </c>
      <c r="T201" s="59"/>
      <c r="U201" s="59"/>
      <c r="V201" s="59"/>
      <c r="W201" s="59"/>
      <c r="X201" s="93" t="str">
        <f t="shared" si="23"/>
        <v>D</v>
      </c>
    </row>
    <row r="202" spans="1:24" s="66" customFormat="1" x14ac:dyDescent="0.25">
      <c r="A202" s="53"/>
      <c r="B202" s="91" t="str">
        <f>IFERROR(VLOOKUP(A202,Lookup!A:B,2,0),"")</f>
        <v/>
      </c>
      <c r="C202" s="92" t="str">
        <f>IFERROR(VLOOKUP(A202,Lookup!A:C,3,0),"")</f>
        <v/>
      </c>
      <c r="D202" s="59"/>
      <c r="E202" s="59"/>
      <c r="F202" s="59"/>
      <c r="G202" s="94"/>
      <c r="H202" s="59"/>
      <c r="I202" s="59"/>
      <c r="J202" s="106">
        <f>VLOOKUP(A202&amp;G202,Lookup!J:N,5,0)</f>
        <v>0</v>
      </c>
      <c r="K202" s="110"/>
      <c r="L202" s="59"/>
      <c r="M202" s="59"/>
      <c r="N202" s="59"/>
      <c r="O202" s="112">
        <v>8.1423611111111107</v>
      </c>
      <c r="P202" s="110" t="str">
        <f t="shared" si="22"/>
        <v/>
      </c>
      <c r="Q202" s="59"/>
      <c r="R202" s="87" t="str">
        <f t="shared" si="24"/>
        <v/>
      </c>
      <c r="S202" s="87" t="str">
        <f t="shared" si="25"/>
        <v/>
      </c>
      <c r="T202" s="59"/>
      <c r="U202" s="59"/>
      <c r="V202" s="59"/>
      <c r="W202" s="59"/>
      <c r="X202" s="93" t="str">
        <f t="shared" si="23"/>
        <v>D</v>
      </c>
    </row>
    <row r="203" spans="1:24" s="66" customFormat="1" x14ac:dyDescent="0.25">
      <c r="A203" s="53"/>
      <c r="B203" s="91" t="str">
        <f>IFERROR(VLOOKUP(A203,Lookup!A:B,2,0),"")</f>
        <v/>
      </c>
      <c r="C203" s="92" t="str">
        <f>IFERROR(VLOOKUP(A203,Lookup!A:C,3,0),"")</f>
        <v/>
      </c>
      <c r="D203" s="59"/>
      <c r="E203" s="59"/>
      <c r="F203" s="59"/>
      <c r="G203" s="94"/>
      <c r="H203" s="59"/>
      <c r="I203" s="59"/>
      <c r="J203" s="106">
        <f>VLOOKUP(A203&amp;G203,Lookup!J:N,5,0)</f>
        <v>0</v>
      </c>
      <c r="K203" s="110"/>
      <c r="L203" s="59"/>
      <c r="M203" s="59"/>
      <c r="N203" s="59"/>
      <c r="O203" s="112">
        <v>8.1840277777777803</v>
      </c>
      <c r="P203" s="110" t="str">
        <f t="shared" si="22"/>
        <v/>
      </c>
      <c r="Q203" s="59"/>
      <c r="R203" s="87" t="str">
        <f t="shared" si="24"/>
        <v/>
      </c>
      <c r="S203" s="87" t="str">
        <f t="shared" si="25"/>
        <v/>
      </c>
      <c r="T203" s="59"/>
      <c r="U203" s="59"/>
      <c r="V203" s="59"/>
      <c r="W203" s="59"/>
      <c r="X203" s="93" t="str">
        <f t="shared" si="23"/>
        <v>D</v>
      </c>
    </row>
    <row r="204" spans="1:24" s="66" customFormat="1" x14ac:dyDescent="0.25">
      <c r="A204" s="53"/>
      <c r="B204" s="91" t="str">
        <f>IFERROR(VLOOKUP(A204,Lookup!A:B,2,0),"")</f>
        <v/>
      </c>
      <c r="C204" s="92" t="str">
        <f>IFERROR(VLOOKUP(A204,Lookup!A:C,3,0),"")</f>
        <v/>
      </c>
      <c r="D204" s="59"/>
      <c r="E204" s="59"/>
      <c r="F204" s="59"/>
      <c r="G204" s="94"/>
      <c r="H204" s="59"/>
      <c r="I204" s="59"/>
      <c r="J204" s="106">
        <f>VLOOKUP(A204&amp;G204,Lookup!J:N,5,0)</f>
        <v>0</v>
      </c>
      <c r="K204" s="110"/>
      <c r="L204" s="59"/>
      <c r="M204" s="59"/>
      <c r="N204" s="59"/>
      <c r="O204" s="112">
        <v>8.2256944444444393</v>
      </c>
      <c r="P204" s="110" t="str">
        <f t="shared" si="22"/>
        <v/>
      </c>
      <c r="Q204" s="59"/>
      <c r="R204" s="87" t="str">
        <f t="shared" si="24"/>
        <v/>
      </c>
      <c r="S204" s="87" t="str">
        <f t="shared" si="25"/>
        <v/>
      </c>
      <c r="T204" s="59"/>
      <c r="U204" s="59"/>
      <c r="V204" s="59"/>
      <c r="W204" s="59"/>
      <c r="X204" s="93" t="str">
        <f t="shared" si="23"/>
        <v>D</v>
      </c>
    </row>
    <row r="205" spans="1:24" s="66" customFormat="1" x14ac:dyDescent="0.25">
      <c r="A205" s="53"/>
      <c r="B205" s="91" t="str">
        <f>IFERROR(VLOOKUP(A205,Lookup!A:B,2,0),"")</f>
        <v/>
      </c>
      <c r="C205" s="92" t="str">
        <f>IFERROR(VLOOKUP(A205,Lookup!A:C,3,0),"")</f>
        <v/>
      </c>
      <c r="D205" s="59"/>
      <c r="E205" s="59"/>
      <c r="F205" s="59"/>
      <c r="G205" s="94"/>
      <c r="H205" s="59"/>
      <c r="I205" s="59"/>
      <c r="J205" s="106">
        <f>VLOOKUP(A205&amp;G205,Lookup!J:N,5,0)</f>
        <v>0</v>
      </c>
      <c r="K205" s="110"/>
      <c r="L205" s="59"/>
      <c r="M205" s="59"/>
      <c r="N205" s="59"/>
      <c r="O205" s="112">
        <v>8.2673611111111107</v>
      </c>
      <c r="P205" s="110" t="str">
        <f t="shared" si="22"/>
        <v/>
      </c>
      <c r="Q205" s="59"/>
      <c r="R205" s="87" t="str">
        <f t="shared" si="24"/>
        <v/>
      </c>
      <c r="S205" s="87" t="str">
        <f t="shared" si="25"/>
        <v/>
      </c>
      <c r="T205" s="59"/>
      <c r="U205" s="59"/>
      <c r="V205" s="59"/>
      <c r="W205" s="59"/>
      <c r="X205" s="93" t="str">
        <f t="shared" si="23"/>
        <v>D</v>
      </c>
    </row>
    <row r="206" spans="1:24" s="66" customFormat="1" x14ac:dyDescent="0.25">
      <c r="A206" s="53"/>
      <c r="B206" s="91" t="str">
        <f>IFERROR(VLOOKUP(A206,Lookup!A:B,2,0),"")</f>
        <v/>
      </c>
      <c r="C206" s="92" t="str">
        <f>IFERROR(VLOOKUP(A206,Lookup!A:C,3,0),"")</f>
        <v/>
      </c>
      <c r="D206" s="59"/>
      <c r="E206" s="59"/>
      <c r="F206" s="59"/>
      <c r="G206" s="94"/>
      <c r="H206" s="59"/>
      <c r="I206" s="59"/>
      <c r="J206" s="106">
        <f>VLOOKUP(A206&amp;G206,Lookup!J:N,5,0)</f>
        <v>0</v>
      </c>
      <c r="K206" s="110"/>
      <c r="L206" s="59"/>
      <c r="M206" s="59"/>
      <c r="N206" s="59"/>
      <c r="O206" s="112">
        <v>8.3090277777777803</v>
      </c>
      <c r="P206" s="110" t="str">
        <f t="shared" si="22"/>
        <v/>
      </c>
      <c r="Q206" s="59"/>
      <c r="R206" s="87" t="str">
        <f t="shared" si="24"/>
        <v/>
      </c>
      <c r="S206" s="87" t="str">
        <f t="shared" si="25"/>
        <v/>
      </c>
      <c r="T206" s="59"/>
      <c r="U206" s="59"/>
      <c r="V206" s="59"/>
      <c r="W206" s="59"/>
      <c r="X206" s="93" t="str">
        <f t="shared" si="23"/>
        <v>D</v>
      </c>
    </row>
    <row r="207" spans="1:24" s="66" customFormat="1" x14ac:dyDescent="0.25">
      <c r="A207" s="53"/>
      <c r="B207" s="91" t="str">
        <f>IFERROR(VLOOKUP(A207,Lookup!A:B,2,0),"")</f>
        <v/>
      </c>
      <c r="C207" s="92" t="str">
        <f>IFERROR(VLOOKUP(A207,Lookup!A:C,3,0),"")</f>
        <v/>
      </c>
      <c r="D207" s="59"/>
      <c r="E207" s="59"/>
      <c r="F207" s="59"/>
      <c r="G207" s="94"/>
      <c r="H207" s="59"/>
      <c r="I207" s="59"/>
      <c r="J207" s="106">
        <f>VLOOKUP(A207&amp;G207,Lookup!J:N,5,0)</f>
        <v>0</v>
      </c>
      <c r="K207" s="110"/>
      <c r="L207" s="59"/>
      <c r="M207" s="59"/>
      <c r="N207" s="59"/>
      <c r="O207" s="112">
        <v>8.3506944444444393</v>
      </c>
      <c r="P207" s="110" t="str">
        <f t="shared" si="22"/>
        <v/>
      </c>
      <c r="Q207" s="59"/>
      <c r="R207" s="87" t="str">
        <f t="shared" si="24"/>
        <v/>
      </c>
      <c r="S207" s="87" t="str">
        <f t="shared" si="25"/>
        <v/>
      </c>
      <c r="T207" s="59"/>
      <c r="U207" s="59"/>
      <c r="V207" s="59"/>
      <c r="W207" s="59"/>
      <c r="X207" s="93" t="str">
        <f t="shared" si="23"/>
        <v>D</v>
      </c>
    </row>
    <row r="208" spans="1:24" s="66" customFormat="1" x14ac:dyDescent="0.25">
      <c r="A208" s="53"/>
      <c r="B208" s="91" t="str">
        <f>IFERROR(VLOOKUP(A208,Lookup!A:B,2,0),"")</f>
        <v/>
      </c>
      <c r="C208" s="92" t="str">
        <f>IFERROR(VLOOKUP(A208,Lookup!A:C,3,0),"")</f>
        <v/>
      </c>
      <c r="D208" s="59"/>
      <c r="E208" s="59"/>
      <c r="F208" s="59"/>
      <c r="G208" s="94"/>
      <c r="H208" s="59"/>
      <c r="I208" s="59"/>
      <c r="J208" s="106">
        <f>VLOOKUP(A208&amp;G208,Lookup!J:N,5,0)</f>
        <v>0</v>
      </c>
      <c r="K208" s="110"/>
      <c r="L208" s="59"/>
      <c r="M208" s="59"/>
      <c r="N208" s="59"/>
      <c r="O208" s="112">
        <v>8.3923611111111107</v>
      </c>
      <c r="P208" s="110" t="str">
        <f t="shared" si="22"/>
        <v/>
      </c>
      <c r="Q208" s="59"/>
      <c r="R208" s="87" t="str">
        <f t="shared" si="24"/>
        <v/>
      </c>
      <c r="S208" s="87" t="str">
        <f t="shared" si="25"/>
        <v/>
      </c>
      <c r="T208" s="59"/>
      <c r="U208" s="59"/>
      <c r="V208" s="59"/>
      <c r="W208" s="59"/>
      <c r="X208" s="93" t="str">
        <f t="shared" si="23"/>
        <v>D</v>
      </c>
    </row>
    <row r="209" spans="1:24" s="66" customFormat="1" x14ac:dyDescent="0.25">
      <c r="A209" s="53"/>
      <c r="B209" s="91" t="str">
        <f>IFERROR(VLOOKUP(A209,Lookup!A:B,2,0),"")</f>
        <v/>
      </c>
      <c r="C209" s="92" t="str">
        <f>IFERROR(VLOOKUP(A209,Lookup!A:C,3,0),"")</f>
        <v/>
      </c>
      <c r="D209" s="59"/>
      <c r="E209" s="59"/>
      <c r="F209" s="59"/>
      <c r="G209" s="94"/>
      <c r="H209" s="59"/>
      <c r="I209" s="59"/>
      <c r="J209" s="106">
        <f>VLOOKUP(A209&amp;G209,Lookup!J:N,5,0)</f>
        <v>0</v>
      </c>
      <c r="K209" s="110"/>
      <c r="L209" s="59"/>
      <c r="M209" s="59"/>
      <c r="N209" s="59"/>
      <c r="O209" s="112">
        <v>8.4340277777777803</v>
      </c>
      <c r="P209" s="110" t="str">
        <f t="shared" si="22"/>
        <v/>
      </c>
      <c r="Q209" s="59"/>
      <c r="R209" s="87" t="str">
        <f t="shared" si="24"/>
        <v/>
      </c>
      <c r="S209" s="87" t="str">
        <f t="shared" si="25"/>
        <v/>
      </c>
      <c r="T209" s="59"/>
      <c r="U209" s="59"/>
      <c r="V209" s="59"/>
      <c r="W209" s="59"/>
      <c r="X209" s="93" t="str">
        <f t="shared" si="23"/>
        <v>D</v>
      </c>
    </row>
    <row r="210" spans="1:24" s="66" customFormat="1" x14ac:dyDescent="0.25">
      <c r="A210" s="53"/>
      <c r="B210" s="91" t="str">
        <f>IFERROR(VLOOKUP(A210,Lookup!A:B,2,0),"")</f>
        <v/>
      </c>
      <c r="C210" s="92" t="str">
        <f>IFERROR(VLOOKUP(A210,Lookup!A:C,3,0),"")</f>
        <v/>
      </c>
      <c r="D210" s="59"/>
      <c r="E210" s="59"/>
      <c r="F210" s="59"/>
      <c r="G210" s="94"/>
      <c r="H210" s="59"/>
      <c r="I210" s="59"/>
      <c r="J210" s="106">
        <f>VLOOKUP(A210&amp;G210,Lookup!J:N,5,0)</f>
        <v>0</v>
      </c>
      <c r="K210" s="110"/>
      <c r="L210" s="59"/>
      <c r="M210" s="59"/>
      <c r="N210" s="59"/>
      <c r="O210" s="112">
        <v>8.4756944444444393</v>
      </c>
      <c r="P210" s="110" t="str">
        <f t="shared" si="22"/>
        <v/>
      </c>
      <c r="Q210" s="59"/>
      <c r="R210" s="87" t="str">
        <f t="shared" si="24"/>
        <v/>
      </c>
      <c r="S210" s="87" t="str">
        <f t="shared" si="25"/>
        <v/>
      </c>
      <c r="T210" s="59"/>
      <c r="U210" s="59"/>
      <c r="V210" s="59"/>
      <c r="W210" s="59"/>
      <c r="X210" s="93" t="str">
        <f t="shared" si="23"/>
        <v>D</v>
      </c>
    </row>
    <row r="211" spans="1:24" s="66" customFormat="1" x14ac:dyDescent="0.25">
      <c r="A211" s="53"/>
      <c r="B211" s="91" t="str">
        <f>IFERROR(VLOOKUP(A211,Lookup!A:B,2,0),"")</f>
        <v/>
      </c>
      <c r="C211" s="92" t="str">
        <f>IFERROR(VLOOKUP(A211,Lookup!A:C,3,0),"")</f>
        <v/>
      </c>
      <c r="D211" s="59"/>
      <c r="E211" s="59"/>
      <c r="F211" s="59"/>
      <c r="G211" s="94"/>
      <c r="H211" s="59"/>
      <c r="I211" s="59"/>
      <c r="J211" s="106">
        <f>VLOOKUP(A211&amp;G211,Lookup!J:N,5,0)</f>
        <v>0</v>
      </c>
      <c r="K211" s="110"/>
      <c r="L211" s="59"/>
      <c r="M211" s="59"/>
      <c r="N211" s="59"/>
      <c r="O211" s="112">
        <v>8.5173611111111107</v>
      </c>
      <c r="P211" s="110" t="str">
        <f t="shared" si="22"/>
        <v/>
      </c>
      <c r="Q211" s="59"/>
      <c r="R211" s="87" t="str">
        <f t="shared" si="24"/>
        <v/>
      </c>
      <c r="S211" s="87" t="str">
        <f t="shared" si="25"/>
        <v/>
      </c>
      <c r="T211" s="59"/>
      <c r="U211" s="59"/>
      <c r="V211" s="59"/>
      <c r="W211" s="59"/>
      <c r="X211" s="93" t="str">
        <f t="shared" si="23"/>
        <v>D</v>
      </c>
    </row>
    <row r="212" spans="1:24" s="66" customFormat="1" x14ac:dyDescent="0.25">
      <c r="A212" s="53"/>
      <c r="B212" s="91" t="str">
        <f>IFERROR(VLOOKUP(A212,Lookup!A:B,2,0),"")</f>
        <v/>
      </c>
      <c r="C212" s="92" t="str">
        <f>IFERROR(VLOOKUP(A212,Lookup!A:C,3,0),"")</f>
        <v/>
      </c>
      <c r="D212" s="59"/>
      <c r="E212" s="59"/>
      <c r="F212" s="59"/>
      <c r="G212" s="94"/>
      <c r="H212" s="59"/>
      <c r="I212" s="59"/>
      <c r="J212" s="106">
        <f>VLOOKUP(A212&amp;G212,Lookup!J:N,5,0)</f>
        <v>0</v>
      </c>
      <c r="K212" s="110"/>
      <c r="L212" s="59"/>
      <c r="M212" s="59"/>
      <c r="N212" s="59"/>
      <c r="O212" s="112">
        <v>8.5590277777777803</v>
      </c>
      <c r="P212" s="110" t="str">
        <f t="shared" si="22"/>
        <v/>
      </c>
      <c r="Q212" s="59"/>
      <c r="R212" s="87" t="str">
        <f t="shared" si="24"/>
        <v/>
      </c>
      <c r="S212" s="87" t="str">
        <f t="shared" si="25"/>
        <v/>
      </c>
      <c r="T212" s="59"/>
      <c r="U212" s="59"/>
      <c r="V212" s="59"/>
      <c r="W212" s="59"/>
      <c r="X212" s="93" t="str">
        <f t="shared" si="23"/>
        <v>D</v>
      </c>
    </row>
    <row r="213" spans="1:24" s="66" customFormat="1" x14ac:dyDescent="0.25">
      <c r="A213" s="53"/>
      <c r="B213" s="91" t="str">
        <f>IFERROR(VLOOKUP(A213,Lookup!A:B,2,0),"")</f>
        <v/>
      </c>
      <c r="C213" s="92" t="str">
        <f>IFERROR(VLOOKUP(A213,Lookup!A:C,3,0),"")</f>
        <v/>
      </c>
      <c r="D213" s="59"/>
      <c r="E213" s="59"/>
      <c r="F213" s="59"/>
      <c r="G213" s="94"/>
      <c r="H213" s="59"/>
      <c r="I213" s="59"/>
      <c r="J213" s="106">
        <f>VLOOKUP(A213&amp;G213,Lookup!J:N,5,0)</f>
        <v>0</v>
      </c>
      <c r="K213" s="110"/>
      <c r="L213" s="59"/>
      <c r="M213" s="59"/>
      <c r="N213" s="59"/>
      <c r="O213" s="112">
        <v>8.6006944444444393</v>
      </c>
      <c r="P213" s="110" t="str">
        <f t="shared" si="22"/>
        <v/>
      </c>
      <c r="Q213" s="59"/>
      <c r="R213" s="87" t="str">
        <f t="shared" si="24"/>
        <v/>
      </c>
      <c r="S213" s="87" t="str">
        <f t="shared" si="25"/>
        <v/>
      </c>
      <c r="T213" s="59"/>
      <c r="U213" s="59"/>
      <c r="V213" s="59"/>
      <c r="W213" s="59"/>
      <c r="X213" s="93" t="str">
        <f t="shared" si="23"/>
        <v>D</v>
      </c>
    </row>
    <row r="214" spans="1:24" s="66" customFormat="1" x14ac:dyDescent="0.25">
      <c r="A214" s="53"/>
      <c r="B214" s="91" t="str">
        <f>IFERROR(VLOOKUP(A214,Lookup!A:B,2,0),"")</f>
        <v/>
      </c>
      <c r="C214" s="92" t="str">
        <f>IFERROR(VLOOKUP(A214,Lookup!A:C,3,0),"")</f>
        <v/>
      </c>
      <c r="D214" s="59"/>
      <c r="E214" s="59"/>
      <c r="F214" s="59"/>
      <c r="G214" s="94"/>
      <c r="H214" s="59"/>
      <c r="I214" s="59"/>
      <c r="J214" s="106">
        <f>VLOOKUP(A214&amp;G214,Lookup!J:N,5,0)</f>
        <v>0</v>
      </c>
      <c r="K214" s="110"/>
      <c r="L214" s="59"/>
      <c r="M214" s="59"/>
      <c r="N214" s="59"/>
      <c r="O214" s="112">
        <v>8.6423611111111107</v>
      </c>
      <c r="P214" s="110" t="str">
        <f t="shared" si="22"/>
        <v/>
      </c>
      <c r="Q214" s="59"/>
      <c r="R214" s="87" t="str">
        <f t="shared" si="24"/>
        <v/>
      </c>
      <c r="S214" s="87" t="str">
        <f t="shared" si="25"/>
        <v/>
      </c>
      <c r="T214" s="59"/>
      <c r="U214" s="59"/>
      <c r="V214" s="59"/>
      <c r="W214" s="59"/>
      <c r="X214" s="93" t="str">
        <f t="shared" si="23"/>
        <v>D</v>
      </c>
    </row>
    <row r="215" spans="1:24" s="66" customFormat="1" x14ac:dyDescent="0.25">
      <c r="A215" s="53"/>
      <c r="B215" s="91" t="str">
        <f>IFERROR(VLOOKUP(A215,Lookup!A:B,2,0),"")</f>
        <v/>
      </c>
      <c r="C215" s="92" t="str">
        <f>IFERROR(VLOOKUP(A215,Lookup!A:C,3,0),"")</f>
        <v/>
      </c>
      <c r="D215" s="59"/>
      <c r="E215" s="59"/>
      <c r="F215" s="59"/>
      <c r="G215" s="94"/>
      <c r="H215" s="59"/>
      <c r="I215" s="59"/>
      <c r="J215" s="106">
        <f>VLOOKUP(A215&amp;G215,Lookup!J:N,5,0)</f>
        <v>0</v>
      </c>
      <c r="K215" s="110"/>
      <c r="L215" s="59"/>
      <c r="M215" s="59"/>
      <c r="N215" s="59"/>
      <c r="O215" s="112">
        <v>8.6840277777777803</v>
      </c>
      <c r="P215" s="110" t="str">
        <f t="shared" si="22"/>
        <v/>
      </c>
      <c r="Q215" s="59"/>
      <c r="R215" s="87" t="str">
        <f t="shared" si="24"/>
        <v/>
      </c>
      <c r="S215" s="87" t="str">
        <f t="shared" si="25"/>
        <v/>
      </c>
      <c r="T215" s="59"/>
      <c r="U215" s="59"/>
      <c r="V215" s="59"/>
      <c r="W215" s="59"/>
      <c r="X215" s="93" t="str">
        <f t="shared" si="23"/>
        <v>D</v>
      </c>
    </row>
    <row r="216" spans="1:24" s="66" customFormat="1" x14ac:dyDescent="0.25">
      <c r="A216" s="53"/>
      <c r="B216" s="91" t="str">
        <f>IFERROR(VLOOKUP(A216,Lookup!A:B,2,0),"")</f>
        <v/>
      </c>
      <c r="C216" s="92" t="str">
        <f>IFERROR(VLOOKUP(A216,Lookup!A:C,3,0),"")</f>
        <v/>
      </c>
      <c r="D216" s="59"/>
      <c r="E216" s="59"/>
      <c r="F216" s="59"/>
      <c r="G216" s="94"/>
      <c r="H216" s="59"/>
      <c r="I216" s="59"/>
      <c r="J216" s="106">
        <f>VLOOKUP(A216&amp;G216,Lookup!J:N,5,0)</f>
        <v>0</v>
      </c>
      <c r="K216" s="110"/>
      <c r="L216" s="59"/>
      <c r="M216" s="59"/>
      <c r="N216" s="59"/>
      <c r="O216" s="112">
        <v>8.7256944444444393</v>
      </c>
      <c r="P216" s="110" t="str">
        <f t="shared" si="22"/>
        <v/>
      </c>
      <c r="Q216" s="59"/>
      <c r="R216" s="87" t="str">
        <f t="shared" si="24"/>
        <v/>
      </c>
      <c r="S216" s="87" t="str">
        <f t="shared" si="25"/>
        <v/>
      </c>
      <c r="T216" s="59"/>
      <c r="U216" s="59"/>
      <c r="V216" s="59"/>
      <c r="W216" s="59"/>
      <c r="X216" s="93" t="str">
        <f t="shared" si="23"/>
        <v>D</v>
      </c>
    </row>
    <row r="217" spans="1:24" s="66" customFormat="1" x14ac:dyDescent="0.25">
      <c r="A217" s="53"/>
      <c r="B217" s="91" t="str">
        <f>IFERROR(VLOOKUP(A217,Lookup!A:B,2,0),"")</f>
        <v/>
      </c>
      <c r="C217" s="92" t="str">
        <f>IFERROR(VLOOKUP(A217,Lookup!A:C,3,0),"")</f>
        <v/>
      </c>
      <c r="D217" s="59"/>
      <c r="E217" s="59"/>
      <c r="F217" s="59"/>
      <c r="G217" s="94"/>
      <c r="H217" s="59"/>
      <c r="I217" s="59"/>
      <c r="J217" s="106">
        <f>VLOOKUP(A217&amp;G217,Lookup!J:N,5,0)</f>
        <v>0</v>
      </c>
      <c r="K217" s="110"/>
      <c r="L217" s="59"/>
      <c r="M217" s="59"/>
      <c r="N217" s="59"/>
      <c r="O217" s="112">
        <v>8.7673611111111107</v>
      </c>
      <c r="P217" s="110" t="str">
        <f t="shared" si="22"/>
        <v/>
      </c>
      <c r="Q217" s="59"/>
      <c r="R217" s="87" t="str">
        <f t="shared" si="24"/>
        <v/>
      </c>
      <c r="S217" s="87" t="str">
        <f t="shared" si="25"/>
        <v/>
      </c>
      <c r="T217" s="59"/>
      <c r="U217" s="59"/>
      <c r="V217" s="59"/>
      <c r="W217" s="59"/>
      <c r="X217" s="93" t="str">
        <f t="shared" si="23"/>
        <v>D</v>
      </c>
    </row>
    <row r="218" spans="1:24" s="66" customFormat="1" x14ac:dyDescent="0.25">
      <c r="A218" s="53"/>
      <c r="B218" s="91" t="str">
        <f>IFERROR(VLOOKUP(A218,Lookup!A:B,2,0),"")</f>
        <v/>
      </c>
      <c r="C218" s="92" t="str">
        <f>IFERROR(VLOOKUP(A218,Lookup!A:C,3,0),"")</f>
        <v/>
      </c>
      <c r="D218" s="59"/>
      <c r="E218" s="59"/>
      <c r="F218" s="59"/>
      <c r="G218" s="94"/>
      <c r="H218" s="59"/>
      <c r="I218" s="59"/>
      <c r="J218" s="106">
        <f>VLOOKUP(A218&amp;G218,Lookup!J:N,5,0)</f>
        <v>0</v>
      </c>
      <c r="K218" s="110"/>
      <c r="L218" s="59"/>
      <c r="M218" s="59"/>
      <c r="N218" s="59"/>
      <c r="O218" s="112">
        <v>8.8090277777777803</v>
      </c>
      <c r="P218" s="110" t="str">
        <f t="shared" si="22"/>
        <v/>
      </c>
      <c r="Q218" s="59"/>
      <c r="R218" s="87" t="str">
        <f t="shared" si="24"/>
        <v/>
      </c>
      <c r="S218" s="87" t="str">
        <f t="shared" si="25"/>
        <v/>
      </c>
      <c r="T218" s="59"/>
      <c r="U218" s="59"/>
      <c r="V218" s="59"/>
      <c r="W218" s="59"/>
      <c r="X218" s="93" t="str">
        <f t="shared" si="23"/>
        <v>D</v>
      </c>
    </row>
    <row r="219" spans="1:24" s="66" customFormat="1" x14ac:dyDescent="0.25">
      <c r="A219" s="53"/>
      <c r="B219" s="91" t="str">
        <f>IFERROR(VLOOKUP(A219,Lookup!A:B,2,0),"")</f>
        <v/>
      </c>
      <c r="C219" s="92" t="str">
        <f>IFERROR(VLOOKUP(A219,Lookup!A:C,3,0),"")</f>
        <v/>
      </c>
      <c r="D219" s="59"/>
      <c r="E219" s="59"/>
      <c r="F219" s="59"/>
      <c r="G219" s="94"/>
      <c r="H219" s="59"/>
      <c r="I219" s="59"/>
      <c r="J219" s="106">
        <f>VLOOKUP(A219&amp;G219,Lookup!J:N,5,0)</f>
        <v>0</v>
      </c>
      <c r="K219" s="110"/>
      <c r="L219" s="59"/>
      <c r="M219" s="59"/>
      <c r="N219" s="59"/>
      <c r="O219" s="112">
        <v>8.8506944444444393</v>
      </c>
      <c r="P219" s="110" t="str">
        <f t="shared" si="22"/>
        <v/>
      </c>
      <c r="Q219" s="59"/>
      <c r="R219" s="87" t="str">
        <f t="shared" si="24"/>
        <v/>
      </c>
      <c r="S219" s="87" t="str">
        <f t="shared" si="25"/>
        <v/>
      </c>
      <c r="T219" s="59"/>
      <c r="U219" s="59"/>
      <c r="V219" s="59"/>
      <c r="W219" s="59"/>
      <c r="X219" s="93" t="str">
        <f t="shared" si="23"/>
        <v>D</v>
      </c>
    </row>
    <row r="220" spans="1:24" s="66" customFormat="1" x14ac:dyDescent="0.25">
      <c r="A220" s="53"/>
      <c r="B220" s="91" t="str">
        <f>IFERROR(VLOOKUP(A220,Lookup!A:B,2,0),"")</f>
        <v/>
      </c>
      <c r="C220" s="92" t="str">
        <f>IFERROR(VLOOKUP(A220,Lookup!A:C,3,0),"")</f>
        <v/>
      </c>
      <c r="D220" s="59"/>
      <c r="E220" s="59"/>
      <c r="F220" s="59"/>
      <c r="G220" s="94"/>
      <c r="H220" s="59"/>
      <c r="I220" s="59"/>
      <c r="J220" s="106">
        <f>VLOOKUP(A220&amp;G220,Lookup!J:N,5,0)</f>
        <v>0</v>
      </c>
      <c r="K220" s="110"/>
      <c r="L220" s="59"/>
      <c r="M220" s="59"/>
      <c r="N220" s="59"/>
      <c r="O220" s="112">
        <v>8.8923611111111107</v>
      </c>
      <c r="P220" s="110" t="str">
        <f t="shared" si="22"/>
        <v/>
      </c>
      <c r="Q220" s="59"/>
      <c r="R220" s="87" t="str">
        <f t="shared" si="24"/>
        <v/>
      </c>
      <c r="S220" s="87" t="str">
        <f t="shared" si="25"/>
        <v/>
      </c>
      <c r="T220" s="59"/>
      <c r="U220" s="59"/>
      <c r="V220" s="59"/>
      <c r="W220" s="59"/>
      <c r="X220" s="93" t="str">
        <f t="shared" si="23"/>
        <v>D</v>
      </c>
    </row>
    <row r="221" spans="1:24" s="66" customFormat="1" x14ac:dyDescent="0.25">
      <c r="A221" s="53"/>
      <c r="B221" s="91" t="str">
        <f>IFERROR(VLOOKUP(A221,Lookup!A:B,2,0),"")</f>
        <v/>
      </c>
      <c r="C221" s="92" t="str">
        <f>IFERROR(VLOOKUP(A221,Lookup!A:C,3,0),"")</f>
        <v/>
      </c>
      <c r="D221" s="59"/>
      <c r="E221" s="59"/>
      <c r="F221" s="59"/>
      <c r="G221" s="94"/>
      <c r="H221" s="59"/>
      <c r="I221" s="59"/>
      <c r="J221" s="106">
        <f>VLOOKUP(A221&amp;G221,Lookup!J:N,5,0)</f>
        <v>0</v>
      </c>
      <c r="K221" s="110"/>
      <c r="L221" s="59"/>
      <c r="M221" s="59"/>
      <c r="N221" s="59"/>
      <c r="O221" s="112">
        <v>8.9340277777777803</v>
      </c>
      <c r="P221" s="110" t="str">
        <f t="shared" si="22"/>
        <v/>
      </c>
      <c r="Q221" s="59"/>
      <c r="R221" s="87" t="str">
        <f t="shared" si="24"/>
        <v/>
      </c>
      <c r="S221" s="87" t="str">
        <f t="shared" si="25"/>
        <v/>
      </c>
      <c r="T221" s="59"/>
      <c r="U221" s="59"/>
      <c r="V221" s="59"/>
      <c r="W221" s="59"/>
      <c r="X221" s="93" t="str">
        <f t="shared" si="23"/>
        <v>D</v>
      </c>
    </row>
    <row r="222" spans="1:24" s="66" customFormat="1" x14ac:dyDescent="0.25">
      <c r="A222" s="53"/>
      <c r="B222" s="91" t="str">
        <f>IFERROR(VLOOKUP(A222,Lookup!A:B,2,0),"")</f>
        <v/>
      </c>
      <c r="C222" s="92" t="str">
        <f>IFERROR(VLOOKUP(A222,Lookup!A:C,3,0),"")</f>
        <v/>
      </c>
      <c r="D222" s="59"/>
      <c r="E222" s="59"/>
      <c r="F222" s="59"/>
      <c r="G222" s="94"/>
      <c r="H222" s="59"/>
      <c r="I222" s="59"/>
      <c r="J222" s="106">
        <f>VLOOKUP(A222&amp;G222,Lookup!J:N,5,0)</f>
        <v>0</v>
      </c>
      <c r="K222" s="110"/>
      <c r="L222" s="59"/>
      <c r="M222" s="59"/>
      <c r="N222" s="59"/>
      <c r="O222" s="112">
        <v>8.9756944444444393</v>
      </c>
      <c r="P222" s="110" t="str">
        <f t="shared" si="22"/>
        <v/>
      </c>
      <c r="Q222" s="59"/>
      <c r="R222" s="87" t="str">
        <f t="shared" si="24"/>
        <v/>
      </c>
      <c r="S222" s="87" t="str">
        <f t="shared" si="25"/>
        <v/>
      </c>
      <c r="T222" s="59"/>
      <c r="U222" s="59"/>
      <c r="V222" s="59"/>
      <c r="W222" s="59"/>
      <c r="X222" s="93" t="str">
        <f t="shared" si="23"/>
        <v>D</v>
      </c>
    </row>
    <row r="223" spans="1:24" s="66" customFormat="1" x14ac:dyDescent="0.25">
      <c r="A223" s="53"/>
      <c r="B223" s="91" t="str">
        <f>IFERROR(VLOOKUP(A223,Lookup!A:B,2,0),"")</f>
        <v/>
      </c>
      <c r="C223" s="92" t="str">
        <f>IFERROR(VLOOKUP(A223,Lookup!A:C,3,0),"")</f>
        <v/>
      </c>
      <c r="D223" s="59"/>
      <c r="E223" s="59"/>
      <c r="F223" s="59"/>
      <c r="G223" s="94"/>
      <c r="H223" s="59"/>
      <c r="I223" s="59"/>
      <c r="J223" s="106">
        <f>VLOOKUP(A223&amp;G223,Lookup!J:N,5,0)</f>
        <v>0</v>
      </c>
      <c r="K223" s="110"/>
      <c r="L223" s="59"/>
      <c r="M223" s="59"/>
      <c r="N223" s="59"/>
      <c r="O223" s="112">
        <v>9.0173611111111107</v>
      </c>
      <c r="P223" s="110" t="str">
        <f t="shared" si="22"/>
        <v/>
      </c>
      <c r="Q223" s="59"/>
      <c r="R223" s="87" t="str">
        <f t="shared" si="24"/>
        <v/>
      </c>
      <c r="S223" s="87" t="str">
        <f t="shared" si="25"/>
        <v/>
      </c>
      <c r="T223" s="59"/>
      <c r="U223" s="59"/>
      <c r="V223" s="59"/>
      <c r="W223" s="59"/>
      <c r="X223" s="93" t="str">
        <f t="shared" si="23"/>
        <v>D</v>
      </c>
    </row>
    <row r="224" spans="1:24" s="66" customFormat="1" x14ac:dyDescent="0.25">
      <c r="A224" s="53"/>
      <c r="B224" s="91" t="str">
        <f>IFERROR(VLOOKUP(A224,Lookup!A:B,2,0),"")</f>
        <v/>
      </c>
      <c r="C224" s="92" t="str">
        <f>IFERROR(VLOOKUP(A224,Lookup!A:C,3,0),"")</f>
        <v/>
      </c>
      <c r="D224" s="59"/>
      <c r="E224" s="59"/>
      <c r="F224" s="59"/>
      <c r="G224" s="94"/>
      <c r="H224" s="59"/>
      <c r="I224" s="59"/>
      <c r="J224" s="106">
        <f>VLOOKUP(A224&amp;G224,Lookup!J:N,5,0)</f>
        <v>0</v>
      </c>
      <c r="K224" s="110"/>
      <c r="L224" s="59"/>
      <c r="M224" s="59"/>
      <c r="N224" s="59"/>
      <c r="O224" s="112">
        <v>9.0590277777777803</v>
      </c>
      <c r="P224" s="110" t="str">
        <f t="shared" si="22"/>
        <v/>
      </c>
      <c r="Q224" s="59"/>
      <c r="R224" s="87" t="str">
        <f t="shared" si="24"/>
        <v/>
      </c>
      <c r="S224" s="87" t="str">
        <f t="shared" si="25"/>
        <v/>
      </c>
      <c r="T224" s="59"/>
      <c r="U224" s="59"/>
      <c r="V224" s="59"/>
      <c r="W224" s="59"/>
      <c r="X224" s="93" t="str">
        <f t="shared" si="23"/>
        <v>D</v>
      </c>
    </row>
    <row r="225" spans="1:24" s="66" customFormat="1" x14ac:dyDescent="0.25">
      <c r="A225" s="53"/>
      <c r="B225" s="91" t="str">
        <f>IFERROR(VLOOKUP(A225,Lookup!A:B,2,0),"")</f>
        <v/>
      </c>
      <c r="C225" s="92" t="str">
        <f>IFERROR(VLOOKUP(A225,Lookup!A:C,3,0),"")</f>
        <v/>
      </c>
      <c r="D225" s="59"/>
      <c r="E225" s="59"/>
      <c r="F225" s="59"/>
      <c r="G225" s="94"/>
      <c r="H225" s="59"/>
      <c r="I225" s="59"/>
      <c r="J225" s="106">
        <f>VLOOKUP(A225&amp;G225,Lookup!J:N,5,0)</f>
        <v>0</v>
      </c>
      <c r="K225" s="110"/>
      <c r="L225" s="59"/>
      <c r="M225" s="59"/>
      <c r="N225" s="59"/>
      <c r="O225" s="112">
        <v>9.1006944444444393</v>
      </c>
      <c r="P225" s="110" t="str">
        <f t="shared" si="22"/>
        <v/>
      </c>
      <c r="Q225" s="59"/>
      <c r="R225" s="87" t="str">
        <f t="shared" si="24"/>
        <v/>
      </c>
      <c r="S225" s="87" t="str">
        <f t="shared" si="25"/>
        <v/>
      </c>
      <c r="T225" s="59"/>
      <c r="U225" s="59"/>
      <c r="V225" s="59"/>
      <c r="W225" s="59"/>
      <c r="X225" s="93" t="str">
        <f t="shared" si="23"/>
        <v>D</v>
      </c>
    </row>
    <row r="226" spans="1:24" s="66" customFormat="1" x14ac:dyDescent="0.25">
      <c r="A226" s="53"/>
      <c r="B226" s="91" t="str">
        <f>IFERROR(VLOOKUP(A226,Lookup!A:B,2,0),"")</f>
        <v/>
      </c>
      <c r="C226" s="92" t="str">
        <f>IFERROR(VLOOKUP(A226,Lookup!A:C,3,0),"")</f>
        <v/>
      </c>
      <c r="D226" s="59"/>
      <c r="E226" s="59"/>
      <c r="F226" s="59"/>
      <c r="G226" s="94"/>
      <c r="H226" s="59"/>
      <c r="I226" s="59"/>
      <c r="J226" s="106">
        <f>VLOOKUP(A226&amp;G226,Lookup!J:N,5,0)</f>
        <v>0</v>
      </c>
      <c r="K226" s="110"/>
      <c r="L226" s="59"/>
      <c r="M226" s="59"/>
      <c r="N226" s="59"/>
      <c r="O226" s="112">
        <v>9.1423611111111107</v>
      </c>
      <c r="P226" s="110" t="str">
        <f t="shared" si="22"/>
        <v/>
      </c>
      <c r="Q226" s="59"/>
      <c r="R226" s="87" t="str">
        <f t="shared" si="24"/>
        <v/>
      </c>
      <c r="S226" s="87" t="str">
        <f t="shared" si="25"/>
        <v/>
      </c>
      <c r="T226" s="59"/>
      <c r="U226" s="59"/>
      <c r="V226" s="59"/>
      <c r="W226" s="59"/>
      <c r="X226" s="93" t="str">
        <f t="shared" si="23"/>
        <v>D</v>
      </c>
    </row>
    <row r="227" spans="1:24" s="66" customFormat="1" x14ac:dyDescent="0.25">
      <c r="A227" s="53"/>
      <c r="B227" s="91" t="str">
        <f>IFERROR(VLOOKUP(A227,Lookup!A:B,2,0),"")</f>
        <v/>
      </c>
      <c r="C227" s="92" t="str">
        <f>IFERROR(VLOOKUP(A227,Lookup!A:C,3,0),"")</f>
        <v/>
      </c>
      <c r="D227" s="59"/>
      <c r="E227" s="59"/>
      <c r="F227" s="59"/>
      <c r="G227" s="94"/>
      <c r="H227" s="59"/>
      <c r="I227" s="59"/>
      <c r="J227" s="106">
        <f>VLOOKUP(A227&amp;G227,Lookup!J:N,5,0)</f>
        <v>0</v>
      </c>
      <c r="K227" s="110"/>
      <c r="L227" s="59"/>
      <c r="M227" s="59"/>
      <c r="N227" s="59"/>
      <c r="O227" s="112">
        <v>9.1840277777777803</v>
      </c>
      <c r="P227" s="110" t="str">
        <f t="shared" si="22"/>
        <v/>
      </c>
      <c r="Q227" s="59"/>
      <c r="R227" s="87" t="str">
        <f t="shared" si="24"/>
        <v/>
      </c>
      <c r="S227" s="87" t="str">
        <f t="shared" si="25"/>
        <v/>
      </c>
      <c r="T227" s="59"/>
      <c r="U227" s="59"/>
      <c r="V227" s="59"/>
      <c r="W227" s="59"/>
      <c r="X227" s="93" t="str">
        <f t="shared" si="23"/>
        <v>D</v>
      </c>
    </row>
    <row r="228" spans="1:24" s="66" customFormat="1" x14ac:dyDescent="0.25">
      <c r="A228" s="53"/>
      <c r="B228" s="91" t="str">
        <f>IFERROR(VLOOKUP(A228,Lookup!A:B,2,0),"")</f>
        <v/>
      </c>
      <c r="C228" s="92" t="str">
        <f>IFERROR(VLOOKUP(A228,Lookup!A:C,3,0),"")</f>
        <v/>
      </c>
      <c r="D228" s="59"/>
      <c r="E228" s="59"/>
      <c r="F228" s="59"/>
      <c r="G228" s="94"/>
      <c r="H228" s="59"/>
      <c r="I228" s="59"/>
      <c r="J228" s="106">
        <f>VLOOKUP(A228&amp;G228,Lookup!J:N,5,0)</f>
        <v>0</v>
      </c>
      <c r="K228" s="110"/>
      <c r="L228" s="59"/>
      <c r="M228" s="59"/>
      <c r="N228" s="59"/>
      <c r="O228" s="112">
        <v>9.2256944444444393</v>
      </c>
      <c r="P228" s="110" t="str">
        <f t="shared" si="22"/>
        <v/>
      </c>
      <c r="Q228" s="59"/>
      <c r="R228" s="87" t="str">
        <f t="shared" si="24"/>
        <v/>
      </c>
      <c r="S228" s="87" t="str">
        <f t="shared" si="25"/>
        <v/>
      </c>
      <c r="T228" s="59"/>
      <c r="U228" s="59"/>
      <c r="V228" s="59"/>
      <c r="W228" s="59"/>
      <c r="X228" s="93" t="str">
        <f t="shared" si="23"/>
        <v>D</v>
      </c>
    </row>
    <row r="229" spans="1:24" s="66" customFormat="1" x14ac:dyDescent="0.25">
      <c r="A229" s="53"/>
      <c r="B229" s="91" t="str">
        <f>IFERROR(VLOOKUP(A229,Lookup!A:B,2,0),"")</f>
        <v/>
      </c>
      <c r="C229" s="92" t="str">
        <f>IFERROR(VLOOKUP(A229,Lookup!A:C,3,0),"")</f>
        <v/>
      </c>
      <c r="D229" s="59"/>
      <c r="E229" s="59"/>
      <c r="F229" s="59"/>
      <c r="G229" s="94"/>
      <c r="H229" s="59"/>
      <c r="I229" s="59"/>
      <c r="J229" s="106">
        <f>VLOOKUP(A229&amp;G229,Lookup!J:N,5,0)</f>
        <v>0</v>
      </c>
      <c r="K229" s="110"/>
      <c r="L229" s="59"/>
      <c r="M229" s="59"/>
      <c r="N229" s="59"/>
      <c r="O229" s="112">
        <v>9.2673611111111107</v>
      </c>
      <c r="P229" s="110" t="str">
        <f t="shared" si="22"/>
        <v/>
      </c>
      <c r="Q229" s="59"/>
      <c r="R229" s="87" t="str">
        <f t="shared" si="24"/>
        <v/>
      </c>
      <c r="S229" s="87" t="str">
        <f t="shared" si="25"/>
        <v/>
      </c>
      <c r="T229" s="59"/>
      <c r="U229" s="59"/>
      <c r="V229" s="59"/>
      <c r="W229" s="59"/>
      <c r="X229" s="93" t="str">
        <f t="shared" si="23"/>
        <v>D</v>
      </c>
    </row>
    <row r="230" spans="1:24" s="66" customFormat="1" x14ac:dyDescent="0.25">
      <c r="A230" s="53"/>
      <c r="B230" s="91" t="str">
        <f>IFERROR(VLOOKUP(A230,Lookup!A:B,2,0),"")</f>
        <v/>
      </c>
      <c r="C230" s="92" t="str">
        <f>IFERROR(VLOOKUP(A230,Lookup!A:C,3,0),"")</f>
        <v/>
      </c>
      <c r="D230" s="59"/>
      <c r="E230" s="59"/>
      <c r="F230" s="59"/>
      <c r="G230" s="94"/>
      <c r="H230" s="59"/>
      <c r="I230" s="59"/>
      <c r="J230" s="106">
        <f>VLOOKUP(A230&amp;G230,Lookup!J:N,5,0)</f>
        <v>0</v>
      </c>
      <c r="K230" s="110"/>
      <c r="L230" s="59"/>
      <c r="M230" s="59"/>
      <c r="N230" s="59"/>
      <c r="O230" s="112">
        <v>9.3090277777777803</v>
      </c>
      <c r="P230" s="110" t="str">
        <f t="shared" si="22"/>
        <v/>
      </c>
      <c r="Q230" s="59"/>
      <c r="R230" s="87" t="str">
        <f t="shared" si="24"/>
        <v/>
      </c>
      <c r="S230" s="87" t="str">
        <f t="shared" si="25"/>
        <v/>
      </c>
      <c r="T230" s="59"/>
      <c r="U230" s="59"/>
      <c r="V230" s="59"/>
      <c r="W230" s="59"/>
      <c r="X230" s="93" t="str">
        <f t="shared" si="23"/>
        <v>D</v>
      </c>
    </row>
    <row r="231" spans="1:24" s="66" customFormat="1" x14ac:dyDescent="0.25">
      <c r="A231" s="53"/>
      <c r="B231" s="91" t="str">
        <f>IFERROR(VLOOKUP(A231,Lookup!A:B,2,0),"")</f>
        <v/>
      </c>
      <c r="C231" s="92" t="str">
        <f>IFERROR(VLOOKUP(A231,Lookup!A:C,3,0),"")</f>
        <v/>
      </c>
      <c r="D231" s="59"/>
      <c r="E231" s="59"/>
      <c r="F231" s="59"/>
      <c r="G231" s="94"/>
      <c r="H231" s="59"/>
      <c r="I231" s="59"/>
      <c r="J231" s="106">
        <f>VLOOKUP(A231&amp;G231,Lookup!J:N,5,0)</f>
        <v>0</v>
      </c>
      <c r="K231" s="110"/>
      <c r="L231" s="59"/>
      <c r="M231" s="59"/>
      <c r="N231" s="59"/>
      <c r="O231" s="112">
        <v>9.3506944444444393</v>
      </c>
      <c r="P231" s="110" t="str">
        <f t="shared" si="22"/>
        <v/>
      </c>
      <c r="Q231" s="59"/>
      <c r="R231" s="87" t="str">
        <f t="shared" si="24"/>
        <v/>
      </c>
      <c r="S231" s="87" t="str">
        <f t="shared" si="25"/>
        <v/>
      </c>
      <c r="T231" s="59"/>
      <c r="U231" s="59"/>
      <c r="V231" s="59"/>
      <c r="W231" s="59"/>
      <c r="X231" s="93" t="str">
        <f t="shared" si="23"/>
        <v>D</v>
      </c>
    </row>
    <row r="232" spans="1:24" s="66" customFormat="1" x14ac:dyDescent="0.25">
      <c r="A232" s="53"/>
      <c r="B232" s="91" t="str">
        <f>IFERROR(VLOOKUP(A232,Lookup!A:B,2,0),"")</f>
        <v/>
      </c>
      <c r="C232" s="92" t="str">
        <f>IFERROR(VLOOKUP(A232,Lookup!A:C,3,0),"")</f>
        <v/>
      </c>
      <c r="D232" s="59"/>
      <c r="E232" s="59"/>
      <c r="F232" s="59"/>
      <c r="G232" s="94"/>
      <c r="H232" s="59"/>
      <c r="I232" s="59"/>
      <c r="J232" s="106">
        <f>VLOOKUP(A232&amp;G232,Lookup!J:N,5,0)</f>
        <v>0</v>
      </c>
      <c r="K232" s="110"/>
      <c r="L232" s="59"/>
      <c r="M232" s="59"/>
      <c r="N232" s="59"/>
      <c r="O232" s="112">
        <v>9.3923611111111107</v>
      </c>
      <c r="P232" s="110" t="str">
        <f t="shared" si="22"/>
        <v/>
      </c>
      <c r="Q232" s="59"/>
      <c r="R232" s="87" t="str">
        <f t="shared" si="24"/>
        <v/>
      </c>
      <c r="S232" s="87" t="str">
        <f t="shared" si="25"/>
        <v/>
      </c>
      <c r="T232" s="59"/>
      <c r="U232" s="59"/>
      <c r="V232" s="59"/>
      <c r="W232" s="59"/>
      <c r="X232" s="93" t="str">
        <f t="shared" si="23"/>
        <v>D</v>
      </c>
    </row>
    <row r="233" spans="1:24" s="66" customFormat="1" x14ac:dyDescent="0.25">
      <c r="A233" s="53"/>
      <c r="B233" s="91" t="str">
        <f>IFERROR(VLOOKUP(A233,Lookup!A:B,2,0),"")</f>
        <v/>
      </c>
      <c r="C233" s="92" t="str">
        <f>IFERROR(VLOOKUP(A233,Lookup!A:C,3,0),"")</f>
        <v/>
      </c>
      <c r="D233" s="59"/>
      <c r="E233" s="59"/>
      <c r="F233" s="59"/>
      <c r="G233" s="94"/>
      <c r="H233" s="59"/>
      <c r="I233" s="59"/>
      <c r="J233" s="106">
        <f>VLOOKUP(A233&amp;G233,Lookup!J:N,5,0)</f>
        <v>0</v>
      </c>
      <c r="K233" s="110"/>
      <c r="L233" s="59"/>
      <c r="M233" s="59"/>
      <c r="N233" s="59"/>
      <c r="O233" s="112">
        <v>9.4340277777777803</v>
      </c>
      <c r="P233" s="110" t="str">
        <f t="shared" si="22"/>
        <v/>
      </c>
      <c r="Q233" s="59"/>
      <c r="R233" s="87" t="str">
        <f t="shared" si="24"/>
        <v/>
      </c>
      <c r="S233" s="87" t="str">
        <f t="shared" si="25"/>
        <v/>
      </c>
      <c r="T233" s="59"/>
      <c r="U233" s="59"/>
      <c r="V233" s="59"/>
      <c r="W233" s="59"/>
      <c r="X233" s="93" t="str">
        <f t="shared" si="23"/>
        <v>D</v>
      </c>
    </row>
    <row r="234" spans="1:24" s="66" customFormat="1" x14ac:dyDescent="0.25">
      <c r="A234" s="53"/>
      <c r="B234" s="91" t="str">
        <f>IFERROR(VLOOKUP(A234,Lookup!A:B,2,0),"")</f>
        <v/>
      </c>
      <c r="C234" s="92" t="str">
        <f>IFERROR(VLOOKUP(A234,Lookup!A:C,3,0),"")</f>
        <v/>
      </c>
      <c r="D234" s="59"/>
      <c r="E234" s="59"/>
      <c r="F234" s="59"/>
      <c r="G234" s="94"/>
      <c r="H234" s="59"/>
      <c r="I234" s="59"/>
      <c r="J234" s="106">
        <f>VLOOKUP(A234&amp;G234,Lookup!J:N,5,0)</f>
        <v>0</v>
      </c>
      <c r="K234" s="110"/>
      <c r="L234" s="59"/>
      <c r="M234" s="59"/>
      <c r="N234" s="59"/>
      <c r="O234" s="112">
        <v>9.4756944444444393</v>
      </c>
      <c r="P234" s="110" t="str">
        <f t="shared" si="22"/>
        <v/>
      </c>
      <c r="Q234" s="59"/>
      <c r="R234" s="87" t="str">
        <f t="shared" si="24"/>
        <v/>
      </c>
      <c r="S234" s="87" t="str">
        <f t="shared" si="25"/>
        <v/>
      </c>
      <c r="T234" s="59"/>
      <c r="U234" s="59"/>
      <c r="V234" s="59"/>
      <c r="W234" s="59"/>
      <c r="X234" s="93" t="str">
        <f t="shared" si="23"/>
        <v>D</v>
      </c>
    </row>
    <row r="235" spans="1:24" s="66" customFormat="1" x14ac:dyDescent="0.25">
      <c r="A235" s="53"/>
      <c r="B235" s="91" t="str">
        <f>IFERROR(VLOOKUP(A235,Lookup!A:B,2,0),"")</f>
        <v/>
      </c>
      <c r="C235" s="92" t="str">
        <f>IFERROR(VLOOKUP(A235,Lookup!A:C,3,0),"")</f>
        <v/>
      </c>
      <c r="D235" s="59"/>
      <c r="E235" s="59"/>
      <c r="F235" s="59"/>
      <c r="G235" s="94"/>
      <c r="H235" s="59"/>
      <c r="I235" s="59"/>
      <c r="J235" s="106">
        <f>VLOOKUP(A235&amp;G235,Lookup!J:N,5,0)</f>
        <v>0</v>
      </c>
      <c r="K235" s="110"/>
      <c r="L235" s="59"/>
      <c r="M235" s="59"/>
      <c r="N235" s="59"/>
      <c r="O235" s="112">
        <v>9.5173611111111107</v>
      </c>
      <c r="P235" s="110" t="str">
        <f t="shared" si="22"/>
        <v/>
      </c>
      <c r="Q235" s="59"/>
      <c r="R235" s="87" t="str">
        <f t="shared" si="24"/>
        <v/>
      </c>
      <c r="S235" s="87" t="str">
        <f t="shared" si="25"/>
        <v/>
      </c>
      <c r="T235" s="59"/>
      <c r="U235" s="59"/>
      <c r="V235" s="59"/>
      <c r="W235" s="59"/>
      <c r="X235" s="93" t="str">
        <f t="shared" si="23"/>
        <v>D</v>
      </c>
    </row>
    <row r="236" spans="1:24" s="66" customFormat="1" x14ac:dyDescent="0.25">
      <c r="A236" s="53"/>
      <c r="B236" s="91" t="str">
        <f>IFERROR(VLOOKUP(A236,Lookup!A:B,2,0),"")</f>
        <v/>
      </c>
      <c r="C236" s="92" t="str">
        <f>IFERROR(VLOOKUP(A236,Lookup!A:C,3,0),"")</f>
        <v/>
      </c>
      <c r="D236" s="59"/>
      <c r="E236" s="59"/>
      <c r="F236" s="59"/>
      <c r="G236" s="94"/>
      <c r="H236" s="59"/>
      <c r="I236" s="59"/>
      <c r="J236" s="106">
        <f>VLOOKUP(A236&amp;G236,Lookup!J:N,5,0)</f>
        <v>0</v>
      </c>
      <c r="K236" s="110"/>
      <c r="L236" s="59"/>
      <c r="M236" s="59"/>
      <c r="N236" s="59"/>
      <c r="O236" s="112">
        <v>9.5590277777777803</v>
      </c>
      <c r="P236" s="110" t="str">
        <f t="shared" si="22"/>
        <v/>
      </c>
      <c r="Q236" s="59"/>
      <c r="R236" s="87" t="str">
        <f t="shared" si="24"/>
        <v/>
      </c>
      <c r="S236" s="87" t="str">
        <f t="shared" si="25"/>
        <v/>
      </c>
      <c r="T236" s="59"/>
      <c r="U236" s="59"/>
      <c r="V236" s="59"/>
      <c r="W236" s="59"/>
      <c r="X236" s="93" t="str">
        <f t="shared" si="23"/>
        <v>D</v>
      </c>
    </row>
    <row r="237" spans="1:24" s="66" customFormat="1" x14ac:dyDescent="0.25">
      <c r="A237" s="53"/>
      <c r="B237" s="91" t="str">
        <f>IFERROR(VLOOKUP(A237,Lookup!A:B,2,0),"")</f>
        <v/>
      </c>
      <c r="C237" s="92" t="str">
        <f>IFERROR(VLOOKUP(A237,Lookup!A:C,3,0),"")</f>
        <v/>
      </c>
      <c r="D237" s="59"/>
      <c r="E237" s="59"/>
      <c r="F237" s="59"/>
      <c r="G237" s="94"/>
      <c r="H237" s="59"/>
      <c r="I237" s="59"/>
      <c r="J237" s="106">
        <f>VLOOKUP(A237&amp;G237,Lookup!J:N,5,0)</f>
        <v>0</v>
      </c>
      <c r="K237" s="110"/>
      <c r="L237" s="59"/>
      <c r="M237" s="59"/>
      <c r="N237" s="59"/>
      <c r="O237" s="112">
        <v>9.6006944444444393</v>
      </c>
      <c r="P237" s="110" t="str">
        <f t="shared" si="22"/>
        <v/>
      </c>
      <c r="Q237" s="59"/>
      <c r="R237" s="87" t="str">
        <f t="shared" si="24"/>
        <v/>
      </c>
      <c r="S237" s="87" t="str">
        <f t="shared" si="25"/>
        <v/>
      </c>
      <c r="T237" s="59"/>
      <c r="U237" s="59"/>
      <c r="V237" s="59"/>
      <c r="W237" s="59"/>
      <c r="X237" s="93" t="str">
        <f t="shared" si="23"/>
        <v>D</v>
      </c>
    </row>
    <row r="238" spans="1:24" s="66" customFormat="1" x14ac:dyDescent="0.25">
      <c r="A238" s="53"/>
      <c r="B238" s="91" t="str">
        <f>IFERROR(VLOOKUP(A238,Lookup!A:B,2,0),"")</f>
        <v/>
      </c>
      <c r="C238" s="92" t="str">
        <f>IFERROR(VLOOKUP(A238,Lookup!A:C,3,0),"")</f>
        <v/>
      </c>
      <c r="D238" s="59"/>
      <c r="E238" s="59"/>
      <c r="F238" s="59"/>
      <c r="G238" s="94"/>
      <c r="H238" s="59"/>
      <c r="I238" s="59"/>
      <c r="J238" s="106">
        <f>VLOOKUP(A238&amp;G238,Lookup!J:N,5,0)</f>
        <v>0</v>
      </c>
      <c r="K238" s="110"/>
      <c r="L238" s="59"/>
      <c r="M238" s="59"/>
      <c r="N238" s="59"/>
      <c r="O238" s="112">
        <v>9.6423611111111107</v>
      </c>
      <c r="P238" s="110" t="str">
        <f t="shared" si="22"/>
        <v/>
      </c>
      <c r="Q238" s="59"/>
      <c r="R238" s="87" t="str">
        <f t="shared" si="24"/>
        <v/>
      </c>
      <c r="S238" s="87" t="str">
        <f t="shared" si="25"/>
        <v/>
      </c>
      <c r="T238" s="59"/>
      <c r="U238" s="59"/>
      <c r="V238" s="59"/>
      <c r="W238" s="59"/>
      <c r="X238" s="93" t="str">
        <f t="shared" si="23"/>
        <v>D</v>
      </c>
    </row>
    <row r="239" spans="1:24" s="66" customFormat="1" x14ac:dyDescent="0.25">
      <c r="A239" s="53"/>
      <c r="B239" s="91" t="str">
        <f>IFERROR(VLOOKUP(A239,Lookup!A:B,2,0),"")</f>
        <v/>
      </c>
      <c r="C239" s="92" t="str">
        <f>IFERROR(VLOOKUP(A239,Lookup!A:C,3,0),"")</f>
        <v/>
      </c>
      <c r="D239" s="59"/>
      <c r="E239" s="59"/>
      <c r="F239" s="59"/>
      <c r="G239" s="94"/>
      <c r="H239" s="59"/>
      <c r="I239" s="59"/>
      <c r="J239" s="106">
        <f>VLOOKUP(A239&amp;G239,Lookup!J:N,5,0)</f>
        <v>0</v>
      </c>
      <c r="K239" s="110"/>
      <c r="L239" s="59"/>
      <c r="M239" s="59"/>
      <c r="N239" s="59"/>
      <c r="O239" s="112">
        <v>9.6840277777777803</v>
      </c>
      <c r="P239" s="110" t="str">
        <f t="shared" si="22"/>
        <v/>
      </c>
      <c r="Q239" s="59"/>
      <c r="R239" s="87" t="str">
        <f t="shared" si="24"/>
        <v/>
      </c>
      <c r="S239" s="87" t="str">
        <f t="shared" si="25"/>
        <v/>
      </c>
      <c r="T239" s="59"/>
      <c r="U239" s="59"/>
      <c r="V239" s="59"/>
      <c r="W239" s="59"/>
      <c r="X239" s="93" t="str">
        <f t="shared" si="23"/>
        <v>D</v>
      </c>
    </row>
    <row r="240" spans="1:24" s="66" customFormat="1" x14ac:dyDescent="0.25">
      <c r="A240" s="53"/>
      <c r="B240" s="91" t="str">
        <f>IFERROR(VLOOKUP(A240,Lookup!A:B,2,0),"")</f>
        <v/>
      </c>
      <c r="C240" s="92" t="str">
        <f>IFERROR(VLOOKUP(A240,Lookup!A:C,3,0),"")</f>
        <v/>
      </c>
      <c r="D240" s="59"/>
      <c r="E240" s="59"/>
      <c r="F240" s="59"/>
      <c r="G240" s="94"/>
      <c r="H240" s="59"/>
      <c r="I240" s="59"/>
      <c r="J240" s="106">
        <f>VLOOKUP(A240&amp;G240,Lookup!J:N,5,0)</f>
        <v>0</v>
      </c>
      <c r="K240" s="110"/>
      <c r="L240" s="59"/>
      <c r="M240" s="59"/>
      <c r="N240" s="59"/>
      <c r="O240" s="112">
        <v>9.7256944444444393</v>
      </c>
      <c r="P240" s="110" t="str">
        <f t="shared" si="22"/>
        <v/>
      </c>
      <c r="Q240" s="59"/>
      <c r="R240" s="87" t="str">
        <f t="shared" si="24"/>
        <v/>
      </c>
      <c r="S240" s="87" t="str">
        <f t="shared" si="25"/>
        <v/>
      </c>
      <c r="T240" s="59"/>
      <c r="U240" s="59"/>
      <c r="V240" s="59"/>
      <c r="W240" s="59"/>
      <c r="X240" s="93" t="str">
        <f t="shared" si="23"/>
        <v>D</v>
      </c>
    </row>
    <row r="241" spans="1:24" s="66" customFormat="1" x14ac:dyDescent="0.25">
      <c r="A241" s="53"/>
      <c r="B241" s="91" t="str">
        <f>IFERROR(VLOOKUP(A241,Lookup!A:B,2,0),"")</f>
        <v/>
      </c>
      <c r="C241" s="92" t="str">
        <f>IFERROR(VLOOKUP(A241,Lookup!A:C,3,0),"")</f>
        <v/>
      </c>
      <c r="D241" s="59"/>
      <c r="E241" s="59"/>
      <c r="F241" s="59"/>
      <c r="G241" s="94"/>
      <c r="H241" s="59"/>
      <c r="I241" s="59"/>
      <c r="J241" s="106">
        <f>VLOOKUP(A241&amp;G241,Lookup!J:N,5,0)</f>
        <v>0</v>
      </c>
      <c r="K241" s="110"/>
      <c r="L241" s="59"/>
      <c r="M241" s="59"/>
      <c r="N241" s="59"/>
      <c r="O241" s="112">
        <v>9.7673611111111107</v>
      </c>
      <c r="P241" s="110" t="str">
        <f t="shared" si="22"/>
        <v/>
      </c>
      <c r="Q241" s="59"/>
      <c r="R241" s="87" t="str">
        <f t="shared" si="24"/>
        <v/>
      </c>
      <c r="S241" s="87" t="str">
        <f t="shared" si="25"/>
        <v/>
      </c>
      <c r="T241" s="59"/>
      <c r="U241" s="59"/>
      <c r="V241" s="59"/>
      <c r="W241" s="59"/>
      <c r="X241" s="93" t="str">
        <f t="shared" si="23"/>
        <v>D</v>
      </c>
    </row>
    <row r="242" spans="1:24" s="66" customFormat="1" x14ac:dyDescent="0.25">
      <c r="A242" s="53"/>
      <c r="B242" s="91" t="str">
        <f>IFERROR(VLOOKUP(A242,Lookup!A:B,2,0),"")</f>
        <v/>
      </c>
      <c r="C242" s="92" t="str">
        <f>IFERROR(VLOOKUP(A242,Lookup!A:C,3,0),"")</f>
        <v/>
      </c>
      <c r="D242" s="59"/>
      <c r="E242" s="59"/>
      <c r="F242" s="59"/>
      <c r="G242" s="94"/>
      <c r="H242" s="59"/>
      <c r="I242" s="59"/>
      <c r="J242" s="106">
        <f>VLOOKUP(A242&amp;G242,Lookup!J:N,5,0)</f>
        <v>0</v>
      </c>
      <c r="K242" s="110"/>
      <c r="L242" s="59"/>
      <c r="M242" s="59"/>
      <c r="N242" s="59"/>
      <c r="O242" s="112">
        <v>9.8090277777777803</v>
      </c>
      <c r="P242" s="110" t="str">
        <f t="shared" si="22"/>
        <v/>
      </c>
      <c r="Q242" s="59"/>
      <c r="R242" s="87" t="str">
        <f t="shared" si="24"/>
        <v/>
      </c>
      <c r="S242" s="87" t="str">
        <f t="shared" si="25"/>
        <v/>
      </c>
      <c r="T242" s="59"/>
      <c r="U242" s="59"/>
      <c r="V242" s="59"/>
      <c r="W242" s="59"/>
      <c r="X242" s="93" t="str">
        <f t="shared" si="23"/>
        <v>D</v>
      </c>
    </row>
    <row r="243" spans="1:24" s="66" customFormat="1" x14ac:dyDescent="0.25">
      <c r="A243" s="53"/>
      <c r="B243" s="91" t="str">
        <f>IFERROR(VLOOKUP(A243,Lookup!A:B,2,0),"")</f>
        <v/>
      </c>
      <c r="C243" s="92" t="str">
        <f>IFERROR(VLOOKUP(A243,Lookup!A:C,3,0),"")</f>
        <v/>
      </c>
      <c r="D243" s="59"/>
      <c r="E243" s="59"/>
      <c r="F243" s="59"/>
      <c r="G243" s="94"/>
      <c r="H243" s="59"/>
      <c r="I243" s="59"/>
      <c r="J243" s="106">
        <f>VLOOKUP(A243&amp;G243,Lookup!J:N,5,0)</f>
        <v>0</v>
      </c>
      <c r="K243" s="110"/>
      <c r="L243" s="59"/>
      <c r="M243" s="59"/>
      <c r="N243" s="59"/>
      <c r="O243" s="112">
        <v>9.8506944444444393</v>
      </c>
      <c r="P243" s="110" t="str">
        <f t="shared" si="22"/>
        <v/>
      </c>
      <c r="Q243" s="59"/>
      <c r="R243" s="87" t="str">
        <f t="shared" si="24"/>
        <v/>
      </c>
      <c r="S243" s="87" t="str">
        <f t="shared" si="25"/>
        <v/>
      </c>
      <c r="T243" s="59"/>
      <c r="U243" s="59"/>
      <c r="V243" s="59"/>
      <c r="W243" s="59"/>
      <c r="X243" s="93" t="str">
        <f t="shared" si="23"/>
        <v>D</v>
      </c>
    </row>
    <row r="244" spans="1:24" s="66" customFormat="1" x14ac:dyDescent="0.25">
      <c r="A244" s="53"/>
      <c r="B244" s="91" t="str">
        <f>IFERROR(VLOOKUP(A244,Lookup!A:B,2,0),"")</f>
        <v/>
      </c>
      <c r="C244" s="92" t="str">
        <f>IFERROR(VLOOKUP(A244,Lookup!A:C,3,0),"")</f>
        <v/>
      </c>
      <c r="D244" s="59"/>
      <c r="E244" s="59"/>
      <c r="F244" s="59"/>
      <c r="G244" s="94"/>
      <c r="H244" s="59"/>
      <c r="I244" s="59"/>
      <c r="J244" s="106">
        <f>VLOOKUP(A244&amp;G244,Lookup!J:N,5,0)</f>
        <v>0</v>
      </c>
      <c r="K244" s="110"/>
      <c r="L244" s="59"/>
      <c r="M244" s="59"/>
      <c r="N244" s="59"/>
      <c r="O244" s="112">
        <v>9.8923611111111107</v>
      </c>
      <c r="P244" s="110" t="str">
        <f t="shared" si="22"/>
        <v/>
      </c>
      <c r="Q244" s="59"/>
      <c r="R244" s="87" t="str">
        <f t="shared" si="24"/>
        <v/>
      </c>
      <c r="S244" s="87" t="str">
        <f t="shared" si="25"/>
        <v/>
      </c>
      <c r="T244" s="59"/>
      <c r="U244" s="59"/>
      <c r="V244" s="59"/>
      <c r="W244" s="59"/>
      <c r="X244" s="93" t="str">
        <f t="shared" si="23"/>
        <v>D</v>
      </c>
    </row>
    <row r="245" spans="1:24" s="66" customFormat="1" x14ac:dyDescent="0.25">
      <c r="A245" s="53"/>
      <c r="B245" s="91" t="str">
        <f>IFERROR(VLOOKUP(A245,Lookup!A:B,2,0),"")</f>
        <v/>
      </c>
      <c r="C245" s="92" t="str">
        <f>IFERROR(VLOOKUP(A245,Lookup!A:C,3,0),"")</f>
        <v/>
      </c>
      <c r="D245" s="59"/>
      <c r="E245" s="59"/>
      <c r="F245" s="59"/>
      <c r="G245" s="94"/>
      <c r="H245" s="59"/>
      <c r="I245" s="59"/>
      <c r="J245" s="106">
        <f>VLOOKUP(A245&amp;G245,Lookup!J:N,5,0)</f>
        <v>0</v>
      </c>
      <c r="K245" s="110"/>
      <c r="L245" s="59"/>
      <c r="M245" s="59"/>
      <c r="N245" s="59"/>
      <c r="O245" s="112">
        <v>9.9340277777777803</v>
      </c>
      <c r="P245" s="110" t="str">
        <f t="shared" si="22"/>
        <v/>
      </c>
      <c r="Q245" s="59"/>
      <c r="R245" s="87" t="str">
        <f t="shared" si="24"/>
        <v/>
      </c>
      <c r="S245" s="87" t="str">
        <f t="shared" si="25"/>
        <v/>
      </c>
      <c r="T245" s="59"/>
      <c r="U245" s="59"/>
      <c r="V245" s="59"/>
      <c r="W245" s="59"/>
      <c r="X245" s="93" t="str">
        <f t="shared" si="23"/>
        <v>D</v>
      </c>
    </row>
    <row r="246" spans="1:24" s="66" customFormat="1" x14ac:dyDescent="0.25">
      <c r="A246" s="53"/>
      <c r="B246" s="91" t="str">
        <f>IFERROR(VLOOKUP(A246,Lookup!A:B,2,0),"")</f>
        <v/>
      </c>
      <c r="C246" s="92" t="str">
        <f>IFERROR(VLOOKUP(A246,Lookup!A:C,3,0),"")</f>
        <v/>
      </c>
      <c r="D246" s="59"/>
      <c r="E246" s="59"/>
      <c r="F246" s="59"/>
      <c r="G246" s="94"/>
      <c r="H246" s="59"/>
      <c r="I246" s="59"/>
      <c r="J246" s="106">
        <f>VLOOKUP(A246&amp;G246,Lookup!J:N,5,0)</f>
        <v>0</v>
      </c>
      <c r="K246" s="110"/>
      <c r="L246" s="59"/>
      <c r="M246" s="59"/>
      <c r="N246" s="59"/>
      <c r="O246" s="112">
        <v>9.9756944444444393</v>
      </c>
      <c r="P246" s="110" t="str">
        <f t="shared" si="22"/>
        <v/>
      </c>
      <c r="Q246" s="59"/>
      <c r="R246" s="87" t="str">
        <f t="shared" si="24"/>
        <v/>
      </c>
      <c r="S246" s="87" t="str">
        <f t="shared" si="25"/>
        <v/>
      </c>
      <c r="T246" s="59"/>
      <c r="U246" s="59"/>
      <c r="V246" s="59"/>
      <c r="W246" s="59"/>
      <c r="X246" s="93" t="str">
        <f t="shared" si="23"/>
        <v>D</v>
      </c>
    </row>
    <row r="247" spans="1:24" s="66" customFormat="1" x14ac:dyDescent="0.25">
      <c r="A247" s="53"/>
      <c r="B247" s="91" t="str">
        <f>IFERROR(VLOOKUP(A247,Lookup!A:B,2,0),"")</f>
        <v/>
      </c>
      <c r="C247" s="92" t="str">
        <f>IFERROR(VLOOKUP(A247,Lookup!A:C,3,0),"")</f>
        <v/>
      </c>
      <c r="D247" s="59"/>
      <c r="E247" s="59"/>
      <c r="F247" s="59"/>
      <c r="G247" s="94"/>
      <c r="H247" s="59"/>
      <c r="I247" s="59"/>
      <c r="J247" s="106">
        <f>VLOOKUP(A247&amp;G247,Lookup!J:N,5,0)</f>
        <v>0</v>
      </c>
      <c r="K247" s="110"/>
      <c r="L247" s="59"/>
      <c r="M247" s="59"/>
      <c r="N247" s="59"/>
      <c r="O247" s="112">
        <v>10.0173611111111</v>
      </c>
      <c r="P247" s="110" t="str">
        <f t="shared" si="22"/>
        <v/>
      </c>
      <c r="Q247" s="59"/>
      <c r="R247" s="87" t="str">
        <f t="shared" si="24"/>
        <v/>
      </c>
      <c r="S247" s="87" t="str">
        <f t="shared" si="25"/>
        <v/>
      </c>
      <c r="T247" s="59"/>
      <c r="U247" s="59"/>
      <c r="V247" s="59"/>
      <c r="W247" s="59"/>
      <c r="X247" s="93" t="str">
        <f t="shared" si="23"/>
        <v>D</v>
      </c>
    </row>
    <row r="248" spans="1:24" s="66" customFormat="1" x14ac:dyDescent="0.25">
      <c r="A248" s="53"/>
      <c r="B248" s="91" t="str">
        <f>IFERROR(VLOOKUP(A248,Lookup!A:B,2,0),"")</f>
        <v/>
      </c>
      <c r="C248" s="92" t="str">
        <f>IFERROR(VLOOKUP(A248,Lookup!A:C,3,0),"")</f>
        <v/>
      </c>
      <c r="D248" s="59"/>
      <c r="E248" s="59"/>
      <c r="F248" s="59"/>
      <c r="G248" s="94"/>
      <c r="H248" s="59"/>
      <c r="I248" s="59"/>
      <c r="J248" s="106">
        <f>VLOOKUP(A248&amp;G248,Lookup!J:N,5,0)</f>
        <v>0</v>
      </c>
      <c r="K248" s="110"/>
      <c r="L248" s="59"/>
      <c r="M248" s="59"/>
      <c r="N248" s="59"/>
      <c r="O248" s="112">
        <v>10.0590277777778</v>
      </c>
      <c r="P248" s="110" t="str">
        <f t="shared" si="22"/>
        <v/>
      </c>
      <c r="Q248" s="59"/>
      <c r="R248" s="87" t="str">
        <f t="shared" si="24"/>
        <v/>
      </c>
      <c r="S248" s="87" t="str">
        <f t="shared" si="25"/>
        <v/>
      </c>
      <c r="T248" s="59"/>
      <c r="U248" s="59"/>
      <c r="V248" s="59"/>
      <c r="W248" s="59"/>
      <c r="X248" s="93" t="str">
        <f t="shared" si="23"/>
        <v>D</v>
      </c>
    </row>
    <row r="249" spans="1:24" s="66" customFormat="1" x14ac:dyDescent="0.25">
      <c r="A249" s="53"/>
      <c r="B249" s="91" t="str">
        <f>IFERROR(VLOOKUP(A249,Lookup!A:B,2,0),"")</f>
        <v/>
      </c>
      <c r="C249" s="92" t="str">
        <f>IFERROR(VLOOKUP(A249,Lookup!A:C,3,0),"")</f>
        <v/>
      </c>
      <c r="D249" s="59"/>
      <c r="E249" s="59"/>
      <c r="F249" s="59"/>
      <c r="G249" s="94"/>
      <c r="H249" s="59"/>
      <c r="I249" s="59"/>
      <c r="J249" s="106">
        <f>VLOOKUP(A249&amp;G249,Lookup!J:N,5,0)</f>
        <v>0</v>
      </c>
      <c r="K249" s="110"/>
      <c r="L249" s="59"/>
      <c r="M249" s="59"/>
      <c r="N249" s="59"/>
      <c r="O249" s="112">
        <v>10.1006944444444</v>
      </c>
      <c r="P249" s="110" t="str">
        <f t="shared" si="22"/>
        <v/>
      </c>
      <c r="Q249" s="59"/>
      <c r="R249" s="87" t="str">
        <f t="shared" si="24"/>
        <v/>
      </c>
      <c r="S249" s="87" t="str">
        <f t="shared" si="25"/>
        <v/>
      </c>
      <c r="T249" s="59"/>
      <c r="U249" s="59"/>
      <c r="V249" s="59"/>
      <c r="W249" s="59"/>
      <c r="X249" s="93" t="str">
        <f t="shared" si="23"/>
        <v>D</v>
      </c>
    </row>
    <row r="250" spans="1:24" s="66" customFormat="1" x14ac:dyDescent="0.25">
      <c r="A250" s="53"/>
      <c r="B250" s="91" t="str">
        <f>IFERROR(VLOOKUP(A250,Lookup!A:B,2,0),"")</f>
        <v/>
      </c>
      <c r="C250" s="92" t="str">
        <f>IFERROR(VLOOKUP(A250,Lookup!A:C,3,0),"")</f>
        <v/>
      </c>
      <c r="D250" s="59"/>
      <c r="E250" s="59"/>
      <c r="F250" s="59"/>
      <c r="G250" s="94"/>
      <c r="H250" s="59"/>
      <c r="I250" s="59"/>
      <c r="J250" s="106">
        <f>VLOOKUP(A250&amp;G250,Lookup!J:N,5,0)</f>
        <v>0</v>
      </c>
      <c r="K250" s="110"/>
      <c r="L250" s="59"/>
      <c r="M250" s="59"/>
      <c r="N250" s="59"/>
      <c r="O250" s="112">
        <v>10.1423611111111</v>
      </c>
      <c r="P250" s="110" t="str">
        <f t="shared" si="22"/>
        <v/>
      </c>
      <c r="Q250" s="59"/>
      <c r="R250" s="87" t="str">
        <f t="shared" si="24"/>
        <v/>
      </c>
      <c r="S250" s="87" t="str">
        <f t="shared" si="25"/>
        <v/>
      </c>
      <c r="T250" s="59"/>
      <c r="U250" s="59"/>
      <c r="V250" s="59"/>
      <c r="W250" s="59"/>
      <c r="X250" s="93" t="str">
        <f t="shared" si="23"/>
        <v>D</v>
      </c>
    </row>
    <row r="251" spans="1:24" s="66" customFormat="1" x14ac:dyDescent="0.25">
      <c r="A251" s="53"/>
      <c r="B251" s="91" t="str">
        <f>IFERROR(VLOOKUP(A251,Lookup!A:B,2,0),"")</f>
        <v/>
      </c>
      <c r="C251" s="92" t="str">
        <f>IFERROR(VLOOKUP(A251,Lookup!A:C,3,0),"")</f>
        <v/>
      </c>
      <c r="D251" s="59"/>
      <c r="E251" s="59"/>
      <c r="F251" s="59"/>
      <c r="G251" s="94"/>
      <c r="H251" s="59"/>
      <c r="I251" s="59"/>
      <c r="J251" s="106">
        <f>VLOOKUP(A251&amp;G251,Lookup!J:N,5,0)</f>
        <v>0</v>
      </c>
      <c r="K251" s="110"/>
      <c r="L251" s="59"/>
      <c r="M251" s="59"/>
      <c r="N251" s="59"/>
      <c r="O251" s="112">
        <v>10.1840277777778</v>
      </c>
      <c r="P251" s="110" t="str">
        <f t="shared" si="22"/>
        <v/>
      </c>
      <c r="Q251" s="59"/>
      <c r="R251" s="87" t="str">
        <f t="shared" si="24"/>
        <v/>
      </c>
      <c r="S251" s="87" t="str">
        <f t="shared" si="25"/>
        <v/>
      </c>
      <c r="T251" s="59"/>
      <c r="U251" s="59"/>
      <c r="V251" s="59"/>
      <c r="W251" s="59"/>
      <c r="X251" s="93" t="str">
        <f t="shared" si="23"/>
        <v>D</v>
      </c>
    </row>
    <row r="252" spans="1:24" s="66" customFormat="1" x14ac:dyDescent="0.25">
      <c r="A252" s="53"/>
      <c r="B252" s="91" t="str">
        <f>IFERROR(VLOOKUP(A252,Lookup!A:B,2,0),"")</f>
        <v/>
      </c>
      <c r="C252" s="92" t="str">
        <f>IFERROR(VLOOKUP(A252,Lookup!A:C,3,0),"")</f>
        <v/>
      </c>
      <c r="D252" s="59"/>
      <c r="E252" s="59"/>
      <c r="F252" s="59"/>
      <c r="G252" s="94"/>
      <c r="H252" s="59"/>
      <c r="I252" s="59"/>
      <c r="J252" s="106">
        <f>VLOOKUP(A252&amp;G252,Lookup!J:N,5,0)</f>
        <v>0</v>
      </c>
      <c r="K252" s="110"/>
      <c r="L252" s="59"/>
      <c r="M252" s="59"/>
      <c r="N252" s="59"/>
      <c r="O252" s="112">
        <v>10.2256944444444</v>
      </c>
      <c r="P252" s="110" t="str">
        <f t="shared" si="22"/>
        <v/>
      </c>
      <c r="Q252" s="59"/>
      <c r="R252" s="87" t="str">
        <f t="shared" si="24"/>
        <v/>
      </c>
      <c r="S252" s="87" t="str">
        <f t="shared" si="25"/>
        <v/>
      </c>
      <c r="T252" s="59"/>
      <c r="U252" s="59"/>
      <c r="V252" s="59"/>
      <c r="W252" s="59"/>
      <c r="X252" s="93" t="str">
        <f t="shared" si="23"/>
        <v>D</v>
      </c>
    </row>
    <row r="253" spans="1:24" s="66" customFormat="1" x14ac:dyDescent="0.25">
      <c r="A253" s="53"/>
      <c r="B253" s="91" t="str">
        <f>IFERROR(VLOOKUP(A253,Lookup!A:B,2,0),"")</f>
        <v/>
      </c>
      <c r="C253" s="92" t="str">
        <f>IFERROR(VLOOKUP(A253,Lookup!A:C,3,0),"")</f>
        <v/>
      </c>
      <c r="D253" s="59"/>
      <c r="E253" s="59"/>
      <c r="F253" s="59"/>
      <c r="G253" s="94"/>
      <c r="H253" s="59"/>
      <c r="I253" s="59"/>
      <c r="J253" s="106">
        <f>VLOOKUP(A253&amp;G253,Lookup!J:N,5,0)</f>
        <v>0</v>
      </c>
      <c r="K253" s="110"/>
      <c r="L253" s="59"/>
      <c r="M253" s="59"/>
      <c r="N253" s="59"/>
      <c r="O253" s="112">
        <v>10.2673611111111</v>
      </c>
      <c r="P253" s="110" t="str">
        <f t="shared" si="22"/>
        <v/>
      </c>
      <c r="Q253" s="59"/>
      <c r="R253" s="87" t="str">
        <f t="shared" si="24"/>
        <v/>
      </c>
      <c r="S253" s="87" t="str">
        <f t="shared" si="25"/>
        <v/>
      </c>
      <c r="T253" s="59"/>
      <c r="U253" s="59"/>
      <c r="V253" s="59"/>
      <c r="W253" s="59"/>
      <c r="X253" s="93" t="str">
        <f t="shared" si="23"/>
        <v>D</v>
      </c>
    </row>
    <row r="254" spans="1:24" s="66" customFormat="1" x14ac:dyDescent="0.25">
      <c r="A254" s="53"/>
      <c r="B254" s="91" t="str">
        <f>IFERROR(VLOOKUP(A254,Lookup!A:B,2,0),"")</f>
        <v/>
      </c>
      <c r="C254" s="92" t="str">
        <f>IFERROR(VLOOKUP(A254,Lookup!A:C,3,0),"")</f>
        <v/>
      </c>
      <c r="D254" s="59"/>
      <c r="E254" s="59"/>
      <c r="F254" s="59"/>
      <c r="G254" s="94"/>
      <c r="H254" s="59"/>
      <c r="I254" s="59"/>
      <c r="J254" s="106">
        <f>VLOOKUP(A254&amp;G254,Lookup!J:N,5,0)</f>
        <v>0</v>
      </c>
      <c r="K254" s="110"/>
      <c r="L254" s="59"/>
      <c r="M254" s="59"/>
      <c r="N254" s="59"/>
      <c r="O254" s="112">
        <v>10.3090277777778</v>
      </c>
      <c r="P254" s="110" t="str">
        <f t="shared" si="22"/>
        <v/>
      </c>
      <c r="Q254" s="59"/>
      <c r="R254" s="87" t="str">
        <f t="shared" si="24"/>
        <v/>
      </c>
      <c r="S254" s="87" t="str">
        <f t="shared" si="25"/>
        <v/>
      </c>
      <c r="T254" s="59"/>
      <c r="U254" s="59"/>
      <c r="V254" s="59"/>
      <c r="W254" s="59"/>
      <c r="X254" s="93" t="str">
        <f t="shared" si="23"/>
        <v>D</v>
      </c>
    </row>
    <row r="255" spans="1:24" s="66" customFormat="1" x14ac:dyDescent="0.25">
      <c r="A255" s="53"/>
      <c r="B255" s="91" t="str">
        <f>IFERROR(VLOOKUP(A255,Lookup!A:B,2,0),"")</f>
        <v/>
      </c>
      <c r="C255" s="92" t="str">
        <f>IFERROR(VLOOKUP(A255,Lookup!A:C,3,0),"")</f>
        <v/>
      </c>
      <c r="D255" s="59"/>
      <c r="E255" s="59"/>
      <c r="F255" s="59"/>
      <c r="G255" s="94"/>
      <c r="H255" s="59"/>
      <c r="I255" s="59"/>
      <c r="J255" s="106">
        <f>VLOOKUP(A255&amp;G255,Lookup!J:N,5,0)</f>
        <v>0</v>
      </c>
      <c r="K255" s="110"/>
      <c r="L255" s="59"/>
      <c r="M255" s="59"/>
      <c r="N255" s="59"/>
      <c r="O255" s="112">
        <v>10.3506944444444</v>
      </c>
      <c r="P255" s="110" t="str">
        <f t="shared" si="22"/>
        <v/>
      </c>
      <c r="Q255" s="59"/>
      <c r="R255" s="87" t="str">
        <f t="shared" si="24"/>
        <v/>
      </c>
      <c r="S255" s="87" t="str">
        <f t="shared" si="25"/>
        <v/>
      </c>
      <c r="T255" s="59"/>
      <c r="U255" s="59"/>
      <c r="V255" s="59"/>
      <c r="W255" s="59"/>
      <c r="X255" s="93" t="str">
        <f t="shared" si="23"/>
        <v>D</v>
      </c>
    </row>
    <row r="256" spans="1:24" s="66" customFormat="1" x14ac:dyDescent="0.25">
      <c r="A256" s="53"/>
      <c r="B256" s="91" t="str">
        <f>IFERROR(VLOOKUP(A256,Lookup!A:B,2,0),"")</f>
        <v/>
      </c>
      <c r="C256" s="92" t="str">
        <f>IFERROR(VLOOKUP(A256,Lookup!A:C,3,0),"")</f>
        <v/>
      </c>
      <c r="D256" s="59"/>
      <c r="E256" s="59"/>
      <c r="F256" s="59"/>
      <c r="G256" s="94"/>
      <c r="H256" s="59"/>
      <c r="I256" s="59"/>
      <c r="J256" s="106">
        <f>VLOOKUP(A256&amp;G256,Lookup!J:N,5,0)</f>
        <v>0</v>
      </c>
      <c r="K256" s="110"/>
      <c r="L256" s="59"/>
      <c r="M256" s="59"/>
      <c r="N256" s="59"/>
      <c r="O256" s="112">
        <v>10.3923611111111</v>
      </c>
      <c r="P256" s="110" t="str">
        <f t="shared" si="22"/>
        <v/>
      </c>
      <c r="Q256" s="59"/>
      <c r="R256" s="87" t="str">
        <f t="shared" si="24"/>
        <v/>
      </c>
      <c r="S256" s="87" t="str">
        <f t="shared" si="25"/>
        <v/>
      </c>
      <c r="T256" s="59"/>
      <c r="U256" s="59"/>
      <c r="V256" s="59"/>
      <c r="W256" s="59"/>
      <c r="X256" s="93" t="str">
        <f t="shared" si="23"/>
        <v>D</v>
      </c>
    </row>
    <row r="257" spans="1:24" s="66" customFormat="1" x14ac:dyDescent="0.25">
      <c r="A257" s="53"/>
      <c r="B257" s="91" t="str">
        <f>IFERROR(VLOOKUP(A257,Lookup!A:B,2,0),"")</f>
        <v/>
      </c>
      <c r="C257" s="92" t="str">
        <f>IFERROR(VLOOKUP(A257,Lookup!A:C,3,0),"")</f>
        <v/>
      </c>
      <c r="D257" s="59"/>
      <c r="E257" s="59"/>
      <c r="F257" s="59"/>
      <c r="G257" s="94"/>
      <c r="H257" s="59"/>
      <c r="I257" s="59"/>
      <c r="J257" s="106">
        <f>VLOOKUP(A257&amp;G257,Lookup!J:N,5,0)</f>
        <v>0</v>
      </c>
      <c r="K257" s="110"/>
      <c r="L257" s="59"/>
      <c r="M257" s="59"/>
      <c r="N257" s="59"/>
      <c r="O257" s="112">
        <v>10.4340277777778</v>
      </c>
      <c r="P257" s="110" t="str">
        <f t="shared" si="22"/>
        <v/>
      </c>
      <c r="Q257" s="59"/>
      <c r="R257" s="87" t="str">
        <f t="shared" si="24"/>
        <v/>
      </c>
      <c r="S257" s="87" t="str">
        <f t="shared" si="25"/>
        <v/>
      </c>
      <c r="T257" s="59"/>
      <c r="U257" s="59"/>
      <c r="V257" s="59"/>
      <c r="W257" s="59"/>
      <c r="X257" s="93" t="str">
        <f t="shared" si="23"/>
        <v>D</v>
      </c>
    </row>
    <row r="258" spans="1:24" s="66" customFormat="1" x14ac:dyDescent="0.25">
      <c r="A258" s="53"/>
      <c r="B258" s="91" t="str">
        <f>IFERROR(VLOOKUP(A258,Lookup!A:B,2,0),"")</f>
        <v/>
      </c>
      <c r="C258" s="92" t="str">
        <f>IFERROR(VLOOKUP(A258,Lookup!A:C,3,0),"")</f>
        <v/>
      </c>
      <c r="D258" s="59"/>
      <c r="E258" s="59"/>
      <c r="F258" s="59"/>
      <c r="G258" s="94"/>
      <c r="H258" s="59"/>
      <c r="I258" s="59"/>
      <c r="J258" s="106">
        <f>VLOOKUP(A258&amp;G258,Lookup!J:N,5,0)</f>
        <v>0</v>
      </c>
      <c r="K258" s="110"/>
      <c r="L258" s="59"/>
      <c r="M258" s="59"/>
      <c r="N258" s="59"/>
      <c r="O258" s="112">
        <v>10.4756944444444</v>
      </c>
      <c r="P258" s="110" t="str">
        <f t="shared" si="22"/>
        <v/>
      </c>
      <c r="Q258" s="59"/>
      <c r="R258" s="87" t="str">
        <f t="shared" si="24"/>
        <v/>
      </c>
      <c r="S258" s="87" t="str">
        <f t="shared" si="25"/>
        <v/>
      </c>
      <c r="T258" s="59"/>
      <c r="U258" s="59"/>
      <c r="V258" s="59"/>
      <c r="W258" s="59"/>
      <c r="X258" s="93" t="str">
        <f t="shared" si="23"/>
        <v>D</v>
      </c>
    </row>
    <row r="259" spans="1:24" s="66" customFormat="1" x14ac:dyDescent="0.25">
      <c r="A259" s="53"/>
      <c r="B259" s="91" t="str">
        <f>IFERROR(VLOOKUP(A259,Lookup!A:B,2,0),"")</f>
        <v/>
      </c>
      <c r="C259" s="92" t="str">
        <f>IFERROR(VLOOKUP(A259,Lookup!A:C,3,0),"")</f>
        <v/>
      </c>
      <c r="D259" s="59"/>
      <c r="E259" s="59"/>
      <c r="F259" s="59"/>
      <c r="G259" s="94"/>
      <c r="H259" s="59"/>
      <c r="I259" s="59"/>
      <c r="J259" s="106">
        <f>VLOOKUP(A259&amp;G259,Lookup!J:N,5,0)</f>
        <v>0</v>
      </c>
      <c r="K259" s="110"/>
      <c r="L259" s="59"/>
      <c r="M259" s="59"/>
      <c r="N259" s="59"/>
      <c r="O259" s="112">
        <v>10.5173611111111</v>
      </c>
      <c r="P259" s="110" t="str">
        <f t="shared" ref="P259:P322" si="26">IF(N259="","",N259+O259)</f>
        <v/>
      </c>
      <c r="Q259" s="59"/>
      <c r="R259" s="87" t="str">
        <f t="shared" si="24"/>
        <v/>
      </c>
      <c r="S259" s="87" t="str">
        <f t="shared" si="25"/>
        <v/>
      </c>
      <c r="T259" s="59"/>
      <c r="U259" s="59"/>
      <c r="V259" s="59"/>
      <c r="W259" s="59"/>
      <c r="X259" s="93" t="str">
        <f t="shared" ref="X259:X322" si="27">IF(I259="SET","A",IF(I259="FREQ","C",IF(I259="","D","B")))</f>
        <v>D</v>
      </c>
    </row>
    <row r="260" spans="1:24" s="66" customFormat="1" x14ac:dyDescent="0.25">
      <c r="A260" s="53"/>
      <c r="B260" s="91" t="str">
        <f>IFERROR(VLOOKUP(A260,Lookup!A:B,2,0),"")</f>
        <v/>
      </c>
      <c r="C260" s="92" t="str">
        <f>IFERROR(VLOOKUP(A260,Lookup!A:C,3,0),"")</f>
        <v/>
      </c>
      <c r="D260" s="59"/>
      <c r="E260" s="59"/>
      <c r="F260" s="59"/>
      <c r="G260" s="94"/>
      <c r="H260" s="59"/>
      <c r="I260" s="59"/>
      <c r="J260" s="106">
        <f>VLOOKUP(A260&amp;G260,Lookup!J:N,5,0)</f>
        <v>0</v>
      </c>
      <c r="K260" s="110"/>
      <c r="L260" s="59"/>
      <c r="M260" s="59"/>
      <c r="N260" s="59"/>
      <c r="O260" s="112">
        <v>10.5590277777778</v>
      </c>
      <c r="P260" s="110" t="str">
        <f t="shared" si="26"/>
        <v/>
      </c>
      <c r="Q260" s="59"/>
      <c r="R260" s="87" t="str">
        <f t="shared" si="24"/>
        <v/>
      </c>
      <c r="S260" s="87" t="str">
        <f t="shared" si="25"/>
        <v/>
      </c>
      <c r="T260" s="59"/>
      <c r="U260" s="59"/>
      <c r="V260" s="59"/>
      <c r="W260" s="59"/>
      <c r="X260" s="93" t="str">
        <f t="shared" si="27"/>
        <v>D</v>
      </c>
    </row>
    <row r="261" spans="1:24" s="66" customFormat="1" x14ac:dyDescent="0.25">
      <c r="A261" s="53"/>
      <c r="B261" s="91" t="str">
        <f>IFERROR(VLOOKUP(A261,Lookup!A:B,2,0),"")</f>
        <v/>
      </c>
      <c r="C261" s="92" t="str">
        <f>IFERROR(VLOOKUP(A261,Lookup!A:C,3,0),"")</f>
        <v/>
      </c>
      <c r="D261" s="59"/>
      <c r="E261" s="59"/>
      <c r="F261" s="59"/>
      <c r="G261" s="94"/>
      <c r="H261" s="59"/>
      <c r="I261" s="59"/>
      <c r="J261" s="106">
        <f>VLOOKUP(A261&amp;G261,Lookup!J:N,5,0)</f>
        <v>0</v>
      </c>
      <c r="K261" s="110"/>
      <c r="L261" s="59"/>
      <c r="M261" s="59"/>
      <c r="N261" s="59"/>
      <c r="O261" s="112">
        <v>10.6006944444444</v>
      </c>
      <c r="P261" s="110" t="str">
        <f t="shared" si="26"/>
        <v/>
      </c>
      <c r="Q261" s="59"/>
      <c r="R261" s="87" t="str">
        <f t="shared" si="24"/>
        <v/>
      </c>
      <c r="S261" s="87" t="str">
        <f t="shared" si="25"/>
        <v/>
      </c>
      <c r="T261" s="59"/>
      <c r="U261" s="59"/>
      <c r="V261" s="59"/>
      <c r="W261" s="59"/>
      <c r="X261" s="93" t="str">
        <f t="shared" si="27"/>
        <v>D</v>
      </c>
    </row>
    <row r="262" spans="1:24" s="66" customFormat="1" x14ac:dyDescent="0.25">
      <c r="A262" s="53"/>
      <c r="B262" s="91" t="str">
        <f>IFERROR(VLOOKUP(A262,Lookup!A:B,2,0),"")</f>
        <v/>
      </c>
      <c r="C262" s="92" t="str">
        <f>IFERROR(VLOOKUP(A262,Lookup!A:C,3,0),"")</f>
        <v/>
      </c>
      <c r="D262" s="59"/>
      <c r="E262" s="59"/>
      <c r="F262" s="59"/>
      <c r="G262" s="94"/>
      <c r="H262" s="59"/>
      <c r="I262" s="59"/>
      <c r="J262" s="106">
        <f>VLOOKUP(A262&amp;G262,Lookup!J:N,5,0)</f>
        <v>0</v>
      </c>
      <c r="K262" s="110"/>
      <c r="L262" s="59"/>
      <c r="M262" s="59"/>
      <c r="N262" s="59"/>
      <c r="O262" s="112">
        <v>10.6423611111111</v>
      </c>
      <c r="P262" s="110" t="str">
        <f t="shared" si="26"/>
        <v/>
      </c>
      <c r="Q262" s="59"/>
      <c r="R262" s="87" t="str">
        <f t="shared" si="24"/>
        <v/>
      </c>
      <c r="S262" s="87" t="str">
        <f t="shared" si="25"/>
        <v/>
      </c>
      <c r="T262" s="59"/>
      <c r="U262" s="59"/>
      <c r="V262" s="59"/>
      <c r="W262" s="59"/>
      <c r="X262" s="93" t="str">
        <f t="shared" si="27"/>
        <v>D</v>
      </c>
    </row>
    <row r="263" spans="1:24" s="66" customFormat="1" x14ac:dyDescent="0.25">
      <c r="A263" s="53"/>
      <c r="B263" s="91" t="str">
        <f>IFERROR(VLOOKUP(A263,Lookup!A:B,2,0),"")</f>
        <v/>
      </c>
      <c r="C263" s="92" t="str">
        <f>IFERROR(VLOOKUP(A263,Lookup!A:C,3,0),"")</f>
        <v/>
      </c>
      <c r="D263" s="59"/>
      <c r="E263" s="59"/>
      <c r="F263" s="59"/>
      <c r="G263" s="94"/>
      <c r="H263" s="59"/>
      <c r="I263" s="59"/>
      <c r="J263" s="106">
        <f>VLOOKUP(A263&amp;G263,Lookup!J:N,5,0)</f>
        <v>0</v>
      </c>
      <c r="K263" s="110"/>
      <c r="L263" s="59"/>
      <c r="M263" s="59"/>
      <c r="N263" s="59"/>
      <c r="O263" s="112">
        <v>10.6840277777778</v>
      </c>
      <c r="P263" s="110" t="str">
        <f t="shared" si="26"/>
        <v/>
      </c>
      <c r="Q263" s="59"/>
      <c r="R263" s="87" t="str">
        <f t="shared" ref="R263:R326" si="28">IF(OR(EXACT(N263,""), EXACT(L263,"")),"",N263-L263)</f>
        <v/>
      </c>
      <c r="S263" s="87" t="str">
        <f t="shared" ref="S263:S326" si="29">IF(OR(EXACT(Q263,""), EXACT(L263,"")),"",Q263-L263)</f>
        <v/>
      </c>
      <c r="T263" s="59"/>
      <c r="U263" s="59"/>
      <c r="V263" s="59"/>
      <c r="W263" s="59"/>
      <c r="X263" s="93" t="str">
        <f t="shared" si="27"/>
        <v>D</v>
      </c>
    </row>
    <row r="264" spans="1:24" s="66" customFormat="1" x14ac:dyDescent="0.25">
      <c r="A264" s="53"/>
      <c r="B264" s="91" t="str">
        <f>IFERROR(VLOOKUP(A264,Lookup!A:B,2,0),"")</f>
        <v/>
      </c>
      <c r="C264" s="92" t="str">
        <f>IFERROR(VLOOKUP(A264,Lookup!A:C,3,0),"")</f>
        <v/>
      </c>
      <c r="D264" s="59"/>
      <c r="E264" s="59"/>
      <c r="F264" s="59"/>
      <c r="G264" s="94"/>
      <c r="H264" s="59"/>
      <c r="I264" s="59"/>
      <c r="J264" s="106">
        <f>VLOOKUP(A264&amp;G264,Lookup!J:N,5,0)</f>
        <v>0</v>
      </c>
      <c r="K264" s="110"/>
      <c r="L264" s="59"/>
      <c r="M264" s="59"/>
      <c r="N264" s="59"/>
      <c r="O264" s="112">
        <v>10.7256944444444</v>
      </c>
      <c r="P264" s="110" t="str">
        <f t="shared" si="26"/>
        <v/>
      </c>
      <c r="Q264" s="59"/>
      <c r="R264" s="87" t="str">
        <f t="shared" si="28"/>
        <v/>
      </c>
      <c r="S264" s="87" t="str">
        <f t="shared" si="29"/>
        <v/>
      </c>
      <c r="T264" s="59"/>
      <c r="U264" s="59"/>
      <c r="V264" s="59"/>
      <c r="W264" s="59"/>
      <c r="X264" s="93" t="str">
        <f t="shared" si="27"/>
        <v>D</v>
      </c>
    </row>
    <row r="265" spans="1:24" s="66" customFormat="1" x14ac:dyDescent="0.25">
      <c r="A265" s="53"/>
      <c r="B265" s="91" t="str">
        <f>IFERROR(VLOOKUP(A265,Lookup!A:B,2,0),"")</f>
        <v/>
      </c>
      <c r="C265" s="92" t="str">
        <f>IFERROR(VLOOKUP(A265,Lookup!A:C,3,0),"")</f>
        <v/>
      </c>
      <c r="D265" s="59"/>
      <c r="E265" s="59"/>
      <c r="F265" s="59"/>
      <c r="G265" s="94"/>
      <c r="H265" s="59"/>
      <c r="I265" s="59"/>
      <c r="J265" s="106">
        <f>VLOOKUP(A265&amp;G265,Lookup!J:N,5,0)</f>
        <v>0</v>
      </c>
      <c r="K265" s="110"/>
      <c r="L265" s="59"/>
      <c r="M265" s="59"/>
      <c r="N265" s="59"/>
      <c r="O265" s="112">
        <v>10.7673611111111</v>
      </c>
      <c r="P265" s="110" t="str">
        <f t="shared" si="26"/>
        <v/>
      </c>
      <c r="Q265" s="59"/>
      <c r="R265" s="87" t="str">
        <f t="shared" si="28"/>
        <v/>
      </c>
      <c r="S265" s="87" t="str">
        <f t="shared" si="29"/>
        <v/>
      </c>
      <c r="T265" s="59"/>
      <c r="U265" s="59"/>
      <c r="V265" s="59"/>
      <c r="W265" s="59"/>
      <c r="X265" s="93" t="str">
        <f t="shared" si="27"/>
        <v>D</v>
      </c>
    </row>
    <row r="266" spans="1:24" s="66" customFormat="1" x14ac:dyDescent="0.25">
      <c r="A266" s="53"/>
      <c r="B266" s="91" t="str">
        <f>IFERROR(VLOOKUP(A266,Lookup!A:B,2,0),"")</f>
        <v/>
      </c>
      <c r="C266" s="92" t="str">
        <f>IFERROR(VLOOKUP(A266,Lookup!A:C,3,0),"")</f>
        <v/>
      </c>
      <c r="D266" s="59"/>
      <c r="E266" s="59"/>
      <c r="F266" s="59"/>
      <c r="G266" s="94"/>
      <c r="H266" s="59"/>
      <c r="I266" s="59"/>
      <c r="J266" s="106">
        <f>VLOOKUP(A266&amp;G266,Lookup!J:N,5,0)</f>
        <v>0</v>
      </c>
      <c r="K266" s="110"/>
      <c r="L266" s="59"/>
      <c r="M266" s="59"/>
      <c r="N266" s="59"/>
      <c r="O266" s="112">
        <v>10.8090277777778</v>
      </c>
      <c r="P266" s="110" t="str">
        <f t="shared" si="26"/>
        <v/>
      </c>
      <c r="Q266" s="59"/>
      <c r="R266" s="87" t="str">
        <f t="shared" si="28"/>
        <v/>
      </c>
      <c r="S266" s="87" t="str">
        <f t="shared" si="29"/>
        <v/>
      </c>
      <c r="T266" s="59"/>
      <c r="U266" s="59"/>
      <c r="V266" s="59"/>
      <c r="W266" s="59"/>
      <c r="X266" s="93" t="str">
        <f t="shared" si="27"/>
        <v>D</v>
      </c>
    </row>
    <row r="267" spans="1:24" s="66" customFormat="1" x14ac:dyDescent="0.25">
      <c r="A267" s="53"/>
      <c r="B267" s="91" t="str">
        <f>IFERROR(VLOOKUP(A267,Lookup!A:B,2,0),"")</f>
        <v/>
      </c>
      <c r="C267" s="92" t="str">
        <f>IFERROR(VLOOKUP(A267,Lookup!A:C,3,0),"")</f>
        <v/>
      </c>
      <c r="D267" s="59"/>
      <c r="E267" s="59"/>
      <c r="F267" s="59"/>
      <c r="G267" s="94"/>
      <c r="H267" s="59"/>
      <c r="I267" s="59"/>
      <c r="J267" s="106">
        <f>VLOOKUP(A267&amp;G267,Lookup!J:N,5,0)</f>
        <v>0</v>
      </c>
      <c r="K267" s="110"/>
      <c r="L267" s="59"/>
      <c r="M267" s="59"/>
      <c r="N267" s="59"/>
      <c r="O267" s="112">
        <v>10.8506944444444</v>
      </c>
      <c r="P267" s="110" t="str">
        <f t="shared" si="26"/>
        <v/>
      </c>
      <c r="Q267" s="59"/>
      <c r="R267" s="87" t="str">
        <f t="shared" si="28"/>
        <v/>
      </c>
      <c r="S267" s="87" t="str">
        <f t="shared" si="29"/>
        <v/>
      </c>
      <c r="T267" s="59"/>
      <c r="U267" s="59"/>
      <c r="V267" s="59"/>
      <c r="W267" s="59"/>
      <c r="X267" s="93" t="str">
        <f t="shared" si="27"/>
        <v>D</v>
      </c>
    </row>
    <row r="268" spans="1:24" s="66" customFormat="1" x14ac:dyDescent="0.25">
      <c r="A268" s="53"/>
      <c r="B268" s="91" t="str">
        <f>IFERROR(VLOOKUP(A268,Lookup!A:B,2,0),"")</f>
        <v/>
      </c>
      <c r="C268" s="92" t="str">
        <f>IFERROR(VLOOKUP(A268,Lookup!A:C,3,0),"")</f>
        <v/>
      </c>
      <c r="D268" s="59"/>
      <c r="E268" s="59"/>
      <c r="F268" s="59"/>
      <c r="G268" s="94"/>
      <c r="H268" s="59"/>
      <c r="I268" s="59"/>
      <c r="J268" s="106">
        <f>VLOOKUP(A268&amp;G268,Lookup!J:N,5,0)</f>
        <v>0</v>
      </c>
      <c r="K268" s="110"/>
      <c r="L268" s="59"/>
      <c r="M268" s="59"/>
      <c r="N268" s="59"/>
      <c r="O268" s="112">
        <v>10.8923611111111</v>
      </c>
      <c r="P268" s="110" t="str">
        <f t="shared" si="26"/>
        <v/>
      </c>
      <c r="Q268" s="59"/>
      <c r="R268" s="87" t="str">
        <f t="shared" si="28"/>
        <v/>
      </c>
      <c r="S268" s="87" t="str">
        <f t="shared" si="29"/>
        <v/>
      </c>
      <c r="T268" s="59"/>
      <c r="U268" s="59"/>
      <c r="V268" s="59"/>
      <c r="W268" s="59"/>
      <c r="X268" s="93" t="str">
        <f t="shared" si="27"/>
        <v>D</v>
      </c>
    </row>
    <row r="269" spans="1:24" s="66" customFormat="1" x14ac:dyDescent="0.25">
      <c r="A269" s="53"/>
      <c r="B269" s="91" t="str">
        <f>IFERROR(VLOOKUP(A269,Lookup!A:B,2,0),"")</f>
        <v/>
      </c>
      <c r="C269" s="92" t="str">
        <f>IFERROR(VLOOKUP(A269,Lookup!A:C,3,0),"")</f>
        <v/>
      </c>
      <c r="D269" s="59"/>
      <c r="E269" s="59"/>
      <c r="F269" s="59"/>
      <c r="G269" s="94"/>
      <c r="H269" s="59"/>
      <c r="I269" s="59"/>
      <c r="J269" s="106">
        <f>VLOOKUP(A269&amp;G269,Lookup!J:N,5,0)</f>
        <v>0</v>
      </c>
      <c r="K269" s="110"/>
      <c r="L269" s="59"/>
      <c r="M269" s="59"/>
      <c r="N269" s="59"/>
      <c r="O269" s="112">
        <v>10.9340277777778</v>
      </c>
      <c r="P269" s="110" t="str">
        <f t="shared" si="26"/>
        <v/>
      </c>
      <c r="Q269" s="59"/>
      <c r="R269" s="87" t="str">
        <f t="shared" si="28"/>
        <v/>
      </c>
      <c r="S269" s="87" t="str">
        <f t="shared" si="29"/>
        <v/>
      </c>
      <c r="T269" s="59"/>
      <c r="U269" s="59"/>
      <c r="V269" s="59"/>
      <c r="W269" s="59"/>
      <c r="X269" s="93" t="str">
        <f t="shared" si="27"/>
        <v>D</v>
      </c>
    </row>
    <row r="270" spans="1:24" s="66" customFormat="1" x14ac:dyDescent="0.25">
      <c r="A270" s="53"/>
      <c r="B270" s="91" t="str">
        <f>IFERROR(VLOOKUP(A270,Lookup!A:B,2,0),"")</f>
        <v/>
      </c>
      <c r="C270" s="92" t="str">
        <f>IFERROR(VLOOKUP(A270,Lookup!A:C,3,0),"")</f>
        <v/>
      </c>
      <c r="D270" s="59"/>
      <c r="E270" s="59"/>
      <c r="F270" s="59"/>
      <c r="G270" s="94"/>
      <c r="H270" s="59"/>
      <c r="I270" s="59"/>
      <c r="J270" s="106">
        <f>VLOOKUP(A270&amp;G270,Lookup!J:N,5,0)</f>
        <v>0</v>
      </c>
      <c r="K270" s="110"/>
      <c r="L270" s="59"/>
      <c r="M270" s="59"/>
      <c r="N270" s="59"/>
      <c r="O270" s="112">
        <v>10.9756944444444</v>
      </c>
      <c r="P270" s="110" t="str">
        <f t="shared" si="26"/>
        <v/>
      </c>
      <c r="Q270" s="59"/>
      <c r="R270" s="87" t="str">
        <f t="shared" si="28"/>
        <v/>
      </c>
      <c r="S270" s="87" t="str">
        <f t="shared" si="29"/>
        <v/>
      </c>
      <c r="T270" s="59"/>
      <c r="U270" s="59"/>
      <c r="V270" s="59"/>
      <c r="W270" s="59"/>
      <c r="X270" s="93" t="str">
        <f t="shared" si="27"/>
        <v>D</v>
      </c>
    </row>
    <row r="271" spans="1:24" s="66" customFormat="1" x14ac:dyDescent="0.25">
      <c r="A271" s="53"/>
      <c r="B271" s="91" t="str">
        <f>IFERROR(VLOOKUP(A271,Lookup!A:B,2,0),"")</f>
        <v/>
      </c>
      <c r="C271" s="92" t="str">
        <f>IFERROR(VLOOKUP(A271,Lookup!A:C,3,0),"")</f>
        <v/>
      </c>
      <c r="D271" s="59"/>
      <c r="E271" s="59"/>
      <c r="F271" s="59"/>
      <c r="G271" s="94"/>
      <c r="H271" s="59"/>
      <c r="I271" s="59"/>
      <c r="J271" s="106">
        <f>VLOOKUP(A271&amp;G271,Lookup!J:N,5,0)</f>
        <v>0</v>
      </c>
      <c r="K271" s="110"/>
      <c r="L271" s="59"/>
      <c r="M271" s="59"/>
      <c r="N271" s="59"/>
      <c r="O271" s="112">
        <v>11.0173611111111</v>
      </c>
      <c r="P271" s="110" t="str">
        <f t="shared" si="26"/>
        <v/>
      </c>
      <c r="Q271" s="59"/>
      <c r="R271" s="87" t="str">
        <f t="shared" si="28"/>
        <v/>
      </c>
      <c r="S271" s="87" t="str">
        <f t="shared" si="29"/>
        <v/>
      </c>
      <c r="T271" s="59"/>
      <c r="U271" s="59"/>
      <c r="V271" s="59"/>
      <c r="W271" s="59"/>
      <c r="X271" s="93" t="str">
        <f t="shared" si="27"/>
        <v>D</v>
      </c>
    </row>
    <row r="272" spans="1:24" s="66" customFormat="1" x14ac:dyDescent="0.25">
      <c r="A272" s="53"/>
      <c r="B272" s="91" t="str">
        <f>IFERROR(VLOOKUP(A272,Lookup!A:B,2,0),"")</f>
        <v/>
      </c>
      <c r="C272" s="92" t="str">
        <f>IFERROR(VLOOKUP(A272,Lookup!A:C,3,0),"")</f>
        <v/>
      </c>
      <c r="D272" s="59"/>
      <c r="E272" s="59"/>
      <c r="F272" s="59"/>
      <c r="G272" s="94"/>
      <c r="H272" s="59"/>
      <c r="I272" s="59"/>
      <c r="J272" s="106">
        <f>VLOOKUP(A272&amp;G272,Lookup!J:N,5,0)</f>
        <v>0</v>
      </c>
      <c r="K272" s="110"/>
      <c r="L272" s="59"/>
      <c r="M272" s="59"/>
      <c r="N272" s="59"/>
      <c r="O272" s="112">
        <v>11.0590277777778</v>
      </c>
      <c r="P272" s="110" t="str">
        <f t="shared" si="26"/>
        <v/>
      </c>
      <c r="Q272" s="59"/>
      <c r="R272" s="87" t="str">
        <f t="shared" si="28"/>
        <v/>
      </c>
      <c r="S272" s="87" t="str">
        <f t="shared" si="29"/>
        <v/>
      </c>
      <c r="T272" s="59"/>
      <c r="U272" s="59"/>
      <c r="V272" s="59"/>
      <c r="W272" s="59"/>
      <c r="X272" s="93" t="str">
        <f t="shared" si="27"/>
        <v>D</v>
      </c>
    </row>
    <row r="273" spans="1:24" s="66" customFormat="1" x14ac:dyDescent="0.25">
      <c r="A273" s="53"/>
      <c r="B273" s="91" t="str">
        <f>IFERROR(VLOOKUP(A273,Lookup!A:B,2,0),"")</f>
        <v/>
      </c>
      <c r="C273" s="92" t="str">
        <f>IFERROR(VLOOKUP(A273,Lookup!A:C,3,0),"")</f>
        <v/>
      </c>
      <c r="D273" s="59"/>
      <c r="E273" s="59"/>
      <c r="F273" s="59"/>
      <c r="G273" s="94"/>
      <c r="H273" s="59"/>
      <c r="I273" s="59"/>
      <c r="J273" s="106">
        <f>VLOOKUP(A273&amp;G273,Lookup!J:N,5,0)</f>
        <v>0</v>
      </c>
      <c r="K273" s="110"/>
      <c r="L273" s="59"/>
      <c r="M273" s="59"/>
      <c r="N273" s="59"/>
      <c r="O273" s="112">
        <v>11.1006944444444</v>
      </c>
      <c r="P273" s="110" t="str">
        <f t="shared" si="26"/>
        <v/>
      </c>
      <c r="Q273" s="59"/>
      <c r="R273" s="87" t="str">
        <f t="shared" si="28"/>
        <v/>
      </c>
      <c r="S273" s="87" t="str">
        <f t="shared" si="29"/>
        <v/>
      </c>
      <c r="T273" s="59"/>
      <c r="U273" s="59"/>
      <c r="V273" s="59"/>
      <c r="W273" s="59"/>
      <c r="X273" s="93" t="str">
        <f t="shared" si="27"/>
        <v>D</v>
      </c>
    </row>
    <row r="274" spans="1:24" s="66" customFormat="1" x14ac:dyDescent="0.25">
      <c r="A274" s="53"/>
      <c r="B274" s="91" t="str">
        <f>IFERROR(VLOOKUP(A274,Lookup!A:B,2,0),"")</f>
        <v/>
      </c>
      <c r="C274" s="92" t="str">
        <f>IFERROR(VLOOKUP(A274,Lookup!A:C,3,0),"")</f>
        <v/>
      </c>
      <c r="D274" s="59"/>
      <c r="E274" s="59"/>
      <c r="F274" s="59"/>
      <c r="G274" s="94"/>
      <c r="H274" s="59"/>
      <c r="I274" s="59"/>
      <c r="J274" s="106">
        <f>VLOOKUP(A274&amp;G274,Lookup!J:N,5,0)</f>
        <v>0</v>
      </c>
      <c r="K274" s="110"/>
      <c r="L274" s="59"/>
      <c r="M274" s="59"/>
      <c r="N274" s="59"/>
      <c r="O274" s="112">
        <v>11.1423611111111</v>
      </c>
      <c r="P274" s="110" t="str">
        <f t="shared" si="26"/>
        <v/>
      </c>
      <c r="Q274" s="59"/>
      <c r="R274" s="87" t="str">
        <f t="shared" si="28"/>
        <v/>
      </c>
      <c r="S274" s="87" t="str">
        <f t="shared" si="29"/>
        <v/>
      </c>
      <c r="T274" s="59"/>
      <c r="U274" s="59"/>
      <c r="V274" s="59"/>
      <c r="W274" s="59"/>
      <c r="X274" s="93" t="str">
        <f t="shared" si="27"/>
        <v>D</v>
      </c>
    </row>
    <row r="275" spans="1:24" s="66" customFormat="1" x14ac:dyDescent="0.25">
      <c r="A275" s="53"/>
      <c r="B275" s="91" t="str">
        <f>IFERROR(VLOOKUP(A275,Lookup!A:B,2,0),"")</f>
        <v/>
      </c>
      <c r="C275" s="92" t="str">
        <f>IFERROR(VLOOKUP(A275,Lookup!A:C,3,0),"")</f>
        <v/>
      </c>
      <c r="D275" s="59"/>
      <c r="E275" s="59"/>
      <c r="F275" s="59"/>
      <c r="G275" s="94"/>
      <c r="H275" s="59"/>
      <c r="I275" s="59"/>
      <c r="J275" s="106">
        <f>VLOOKUP(A275&amp;G275,Lookup!J:N,5,0)</f>
        <v>0</v>
      </c>
      <c r="K275" s="110"/>
      <c r="L275" s="59"/>
      <c r="M275" s="59"/>
      <c r="N275" s="59"/>
      <c r="O275" s="112">
        <v>11.1840277777778</v>
      </c>
      <c r="P275" s="110" t="str">
        <f t="shared" si="26"/>
        <v/>
      </c>
      <c r="Q275" s="59"/>
      <c r="R275" s="87" t="str">
        <f t="shared" si="28"/>
        <v/>
      </c>
      <c r="S275" s="87" t="str">
        <f t="shared" si="29"/>
        <v/>
      </c>
      <c r="T275" s="59"/>
      <c r="U275" s="59"/>
      <c r="V275" s="59"/>
      <c r="W275" s="59"/>
      <c r="X275" s="93" t="str">
        <f t="shared" si="27"/>
        <v>D</v>
      </c>
    </row>
    <row r="276" spans="1:24" s="66" customFormat="1" x14ac:dyDescent="0.25">
      <c r="A276" s="53"/>
      <c r="B276" s="91" t="str">
        <f>IFERROR(VLOOKUP(A276,Lookup!A:B,2,0),"")</f>
        <v/>
      </c>
      <c r="C276" s="92" t="str">
        <f>IFERROR(VLOOKUP(A276,Lookup!A:C,3,0),"")</f>
        <v/>
      </c>
      <c r="D276" s="59"/>
      <c r="E276" s="59"/>
      <c r="F276" s="59"/>
      <c r="G276" s="94"/>
      <c r="H276" s="59"/>
      <c r="I276" s="59"/>
      <c r="J276" s="106">
        <f>VLOOKUP(A276&amp;G276,Lookup!J:N,5,0)</f>
        <v>0</v>
      </c>
      <c r="K276" s="110"/>
      <c r="L276" s="59"/>
      <c r="M276" s="59"/>
      <c r="N276" s="59"/>
      <c r="O276" s="112">
        <v>11.2256944444444</v>
      </c>
      <c r="P276" s="110" t="str">
        <f t="shared" si="26"/>
        <v/>
      </c>
      <c r="Q276" s="59"/>
      <c r="R276" s="87" t="str">
        <f t="shared" si="28"/>
        <v/>
      </c>
      <c r="S276" s="87" t="str">
        <f t="shared" si="29"/>
        <v/>
      </c>
      <c r="T276" s="59"/>
      <c r="U276" s="59"/>
      <c r="V276" s="59"/>
      <c r="W276" s="59"/>
      <c r="X276" s="93" t="str">
        <f t="shared" si="27"/>
        <v>D</v>
      </c>
    </row>
    <row r="277" spans="1:24" s="66" customFormat="1" x14ac:dyDescent="0.25">
      <c r="A277" s="53"/>
      <c r="B277" s="91" t="str">
        <f>IFERROR(VLOOKUP(A277,Lookup!A:B,2,0),"")</f>
        <v/>
      </c>
      <c r="C277" s="92" t="str">
        <f>IFERROR(VLOOKUP(A277,Lookup!A:C,3,0),"")</f>
        <v/>
      </c>
      <c r="D277" s="59"/>
      <c r="E277" s="59"/>
      <c r="F277" s="59"/>
      <c r="G277" s="94"/>
      <c r="H277" s="59"/>
      <c r="I277" s="59"/>
      <c r="J277" s="106">
        <f>VLOOKUP(A277&amp;G277,Lookup!J:N,5,0)</f>
        <v>0</v>
      </c>
      <c r="K277" s="110"/>
      <c r="L277" s="59"/>
      <c r="M277" s="59"/>
      <c r="N277" s="59"/>
      <c r="O277" s="112">
        <v>11.2673611111111</v>
      </c>
      <c r="P277" s="110" t="str">
        <f t="shared" si="26"/>
        <v/>
      </c>
      <c r="Q277" s="59"/>
      <c r="R277" s="87" t="str">
        <f t="shared" si="28"/>
        <v/>
      </c>
      <c r="S277" s="87" t="str">
        <f t="shared" si="29"/>
        <v/>
      </c>
      <c r="T277" s="59"/>
      <c r="U277" s="59"/>
      <c r="V277" s="59"/>
      <c r="W277" s="59"/>
      <c r="X277" s="93" t="str">
        <f t="shared" si="27"/>
        <v>D</v>
      </c>
    </row>
    <row r="278" spans="1:24" s="66" customFormat="1" x14ac:dyDescent="0.25">
      <c r="A278" s="53"/>
      <c r="B278" s="91" t="str">
        <f>IFERROR(VLOOKUP(A278,Lookup!A:B,2,0),"")</f>
        <v/>
      </c>
      <c r="C278" s="92" t="str">
        <f>IFERROR(VLOOKUP(A278,Lookup!A:C,3,0),"")</f>
        <v/>
      </c>
      <c r="D278" s="59"/>
      <c r="E278" s="59"/>
      <c r="F278" s="59"/>
      <c r="G278" s="94"/>
      <c r="H278" s="59"/>
      <c r="I278" s="59"/>
      <c r="J278" s="106">
        <f>VLOOKUP(A278&amp;G278,Lookup!J:N,5,0)</f>
        <v>0</v>
      </c>
      <c r="K278" s="110"/>
      <c r="L278" s="59"/>
      <c r="M278" s="59"/>
      <c r="N278" s="59"/>
      <c r="O278" s="112">
        <v>11.3090277777778</v>
      </c>
      <c r="P278" s="110" t="str">
        <f t="shared" si="26"/>
        <v/>
      </c>
      <c r="Q278" s="59"/>
      <c r="R278" s="87" t="str">
        <f t="shared" si="28"/>
        <v/>
      </c>
      <c r="S278" s="87" t="str">
        <f t="shared" si="29"/>
        <v/>
      </c>
      <c r="T278" s="59"/>
      <c r="U278" s="59"/>
      <c r="V278" s="59"/>
      <c r="W278" s="59"/>
      <c r="X278" s="93" t="str">
        <f t="shared" si="27"/>
        <v>D</v>
      </c>
    </row>
    <row r="279" spans="1:24" s="66" customFormat="1" x14ac:dyDescent="0.25">
      <c r="A279" s="53"/>
      <c r="B279" s="91" t="str">
        <f>IFERROR(VLOOKUP(A279,Lookup!A:B,2,0),"")</f>
        <v/>
      </c>
      <c r="C279" s="92" t="str">
        <f>IFERROR(VLOOKUP(A279,Lookup!A:C,3,0),"")</f>
        <v/>
      </c>
      <c r="D279" s="59"/>
      <c r="E279" s="59"/>
      <c r="F279" s="59"/>
      <c r="G279" s="94"/>
      <c r="H279" s="59"/>
      <c r="I279" s="59"/>
      <c r="J279" s="106">
        <f>VLOOKUP(A279&amp;G279,Lookup!J:N,5,0)</f>
        <v>0</v>
      </c>
      <c r="K279" s="110"/>
      <c r="L279" s="59"/>
      <c r="M279" s="59"/>
      <c r="N279" s="59"/>
      <c r="O279" s="112">
        <v>11.3506944444444</v>
      </c>
      <c r="P279" s="110" t="str">
        <f t="shared" si="26"/>
        <v/>
      </c>
      <c r="Q279" s="59"/>
      <c r="R279" s="87" t="str">
        <f t="shared" si="28"/>
        <v/>
      </c>
      <c r="S279" s="87" t="str">
        <f t="shared" si="29"/>
        <v/>
      </c>
      <c r="T279" s="59"/>
      <c r="U279" s="59"/>
      <c r="V279" s="59"/>
      <c r="W279" s="59"/>
      <c r="X279" s="93" t="str">
        <f t="shared" si="27"/>
        <v>D</v>
      </c>
    </row>
    <row r="280" spans="1:24" s="66" customFormat="1" x14ac:dyDescent="0.25">
      <c r="A280" s="53"/>
      <c r="B280" s="91" t="str">
        <f>IFERROR(VLOOKUP(A280,Lookup!A:B,2,0),"")</f>
        <v/>
      </c>
      <c r="C280" s="92" t="str">
        <f>IFERROR(VLOOKUP(A280,Lookup!A:C,3,0),"")</f>
        <v/>
      </c>
      <c r="D280" s="59"/>
      <c r="E280" s="59"/>
      <c r="F280" s="59"/>
      <c r="G280" s="94"/>
      <c r="H280" s="59"/>
      <c r="I280" s="59"/>
      <c r="J280" s="106">
        <f>VLOOKUP(A280&amp;G280,Lookup!J:N,5,0)</f>
        <v>0</v>
      </c>
      <c r="K280" s="110"/>
      <c r="L280" s="59"/>
      <c r="M280" s="59"/>
      <c r="N280" s="59"/>
      <c r="O280" s="112">
        <v>11.3923611111111</v>
      </c>
      <c r="P280" s="110" t="str">
        <f t="shared" si="26"/>
        <v/>
      </c>
      <c r="Q280" s="59"/>
      <c r="R280" s="87" t="str">
        <f t="shared" si="28"/>
        <v/>
      </c>
      <c r="S280" s="87" t="str">
        <f t="shared" si="29"/>
        <v/>
      </c>
      <c r="T280" s="59"/>
      <c r="U280" s="59"/>
      <c r="V280" s="59"/>
      <c r="W280" s="59"/>
      <c r="X280" s="93" t="str">
        <f t="shared" si="27"/>
        <v>D</v>
      </c>
    </row>
    <row r="281" spans="1:24" s="66" customFormat="1" x14ac:dyDescent="0.25">
      <c r="A281" s="53"/>
      <c r="B281" s="91" t="str">
        <f>IFERROR(VLOOKUP(A281,Lookup!A:B,2,0),"")</f>
        <v/>
      </c>
      <c r="C281" s="92" t="str">
        <f>IFERROR(VLOOKUP(A281,Lookup!A:C,3,0),"")</f>
        <v/>
      </c>
      <c r="D281" s="59"/>
      <c r="E281" s="59"/>
      <c r="F281" s="59"/>
      <c r="G281" s="94"/>
      <c r="H281" s="59"/>
      <c r="I281" s="59"/>
      <c r="J281" s="106">
        <f>VLOOKUP(A281&amp;G281,Lookup!J:N,5,0)</f>
        <v>0</v>
      </c>
      <c r="K281" s="110"/>
      <c r="L281" s="59"/>
      <c r="M281" s="59"/>
      <c r="N281" s="59"/>
      <c r="O281" s="112">
        <v>11.4340277777778</v>
      </c>
      <c r="P281" s="110" t="str">
        <f t="shared" si="26"/>
        <v/>
      </c>
      <c r="Q281" s="59"/>
      <c r="R281" s="87" t="str">
        <f t="shared" si="28"/>
        <v/>
      </c>
      <c r="S281" s="87" t="str">
        <f t="shared" si="29"/>
        <v/>
      </c>
      <c r="T281" s="59"/>
      <c r="U281" s="59"/>
      <c r="V281" s="59"/>
      <c r="W281" s="59"/>
      <c r="X281" s="93" t="str">
        <f t="shared" si="27"/>
        <v>D</v>
      </c>
    </row>
    <row r="282" spans="1:24" s="66" customFormat="1" x14ac:dyDescent="0.25">
      <c r="A282" s="53"/>
      <c r="B282" s="91" t="str">
        <f>IFERROR(VLOOKUP(A282,Lookup!A:B,2,0),"")</f>
        <v/>
      </c>
      <c r="C282" s="92" t="str">
        <f>IFERROR(VLOOKUP(A282,Lookup!A:C,3,0),"")</f>
        <v/>
      </c>
      <c r="D282" s="59"/>
      <c r="E282" s="59"/>
      <c r="F282" s="59"/>
      <c r="G282" s="94"/>
      <c r="H282" s="59"/>
      <c r="I282" s="59"/>
      <c r="J282" s="106">
        <f>VLOOKUP(A282&amp;G282,Lookup!J:N,5,0)</f>
        <v>0</v>
      </c>
      <c r="K282" s="110"/>
      <c r="L282" s="59"/>
      <c r="M282" s="59"/>
      <c r="N282" s="59"/>
      <c r="O282" s="112">
        <v>11.4756944444444</v>
      </c>
      <c r="P282" s="110" t="str">
        <f t="shared" si="26"/>
        <v/>
      </c>
      <c r="Q282" s="59"/>
      <c r="R282" s="87" t="str">
        <f t="shared" si="28"/>
        <v/>
      </c>
      <c r="S282" s="87" t="str">
        <f t="shared" si="29"/>
        <v/>
      </c>
      <c r="T282" s="59"/>
      <c r="U282" s="59"/>
      <c r="V282" s="59"/>
      <c r="W282" s="59"/>
      <c r="X282" s="93" t="str">
        <f t="shared" si="27"/>
        <v>D</v>
      </c>
    </row>
    <row r="283" spans="1:24" s="66" customFormat="1" x14ac:dyDescent="0.25">
      <c r="A283" s="53"/>
      <c r="B283" s="91" t="str">
        <f>IFERROR(VLOOKUP(A283,Lookup!A:B,2,0),"")</f>
        <v/>
      </c>
      <c r="C283" s="92" t="str">
        <f>IFERROR(VLOOKUP(A283,Lookup!A:C,3,0),"")</f>
        <v/>
      </c>
      <c r="D283" s="59"/>
      <c r="E283" s="59"/>
      <c r="F283" s="59"/>
      <c r="G283" s="94"/>
      <c r="H283" s="59"/>
      <c r="I283" s="59"/>
      <c r="J283" s="106">
        <f>VLOOKUP(A283&amp;G283,Lookup!J:N,5,0)</f>
        <v>0</v>
      </c>
      <c r="K283" s="110"/>
      <c r="L283" s="59"/>
      <c r="M283" s="59"/>
      <c r="N283" s="59"/>
      <c r="O283" s="112">
        <v>11.5173611111111</v>
      </c>
      <c r="P283" s="110" t="str">
        <f t="shared" si="26"/>
        <v/>
      </c>
      <c r="Q283" s="59"/>
      <c r="R283" s="87" t="str">
        <f t="shared" si="28"/>
        <v/>
      </c>
      <c r="S283" s="87" t="str">
        <f t="shared" si="29"/>
        <v/>
      </c>
      <c r="T283" s="59"/>
      <c r="U283" s="59"/>
      <c r="V283" s="59"/>
      <c r="W283" s="59"/>
      <c r="X283" s="93" t="str">
        <f t="shared" si="27"/>
        <v>D</v>
      </c>
    </row>
    <row r="284" spans="1:24" s="66" customFormat="1" x14ac:dyDescent="0.25">
      <c r="A284" s="53"/>
      <c r="B284" s="91" t="str">
        <f>IFERROR(VLOOKUP(A284,Lookup!A:B,2,0),"")</f>
        <v/>
      </c>
      <c r="C284" s="92" t="str">
        <f>IFERROR(VLOOKUP(A284,Lookup!A:C,3,0),"")</f>
        <v/>
      </c>
      <c r="D284" s="59"/>
      <c r="E284" s="59"/>
      <c r="F284" s="59"/>
      <c r="G284" s="94"/>
      <c r="H284" s="59"/>
      <c r="I284" s="59"/>
      <c r="J284" s="106">
        <f>VLOOKUP(A284&amp;G284,Lookup!J:N,5,0)</f>
        <v>0</v>
      </c>
      <c r="K284" s="110"/>
      <c r="L284" s="59"/>
      <c r="M284" s="59"/>
      <c r="N284" s="59"/>
      <c r="O284" s="112">
        <v>11.5590277777778</v>
      </c>
      <c r="P284" s="110" t="str">
        <f t="shared" si="26"/>
        <v/>
      </c>
      <c r="Q284" s="59"/>
      <c r="R284" s="87" t="str">
        <f t="shared" si="28"/>
        <v/>
      </c>
      <c r="S284" s="87" t="str">
        <f t="shared" si="29"/>
        <v/>
      </c>
      <c r="T284" s="59"/>
      <c r="U284" s="59"/>
      <c r="V284" s="59"/>
      <c r="W284" s="59"/>
      <c r="X284" s="93" t="str">
        <f t="shared" si="27"/>
        <v>D</v>
      </c>
    </row>
    <row r="285" spans="1:24" s="66" customFormat="1" x14ac:dyDescent="0.25">
      <c r="A285" s="53"/>
      <c r="B285" s="91" t="str">
        <f>IFERROR(VLOOKUP(A285,Lookup!A:B,2,0),"")</f>
        <v/>
      </c>
      <c r="C285" s="92" t="str">
        <f>IFERROR(VLOOKUP(A285,Lookup!A:C,3,0),"")</f>
        <v/>
      </c>
      <c r="D285" s="59"/>
      <c r="E285" s="59"/>
      <c r="F285" s="59"/>
      <c r="G285" s="94"/>
      <c r="H285" s="59"/>
      <c r="I285" s="59"/>
      <c r="J285" s="106">
        <f>VLOOKUP(A285&amp;G285,Lookup!J:N,5,0)</f>
        <v>0</v>
      </c>
      <c r="K285" s="110"/>
      <c r="L285" s="59"/>
      <c r="M285" s="59"/>
      <c r="N285" s="59"/>
      <c r="O285" s="112">
        <v>11.6006944444444</v>
      </c>
      <c r="P285" s="110" t="str">
        <f t="shared" si="26"/>
        <v/>
      </c>
      <c r="Q285" s="59"/>
      <c r="R285" s="87" t="str">
        <f t="shared" si="28"/>
        <v/>
      </c>
      <c r="S285" s="87" t="str">
        <f t="shared" si="29"/>
        <v/>
      </c>
      <c r="T285" s="59"/>
      <c r="U285" s="59"/>
      <c r="V285" s="59"/>
      <c r="W285" s="59"/>
      <c r="X285" s="93" t="str">
        <f t="shared" si="27"/>
        <v>D</v>
      </c>
    </row>
    <row r="286" spans="1:24" s="66" customFormat="1" x14ac:dyDescent="0.25">
      <c r="A286" s="53"/>
      <c r="B286" s="91" t="str">
        <f>IFERROR(VLOOKUP(A286,Lookup!A:B,2,0),"")</f>
        <v/>
      </c>
      <c r="C286" s="92" t="str">
        <f>IFERROR(VLOOKUP(A286,Lookup!A:C,3,0),"")</f>
        <v/>
      </c>
      <c r="D286" s="59"/>
      <c r="E286" s="59"/>
      <c r="F286" s="59"/>
      <c r="G286" s="94"/>
      <c r="H286" s="59"/>
      <c r="I286" s="59"/>
      <c r="J286" s="106">
        <f>VLOOKUP(A286&amp;G286,Lookup!J:N,5,0)</f>
        <v>0</v>
      </c>
      <c r="K286" s="110"/>
      <c r="L286" s="59"/>
      <c r="M286" s="59"/>
      <c r="N286" s="59"/>
      <c r="O286" s="112">
        <v>11.6423611111111</v>
      </c>
      <c r="P286" s="110" t="str">
        <f t="shared" si="26"/>
        <v/>
      </c>
      <c r="Q286" s="59"/>
      <c r="R286" s="87" t="str">
        <f t="shared" si="28"/>
        <v/>
      </c>
      <c r="S286" s="87" t="str">
        <f t="shared" si="29"/>
        <v/>
      </c>
      <c r="T286" s="59"/>
      <c r="U286" s="59"/>
      <c r="V286" s="59"/>
      <c r="W286" s="59"/>
      <c r="X286" s="93" t="str">
        <f t="shared" si="27"/>
        <v>D</v>
      </c>
    </row>
    <row r="287" spans="1:24" s="66" customFormat="1" x14ac:dyDescent="0.25">
      <c r="A287" s="53"/>
      <c r="B287" s="91" t="str">
        <f>IFERROR(VLOOKUP(A287,Lookup!A:B,2,0),"")</f>
        <v/>
      </c>
      <c r="C287" s="92" t="str">
        <f>IFERROR(VLOOKUP(A287,Lookup!A:C,3,0),"")</f>
        <v/>
      </c>
      <c r="D287" s="59"/>
      <c r="E287" s="59"/>
      <c r="F287" s="59"/>
      <c r="G287" s="94"/>
      <c r="H287" s="59"/>
      <c r="I287" s="59"/>
      <c r="J287" s="106">
        <f>VLOOKUP(A287&amp;G287,Lookup!J:N,5,0)</f>
        <v>0</v>
      </c>
      <c r="K287" s="110"/>
      <c r="L287" s="59"/>
      <c r="M287" s="59"/>
      <c r="N287" s="59"/>
      <c r="O287" s="112">
        <v>11.6840277777778</v>
      </c>
      <c r="P287" s="110" t="str">
        <f t="shared" si="26"/>
        <v/>
      </c>
      <c r="Q287" s="59"/>
      <c r="R287" s="87" t="str">
        <f t="shared" si="28"/>
        <v/>
      </c>
      <c r="S287" s="87" t="str">
        <f t="shared" si="29"/>
        <v/>
      </c>
      <c r="T287" s="59"/>
      <c r="U287" s="59"/>
      <c r="V287" s="59"/>
      <c r="W287" s="59"/>
      <c r="X287" s="93" t="str">
        <f t="shared" si="27"/>
        <v>D</v>
      </c>
    </row>
    <row r="288" spans="1:24" s="66" customFormat="1" x14ac:dyDescent="0.25">
      <c r="A288" s="53"/>
      <c r="B288" s="91" t="str">
        <f>IFERROR(VLOOKUP(A288,Lookup!A:B,2,0),"")</f>
        <v/>
      </c>
      <c r="C288" s="92" t="str">
        <f>IFERROR(VLOOKUP(A288,Lookup!A:C,3,0),"")</f>
        <v/>
      </c>
      <c r="D288" s="59"/>
      <c r="E288" s="59"/>
      <c r="F288" s="59"/>
      <c r="G288" s="94"/>
      <c r="H288" s="59"/>
      <c r="I288" s="59"/>
      <c r="J288" s="106">
        <f>VLOOKUP(A288&amp;G288,Lookup!J:N,5,0)</f>
        <v>0</v>
      </c>
      <c r="K288" s="110"/>
      <c r="L288" s="59"/>
      <c r="M288" s="59"/>
      <c r="N288" s="59"/>
      <c r="O288" s="112">
        <v>11.7256944444444</v>
      </c>
      <c r="P288" s="110" t="str">
        <f t="shared" si="26"/>
        <v/>
      </c>
      <c r="Q288" s="59"/>
      <c r="R288" s="87" t="str">
        <f t="shared" si="28"/>
        <v/>
      </c>
      <c r="S288" s="87" t="str">
        <f t="shared" si="29"/>
        <v/>
      </c>
      <c r="T288" s="59"/>
      <c r="U288" s="59"/>
      <c r="V288" s="59"/>
      <c r="W288" s="59"/>
      <c r="X288" s="93" t="str">
        <f t="shared" si="27"/>
        <v>D</v>
      </c>
    </row>
    <row r="289" spans="1:24" s="66" customFormat="1" x14ac:dyDescent="0.25">
      <c r="A289" s="53"/>
      <c r="B289" s="91" t="str">
        <f>IFERROR(VLOOKUP(A289,Lookup!A:B,2,0),"")</f>
        <v/>
      </c>
      <c r="C289" s="92" t="str">
        <f>IFERROR(VLOOKUP(A289,Lookup!A:C,3,0),"")</f>
        <v/>
      </c>
      <c r="D289" s="59"/>
      <c r="E289" s="59"/>
      <c r="F289" s="59"/>
      <c r="G289" s="94"/>
      <c r="H289" s="59"/>
      <c r="I289" s="59"/>
      <c r="J289" s="106">
        <f>VLOOKUP(A289&amp;G289,Lookup!J:N,5,0)</f>
        <v>0</v>
      </c>
      <c r="K289" s="110"/>
      <c r="L289" s="59"/>
      <c r="M289" s="59"/>
      <c r="N289" s="59"/>
      <c r="O289" s="112">
        <v>11.7673611111111</v>
      </c>
      <c r="P289" s="110" t="str">
        <f t="shared" si="26"/>
        <v/>
      </c>
      <c r="Q289" s="59"/>
      <c r="R289" s="87" t="str">
        <f t="shared" si="28"/>
        <v/>
      </c>
      <c r="S289" s="87" t="str">
        <f t="shared" si="29"/>
        <v/>
      </c>
      <c r="T289" s="59"/>
      <c r="U289" s="59"/>
      <c r="V289" s="59"/>
      <c r="W289" s="59"/>
      <c r="X289" s="93" t="str">
        <f t="shared" si="27"/>
        <v>D</v>
      </c>
    </row>
    <row r="290" spans="1:24" s="66" customFormat="1" x14ac:dyDescent="0.25">
      <c r="A290" s="53"/>
      <c r="B290" s="91" t="str">
        <f>IFERROR(VLOOKUP(A290,Lookup!A:B,2,0),"")</f>
        <v/>
      </c>
      <c r="C290" s="92" t="str">
        <f>IFERROR(VLOOKUP(A290,Lookup!A:C,3,0),"")</f>
        <v/>
      </c>
      <c r="D290" s="59"/>
      <c r="E290" s="59"/>
      <c r="F290" s="59"/>
      <c r="G290" s="94"/>
      <c r="H290" s="59"/>
      <c r="I290" s="59"/>
      <c r="J290" s="106">
        <f>VLOOKUP(A290&amp;G290,Lookup!J:N,5,0)</f>
        <v>0</v>
      </c>
      <c r="K290" s="110"/>
      <c r="L290" s="59"/>
      <c r="M290" s="59"/>
      <c r="N290" s="59"/>
      <c r="O290" s="112">
        <v>11.8090277777778</v>
      </c>
      <c r="P290" s="110" t="str">
        <f t="shared" si="26"/>
        <v/>
      </c>
      <c r="Q290" s="59"/>
      <c r="R290" s="87" t="str">
        <f t="shared" si="28"/>
        <v/>
      </c>
      <c r="S290" s="87" t="str">
        <f t="shared" si="29"/>
        <v/>
      </c>
      <c r="T290" s="59"/>
      <c r="U290" s="59"/>
      <c r="V290" s="59"/>
      <c r="W290" s="59"/>
      <c r="X290" s="93" t="str">
        <f t="shared" si="27"/>
        <v>D</v>
      </c>
    </row>
    <row r="291" spans="1:24" s="66" customFormat="1" x14ac:dyDescent="0.25">
      <c r="A291" s="53"/>
      <c r="B291" s="91" t="str">
        <f>IFERROR(VLOOKUP(A291,Lookup!A:B,2,0),"")</f>
        <v/>
      </c>
      <c r="C291" s="92" t="str">
        <f>IFERROR(VLOOKUP(A291,Lookup!A:C,3,0),"")</f>
        <v/>
      </c>
      <c r="D291" s="59"/>
      <c r="E291" s="59"/>
      <c r="F291" s="59"/>
      <c r="G291" s="94"/>
      <c r="H291" s="59"/>
      <c r="I291" s="59"/>
      <c r="J291" s="106">
        <f>VLOOKUP(A291&amp;G291,Lookup!J:N,5,0)</f>
        <v>0</v>
      </c>
      <c r="K291" s="110"/>
      <c r="L291" s="59"/>
      <c r="M291" s="59"/>
      <c r="N291" s="59"/>
      <c r="O291" s="112">
        <v>11.8506944444444</v>
      </c>
      <c r="P291" s="110" t="str">
        <f t="shared" si="26"/>
        <v/>
      </c>
      <c r="Q291" s="59"/>
      <c r="R291" s="87" t="str">
        <f t="shared" si="28"/>
        <v/>
      </c>
      <c r="S291" s="87" t="str">
        <f t="shared" si="29"/>
        <v/>
      </c>
      <c r="T291" s="59"/>
      <c r="U291" s="59"/>
      <c r="V291" s="59"/>
      <c r="W291" s="59"/>
      <c r="X291" s="93" t="str">
        <f t="shared" si="27"/>
        <v>D</v>
      </c>
    </row>
    <row r="292" spans="1:24" s="66" customFormat="1" x14ac:dyDescent="0.25">
      <c r="A292" s="53"/>
      <c r="B292" s="91" t="str">
        <f>IFERROR(VLOOKUP(A292,Lookup!A:B,2,0),"")</f>
        <v/>
      </c>
      <c r="C292" s="92" t="str">
        <f>IFERROR(VLOOKUP(A292,Lookup!A:C,3,0),"")</f>
        <v/>
      </c>
      <c r="D292" s="59"/>
      <c r="E292" s="59"/>
      <c r="F292" s="59"/>
      <c r="G292" s="94"/>
      <c r="H292" s="59"/>
      <c r="I292" s="59"/>
      <c r="J292" s="106">
        <f>VLOOKUP(A292&amp;G292,Lookup!J:N,5,0)</f>
        <v>0</v>
      </c>
      <c r="K292" s="110"/>
      <c r="L292" s="59"/>
      <c r="M292" s="59"/>
      <c r="N292" s="59"/>
      <c r="O292" s="112">
        <v>11.8923611111111</v>
      </c>
      <c r="P292" s="110" t="str">
        <f t="shared" si="26"/>
        <v/>
      </c>
      <c r="Q292" s="59"/>
      <c r="R292" s="87" t="str">
        <f t="shared" si="28"/>
        <v/>
      </c>
      <c r="S292" s="87" t="str">
        <f t="shared" si="29"/>
        <v/>
      </c>
      <c r="T292" s="59"/>
      <c r="U292" s="59"/>
      <c r="V292" s="59"/>
      <c r="W292" s="59"/>
      <c r="X292" s="93" t="str">
        <f t="shared" si="27"/>
        <v>D</v>
      </c>
    </row>
    <row r="293" spans="1:24" s="66" customFormat="1" x14ac:dyDescent="0.25">
      <c r="A293" s="53"/>
      <c r="B293" s="91" t="str">
        <f>IFERROR(VLOOKUP(A293,Lookup!A:B,2,0),"")</f>
        <v/>
      </c>
      <c r="C293" s="92" t="str">
        <f>IFERROR(VLOOKUP(A293,Lookup!A:C,3,0),"")</f>
        <v/>
      </c>
      <c r="D293" s="59"/>
      <c r="E293" s="59"/>
      <c r="F293" s="59"/>
      <c r="G293" s="94"/>
      <c r="H293" s="59"/>
      <c r="I293" s="59"/>
      <c r="J293" s="106">
        <f>VLOOKUP(A293&amp;G293,Lookup!J:N,5,0)</f>
        <v>0</v>
      </c>
      <c r="K293" s="110"/>
      <c r="L293" s="59"/>
      <c r="M293" s="59"/>
      <c r="N293" s="59"/>
      <c r="O293" s="112">
        <v>11.9340277777778</v>
      </c>
      <c r="P293" s="110" t="str">
        <f t="shared" si="26"/>
        <v/>
      </c>
      <c r="Q293" s="59"/>
      <c r="R293" s="87" t="str">
        <f t="shared" si="28"/>
        <v/>
      </c>
      <c r="S293" s="87" t="str">
        <f t="shared" si="29"/>
        <v/>
      </c>
      <c r="T293" s="59"/>
      <c r="U293" s="59"/>
      <c r="V293" s="59"/>
      <c r="W293" s="59"/>
      <c r="X293" s="93" t="str">
        <f t="shared" si="27"/>
        <v>D</v>
      </c>
    </row>
    <row r="294" spans="1:24" s="66" customFormat="1" x14ac:dyDescent="0.25">
      <c r="A294" s="53"/>
      <c r="B294" s="91" t="str">
        <f>IFERROR(VLOOKUP(A294,Lookup!A:B,2,0),"")</f>
        <v/>
      </c>
      <c r="C294" s="92" t="str">
        <f>IFERROR(VLOOKUP(A294,Lookup!A:C,3,0),"")</f>
        <v/>
      </c>
      <c r="D294" s="59"/>
      <c r="E294" s="59"/>
      <c r="F294" s="59"/>
      <c r="G294" s="94"/>
      <c r="H294" s="59"/>
      <c r="I294" s="59"/>
      <c r="J294" s="106">
        <f>VLOOKUP(A294&amp;G294,Lookup!J:N,5,0)</f>
        <v>0</v>
      </c>
      <c r="K294" s="110"/>
      <c r="L294" s="59"/>
      <c r="M294" s="59"/>
      <c r="N294" s="59"/>
      <c r="O294" s="112">
        <v>11.9756944444444</v>
      </c>
      <c r="P294" s="110" t="str">
        <f t="shared" si="26"/>
        <v/>
      </c>
      <c r="Q294" s="59"/>
      <c r="R294" s="87" t="str">
        <f t="shared" si="28"/>
        <v/>
      </c>
      <c r="S294" s="87" t="str">
        <f t="shared" si="29"/>
        <v/>
      </c>
      <c r="T294" s="59"/>
      <c r="U294" s="59"/>
      <c r="V294" s="59"/>
      <c r="W294" s="59"/>
      <c r="X294" s="93" t="str">
        <f t="shared" si="27"/>
        <v>D</v>
      </c>
    </row>
    <row r="295" spans="1:24" s="66" customFormat="1" x14ac:dyDescent="0.25">
      <c r="A295" s="53"/>
      <c r="B295" s="91" t="str">
        <f>IFERROR(VLOOKUP(A295,Lookup!A:B,2,0),"")</f>
        <v/>
      </c>
      <c r="C295" s="92" t="str">
        <f>IFERROR(VLOOKUP(A295,Lookup!A:C,3,0),"")</f>
        <v/>
      </c>
      <c r="D295" s="59"/>
      <c r="E295" s="59"/>
      <c r="F295" s="59"/>
      <c r="G295" s="94"/>
      <c r="H295" s="59"/>
      <c r="I295" s="59"/>
      <c r="J295" s="106">
        <f>VLOOKUP(A295&amp;G295,Lookup!J:N,5,0)</f>
        <v>0</v>
      </c>
      <c r="K295" s="110"/>
      <c r="L295" s="59"/>
      <c r="M295" s="59"/>
      <c r="N295" s="59"/>
      <c r="O295" s="112">
        <v>12.0173611111111</v>
      </c>
      <c r="P295" s="110" t="str">
        <f t="shared" si="26"/>
        <v/>
      </c>
      <c r="Q295" s="59"/>
      <c r="R295" s="87" t="str">
        <f t="shared" si="28"/>
        <v/>
      </c>
      <c r="S295" s="87" t="str">
        <f t="shared" si="29"/>
        <v/>
      </c>
      <c r="T295" s="59"/>
      <c r="U295" s="59"/>
      <c r="V295" s="59"/>
      <c r="W295" s="59"/>
      <c r="X295" s="93" t="str">
        <f t="shared" si="27"/>
        <v>D</v>
      </c>
    </row>
    <row r="296" spans="1:24" s="66" customFormat="1" x14ac:dyDescent="0.25">
      <c r="A296" s="53"/>
      <c r="B296" s="91" t="str">
        <f>IFERROR(VLOOKUP(A296,Lookup!A:B,2,0),"")</f>
        <v/>
      </c>
      <c r="C296" s="92" t="str">
        <f>IFERROR(VLOOKUP(A296,Lookup!A:C,3,0),"")</f>
        <v/>
      </c>
      <c r="D296" s="59"/>
      <c r="E296" s="59"/>
      <c r="F296" s="59"/>
      <c r="G296" s="94"/>
      <c r="H296" s="59"/>
      <c r="I296" s="59"/>
      <c r="J296" s="106">
        <f>VLOOKUP(A296&amp;G296,Lookup!J:N,5,0)</f>
        <v>0</v>
      </c>
      <c r="K296" s="110"/>
      <c r="L296" s="59"/>
      <c r="M296" s="59"/>
      <c r="N296" s="59"/>
      <c r="O296" s="112">
        <v>12.0590277777778</v>
      </c>
      <c r="P296" s="110" t="str">
        <f t="shared" si="26"/>
        <v/>
      </c>
      <c r="Q296" s="59"/>
      <c r="R296" s="87" t="str">
        <f t="shared" si="28"/>
        <v/>
      </c>
      <c r="S296" s="87" t="str">
        <f t="shared" si="29"/>
        <v/>
      </c>
      <c r="T296" s="59"/>
      <c r="U296" s="59"/>
      <c r="V296" s="59"/>
      <c r="W296" s="59"/>
      <c r="X296" s="93" t="str">
        <f t="shared" si="27"/>
        <v>D</v>
      </c>
    </row>
    <row r="297" spans="1:24" s="66" customFormat="1" x14ac:dyDescent="0.25">
      <c r="A297" s="53"/>
      <c r="B297" s="91" t="str">
        <f>IFERROR(VLOOKUP(A297,Lookup!A:B,2,0),"")</f>
        <v/>
      </c>
      <c r="C297" s="92" t="str">
        <f>IFERROR(VLOOKUP(A297,Lookup!A:C,3,0),"")</f>
        <v/>
      </c>
      <c r="D297" s="59"/>
      <c r="E297" s="59"/>
      <c r="F297" s="59"/>
      <c r="G297" s="94"/>
      <c r="H297" s="59"/>
      <c r="I297" s="59"/>
      <c r="J297" s="106">
        <f>VLOOKUP(A297&amp;G297,Lookup!J:N,5,0)</f>
        <v>0</v>
      </c>
      <c r="K297" s="110"/>
      <c r="L297" s="59"/>
      <c r="M297" s="59"/>
      <c r="N297" s="59"/>
      <c r="O297" s="112">
        <v>12.1006944444444</v>
      </c>
      <c r="P297" s="110" t="str">
        <f t="shared" si="26"/>
        <v/>
      </c>
      <c r="Q297" s="59"/>
      <c r="R297" s="87" t="str">
        <f t="shared" si="28"/>
        <v/>
      </c>
      <c r="S297" s="87" t="str">
        <f t="shared" si="29"/>
        <v/>
      </c>
      <c r="T297" s="59"/>
      <c r="U297" s="59"/>
      <c r="V297" s="59"/>
      <c r="W297" s="59"/>
      <c r="X297" s="93" t="str">
        <f t="shared" si="27"/>
        <v>D</v>
      </c>
    </row>
    <row r="298" spans="1:24" s="66" customFormat="1" x14ac:dyDescent="0.25">
      <c r="A298" s="53"/>
      <c r="B298" s="91" t="str">
        <f>IFERROR(VLOOKUP(A298,Lookup!A:B,2,0),"")</f>
        <v/>
      </c>
      <c r="C298" s="92" t="str">
        <f>IFERROR(VLOOKUP(A298,Lookup!A:C,3,0),"")</f>
        <v/>
      </c>
      <c r="D298" s="59"/>
      <c r="E298" s="59"/>
      <c r="F298" s="59"/>
      <c r="G298" s="94"/>
      <c r="H298" s="59"/>
      <c r="I298" s="59"/>
      <c r="J298" s="106">
        <f>VLOOKUP(A298&amp;G298,Lookup!J:N,5,0)</f>
        <v>0</v>
      </c>
      <c r="K298" s="110"/>
      <c r="L298" s="59"/>
      <c r="M298" s="59"/>
      <c r="N298" s="59"/>
      <c r="O298" s="112">
        <v>12.1423611111111</v>
      </c>
      <c r="P298" s="110" t="str">
        <f t="shared" si="26"/>
        <v/>
      </c>
      <c r="Q298" s="59"/>
      <c r="R298" s="87" t="str">
        <f t="shared" si="28"/>
        <v/>
      </c>
      <c r="S298" s="87" t="str">
        <f t="shared" si="29"/>
        <v/>
      </c>
      <c r="T298" s="59"/>
      <c r="U298" s="59"/>
      <c r="V298" s="59"/>
      <c r="W298" s="59"/>
      <c r="X298" s="93" t="str">
        <f t="shared" si="27"/>
        <v>D</v>
      </c>
    </row>
    <row r="299" spans="1:24" s="66" customFormat="1" x14ac:dyDescent="0.25">
      <c r="A299" s="53"/>
      <c r="B299" s="91" t="str">
        <f>IFERROR(VLOOKUP(A299,Lookup!A:B,2,0),"")</f>
        <v/>
      </c>
      <c r="C299" s="92" t="str">
        <f>IFERROR(VLOOKUP(A299,Lookup!A:C,3,0),"")</f>
        <v/>
      </c>
      <c r="D299" s="59"/>
      <c r="E299" s="59"/>
      <c r="F299" s="59"/>
      <c r="G299" s="94"/>
      <c r="H299" s="59"/>
      <c r="I299" s="59"/>
      <c r="J299" s="106">
        <f>VLOOKUP(A299&amp;G299,Lookup!J:N,5,0)</f>
        <v>0</v>
      </c>
      <c r="K299" s="110"/>
      <c r="L299" s="59"/>
      <c r="M299" s="59"/>
      <c r="N299" s="59"/>
      <c r="O299" s="112">
        <v>12.1840277777778</v>
      </c>
      <c r="P299" s="110" t="str">
        <f t="shared" si="26"/>
        <v/>
      </c>
      <c r="Q299" s="59"/>
      <c r="R299" s="87" t="str">
        <f t="shared" si="28"/>
        <v/>
      </c>
      <c r="S299" s="87" t="str">
        <f t="shared" si="29"/>
        <v/>
      </c>
      <c r="T299" s="59"/>
      <c r="U299" s="59"/>
      <c r="V299" s="59"/>
      <c r="W299" s="59"/>
      <c r="X299" s="93" t="str">
        <f t="shared" si="27"/>
        <v>D</v>
      </c>
    </row>
    <row r="300" spans="1:24" s="66" customFormat="1" x14ac:dyDescent="0.25">
      <c r="A300" s="53"/>
      <c r="B300" s="91" t="str">
        <f>IFERROR(VLOOKUP(A300,Lookup!A:B,2,0),"")</f>
        <v/>
      </c>
      <c r="C300" s="92" t="str">
        <f>IFERROR(VLOOKUP(A300,Lookup!A:C,3,0),"")</f>
        <v/>
      </c>
      <c r="D300" s="59"/>
      <c r="E300" s="59"/>
      <c r="F300" s="59"/>
      <c r="G300" s="94"/>
      <c r="H300" s="59"/>
      <c r="I300" s="59"/>
      <c r="J300" s="106">
        <f>VLOOKUP(A300&amp;G300,Lookup!J:N,5,0)</f>
        <v>0</v>
      </c>
      <c r="K300" s="110"/>
      <c r="L300" s="59"/>
      <c r="M300" s="59"/>
      <c r="N300" s="59"/>
      <c r="O300" s="112">
        <v>12.2256944444444</v>
      </c>
      <c r="P300" s="110" t="str">
        <f t="shared" si="26"/>
        <v/>
      </c>
      <c r="Q300" s="59"/>
      <c r="R300" s="87" t="str">
        <f t="shared" si="28"/>
        <v/>
      </c>
      <c r="S300" s="87" t="str">
        <f t="shared" si="29"/>
        <v/>
      </c>
      <c r="T300" s="59"/>
      <c r="U300" s="59"/>
      <c r="V300" s="59"/>
      <c r="W300" s="59"/>
      <c r="X300" s="93" t="str">
        <f t="shared" si="27"/>
        <v>D</v>
      </c>
    </row>
    <row r="301" spans="1:24" s="66" customFormat="1" x14ac:dyDescent="0.25">
      <c r="A301" s="53"/>
      <c r="B301" s="91" t="str">
        <f>IFERROR(VLOOKUP(A301,Lookup!A:B,2,0),"")</f>
        <v/>
      </c>
      <c r="C301" s="92" t="str">
        <f>IFERROR(VLOOKUP(A301,Lookup!A:C,3,0),"")</f>
        <v/>
      </c>
      <c r="D301" s="59"/>
      <c r="E301" s="59"/>
      <c r="F301" s="59"/>
      <c r="G301" s="94"/>
      <c r="H301" s="59"/>
      <c r="I301" s="59"/>
      <c r="J301" s="106">
        <f>VLOOKUP(A301&amp;G301,Lookup!J:N,5,0)</f>
        <v>0</v>
      </c>
      <c r="K301" s="110"/>
      <c r="L301" s="59"/>
      <c r="M301" s="59"/>
      <c r="N301" s="59"/>
      <c r="O301" s="112">
        <v>12.2673611111111</v>
      </c>
      <c r="P301" s="110" t="str">
        <f t="shared" si="26"/>
        <v/>
      </c>
      <c r="Q301" s="59"/>
      <c r="R301" s="87" t="str">
        <f t="shared" si="28"/>
        <v/>
      </c>
      <c r="S301" s="87" t="str">
        <f t="shared" si="29"/>
        <v/>
      </c>
      <c r="T301" s="59"/>
      <c r="U301" s="59"/>
      <c r="V301" s="59"/>
      <c r="W301" s="59"/>
      <c r="X301" s="93" t="str">
        <f t="shared" si="27"/>
        <v>D</v>
      </c>
    </row>
    <row r="302" spans="1:24" s="66" customFormat="1" x14ac:dyDescent="0.25">
      <c r="A302" s="53"/>
      <c r="B302" s="91" t="str">
        <f>IFERROR(VLOOKUP(A302,Lookup!A:B,2,0),"")</f>
        <v/>
      </c>
      <c r="C302" s="92" t="str">
        <f>IFERROR(VLOOKUP(A302,Lookup!A:C,3,0),"")</f>
        <v/>
      </c>
      <c r="D302" s="59"/>
      <c r="E302" s="59"/>
      <c r="F302" s="59"/>
      <c r="G302" s="94"/>
      <c r="H302" s="59"/>
      <c r="I302" s="59"/>
      <c r="J302" s="106">
        <f>VLOOKUP(A302&amp;G302,Lookup!J:N,5,0)</f>
        <v>0</v>
      </c>
      <c r="K302" s="110"/>
      <c r="L302" s="59"/>
      <c r="M302" s="59"/>
      <c r="N302" s="59"/>
      <c r="O302" s="112">
        <v>12.3090277777778</v>
      </c>
      <c r="P302" s="110" t="str">
        <f t="shared" si="26"/>
        <v/>
      </c>
      <c r="Q302" s="59"/>
      <c r="R302" s="87" t="str">
        <f t="shared" si="28"/>
        <v/>
      </c>
      <c r="S302" s="87" t="str">
        <f t="shared" si="29"/>
        <v/>
      </c>
      <c r="T302" s="59"/>
      <c r="U302" s="59"/>
      <c r="V302" s="59"/>
      <c r="W302" s="59"/>
      <c r="X302" s="93" t="str">
        <f t="shared" si="27"/>
        <v>D</v>
      </c>
    </row>
    <row r="303" spans="1:24" s="66" customFormat="1" x14ac:dyDescent="0.25">
      <c r="A303" s="53"/>
      <c r="B303" s="91" t="str">
        <f>IFERROR(VLOOKUP(A303,Lookup!A:B,2,0),"")</f>
        <v/>
      </c>
      <c r="C303" s="92" t="str">
        <f>IFERROR(VLOOKUP(A303,Lookup!A:C,3,0),"")</f>
        <v/>
      </c>
      <c r="D303" s="59"/>
      <c r="E303" s="59"/>
      <c r="F303" s="59"/>
      <c r="G303" s="94"/>
      <c r="H303" s="59"/>
      <c r="I303" s="59"/>
      <c r="J303" s="106">
        <f>VLOOKUP(A303&amp;G303,Lookup!J:N,5,0)</f>
        <v>0</v>
      </c>
      <c r="K303" s="110"/>
      <c r="L303" s="59"/>
      <c r="M303" s="59"/>
      <c r="N303" s="59"/>
      <c r="O303" s="112">
        <v>12.3506944444444</v>
      </c>
      <c r="P303" s="110" t="str">
        <f t="shared" si="26"/>
        <v/>
      </c>
      <c r="Q303" s="59"/>
      <c r="R303" s="87" t="str">
        <f t="shared" si="28"/>
        <v/>
      </c>
      <c r="S303" s="87" t="str">
        <f t="shared" si="29"/>
        <v/>
      </c>
      <c r="T303" s="59"/>
      <c r="U303" s="59"/>
      <c r="V303" s="59"/>
      <c r="W303" s="59"/>
      <c r="X303" s="93" t="str">
        <f t="shared" si="27"/>
        <v>D</v>
      </c>
    </row>
    <row r="304" spans="1:24" s="66" customFormat="1" x14ac:dyDescent="0.25">
      <c r="A304" s="53"/>
      <c r="B304" s="91" t="str">
        <f>IFERROR(VLOOKUP(A304,Lookup!A:B,2,0),"")</f>
        <v/>
      </c>
      <c r="C304" s="92" t="str">
        <f>IFERROR(VLOOKUP(A304,Lookup!A:C,3,0),"")</f>
        <v/>
      </c>
      <c r="D304" s="59"/>
      <c r="E304" s="59"/>
      <c r="F304" s="59"/>
      <c r="G304" s="94"/>
      <c r="H304" s="59"/>
      <c r="I304" s="59"/>
      <c r="J304" s="106">
        <f>VLOOKUP(A304&amp;G304,Lookup!J:N,5,0)</f>
        <v>0</v>
      </c>
      <c r="K304" s="110"/>
      <c r="L304" s="59"/>
      <c r="M304" s="59"/>
      <c r="N304" s="59"/>
      <c r="O304" s="112">
        <v>12.3923611111111</v>
      </c>
      <c r="P304" s="110" t="str">
        <f t="shared" si="26"/>
        <v/>
      </c>
      <c r="Q304" s="59"/>
      <c r="R304" s="87" t="str">
        <f t="shared" si="28"/>
        <v/>
      </c>
      <c r="S304" s="87" t="str">
        <f t="shared" si="29"/>
        <v/>
      </c>
      <c r="T304" s="59"/>
      <c r="U304" s="59"/>
      <c r="V304" s="59"/>
      <c r="W304" s="59"/>
      <c r="X304" s="93" t="str">
        <f t="shared" si="27"/>
        <v>D</v>
      </c>
    </row>
    <row r="305" spans="1:24" s="66" customFormat="1" x14ac:dyDescent="0.25">
      <c r="A305" s="53"/>
      <c r="B305" s="91" t="str">
        <f>IFERROR(VLOOKUP(A305,Lookup!A:B,2,0),"")</f>
        <v/>
      </c>
      <c r="C305" s="92" t="str">
        <f>IFERROR(VLOOKUP(A305,Lookup!A:C,3,0),"")</f>
        <v/>
      </c>
      <c r="D305" s="59"/>
      <c r="E305" s="59"/>
      <c r="F305" s="59"/>
      <c r="G305" s="94"/>
      <c r="H305" s="59"/>
      <c r="I305" s="59"/>
      <c r="J305" s="106">
        <f>VLOOKUP(A305&amp;G305,Lookup!J:N,5,0)</f>
        <v>0</v>
      </c>
      <c r="K305" s="110"/>
      <c r="L305" s="59"/>
      <c r="M305" s="59"/>
      <c r="N305" s="59"/>
      <c r="O305" s="112">
        <v>12.4340277777778</v>
      </c>
      <c r="P305" s="110" t="str">
        <f t="shared" si="26"/>
        <v/>
      </c>
      <c r="Q305" s="59"/>
      <c r="R305" s="87" t="str">
        <f t="shared" si="28"/>
        <v/>
      </c>
      <c r="S305" s="87" t="str">
        <f t="shared" si="29"/>
        <v/>
      </c>
      <c r="T305" s="59"/>
      <c r="U305" s="59"/>
      <c r="V305" s="59"/>
      <c r="W305" s="59"/>
      <c r="X305" s="93" t="str">
        <f t="shared" si="27"/>
        <v>D</v>
      </c>
    </row>
    <row r="306" spans="1:24" s="66" customFormat="1" x14ac:dyDescent="0.25">
      <c r="A306" s="53"/>
      <c r="B306" s="91" t="str">
        <f>IFERROR(VLOOKUP(A306,Lookup!A:B,2,0),"")</f>
        <v/>
      </c>
      <c r="C306" s="92" t="str">
        <f>IFERROR(VLOOKUP(A306,Lookup!A:C,3,0),"")</f>
        <v/>
      </c>
      <c r="D306" s="59"/>
      <c r="E306" s="59"/>
      <c r="F306" s="59"/>
      <c r="G306" s="94"/>
      <c r="H306" s="59"/>
      <c r="I306" s="59"/>
      <c r="J306" s="106">
        <f>VLOOKUP(A306&amp;G306,Lookup!J:N,5,0)</f>
        <v>0</v>
      </c>
      <c r="K306" s="110"/>
      <c r="L306" s="59"/>
      <c r="M306" s="59"/>
      <c r="N306" s="59"/>
      <c r="O306" s="112">
        <v>12.4756944444444</v>
      </c>
      <c r="P306" s="110" t="str">
        <f t="shared" si="26"/>
        <v/>
      </c>
      <c r="Q306" s="59"/>
      <c r="R306" s="87" t="str">
        <f t="shared" si="28"/>
        <v/>
      </c>
      <c r="S306" s="87" t="str">
        <f t="shared" si="29"/>
        <v/>
      </c>
      <c r="T306" s="59"/>
      <c r="U306" s="59"/>
      <c r="V306" s="59"/>
      <c r="W306" s="59"/>
      <c r="X306" s="93" t="str">
        <f t="shared" si="27"/>
        <v>D</v>
      </c>
    </row>
    <row r="307" spans="1:24" s="66" customFormat="1" x14ac:dyDescent="0.25">
      <c r="A307" s="53"/>
      <c r="B307" s="91" t="str">
        <f>IFERROR(VLOOKUP(A307,Lookup!A:B,2,0),"")</f>
        <v/>
      </c>
      <c r="C307" s="92" t="str">
        <f>IFERROR(VLOOKUP(A307,Lookup!A:C,3,0),"")</f>
        <v/>
      </c>
      <c r="D307" s="59"/>
      <c r="E307" s="59"/>
      <c r="F307" s="59"/>
      <c r="G307" s="94"/>
      <c r="H307" s="59"/>
      <c r="I307" s="59"/>
      <c r="J307" s="106">
        <f>VLOOKUP(A307&amp;G307,Lookup!J:N,5,0)</f>
        <v>0</v>
      </c>
      <c r="K307" s="110"/>
      <c r="L307" s="59"/>
      <c r="M307" s="59"/>
      <c r="N307" s="59"/>
      <c r="O307" s="112">
        <v>12.5173611111111</v>
      </c>
      <c r="P307" s="110" t="str">
        <f t="shared" si="26"/>
        <v/>
      </c>
      <c r="Q307" s="59"/>
      <c r="R307" s="87" t="str">
        <f t="shared" si="28"/>
        <v/>
      </c>
      <c r="S307" s="87" t="str">
        <f t="shared" si="29"/>
        <v/>
      </c>
      <c r="T307" s="59"/>
      <c r="U307" s="59"/>
      <c r="V307" s="59"/>
      <c r="W307" s="59"/>
      <c r="X307" s="93" t="str">
        <f t="shared" si="27"/>
        <v>D</v>
      </c>
    </row>
    <row r="308" spans="1:24" s="66" customFormat="1" x14ac:dyDescent="0.25">
      <c r="A308" s="53"/>
      <c r="B308" s="91" t="str">
        <f>IFERROR(VLOOKUP(A308,Lookup!A:B,2,0),"")</f>
        <v/>
      </c>
      <c r="C308" s="92" t="str">
        <f>IFERROR(VLOOKUP(A308,Lookup!A:C,3,0),"")</f>
        <v/>
      </c>
      <c r="D308" s="59"/>
      <c r="E308" s="59"/>
      <c r="F308" s="59"/>
      <c r="G308" s="94"/>
      <c r="H308" s="59"/>
      <c r="I308" s="59"/>
      <c r="J308" s="106">
        <f>VLOOKUP(A308&amp;G308,Lookup!J:N,5,0)</f>
        <v>0</v>
      </c>
      <c r="K308" s="110"/>
      <c r="L308" s="59"/>
      <c r="M308" s="59"/>
      <c r="N308" s="59"/>
      <c r="O308" s="112">
        <v>12.5590277777778</v>
      </c>
      <c r="P308" s="110" t="str">
        <f t="shared" si="26"/>
        <v/>
      </c>
      <c r="Q308" s="59"/>
      <c r="R308" s="87" t="str">
        <f t="shared" si="28"/>
        <v/>
      </c>
      <c r="S308" s="87" t="str">
        <f t="shared" si="29"/>
        <v/>
      </c>
      <c r="T308" s="59"/>
      <c r="U308" s="59"/>
      <c r="V308" s="59"/>
      <c r="W308" s="59"/>
      <c r="X308" s="93" t="str">
        <f t="shared" si="27"/>
        <v>D</v>
      </c>
    </row>
    <row r="309" spans="1:24" s="66" customFormat="1" x14ac:dyDescent="0.25">
      <c r="A309" s="53"/>
      <c r="B309" s="91" t="str">
        <f>IFERROR(VLOOKUP(A309,Lookup!A:B,2,0),"")</f>
        <v/>
      </c>
      <c r="C309" s="92" t="str">
        <f>IFERROR(VLOOKUP(A309,Lookup!A:C,3,0),"")</f>
        <v/>
      </c>
      <c r="D309" s="59"/>
      <c r="E309" s="59"/>
      <c r="F309" s="59"/>
      <c r="G309" s="94"/>
      <c r="H309" s="59"/>
      <c r="I309" s="59"/>
      <c r="J309" s="106">
        <f>VLOOKUP(A309&amp;G309,Lookup!J:N,5,0)</f>
        <v>0</v>
      </c>
      <c r="K309" s="110"/>
      <c r="L309" s="59"/>
      <c r="M309" s="59"/>
      <c r="N309" s="59"/>
      <c r="O309" s="112">
        <v>12.6006944444444</v>
      </c>
      <c r="P309" s="110" t="str">
        <f t="shared" si="26"/>
        <v/>
      </c>
      <c r="Q309" s="59"/>
      <c r="R309" s="87" t="str">
        <f t="shared" si="28"/>
        <v/>
      </c>
      <c r="S309" s="87" t="str">
        <f t="shared" si="29"/>
        <v/>
      </c>
      <c r="T309" s="59"/>
      <c r="U309" s="59"/>
      <c r="V309" s="59"/>
      <c r="W309" s="59"/>
      <c r="X309" s="93" t="str">
        <f t="shared" si="27"/>
        <v>D</v>
      </c>
    </row>
    <row r="310" spans="1:24" s="66" customFormat="1" x14ac:dyDescent="0.25">
      <c r="A310" s="53"/>
      <c r="B310" s="91" t="str">
        <f>IFERROR(VLOOKUP(A310,Lookup!A:B,2,0),"")</f>
        <v/>
      </c>
      <c r="C310" s="92" t="str">
        <f>IFERROR(VLOOKUP(A310,Lookup!A:C,3,0),"")</f>
        <v/>
      </c>
      <c r="D310" s="59"/>
      <c r="E310" s="59"/>
      <c r="F310" s="59"/>
      <c r="G310" s="94"/>
      <c r="H310" s="59"/>
      <c r="I310" s="59"/>
      <c r="J310" s="106">
        <f>VLOOKUP(A310&amp;G310,Lookup!J:N,5,0)</f>
        <v>0</v>
      </c>
      <c r="K310" s="110"/>
      <c r="L310" s="59"/>
      <c r="M310" s="59"/>
      <c r="N310" s="59"/>
      <c r="O310" s="112">
        <v>12.6423611111111</v>
      </c>
      <c r="P310" s="110" t="str">
        <f t="shared" si="26"/>
        <v/>
      </c>
      <c r="Q310" s="59"/>
      <c r="R310" s="87" t="str">
        <f t="shared" si="28"/>
        <v/>
      </c>
      <c r="S310" s="87" t="str">
        <f t="shared" si="29"/>
        <v/>
      </c>
      <c r="T310" s="59"/>
      <c r="U310" s="59"/>
      <c r="V310" s="59"/>
      <c r="W310" s="59"/>
      <c r="X310" s="93" t="str">
        <f t="shared" si="27"/>
        <v>D</v>
      </c>
    </row>
    <row r="311" spans="1:24" s="66" customFormat="1" x14ac:dyDescent="0.25">
      <c r="A311" s="53"/>
      <c r="B311" s="91" t="str">
        <f>IFERROR(VLOOKUP(A311,Lookup!A:B,2,0),"")</f>
        <v/>
      </c>
      <c r="C311" s="92" t="str">
        <f>IFERROR(VLOOKUP(A311,Lookup!A:C,3,0),"")</f>
        <v/>
      </c>
      <c r="D311" s="59"/>
      <c r="E311" s="59"/>
      <c r="F311" s="59"/>
      <c r="G311" s="94"/>
      <c r="H311" s="59"/>
      <c r="I311" s="59"/>
      <c r="J311" s="106">
        <f>VLOOKUP(A311&amp;G311,Lookup!J:N,5,0)</f>
        <v>0</v>
      </c>
      <c r="K311" s="110"/>
      <c r="L311" s="59"/>
      <c r="M311" s="59"/>
      <c r="N311" s="59"/>
      <c r="O311" s="112">
        <v>12.6840277777778</v>
      </c>
      <c r="P311" s="110" t="str">
        <f t="shared" si="26"/>
        <v/>
      </c>
      <c r="Q311" s="59"/>
      <c r="R311" s="87" t="str">
        <f t="shared" si="28"/>
        <v/>
      </c>
      <c r="S311" s="87" t="str">
        <f t="shared" si="29"/>
        <v/>
      </c>
      <c r="T311" s="59"/>
      <c r="U311" s="59"/>
      <c r="V311" s="59"/>
      <c r="W311" s="59"/>
      <c r="X311" s="93" t="str">
        <f t="shared" si="27"/>
        <v>D</v>
      </c>
    </row>
    <row r="312" spans="1:24" s="66" customFormat="1" x14ac:dyDescent="0.25">
      <c r="A312" s="53"/>
      <c r="B312" s="91" t="str">
        <f>IFERROR(VLOOKUP(A312,Lookup!A:B,2,0),"")</f>
        <v/>
      </c>
      <c r="C312" s="92" t="str">
        <f>IFERROR(VLOOKUP(A312,Lookup!A:C,3,0),"")</f>
        <v/>
      </c>
      <c r="D312" s="59"/>
      <c r="E312" s="59"/>
      <c r="F312" s="59"/>
      <c r="G312" s="94"/>
      <c r="H312" s="59"/>
      <c r="I312" s="59"/>
      <c r="J312" s="106">
        <f>VLOOKUP(A312&amp;G312,Lookup!J:N,5,0)</f>
        <v>0</v>
      </c>
      <c r="K312" s="110"/>
      <c r="L312" s="59"/>
      <c r="M312" s="59"/>
      <c r="N312" s="59"/>
      <c r="O312" s="112">
        <v>12.7256944444444</v>
      </c>
      <c r="P312" s="110" t="str">
        <f t="shared" si="26"/>
        <v/>
      </c>
      <c r="Q312" s="59"/>
      <c r="R312" s="87" t="str">
        <f t="shared" si="28"/>
        <v/>
      </c>
      <c r="S312" s="87" t="str">
        <f t="shared" si="29"/>
        <v/>
      </c>
      <c r="T312" s="59"/>
      <c r="U312" s="59"/>
      <c r="V312" s="59"/>
      <c r="W312" s="59"/>
      <c r="X312" s="93" t="str">
        <f t="shared" si="27"/>
        <v>D</v>
      </c>
    </row>
    <row r="313" spans="1:24" s="66" customFormat="1" x14ac:dyDescent="0.25">
      <c r="A313" s="53"/>
      <c r="B313" s="91" t="str">
        <f>IFERROR(VLOOKUP(A313,Lookup!A:B,2,0),"")</f>
        <v/>
      </c>
      <c r="C313" s="92" t="str">
        <f>IFERROR(VLOOKUP(A313,Lookup!A:C,3,0),"")</f>
        <v/>
      </c>
      <c r="D313" s="59"/>
      <c r="E313" s="59"/>
      <c r="F313" s="59"/>
      <c r="G313" s="94"/>
      <c r="H313" s="59"/>
      <c r="I313" s="59"/>
      <c r="J313" s="106">
        <f>VLOOKUP(A313&amp;G313,Lookup!J:N,5,0)</f>
        <v>0</v>
      </c>
      <c r="K313" s="110"/>
      <c r="L313" s="59"/>
      <c r="M313" s="59"/>
      <c r="N313" s="59"/>
      <c r="O313" s="112">
        <v>12.7673611111111</v>
      </c>
      <c r="P313" s="110" t="str">
        <f t="shared" si="26"/>
        <v/>
      </c>
      <c r="Q313" s="59"/>
      <c r="R313" s="87" t="str">
        <f t="shared" si="28"/>
        <v/>
      </c>
      <c r="S313" s="87" t="str">
        <f t="shared" si="29"/>
        <v/>
      </c>
      <c r="T313" s="59"/>
      <c r="U313" s="59"/>
      <c r="V313" s="59"/>
      <c r="W313" s="59"/>
      <c r="X313" s="93" t="str">
        <f t="shared" si="27"/>
        <v>D</v>
      </c>
    </row>
    <row r="314" spans="1:24" s="66" customFormat="1" x14ac:dyDescent="0.25">
      <c r="A314" s="53"/>
      <c r="B314" s="91" t="str">
        <f>IFERROR(VLOOKUP(A314,Lookup!A:B,2,0),"")</f>
        <v/>
      </c>
      <c r="C314" s="92" t="str">
        <f>IFERROR(VLOOKUP(A314,Lookup!A:C,3,0),"")</f>
        <v/>
      </c>
      <c r="D314" s="59"/>
      <c r="E314" s="59"/>
      <c r="F314" s="59"/>
      <c r="G314" s="94"/>
      <c r="H314" s="59"/>
      <c r="I314" s="59"/>
      <c r="J314" s="106">
        <f>VLOOKUP(A314&amp;G314,Lookup!J:N,5,0)</f>
        <v>0</v>
      </c>
      <c r="K314" s="110"/>
      <c r="L314" s="59"/>
      <c r="M314" s="59"/>
      <c r="N314" s="59"/>
      <c r="O314" s="112">
        <v>12.8090277777778</v>
      </c>
      <c r="P314" s="110" t="str">
        <f t="shared" si="26"/>
        <v/>
      </c>
      <c r="Q314" s="59"/>
      <c r="R314" s="87" t="str">
        <f t="shared" si="28"/>
        <v/>
      </c>
      <c r="S314" s="87" t="str">
        <f t="shared" si="29"/>
        <v/>
      </c>
      <c r="T314" s="59"/>
      <c r="U314" s="59"/>
      <c r="V314" s="59"/>
      <c r="W314" s="59"/>
      <c r="X314" s="93" t="str">
        <f t="shared" si="27"/>
        <v>D</v>
      </c>
    </row>
    <row r="315" spans="1:24" s="66" customFormat="1" x14ac:dyDescent="0.25">
      <c r="A315" s="53"/>
      <c r="B315" s="91" t="str">
        <f>IFERROR(VLOOKUP(A315,Lookup!A:B,2,0),"")</f>
        <v/>
      </c>
      <c r="C315" s="92" t="str">
        <f>IFERROR(VLOOKUP(A315,Lookup!A:C,3,0),"")</f>
        <v/>
      </c>
      <c r="D315" s="59"/>
      <c r="E315" s="59"/>
      <c r="F315" s="59"/>
      <c r="G315" s="94"/>
      <c r="H315" s="59"/>
      <c r="I315" s="59"/>
      <c r="J315" s="106">
        <f>VLOOKUP(A315&amp;G315,Lookup!J:N,5,0)</f>
        <v>0</v>
      </c>
      <c r="K315" s="110"/>
      <c r="L315" s="59"/>
      <c r="M315" s="59"/>
      <c r="N315" s="59"/>
      <c r="O315" s="112">
        <v>12.8506944444444</v>
      </c>
      <c r="P315" s="110" t="str">
        <f t="shared" si="26"/>
        <v/>
      </c>
      <c r="Q315" s="59"/>
      <c r="R315" s="87" t="str">
        <f t="shared" si="28"/>
        <v/>
      </c>
      <c r="S315" s="87" t="str">
        <f t="shared" si="29"/>
        <v/>
      </c>
      <c r="T315" s="59"/>
      <c r="U315" s="59"/>
      <c r="V315" s="59"/>
      <c r="W315" s="59"/>
      <c r="X315" s="93" t="str">
        <f t="shared" si="27"/>
        <v>D</v>
      </c>
    </row>
    <row r="316" spans="1:24" s="66" customFormat="1" x14ac:dyDescent="0.25">
      <c r="A316" s="53"/>
      <c r="B316" s="91" t="str">
        <f>IFERROR(VLOOKUP(A316,Lookup!A:B,2,0),"")</f>
        <v/>
      </c>
      <c r="C316" s="92" t="str">
        <f>IFERROR(VLOOKUP(A316,Lookup!A:C,3,0),"")</f>
        <v/>
      </c>
      <c r="D316" s="59"/>
      <c r="E316" s="59"/>
      <c r="F316" s="59"/>
      <c r="G316" s="94"/>
      <c r="H316" s="59"/>
      <c r="I316" s="59"/>
      <c r="J316" s="106">
        <f>VLOOKUP(A316&amp;G316,Lookup!J:N,5,0)</f>
        <v>0</v>
      </c>
      <c r="K316" s="110"/>
      <c r="L316" s="59"/>
      <c r="M316" s="59"/>
      <c r="N316" s="59"/>
      <c r="O316" s="112">
        <v>12.8923611111111</v>
      </c>
      <c r="P316" s="110" t="str">
        <f t="shared" si="26"/>
        <v/>
      </c>
      <c r="Q316" s="59"/>
      <c r="R316" s="87" t="str">
        <f t="shared" si="28"/>
        <v/>
      </c>
      <c r="S316" s="87" t="str">
        <f t="shared" si="29"/>
        <v/>
      </c>
      <c r="T316" s="59"/>
      <c r="U316" s="59"/>
      <c r="V316" s="59"/>
      <c r="W316" s="59"/>
      <c r="X316" s="93" t="str">
        <f t="shared" si="27"/>
        <v>D</v>
      </c>
    </row>
    <row r="317" spans="1:24" s="66" customFormat="1" x14ac:dyDescent="0.25">
      <c r="A317" s="53"/>
      <c r="B317" s="91" t="str">
        <f>IFERROR(VLOOKUP(A317,Lookup!A:B,2,0),"")</f>
        <v/>
      </c>
      <c r="C317" s="92" t="str">
        <f>IFERROR(VLOOKUP(A317,Lookup!A:C,3,0),"")</f>
        <v/>
      </c>
      <c r="D317" s="59"/>
      <c r="E317" s="59"/>
      <c r="F317" s="59"/>
      <c r="G317" s="94"/>
      <c r="H317" s="59"/>
      <c r="I317" s="59"/>
      <c r="J317" s="106">
        <f>VLOOKUP(A317&amp;G317,Lookup!J:N,5,0)</f>
        <v>0</v>
      </c>
      <c r="K317" s="110"/>
      <c r="L317" s="59"/>
      <c r="M317" s="59"/>
      <c r="N317" s="59"/>
      <c r="O317" s="112">
        <v>12.9340277777778</v>
      </c>
      <c r="P317" s="110" t="str">
        <f t="shared" si="26"/>
        <v/>
      </c>
      <c r="Q317" s="59"/>
      <c r="R317" s="87" t="str">
        <f t="shared" si="28"/>
        <v/>
      </c>
      <c r="S317" s="87" t="str">
        <f t="shared" si="29"/>
        <v/>
      </c>
      <c r="T317" s="59"/>
      <c r="U317" s="59"/>
      <c r="V317" s="59"/>
      <c r="W317" s="59"/>
      <c r="X317" s="93" t="str">
        <f t="shared" si="27"/>
        <v>D</v>
      </c>
    </row>
    <row r="318" spans="1:24" s="66" customFormat="1" x14ac:dyDescent="0.25">
      <c r="A318" s="53"/>
      <c r="B318" s="91" t="str">
        <f>IFERROR(VLOOKUP(A318,Lookup!A:B,2,0),"")</f>
        <v/>
      </c>
      <c r="C318" s="92" t="str">
        <f>IFERROR(VLOOKUP(A318,Lookup!A:C,3,0),"")</f>
        <v/>
      </c>
      <c r="D318" s="59"/>
      <c r="E318" s="59"/>
      <c r="F318" s="59"/>
      <c r="G318" s="94"/>
      <c r="H318" s="59"/>
      <c r="I318" s="59"/>
      <c r="J318" s="106">
        <f>VLOOKUP(A318&amp;G318,Lookup!J:N,5,0)</f>
        <v>0</v>
      </c>
      <c r="K318" s="110"/>
      <c r="L318" s="59"/>
      <c r="M318" s="59"/>
      <c r="N318" s="59"/>
      <c r="O318" s="112">
        <v>12.9756944444444</v>
      </c>
      <c r="P318" s="110" t="str">
        <f t="shared" si="26"/>
        <v/>
      </c>
      <c r="Q318" s="59"/>
      <c r="R318" s="87" t="str">
        <f t="shared" si="28"/>
        <v/>
      </c>
      <c r="S318" s="87" t="str">
        <f t="shared" si="29"/>
        <v/>
      </c>
      <c r="T318" s="59"/>
      <c r="U318" s="59"/>
      <c r="V318" s="59"/>
      <c r="W318" s="59"/>
      <c r="X318" s="93" t="str">
        <f t="shared" si="27"/>
        <v>D</v>
      </c>
    </row>
    <row r="319" spans="1:24" s="66" customFormat="1" x14ac:dyDescent="0.25">
      <c r="A319" s="53"/>
      <c r="B319" s="91" t="str">
        <f>IFERROR(VLOOKUP(A319,Lookup!A:B,2,0),"")</f>
        <v/>
      </c>
      <c r="C319" s="92" t="str">
        <f>IFERROR(VLOOKUP(A319,Lookup!A:C,3,0),"")</f>
        <v/>
      </c>
      <c r="D319" s="59"/>
      <c r="E319" s="59"/>
      <c r="F319" s="59"/>
      <c r="G319" s="94"/>
      <c r="H319" s="59"/>
      <c r="I319" s="59"/>
      <c r="J319" s="106">
        <f>VLOOKUP(A319&amp;G319,Lookup!J:N,5,0)</f>
        <v>0</v>
      </c>
      <c r="K319" s="110"/>
      <c r="L319" s="59"/>
      <c r="M319" s="59"/>
      <c r="N319" s="59"/>
      <c r="O319" s="112">
        <v>13.0173611111111</v>
      </c>
      <c r="P319" s="110" t="str">
        <f t="shared" si="26"/>
        <v/>
      </c>
      <c r="Q319" s="59"/>
      <c r="R319" s="87" t="str">
        <f t="shared" si="28"/>
        <v/>
      </c>
      <c r="S319" s="87" t="str">
        <f t="shared" si="29"/>
        <v/>
      </c>
      <c r="T319" s="59"/>
      <c r="U319" s="59"/>
      <c r="V319" s="59"/>
      <c r="W319" s="59"/>
      <c r="X319" s="93" t="str">
        <f t="shared" si="27"/>
        <v>D</v>
      </c>
    </row>
    <row r="320" spans="1:24" s="66" customFormat="1" x14ac:dyDescent="0.25">
      <c r="A320" s="53"/>
      <c r="B320" s="91" t="str">
        <f>IFERROR(VLOOKUP(A320,Lookup!A:B,2,0),"")</f>
        <v/>
      </c>
      <c r="C320" s="92" t="str">
        <f>IFERROR(VLOOKUP(A320,Lookup!A:C,3,0),"")</f>
        <v/>
      </c>
      <c r="D320" s="59"/>
      <c r="E320" s="59"/>
      <c r="F320" s="59"/>
      <c r="G320" s="94"/>
      <c r="H320" s="59"/>
      <c r="I320" s="59"/>
      <c r="J320" s="106">
        <f>VLOOKUP(A320&amp;G320,Lookup!J:N,5,0)</f>
        <v>0</v>
      </c>
      <c r="K320" s="110"/>
      <c r="L320" s="59"/>
      <c r="M320" s="59"/>
      <c r="N320" s="59"/>
      <c r="O320" s="112">
        <v>13.0590277777778</v>
      </c>
      <c r="P320" s="110" t="str">
        <f t="shared" si="26"/>
        <v/>
      </c>
      <c r="Q320" s="59"/>
      <c r="R320" s="87" t="str">
        <f t="shared" si="28"/>
        <v/>
      </c>
      <c r="S320" s="87" t="str">
        <f t="shared" si="29"/>
        <v/>
      </c>
      <c r="T320" s="59"/>
      <c r="U320" s="59"/>
      <c r="V320" s="59"/>
      <c r="W320" s="59"/>
      <c r="X320" s="93" t="str">
        <f t="shared" si="27"/>
        <v>D</v>
      </c>
    </row>
    <row r="321" spans="1:24" s="66" customFormat="1" x14ac:dyDescent="0.25">
      <c r="A321" s="53"/>
      <c r="B321" s="91" t="str">
        <f>IFERROR(VLOOKUP(A321,Lookup!A:B,2,0),"")</f>
        <v/>
      </c>
      <c r="C321" s="92" t="str">
        <f>IFERROR(VLOOKUP(A321,Lookup!A:C,3,0),"")</f>
        <v/>
      </c>
      <c r="D321" s="59"/>
      <c r="E321" s="59"/>
      <c r="F321" s="59"/>
      <c r="G321" s="94"/>
      <c r="H321" s="59"/>
      <c r="I321" s="59"/>
      <c r="J321" s="106">
        <f>VLOOKUP(A321&amp;G321,Lookup!J:N,5,0)</f>
        <v>0</v>
      </c>
      <c r="K321" s="110"/>
      <c r="L321" s="59"/>
      <c r="M321" s="59"/>
      <c r="N321" s="59"/>
      <c r="O321" s="112">
        <v>13.1006944444444</v>
      </c>
      <c r="P321" s="110" t="str">
        <f t="shared" si="26"/>
        <v/>
      </c>
      <c r="Q321" s="59"/>
      <c r="R321" s="87" t="str">
        <f t="shared" si="28"/>
        <v/>
      </c>
      <c r="S321" s="87" t="str">
        <f t="shared" si="29"/>
        <v/>
      </c>
      <c r="T321" s="59"/>
      <c r="U321" s="59"/>
      <c r="V321" s="59"/>
      <c r="W321" s="59"/>
      <c r="X321" s="93" t="str">
        <f t="shared" si="27"/>
        <v>D</v>
      </c>
    </row>
    <row r="322" spans="1:24" s="66" customFormat="1" x14ac:dyDescent="0.25">
      <c r="A322" s="53"/>
      <c r="B322" s="91" t="str">
        <f>IFERROR(VLOOKUP(A322,Lookup!A:B,2,0),"")</f>
        <v/>
      </c>
      <c r="C322" s="92" t="str">
        <f>IFERROR(VLOOKUP(A322,Lookup!A:C,3,0),"")</f>
        <v/>
      </c>
      <c r="D322" s="59"/>
      <c r="E322" s="59"/>
      <c r="F322" s="59"/>
      <c r="G322" s="94"/>
      <c r="H322" s="59"/>
      <c r="I322" s="59"/>
      <c r="J322" s="106">
        <f>VLOOKUP(A322&amp;G322,Lookup!J:N,5,0)</f>
        <v>0</v>
      </c>
      <c r="K322" s="110"/>
      <c r="L322" s="59"/>
      <c r="M322" s="59"/>
      <c r="N322" s="59"/>
      <c r="O322" s="112">
        <v>13.1423611111111</v>
      </c>
      <c r="P322" s="110" t="str">
        <f t="shared" si="26"/>
        <v/>
      </c>
      <c r="Q322" s="59"/>
      <c r="R322" s="87" t="str">
        <f t="shared" si="28"/>
        <v/>
      </c>
      <c r="S322" s="87" t="str">
        <f t="shared" si="29"/>
        <v/>
      </c>
      <c r="T322" s="59"/>
      <c r="U322" s="59"/>
      <c r="V322" s="59"/>
      <c r="W322" s="59"/>
      <c r="X322" s="93" t="str">
        <f t="shared" si="27"/>
        <v>D</v>
      </c>
    </row>
    <row r="323" spans="1:24" s="66" customFormat="1" x14ac:dyDescent="0.25">
      <c r="A323" s="53"/>
      <c r="B323" s="91" t="str">
        <f>IFERROR(VLOOKUP(A323,Lookup!A:B,2,0),"")</f>
        <v/>
      </c>
      <c r="C323" s="92" t="str">
        <f>IFERROR(VLOOKUP(A323,Lookup!A:C,3,0),"")</f>
        <v/>
      </c>
      <c r="D323" s="59"/>
      <c r="E323" s="59"/>
      <c r="F323" s="59"/>
      <c r="G323" s="94"/>
      <c r="H323" s="59"/>
      <c r="I323" s="59"/>
      <c r="J323" s="106">
        <f>VLOOKUP(A323&amp;G323,Lookup!J:N,5,0)</f>
        <v>0</v>
      </c>
      <c r="K323" s="110"/>
      <c r="L323" s="59"/>
      <c r="M323" s="59"/>
      <c r="N323" s="59"/>
      <c r="O323" s="112">
        <v>13.1840277777778</v>
      </c>
      <c r="P323" s="110" t="str">
        <f t="shared" ref="P323:P386" si="30">IF(N323="","",N323+O323)</f>
        <v/>
      </c>
      <c r="Q323" s="59"/>
      <c r="R323" s="87" t="str">
        <f t="shared" si="28"/>
        <v/>
      </c>
      <c r="S323" s="87" t="str">
        <f t="shared" si="29"/>
        <v/>
      </c>
      <c r="T323" s="59"/>
      <c r="U323" s="59"/>
      <c r="V323" s="59"/>
      <c r="W323" s="59"/>
      <c r="X323" s="93" t="str">
        <f t="shared" ref="X323:X386" si="31">IF(I323="SET","A",IF(I323="FREQ","C",IF(I323="","D","B")))</f>
        <v>D</v>
      </c>
    </row>
    <row r="324" spans="1:24" s="66" customFormat="1" x14ac:dyDescent="0.25">
      <c r="A324" s="53"/>
      <c r="B324" s="91" t="str">
        <f>IFERROR(VLOOKUP(A324,Lookup!A:B,2,0),"")</f>
        <v/>
      </c>
      <c r="C324" s="92" t="str">
        <f>IFERROR(VLOOKUP(A324,Lookup!A:C,3,0),"")</f>
        <v/>
      </c>
      <c r="D324" s="59"/>
      <c r="E324" s="59"/>
      <c r="F324" s="59"/>
      <c r="G324" s="94"/>
      <c r="H324" s="59"/>
      <c r="I324" s="59"/>
      <c r="J324" s="106">
        <f>VLOOKUP(A324&amp;G324,Lookup!J:N,5,0)</f>
        <v>0</v>
      </c>
      <c r="K324" s="110"/>
      <c r="L324" s="59"/>
      <c r="M324" s="59"/>
      <c r="N324" s="59"/>
      <c r="O324" s="112">
        <v>13.2256944444444</v>
      </c>
      <c r="P324" s="110" t="str">
        <f t="shared" si="30"/>
        <v/>
      </c>
      <c r="Q324" s="59"/>
      <c r="R324" s="87" t="str">
        <f t="shared" si="28"/>
        <v/>
      </c>
      <c r="S324" s="87" t="str">
        <f t="shared" si="29"/>
        <v/>
      </c>
      <c r="T324" s="59"/>
      <c r="U324" s="59"/>
      <c r="V324" s="59"/>
      <c r="W324" s="59"/>
      <c r="X324" s="93" t="str">
        <f t="shared" si="31"/>
        <v>D</v>
      </c>
    </row>
    <row r="325" spans="1:24" s="66" customFormat="1" x14ac:dyDescent="0.25">
      <c r="A325" s="53"/>
      <c r="B325" s="91" t="str">
        <f>IFERROR(VLOOKUP(A325,Lookup!A:B,2,0),"")</f>
        <v/>
      </c>
      <c r="C325" s="92" t="str">
        <f>IFERROR(VLOOKUP(A325,Lookup!A:C,3,0),"")</f>
        <v/>
      </c>
      <c r="D325" s="59"/>
      <c r="E325" s="59"/>
      <c r="F325" s="59"/>
      <c r="G325" s="94"/>
      <c r="H325" s="59"/>
      <c r="I325" s="59"/>
      <c r="J325" s="106">
        <f>VLOOKUP(A325&amp;G325,Lookup!J:N,5,0)</f>
        <v>0</v>
      </c>
      <c r="K325" s="110"/>
      <c r="L325" s="59"/>
      <c r="M325" s="59"/>
      <c r="N325" s="59"/>
      <c r="O325" s="112">
        <v>13.2673611111111</v>
      </c>
      <c r="P325" s="110" t="str">
        <f t="shared" si="30"/>
        <v/>
      </c>
      <c r="Q325" s="59"/>
      <c r="R325" s="87" t="str">
        <f t="shared" si="28"/>
        <v/>
      </c>
      <c r="S325" s="87" t="str">
        <f t="shared" si="29"/>
        <v/>
      </c>
      <c r="T325" s="59"/>
      <c r="U325" s="59"/>
      <c r="V325" s="59"/>
      <c r="W325" s="59"/>
      <c r="X325" s="93" t="str">
        <f t="shared" si="31"/>
        <v>D</v>
      </c>
    </row>
    <row r="326" spans="1:24" s="66" customFormat="1" x14ac:dyDescent="0.25">
      <c r="A326" s="53"/>
      <c r="B326" s="91" t="str">
        <f>IFERROR(VLOOKUP(A326,Lookup!A:B,2,0),"")</f>
        <v/>
      </c>
      <c r="C326" s="92" t="str">
        <f>IFERROR(VLOOKUP(A326,Lookup!A:C,3,0),"")</f>
        <v/>
      </c>
      <c r="D326" s="59"/>
      <c r="E326" s="59"/>
      <c r="F326" s="59"/>
      <c r="G326" s="94"/>
      <c r="H326" s="59"/>
      <c r="I326" s="59"/>
      <c r="J326" s="106">
        <f>VLOOKUP(A326&amp;G326,Lookup!J:N,5,0)</f>
        <v>0</v>
      </c>
      <c r="K326" s="110"/>
      <c r="L326" s="59"/>
      <c r="M326" s="59"/>
      <c r="N326" s="59"/>
      <c r="O326" s="112">
        <v>13.3090277777778</v>
      </c>
      <c r="P326" s="110" t="str">
        <f t="shared" si="30"/>
        <v/>
      </c>
      <c r="Q326" s="59"/>
      <c r="R326" s="87" t="str">
        <f t="shared" si="28"/>
        <v/>
      </c>
      <c r="S326" s="87" t="str">
        <f t="shared" si="29"/>
        <v/>
      </c>
      <c r="T326" s="59"/>
      <c r="U326" s="59"/>
      <c r="V326" s="59"/>
      <c r="W326" s="59"/>
      <c r="X326" s="93" t="str">
        <f t="shared" si="31"/>
        <v>D</v>
      </c>
    </row>
    <row r="327" spans="1:24" s="66" customFormat="1" x14ac:dyDescent="0.25">
      <c r="A327" s="53"/>
      <c r="B327" s="91" t="str">
        <f>IFERROR(VLOOKUP(A327,Lookup!A:B,2,0),"")</f>
        <v/>
      </c>
      <c r="C327" s="92" t="str">
        <f>IFERROR(VLOOKUP(A327,Lookup!A:C,3,0),"")</f>
        <v/>
      </c>
      <c r="D327" s="59"/>
      <c r="E327" s="59"/>
      <c r="F327" s="59"/>
      <c r="G327" s="94"/>
      <c r="H327" s="59"/>
      <c r="I327" s="59"/>
      <c r="J327" s="106">
        <f>VLOOKUP(A327&amp;G327,Lookup!J:N,5,0)</f>
        <v>0</v>
      </c>
      <c r="K327" s="110"/>
      <c r="L327" s="59"/>
      <c r="M327" s="59"/>
      <c r="N327" s="59"/>
      <c r="O327" s="112">
        <v>13.3506944444444</v>
      </c>
      <c r="P327" s="110" t="str">
        <f t="shared" si="30"/>
        <v/>
      </c>
      <c r="Q327" s="59"/>
      <c r="R327" s="87" t="str">
        <f t="shared" ref="R327:R390" si="32">IF(OR(EXACT(N327,""), EXACT(L327,"")),"",N327-L327)</f>
        <v/>
      </c>
      <c r="S327" s="87" t="str">
        <f t="shared" ref="S327:S390" si="33">IF(OR(EXACT(Q327,""), EXACT(L327,"")),"",Q327-L327)</f>
        <v/>
      </c>
      <c r="T327" s="59"/>
      <c r="U327" s="59"/>
      <c r="V327" s="59"/>
      <c r="W327" s="59"/>
      <c r="X327" s="93" t="str">
        <f t="shared" si="31"/>
        <v>D</v>
      </c>
    </row>
    <row r="328" spans="1:24" s="66" customFormat="1" x14ac:dyDescent="0.25">
      <c r="A328" s="53"/>
      <c r="B328" s="91" t="str">
        <f>IFERROR(VLOOKUP(A328,Lookup!A:B,2,0),"")</f>
        <v/>
      </c>
      <c r="C328" s="92" t="str">
        <f>IFERROR(VLOOKUP(A328,Lookup!A:C,3,0),"")</f>
        <v/>
      </c>
      <c r="D328" s="59"/>
      <c r="E328" s="59"/>
      <c r="F328" s="59"/>
      <c r="G328" s="94"/>
      <c r="H328" s="59"/>
      <c r="I328" s="59"/>
      <c r="J328" s="106">
        <f>VLOOKUP(A328&amp;G328,Lookup!J:N,5,0)</f>
        <v>0</v>
      </c>
      <c r="K328" s="110"/>
      <c r="L328" s="59"/>
      <c r="M328" s="59"/>
      <c r="N328" s="59"/>
      <c r="O328" s="112">
        <v>13.3923611111111</v>
      </c>
      <c r="P328" s="110" t="str">
        <f t="shared" si="30"/>
        <v/>
      </c>
      <c r="Q328" s="59"/>
      <c r="R328" s="87" t="str">
        <f t="shared" si="32"/>
        <v/>
      </c>
      <c r="S328" s="87" t="str">
        <f t="shared" si="33"/>
        <v/>
      </c>
      <c r="T328" s="59"/>
      <c r="U328" s="59"/>
      <c r="V328" s="59"/>
      <c r="W328" s="59"/>
      <c r="X328" s="93" t="str">
        <f t="shared" si="31"/>
        <v>D</v>
      </c>
    </row>
    <row r="329" spans="1:24" s="66" customFormat="1" x14ac:dyDescent="0.25">
      <c r="A329" s="53"/>
      <c r="B329" s="91" t="str">
        <f>IFERROR(VLOOKUP(A329,Lookup!A:B,2,0),"")</f>
        <v/>
      </c>
      <c r="C329" s="92" t="str">
        <f>IFERROR(VLOOKUP(A329,Lookup!A:C,3,0),"")</f>
        <v/>
      </c>
      <c r="D329" s="59"/>
      <c r="E329" s="59"/>
      <c r="F329" s="59"/>
      <c r="G329" s="94"/>
      <c r="H329" s="59"/>
      <c r="I329" s="59"/>
      <c r="J329" s="106">
        <f>VLOOKUP(A329&amp;G329,Lookup!J:N,5,0)</f>
        <v>0</v>
      </c>
      <c r="K329" s="110"/>
      <c r="L329" s="59"/>
      <c r="M329" s="59"/>
      <c r="N329" s="59"/>
      <c r="O329" s="112">
        <v>13.4340277777778</v>
      </c>
      <c r="P329" s="110" t="str">
        <f t="shared" si="30"/>
        <v/>
      </c>
      <c r="Q329" s="59"/>
      <c r="R329" s="87" t="str">
        <f t="shared" si="32"/>
        <v/>
      </c>
      <c r="S329" s="87" t="str">
        <f t="shared" si="33"/>
        <v/>
      </c>
      <c r="T329" s="59"/>
      <c r="U329" s="59"/>
      <c r="V329" s="59"/>
      <c r="W329" s="59"/>
      <c r="X329" s="93" t="str">
        <f t="shared" si="31"/>
        <v>D</v>
      </c>
    </row>
    <row r="330" spans="1:24" s="66" customFormat="1" x14ac:dyDescent="0.25">
      <c r="A330" s="53"/>
      <c r="B330" s="91" t="str">
        <f>IFERROR(VLOOKUP(A330,Lookup!A:B,2,0),"")</f>
        <v/>
      </c>
      <c r="C330" s="92" t="str">
        <f>IFERROR(VLOOKUP(A330,Lookup!A:C,3,0),"")</f>
        <v/>
      </c>
      <c r="D330" s="59"/>
      <c r="E330" s="59"/>
      <c r="F330" s="59"/>
      <c r="G330" s="94"/>
      <c r="H330" s="59"/>
      <c r="I330" s="59"/>
      <c r="J330" s="106">
        <f>VLOOKUP(A330&amp;G330,Lookup!J:N,5,0)</f>
        <v>0</v>
      </c>
      <c r="K330" s="110"/>
      <c r="L330" s="59"/>
      <c r="M330" s="59"/>
      <c r="N330" s="59"/>
      <c r="O330" s="112">
        <v>13.4756944444444</v>
      </c>
      <c r="P330" s="110" t="str">
        <f t="shared" si="30"/>
        <v/>
      </c>
      <c r="Q330" s="59"/>
      <c r="R330" s="87" t="str">
        <f t="shared" si="32"/>
        <v/>
      </c>
      <c r="S330" s="87" t="str">
        <f t="shared" si="33"/>
        <v/>
      </c>
      <c r="T330" s="59"/>
      <c r="U330" s="59"/>
      <c r="V330" s="59"/>
      <c r="W330" s="59"/>
      <c r="X330" s="93" t="str">
        <f t="shared" si="31"/>
        <v>D</v>
      </c>
    </row>
    <row r="331" spans="1:24" s="66" customFormat="1" x14ac:dyDescent="0.25">
      <c r="A331" s="53"/>
      <c r="B331" s="91" t="str">
        <f>IFERROR(VLOOKUP(A331,Lookup!A:B,2,0),"")</f>
        <v/>
      </c>
      <c r="C331" s="92" t="str">
        <f>IFERROR(VLOOKUP(A331,Lookup!A:C,3,0),"")</f>
        <v/>
      </c>
      <c r="D331" s="59"/>
      <c r="E331" s="59"/>
      <c r="F331" s="59"/>
      <c r="G331" s="94"/>
      <c r="H331" s="59"/>
      <c r="I331" s="59"/>
      <c r="J331" s="106">
        <f>VLOOKUP(A331&amp;G331,Lookup!J:N,5,0)</f>
        <v>0</v>
      </c>
      <c r="K331" s="110"/>
      <c r="L331" s="59"/>
      <c r="M331" s="59"/>
      <c r="N331" s="59"/>
      <c r="O331" s="112">
        <v>13.5173611111111</v>
      </c>
      <c r="P331" s="110" t="str">
        <f t="shared" si="30"/>
        <v/>
      </c>
      <c r="Q331" s="59"/>
      <c r="R331" s="87" t="str">
        <f t="shared" si="32"/>
        <v/>
      </c>
      <c r="S331" s="87" t="str">
        <f t="shared" si="33"/>
        <v/>
      </c>
      <c r="T331" s="59"/>
      <c r="U331" s="59"/>
      <c r="V331" s="59"/>
      <c r="W331" s="59"/>
      <c r="X331" s="93" t="str">
        <f t="shared" si="31"/>
        <v>D</v>
      </c>
    </row>
    <row r="332" spans="1:24" s="66" customFormat="1" x14ac:dyDescent="0.25">
      <c r="A332" s="53"/>
      <c r="B332" s="91" t="str">
        <f>IFERROR(VLOOKUP(A332,Lookup!A:B,2,0),"")</f>
        <v/>
      </c>
      <c r="C332" s="92" t="str">
        <f>IFERROR(VLOOKUP(A332,Lookup!A:C,3,0),"")</f>
        <v/>
      </c>
      <c r="D332" s="59"/>
      <c r="E332" s="59"/>
      <c r="F332" s="59"/>
      <c r="G332" s="94"/>
      <c r="H332" s="59"/>
      <c r="I332" s="59"/>
      <c r="J332" s="106">
        <f>VLOOKUP(A332&amp;G332,Lookup!J:N,5,0)</f>
        <v>0</v>
      </c>
      <c r="K332" s="110"/>
      <c r="L332" s="59"/>
      <c r="M332" s="59"/>
      <c r="N332" s="59"/>
      <c r="O332" s="112">
        <v>13.5590277777778</v>
      </c>
      <c r="P332" s="110" t="str">
        <f t="shared" si="30"/>
        <v/>
      </c>
      <c r="Q332" s="59"/>
      <c r="R332" s="87" t="str">
        <f t="shared" si="32"/>
        <v/>
      </c>
      <c r="S332" s="87" t="str">
        <f t="shared" si="33"/>
        <v/>
      </c>
      <c r="T332" s="59"/>
      <c r="U332" s="59"/>
      <c r="V332" s="59"/>
      <c r="W332" s="59"/>
      <c r="X332" s="93" t="str">
        <f t="shared" si="31"/>
        <v>D</v>
      </c>
    </row>
    <row r="333" spans="1:24" s="66" customFormat="1" x14ac:dyDescent="0.25">
      <c r="A333" s="53"/>
      <c r="B333" s="91" t="str">
        <f>IFERROR(VLOOKUP(A333,Lookup!A:B,2,0),"")</f>
        <v/>
      </c>
      <c r="C333" s="92" t="str">
        <f>IFERROR(VLOOKUP(A333,Lookup!A:C,3,0),"")</f>
        <v/>
      </c>
      <c r="D333" s="59"/>
      <c r="E333" s="59"/>
      <c r="F333" s="59"/>
      <c r="G333" s="94"/>
      <c r="H333" s="59"/>
      <c r="I333" s="59"/>
      <c r="J333" s="106">
        <f>VLOOKUP(A333&amp;G333,Lookup!J:N,5,0)</f>
        <v>0</v>
      </c>
      <c r="K333" s="110"/>
      <c r="L333" s="59"/>
      <c r="M333" s="59"/>
      <c r="N333" s="59"/>
      <c r="O333" s="112">
        <v>13.6006944444444</v>
      </c>
      <c r="P333" s="110" t="str">
        <f t="shared" si="30"/>
        <v/>
      </c>
      <c r="Q333" s="59"/>
      <c r="R333" s="87" t="str">
        <f t="shared" si="32"/>
        <v/>
      </c>
      <c r="S333" s="87" t="str">
        <f t="shared" si="33"/>
        <v/>
      </c>
      <c r="T333" s="59"/>
      <c r="U333" s="59"/>
      <c r="V333" s="59"/>
      <c r="W333" s="59"/>
      <c r="X333" s="93" t="str">
        <f t="shared" si="31"/>
        <v>D</v>
      </c>
    </row>
    <row r="334" spans="1:24" s="66" customFormat="1" x14ac:dyDescent="0.25">
      <c r="A334" s="53"/>
      <c r="B334" s="91" t="str">
        <f>IFERROR(VLOOKUP(A334,Lookup!A:B,2,0),"")</f>
        <v/>
      </c>
      <c r="C334" s="92" t="str">
        <f>IFERROR(VLOOKUP(A334,Lookup!A:C,3,0),"")</f>
        <v/>
      </c>
      <c r="D334" s="59"/>
      <c r="E334" s="59"/>
      <c r="F334" s="59"/>
      <c r="G334" s="94"/>
      <c r="H334" s="59"/>
      <c r="I334" s="59"/>
      <c r="J334" s="106">
        <f>VLOOKUP(A334&amp;G334,Lookup!J:N,5,0)</f>
        <v>0</v>
      </c>
      <c r="K334" s="110"/>
      <c r="L334" s="59"/>
      <c r="M334" s="59"/>
      <c r="N334" s="59"/>
      <c r="O334" s="112">
        <v>13.6423611111111</v>
      </c>
      <c r="P334" s="110" t="str">
        <f t="shared" si="30"/>
        <v/>
      </c>
      <c r="Q334" s="59"/>
      <c r="R334" s="87" t="str">
        <f t="shared" si="32"/>
        <v/>
      </c>
      <c r="S334" s="87" t="str">
        <f t="shared" si="33"/>
        <v/>
      </c>
      <c r="T334" s="59"/>
      <c r="U334" s="59"/>
      <c r="V334" s="59"/>
      <c r="W334" s="59"/>
      <c r="X334" s="93" t="str">
        <f t="shared" si="31"/>
        <v>D</v>
      </c>
    </row>
    <row r="335" spans="1:24" s="66" customFormat="1" x14ac:dyDescent="0.25">
      <c r="A335" s="53"/>
      <c r="B335" s="91" t="str">
        <f>IFERROR(VLOOKUP(A335,Lookup!A:B,2,0),"")</f>
        <v/>
      </c>
      <c r="C335" s="92" t="str">
        <f>IFERROR(VLOOKUP(A335,Lookup!A:C,3,0),"")</f>
        <v/>
      </c>
      <c r="D335" s="59"/>
      <c r="E335" s="59"/>
      <c r="F335" s="59"/>
      <c r="G335" s="94"/>
      <c r="H335" s="59"/>
      <c r="I335" s="59"/>
      <c r="J335" s="106">
        <f>VLOOKUP(A335&amp;G335,Lookup!J:N,5,0)</f>
        <v>0</v>
      </c>
      <c r="K335" s="110"/>
      <c r="L335" s="59"/>
      <c r="M335" s="59"/>
      <c r="N335" s="59"/>
      <c r="O335" s="112">
        <v>13.6840277777778</v>
      </c>
      <c r="P335" s="110" t="str">
        <f t="shared" si="30"/>
        <v/>
      </c>
      <c r="Q335" s="59"/>
      <c r="R335" s="87" t="str">
        <f t="shared" si="32"/>
        <v/>
      </c>
      <c r="S335" s="87" t="str">
        <f t="shared" si="33"/>
        <v/>
      </c>
      <c r="T335" s="59"/>
      <c r="U335" s="59"/>
      <c r="V335" s="59"/>
      <c r="W335" s="59"/>
      <c r="X335" s="93" t="str">
        <f t="shared" si="31"/>
        <v>D</v>
      </c>
    </row>
    <row r="336" spans="1:24" s="66" customFormat="1" x14ac:dyDescent="0.25">
      <c r="A336" s="53"/>
      <c r="B336" s="91" t="str">
        <f>IFERROR(VLOOKUP(A336,Lookup!A:B,2,0),"")</f>
        <v/>
      </c>
      <c r="C336" s="92" t="str">
        <f>IFERROR(VLOOKUP(A336,Lookup!A:C,3,0),"")</f>
        <v/>
      </c>
      <c r="D336" s="59"/>
      <c r="E336" s="59"/>
      <c r="F336" s="59"/>
      <c r="G336" s="94"/>
      <c r="H336" s="59"/>
      <c r="I336" s="59"/>
      <c r="J336" s="106">
        <f>VLOOKUP(A336&amp;G336,Lookup!J:N,5,0)</f>
        <v>0</v>
      </c>
      <c r="K336" s="110"/>
      <c r="L336" s="59"/>
      <c r="M336" s="59"/>
      <c r="N336" s="59"/>
      <c r="O336" s="112">
        <v>13.7256944444444</v>
      </c>
      <c r="P336" s="110" t="str">
        <f t="shared" si="30"/>
        <v/>
      </c>
      <c r="Q336" s="59"/>
      <c r="R336" s="87" t="str">
        <f t="shared" si="32"/>
        <v/>
      </c>
      <c r="S336" s="87" t="str">
        <f t="shared" si="33"/>
        <v/>
      </c>
      <c r="T336" s="59"/>
      <c r="U336" s="59"/>
      <c r="V336" s="59"/>
      <c r="W336" s="59"/>
      <c r="X336" s="93" t="str">
        <f t="shared" si="31"/>
        <v>D</v>
      </c>
    </row>
    <row r="337" spans="1:24" s="66" customFormat="1" x14ac:dyDescent="0.25">
      <c r="A337" s="53"/>
      <c r="B337" s="91" t="str">
        <f>IFERROR(VLOOKUP(A337,Lookup!A:B,2,0),"")</f>
        <v/>
      </c>
      <c r="C337" s="92" t="str">
        <f>IFERROR(VLOOKUP(A337,Lookup!A:C,3,0),"")</f>
        <v/>
      </c>
      <c r="D337" s="59"/>
      <c r="E337" s="59"/>
      <c r="F337" s="59"/>
      <c r="G337" s="94"/>
      <c r="H337" s="59"/>
      <c r="I337" s="59"/>
      <c r="J337" s="106">
        <f>VLOOKUP(A337&amp;G337,Lookup!J:N,5,0)</f>
        <v>0</v>
      </c>
      <c r="K337" s="110"/>
      <c r="L337" s="59"/>
      <c r="M337" s="59"/>
      <c r="N337" s="59"/>
      <c r="O337" s="112">
        <v>13.7673611111111</v>
      </c>
      <c r="P337" s="110" t="str">
        <f t="shared" si="30"/>
        <v/>
      </c>
      <c r="Q337" s="59"/>
      <c r="R337" s="87" t="str">
        <f t="shared" si="32"/>
        <v/>
      </c>
      <c r="S337" s="87" t="str">
        <f t="shared" si="33"/>
        <v/>
      </c>
      <c r="T337" s="59"/>
      <c r="U337" s="59"/>
      <c r="V337" s="59"/>
      <c r="W337" s="59"/>
      <c r="X337" s="93" t="str">
        <f t="shared" si="31"/>
        <v>D</v>
      </c>
    </row>
    <row r="338" spans="1:24" s="66" customFormat="1" x14ac:dyDescent="0.25">
      <c r="A338" s="53"/>
      <c r="B338" s="91" t="str">
        <f>IFERROR(VLOOKUP(A338,Lookup!A:B,2,0),"")</f>
        <v/>
      </c>
      <c r="C338" s="92" t="str">
        <f>IFERROR(VLOOKUP(A338,Lookup!A:C,3,0),"")</f>
        <v/>
      </c>
      <c r="D338" s="59"/>
      <c r="E338" s="59"/>
      <c r="F338" s="59"/>
      <c r="G338" s="94"/>
      <c r="H338" s="59"/>
      <c r="I338" s="59"/>
      <c r="J338" s="106">
        <f>VLOOKUP(A338&amp;G338,Lookup!J:N,5,0)</f>
        <v>0</v>
      </c>
      <c r="K338" s="110"/>
      <c r="L338" s="59"/>
      <c r="M338" s="59"/>
      <c r="N338" s="59"/>
      <c r="O338" s="112">
        <v>13.8090277777778</v>
      </c>
      <c r="P338" s="110" t="str">
        <f t="shared" si="30"/>
        <v/>
      </c>
      <c r="Q338" s="59"/>
      <c r="R338" s="87" t="str">
        <f t="shared" si="32"/>
        <v/>
      </c>
      <c r="S338" s="87" t="str">
        <f t="shared" si="33"/>
        <v/>
      </c>
      <c r="T338" s="59"/>
      <c r="U338" s="59"/>
      <c r="V338" s="59"/>
      <c r="W338" s="59"/>
      <c r="X338" s="93" t="str">
        <f t="shared" si="31"/>
        <v>D</v>
      </c>
    </row>
    <row r="339" spans="1:24" s="66" customFormat="1" x14ac:dyDescent="0.25">
      <c r="A339" s="53"/>
      <c r="B339" s="91" t="str">
        <f>IFERROR(VLOOKUP(A339,Lookup!A:B,2,0),"")</f>
        <v/>
      </c>
      <c r="C339" s="92" t="str">
        <f>IFERROR(VLOOKUP(A339,Lookup!A:C,3,0),"")</f>
        <v/>
      </c>
      <c r="D339" s="59"/>
      <c r="E339" s="59"/>
      <c r="F339" s="59"/>
      <c r="G339" s="94"/>
      <c r="H339" s="59"/>
      <c r="I339" s="59"/>
      <c r="J339" s="106">
        <f>VLOOKUP(A339&amp;G339,Lookup!J:N,5,0)</f>
        <v>0</v>
      </c>
      <c r="K339" s="110"/>
      <c r="L339" s="59"/>
      <c r="M339" s="59"/>
      <c r="N339" s="59"/>
      <c r="O339" s="112">
        <v>13.8506944444444</v>
      </c>
      <c r="P339" s="110" t="str">
        <f t="shared" si="30"/>
        <v/>
      </c>
      <c r="Q339" s="59"/>
      <c r="R339" s="87" t="str">
        <f t="shared" si="32"/>
        <v/>
      </c>
      <c r="S339" s="87" t="str">
        <f t="shared" si="33"/>
        <v/>
      </c>
      <c r="T339" s="59"/>
      <c r="U339" s="59"/>
      <c r="V339" s="59"/>
      <c r="W339" s="59"/>
      <c r="X339" s="93" t="str">
        <f t="shared" si="31"/>
        <v>D</v>
      </c>
    </row>
    <row r="340" spans="1:24" s="66" customFormat="1" x14ac:dyDescent="0.25">
      <c r="A340" s="53"/>
      <c r="B340" s="91" t="str">
        <f>IFERROR(VLOOKUP(A340,Lookup!A:B,2,0),"")</f>
        <v/>
      </c>
      <c r="C340" s="92" t="str">
        <f>IFERROR(VLOOKUP(A340,Lookup!A:C,3,0),"")</f>
        <v/>
      </c>
      <c r="D340" s="59"/>
      <c r="E340" s="59"/>
      <c r="F340" s="59"/>
      <c r="G340" s="94"/>
      <c r="H340" s="59"/>
      <c r="I340" s="59"/>
      <c r="J340" s="106">
        <f>VLOOKUP(A340&amp;G340,Lookup!J:N,5,0)</f>
        <v>0</v>
      </c>
      <c r="K340" s="110"/>
      <c r="L340" s="59"/>
      <c r="M340" s="59"/>
      <c r="N340" s="59"/>
      <c r="O340" s="112">
        <v>13.8923611111111</v>
      </c>
      <c r="P340" s="110" t="str">
        <f t="shared" si="30"/>
        <v/>
      </c>
      <c r="Q340" s="59"/>
      <c r="R340" s="87" t="str">
        <f t="shared" si="32"/>
        <v/>
      </c>
      <c r="S340" s="87" t="str">
        <f t="shared" si="33"/>
        <v/>
      </c>
      <c r="T340" s="59"/>
      <c r="U340" s="59"/>
      <c r="V340" s="59"/>
      <c r="W340" s="59"/>
      <c r="X340" s="93" t="str">
        <f t="shared" si="31"/>
        <v>D</v>
      </c>
    </row>
    <row r="341" spans="1:24" s="66" customFormat="1" x14ac:dyDescent="0.25">
      <c r="A341" s="53"/>
      <c r="B341" s="91" t="str">
        <f>IFERROR(VLOOKUP(A341,Lookup!A:B,2,0),"")</f>
        <v/>
      </c>
      <c r="C341" s="92" t="str">
        <f>IFERROR(VLOOKUP(A341,Lookup!A:C,3,0),"")</f>
        <v/>
      </c>
      <c r="D341" s="59"/>
      <c r="E341" s="59"/>
      <c r="F341" s="59"/>
      <c r="G341" s="94"/>
      <c r="H341" s="59"/>
      <c r="I341" s="59"/>
      <c r="J341" s="106">
        <f>VLOOKUP(A341&amp;G341,Lookup!J:N,5,0)</f>
        <v>0</v>
      </c>
      <c r="K341" s="110"/>
      <c r="L341" s="59"/>
      <c r="M341" s="59"/>
      <c r="N341" s="59"/>
      <c r="O341" s="112">
        <v>13.9340277777778</v>
      </c>
      <c r="P341" s="110" t="str">
        <f t="shared" si="30"/>
        <v/>
      </c>
      <c r="Q341" s="59"/>
      <c r="R341" s="87" t="str">
        <f t="shared" si="32"/>
        <v/>
      </c>
      <c r="S341" s="87" t="str">
        <f t="shared" si="33"/>
        <v/>
      </c>
      <c r="T341" s="59"/>
      <c r="U341" s="59"/>
      <c r="V341" s="59"/>
      <c r="W341" s="59"/>
      <c r="X341" s="93" t="str">
        <f t="shared" si="31"/>
        <v>D</v>
      </c>
    </row>
    <row r="342" spans="1:24" s="66" customFormat="1" x14ac:dyDescent="0.25">
      <c r="A342" s="53"/>
      <c r="B342" s="91" t="str">
        <f>IFERROR(VLOOKUP(A342,Lookup!A:B,2,0),"")</f>
        <v/>
      </c>
      <c r="C342" s="92" t="str">
        <f>IFERROR(VLOOKUP(A342,Lookup!A:C,3,0),"")</f>
        <v/>
      </c>
      <c r="D342" s="59"/>
      <c r="E342" s="59"/>
      <c r="F342" s="59"/>
      <c r="G342" s="94"/>
      <c r="H342" s="59"/>
      <c r="I342" s="59"/>
      <c r="J342" s="106">
        <f>VLOOKUP(A342&amp;G342,Lookup!J:N,5,0)</f>
        <v>0</v>
      </c>
      <c r="K342" s="110"/>
      <c r="L342" s="59"/>
      <c r="M342" s="59"/>
      <c r="N342" s="59"/>
      <c r="O342" s="112">
        <v>13.9756944444444</v>
      </c>
      <c r="P342" s="110" t="str">
        <f t="shared" si="30"/>
        <v/>
      </c>
      <c r="Q342" s="59"/>
      <c r="R342" s="87" t="str">
        <f t="shared" si="32"/>
        <v/>
      </c>
      <c r="S342" s="87" t="str">
        <f t="shared" si="33"/>
        <v/>
      </c>
      <c r="T342" s="59"/>
      <c r="U342" s="59"/>
      <c r="V342" s="59"/>
      <c r="W342" s="59"/>
      <c r="X342" s="93" t="str">
        <f t="shared" si="31"/>
        <v>D</v>
      </c>
    </row>
    <row r="343" spans="1:24" s="66" customFormat="1" x14ac:dyDescent="0.25">
      <c r="A343" s="53"/>
      <c r="B343" s="91" t="str">
        <f>IFERROR(VLOOKUP(A343,Lookup!A:B,2,0),"")</f>
        <v/>
      </c>
      <c r="C343" s="92" t="str">
        <f>IFERROR(VLOOKUP(A343,Lookup!A:C,3,0),"")</f>
        <v/>
      </c>
      <c r="D343" s="59"/>
      <c r="E343" s="59"/>
      <c r="F343" s="59"/>
      <c r="G343" s="94"/>
      <c r="H343" s="59"/>
      <c r="I343" s="59"/>
      <c r="J343" s="106">
        <f>VLOOKUP(A343&amp;G343,Lookup!J:N,5,0)</f>
        <v>0</v>
      </c>
      <c r="K343" s="110"/>
      <c r="L343" s="59"/>
      <c r="M343" s="59"/>
      <c r="N343" s="59"/>
      <c r="O343" s="112">
        <v>14.0173611111111</v>
      </c>
      <c r="P343" s="110" t="str">
        <f t="shared" si="30"/>
        <v/>
      </c>
      <c r="Q343" s="59"/>
      <c r="R343" s="87" t="str">
        <f t="shared" si="32"/>
        <v/>
      </c>
      <c r="S343" s="87" t="str">
        <f t="shared" si="33"/>
        <v/>
      </c>
      <c r="T343" s="59"/>
      <c r="U343" s="59"/>
      <c r="V343" s="59"/>
      <c r="W343" s="59"/>
      <c r="X343" s="93" t="str">
        <f t="shared" si="31"/>
        <v>D</v>
      </c>
    </row>
    <row r="344" spans="1:24" s="66" customFormat="1" x14ac:dyDescent="0.25">
      <c r="A344" s="53"/>
      <c r="B344" s="91" t="str">
        <f>IFERROR(VLOOKUP(A344,Lookup!A:B,2,0),"")</f>
        <v/>
      </c>
      <c r="C344" s="92" t="str">
        <f>IFERROR(VLOOKUP(A344,Lookup!A:C,3,0),"")</f>
        <v/>
      </c>
      <c r="D344" s="59"/>
      <c r="E344" s="59"/>
      <c r="F344" s="59"/>
      <c r="G344" s="94"/>
      <c r="H344" s="59"/>
      <c r="I344" s="59"/>
      <c r="J344" s="106">
        <f>VLOOKUP(A344&amp;G344,Lookup!J:N,5,0)</f>
        <v>0</v>
      </c>
      <c r="K344" s="110"/>
      <c r="L344" s="59"/>
      <c r="M344" s="59"/>
      <c r="N344" s="59"/>
      <c r="O344" s="112">
        <v>14.0590277777778</v>
      </c>
      <c r="P344" s="110" t="str">
        <f t="shared" si="30"/>
        <v/>
      </c>
      <c r="Q344" s="59"/>
      <c r="R344" s="87" t="str">
        <f t="shared" si="32"/>
        <v/>
      </c>
      <c r="S344" s="87" t="str">
        <f t="shared" si="33"/>
        <v/>
      </c>
      <c r="T344" s="59"/>
      <c r="U344" s="59"/>
      <c r="V344" s="59"/>
      <c r="W344" s="59"/>
      <c r="X344" s="93" t="str">
        <f t="shared" si="31"/>
        <v>D</v>
      </c>
    </row>
    <row r="345" spans="1:24" s="66" customFormat="1" x14ac:dyDescent="0.25">
      <c r="A345" s="53"/>
      <c r="B345" s="91" t="str">
        <f>IFERROR(VLOOKUP(A345,Lookup!A:B,2,0),"")</f>
        <v/>
      </c>
      <c r="C345" s="92" t="str">
        <f>IFERROR(VLOOKUP(A345,Lookup!A:C,3,0),"")</f>
        <v/>
      </c>
      <c r="D345" s="59"/>
      <c r="E345" s="59"/>
      <c r="F345" s="59"/>
      <c r="G345" s="94"/>
      <c r="H345" s="59"/>
      <c r="I345" s="59"/>
      <c r="J345" s="106">
        <f>VLOOKUP(A345&amp;G345,Lookup!J:N,5,0)</f>
        <v>0</v>
      </c>
      <c r="K345" s="110"/>
      <c r="L345" s="59"/>
      <c r="M345" s="59"/>
      <c r="N345" s="59"/>
      <c r="O345" s="112">
        <v>14.1006944444444</v>
      </c>
      <c r="P345" s="110" t="str">
        <f t="shared" si="30"/>
        <v/>
      </c>
      <c r="Q345" s="59"/>
      <c r="R345" s="87" t="str">
        <f t="shared" si="32"/>
        <v/>
      </c>
      <c r="S345" s="87" t="str">
        <f t="shared" si="33"/>
        <v/>
      </c>
      <c r="T345" s="59"/>
      <c r="U345" s="59"/>
      <c r="V345" s="59"/>
      <c r="W345" s="59"/>
      <c r="X345" s="93" t="str">
        <f t="shared" si="31"/>
        <v>D</v>
      </c>
    </row>
    <row r="346" spans="1:24" s="66" customFormat="1" x14ac:dyDescent="0.25">
      <c r="A346" s="53"/>
      <c r="B346" s="91" t="str">
        <f>IFERROR(VLOOKUP(A346,Lookup!A:B,2,0),"")</f>
        <v/>
      </c>
      <c r="C346" s="92" t="str">
        <f>IFERROR(VLOOKUP(A346,Lookup!A:C,3,0),"")</f>
        <v/>
      </c>
      <c r="D346" s="59"/>
      <c r="E346" s="59"/>
      <c r="F346" s="59"/>
      <c r="G346" s="94"/>
      <c r="H346" s="59"/>
      <c r="I346" s="59"/>
      <c r="J346" s="106">
        <f>VLOOKUP(A346&amp;G346,Lookup!J:N,5,0)</f>
        <v>0</v>
      </c>
      <c r="K346" s="110"/>
      <c r="L346" s="59"/>
      <c r="M346" s="59"/>
      <c r="N346" s="59"/>
      <c r="O346" s="112">
        <v>14.1423611111111</v>
      </c>
      <c r="P346" s="110" t="str">
        <f t="shared" si="30"/>
        <v/>
      </c>
      <c r="Q346" s="59"/>
      <c r="R346" s="87" t="str">
        <f t="shared" si="32"/>
        <v/>
      </c>
      <c r="S346" s="87" t="str">
        <f t="shared" si="33"/>
        <v/>
      </c>
      <c r="T346" s="59"/>
      <c r="U346" s="59"/>
      <c r="V346" s="59"/>
      <c r="W346" s="59"/>
      <c r="X346" s="93" t="str">
        <f t="shared" si="31"/>
        <v>D</v>
      </c>
    </row>
    <row r="347" spans="1:24" s="66" customFormat="1" x14ac:dyDescent="0.25">
      <c r="A347" s="53"/>
      <c r="B347" s="91" t="str">
        <f>IFERROR(VLOOKUP(A347,Lookup!A:B,2,0),"")</f>
        <v/>
      </c>
      <c r="C347" s="92" t="str">
        <f>IFERROR(VLOOKUP(A347,Lookup!A:C,3,0),"")</f>
        <v/>
      </c>
      <c r="D347" s="59"/>
      <c r="E347" s="59"/>
      <c r="F347" s="59"/>
      <c r="G347" s="94"/>
      <c r="H347" s="59"/>
      <c r="I347" s="59"/>
      <c r="J347" s="106">
        <f>VLOOKUP(A347&amp;G347,Lookup!J:N,5,0)</f>
        <v>0</v>
      </c>
      <c r="K347" s="110"/>
      <c r="L347" s="59"/>
      <c r="M347" s="59"/>
      <c r="N347" s="59"/>
      <c r="O347" s="112">
        <v>14.1840277777778</v>
      </c>
      <c r="P347" s="110" t="str">
        <f t="shared" si="30"/>
        <v/>
      </c>
      <c r="Q347" s="59"/>
      <c r="R347" s="87" t="str">
        <f t="shared" si="32"/>
        <v/>
      </c>
      <c r="S347" s="87" t="str">
        <f t="shared" si="33"/>
        <v/>
      </c>
      <c r="T347" s="59"/>
      <c r="U347" s="59"/>
      <c r="V347" s="59"/>
      <c r="W347" s="59"/>
      <c r="X347" s="93" t="str">
        <f t="shared" si="31"/>
        <v>D</v>
      </c>
    </row>
    <row r="348" spans="1:24" s="66" customFormat="1" x14ac:dyDescent="0.25">
      <c r="A348" s="53"/>
      <c r="B348" s="91" t="str">
        <f>IFERROR(VLOOKUP(A348,Lookup!A:B,2,0),"")</f>
        <v/>
      </c>
      <c r="C348" s="92" t="str">
        <f>IFERROR(VLOOKUP(A348,Lookup!A:C,3,0),"")</f>
        <v/>
      </c>
      <c r="D348" s="59"/>
      <c r="E348" s="59"/>
      <c r="F348" s="59"/>
      <c r="G348" s="94"/>
      <c r="H348" s="59"/>
      <c r="I348" s="59"/>
      <c r="J348" s="106">
        <f>VLOOKUP(A348&amp;G348,Lookup!J:N,5,0)</f>
        <v>0</v>
      </c>
      <c r="K348" s="110"/>
      <c r="L348" s="59"/>
      <c r="M348" s="59"/>
      <c r="N348" s="59"/>
      <c r="O348" s="112">
        <v>14.2256944444444</v>
      </c>
      <c r="P348" s="110" t="str">
        <f t="shared" si="30"/>
        <v/>
      </c>
      <c r="Q348" s="59"/>
      <c r="R348" s="87" t="str">
        <f t="shared" si="32"/>
        <v/>
      </c>
      <c r="S348" s="87" t="str">
        <f t="shared" si="33"/>
        <v/>
      </c>
      <c r="T348" s="59"/>
      <c r="U348" s="59"/>
      <c r="V348" s="59"/>
      <c r="W348" s="59"/>
      <c r="X348" s="93" t="str">
        <f t="shared" si="31"/>
        <v>D</v>
      </c>
    </row>
    <row r="349" spans="1:24" s="66" customFormat="1" x14ac:dyDescent="0.25">
      <c r="A349" s="53"/>
      <c r="B349" s="91" t="str">
        <f>IFERROR(VLOOKUP(A349,Lookup!A:B,2,0),"")</f>
        <v/>
      </c>
      <c r="C349" s="92" t="str">
        <f>IFERROR(VLOOKUP(A349,Lookup!A:C,3,0),"")</f>
        <v/>
      </c>
      <c r="D349" s="59"/>
      <c r="E349" s="59"/>
      <c r="F349" s="59"/>
      <c r="G349" s="94"/>
      <c r="H349" s="59"/>
      <c r="I349" s="59"/>
      <c r="J349" s="106">
        <f>VLOOKUP(A349&amp;G349,Lookup!J:N,5,0)</f>
        <v>0</v>
      </c>
      <c r="K349" s="110"/>
      <c r="L349" s="59"/>
      <c r="M349" s="59"/>
      <c r="N349" s="59"/>
      <c r="O349" s="112">
        <v>14.2673611111111</v>
      </c>
      <c r="P349" s="110" t="str">
        <f t="shared" si="30"/>
        <v/>
      </c>
      <c r="Q349" s="59"/>
      <c r="R349" s="87" t="str">
        <f t="shared" si="32"/>
        <v/>
      </c>
      <c r="S349" s="87" t="str">
        <f t="shared" si="33"/>
        <v/>
      </c>
      <c r="T349" s="59"/>
      <c r="U349" s="59"/>
      <c r="V349" s="59"/>
      <c r="W349" s="59"/>
      <c r="X349" s="93" t="str">
        <f t="shared" si="31"/>
        <v>D</v>
      </c>
    </row>
    <row r="350" spans="1:24" s="66" customFormat="1" x14ac:dyDescent="0.25">
      <c r="A350" s="53"/>
      <c r="B350" s="91" t="str">
        <f>IFERROR(VLOOKUP(A350,Lookup!A:B,2,0),"")</f>
        <v/>
      </c>
      <c r="C350" s="92" t="str">
        <f>IFERROR(VLOOKUP(A350,Lookup!A:C,3,0),"")</f>
        <v/>
      </c>
      <c r="D350" s="59"/>
      <c r="E350" s="59"/>
      <c r="F350" s="59"/>
      <c r="G350" s="94"/>
      <c r="H350" s="59"/>
      <c r="I350" s="59"/>
      <c r="J350" s="106">
        <f>VLOOKUP(A350&amp;G350,Lookup!J:N,5,0)</f>
        <v>0</v>
      </c>
      <c r="K350" s="110"/>
      <c r="L350" s="59"/>
      <c r="M350" s="59"/>
      <c r="N350" s="59"/>
      <c r="O350" s="112">
        <v>14.3090277777778</v>
      </c>
      <c r="P350" s="110" t="str">
        <f t="shared" si="30"/>
        <v/>
      </c>
      <c r="Q350" s="59"/>
      <c r="R350" s="87" t="str">
        <f t="shared" si="32"/>
        <v/>
      </c>
      <c r="S350" s="87" t="str">
        <f t="shared" si="33"/>
        <v/>
      </c>
      <c r="T350" s="59"/>
      <c r="U350" s="59"/>
      <c r="V350" s="59"/>
      <c r="W350" s="59"/>
      <c r="X350" s="93" t="str">
        <f t="shared" si="31"/>
        <v>D</v>
      </c>
    </row>
    <row r="351" spans="1:24" s="66" customFormat="1" x14ac:dyDescent="0.25">
      <c r="A351" s="53"/>
      <c r="B351" s="91" t="str">
        <f>IFERROR(VLOOKUP(A351,Lookup!A:B,2,0),"")</f>
        <v/>
      </c>
      <c r="C351" s="92" t="str">
        <f>IFERROR(VLOOKUP(A351,Lookup!A:C,3,0),"")</f>
        <v/>
      </c>
      <c r="D351" s="59"/>
      <c r="E351" s="59"/>
      <c r="F351" s="59"/>
      <c r="G351" s="94"/>
      <c r="H351" s="59"/>
      <c r="I351" s="59"/>
      <c r="J351" s="106">
        <f>VLOOKUP(A351&amp;G351,Lookup!J:N,5,0)</f>
        <v>0</v>
      </c>
      <c r="K351" s="110"/>
      <c r="L351" s="59"/>
      <c r="M351" s="59"/>
      <c r="N351" s="59"/>
      <c r="O351" s="112">
        <v>14.3506944444444</v>
      </c>
      <c r="P351" s="110" t="str">
        <f t="shared" si="30"/>
        <v/>
      </c>
      <c r="Q351" s="59"/>
      <c r="R351" s="87" t="str">
        <f t="shared" si="32"/>
        <v/>
      </c>
      <c r="S351" s="87" t="str">
        <f t="shared" si="33"/>
        <v/>
      </c>
      <c r="T351" s="59"/>
      <c r="U351" s="59"/>
      <c r="V351" s="59"/>
      <c r="W351" s="59"/>
      <c r="X351" s="93" t="str">
        <f t="shared" si="31"/>
        <v>D</v>
      </c>
    </row>
    <row r="352" spans="1:24" s="66" customFormat="1" x14ac:dyDescent="0.25">
      <c r="A352" s="53"/>
      <c r="B352" s="91" t="str">
        <f>IFERROR(VLOOKUP(A352,Lookup!A:B,2,0),"")</f>
        <v/>
      </c>
      <c r="C352" s="92" t="str">
        <f>IFERROR(VLOOKUP(A352,Lookup!A:C,3,0),"")</f>
        <v/>
      </c>
      <c r="D352" s="59"/>
      <c r="E352" s="59"/>
      <c r="F352" s="59"/>
      <c r="G352" s="94"/>
      <c r="H352" s="59"/>
      <c r="I352" s="59"/>
      <c r="J352" s="106">
        <f>VLOOKUP(A352&amp;G352,Lookup!J:N,5,0)</f>
        <v>0</v>
      </c>
      <c r="K352" s="110"/>
      <c r="L352" s="59"/>
      <c r="M352" s="59"/>
      <c r="N352" s="59"/>
      <c r="O352" s="112">
        <v>14.3923611111111</v>
      </c>
      <c r="P352" s="110" t="str">
        <f t="shared" si="30"/>
        <v/>
      </c>
      <c r="Q352" s="59"/>
      <c r="R352" s="87" t="str">
        <f t="shared" si="32"/>
        <v/>
      </c>
      <c r="S352" s="87" t="str">
        <f t="shared" si="33"/>
        <v/>
      </c>
      <c r="T352" s="59"/>
      <c r="U352" s="59"/>
      <c r="V352" s="59"/>
      <c r="W352" s="59"/>
      <c r="X352" s="93" t="str">
        <f t="shared" si="31"/>
        <v>D</v>
      </c>
    </row>
    <row r="353" spans="1:24" s="66" customFormat="1" x14ac:dyDescent="0.25">
      <c r="A353" s="53"/>
      <c r="B353" s="91" t="str">
        <f>IFERROR(VLOOKUP(A353,Lookup!A:B,2,0),"")</f>
        <v/>
      </c>
      <c r="C353" s="92" t="str">
        <f>IFERROR(VLOOKUP(A353,Lookup!A:C,3,0),"")</f>
        <v/>
      </c>
      <c r="D353" s="59"/>
      <c r="E353" s="59"/>
      <c r="F353" s="59"/>
      <c r="G353" s="94"/>
      <c r="H353" s="59"/>
      <c r="I353" s="59"/>
      <c r="J353" s="106">
        <f>VLOOKUP(A353&amp;G353,Lookup!J:N,5,0)</f>
        <v>0</v>
      </c>
      <c r="K353" s="110"/>
      <c r="L353" s="59"/>
      <c r="M353" s="59"/>
      <c r="N353" s="59"/>
      <c r="O353" s="112">
        <v>14.4340277777778</v>
      </c>
      <c r="P353" s="110" t="str">
        <f t="shared" si="30"/>
        <v/>
      </c>
      <c r="Q353" s="59"/>
      <c r="R353" s="87" t="str">
        <f t="shared" si="32"/>
        <v/>
      </c>
      <c r="S353" s="87" t="str">
        <f t="shared" si="33"/>
        <v/>
      </c>
      <c r="T353" s="59"/>
      <c r="U353" s="59"/>
      <c r="V353" s="59"/>
      <c r="W353" s="59"/>
      <c r="X353" s="93" t="str">
        <f t="shared" si="31"/>
        <v>D</v>
      </c>
    </row>
    <row r="354" spans="1:24" s="66" customFormat="1" x14ac:dyDescent="0.25">
      <c r="A354" s="53"/>
      <c r="B354" s="91" t="str">
        <f>IFERROR(VLOOKUP(A354,Lookup!A:B,2,0),"")</f>
        <v/>
      </c>
      <c r="C354" s="92" t="str">
        <f>IFERROR(VLOOKUP(A354,Lookup!A:C,3,0),"")</f>
        <v/>
      </c>
      <c r="D354" s="59"/>
      <c r="E354" s="59"/>
      <c r="F354" s="59"/>
      <c r="G354" s="94"/>
      <c r="H354" s="59"/>
      <c r="I354" s="59"/>
      <c r="J354" s="106">
        <f>VLOOKUP(A354&amp;G354,Lookup!J:N,5,0)</f>
        <v>0</v>
      </c>
      <c r="K354" s="110"/>
      <c r="L354" s="59"/>
      <c r="M354" s="59"/>
      <c r="N354" s="59"/>
      <c r="O354" s="112">
        <v>14.4756944444444</v>
      </c>
      <c r="P354" s="110" t="str">
        <f t="shared" si="30"/>
        <v/>
      </c>
      <c r="Q354" s="59"/>
      <c r="R354" s="87" t="str">
        <f t="shared" si="32"/>
        <v/>
      </c>
      <c r="S354" s="87" t="str">
        <f t="shared" si="33"/>
        <v/>
      </c>
      <c r="T354" s="59"/>
      <c r="U354" s="59"/>
      <c r="V354" s="59"/>
      <c r="W354" s="59"/>
      <c r="X354" s="93" t="str">
        <f t="shared" si="31"/>
        <v>D</v>
      </c>
    </row>
    <row r="355" spans="1:24" s="66" customFormat="1" x14ac:dyDescent="0.25">
      <c r="A355" s="53"/>
      <c r="B355" s="91" t="str">
        <f>IFERROR(VLOOKUP(A355,Lookup!A:B,2,0),"")</f>
        <v/>
      </c>
      <c r="C355" s="92" t="str">
        <f>IFERROR(VLOOKUP(A355,Lookup!A:C,3,0),"")</f>
        <v/>
      </c>
      <c r="D355" s="59"/>
      <c r="E355" s="59"/>
      <c r="F355" s="59"/>
      <c r="G355" s="94"/>
      <c r="H355" s="59"/>
      <c r="I355" s="59"/>
      <c r="J355" s="106">
        <f>VLOOKUP(A355&amp;G355,Lookup!J:N,5,0)</f>
        <v>0</v>
      </c>
      <c r="K355" s="110"/>
      <c r="L355" s="59"/>
      <c r="M355" s="59"/>
      <c r="N355" s="59"/>
      <c r="O355" s="112">
        <v>14.5173611111111</v>
      </c>
      <c r="P355" s="110" t="str">
        <f t="shared" si="30"/>
        <v/>
      </c>
      <c r="Q355" s="59"/>
      <c r="R355" s="87" t="str">
        <f t="shared" si="32"/>
        <v/>
      </c>
      <c r="S355" s="87" t="str">
        <f t="shared" si="33"/>
        <v/>
      </c>
      <c r="T355" s="59"/>
      <c r="U355" s="59"/>
      <c r="V355" s="59"/>
      <c r="W355" s="59"/>
      <c r="X355" s="93" t="str">
        <f t="shared" si="31"/>
        <v>D</v>
      </c>
    </row>
    <row r="356" spans="1:24" s="66" customFormat="1" x14ac:dyDescent="0.25">
      <c r="A356" s="53"/>
      <c r="B356" s="91" t="str">
        <f>IFERROR(VLOOKUP(A356,Lookup!A:B,2,0),"")</f>
        <v/>
      </c>
      <c r="C356" s="92" t="str">
        <f>IFERROR(VLOOKUP(A356,Lookup!A:C,3,0),"")</f>
        <v/>
      </c>
      <c r="D356" s="59"/>
      <c r="E356" s="59"/>
      <c r="F356" s="59"/>
      <c r="G356" s="94"/>
      <c r="H356" s="59"/>
      <c r="I356" s="59"/>
      <c r="J356" s="106">
        <f>VLOOKUP(A356&amp;G356,Lookup!J:N,5,0)</f>
        <v>0</v>
      </c>
      <c r="K356" s="110"/>
      <c r="L356" s="59"/>
      <c r="M356" s="59"/>
      <c r="N356" s="59"/>
      <c r="O356" s="112">
        <v>14.5590277777778</v>
      </c>
      <c r="P356" s="110" t="str">
        <f t="shared" si="30"/>
        <v/>
      </c>
      <c r="Q356" s="59"/>
      <c r="R356" s="87" t="str">
        <f t="shared" si="32"/>
        <v/>
      </c>
      <c r="S356" s="87" t="str">
        <f t="shared" si="33"/>
        <v/>
      </c>
      <c r="T356" s="59"/>
      <c r="U356" s="59"/>
      <c r="V356" s="59"/>
      <c r="W356" s="59"/>
      <c r="X356" s="93" t="str">
        <f t="shared" si="31"/>
        <v>D</v>
      </c>
    </row>
    <row r="357" spans="1:24" s="66" customFormat="1" x14ac:dyDescent="0.25">
      <c r="A357" s="53"/>
      <c r="B357" s="91" t="str">
        <f>IFERROR(VLOOKUP(A357,Lookup!A:B,2,0),"")</f>
        <v/>
      </c>
      <c r="C357" s="92" t="str">
        <f>IFERROR(VLOOKUP(A357,Lookup!A:C,3,0),"")</f>
        <v/>
      </c>
      <c r="D357" s="59"/>
      <c r="E357" s="59"/>
      <c r="F357" s="59"/>
      <c r="G357" s="94"/>
      <c r="H357" s="59"/>
      <c r="I357" s="59"/>
      <c r="J357" s="106">
        <f>VLOOKUP(A357&amp;G357,Lookup!J:N,5,0)</f>
        <v>0</v>
      </c>
      <c r="K357" s="110"/>
      <c r="L357" s="59"/>
      <c r="M357" s="59"/>
      <c r="N357" s="59"/>
      <c r="O357" s="112">
        <v>14.6006944444444</v>
      </c>
      <c r="P357" s="110" t="str">
        <f t="shared" si="30"/>
        <v/>
      </c>
      <c r="Q357" s="59"/>
      <c r="R357" s="87" t="str">
        <f t="shared" si="32"/>
        <v/>
      </c>
      <c r="S357" s="87" t="str">
        <f t="shared" si="33"/>
        <v/>
      </c>
      <c r="T357" s="59"/>
      <c r="U357" s="59"/>
      <c r="V357" s="59"/>
      <c r="W357" s="59"/>
      <c r="X357" s="93" t="str">
        <f t="shared" si="31"/>
        <v>D</v>
      </c>
    </row>
    <row r="358" spans="1:24" s="66" customFormat="1" x14ac:dyDescent="0.25">
      <c r="A358" s="53"/>
      <c r="B358" s="91" t="str">
        <f>IFERROR(VLOOKUP(A358,Lookup!A:B,2,0),"")</f>
        <v/>
      </c>
      <c r="C358" s="92" t="str">
        <f>IFERROR(VLOOKUP(A358,Lookup!A:C,3,0),"")</f>
        <v/>
      </c>
      <c r="D358" s="59"/>
      <c r="E358" s="59"/>
      <c r="F358" s="59"/>
      <c r="G358" s="94"/>
      <c r="H358" s="59"/>
      <c r="I358" s="59"/>
      <c r="J358" s="106">
        <f>VLOOKUP(A358&amp;G358,Lookup!J:N,5,0)</f>
        <v>0</v>
      </c>
      <c r="K358" s="110"/>
      <c r="L358" s="59"/>
      <c r="M358" s="59"/>
      <c r="N358" s="59"/>
      <c r="O358" s="112">
        <v>14.6423611111111</v>
      </c>
      <c r="P358" s="110" t="str">
        <f t="shared" si="30"/>
        <v/>
      </c>
      <c r="Q358" s="59"/>
      <c r="R358" s="87" t="str">
        <f t="shared" si="32"/>
        <v/>
      </c>
      <c r="S358" s="87" t="str">
        <f t="shared" si="33"/>
        <v/>
      </c>
      <c r="T358" s="59"/>
      <c r="U358" s="59"/>
      <c r="V358" s="59"/>
      <c r="W358" s="59"/>
      <c r="X358" s="93" t="str">
        <f t="shared" si="31"/>
        <v>D</v>
      </c>
    </row>
    <row r="359" spans="1:24" s="66" customFormat="1" x14ac:dyDescent="0.25">
      <c r="A359" s="53"/>
      <c r="B359" s="91" t="str">
        <f>IFERROR(VLOOKUP(A359,Lookup!A:B,2,0),"")</f>
        <v/>
      </c>
      <c r="C359" s="92" t="str">
        <f>IFERROR(VLOOKUP(A359,Lookup!A:C,3,0),"")</f>
        <v/>
      </c>
      <c r="D359" s="59"/>
      <c r="E359" s="59"/>
      <c r="F359" s="59"/>
      <c r="G359" s="94"/>
      <c r="H359" s="59"/>
      <c r="I359" s="59"/>
      <c r="J359" s="106">
        <f>VLOOKUP(A359&amp;G359,Lookup!J:N,5,0)</f>
        <v>0</v>
      </c>
      <c r="K359" s="110"/>
      <c r="L359" s="59"/>
      <c r="M359" s="59"/>
      <c r="N359" s="59"/>
      <c r="O359" s="112">
        <v>14.6840277777778</v>
      </c>
      <c r="P359" s="110" t="str">
        <f t="shared" si="30"/>
        <v/>
      </c>
      <c r="Q359" s="59"/>
      <c r="R359" s="87" t="str">
        <f t="shared" si="32"/>
        <v/>
      </c>
      <c r="S359" s="87" t="str">
        <f t="shared" si="33"/>
        <v/>
      </c>
      <c r="T359" s="59"/>
      <c r="U359" s="59"/>
      <c r="V359" s="59"/>
      <c r="W359" s="59"/>
      <c r="X359" s="93" t="str">
        <f t="shared" si="31"/>
        <v>D</v>
      </c>
    </row>
    <row r="360" spans="1:24" s="66" customFormat="1" x14ac:dyDescent="0.25">
      <c r="A360" s="53"/>
      <c r="B360" s="91" t="str">
        <f>IFERROR(VLOOKUP(A360,Lookup!A:B,2,0),"")</f>
        <v/>
      </c>
      <c r="C360" s="92" t="str">
        <f>IFERROR(VLOOKUP(A360,Lookup!A:C,3,0),"")</f>
        <v/>
      </c>
      <c r="D360" s="59"/>
      <c r="E360" s="59"/>
      <c r="F360" s="59"/>
      <c r="G360" s="94"/>
      <c r="H360" s="59"/>
      <c r="I360" s="59"/>
      <c r="J360" s="106">
        <f>VLOOKUP(A360&amp;G360,Lookup!J:N,5,0)</f>
        <v>0</v>
      </c>
      <c r="K360" s="110"/>
      <c r="L360" s="59"/>
      <c r="M360" s="59"/>
      <c r="N360" s="59"/>
      <c r="O360" s="112">
        <v>14.7256944444444</v>
      </c>
      <c r="P360" s="110" t="str">
        <f t="shared" si="30"/>
        <v/>
      </c>
      <c r="Q360" s="59"/>
      <c r="R360" s="87" t="str">
        <f t="shared" si="32"/>
        <v/>
      </c>
      <c r="S360" s="87" t="str">
        <f t="shared" si="33"/>
        <v/>
      </c>
      <c r="T360" s="59"/>
      <c r="U360" s="59"/>
      <c r="V360" s="59"/>
      <c r="W360" s="59"/>
      <c r="X360" s="93" t="str">
        <f t="shared" si="31"/>
        <v>D</v>
      </c>
    </row>
    <row r="361" spans="1:24" s="66" customFormat="1" x14ac:dyDescent="0.25">
      <c r="A361" s="53"/>
      <c r="B361" s="91" t="str">
        <f>IFERROR(VLOOKUP(A361,Lookup!A:B,2,0),"")</f>
        <v/>
      </c>
      <c r="C361" s="92" t="str">
        <f>IFERROR(VLOOKUP(A361,Lookup!A:C,3,0),"")</f>
        <v/>
      </c>
      <c r="D361" s="59"/>
      <c r="E361" s="59"/>
      <c r="F361" s="59"/>
      <c r="G361" s="94"/>
      <c r="H361" s="59"/>
      <c r="I361" s="59"/>
      <c r="J361" s="106">
        <f>VLOOKUP(A361&amp;G361,Lookup!J:N,5,0)</f>
        <v>0</v>
      </c>
      <c r="K361" s="110"/>
      <c r="L361" s="59"/>
      <c r="M361" s="59"/>
      <c r="N361" s="59"/>
      <c r="O361" s="112">
        <v>14.7673611111111</v>
      </c>
      <c r="P361" s="110" t="str">
        <f t="shared" si="30"/>
        <v/>
      </c>
      <c r="Q361" s="59"/>
      <c r="R361" s="87" t="str">
        <f t="shared" si="32"/>
        <v/>
      </c>
      <c r="S361" s="87" t="str">
        <f t="shared" si="33"/>
        <v/>
      </c>
      <c r="T361" s="59"/>
      <c r="U361" s="59"/>
      <c r="V361" s="59"/>
      <c r="W361" s="59"/>
      <c r="X361" s="93" t="str">
        <f t="shared" si="31"/>
        <v>D</v>
      </c>
    </row>
    <row r="362" spans="1:24" s="66" customFormat="1" x14ac:dyDescent="0.25">
      <c r="A362" s="53"/>
      <c r="B362" s="91" t="str">
        <f>IFERROR(VLOOKUP(A362,Lookup!A:B,2,0),"")</f>
        <v/>
      </c>
      <c r="C362" s="92" t="str">
        <f>IFERROR(VLOOKUP(A362,Lookup!A:C,3,0),"")</f>
        <v/>
      </c>
      <c r="D362" s="59"/>
      <c r="E362" s="59"/>
      <c r="F362" s="59"/>
      <c r="G362" s="94"/>
      <c r="H362" s="59"/>
      <c r="I362" s="59"/>
      <c r="J362" s="106">
        <f>VLOOKUP(A362&amp;G362,Lookup!J:N,5,0)</f>
        <v>0</v>
      </c>
      <c r="K362" s="110"/>
      <c r="L362" s="59"/>
      <c r="M362" s="59"/>
      <c r="N362" s="59"/>
      <c r="O362" s="112">
        <v>14.8090277777778</v>
      </c>
      <c r="P362" s="110" t="str">
        <f t="shared" si="30"/>
        <v/>
      </c>
      <c r="Q362" s="59"/>
      <c r="R362" s="87" t="str">
        <f t="shared" si="32"/>
        <v/>
      </c>
      <c r="S362" s="87" t="str">
        <f t="shared" si="33"/>
        <v/>
      </c>
      <c r="T362" s="59"/>
      <c r="U362" s="59"/>
      <c r="V362" s="59"/>
      <c r="W362" s="59"/>
      <c r="X362" s="93" t="str">
        <f t="shared" si="31"/>
        <v>D</v>
      </c>
    </row>
    <row r="363" spans="1:24" s="66" customFormat="1" x14ac:dyDescent="0.25">
      <c r="A363" s="53"/>
      <c r="B363" s="91" t="str">
        <f>IFERROR(VLOOKUP(A363,Lookup!A:B,2,0),"")</f>
        <v/>
      </c>
      <c r="C363" s="92" t="str">
        <f>IFERROR(VLOOKUP(A363,Lookup!A:C,3,0),"")</f>
        <v/>
      </c>
      <c r="D363" s="59"/>
      <c r="E363" s="59"/>
      <c r="F363" s="59"/>
      <c r="G363" s="94"/>
      <c r="H363" s="59"/>
      <c r="I363" s="59"/>
      <c r="J363" s="106">
        <f>VLOOKUP(A363&amp;G363,Lookup!J:N,5,0)</f>
        <v>0</v>
      </c>
      <c r="K363" s="110"/>
      <c r="L363" s="59"/>
      <c r="M363" s="59"/>
      <c r="N363" s="59"/>
      <c r="O363" s="112">
        <v>14.8506944444444</v>
      </c>
      <c r="P363" s="110" t="str">
        <f t="shared" si="30"/>
        <v/>
      </c>
      <c r="Q363" s="59"/>
      <c r="R363" s="87" t="str">
        <f t="shared" si="32"/>
        <v/>
      </c>
      <c r="S363" s="87" t="str">
        <f t="shared" si="33"/>
        <v/>
      </c>
      <c r="T363" s="59"/>
      <c r="U363" s="59"/>
      <c r="V363" s="59"/>
      <c r="W363" s="59"/>
      <c r="X363" s="93" t="str">
        <f t="shared" si="31"/>
        <v>D</v>
      </c>
    </row>
    <row r="364" spans="1:24" s="66" customFormat="1" x14ac:dyDescent="0.25">
      <c r="A364" s="53"/>
      <c r="B364" s="91" t="str">
        <f>IFERROR(VLOOKUP(A364,Lookup!A:B,2,0),"")</f>
        <v/>
      </c>
      <c r="C364" s="92" t="str">
        <f>IFERROR(VLOOKUP(A364,Lookup!A:C,3,0),"")</f>
        <v/>
      </c>
      <c r="D364" s="59"/>
      <c r="E364" s="59"/>
      <c r="F364" s="59"/>
      <c r="G364" s="94"/>
      <c r="H364" s="59"/>
      <c r="I364" s="59"/>
      <c r="J364" s="106">
        <f>VLOOKUP(A364&amp;G364,Lookup!J:N,5,0)</f>
        <v>0</v>
      </c>
      <c r="K364" s="110"/>
      <c r="L364" s="59"/>
      <c r="M364" s="59"/>
      <c r="N364" s="59"/>
      <c r="O364" s="112">
        <v>14.8923611111111</v>
      </c>
      <c r="P364" s="110" t="str">
        <f t="shared" si="30"/>
        <v/>
      </c>
      <c r="Q364" s="59"/>
      <c r="R364" s="87" t="str">
        <f t="shared" si="32"/>
        <v/>
      </c>
      <c r="S364" s="87" t="str">
        <f t="shared" si="33"/>
        <v/>
      </c>
      <c r="T364" s="59"/>
      <c r="U364" s="59"/>
      <c r="V364" s="59"/>
      <c r="W364" s="59"/>
      <c r="X364" s="93" t="str">
        <f t="shared" si="31"/>
        <v>D</v>
      </c>
    </row>
    <row r="365" spans="1:24" s="66" customFormat="1" x14ac:dyDescent="0.25">
      <c r="A365" s="53"/>
      <c r="B365" s="91" t="str">
        <f>IFERROR(VLOOKUP(A365,Lookup!A:B,2,0),"")</f>
        <v/>
      </c>
      <c r="C365" s="92" t="str">
        <f>IFERROR(VLOOKUP(A365,Lookup!A:C,3,0),"")</f>
        <v/>
      </c>
      <c r="D365" s="59"/>
      <c r="E365" s="59"/>
      <c r="F365" s="59"/>
      <c r="G365" s="94"/>
      <c r="H365" s="59"/>
      <c r="I365" s="59"/>
      <c r="J365" s="106">
        <f>VLOOKUP(A365&amp;G365,Lookup!J:N,5,0)</f>
        <v>0</v>
      </c>
      <c r="K365" s="110"/>
      <c r="L365" s="59"/>
      <c r="M365" s="59"/>
      <c r="N365" s="59"/>
      <c r="O365" s="112">
        <v>14.9340277777778</v>
      </c>
      <c r="P365" s="110" t="str">
        <f t="shared" si="30"/>
        <v/>
      </c>
      <c r="Q365" s="59"/>
      <c r="R365" s="87" t="str">
        <f t="shared" si="32"/>
        <v/>
      </c>
      <c r="S365" s="87" t="str">
        <f t="shared" si="33"/>
        <v/>
      </c>
      <c r="T365" s="59"/>
      <c r="U365" s="59"/>
      <c r="V365" s="59"/>
      <c r="W365" s="59"/>
      <c r="X365" s="93" t="str">
        <f t="shared" si="31"/>
        <v>D</v>
      </c>
    </row>
    <row r="366" spans="1:24" s="66" customFormat="1" x14ac:dyDescent="0.25">
      <c r="A366" s="53"/>
      <c r="B366" s="91" t="str">
        <f>IFERROR(VLOOKUP(A366,Lookup!A:B,2,0),"")</f>
        <v/>
      </c>
      <c r="C366" s="92" t="str">
        <f>IFERROR(VLOOKUP(A366,Lookup!A:C,3,0),"")</f>
        <v/>
      </c>
      <c r="D366" s="59"/>
      <c r="E366" s="59"/>
      <c r="F366" s="59"/>
      <c r="G366" s="94"/>
      <c r="H366" s="59"/>
      <c r="I366" s="59"/>
      <c r="J366" s="106">
        <f>VLOOKUP(A366&amp;G366,Lookup!J:N,5,0)</f>
        <v>0</v>
      </c>
      <c r="K366" s="110"/>
      <c r="L366" s="59"/>
      <c r="M366" s="59"/>
      <c r="N366" s="59"/>
      <c r="O366" s="112">
        <v>14.9756944444444</v>
      </c>
      <c r="P366" s="110" t="str">
        <f t="shared" si="30"/>
        <v/>
      </c>
      <c r="Q366" s="59"/>
      <c r="R366" s="87" t="str">
        <f t="shared" si="32"/>
        <v/>
      </c>
      <c r="S366" s="87" t="str">
        <f t="shared" si="33"/>
        <v/>
      </c>
      <c r="T366" s="59"/>
      <c r="U366" s="59"/>
      <c r="V366" s="59"/>
      <c r="W366" s="59"/>
      <c r="X366" s="93" t="str">
        <f t="shared" si="31"/>
        <v>D</v>
      </c>
    </row>
    <row r="367" spans="1:24" s="66" customFormat="1" x14ac:dyDescent="0.25">
      <c r="A367" s="53"/>
      <c r="B367" s="91" t="str">
        <f>IFERROR(VLOOKUP(A367,Lookup!A:B,2,0),"")</f>
        <v/>
      </c>
      <c r="C367" s="92" t="str">
        <f>IFERROR(VLOOKUP(A367,Lookup!A:C,3,0),"")</f>
        <v/>
      </c>
      <c r="D367" s="59"/>
      <c r="E367" s="59"/>
      <c r="F367" s="59"/>
      <c r="G367" s="94"/>
      <c r="H367" s="59"/>
      <c r="I367" s="59"/>
      <c r="J367" s="106">
        <f>VLOOKUP(A367&amp;G367,Lookup!J:N,5,0)</f>
        <v>0</v>
      </c>
      <c r="K367" s="110"/>
      <c r="L367" s="59"/>
      <c r="M367" s="59"/>
      <c r="N367" s="59"/>
      <c r="O367" s="112">
        <v>15.0173611111111</v>
      </c>
      <c r="P367" s="110" t="str">
        <f t="shared" si="30"/>
        <v/>
      </c>
      <c r="Q367" s="59"/>
      <c r="R367" s="87" t="str">
        <f t="shared" si="32"/>
        <v/>
      </c>
      <c r="S367" s="87" t="str">
        <f t="shared" si="33"/>
        <v/>
      </c>
      <c r="T367" s="59"/>
      <c r="U367" s="59"/>
      <c r="V367" s="59"/>
      <c r="W367" s="59"/>
      <c r="X367" s="93" t="str">
        <f t="shared" si="31"/>
        <v>D</v>
      </c>
    </row>
    <row r="368" spans="1:24" s="66" customFormat="1" x14ac:dyDescent="0.25">
      <c r="A368" s="53"/>
      <c r="B368" s="91" t="str">
        <f>IFERROR(VLOOKUP(A368,Lookup!A:B,2,0),"")</f>
        <v/>
      </c>
      <c r="C368" s="92" t="str">
        <f>IFERROR(VLOOKUP(A368,Lookup!A:C,3,0),"")</f>
        <v/>
      </c>
      <c r="D368" s="59"/>
      <c r="E368" s="59"/>
      <c r="F368" s="59"/>
      <c r="G368" s="94"/>
      <c r="H368" s="59"/>
      <c r="I368" s="59"/>
      <c r="J368" s="106">
        <f>VLOOKUP(A368&amp;G368,Lookup!J:N,5,0)</f>
        <v>0</v>
      </c>
      <c r="K368" s="110"/>
      <c r="L368" s="59"/>
      <c r="M368" s="59"/>
      <c r="N368" s="59"/>
      <c r="O368" s="112">
        <v>15.0590277777778</v>
      </c>
      <c r="P368" s="110" t="str">
        <f t="shared" si="30"/>
        <v/>
      </c>
      <c r="Q368" s="59"/>
      <c r="R368" s="87" t="str">
        <f t="shared" si="32"/>
        <v/>
      </c>
      <c r="S368" s="87" t="str">
        <f t="shared" si="33"/>
        <v/>
      </c>
      <c r="T368" s="59"/>
      <c r="U368" s="59"/>
      <c r="V368" s="59"/>
      <c r="W368" s="59"/>
      <c r="X368" s="93" t="str">
        <f t="shared" si="31"/>
        <v>D</v>
      </c>
    </row>
    <row r="369" spans="1:24" s="66" customFormat="1" x14ac:dyDescent="0.25">
      <c r="A369" s="53"/>
      <c r="B369" s="91" t="str">
        <f>IFERROR(VLOOKUP(A369,Lookup!A:B,2,0),"")</f>
        <v/>
      </c>
      <c r="C369" s="92" t="str">
        <f>IFERROR(VLOOKUP(A369,Lookup!A:C,3,0),"")</f>
        <v/>
      </c>
      <c r="D369" s="59"/>
      <c r="E369" s="59"/>
      <c r="F369" s="59"/>
      <c r="G369" s="94"/>
      <c r="H369" s="59"/>
      <c r="I369" s="59"/>
      <c r="J369" s="106">
        <f>VLOOKUP(A369&amp;G369,Lookup!J:N,5,0)</f>
        <v>0</v>
      </c>
      <c r="K369" s="110"/>
      <c r="L369" s="59"/>
      <c r="M369" s="59"/>
      <c r="N369" s="59"/>
      <c r="O369" s="112">
        <v>15.1006944444444</v>
      </c>
      <c r="P369" s="110" t="str">
        <f t="shared" si="30"/>
        <v/>
      </c>
      <c r="Q369" s="59"/>
      <c r="R369" s="87" t="str">
        <f t="shared" si="32"/>
        <v/>
      </c>
      <c r="S369" s="87" t="str">
        <f t="shared" si="33"/>
        <v/>
      </c>
      <c r="T369" s="59"/>
      <c r="U369" s="59"/>
      <c r="V369" s="59"/>
      <c r="W369" s="59"/>
      <c r="X369" s="93" t="str">
        <f t="shared" si="31"/>
        <v>D</v>
      </c>
    </row>
    <row r="370" spans="1:24" s="66" customFormat="1" x14ac:dyDescent="0.25">
      <c r="A370" s="53"/>
      <c r="B370" s="91" t="str">
        <f>IFERROR(VLOOKUP(A370,Lookup!A:B,2,0),"")</f>
        <v/>
      </c>
      <c r="C370" s="92" t="str">
        <f>IFERROR(VLOOKUP(A370,Lookup!A:C,3,0),"")</f>
        <v/>
      </c>
      <c r="D370" s="59"/>
      <c r="E370" s="59"/>
      <c r="F370" s="59"/>
      <c r="G370" s="94"/>
      <c r="H370" s="59"/>
      <c r="I370" s="59"/>
      <c r="J370" s="106">
        <f>VLOOKUP(A370&amp;G370,Lookup!J:N,5,0)</f>
        <v>0</v>
      </c>
      <c r="K370" s="110"/>
      <c r="L370" s="59"/>
      <c r="M370" s="59"/>
      <c r="N370" s="59"/>
      <c r="O370" s="112">
        <v>15.1423611111111</v>
      </c>
      <c r="P370" s="110" t="str">
        <f t="shared" si="30"/>
        <v/>
      </c>
      <c r="Q370" s="59"/>
      <c r="R370" s="87" t="str">
        <f t="shared" si="32"/>
        <v/>
      </c>
      <c r="S370" s="87" t="str">
        <f t="shared" si="33"/>
        <v/>
      </c>
      <c r="T370" s="59"/>
      <c r="U370" s="59"/>
      <c r="V370" s="59"/>
      <c r="W370" s="59"/>
      <c r="X370" s="93" t="str">
        <f t="shared" si="31"/>
        <v>D</v>
      </c>
    </row>
    <row r="371" spans="1:24" s="66" customFormat="1" x14ac:dyDescent="0.25">
      <c r="A371" s="53"/>
      <c r="B371" s="91" t="str">
        <f>IFERROR(VLOOKUP(A371,Lookup!A:B,2,0),"")</f>
        <v/>
      </c>
      <c r="C371" s="92" t="str">
        <f>IFERROR(VLOOKUP(A371,Lookup!A:C,3,0),"")</f>
        <v/>
      </c>
      <c r="D371" s="59"/>
      <c r="E371" s="59"/>
      <c r="F371" s="59"/>
      <c r="G371" s="94"/>
      <c r="H371" s="59"/>
      <c r="I371" s="59"/>
      <c r="J371" s="106">
        <f>VLOOKUP(A371&amp;G371,Lookup!J:N,5,0)</f>
        <v>0</v>
      </c>
      <c r="K371" s="110"/>
      <c r="L371" s="59"/>
      <c r="M371" s="59"/>
      <c r="N371" s="59"/>
      <c r="O371" s="112">
        <v>15.1840277777778</v>
      </c>
      <c r="P371" s="110" t="str">
        <f t="shared" si="30"/>
        <v/>
      </c>
      <c r="Q371" s="59"/>
      <c r="R371" s="87" t="str">
        <f t="shared" si="32"/>
        <v/>
      </c>
      <c r="S371" s="87" t="str">
        <f t="shared" si="33"/>
        <v/>
      </c>
      <c r="T371" s="59"/>
      <c r="U371" s="59"/>
      <c r="V371" s="59"/>
      <c r="W371" s="59"/>
      <c r="X371" s="93" t="str">
        <f t="shared" si="31"/>
        <v>D</v>
      </c>
    </row>
    <row r="372" spans="1:24" s="66" customFormat="1" x14ac:dyDescent="0.25">
      <c r="A372" s="53"/>
      <c r="B372" s="91" t="str">
        <f>IFERROR(VLOOKUP(A372,Lookup!A:B,2,0),"")</f>
        <v/>
      </c>
      <c r="C372" s="92" t="str">
        <f>IFERROR(VLOOKUP(A372,Lookup!A:C,3,0),"")</f>
        <v/>
      </c>
      <c r="D372" s="59"/>
      <c r="E372" s="59"/>
      <c r="F372" s="59"/>
      <c r="G372" s="94"/>
      <c r="H372" s="59"/>
      <c r="I372" s="59"/>
      <c r="J372" s="106">
        <f>VLOOKUP(A372&amp;G372,Lookup!J:N,5,0)</f>
        <v>0</v>
      </c>
      <c r="K372" s="110"/>
      <c r="L372" s="59"/>
      <c r="M372" s="59"/>
      <c r="N372" s="59"/>
      <c r="O372" s="112">
        <v>15.2256944444444</v>
      </c>
      <c r="P372" s="110" t="str">
        <f t="shared" si="30"/>
        <v/>
      </c>
      <c r="Q372" s="59"/>
      <c r="R372" s="87" t="str">
        <f t="shared" si="32"/>
        <v/>
      </c>
      <c r="S372" s="87" t="str">
        <f t="shared" si="33"/>
        <v/>
      </c>
      <c r="T372" s="59"/>
      <c r="U372" s="59"/>
      <c r="V372" s="59"/>
      <c r="W372" s="59"/>
      <c r="X372" s="93" t="str">
        <f t="shared" si="31"/>
        <v>D</v>
      </c>
    </row>
    <row r="373" spans="1:24" s="66" customFormat="1" x14ac:dyDescent="0.25">
      <c r="A373" s="53"/>
      <c r="B373" s="91" t="str">
        <f>IFERROR(VLOOKUP(A373,Lookup!A:B,2,0),"")</f>
        <v/>
      </c>
      <c r="C373" s="92" t="str">
        <f>IFERROR(VLOOKUP(A373,Lookup!A:C,3,0),"")</f>
        <v/>
      </c>
      <c r="D373" s="59"/>
      <c r="E373" s="59"/>
      <c r="F373" s="59"/>
      <c r="G373" s="94"/>
      <c r="H373" s="59"/>
      <c r="I373" s="59"/>
      <c r="J373" s="106">
        <f>VLOOKUP(A373&amp;G373,Lookup!J:N,5,0)</f>
        <v>0</v>
      </c>
      <c r="K373" s="110"/>
      <c r="L373" s="59"/>
      <c r="M373" s="59"/>
      <c r="N373" s="59"/>
      <c r="O373" s="112">
        <v>15.2673611111111</v>
      </c>
      <c r="P373" s="110" t="str">
        <f t="shared" si="30"/>
        <v/>
      </c>
      <c r="Q373" s="59"/>
      <c r="R373" s="87" t="str">
        <f t="shared" si="32"/>
        <v/>
      </c>
      <c r="S373" s="87" t="str">
        <f t="shared" si="33"/>
        <v/>
      </c>
      <c r="T373" s="59"/>
      <c r="U373" s="59"/>
      <c r="V373" s="59"/>
      <c r="W373" s="59"/>
      <c r="X373" s="93" t="str">
        <f t="shared" si="31"/>
        <v>D</v>
      </c>
    </row>
    <row r="374" spans="1:24" s="66" customFormat="1" x14ac:dyDescent="0.25">
      <c r="A374" s="53"/>
      <c r="B374" s="91" t="str">
        <f>IFERROR(VLOOKUP(A374,Lookup!A:B,2,0),"")</f>
        <v/>
      </c>
      <c r="C374" s="92" t="str">
        <f>IFERROR(VLOOKUP(A374,Lookup!A:C,3,0),"")</f>
        <v/>
      </c>
      <c r="D374" s="59"/>
      <c r="E374" s="59"/>
      <c r="F374" s="59"/>
      <c r="G374" s="94"/>
      <c r="H374" s="59"/>
      <c r="I374" s="59"/>
      <c r="J374" s="106">
        <f>VLOOKUP(A374&amp;G374,Lookup!J:N,5,0)</f>
        <v>0</v>
      </c>
      <c r="K374" s="110"/>
      <c r="L374" s="59"/>
      <c r="M374" s="59"/>
      <c r="N374" s="59"/>
      <c r="O374" s="112">
        <v>15.3090277777778</v>
      </c>
      <c r="P374" s="110" t="str">
        <f t="shared" si="30"/>
        <v/>
      </c>
      <c r="Q374" s="59"/>
      <c r="R374" s="87" t="str">
        <f t="shared" si="32"/>
        <v/>
      </c>
      <c r="S374" s="87" t="str">
        <f t="shared" si="33"/>
        <v/>
      </c>
      <c r="T374" s="59"/>
      <c r="U374" s="59"/>
      <c r="V374" s="59"/>
      <c r="W374" s="59"/>
      <c r="X374" s="93" t="str">
        <f t="shared" si="31"/>
        <v>D</v>
      </c>
    </row>
    <row r="375" spans="1:24" s="66" customFormat="1" x14ac:dyDescent="0.25">
      <c r="A375" s="53"/>
      <c r="B375" s="91" t="str">
        <f>IFERROR(VLOOKUP(A375,Lookup!A:B,2,0),"")</f>
        <v/>
      </c>
      <c r="C375" s="92" t="str">
        <f>IFERROR(VLOOKUP(A375,Lookup!A:C,3,0),"")</f>
        <v/>
      </c>
      <c r="D375" s="59"/>
      <c r="E375" s="59"/>
      <c r="F375" s="59"/>
      <c r="G375" s="94"/>
      <c r="H375" s="59"/>
      <c r="I375" s="59"/>
      <c r="J375" s="106">
        <f>VLOOKUP(A375&amp;G375,Lookup!J:N,5,0)</f>
        <v>0</v>
      </c>
      <c r="K375" s="110"/>
      <c r="L375" s="59"/>
      <c r="M375" s="59"/>
      <c r="N375" s="59"/>
      <c r="O375" s="112">
        <v>15.3506944444444</v>
      </c>
      <c r="P375" s="110" t="str">
        <f t="shared" si="30"/>
        <v/>
      </c>
      <c r="Q375" s="59"/>
      <c r="R375" s="87" t="str">
        <f t="shared" si="32"/>
        <v/>
      </c>
      <c r="S375" s="87" t="str">
        <f t="shared" si="33"/>
        <v/>
      </c>
      <c r="T375" s="59"/>
      <c r="U375" s="59"/>
      <c r="V375" s="59"/>
      <c r="W375" s="59"/>
      <c r="X375" s="93" t="str">
        <f t="shared" si="31"/>
        <v>D</v>
      </c>
    </row>
    <row r="376" spans="1:24" s="66" customFormat="1" x14ac:dyDescent="0.25">
      <c r="A376" s="53"/>
      <c r="B376" s="91" t="str">
        <f>IFERROR(VLOOKUP(A376,Lookup!A:B,2,0),"")</f>
        <v/>
      </c>
      <c r="C376" s="92" t="str">
        <f>IFERROR(VLOOKUP(A376,Lookup!A:C,3,0),"")</f>
        <v/>
      </c>
      <c r="D376" s="59"/>
      <c r="E376" s="59"/>
      <c r="F376" s="59"/>
      <c r="G376" s="94"/>
      <c r="H376" s="59"/>
      <c r="I376" s="59"/>
      <c r="J376" s="106">
        <f>VLOOKUP(A376&amp;G376,Lookup!J:N,5,0)</f>
        <v>0</v>
      </c>
      <c r="K376" s="110"/>
      <c r="L376" s="59"/>
      <c r="M376" s="59"/>
      <c r="N376" s="59"/>
      <c r="O376" s="112">
        <v>15.3923611111111</v>
      </c>
      <c r="P376" s="110" t="str">
        <f t="shared" si="30"/>
        <v/>
      </c>
      <c r="Q376" s="59"/>
      <c r="R376" s="87" t="str">
        <f t="shared" si="32"/>
        <v/>
      </c>
      <c r="S376" s="87" t="str">
        <f t="shared" si="33"/>
        <v/>
      </c>
      <c r="T376" s="59"/>
      <c r="U376" s="59"/>
      <c r="V376" s="59"/>
      <c r="W376" s="59"/>
      <c r="X376" s="93" t="str">
        <f t="shared" si="31"/>
        <v>D</v>
      </c>
    </row>
    <row r="377" spans="1:24" s="66" customFormat="1" x14ac:dyDescent="0.25">
      <c r="A377" s="53"/>
      <c r="B377" s="91" t="str">
        <f>IFERROR(VLOOKUP(A377,Lookup!A:B,2,0),"")</f>
        <v/>
      </c>
      <c r="C377" s="92" t="str">
        <f>IFERROR(VLOOKUP(A377,Lookup!A:C,3,0),"")</f>
        <v/>
      </c>
      <c r="D377" s="59"/>
      <c r="E377" s="59"/>
      <c r="F377" s="59"/>
      <c r="G377" s="94"/>
      <c r="H377" s="59"/>
      <c r="I377" s="59"/>
      <c r="J377" s="106">
        <f>VLOOKUP(A377&amp;G377,Lookup!J:N,5,0)</f>
        <v>0</v>
      </c>
      <c r="K377" s="110"/>
      <c r="L377" s="59"/>
      <c r="M377" s="59"/>
      <c r="N377" s="59"/>
      <c r="O377" s="112">
        <v>15.4340277777778</v>
      </c>
      <c r="P377" s="110" t="str">
        <f t="shared" si="30"/>
        <v/>
      </c>
      <c r="Q377" s="59"/>
      <c r="R377" s="87" t="str">
        <f t="shared" si="32"/>
        <v/>
      </c>
      <c r="S377" s="87" t="str">
        <f t="shared" si="33"/>
        <v/>
      </c>
      <c r="T377" s="59"/>
      <c r="U377" s="59"/>
      <c r="V377" s="59"/>
      <c r="W377" s="59"/>
      <c r="X377" s="93" t="str">
        <f t="shared" si="31"/>
        <v>D</v>
      </c>
    </row>
    <row r="378" spans="1:24" s="66" customFormat="1" x14ac:dyDescent="0.25">
      <c r="A378" s="53"/>
      <c r="B378" s="91" t="str">
        <f>IFERROR(VLOOKUP(A378,Lookup!A:B,2,0),"")</f>
        <v/>
      </c>
      <c r="C378" s="92" t="str">
        <f>IFERROR(VLOOKUP(A378,Lookup!A:C,3,0),"")</f>
        <v/>
      </c>
      <c r="D378" s="59"/>
      <c r="E378" s="59"/>
      <c r="F378" s="59"/>
      <c r="G378" s="94"/>
      <c r="H378" s="59"/>
      <c r="I378" s="59"/>
      <c r="J378" s="106">
        <f>VLOOKUP(A378&amp;G378,Lookup!J:N,5,0)</f>
        <v>0</v>
      </c>
      <c r="K378" s="110"/>
      <c r="L378" s="59"/>
      <c r="M378" s="59"/>
      <c r="N378" s="59"/>
      <c r="O378" s="112">
        <v>15.4756944444444</v>
      </c>
      <c r="P378" s="110" t="str">
        <f t="shared" si="30"/>
        <v/>
      </c>
      <c r="Q378" s="59"/>
      <c r="R378" s="87" t="str">
        <f t="shared" si="32"/>
        <v/>
      </c>
      <c r="S378" s="87" t="str">
        <f t="shared" si="33"/>
        <v/>
      </c>
      <c r="T378" s="59"/>
      <c r="U378" s="59"/>
      <c r="V378" s="59"/>
      <c r="W378" s="59"/>
      <c r="X378" s="93" t="str">
        <f t="shared" si="31"/>
        <v>D</v>
      </c>
    </row>
    <row r="379" spans="1:24" s="66" customFormat="1" x14ac:dyDescent="0.25">
      <c r="A379" s="53"/>
      <c r="B379" s="91" t="str">
        <f>IFERROR(VLOOKUP(A379,Lookup!A:B,2,0),"")</f>
        <v/>
      </c>
      <c r="C379" s="92" t="str">
        <f>IFERROR(VLOOKUP(A379,Lookup!A:C,3,0),"")</f>
        <v/>
      </c>
      <c r="D379" s="59"/>
      <c r="E379" s="59"/>
      <c r="F379" s="59"/>
      <c r="G379" s="94"/>
      <c r="H379" s="59"/>
      <c r="I379" s="59"/>
      <c r="J379" s="106">
        <f>VLOOKUP(A379&amp;G379,Lookup!J:N,5,0)</f>
        <v>0</v>
      </c>
      <c r="K379" s="110"/>
      <c r="L379" s="59"/>
      <c r="M379" s="59"/>
      <c r="N379" s="59"/>
      <c r="O379" s="112">
        <v>15.5173611111111</v>
      </c>
      <c r="P379" s="110" t="str">
        <f t="shared" si="30"/>
        <v/>
      </c>
      <c r="Q379" s="59"/>
      <c r="R379" s="87" t="str">
        <f t="shared" si="32"/>
        <v/>
      </c>
      <c r="S379" s="87" t="str">
        <f t="shared" si="33"/>
        <v/>
      </c>
      <c r="T379" s="59"/>
      <c r="U379" s="59"/>
      <c r="V379" s="59"/>
      <c r="W379" s="59"/>
      <c r="X379" s="93" t="str">
        <f t="shared" si="31"/>
        <v>D</v>
      </c>
    </row>
    <row r="380" spans="1:24" s="66" customFormat="1" x14ac:dyDescent="0.25">
      <c r="A380" s="53"/>
      <c r="B380" s="91" t="str">
        <f>IFERROR(VLOOKUP(A380,Lookup!A:B,2,0),"")</f>
        <v/>
      </c>
      <c r="C380" s="92" t="str">
        <f>IFERROR(VLOOKUP(A380,Lookup!A:C,3,0),"")</f>
        <v/>
      </c>
      <c r="D380" s="59"/>
      <c r="E380" s="59"/>
      <c r="F380" s="59"/>
      <c r="G380" s="94"/>
      <c r="H380" s="59"/>
      <c r="I380" s="59"/>
      <c r="J380" s="106">
        <f>VLOOKUP(A380&amp;G380,Lookup!J:N,5,0)</f>
        <v>0</v>
      </c>
      <c r="K380" s="110"/>
      <c r="L380" s="59"/>
      <c r="M380" s="59"/>
      <c r="N380" s="59"/>
      <c r="O380" s="112">
        <v>15.5590277777778</v>
      </c>
      <c r="P380" s="110" t="str">
        <f t="shared" si="30"/>
        <v/>
      </c>
      <c r="Q380" s="59"/>
      <c r="R380" s="87" t="str">
        <f t="shared" si="32"/>
        <v/>
      </c>
      <c r="S380" s="87" t="str">
        <f t="shared" si="33"/>
        <v/>
      </c>
      <c r="T380" s="59"/>
      <c r="U380" s="59"/>
      <c r="V380" s="59"/>
      <c r="W380" s="59"/>
      <c r="X380" s="93" t="str">
        <f t="shared" si="31"/>
        <v>D</v>
      </c>
    </row>
    <row r="381" spans="1:24" s="66" customFormat="1" x14ac:dyDescent="0.25">
      <c r="A381" s="53"/>
      <c r="B381" s="91" t="str">
        <f>IFERROR(VLOOKUP(A381,Lookup!A:B,2,0),"")</f>
        <v/>
      </c>
      <c r="C381" s="92" t="str">
        <f>IFERROR(VLOOKUP(A381,Lookup!A:C,3,0),"")</f>
        <v/>
      </c>
      <c r="D381" s="59"/>
      <c r="E381" s="59"/>
      <c r="F381" s="59"/>
      <c r="G381" s="94"/>
      <c r="H381" s="59"/>
      <c r="I381" s="59"/>
      <c r="J381" s="106">
        <f>VLOOKUP(A381&amp;G381,Lookup!J:N,5,0)</f>
        <v>0</v>
      </c>
      <c r="K381" s="110"/>
      <c r="L381" s="59"/>
      <c r="M381" s="59"/>
      <c r="N381" s="59"/>
      <c r="O381" s="112">
        <v>15.6006944444444</v>
      </c>
      <c r="P381" s="110" t="str">
        <f t="shared" si="30"/>
        <v/>
      </c>
      <c r="Q381" s="59"/>
      <c r="R381" s="87" t="str">
        <f t="shared" si="32"/>
        <v/>
      </c>
      <c r="S381" s="87" t="str">
        <f t="shared" si="33"/>
        <v/>
      </c>
      <c r="T381" s="59"/>
      <c r="U381" s="59"/>
      <c r="V381" s="59"/>
      <c r="W381" s="59"/>
      <c r="X381" s="93" t="str">
        <f t="shared" si="31"/>
        <v>D</v>
      </c>
    </row>
    <row r="382" spans="1:24" s="66" customFormat="1" x14ac:dyDescent="0.25">
      <c r="A382" s="53"/>
      <c r="B382" s="91" t="str">
        <f>IFERROR(VLOOKUP(A382,Lookup!A:B,2,0),"")</f>
        <v/>
      </c>
      <c r="C382" s="92" t="str">
        <f>IFERROR(VLOOKUP(A382,Lookup!A:C,3,0),"")</f>
        <v/>
      </c>
      <c r="D382" s="59"/>
      <c r="E382" s="59"/>
      <c r="F382" s="59"/>
      <c r="G382" s="94"/>
      <c r="H382" s="59"/>
      <c r="I382" s="59"/>
      <c r="J382" s="106">
        <f>VLOOKUP(A382&amp;G382,Lookup!J:N,5,0)</f>
        <v>0</v>
      </c>
      <c r="K382" s="110"/>
      <c r="L382" s="59"/>
      <c r="M382" s="59"/>
      <c r="N382" s="59"/>
      <c r="O382" s="112">
        <v>15.6423611111111</v>
      </c>
      <c r="P382" s="110" t="str">
        <f t="shared" si="30"/>
        <v/>
      </c>
      <c r="Q382" s="59"/>
      <c r="R382" s="87" t="str">
        <f t="shared" si="32"/>
        <v/>
      </c>
      <c r="S382" s="87" t="str">
        <f t="shared" si="33"/>
        <v/>
      </c>
      <c r="T382" s="59"/>
      <c r="U382" s="59"/>
      <c r="V382" s="59"/>
      <c r="W382" s="59"/>
      <c r="X382" s="93" t="str">
        <f t="shared" si="31"/>
        <v>D</v>
      </c>
    </row>
    <row r="383" spans="1:24" s="66" customFormat="1" x14ac:dyDescent="0.25">
      <c r="A383" s="53"/>
      <c r="B383" s="91" t="str">
        <f>IFERROR(VLOOKUP(A383,Lookup!A:B,2,0),"")</f>
        <v/>
      </c>
      <c r="C383" s="92" t="str">
        <f>IFERROR(VLOOKUP(A383,Lookup!A:C,3,0),"")</f>
        <v/>
      </c>
      <c r="D383" s="59"/>
      <c r="E383" s="59"/>
      <c r="F383" s="59"/>
      <c r="G383" s="94"/>
      <c r="H383" s="59"/>
      <c r="I383" s="59"/>
      <c r="J383" s="106">
        <f>VLOOKUP(A383&amp;G383,Lookup!J:N,5,0)</f>
        <v>0</v>
      </c>
      <c r="K383" s="110"/>
      <c r="L383" s="59"/>
      <c r="M383" s="59"/>
      <c r="N383" s="59"/>
      <c r="O383" s="112">
        <v>15.6840277777778</v>
      </c>
      <c r="P383" s="110" t="str">
        <f t="shared" si="30"/>
        <v/>
      </c>
      <c r="Q383" s="59"/>
      <c r="R383" s="87" t="str">
        <f t="shared" si="32"/>
        <v/>
      </c>
      <c r="S383" s="87" t="str">
        <f t="shared" si="33"/>
        <v/>
      </c>
      <c r="T383" s="59"/>
      <c r="U383" s="59"/>
      <c r="V383" s="59"/>
      <c r="W383" s="59"/>
      <c r="X383" s="93" t="str">
        <f t="shared" si="31"/>
        <v>D</v>
      </c>
    </row>
    <row r="384" spans="1:24" s="66" customFormat="1" x14ac:dyDescent="0.25">
      <c r="A384" s="53"/>
      <c r="B384" s="91" t="str">
        <f>IFERROR(VLOOKUP(A384,Lookup!A:B,2,0),"")</f>
        <v/>
      </c>
      <c r="C384" s="92" t="str">
        <f>IFERROR(VLOOKUP(A384,Lookup!A:C,3,0),"")</f>
        <v/>
      </c>
      <c r="D384" s="59"/>
      <c r="E384" s="59"/>
      <c r="F384" s="59"/>
      <c r="G384" s="94"/>
      <c r="H384" s="59"/>
      <c r="I384" s="59"/>
      <c r="J384" s="106">
        <f>VLOOKUP(A384&amp;G384,Lookup!J:N,5,0)</f>
        <v>0</v>
      </c>
      <c r="K384" s="110"/>
      <c r="L384" s="59"/>
      <c r="M384" s="59"/>
      <c r="N384" s="59"/>
      <c r="O384" s="112">
        <v>15.7256944444444</v>
      </c>
      <c r="P384" s="110" t="str">
        <f t="shared" si="30"/>
        <v/>
      </c>
      <c r="Q384" s="59"/>
      <c r="R384" s="87" t="str">
        <f t="shared" si="32"/>
        <v/>
      </c>
      <c r="S384" s="87" t="str">
        <f t="shared" si="33"/>
        <v/>
      </c>
      <c r="T384" s="59"/>
      <c r="U384" s="59"/>
      <c r="V384" s="59"/>
      <c r="W384" s="59"/>
      <c r="X384" s="93" t="str">
        <f t="shared" si="31"/>
        <v>D</v>
      </c>
    </row>
    <row r="385" spans="1:24" s="66" customFormat="1" x14ac:dyDescent="0.25">
      <c r="A385" s="53"/>
      <c r="B385" s="91" t="str">
        <f>IFERROR(VLOOKUP(A385,Lookup!A:B,2,0),"")</f>
        <v/>
      </c>
      <c r="C385" s="92" t="str">
        <f>IFERROR(VLOOKUP(A385,Lookup!A:C,3,0),"")</f>
        <v/>
      </c>
      <c r="D385" s="59"/>
      <c r="E385" s="59"/>
      <c r="F385" s="59"/>
      <c r="G385" s="94"/>
      <c r="H385" s="59"/>
      <c r="I385" s="59"/>
      <c r="J385" s="106">
        <f>VLOOKUP(A385&amp;G385,Lookup!J:N,5,0)</f>
        <v>0</v>
      </c>
      <c r="K385" s="110"/>
      <c r="L385" s="59"/>
      <c r="M385" s="59"/>
      <c r="N385" s="59"/>
      <c r="O385" s="112">
        <v>15.7673611111111</v>
      </c>
      <c r="P385" s="110" t="str">
        <f t="shared" si="30"/>
        <v/>
      </c>
      <c r="Q385" s="59"/>
      <c r="R385" s="87" t="str">
        <f t="shared" si="32"/>
        <v/>
      </c>
      <c r="S385" s="87" t="str">
        <f t="shared" si="33"/>
        <v/>
      </c>
      <c r="T385" s="59"/>
      <c r="U385" s="59"/>
      <c r="V385" s="59"/>
      <c r="W385" s="59"/>
      <c r="X385" s="93" t="str">
        <f t="shared" si="31"/>
        <v>D</v>
      </c>
    </row>
    <row r="386" spans="1:24" s="66" customFormat="1" x14ac:dyDescent="0.25">
      <c r="A386" s="53"/>
      <c r="B386" s="91" t="str">
        <f>IFERROR(VLOOKUP(A386,Lookup!A:B,2,0),"")</f>
        <v/>
      </c>
      <c r="C386" s="92" t="str">
        <f>IFERROR(VLOOKUP(A386,Lookup!A:C,3,0),"")</f>
        <v/>
      </c>
      <c r="D386" s="59"/>
      <c r="E386" s="59"/>
      <c r="F386" s="59"/>
      <c r="G386" s="94"/>
      <c r="H386" s="59"/>
      <c r="I386" s="59"/>
      <c r="J386" s="106">
        <f>VLOOKUP(A386&amp;G386,Lookup!J:N,5,0)</f>
        <v>0</v>
      </c>
      <c r="K386" s="110"/>
      <c r="L386" s="59"/>
      <c r="M386" s="59"/>
      <c r="N386" s="59"/>
      <c r="O386" s="112">
        <v>15.8090277777778</v>
      </c>
      <c r="P386" s="110" t="str">
        <f t="shared" si="30"/>
        <v/>
      </c>
      <c r="Q386" s="59"/>
      <c r="R386" s="87" t="str">
        <f t="shared" si="32"/>
        <v/>
      </c>
      <c r="S386" s="87" t="str">
        <f t="shared" si="33"/>
        <v/>
      </c>
      <c r="T386" s="59"/>
      <c r="U386" s="59"/>
      <c r="V386" s="59"/>
      <c r="W386" s="59"/>
      <c r="X386" s="93" t="str">
        <f t="shared" si="31"/>
        <v>D</v>
      </c>
    </row>
    <row r="387" spans="1:24" s="66" customFormat="1" x14ac:dyDescent="0.25">
      <c r="A387" s="53"/>
      <c r="B387" s="91" t="str">
        <f>IFERROR(VLOOKUP(A387,Lookup!A:B,2,0),"")</f>
        <v/>
      </c>
      <c r="C387" s="92" t="str">
        <f>IFERROR(VLOOKUP(A387,Lookup!A:C,3,0),"")</f>
        <v/>
      </c>
      <c r="D387" s="59"/>
      <c r="E387" s="59"/>
      <c r="F387" s="59"/>
      <c r="G387" s="94"/>
      <c r="H387" s="59"/>
      <c r="I387" s="59"/>
      <c r="J387" s="106">
        <f>VLOOKUP(A387&amp;G387,Lookup!J:N,5,0)</f>
        <v>0</v>
      </c>
      <c r="K387" s="110"/>
      <c r="L387" s="59"/>
      <c r="M387" s="59"/>
      <c r="N387" s="59"/>
      <c r="O387" s="112">
        <v>15.8506944444444</v>
      </c>
      <c r="P387" s="110" t="str">
        <f t="shared" ref="P387:P450" si="34">IF(N387="","",N387+O387)</f>
        <v/>
      </c>
      <c r="Q387" s="59"/>
      <c r="R387" s="87" t="str">
        <f t="shared" si="32"/>
        <v/>
      </c>
      <c r="S387" s="87" t="str">
        <f t="shared" si="33"/>
        <v/>
      </c>
      <c r="T387" s="59"/>
      <c r="U387" s="59"/>
      <c r="V387" s="59"/>
      <c r="W387" s="59"/>
      <c r="X387" s="93" t="str">
        <f t="shared" ref="X387:X450" si="35">IF(I387="SET","A",IF(I387="FREQ","C",IF(I387="","D","B")))</f>
        <v>D</v>
      </c>
    </row>
    <row r="388" spans="1:24" s="66" customFormat="1" x14ac:dyDescent="0.25">
      <c r="A388" s="53"/>
      <c r="B388" s="91" t="str">
        <f>IFERROR(VLOOKUP(A388,Lookup!A:B,2,0),"")</f>
        <v/>
      </c>
      <c r="C388" s="92" t="str">
        <f>IFERROR(VLOOKUP(A388,Lookup!A:C,3,0),"")</f>
        <v/>
      </c>
      <c r="D388" s="59"/>
      <c r="E388" s="59"/>
      <c r="F388" s="59"/>
      <c r="G388" s="94"/>
      <c r="H388" s="59"/>
      <c r="I388" s="59"/>
      <c r="J388" s="106">
        <f>VLOOKUP(A388&amp;G388,Lookup!J:N,5,0)</f>
        <v>0</v>
      </c>
      <c r="K388" s="110"/>
      <c r="L388" s="59"/>
      <c r="M388" s="59"/>
      <c r="N388" s="59"/>
      <c r="O388" s="112">
        <v>15.8923611111111</v>
      </c>
      <c r="P388" s="110" t="str">
        <f t="shared" si="34"/>
        <v/>
      </c>
      <c r="Q388" s="59"/>
      <c r="R388" s="87" t="str">
        <f t="shared" si="32"/>
        <v/>
      </c>
      <c r="S388" s="87" t="str">
        <f t="shared" si="33"/>
        <v/>
      </c>
      <c r="T388" s="59"/>
      <c r="U388" s="59"/>
      <c r="V388" s="59"/>
      <c r="W388" s="59"/>
      <c r="X388" s="93" t="str">
        <f t="shared" si="35"/>
        <v>D</v>
      </c>
    </row>
    <row r="389" spans="1:24" s="66" customFormat="1" x14ac:dyDescent="0.25">
      <c r="A389" s="53"/>
      <c r="B389" s="91" t="str">
        <f>IFERROR(VLOOKUP(A389,Lookup!A:B,2,0),"")</f>
        <v/>
      </c>
      <c r="C389" s="92" t="str">
        <f>IFERROR(VLOOKUP(A389,Lookup!A:C,3,0),"")</f>
        <v/>
      </c>
      <c r="D389" s="59"/>
      <c r="E389" s="59"/>
      <c r="F389" s="59"/>
      <c r="G389" s="94"/>
      <c r="H389" s="59"/>
      <c r="I389" s="59"/>
      <c r="J389" s="106">
        <f>VLOOKUP(A389&amp;G389,Lookup!J:N,5,0)</f>
        <v>0</v>
      </c>
      <c r="K389" s="110"/>
      <c r="L389" s="59"/>
      <c r="M389" s="59"/>
      <c r="N389" s="59"/>
      <c r="O389" s="112">
        <v>15.9340277777778</v>
      </c>
      <c r="P389" s="110" t="str">
        <f t="shared" si="34"/>
        <v/>
      </c>
      <c r="Q389" s="59"/>
      <c r="R389" s="87" t="str">
        <f t="shared" si="32"/>
        <v/>
      </c>
      <c r="S389" s="87" t="str">
        <f t="shared" si="33"/>
        <v/>
      </c>
      <c r="T389" s="59"/>
      <c r="U389" s="59"/>
      <c r="V389" s="59"/>
      <c r="W389" s="59"/>
      <c r="X389" s="93" t="str">
        <f t="shared" si="35"/>
        <v>D</v>
      </c>
    </row>
    <row r="390" spans="1:24" s="66" customFormat="1" x14ac:dyDescent="0.25">
      <c r="A390" s="53"/>
      <c r="B390" s="91" t="str">
        <f>IFERROR(VLOOKUP(A390,Lookup!A:B,2,0),"")</f>
        <v/>
      </c>
      <c r="C390" s="92" t="str">
        <f>IFERROR(VLOOKUP(A390,Lookup!A:C,3,0),"")</f>
        <v/>
      </c>
      <c r="D390" s="59"/>
      <c r="E390" s="59"/>
      <c r="F390" s="59"/>
      <c r="G390" s="94"/>
      <c r="H390" s="59"/>
      <c r="I390" s="59"/>
      <c r="J390" s="106">
        <f>VLOOKUP(A390&amp;G390,Lookup!J:N,5,0)</f>
        <v>0</v>
      </c>
      <c r="K390" s="110"/>
      <c r="L390" s="59"/>
      <c r="M390" s="59"/>
      <c r="N390" s="59"/>
      <c r="O390" s="112">
        <v>15.9756944444444</v>
      </c>
      <c r="P390" s="110" t="str">
        <f t="shared" si="34"/>
        <v/>
      </c>
      <c r="Q390" s="59"/>
      <c r="R390" s="87" t="str">
        <f t="shared" si="32"/>
        <v/>
      </c>
      <c r="S390" s="87" t="str">
        <f t="shared" si="33"/>
        <v/>
      </c>
      <c r="T390" s="59"/>
      <c r="U390" s="59"/>
      <c r="V390" s="59"/>
      <c r="W390" s="59"/>
      <c r="X390" s="93" t="str">
        <f t="shared" si="35"/>
        <v>D</v>
      </c>
    </row>
    <row r="391" spans="1:24" s="66" customFormat="1" x14ac:dyDescent="0.25">
      <c r="A391" s="53"/>
      <c r="B391" s="91" t="str">
        <f>IFERROR(VLOOKUP(A391,Lookup!A:B,2,0),"")</f>
        <v/>
      </c>
      <c r="C391" s="92" t="str">
        <f>IFERROR(VLOOKUP(A391,Lookup!A:C,3,0),"")</f>
        <v/>
      </c>
      <c r="D391" s="59"/>
      <c r="E391" s="59"/>
      <c r="F391" s="59"/>
      <c r="G391" s="94"/>
      <c r="H391" s="59"/>
      <c r="I391" s="59"/>
      <c r="J391" s="106">
        <f>VLOOKUP(A391&amp;G391,Lookup!J:N,5,0)</f>
        <v>0</v>
      </c>
      <c r="K391" s="110"/>
      <c r="L391" s="59"/>
      <c r="M391" s="59"/>
      <c r="N391" s="59"/>
      <c r="O391" s="112">
        <v>16.0173611111111</v>
      </c>
      <c r="P391" s="110" t="str">
        <f t="shared" si="34"/>
        <v/>
      </c>
      <c r="Q391" s="59"/>
      <c r="R391" s="87" t="str">
        <f t="shared" ref="R391:R454" si="36">IF(OR(EXACT(N391,""), EXACT(L391,"")),"",N391-L391)</f>
        <v/>
      </c>
      <c r="S391" s="87" t="str">
        <f t="shared" ref="S391:S454" si="37">IF(OR(EXACT(Q391,""), EXACT(L391,"")),"",Q391-L391)</f>
        <v/>
      </c>
      <c r="T391" s="59"/>
      <c r="U391" s="59"/>
      <c r="V391" s="59"/>
      <c r="W391" s="59"/>
      <c r="X391" s="93" t="str">
        <f t="shared" si="35"/>
        <v>D</v>
      </c>
    </row>
    <row r="392" spans="1:24" s="66" customFormat="1" x14ac:dyDescent="0.25">
      <c r="A392" s="53"/>
      <c r="B392" s="91" t="str">
        <f>IFERROR(VLOOKUP(A392,Lookup!A:B,2,0),"")</f>
        <v/>
      </c>
      <c r="C392" s="92" t="str">
        <f>IFERROR(VLOOKUP(A392,Lookup!A:C,3,0),"")</f>
        <v/>
      </c>
      <c r="D392" s="59"/>
      <c r="E392" s="59"/>
      <c r="F392" s="59"/>
      <c r="G392" s="94"/>
      <c r="H392" s="59"/>
      <c r="I392" s="59"/>
      <c r="J392" s="106">
        <f>VLOOKUP(A392&amp;G392,Lookup!J:N,5,0)</f>
        <v>0</v>
      </c>
      <c r="K392" s="110"/>
      <c r="L392" s="59"/>
      <c r="M392" s="59"/>
      <c r="N392" s="59"/>
      <c r="O392" s="112">
        <v>16.0590277777778</v>
      </c>
      <c r="P392" s="110" t="str">
        <f t="shared" si="34"/>
        <v/>
      </c>
      <c r="Q392" s="59"/>
      <c r="R392" s="87" t="str">
        <f t="shared" si="36"/>
        <v/>
      </c>
      <c r="S392" s="87" t="str">
        <f t="shared" si="37"/>
        <v/>
      </c>
      <c r="T392" s="59"/>
      <c r="U392" s="59"/>
      <c r="V392" s="59"/>
      <c r="W392" s="59"/>
      <c r="X392" s="93" t="str">
        <f t="shared" si="35"/>
        <v>D</v>
      </c>
    </row>
    <row r="393" spans="1:24" s="66" customFormat="1" x14ac:dyDescent="0.25">
      <c r="A393" s="53"/>
      <c r="B393" s="91" t="str">
        <f>IFERROR(VLOOKUP(A393,Lookup!A:B,2,0),"")</f>
        <v/>
      </c>
      <c r="C393" s="92" t="str">
        <f>IFERROR(VLOOKUP(A393,Lookup!A:C,3,0),"")</f>
        <v/>
      </c>
      <c r="D393" s="59"/>
      <c r="E393" s="59"/>
      <c r="F393" s="59"/>
      <c r="G393" s="94"/>
      <c r="H393" s="59"/>
      <c r="I393" s="59"/>
      <c r="J393" s="106">
        <f>VLOOKUP(A393&amp;G393,Lookup!J:N,5,0)</f>
        <v>0</v>
      </c>
      <c r="K393" s="110"/>
      <c r="L393" s="59"/>
      <c r="M393" s="59"/>
      <c r="N393" s="59"/>
      <c r="O393" s="112">
        <v>16.1006944444444</v>
      </c>
      <c r="P393" s="110" t="str">
        <f t="shared" si="34"/>
        <v/>
      </c>
      <c r="Q393" s="59"/>
      <c r="R393" s="87" t="str">
        <f t="shared" si="36"/>
        <v/>
      </c>
      <c r="S393" s="87" t="str">
        <f t="shared" si="37"/>
        <v/>
      </c>
      <c r="T393" s="59"/>
      <c r="U393" s="59"/>
      <c r="V393" s="59"/>
      <c r="W393" s="59"/>
      <c r="X393" s="93" t="str">
        <f t="shared" si="35"/>
        <v>D</v>
      </c>
    </row>
    <row r="394" spans="1:24" s="66" customFormat="1" x14ac:dyDescent="0.25">
      <c r="A394" s="53"/>
      <c r="B394" s="91" t="str">
        <f>IFERROR(VLOOKUP(A394,Lookup!A:B,2,0),"")</f>
        <v/>
      </c>
      <c r="C394" s="92" t="str">
        <f>IFERROR(VLOOKUP(A394,Lookup!A:C,3,0),"")</f>
        <v/>
      </c>
      <c r="D394" s="59"/>
      <c r="E394" s="59"/>
      <c r="F394" s="59"/>
      <c r="G394" s="94"/>
      <c r="H394" s="59"/>
      <c r="I394" s="59"/>
      <c r="J394" s="106">
        <f>VLOOKUP(A394&amp;G394,Lookup!J:N,5,0)</f>
        <v>0</v>
      </c>
      <c r="K394" s="110"/>
      <c r="L394" s="59"/>
      <c r="M394" s="59"/>
      <c r="N394" s="59"/>
      <c r="O394" s="112">
        <v>16.1423611111111</v>
      </c>
      <c r="P394" s="110" t="str">
        <f t="shared" si="34"/>
        <v/>
      </c>
      <c r="Q394" s="59"/>
      <c r="R394" s="87" t="str">
        <f t="shared" si="36"/>
        <v/>
      </c>
      <c r="S394" s="87" t="str">
        <f t="shared" si="37"/>
        <v/>
      </c>
      <c r="T394" s="59"/>
      <c r="U394" s="59"/>
      <c r="V394" s="59"/>
      <c r="W394" s="59"/>
      <c r="X394" s="93" t="str">
        <f t="shared" si="35"/>
        <v>D</v>
      </c>
    </row>
    <row r="395" spans="1:24" s="66" customFormat="1" x14ac:dyDescent="0.25">
      <c r="A395" s="53"/>
      <c r="B395" s="91" t="str">
        <f>IFERROR(VLOOKUP(A395,Lookup!A:B,2,0),"")</f>
        <v/>
      </c>
      <c r="C395" s="92" t="str">
        <f>IFERROR(VLOOKUP(A395,Lookup!A:C,3,0),"")</f>
        <v/>
      </c>
      <c r="D395" s="59"/>
      <c r="E395" s="59"/>
      <c r="F395" s="59"/>
      <c r="G395" s="94"/>
      <c r="H395" s="59"/>
      <c r="I395" s="59"/>
      <c r="J395" s="106">
        <f>VLOOKUP(A395&amp;G395,Lookup!J:N,5,0)</f>
        <v>0</v>
      </c>
      <c r="K395" s="110"/>
      <c r="L395" s="59"/>
      <c r="M395" s="59"/>
      <c r="N395" s="59"/>
      <c r="O395" s="112">
        <v>16.1840277777778</v>
      </c>
      <c r="P395" s="110" t="str">
        <f t="shared" si="34"/>
        <v/>
      </c>
      <c r="Q395" s="59"/>
      <c r="R395" s="87" t="str">
        <f t="shared" si="36"/>
        <v/>
      </c>
      <c r="S395" s="87" t="str">
        <f t="shared" si="37"/>
        <v/>
      </c>
      <c r="T395" s="59"/>
      <c r="U395" s="59"/>
      <c r="V395" s="59"/>
      <c r="W395" s="59"/>
      <c r="X395" s="93" t="str">
        <f t="shared" si="35"/>
        <v>D</v>
      </c>
    </row>
    <row r="396" spans="1:24" s="66" customFormat="1" x14ac:dyDescent="0.25">
      <c r="A396" s="53"/>
      <c r="B396" s="91" t="str">
        <f>IFERROR(VLOOKUP(A396,Lookup!A:B,2,0),"")</f>
        <v/>
      </c>
      <c r="C396" s="92" t="str">
        <f>IFERROR(VLOOKUP(A396,Lookup!A:C,3,0),"")</f>
        <v/>
      </c>
      <c r="D396" s="59"/>
      <c r="E396" s="59"/>
      <c r="F396" s="59"/>
      <c r="G396" s="94"/>
      <c r="H396" s="59"/>
      <c r="I396" s="59"/>
      <c r="J396" s="106">
        <f>VLOOKUP(A396&amp;G396,Lookup!J:N,5,0)</f>
        <v>0</v>
      </c>
      <c r="K396" s="110"/>
      <c r="L396" s="59"/>
      <c r="M396" s="59"/>
      <c r="N396" s="59"/>
      <c r="O396" s="112">
        <v>16.2256944444444</v>
      </c>
      <c r="P396" s="110" t="str">
        <f t="shared" si="34"/>
        <v/>
      </c>
      <c r="Q396" s="59"/>
      <c r="R396" s="87" t="str">
        <f t="shared" si="36"/>
        <v/>
      </c>
      <c r="S396" s="87" t="str">
        <f t="shared" si="37"/>
        <v/>
      </c>
      <c r="T396" s="59"/>
      <c r="U396" s="59"/>
      <c r="V396" s="59"/>
      <c r="W396" s="59"/>
      <c r="X396" s="93" t="str">
        <f t="shared" si="35"/>
        <v>D</v>
      </c>
    </row>
    <row r="397" spans="1:24" s="66" customFormat="1" x14ac:dyDescent="0.25">
      <c r="A397" s="53"/>
      <c r="B397" s="91" t="str">
        <f>IFERROR(VLOOKUP(A397,Lookup!A:B,2,0),"")</f>
        <v/>
      </c>
      <c r="C397" s="92" t="str">
        <f>IFERROR(VLOOKUP(A397,Lookup!A:C,3,0),"")</f>
        <v/>
      </c>
      <c r="D397" s="59"/>
      <c r="E397" s="59"/>
      <c r="F397" s="59"/>
      <c r="G397" s="94"/>
      <c r="H397" s="59"/>
      <c r="I397" s="59"/>
      <c r="J397" s="106">
        <f>VLOOKUP(A397&amp;G397,Lookup!J:N,5,0)</f>
        <v>0</v>
      </c>
      <c r="K397" s="110"/>
      <c r="L397" s="59"/>
      <c r="M397" s="59"/>
      <c r="N397" s="59"/>
      <c r="O397" s="112">
        <v>16.2673611111111</v>
      </c>
      <c r="P397" s="110" t="str">
        <f t="shared" si="34"/>
        <v/>
      </c>
      <c r="Q397" s="59"/>
      <c r="R397" s="87" t="str">
        <f t="shared" si="36"/>
        <v/>
      </c>
      <c r="S397" s="87" t="str">
        <f t="shared" si="37"/>
        <v/>
      </c>
      <c r="T397" s="59"/>
      <c r="U397" s="59"/>
      <c r="V397" s="59"/>
      <c r="W397" s="59"/>
      <c r="X397" s="93" t="str">
        <f t="shared" si="35"/>
        <v>D</v>
      </c>
    </row>
    <row r="398" spans="1:24" s="66" customFormat="1" x14ac:dyDescent="0.25">
      <c r="A398" s="53"/>
      <c r="B398" s="91" t="str">
        <f>IFERROR(VLOOKUP(A398,Lookup!A:B,2,0),"")</f>
        <v/>
      </c>
      <c r="C398" s="92" t="str">
        <f>IFERROR(VLOOKUP(A398,Lookup!A:C,3,0),"")</f>
        <v/>
      </c>
      <c r="D398" s="59"/>
      <c r="E398" s="59"/>
      <c r="F398" s="59"/>
      <c r="G398" s="94"/>
      <c r="H398" s="59"/>
      <c r="I398" s="59"/>
      <c r="J398" s="106">
        <f>VLOOKUP(A398&amp;G398,Lookup!J:N,5,0)</f>
        <v>0</v>
      </c>
      <c r="K398" s="110"/>
      <c r="L398" s="59"/>
      <c r="M398" s="59"/>
      <c r="N398" s="59"/>
      <c r="O398" s="112">
        <v>16.3090277777778</v>
      </c>
      <c r="P398" s="110" t="str">
        <f t="shared" si="34"/>
        <v/>
      </c>
      <c r="Q398" s="59"/>
      <c r="R398" s="87" t="str">
        <f t="shared" si="36"/>
        <v/>
      </c>
      <c r="S398" s="87" t="str">
        <f t="shared" si="37"/>
        <v/>
      </c>
      <c r="T398" s="59"/>
      <c r="U398" s="59"/>
      <c r="V398" s="59"/>
      <c r="W398" s="59"/>
      <c r="X398" s="93" t="str">
        <f t="shared" si="35"/>
        <v>D</v>
      </c>
    </row>
    <row r="399" spans="1:24" s="66" customFormat="1" x14ac:dyDescent="0.25">
      <c r="A399" s="53"/>
      <c r="B399" s="91" t="str">
        <f>IFERROR(VLOOKUP(A399,Lookup!A:B,2,0),"")</f>
        <v/>
      </c>
      <c r="C399" s="92" t="str">
        <f>IFERROR(VLOOKUP(A399,Lookup!A:C,3,0),"")</f>
        <v/>
      </c>
      <c r="D399" s="59"/>
      <c r="E399" s="59"/>
      <c r="F399" s="59"/>
      <c r="G399" s="94"/>
      <c r="H399" s="59"/>
      <c r="I399" s="59"/>
      <c r="J399" s="106">
        <f>VLOOKUP(A399&amp;G399,Lookup!J:N,5,0)</f>
        <v>0</v>
      </c>
      <c r="K399" s="110"/>
      <c r="L399" s="59"/>
      <c r="M399" s="59"/>
      <c r="N399" s="59"/>
      <c r="O399" s="112">
        <v>16.3506944444444</v>
      </c>
      <c r="P399" s="110" t="str">
        <f t="shared" si="34"/>
        <v/>
      </c>
      <c r="Q399" s="59"/>
      <c r="R399" s="87" t="str">
        <f t="shared" si="36"/>
        <v/>
      </c>
      <c r="S399" s="87" t="str">
        <f t="shared" si="37"/>
        <v/>
      </c>
      <c r="T399" s="59"/>
      <c r="U399" s="59"/>
      <c r="V399" s="59"/>
      <c r="W399" s="59"/>
      <c r="X399" s="93" t="str">
        <f t="shared" si="35"/>
        <v>D</v>
      </c>
    </row>
    <row r="400" spans="1:24" s="66" customFormat="1" x14ac:dyDescent="0.25">
      <c r="A400" s="53"/>
      <c r="B400" s="91" t="str">
        <f>IFERROR(VLOOKUP(A400,Lookup!A:B,2,0),"")</f>
        <v/>
      </c>
      <c r="C400" s="92" t="str">
        <f>IFERROR(VLOOKUP(A400,Lookup!A:C,3,0),"")</f>
        <v/>
      </c>
      <c r="D400" s="59"/>
      <c r="E400" s="59"/>
      <c r="F400" s="59"/>
      <c r="G400" s="94"/>
      <c r="H400" s="59"/>
      <c r="I400" s="59"/>
      <c r="J400" s="106">
        <f>VLOOKUP(A400&amp;G400,Lookup!J:N,5,0)</f>
        <v>0</v>
      </c>
      <c r="K400" s="110"/>
      <c r="L400" s="59"/>
      <c r="M400" s="59"/>
      <c r="N400" s="59"/>
      <c r="O400" s="112">
        <v>16.3923611111111</v>
      </c>
      <c r="P400" s="110" t="str">
        <f t="shared" si="34"/>
        <v/>
      </c>
      <c r="Q400" s="59"/>
      <c r="R400" s="87" t="str">
        <f t="shared" si="36"/>
        <v/>
      </c>
      <c r="S400" s="87" t="str">
        <f t="shared" si="37"/>
        <v/>
      </c>
      <c r="T400" s="59"/>
      <c r="U400" s="59"/>
      <c r="V400" s="59"/>
      <c r="W400" s="59"/>
      <c r="X400" s="93" t="str">
        <f t="shared" si="35"/>
        <v>D</v>
      </c>
    </row>
    <row r="401" spans="1:24" s="66" customFormat="1" x14ac:dyDescent="0.25">
      <c r="A401" s="53"/>
      <c r="B401" s="91" t="str">
        <f>IFERROR(VLOOKUP(A401,Lookup!A:B,2,0),"")</f>
        <v/>
      </c>
      <c r="C401" s="92" t="str">
        <f>IFERROR(VLOOKUP(A401,Lookup!A:C,3,0),"")</f>
        <v/>
      </c>
      <c r="D401" s="59"/>
      <c r="E401" s="59"/>
      <c r="F401" s="59"/>
      <c r="G401" s="94"/>
      <c r="H401" s="59"/>
      <c r="I401" s="59"/>
      <c r="J401" s="106">
        <f>VLOOKUP(A401&amp;G401,Lookup!J:N,5,0)</f>
        <v>0</v>
      </c>
      <c r="K401" s="110"/>
      <c r="L401" s="59"/>
      <c r="M401" s="59"/>
      <c r="N401" s="59"/>
      <c r="O401" s="112">
        <v>16.4340277777778</v>
      </c>
      <c r="P401" s="110" t="str">
        <f t="shared" si="34"/>
        <v/>
      </c>
      <c r="Q401" s="59"/>
      <c r="R401" s="87" t="str">
        <f t="shared" si="36"/>
        <v/>
      </c>
      <c r="S401" s="87" t="str">
        <f t="shared" si="37"/>
        <v/>
      </c>
      <c r="T401" s="59"/>
      <c r="U401" s="59"/>
      <c r="V401" s="59"/>
      <c r="W401" s="59"/>
      <c r="X401" s="93" t="str">
        <f t="shared" si="35"/>
        <v>D</v>
      </c>
    </row>
    <row r="402" spans="1:24" s="66" customFormat="1" x14ac:dyDescent="0.25">
      <c r="A402" s="53"/>
      <c r="B402" s="91" t="str">
        <f>IFERROR(VLOOKUP(A402,Lookup!A:B,2,0),"")</f>
        <v/>
      </c>
      <c r="C402" s="92" t="str">
        <f>IFERROR(VLOOKUP(A402,Lookup!A:C,3,0),"")</f>
        <v/>
      </c>
      <c r="D402" s="59"/>
      <c r="E402" s="59"/>
      <c r="F402" s="59"/>
      <c r="G402" s="94"/>
      <c r="H402" s="59"/>
      <c r="I402" s="59"/>
      <c r="J402" s="106">
        <f>VLOOKUP(A402&amp;G402,Lookup!J:N,5,0)</f>
        <v>0</v>
      </c>
      <c r="K402" s="110"/>
      <c r="L402" s="59"/>
      <c r="M402" s="59"/>
      <c r="N402" s="59"/>
      <c r="O402" s="112">
        <v>16.4756944444444</v>
      </c>
      <c r="P402" s="110" t="str">
        <f t="shared" si="34"/>
        <v/>
      </c>
      <c r="Q402" s="59"/>
      <c r="R402" s="87" t="str">
        <f t="shared" si="36"/>
        <v/>
      </c>
      <c r="S402" s="87" t="str">
        <f t="shared" si="37"/>
        <v/>
      </c>
      <c r="T402" s="59"/>
      <c r="U402" s="59"/>
      <c r="V402" s="59"/>
      <c r="W402" s="59"/>
      <c r="X402" s="93" t="str">
        <f t="shared" si="35"/>
        <v>D</v>
      </c>
    </row>
    <row r="403" spans="1:24" s="66" customFormat="1" x14ac:dyDescent="0.25">
      <c r="A403" s="53"/>
      <c r="B403" s="91" t="str">
        <f>IFERROR(VLOOKUP(A403,Lookup!A:B,2,0),"")</f>
        <v/>
      </c>
      <c r="C403" s="92" t="str">
        <f>IFERROR(VLOOKUP(A403,Lookup!A:C,3,0),"")</f>
        <v/>
      </c>
      <c r="D403" s="59"/>
      <c r="E403" s="59"/>
      <c r="F403" s="59"/>
      <c r="G403" s="94"/>
      <c r="H403" s="59"/>
      <c r="I403" s="59"/>
      <c r="J403" s="106">
        <f>VLOOKUP(A403&amp;G403,Lookup!J:N,5,0)</f>
        <v>0</v>
      </c>
      <c r="K403" s="110"/>
      <c r="L403" s="59"/>
      <c r="M403" s="59"/>
      <c r="N403" s="59"/>
      <c r="O403" s="112">
        <v>16.5173611111111</v>
      </c>
      <c r="P403" s="110" t="str">
        <f t="shared" si="34"/>
        <v/>
      </c>
      <c r="Q403" s="59"/>
      <c r="R403" s="87" t="str">
        <f t="shared" si="36"/>
        <v/>
      </c>
      <c r="S403" s="87" t="str">
        <f t="shared" si="37"/>
        <v/>
      </c>
      <c r="T403" s="59"/>
      <c r="U403" s="59"/>
      <c r="V403" s="59"/>
      <c r="W403" s="59"/>
      <c r="X403" s="93" t="str">
        <f t="shared" si="35"/>
        <v>D</v>
      </c>
    </row>
    <row r="404" spans="1:24" s="66" customFormat="1" x14ac:dyDescent="0.25">
      <c r="A404" s="53"/>
      <c r="B404" s="91" t="str">
        <f>IFERROR(VLOOKUP(A404,Lookup!A:B,2,0),"")</f>
        <v/>
      </c>
      <c r="C404" s="92" t="str">
        <f>IFERROR(VLOOKUP(A404,Lookup!A:C,3,0),"")</f>
        <v/>
      </c>
      <c r="D404" s="59"/>
      <c r="E404" s="59"/>
      <c r="F404" s="59"/>
      <c r="G404" s="94"/>
      <c r="H404" s="59"/>
      <c r="I404" s="59"/>
      <c r="J404" s="106">
        <f>VLOOKUP(A404&amp;G404,Lookup!J:N,5,0)</f>
        <v>0</v>
      </c>
      <c r="K404" s="110"/>
      <c r="L404" s="59"/>
      <c r="M404" s="59"/>
      <c r="N404" s="59"/>
      <c r="O404" s="112">
        <v>16.5590277777778</v>
      </c>
      <c r="P404" s="110" t="str">
        <f t="shared" si="34"/>
        <v/>
      </c>
      <c r="Q404" s="59"/>
      <c r="R404" s="87" t="str">
        <f t="shared" si="36"/>
        <v/>
      </c>
      <c r="S404" s="87" t="str">
        <f t="shared" si="37"/>
        <v/>
      </c>
      <c r="T404" s="59"/>
      <c r="U404" s="59"/>
      <c r="V404" s="59"/>
      <c r="W404" s="59"/>
      <c r="X404" s="93" t="str">
        <f t="shared" si="35"/>
        <v>D</v>
      </c>
    </row>
    <row r="405" spans="1:24" s="66" customFormat="1" x14ac:dyDescent="0.25">
      <c r="A405" s="53"/>
      <c r="B405" s="91" t="str">
        <f>IFERROR(VLOOKUP(A405,Lookup!A:B,2,0),"")</f>
        <v/>
      </c>
      <c r="C405" s="92" t="str">
        <f>IFERROR(VLOOKUP(A405,Lookup!A:C,3,0),"")</f>
        <v/>
      </c>
      <c r="D405" s="59"/>
      <c r="E405" s="59"/>
      <c r="F405" s="59"/>
      <c r="G405" s="94"/>
      <c r="H405" s="59"/>
      <c r="I405" s="59"/>
      <c r="J405" s="106">
        <f>VLOOKUP(A405&amp;G405,Lookup!J:N,5,0)</f>
        <v>0</v>
      </c>
      <c r="K405" s="110"/>
      <c r="L405" s="59"/>
      <c r="M405" s="59"/>
      <c r="N405" s="59"/>
      <c r="O405" s="112">
        <v>16.6006944444444</v>
      </c>
      <c r="P405" s="110" t="str">
        <f t="shared" si="34"/>
        <v/>
      </c>
      <c r="Q405" s="59"/>
      <c r="R405" s="87" t="str">
        <f t="shared" si="36"/>
        <v/>
      </c>
      <c r="S405" s="87" t="str">
        <f t="shared" si="37"/>
        <v/>
      </c>
      <c r="T405" s="59"/>
      <c r="U405" s="59"/>
      <c r="V405" s="59"/>
      <c r="W405" s="59"/>
      <c r="X405" s="93" t="str">
        <f t="shared" si="35"/>
        <v>D</v>
      </c>
    </row>
    <row r="406" spans="1:24" s="66" customFormat="1" x14ac:dyDescent="0.25">
      <c r="A406" s="53"/>
      <c r="B406" s="91" t="str">
        <f>IFERROR(VLOOKUP(A406,Lookup!A:B,2,0),"")</f>
        <v/>
      </c>
      <c r="C406" s="92" t="str">
        <f>IFERROR(VLOOKUP(A406,Lookup!A:C,3,0),"")</f>
        <v/>
      </c>
      <c r="D406" s="59"/>
      <c r="E406" s="59"/>
      <c r="F406" s="59"/>
      <c r="G406" s="94"/>
      <c r="H406" s="59"/>
      <c r="I406" s="59"/>
      <c r="J406" s="106">
        <f>VLOOKUP(A406&amp;G406,Lookup!J:N,5,0)</f>
        <v>0</v>
      </c>
      <c r="K406" s="110"/>
      <c r="L406" s="59"/>
      <c r="M406" s="59"/>
      <c r="N406" s="59"/>
      <c r="O406" s="112">
        <v>16.6423611111111</v>
      </c>
      <c r="P406" s="110" t="str">
        <f t="shared" si="34"/>
        <v/>
      </c>
      <c r="Q406" s="59"/>
      <c r="R406" s="87" t="str">
        <f t="shared" si="36"/>
        <v/>
      </c>
      <c r="S406" s="87" t="str">
        <f t="shared" si="37"/>
        <v/>
      </c>
      <c r="T406" s="59"/>
      <c r="U406" s="59"/>
      <c r="V406" s="59"/>
      <c r="W406" s="59"/>
      <c r="X406" s="93" t="str">
        <f t="shared" si="35"/>
        <v>D</v>
      </c>
    </row>
    <row r="407" spans="1:24" s="66" customFormat="1" x14ac:dyDescent="0.25">
      <c r="A407" s="53"/>
      <c r="B407" s="91" t="str">
        <f>IFERROR(VLOOKUP(A407,Lookup!A:B,2,0),"")</f>
        <v/>
      </c>
      <c r="C407" s="92" t="str">
        <f>IFERROR(VLOOKUP(A407,Lookup!A:C,3,0),"")</f>
        <v/>
      </c>
      <c r="D407" s="59"/>
      <c r="E407" s="59"/>
      <c r="F407" s="59"/>
      <c r="G407" s="94"/>
      <c r="H407" s="59"/>
      <c r="I407" s="59"/>
      <c r="J407" s="106">
        <f>VLOOKUP(A407&amp;G407,Lookup!J:N,5,0)</f>
        <v>0</v>
      </c>
      <c r="K407" s="110"/>
      <c r="L407" s="59"/>
      <c r="M407" s="59"/>
      <c r="N407" s="59"/>
      <c r="O407" s="112">
        <v>16.6840277777778</v>
      </c>
      <c r="P407" s="110" t="str">
        <f t="shared" si="34"/>
        <v/>
      </c>
      <c r="Q407" s="59"/>
      <c r="R407" s="87" t="str">
        <f t="shared" si="36"/>
        <v/>
      </c>
      <c r="S407" s="87" t="str">
        <f t="shared" si="37"/>
        <v/>
      </c>
      <c r="T407" s="59"/>
      <c r="U407" s="59"/>
      <c r="V407" s="59"/>
      <c r="W407" s="59"/>
      <c r="X407" s="93" t="str">
        <f t="shared" si="35"/>
        <v>D</v>
      </c>
    </row>
    <row r="408" spans="1:24" s="66" customFormat="1" x14ac:dyDescent="0.25">
      <c r="A408" s="53"/>
      <c r="B408" s="91" t="str">
        <f>IFERROR(VLOOKUP(A408,Lookup!A:B,2,0),"")</f>
        <v/>
      </c>
      <c r="C408" s="92" t="str">
        <f>IFERROR(VLOOKUP(A408,Lookup!A:C,3,0),"")</f>
        <v/>
      </c>
      <c r="D408" s="59"/>
      <c r="E408" s="59"/>
      <c r="F408" s="59"/>
      <c r="G408" s="94"/>
      <c r="H408" s="59"/>
      <c r="I408" s="59"/>
      <c r="J408" s="106">
        <f>VLOOKUP(A408&amp;G408,Lookup!J:N,5,0)</f>
        <v>0</v>
      </c>
      <c r="K408" s="110"/>
      <c r="L408" s="59"/>
      <c r="M408" s="59"/>
      <c r="N408" s="59"/>
      <c r="O408" s="112">
        <v>16.7256944444444</v>
      </c>
      <c r="P408" s="110" t="str">
        <f t="shared" si="34"/>
        <v/>
      </c>
      <c r="Q408" s="59"/>
      <c r="R408" s="87" t="str">
        <f t="shared" si="36"/>
        <v/>
      </c>
      <c r="S408" s="87" t="str">
        <f t="shared" si="37"/>
        <v/>
      </c>
      <c r="T408" s="59"/>
      <c r="U408" s="59"/>
      <c r="V408" s="59"/>
      <c r="W408" s="59"/>
      <c r="X408" s="93" t="str">
        <f t="shared" si="35"/>
        <v>D</v>
      </c>
    </row>
    <row r="409" spans="1:24" s="66" customFormat="1" x14ac:dyDescent="0.25">
      <c r="A409" s="53"/>
      <c r="B409" s="91" t="str">
        <f>IFERROR(VLOOKUP(A409,Lookup!A:B,2,0),"")</f>
        <v/>
      </c>
      <c r="C409" s="92" t="str">
        <f>IFERROR(VLOOKUP(A409,Lookup!A:C,3,0),"")</f>
        <v/>
      </c>
      <c r="D409" s="59"/>
      <c r="E409" s="59"/>
      <c r="F409" s="59"/>
      <c r="G409" s="94"/>
      <c r="H409" s="59"/>
      <c r="I409" s="59"/>
      <c r="J409" s="106">
        <f>VLOOKUP(A409&amp;G409,Lookup!J:N,5,0)</f>
        <v>0</v>
      </c>
      <c r="K409" s="110"/>
      <c r="L409" s="59"/>
      <c r="M409" s="59"/>
      <c r="N409" s="59"/>
      <c r="O409" s="112">
        <v>16.7673611111111</v>
      </c>
      <c r="P409" s="110" t="str">
        <f t="shared" si="34"/>
        <v/>
      </c>
      <c r="Q409" s="59"/>
      <c r="R409" s="87" t="str">
        <f t="shared" si="36"/>
        <v/>
      </c>
      <c r="S409" s="87" t="str">
        <f t="shared" si="37"/>
        <v/>
      </c>
      <c r="T409" s="59"/>
      <c r="U409" s="59"/>
      <c r="V409" s="59"/>
      <c r="W409" s="59"/>
      <c r="X409" s="93" t="str">
        <f t="shared" si="35"/>
        <v>D</v>
      </c>
    </row>
    <row r="410" spans="1:24" s="66" customFormat="1" x14ac:dyDescent="0.25">
      <c r="A410" s="53"/>
      <c r="B410" s="91" t="str">
        <f>IFERROR(VLOOKUP(A410,Lookup!A:B,2,0),"")</f>
        <v/>
      </c>
      <c r="C410" s="92" t="str">
        <f>IFERROR(VLOOKUP(A410,Lookup!A:C,3,0),"")</f>
        <v/>
      </c>
      <c r="D410" s="59"/>
      <c r="E410" s="59"/>
      <c r="F410" s="59"/>
      <c r="G410" s="94"/>
      <c r="H410" s="59"/>
      <c r="I410" s="59"/>
      <c r="J410" s="106">
        <f>VLOOKUP(A410&amp;G410,Lookup!J:N,5,0)</f>
        <v>0</v>
      </c>
      <c r="K410" s="110"/>
      <c r="L410" s="59"/>
      <c r="M410" s="59"/>
      <c r="N410" s="59"/>
      <c r="O410" s="112">
        <v>16.8090277777778</v>
      </c>
      <c r="P410" s="110" t="str">
        <f t="shared" si="34"/>
        <v/>
      </c>
      <c r="Q410" s="59"/>
      <c r="R410" s="87" t="str">
        <f t="shared" si="36"/>
        <v/>
      </c>
      <c r="S410" s="87" t="str">
        <f t="shared" si="37"/>
        <v/>
      </c>
      <c r="T410" s="59"/>
      <c r="U410" s="59"/>
      <c r="V410" s="59"/>
      <c r="W410" s="59"/>
      <c r="X410" s="93" t="str">
        <f t="shared" si="35"/>
        <v>D</v>
      </c>
    </row>
    <row r="411" spans="1:24" s="66" customFormat="1" x14ac:dyDescent="0.25">
      <c r="A411" s="53"/>
      <c r="B411" s="91" t="str">
        <f>IFERROR(VLOOKUP(A411,Lookup!A:B,2,0),"")</f>
        <v/>
      </c>
      <c r="C411" s="92" t="str">
        <f>IFERROR(VLOOKUP(A411,Lookup!A:C,3,0),"")</f>
        <v/>
      </c>
      <c r="D411" s="59"/>
      <c r="E411" s="59"/>
      <c r="F411" s="59"/>
      <c r="G411" s="94"/>
      <c r="H411" s="59"/>
      <c r="I411" s="59"/>
      <c r="J411" s="106">
        <f>VLOOKUP(A411&amp;G411,Lookup!J:N,5,0)</f>
        <v>0</v>
      </c>
      <c r="K411" s="110"/>
      <c r="L411" s="59"/>
      <c r="M411" s="59"/>
      <c r="N411" s="59"/>
      <c r="O411" s="112">
        <v>16.8506944444444</v>
      </c>
      <c r="P411" s="110" t="str">
        <f t="shared" si="34"/>
        <v/>
      </c>
      <c r="Q411" s="59"/>
      <c r="R411" s="87" t="str">
        <f t="shared" si="36"/>
        <v/>
      </c>
      <c r="S411" s="87" t="str">
        <f t="shared" si="37"/>
        <v/>
      </c>
      <c r="T411" s="59"/>
      <c r="U411" s="59"/>
      <c r="V411" s="59"/>
      <c r="W411" s="59"/>
      <c r="X411" s="93" t="str">
        <f t="shared" si="35"/>
        <v>D</v>
      </c>
    </row>
    <row r="412" spans="1:24" s="66" customFormat="1" x14ac:dyDescent="0.25">
      <c r="A412" s="53"/>
      <c r="B412" s="91" t="str">
        <f>IFERROR(VLOOKUP(A412,Lookup!A:B,2,0),"")</f>
        <v/>
      </c>
      <c r="C412" s="92" t="str">
        <f>IFERROR(VLOOKUP(A412,Lookup!A:C,3,0),"")</f>
        <v/>
      </c>
      <c r="D412" s="59"/>
      <c r="E412" s="59"/>
      <c r="F412" s="59"/>
      <c r="G412" s="94"/>
      <c r="H412" s="59"/>
      <c r="I412" s="59"/>
      <c r="J412" s="106">
        <f>VLOOKUP(A412&amp;G412,Lookup!J:N,5,0)</f>
        <v>0</v>
      </c>
      <c r="K412" s="110"/>
      <c r="L412" s="59"/>
      <c r="M412" s="59"/>
      <c r="N412" s="59"/>
      <c r="O412" s="112">
        <v>16.8923611111111</v>
      </c>
      <c r="P412" s="110" t="str">
        <f t="shared" si="34"/>
        <v/>
      </c>
      <c r="Q412" s="59"/>
      <c r="R412" s="87" t="str">
        <f t="shared" si="36"/>
        <v/>
      </c>
      <c r="S412" s="87" t="str">
        <f t="shared" si="37"/>
        <v/>
      </c>
      <c r="T412" s="59"/>
      <c r="U412" s="59"/>
      <c r="V412" s="59"/>
      <c r="W412" s="59"/>
      <c r="X412" s="93" t="str">
        <f t="shared" si="35"/>
        <v>D</v>
      </c>
    </row>
    <row r="413" spans="1:24" s="66" customFormat="1" x14ac:dyDescent="0.25">
      <c r="A413" s="53"/>
      <c r="B413" s="91" t="str">
        <f>IFERROR(VLOOKUP(A413,Lookup!A:B,2,0),"")</f>
        <v/>
      </c>
      <c r="C413" s="92" t="str">
        <f>IFERROR(VLOOKUP(A413,Lookup!A:C,3,0),"")</f>
        <v/>
      </c>
      <c r="D413" s="59"/>
      <c r="E413" s="59"/>
      <c r="F413" s="59"/>
      <c r="G413" s="94"/>
      <c r="H413" s="59"/>
      <c r="I413" s="59"/>
      <c r="J413" s="106">
        <f>VLOOKUP(A413&amp;G413,Lookup!J:N,5,0)</f>
        <v>0</v>
      </c>
      <c r="K413" s="110"/>
      <c r="L413" s="59"/>
      <c r="M413" s="59"/>
      <c r="N413" s="59"/>
      <c r="O413" s="112">
        <v>16.9340277777778</v>
      </c>
      <c r="P413" s="110" t="str">
        <f t="shared" si="34"/>
        <v/>
      </c>
      <c r="Q413" s="59"/>
      <c r="R413" s="87" t="str">
        <f t="shared" si="36"/>
        <v/>
      </c>
      <c r="S413" s="87" t="str">
        <f t="shared" si="37"/>
        <v/>
      </c>
      <c r="T413" s="59"/>
      <c r="U413" s="59"/>
      <c r="V413" s="59"/>
      <c r="W413" s="59"/>
      <c r="X413" s="93" t="str">
        <f t="shared" si="35"/>
        <v>D</v>
      </c>
    </row>
    <row r="414" spans="1:24" s="66" customFormat="1" x14ac:dyDescent="0.25">
      <c r="A414" s="53"/>
      <c r="B414" s="91" t="str">
        <f>IFERROR(VLOOKUP(A414,Lookup!A:B,2,0),"")</f>
        <v/>
      </c>
      <c r="C414" s="92" t="str">
        <f>IFERROR(VLOOKUP(A414,Lookup!A:C,3,0),"")</f>
        <v/>
      </c>
      <c r="D414" s="59"/>
      <c r="E414" s="59"/>
      <c r="F414" s="59"/>
      <c r="G414" s="94"/>
      <c r="H414" s="59"/>
      <c r="I414" s="59"/>
      <c r="J414" s="106">
        <f>VLOOKUP(A414&amp;G414,Lookup!J:N,5,0)</f>
        <v>0</v>
      </c>
      <c r="K414" s="110"/>
      <c r="L414" s="59"/>
      <c r="M414" s="59"/>
      <c r="N414" s="59"/>
      <c r="O414" s="112">
        <v>16.9756944444444</v>
      </c>
      <c r="P414" s="110" t="str">
        <f t="shared" si="34"/>
        <v/>
      </c>
      <c r="Q414" s="59"/>
      <c r="R414" s="87" t="str">
        <f t="shared" si="36"/>
        <v/>
      </c>
      <c r="S414" s="87" t="str">
        <f t="shared" si="37"/>
        <v/>
      </c>
      <c r="T414" s="59"/>
      <c r="U414" s="59"/>
      <c r="V414" s="59"/>
      <c r="W414" s="59"/>
      <c r="X414" s="93" t="str">
        <f t="shared" si="35"/>
        <v>D</v>
      </c>
    </row>
    <row r="415" spans="1:24" s="66" customFormat="1" x14ac:dyDescent="0.25">
      <c r="A415" s="53"/>
      <c r="B415" s="91" t="str">
        <f>IFERROR(VLOOKUP(A415,Lookup!A:B,2,0),"")</f>
        <v/>
      </c>
      <c r="C415" s="92" t="str">
        <f>IFERROR(VLOOKUP(A415,Lookup!A:C,3,0),"")</f>
        <v/>
      </c>
      <c r="D415" s="59"/>
      <c r="E415" s="59"/>
      <c r="F415" s="59"/>
      <c r="G415" s="94"/>
      <c r="H415" s="59"/>
      <c r="I415" s="59"/>
      <c r="J415" s="106">
        <f>VLOOKUP(A415&amp;G415,Lookup!J:N,5,0)</f>
        <v>0</v>
      </c>
      <c r="K415" s="110"/>
      <c r="L415" s="59"/>
      <c r="M415" s="59"/>
      <c r="N415" s="59"/>
      <c r="O415" s="112">
        <v>17.0173611111111</v>
      </c>
      <c r="P415" s="110" t="str">
        <f t="shared" si="34"/>
        <v/>
      </c>
      <c r="Q415" s="59"/>
      <c r="R415" s="87" t="str">
        <f t="shared" si="36"/>
        <v/>
      </c>
      <c r="S415" s="87" t="str">
        <f t="shared" si="37"/>
        <v/>
      </c>
      <c r="T415" s="59"/>
      <c r="U415" s="59"/>
      <c r="V415" s="59"/>
      <c r="W415" s="59"/>
      <c r="X415" s="93" t="str">
        <f t="shared" si="35"/>
        <v>D</v>
      </c>
    </row>
    <row r="416" spans="1:24" s="66" customFormat="1" x14ac:dyDescent="0.25">
      <c r="A416" s="53"/>
      <c r="B416" s="91" t="str">
        <f>IFERROR(VLOOKUP(A416,Lookup!A:B,2,0),"")</f>
        <v/>
      </c>
      <c r="C416" s="92" t="str">
        <f>IFERROR(VLOOKUP(A416,Lookup!A:C,3,0),"")</f>
        <v/>
      </c>
      <c r="D416" s="59"/>
      <c r="E416" s="59"/>
      <c r="F416" s="59"/>
      <c r="G416" s="94"/>
      <c r="H416" s="59"/>
      <c r="I416" s="59"/>
      <c r="J416" s="106">
        <f>VLOOKUP(A416&amp;G416,Lookup!J:N,5,0)</f>
        <v>0</v>
      </c>
      <c r="K416" s="110"/>
      <c r="L416" s="59"/>
      <c r="M416" s="59"/>
      <c r="N416" s="59"/>
      <c r="O416" s="112">
        <v>17.0590277777778</v>
      </c>
      <c r="P416" s="110" t="str">
        <f t="shared" si="34"/>
        <v/>
      </c>
      <c r="Q416" s="59"/>
      <c r="R416" s="87" t="str">
        <f t="shared" si="36"/>
        <v/>
      </c>
      <c r="S416" s="87" t="str">
        <f t="shared" si="37"/>
        <v/>
      </c>
      <c r="T416" s="59"/>
      <c r="U416" s="59"/>
      <c r="V416" s="59"/>
      <c r="W416" s="59"/>
      <c r="X416" s="93" t="str">
        <f t="shared" si="35"/>
        <v>D</v>
      </c>
    </row>
    <row r="417" spans="1:24" s="66" customFormat="1" x14ac:dyDescent="0.25">
      <c r="A417" s="53"/>
      <c r="B417" s="91" t="str">
        <f>IFERROR(VLOOKUP(A417,Lookup!A:B,2,0),"")</f>
        <v/>
      </c>
      <c r="C417" s="92" t="str">
        <f>IFERROR(VLOOKUP(A417,Lookup!A:C,3,0),"")</f>
        <v/>
      </c>
      <c r="D417" s="59"/>
      <c r="E417" s="59"/>
      <c r="F417" s="59"/>
      <c r="G417" s="94"/>
      <c r="H417" s="59"/>
      <c r="I417" s="59"/>
      <c r="J417" s="106">
        <f>VLOOKUP(A417&amp;G417,Lookup!J:N,5,0)</f>
        <v>0</v>
      </c>
      <c r="K417" s="110"/>
      <c r="L417" s="59"/>
      <c r="M417" s="59"/>
      <c r="N417" s="59"/>
      <c r="O417" s="112">
        <v>17.1006944444444</v>
      </c>
      <c r="P417" s="110" t="str">
        <f t="shared" si="34"/>
        <v/>
      </c>
      <c r="Q417" s="59"/>
      <c r="R417" s="87" t="str">
        <f t="shared" si="36"/>
        <v/>
      </c>
      <c r="S417" s="87" t="str">
        <f t="shared" si="37"/>
        <v/>
      </c>
      <c r="T417" s="59"/>
      <c r="U417" s="59"/>
      <c r="V417" s="59"/>
      <c r="W417" s="59"/>
      <c r="X417" s="93" t="str">
        <f t="shared" si="35"/>
        <v>D</v>
      </c>
    </row>
    <row r="418" spans="1:24" s="66" customFormat="1" x14ac:dyDescent="0.25">
      <c r="A418" s="53"/>
      <c r="B418" s="91" t="str">
        <f>IFERROR(VLOOKUP(A418,Lookup!A:B,2,0),"")</f>
        <v/>
      </c>
      <c r="C418" s="92" t="str">
        <f>IFERROR(VLOOKUP(A418,Lookup!A:C,3,0),"")</f>
        <v/>
      </c>
      <c r="D418" s="59"/>
      <c r="E418" s="59"/>
      <c r="F418" s="59"/>
      <c r="G418" s="94"/>
      <c r="H418" s="59"/>
      <c r="I418" s="59"/>
      <c r="J418" s="106">
        <f>VLOOKUP(A418&amp;G418,Lookup!J:N,5,0)</f>
        <v>0</v>
      </c>
      <c r="K418" s="110"/>
      <c r="L418" s="59"/>
      <c r="M418" s="59"/>
      <c r="N418" s="59"/>
      <c r="O418" s="112">
        <v>17.1423611111111</v>
      </c>
      <c r="P418" s="110" t="str">
        <f t="shared" si="34"/>
        <v/>
      </c>
      <c r="Q418" s="59"/>
      <c r="R418" s="87" t="str">
        <f t="shared" si="36"/>
        <v/>
      </c>
      <c r="S418" s="87" t="str">
        <f t="shared" si="37"/>
        <v/>
      </c>
      <c r="T418" s="59"/>
      <c r="U418" s="59"/>
      <c r="V418" s="59"/>
      <c r="W418" s="59"/>
      <c r="X418" s="93" t="str">
        <f t="shared" si="35"/>
        <v>D</v>
      </c>
    </row>
    <row r="419" spans="1:24" s="66" customFormat="1" x14ac:dyDescent="0.25">
      <c r="A419" s="53"/>
      <c r="B419" s="91" t="str">
        <f>IFERROR(VLOOKUP(A419,Lookup!A:B,2,0),"")</f>
        <v/>
      </c>
      <c r="C419" s="92" t="str">
        <f>IFERROR(VLOOKUP(A419,Lookup!A:C,3,0),"")</f>
        <v/>
      </c>
      <c r="D419" s="59"/>
      <c r="E419" s="59"/>
      <c r="F419" s="59"/>
      <c r="G419" s="94"/>
      <c r="H419" s="59"/>
      <c r="I419" s="59"/>
      <c r="J419" s="106">
        <f>VLOOKUP(A419&amp;G419,Lookup!J:N,5,0)</f>
        <v>0</v>
      </c>
      <c r="K419" s="110"/>
      <c r="L419" s="59"/>
      <c r="M419" s="59"/>
      <c r="N419" s="59"/>
      <c r="O419" s="112">
        <v>17.1840277777778</v>
      </c>
      <c r="P419" s="110" t="str">
        <f t="shared" si="34"/>
        <v/>
      </c>
      <c r="Q419" s="59"/>
      <c r="R419" s="87" t="str">
        <f t="shared" si="36"/>
        <v/>
      </c>
      <c r="S419" s="87" t="str">
        <f t="shared" si="37"/>
        <v/>
      </c>
      <c r="T419" s="59"/>
      <c r="U419" s="59"/>
      <c r="V419" s="59"/>
      <c r="W419" s="59"/>
      <c r="X419" s="93" t="str">
        <f t="shared" si="35"/>
        <v>D</v>
      </c>
    </row>
    <row r="420" spans="1:24" s="66" customFormat="1" x14ac:dyDescent="0.25">
      <c r="A420" s="53"/>
      <c r="B420" s="91" t="str">
        <f>IFERROR(VLOOKUP(A420,Lookup!A:B,2,0),"")</f>
        <v/>
      </c>
      <c r="C420" s="92" t="str">
        <f>IFERROR(VLOOKUP(A420,Lookup!A:C,3,0),"")</f>
        <v/>
      </c>
      <c r="D420" s="59"/>
      <c r="E420" s="59"/>
      <c r="F420" s="59"/>
      <c r="G420" s="94"/>
      <c r="H420" s="59"/>
      <c r="I420" s="59"/>
      <c r="J420" s="106">
        <f>VLOOKUP(A420&amp;G420,Lookup!J:N,5,0)</f>
        <v>0</v>
      </c>
      <c r="K420" s="110"/>
      <c r="L420" s="59"/>
      <c r="M420" s="59"/>
      <c r="N420" s="59"/>
      <c r="O420" s="112">
        <v>17.2256944444444</v>
      </c>
      <c r="P420" s="110" t="str">
        <f t="shared" si="34"/>
        <v/>
      </c>
      <c r="Q420" s="59"/>
      <c r="R420" s="87" t="str">
        <f t="shared" si="36"/>
        <v/>
      </c>
      <c r="S420" s="87" t="str">
        <f t="shared" si="37"/>
        <v/>
      </c>
      <c r="T420" s="59"/>
      <c r="U420" s="59"/>
      <c r="V420" s="59"/>
      <c r="W420" s="59"/>
      <c r="X420" s="93" t="str">
        <f t="shared" si="35"/>
        <v>D</v>
      </c>
    </row>
    <row r="421" spans="1:24" s="66" customFormat="1" x14ac:dyDescent="0.25">
      <c r="A421" s="53"/>
      <c r="B421" s="91" t="str">
        <f>IFERROR(VLOOKUP(A421,Lookup!A:B,2,0),"")</f>
        <v/>
      </c>
      <c r="C421" s="92" t="str">
        <f>IFERROR(VLOOKUP(A421,Lookup!A:C,3,0),"")</f>
        <v/>
      </c>
      <c r="D421" s="59"/>
      <c r="E421" s="59"/>
      <c r="F421" s="59"/>
      <c r="G421" s="94"/>
      <c r="H421" s="59"/>
      <c r="I421" s="59"/>
      <c r="J421" s="106">
        <f>VLOOKUP(A421&amp;G421,Lookup!J:N,5,0)</f>
        <v>0</v>
      </c>
      <c r="K421" s="110"/>
      <c r="L421" s="59"/>
      <c r="M421" s="59"/>
      <c r="N421" s="59"/>
      <c r="O421" s="112">
        <v>17.2673611111111</v>
      </c>
      <c r="P421" s="110" t="str">
        <f t="shared" si="34"/>
        <v/>
      </c>
      <c r="Q421" s="59"/>
      <c r="R421" s="87" t="str">
        <f t="shared" si="36"/>
        <v/>
      </c>
      <c r="S421" s="87" t="str">
        <f t="shared" si="37"/>
        <v/>
      </c>
      <c r="T421" s="59"/>
      <c r="U421" s="59"/>
      <c r="V421" s="59"/>
      <c r="W421" s="59"/>
      <c r="X421" s="93" t="str">
        <f t="shared" si="35"/>
        <v>D</v>
      </c>
    </row>
    <row r="422" spans="1:24" s="66" customFormat="1" x14ac:dyDescent="0.25">
      <c r="A422" s="53"/>
      <c r="B422" s="91" t="str">
        <f>IFERROR(VLOOKUP(A422,Lookup!A:B,2,0),"")</f>
        <v/>
      </c>
      <c r="C422" s="92" t="str">
        <f>IFERROR(VLOOKUP(A422,Lookup!A:C,3,0),"")</f>
        <v/>
      </c>
      <c r="D422" s="59"/>
      <c r="E422" s="59"/>
      <c r="F422" s="59"/>
      <c r="G422" s="94"/>
      <c r="H422" s="59"/>
      <c r="I422" s="59"/>
      <c r="J422" s="106">
        <f>VLOOKUP(A422&amp;G422,Lookup!J:N,5,0)</f>
        <v>0</v>
      </c>
      <c r="K422" s="110"/>
      <c r="L422" s="59"/>
      <c r="M422" s="59"/>
      <c r="N422" s="59"/>
      <c r="O422" s="112">
        <v>17.3090277777778</v>
      </c>
      <c r="P422" s="110" t="str">
        <f t="shared" si="34"/>
        <v/>
      </c>
      <c r="Q422" s="59"/>
      <c r="R422" s="87" t="str">
        <f t="shared" si="36"/>
        <v/>
      </c>
      <c r="S422" s="87" t="str">
        <f t="shared" si="37"/>
        <v/>
      </c>
      <c r="T422" s="59"/>
      <c r="U422" s="59"/>
      <c r="V422" s="59"/>
      <c r="W422" s="59"/>
      <c r="X422" s="93" t="str">
        <f t="shared" si="35"/>
        <v>D</v>
      </c>
    </row>
    <row r="423" spans="1:24" s="66" customFormat="1" x14ac:dyDescent="0.25">
      <c r="A423" s="53"/>
      <c r="B423" s="91" t="str">
        <f>IFERROR(VLOOKUP(A423,Lookup!A:B,2,0),"")</f>
        <v/>
      </c>
      <c r="C423" s="92" t="str">
        <f>IFERROR(VLOOKUP(A423,Lookup!A:C,3,0),"")</f>
        <v/>
      </c>
      <c r="D423" s="59"/>
      <c r="E423" s="59"/>
      <c r="F423" s="59"/>
      <c r="G423" s="94"/>
      <c r="H423" s="59"/>
      <c r="I423" s="59"/>
      <c r="J423" s="106">
        <f>VLOOKUP(A423&amp;G423,Lookup!J:N,5,0)</f>
        <v>0</v>
      </c>
      <c r="K423" s="110"/>
      <c r="L423" s="59"/>
      <c r="M423" s="59"/>
      <c r="N423" s="59"/>
      <c r="O423" s="112">
        <v>17.3506944444444</v>
      </c>
      <c r="P423" s="110" t="str">
        <f t="shared" si="34"/>
        <v/>
      </c>
      <c r="Q423" s="59"/>
      <c r="R423" s="87" t="str">
        <f t="shared" si="36"/>
        <v/>
      </c>
      <c r="S423" s="87" t="str">
        <f t="shared" si="37"/>
        <v/>
      </c>
      <c r="T423" s="59"/>
      <c r="U423" s="59"/>
      <c r="V423" s="59"/>
      <c r="W423" s="59"/>
      <c r="X423" s="93" t="str">
        <f t="shared" si="35"/>
        <v>D</v>
      </c>
    </row>
    <row r="424" spans="1:24" s="66" customFormat="1" x14ac:dyDescent="0.25">
      <c r="A424" s="53"/>
      <c r="B424" s="91" t="str">
        <f>IFERROR(VLOOKUP(A424,Lookup!A:B,2,0),"")</f>
        <v/>
      </c>
      <c r="C424" s="92" t="str">
        <f>IFERROR(VLOOKUP(A424,Lookup!A:C,3,0),"")</f>
        <v/>
      </c>
      <c r="D424" s="59"/>
      <c r="E424" s="59"/>
      <c r="F424" s="59"/>
      <c r="G424" s="94"/>
      <c r="H424" s="59"/>
      <c r="I424" s="59"/>
      <c r="J424" s="106">
        <f>VLOOKUP(A424&amp;G424,Lookup!J:N,5,0)</f>
        <v>0</v>
      </c>
      <c r="K424" s="110"/>
      <c r="L424" s="59"/>
      <c r="M424" s="59"/>
      <c r="N424" s="59"/>
      <c r="O424" s="112">
        <v>17.3923611111111</v>
      </c>
      <c r="P424" s="110" t="str">
        <f t="shared" si="34"/>
        <v/>
      </c>
      <c r="Q424" s="59"/>
      <c r="R424" s="87" t="str">
        <f t="shared" si="36"/>
        <v/>
      </c>
      <c r="S424" s="87" t="str">
        <f t="shared" si="37"/>
        <v/>
      </c>
      <c r="T424" s="59"/>
      <c r="U424" s="59"/>
      <c r="V424" s="59"/>
      <c r="W424" s="59"/>
      <c r="X424" s="93" t="str">
        <f t="shared" si="35"/>
        <v>D</v>
      </c>
    </row>
    <row r="425" spans="1:24" s="66" customFormat="1" x14ac:dyDescent="0.25">
      <c r="A425" s="53"/>
      <c r="B425" s="91" t="str">
        <f>IFERROR(VLOOKUP(A425,Lookup!A:B,2,0),"")</f>
        <v/>
      </c>
      <c r="C425" s="92" t="str">
        <f>IFERROR(VLOOKUP(A425,Lookup!A:C,3,0),"")</f>
        <v/>
      </c>
      <c r="D425" s="59"/>
      <c r="E425" s="59"/>
      <c r="F425" s="59"/>
      <c r="G425" s="94"/>
      <c r="H425" s="59"/>
      <c r="I425" s="59"/>
      <c r="J425" s="106">
        <f>VLOOKUP(A425&amp;G425,Lookup!J:N,5,0)</f>
        <v>0</v>
      </c>
      <c r="K425" s="110"/>
      <c r="L425" s="59"/>
      <c r="M425" s="59"/>
      <c r="N425" s="59"/>
      <c r="O425" s="112">
        <v>17.4340277777778</v>
      </c>
      <c r="P425" s="110" t="str">
        <f t="shared" si="34"/>
        <v/>
      </c>
      <c r="Q425" s="59"/>
      <c r="R425" s="87" t="str">
        <f t="shared" si="36"/>
        <v/>
      </c>
      <c r="S425" s="87" t="str">
        <f t="shared" si="37"/>
        <v/>
      </c>
      <c r="T425" s="59"/>
      <c r="U425" s="59"/>
      <c r="V425" s="59"/>
      <c r="W425" s="59"/>
      <c r="X425" s="93" t="str">
        <f t="shared" si="35"/>
        <v>D</v>
      </c>
    </row>
    <row r="426" spans="1:24" s="66" customFormat="1" x14ac:dyDescent="0.25">
      <c r="A426" s="53"/>
      <c r="B426" s="91" t="str">
        <f>IFERROR(VLOOKUP(A426,Lookup!A:B,2,0),"")</f>
        <v/>
      </c>
      <c r="C426" s="92" t="str">
        <f>IFERROR(VLOOKUP(A426,Lookup!A:C,3,0),"")</f>
        <v/>
      </c>
      <c r="D426" s="59"/>
      <c r="E426" s="59"/>
      <c r="F426" s="59"/>
      <c r="G426" s="94"/>
      <c r="H426" s="59"/>
      <c r="I426" s="59"/>
      <c r="J426" s="106">
        <f>VLOOKUP(A426&amp;G426,Lookup!J:N,5,0)</f>
        <v>0</v>
      </c>
      <c r="K426" s="110"/>
      <c r="L426" s="59"/>
      <c r="M426" s="59"/>
      <c r="N426" s="59"/>
      <c r="O426" s="112">
        <v>17.4756944444444</v>
      </c>
      <c r="P426" s="110" t="str">
        <f t="shared" si="34"/>
        <v/>
      </c>
      <c r="Q426" s="59"/>
      <c r="R426" s="87" t="str">
        <f t="shared" si="36"/>
        <v/>
      </c>
      <c r="S426" s="87" t="str">
        <f t="shared" si="37"/>
        <v/>
      </c>
      <c r="T426" s="59"/>
      <c r="U426" s="59"/>
      <c r="V426" s="59"/>
      <c r="W426" s="59"/>
      <c r="X426" s="93" t="str">
        <f t="shared" si="35"/>
        <v>D</v>
      </c>
    </row>
    <row r="427" spans="1:24" s="66" customFormat="1" x14ac:dyDescent="0.25">
      <c r="A427" s="53"/>
      <c r="B427" s="91" t="str">
        <f>IFERROR(VLOOKUP(A427,Lookup!A:B,2,0),"")</f>
        <v/>
      </c>
      <c r="C427" s="92" t="str">
        <f>IFERROR(VLOOKUP(A427,Lookup!A:C,3,0),"")</f>
        <v/>
      </c>
      <c r="D427" s="59"/>
      <c r="E427" s="59"/>
      <c r="F427" s="59"/>
      <c r="G427" s="94"/>
      <c r="H427" s="59"/>
      <c r="I427" s="59"/>
      <c r="J427" s="106">
        <f>VLOOKUP(A427&amp;G427,Lookup!J:N,5,0)</f>
        <v>0</v>
      </c>
      <c r="K427" s="110"/>
      <c r="L427" s="59"/>
      <c r="M427" s="59"/>
      <c r="N427" s="59"/>
      <c r="O427" s="112">
        <v>17.5173611111111</v>
      </c>
      <c r="P427" s="110" t="str">
        <f t="shared" si="34"/>
        <v/>
      </c>
      <c r="Q427" s="59"/>
      <c r="R427" s="87" t="str">
        <f t="shared" si="36"/>
        <v/>
      </c>
      <c r="S427" s="87" t="str">
        <f t="shared" si="37"/>
        <v/>
      </c>
      <c r="T427" s="59"/>
      <c r="U427" s="59"/>
      <c r="V427" s="59"/>
      <c r="W427" s="59"/>
      <c r="X427" s="93" t="str">
        <f t="shared" si="35"/>
        <v>D</v>
      </c>
    </row>
    <row r="428" spans="1:24" s="66" customFormat="1" x14ac:dyDescent="0.25">
      <c r="A428" s="53"/>
      <c r="B428" s="91" t="str">
        <f>IFERROR(VLOOKUP(A428,Lookup!A:B,2,0),"")</f>
        <v/>
      </c>
      <c r="C428" s="92" t="str">
        <f>IFERROR(VLOOKUP(A428,Lookup!A:C,3,0),"")</f>
        <v/>
      </c>
      <c r="D428" s="59"/>
      <c r="E428" s="59"/>
      <c r="F428" s="59"/>
      <c r="G428" s="94"/>
      <c r="H428" s="59"/>
      <c r="I428" s="59"/>
      <c r="J428" s="106">
        <f>VLOOKUP(A428&amp;G428,Lookup!J:N,5,0)</f>
        <v>0</v>
      </c>
      <c r="K428" s="110"/>
      <c r="L428" s="59"/>
      <c r="M428" s="59"/>
      <c r="N428" s="59"/>
      <c r="O428" s="112">
        <v>17.5590277777778</v>
      </c>
      <c r="P428" s="110" t="str">
        <f t="shared" si="34"/>
        <v/>
      </c>
      <c r="Q428" s="59"/>
      <c r="R428" s="87" t="str">
        <f t="shared" si="36"/>
        <v/>
      </c>
      <c r="S428" s="87" t="str">
        <f t="shared" si="37"/>
        <v/>
      </c>
      <c r="T428" s="59"/>
      <c r="U428" s="59"/>
      <c r="V428" s="59"/>
      <c r="W428" s="59"/>
      <c r="X428" s="93" t="str">
        <f t="shared" si="35"/>
        <v>D</v>
      </c>
    </row>
    <row r="429" spans="1:24" s="66" customFormat="1" x14ac:dyDescent="0.25">
      <c r="A429" s="53"/>
      <c r="B429" s="91" t="str">
        <f>IFERROR(VLOOKUP(A429,Lookup!A:B,2,0),"")</f>
        <v/>
      </c>
      <c r="C429" s="92" t="str">
        <f>IFERROR(VLOOKUP(A429,Lookup!A:C,3,0),"")</f>
        <v/>
      </c>
      <c r="D429" s="59"/>
      <c r="E429" s="59"/>
      <c r="F429" s="59"/>
      <c r="G429" s="94"/>
      <c r="H429" s="59"/>
      <c r="I429" s="59"/>
      <c r="J429" s="106">
        <f>VLOOKUP(A429&amp;G429,Lookup!J:N,5,0)</f>
        <v>0</v>
      </c>
      <c r="K429" s="110"/>
      <c r="L429" s="59"/>
      <c r="M429" s="59"/>
      <c r="N429" s="59"/>
      <c r="O429" s="112">
        <v>17.6006944444444</v>
      </c>
      <c r="P429" s="110" t="str">
        <f t="shared" si="34"/>
        <v/>
      </c>
      <c r="Q429" s="59"/>
      <c r="R429" s="87" t="str">
        <f t="shared" si="36"/>
        <v/>
      </c>
      <c r="S429" s="87" t="str">
        <f t="shared" si="37"/>
        <v/>
      </c>
      <c r="T429" s="59"/>
      <c r="U429" s="59"/>
      <c r="V429" s="59"/>
      <c r="W429" s="59"/>
      <c r="X429" s="93" t="str">
        <f t="shared" si="35"/>
        <v>D</v>
      </c>
    </row>
    <row r="430" spans="1:24" s="66" customFormat="1" x14ac:dyDescent="0.25">
      <c r="A430" s="53"/>
      <c r="B430" s="91" t="str">
        <f>IFERROR(VLOOKUP(A430,Lookup!A:B,2,0),"")</f>
        <v/>
      </c>
      <c r="C430" s="92" t="str">
        <f>IFERROR(VLOOKUP(A430,Lookup!A:C,3,0),"")</f>
        <v/>
      </c>
      <c r="D430" s="59"/>
      <c r="E430" s="59"/>
      <c r="F430" s="59"/>
      <c r="G430" s="94"/>
      <c r="H430" s="59"/>
      <c r="I430" s="59"/>
      <c r="J430" s="106">
        <f>VLOOKUP(A430&amp;G430,Lookup!J:N,5,0)</f>
        <v>0</v>
      </c>
      <c r="K430" s="110"/>
      <c r="L430" s="59"/>
      <c r="M430" s="59"/>
      <c r="N430" s="59"/>
      <c r="O430" s="112">
        <v>17.6423611111111</v>
      </c>
      <c r="P430" s="110" t="str">
        <f t="shared" si="34"/>
        <v/>
      </c>
      <c r="Q430" s="59"/>
      <c r="R430" s="87" t="str">
        <f t="shared" si="36"/>
        <v/>
      </c>
      <c r="S430" s="87" t="str">
        <f t="shared" si="37"/>
        <v/>
      </c>
      <c r="T430" s="59"/>
      <c r="U430" s="59"/>
      <c r="V430" s="59"/>
      <c r="W430" s="59"/>
      <c r="X430" s="93" t="str">
        <f t="shared" si="35"/>
        <v>D</v>
      </c>
    </row>
    <row r="431" spans="1:24" s="66" customFormat="1" x14ac:dyDescent="0.25">
      <c r="A431" s="53"/>
      <c r="B431" s="91" t="str">
        <f>IFERROR(VLOOKUP(A431,Lookup!A:B,2,0),"")</f>
        <v/>
      </c>
      <c r="C431" s="92" t="str">
        <f>IFERROR(VLOOKUP(A431,Lookup!A:C,3,0),"")</f>
        <v/>
      </c>
      <c r="D431" s="59"/>
      <c r="E431" s="59"/>
      <c r="F431" s="59"/>
      <c r="G431" s="94"/>
      <c r="H431" s="59"/>
      <c r="I431" s="59"/>
      <c r="J431" s="106">
        <f>VLOOKUP(A431&amp;G431,Lookup!J:N,5,0)</f>
        <v>0</v>
      </c>
      <c r="K431" s="110"/>
      <c r="L431" s="59"/>
      <c r="M431" s="59"/>
      <c r="N431" s="59"/>
      <c r="O431" s="112">
        <v>17.6840277777778</v>
      </c>
      <c r="P431" s="110" t="str">
        <f t="shared" si="34"/>
        <v/>
      </c>
      <c r="Q431" s="59"/>
      <c r="R431" s="87" t="str">
        <f t="shared" si="36"/>
        <v/>
      </c>
      <c r="S431" s="87" t="str">
        <f t="shared" si="37"/>
        <v/>
      </c>
      <c r="T431" s="59"/>
      <c r="U431" s="59"/>
      <c r="V431" s="59"/>
      <c r="W431" s="59"/>
      <c r="X431" s="93" t="str">
        <f t="shared" si="35"/>
        <v>D</v>
      </c>
    </row>
    <row r="432" spans="1:24" s="66" customFormat="1" x14ac:dyDescent="0.25">
      <c r="A432" s="53"/>
      <c r="B432" s="91" t="str">
        <f>IFERROR(VLOOKUP(A432,Lookup!A:B,2,0),"")</f>
        <v/>
      </c>
      <c r="C432" s="92" t="str">
        <f>IFERROR(VLOOKUP(A432,Lookup!A:C,3,0),"")</f>
        <v/>
      </c>
      <c r="D432" s="59"/>
      <c r="E432" s="59"/>
      <c r="F432" s="59"/>
      <c r="G432" s="94"/>
      <c r="H432" s="59"/>
      <c r="I432" s="59"/>
      <c r="J432" s="106">
        <f>VLOOKUP(A432&amp;G432,Lookup!J:N,5,0)</f>
        <v>0</v>
      </c>
      <c r="K432" s="110"/>
      <c r="L432" s="59"/>
      <c r="M432" s="59"/>
      <c r="N432" s="59"/>
      <c r="O432" s="112">
        <v>17.7256944444444</v>
      </c>
      <c r="P432" s="110" t="str">
        <f t="shared" si="34"/>
        <v/>
      </c>
      <c r="Q432" s="59"/>
      <c r="R432" s="87" t="str">
        <f t="shared" si="36"/>
        <v/>
      </c>
      <c r="S432" s="87" t="str">
        <f t="shared" si="37"/>
        <v/>
      </c>
      <c r="T432" s="59"/>
      <c r="U432" s="59"/>
      <c r="V432" s="59"/>
      <c r="W432" s="59"/>
      <c r="X432" s="93" t="str">
        <f t="shared" si="35"/>
        <v>D</v>
      </c>
    </row>
    <row r="433" spans="1:24" s="66" customFormat="1" x14ac:dyDescent="0.25">
      <c r="A433" s="53"/>
      <c r="B433" s="91" t="str">
        <f>IFERROR(VLOOKUP(A433,Lookup!A:B,2,0),"")</f>
        <v/>
      </c>
      <c r="C433" s="92" t="str">
        <f>IFERROR(VLOOKUP(A433,Lookup!A:C,3,0),"")</f>
        <v/>
      </c>
      <c r="D433" s="59"/>
      <c r="E433" s="59"/>
      <c r="F433" s="59"/>
      <c r="G433" s="94"/>
      <c r="H433" s="59"/>
      <c r="I433" s="59"/>
      <c r="J433" s="106">
        <f>VLOOKUP(A433&amp;G433,Lookup!J:N,5,0)</f>
        <v>0</v>
      </c>
      <c r="K433" s="110"/>
      <c r="L433" s="59"/>
      <c r="M433" s="59"/>
      <c r="N433" s="59"/>
      <c r="O433" s="112">
        <v>17.7673611111111</v>
      </c>
      <c r="P433" s="110" t="str">
        <f t="shared" si="34"/>
        <v/>
      </c>
      <c r="Q433" s="59"/>
      <c r="R433" s="87" t="str">
        <f t="shared" si="36"/>
        <v/>
      </c>
      <c r="S433" s="87" t="str">
        <f t="shared" si="37"/>
        <v/>
      </c>
      <c r="T433" s="59"/>
      <c r="U433" s="59"/>
      <c r="V433" s="59"/>
      <c r="W433" s="59"/>
      <c r="X433" s="93" t="str">
        <f t="shared" si="35"/>
        <v>D</v>
      </c>
    </row>
    <row r="434" spans="1:24" s="66" customFormat="1" x14ac:dyDescent="0.25">
      <c r="A434" s="53"/>
      <c r="B434" s="91" t="str">
        <f>IFERROR(VLOOKUP(A434,Lookup!A:B,2,0),"")</f>
        <v/>
      </c>
      <c r="C434" s="92" t="str">
        <f>IFERROR(VLOOKUP(A434,Lookup!A:C,3,0),"")</f>
        <v/>
      </c>
      <c r="D434" s="59"/>
      <c r="E434" s="59"/>
      <c r="F434" s="59"/>
      <c r="G434" s="94"/>
      <c r="H434" s="59"/>
      <c r="I434" s="59"/>
      <c r="J434" s="106">
        <f>VLOOKUP(A434&amp;G434,Lookup!J:N,5,0)</f>
        <v>0</v>
      </c>
      <c r="K434" s="110"/>
      <c r="L434" s="59"/>
      <c r="M434" s="59"/>
      <c r="N434" s="59"/>
      <c r="O434" s="112">
        <v>17.8090277777778</v>
      </c>
      <c r="P434" s="110" t="str">
        <f t="shared" si="34"/>
        <v/>
      </c>
      <c r="Q434" s="59"/>
      <c r="R434" s="87" t="str">
        <f t="shared" si="36"/>
        <v/>
      </c>
      <c r="S434" s="87" t="str">
        <f t="shared" si="37"/>
        <v/>
      </c>
      <c r="T434" s="59"/>
      <c r="U434" s="59"/>
      <c r="V434" s="59"/>
      <c r="W434" s="59"/>
      <c r="X434" s="93" t="str">
        <f t="shared" si="35"/>
        <v>D</v>
      </c>
    </row>
    <row r="435" spans="1:24" s="66" customFormat="1" x14ac:dyDescent="0.25">
      <c r="A435" s="53"/>
      <c r="B435" s="91" t="str">
        <f>IFERROR(VLOOKUP(A435,Lookup!A:B,2,0),"")</f>
        <v/>
      </c>
      <c r="C435" s="92" t="str">
        <f>IFERROR(VLOOKUP(A435,Lookup!A:C,3,0),"")</f>
        <v/>
      </c>
      <c r="D435" s="59"/>
      <c r="E435" s="59"/>
      <c r="F435" s="59"/>
      <c r="G435" s="94"/>
      <c r="H435" s="59"/>
      <c r="I435" s="59"/>
      <c r="J435" s="106">
        <f>VLOOKUP(A435&amp;G435,Lookup!J:N,5,0)</f>
        <v>0</v>
      </c>
      <c r="K435" s="110"/>
      <c r="L435" s="59"/>
      <c r="M435" s="59"/>
      <c r="N435" s="59"/>
      <c r="O435" s="112">
        <v>17.8506944444444</v>
      </c>
      <c r="P435" s="110" t="str">
        <f t="shared" si="34"/>
        <v/>
      </c>
      <c r="Q435" s="59"/>
      <c r="R435" s="87" t="str">
        <f t="shared" si="36"/>
        <v/>
      </c>
      <c r="S435" s="87" t="str">
        <f t="shared" si="37"/>
        <v/>
      </c>
      <c r="T435" s="59"/>
      <c r="U435" s="59"/>
      <c r="V435" s="59"/>
      <c r="W435" s="59"/>
      <c r="X435" s="93" t="str">
        <f t="shared" si="35"/>
        <v>D</v>
      </c>
    </row>
    <row r="436" spans="1:24" s="66" customFormat="1" x14ac:dyDescent="0.25">
      <c r="A436" s="53"/>
      <c r="B436" s="91" t="str">
        <f>IFERROR(VLOOKUP(A436,Lookup!A:B,2,0),"")</f>
        <v/>
      </c>
      <c r="C436" s="92" t="str">
        <f>IFERROR(VLOOKUP(A436,Lookup!A:C,3,0),"")</f>
        <v/>
      </c>
      <c r="D436" s="59"/>
      <c r="E436" s="59"/>
      <c r="F436" s="59"/>
      <c r="G436" s="94"/>
      <c r="H436" s="59"/>
      <c r="I436" s="59"/>
      <c r="J436" s="106">
        <f>VLOOKUP(A436&amp;G436,Lookup!J:N,5,0)</f>
        <v>0</v>
      </c>
      <c r="K436" s="110"/>
      <c r="L436" s="59"/>
      <c r="M436" s="59"/>
      <c r="N436" s="59"/>
      <c r="O436" s="112">
        <v>17.8923611111111</v>
      </c>
      <c r="P436" s="110" t="str">
        <f t="shared" si="34"/>
        <v/>
      </c>
      <c r="Q436" s="59"/>
      <c r="R436" s="87" t="str">
        <f t="shared" si="36"/>
        <v/>
      </c>
      <c r="S436" s="87" t="str">
        <f t="shared" si="37"/>
        <v/>
      </c>
      <c r="T436" s="59"/>
      <c r="U436" s="59"/>
      <c r="V436" s="59"/>
      <c r="W436" s="59"/>
      <c r="X436" s="93" t="str">
        <f t="shared" si="35"/>
        <v>D</v>
      </c>
    </row>
    <row r="437" spans="1:24" s="66" customFormat="1" x14ac:dyDescent="0.25">
      <c r="A437" s="53"/>
      <c r="B437" s="91" t="str">
        <f>IFERROR(VLOOKUP(A437,Lookup!A:B,2,0),"")</f>
        <v/>
      </c>
      <c r="C437" s="92" t="str">
        <f>IFERROR(VLOOKUP(A437,Lookup!A:C,3,0),"")</f>
        <v/>
      </c>
      <c r="D437" s="59"/>
      <c r="E437" s="59"/>
      <c r="F437" s="59"/>
      <c r="G437" s="94"/>
      <c r="H437" s="59"/>
      <c r="I437" s="59"/>
      <c r="J437" s="106">
        <f>VLOOKUP(A437&amp;G437,Lookup!J:N,5,0)</f>
        <v>0</v>
      </c>
      <c r="K437" s="110"/>
      <c r="L437" s="59"/>
      <c r="M437" s="59"/>
      <c r="N437" s="59"/>
      <c r="O437" s="112">
        <v>17.9340277777778</v>
      </c>
      <c r="P437" s="110" t="str">
        <f t="shared" si="34"/>
        <v/>
      </c>
      <c r="Q437" s="59"/>
      <c r="R437" s="87" t="str">
        <f t="shared" si="36"/>
        <v/>
      </c>
      <c r="S437" s="87" t="str">
        <f t="shared" si="37"/>
        <v/>
      </c>
      <c r="T437" s="59"/>
      <c r="U437" s="59"/>
      <c r="V437" s="59"/>
      <c r="W437" s="59"/>
      <c r="X437" s="93" t="str">
        <f t="shared" si="35"/>
        <v>D</v>
      </c>
    </row>
    <row r="438" spans="1:24" s="66" customFormat="1" x14ac:dyDescent="0.25">
      <c r="A438" s="53"/>
      <c r="B438" s="91" t="str">
        <f>IFERROR(VLOOKUP(A438,Lookup!A:B,2,0),"")</f>
        <v/>
      </c>
      <c r="C438" s="92" t="str">
        <f>IFERROR(VLOOKUP(A438,Lookup!A:C,3,0),"")</f>
        <v/>
      </c>
      <c r="D438" s="59"/>
      <c r="E438" s="59"/>
      <c r="F438" s="59"/>
      <c r="G438" s="94"/>
      <c r="H438" s="59"/>
      <c r="I438" s="59"/>
      <c r="J438" s="106">
        <f>VLOOKUP(A438&amp;G438,Lookup!J:N,5,0)</f>
        <v>0</v>
      </c>
      <c r="K438" s="110"/>
      <c r="L438" s="59"/>
      <c r="M438" s="59"/>
      <c r="N438" s="59"/>
      <c r="O438" s="112">
        <v>17.9756944444444</v>
      </c>
      <c r="P438" s="110" t="str">
        <f t="shared" si="34"/>
        <v/>
      </c>
      <c r="Q438" s="59"/>
      <c r="R438" s="87" t="str">
        <f t="shared" si="36"/>
        <v/>
      </c>
      <c r="S438" s="87" t="str">
        <f t="shared" si="37"/>
        <v/>
      </c>
      <c r="T438" s="59"/>
      <c r="U438" s="59"/>
      <c r="V438" s="59"/>
      <c r="W438" s="59"/>
      <c r="X438" s="93" t="str">
        <f t="shared" si="35"/>
        <v>D</v>
      </c>
    </row>
    <row r="439" spans="1:24" s="66" customFormat="1" x14ac:dyDescent="0.25">
      <c r="A439" s="53"/>
      <c r="B439" s="91" t="str">
        <f>IFERROR(VLOOKUP(A439,Lookup!A:B,2,0),"")</f>
        <v/>
      </c>
      <c r="C439" s="92" t="str">
        <f>IFERROR(VLOOKUP(A439,Lookup!A:C,3,0),"")</f>
        <v/>
      </c>
      <c r="D439" s="59"/>
      <c r="E439" s="59"/>
      <c r="F439" s="59"/>
      <c r="G439" s="94"/>
      <c r="H439" s="59"/>
      <c r="I439" s="59"/>
      <c r="J439" s="106">
        <f>VLOOKUP(A439&amp;G439,Lookup!J:N,5,0)</f>
        <v>0</v>
      </c>
      <c r="K439" s="110"/>
      <c r="L439" s="59"/>
      <c r="M439" s="59"/>
      <c r="N439" s="59"/>
      <c r="O439" s="112">
        <v>18.0173611111111</v>
      </c>
      <c r="P439" s="110" t="str">
        <f t="shared" si="34"/>
        <v/>
      </c>
      <c r="Q439" s="59"/>
      <c r="R439" s="87" t="str">
        <f t="shared" si="36"/>
        <v/>
      </c>
      <c r="S439" s="87" t="str">
        <f t="shared" si="37"/>
        <v/>
      </c>
      <c r="T439" s="59"/>
      <c r="U439" s="59"/>
      <c r="V439" s="59"/>
      <c r="W439" s="59"/>
      <c r="X439" s="93" t="str">
        <f t="shared" si="35"/>
        <v>D</v>
      </c>
    </row>
    <row r="440" spans="1:24" s="66" customFormat="1" x14ac:dyDescent="0.25">
      <c r="A440" s="53"/>
      <c r="B440" s="91" t="str">
        <f>IFERROR(VLOOKUP(A440,Lookup!A:B,2,0),"")</f>
        <v/>
      </c>
      <c r="C440" s="92" t="str">
        <f>IFERROR(VLOOKUP(A440,Lookup!A:C,3,0),"")</f>
        <v/>
      </c>
      <c r="D440" s="59"/>
      <c r="E440" s="59"/>
      <c r="F440" s="59"/>
      <c r="G440" s="94"/>
      <c r="H440" s="59"/>
      <c r="I440" s="59"/>
      <c r="J440" s="106">
        <f>VLOOKUP(A440&amp;G440,Lookup!J:N,5,0)</f>
        <v>0</v>
      </c>
      <c r="K440" s="110"/>
      <c r="L440" s="59"/>
      <c r="M440" s="59"/>
      <c r="N440" s="59"/>
      <c r="O440" s="112">
        <v>18.0590277777778</v>
      </c>
      <c r="P440" s="110" t="str">
        <f t="shared" si="34"/>
        <v/>
      </c>
      <c r="Q440" s="59"/>
      <c r="R440" s="87" t="str">
        <f t="shared" si="36"/>
        <v/>
      </c>
      <c r="S440" s="87" t="str">
        <f t="shared" si="37"/>
        <v/>
      </c>
      <c r="T440" s="59"/>
      <c r="U440" s="59"/>
      <c r="V440" s="59"/>
      <c r="W440" s="59"/>
      <c r="X440" s="93" t="str">
        <f t="shared" si="35"/>
        <v>D</v>
      </c>
    </row>
    <row r="441" spans="1:24" s="66" customFormat="1" x14ac:dyDescent="0.25">
      <c r="A441" s="53"/>
      <c r="B441" s="91" t="str">
        <f>IFERROR(VLOOKUP(A441,Lookup!A:B,2,0),"")</f>
        <v/>
      </c>
      <c r="C441" s="92" t="str">
        <f>IFERROR(VLOOKUP(A441,Lookup!A:C,3,0),"")</f>
        <v/>
      </c>
      <c r="D441" s="59"/>
      <c r="E441" s="59"/>
      <c r="F441" s="59"/>
      <c r="G441" s="94"/>
      <c r="H441" s="59"/>
      <c r="I441" s="59"/>
      <c r="J441" s="106">
        <f>VLOOKUP(A441&amp;G441,Lookup!J:N,5,0)</f>
        <v>0</v>
      </c>
      <c r="K441" s="110"/>
      <c r="L441" s="59"/>
      <c r="M441" s="59"/>
      <c r="N441" s="59"/>
      <c r="O441" s="112">
        <v>18.1006944444444</v>
      </c>
      <c r="P441" s="110" t="str">
        <f t="shared" si="34"/>
        <v/>
      </c>
      <c r="Q441" s="59"/>
      <c r="R441" s="87" t="str">
        <f t="shared" si="36"/>
        <v/>
      </c>
      <c r="S441" s="87" t="str">
        <f t="shared" si="37"/>
        <v/>
      </c>
      <c r="T441" s="59"/>
      <c r="U441" s="59"/>
      <c r="V441" s="59"/>
      <c r="W441" s="59"/>
      <c r="X441" s="93" t="str">
        <f t="shared" si="35"/>
        <v>D</v>
      </c>
    </row>
    <row r="442" spans="1:24" s="66" customFormat="1" x14ac:dyDescent="0.25">
      <c r="A442" s="53"/>
      <c r="B442" s="91" t="str">
        <f>IFERROR(VLOOKUP(A442,Lookup!A:B,2,0),"")</f>
        <v/>
      </c>
      <c r="C442" s="92" t="str">
        <f>IFERROR(VLOOKUP(A442,Lookup!A:C,3,0),"")</f>
        <v/>
      </c>
      <c r="D442" s="59"/>
      <c r="E442" s="59"/>
      <c r="F442" s="59"/>
      <c r="G442" s="94"/>
      <c r="H442" s="59"/>
      <c r="I442" s="59"/>
      <c r="J442" s="106">
        <f>VLOOKUP(A442&amp;G442,Lookup!J:N,5,0)</f>
        <v>0</v>
      </c>
      <c r="K442" s="110"/>
      <c r="L442" s="59"/>
      <c r="M442" s="59"/>
      <c r="N442" s="59"/>
      <c r="O442" s="112">
        <v>18.1423611111111</v>
      </c>
      <c r="P442" s="110" t="str">
        <f t="shared" si="34"/>
        <v/>
      </c>
      <c r="Q442" s="59"/>
      <c r="R442" s="87" t="str">
        <f t="shared" si="36"/>
        <v/>
      </c>
      <c r="S442" s="87" t="str">
        <f t="shared" si="37"/>
        <v/>
      </c>
      <c r="T442" s="59"/>
      <c r="U442" s="59"/>
      <c r="V442" s="59"/>
      <c r="W442" s="59"/>
      <c r="X442" s="93" t="str">
        <f t="shared" si="35"/>
        <v>D</v>
      </c>
    </row>
    <row r="443" spans="1:24" s="66" customFormat="1" x14ac:dyDescent="0.25">
      <c r="A443" s="53"/>
      <c r="B443" s="91" t="str">
        <f>IFERROR(VLOOKUP(A443,Lookup!A:B,2,0),"")</f>
        <v/>
      </c>
      <c r="C443" s="92" t="str">
        <f>IFERROR(VLOOKUP(A443,Lookup!A:C,3,0),"")</f>
        <v/>
      </c>
      <c r="D443" s="59"/>
      <c r="E443" s="59"/>
      <c r="F443" s="59"/>
      <c r="G443" s="94"/>
      <c r="H443" s="59"/>
      <c r="I443" s="59"/>
      <c r="J443" s="106">
        <f>VLOOKUP(A443&amp;G443,Lookup!J:N,5,0)</f>
        <v>0</v>
      </c>
      <c r="K443" s="110"/>
      <c r="L443" s="59"/>
      <c r="M443" s="59"/>
      <c r="N443" s="59"/>
      <c r="O443" s="112">
        <v>18.1840277777778</v>
      </c>
      <c r="P443" s="110" t="str">
        <f t="shared" si="34"/>
        <v/>
      </c>
      <c r="Q443" s="59"/>
      <c r="R443" s="87" t="str">
        <f t="shared" si="36"/>
        <v/>
      </c>
      <c r="S443" s="87" t="str">
        <f t="shared" si="37"/>
        <v/>
      </c>
      <c r="T443" s="59"/>
      <c r="U443" s="59"/>
      <c r="V443" s="59"/>
      <c r="W443" s="59"/>
      <c r="X443" s="93" t="str">
        <f t="shared" si="35"/>
        <v>D</v>
      </c>
    </row>
    <row r="444" spans="1:24" s="66" customFormat="1" x14ac:dyDescent="0.25">
      <c r="A444" s="53"/>
      <c r="B444" s="91" t="str">
        <f>IFERROR(VLOOKUP(A444,Lookup!A:B,2,0),"")</f>
        <v/>
      </c>
      <c r="C444" s="92" t="str">
        <f>IFERROR(VLOOKUP(A444,Lookup!A:C,3,0),"")</f>
        <v/>
      </c>
      <c r="D444" s="59"/>
      <c r="E444" s="59"/>
      <c r="F444" s="59"/>
      <c r="G444" s="94"/>
      <c r="H444" s="59"/>
      <c r="I444" s="59"/>
      <c r="J444" s="106">
        <f>VLOOKUP(A444&amp;G444,Lookup!J:N,5,0)</f>
        <v>0</v>
      </c>
      <c r="K444" s="110"/>
      <c r="L444" s="59"/>
      <c r="M444" s="59"/>
      <c r="N444" s="59"/>
      <c r="O444" s="112">
        <v>18.2256944444444</v>
      </c>
      <c r="P444" s="110" t="str">
        <f t="shared" si="34"/>
        <v/>
      </c>
      <c r="Q444" s="59"/>
      <c r="R444" s="87" t="str">
        <f t="shared" si="36"/>
        <v/>
      </c>
      <c r="S444" s="87" t="str">
        <f t="shared" si="37"/>
        <v/>
      </c>
      <c r="T444" s="59"/>
      <c r="U444" s="59"/>
      <c r="V444" s="59"/>
      <c r="W444" s="59"/>
      <c r="X444" s="93" t="str">
        <f t="shared" si="35"/>
        <v>D</v>
      </c>
    </row>
    <row r="445" spans="1:24" s="66" customFormat="1" x14ac:dyDescent="0.25">
      <c r="A445" s="53"/>
      <c r="B445" s="91" t="str">
        <f>IFERROR(VLOOKUP(A445,Lookup!A:B,2,0),"")</f>
        <v/>
      </c>
      <c r="C445" s="92" t="str">
        <f>IFERROR(VLOOKUP(A445,Lookup!A:C,3,0),"")</f>
        <v/>
      </c>
      <c r="D445" s="59"/>
      <c r="E445" s="59"/>
      <c r="F445" s="59"/>
      <c r="G445" s="94"/>
      <c r="H445" s="59"/>
      <c r="I445" s="59"/>
      <c r="J445" s="106">
        <f>VLOOKUP(A445&amp;G445,Lookup!J:N,5,0)</f>
        <v>0</v>
      </c>
      <c r="K445" s="110"/>
      <c r="L445" s="59"/>
      <c r="M445" s="59"/>
      <c r="N445" s="59"/>
      <c r="O445" s="112">
        <v>18.2673611111111</v>
      </c>
      <c r="P445" s="110" t="str">
        <f t="shared" si="34"/>
        <v/>
      </c>
      <c r="Q445" s="59"/>
      <c r="R445" s="87" t="str">
        <f t="shared" si="36"/>
        <v/>
      </c>
      <c r="S445" s="87" t="str">
        <f t="shared" si="37"/>
        <v/>
      </c>
      <c r="T445" s="59"/>
      <c r="U445" s="59"/>
      <c r="V445" s="59"/>
      <c r="W445" s="59"/>
      <c r="X445" s="93" t="str">
        <f t="shared" si="35"/>
        <v>D</v>
      </c>
    </row>
    <row r="446" spans="1:24" s="66" customFormat="1" x14ac:dyDescent="0.25">
      <c r="A446" s="53"/>
      <c r="B446" s="91" t="str">
        <f>IFERROR(VLOOKUP(A446,Lookup!A:B,2,0),"")</f>
        <v/>
      </c>
      <c r="C446" s="92" t="str">
        <f>IFERROR(VLOOKUP(A446,Lookup!A:C,3,0),"")</f>
        <v/>
      </c>
      <c r="D446" s="59"/>
      <c r="E446" s="59"/>
      <c r="F446" s="59"/>
      <c r="G446" s="94"/>
      <c r="H446" s="59"/>
      <c r="I446" s="59"/>
      <c r="J446" s="106">
        <f>VLOOKUP(A446&amp;G446,Lookup!J:N,5,0)</f>
        <v>0</v>
      </c>
      <c r="K446" s="110"/>
      <c r="L446" s="59"/>
      <c r="M446" s="59"/>
      <c r="N446" s="59"/>
      <c r="O446" s="112">
        <v>18.3090277777778</v>
      </c>
      <c r="P446" s="110" t="str">
        <f t="shared" si="34"/>
        <v/>
      </c>
      <c r="Q446" s="59"/>
      <c r="R446" s="87" t="str">
        <f t="shared" si="36"/>
        <v/>
      </c>
      <c r="S446" s="87" t="str">
        <f t="shared" si="37"/>
        <v/>
      </c>
      <c r="T446" s="59"/>
      <c r="U446" s="59"/>
      <c r="V446" s="59"/>
      <c r="W446" s="59"/>
      <c r="X446" s="93" t="str">
        <f t="shared" si="35"/>
        <v>D</v>
      </c>
    </row>
    <row r="447" spans="1:24" s="66" customFormat="1" x14ac:dyDescent="0.25">
      <c r="A447" s="53"/>
      <c r="B447" s="91" t="str">
        <f>IFERROR(VLOOKUP(A447,Lookup!A:B,2,0),"")</f>
        <v/>
      </c>
      <c r="C447" s="92" t="str">
        <f>IFERROR(VLOOKUP(A447,Lookup!A:C,3,0),"")</f>
        <v/>
      </c>
      <c r="D447" s="59"/>
      <c r="E447" s="59"/>
      <c r="F447" s="59"/>
      <c r="G447" s="94"/>
      <c r="H447" s="59"/>
      <c r="I447" s="59"/>
      <c r="J447" s="106">
        <f>VLOOKUP(A447&amp;G447,Lookup!J:N,5,0)</f>
        <v>0</v>
      </c>
      <c r="K447" s="110"/>
      <c r="L447" s="59"/>
      <c r="M447" s="59"/>
      <c r="N447" s="59"/>
      <c r="O447" s="112">
        <v>18.3506944444444</v>
      </c>
      <c r="P447" s="110" t="str">
        <f t="shared" si="34"/>
        <v/>
      </c>
      <c r="Q447" s="59"/>
      <c r="R447" s="87" t="str">
        <f t="shared" si="36"/>
        <v/>
      </c>
      <c r="S447" s="87" t="str">
        <f t="shared" si="37"/>
        <v/>
      </c>
      <c r="T447" s="59"/>
      <c r="U447" s="59"/>
      <c r="V447" s="59"/>
      <c r="W447" s="59"/>
      <c r="X447" s="93" t="str">
        <f t="shared" si="35"/>
        <v>D</v>
      </c>
    </row>
    <row r="448" spans="1:24" s="66" customFormat="1" x14ac:dyDescent="0.25">
      <c r="A448" s="53"/>
      <c r="B448" s="91" t="str">
        <f>IFERROR(VLOOKUP(A448,Lookup!A:B,2,0),"")</f>
        <v/>
      </c>
      <c r="C448" s="92" t="str">
        <f>IFERROR(VLOOKUP(A448,Lookup!A:C,3,0),"")</f>
        <v/>
      </c>
      <c r="D448" s="59"/>
      <c r="E448" s="59"/>
      <c r="F448" s="59"/>
      <c r="G448" s="94"/>
      <c r="H448" s="59"/>
      <c r="I448" s="59"/>
      <c r="J448" s="106">
        <f>VLOOKUP(A448&amp;G448,Lookup!J:N,5,0)</f>
        <v>0</v>
      </c>
      <c r="K448" s="110"/>
      <c r="L448" s="59"/>
      <c r="M448" s="59"/>
      <c r="N448" s="59"/>
      <c r="O448" s="112">
        <v>18.3923611111111</v>
      </c>
      <c r="P448" s="110" t="str">
        <f t="shared" si="34"/>
        <v/>
      </c>
      <c r="Q448" s="59"/>
      <c r="R448" s="87" t="str">
        <f t="shared" si="36"/>
        <v/>
      </c>
      <c r="S448" s="87" t="str">
        <f t="shared" si="37"/>
        <v/>
      </c>
      <c r="T448" s="59"/>
      <c r="U448" s="59"/>
      <c r="V448" s="59"/>
      <c r="W448" s="59"/>
      <c r="X448" s="93" t="str">
        <f t="shared" si="35"/>
        <v>D</v>
      </c>
    </row>
    <row r="449" spans="1:24" s="66" customFormat="1" x14ac:dyDescent="0.25">
      <c r="A449" s="53"/>
      <c r="B449" s="91" t="str">
        <f>IFERROR(VLOOKUP(A449,Lookup!A:B,2,0),"")</f>
        <v/>
      </c>
      <c r="C449" s="92" t="str">
        <f>IFERROR(VLOOKUP(A449,Lookup!A:C,3,0),"")</f>
        <v/>
      </c>
      <c r="D449" s="59"/>
      <c r="E449" s="59"/>
      <c r="F449" s="59"/>
      <c r="G449" s="94"/>
      <c r="H449" s="59"/>
      <c r="I449" s="59"/>
      <c r="J449" s="106">
        <f>VLOOKUP(A449&amp;G449,Lookup!J:N,5,0)</f>
        <v>0</v>
      </c>
      <c r="K449" s="110"/>
      <c r="L449" s="59"/>
      <c r="M449" s="59"/>
      <c r="N449" s="59"/>
      <c r="O449" s="112">
        <v>18.4340277777778</v>
      </c>
      <c r="P449" s="110" t="str">
        <f t="shared" si="34"/>
        <v/>
      </c>
      <c r="Q449" s="59"/>
      <c r="R449" s="87" t="str">
        <f t="shared" si="36"/>
        <v/>
      </c>
      <c r="S449" s="87" t="str">
        <f t="shared" si="37"/>
        <v/>
      </c>
      <c r="T449" s="59"/>
      <c r="U449" s="59"/>
      <c r="V449" s="59"/>
      <c r="W449" s="59"/>
      <c r="X449" s="93" t="str">
        <f t="shared" si="35"/>
        <v>D</v>
      </c>
    </row>
    <row r="450" spans="1:24" s="66" customFormat="1" x14ac:dyDescent="0.25">
      <c r="A450" s="53"/>
      <c r="B450" s="91" t="str">
        <f>IFERROR(VLOOKUP(A450,Lookup!A:B,2,0),"")</f>
        <v/>
      </c>
      <c r="C450" s="92" t="str">
        <f>IFERROR(VLOOKUP(A450,Lookup!A:C,3,0),"")</f>
        <v/>
      </c>
      <c r="D450" s="59"/>
      <c r="E450" s="59"/>
      <c r="F450" s="59"/>
      <c r="G450" s="94"/>
      <c r="H450" s="59"/>
      <c r="I450" s="59"/>
      <c r="J450" s="106">
        <f>VLOOKUP(A450&amp;G450,Lookup!J:N,5,0)</f>
        <v>0</v>
      </c>
      <c r="K450" s="110"/>
      <c r="L450" s="59"/>
      <c r="M450" s="59"/>
      <c r="N450" s="59"/>
      <c r="O450" s="112">
        <v>18.4756944444444</v>
      </c>
      <c r="P450" s="110" t="str">
        <f t="shared" si="34"/>
        <v/>
      </c>
      <c r="Q450" s="59"/>
      <c r="R450" s="87" t="str">
        <f t="shared" si="36"/>
        <v/>
      </c>
      <c r="S450" s="87" t="str">
        <f t="shared" si="37"/>
        <v/>
      </c>
      <c r="T450" s="59"/>
      <c r="U450" s="59"/>
      <c r="V450" s="59"/>
      <c r="W450" s="59"/>
      <c r="X450" s="93" t="str">
        <f t="shared" si="35"/>
        <v>D</v>
      </c>
    </row>
    <row r="451" spans="1:24" s="66" customFormat="1" x14ac:dyDescent="0.25">
      <c r="A451" s="53"/>
      <c r="B451" s="91" t="str">
        <f>IFERROR(VLOOKUP(A451,Lookup!A:B,2,0),"")</f>
        <v/>
      </c>
      <c r="C451" s="92" t="str">
        <f>IFERROR(VLOOKUP(A451,Lookup!A:C,3,0),"")</f>
        <v/>
      </c>
      <c r="D451" s="59"/>
      <c r="E451" s="59"/>
      <c r="F451" s="59"/>
      <c r="G451" s="94"/>
      <c r="H451" s="59"/>
      <c r="I451" s="59"/>
      <c r="J451" s="106">
        <f>VLOOKUP(A451&amp;G451,Lookup!J:N,5,0)</f>
        <v>0</v>
      </c>
      <c r="K451" s="110"/>
      <c r="L451" s="59"/>
      <c r="M451" s="59"/>
      <c r="N451" s="59"/>
      <c r="O451" s="112">
        <v>18.5173611111111</v>
      </c>
      <c r="P451" s="110" t="str">
        <f t="shared" ref="P451:P514" si="38">IF(N451="","",N451+O451)</f>
        <v/>
      </c>
      <c r="Q451" s="59"/>
      <c r="R451" s="87" t="str">
        <f t="shared" si="36"/>
        <v/>
      </c>
      <c r="S451" s="87" t="str">
        <f t="shared" si="37"/>
        <v/>
      </c>
      <c r="T451" s="59"/>
      <c r="U451" s="59"/>
      <c r="V451" s="59"/>
      <c r="W451" s="59"/>
      <c r="X451" s="93" t="str">
        <f t="shared" ref="X451:X514" si="39">IF(I451="SET","A",IF(I451="FREQ","C",IF(I451="","D","B")))</f>
        <v>D</v>
      </c>
    </row>
    <row r="452" spans="1:24" s="66" customFormat="1" x14ac:dyDescent="0.25">
      <c r="A452" s="53"/>
      <c r="B452" s="91" t="str">
        <f>IFERROR(VLOOKUP(A452,Lookup!A:B,2,0),"")</f>
        <v/>
      </c>
      <c r="C452" s="92" t="str">
        <f>IFERROR(VLOOKUP(A452,Lookup!A:C,3,0),"")</f>
        <v/>
      </c>
      <c r="D452" s="59"/>
      <c r="E452" s="59"/>
      <c r="F452" s="59"/>
      <c r="G452" s="94"/>
      <c r="H452" s="59"/>
      <c r="I452" s="59"/>
      <c r="J452" s="106">
        <f>VLOOKUP(A452&amp;G452,Lookup!J:N,5,0)</f>
        <v>0</v>
      </c>
      <c r="K452" s="110"/>
      <c r="L452" s="59"/>
      <c r="M452" s="59"/>
      <c r="N452" s="59"/>
      <c r="O452" s="112">
        <v>18.5590277777778</v>
      </c>
      <c r="P452" s="110" t="str">
        <f t="shared" si="38"/>
        <v/>
      </c>
      <c r="Q452" s="59"/>
      <c r="R452" s="87" t="str">
        <f t="shared" si="36"/>
        <v/>
      </c>
      <c r="S452" s="87" t="str">
        <f t="shared" si="37"/>
        <v/>
      </c>
      <c r="T452" s="59"/>
      <c r="U452" s="59"/>
      <c r="V452" s="59"/>
      <c r="W452" s="59"/>
      <c r="X452" s="93" t="str">
        <f t="shared" si="39"/>
        <v>D</v>
      </c>
    </row>
    <row r="453" spans="1:24" s="66" customFormat="1" x14ac:dyDescent="0.25">
      <c r="A453" s="53"/>
      <c r="B453" s="91" t="str">
        <f>IFERROR(VLOOKUP(A453,Lookup!A:B,2,0),"")</f>
        <v/>
      </c>
      <c r="C453" s="92" t="str">
        <f>IFERROR(VLOOKUP(A453,Lookup!A:C,3,0),"")</f>
        <v/>
      </c>
      <c r="D453" s="59"/>
      <c r="E453" s="59"/>
      <c r="F453" s="59"/>
      <c r="G453" s="94"/>
      <c r="H453" s="59"/>
      <c r="I453" s="59"/>
      <c r="J453" s="106">
        <f>VLOOKUP(A453&amp;G453,Lookup!J:N,5,0)</f>
        <v>0</v>
      </c>
      <c r="K453" s="110"/>
      <c r="L453" s="59"/>
      <c r="M453" s="59"/>
      <c r="N453" s="59"/>
      <c r="O453" s="112">
        <v>18.6006944444444</v>
      </c>
      <c r="P453" s="110" t="str">
        <f t="shared" si="38"/>
        <v/>
      </c>
      <c r="Q453" s="59"/>
      <c r="R453" s="87" t="str">
        <f t="shared" si="36"/>
        <v/>
      </c>
      <c r="S453" s="87" t="str">
        <f t="shared" si="37"/>
        <v/>
      </c>
      <c r="T453" s="59"/>
      <c r="U453" s="59"/>
      <c r="V453" s="59"/>
      <c r="W453" s="59"/>
      <c r="X453" s="93" t="str">
        <f t="shared" si="39"/>
        <v>D</v>
      </c>
    </row>
    <row r="454" spans="1:24" s="66" customFormat="1" x14ac:dyDescent="0.25">
      <c r="A454" s="53"/>
      <c r="B454" s="91" t="str">
        <f>IFERROR(VLOOKUP(A454,Lookup!A:B,2,0),"")</f>
        <v/>
      </c>
      <c r="C454" s="92" t="str">
        <f>IFERROR(VLOOKUP(A454,Lookup!A:C,3,0),"")</f>
        <v/>
      </c>
      <c r="D454" s="59"/>
      <c r="E454" s="59"/>
      <c r="F454" s="59"/>
      <c r="G454" s="94"/>
      <c r="H454" s="59"/>
      <c r="I454" s="59"/>
      <c r="J454" s="106">
        <f>VLOOKUP(A454&amp;G454,Lookup!J:N,5,0)</f>
        <v>0</v>
      </c>
      <c r="K454" s="110"/>
      <c r="L454" s="59"/>
      <c r="M454" s="59"/>
      <c r="N454" s="59"/>
      <c r="O454" s="112">
        <v>18.6423611111111</v>
      </c>
      <c r="P454" s="110" t="str">
        <f t="shared" si="38"/>
        <v/>
      </c>
      <c r="Q454" s="59"/>
      <c r="R454" s="87" t="str">
        <f t="shared" si="36"/>
        <v/>
      </c>
      <c r="S454" s="87" t="str">
        <f t="shared" si="37"/>
        <v/>
      </c>
      <c r="T454" s="59"/>
      <c r="U454" s="59"/>
      <c r="V454" s="59"/>
      <c r="W454" s="59"/>
      <c r="X454" s="93" t="str">
        <f t="shared" si="39"/>
        <v>D</v>
      </c>
    </row>
    <row r="455" spans="1:24" s="66" customFormat="1" x14ac:dyDescent="0.25">
      <c r="A455" s="53"/>
      <c r="B455" s="91" t="str">
        <f>IFERROR(VLOOKUP(A455,Lookup!A:B,2,0),"")</f>
        <v/>
      </c>
      <c r="C455" s="92" t="str">
        <f>IFERROR(VLOOKUP(A455,Lookup!A:C,3,0),"")</f>
        <v/>
      </c>
      <c r="D455" s="59"/>
      <c r="E455" s="59"/>
      <c r="F455" s="59"/>
      <c r="G455" s="94"/>
      <c r="H455" s="59"/>
      <c r="I455" s="59"/>
      <c r="J455" s="106">
        <f>VLOOKUP(A455&amp;G455,Lookup!J:N,5,0)</f>
        <v>0</v>
      </c>
      <c r="K455" s="110"/>
      <c r="L455" s="59"/>
      <c r="M455" s="59"/>
      <c r="N455" s="59"/>
      <c r="O455" s="112">
        <v>18.6840277777778</v>
      </c>
      <c r="P455" s="110" t="str">
        <f t="shared" si="38"/>
        <v/>
      </c>
      <c r="Q455" s="59"/>
      <c r="R455" s="87" t="str">
        <f t="shared" ref="R455:R518" si="40">IF(OR(EXACT(N455,""), EXACT(L455,"")),"",N455-L455)</f>
        <v/>
      </c>
      <c r="S455" s="87" t="str">
        <f t="shared" ref="S455:S518" si="41">IF(OR(EXACT(Q455,""), EXACT(L455,"")),"",Q455-L455)</f>
        <v/>
      </c>
      <c r="T455" s="59"/>
      <c r="U455" s="59"/>
      <c r="V455" s="59"/>
      <c r="W455" s="59"/>
      <c r="X455" s="93" t="str">
        <f t="shared" si="39"/>
        <v>D</v>
      </c>
    </row>
    <row r="456" spans="1:24" s="66" customFormat="1" x14ac:dyDescent="0.25">
      <c r="A456" s="53"/>
      <c r="B456" s="91" t="str">
        <f>IFERROR(VLOOKUP(A456,Lookup!A:B,2,0),"")</f>
        <v/>
      </c>
      <c r="C456" s="92" t="str">
        <f>IFERROR(VLOOKUP(A456,Lookup!A:C,3,0),"")</f>
        <v/>
      </c>
      <c r="D456" s="59"/>
      <c r="E456" s="59"/>
      <c r="F456" s="59"/>
      <c r="G456" s="94"/>
      <c r="H456" s="59"/>
      <c r="I456" s="59"/>
      <c r="J456" s="106">
        <f>VLOOKUP(A456&amp;G456,Lookup!J:N,5,0)</f>
        <v>0</v>
      </c>
      <c r="K456" s="110"/>
      <c r="L456" s="59"/>
      <c r="M456" s="59"/>
      <c r="N456" s="59"/>
      <c r="O456" s="112">
        <v>18.7256944444444</v>
      </c>
      <c r="P456" s="110" t="str">
        <f t="shared" si="38"/>
        <v/>
      </c>
      <c r="Q456" s="59"/>
      <c r="R456" s="87" t="str">
        <f t="shared" si="40"/>
        <v/>
      </c>
      <c r="S456" s="87" t="str">
        <f t="shared" si="41"/>
        <v/>
      </c>
      <c r="T456" s="59"/>
      <c r="U456" s="59"/>
      <c r="V456" s="59"/>
      <c r="W456" s="59"/>
      <c r="X456" s="93" t="str">
        <f t="shared" si="39"/>
        <v>D</v>
      </c>
    </row>
    <row r="457" spans="1:24" s="66" customFormat="1" x14ac:dyDescent="0.25">
      <c r="A457" s="53"/>
      <c r="B457" s="91" t="str">
        <f>IFERROR(VLOOKUP(A457,Lookup!A:B,2,0),"")</f>
        <v/>
      </c>
      <c r="C457" s="92" t="str">
        <f>IFERROR(VLOOKUP(A457,Lookup!A:C,3,0),"")</f>
        <v/>
      </c>
      <c r="D457" s="59"/>
      <c r="E457" s="59"/>
      <c r="F457" s="59"/>
      <c r="G457" s="94"/>
      <c r="H457" s="59"/>
      <c r="I457" s="59"/>
      <c r="J457" s="106">
        <f>VLOOKUP(A457&amp;G457,Lookup!J:N,5,0)</f>
        <v>0</v>
      </c>
      <c r="K457" s="110"/>
      <c r="L457" s="59"/>
      <c r="M457" s="59"/>
      <c r="N457" s="59"/>
      <c r="O457" s="112">
        <v>18.7673611111111</v>
      </c>
      <c r="P457" s="110" t="str">
        <f t="shared" si="38"/>
        <v/>
      </c>
      <c r="Q457" s="59"/>
      <c r="R457" s="87" t="str">
        <f t="shared" si="40"/>
        <v/>
      </c>
      <c r="S457" s="87" t="str">
        <f t="shared" si="41"/>
        <v/>
      </c>
      <c r="T457" s="59"/>
      <c r="U457" s="59"/>
      <c r="V457" s="59"/>
      <c r="W457" s="59"/>
      <c r="X457" s="93" t="str">
        <f t="shared" si="39"/>
        <v>D</v>
      </c>
    </row>
    <row r="458" spans="1:24" s="66" customFormat="1" x14ac:dyDescent="0.25">
      <c r="A458" s="53"/>
      <c r="B458" s="91" t="str">
        <f>IFERROR(VLOOKUP(A458,Lookup!A:B,2,0),"")</f>
        <v/>
      </c>
      <c r="C458" s="92" t="str">
        <f>IFERROR(VLOOKUP(A458,Lookup!A:C,3,0),"")</f>
        <v/>
      </c>
      <c r="D458" s="59"/>
      <c r="E458" s="59"/>
      <c r="F458" s="59"/>
      <c r="G458" s="94"/>
      <c r="H458" s="59"/>
      <c r="I458" s="59"/>
      <c r="J458" s="106">
        <f>VLOOKUP(A458&amp;G458,Lookup!J:N,5,0)</f>
        <v>0</v>
      </c>
      <c r="K458" s="110"/>
      <c r="L458" s="59"/>
      <c r="M458" s="59"/>
      <c r="N458" s="59"/>
      <c r="O458" s="112">
        <v>18.8090277777778</v>
      </c>
      <c r="P458" s="110" t="str">
        <f t="shared" si="38"/>
        <v/>
      </c>
      <c r="Q458" s="59"/>
      <c r="R458" s="87" t="str">
        <f t="shared" si="40"/>
        <v/>
      </c>
      <c r="S458" s="87" t="str">
        <f t="shared" si="41"/>
        <v/>
      </c>
      <c r="T458" s="59"/>
      <c r="U458" s="59"/>
      <c r="V458" s="59"/>
      <c r="W458" s="59"/>
      <c r="X458" s="93" t="str">
        <f t="shared" si="39"/>
        <v>D</v>
      </c>
    </row>
    <row r="459" spans="1:24" s="66" customFormat="1" x14ac:dyDescent="0.25">
      <c r="A459" s="53"/>
      <c r="B459" s="91" t="str">
        <f>IFERROR(VLOOKUP(A459,Lookup!A:B,2,0),"")</f>
        <v/>
      </c>
      <c r="C459" s="92" t="str">
        <f>IFERROR(VLOOKUP(A459,Lookup!A:C,3,0),"")</f>
        <v/>
      </c>
      <c r="D459" s="59"/>
      <c r="E459" s="59"/>
      <c r="F459" s="59"/>
      <c r="G459" s="94"/>
      <c r="H459" s="59"/>
      <c r="I459" s="59"/>
      <c r="J459" s="106">
        <f>VLOOKUP(A459&amp;G459,Lookup!J:N,5,0)</f>
        <v>0</v>
      </c>
      <c r="K459" s="110"/>
      <c r="L459" s="59"/>
      <c r="M459" s="59"/>
      <c r="N459" s="59"/>
      <c r="O459" s="112">
        <v>18.8506944444444</v>
      </c>
      <c r="P459" s="110" t="str">
        <f t="shared" si="38"/>
        <v/>
      </c>
      <c r="Q459" s="59"/>
      <c r="R459" s="87" t="str">
        <f t="shared" si="40"/>
        <v/>
      </c>
      <c r="S459" s="87" t="str">
        <f t="shared" si="41"/>
        <v/>
      </c>
      <c r="T459" s="59"/>
      <c r="U459" s="59"/>
      <c r="V459" s="59"/>
      <c r="W459" s="59"/>
      <c r="X459" s="93" t="str">
        <f t="shared" si="39"/>
        <v>D</v>
      </c>
    </row>
    <row r="460" spans="1:24" s="66" customFormat="1" x14ac:dyDescent="0.25">
      <c r="A460" s="53"/>
      <c r="B460" s="91" t="str">
        <f>IFERROR(VLOOKUP(A460,Lookup!A:B,2,0),"")</f>
        <v/>
      </c>
      <c r="C460" s="92" t="str">
        <f>IFERROR(VLOOKUP(A460,Lookup!A:C,3,0),"")</f>
        <v/>
      </c>
      <c r="D460" s="59"/>
      <c r="E460" s="59"/>
      <c r="F460" s="59"/>
      <c r="G460" s="94"/>
      <c r="H460" s="59"/>
      <c r="I460" s="59"/>
      <c r="J460" s="106">
        <f>VLOOKUP(A460&amp;G460,Lookup!J:N,5,0)</f>
        <v>0</v>
      </c>
      <c r="K460" s="110"/>
      <c r="L460" s="59"/>
      <c r="M460" s="59"/>
      <c r="N460" s="59"/>
      <c r="O460" s="112">
        <v>18.8923611111111</v>
      </c>
      <c r="P460" s="110" t="str">
        <f t="shared" si="38"/>
        <v/>
      </c>
      <c r="Q460" s="59"/>
      <c r="R460" s="87" t="str">
        <f t="shared" si="40"/>
        <v/>
      </c>
      <c r="S460" s="87" t="str">
        <f t="shared" si="41"/>
        <v/>
      </c>
      <c r="T460" s="59"/>
      <c r="U460" s="59"/>
      <c r="V460" s="59"/>
      <c r="W460" s="59"/>
      <c r="X460" s="93" t="str">
        <f t="shared" si="39"/>
        <v>D</v>
      </c>
    </row>
    <row r="461" spans="1:24" s="66" customFormat="1" x14ac:dyDescent="0.25">
      <c r="A461" s="53"/>
      <c r="B461" s="91" t="str">
        <f>IFERROR(VLOOKUP(A461,Lookup!A:B,2,0),"")</f>
        <v/>
      </c>
      <c r="C461" s="92" t="str">
        <f>IFERROR(VLOOKUP(A461,Lookup!A:C,3,0),"")</f>
        <v/>
      </c>
      <c r="D461" s="59"/>
      <c r="E461" s="59"/>
      <c r="F461" s="59"/>
      <c r="G461" s="94"/>
      <c r="H461" s="59"/>
      <c r="I461" s="59"/>
      <c r="J461" s="106">
        <f>VLOOKUP(A461&amp;G461,Lookup!J:N,5,0)</f>
        <v>0</v>
      </c>
      <c r="K461" s="110"/>
      <c r="L461" s="59"/>
      <c r="M461" s="59"/>
      <c r="N461" s="59"/>
      <c r="O461" s="112">
        <v>18.9340277777778</v>
      </c>
      <c r="P461" s="110" t="str">
        <f t="shared" si="38"/>
        <v/>
      </c>
      <c r="Q461" s="59"/>
      <c r="R461" s="87" t="str">
        <f t="shared" si="40"/>
        <v/>
      </c>
      <c r="S461" s="87" t="str">
        <f t="shared" si="41"/>
        <v/>
      </c>
      <c r="T461" s="59"/>
      <c r="U461" s="59"/>
      <c r="V461" s="59"/>
      <c r="W461" s="59"/>
      <c r="X461" s="93" t="str">
        <f t="shared" si="39"/>
        <v>D</v>
      </c>
    </row>
    <row r="462" spans="1:24" s="66" customFormat="1" x14ac:dyDescent="0.25">
      <c r="A462" s="53"/>
      <c r="B462" s="91" t="str">
        <f>IFERROR(VLOOKUP(A462,Lookup!A:B,2,0),"")</f>
        <v/>
      </c>
      <c r="C462" s="92" t="str">
        <f>IFERROR(VLOOKUP(A462,Lookup!A:C,3,0),"")</f>
        <v/>
      </c>
      <c r="D462" s="59"/>
      <c r="E462" s="59"/>
      <c r="F462" s="59"/>
      <c r="G462" s="94"/>
      <c r="H462" s="59"/>
      <c r="I462" s="59"/>
      <c r="J462" s="106">
        <f>VLOOKUP(A462&amp;G462,Lookup!J:N,5,0)</f>
        <v>0</v>
      </c>
      <c r="K462" s="110"/>
      <c r="L462" s="59"/>
      <c r="M462" s="59"/>
      <c r="N462" s="59"/>
      <c r="O462" s="112">
        <v>18.9756944444444</v>
      </c>
      <c r="P462" s="110" t="str">
        <f t="shared" si="38"/>
        <v/>
      </c>
      <c r="Q462" s="59"/>
      <c r="R462" s="87" t="str">
        <f t="shared" si="40"/>
        <v/>
      </c>
      <c r="S462" s="87" t="str">
        <f t="shared" si="41"/>
        <v/>
      </c>
      <c r="T462" s="59"/>
      <c r="U462" s="59"/>
      <c r="V462" s="59"/>
      <c r="W462" s="59"/>
      <c r="X462" s="93" t="str">
        <f t="shared" si="39"/>
        <v>D</v>
      </c>
    </row>
    <row r="463" spans="1:24" s="66" customFormat="1" x14ac:dyDescent="0.25">
      <c r="A463" s="53"/>
      <c r="B463" s="91" t="str">
        <f>IFERROR(VLOOKUP(A463,Lookup!A:B,2,0),"")</f>
        <v/>
      </c>
      <c r="C463" s="92" t="str">
        <f>IFERROR(VLOOKUP(A463,Lookup!A:C,3,0),"")</f>
        <v/>
      </c>
      <c r="D463" s="59"/>
      <c r="E463" s="59"/>
      <c r="F463" s="59"/>
      <c r="G463" s="94"/>
      <c r="H463" s="59"/>
      <c r="I463" s="59"/>
      <c r="J463" s="106">
        <f>VLOOKUP(A463&amp;G463,Lookup!J:N,5,0)</f>
        <v>0</v>
      </c>
      <c r="K463" s="110"/>
      <c r="L463" s="59"/>
      <c r="M463" s="59"/>
      <c r="N463" s="59"/>
      <c r="O463" s="112">
        <v>19.0173611111111</v>
      </c>
      <c r="P463" s="110" t="str">
        <f t="shared" si="38"/>
        <v/>
      </c>
      <c r="Q463" s="59"/>
      <c r="R463" s="87" t="str">
        <f t="shared" si="40"/>
        <v/>
      </c>
      <c r="S463" s="87" t="str">
        <f t="shared" si="41"/>
        <v/>
      </c>
      <c r="T463" s="59"/>
      <c r="U463" s="59"/>
      <c r="V463" s="59"/>
      <c r="W463" s="59"/>
      <c r="X463" s="93" t="str">
        <f t="shared" si="39"/>
        <v>D</v>
      </c>
    </row>
    <row r="464" spans="1:24" s="66" customFormat="1" x14ac:dyDescent="0.25">
      <c r="A464" s="53"/>
      <c r="B464" s="91" t="str">
        <f>IFERROR(VLOOKUP(A464,Lookup!A:B,2,0),"")</f>
        <v/>
      </c>
      <c r="C464" s="92" t="str">
        <f>IFERROR(VLOOKUP(A464,Lookup!A:C,3,0),"")</f>
        <v/>
      </c>
      <c r="D464" s="59"/>
      <c r="E464" s="59"/>
      <c r="F464" s="59"/>
      <c r="G464" s="94"/>
      <c r="H464" s="59"/>
      <c r="I464" s="59"/>
      <c r="J464" s="106">
        <f>VLOOKUP(A464&amp;G464,Lookup!J:N,5,0)</f>
        <v>0</v>
      </c>
      <c r="K464" s="110"/>
      <c r="L464" s="59"/>
      <c r="M464" s="59"/>
      <c r="N464" s="59"/>
      <c r="O464" s="112">
        <v>19.0590277777778</v>
      </c>
      <c r="P464" s="110" t="str">
        <f t="shared" si="38"/>
        <v/>
      </c>
      <c r="Q464" s="59"/>
      <c r="R464" s="87" t="str">
        <f t="shared" si="40"/>
        <v/>
      </c>
      <c r="S464" s="87" t="str">
        <f t="shared" si="41"/>
        <v/>
      </c>
      <c r="T464" s="59"/>
      <c r="U464" s="59"/>
      <c r="V464" s="59"/>
      <c r="W464" s="59"/>
      <c r="X464" s="93" t="str">
        <f t="shared" si="39"/>
        <v>D</v>
      </c>
    </row>
    <row r="465" spans="1:24" s="66" customFormat="1" x14ac:dyDescent="0.25">
      <c r="A465" s="53"/>
      <c r="B465" s="91" t="str">
        <f>IFERROR(VLOOKUP(A465,Lookup!A:B,2,0),"")</f>
        <v/>
      </c>
      <c r="C465" s="92" t="str">
        <f>IFERROR(VLOOKUP(A465,Lookup!A:C,3,0),"")</f>
        <v/>
      </c>
      <c r="D465" s="59"/>
      <c r="E465" s="59"/>
      <c r="F465" s="59"/>
      <c r="G465" s="94"/>
      <c r="H465" s="59"/>
      <c r="I465" s="59"/>
      <c r="J465" s="106">
        <f>VLOOKUP(A465&amp;G465,Lookup!J:N,5,0)</f>
        <v>0</v>
      </c>
      <c r="K465" s="110"/>
      <c r="L465" s="59"/>
      <c r="M465" s="59"/>
      <c r="N465" s="59"/>
      <c r="O465" s="112">
        <v>19.1006944444444</v>
      </c>
      <c r="P465" s="110" t="str">
        <f t="shared" si="38"/>
        <v/>
      </c>
      <c r="Q465" s="59"/>
      <c r="R465" s="87" t="str">
        <f t="shared" si="40"/>
        <v/>
      </c>
      <c r="S465" s="87" t="str">
        <f t="shared" si="41"/>
        <v/>
      </c>
      <c r="T465" s="59"/>
      <c r="U465" s="59"/>
      <c r="V465" s="59"/>
      <c r="W465" s="59"/>
      <c r="X465" s="93" t="str">
        <f t="shared" si="39"/>
        <v>D</v>
      </c>
    </row>
    <row r="466" spans="1:24" s="66" customFormat="1" x14ac:dyDescent="0.25">
      <c r="A466" s="53"/>
      <c r="B466" s="91" t="str">
        <f>IFERROR(VLOOKUP(A466,Lookup!A:B,2,0),"")</f>
        <v/>
      </c>
      <c r="C466" s="92" t="str">
        <f>IFERROR(VLOOKUP(A466,Lookup!A:C,3,0),"")</f>
        <v/>
      </c>
      <c r="D466" s="59"/>
      <c r="E466" s="59"/>
      <c r="F466" s="59"/>
      <c r="G466" s="94"/>
      <c r="H466" s="59"/>
      <c r="I466" s="59"/>
      <c r="J466" s="106">
        <f>VLOOKUP(A466&amp;G466,Lookup!J:N,5,0)</f>
        <v>0</v>
      </c>
      <c r="K466" s="110"/>
      <c r="L466" s="59"/>
      <c r="M466" s="59"/>
      <c r="N466" s="59"/>
      <c r="O466" s="112">
        <v>19.1423611111111</v>
      </c>
      <c r="P466" s="110" t="str">
        <f t="shared" si="38"/>
        <v/>
      </c>
      <c r="Q466" s="59"/>
      <c r="R466" s="87" t="str">
        <f t="shared" si="40"/>
        <v/>
      </c>
      <c r="S466" s="87" t="str">
        <f t="shared" si="41"/>
        <v/>
      </c>
      <c r="T466" s="59"/>
      <c r="U466" s="59"/>
      <c r="V466" s="59"/>
      <c r="W466" s="59"/>
      <c r="X466" s="93" t="str">
        <f t="shared" si="39"/>
        <v>D</v>
      </c>
    </row>
    <row r="467" spans="1:24" s="66" customFormat="1" x14ac:dyDescent="0.25">
      <c r="A467" s="53"/>
      <c r="B467" s="91" t="str">
        <f>IFERROR(VLOOKUP(A467,Lookup!A:B,2,0),"")</f>
        <v/>
      </c>
      <c r="C467" s="92" t="str">
        <f>IFERROR(VLOOKUP(A467,Lookup!A:C,3,0),"")</f>
        <v/>
      </c>
      <c r="D467" s="59"/>
      <c r="E467" s="59"/>
      <c r="F467" s="59"/>
      <c r="G467" s="94"/>
      <c r="H467" s="59"/>
      <c r="I467" s="59"/>
      <c r="J467" s="106">
        <f>VLOOKUP(A467&amp;G467,Lookup!J:N,5,0)</f>
        <v>0</v>
      </c>
      <c r="K467" s="110"/>
      <c r="L467" s="59"/>
      <c r="M467" s="59"/>
      <c r="N467" s="59"/>
      <c r="O467" s="112">
        <v>19.1840277777778</v>
      </c>
      <c r="P467" s="110" t="str">
        <f t="shared" si="38"/>
        <v/>
      </c>
      <c r="Q467" s="59"/>
      <c r="R467" s="87" t="str">
        <f t="shared" si="40"/>
        <v/>
      </c>
      <c r="S467" s="87" t="str">
        <f t="shared" si="41"/>
        <v/>
      </c>
      <c r="T467" s="59"/>
      <c r="U467" s="59"/>
      <c r="V467" s="59"/>
      <c r="W467" s="59"/>
      <c r="X467" s="93" t="str">
        <f t="shared" si="39"/>
        <v>D</v>
      </c>
    </row>
    <row r="468" spans="1:24" s="66" customFormat="1" x14ac:dyDescent="0.25">
      <c r="A468" s="53"/>
      <c r="B468" s="91" t="str">
        <f>IFERROR(VLOOKUP(A468,Lookup!A:B,2,0),"")</f>
        <v/>
      </c>
      <c r="C468" s="92" t="str">
        <f>IFERROR(VLOOKUP(A468,Lookup!A:C,3,0),"")</f>
        <v/>
      </c>
      <c r="D468" s="59"/>
      <c r="E468" s="59"/>
      <c r="F468" s="59"/>
      <c r="G468" s="94"/>
      <c r="H468" s="59"/>
      <c r="I468" s="59"/>
      <c r="J468" s="106">
        <f>VLOOKUP(A468&amp;G468,Lookup!J:N,5,0)</f>
        <v>0</v>
      </c>
      <c r="K468" s="110"/>
      <c r="L468" s="59"/>
      <c r="M468" s="59"/>
      <c r="N468" s="59"/>
      <c r="O468" s="112">
        <v>19.2256944444444</v>
      </c>
      <c r="P468" s="110" t="str">
        <f t="shared" si="38"/>
        <v/>
      </c>
      <c r="Q468" s="59"/>
      <c r="R468" s="87" t="str">
        <f t="shared" si="40"/>
        <v/>
      </c>
      <c r="S468" s="87" t="str">
        <f t="shared" si="41"/>
        <v/>
      </c>
      <c r="T468" s="59"/>
      <c r="U468" s="59"/>
      <c r="V468" s="59"/>
      <c r="W468" s="59"/>
      <c r="X468" s="93" t="str">
        <f t="shared" si="39"/>
        <v>D</v>
      </c>
    </row>
    <row r="469" spans="1:24" s="66" customFormat="1" x14ac:dyDescent="0.25">
      <c r="A469" s="53"/>
      <c r="B469" s="91" t="str">
        <f>IFERROR(VLOOKUP(A469,Lookup!A:B,2,0),"")</f>
        <v/>
      </c>
      <c r="C469" s="92" t="str">
        <f>IFERROR(VLOOKUP(A469,Lookup!A:C,3,0),"")</f>
        <v/>
      </c>
      <c r="D469" s="59"/>
      <c r="E469" s="59"/>
      <c r="F469" s="59"/>
      <c r="G469" s="94"/>
      <c r="H469" s="59"/>
      <c r="I469" s="59"/>
      <c r="J469" s="106">
        <f>VLOOKUP(A469&amp;G469,Lookup!J:N,5,0)</f>
        <v>0</v>
      </c>
      <c r="K469" s="110"/>
      <c r="L469" s="59"/>
      <c r="M469" s="59"/>
      <c r="N469" s="59"/>
      <c r="O469" s="112">
        <v>19.2673611111111</v>
      </c>
      <c r="P469" s="110" t="str">
        <f t="shared" si="38"/>
        <v/>
      </c>
      <c r="Q469" s="59"/>
      <c r="R469" s="87" t="str">
        <f t="shared" si="40"/>
        <v/>
      </c>
      <c r="S469" s="87" t="str">
        <f t="shared" si="41"/>
        <v/>
      </c>
      <c r="T469" s="59"/>
      <c r="U469" s="59"/>
      <c r="V469" s="59"/>
      <c r="W469" s="59"/>
      <c r="X469" s="93" t="str">
        <f t="shared" si="39"/>
        <v>D</v>
      </c>
    </row>
    <row r="470" spans="1:24" s="66" customFormat="1" x14ac:dyDescent="0.25">
      <c r="A470" s="53"/>
      <c r="B470" s="91" t="str">
        <f>IFERROR(VLOOKUP(A470,Lookup!A:B,2,0),"")</f>
        <v/>
      </c>
      <c r="C470" s="92" t="str">
        <f>IFERROR(VLOOKUP(A470,Lookup!A:C,3,0),"")</f>
        <v/>
      </c>
      <c r="D470" s="59"/>
      <c r="E470" s="59"/>
      <c r="F470" s="59"/>
      <c r="G470" s="94"/>
      <c r="H470" s="59"/>
      <c r="I470" s="59"/>
      <c r="J470" s="106">
        <f>VLOOKUP(A470&amp;G470,Lookup!J:N,5,0)</f>
        <v>0</v>
      </c>
      <c r="K470" s="110"/>
      <c r="L470" s="59"/>
      <c r="M470" s="59"/>
      <c r="N470" s="59"/>
      <c r="O470" s="112">
        <v>19.3090277777778</v>
      </c>
      <c r="P470" s="110" t="str">
        <f t="shared" si="38"/>
        <v/>
      </c>
      <c r="Q470" s="59"/>
      <c r="R470" s="87" t="str">
        <f t="shared" si="40"/>
        <v/>
      </c>
      <c r="S470" s="87" t="str">
        <f t="shared" si="41"/>
        <v/>
      </c>
      <c r="T470" s="59"/>
      <c r="U470" s="59"/>
      <c r="V470" s="59"/>
      <c r="W470" s="59"/>
      <c r="X470" s="93" t="str">
        <f t="shared" si="39"/>
        <v>D</v>
      </c>
    </row>
    <row r="471" spans="1:24" s="66" customFormat="1" x14ac:dyDescent="0.25">
      <c r="A471" s="53"/>
      <c r="B471" s="91" t="str">
        <f>IFERROR(VLOOKUP(A471,Lookup!A:B,2,0),"")</f>
        <v/>
      </c>
      <c r="C471" s="92" t="str">
        <f>IFERROR(VLOOKUP(A471,Lookup!A:C,3,0),"")</f>
        <v/>
      </c>
      <c r="D471" s="59"/>
      <c r="E471" s="59"/>
      <c r="F471" s="59"/>
      <c r="G471" s="94"/>
      <c r="H471" s="59"/>
      <c r="I471" s="59"/>
      <c r="J471" s="106">
        <f>VLOOKUP(A471&amp;G471,Lookup!J:N,5,0)</f>
        <v>0</v>
      </c>
      <c r="K471" s="110"/>
      <c r="L471" s="59"/>
      <c r="M471" s="59"/>
      <c r="N471" s="59"/>
      <c r="O471" s="112">
        <v>19.3506944444444</v>
      </c>
      <c r="P471" s="110" t="str">
        <f t="shared" si="38"/>
        <v/>
      </c>
      <c r="Q471" s="59"/>
      <c r="R471" s="87" t="str">
        <f t="shared" si="40"/>
        <v/>
      </c>
      <c r="S471" s="87" t="str">
        <f t="shared" si="41"/>
        <v/>
      </c>
      <c r="T471" s="59"/>
      <c r="U471" s="59"/>
      <c r="V471" s="59"/>
      <c r="W471" s="59"/>
      <c r="X471" s="93" t="str">
        <f t="shared" si="39"/>
        <v>D</v>
      </c>
    </row>
    <row r="472" spans="1:24" s="66" customFormat="1" x14ac:dyDescent="0.25">
      <c r="A472" s="53"/>
      <c r="B472" s="91" t="str">
        <f>IFERROR(VLOOKUP(A472,Lookup!A:B,2,0),"")</f>
        <v/>
      </c>
      <c r="C472" s="92" t="str">
        <f>IFERROR(VLOOKUP(A472,Lookup!A:C,3,0),"")</f>
        <v/>
      </c>
      <c r="D472" s="59"/>
      <c r="E472" s="59"/>
      <c r="F472" s="59"/>
      <c r="G472" s="94"/>
      <c r="H472" s="59"/>
      <c r="I472" s="59"/>
      <c r="J472" s="106">
        <f>VLOOKUP(A472&amp;G472,Lookup!J:N,5,0)</f>
        <v>0</v>
      </c>
      <c r="K472" s="110"/>
      <c r="L472" s="59"/>
      <c r="M472" s="59"/>
      <c r="N472" s="59"/>
      <c r="O472" s="112">
        <v>19.3923611111111</v>
      </c>
      <c r="P472" s="110" t="str">
        <f t="shared" si="38"/>
        <v/>
      </c>
      <c r="Q472" s="59"/>
      <c r="R472" s="87" t="str">
        <f t="shared" si="40"/>
        <v/>
      </c>
      <c r="S472" s="87" t="str">
        <f t="shared" si="41"/>
        <v/>
      </c>
      <c r="T472" s="59"/>
      <c r="U472" s="59"/>
      <c r="V472" s="59"/>
      <c r="W472" s="59"/>
      <c r="X472" s="93" t="str">
        <f t="shared" si="39"/>
        <v>D</v>
      </c>
    </row>
    <row r="473" spans="1:24" s="66" customFormat="1" x14ac:dyDescent="0.25">
      <c r="A473" s="53"/>
      <c r="B473" s="91" t="str">
        <f>IFERROR(VLOOKUP(A473,Lookup!A:B,2,0),"")</f>
        <v/>
      </c>
      <c r="C473" s="92" t="str">
        <f>IFERROR(VLOOKUP(A473,Lookup!A:C,3,0),"")</f>
        <v/>
      </c>
      <c r="D473" s="59"/>
      <c r="E473" s="59"/>
      <c r="F473" s="59"/>
      <c r="G473" s="94"/>
      <c r="H473" s="59"/>
      <c r="I473" s="59"/>
      <c r="J473" s="106">
        <f>VLOOKUP(A473&amp;G473,Lookup!J:N,5,0)</f>
        <v>0</v>
      </c>
      <c r="K473" s="110"/>
      <c r="L473" s="59"/>
      <c r="M473" s="59"/>
      <c r="N473" s="59"/>
      <c r="O473" s="112">
        <v>19.4340277777778</v>
      </c>
      <c r="P473" s="110" t="str">
        <f t="shared" si="38"/>
        <v/>
      </c>
      <c r="Q473" s="59"/>
      <c r="R473" s="87" t="str">
        <f t="shared" si="40"/>
        <v/>
      </c>
      <c r="S473" s="87" t="str">
        <f t="shared" si="41"/>
        <v/>
      </c>
      <c r="T473" s="59"/>
      <c r="U473" s="59"/>
      <c r="V473" s="59"/>
      <c r="W473" s="59"/>
      <c r="X473" s="93" t="str">
        <f t="shared" si="39"/>
        <v>D</v>
      </c>
    </row>
    <row r="474" spans="1:24" s="66" customFormat="1" x14ac:dyDescent="0.25">
      <c r="A474" s="53"/>
      <c r="B474" s="91" t="str">
        <f>IFERROR(VLOOKUP(A474,Lookup!A:B,2,0),"")</f>
        <v/>
      </c>
      <c r="C474" s="92" t="str">
        <f>IFERROR(VLOOKUP(A474,Lookup!A:C,3,0),"")</f>
        <v/>
      </c>
      <c r="D474" s="59"/>
      <c r="E474" s="59"/>
      <c r="F474" s="59"/>
      <c r="G474" s="94"/>
      <c r="H474" s="59"/>
      <c r="I474" s="59"/>
      <c r="J474" s="106">
        <f>VLOOKUP(A474&amp;G474,Lookup!J:N,5,0)</f>
        <v>0</v>
      </c>
      <c r="K474" s="110"/>
      <c r="L474" s="59"/>
      <c r="M474" s="59"/>
      <c r="N474" s="59"/>
      <c r="O474" s="112">
        <v>19.4756944444444</v>
      </c>
      <c r="P474" s="110" t="str">
        <f t="shared" si="38"/>
        <v/>
      </c>
      <c r="Q474" s="59"/>
      <c r="R474" s="87" t="str">
        <f t="shared" si="40"/>
        <v/>
      </c>
      <c r="S474" s="87" t="str">
        <f t="shared" si="41"/>
        <v/>
      </c>
      <c r="T474" s="59"/>
      <c r="U474" s="59"/>
      <c r="V474" s="59"/>
      <c r="W474" s="59"/>
      <c r="X474" s="93" t="str">
        <f t="shared" si="39"/>
        <v>D</v>
      </c>
    </row>
    <row r="475" spans="1:24" s="66" customFormat="1" x14ac:dyDescent="0.25">
      <c r="A475" s="53"/>
      <c r="B475" s="91" t="str">
        <f>IFERROR(VLOOKUP(A475,Lookup!A:B,2,0),"")</f>
        <v/>
      </c>
      <c r="C475" s="92" t="str">
        <f>IFERROR(VLOOKUP(A475,Lookup!A:C,3,0),"")</f>
        <v/>
      </c>
      <c r="D475" s="59"/>
      <c r="E475" s="59"/>
      <c r="F475" s="59"/>
      <c r="G475" s="94"/>
      <c r="H475" s="59"/>
      <c r="I475" s="59"/>
      <c r="J475" s="106">
        <f>VLOOKUP(A475&amp;G475,Lookup!J:N,5,0)</f>
        <v>0</v>
      </c>
      <c r="K475" s="110"/>
      <c r="L475" s="59"/>
      <c r="M475" s="59"/>
      <c r="N475" s="59"/>
      <c r="O475" s="112">
        <v>19.5173611111111</v>
      </c>
      <c r="P475" s="110" t="str">
        <f t="shared" si="38"/>
        <v/>
      </c>
      <c r="Q475" s="59"/>
      <c r="R475" s="87" t="str">
        <f t="shared" si="40"/>
        <v/>
      </c>
      <c r="S475" s="87" t="str">
        <f t="shared" si="41"/>
        <v/>
      </c>
      <c r="T475" s="59"/>
      <c r="U475" s="59"/>
      <c r="V475" s="59"/>
      <c r="W475" s="59"/>
      <c r="X475" s="93" t="str">
        <f t="shared" si="39"/>
        <v>D</v>
      </c>
    </row>
    <row r="476" spans="1:24" s="66" customFormat="1" x14ac:dyDescent="0.25">
      <c r="A476" s="53"/>
      <c r="B476" s="91" t="str">
        <f>IFERROR(VLOOKUP(A476,Lookup!A:B,2,0),"")</f>
        <v/>
      </c>
      <c r="C476" s="92" t="str">
        <f>IFERROR(VLOOKUP(A476,Lookup!A:C,3,0),"")</f>
        <v/>
      </c>
      <c r="D476" s="59"/>
      <c r="E476" s="59"/>
      <c r="F476" s="59"/>
      <c r="G476" s="94"/>
      <c r="H476" s="59"/>
      <c r="I476" s="59"/>
      <c r="J476" s="106">
        <f>VLOOKUP(A476&amp;G476,Lookup!J:N,5,0)</f>
        <v>0</v>
      </c>
      <c r="K476" s="110"/>
      <c r="L476" s="59"/>
      <c r="M476" s="59"/>
      <c r="N476" s="59"/>
      <c r="O476" s="112">
        <v>19.5590277777778</v>
      </c>
      <c r="P476" s="110" t="str">
        <f t="shared" si="38"/>
        <v/>
      </c>
      <c r="Q476" s="59"/>
      <c r="R476" s="87" t="str">
        <f t="shared" si="40"/>
        <v/>
      </c>
      <c r="S476" s="87" t="str">
        <f t="shared" si="41"/>
        <v/>
      </c>
      <c r="T476" s="59"/>
      <c r="U476" s="59"/>
      <c r="V476" s="59"/>
      <c r="W476" s="59"/>
      <c r="X476" s="93" t="str">
        <f t="shared" si="39"/>
        <v>D</v>
      </c>
    </row>
    <row r="477" spans="1:24" s="66" customFormat="1" x14ac:dyDescent="0.25">
      <c r="A477" s="53"/>
      <c r="B477" s="91" t="str">
        <f>IFERROR(VLOOKUP(A477,Lookup!A:B,2,0),"")</f>
        <v/>
      </c>
      <c r="C477" s="92" t="str">
        <f>IFERROR(VLOOKUP(A477,Lookup!A:C,3,0),"")</f>
        <v/>
      </c>
      <c r="D477" s="59"/>
      <c r="E477" s="59"/>
      <c r="F477" s="59"/>
      <c r="G477" s="94"/>
      <c r="H477" s="59"/>
      <c r="I477" s="59"/>
      <c r="J477" s="106">
        <f>VLOOKUP(A477&amp;G477,Lookup!J:N,5,0)</f>
        <v>0</v>
      </c>
      <c r="K477" s="110"/>
      <c r="L477" s="59"/>
      <c r="M477" s="59"/>
      <c r="N477" s="59"/>
      <c r="O477" s="112">
        <v>19.6006944444444</v>
      </c>
      <c r="P477" s="110" t="str">
        <f t="shared" si="38"/>
        <v/>
      </c>
      <c r="Q477" s="59"/>
      <c r="R477" s="87" t="str">
        <f t="shared" si="40"/>
        <v/>
      </c>
      <c r="S477" s="87" t="str">
        <f t="shared" si="41"/>
        <v/>
      </c>
      <c r="T477" s="59"/>
      <c r="U477" s="59"/>
      <c r="V477" s="59"/>
      <c r="W477" s="59"/>
      <c r="X477" s="93" t="str">
        <f t="shared" si="39"/>
        <v>D</v>
      </c>
    </row>
    <row r="478" spans="1:24" s="66" customFormat="1" x14ac:dyDescent="0.25">
      <c r="A478" s="53"/>
      <c r="B478" s="91" t="str">
        <f>IFERROR(VLOOKUP(A478,Lookup!A:B,2,0),"")</f>
        <v/>
      </c>
      <c r="C478" s="92" t="str">
        <f>IFERROR(VLOOKUP(A478,Lookup!A:C,3,0),"")</f>
        <v/>
      </c>
      <c r="D478" s="59"/>
      <c r="E478" s="59"/>
      <c r="F478" s="59"/>
      <c r="G478" s="94"/>
      <c r="H478" s="59"/>
      <c r="I478" s="59"/>
      <c r="J478" s="106">
        <f>VLOOKUP(A478&amp;G478,Lookup!J:N,5,0)</f>
        <v>0</v>
      </c>
      <c r="K478" s="110"/>
      <c r="L478" s="59"/>
      <c r="M478" s="59"/>
      <c r="N478" s="59"/>
      <c r="O478" s="112">
        <v>19.6423611111111</v>
      </c>
      <c r="P478" s="110" t="str">
        <f t="shared" si="38"/>
        <v/>
      </c>
      <c r="Q478" s="59"/>
      <c r="R478" s="87" t="str">
        <f t="shared" si="40"/>
        <v/>
      </c>
      <c r="S478" s="87" t="str">
        <f t="shared" si="41"/>
        <v/>
      </c>
      <c r="T478" s="59"/>
      <c r="U478" s="59"/>
      <c r="V478" s="59"/>
      <c r="W478" s="59"/>
      <c r="X478" s="93" t="str">
        <f t="shared" si="39"/>
        <v>D</v>
      </c>
    </row>
    <row r="479" spans="1:24" s="66" customFormat="1" x14ac:dyDescent="0.25">
      <c r="A479" s="53"/>
      <c r="B479" s="91" t="str">
        <f>IFERROR(VLOOKUP(A479,Lookup!A:B,2,0),"")</f>
        <v/>
      </c>
      <c r="C479" s="92" t="str">
        <f>IFERROR(VLOOKUP(A479,Lookup!A:C,3,0),"")</f>
        <v/>
      </c>
      <c r="D479" s="59"/>
      <c r="E479" s="59"/>
      <c r="F479" s="59"/>
      <c r="G479" s="94"/>
      <c r="H479" s="59"/>
      <c r="I479" s="59"/>
      <c r="J479" s="106">
        <f>VLOOKUP(A479&amp;G479,Lookup!J:N,5,0)</f>
        <v>0</v>
      </c>
      <c r="K479" s="110"/>
      <c r="L479" s="59"/>
      <c r="M479" s="59"/>
      <c r="N479" s="59"/>
      <c r="O479" s="112">
        <v>19.6840277777778</v>
      </c>
      <c r="P479" s="110" t="str">
        <f t="shared" si="38"/>
        <v/>
      </c>
      <c r="Q479" s="59"/>
      <c r="R479" s="87" t="str">
        <f t="shared" si="40"/>
        <v/>
      </c>
      <c r="S479" s="87" t="str">
        <f t="shared" si="41"/>
        <v/>
      </c>
      <c r="T479" s="59"/>
      <c r="U479" s="59"/>
      <c r="V479" s="59"/>
      <c r="W479" s="59"/>
      <c r="X479" s="93" t="str">
        <f t="shared" si="39"/>
        <v>D</v>
      </c>
    </row>
    <row r="480" spans="1:24" s="66" customFormat="1" x14ac:dyDescent="0.25">
      <c r="A480" s="53"/>
      <c r="B480" s="91" t="str">
        <f>IFERROR(VLOOKUP(A480,Lookup!A:B,2,0),"")</f>
        <v/>
      </c>
      <c r="C480" s="92" t="str">
        <f>IFERROR(VLOOKUP(A480,Lookup!A:C,3,0),"")</f>
        <v/>
      </c>
      <c r="D480" s="59"/>
      <c r="E480" s="59"/>
      <c r="F480" s="59"/>
      <c r="G480" s="94"/>
      <c r="H480" s="59"/>
      <c r="I480" s="59"/>
      <c r="J480" s="106">
        <f>VLOOKUP(A480&amp;G480,Lookup!J:N,5,0)</f>
        <v>0</v>
      </c>
      <c r="K480" s="110"/>
      <c r="L480" s="59"/>
      <c r="M480" s="59"/>
      <c r="N480" s="59"/>
      <c r="O480" s="112">
        <v>19.7256944444444</v>
      </c>
      <c r="P480" s="110" t="str">
        <f t="shared" si="38"/>
        <v/>
      </c>
      <c r="Q480" s="59"/>
      <c r="R480" s="87" t="str">
        <f t="shared" si="40"/>
        <v/>
      </c>
      <c r="S480" s="87" t="str">
        <f t="shared" si="41"/>
        <v/>
      </c>
      <c r="T480" s="59"/>
      <c r="U480" s="59"/>
      <c r="V480" s="59"/>
      <c r="W480" s="59"/>
      <c r="X480" s="93" t="str">
        <f t="shared" si="39"/>
        <v>D</v>
      </c>
    </row>
    <row r="481" spans="1:24" s="66" customFormat="1" x14ac:dyDescent="0.25">
      <c r="A481" s="53"/>
      <c r="B481" s="91" t="str">
        <f>IFERROR(VLOOKUP(A481,Lookup!A:B,2,0),"")</f>
        <v/>
      </c>
      <c r="C481" s="92" t="str">
        <f>IFERROR(VLOOKUP(A481,Lookup!A:C,3,0),"")</f>
        <v/>
      </c>
      <c r="D481" s="59"/>
      <c r="E481" s="59"/>
      <c r="F481" s="59"/>
      <c r="G481" s="94"/>
      <c r="H481" s="59"/>
      <c r="I481" s="59"/>
      <c r="J481" s="106">
        <f>VLOOKUP(A481&amp;G481,Lookup!J:N,5,0)</f>
        <v>0</v>
      </c>
      <c r="K481" s="110"/>
      <c r="L481" s="59"/>
      <c r="M481" s="59"/>
      <c r="N481" s="59"/>
      <c r="O481" s="112">
        <v>19.7673611111111</v>
      </c>
      <c r="P481" s="110" t="str">
        <f t="shared" si="38"/>
        <v/>
      </c>
      <c r="Q481" s="59"/>
      <c r="R481" s="87" t="str">
        <f t="shared" si="40"/>
        <v/>
      </c>
      <c r="S481" s="87" t="str">
        <f t="shared" si="41"/>
        <v/>
      </c>
      <c r="T481" s="59"/>
      <c r="U481" s="59"/>
      <c r="V481" s="59"/>
      <c r="W481" s="59"/>
      <c r="X481" s="93" t="str">
        <f t="shared" si="39"/>
        <v>D</v>
      </c>
    </row>
    <row r="482" spans="1:24" s="66" customFormat="1" x14ac:dyDescent="0.25">
      <c r="A482" s="53"/>
      <c r="B482" s="91" t="str">
        <f>IFERROR(VLOOKUP(A482,Lookup!A:B,2,0),"")</f>
        <v/>
      </c>
      <c r="C482" s="92" t="str">
        <f>IFERROR(VLOOKUP(A482,Lookup!A:C,3,0),"")</f>
        <v/>
      </c>
      <c r="D482" s="59"/>
      <c r="E482" s="59"/>
      <c r="F482" s="59"/>
      <c r="G482" s="94"/>
      <c r="H482" s="59"/>
      <c r="I482" s="59"/>
      <c r="J482" s="106">
        <f>VLOOKUP(A482&amp;G482,Lookup!J:N,5,0)</f>
        <v>0</v>
      </c>
      <c r="K482" s="110"/>
      <c r="L482" s="59"/>
      <c r="M482" s="59"/>
      <c r="N482" s="59"/>
      <c r="O482" s="112">
        <v>19.8090277777778</v>
      </c>
      <c r="P482" s="110" t="str">
        <f t="shared" si="38"/>
        <v/>
      </c>
      <c r="Q482" s="59"/>
      <c r="R482" s="87" t="str">
        <f t="shared" si="40"/>
        <v/>
      </c>
      <c r="S482" s="87" t="str">
        <f t="shared" si="41"/>
        <v/>
      </c>
      <c r="T482" s="59"/>
      <c r="U482" s="59"/>
      <c r="V482" s="59"/>
      <c r="W482" s="59"/>
      <c r="X482" s="93" t="str">
        <f t="shared" si="39"/>
        <v>D</v>
      </c>
    </row>
    <row r="483" spans="1:24" s="66" customFormat="1" x14ac:dyDescent="0.25">
      <c r="A483" s="53"/>
      <c r="B483" s="91" t="str">
        <f>IFERROR(VLOOKUP(A483,Lookup!A:B,2,0),"")</f>
        <v/>
      </c>
      <c r="C483" s="92" t="str">
        <f>IFERROR(VLOOKUP(A483,Lookup!A:C,3,0),"")</f>
        <v/>
      </c>
      <c r="D483" s="59"/>
      <c r="E483" s="59"/>
      <c r="F483" s="59"/>
      <c r="G483" s="94"/>
      <c r="H483" s="59"/>
      <c r="I483" s="59"/>
      <c r="J483" s="106">
        <f>VLOOKUP(A483&amp;G483,Lookup!J:N,5,0)</f>
        <v>0</v>
      </c>
      <c r="K483" s="110"/>
      <c r="L483" s="59"/>
      <c r="M483" s="59"/>
      <c r="N483" s="59"/>
      <c r="O483" s="112">
        <v>19.8506944444444</v>
      </c>
      <c r="P483" s="110" t="str">
        <f t="shared" si="38"/>
        <v/>
      </c>
      <c r="Q483" s="59"/>
      <c r="R483" s="87" t="str">
        <f t="shared" si="40"/>
        <v/>
      </c>
      <c r="S483" s="87" t="str">
        <f t="shared" si="41"/>
        <v/>
      </c>
      <c r="T483" s="59"/>
      <c r="U483" s="59"/>
      <c r="V483" s="59"/>
      <c r="W483" s="59"/>
      <c r="X483" s="93" t="str">
        <f t="shared" si="39"/>
        <v>D</v>
      </c>
    </row>
    <row r="484" spans="1:24" s="66" customFormat="1" x14ac:dyDescent="0.25">
      <c r="A484" s="53"/>
      <c r="B484" s="91" t="str">
        <f>IFERROR(VLOOKUP(A484,Lookup!A:B,2,0),"")</f>
        <v/>
      </c>
      <c r="C484" s="92" t="str">
        <f>IFERROR(VLOOKUP(A484,Lookup!A:C,3,0),"")</f>
        <v/>
      </c>
      <c r="D484" s="59"/>
      <c r="E484" s="59"/>
      <c r="F484" s="59"/>
      <c r="G484" s="94"/>
      <c r="H484" s="59"/>
      <c r="I484" s="59"/>
      <c r="J484" s="106">
        <f>VLOOKUP(A484&amp;G484,Lookup!J:N,5,0)</f>
        <v>0</v>
      </c>
      <c r="K484" s="110"/>
      <c r="L484" s="59"/>
      <c r="M484" s="59"/>
      <c r="N484" s="59"/>
      <c r="O484" s="112">
        <v>19.8923611111111</v>
      </c>
      <c r="P484" s="110" t="str">
        <f t="shared" si="38"/>
        <v/>
      </c>
      <c r="Q484" s="59"/>
      <c r="R484" s="87" t="str">
        <f t="shared" si="40"/>
        <v/>
      </c>
      <c r="S484" s="87" t="str">
        <f t="shared" si="41"/>
        <v/>
      </c>
      <c r="T484" s="59"/>
      <c r="U484" s="59"/>
      <c r="V484" s="59"/>
      <c r="W484" s="59"/>
      <c r="X484" s="93" t="str">
        <f t="shared" si="39"/>
        <v>D</v>
      </c>
    </row>
    <row r="485" spans="1:24" s="66" customFormat="1" x14ac:dyDescent="0.25">
      <c r="A485" s="53"/>
      <c r="B485" s="91" t="str">
        <f>IFERROR(VLOOKUP(A485,Lookup!A:B,2,0),"")</f>
        <v/>
      </c>
      <c r="C485" s="92" t="str">
        <f>IFERROR(VLOOKUP(A485,Lookup!A:C,3,0),"")</f>
        <v/>
      </c>
      <c r="D485" s="59"/>
      <c r="E485" s="59"/>
      <c r="F485" s="59"/>
      <c r="G485" s="94"/>
      <c r="H485" s="59"/>
      <c r="I485" s="59"/>
      <c r="J485" s="106">
        <f>VLOOKUP(A485&amp;G485,Lookup!J:N,5,0)</f>
        <v>0</v>
      </c>
      <c r="K485" s="110"/>
      <c r="L485" s="59"/>
      <c r="M485" s="59"/>
      <c r="N485" s="59"/>
      <c r="O485" s="112">
        <v>19.9340277777778</v>
      </c>
      <c r="P485" s="110" t="str">
        <f t="shared" si="38"/>
        <v/>
      </c>
      <c r="Q485" s="59"/>
      <c r="R485" s="87" t="str">
        <f t="shared" si="40"/>
        <v/>
      </c>
      <c r="S485" s="87" t="str">
        <f t="shared" si="41"/>
        <v/>
      </c>
      <c r="T485" s="59"/>
      <c r="U485" s="59"/>
      <c r="V485" s="59"/>
      <c r="W485" s="59"/>
      <c r="X485" s="93" t="str">
        <f t="shared" si="39"/>
        <v>D</v>
      </c>
    </row>
    <row r="486" spans="1:24" s="66" customFormat="1" x14ac:dyDescent="0.25">
      <c r="A486" s="53"/>
      <c r="B486" s="91" t="str">
        <f>IFERROR(VLOOKUP(A486,Lookup!A:B,2,0),"")</f>
        <v/>
      </c>
      <c r="C486" s="92" t="str">
        <f>IFERROR(VLOOKUP(A486,Lookup!A:C,3,0),"")</f>
        <v/>
      </c>
      <c r="D486" s="59"/>
      <c r="E486" s="59"/>
      <c r="F486" s="59"/>
      <c r="G486" s="94"/>
      <c r="H486" s="59"/>
      <c r="I486" s="59"/>
      <c r="J486" s="106">
        <f>VLOOKUP(A486&amp;G486,Lookup!J:N,5,0)</f>
        <v>0</v>
      </c>
      <c r="K486" s="110"/>
      <c r="L486" s="59"/>
      <c r="M486" s="59"/>
      <c r="N486" s="59"/>
      <c r="O486" s="112">
        <v>19.9756944444444</v>
      </c>
      <c r="P486" s="110" t="str">
        <f t="shared" si="38"/>
        <v/>
      </c>
      <c r="Q486" s="59"/>
      <c r="R486" s="87" t="str">
        <f t="shared" si="40"/>
        <v/>
      </c>
      <c r="S486" s="87" t="str">
        <f t="shared" si="41"/>
        <v/>
      </c>
      <c r="T486" s="59"/>
      <c r="U486" s="59"/>
      <c r="V486" s="59"/>
      <c r="W486" s="59"/>
      <c r="X486" s="93" t="str">
        <f t="shared" si="39"/>
        <v>D</v>
      </c>
    </row>
    <row r="487" spans="1:24" s="66" customFormat="1" x14ac:dyDescent="0.25">
      <c r="A487" s="53"/>
      <c r="B487" s="91" t="str">
        <f>IFERROR(VLOOKUP(A487,Lookup!A:B,2,0),"")</f>
        <v/>
      </c>
      <c r="C487" s="92" t="str">
        <f>IFERROR(VLOOKUP(A487,Lookup!A:C,3,0),"")</f>
        <v/>
      </c>
      <c r="D487" s="59"/>
      <c r="E487" s="59"/>
      <c r="F487" s="59"/>
      <c r="G487" s="94"/>
      <c r="H487" s="59"/>
      <c r="I487" s="59"/>
      <c r="J487" s="106">
        <f>VLOOKUP(A487&amp;G487,Lookup!J:N,5,0)</f>
        <v>0</v>
      </c>
      <c r="K487" s="110"/>
      <c r="L487" s="59"/>
      <c r="M487" s="59"/>
      <c r="N487" s="59"/>
      <c r="O487" s="112">
        <v>20.0173611111111</v>
      </c>
      <c r="P487" s="110" t="str">
        <f t="shared" si="38"/>
        <v/>
      </c>
      <c r="Q487" s="59"/>
      <c r="R487" s="87" t="str">
        <f t="shared" si="40"/>
        <v/>
      </c>
      <c r="S487" s="87" t="str">
        <f t="shared" si="41"/>
        <v/>
      </c>
      <c r="T487" s="59"/>
      <c r="U487" s="59"/>
      <c r="V487" s="59"/>
      <c r="W487" s="59"/>
      <c r="X487" s="93" t="str">
        <f t="shared" si="39"/>
        <v>D</v>
      </c>
    </row>
    <row r="488" spans="1:24" s="66" customFormat="1" x14ac:dyDescent="0.25">
      <c r="A488" s="53"/>
      <c r="B488" s="91" t="str">
        <f>IFERROR(VLOOKUP(A488,Lookup!A:B,2,0),"")</f>
        <v/>
      </c>
      <c r="C488" s="92" t="str">
        <f>IFERROR(VLOOKUP(A488,Lookup!A:C,3,0),"")</f>
        <v/>
      </c>
      <c r="D488" s="59"/>
      <c r="E488" s="59"/>
      <c r="F488" s="59"/>
      <c r="G488" s="94"/>
      <c r="H488" s="59"/>
      <c r="I488" s="59"/>
      <c r="J488" s="106">
        <f>VLOOKUP(A488&amp;G488,Lookup!J:N,5,0)</f>
        <v>0</v>
      </c>
      <c r="K488" s="110"/>
      <c r="L488" s="59"/>
      <c r="M488" s="59"/>
      <c r="N488" s="59"/>
      <c r="O488" s="112">
        <v>20.0590277777778</v>
      </c>
      <c r="P488" s="110" t="str">
        <f t="shared" si="38"/>
        <v/>
      </c>
      <c r="Q488" s="59"/>
      <c r="R488" s="87" t="str">
        <f t="shared" si="40"/>
        <v/>
      </c>
      <c r="S488" s="87" t="str">
        <f t="shared" si="41"/>
        <v/>
      </c>
      <c r="T488" s="59"/>
      <c r="U488" s="59"/>
      <c r="V488" s="59"/>
      <c r="W488" s="59"/>
      <c r="X488" s="93" t="str">
        <f t="shared" si="39"/>
        <v>D</v>
      </c>
    </row>
    <row r="489" spans="1:24" s="66" customFormat="1" x14ac:dyDescent="0.25">
      <c r="A489" s="53"/>
      <c r="B489" s="91" t="str">
        <f>IFERROR(VLOOKUP(A489,Lookup!A:B,2,0),"")</f>
        <v/>
      </c>
      <c r="C489" s="92" t="str">
        <f>IFERROR(VLOOKUP(A489,Lookup!A:C,3,0),"")</f>
        <v/>
      </c>
      <c r="D489" s="59"/>
      <c r="E489" s="59"/>
      <c r="F489" s="59"/>
      <c r="G489" s="94"/>
      <c r="H489" s="59"/>
      <c r="I489" s="59"/>
      <c r="J489" s="106">
        <f>VLOOKUP(A489&amp;G489,Lookup!J:N,5,0)</f>
        <v>0</v>
      </c>
      <c r="K489" s="110"/>
      <c r="L489" s="59"/>
      <c r="M489" s="59"/>
      <c r="N489" s="59"/>
      <c r="O489" s="112">
        <v>20.1006944444444</v>
      </c>
      <c r="P489" s="110" t="str">
        <f t="shared" si="38"/>
        <v/>
      </c>
      <c r="Q489" s="59"/>
      <c r="R489" s="87" t="str">
        <f t="shared" si="40"/>
        <v/>
      </c>
      <c r="S489" s="87" t="str">
        <f t="shared" si="41"/>
        <v/>
      </c>
      <c r="T489" s="59"/>
      <c r="U489" s="59"/>
      <c r="V489" s="59"/>
      <c r="W489" s="59"/>
      <c r="X489" s="93" t="str">
        <f t="shared" si="39"/>
        <v>D</v>
      </c>
    </row>
    <row r="490" spans="1:24" s="66" customFormat="1" x14ac:dyDescent="0.25">
      <c r="A490" s="53"/>
      <c r="B490" s="91" t="str">
        <f>IFERROR(VLOOKUP(A490,Lookup!A:B,2,0),"")</f>
        <v/>
      </c>
      <c r="C490" s="92" t="str">
        <f>IFERROR(VLOOKUP(A490,Lookup!A:C,3,0),"")</f>
        <v/>
      </c>
      <c r="D490" s="59"/>
      <c r="E490" s="59"/>
      <c r="F490" s="59"/>
      <c r="G490" s="94"/>
      <c r="H490" s="59"/>
      <c r="I490" s="59"/>
      <c r="J490" s="106">
        <f>VLOOKUP(A490&amp;G490,Lookup!J:N,5,0)</f>
        <v>0</v>
      </c>
      <c r="K490" s="110"/>
      <c r="L490" s="59"/>
      <c r="M490" s="59"/>
      <c r="N490" s="59"/>
      <c r="O490" s="112">
        <v>20.1423611111111</v>
      </c>
      <c r="P490" s="110" t="str">
        <f t="shared" si="38"/>
        <v/>
      </c>
      <c r="Q490" s="59"/>
      <c r="R490" s="87" t="str">
        <f t="shared" si="40"/>
        <v/>
      </c>
      <c r="S490" s="87" t="str">
        <f t="shared" si="41"/>
        <v/>
      </c>
      <c r="T490" s="59"/>
      <c r="U490" s="59"/>
      <c r="V490" s="59"/>
      <c r="W490" s="59"/>
      <c r="X490" s="93" t="str">
        <f t="shared" si="39"/>
        <v>D</v>
      </c>
    </row>
    <row r="491" spans="1:24" s="66" customFormat="1" x14ac:dyDescent="0.25">
      <c r="A491" s="53"/>
      <c r="B491" s="91" t="str">
        <f>IFERROR(VLOOKUP(A491,Lookup!A:B,2,0),"")</f>
        <v/>
      </c>
      <c r="C491" s="92" t="str">
        <f>IFERROR(VLOOKUP(A491,Lookup!A:C,3,0),"")</f>
        <v/>
      </c>
      <c r="D491" s="59"/>
      <c r="E491" s="59"/>
      <c r="F491" s="59"/>
      <c r="G491" s="94"/>
      <c r="H491" s="59"/>
      <c r="I491" s="59"/>
      <c r="J491" s="106">
        <f>VLOOKUP(A491&amp;G491,Lookup!J:N,5,0)</f>
        <v>0</v>
      </c>
      <c r="K491" s="110"/>
      <c r="L491" s="59"/>
      <c r="M491" s="59"/>
      <c r="N491" s="59"/>
      <c r="O491" s="112">
        <v>20.1840277777778</v>
      </c>
      <c r="P491" s="110" t="str">
        <f t="shared" si="38"/>
        <v/>
      </c>
      <c r="Q491" s="59"/>
      <c r="R491" s="87" t="str">
        <f t="shared" si="40"/>
        <v/>
      </c>
      <c r="S491" s="87" t="str">
        <f t="shared" si="41"/>
        <v/>
      </c>
      <c r="T491" s="59"/>
      <c r="U491" s="59"/>
      <c r="V491" s="59"/>
      <c r="W491" s="59"/>
      <c r="X491" s="93" t="str">
        <f t="shared" si="39"/>
        <v>D</v>
      </c>
    </row>
    <row r="492" spans="1:24" s="66" customFormat="1" x14ac:dyDescent="0.25">
      <c r="A492" s="53"/>
      <c r="B492" s="91" t="str">
        <f>IFERROR(VLOOKUP(A492,Lookup!A:B,2,0),"")</f>
        <v/>
      </c>
      <c r="C492" s="92" t="str">
        <f>IFERROR(VLOOKUP(A492,Lookup!A:C,3,0),"")</f>
        <v/>
      </c>
      <c r="D492" s="59"/>
      <c r="E492" s="59"/>
      <c r="F492" s="59"/>
      <c r="G492" s="94"/>
      <c r="H492" s="59"/>
      <c r="I492" s="59"/>
      <c r="J492" s="106">
        <f>VLOOKUP(A492&amp;G492,Lookup!J:N,5,0)</f>
        <v>0</v>
      </c>
      <c r="K492" s="110"/>
      <c r="L492" s="59"/>
      <c r="M492" s="59"/>
      <c r="N492" s="59"/>
      <c r="O492" s="112">
        <v>20.2256944444444</v>
      </c>
      <c r="P492" s="110" t="str">
        <f t="shared" si="38"/>
        <v/>
      </c>
      <c r="Q492" s="59"/>
      <c r="R492" s="87" t="str">
        <f t="shared" si="40"/>
        <v/>
      </c>
      <c r="S492" s="87" t="str">
        <f t="shared" si="41"/>
        <v/>
      </c>
      <c r="T492" s="59"/>
      <c r="U492" s="59"/>
      <c r="V492" s="59"/>
      <c r="W492" s="59"/>
      <c r="X492" s="93" t="str">
        <f t="shared" si="39"/>
        <v>D</v>
      </c>
    </row>
    <row r="493" spans="1:24" s="66" customFormat="1" x14ac:dyDescent="0.25">
      <c r="A493" s="53"/>
      <c r="B493" s="91" t="str">
        <f>IFERROR(VLOOKUP(A493,Lookup!A:B,2,0),"")</f>
        <v/>
      </c>
      <c r="C493" s="92" t="str">
        <f>IFERROR(VLOOKUP(A493,Lookup!A:C,3,0),"")</f>
        <v/>
      </c>
      <c r="D493" s="59"/>
      <c r="E493" s="59"/>
      <c r="F493" s="59"/>
      <c r="G493" s="94"/>
      <c r="H493" s="59"/>
      <c r="I493" s="59"/>
      <c r="J493" s="106">
        <f>VLOOKUP(A493&amp;G493,Lookup!J:N,5,0)</f>
        <v>0</v>
      </c>
      <c r="K493" s="110"/>
      <c r="L493" s="59"/>
      <c r="M493" s="59"/>
      <c r="N493" s="59"/>
      <c r="O493" s="112">
        <v>20.2673611111111</v>
      </c>
      <c r="P493" s="110" t="str">
        <f t="shared" si="38"/>
        <v/>
      </c>
      <c r="Q493" s="59"/>
      <c r="R493" s="87" t="str">
        <f t="shared" si="40"/>
        <v/>
      </c>
      <c r="S493" s="87" t="str">
        <f t="shared" si="41"/>
        <v/>
      </c>
      <c r="T493" s="59"/>
      <c r="U493" s="59"/>
      <c r="V493" s="59"/>
      <c r="W493" s="59"/>
      <c r="X493" s="93" t="str">
        <f t="shared" si="39"/>
        <v>D</v>
      </c>
    </row>
    <row r="494" spans="1:24" s="66" customFormat="1" x14ac:dyDescent="0.25">
      <c r="A494" s="53"/>
      <c r="B494" s="91" t="str">
        <f>IFERROR(VLOOKUP(A494,Lookup!A:B,2,0),"")</f>
        <v/>
      </c>
      <c r="C494" s="92" t="str">
        <f>IFERROR(VLOOKUP(A494,Lookup!A:C,3,0),"")</f>
        <v/>
      </c>
      <c r="D494" s="59"/>
      <c r="E494" s="59"/>
      <c r="F494" s="59"/>
      <c r="G494" s="94"/>
      <c r="H494" s="59"/>
      <c r="I494" s="59"/>
      <c r="J494" s="106">
        <f>VLOOKUP(A494&amp;G494,Lookup!J:N,5,0)</f>
        <v>0</v>
      </c>
      <c r="K494" s="110"/>
      <c r="L494" s="59"/>
      <c r="M494" s="59"/>
      <c r="N494" s="59"/>
      <c r="O494" s="112">
        <v>20.3090277777778</v>
      </c>
      <c r="P494" s="110" t="str">
        <f t="shared" si="38"/>
        <v/>
      </c>
      <c r="Q494" s="59"/>
      <c r="R494" s="87" t="str">
        <f t="shared" si="40"/>
        <v/>
      </c>
      <c r="S494" s="87" t="str">
        <f t="shared" si="41"/>
        <v/>
      </c>
      <c r="T494" s="59"/>
      <c r="U494" s="59"/>
      <c r="V494" s="59"/>
      <c r="W494" s="59"/>
      <c r="X494" s="93" t="str">
        <f t="shared" si="39"/>
        <v>D</v>
      </c>
    </row>
    <row r="495" spans="1:24" s="66" customFormat="1" x14ac:dyDescent="0.25">
      <c r="A495" s="53"/>
      <c r="B495" s="91" t="str">
        <f>IFERROR(VLOOKUP(A495,Lookup!A:B,2,0),"")</f>
        <v/>
      </c>
      <c r="C495" s="92" t="str">
        <f>IFERROR(VLOOKUP(A495,Lookup!A:C,3,0),"")</f>
        <v/>
      </c>
      <c r="D495" s="59"/>
      <c r="E495" s="59"/>
      <c r="F495" s="59"/>
      <c r="G495" s="94"/>
      <c r="H495" s="59"/>
      <c r="I495" s="59"/>
      <c r="J495" s="106">
        <f>VLOOKUP(A495&amp;G495,Lookup!J:N,5,0)</f>
        <v>0</v>
      </c>
      <c r="K495" s="110"/>
      <c r="L495" s="59"/>
      <c r="M495" s="59"/>
      <c r="N495" s="59"/>
      <c r="O495" s="112">
        <v>20.3506944444444</v>
      </c>
      <c r="P495" s="110" t="str">
        <f t="shared" si="38"/>
        <v/>
      </c>
      <c r="Q495" s="59"/>
      <c r="R495" s="87" t="str">
        <f t="shared" si="40"/>
        <v/>
      </c>
      <c r="S495" s="87" t="str">
        <f t="shared" si="41"/>
        <v/>
      </c>
      <c r="T495" s="59"/>
      <c r="U495" s="59"/>
      <c r="V495" s="59"/>
      <c r="W495" s="59"/>
      <c r="X495" s="93" t="str">
        <f t="shared" si="39"/>
        <v>D</v>
      </c>
    </row>
    <row r="496" spans="1:24" s="66" customFormat="1" x14ac:dyDescent="0.25">
      <c r="A496" s="53"/>
      <c r="B496" s="91" t="str">
        <f>IFERROR(VLOOKUP(A496,Lookup!A:B,2,0),"")</f>
        <v/>
      </c>
      <c r="C496" s="92" t="str">
        <f>IFERROR(VLOOKUP(A496,Lookup!A:C,3,0),"")</f>
        <v/>
      </c>
      <c r="D496" s="59"/>
      <c r="E496" s="59"/>
      <c r="F496" s="59"/>
      <c r="G496" s="94"/>
      <c r="H496" s="59"/>
      <c r="I496" s="59"/>
      <c r="J496" s="106">
        <f>VLOOKUP(A496&amp;G496,Lookup!J:N,5,0)</f>
        <v>0</v>
      </c>
      <c r="K496" s="110"/>
      <c r="L496" s="59"/>
      <c r="M496" s="59"/>
      <c r="N496" s="59"/>
      <c r="O496" s="112">
        <v>20.3923611111111</v>
      </c>
      <c r="P496" s="110" t="str">
        <f t="shared" si="38"/>
        <v/>
      </c>
      <c r="Q496" s="59"/>
      <c r="R496" s="87" t="str">
        <f t="shared" si="40"/>
        <v/>
      </c>
      <c r="S496" s="87" t="str">
        <f t="shared" si="41"/>
        <v/>
      </c>
      <c r="T496" s="59"/>
      <c r="U496" s="59"/>
      <c r="V496" s="59"/>
      <c r="W496" s="59"/>
      <c r="X496" s="93" t="str">
        <f t="shared" si="39"/>
        <v>D</v>
      </c>
    </row>
    <row r="497" spans="1:24" s="66" customFormat="1" x14ac:dyDescent="0.25">
      <c r="A497" s="53"/>
      <c r="B497" s="91" t="str">
        <f>IFERROR(VLOOKUP(A497,Lookup!A:B,2,0),"")</f>
        <v/>
      </c>
      <c r="C497" s="92" t="str">
        <f>IFERROR(VLOOKUP(A497,Lookup!A:C,3,0),"")</f>
        <v/>
      </c>
      <c r="D497" s="59"/>
      <c r="E497" s="59"/>
      <c r="F497" s="59"/>
      <c r="G497" s="94"/>
      <c r="H497" s="59"/>
      <c r="I497" s="59"/>
      <c r="J497" s="106">
        <f>VLOOKUP(A497&amp;G497,Lookup!J:N,5,0)</f>
        <v>0</v>
      </c>
      <c r="K497" s="110"/>
      <c r="L497" s="59"/>
      <c r="M497" s="59"/>
      <c r="N497" s="59"/>
      <c r="O497" s="112">
        <v>20.4340277777778</v>
      </c>
      <c r="P497" s="110" t="str">
        <f t="shared" si="38"/>
        <v/>
      </c>
      <c r="Q497" s="59"/>
      <c r="R497" s="87" t="str">
        <f t="shared" si="40"/>
        <v/>
      </c>
      <c r="S497" s="87" t="str">
        <f t="shared" si="41"/>
        <v/>
      </c>
      <c r="T497" s="59"/>
      <c r="U497" s="59"/>
      <c r="V497" s="59"/>
      <c r="W497" s="59"/>
      <c r="X497" s="93" t="str">
        <f t="shared" si="39"/>
        <v>D</v>
      </c>
    </row>
    <row r="498" spans="1:24" s="66" customFormat="1" x14ac:dyDescent="0.25">
      <c r="A498" s="53"/>
      <c r="B498" s="91" t="str">
        <f>IFERROR(VLOOKUP(A498,Lookup!A:B,2,0),"")</f>
        <v/>
      </c>
      <c r="C498" s="92" t="str">
        <f>IFERROR(VLOOKUP(A498,Lookup!A:C,3,0),"")</f>
        <v/>
      </c>
      <c r="D498" s="59"/>
      <c r="E498" s="59"/>
      <c r="F498" s="59"/>
      <c r="G498" s="94"/>
      <c r="H498" s="59"/>
      <c r="I498" s="59"/>
      <c r="J498" s="106">
        <f>VLOOKUP(A498&amp;G498,Lookup!J:N,5,0)</f>
        <v>0</v>
      </c>
      <c r="K498" s="110"/>
      <c r="L498" s="59"/>
      <c r="M498" s="59"/>
      <c r="N498" s="59"/>
      <c r="O498" s="112">
        <v>20.4756944444444</v>
      </c>
      <c r="P498" s="110" t="str">
        <f t="shared" si="38"/>
        <v/>
      </c>
      <c r="Q498" s="59"/>
      <c r="R498" s="87" t="str">
        <f t="shared" si="40"/>
        <v/>
      </c>
      <c r="S498" s="87" t="str">
        <f t="shared" si="41"/>
        <v/>
      </c>
      <c r="T498" s="59"/>
      <c r="U498" s="59"/>
      <c r="V498" s="59"/>
      <c r="W498" s="59"/>
      <c r="X498" s="93" t="str">
        <f t="shared" si="39"/>
        <v>D</v>
      </c>
    </row>
    <row r="499" spans="1:24" s="66" customFormat="1" x14ac:dyDescent="0.25">
      <c r="A499" s="53"/>
      <c r="B499" s="91" t="str">
        <f>IFERROR(VLOOKUP(A499,Lookup!A:B,2,0),"")</f>
        <v/>
      </c>
      <c r="C499" s="92" t="str">
        <f>IFERROR(VLOOKUP(A499,Lookup!A:C,3,0),"")</f>
        <v/>
      </c>
      <c r="D499" s="59"/>
      <c r="E499" s="59"/>
      <c r="F499" s="59"/>
      <c r="G499" s="94"/>
      <c r="H499" s="59"/>
      <c r="I499" s="59"/>
      <c r="J499" s="106">
        <f>VLOOKUP(A499&amp;G499,Lookup!J:N,5,0)</f>
        <v>0</v>
      </c>
      <c r="K499" s="110"/>
      <c r="L499" s="59"/>
      <c r="M499" s="59"/>
      <c r="N499" s="59"/>
      <c r="O499" s="112">
        <v>20.5173611111111</v>
      </c>
      <c r="P499" s="110" t="str">
        <f t="shared" si="38"/>
        <v/>
      </c>
      <c r="Q499" s="59"/>
      <c r="R499" s="87" t="str">
        <f t="shared" si="40"/>
        <v/>
      </c>
      <c r="S499" s="87" t="str">
        <f t="shared" si="41"/>
        <v/>
      </c>
      <c r="T499" s="59"/>
      <c r="U499" s="59"/>
      <c r="V499" s="59"/>
      <c r="W499" s="59"/>
      <c r="X499" s="93" t="str">
        <f t="shared" si="39"/>
        <v>D</v>
      </c>
    </row>
    <row r="500" spans="1:24" s="66" customFormat="1" x14ac:dyDescent="0.25">
      <c r="A500" s="53"/>
      <c r="B500" s="91" t="str">
        <f>IFERROR(VLOOKUP(A500,Lookup!A:B,2,0),"")</f>
        <v/>
      </c>
      <c r="C500" s="92" t="str">
        <f>IFERROR(VLOOKUP(A500,Lookup!A:C,3,0),"")</f>
        <v/>
      </c>
      <c r="D500" s="59"/>
      <c r="E500" s="59"/>
      <c r="F500" s="59"/>
      <c r="G500" s="94"/>
      <c r="H500" s="59"/>
      <c r="I500" s="59"/>
      <c r="J500" s="106">
        <f>VLOOKUP(A500&amp;G500,Lookup!J:N,5,0)</f>
        <v>0</v>
      </c>
      <c r="K500" s="110"/>
      <c r="L500" s="59"/>
      <c r="M500" s="59"/>
      <c r="N500" s="59"/>
      <c r="O500" s="112">
        <v>20.5590277777778</v>
      </c>
      <c r="P500" s="110" t="str">
        <f t="shared" si="38"/>
        <v/>
      </c>
      <c r="Q500" s="59"/>
      <c r="R500" s="87" t="str">
        <f t="shared" si="40"/>
        <v/>
      </c>
      <c r="S500" s="87" t="str">
        <f t="shared" si="41"/>
        <v/>
      </c>
      <c r="T500" s="59"/>
      <c r="U500" s="59"/>
      <c r="V500" s="59"/>
      <c r="W500" s="59"/>
      <c r="X500" s="93" t="str">
        <f t="shared" si="39"/>
        <v>D</v>
      </c>
    </row>
    <row r="501" spans="1:24" s="66" customFormat="1" x14ac:dyDescent="0.25">
      <c r="A501" s="53"/>
      <c r="B501" s="91" t="str">
        <f>IFERROR(VLOOKUP(A501,Lookup!A:B,2,0),"")</f>
        <v/>
      </c>
      <c r="C501" s="92" t="str">
        <f>IFERROR(VLOOKUP(A501,Lookup!A:C,3,0),"")</f>
        <v/>
      </c>
      <c r="D501" s="59"/>
      <c r="E501" s="59"/>
      <c r="F501" s="59"/>
      <c r="G501" s="94"/>
      <c r="H501" s="59"/>
      <c r="I501" s="59"/>
      <c r="J501" s="106">
        <f>VLOOKUP(A501&amp;G501,Lookup!J:N,5,0)</f>
        <v>0</v>
      </c>
      <c r="K501" s="110"/>
      <c r="L501" s="59"/>
      <c r="M501" s="59"/>
      <c r="N501" s="59"/>
      <c r="O501" s="112">
        <v>20.6006944444444</v>
      </c>
      <c r="P501" s="110" t="str">
        <f t="shared" si="38"/>
        <v/>
      </c>
      <c r="Q501" s="59"/>
      <c r="R501" s="87" t="str">
        <f t="shared" si="40"/>
        <v/>
      </c>
      <c r="S501" s="87" t="str">
        <f t="shared" si="41"/>
        <v/>
      </c>
      <c r="T501" s="59"/>
      <c r="U501" s="59"/>
      <c r="V501" s="59"/>
      <c r="W501" s="59"/>
      <c r="X501" s="93" t="str">
        <f t="shared" si="39"/>
        <v>D</v>
      </c>
    </row>
    <row r="502" spans="1:24" s="66" customFormat="1" x14ac:dyDescent="0.25">
      <c r="A502" s="53"/>
      <c r="B502" s="91" t="str">
        <f>IFERROR(VLOOKUP(A502,Lookup!A:B,2,0),"")</f>
        <v/>
      </c>
      <c r="C502" s="92" t="str">
        <f>IFERROR(VLOOKUP(A502,Lookup!A:C,3,0),"")</f>
        <v/>
      </c>
      <c r="D502" s="59"/>
      <c r="E502" s="59"/>
      <c r="F502" s="59"/>
      <c r="G502" s="94"/>
      <c r="H502" s="59"/>
      <c r="I502" s="59"/>
      <c r="J502" s="106">
        <f>VLOOKUP(A502&amp;G502,Lookup!J:N,5,0)</f>
        <v>0</v>
      </c>
      <c r="K502" s="110"/>
      <c r="L502" s="59"/>
      <c r="M502" s="59"/>
      <c r="N502" s="59"/>
      <c r="O502" s="112">
        <v>20.6423611111111</v>
      </c>
      <c r="P502" s="110" t="str">
        <f t="shared" si="38"/>
        <v/>
      </c>
      <c r="Q502" s="59"/>
      <c r="R502" s="87" t="str">
        <f t="shared" si="40"/>
        <v/>
      </c>
      <c r="S502" s="87" t="str">
        <f t="shared" si="41"/>
        <v/>
      </c>
      <c r="T502" s="59"/>
      <c r="U502" s="59"/>
      <c r="V502" s="59"/>
      <c r="W502" s="59"/>
      <c r="X502" s="93" t="str">
        <f t="shared" si="39"/>
        <v>D</v>
      </c>
    </row>
    <row r="503" spans="1:24" s="66" customFormat="1" x14ac:dyDescent="0.25">
      <c r="A503" s="53"/>
      <c r="B503" s="91" t="str">
        <f>IFERROR(VLOOKUP(A503,Lookup!A:B,2,0),"")</f>
        <v/>
      </c>
      <c r="C503" s="92" t="str">
        <f>IFERROR(VLOOKUP(A503,Lookup!A:C,3,0),"")</f>
        <v/>
      </c>
      <c r="D503" s="59"/>
      <c r="E503" s="59"/>
      <c r="F503" s="59"/>
      <c r="G503" s="94"/>
      <c r="H503" s="59"/>
      <c r="I503" s="59"/>
      <c r="J503" s="106">
        <f>VLOOKUP(A503&amp;G503,Lookup!J:N,5,0)</f>
        <v>0</v>
      </c>
      <c r="K503" s="110"/>
      <c r="L503" s="59"/>
      <c r="M503" s="59"/>
      <c r="N503" s="59"/>
      <c r="O503" s="112">
        <v>20.6840277777778</v>
      </c>
      <c r="P503" s="110" t="str">
        <f t="shared" si="38"/>
        <v/>
      </c>
      <c r="Q503" s="59"/>
      <c r="R503" s="87" t="str">
        <f t="shared" si="40"/>
        <v/>
      </c>
      <c r="S503" s="87" t="str">
        <f t="shared" si="41"/>
        <v/>
      </c>
      <c r="T503" s="59"/>
      <c r="U503" s="59"/>
      <c r="V503" s="59"/>
      <c r="W503" s="59"/>
      <c r="X503" s="93" t="str">
        <f t="shared" si="39"/>
        <v>D</v>
      </c>
    </row>
    <row r="504" spans="1:24" s="66" customFormat="1" x14ac:dyDescent="0.25">
      <c r="A504" s="53"/>
      <c r="B504" s="91" t="str">
        <f>IFERROR(VLOOKUP(A504,Lookup!A:B,2,0),"")</f>
        <v/>
      </c>
      <c r="C504" s="92" t="str">
        <f>IFERROR(VLOOKUP(A504,Lookup!A:C,3,0),"")</f>
        <v/>
      </c>
      <c r="D504" s="59"/>
      <c r="E504" s="59"/>
      <c r="F504" s="59"/>
      <c r="G504" s="94"/>
      <c r="H504" s="59"/>
      <c r="I504" s="59"/>
      <c r="J504" s="106">
        <f>VLOOKUP(A504&amp;G504,Lookup!J:N,5,0)</f>
        <v>0</v>
      </c>
      <c r="K504" s="110"/>
      <c r="L504" s="59"/>
      <c r="M504" s="59"/>
      <c r="N504" s="59"/>
      <c r="O504" s="112">
        <v>20.7256944444444</v>
      </c>
      <c r="P504" s="110" t="str">
        <f t="shared" si="38"/>
        <v/>
      </c>
      <c r="Q504" s="59"/>
      <c r="R504" s="87" t="str">
        <f t="shared" si="40"/>
        <v/>
      </c>
      <c r="S504" s="87" t="str">
        <f t="shared" si="41"/>
        <v/>
      </c>
      <c r="T504" s="59"/>
      <c r="U504" s="59"/>
      <c r="V504" s="59"/>
      <c r="W504" s="59"/>
      <c r="X504" s="93" t="str">
        <f t="shared" si="39"/>
        <v>D</v>
      </c>
    </row>
    <row r="505" spans="1:24" s="66" customFormat="1" x14ac:dyDescent="0.25">
      <c r="A505" s="53"/>
      <c r="B505" s="91" t="str">
        <f>IFERROR(VLOOKUP(A505,Lookup!A:B,2,0),"")</f>
        <v/>
      </c>
      <c r="C505" s="92" t="str">
        <f>IFERROR(VLOOKUP(A505,Lookup!A:C,3,0),"")</f>
        <v/>
      </c>
      <c r="D505" s="59"/>
      <c r="E505" s="59"/>
      <c r="F505" s="59"/>
      <c r="G505" s="94"/>
      <c r="H505" s="59"/>
      <c r="I505" s="59"/>
      <c r="J505" s="106">
        <f>VLOOKUP(A505&amp;G505,Lookup!J:N,5,0)</f>
        <v>0</v>
      </c>
      <c r="K505" s="110"/>
      <c r="L505" s="59"/>
      <c r="M505" s="59"/>
      <c r="N505" s="59"/>
      <c r="O505" s="112">
        <v>20.7673611111111</v>
      </c>
      <c r="P505" s="110" t="str">
        <f t="shared" si="38"/>
        <v/>
      </c>
      <c r="Q505" s="59"/>
      <c r="R505" s="87" t="str">
        <f t="shared" si="40"/>
        <v/>
      </c>
      <c r="S505" s="87" t="str">
        <f t="shared" si="41"/>
        <v/>
      </c>
      <c r="T505" s="59"/>
      <c r="U505" s="59"/>
      <c r="V505" s="59"/>
      <c r="W505" s="59"/>
      <c r="X505" s="93" t="str">
        <f t="shared" si="39"/>
        <v>D</v>
      </c>
    </row>
    <row r="506" spans="1:24" s="66" customFormat="1" x14ac:dyDescent="0.25">
      <c r="A506" s="53"/>
      <c r="B506" s="91" t="str">
        <f>IFERROR(VLOOKUP(A506,Lookup!A:B,2,0),"")</f>
        <v/>
      </c>
      <c r="C506" s="92" t="str">
        <f>IFERROR(VLOOKUP(A506,Lookup!A:C,3,0),"")</f>
        <v/>
      </c>
      <c r="D506" s="59"/>
      <c r="E506" s="59"/>
      <c r="F506" s="59"/>
      <c r="G506" s="94"/>
      <c r="H506" s="59"/>
      <c r="I506" s="59"/>
      <c r="J506" s="106">
        <f>VLOOKUP(A506&amp;G506,Lookup!J:N,5,0)</f>
        <v>0</v>
      </c>
      <c r="K506" s="110"/>
      <c r="L506" s="59"/>
      <c r="M506" s="59"/>
      <c r="N506" s="59"/>
      <c r="O506" s="112">
        <v>20.8090277777778</v>
      </c>
      <c r="P506" s="110" t="str">
        <f t="shared" si="38"/>
        <v/>
      </c>
      <c r="Q506" s="59"/>
      <c r="R506" s="87" t="str">
        <f t="shared" si="40"/>
        <v/>
      </c>
      <c r="S506" s="87" t="str">
        <f t="shared" si="41"/>
        <v/>
      </c>
      <c r="T506" s="59"/>
      <c r="U506" s="59"/>
      <c r="V506" s="59"/>
      <c r="W506" s="59"/>
      <c r="X506" s="93" t="str">
        <f t="shared" si="39"/>
        <v>D</v>
      </c>
    </row>
    <row r="507" spans="1:24" s="66" customFormat="1" x14ac:dyDescent="0.25">
      <c r="A507" s="53"/>
      <c r="B507" s="91" t="str">
        <f>IFERROR(VLOOKUP(A507,Lookup!A:B,2,0),"")</f>
        <v/>
      </c>
      <c r="C507" s="92" t="str">
        <f>IFERROR(VLOOKUP(A507,Lookup!A:C,3,0),"")</f>
        <v/>
      </c>
      <c r="D507" s="59"/>
      <c r="E507" s="59"/>
      <c r="F507" s="59"/>
      <c r="G507" s="94"/>
      <c r="H507" s="59"/>
      <c r="I507" s="59"/>
      <c r="J507" s="106">
        <f>VLOOKUP(A507&amp;G507,Lookup!J:N,5,0)</f>
        <v>0</v>
      </c>
      <c r="K507" s="110"/>
      <c r="L507" s="59"/>
      <c r="M507" s="59"/>
      <c r="N507" s="59"/>
      <c r="O507" s="112">
        <v>20.8506944444444</v>
      </c>
      <c r="P507" s="110" t="str">
        <f t="shared" si="38"/>
        <v/>
      </c>
      <c r="Q507" s="59"/>
      <c r="R507" s="87" t="str">
        <f t="shared" si="40"/>
        <v/>
      </c>
      <c r="S507" s="87" t="str">
        <f t="shared" si="41"/>
        <v/>
      </c>
      <c r="T507" s="59"/>
      <c r="U507" s="59"/>
      <c r="V507" s="59"/>
      <c r="W507" s="59"/>
      <c r="X507" s="93" t="str">
        <f t="shared" si="39"/>
        <v>D</v>
      </c>
    </row>
    <row r="508" spans="1:24" s="66" customFormat="1" x14ac:dyDescent="0.25">
      <c r="A508" s="53"/>
      <c r="B508" s="91" t="str">
        <f>IFERROR(VLOOKUP(A508,Lookup!A:B,2,0),"")</f>
        <v/>
      </c>
      <c r="C508" s="92" t="str">
        <f>IFERROR(VLOOKUP(A508,Lookup!A:C,3,0),"")</f>
        <v/>
      </c>
      <c r="D508" s="59"/>
      <c r="E508" s="59"/>
      <c r="F508" s="59"/>
      <c r="G508" s="94"/>
      <c r="H508" s="59"/>
      <c r="I508" s="59"/>
      <c r="J508" s="106">
        <f>VLOOKUP(A508&amp;G508,Lookup!J:N,5,0)</f>
        <v>0</v>
      </c>
      <c r="K508" s="110"/>
      <c r="L508" s="59"/>
      <c r="M508" s="59"/>
      <c r="N508" s="59"/>
      <c r="O508" s="112">
        <v>20.8923611111111</v>
      </c>
      <c r="P508" s="110" t="str">
        <f t="shared" si="38"/>
        <v/>
      </c>
      <c r="Q508" s="59"/>
      <c r="R508" s="87" t="str">
        <f t="shared" si="40"/>
        <v/>
      </c>
      <c r="S508" s="87" t="str">
        <f t="shared" si="41"/>
        <v/>
      </c>
      <c r="T508" s="59"/>
      <c r="U508" s="59"/>
      <c r="V508" s="59"/>
      <c r="W508" s="59"/>
      <c r="X508" s="93" t="str">
        <f t="shared" si="39"/>
        <v>D</v>
      </c>
    </row>
    <row r="509" spans="1:24" s="66" customFormat="1" x14ac:dyDescent="0.25">
      <c r="A509" s="53"/>
      <c r="B509" s="91" t="str">
        <f>IFERROR(VLOOKUP(A509,Lookup!A:B,2,0),"")</f>
        <v/>
      </c>
      <c r="C509" s="92" t="str">
        <f>IFERROR(VLOOKUP(A509,Lookup!A:C,3,0),"")</f>
        <v/>
      </c>
      <c r="D509" s="59"/>
      <c r="E509" s="59"/>
      <c r="F509" s="59"/>
      <c r="G509" s="94"/>
      <c r="H509" s="59"/>
      <c r="I509" s="59"/>
      <c r="J509" s="106">
        <f>VLOOKUP(A509&amp;G509,Lookup!J:N,5,0)</f>
        <v>0</v>
      </c>
      <c r="K509" s="110"/>
      <c r="L509" s="59"/>
      <c r="M509" s="59"/>
      <c r="N509" s="59"/>
      <c r="O509" s="112">
        <v>20.9340277777778</v>
      </c>
      <c r="P509" s="110" t="str">
        <f t="shared" si="38"/>
        <v/>
      </c>
      <c r="Q509" s="59"/>
      <c r="R509" s="87" t="str">
        <f t="shared" si="40"/>
        <v/>
      </c>
      <c r="S509" s="87" t="str">
        <f t="shared" si="41"/>
        <v/>
      </c>
      <c r="T509" s="59"/>
      <c r="U509" s="59"/>
      <c r="V509" s="59"/>
      <c r="W509" s="59"/>
      <c r="X509" s="93" t="str">
        <f t="shared" si="39"/>
        <v>D</v>
      </c>
    </row>
    <row r="510" spans="1:24" s="66" customFormat="1" x14ac:dyDescent="0.25">
      <c r="A510" s="53"/>
      <c r="B510" s="91" t="str">
        <f>IFERROR(VLOOKUP(A510,Lookup!A:B,2,0),"")</f>
        <v/>
      </c>
      <c r="C510" s="92" t="str">
        <f>IFERROR(VLOOKUP(A510,Lookup!A:C,3,0),"")</f>
        <v/>
      </c>
      <c r="D510" s="59"/>
      <c r="E510" s="59"/>
      <c r="F510" s="59"/>
      <c r="G510" s="94"/>
      <c r="H510" s="59"/>
      <c r="I510" s="59"/>
      <c r="J510" s="106">
        <f>VLOOKUP(A510&amp;G510,Lookup!J:N,5,0)</f>
        <v>0</v>
      </c>
      <c r="K510" s="110"/>
      <c r="L510" s="59"/>
      <c r="M510" s="59"/>
      <c r="N510" s="59"/>
      <c r="O510" s="112">
        <v>20.9756944444444</v>
      </c>
      <c r="P510" s="110" t="str">
        <f t="shared" si="38"/>
        <v/>
      </c>
      <c r="Q510" s="59"/>
      <c r="R510" s="87" t="str">
        <f t="shared" si="40"/>
        <v/>
      </c>
      <c r="S510" s="87" t="str">
        <f t="shared" si="41"/>
        <v/>
      </c>
      <c r="T510" s="59"/>
      <c r="U510" s="59"/>
      <c r="V510" s="59"/>
      <c r="W510" s="59"/>
      <c r="X510" s="93" t="str">
        <f t="shared" si="39"/>
        <v>D</v>
      </c>
    </row>
    <row r="511" spans="1:24" s="66" customFormat="1" x14ac:dyDescent="0.25">
      <c r="A511" s="53"/>
      <c r="B511" s="91" t="str">
        <f>IFERROR(VLOOKUP(A511,Lookup!A:B,2,0),"")</f>
        <v/>
      </c>
      <c r="C511" s="92" t="str">
        <f>IFERROR(VLOOKUP(A511,Lookup!A:C,3,0),"")</f>
        <v/>
      </c>
      <c r="D511" s="59"/>
      <c r="E511" s="59"/>
      <c r="F511" s="59"/>
      <c r="G511" s="94"/>
      <c r="H511" s="59"/>
      <c r="I511" s="59"/>
      <c r="J511" s="106">
        <f>VLOOKUP(A511&amp;G511,Lookup!J:N,5,0)</f>
        <v>0</v>
      </c>
      <c r="K511" s="110"/>
      <c r="L511" s="59"/>
      <c r="M511" s="59"/>
      <c r="N511" s="59"/>
      <c r="O511" s="112">
        <v>21.0173611111111</v>
      </c>
      <c r="P511" s="110" t="str">
        <f t="shared" si="38"/>
        <v/>
      </c>
      <c r="Q511" s="59"/>
      <c r="R511" s="87" t="str">
        <f t="shared" si="40"/>
        <v/>
      </c>
      <c r="S511" s="87" t="str">
        <f t="shared" si="41"/>
        <v/>
      </c>
      <c r="T511" s="59"/>
      <c r="U511" s="59"/>
      <c r="V511" s="59"/>
      <c r="W511" s="59"/>
      <c r="X511" s="93" t="str">
        <f t="shared" si="39"/>
        <v>D</v>
      </c>
    </row>
    <row r="512" spans="1:24" s="66" customFormat="1" x14ac:dyDescent="0.25">
      <c r="A512" s="53"/>
      <c r="B512" s="91" t="str">
        <f>IFERROR(VLOOKUP(A512,Lookup!A:B,2,0),"")</f>
        <v/>
      </c>
      <c r="C512" s="92" t="str">
        <f>IFERROR(VLOOKUP(A512,Lookup!A:C,3,0),"")</f>
        <v/>
      </c>
      <c r="D512" s="59"/>
      <c r="E512" s="59"/>
      <c r="F512" s="59"/>
      <c r="G512" s="94"/>
      <c r="H512" s="59"/>
      <c r="I512" s="59"/>
      <c r="J512" s="106">
        <f>VLOOKUP(A512&amp;G512,Lookup!J:N,5,0)</f>
        <v>0</v>
      </c>
      <c r="K512" s="110"/>
      <c r="L512" s="59"/>
      <c r="M512" s="59"/>
      <c r="N512" s="59"/>
      <c r="O512" s="112">
        <v>21.0590277777778</v>
      </c>
      <c r="P512" s="110" t="str">
        <f t="shared" si="38"/>
        <v/>
      </c>
      <c r="Q512" s="59"/>
      <c r="R512" s="87" t="str">
        <f t="shared" si="40"/>
        <v/>
      </c>
      <c r="S512" s="87" t="str">
        <f t="shared" si="41"/>
        <v/>
      </c>
      <c r="T512" s="59"/>
      <c r="U512" s="59"/>
      <c r="V512" s="59"/>
      <c r="W512" s="59"/>
      <c r="X512" s="93" t="str">
        <f t="shared" si="39"/>
        <v>D</v>
      </c>
    </row>
    <row r="513" spans="1:24" s="66" customFormat="1" x14ac:dyDescent="0.25">
      <c r="A513" s="53"/>
      <c r="B513" s="91" t="str">
        <f>IFERROR(VLOOKUP(A513,Lookup!A:B,2,0),"")</f>
        <v/>
      </c>
      <c r="C513" s="92" t="str">
        <f>IFERROR(VLOOKUP(A513,Lookup!A:C,3,0),"")</f>
        <v/>
      </c>
      <c r="D513" s="59"/>
      <c r="E513" s="59"/>
      <c r="F513" s="59"/>
      <c r="G513" s="94"/>
      <c r="H513" s="59"/>
      <c r="I513" s="59"/>
      <c r="J513" s="106">
        <f>VLOOKUP(A513&amp;G513,Lookup!J:N,5,0)</f>
        <v>0</v>
      </c>
      <c r="K513" s="110"/>
      <c r="L513" s="59"/>
      <c r="M513" s="59"/>
      <c r="N513" s="59"/>
      <c r="O513" s="112">
        <v>21.1006944444444</v>
      </c>
      <c r="P513" s="110" t="str">
        <f t="shared" si="38"/>
        <v/>
      </c>
      <c r="Q513" s="59"/>
      <c r="R513" s="87" t="str">
        <f t="shared" si="40"/>
        <v/>
      </c>
      <c r="S513" s="87" t="str">
        <f t="shared" si="41"/>
        <v/>
      </c>
      <c r="T513" s="59"/>
      <c r="U513" s="59"/>
      <c r="V513" s="59"/>
      <c r="W513" s="59"/>
      <c r="X513" s="93" t="str">
        <f t="shared" si="39"/>
        <v>D</v>
      </c>
    </row>
    <row r="514" spans="1:24" s="66" customFormat="1" x14ac:dyDescent="0.25">
      <c r="A514" s="53"/>
      <c r="B514" s="91" t="str">
        <f>IFERROR(VLOOKUP(A514,Lookup!A:B,2,0),"")</f>
        <v/>
      </c>
      <c r="C514" s="92" t="str">
        <f>IFERROR(VLOOKUP(A514,Lookup!A:C,3,0),"")</f>
        <v/>
      </c>
      <c r="D514" s="59"/>
      <c r="E514" s="59"/>
      <c r="F514" s="59"/>
      <c r="G514" s="94"/>
      <c r="H514" s="59"/>
      <c r="I514" s="59"/>
      <c r="J514" s="106">
        <f>VLOOKUP(A514&amp;G514,Lookup!J:N,5,0)</f>
        <v>0</v>
      </c>
      <c r="K514" s="110"/>
      <c r="L514" s="59"/>
      <c r="M514" s="59"/>
      <c r="N514" s="59"/>
      <c r="O514" s="112">
        <v>21.1423611111111</v>
      </c>
      <c r="P514" s="110" t="str">
        <f t="shared" si="38"/>
        <v/>
      </c>
      <c r="Q514" s="59"/>
      <c r="R514" s="87" t="str">
        <f t="shared" si="40"/>
        <v/>
      </c>
      <c r="S514" s="87" t="str">
        <f t="shared" si="41"/>
        <v/>
      </c>
      <c r="T514" s="59"/>
      <c r="U514" s="59"/>
      <c r="V514" s="59"/>
      <c r="W514" s="59"/>
      <c r="X514" s="93" t="str">
        <f t="shared" si="39"/>
        <v>D</v>
      </c>
    </row>
    <row r="515" spans="1:24" s="66" customFormat="1" x14ac:dyDescent="0.25">
      <c r="A515" s="53"/>
      <c r="B515" s="91" t="str">
        <f>IFERROR(VLOOKUP(A515,Lookup!A:B,2,0),"")</f>
        <v/>
      </c>
      <c r="C515" s="92" t="str">
        <f>IFERROR(VLOOKUP(A515,Lookup!A:C,3,0),"")</f>
        <v/>
      </c>
      <c r="D515" s="59"/>
      <c r="E515" s="59"/>
      <c r="F515" s="59"/>
      <c r="G515" s="94"/>
      <c r="H515" s="59"/>
      <c r="I515" s="59"/>
      <c r="J515" s="106">
        <f>VLOOKUP(A515&amp;G515,Lookup!J:N,5,0)</f>
        <v>0</v>
      </c>
      <c r="K515" s="110"/>
      <c r="L515" s="59"/>
      <c r="M515" s="59"/>
      <c r="N515" s="59"/>
      <c r="O515" s="112">
        <v>21.1840277777778</v>
      </c>
      <c r="P515" s="110" t="str">
        <f t="shared" ref="P515:P578" si="42">IF(N515="","",N515+O515)</f>
        <v/>
      </c>
      <c r="Q515" s="59"/>
      <c r="R515" s="87" t="str">
        <f t="shared" si="40"/>
        <v/>
      </c>
      <c r="S515" s="87" t="str">
        <f t="shared" si="41"/>
        <v/>
      </c>
      <c r="T515" s="59"/>
      <c r="U515" s="59"/>
      <c r="V515" s="59"/>
      <c r="W515" s="59"/>
      <c r="X515" s="93" t="str">
        <f t="shared" ref="X515:X578" si="43">IF(I515="SET","A",IF(I515="FREQ","C",IF(I515="","D","B")))</f>
        <v>D</v>
      </c>
    </row>
    <row r="516" spans="1:24" s="66" customFormat="1" x14ac:dyDescent="0.25">
      <c r="A516" s="53"/>
      <c r="B516" s="91" t="str">
        <f>IFERROR(VLOOKUP(A516,Lookup!A:B,2,0),"")</f>
        <v/>
      </c>
      <c r="C516" s="92" t="str">
        <f>IFERROR(VLOOKUP(A516,Lookup!A:C,3,0),"")</f>
        <v/>
      </c>
      <c r="D516" s="59"/>
      <c r="E516" s="59"/>
      <c r="F516" s="59"/>
      <c r="G516" s="94"/>
      <c r="H516" s="59"/>
      <c r="I516" s="59"/>
      <c r="J516" s="106">
        <f>VLOOKUP(A516&amp;G516,Lookup!J:N,5,0)</f>
        <v>0</v>
      </c>
      <c r="K516" s="110"/>
      <c r="L516" s="59"/>
      <c r="M516" s="59"/>
      <c r="N516" s="59"/>
      <c r="O516" s="112">
        <v>21.2256944444444</v>
      </c>
      <c r="P516" s="110" t="str">
        <f t="shared" si="42"/>
        <v/>
      </c>
      <c r="Q516" s="59"/>
      <c r="R516" s="87" t="str">
        <f t="shared" si="40"/>
        <v/>
      </c>
      <c r="S516" s="87" t="str">
        <f t="shared" si="41"/>
        <v/>
      </c>
      <c r="T516" s="59"/>
      <c r="U516" s="59"/>
      <c r="V516" s="59"/>
      <c r="W516" s="59"/>
      <c r="X516" s="93" t="str">
        <f t="shared" si="43"/>
        <v>D</v>
      </c>
    </row>
    <row r="517" spans="1:24" s="66" customFormat="1" x14ac:dyDescent="0.25">
      <c r="A517" s="53"/>
      <c r="B517" s="91" t="str">
        <f>IFERROR(VLOOKUP(A517,Lookup!A:B,2,0),"")</f>
        <v/>
      </c>
      <c r="C517" s="92" t="str">
        <f>IFERROR(VLOOKUP(A517,Lookup!A:C,3,0),"")</f>
        <v/>
      </c>
      <c r="D517" s="59"/>
      <c r="E517" s="59"/>
      <c r="F517" s="59"/>
      <c r="G517" s="94"/>
      <c r="H517" s="59"/>
      <c r="I517" s="59"/>
      <c r="J517" s="106">
        <f>VLOOKUP(A517&amp;G517,Lookup!J:N,5,0)</f>
        <v>0</v>
      </c>
      <c r="K517" s="110"/>
      <c r="L517" s="59"/>
      <c r="M517" s="59"/>
      <c r="N517" s="59"/>
      <c r="O517" s="112">
        <v>21.2673611111111</v>
      </c>
      <c r="P517" s="110" t="str">
        <f t="shared" si="42"/>
        <v/>
      </c>
      <c r="Q517" s="59"/>
      <c r="R517" s="87" t="str">
        <f t="shared" si="40"/>
        <v/>
      </c>
      <c r="S517" s="87" t="str">
        <f t="shared" si="41"/>
        <v/>
      </c>
      <c r="T517" s="59"/>
      <c r="U517" s="59"/>
      <c r="V517" s="59"/>
      <c r="W517" s="59"/>
      <c r="X517" s="93" t="str">
        <f t="shared" si="43"/>
        <v>D</v>
      </c>
    </row>
    <row r="518" spans="1:24" s="66" customFormat="1" x14ac:dyDescent="0.25">
      <c r="A518" s="53"/>
      <c r="B518" s="91" t="str">
        <f>IFERROR(VLOOKUP(A518,Lookup!A:B,2,0),"")</f>
        <v/>
      </c>
      <c r="C518" s="92" t="str">
        <f>IFERROR(VLOOKUP(A518,Lookup!A:C,3,0),"")</f>
        <v/>
      </c>
      <c r="D518" s="59"/>
      <c r="E518" s="59"/>
      <c r="F518" s="59"/>
      <c r="G518" s="94"/>
      <c r="H518" s="59"/>
      <c r="I518" s="59"/>
      <c r="J518" s="106">
        <f>VLOOKUP(A518&amp;G518,Lookup!J:N,5,0)</f>
        <v>0</v>
      </c>
      <c r="K518" s="110"/>
      <c r="L518" s="59"/>
      <c r="M518" s="59"/>
      <c r="N518" s="59"/>
      <c r="O518" s="112">
        <v>21.3090277777778</v>
      </c>
      <c r="P518" s="110" t="str">
        <f t="shared" si="42"/>
        <v/>
      </c>
      <c r="Q518" s="59"/>
      <c r="R518" s="87" t="str">
        <f t="shared" si="40"/>
        <v/>
      </c>
      <c r="S518" s="87" t="str">
        <f t="shared" si="41"/>
        <v/>
      </c>
      <c r="T518" s="59"/>
      <c r="U518" s="59"/>
      <c r="V518" s="59"/>
      <c r="W518" s="59"/>
      <c r="X518" s="93" t="str">
        <f t="shared" si="43"/>
        <v>D</v>
      </c>
    </row>
    <row r="519" spans="1:24" s="66" customFormat="1" x14ac:dyDescent="0.25">
      <c r="A519" s="53"/>
      <c r="B519" s="91" t="str">
        <f>IFERROR(VLOOKUP(A519,Lookup!A:B,2,0),"")</f>
        <v/>
      </c>
      <c r="C519" s="92" t="str">
        <f>IFERROR(VLOOKUP(A519,Lookup!A:C,3,0),"")</f>
        <v/>
      </c>
      <c r="D519" s="59"/>
      <c r="E519" s="59"/>
      <c r="F519" s="59"/>
      <c r="G519" s="94"/>
      <c r="H519" s="59"/>
      <c r="I519" s="59"/>
      <c r="J519" s="106">
        <f>VLOOKUP(A519&amp;G519,Lookup!J:N,5,0)</f>
        <v>0</v>
      </c>
      <c r="K519" s="110"/>
      <c r="L519" s="59"/>
      <c r="M519" s="59"/>
      <c r="N519" s="59"/>
      <c r="O519" s="112">
        <v>21.3506944444444</v>
      </c>
      <c r="P519" s="110" t="str">
        <f t="shared" si="42"/>
        <v/>
      </c>
      <c r="Q519" s="59"/>
      <c r="R519" s="87" t="str">
        <f t="shared" ref="R519:R582" si="44">IF(OR(EXACT(N519,""), EXACT(L519,"")),"",N519-L519)</f>
        <v/>
      </c>
      <c r="S519" s="87" t="str">
        <f t="shared" ref="S519:S582" si="45">IF(OR(EXACT(Q519,""), EXACT(L519,"")),"",Q519-L519)</f>
        <v/>
      </c>
      <c r="T519" s="59"/>
      <c r="U519" s="59"/>
      <c r="V519" s="59"/>
      <c r="W519" s="59"/>
      <c r="X519" s="93" t="str">
        <f t="shared" si="43"/>
        <v>D</v>
      </c>
    </row>
    <row r="520" spans="1:24" s="66" customFormat="1" x14ac:dyDescent="0.25">
      <c r="A520" s="53"/>
      <c r="B520" s="91" t="str">
        <f>IFERROR(VLOOKUP(A520,Lookup!A:B,2,0),"")</f>
        <v/>
      </c>
      <c r="C520" s="92" t="str">
        <f>IFERROR(VLOOKUP(A520,Lookup!A:C,3,0),"")</f>
        <v/>
      </c>
      <c r="D520" s="59"/>
      <c r="E520" s="59"/>
      <c r="F520" s="59"/>
      <c r="G520" s="94"/>
      <c r="H520" s="59"/>
      <c r="I520" s="59"/>
      <c r="J520" s="106">
        <f>VLOOKUP(A520&amp;G520,Lookup!J:N,5,0)</f>
        <v>0</v>
      </c>
      <c r="K520" s="110"/>
      <c r="L520" s="59"/>
      <c r="M520" s="59"/>
      <c r="N520" s="59"/>
      <c r="O520" s="112">
        <v>21.3923611111111</v>
      </c>
      <c r="P520" s="110" t="str">
        <f t="shared" si="42"/>
        <v/>
      </c>
      <c r="Q520" s="59"/>
      <c r="R520" s="87" t="str">
        <f t="shared" si="44"/>
        <v/>
      </c>
      <c r="S520" s="87" t="str">
        <f t="shared" si="45"/>
        <v/>
      </c>
      <c r="T520" s="59"/>
      <c r="U520" s="59"/>
      <c r="V520" s="59"/>
      <c r="W520" s="59"/>
      <c r="X520" s="93" t="str">
        <f t="shared" si="43"/>
        <v>D</v>
      </c>
    </row>
    <row r="521" spans="1:24" s="66" customFormat="1" x14ac:dyDescent="0.25">
      <c r="A521" s="53"/>
      <c r="B521" s="91" t="str">
        <f>IFERROR(VLOOKUP(A521,Lookup!A:B,2,0),"")</f>
        <v/>
      </c>
      <c r="C521" s="92" t="str">
        <f>IFERROR(VLOOKUP(A521,Lookup!A:C,3,0),"")</f>
        <v/>
      </c>
      <c r="D521" s="59"/>
      <c r="E521" s="59"/>
      <c r="F521" s="59"/>
      <c r="G521" s="94"/>
      <c r="H521" s="59"/>
      <c r="I521" s="59"/>
      <c r="J521" s="106">
        <f>VLOOKUP(A521&amp;G521,Lookup!J:N,5,0)</f>
        <v>0</v>
      </c>
      <c r="K521" s="110"/>
      <c r="L521" s="59"/>
      <c r="M521" s="59"/>
      <c r="N521" s="59"/>
      <c r="O521" s="112">
        <v>21.4340277777778</v>
      </c>
      <c r="P521" s="110" t="str">
        <f t="shared" si="42"/>
        <v/>
      </c>
      <c r="Q521" s="59"/>
      <c r="R521" s="87" t="str">
        <f t="shared" si="44"/>
        <v/>
      </c>
      <c r="S521" s="87" t="str">
        <f t="shared" si="45"/>
        <v/>
      </c>
      <c r="T521" s="59"/>
      <c r="U521" s="59"/>
      <c r="V521" s="59"/>
      <c r="W521" s="59"/>
      <c r="X521" s="93" t="str">
        <f t="shared" si="43"/>
        <v>D</v>
      </c>
    </row>
    <row r="522" spans="1:24" s="66" customFormat="1" x14ac:dyDescent="0.25">
      <c r="A522" s="53"/>
      <c r="B522" s="91" t="str">
        <f>IFERROR(VLOOKUP(A522,Lookup!A:B,2,0),"")</f>
        <v/>
      </c>
      <c r="C522" s="92" t="str">
        <f>IFERROR(VLOOKUP(A522,Lookup!A:C,3,0),"")</f>
        <v/>
      </c>
      <c r="D522" s="59"/>
      <c r="E522" s="59"/>
      <c r="F522" s="59"/>
      <c r="G522" s="94"/>
      <c r="H522" s="59"/>
      <c r="I522" s="59"/>
      <c r="J522" s="106">
        <f>VLOOKUP(A522&amp;G522,Lookup!J:N,5,0)</f>
        <v>0</v>
      </c>
      <c r="K522" s="110"/>
      <c r="L522" s="59"/>
      <c r="M522" s="59"/>
      <c r="N522" s="59"/>
      <c r="O522" s="112">
        <v>21.4756944444444</v>
      </c>
      <c r="P522" s="110" t="str">
        <f t="shared" si="42"/>
        <v/>
      </c>
      <c r="Q522" s="59"/>
      <c r="R522" s="87" t="str">
        <f t="shared" si="44"/>
        <v/>
      </c>
      <c r="S522" s="87" t="str">
        <f t="shared" si="45"/>
        <v/>
      </c>
      <c r="T522" s="59"/>
      <c r="U522" s="59"/>
      <c r="V522" s="59"/>
      <c r="W522" s="59"/>
      <c r="X522" s="93" t="str">
        <f t="shared" si="43"/>
        <v>D</v>
      </c>
    </row>
    <row r="523" spans="1:24" s="66" customFormat="1" x14ac:dyDescent="0.25">
      <c r="A523" s="53"/>
      <c r="B523" s="91" t="str">
        <f>IFERROR(VLOOKUP(A523,Lookup!A:B,2,0),"")</f>
        <v/>
      </c>
      <c r="C523" s="92" t="str">
        <f>IFERROR(VLOOKUP(A523,Lookup!A:C,3,0),"")</f>
        <v/>
      </c>
      <c r="D523" s="59"/>
      <c r="E523" s="59"/>
      <c r="F523" s="59"/>
      <c r="G523" s="94"/>
      <c r="H523" s="59"/>
      <c r="I523" s="59"/>
      <c r="J523" s="106">
        <f>VLOOKUP(A523&amp;G523,Lookup!J:N,5,0)</f>
        <v>0</v>
      </c>
      <c r="K523" s="110"/>
      <c r="L523" s="59"/>
      <c r="M523" s="59"/>
      <c r="N523" s="59"/>
      <c r="O523" s="112">
        <v>21.5173611111111</v>
      </c>
      <c r="P523" s="110" t="str">
        <f t="shared" si="42"/>
        <v/>
      </c>
      <c r="Q523" s="59"/>
      <c r="R523" s="87" t="str">
        <f t="shared" si="44"/>
        <v/>
      </c>
      <c r="S523" s="87" t="str">
        <f t="shared" si="45"/>
        <v/>
      </c>
      <c r="T523" s="59"/>
      <c r="U523" s="59"/>
      <c r="V523" s="59"/>
      <c r="W523" s="59"/>
      <c r="X523" s="93" t="str">
        <f t="shared" si="43"/>
        <v>D</v>
      </c>
    </row>
    <row r="524" spans="1:24" s="66" customFormat="1" x14ac:dyDescent="0.25">
      <c r="A524" s="53"/>
      <c r="B524" s="91" t="str">
        <f>IFERROR(VLOOKUP(A524,Lookup!A:B,2,0),"")</f>
        <v/>
      </c>
      <c r="C524" s="92" t="str">
        <f>IFERROR(VLOOKUP(A524,Lookup!A:C,3,0),"")</f>
        <v/>
      </c>
      <c r="D524" s="59"/>
      <c r="E524" s="59"/>
      <c r="F524" s="59"/>
      <c r="G524" s="94"/>
      <c r="H524" s="59"/>
      <c r="I524" s="59"/>
      <c r="J524" s="106">
        <f>VLOOKUP(A524&amp;G524,Lookup!J:N,5,0)</f>
        <v>0</v>
      </c>
      <c r="K524" s="110"/>
      <c r="L524" s="59"/>
      <c r="M524" s="59"/>
      <c r="N524" s="59"/>
      <c r="O524" s="112">
        <v>21.5590277777778</v>
      </c>
      <c r="P524" s="110" t="str">
        <f t="shared" si="42"/>
        <v/>
      </c>
      <c r="Q524" s="59"/>
      <c r="R524" s="87" t="str">
        <f t="shared" si="44"/>
        <v/>
      </c>
      <c r="S524" s="87" t="str">
        <f t="shared" si="45"/>
        <v/>
      </c>
      <c r="T524" s="59"/>
      <c r="U524" s="59"/>
      <c r="V524" s="59"/>
      <c r="W524" s="59"/>
      <c r="X524" s="93" t="str">
        <f t="shared" si="43"/>
        <v>D</v>
      </c>
    </row>
    <row r="525" spans="1:24" s="66" customFormat="1" x14ac:dyDescent="0.25">
      <c r="A525" s="53"/>
      <c r="B525" s="91" t="str">
        <f>IFERROR(VLOOKUP(A525,Lookup!A:B,2,0),"")</f>
        <v/>
      </c>
      <c r="C525" s="92" t="str">
        <f>IFERROR(VLOOKUP(A525,Lookup!A:C,3,0),"")</f>
        <v/>
      </c>
      <c r="D525" s="59"/>
      <c r="E525" s="59"/>
      <c r="F525" s="59"/>
      <c r="G525" s="94"/>
      <c r="H525" s="59"/>
      <c r="I525" s="59"/>
      <c r="J525" s="106">
        <f>VLOOKUP(A525&amp;G525,Lookup!J:N,5,0)</f>
        <v>0</v>
      </c>
      <c r="K525" s="110"/>
      <c r="L525" s="59"/>
      <c r="M525" s="59"/>
      <c r="N525" s="59"/>
      <c r="O525" s="112">
        <v>21.6006944444444</v>
      </c>
      <c r="P525" s="110" t="str">
        <f t="shared" si="42"/>
        <v/>
      </c>
      <c r="Q525" s="59"/>
      <c r="R525" s="87" t="str">
        <f t="shared" si="44"/>
        <v/>
      </c>
      <c r="S525" s="87" t="str">
        <f t="shared" si="45"/>
        <v/>
      </c>
      <c r="T525" s="59"/>
      <c r="U525" s="59"/>
      <c r="V525" s="59"/>
      <c r="W525" s="59"/>
      <c r="X525" s="93" t="str">
        <f t="shared" si="43"/>
        <v>D</v>
      </c>
    </row>
    <row r="526" spans="1:24" s="66" customFormat="1" x14ac:dyDescent="0.25">
      <c r="A526" s="53"/>
      <c r="B526" s="91" t="str">
        <f>IFERROR(VLOOKUP(A526,Lookup!A:B,2,0),"")</f>
        <v/>
      </c>
      <c r="C526" s="92" t="str">
        <f>IFERROR(VLOOKUP(A526,Lookup!A:C,3,0),"")</f>
        <v/>
      </c>
      <c r="D526" s="59"/>
      <c r="E526" s="59"/>
      <c r="F526" s="59"/>
      <c r="G526" s="94"/>
      <c r="H526" s="59"/>
      <c r="I526" s="59"/>
      <c r="J526" s="106">
        <f>VLOOKUP(A526&amp;G526,Lookup!J:N,5,0)</f>
        <v>0</v>
      </c>
      <c r="K526" s="110"/>
      <c r="L526" s="59"/>
      <c r="M526" s="59"/>
      <c r="N526" s="59"/>
      <c r="O526" s="112">
        <v>21.6423611111111</v>
      </c>
      <c r="P526" s="110" t="str">
        <f t="shared" si="42"/>
        <v/>
      </c>
      <c r="Q526" s="59"/>
      <c r="R526" s="87" t="str">
        <f t="shared" si="44"/>
        <v/>
      </c>
      <c r="S526" s="87" t="str">
        <f t="shared" si="45"/>
        <v/>
      </c>
      <c r="T526" s="59"/>
      <c r="U526" s="59"/>
      <c r="V526" s="59"/>
      <c r="W526" s="59"/>
      <c r="X526" s="93" t="str">
        <f t="shared" si="43"/>
        <v>D</v>
      </c>
    </row>
    <row r="527" spans="1:24" s="66" customFormat="1" x14ac:dyDescent="0.25">
      <c r="A527" s="53"/>
      <c r="B527" s="91" t="str">
        <f>IFERROR(VLOOKUP(A527,Lookup!A:B,2,0),"")</f>
        <v/>
      </c>
      <c r="C527" s="92" t="str">
        <f>IFERROR(VLOOKUP(A527,Lookup!A:C,3,0),"")</f>
        <v/>
      </c>
      <c r="D527" s="59"/>
      <c r="E527" s="59"/>
      <c r="F527" s="59"/>
      <c r="G527" s="94"/>
      <c r="H527" s="59"/>
      <c r="I527" s="59"/>
      <c r="J527" s="106">
        <f>VLOOKUP(A527&amp;G527,Lookup!J:N,5,0)</f>
        <v>0</v>
      </c>
      <c r="K527" s="110"/>
      <c r="L527" s="59"/>
      <c r="M527" s="59"/>
      <c r="N527" s="59"/>
      <c r="O527" s="112">
        <v>21.6840277777778</v>
      </c>
      <c r="P527" s="110" t="str">
        <f t="shared" si="42"/>
        <v/>
      </c>
      <c r="Q527" s="59"/>
      <c r="R527" s="87" t="str">
        <f t="shared" si="44"/>
        <v/>
      </c>
      <c r="S527" s="87" t="str">
        <f t="shared" si="45"/>
        <v/>
      </c>
      <c r="T527" s="59"/>
      <c r="U527" s="59"/>
      <c r="V527" s="59"/>
      <c r="W527" s="59"/>
      <c r="X527" s="93" t="str">
        <f t="shared" si="43"/>
        <v>D</v>
      </c>
    </row>
    <row r="528" spans="1:24" s="66" customFormat="1" x14ac:dyDescent="0.25">
      <c r="A528" s="53"/>
      <c r="B528" s="91" t="str">
        <f>IFERROR(VLOOKUP(A528,Lookup!A:B,2,0),"")</f>
        <v/>
      </c>
      <c r="C528" s="92" t="str">
        <f>IFERROR(VLOOKUP(A528,Lookup!A:C,3,0),"")</f>
        <v/>
      </c>
      <c r="D528" s="59"/>
      <c r="E528" s="59"/>
      <c r="F528" s="59"/>
      <c r="G528" s="94"/>
      <c r="H528" s="59"/>
      <c r="I528" s="59"/>
      <c r="J528" s="106">
        <f>VLOOKUP(A528&amp;G528,Lookup!J:N,5,0)</f>
        <v>0</v>
      </c>
      <c r="K528" s="110"/>
      <c r="L528" s="59"/>
      <c r="M528" s="59"/>
      <c r="N528" s="59"/>
      <c r="O528" s="112">
        <v>21.7256944444444</v>
      </c>
      <c r="P528" s="110" t="str">
        <f t="shared" si="42"/>
        <v/>
      </c>
      <c r="Q528" s="59"/>
      <c r="R528" s="87" t="str">
        <f t="shared" si="44"/>
        <v/>
      </c>
      <c r="S528" s="87" t="str">
        <f t="shared" si="45"/>
        <v/>
      </c>
      <c r="T528" s="59"/>
      <c r="U528" s="59"/>
      <c r="V528" s="59"/>
      <c r="W528" s="59"/>
      <c r="X528" s="93" t="str">
        <f t="shared" si="43"/>
        <v>D</v>
      </c>
    </row>
    <row r="529" spans="1:24" s="66" customFormat="1" x14ac:dyDescent="0.25">
      <c r="A529" s="53"/>
      <c r="B529" s="91" t="str">
        <f>IFERROR(VLOOKUP(A529,Lookup!A:B,2,0),"")</f>
        <v/>
      </c>
      <c r="C529" s="92" t="str">
        <f>IFERROR(VLOOKUP(A529,Lookup!A:C,3,0),"")</f>
        <v/>
      </c>
      <c r="D529" s="59"/>
      <c r="E529" s="59"/>
      <c r="F529" s="59"/>
      <c r="G529" s="94"/>
      <c r="H529" s="59"/>
      <c r="I529" s="59"/>
      <c r="J529" s="106">
        <f>VLOOKUP(A529&amp;G529,Lookup!J:N,5,0)</f>
        <v>0</v>
      </c>
      <c r="K529" s="110"/>
      <c r="L529" s="59"/>
      <c r="M529" s="59"/>
      <c r="N529" s="59"/>
      <c r="O529" s="112">
        <v>21.7673611111111</v>
      </c>
      <c r="P529" s="110" t="str">
        <f t="shared" si="42"/>
        <v/>
      </c>
      <c r="Q529" s="59"/>
      <c r="R529" s="87" t="str">
        <f t="shared" si="44"/>
        <v/>
      </c>
      <c r="S529" s="87" t="str">
        <f t="shared" si="45"/>
        <v/>
      </c>
      <c r="T529" s="59"/>
      <c r="U529" s="59"/>
      <c r="V529" s="59"/>
      <c r="W529" s="59"/>
      <c r="X529" s="93" t="str">
        <f t="shared" si="43"/>
        <v>D</v>
      </c>
    </row>
    <row r="530" spans="1:24" s="66" customFormat="1" x14ac:dyDescent="0.25">
      <c r="A530" s="53"/>
      <c r="B530" s="91" t="str">
        <f>IFERROR(VLOOKUP(A530,Lookup!A:B,2,0),"")</f>
        <v/>
      </c>
      <c r="C530" s="92" t="str">
        <f>IFERROR(VLOOKUP(A530,Lookup!A:C,3,0),"")</f>
        <v/>
      </c>
      <c r="D530" s="59"/>
      <c r="E530" s="59"/>
      <c r="F530" s="59"/>
      <c r="G530" s="94"/>
      <c r="H530" s="59"/>
      <c r="I530" s="59"/>
      <c r="J530" s="106">
        <f>VLOOKUP(A530&amp;G530,Lookup!J:N,5,0)</f>
        <v>0</v>
      </c>
      <c r="K530" s="110"/>
      <c r="L530" s="59"/>
      <c r="M530" s="59"/>
      <c r="N530" s="59"/>
      <c r="O530" s="112">
        <v>21.8090277777778</v>
      </c>
      <c r="P530" s="110" t="str">
        <f t="shared" si="42"/>
        <v/>
      </c>
      <c r="Q530" s="59"/>
      <c r="R530" s="87" t="str">
        <f t="shared" si="44"/>
        <v/>
      </c>
      <c r="S530" s="87" t="str">
        <f t="shared" si="45"/>
        <v/>
      </c>
      <c r="T530" s="59"/>
      <c r="U530" s="59"/>
      <c r="V530" s="59"/>
      <c r="W530" s="59"/>
      <c r="X530" s="93" t="str">
        <f t="shared" si="43"/>
        <v>D</v>
      </c>
    </row>
    <row r="531" spans="1:24" s="66" customFormat="1" x14ac:dyDescent="0.25">
      <c r="A531" s="53"/>
      <c r="B531" s="91" t="str">
        <f>IFERROR(VLOOKUP(A531,Lookup!A:B,2,0),"")</f>
        <v/>
      </c>
      <c r="C531" s="92" t="str">
        <f>IFERROR(VLOOKUP(A531,Lookup!A:C,3,0),"")</f>
        <v/>
      </c>
      <c r="D531" s="59"/>
      <c r="E531" s="59"/>
      <c r="F531" s="59"/>
      <c r="G531" s="94"/>
      <c r="H531" s="59"/>
      <c r="I531" s="59"/>
      <c r="J531" s="106">
        <f>VLOOKUP(A531&amp;G531,Lookup!J:N,5,0)</f>
        <v>0</v>
      </c>
      <c r="K531" s="110"/>
      <c r="L531" s="59"/>
      <c r="M531" s="59"/>
      <c r="N531" s="59"/>
      <c r="O531" s="112">
        <v>21.8506944444444</v>
      </c>
      <c r="P531" s="110" t="str">
        <f t="shared" si="42"/>
        <v/>
      </c>
      <c r="Q531" s="59"/>
      <c r="R531" s="87" t="str">
        <f t="shared" si="44"/>
        <v/>
      </c>
      <c r="S531" s="87" t="str">
        <f t="shared" si="45"/>
        <v/>
      </c>
      <c r="T531" s="59"/>
      <c r="U531" s="59"/>
      <c r="V531" s="59"/>
      <c r="W531" s="59"/>
      <c r="X531" s="93" t="str">
        <f t="shared" si="43"/>
        <v>D</v>
      </c>
    </row>
    <row r="532" spans="1:24" s="66" customFormat="1" x14ac:dyDescent="0.25">
      <c r="A532" s="53"/>
      <c r="B532" s="91" t="str">
        <f>IFERROR(VLOOKUP(A532,Lookup!A:B,2,0),"")</f>
        <v/>
      </c>
      <c r="C532" s="92" t="str">
        <f>IFERROR(VLOOKUP(A532,Lookup!A:C,3,0),"")</f>
        <v/>
      </c>
      <c r="D532" s="59"/>
      <c r="E532" s="59"/>
      <c r="F532" s="59"/>
      <c r="G532" s="94"/>
      <c r="H532" s="59"/>
      <c r="I532" s="59"/>
      <c r="J532" s="106">
        <f>VLOOKUP(A532&amp;G532,Lookup!J:N,5,0)</f>
        <v>0</v>
      </c>
      <c r="K532" s="110"/>
      <c r="L532" s="59"/>
      <c r="M532" s="59"/>
      <c r="N532" s="59"/>
      <c r="O532" s="112">
        <v>21.8923611111111</v>
      </c>
      <c r="P532" s="110" t="str">
        <f t="shared" si="42"/>
        <v/>
      </c>
      <c r="Q532" s="59"/>
      <c r="R532" s="87" t="str">
        <f t="shared" si="44"/>
        <v/>
      </c>
      <c r="S532" s="87" t="str">
        <f t="shared" si="45"/>
        <v/>
      </c>
      <c r="T532" s="59"/>
      <c r="U532" s="59"/>
      <c r="V532" s="59"/>
      <c r="W532" s="59"/>
      <c r="X532" s="93" t="str">
        <f t="shared" si="43"/>
        <v>D</v>
      </c>
    </row>
    <row r="533" spans="1:24" s="66" customFormat="1" x14ac:dyDescent="0.25">
      <c r="A533" s="53"/>
      <c r="B533" s="91" t="str">
        <f>IFERROR(VLOOKUP(A533,Lookup!A:B,2,0),"")</f>
        <v/>
      </c>
      <c r="C533" s="92" t="str">
        <f>IFERROR(VLOOKUP(A533,Lookup!A:C,3,0),"")</f>
        <v/>
      </c>
      <c r="D533" s="59"/>
      <c r="E533" s="59"/>
      <c r="F533" s="59"/>
      <c r="G533" s="94"/>
      <c r="H533" s="59"/>
      <c r="I533" s="59"/>
      <c r="J533" s="106">
        <f>VLOOKUP(A533&amp;G533,Lookup!J:N,5,0)</f>
        <v>0</v>
      </c>
      <c r="K533" s="110"/>
      <c r="L533" s="59"/>
      <c r="M533" s="59"/>
      <c r="N533" s="59"/>
      <c r="O533" s="112">
        <v>21.9340277777778</v>
      </c>
      <c r="P533" s="110" t="str">
        <f t="shared" si="42"/>
        <v/>
      </c>
      <c r="Q533" s="59"/>
      <c r="R533" s="87" t="str">
        <f t="shared" si="44"/>
        <v/>
      </c>
      <c r="S533" s="87" t="str">
        <f t="shared" si="45"/>
        <v/>
      </c>
      <c r="T533" s="59"/>
      <c r="U533" s="59"/>
      <c r="V533" s="59"/>
      <c r="W533" s="59"/>
      <c r="X533" s="93" t="str">
        <f t="shared" si="43"/>
        <v>D</v>
      </c>
    </row>
    <row r="534" spans="1:24" s="66" customFormat="1" x14ac:dyDescent="0.25">
      <c r="A534" s="53"/>
      <c r="B534" s="91" t="str">
        <f>IFERROR(VLOOKUP(A534,Lookup!A:B,2,0),"")</f>
        <v/>
      </c>
      <c r="C534" s="92" t="str">
        <f>IFERROR(VLOOKUP(A534,Lookup!A:C,3,0),"")</f>
        <v/>
      </c>
      <c r="D534" s="59"/>
      <c r="E534" s="59"/>
      <c r="F534" s="59"/>
      <c r="G534" s="94"/>
      <c r="H534" s="59"/>
      <c r="I534" s="59"/>
      <c r="J534" s="106">
        <f>VLOOKUP(A534&amp;G534,Lookup!J:N,5,0)</f>
        <v>0</v>
      </c>
      <c r="K534" s="110"/>
      <c r="L534" s="59"/>
      <c r="M534" s="59"/>
      <c r="N534" s="59"/>
      <c r="O534" s="112">
        <v>21.9756944444444</v>
      </c>
      <c r="P534" s="110" t="str">
        <f t="shared" si="42"/>
        <v/>
      </c>
      <c r="Q534" s="59"/>
      <c r="R534" s="87" t="str">
        <f t="shared" si="44"/>
        <v/>
      </c>
      <c r="S534" s="87" t="str">
        <f t="shared" si="45"/>
        <v/>
      </c>
      <c r="T534" s="59"/>
      <c r="U534" s="59"/>
      <c r="V534" s="59"/>
      <c r="W534" s="59"/>
      <c r="X534" s="93" t="str">
        <f t="shared" si="43"/>
        <v>D</v>
      </c>
    </row>
    <row r="535" spans="1:24" s="66" customFormat="1" x14ac:dyDescent="0.25">
      <c r="A535" s="53"/>
      <c r="B535" s="91" t="str">
        <f>IFERROR(VLOOKUP(A535,Lookup!A:B,2,0),"")</f>
        <v/>
      </c>
      <c r="C535" s="92" t="str">
        <f>IFERROR(VLOOKUP(A535,Lookup!A:C,3,0),"")</f>
        <v/>
      </c>
      <c r="D535" s="59"/>
      <c r="E535" s="59"/>
      <c r="F535" s="59"/>
      <c r="G535" s="94"/>
      <c r="H535" s="59"/>
      <c r="I535" s="59"/>
      <c r="J535" s="106">
        <f>VLOOKUP(A535&amp;G535,Lookup!J:N,5,0)</f>
        <v>0</v>
      </c>
      <c r="K535" s="110"/>
      <c r="L535" s="59"/>
      <c r="M535" s="59"/>
      <c r="N535" s="59"/>
      <c r="O535" s="112">
        <v>22.0173611111111</v>
      </c>
      <c r="P535" s="110" t="str">
        <f t="shared" si="42"/>
        <v/>
      </c>
      <c r="Q535" s="59"/>
      <c r="R535" s="87" t="str">
        <f t="shared" si="44"/>
        <v/>
      </c>
      <c r="S535" s="87" t="str">
        <f t="shared" si="45"/>
        <v/>
      </c>
      <c r="T535" s="59"/>
      <c r="U535" s="59"/>
      <c r="V535" s="59"/>
      <c r="W535" s="59"/>
      <c r="X535" s="93" t="str">
        <f t="shared" si="43"/>
        <v>D</v>
      </c>
    </row>
    <row r="536" spans="1:24" s="66" customFormat="1" x14ac:dyDescent="0.25">
      <c r="A536" s="53"/>
      <c r="B536" s="91" t="str">
        <f>IFERROR(VLOOKUP(A536,Lookup!A:B,2,0),"")</f>
        <v/>
      </c>
      <c r="C536" s="92" t="str">
        <f>IFERROR(VLOOKUP(A536,Lookup!A:C,3,0),"")</f>
        <v/>
      </c>
      <c r="D536" s="59"/>
      <c r="E536" s="59"/>
      <c r="F536" s="59"/>
      <c r="G536" s="94"/>
      <c r="H536" s="59"/>
      <c r="I536" s="59"/>
      <c r="J536" s="106">
        <f>VLOOKUP(A536&amp;G536,Lookup!J:N,5,0)</f>
        <v>0</v>
      </c>
      <c r="K536" s="110"/>
      <c r="L536" s="59"/>
      <c r="M536" s="59"/>
      <c r="N536" s="59"/>
      <c r="O536" s="112">
        <v>22.0590277777778</v>
      </c>
      <c r="P536" s="110" t="str">
        <f t="shared" si="42"/>
        <v/>
      </c>
      <c r="Q536" s="59"/>
      <c r="R536" s="87" t="str">
        <f t="shared" si="44"/>
        <v/>
      </c>
      <c r="S536" s="87" t="str">
        <f t="shared" si="45"/>
        <v/>
      </c>
      <c r="T536" s="59"/>
      <c r="U536" s="59"/>
      <c r="V536" s="59"/>
      <c r="W536" s="59"/>
      <c r="X536" s="93" t="str">
        <f t="shared" si="43"/>
        <v>D</v>
      </c>
    </row>
    <row r="537" spans="1:24" s="66" customFormat="1" x14ac:dyDescent="0.25">
      <c r="A537" s="53"/>
      <c r="B537" s="91" t="str">
        <f>IFERROR(VLOOKUP(A537,Lookup!A:B,2,0),"")</f>
        <v/>
      </c>
      <c r="C537" s="92" t="str">
        <f>IFERROR(VLOOKUP(A537,Lookup!A:C,3,0),"")</f>
        <v/>
      </c>
      <c r="D537" s="59"/>
      <c r="E537" s="59"/>
      <c r="F537" s="59"/>
      <c r="G537" s="94"/>
      <c r="H537" s="59"/>
      <c r="I537" s="59"/>
      <c r="J537" s="106">
        <f>VLOOKUP(A537&amp;G537,Lookup!J:N,5,0)</f>
        <v>0</v>
      </c>
      <c r="K537" s="110"/>
      <c r="L537" s="59"/>
      <c r="M537" s="59"/>
      <c r="N537" s="59"/>
      <c r="O537" s="112">
        <v>22.1006944444444</v>
      </c>
      <c r="P537" s="110" t="str">
        <f t="shared" si="42"/>
        <v/>
      </c>
      <c r="Q537" s="59"/>
      <c r="R537" s="87" t="str">
        <f t="shared" si="44"/>
        <v/>
      </c>
      <c r="S537" s="87" t="str">
        <f t="shared" si="45"/>
        <v/>
      </c>
      <c r="T537" s="59"/>
      <c r="U537" s="59"/>
      <c r="V537" s="59"/>
      <c r="W537" s="59"/>
      <c r="X537" s="93" t="str">
        <f t="shared" si="43"/>
        <v>D</v>
      </c>
    </row>
    <row r="538" spans="1:24" s="66" customFormat="1" x14ac:dyDescent="0.25">
      <c r="A538" s="53"/>
      <c r="B538" s="91" t="str">
        <f>IFERROR(VLOOKUP(A538,Lookup!A:B,2,0),"")</f>
        <v/>
      </c>
      <c r="C538" s="92" t="str">
        <f>IFERROR(VLOOKUP(A538,Lookup!A:C,3,0),"")</f>
        <v/>
      </c>
      <c r="D538" s="59"/>
      <c r="E538" s="59"/>
      <c r="F538" s="59"/>
      <c r="G538" s="94"/>
      <c r="H538" s="59"/>
      <c r="I538" s="59"/>
      <c r="J538" s="106">
        <f>VLOOKUP(A538&amp;G538,Lookup!J:N,5,0)</f>
        <v>0</v>
      </c>
      <c r="K538" s="110"/>
      <c r="L538" s="59"/>
      <c r="M538" s="59"/>
      <c r="N538" s="59"/>
      <c r="O538" s="112">
        <v>22.1423611111111</v>
      </c>
      <c r="P538" s="110" t="str">
        <f t="shared" si="42"/>
        <v/>
      </c>
      <c r="Q538" s="59"/>
      <c r="R538" s="87" t="str">
        <f t="shared" si="44"/>
        <v/>
      </c>
      <c r="S538" s="87" t="str">
        <f t="shared" si="45"/>
        <v/>
      </c>
      <c r="T538" s="59"/>
      <c r="U538" s="59"/>
      <c r="V538" s="59"/>
      <c r="W538" s="59"/>
      <c r="X538" s="93" t="str">
        <f t="shared" si="43"/>
        <v>D</v>
      </c>
    </row>
    <row r="539" spans="1:24" s="66" customFormat="1" x14ac:dyDescent="0.25">
      <c r="A539" s="53"/>
      <c r="B539" s="91" t="str">
        <f>IFERROR(VLOOKUP(A539,Lookup!A:B,2,0),"")</f>
        <v/>
      </c>
      <c r="C539" s="92" t="str">
        <f>IFERROR(VLOOKUP(A539,Lookup!A:C,3,0),"")</f>
        <v/>
      </c>
      <c r="D539" s="59"/>
      <c r="E539" s="59"/>
      <c r="F539" s="59"/>
      <c r="G539" s="94"/>
      <c r="H539" s="59"/>
      <c r="I539" s="59"/>
      <c r="J539" s="106">
        <f>VLOOKUP(A539&amp;G539,Lookup!J:N,5,0)</f>
        <v>0</v>
      </c>
      <c r="K539" s="110"/>
      <c r="L539" s="59"/>
      <c r="M539" s="59"/>
      <c r="N539" s="59"/>
      <c r="O539" s="112">
        <v>22.1840277777778</v>
      </c>
      <c r="P539" s="110" t="str">
        <f t="shared" si="42"/>
        <v/>
      </c>
      <c r="Q539" s="59"/>
      <c r="R539" s="87" t="str">
        <f t="shared" si="44"/>
        <v/>
      </c>
      <c r="S539" s="87" t="str">
        <f t="shared" si="45"/>
        <v/>
      </c>
      <c r="T539" s="59"/>
      <c r="U539" s="59"/>
      <c r="V539" s="59"/>
      <c r="W539" s="59"/>
      <c r="X539" s="93" t="str">
        <f t="shared" si="43"/>
        <v>D</v>
      </c>
    </row>
    <row r="540" spans="1:24" s="66" customFormat="1" x14ac:dyDescent="0.25">
      <c r="A540" s="53"/>
      <c r="B540" s="91" t="str">
        <f>IFERROR(VLOOKUP(A540,Lookup!A:B,2,0),"")</f>
        <v/>
      </c>
      <c r="C540" s="92" t="str">
        <f>IFERROR(VLOOKUP(A540,Lookup!A:C,3,0),"")</f>
        <v/>
      </c>
      <c r="D540" s="59"/>
      <c r="E540" s="59"/>
      <c r="F540" s="59"/>
      <c r="G540" s="94"/>
      <c r="H540" s="59"/>
      <c r="I540" s="59"/>
      <c r="J540" s="106">
        <f>VLOOKUP(A540&amp;G540,Lookup!J:N,5,0)</f>
        <v>0</v>
      </c>
      <c r="K540" s="110"/>
      <c r="L540" s="59"/>
      <c r="M540" s="59"/>
      <c r="N540" s="59"/>
      <c r="O540" s="112">
        <v>22.2256944444444</v>
      </c>
      <c r="P540" s="110" t="str">
        <f t="shared" si="42"/>
        <v/>
      </c>
      <c r="Q540" s="59"/>
      <c r="R540" s="87" t="str">
        <f t="shared" si="44"/>
        <v/>
      </c>
      <c r="S540" s="87" t="str">
        <f t="shared" si="45"/>
        <v/>
      </c>
      <c r="T540" s="59"/>
      <c r="U540" s="59"/>
      <c r="V540" s="59"/>
      <c r="W540" s="59"/>
      <c r="X540" s="93" t="str">
        <f t="shared" si="43"/>
        <v>D</v>
      </c>
    </row>
    <row r="541" spans="1:24" s="66" customFormat="1" x14ac:dyDescent="0.25">
      <c r="A541" s="53"/>
      <c r="B541" s="91" t="str">
        <f>IFERROR(VLOOKUP(A541,Lookup!A:B,2,0),"")</f>
        <v/>
      </c>
      <c r="C541" s="92" t="str">
        <f>IFERROR(VLOOKUP(A541,Lookup!A:C,3,0),"")</f>
        <v/>
      </c>
      <c r="D541" s="59"/>
      <c r="E541" s="59"/>
      <c r="F541" s="59"/>
      <c r="G541" s="94"/>
      <c r="H541" s="59"/>
      <c r="I541" s="59"/>
      <c r="J541" s="106">
        <f>VLOOKUP(A541&amp;G541,Lookup!J:N,5,0)</f>
        <v>0</v>
      </c>
      <c r="K541" s="110"/>
      <c r="L541" s="59"/>
      <c r="M541" s="59"/>
      <c r="N541" s="59"/>
      <c r="O541" s="112">
        <v>22.2673611111111</v>
      </c>
      <c r="P541" s="110" t="str">
        <f t="shared" si="42"/>
        <v/>
      </c>
      <c r="Q541" s="59"/>
      <c r="R541" s="87" t="str">
        <f t="shared" si="44"/>
        <v/>
      </c>
      <c r="S541" s="87" t="str">
        <f t="shared" si="45"/>
        <v/>
      </c>
      <c r="T541" s="59"/>
      <c r="U541" s="59"/>
      <c r="V541" s="59"/>
      <c r="W541" s="59"/>
      <c r="X541" s="93" t="str">
        <f t="shared" si="43"/>
        <v>D</v>
      </c>
    </row>
    <row r="542" spans="1:24" s="66" customFormat="1" x14ac:dyDescent="0.25">
      <c r="A542" s="53"/>
      <c r="B542" s="91" t="str">
        <f>IFERROR(VLOOKUP(A542,Lookup!A:B,2,0),"")</f>
        <v/>
      </c>
      <c r="C542" s="92" t="str">
        <f>IFERROR(VLOOKUP(A542,Lookup!A:C,3,0),"")</f>
        <v/>
      </c>
      <c r="D542" s="59"/>
      <c r="E542" s="59"/>
      <c r="F542" s="59"/>
      <c r="G542" s="94"/>
      <c r="H542" s="59"/>
      <c r="I542" s="59"/>
      <c r="J542" s="106">
        <f>VLOOKUP(A542&amp;G542,Lookup!J:N,5,0)</f>
        <v>0</v>
      </c>
      <c r="K542" s="110"/>
      <c r="L542" s="59"/>
      <c r="M542" s="59"/>
      <c r="N542" s="59"/>
      <c r="O542" s="112">
        <v>22.3090277777778</v>
      </c>
      <c r="P542" s="110" t="str">
        <f t="shared" si="42"/>
        <v/>
      </c>
      <c r="Q542" s="59"/>
      <c r="R542" s="87" t="str">
        <f t="shared" si="44"/>
        <v/>
      </c>
      <c r="S542" s="87" t="str">
        <f t="shared" si="45"/>
        <v/>
      </c>
      <c r="T542" s="59"/>
      <c r="U542" s="59"/>
      <c r="V542" s="59"/>
      <c r="W542" s="59"/>
      <c r="X542" s="93" t="str">
        <f t="shared" si="43"/>
        <v>D</v>
      </c>
    </row>
    <row r="543" spans="1:24" s="66" customFormat="1" x14ac:dyDescent="0.25">
      <c r="A543" s="53"/>
      <c r="B543" s="91" t="str">
        <f>IFERROR(VLOOKUP(A543,Lookup!A:B,2,0),"")</f>
        <v/>
      </c>
      <c r="C543" s="92" t="str">
        <f>IFERROR(VLOOKUP(A543,Lookup!A:C,3,0),"")</f>
        <v/>
      </c>
      <c r="D543" s="59"/>
      <c r="E543" s="59"/>
      <c r="F543" s="59"/>
      <c r="G543" s="94"/>
      <c r="H543" s="59"/>
      <c r="I543" s="59"/>
      <c r="J543" s="106">
        <f>VLOOKUP(A543&amp;G543,Lookup!J:N,5,0)</f>
        <v>0</v>
      </c>
      <c r="K543" s="110"/>
      <c r="L543" s="59"/>
      <c r="M543" s="59"/>
      <c r="N543" s="59"/>
      <c r="O543" s="112">
        <v>22.3506944444444</v>
      </c>
      <c r="P543" s="110" t="str">
        <f t="shared" si="42"/>
        <v/>
      </c>
      <c r="Q543" s="59"/>
      <c r="R543" s="87" t="str">
        <f t="shared" si="44"/>
        <v/>
      </c>
      <c r="S543" s="87" t="str">
        <f t="shared" si="45"/>
        <v/>
      </c>
      <c r="T543" s="59"/>
      <c r="U543" s="59"/>
      <c r="V543" s="59"/>
      <c r="W543" s="59"/>
      <c r="X543" s="93" t="str">
        <f t="shared" si="43"/>
        <v>D</v>
      </c>
    </row>
    <row r="544" spans="1:24" s="66" customFormat="1" x14ac:dyDescent="0.25">
      <c r="A544" s="53"/>
      <c r="B544" s="91" t="str">
        <f>IFERROR(VLOOKUP(A544,Lookup!A:B,2,0),"")</f>
        <v/>
      </c>
      <c r="C544" s="92" t="str">
        <f>IFERROR(VLOOKUP(A544,Lookup!A:C,3,0),"")</f>
        <v/>
      </c>
      <c r="D544" s="59"/>
      <c r="E544" s="59"/>
      <c r="F544" s="59"/>
      <c r="G544" s="94"/>
      <c r="H544" s="59"/>
      <c r="I544" s="59"/>
      <c r="J544" s="106">
        <f>VLOOKUP(A544&amp;G544,Lookup!J:N,5,0)</f>
        <v>0</v>
      </c>
      <c r="K544" s="110"/>
      <c r="L544" s="59"/>
      <c r="M544" s="59"/>
      <c r="N544" s="59"/>
      <c r="O544" s="112">
        <v>22.3923611111111</v>
      </c>
      <c r="P544" s="110" t="str">
        <f t="shared" si="42"/>
        <v/>
      </c>
      <c r="Q544" s="59"/>
      <c r="R544" s="87" t="str">
        <f t="shared" si="44"/>
        <v/>
      </c>
      <c r="S544" s="87" t="str">
        <f t="shared" si="45"/>
        <v/>
      </c>
      <c r="T544" s="59"/>
      <c r="U544" s="59"/>
      <c r="V544" s="59"/>
      <c r="W544" s="59"/>
      <c r="X544" s="93" t="str">
        <f t="shared" si="43"/>
        <v>D</v>
      </c>
    </row>
    <row r="545" spans="1:24" s="66" customFormat="1" x14ac:dyDescent="0.25">
      <c r="A545" s="53"/>
      <c r="B545" s="91" t="str">
        <f>IFERROR(VLOOKUP(A545,Lookup!A:B,2,0),"")</f>
        <v/>
      </c>
      <c r="C545" s="92" t="str">
        <f>IFERROR(VLOOKUP(A545,Lookup!A:C,3,0),"")</f>
        <v/>
      </c>
      <c r="D545" s="59"/>
      <c r="E545" s="59"/>
      <c r="F545" s="59"/>
      <c r="G545" s="94"/>
      <c r="H545" s="59"/>
      <c r="I545" s="59"/>
      <c r="J545" s="106">
        <f>VLOOKUP(A545&amp;G545,Lookup!J:N,5,0)</f>
        <v>0</v>
      </c>
      <c r="K545" s="110"/>
      <c r="L545" s="59"/>
      <c r="M545" s="59"/>
      <c r="N545" s="59"/>
      <c r="O545" s="112">
        <v>22.4340277777778</v>
      </c>
      <c r="P545" s="110" t="str">
        <f t="shared" si="42"/>
        <v/>
      </c>
      <c r="Q545" s="59"/>
      <c r="R545" s="87" t="str">
        <f t="shared" si="44"/>
        <v/>
      </c>
      <c r="S545" s="87" t="str">
        <f t="shared" si="45"/>
        <v/>
      </c>
      <c r="T545" s="59"/>
      <c r="U545" s="59"/>
      <c r="V545" s="59"/>
      <c r="W545" s="59"/>
      <c r="X545" s="93" t="str">
        <f t="shared" si="43"/>
        <v>D</v>
      </c>
    </row>
    <row r="546" spans="1:24" s="66" customFormat="1" x14ac:dyDescent="0.25">
      <c r="A546" s="53"/>
      <c r="B546" s="91" t="str">
        <f>IFERROR(VLOOKUP(A546,Lookup!A:B,2,0),"")</f>
        <v/>
      </c>
      <c r="C546" s="92" t="str">
        <f>IFERROR(VLOOKUP(A546,Lookup!A:C,3,0),"")</f>
        <v/>
      </c>
      <c r="D546" s="59"/>
      <c r="E546" s="59"/>
      <c r="F546" s="59"/>
      <c r="G546" s="94"/>
      <c r="H546" s="59"/>
      <c r="I546" s="59"/>
      <c r="J546" s="106">
        <f>VLOOKUP(A546&amp;G546,Lookup!J:N,5,0)</f>
        <v>0</v>
      </c>
      <c r="K546" s="110"/>
      <c r="L546" s="59"/>
      <c r="M546" s="59"/>
      <c r="N546" s="59"/>
      <c r="O546" s="112">
        <v>22.4756944444444</v>
      </c>
      <c r="P546" s="110" t="str">
        <f t="shared" si="42"/>
        <v/>
      </c>
      <c r="Q546" s="59"/>
      <c r="R546" s="87" t="str">
        <f t="shared" si="44"/>
        <v/>
      </c>
      <c r="S546" s="87" t="str">
        <f t="shared" si="45"/>
        <v/>
      </c>
      <c r="T546" s="59"/>
      <c r="U546" s="59"/>
      <c r="V546" s="59"/>
      <c r="W546" s="59"/>
      <c r="X546" s="93" t="str">
        <f t="shared" si="43"/>
        <v>D</v>
      </c>
    </row>
    <row r="547" spans="1:24" s="66" customFormat="1" x14ac:dyDescent="0.25">
      <c r="A547" s="53"/>
      <c r="B547" s="91" t="str">
        <f>IFERROR(VLOOKUP(A547,Lookup!A:B,2,0),"")</f>
        <v/>
      </c>
      <c r="C547" s="92" t="str">
        <f>IFERROR(VLOOKUP(A547,Lookup!A:C,3,0),"")</f>
        <v/>
      </c>
      <c r="D547" s="59"/>
      <c r="E547" s="59"/>
      <c r="F547" s="59"/>
      <c r="G547" s="94"/>
      <c r="H547" s="59"/>
      <c r="I547" s="59"/>
      <c r="J547" s="106">
        <f>VLOOKUP(A547&amp;G547,Lookup!J:N,5,0)</f>
        <v>0</v>
      </c>
      <c r="K547" s="110"/>
      <c r="L547" s="59"/>
      <c r="M547" s="59"/>
      <c r="N547" s="59"/>
      <c r="O547" s="112">
        <v>22.5173611111111</v>
      </c>
      <c r="P547" s="110" t="str">
        <f t="shared" si="42"/>
        <v/>
      </c>
      <c r="Q547" s="59"/>
      <c r="R547" s="87" t="str">
        <f t="shared" si="44"/>
        <v/>
      </c>
      <c r="S547" s="87" t="str">
        <f t="shared" si="45"/>
        <v/>
      </c>
      <c r="T547" s="59"/>
      <c r="U547" s="59"/>
      <c r="V547" s="59"/>
      <c r="W547" s="59"/>
      <c r="X547" s="93" t="str">
        <f t="shared" si="43"/>
        <v>D</v>
      </c>
    </row>
    <row r="548" spans="1:24" s="66" customFormat="1" x14ac:dyDescent="0.25">
      <c r="A548" s="53"/>
      <c r="B548" s="91" t="str">
        <f>IFERROR(VLOOKUP(A548,Lookup!A:B,2,0),"")</f>
        <v/>
      </c>
      <c r="C548" s="92" t="str">
        <f>IFERROR(VLOOKUP(A548,Lookup!A:C,3,0),"")</f>
        <v/>
      </c>
      <c r="D548" s="59"/>
      <c r="E548" s="59"/>
      <c r="F548" s="59"/>
      <c r="G548" s="94"/>
      <c r="H548" s="59"/>
      <c r="I548" s="59"/>
      <c r="J548" s="106">
        <f>VLOOKUP(A548&amp;G548,Lookup!J:N,5,0)</f>
        <v>0</v>
      </c>
      <c r="K548" s="110"/>
      <c r="L548" s="59"/>
      <c r="M548" s="59"/>
      <c r="N548" s="59"/>
      <c r="O548" s="112">
        <v>22.5590277777778</v>
      </c>
      <c r="P548" s="110" t="str">
        <f t="shared" si="42"/>
        <v/>
      </c>
      <c r="Q548" s="59"/>
      <c r="R548" s="87" t="str">
        <f t="shared" si="44"/>
        <v/>
      </c>
      <c r="S548" s="87" t="str">
        <f t="shared" si="45"/>
        <v/>
      </c>
      <c r="T548" s="59"/>
      <c r="U548" s="59"/>
      <c r="V548" s="59"/>
      <c r="W548" s="59"/>
      <c r="X548" s="93" t="str">
        <f t="shared" si="43"/>
        <v>D</v>
      </c>
    </row>
    <row r="549" spans="1:24" s="66" customFormat="1" x14ac:dyDescent="0.25">
      <c r="A549" s="53"/>
      <c r="B549" s="91" t="str">
        <f>IFERROR(VLOOKUP(A549,Lookup!A:B,2,0),"")</f>
        <v/>
      </c>
      <c r="C549" s="92" t="str">
        <f>IFERROR(VLOOKUP(A549,Lookup!A:C,3,0),"")</f>
        <v/>
      </c>
      <c r="D549" s="59"/>
      <c r="E549" s="59"/>
      <c r="F549" s="59"/>
      <c r="G549" s="94"/>
      <c r="H549" s="59"/>
      <c r="I549" s="59"/>
      <c r="J549" s="106">
        <f>VLOOKUP(A549&amp;G549,Lookup!J:N,5,0)</f>
        <v>0</v>
      </c>
      <c r="K549" s="110"/>
      <c r="L549" s="59"/>
      <c r="M549" s="59"/>
      <c r="N549" s="59"/>
      <c r="O549" s="112">
        <v>22.6006944444444</v>
      </c>
      <c r="P549" s="110" t="str">
        <f t="shared" si="42"/>
        <v/>
      </c>
      <c r="Q549" s="59"/>
      <c r="R549" s="87" t="str">
        <f t="shared" si="44"/>
        <v/>
      </c>
      <c r="S549" s="87" t="str">
        <f t="shared" si="45"/>
        <v/>
      </c>
      <c r="T549" s="59"/>
      <c r="U549" s="59"/>
      <c r="V549" s="59"/>
      <c r="W549" s="59"/>
      <c r="X549" s="93" t="str">
        <f t="shared" si="43"/>
        <v>D</v>
      </c>
    </row>
    <row r="550" spans="1:24" s="66" customFormat="1" x14ac:dyDescent="0.25">
      <c r="A550" s="53"/>
      <c r="B550" s="91" t="str">
        <f>IFERROR(VLOOKUP(A550,Lookup!A:B,2,0),"")</f>
        <v/>
      </c>
      <c r="C550" s="92" t="str">
        <f>IFERROR(VLOOKUP(A550,Lookup!A:C,3,0),"")</f>
        <v/>
      </c>
      <c r="D550" s="59"/>
      <c r="E550" s="59"/>
      <c r="F550" s="59"/>
      <c r="G550" s="94"/>
      <c r="H550" s="59"/>
      <c r="I550" s="59"/>
      <c r="J550" s="106">
        <f>VLOOKUP(A550&amp;G550,Lookup!J:N,5,0)</f>
        <v>0</v>
      </c>
      <c r="K550" s="110"/>
      <c r="L550" s="59"/>
      <c r="M550" s="59"/>
      <c r="N550" s="59"/>
      <c r="O550" s="112">
        <v>22.6423611111111</v>
      </c>
      <c r="P550" s="110" t="str">
        <f t="shared" si="42"/>
        <v/>
      </c>
      <c r="Q550" s="59"/>
      <c r="R550" s="87" t="str">
        <f t="shared" si="44"/>
        <v/>
      </c>
      <c r="S550" s="87" t="str">
        <f t="shared" si="45"/>
        <v/>
      </c>
      <c r="T550" s="59"/>
      <c r="U550" s="59"/>
      <c r="V550" s="59"/>
      <c r="W550" s="59"/>
      <c r="X550" s="93" t="str">
        <f t="shared" si="43"/>
        <v>D</v>
      </c>
    </row>
    <row r="551" spans="1:24" s="66" customFormat="1" x14ac:dyDescent="0.25">
      <c r="A551" s="53"/>
      <c r="B551" s="91" t="str">
        <f>IFERROR(VLOOKUP(A551,Lookup!A:B,2,0),"")</f>
        <v/>
      </c>
      <c r="C551" s="92" t="str">
        <f>IFERROR(VLOOKUP(A551,Lookup!A:C,3,0),"")</f>
        <v/>
      </c>
      <c r="D551" s="59"/>
      <c r="E551" s="59"/>
      <c r="F551" s="59"/>
      <c r="G551" s="94"/>
      <c r="H551" s="59"/>
      <c r="I551" s="59"/>
      <c r="J551" s="106">
        <f>VLOOKUP(A551&amp;G551,Lookup!J:N,5,0)</f>
        <v>0</v>
      </c>
      <c r="K551" s="110"/>
      <c r="L551" s="59"/>
      <c r="M551" s="59"/>
      <c r="N551" s="59"/>
      <c r="O551" s="112">
        <v>22.6840277777778</v>
      </c>
      <c r="P551" s="110" t="str">
        <f t="shared" si="42"/>
        <v/>
      </c>
      <c r="Q551" s="59"/>
      <c r="R551" s="87" t="str">
        <f t="shared" si="44"/>
        <v/>
      </c>
      <c r="S551" s="87" t="str">
        <f t="shared" si="45"/>
        <v/>
      </c>
      <c r="T551" s="59"/>
      <c r="U551" s="59"/>
      <c r="V551" s="59"/>
      <c r="W551" s="59"/>
      <c r="X551" s="93" t="str">
        <f t="shared" si="43"/>
        <v>D</v>
      </c>
    </row>
    <row r="552" spans="1:24" s="66" customFormat="1" x14ac:dyDescent="0.25">
      <c r="A552" s="53"/>
      <c r="B552" s="91" t="str">
        <f>IFERROR(VLOOKUP(A552,Lookup!A:B,2,0),"")</f>
        <v/>
      </c>
      <c r="C552" s="92" t="str">
        <f>IFERROR(VLOOKUP(A552,Lookup!A:C,3,0),"")</f>
        <v/>
      </c>
      <c r="D552" s="59"/>
      <c r="E552" s="59"/>
      <c r="F552" s="59"/>
      <c r="G552" s="94"/>
      <c r="H552" s="59"/>
      <c r="I552" s="59"/>
      <c r="J552" s="106">
        <f>VLOOKUP(A552&amp;G552,Lookup!J:N,5,0)</f>
        <v>0</v>
      </c>
      <c r="K552" s="110"/>
      <c r="L552" s="59"/>
      <c r="M552" s="59"/>
      <c r="N552" s="59"/>
      <c r="O552" s="112">
        <v>22.7256944444444</v>
      </c>
      <c r="P552" s="110" t="str">
        <f t="shared" si="42"/>
        <v/>
      </c>
      <c r="Q552" s="59"/>
      <c r="R552" s="87" t="str">
        <f t="shared" si="44"/>
        <v/>
      </c>
      <c r="S552" s="87" t="str">
        <f t="shared" si="45"/>
        <v/>
      </c>
      <c r="T552" s="59"/>
      <c r="U552" s="59"/>
      <c r="V552" s="59"/>
      <c r="W552" s="59"/>
      <c r="X552" s="93" t="str">
        <f t="shared" si="43"/>
        <v>D</v>
      </c>
    </row>
    <row r="553" spans="1:24" s="66" customFormat="1" x14ac:dyDescent="0.25">
      <c r="A553" s="53"/>
      <c r="B553" s="91" t="str">
        <f>IFERROR(VLOOKUP(A553,Lookup!A:B,2,0),"")</f>
        <v/>
      </c>
      <c r="C553" s="92" t="str">
        <f>IFERROR(VLOOKUP(A553,Lookup!A:C,3,0),"")</f>
        <v/>
      </c>
      <c r="D553" s="59"/>
      <c r="E553" s="59"/>
      <c r="F553" s="59"/>
      <c r="G553" s="94"/>
      <c r="H553" s="59"/>
      <c r="I553" s="59"/>
      <c r="J553" s="106">
        <f>VLOOKUP(A553&amp;G553,Lookup!J:N,5,0)</f>
        <v>0</v>
      </c>
      <c r="K553" s="110"/>
      <c r="L553" s="59"/>
      <c r="M553" s="59"/>
      <c r="N553" s="59"/>
      <c r="O553" s="112">
        <v>22.7673611111111</v>
      </c>
      <c r="P553" s="110" t="str">
        <f t="shared" si="42"/>
        <v/>
      </c>
      <c r="Q553" s="59"/>
      <c r="R553" s="87" t="str">
        <f t="shared" si="44"/>
        <v/>
      </c>
      <c r="S553" s="87" t="str">
        <f t="shared" si="45"/>
        <v/>
      </c>
      <c r="T553" s="59"/>
      <c r="U553" s="59"/>
      <c r="V553" s="59"/>
      <c r="W553" s="59"/>
      <c r="X553" s="93" t="str">
        <f t="shared" si="43"/>
        <v>D</v>
      </c>
    </row>
    <row r="554" spans="1:24" s="66" customFormat="1" x14ac:dyDescent="0.25">
      <c r="A554" s="53"/>
      <c r="B554" s="91" t="str">
        <f>IFERROR(VLOOKUP(A554,Lookup!A:B,2,0),"")</f>
        <v/>
      </c>
      <c r="C554" s="92" t="str">
        <f>IFERROR(VLOOKUP(A554,Lookup!A:C,3,0),"")</f>
        <v/>
      </c>
      <c r="D554" s="59"/>
      <c r="E554" s="59"/>
      <c r="F554" s="59"/>
      <c r="G554" s="94"/>
      <c r="H554" s="59"/>
      <c r="I554" s="59"/>
      <c r="J554" s="106">
        <f>VLOOKUP(A554&amp;G554,Lookup!J:N,5,0)</f>
        <v>0</v>
      </c>
      <c r="K554" s="110"/>
      <c r="L554" s="59"/>
      <c r="M554" s="59"/>
      <c r="N554" s="59"/>
      <c r="O554" s="112">
        <v>22.8090277777778</v>
      </c>
      <c r="P554" s="110" t="str">
        <f t="shared" si="42"/>
        <v/>
      </c>
      <c r="Q554" s="59"/>
      <c r="R554" s="87" t="str">
        <f t="shared" si="44"/>
        <v/>
      </c>
      <c r="S554" s="87" t="str">
        <f t="shared" si="45"/>
        <v/>
      </c>
      <c r="T554" s="59"/>
      <c r="U554" s="59"/>
      <c r="V554" s="59"/>
      <c r="W554" s="59"/>
      <c r="X554" s="93" t="str">
        <f t="shared" si="43"/>
        <v>D</v>
      </c>
    </row>
    <row r="555" spans="1:24" s="66" customFormat="1" x14ac:dyDescent="0.25">
      <c r="A555" s="53"/>
      <c r="B555" s="91" t="str">
        <f>IFERROR(VLOOKUP(A555,Lookup!A:B,2,0),"")</f>
        <v/>
      </c>
      <c r="C555" s="92" t="str">
        <f>IFERROR(VLOOKUP(A555,Lookup!A:C,3,0),"")</f>
        <v/>
      </c>
      <c r="D555" s="59"/>
      <c r="E555" s="59"/>
      <c r="F555" s="59"/>
      <c r="G555" s="94"/>
      <c r="H555" s="59"/>
      <c r="I555" s="59"/>
      <c r="J555" s="106">
        <f>VLOOKUP(A555&amp;G555,Lookup!J:N,5,0)</f>
        <v>0</v>
      </c>
      <c r="K555" s="110"/>
      <c r="L555" s="59"/>
      <c r="M555" s="59"/>
      <c r="N555" s="59"/>
      <c r="O555" s="112">
        <v>22.8506944444444</v>
      </c>
      <c r="P555" s="110" t="str">
        <f t="shared" si="42"/>
        <v/>
      </c>
      <c r="Q555" s="59"/>
      <c r="R555" s="87" t="str">
        <f t="shared" si="44"/>
        <v/>
      </c>
      <c r="S555" s="87" t="str">
        <f t="shared" si="45"/>
        <v/>
      </c>
      <c r="T555" s="59"/>
      <c r="U555" s="59"/>
      <c r="V555" s="59"/>
      <c r="W555" s="59"/>
      <c r="X555" s="93" t="str">
        <f t="shared" si="43"/>
        <v>D</v>
      </c>
    </row>
    <row r="556" spans="1:24" s="66" customFormat="1" x14ac:dyDescent="0.25">
      <c r="A556" s="53"/>
      <c r="B556" s="91" t="str">
        <f>IFERROR(VLOOKUP(A556,Lookup!A:B,2,0),"")</f>
        <v/>
      </c>
      <c r="C556" s="92" t="str">
        <f>IFERROR(VLOOKUP(A556,Lookup!A:C,3,0),"")</f>
        <v/>
      </c>
      <c r="D556" s="59"/>
      <c r="E556" s="59"/>
      <c r="F556" s="59"/>
      <c r="G556" s="94"/>
      <c r="H556" s="59"/>
      <c r="I556" s="59"/>
      <c r="J556" s="106">
        <f>VLOOKUP(A556&amp;G556,Lookup!J:N,5,0)</f>
        <v>0</v>
      </c>
      <c r="K556" s="110"/>
      <c r="L556" s="59"/>
      <c r="M556" s="59"/>
      <c r="N556" s="59"/>
      <c r="O556" s="112">
        <v>22.8923611111111</v>
      </c>
      <c r="P556" s="110" t="str">
        <f t="shared" si="42"/>
        <v/>
      </c>
      <c r="Q556" s="59"/>
      <c r="R556" s="87" t="str">
        <f t="shared" si="44"/>
        <v/>
      </c>
      <c r="S556" s="87" t="str">
        <f t="shared" si="45"/>
        <v/>
      </c>
      <c r="T556" s="59"/>
      <c r="U556" s="59"/>
      <c r="V556" s="59"/>
      <c r="W556" s="59"/>
      <c r="X556" s="93" t="str">
        <f t="shared" si="43"/>
        <v>D</v>
      </c>
    </row>
    <row r="557" spans="1:24" s="66" customFormat="1" x14ac:dyDescent="0.25">
      <c r="A557" s="53"/>
      <c r="B557" s="91" t="str">
        <f>IFERROR(VLOOKUP(A557,Lookup!A:B,2,0),"")</f>
        <v/>
      </c>
      <c r="C557" s="92" t="str">
        <f>IFERROR(VLOOKUP(A557,Lookup!A:C,3,0),"")</f>
        <v/>
      </c>
      <c r="D557" s="59"/>
      <c r="E557" s="59"/>
      <c r="F557" s="59"/>
      <c r="G557" s="94"/>
      <c r="H557" s="59"/>
      <c r="I557" s="59"/>
      <c r="J557" s="106">
        <f>VLOOKUP(A557&amp;G557,Lookup!J:N,5,0)</f>
        <v>0</v>
      </c>
      <c r="K557" s="110"/>
      <c r="L557" s="59"/>
      <c r="M557" s="59"/>
      <c r="N557" s="59"/>
      <c r="O557" s="112">
        <v>22.9340277777778</v>
      </c>
      <c r="P557" s="110" t="str">
        <f t="shared" si="42"/>
        <v/>
      </c>
      <c r="Q557" s="59"/>
      <c r="R557" s="87" t="str">
        <f t="shared" si="44"/>
        <v/>
      </c>
      <c r="S557" s="87" t="str">
        <f t="shared" si="45"/>
        <v/>
      </c>
      <c r="T557" s="59"/>
      <c r="U557" s="59"/>
      <c r="V557" s="59"/>
      <c r="W557" s="59"/>
      <c r="X557" s="93" t="str">
        <f t="shared" si="43"/>
        <v>D</v>
      </c>
    </row>
    <row r="558" spans="1:24" s="66" customFormat="1" x14ac:dyDescent="0.25">
      <c r="A558" s="53"/>
      <c r="B558" s="91" t="str">
        <f>IFERROR(VLOOKUP(A558,Lookup!A:B,2,0),"")</f>
        <v/>
      </c>
      <c r="C558" s="92" t="str">
        <f>IFERROR(VLOOKUP(A558,Lookup!A:C,3,0),"")</f>
        <v/>
      </c>
      <c r="D558" s="59"/>
      <c r="E558" s="59"/>
      <c r="F558" s="59"/>
      <c r="G558" s="94"/>
      <c r="H558" s="59"/>
      <c r="I558" s="59"/>
      <c r="J558" s="106">
        <f>VLOOKUP(A558&amp;G558,Lookup!J:N,5,0)</f>
        <v>0</v>
      </c>
      <c r="K558" s="110"/>
      <c r="L558" s="59"/>
      <c r="M558" s="59"/>
      <c r="N558" s="59"/>
      <c r="O558" s="112">
        <v>22.9756944444444</v>
      </c>
      <c r="P558" s="110" t="str">
        <f t="shared" si="42"/>
        <v/>
      </c>
      <c r="Q558" s="59"/>
      <c r="R558" s="87" t="str">
        <f t="shared" si="44"/>
        <v/>
      </c>
      <c r="S558" s="87" t="str">
        <f t="shared" si="45"/>
        <v/>
      </c>
      <c r="T558" s="59"/>
      <c r="U558" s="59"/>
      <c r="V558" s="59"/>
      <c r="W558" s="59"/>
      <c r="X558" s="93" t="str">
        <f t="shared" si="43"/>
        <v>D</v>
      </c>
    </row>
    <row r="559" spans="1:24" s="66" customFormat="1" x14ac:dyDescent="0.25">
      <c r="A559" s="53"/>
      <c r="B559" s="91" t="str">
        <f>IFERROR(VLOOKUP(A559,Lookup!A:B,2,0),"")</f>
        <v/>
      </c>
      <c r="C559" s="92" t="str">
        <f>IFERROR(VLOOKUP(A559,Lookup!A:C,3,0),"")</f>
        <v/>
      </c>
      <c r="D559" s="59"/>
      <c r="E559" s="59"/>
      <c r="F559" s="59"/>
      <c r="G559" s="94"/>
      <c r="H559" s="59"/>
      <c r="I559" s="59"/>
      <c r="J559" s="106">
        <f>VLOOKUP(A559&amp;G559,Lookup!J:N,5,0)</f>
        <v>0</v>
      </c>
      <c r="K559" s="110"/>
      <c r="L559" s="59"/>
      <c r="M559" s="59"/>
      <c r="N559" s="59"/>
      <c r="O559" s="112">
        <v>23.0173611111111</v>
      </c>
      <c r="P559" s="110" t="str">
        <f t="shared" si="42"/>
        <v/>
      </c>
      <c r="Q559" s="59"/>
      <c r="R559" s="87" t="str">
        <f t="shared" si="44"/>
        <v/>
      </c>
      <c r="S559" s="87" t="str">
        <f t="shared" si="45"/>
        <v/>
      </c>
      <c r="T559" s="59"/>
      <c r="U559" s="59"/>
      <c r="V559" s="59"/>
      <c r="W559" s="59"/>
      <c r="X559" s="93" t="str">
        <f t="shared" si="43"/>
        <v>D</v>
      </c>
    </row>
    <row r="560" spans="1:24" s="66" customFormat="1" x14ac:dyDescent="0.25">
      <c r="A560" s="53"/>
      <c r="B560" s="91" t="str">
        <f>IFERROR(VLOOKUP(A560,Lookup!A:B,2,0),"")</f>
        <v/>
      </c>
      <c r="C560" s="92" t="str">
        <f>IFERROR(VLOOKUP(A560,Lookup!A:C,3,0),"")</f>
        <v/>
      </c>
      <c r="D560" s="59"/>
      <c r="E560" s="59"/>
      <c r="F560" s="59"/>
      <c r="G560" s="94"/>
      <c r="H560" s="59"/>
      <c r="I560" s="59"/>
      <c r="J560" s="106">
        <f>VLOOKUP(A560&amp;G560,Lookup!J:N,5,0)</f>
        <v>0</v>
      </c>
      <c r="K560" s="110"/>
      <c r="L560" s="59"/>
      <c r="M560" s="59"/>
      <c r="N560" s="59"/>
      <c r="O560" s="112">
        <v>23.0590277777778</v>
      </c>
      <c r="P560" s="110" t="str">
        <f t="shared" si="42"/>
        <v/>
      </c>
      <c r="Q560" s="59"/>
      <c r="R560" s="87" t="str">
        <f t="shared" si="44"/>
        <v/>
      </c>
      <c r="S560" s="87" t="str">
        <f t="shared" si="45"/>
        <v/>
      </c>
      <c r="T560" s="59"/>
      <c r="U560" s="59"/>
      <c r="V560" s="59"/>
      <c r="W560" s="59"/>
      <c r="X560" s="93" t="str">
        <f t="shared" si="43"/>
        <v>D</v>
      </c>
    </row>
    <row r="561" spans="1:24" s="66" customFormat="1" x14ac:dyDescent="0.25">
      <c r="A561" s="53"/>
      <c r="B561" s="91" t="str">
        <f>IFERROR(VLOOKUP(A561,Lookup!A:B,2,0),"")</f>
        <v/>
      </c>
      <c r="C561" s="92" t="str">
        <f>IFERROR(VLOOKUP(A561,Lookup!A:C,3,0),"")</f>
        <v/>
      </c>
      <c r="D561" s="59"/>
      <c r="E561" s="59"/>
      <c r="F561" s="59"/>
      <c r="G561" s="94"/>
      <c r="H561" s="59"/>
      <c r="I561" s="59"/>
      <c r="J561" s="106">
        <f>VLOOKUP(A561&amp;G561,Lookup!J:N,5,0)</f>
        <v>0</v>
      </c>
      <c r="K561" s="110"/>
      <c r="L561" s="59"/>
      <c r="M561" s="59"/>
      <c r="N561" s="59"/>
      <c r="O561" s="112">
        <v>23.1006944444444</v>
      </c>
      <c r="P561" s="110" t="str">
        <f t="shared" si="42"/>
        <v/>
      </c>
      <c r="Q561" s="59"/>
      <c r="R561" s="87" t="str">
        <f t="shared" si="44"/>
        <v/>
      </c>
      <c r="S561" s="87" t="str">
        <f t="shared" si="45"/>
        <v/>
      </c>
      <c r="T561" s="59"/>
      <c r="U561" s="59"/>
      <c r="V561" s="59"/>
      <c r="W561" s="59"/>
      <c r="X561" s="93" t="str">
        <f t="shared" si="43"/>
        <v>D</v>
      </c>
    </row>
    <row r="562" spans="1:24" s="66" customFormat="1" x14ac:dyDescent="0.25">
      <c r="A562" s="53"/>
      <c r="B562" s="91" t="str">
        <f>IFERROR(VLOOKUP(A562,Lookup!A:B,2,0),"")</f>
        <v/>
      </c>
      <c r="C562" s="92" t="str">
        <f>IFERROR(VLOOKUP(A562,Lookup!A:C,3,0),"")</f>
        <v/>
      </c>
      <c r="D562" s="59"/>
      <c r="E562" s="59"/>
      <c r="F562" s="59"/>
      <c r="G562" s="94"/>
      <c r="H562" s="59"/>
      <c r="I562" s="59"/>
      <c r="J562" s="106">
        <f>VLOOKUP(A562&amp;G562,Lookup!J:N,5,0)</f>
        <v>0</v>
      </c>
      <c r="K562" s="110"/>
      <c r="L562" s="59"/>
      <c r="M562" s="59"/>
      <c r="N562" s="59"/>
      <c r="O562" s="112">
        <v>23.1423611111111</v>
      </c>
      <c r="P562" s="110" t="str">
        <f t="shared" si="42"/>
        <v/>
      </c>
      <c r="Q562" s="59"/>
      <c r="R562" s="87" t="str">
        <f t="shared" si="44"/>
        <v/>
      </c>
      <c r="S562" s="87" t="str">
        <f t="shared" si="45"/>
        <v/>
      </c>
      <c r="T562" s="59"/>
      <c r="U562" s="59"/>
      <c r="V562" s="59"/>
      <c r="W562" s="59"/>
      <c r="X562" s="93" t="str">
        <f t="shared" si="43"/>
        <v>D</v>
      </c>
    </row>
    <row r="563" spans="1:24" s="66" customFormat="1" x14ac:dyDescent="0.25">
      <c r="A563" s="53"/>
      <c r="B563" s="91" t="str">
        <f>IFERROR(VLOOKUP(A563,Lookup!A:B,2,0),"")</f>
        <v/>
      </c>
      <c r="C563" s="92" t="str">
        <f>IFERROR(VLOOKUP(A563,Lookup!A:C,3,0),"")</f>
        <v/>
      </c>
      <c r="D563" s="59"/>
      <c r="E563" s="59"/>
      <c r="F563" s="59"/>
      <c r="G563" s="94"/>
      <c r="H563" s="59"/>
      <c r="I563" s="59"/>
      <c r="J563" s="106">
        <f>VLOOKUP(A563&amp;G563,Lookup!J:N,5,0)</f>
        <v>0</v>
      </c>
      <c r="K563" s="110"/>
      <c r="L563" s="59"/>
      <c r="M563" s="59"/>
      <c r="N563" s="59"/>
      <c r="O563" s="112">
        <v>23.1840277777778</v>
      </c>
      <c r="P563" s="110" t="str">
        <f t="shared" si="42"/>
        <v/>
      </c>
      <c r="Q563" s="59"/>
      <c r="R563" s="87" t="str">
        <f t="shared" si="44"/>
        <v/>
      </c>
      <c r="S563" s="87" t="str">
        <f t="shared" si="45"/>
        <v/>
      </c>
      <c r="T563" s="59"/>
      <c r="U563" s="59"/>
      <c r="V563" s="59"/>
      <c r="W563" s="59"/>
      <c r="X563" s="93" t="str">
        <f t="shared" si="43"/>
        <v>D</v>
      </c>
    </row>
    <row r="564" spans="1:24" s="66" customFormat="1" x14ac:dyDescent="0.25">
      <c r="A564" s="51"/>
      <c r="B564" s="91" t="str">
        <f>IFERROR(VLOOKUP(A564,Lookup!A:B,2,0),"")</f>
        <v/>
      </c>
      <c r="C564" s="92" t="str">
        <f>IFERROR(VLOOKUP(A564,Lookup!A:C,3,0),"")</f>
        <v/>
      </c>
      <c r="D564" s="54"/>
      <c r="E564" s="54"/>
      <c r="F564" s="54"/>
      <c r="G564" s="72"/>
      <c r="H564" s="54"/>
      <c r="I564" s="54"/>
      <c r="J564" s="106">
        <f>VLOOKUP(A564&amp;G564,Lookup!J:N,5,0)</f>
        <v>0</v>
      </c>
      <c r="K564" s="110"/>
      <c r="L564" s="54"/>
      <c r="M564" s="54"/>
      <c r="N564" s="54"/>
      <c r="O564" s="112">
        <v>23.2256944444444</v>
      </c>
      <c r="P564" s="110" t="str">
        <f t="shared" si="42"/>
        <v/>
      </c>
      <c r="Q564" s="54"/>
      <c r="R564" s="87" t="str">
        <f t="shared" si="44"/>
        <v/>
      </c>
      <c r="S564" s="87" t="str">
        <f t="shared" si="45"/>
        <v/>
      </c>
      <c r="T564" s="54"/>
      <c r="U564" s="54"/>
      <c r="V564" s="54"/>
      <c r="W564" s="54"/>
      <c r="X564" s="69" t="str">
        <f t="shared" si="43"/>
        <v>D</v>
      </c>
    </row>
    <row r="565" spans="1:24" s="66" customFormat="1" x14ac:dyDescent="0.25">
      <c r="A565" s="51"/>
      <c r="B565" s="91" t="str">
        <f>IFERROR(VLOOKUP(A565,Lookup!A:B,2,0),"")</f>
        <v/>
      </c>
      <c r="C565" s="92" t="str">
        <f>IFERROR(VLOOKUP(A565,Lookup!A:C,3,0),"")</f>
        <v/>
      </c>
      <c r="D565" s="54"/>
      <c r="E565" s="54"/>
      <c r="F565" s="54"/>
      <c r="G565" s="72"/>
      <c r="H565" s="54"/>
      <c r="I565" s="54"/>
      <c r="J565" s="106">
        <f>VLOOKUP(A565&amp;G565,Lookup!J:N,5,0)</f>
        <v>0</v>
      </c>
      <c r="K565" s="110"/>
      <c r="L565" s="54"/>
      <c r="M565" s="54"/>
      <c r="N565" s="54"/>
      <c r="O565" s="112">
        <v>23.2673611111111</v>
      </c>
      <c r="P565" s="110" t="str">
        <f t="shared" si="42"/>
        <v/>
      </c>
      <c r="Q565" s="54"/>
      <c r="R565" s="87" t="str">
        <f t="shared" si="44"/>
        <v/>
      </c>
      <c r="S565" s="87" t="str">
        <f t="shared" si="45"/>
        <v/>
      </c>
      <c r="T565" s="54"/>
      <c r="U565" s="54"/>
      <c r="V565" s="54"/>
      <c r="W565" s="54"/>
      <c r="X565" s="69" t="str">
        <f t="shared" si="43"/>
        <v>D</v>
      </c>
    </row>
    <row r="566" spans="1:24" s="66" customFormat="1" x14ac:dyDescent="0.25">
      <c r="A566" s="51"/>
      <c r="B566" s="91" t="str">
        <f>IFERROR(VLOOKUP(A566,Lookup!A:B,2,0),"")</f>
        <v/>
      </c>
      <c r="C566" s="92" t="str">
        <f>IFERROR(VLOOKUP(A566,Lookup!A:C,3,0),"")</f>
        <v/>
      </c>
      <c r="D566" s="54"/>
      <c r="E566" s="54"/>
      <c r="F566" s="54"/>
      <c r="G566" s="72"/>
      <c r="H566" s="54"/>
      <c r="I566" s="54"/>
      <c r="J566" s="106">
        <f>VLOOKUP(A566&amp;G566,Lookup!J:N,5,0)</f>
        <v>0</v>
      </c>
      <c r="K566" s="110"/>
      <c r="L566" s="54"/>
      <c r="M566" s="54"/>
      <c r="N566" s="54"/>
      <c r="O566" s="112">
        <v>23.3090277777778</v>
      </c>
      <c r="P566" s="110" t="str">
        <f t="shared" si="42"/>
        <v/>
      </c>
      <c r="Q566" s="54"/>
      <c r="R566" s="87" t="str">
        <f t="shared" si="44"/>
        <v/>
      </c>
      <c r="S566" s="87" t="str">
        <f t="shared" si="45"/>
        <v/>
      </c>
      <c r="T566" s="54"/>
      <c r="U566" s="54"/>
      <c r="V566" s="54"/>
      <c r="W566" s="54"/>
      <c r="X566" s="69" t="str">
        <f t="shared" si="43"/>
        <v>D</v>
      </c>
    </row>
    <row r="567" spans="1:24" s="66" customFormat="1" x14ac:dyDescent="0.25">
      <c r="A567" s="51"/>
      <c r="B567" s="91" t="str">
        <f>IFERROR(VLOOKUP(A567,Lookup!A:B,2,0),"")</f>
        <v/>
      </c>
      <c r="C567" s="92" t="str">
        <f>IFERROR(VLOOKUP(A567,Lookup!A:C,3,0),"")</f>
        <v/>
      </c>
      <c r="D567" s="54"/>
      <c r="E567" s="54"/>
      <c r="F567" s="54"/>
      <c r="G567" s="72"/>
      <c r="H567" s="54"/>
      <c r="I567" s="54"/>
      <c r="J567" s="106">
        <f>VLOOKUP(A567&amp;G567,Lookup!J:N,5,0)</f>
        <v>0</v>
      </c>
      <c r="K567" s="110"/>
      <c r="L567" s="54"/>
      <c r="M567" s="54"/>
      <c r="N567" s="54"/>
      <c r="O567" s="112">
        <v>23.3506944444444</v>
      </c>
      <c r="P567" s="110" t="str">
        <f t="shared" si="42"/>
        <v/>
      </c>
      <c r="Q567" s="54"/>
      <c r="R567" s="87" t="str">
        <f t="shared" si="44"/>
        <v/>
      </c>
      <c r="S567" s="87" t="str">
        <f t="shared" si="45"/>
        <v/>
      </c>
      <c r="T567" s="54"/>
      <c r="U567" s="54"/>
      <c r="V567" s="54"/>
      <c r="W567" s="54"/>
      <c r="X567" s="69" t="str">
        <f t="shared" si="43"/>
        <v>D</v>
      </c>
    </row>
    <row r="568" spans="1:24" s="66" customFormat="1" x14ac:dyDescent="0.25">
      <c r="A568" s="51"/>
      <c r="B568" s="91" t="str">
        <f>IFERROR(VLOOKUP(A568,Lookup!A:B,2,0),"")</f>
        <v/>
      </c>
      <c r="C568" s="92" t="str">
        <f>IFERROR(VLOOKUP(A568,Lookup!A:C,3,0),"")</f>
        <v/>
      </c>
      <c r="D568" s="54"/>
      <c r="E568" s="54"/>
      <c r="F568" s="54"/>
      <c r="G568" s="72"/>
      <c r="H568" s="54"/>
      <c r="I568" s="54"/>
      <c r="J568" s="106">
        <f>VLOOKUP(A568&amp;G568,Lookup!J:N,5,0)</f>
        <v>0</v>
      </c>
      <c r="K568" s="110"/>
      <c r="L568" s="54"/>
      <c r="M568" s="54"/>
      <c r="N568" s="54"/>
      <c r="O568" s="112">
        <v>23.3923611111111</v>
      </c>
      <c r="P568" s="110" t="str">
        <f t="shared" si="42"/>
        <v/>
      </c>
      <c r="Q568" s="54"/>
      <c r="R568" s="87" t="str">
        <f t="shared" si="44"/>
        <v/>
      </c>
      <c r="S568" s="87" t="str">
        <f t="shared" si="45"/>
        <v/>
      </c>
      <c r="T568" s="54"/>
      <c r="U568" s="54"/>
      <c r="V568" s="54"/>
      <c r="W568" s="54"/>
      <c r="X568" s="69" t="str">
        <f t="shared" si="43"/>
        <v>D</v>
      </c>
    </row>
    <row r="569" spans="1:24" s="66" customFormat="1" x14ac:dyDescent="0.25">
      <c r="A569" s="51"/>
      <c r="B569" s="91" t="str">
        <f>IFERROR(VLOOKUP(A569,Lookup!A:B,2,0),"")</f>
        <v/>
      </c>
      <c r="C569" s="92" t="str">
        <f>IFERROR(VLOOKUP(A569,Lookup!A:C,3,0),"")</f>
        <v/>
      </c>
      <c r="D569" s="54"/>
      <c r="E569" s="54"/>
      <c r="F569" s="54"/>
      <c r="G569" s="72"/>
      <c r="H569" s="54"/>
      <c r="I569" s="54"/>
      <c r="J569" s="106">
        <f>VLOOKUP(A569&amp;G569,Lookup!J:N,5,0)</f>
        <v>0</v>
      </c>
      <c r="K569" s="110"/>
      <c r="L569" s="54"/>
      <c r="M569" s="54"/>
      <c r="N569" s="54"/>
      <c r="O569" s="112">
        <v>23.4340277777778</v>
      </c>
      <c r="P569" s="110" t="str">
        <f t="shared" si="42"/>
        <v/>
      </c>
      <c r="Q569" s="54"/>
      <c r="R569" s="87" t="str">
        <f t="shared" si="44"/>
        <v/>
      </c>
      <c r="S569" s="87" t="str">
        <f t="shared" si="45"/>
        <v/>
      </c>
      <c r="T569" s="54"/>
      <c r="U569" s="54"/>
      <c r="V569" s="54"/>
      <c r="W569" s="54"/>
      <c r="X569" s="69" t="str">
        <f t="shared" si="43"/>
        <v>D</v>
      </c>
    </row>
    <row r="570" spans="1:24" s="66" customFormat="1" x14ac:dyDescent="0.25">
      <c r="A570" s="51"/>
      <c r="B570" s="91" t="str">
        <f>IFERROR(VLOOKUP(A570,Lookup!A:B,2,0),"")</f>
        <v/>
      </c>
      <c r="C570" s="92" t="str">
        <f>IFERROR(VLOOKUP(A570,Lookup!A:C,3,0),"")</f>
        <v/>
      </c>
      <c r="D570" s="54"/>
      <c r="E570" s="54"/>
      <c r="F570" s="54"/>
      <c r="G570" s="72"/>
      <c r="H570" s="54"/>
      <c r="I570" s="54"/>
      <c r="J570" s="106">
        <f>VLOOKUP(A570&amp;G570,Lookup!J:N,5,0)</f>
        <v>0</v>
      </c>
      <c r="K570" s="110"/>
      <c r="L570" s="54"/>
      <c r="M570" s="54"/>
      <c r="N570" s="54"/>
      <c r="O570" s="112">
        <v>23.4756944444444</v>
      </c>
      <c r="P570" s="110" t="str">
        <f t="shared" si="42"/>
        <v/>
      </c>
      <c r="Q570" s="54"/>
      <c r="R570" s="87" t="str">
        <f t="shared" si="44"/>
        <v/>
      </c>
      <c r="S570" s="87" t="str">
        <f t="shared" si="45"/>
        <v/>
      </c>
      <c r="T570" s="54"/>
      <c r="U570" s="54"/>
      <c r="V570" s="54"/>
      <c r="W570" s="54"/>
      <c r="X570" s="69" t="str">
        <f t="shared" si="43"/>
        <v>D</v>
      </c>
    </row>
    <row r="571" spans="1:24" s="66" customFormat="1" x14ac:dyDescent="0.25">
      <c r="A571" s="51"/>
      <c r="B571" s="91" t="str">
        <f>IFERROR(VLOOKUP(A571,Lookup!A:B,2,0),"")</f>
        <v/>
      </c>
      <c r="C571" s="92" t="str">
        <f>IFERROR(VLOOKUP(A571,Lookup!A:C,3,0),"")</f>
        <v/>
      </c>
      <c r="D571" s="54"/>
      <c r="E571" s="54"/>
      <c r="F571" s="54"/>
      <c r="G571" s="72"/>
      <c r="H571" s="54"/>
      <c r="I571" s="54"/>
      <c r="J571" s="106">
        <f>VLOOKUP(A571&amp;G571,Lookup!J:N,5,0)</f>
        <v>0</v>
      </c>
      <c r="K571" s="110"/>
      <c r="L571" s="54"/>
      <c r="M571" s="54"/>
      <c r="N571" s="54"/>
      <c r="O571" s="112">
        <v>23.5173611111111</v>
      </c>
      <c r="P571" s="110" t="str">
        <f t="shared" si="42"/>
        <v/>
      </c>
      <c r="Q571" s="54"/>
      <c r="R571" s="87" t="str">
        <f t="shared" si="44"/>
        <v/>
      </c>
      <c r="S571" s="87" t="str">
        <f t="shared" si="45"/>
        <v/>
      </c>
      <c r="T571" s="54"/>
      <c r="U571" s="54"/>
      <c r="V571" s="54"/>
      <c r="W571" s="54"/>
      <c r="X571" s="69" t="str">
        <f t="shared" si="43"/>
        <v>D</v>
      </c>
    </row>
    <row r="572" spans="1:24" s="66" customFormat="1" x14ac:dyDescent="0.25">
      <c r="A572" s="51"/>
      <c r="B572" s="91" t="str">
        <f>IFERROR(VLOOKUP(A572,Lookup!A:B,2,0),"")</f>
        <v/>
      </c>
      <c r="C572" s="92" t="str">
        <f>IFERROR(VLOOKUP(A572,Lookup!A:C,3,0),"")</f>
        <v/>
      </c>
      <c r="D572" s="54"/>
      <c r="E572" s="54"/>
      <c r="F572" s="54"/>
      <c r="G572" s="72"/>
      <c r="H572" s="54"/>
      <c r="I572" s="54"/>
      <c r="J572" s="106">
        <f>VLOOKUP(A572&amp;G572,Lookup!J:N,5,0)</f>
        <v>0</v>
      </c>
      <c r="K572" s="110"/>
      <c r="L572" s="54"/>
      <c r="M572" s="54"/>
      <c r="N572" s="54"/>
      <c r="O572" s="112">
        <v>23.5590277777778</v>
      </c>
      <c r="P572" s="110" t="str">
        <f t="shared" si="42"/>
        <v/>
      </c>
      <c r="Q572" s="54"/>
      <c r="R572" s="87" t="str">
        <f t="shared" si="44"/>
        <v/>
      </c>
      <c r="S572" s="87" t="str">
        <f t="shared" si="45"/>
        <v/>
      </c>
      <c r="T572" s="54"/>
      <c r="U572" s="54"/>
      <c r="V572" s="54"/>
      <c r="W572" s="54"/>
      <c r="X572" s="69" t="str">
        <f t="shared" si="43"/>
        <v>D</v>
      </c>
    </row>
    <row r="573" spans="1:24" s="66" customFormat="1" x14ac:dyDescent="0.25">
      <c r="A573" s="51"/>
      <c r="B573" s="91" t="str">
        <f>IFERROR(VLOOKUP(A573,Lookup!A:B,2,0),"")</f>
        <v/>
      </c>
      <c r="C573" s="92" t="str">
        <f>IFERROR(VLOOKUP(A573,Lookup!A:C,3,0),"")</f>
        <v/>
      </c>
      <c r="D573" s="54"/>
      <c r="E573" s="54"/>
      <c r="F573" s="54"/>
      <c r="G573" s="72"/>
      <c r="H573" s="54"/>
      <c r="I573" s="54"/>
      <c r="J573" s="106">
        <f>VLOOKUP(A573&amp;G573,Lookup!J:N,5,0)</f>
        <v>0</v>
      </c>
      <c r="K573" s="110"/>
      <c r="L573" s="54"/>
      <c r="M573" s="54"/>
      <c r="N573" s="54"/>
      <c r="O573" s="112">
        <v>23.6006944444444</v>
      </c>
      <c r="P573" s="110" t="str">
        <f t="shared" si="42"/>
        <v/>
      </c>
      <c r="Q573" s="54"/>
      <c r="R573" s="87" t="str">
        <f t="shared" si="44"/>
        <v/>
      </c>
      <c r="S573" s="87" t="str">
        <f t="shared" si="45"/>
        <v/>
      </c>
      <c r="T573" s="54"/>
      <c r="U573" s="54"/>
      <c r="V573" s="54"/>
      <c r="W573" s="54"/>
      <c r="X573" s="69" t="str">
        <f t="shared" si="43"/>
        <v>D</v>
      </c>
    </row>
    <row r="574" spans="1:24" s="66" customFormat="1" x14ac:dyDescent="0.25">
      <c r="A574" s="51"/>
      <c r="B574" s="91" t="str">
        <f>IFERROR(VLOOKUP(A574,Lookup!A:B,2,0),"")</f>
        <v/>
      </c>
      <c r="C574" s="92" t="str">
        <f>IFERROR(VLOOKUP(A574,Lookup!A:C,3,0),"")</f>
        <v/>
      </c>
      <c r="D574" s="54"/>
      <c r="E574" s="54"/>
      <c r="F574" s="54"/>
      <c r="G574" s="72"/>
      <c r="H574" s="54"/>
      <c r="I574" s="54"/>
      <c r="J574" s="106">
        <f>VLOOKUP(A574&amp;G574,Lookup!J:N,5,0)</f>
        <v>0</v>
      </c>
      <c r="K574" s="110"/>
      <c r="L574" s="54"/>
      <c r="M574" s="54"/>
      <c r="N574" s="54"/>
      <c r="O574" s="112">
        <v>23.6423611111111</v>
      </c>
      <c r="P574" s="110" t="str">
        <f t="shared" si="42"/>
        <v/>
      </c>
      <c r="Q574" s="54"/>
      <c r="R574" s="87" t="str">
        <f t="shared" si="44"/>
        <v/>
      </c>
      <c r="S574" s="87" t="str">
        <f t="shared" si="45"/>
        <v/>
      </c>
      <c r="T574" s="54"/>
      <c r="U574" s="54"/>
      <c r="V574" s="54"/>
      <c r="W574" s="54"/>
      <c r="X574" s="69" t="str">
        <f t="shared" si="43"/>
        <v>D</v>
      </c>
    </row>
    <row r="575" spans="1:24" s="66" customFormat="1" x14ac:dyDescent="0.25">
      <c r="A575" s="51"/>
      <c r="B575" s="91" t="str">
        <f>IFERROR(VLOOKUP(A575,Lookup!A:B,2,0),"")</f>
        <v/>
      </c>
      <c r="C575" s="92" t="str">
        <f>IFERROR(VLOOKUP(A575,Lookup!A:C,3,0),"")</f>
        <v/>
      </c>
      <c r="D575" s="54"/>
      <c r="E575" s="54"/>
      <c r="F575" s="54"/>
      <c r="G575" s="72"/>
      <c r="H575" s="54"/>
      <c r="I575" s="54"/>
      <c r="J575" s="106">
        <f>VLOOKUP(A575&amp;G575,Lookup!J:N,5,0)</f>
        <v>0</v>
      </c>
      <c r="K575" s="110"/>
      <c r="L575" s="54"/>
      <c r="M575" s="54"/>
      <c r="N575" s="54"/>
      <c r="O575" s="112">
        <v>23.6840277777778</v>
      </c>
      <c r="P575" s="110" t="str">
        <f t="shared" si="42"/>
        <v/>
      </c>
      <c r="Q575" s="54"/>
      <c r="R575" s="87" t="str">
        <f t="shared" si="44"/>
        <v/>
      </c>
      <c r="S575" s="87" t="str">
        <f t="shared" si="45"/>
        <v/>
      </c>
      <c r="T575" s="54"/>
      <c r="U575" s="54"/>
      <c r="V575" s="54"/>
      <c r="W575" s="54"/>
      <c r="X575" s="69" t="str">
        <f t="shared" si="43"/>
        <v>D</v>
      </c>
    </row>
    <row r="576" spans="1:24" s="66" customFormat="1" x14ac:dyDescent="0.25">
      <c r="A576" s="51"/>
      <c r="B576" s="91" t="str">
        <f>IFERROR(VLOOKUP(A576,Lookup!A:B,2,0),"")</f>
        <v/>
      </c>
      <c r="C576" s="92" t="str">
        <f>IFERROR(VLOOKUP(A576,Lookup!A:C,3,0),"")</f>
        <v/>
      </c>
      <c r="D576" s="54"/>
      <c r="E576" s="54"/>
      <c r="F576" s="54"/>
      <c r="G576" s="72"/>
      <c r="H576" s="54"/>
      <c r="I576" s="54"/>
      <c r="J576" s="106">
        <f>VLOOKUP(A576&amp;G576,Lookup!J:N,5,0)</f>
        <v>0</v>
      </c>
      <c r="K576" s="110"/>
      <c r="L576" s="54"/>
      <c r="M576" s="54"/>
      <c r="N576" s="54"/>
      <c r="O576" s="112">
        <v>23.7256944444444</v>
      </c>
      <c r="P576" s="110" t="str">
        <f t="shared" si="42"/>
        <v/>
      </c>
      <c r="Q576" s="54"/>
      <c r="R576" s="87" t="str">
        <f t="shared" si="44"/>
        <v/>
      </c>
      <c r="S576" s="87" t="str">
        <f t="shared" si="45"/>
        <v/>
      </c>
      <c r="T576" s="54"/>
      <c r="U576" s="54"/>
      <c r="V576" s="54"/>
      <c r="W576" s="54"/>
      <c r="X576" s="69" t="str">
        <f t="shared" si="43"/>
        <v>D</v>
      </c>
    </row>
    <row r="577" spans="1:24" s="66" customFormat="1" x14ac:dyDescent="0.25">
      <c r="A577" s="51"/>
      <c r="B577" s="91" t="str">
        <f>IFERROR(VLOOKUP(A577,Lookup!A:B,2,0),"")</f>
        <v/>
      </c>
      <c r="C577" s="92" t="str">
        <f>IFERROR(VLOOKUP(A577,Lookup!A:C,3,0),"")</f>
        <v/>
      </c>
      <c r="D577" s="54"/>
      <c r="E577" s="54"/>
      <c r="F577" s="54"/>
      <c r="G577" s="72"/>
      <c r="H577" s="54"/>
      <c r="I577" s="54"/>
      <c r="J577" s="106">
        <f>VLOOKUP(A577&amp;G577,Lookup!J:N,5,0)</f>
        <v>0</v>
      </c>
      <c r="K577" s="110"/>
      <c r="L577" s="54"/>
      <c r="M577" s="54"/>
      <c r="N577" s="54"/>
      <c r="O577" s="112">
        <v>23.7673611111111</v>
      </c>
      <c r="P577" s="110" t="str">
        <f t="shared" si="42"/>
        <v/>
      </c>
      <c r="Q577" s="54"/>
      <c r="R577" s="87" t="str">
        <f t="shared" si="44"/>
        <v/>
      </c>
      <c r="S577" s="87" t="str">
        <f t="shared" si="45"/>
        <v/>
      </c>
      <c r="T577" s="54"/>
      <c r="U577" s="54"/>
      <c r="V577" s="54"/>
      <c r="W577" s="54"/>
      <c r="X577" s="69" t="str">
        <f t="shared" si="43"/>
        <v>D</v>
      </c>
    </row>
    <row r="578" spans="1:24" s="66" customFormat="1" x14ac:dyDescent="0.25">
      <c r="A578" s="51"/>
      <c r="B578" s="91" t="str">
        <f>IFERROR(VLOOKUP(A578,Lookup!A:B,2,0),"")</f>
        <v/>
      </c>
      <c r="C578" s="92" t="str">
        <f>IFERROR(VLOOKUP(A578,Lookup!A:C,3,0),"")</f>
        <v/>
      </c>
      <c r="D578" s="54"/>
      <c r="E578" s="54"/>
      <c r="F578" s="54"/>
      <c r="G578" s="72"/>
      <c r="H578" s="54"/>
      <c r="I578" s="54"/>
      <c r="J578" s="106">
        <f>VLOOKUP(A578&amp;G578,Lookup!J:N,5,0)</f>
        <v>0</v>
      </c>
      <c r="K578" s="110"/>
      <c r="L578" s="54"/>
      <c r="M578" s="54"/>
      <c r="N578" s="54"/>
      <c r="O578" s="112">
        <v>23.8090277777778</v>
      </c>
      <c r="P578" s="110" t="str">
        <f t="shared" si="42"/>
        <v/>
      </c>
      <c r="Q578" s="54"/>
      <c r="R578" s="87" t="str">
        <f t="shared" si="44"/>
        <v/>
      </c>
      <c r="S578" s="87" t="str">
        <f t="shared" si="45"/>
        <v/>
      </c>
      <c r="T578" s="54"/>
      <c r="U578" s="54"/>
      <c r="V578" s="54"/>
      <c r="W578" s="54"/>
      <c r="X578" s="69" t="str">
        <f t="shared" si="43"/>
        <v>D</v>
      </c>
    </row>
    <row r="579" spans="1:24" s="66" customFormat="1" x14ac:dyDescent="0.25">
      <c r="A579" s="51"/>
      <c r="B579" s="91" t="str">
        <f>IFERROR(VLOOKUP(A579,Lookup!A:B,2,0),"")</f>
        <v/>
      </c>
      <c r="C579" s="92" t="str">
        <f>IFERROR(VLOOKUP(A579,Lookup!A:C,3,0),"")</f>
        <v/>
      </c>
      <c r="D579" s="54"/>
      <c r="E579" s="54"/>
      <c r="F579" s="54"/>
      <c r="G579" s="72"/>
      <c r="H579" s="54"/>
      <c r="I579" s="54"/>
      <c r="J579" s="106">
        <f>VLOOKUP(A579&amp;G579,Lookup!J:N,5,0)</f>
        <v>0</v>
      </c>
      <c r="K579" s="110"/>
      <c r="L579" s="54"/>
      <c r="M579" s="54"/>
      <c r="N579" s="54"/>
      <c r="O579" s="112">
        <v>23.8506944444444</v>
      </c>
      <c r="P579" s="110" t="str">
        <f t="shared" ref="P579:P642" si="46">IF(N579="","",N579+O579)</f>
        <v/>
      </c>
      <c r="Q579" s="54"/>
      <c r="R579" s="87" t="str">
        <f t="shared" si="44"/>
        <v/>
      </c>
      <c r="S579" s="87" t="str">
        <f t="shared" si="45"/>
        <v/>
      </c>
      <c r="T579" s="54"/>
      <c r="U579" s="54"/>
      <c r="V579" s="54"/>
      <c r="W579" s="54"/>
      <c r="X579" s="69" t="str">
        <f t="shared" ref="X579:X642" si="47">IF(I579="SET","A",IF(I579="FREQ","C",IF(I579="","D","B")))</f>
        <v>D</v>
      </c>
    </row>
    <row r="580" spans="1:24" s="66" customFormat="1" x14ac:dyDescent="0.25">
      <c r="A580" s="51"/>
      <c r="B580" s="91" t="str">
        <f>IFERROR(VLOOKUP(A580,Lookup!A:B,2,0),"")</f>
        <v/>
      </c>
      <c r="C580" s="92" t="str">
        <f>IFERROR(VLOOKUP(A580,Lookup!A:C,3,0),"")</f>
        <v/>
      </c>
      <c r="D580" s="54"/>
      <c r="E580" s="54"/>
      <c r="F580" s="54"/>
      <c r="G580" s="72"/>
      <c r="H580" s="54"/>
      <c r="I580" s="54"/>
      <c r="J580" s="106">
        <f>VLOOKUP(A580&amp;G580,Lookup!J:N,5,0)</f>
        <v>0</v>
      </c>
      <c r="K580" s="110"/>
      <c r="L580" s="54"/>
      <c r="M580" s="54"/>
      <c r="N580" s="54"/>
      <c r="O580" s="112">
        <v>23.8923611111111</v>
      </c>
      <c r="P580" s="110" t="str">
        <f t="shared" si="46"/>
        <v/>
      </c>
      <c r="Q580" s="54"/>
      <c r="R580" s="87" t="str">
        <f t="shared" si="44"/>
        <v/>
      </c>
      <c r="S580" s="87" t="str">
        <f t="shared" si="45"/>
        <v/>
      </c>
      <c r="T580" s="54"/>
      <c r="U580" s="54"/>
      <c r="V580" s="54"/>
      <c r="W580" s="54"/>
      <c r="X580" s="69" t="str">
        <f t="shared" si="47"/>
        <v>D</v>
      </c>
    </row>
    <row r="581" spans="1:24" s="66" customFormat="1" x14ac:dyDescent="0.25">
      <c r="A581" s="51"/>
      <c r="B581" s="91" t="str">
        <f>IFERROR(VLOOKUP(A581,Lookup!A:B,2,0),"")</f>
        <v/>
      </c>
      <c r="C581" s="92" t="str">
        <f>IFERROR(VLOOKUP(A581,Lookup!A:C,3,0),"")</f>
        <v/>
      </c>
      <c r="D581" s="54"/>
      <c r="E581" s="54"/>
      <c r="F581" s="54"/>
      <c r="G581" s="72"/>
      <c r="H581" s="54"/>
      <c r="I581" s="54"/>
      <c r="J581" s="106">
        <f>VLOOKUP(A581&amp;G581,Lookup!J:N,5,0)</f>
        <v>0</v>
      </c>
      <c r="K581" s="110"/>
      <c r="L581" s="54"/>
      <c r="M581" s="54"/>
      <c r="N581" s="54"/>
      <c r="O581" s="112">
        <v>23.9340277777778</v>
      </c>
      <c r="P581" s="110" t="str">
        <f t="shared" si="46"/>
        <v/>
      </c>
      <c r="Q581" s="54"/>
      <c r="R581" s="87" t="str">
        <f t="shared" si="44"/>
        <v/>
      </c>
      <c r="S581" s="87" t="str">
        <f t="shared" si="45"/>
        <v/>
      </c>
      <c r="T581" s="54"/>
      <c r="U581" s="54"/>
      <c r="V581" s="54"/>
      <c r="W581" s="54"/>
      <c r="X581" s="69" t="str">
        <f t="shared" si="47"/>
        <v>D</v>
      </c>
    </row>
    <row r="582" spans="1:24" s="66" customFormat="1" x14ac:dyDescent="0.25">
      <c r="A582" s="51"/>
      <c r="B582" s="91" t="str">
        <f>IFERROR(VLOOKUP(A582,Lookup!A:B,2,0),"")</f>
        <v/>
      </c>
      <c r="C582" s="92" t="str">
        <f>IFERROR(VLOOKUP(A582,Lookup!A:C,3,0),"")</f>
        <v/>
      </c>
      <c r="D582" s="54"/>
      <c r="E582" s="54"/>
      <c r="F582" s="54"/>
      <c r="G582" s="72"/>
      <c r="H582" s="54"/>
      <c r="I582" s="54"/>
      <c r="J582" s="106">
        <f>VLOOKUP(A582&amp;G582,Lookup!J:N,5,0)</f>
        <v>0</v>
      </c>
      <c r="K582" s="110"/>
      <c r="L582" s="54"/>
      <c r="M582" s="54"/>
      <c r="N582" s="54"/>
      <c r="O582" s="112">
        <v>23.9756944444444</v>
      </c>
      <c r="P582" s="110" t="str">
        <f t="shared" si="46"/>
        <v/>
      </c>
      <c r="Q582" s="54"/>
      <c r="R582" s="87" t="str">
        <f t="shared" si="44"/>
        <v/>
      </c>
      <c r="S582" s="87" t="str">
        <f t="shared" si="45"/>
        <v/>
      </c>
      <c r="T582" s="54"/>
      <c r="U582" s="54"/>
      <c r="V582" s="54"/>
      <c r="W582" s="54"/>
      <c r="X582" s="69" t="str">
        <f t="shared" si="47"/>
        <v>D</v>
      </c>
    </row>
    <row r="583" spans="1:24" s="66" customFormat="1" x14ac:dyDescent="0.25">
      <c r="A583" s="51"/>
      <c r="B583" s="91" t="str">
        <f>IFERROR(VLOOKUP(A583,Lookup!A:B,2,0),"")</f>
        <v/>
      </c>
      <c r="C583" s="92" t="str">
        <f>IFERROR(VLOOKUP(A583,Lookup!A:C,3,0),"")</f>
        <v/>
      </c>
      <c r="D583" s="54"/>
      <c r="E583" s="54"/>
      <c r="F583" s="54"/>
      <c r="G583" s="72"/>
      <c r="H583" s="54"/>
      <c r="I583" s="54"/>
      <c r="J583" s="106">
        <f>VLOOKUP(A583&amp;G583,Lookup!J:N,5,0)</f>
        <v>0</v>
      </c>
      <c r="K583" s="110"/>
      <c r="L583" s="54"/>
      <c r="M583" s="54"/>
      <c r="N583" s="54"/>
      <c r="O583" s="112">
        <v>24.0173611111111</v>
      </c>
      <c r="P583" s="110" t="str">
        <f t="shared" si="46"/>
        <v/>
      </c>
      <c r="Q583" s="54"/>
      <c r="R583" s="87" t="str">
        <f t="shared" ref="R583:R646" si="48">IF(OR(EXACT(N583,""), EXACT(L583,"")),"",N583-L583)</f>
        <v/>
      </c>
      <c r="S583" s="87" t="str">
        <f t="shared" ref="S583:S646" si="49">IF(OR(EXACT(Q583,""), EXACT(L583,"")),"",Q583-L583)</f>
        <v/>
      </c>
      <c r="T583" s="54"/>
      <c r="U583" s="54"/>
      <c r="V583" s="54"/>
      <c r="W583" s="54"/>
      <c r="X583" s="69" t="str">
        <f t="shared" si="47"/>
        <v>D</v>
      </c>
    </row>
    <row r="584" spans="1:24" s="66" customFormat="1" x14ac:dyDescent="0.25">
      <c r="A584" s="51"/>
      <c r="B584" s="91" t="str">
        <f>IFERROR(VLOOKUP(A584,Lookup!A:B,2,0),"")</f>
        <v/>
      </c>
      <c r="C584" s="92" t="str">
        <f>IFERROR(VLOOKUP(A584,Lookup!A:C,3,0),"")</f>
        <v/>
      </c>
      <c r="D584" s="54"/>
      <c r="E584" s="54"/>
      <c r="F584" s="54"/>
      <c r="G584" s="72"/>
      <c r="H584" s="54"/>
      <c r="I584" s="54"/>
      <c r="J584" s="106">
        <f>VLOOKUP(A584&amp;G584,Lookup!J:N,5,0)</f>
        <v>0</v>
      </c>
      <c r="K584" s="110"/>
      <c r="L584" s="54"/>
      <c r="M584" s="54"/>
      <c r="N584" s="54"/>
      <c r="O584" s="112">
        <v>24.0590277777778</v>
      </c>
      <c r="P584" s="110" t="str">
        <f t="shared" si="46"/>
        <v/>
      </c>
      <c r="Q584" s="54"/>
      <c r="R584" s="87" t="str">
        <f t="shared" si="48"/>
        <v/>
      </c>
      <c r="S584" s="87" t="str">
        <f t="shared" si="49"/>
        <v/>
      </c>
      <c r="T584" s="54"/>
      <c r="U584" s="54"/>
      <c r="V584" s="54"/>
      <c r="W584" s="54"/>
      <c r="X584" s="69" t="str">
        <f t="shared" si="47"/>
        <v>D</v>
      </c>
    </row>
    <row r="585" spans="1:24" s="66" customFormat="1" x14ac:dyDescent="0.25">
      <c r="A585" s="51"/>
      <c r="B585" s="91" t="str">
        <f>IFERROR(VLOOKUP(A585,Lookup!A:B,2,0),"")</f>
        <v/>
      </c>
      <c r="C585" s="92" t="str">
        <f>IFERROR(VLOOKUP(A585,Lookup!A:C,3,0),"")</f>
        <v/>
      </c>
      <c r="D585" s="54"/>
      <c r="E585" s="54"/>
      <c r="F585" s="54"/>
      <c r="G585" s="72"/>
      <c r="H585" s="54"/>
      <c r="I585" s="54"/>
      <c r="J585" s="106">
        <f>VLOOKUP(A585&amp;G585,Lookup!J:N,5,0)</f>
        <v>0</v>
      </c>
      <c r="K585" s="110"/>
      <c r="L585" s="54"/>
      <c r="M585" s="54"/>
      <c r="N585" s="54"/>
      <c r="O585" s="112">
        <v>24.1006944444444</v>
      </c>
      <c r="P585" s="110" t="str">
        <f t="shared" si="46"/>
        <v/>
      </c>
      <c r="Q585" s="54"/>
      <c r="R585" s="87" t="str">
        <f t="shared" si="48"/>
        <v/>
      </c>
      <c r="S585" s="87" t="str">
        <f t="shared" si="49"/>
        <v/>
      </c>
      <c r="T585" s="54"/>
      <c r="U585" s="54"/>
      <c r="V585" s="54"/>
      <c r="W585" s="54"/>
      <c r="X585" s="69" t="str">
        <f t="shared" si="47"/>
        <v>D</v>
      </c>
    </row>
    <row r="586" spans="1:24" s="66" customFormat="1" x14ac:dyDescent="0.25">
      <c r="A586" s="51"/>
      <c r="B586" s="91" t="str">
        <f>IFERROR(VLOOKUP(A586,Lookup!A:B,2,0),"")</f>
        <v/>
      </c>
      <c r="C586" s="92" t="str">
        <f>IFERROR(VLOOKUP(A586,Lookup!A:C,3,0),"")</f>
        <v/>
      </c>
      <c r="D586" s="54"/>
      <c r="E586" s="54"/>
      <c r="F586" s="54"/>
      <c r="G586" s="72"/>
      <c r="H586" s="54"/>
      <c r="I586" s="54"/>
      <c r="J586" s="106">
        <f>VLOOKUP(A586&amp;G586,Lookup!J:N,5,0)</f>
        <v>0</v>
      </c>
      <c r="K586" s="110"/>
      <c r="L586" s="54"/>
      <c r="M586" s="54"/>
      <c r="N586" s="54"/>
      <c r="O586" s="112">
        <v>24.1423611111111</v>
      </c>
      <c r="P586" s="110" t="str">
        <f t="shared" si="46"/>
        <v/>
      </c>
      <c r="Q586" s="54"/>
      <c r="R586" s="87" t="str">
        <f t="shared" si="48"/>
        <v/>
      </c>
      <c r="S586" s="87" t="str">
        <f t="shared" si="49"/>
        <v/>
      </c>
      <c r="T586" s="54"/>
      <c r="U586" s="54"/>
      <c r="V586" s="54"/>
      <c r="W586" s="54"/>
      <c r="X586" s="69" t="str">
        <f t="shared" si="47"/>
        <v>D</v>
      </c>
    </row>
    <row r="587" spans="1:24" s="66" customFormat="1" x14ac:dyDescent="0.25">
      <c r="A587" s="51"/>
      <c r="B587" s="91" t="str">
        <f>IFERROR(VLOOKUP(A587,Lookup!A:B,2,0),"")</f>
        <v/>
      </c>
      <c r="C587" s="92" t="str">
        <f>IFERROR(VLOOKUP(A587,Lookup!A:C,3,0),"")</f>
        <v/>
      </c>
      <c r="D587" s="54"/>
      <c r="E587" s="54"/>
      <c r="F587" s="54"/>
      <c r="G587" s="72"/>
      <c r="H587" s="54"/>
      <c r="I587" s="54"/>
      <c r="J587" s="106">
        <f>VLOOKUP(A587&amp;G587,Lookup!J:N,5,0)</f>
        <v>0</v>
      </c>
      <c r="K587" s="110"/>
      <c r="L587" s="54"/>
      <c r="M587" s="54"/>
      <c r="N587" s="54"/>
      <c r="O587" s="112">
        <v>24.1840277777778</v>
      </c>
      <c r="P587" s="110" t="str">
        <f t="shared" si="46"/>
        <v/>
      </c>
      <c r="Q587" s="54"/>
      <c r="R587" s="87" t="str">
        <f t="shared" si="48"/>
        <v/>
      </c>
      <c r="S587" s="87" t="str">
        <f t="shared" si="49"/>
        <v/>
      </c>
      <c r="T587" s="54"/>
      <c r="U587" s="54"/>
      <c r="V587" s="54"/>
      <c r="W587" s="54"/>
      <c r="X587" s="69" t="str">
        <f t="shared" si="47"/>
        <v>D</v>
      </c>
    </row>
    <row r="588" spans="1:24" s="66" customFormat="1" x14ac:dyDescent="0.25">
      <c r="A588" s="51"/>
      <c r="B588" s="91" t="str">
        <f>IFERROR(VLOOKUP(A588,Lookup!A:B,2,0),"")</f>
        <v/>
      </c>
      <c r="C588" s="92" t="str">
        <f>IFERROR(VLOOKUP(A588,Lookup!A:C,3,0),"")</f>
        <v/>
      </c>
      <c r="D588" s="54"/>
      <c r="E588" s="54"/>
      <c r="F588" s="54"/>
      <c r="G588" s="72"/>
      <c r="H588" s="54"/>
      <c r="I588" s="54"/>
      <c r="J588" s="106">
        <f>VLOOKUP(A588&amp;G588,Lookup!J:N,5,0)</f>
        <v>0</v>
      </c>
      <c r="K588" s="110"/>
      <c r="L588" s="54"/>
      <c r="M588" s="54"/>
      <c r="N588" s="54"/>
      <c r="O588" s="112">
        <v>24.2256944444444</v>
      </c>
      <c r="P588" s="110" t="str">
        <f t="shared" si="46"/>
        <v/>
      </c>
      <c r="Q588" s="54"/>
      <c r="R588" s="87" t="str">
        <f t="shared" si="48"/>
        <v/>
      </c>
      <c r="S588" s="87" t="str">
        <f t="shared" si="49"/>
        <v/>
      </c>
      <c r="T588" s="54"/>
      <c r="U588" s="54"/>
      <c r="V588" s="54"/>
      <c r="W588" s="54"/>
      <c r="X588" s="69" t="str">
        <f t="shared" si="47"/>
        <v>D</v>
      </c>
    </row>
    <row r="589" spans="1:24" s="66" customFormat="1" x14ac:dyDescent="0.25">
      <c r="A589" s="51"/>
      <c r="B589" s="91" t="str">
        <f>IFERROR(VLOOKUP(A589,Lookup!A:B,2,0),"")</f>
        <v/>
      </c>
      <c r="C589" s="92" t="str">
        <f>IFERROR(VLOOKUP(A589,Lookup!A:C,3,0),"")</f>
        <v/>
      </c>
      <c r="D589" s="54"/>
      <c r="E589" s="54"/>
      <c r="F589" s="54"/>
      <c r="G589" s="72"/>
      <c r="H589" s="54"/>
      <c r="I589" s="54"/>
      <c r="J589" s="106">
        <f>VLOOKUP(A589&amp;G589,Lookup!J:N,5,0)</f>
        <v>0</v>
      </c>
      <c r="K589" s="110"/>
      <c r="L589" s="54"/>
      <c r="M589" s="54"/>
      <c r="N589" s="54"/>
      <c r="O589" s="112">
        <v>24.2673611111111</v>
      </c>
      <c r="P589" s="110" t="str">
        <f t="shared" si="46"/>
        <v/>
      </c>
      <c r="Q589" s="54"/>
      <c r="R589" s="87" t="str">
        <f t="shared" si="48"/>
        <v/>
      </c>
      <c r="S589" s="87" t="str">
        <f t="shared" si="49"/>
        <v/>
      </c>
      <c r="T589" s="54"/>
      <c r="U589" s="54"/>
      <c r="V589" s="54"/>
      <c r="W589" s="54"/>
      <c r="X589" s="69" t="str">
        <f t="shared" si="47"/>
        <v>D</v>
      </c>
    </row>
    <row r="590" spans="1:24" s="66" customFormat="1" x14ac:dyDescent="0.25">
      <c r="A590" s="51"/>
      <c r="B590" s="91" t="str">
        <f>IFERROR(VLOOKUP(A590,Lookup!A:B,2,0),"")</f>
        <v/>
      </c>
      <c r="C590" s="92" t="str">
        <f>IFERROR(VLOOKUP(A590,Lookup!A:C,3,0),"")</f>
        <v/>
      </c>
      <c r="D590" s="54"/>
      <c r="E590" s="54"/>
      <c r="F590" s="54"/>
      <c r="G590" s="72"/>
      <c r="H590" s="54"/>
      <c r="I590" s="54"/>
      <c r="J590" s="106">
        <f>VLOOKUP(A590&amp;G590,Lookup!J:N,5,0)</f>
        <v>0</v>
      </c>
      <c r="K590" s="110"/>
      <c r="L590" s="54"/>
      <c r="M590" s="54"/>
      <c r="N590" s="54"/>
      <c r="O590" s="112">
        <v>24.3090277777778</v>
      </c>
      <c r="P590" s="110" t="str">
        <f t="shared" si="46"/>
        <v/>
      </c>
      <c r="Q590" s="54"/>
      <c r="R590" s="87" t="str">
        <f t="shared" si="48"/>
        <v/>
      </c>
      <c r="S590" s="87" t="str">
        <f t="shared" si="49"/>
        <v/>
      </c>
      <c r="T590" s="54"/>
      <c r="U590" s="54"/>
      <c r="V590" s="54"/>
      <c r="W590" s="54"/>
      <c r="X590" s="69" t="str">
        <f t="shared" si="47"/>
        <v>D</v>
      </c>
    </row>
    <row r="591" spans="1:24" s="66" customFormat="1" x14ac:dyDescent="0.25">
      <c r="A591" s="51"/>
      <c r="B591" s="91" t="str">
        <f>IFERROR(VLOOKUP(A591,Lookup!A:B,2,0),"")</f>
        <v/>
      </c>
      <c r="C591" s="92" t="str">
        <f>IFERROR(VLOOKUP(A591,Lookup!A:C,3,0),"")</f>
        <v/>
      </c>
      <c r="D591" s="54"/>
      <c r="E591" s="54"/>
      <c r="F591" s="54"/>
      <c r="G591" s="72"/>
      <c r="H591" s="54"/>
      <c r="I591" s="54"/>
      <c r="J591" s="106">
        <f>VLOOKUP(A591&amp;G591,Lookup!J:N,5,0)</f>
        <v>0</v>
      </c>
      <c r="K591" s="110"/>
      <c r="L591" s="54"/>
      <c r="M591" s="54"/>
      <c r="N591" s="54"/>
      <c r="O591" s="112">
        <v>24.3506944444444</v>
      </c>
      <c r="P591" s="110" t="str">
        <f t="shared" si="46"/>
        <v/>
      </c>
      <c r="Q591" s="54"/>
      <c r="R591" s="87" t="str">
        <f t="shared" si="48"/>
        <v/>
      </c>
      <c r="S591" s="87" t="str">
        <f t="shared" si="49"/>
        <v/>
      </c>
      <c r="T591" s="54"/>
      <c r="U591" s="54"/>
      <c r="V591" s="54"/>
      <c r="W591" s="54"/>
      <c r="X591" s="69" t="str">
        <f t="shared" si="47"/>
        <v>D</v>
      </c>
    </row>
    <row r="592" spans="1:24" s="66" customFormat="1" x14ac:dyDescent="0.25">
      <c r="A592" s="51"/>
      <c r="B592" s="91" t="str">
        <f>IFERROR(VLOOKUP(A592,Lookup!A:B,2,0),"")</f>
        <v/>
      </c>
      <c r="C592" s="92" t="str">
        <f>IFERROR(VLOOKUP(A592,Lookup!A:C,3,0),"")</f>
        <v/>
      </c>
      <c r="D592" s="54"/>
      <c r="E592" s="54"/>
      <c r="F592" s="54"/>
      <c r="G592" s="72"/>
      <c r="H592" s="54"/>
      <c r="I592" s="54"/>
      <c r="J592" s="106">
        <f>VLOOKUP(A592&amp;G592,Lookup!J:N,5,0)</f>
        <v>0</v>
      </c>
      <c r="K592" s="110"/>
      <c r="L592" s="54"/>
      <c r="M592" s="54"/>
      <c r="N592" s="54"/>
      <c r="O592" s="112">
        <v>24.3923611111111</v>
      </c>
      <c r="P592" s="110" t="str">
        <f t="shared" si="46"/>
        <v/>
      </c>
      <c r="Q592" s="54"/>
      <c r="R592" s="87" t="str">
        <f t="shared" si="48"/>
        <v/>
      </c>
      <c r="S592" s="87" t="str">
        <f t="shared" si="49"/>
        <v/>
      </c>
      <c r="T592" s="54"/>
      <c r="U592" s="54"/>
      <c r="V592" s="54"/>
      <c r="W592" s="54"/>
      <c r="X592" s="69" t="str">
        <f t="shared" si="47"/>
        <v>D</v>
      </c>
    </row>
    <row r="593" spans="1:24" s="66" customFormat="1" x14ac:dyDescent="0.25">
      <c r="A593" s="51"/>
      <c r="B593" s="91" t="str">
        <f>IFERROR(VLOOKUP(A593,Lookup!A:B,2,0),"")</f>
        <v/>
      </c>
      <c r="C593" s="92" t="str">
        <f>IFERROR(VLOOKUP(A593,Lookup!A:C,3,0),"")</f>
        <v/>
      </c>
      <c r="D593" s="54"/>
      <c r="E593" s="54"/>
      <c r="F593" s="54"/>
      <c r="G593" s="72"/>
      <c r="H593" s="54"/>
      <c r="I593" s="54"/>
      <c r="J593" s="106">
        <f>VLOOKUP(A593&amp;G593,Lookup!J:N,5,0)</f>
        <v>0</v>
      </c>
      <c r="K593" s="110"/>
      <c r="L593" s="54"/>
      <c r="M593" s="54"/>
      <c r="N593" s="54"/>
      <c r="O593" s="112">
        <v>24.4340277777778</v>
      </c>
      <c r="P593" s="110" t="str">
        <f t="shared" si="46"/>
        <v/>
      </c>
      <c r="Q593" s="54"/>
      <c r="R593" s="87" t="str">
        <f t="shared" si="48"/>
        <v/>
      </c>
      <c r="S593" s="87" t="str">
        <f t="shared" si="49"/>
        <v/>
      </c>
      <c r="T593" s="54"/>
      <c r="U593" s="54"/>
      <c r="V593" s="54"/>
      <c r="W593" s="54"/>
      <c r="X593" s="69" t="str">
        <f t="shared" si="47"/>
        <v>D</v>
      </c>
    </row>
    <row r="594" spans="1:24" s="66" customFormat="1" x14ac:dyDescent="0.25">
      <c r="A594" s="51"/>
      <c r="B594" s="91" t="str">
        <f>IFERROR(VLOOKUP(A594,Lookup!A:B,2,0),"")</f>
        <v/>
      </c>
      <c r="C594" s="92" t="str">
        <f>IFERROR(VLOOKUP(A594,Lookup!A:C,3,0),"")</f>
        <v/>
      </c>
      <c r="D594" s="54"/>
      <c r="E594" s="54"/>
      <c r="F594" s="54"/>
      <c r="G594" s="72"/>
      <c r="H594" s="54"/>
      <c r="I594" s="54"/>
      <c r="J594" s="106">
        <f>VLOOKUP(A594&amp;G594,Lookup!J:N,5,0)</f>
        <v>0</v>
      </c>
      <c r="K594" s="110"/>
      <c r="L594" s="54"/>
      <c r="M594" s="54"/>
      <c r="N594" s="54"/>
      <c r="O594" s="112">
        <v>24.4756944444444</v>
      </c>
      <c r="P594" s="110" t="str">
        <f t="shared" si="46"/>
        <v/>
      </c>
      <c r="Q594" s="54"/>
      <c r="R594" s="87" t="str">
        <f t="shared" si="48"/>
        <v/>
      </c>
      <c r="S594" s="87" t="str">
        <f t="shared" si="49"/>
        <v/>
      </c>
      <c r="T594" s="54"/>
      <c r="U594" s="54"/>
      <c r="V594" s="54"/>
      <c r="W594" s="54"/>
      <c r="X594" s="69" t="str">
        <f t="shared" si="47"/>
        <v>D</v>
      </c>
    </row>
    <row r="595" spans="1:24" s="66" customFormat="1" x14ac:dyDescent="0.25">
      <c r="A595" s="51"/>
      <c r="B595" s="91" t="str">
        <f>IFERROR(VLOOKUP(A595,Lookup!A:B,2,0),"")</f>
        <v/>
      </c>
      <c r="C595" s="92" t="str">
        <f>IFERROR(VLOOKUP(A595,Lookup!A:C,3,0),"")</f>
        <v/>
      </c>
      <c r="D595" s="54"/>
      <c r="E595" s="54"/>
      <c r="F595" s="54"/>
      <c r="G595" s="72"/>
      <c r="H595" s="54"/>
      <c r="I595" s="54"/>
      <c r="J595" s="106">
        <f>VLOOKUP(A595&amp;G595,Lookup!J:N,5,0)</f>
        <v>0</v>
      </c>
      <c r="K595" s="110"/>
      <c r="L595" s="54"/>
      <c r="M595" s="54"/>
      <c r="N595" s="54"/>
      <c r="O595" s="112">
        <v>24.5173611111111</v>
      </c>
      <c r="P595" s="110" t="str">
        <f t="shared" si="46"/>
        <v/>
      </c>
      <c r="Q595" s="54"/>
      <c r="R595" s="87" t="str">
        <f t="shared" si="48"/>
        <v/>
      </c>
      <c r="S595" s="87" t="str">
        <f t="shared" si="49"/>
        <v/>
      </c>
      <c r="T595" s="54"/>
      <c r="U595" s="54"/>
      <c r="V595" s="54"/>
      <c r="W595" s="54"/>
      <c r="X595" s="69" t="str">
        <f t="shared" si="47"/>
        <v>D</v>
      </c>
    </row>
    <row r="596" spans="1:24" s="66" customFormat="1" x14ac:dyDescent="0.25">
      <c r="A596" s="51"/>
      <c r="B596" s="91" t="str">
        <f>IFERROR(VLOOKUP(A596,Lookup!A:B,2,0),"")</f>
        <v/>
      </c>
      <c r="C596" s="92" t="str">
        <f>IFERROR(VLOOKUP(A596,Lookup!A:C,3,0),"")</f>
        <v/>
      </c>
      <c r="D596" s="54"/>
      <c r="E596" s="54"/>
      <c r="F596" s="54"/>
      <c r="G596" s="72"/>
      <c r="H596" s="54"/>
      <c r="I596" s="54"/>
      <c r="J596" s="106">
        <f>VLOOKUP(A596&amp;G596,Lookup!J:N,5,0)</f>
        <v>0</v>
      </c>
      <c r="K596" s="110"/>
      <c r="L596" s="54"/>
      <c r="M596" s="54"/>
      <c r="N596" s="54"/>
      <c r="O596" s="112">
        <v>24.5590277777778</v>
      </c>
      <c r="P596" s="110" t="str">
        <f t="shared" si="46"/>
        <v/>
      </c>
      <c r="Q596" s="54"/>
      <c r="R596" s="87" t="str">
        <f t="shared" si="48"/>
        <v/>
      </c>
      <c r="S596" s="87" t="str">
        <f t="shared" si="49"/>
        <v/>
      </c>
      <c r="T596" s="54"/>
      <c r="U596" s="54"/>
      <c r="V596" s="54"/>
      <c r="W596" s="54"/>
      <c r="X596" s="69" t="str">
        <f t="shared" si="47"/>
        <v>D</v>
      </c>
    </row>
    <row r="597" spans="1:24" s="66" customFormat="1" x14ac:dyDescent="0.25">
      <c r="A597" s="51"/>
      <c r="B597" s="91" t="str">
        <f>IFERROR(VLOOKUP(A597,Lookup!A:B,2,0),"")</f>
        <v/>
      </c>
      <c r="C597" s="92" t="str">
        <f>IFERROR(VLOOKUP(A597,Lookup!A:C,3,0),"")</f>
        <v/>
      </c>
      <c r="D597" s="54"/>
      <c r="E597" s="54"/>
      <c r="F597" s="54"/>
      <c r="G597" s="72"/>
      <c r="H597" s="54"/>
      <c r="I597" s="54"/>
      <c r="J597" s="106">
        <f>VLOOKUP(A597&amp;G597,Lookup!J:N,5,0)</f>
        <v>0</v>
      </c>
      <c r="K597" s="110"/>
      <c r="L597" s="54"/>
      <c r="M597" s="54"/>
      <c r="N597" s="54"/>
      <c r="O597" s="112">
        <v>24.6006944444444</v>
      </c>
      <c r="P597" s="110" t="str">
        <f t="shared" si="46"/>
        <v/>
      </c>
      <c r="Q597" s="54"/>
      <c r="R597" s="87" t="str">
        <f t="shared" si="48"/>
        <v/>
      </c>
      <c r="S597" s="87" t="str">
        <f t="shared" si="49"/>
        <v/>
      </c>
      <c r="T597" s="54"/>
      <c r="U597" s="54"/>
      <c r="V597" s="54"/>
      <c r="W597" s="54"/>
      <c r="X597" s="69" t="str">
        <f t="shared" si="47"/>
        <v>D</v>
      </c>
    </row>
    <row r="598" spans="1:24" s="66" customFormat="1" x14ac:dyDescent="0.25">
      <c r="A598" s="51"/>
      <c r="B598" s="91" t="str">
        <f>IFERROR(VLOOKUP(A598,Lookup!A:B,2,0),"")</f>
        <v/>
      </c>
      <c r="C598" s="92" t="str">
        <f>IFERROR(VLOOKUP(A598,Lookup!A:C,3,0),"")</f>
        <v/>
      </c>
      <c r="D598" s="54"/>
      <c r="E598" s="54"/>
      <c r="F598" s="54"/>
      <c r="G598" s="72"/>
      <c r="H598" s="54"/>
      <c r="I598" s="54"/>
      <c r="J598" s="106">
        <f>VLOOKUP(A598&amp;G598,Lookup!J:N,5,0)</f>
        <v>0</v>
      </c>
      <c r="K598" s="110"/>
      <c r="L598" s="54"/>
      <c r="M598" s="54"/>
      <c r="N598" s="54"/>
      <c r="O598" s="112">
        <v>24.6423611111111</v>
      </c>
      <c r="P598" s="110" t="str">
        <f t="shared" si="46"/>
        <v/>
      </c>
      <c r="Q598" s="54"/>
      <c r="R598" s="87" t="str">
        <f t="shared" si="48"/>
        <v/>
      </c>
      <c r="S598" s="87" t="str">
        <f t="shared" si="49"/>
        <v/>
      </c>
      <c r="T598" s="54"/>
      <c r="U598" s="54"/>
      <c r="V598" s="54"/>
      <c r="W598" s="54"/>
      <c r="X598" s="69" t="str">
        <f t="shared" si="47"/>
        <v>D</v>
      </c>
    </row>
    <row r="599" spans="1:24" s="66" customFormat="1" x14ac:dyDescent="0.25">
      <c r="A599" s="51"/>
      <c r="B599" s="91" t="str">
        <f>IFERROR(VLOOKUP(A599,Lookup!A:B,2,0),"")</f>
        <v/>
      </c>
      <c r="C599" s="92" t="str">
        <f>IFERROR(VLOOKUP(A599,Lookup!A:C,3,0),"")</f>
        <v/>
      </c>
      <c r="D599" s="54"/>
      <c r="E599" s="54"/>
      <c r="F599" s="54"/>
      <c r="G599" s="72"/>
      <c r="H599" s="54"/>
      <c r="I599" s="54"/>
      <c r="J599" s="106">
        <f>VLOOKUP(A599&amp;G599,Lookup!J:N,5,0)</f>
        <v>0</v>
      </c>
      <c r="K599" s="110"/>
      <c r="L599" s="54"/>
      <c r="M599" s="54"/>
      <c r="N599" s="54"/>
      <c r="O599" s="112">
        <v>24.6840277777778</v>
      </c>
      <c r="P599" s="110" t="str">
        <f t="shared" si="46"/>
        <v/>
      </c>
      <c r="Q599" s="54"/>
      <c r="R599" s="87" t="str">
        <f t="shared" si="48"/>
        <v/>
      </c>
      <c r="S599" s="87" t="str">
        <f t="shared" si="49"/>
        <v/>
      </c>
      <c r="T599" s="54"/>
      <c r="U599" s="54"/>
      <c r="V599" s="54"/>
      <c r="W599" s="54"/>
      <c r="X599" s="69" t="str">
        <f t="shared" si="47"/>
        <v>D</v>
      </c>
    </row>
    <row r="600" spans="1:24" s="66" customFormat="1" x14ac:dyDescent="0.25">
      <c r="A600" s="51"/>
      <c r="B600" s="91" t="str">
        <f>IFERROR(VLOOKUP(A600,Lookup!A:B,2,0),"")</f>
        <v/>
      </c>
      <c r="C600" s="92" t="str">
        <f>IFERROR(VLOOKUP(A600,Lookup!A:C,3,0),"")</f>
        <v/>
      </c>
      <c r="D600" s="54"/>
      <c r="E600" s="54"/>
      <c r="F600" s="54"/>
      <c r="G600" s="72"/>
      <c r="H600" s="54"/>
      <c r="I600" s="54"/>
      <c r="J600" s="106">
        <f>VLOOKUP(A600&amp;G600,Lookup!J:N,5,0)</f>
        <v>0</v>
      </c>
      <c r="K600" s="110"/>
      <c r="L600" s="54"/>
      <c r="M600" s="54"/>
      <c r="N600" s="54"/>
      <c r="O600" s="112">
        <v>24.7256944444444</v>
      </c>
      <c r="P600" s="110" t="str">
        <f t="shared" si="46"/>
        <v/>
      </c>
      <c r="Q600" s="54"/>
      <c r="R600" s="87" t="str">
        <f t="shared" si="48"/>
        <v/>
      </c>
      <c r="S600" s="87" t="str">
        <f t="shared" si="49"/>
        <v/>
      </c>
      <c r="T600" s="54"/>
      <c r="U600" s="54"/>
      <c r="V600" s="54"/>
      <c r="W600" s="54"/>
      <c r="X600" s="69" t="str">
        <f t="shared" si="47"/>
        <v>D</v>
      </c>
    </row>
    <row r="601" spans="1:24" s="66" customFormat="1" x14ac:dyDescent="0.25">
      <c r="A601" s="51"/>
      <c r="B601" s="91" t="str">
        <f>IFERROR(VLOOKUP(A601,Lookup!A:B,2,0),"")</f>
        <v/>
      </c>
      <c r="C601" s="92" t="str">
        <f>IFERROR(VLOOKUP(A601,Lookup!A:C,3,0),"")</f>
        <v/>
      </c>
      <c r="D601" s="54"/>
      <c r="E601" s="54"/>
      <c r="F601" s="54"/>
      <c r="G601" s="72"/>
      <c r="H601" s="54"/>
      <c r="I601" s="54"/>
      <c r="J601" s="106">
        <f>VLOOKUP(A601&amp;G601,Lookup!J:N,5,0)</f>
        <v>0</v>
      </c>
      <c r="K601" s="110"/>
      <c r="L601" s="54"/>
      <c r="M601" s="54"/>
      <c r="N601" s="54"/>
      <c r="O601" s="112">
        <v>24.7673611111111</v>
      </c>
      <c r="P601" s="110" t="str">
        <f t="shared" si="46"/>
        <v/>
      </c>
      <c r="Q601" s="54"/>
      <c r="R601" s="87" t="str">
        <f t="shared" si="48"/>
        <v/>
      </c>
      <c r="S601" s="87" t="str">
        <f t="shared" si="49"/>
        <v/>
      </c>
      <c r="T601" s="54"/>
      <c r="U601" s="54"/>
      <c r="V601" s="54"/>
      <c r="W601" s="54"/>
      <c r="X601" s="69" t="str">
        <f t="shared" si="47"/>
        <v>D</v>
      </c>
    </row>
    <row r="602" spans="1:24" s="66" customFormat="1" x14ac:dyDescent="0.25">
      <c r="A602" s="51"/>
      <c r="B602" s="91" t="str">
        <f>IFERROR(VLOOKUP(A602,Lookup!A:B,2,0),"")</f>
        <v/>
      </c>
      <c r="C602" s="92" t="str">
        <f>IFERROR(VLOOKUP(A602,Lookup!A:C,3,0),"")</f>
        <v/>
      </c>
      <c r="D602" s="54"/>
      <c r="E602" s="54"/>
      <c r="F602" s="54"/>
      <c r="G602" s="72"/>
      <c r="H602" s="54"/>
      <c r="I602" s="54"/>
      <c r="J602" s="106">
        <f>VLOOKUP(A602&amp;G602,Lookup!J:N,5,0)</f>
        <v>0</v>
      </c>
      <c r="K602" s="110"/>
      <c r="L602" s="54"/>
      <c r="M602" s="54"/>
      <c r="N602" s="54"/>
      <c r="O602" s="112">
        <v>24.8090277777778</v>
      </c>
      <c r="P602" s="110" t="str">
        <f t="shared" si="46"/>
        <v/>
      </c>
      <c r="Q602" s="54"/>
      <c r="R602" s="87" t="str">
        <f t="shared" si="48"/>
        <v/>
      </c>
      <c r="S602" s="87" t="str">
        <f t="shared" si="49"/>
        <v/>
      </c>
      <c r="T602" s="54"/>
      <c r="U602" s="54"/>
      <c r="V602" s="54"/>
      <c r="W602" s="54"/>
      <c r="X602" s="69" t="str">
        <f t="shared" si="47"/>
        <v>D</v>
      </c>
    </row>
    <row r="603" spans="1:24" s="66" customFormat="1" x14ac:dyDescent="0.25">
      <c r="A603" s="51"/>
      <c r="B603" s="91" t="str">
        <f>IFERROR(VLOOKUP(A603,Lookup!A:B,2,0),"")</f>
        <v/>
      </c>
      <c r="C603" s="92" t="str">
        <f>IFERROR(VLOOKUP(A603,Lookup!A:C,3,0),"")</f>
        <v/>
      </c>
      <c r="D603" s="54"/>
      <c r="E603" s="54"/>
      <c r="F603" s="54"/>
      <c r="G603" s="72"/>
      <c r="H603" s="54"/>
      <c r="I603" s="54"/>
      <c r="J603" s="106">
        <f>VLOOKUP(A603&amp;G603,Lookup!J:N,5,0)</f>
        <v>0</v>
      </c>
      <c r="K603" s="110"/>
      <c r="L603" s="54"/>
      <c r="M603" s="54"/>
      <c r="N603" s="54"/>
      <c r="O603" s="112">
        <v>24.8506944444444</v>
      </c>
      <c r="P603" s="110" t="str">
        <f t="shared" si="46"/>
        <v/>
      </c>
      <c r="Q603" s="54"/>
      <c r="R603" s="87" t="str">
        <f t="shared" si="48"/>
        <v/>
      </c>
      <c r="S603" s="87" t="str">
        <f t="shared" si="49"/>
        <v/>
      </c>
      <c r="T603" s="54"/>
      <c r="U603" s="54"/>
      <c r="V603" s="54"/>
      <c r="W603" s="54"/>
      <c r="X603" s="69" t="str">
        <f t="shared" si="47"/>
        <v>D</v>
      </c>
    </row>
    <row r="604" spans="1:24" s="66" customFormat="1" x14ac:dyDescent="0.25">
      <c r="A604" s="51"/>
      <c r="B604" s="91" t="str">
        <f>IFERROR(VLOOKUP(A604,Lookup!A:B,2,0),"")</f>
        <v/>
      </c>
      <c r="C604" s="92" t="str">
        <f>IFERROR(VLOOKUP(A604,Lookup!A:C,3,0),"")</f>
        <v/>
      </c>
      <c r="D604" s="54"/>
      <c r="E604" s="54"/>
      <c r="F604" s="54"/>
      <c r="G604" s="72"/>
      <c r="H604" s="54"/>
      <c r="I604" s="54"/>
      <c r="J604" s="106">
        <f>VLOOKUP(A604&amp;G604,Lookup!J:N,5,0)</f>
        <v>0</v>
      </c>
      <c r="K604" s="110"/>
      <c r="L604" s="54"/>
      <c r="M604" s="54"/>
      <c r="N604" s="54"/>
      <c r="O604" s="112">
        <v>24.8923611111111</v>
      </c>
      <c r="P604" s="110" t="str">
        <f t="shared" si="46"/>
        <v/>
      </c>
      <c r="Q604" s="54"/>
      <c r="R604" s="87" t="str">
        <f t="shared" si="48"/>
        <v/>
      </c>
      <c r="S604" s="87" t="str">
        <f t="shared" si="49"/>
        <v/>
      </c>
      <c r="T604" s="54"/>
      <c r="U604" s="54"/>
      <c r="V604" s="54"/>
      <c r="W604" s="54"/>
      <c r="X604" s="69" t="str">
        <f t="shared" si="47"/>
        <v>D</v>
      </c>
    </row>
    <row r="605" spans="1:24" s="66" customFormat="1" x14ac:dyDescent="0.25">
      <c r="A605" s="51"/>
      <c r="B605" s="91" t="str">
        <f>IFERROR(VLOOKUP(A605,Lookup!A:B,2,0),"")</f>
        <v/>
      </c>
      <c r="C605" s="92" t="str">
        <f>IFERROR(VLOOKUP(A605,Lookup!A:C,3,0),"")</f>
        <v/>
      </c>
      <c r="D605" s="54"/>
      <c r="E605" s="54"/>
      <c r="F605" s="54"/>
      <c r="G605" s="72"/>
      <c r="H605" s="54"/>
      <c r="I605" s="54"/>
      <c r="J605" s="106">
        <f>VLOOKUP(A605&amp;G605,Lookup!J:N,5,0)</f>
        <v>0</v>
      </c>
      <c r="K605" s="110"/>
      <c r="L605" s="54"/>
      <c r="M605" s="54"/>
      <c r="N605" s="54"/>
      <c r="O605" s="112">
        <v>24.9340277777778</v>
      </c>
      <c r="P605" s="110" t="str">
        <f t="shared" si="46"/>
        <v/>
      </c>
      <c r="Q605" s="54"/>
      <c r="R605" s="87" t="str">
        <f t="shared" si="48"/>
        <v/>
      </c>
      <c r="S605" s="87" t="str">
        <f t="shared" si="49"/>
        <v/>
      </c>
      <c r="T605" s="54"/>
      <c r="U605" s="54"/>
      <c r="V605" s="54"/>
      <c r="W605" s="54"/>
      <c r="X605" s="69" t="str">
        <f t="shared" si="47"/>
        <v>D</v>
      </c>
    </row>
    <row r="606" spans="1:24" s="66" customFormat="1" x14ac:dyDescent="0.25">
      <c r="A606" s="51"/>
      <c r="B606" s="91" t="str">
        <f>IFERROR(VLOOKUP(A606,Lookup!A:B,2,0),"")</f>
        <v/>
      </c>
      <c r="C606" s="92" t="str">
        <f>IFERROR(VLOOKUP(A606,Lookup!A:C,3,0),"")</f>
        <v/>
      </c>
      <c r="D606" s="54"/>
      <c r="E606" s="54"/>
      <c r="F606" s="54"/>
      <c r="G606" s="72"/>
      <c r="H606" s="54"/>
      <c r="I606" s="54"/>
      <c r="J606" s="106">
        <f>VLOOKUP(A606&amp;G606,Lookup!J:N,5,0)</f>
        <v>0</v>
      </c>
      <c r="K606" s="110"/>
      <c r="L606" s="54"/>
      <c r="M606" s="54"/>
      <c r="N606" s="54"/>
      <c r="O606" s="112">
        <v>24.9756944444444</v>
      </c>
      <c r="P606" s="110" t="str">
        <f t="shared" si="46"/>
        <v/>
      </c>
      <c r="Q606" s="54"/>
      <c r="R606" s="87" t="str">
        <f t="shared" si="48"/>
        <v/>
      </c>
      <c r="S606" s="87" t="str">
        <f t="shared" si="49"/>
        <v/>
      </c>
      <c r="T606" s="54"/>
      <c r="U606" s="54"/>
      <c r="V606" s="54"/>
      <c r="W606" s="54"/>
      <c r="X606" s="69" t="str">
        <f t="shared" si="47"/>
        <v>D</v>
      </c>
    </row>
    <row r="607" spans="1:24" s="66" customFormat="1" x14ac:dyDescent="0.25">
      <c r="A607" s="51"/>
      <c r="B607" s="91" t="str">
        <f>IFERROR(VLOOKUP(A607,Lookup!A:B,2,0),"")</f>
        <v/>
      </c>
      <c r="C607" s="92" t="str">
        <f>IFERROR(VLOOKUP(A607,Lookup!A:C,3,0),"")</f>
        <v/>
      </c>
      <c r="D607" s="54"/>
      <c r="E607" s="54"/>
      <c r="F607" s="54"/>
      <c r="G607" s="72"/>
      <c r="H607" s="54"/>
      <c r="I607" s="54"/>
      <c r="J607" s="106">
        <f>VLOOKUP(A607&amp;G607,Lookup!J:N,5,0)</f>
        <v>0</v>
      </c>
      <c r="K607" s="110"/>
      <c r="L607" s="54"/>
      <c r="M607" s="54"/>
      <c r="N607" s="54"/>
      <c r="O607" s="112">
        <v>25.0173611111111</v>
      </c>
      <c r="P607" s="110" t="str">
        <f t="shared" si="46"/>
        <v/>
      </c>
      <c r="Q607" s="54"/>
      <c r="R607" s="87" t="str">
        <f t="shared" si="48"/>
        <v/>
      </c>
      <c r="S607" s="87" t="str">
        <f t="shared" si="49"/>
        <v/>
      </c>
      <c r="T607" s="54"/>
      <c r="U607" s="54"/>
      <c r="V607" s="54"/>
      <c r="W607" s="54"/>
      <c r="X607" s="69" t="str">
        <f t="shared" si="47"/>
        <v>D</v>
      </c>
    </row>
    <row r="608" spans="1:24" s="66" customFormat="1" x14ac:dyDescent="0.25">
      <c r="A608" s="51"/>
      <c r="B608" s="91" t="str">
        <f>IFERROR(VLOOKUP(A608,Lookup!A:B,2,0),"")</f>
        <v/>
      </c>
      <c r="C608" s="92" t="str">
        <f>IFERROR(VLOOKUP(A608,Lookup!A:C,3,0),"")</f>
        <v/>
      </c>
      <c r="D608" s="54"/>
      <c r="E608" s="54"/>
      <c r="F608" s="54"/>
      <c r="G608" s="72"/>
      <c r="H608" s="54"/>
      <c r="I608" s="54"/>
      <c r="J608" s="106">
        <f>VLOOKUP(A608&amp;G608,Lookup!J:N,5,0)</f>
        <v>0</v>
      </c>
      <c r="K608" s="110"/>
      <c r="L608" s="54"/>
      <c r="M608" s="54"/>
      <c r="N608" s="54"/>
      <c r="O608" s="112">
        <v>25.0590277777778</v>
      </c>
      <c r="P608" s="110" t="str">
        <f t="shared" si="46"/>
        <v/>
      </c>
      <c r="Q608" s="54"/>
      <c r="R608" s="87" t="str">
        <f t="shared" si="48"/>
        <v/>
      </c>
      <c r="S608" s="87" t="str">
        <f t="shared" si="49"/>
        <v/>
      </c>
      <c r="T608" s="54"/>
      <c r="U608" s="54"/>
      <c r="V608" s="54"/>
      <c r="W608" s="54"/>
      <c r="X608" s="69" t="str">
        <f t="shared" si="47"/>
        <v>D</v>
      </c>
    </row>
    <row r="609" spans="1:24" s="66" customFormat="1" x14ac:dyDescent="0.25">
      <c r="A609" s="51"/>
      <c r="B609" s="91" t="str">
        <f>IFERROR(VLOOKUP(A609,Lookup!A:B,2,0),"")</f>
        <v/>
      </c>
      <c r="C609" s="92" t="str">
        <f>IFERROR(VLOOKUP(A609,Lookup!A:C,3,0),"")</f>
        <v/>
      </c>
      <c r="D609" s="54"/>
      <c r="E609" s="54"/>
      <c r="F609" s="54"/>
      <c r="G609" s="72"/>
      <c r="H609" s="54"/>
      <c r="I609" s="54"/>
      <c r="J609" s="106">
        <f>VLOOKUP(A609&amp;G609,Lookup!J:N,5,0)</f>
        <v>0</v>
      </c>
      <c r="K609" s="110"/>
      <c r="L609" s="54"/>
      <c r="M609" s="54"/>
      <c r="N609" s="54"/>
      <c r="O609" s="112">
        <v>25.1006944444444</v>
      </c>
      <c r="P609" s="110" t="str">
        <f t="shared" si="46"/>
        <v/>
      </c>
      <c r="Q609" s="54"/>
      <c r="R609" s="87" t="str">
        <f t="shared" si="48"/>
        <v/>
      </c>
      <c r="S609" s="87" t="str">
        <f t="shared" si="49"/>
        <v/>
      </c>
      <c r="T609" s="54"/>
      <c r="U609" s="54"/>
      <c r="V609" s="54"/>
      <c r="W609" s="54"/>
      <c r="X609" s="69" t="str">
        <f t="shared" si="47"/>
        <v>D</v>
      </c>
    </row>
    <row r="610" spans="1:24" s="66" customFormat="1" x14ac:dyDescent="0.25">
      <c r="A610" s="51"/>
      <c r="B610" s="91" t="str">
        <f>IFERROR(VLOOKUP(A610,Lookup!A:B,2,0),"")</f>
        <v/>
      </c>
      <c r="C610" s="92" t="str">
        <f>IFERROR(VLOOKUP(A610,Lookup!A:C,3,0),"")</f>
        <v/>
      </c>
      <c r="D610" s="54"/>
      <c r="E610" s="54"/>
      <c r="F610" s="54"/>
      <c r="G610" s="72"/>
      <c r="H610" s="54"/>
      <c r="I610" s="54"/>
      <c r="J610" s="106">
        <f>VLOOKUP(A610&amp;G610,Lookup!J:N,5,0)</f>
        <v>0</v>
      </c>
      <c r="K610" s="110"/>
      <c r="L610" s="54"/>
      <c r="M610" s="54"/>
      <c r="N610" s="54"/>
      <c r="O610" s="112">
        <v>25.1423611111111</v>
      </c>
      <c r="P610" s="110" t="str">
        <f t="shared" si="46"/>
        <v/>
      </c>
      <c r="Q610" s="54"/>
      <c r="R610" s="87" t="str">
        <f t="shared" si="48"/>
        <v/>
      </c>
      <c r="S610" s="87" t="str">
        <f t="shared" si="49"/>
        <v/>
      </c>
      <c r="T610" s="54"/>
      <c r="U610" s="54"/>
      <c r="V610" s="54"/>
      <c r="W610" s="54"/>
      <c r="X610" s="69" t="str">
        <f t="shared" si="47"/>
        <v>D</v>
      </c>
    </row>
    <row r="611" spans="1:24" s="66" customFormat="1" x14ac:dyDescent="0.25">
      <c r="A611" s="51"/>
      <c r="B611" s="91" t="str">
        <f>IFERROR(VLOOKUP(A611,Lookup!A:B,2,0),"")</f>
        <v/>
      </c>
      <c r="C611" s="92" t="str">
        <f>IFERROR(VLOOKUP(A611,Lookup!A:C,3,0),"")</f>
        <v/>
      </c>
      <c r="D611" s="54"/>
      <c r="E611" s="54"/>
      <c r="F611" s="54"/>
      <c r="G611" s="72"/>
      <c r="H611" s="54"/>
      <c r="I611" s="54"/>
      <c r="J611" s="106">
        <f>VLOOKUP(A611&amp;G611,Lookup!J:N,5,0)</f>
        <v>0</v>
      </c>
      <c r="K611" s="110"/>
      <c r="L611" s="54"/>
      <c r="M611" s="54"/>
      <c r="N611" s="54"/>
      <c r="O611" s="112">
        <v>25.1840277777778</v>
      </c>
      <c r="P611" s="110" t="str">
        <f t="shared" si="46"/>
        <v/>
      </c>
      <c r="Q611" s="54"/>
      <c r="R611" s="87" t="str">
        <f t="shared" si="48"/>
        <v/>
      </c>
      <c r="S611" s="87" t="str">
        <f t="shared" si="49"/>
        <v/>
      </c>
      <c r="T611" s="54"/>
      <c r="U611" s="54"/>
      <c r="V611" s="54"/>
      <c r="W611" s="54"/>
      <c r="X611" s="69" t="str">
        <f t="shared" si="47"/>
        <v>D</v>
      </c>
    </row>
    <row r="612" spans="1:24" s="66" customFormat="1" x14ac:dyDescent="0.25">
      <c r="A612" s="51"/>
      <c r="B612" s="91" t="str">
        <f>IFERROR(VLOOKUP(A612,Lookup!A:B,2,0),"")</f>
        <v/>
      </c>
      <c r="C612" s="92" t="str">
        <f>IFERROR(VLOOKUP(A612,Lookup!A:C,3,0),"")</f>
        <v/>
      </c>
      <c r="D612" s="54"/>
      <c r="E612" s="54"/>
      <c r="F612" s="54"/>
      <c r="G612" s="72"/>
      <c r="H612" s="54"/>
      <c r="I612" s="54"/>
      <c r="J612" s="106">
        <f>VLOOKUP(A612&amp;G612,Lookup!J:N,5,0)</f>
        <v>0</v>
      </c>
      <c r="K612" s="110"/>
      <c r="L612" s="54"/>
      <c r="M612" s="54"/>
      <c r="N612" s="54"/>
      <c r="O612" s="112">
        <v>25.2256944444444</v>
      </c>
      <c r="P612" s="110" t="str">
        <f t="shared" si="46"/>
        <v/>
      </c>
      <c r="Q612" s="54"/>
      <c r="R612" s="87" t="str">
        <f t="shared" si="48"/>
        <v/>
      </c>
      <c r="S612" s="87" t="str">
        <f t="shared" si="49"/>
        <v/>
      </c>
      <c r="T612" s="54"/>
      <c r="U612" s="54"/>
      <c r="V612" s="54"/>
      <c r="W612" s="54"/>
      <c r="X612" s="69" t="str">
        <f t="shared" si="47"/>
        <v>D</v>
      </c>
    </row>
    <row r="613" spans="1:24" s="66" customFormat="1" x14ac:dyDescent="0.25">
      <c r="A613" s="51"/>
      <c r="B613" s="91" t="str">
        <f>IFERROR(VLOOKUP(A613,Lookup!A:B,2,0),"")</f>
        <v/>
      </c>
      <c r="C613" s="92" t="str">
        <f>IFERROR(VLOOKUP(A613,Lookup!A:C,3,0),"")</f>
        <v/>
      </c>
      <c r="D613" s="54"/>
      <c r="E613" s="54"/>
      <c r="F613" s="54"/>
      <c r="G613" s="72"/>
      <c r="H613" s="54"/>
      <c r="I613" s="54"/>
      <c r="J613" s="106">
        <f>VLOOKUP(A613&amp;G613,Lookup!J:N,5,0)</f>
        <v>0</v>
      </c>
      <c r="K613" s="110"/>
      <c r="L613" s="54"/>
      <c r="M613" s="54"/>
      <c r="N613" s="54"/>
      <c r="O613" s="112">
        <v>25.2673611111111</v>
      </c>
      <c r="P613" s="110" t="str">
        <f t="shared" si="46"/>
        <v/>
      </c>
      <c r="Q613" s="54"/>
      <c r="R613" s="87" t="str">
        <f t="shared" si="48"/>
        <v/>
      </c>
      <c r="S613" s="87" t="str">
        <f t="shared" si="49"/>
        <v/>
      </c>
      <c r="T613" s="54"/>
      <c r="U613" s="54"/>
      <c r="V613" s="54"/>
      <c r="W613" s="54"/>
      <c r="X613" s="69" t="str">
        <f t="shared" si="47"/>
        <v>D</v>
      </c>
    </row>
    <row r="614" spans="1:24" s="66" customFormat="1" x14ac:dyDescent="0.25">
      <c r="A614" s="51"/>
      <c r="B614" s="91" t="str">
        <f>IFERROR(VLOOKUP(A614,Lookup!A:B,2,0),"")</f>
        <v/>
      </c>
      <c r="C614" s="92" t="str">
        <f>IFERROR(VLOOKUP(A614,Lookup!A:C,3,0),"")</f>
        <v/>
      </c>
      <c r="D614" s="54"/>
      <c r="E614" s="54"/>
      <c r="F614" s="54"/>
      <c r="G614" s="72"/>
      <c r="H614" s="54"/>
      <c r="I614" s="54"/>
      <c r="J614" s="106">
        <f>VLOOKUP(A614&amp;G614,Lookup!J:N,5,0)</f>
        <v>0</v>
      </c>
      <c r="K614" s="110"/>
      <c r="L614" s="54"/>
      <c r="M614" s="54"/>
      <c r="N614" s="54"/>
      <c r="O614" s="112">
        <v>25.3090277777778</v>
      </c>
      <c r="P614" s="110" t="str">
        <f t="shared" si="46"/>
        <v/>
      </c>
      <c r="Q614" s="54"/>
      <c r="R614" s="87" t="str">
        <f t="shared" si="48"/>
        <v/>
      </c>
      <c r="S614" s="87" t="str">
        <f t="shared" si="49"/>
        <v/>
      </c>
      <c r="T614" s="54"/>
      <c r="U614" s="54"/>
      <c r="V614" s="54"/>
      <c r="W614" s="54"/>
      <c r="X614" s="69" t="str">
        <f t="shared" si="47"/>
        <v>D</v>
      </c>
    </row>
    <row r="615" spans="1:24" s="66" customFormat="1" x14ac:dyDescent="0.25">
      <c r="A615" s="51"/>
      <c r="B615" s="91" t="str">
        <f>IFERROR(VLOOKUP(A615,Lookup!A:B,2,0),"")</f>
        <v/>
      </c>
      <c r="C615" s="92" t="str">
        <f>IFERROR(VLOOKUP(A615,Lookup!A:C,3,0),"")</f>
        <v/>
      </c>
      <c r="D615" s="54"/>
      <c r="E615" s="54"/>
      <c r="F615" s="54"/>
      <c r="G615" s="72"/>
      <c r="H615" s="54"/>
      <c r="I615" s="54"/>
      <c r="J615" s="106">
        <f>VLOOKUP(A615&amp;G615,Lookup!J:N,5,0)</f>
        <v>0</v>
      </c>
      <c r="K615" s="110"/>
      <c r="L615" s="54"/>
      <c r="M615" s="54"/>
      <c r="N615" s="54"/>
      <c r="O615" s="112">
        <v>25.3506944444444</v>
      </c>
      <c r="P615" s="110" t="str">
        <f t="shared" si="46"/>
        <v/>
      </c>
      <c r="Q615" s="54"/>
      <c r="R615" s="87" t="str">
        <f t="shared" si="48"/>
        <v/>
      </c>
      <c r="S615" s="87" t="str">
        <f t="shared" si="49"/>
        <v/>
      </c>
      <c r="T615" s="54"/>
      <c r="U615" s="54"/>
      <c r="V615" s="54"/>
      <c r="W615" s="54"/>
      <c r="X615" s="69" t="str">
        <f t="shared" si="47"/>
        <v>D</v>
      </c>
    </row>
    <row r="616" spans="1:24" s="66" customFormat="1" x14ac:dyDescent="0.25">
      <c r="A616" s="51"/>
      <c r="B616" s="91" t="str">
        <f>IFERROR(VLOOKUP(A616,Lookup!A:B,2,0),"")</f>
        <v/>
      </c>
      <c r="C616" s="92" t="str">
        <f>IFERROR(VLOOKUP(A616,Lookup!A:C,3,0),"")</f>
        <v/>
      </c>
      <c r="D616" s="54"/>
      <c r="E616" s="54"/>
      <c r="F616" s="54"/>
      <c r="G616" s="72"/>
      <c r="H616" s="54"/>
      <c r="I616" s="54"/>
      <c r="J616" s="106">
        <f>VLOOKUP(A616&amp;G616,Lookup!J:N,5,0)</f>
        <v>0</v>
      </c>
      <c r="K616" s="110"/>
      <c r="L616" s="54"/>
      <c r="M616" s="54"/>
      <c r="N616" s="54"/>
      <c r="O616" s="112">
        <v>25.3923611111111</v>
      </c>
      <c r="P616" s="110" t="str">
        <f t="shared" si="46"/>
        <v/>
      </c>
      <c r="Q616" s="54"/>
      <c r="R616" s="87" t="str">
        <f t="shared" si="48"/>
        <v/>
      </c>
      <c r="S616" s="87" t="str">
        <f t="shared" si="49"/>
        <v/>
      </c>
      <c r="T616" s="54"/>
      <c r="U616" s="54"/>
      <c r="V616" s="54"/>
      <c r="W616" s="54"/>
      <c r="X616" s="69" t="str">
        <f t="shared" si="47"/>
        <v>D</v>
      </c>
    </row>
    <row r="617" spans="1:24" s="66" customFormat="1" x14ac:dyDescent="0.25">
      <c r="A617" s="51"/>
      <c r="B617" s="91" t="str">
        <f>IFERROR(VLOOKUP(A617,Lookup!A:B,2,0),"")</f>
        <v/>
      </c>
      <c r="C617" s="92" t="str">
        <f>IFERROR(VLOOKUP(A617,Lookup!A:C,3,0),"")</f>
        <v/>
      </c>
      <c r="D617" s="54"/>
      <c r="E617" s="54"/>
      <c r="F617" s="54"/>
      <c r="G617" s="72"/>
      <c r="H617" s="54"/>
      <c r="I617" s="54"/>
      <c r="J617" s="106">
        <f>VLOOKUP(A617&amp;G617,Lookup!J:N,5,0)</f>
        <v>0</v>
      </c>
      <c r="K617" s="110"/>
      <c r="L617" s="54"/>
      <c r="M617" s="54"/>
      <c r="N617" s="54"/>
      <c r="O617" s="112">
        <v>25.4340277777778</v>
      </c>
      <c r="P617" s="110" t="str">
        <f t="shared" si="46"/>
        <v/>
      </c>
      <c r="Q617" s="54"/>
      <c r="R617" s="87" t="str">
        <f t="shared" si="48"/>
        <v/>
      </c>
      <c r="S617" s="87" t="str">
        <f t="shared" si="49"/>
        <v/>
      </c>
      <c r="T617" s="54"/>
      <c r="U617" s="54"/>
      <c r="V617" s="54"/>
      <c r="W617" s="54"/>
      <c r="X617" s="69" t="str">
        <f t="shared" si="47"/>
        <v>D</v>
      </c>
    </row>
    <row r="618" spans="1:24" s="66" customFormat="1" x14ac:dyDescent="0.25">
      <c r="A618" s="51"/>
      <c r="B618" s="91" t="str">
        <f>IFERROR(VLOOKUP(A618,Lookup!A:B,2,0),"")</f>
        <v/>
      </c>
      <c r="C618" s="92" t="str">
        <f>IFERROR(VLOOKUP(A618,Lookup!A:C,3,0),"")</f>
        <v/>
      </c>
      <c r="D618" s="54"/>
      <c r="E618" s="54"/>
      <c r="F618" s="54"/>
      <c r="G618" s="72"/>
      <c r="H618" s="54"/>
      <c r="I618" s="54"/>
      <c r="J618" s="106">
        <f>VLOOKUP(A618&amp;G618,Lookup!J:N,5,0)</f>
        <v>0</v>
      </c>
      <c r="K618" s="110"/>
      <c r="L618" s="54"/>
      <c r="M618" s="54"/>
      <c r="N618" s="54"/>
      <c r="O618" s="112">
        <v>25.4756944444444</v>
      </c>
      <c r="P618" s="110" t="str">
        <f t="shared" si="46"/>
        <v/>
      </c>
      <c r="Q618" s="54"/>
      <c r="R618" s="87" t="str">
        <f t="shared" si="48"/>
        <v/>
      </c>
      <c r="S618" s="87" t="str">
        <f t="shared" si="49"/>
        <v/>
      </c>
      <c r="T618" s="54"/>
      <c r="U618" s="54"/>
      <c r="V618" s="54"/>
      <c r="W618" s="54"/>
      <c r="X618" s="69" t="str">
        <f t="shared" si="47"/>
        <v>D</v>
      </c>
    </row>
    <row r="619" spans="1:24" s="66" customFormat="1" x14ac:dyDescent="0.25">
      <c r="A619" s="51"/>
      <c r="B619" s="91" t="str">
        <f>IFERROR(VLOOKUP(A619,Lookup!A:B,2,0),"")</f>
        <v/>
      </c>
      <c r="C619" s="92" t="str">
        <f>IFERROR(VLOOKUP(A619,Lookup!A:C,3,0),"")</f>
        <v/>
      </c>
      <c r="D619" s="54"/>
      <c r="E619" s="54"/>
      <c r="F619" s="54"/>
      <c r="G619" s="72"/>
      <c r="H619" s="54"/>
      <c r="I619" s="54"/>
      <c r="J619" s="106">
        <f>VLOOKUP(A619&amp;G619,Lookup!J:N,5,0)</f>
        <v>0</v>
      </c>
      <c r="K619" s="110"/>
      <c r="L619" s="54"/>
      <c r="M619" s="54"/>
      <c r="N619" s="54"/>
      <c r="O619" s="112">
        <v>25.5173611111111</v>
      </c>
      <c r="P619" s="110" t="str">
        <f t="shared" si="46"/>
        <v/>
      </c>
      <c r="Q619" s="54"/>
      <c r="R619" s="87" t="str">
        <f t="shared" si="48"/>
        <v/>
      </c>
      <c r="S619" s="87" t="str">
        <f t="shared" si="49"/>
        <v/>
      </c>
      <c r="T619" s="54"/>
      <c r="U619" s="54"/>
      <c r="V619" s="54"/>
      <c r="W619" s="54"/>
      <c r="X619" s="69" t="str">
        <f t="shared" si="47"/>
        <v>D</v>
      </c>
    </row>
    <row r="620" spans="1:24" s="66" customFormat="1" x14ac:dyDescent="0.25">
      <c r="A620" s="51"/>
      <c r="B620" s="91" t="str">
        <f>IFERROR(VLOOKUP(A620,Lookup!A:B,2,0),"")</f>
        <v/>
      </c>
      <c r="C620" s="92" t="str">
        <f>IFERROR(VLOOKUP(A620,Lookup!A:C,3,0),"")</f>
        <v/>
      </c>
      <c r="D620" s="54"/>
      <c r="E620" s="54"/>
      <c r="F620" s="54"/>
      <c r="G620" s="72"/>
      <c r="H620" s="54"/>
      <c r="I620" s="54"/>
      <c r="J620" s="106">
        <f>VLOOKUP(A620&amp;G620,Lookup!J:N,5,0)</f>
        <v>0</v>
      </c>
      <c r="K620" s="110"/>
      <c r="L620" s="54"/>
      <c r="M620" s="54"/>
      <c r="N620" s="54"/>
      <c r="O620" s="112">
        <v>25.5590277777778</v>
      </c>
      <c r="P620" s="110" t="str">
        <f t="shared" si="46"/>
        <v/>
      </c>
      <c r="Q620" s="54"/>
      <c r="R620" s="87" t="str">
        <f t="shared" si="48"/>
        <v/>
      </c>
      <c r="S620" s="87" t="str">
        <f t="shared" si="49"/>
        <v/>
      </c>
      <c r="T620" s="54"/>
      <c r="U620" s="54"/>
      <c r="V620" s="54"/>
      <c r="W620" s="54"/>
      <c r="X620" s="69" t="str">
        <f t="shared" si="47"/>
        <v>D</v>
      </c>
    </row>
    <row r="621" spans="1:24" s="66" customFormat="1" x14ac:dyDescent="0.25">
      <c r="A621" s="51"/>
      <c r="B621" s="91" t="str">
        <f>IFERROR(VLOOKUP(A621,Lookup!A:B,2,0),"")</f>
        <v/>
      </c>
      <c r="C621" s="92" t="str">
        <f>IFERROR(VLOOKUP(A621,Lookup!A:C,3,0),"")</f>
        <v/>
      </c>
      <c r="D621" s="54"/>
      <c r="E621" s="54"/>
      <c r="F621" s="54"/>
      <c r="G621" s="72"/>
      <c r="H621" s="54"/>
      <c r="I621" s="54"/>
      <c r="J621" s="106">
        <f>VLOOKUP(A621&amp;G621,Lookup!J:N,5,0)</f>
        <v>0</v>
      </c>
      <c r="K621" s="110"/>
      <c r="L621" s="54"/>
      <c r="M621" s="54"/>
      <c r="N621" s="54"/>
      <c r="O621" s="112">
        <v>25.6006944444444</v>
      </c>
      <c r="P621" s="110" t="str">
        <f t="shared" si="46"/>
        <v/>
      </c>
      <c r="Q621" s="54"/>
      <c r="R621" s="87" t="str">
        <f t="shared" si="48"/>
        <v/>
      </c>
      <c r="S621" s="87" t="str">
        <f t="shared" si="49"/>
        <v/>
      </c>
      <c r="T621" s="54"/>
      <c r="U621" s="54"/>
      <c r="V621" s="54"/>
      <c r="W621" s="54"/>
      <c r="X621" s="69" t="str">
        <f t="shared" si="47"/>
        <v>D</v>
      </c>
    </row>
    <row r="622" spans="1:24" s="66" customFormat="1" x14ac:dyDescent="0.25">
      <c r="A622" s="51"/>
      <c r="B622" s="91" t="str">
        <f>IFERROR(VLOOKUP(A622,Lookup!A:B,2,0),"")</f>
        <v/>
      </c>
      <c r="C622" s="92" t="str">
        <f>IFERROR(VLOOKUP(A622,Lookup!A:C,3,0),"")</f>
        <v/>
      </c>
      <c r="D622" s="54"/>
      <c r="E622" s="54"/>
      <c r="F622" s="54"/>
      <c r="G622" s="72"/>
      <c r="H622" s="54"/>
      <c r="I622" s="54"/>
      <c r="J622" s="106">
        <f>VLOOKUP(A622&amp;G622,Lookup!J:N,5,0)</f>
        <v>0</v>
      </c>
      <c r="K622" s="110"/>
      <c r="L622" s="54"/>
      <c r="M622" s="54"/>
      <c r="N622" s="54"/>
      <c r="O622" s="112">
        <v>25.6423611111111</v>
      </c>
      <c r="P622" s="110" t="str">
        <f t="shared" si="46"/>
        <v/>
      </c>
      <c r="Q622" s="54"/>
      <c r="R622" s="87" t="str">
        <f t="shared" si="48"/>
        <v/>
      </c>
      <c r="S622" s="87" t="str">
        <f t="shared" si="49"/>
        <v/>
      </c>
      <c r="T622" s="54"/>
      <c r="U622" s="54"/>
      <c r="V622" s="54"/>
      <c r="W622" s="54"/>
      <c r="X622" s="69" t="str">
        <f t="shared" si="47"/>
        <v>D</v>
      </c>
    </row>
    <row r="623" spans="1:24" s="66" customFormat="1" x14ac:dyDescent="0.25">
      <c r="A623" s="51"/>
      <c r="B623" s="91" t="str">
        <f>IFERROR(VLOOKUP(A623,Lookup!A:B,2,0),"")</f>
        <v/>
      </c>
      <c r="C623" s="92" t="str">
        <f>IFERROR(VLOOKUP(A623,Lookup!A:C,3,0),"")</f>
        <v/>
      </c>
      <c r="D623" s="54"/>
      <c r="E623" s="54"/>
      <c r="F623" s="54"/>
      <c r="G623" s="72"/>
      <c r="H623" s="54"/>
      <c r="I623" s="54"/>
      <c r="J623" s="106">
        <f>VLOOKUP(A623&amp;G623,Lookup!J:N,5,0)</f>
        <v>0</v>
      </c>
      <c r="K623" s="110"/>
      <c r="L623" s="54"/>
      <c r="M623" s="54"/>
      <c r="N623" s="54"/>
      <c r="O623" s="112">
        <v>25.6840277777778</v>
      </c>
      <c r="P623" s="110" t="str">
        <f t="shared" si="46"/>
        <v/>
      </c>
      <c r="Q623" s="54"/>
      <c r="R623" s="87" t="str">
        <f t="shared" si="48"/>
        <v/>
      </c>
      <c r="S623" s="87" t="str">
        <f t="shared" si="49"/>
        <v/>
      </c>
      <c r="T623" s="54"/>
      <c r="U623" s="54"/>
      <c r="V623" s="54"/>
      <c r="W623" s="54"/>
      <c r="X623" s="69" t="str">
        <f t="shared" si="47"/>
        <v>D</v>
      </c>
    </row>
    <row r="624" spans="1:24" s="66" customFormat="1" x14ac:dyDescent="0.25">
      <c r="A624" s="51"/>
      <c r="B624" s="91" t="str">
        <f>IFERROR(VLOOKUP(A624,Lookup!A:B,2,0),"")</f>
        <v/>
      </c>
      <c r="C624" s="92" t="str">
        <f>IFERROR(VLOOKUP(A624,Lookup!A:C,3,0),"")</f>
        <v/>
      </c>
      <c r="D624" s="54"/>
      <c r="E624" s="54"/>
      <c r="F624" s="54"/>
      <c r="G624" s="72"/>
      <c r="H624" s="54"/>
      <c r="I624" s="54"/>
      <c r="J624" s="106">
        <f>VLOOKUP(A624&amp;G624,Lookup!J:N,5,0)</f>
        <v>0</v>
      </c>
      <c r="K624" s="110"/>
      <c r="L624" s="54"/>
      <c r="M624" s="54"/>
      <c r="N624" s="54"/>
      <c r="O624" s="112">
        <v>25.7256944444444</v>
      </c>
      <c r="P624" s="110" t="str">
        <f t="shared" si="46"/>
        <v/>
      </c>
      <c r="Q624" s="54"/>
      <c r="R624" s="87" t="str">
        <f t="shared" si="48"/>
        <v/>
      </c>
      <c r="S624" s="87" t="str">
        <f t="shared" si="49"/>
        <v/>
      </c>
      <c r="T624" s="54"/>
      <c r="U624" s="54"/>
      <c r="V624" s="54"/>
      <c r="W624" s="54"/>
      <c r="X624" s="69" t="str">
        <f t="shared" si="47"/>
        <v>D</v>
      </c>
    </row>
    <row r="625" spans="1:24" s="66" customFormat="1" x14ac:dyDescent="0.25">
      <c r="A625" s="51"/>
      <c r="B625" s="91" t="str">
        <f>IFERROR(VLOOKUP(A625,Lookup!A:B,2,0),"")</f>
        <v/>
      </c>
      <c r="C625" s="92" t="str">
        <f>IFERROR(VLOOKUP(A625,Lookup!A:C,3,0),"")</f>
        <v/>
      </c>
      <c r="D625" s="54"/>
      <c r="E625" s="54"/>
      <c r="F625" s="54"/>
      <c r="G625" s="72"/>
      <c r="H625" s="54"/>
      <c r="I625" s="54"/>
      <c r="J625" s="106">
        <f>VLOOKUP(A625&amp;G625,Lookup!J:N,5,0)</f>
        <v>0</v>
      </c>
      <c r="K625" s="110"/>
      <c r="L625" s="54"/>
      <c r="M625" s="54"/>
      <c r="N625" s="54"/>
      <c r="O625" s="112">
        <v>25.7673611111111</v>
      </c>
      <c r="P625" s="110" t="str">
        <f t="shared" si="46"/>
        <v/>
      </c>
      <c r="Q625" s="54"/>
      <c r="R625" s="87" t="str">
        <f t="shared" si="48"/>
        <v/>
      </c>
      <c r="S625" s="87" t="str">
        <f t="shared" si="49"/>
        <v/>
      </c>
      <c r="T625" s="54"/>
      <c r="U625" s="54"/>
      <c r="V625" s="54"/>
      <c r="W625" s="54"/>
      <c r="X625" s="69" t="str">
        <f t="shared" si="47"/>
        <v>D</v>
      </c>
    </row>
    <row r="626" spans="1:24" s="66" customFormat="1" x14ac:dyDescent="0.25">
      <c r="A626" s="51"/>
      <c r="B626" s="91" t="str">
        <f>IFERROR(VLOOKUP(A626,Lookup!A:B,2,0),"")</f>
        <v/>
      </c>
      <c r="C626" s="92" t="str">
        <f>IFERROR(VLOOKUP(A626,Lookup!A:C,3,0),"")</f>
        <v/>
      </c>
      <c r="D626" s="54"/>
      <c r="E626" s="54"/>
      <c r="F626" s="54"/>
      <c r="G626" s="72"/>
      <c r="H626" s="54"/>
      <c r="I626" s="54"/>
      <c r="J626" s="106">
        <f>VLOOKUP(A626&amp;G626,Lookup!J:N,5,0)</f>
        <v>0</v>
      </c>
      <c r="K626" s="110"/>
      <c r="L626" s="54"/>
      <c r="M626" s="54"/>
      <c r="N626" s="54"/>
      <c r="O626" s="112">
        <v>25.8090277777778</v>
      </c>
      <c r="P626" s="110" t="str">
        <f t="shared" si="46"/>
        <v/>
      </c>
      <c r="Q626" s="54"/>
      <c r="R626" s="87" t="str">
        <f t="shared" si="48"/>
        <v/>
      </c>
      <c r="S626" s="87" t="str">
        <f t="shared" si="49"/>
        <v/>
      </c>
      <c r="T626" s="54"/>
      <c r="U626" s="54"/>
      <c r="V626" s="54"/>
      <c r="W626" s="54"/>
      <c r="X626" s="69" t="str">
        <f t="shared" si="47"/>
        <v>D</v>
      </c>
    </row>
    <row r="627" spans="1:24" s="66" customFormat="1" x14ac:dyDescent="0.25">
      <c r="A627" s="51"/>
      <c r="B627" s="91" t="str">
        <f>IFERROR(VLOOKUP(A627,Lookup!A:B,2,0),"")</f>
        <v/>
      </c>
      <c r="C627" s="92" t="str">
        <f>IFERROR(VLOOKUP(A627,Lookup!A:C,3,0),"")</f>
        <v/>
      </c>
      <c r="D627" s="54"/>
      <c r="E627" s="54"/>
      <c r="F627" s="54"/>
      <c r="G627" s="72"/>
      <c r="H627" s="54"/>
      <c r="I627" s="54"/>
      <c r="J627" s="106">
        <f>VLOOKUP(A627&amp;G627,Lookup!J:N,5,0)</f>
        <v>0</v>
      </c>
      <c r="K627" s="110"/>
      <c r="L627" s="54"/>
      <c r="M627" s="54"/>
      <c r="N627" s="54"/>
      <c r="O627" s="112">
        <v>25.8506944444444</v>
      </c>
      <c r="P627" s="110" t="str">
        <f t="shared" si="46"/>
        <v/>
      </c>
      <c r="Q627" s="54"/>
      <c r="R627" s="87" t="str">
        <f t="shared" si="48"/>
        <v/>
      </c>
      <c r="S627" s="87" t="str">
        <f t="shared" si="49"/>
        <v/>
      </c>
      <c r="T627" s="54"/>
      <c r="U627" s="54"/>
      <c r="V627" s="54"/>
      <c r="W627" s="54"/>
      <c r="X627" s="69" t="str">
        <f t="shared" si="47"/>
        <v>D</v>
      </c>
    </row>
    <row r="628" spans="1:24" s="66" customFormat="1" x14ac:dyDescent="0.25">
      <c r="A628" s="51"/>
      <c r="B628" s="91" t="str">
        <f>IFERROR(VLOOKUP(A628,Lookup!A:B,2,0),"")</f>
        <v/>
      </c>
      <c r="C628" s="92" t="str">
        <f>IFERROR(VLOOKUP(A628,Lookup!A:C,3,0),"")</f>
        <v/>
      </c>
      <c r="D628" s="54"/>
      <c r="E628" s="54"/>
      <c r="F628" s="54"/>
      <c r="G628" s="72"/>
      <c r="H628" s="54"/>
      <c r="I628" s="54"/>
      <c r="J628" s="106">
        <f>VLOOKUP(A628&amp;G628,Lookup!J:N,5,0)</f>
        <v>0</v>
      </c>
      <c r="K628" s="110"/>
      <c r="L628" s="54"/>
      <c r="M628" s="54"/>
      <c r="N628" s="54"/>
      <c r="O628" s="112">
        <v>25.8923611111111</v>
      </c>
      <c r="P628" s="110" t="str">
        <f t="shared" si="46"/>
        <v/>
      </c>
      <c r="Q628" s="54"/>
      <c r="R628" s="87" t="str">
        <f t="shared" si="48"/>
        <v/>
      </c>
      <c r="S628" s="87" t="str">
        <f t="shared" si="49"/>
        <v/>
      </c>
      <c r="T628" s="54"/>
      <c r="U628" s="54"/>
      <c r="V628" s="54"/>
      <c r="W628" s="54"/>
      <c r="X628" s="69" t="str">
        <f t="shared" si="47"/>
        <v>D</v>
      </c>
    </row>
    <row r="629" spans="1:24" s="66" customFormat="1" x14ac:dyDescent="0.25">
      <c r="A629" s="51"/>
      <c r="B629" s="91" t="str">
        <f>IFERROR(VLOOKUP(A629,Lookup!A:B,2,0),"")</f>
        <v/>
      </c>
      <c r="C629" s="92" t="str">
        <f>IFERROR(VLOOKUP(A629,Lookup!A:C,3,0),"")</f>
        <v/>
      </c>
      <c r="D629" s="54"/>
      <c r="E629" s="54"/>
      <c r="F629" s="54"/>
      <c r="G629" s="72"/>
      <c r="H629" s="54"/>
      <c r="I629" s="54"/>
      <c r="J629" s="106">
        <f>VLOOKUP(A629&amp;G629,Lookup!J:N,5,0)</f>
        <v>0</v>
      </c>
      <c r="K629" s="110"/>
      <c r="L629" s="54"/>
      <c r="M629" s="54"/>
      <c r="N629" s="54"/>
      <c r="O629" s="112">
        <v>25.9340277777778</v>
      </c>
      <c r="P629" s="110" t="str">
        <f t="shared" si="46"/>
        <v/>
      </c>
      <c r="Q629" s="54"/>
      <c r="R629" s="87" t="str">
        <f t="shared" si="48"/>
        <v/>
      </c>
      <c r="S629" s="87" t="str">
        <f t="shared" si="49"/>
        <v/>
      </c>
      <c r="T629" s="54"/>
      <c r="U629" s="54"/>
      <c r="V629" s="54"/>
      <c r="W629" s="54"/>
      <c r="X629" s="69" t="str">
        <f t="shared" si="47"/>
        <v>D</v>
      </c>
    </row>
    <row r="630" spans="1:24" s="66" customFormat="1" x14ac:dyDescent="0.25">
      <c r="A630" s="51"/>
      <c r="B630" s="91" t="str">
        <f>IFERROR(VLOOKUP(A630,Lookup!A:B,2,0),"")</f>
        <v/>
      </c>
      <c r="C630" s="92" t="str">
        <f>IFERROR(VLOOKUP(A630,Lookup!A:C,3,0),"")</f>
        <v/>
      </c>
      <c r="D630" s="54"/>
      <c r="E630" s="54"/>
      <c r="F630" s="54"/>
      <c r="G630" s="72"/>
      <c r="H630" s="54"/>
      <c r="I630" s="54"/>
      <c r="J630" s="106">
        <f>VLOOKUP(A630&amp;G630,Lookup!J:N,5,0)</f>
        <v>0</v>
      </c>
      <c r="K630" s="110"/>
      <c r="L630" s="54"/>
      <c r="M630" s="54"/>
      <c r="N630" s="54"/>
      <c r="O630" s="112">
        <v>25.9756944444444</v>
      </c>
      <c r="P630" s="110" t="str">
        <f t="shared" si="46"/>
        <v/>
      </c>
      <c r="Q630" s="54"/>
      <c r="R630" s="87" t="str">
        <f t="shared" si="48"/>
        <v/>
      </c>
      <c r="S630" s="87" t="str">
        <f t="shared" si="49"/>
        <v/>
      </c>
      <c r="T630" s="54"/>
      <c r="U630" s="54"/>
      <c r="V630" s="54"/>
      <c r="W630" s="54"/>
      <c r="X630" s="69" t="str">
        <f t="shared" si="47"/>
        <v>D</v>
      </c>
    </row>
    <row r="631" spans="1:24" s="66" customFormat="1" x14ac:dyDescent="0.25">
      <c r="A631" s="51"/>
      <c r="B631" s="91" t="str">
        <f>IFERROR(VLOOKUP(A631,Lookup!A:B,2,0),"")</f>
        <v/>
      </c>
      <c r="C631" s="92" t="str">
        <f>IFERROR(VLOOKUP(A631,Lookup!A:C,3,0),"")</f>
        <v/>
      </c>
      <c r="D631" s="54"/>
      <c r="E631" s="54"/>
      <c r="F631" s="54"/>
      <c r="G631" s="72"/>
      <c r="H631" s="54"/>
      <c r="I631" s="54"/>
      <c r="J631" s="106">
        <f>VLOOKUP(A631&amp;G631,Lookup!J:N,5,0)</f>
        <v>0</v>
      </c>
      <c r="K631" s="110"/>
      <c r="L631" s="54"/>
      <c r="M631" s="54"/>
      <c r="N631" s="54"/>
      <c r="O631" s="112">
        <v>26.0173611111111</v>
      </c>
      <c r="P631" s="110" t="str">
        <f t="shared" si="46"/>
        <v/>
      </c>
      <c r="Q631" s="54"/>
      <c r="R631" s="87" t="str">
        <f t="shared" si="48"/>
        <v/>
      </c>
      <c r="S631" s="87" t="str">
        <f t="shared" si="49"/>
        <v/>
      </c>
      <c r="T631" s="54"/>
      <c r="U631" s="54"/>
      <c r="V631" s="54"/>
      <c r="W631" s="54"/>
      <c r="X631" s="69" t="str">
        <f t="shared" si="47"/>
        <v>D</v>
      </c>
    </row>
    <row r="632" spans="1:24" s="66" customFormat="1" x14ac:dyDescent="0.25">
      <c r="A632" s="51"/>
      <c r="B632" s="91" t="str">
        <f>IFERROR(VLOOKUP(A632,Lookup!A:B,2,0),"")</f>
        <v/>
      </c>
      <c r="C632" s="92" t="str">
        <f>IFERROR(VLOOKUP(A632,Lookup!A:C,3,0),"")</f>
        <v/>
      </c>
      <c r="D632" s="54"/>
      <c r="E632" s="54"/>
      <c r="F632" s="54"/>
      <c r="G632" s="72"/>
      <c r="H632" s="54"/>
      <c r="I632" s="54"/>
      <c r="J632" s="106">
        <f>VLOOKUP(A632&amp;G632,Lookup!J:N,5,0)</f>
        <v>0</v>
      </c>
      <c r="K632" s="110"/>
      <c r="L632" s="54"/>
      <c r="M632" s="54"/>
      <c r="N632" s="54"/>
      <c r="O632" s="112">
        <v>26.0590277777778</v>
      </c>
      <c r="P632" s="110" t="str">
        <f t="shared" si="46"/>
        <v/>
      </c>
      <c r="Q632" s="54"/>
      <c r="R632" s="87" t="str">
        <f t="shared" si="48"/>
        <v/>
      </c>
      <c r="S632" s="87" t="str">
        <f t="shared" si="49"/>
        <v/>
      </c>
      <c r="T632" s="54"/>
      <c r="U632" s="54"/>
      <c r="V632" s="54"/>
      <c r="W632" s="54"/>
      <c r="X632" s="69" t="str">
        <f t="shared" si="47"/>
        <v>D</v>
      </c>
    </row>
    <row r="633" spans="1:24" s="66" customFormat="1" x14ac:dyDescent="0.25">
      <c r="A633" s="51"/>
      <c r="B633" s="91" t="str">
        <f>IFERROR(VLOOKUP(A633,Lookup!A:B,2,0),"")</f>
        <v/>
      </c>
      <c r="C633" s="92" t="str">
        <f>IFERROR(VLOOKUP(A633,Lookup!A:C,3,0),"")</f>
        <v/>
      </c>
      <c r="D633" s="54"/>
      <c r="E633" s="54"/>
      <c r="F633" s="54"/>
      <c r="G633" s="72"/>
      <c r="H633" s="54"/>
      <c r="I633" s="54"/>
      <c r="J633" s="106">
        <f>VLOOKUP(A633&amp;G633,Lookup!J:N,5,0)</f>
        <v>0</v>
      </c>
      <c r="K633" s="110"/>
      <c r="L633" s="54"/>
      <c r="M633" s="54"/>
      <c r="N633" s="54"/>
      <c r="O633" s="112">
        <v>26.1006944444444</v>
      </c>
      <c r="P633" s="110" t="str">
        <f t="shared" si="46"/>
        <v/>
      </c>
      <c r="Q633" s="54"/>
      <c r="R633" s="87" t="str">
        <f t="shared" si="48"/>
        <v/>
      </c>
      <c r="S633" s="87" t="str">
        <f t="shared" si="49"/>
        <v/>
      </c>
      <c r="T633" s="54"/>
      <c r="U633" s="54"/>
      <c r="V633" s="54"/>
      <c r="W633" s="54"/>
      <c r="X633" s="69" t="str">
        <f t="shared" si="47"/>
        <v>D</v>
      </c>
    </row>
    <row r="634" spans="1:24" s="66" customFormat="1" x14ac:dyDescent="0.25">
      <c r="A634" s="51"/>
      <c r="B634" s="91" t="str">
        <f>IFERROR(VLOOKUP(A634,Lookup!A:B,2,0),"")</f>
        <v/>
      </c>
      <c r="C634" s="92" t="str">
        <f>IFERROR(VLOOKUP(A634,Lookup!A:C,3,0),"")</f>
        <v/>
      </c>
      <c r="D634" s="54"/>
      <c r="E634" s="54"/>
      <c r="F634" s="54"/>
      <c r="G634" s="72"/>
      <c r="H634" s="54"/>
      <c r="I634" s="54"/>
      <c r="J634" s="106">
        <f>VLOOKUP(A634&amp;G634,Lookup!J:N,5,0)</f>
        <v>0</v>
      </c>
      <c r="K634" s="110"/>
      <c r="L634" s="54"/>
      <c r="M634" s="54"/>
      <c r="N634" s="54"/>
      <c r="O634" s="112">
        <v>26.1423611111111</v>
      </c>
      <c r="P634" s="110" t="str">
        <f t="shared" si="46"/>
        <v/>
      </c>
      <c r="Q634" s="54"/>
      <c r="R634" s="87" t="str">
        <f t="shared" si="48"/>
        <v/>
      </c>
      <c r="S634" s="87" t="str">
        <f t="shared" si="49"/>
        <v/>
      </c>
      <c r="T634" s="54"/>
      <c r="U634" s="54"/>
      <c r="V634" s="54"/>
      <c r="W634" s="54"/>
      <c r="X634" s="69" t="str">
        <f t="shared" si="47"/>
        <v>D</v>
      </c>
    </row>
    <row r="635" spans="1:24" s="66" customFormat="1" x14ac:dyDescent="0.25">
      <c r="A635" s="51"/>
      <c r="B635" s="91" t="str">
        <f>IFERROR(VLOOKUP(A635,Lookup!A:B,2,0),"")</f>
        <v/>
      </c>
      <c r="C635" s="92" t="str">
        <f>IFERROR(VLOOKUP(A635,Lookup!A:C,3,0),"")</f>
        <v/>
      </c>
      <c r="D635" s="54"/>
      <c r="E635" s="54"/>
      <c r="F635" s="54"/>
      <c r="G635" s="72"/>
      <c r="H635" s="54"/>
      <c r="I635" s="54"/>
      <c r="J635" s="106">
        <f>VLOOKUP(A635&amp;G635,Lookup!J:N,5,0)</f>
        <v>0</v>
      </c>
      <c r="K635" s="110"/>
      <c r="L635" s="54"/>
      <c r="M635" s="54"/>
      <c r="N635" s="54"/>
      <c r="O635" s="112">
        <v>26.1840277777778</v>
      </c>
      <c r="P635" s="110" t="str">
        <f t="shared" si="46"/>
        <v/>
      </c>
      <c r="Q635" s="54"/>
      <c r="R635" s="87" t="str">
        <f t="shared" si="48"/>
        <v/>
      </c>
      <c r="S635" s="87" t="str">
        <f t="shared" si="49"/>
        <v/>
      </c>
      <c r="T635" s="54"/>
      <c r="U635" s="54"/>
      <c r="V635" s="54"/>
      <c r="W635" s="54"/>
      <c r="X635" s="69" t="str">
        <f t="shared" si="47"/>
        <v>D</v>
      </c>
    </row>
    <row r="636" spans="1:24" s="66" customFormat="1" x14ac:dyDescent="0.25">
      <c r="A636" s="51"/>
      <c r="B636" s="91" t="str">
        <f>IFERROR(VLOOKUP(A636,Lookup!A:B,2,0),"")</f>
        <v/>
      </c>
      <c r="C636" s="92" t="str">
        <f>IFERROR(VLOOKUP(A636,Lookup!A:C,3,0),"")</f>
        <v/>
      </c>
      <c r="D636" s="54"/>
      <c r="E636" s="54"/>
      <c r="F636" s="54"/>
      <c r="G636" s="72"/>
      <c r="H636" s="54"/>
      <c r="I636" s="54"/>
      <c r="J636" s="106">
        <f>VLOOKUP(A636&amp;G636,Lookup!J:N,5,0)</f>
        <v>0</v>
      </c>
      <c r="K636" s="110"/>
      <c r="L636" s="54"/>
      <c r="M636" s="54"/>
      <c r="N636" s="54"/>
      <c r="O636" s="112">
        <v>26.2256944444444</v>
      </c>
      <c r="P636" s="110" t="str">
        <f t="shared" si="46"/>
        <v/>
      </c>
      <c r="Q636" s="54"/>
      <c r="R636" s="87" t="str">
        <f t="shared" si="48"/>
        <v/>
      </c>
      <c r="S636" s="87" t="str">
        <f t="shared" si="49"/>
        <v/>
      </c>
      <c r="T636" s="54"/>
      <c r="U636" s="54"/>
      <c r="V636" s="54"/>
      <c r="W636" s="54"/>
      <c r="X636" s="69" t="str">
        <f t="shared" si="47"/>
        <v>D</v>
      </c>
    </row>
    <row r="637" spans="1:24" s="66" customFormat="1" x14ac:dyDescent="0.25">
      <c r="A637" s="51"/>
      <c r="B637" s="91" t="str">
        <f>IFERROR(VLOOKUP(A637,Lookup!A:B,2,0),"")</f>
        <v/>
      </c>
      <c r="C637" s="92" t="str">
        <f>IFERROR(VLOOKUP(A637,Lookup!A:C,3,0),"")</f>
        <v/>
      </c>
      <c r="D637" s="54"/>
      <c r="E637" s="54"/>
      <c r="F637" s="54"/>
      <c r="G637" s="72"/>
      <c r="H637" s="54"/>
      <c r="I637" s="54"/>
      <c r="J637" s="106">
        <f>VLOOKUP(A637&amp;G637,Lookup!J:N,5,0)</f>
        <v>0</v>
      </c>
      <c r="K637" s="110"/>
      <c r="L637" s="54"/>
      <c r="M637" s="54"/>
      <c r="N637" s="54"/>
      <c r="O637" s="112">
        <v>26.2673611111111</v>
      </c>
      <c r="P637" s="110" t="str">
        <f t="shared" si="46"/>
        <v/>
      </c>
      <c r="Q637" s="54"/>
      <c r="R637" s="87" t="str">
        <f t="shared" si="48"/>
        <v/>
      </c>
      <c r="S637" s="87" t="str">
        <f t="shared" si="49"/>
        <v/>
      </c>
      <c r="T637" s="54"/>
      <c r="U637" s="54"/>
      <c r="V637" s="54"/>
      <c r="W637" s="54"/>
      <c r="X637" s="69" t="str">
        <f t="shared" si="47"/>
        <v>D</v>
      </c>
    </row>
    <row r="638" spans="1:24" s="66" customFormat="1" x14ac:dyDescent="0.25">
      <c r="A638" s="51"/>
      <c r="B638" s="91" t="str">
        <f>IFERROR(VLOOKUP(A638,Lookup!A:B,2,0),"")</f>
        <v/>
      </c>
      <c r="C638" s="92" t="str">
        <f>IFERROR(VLOOKUP(A638,Lookup!A:C,3,0),"")</f>
        <v/>
      </c>
      <c r="D638" s="54"/>
      <c r="E638" s="54"/>
      <c r="F638" s="54"/>
      <c r="G638" s="72"/>
      <c r="H638" s="54"/>
      <c r="I638" s="54"/>
      <c r="J638" s="106">
        <f>VLOOKUP(A638&amp;G638,Lookup!J:N,5,0)</f>
        <v>0</v>
      </c>
      <c r="K638" s="110"/>
      <c r="L638" s="54"/>
      <c r="M638" s="54"/>
      <c r="N638" s="54"/>
      <c r="O638" s="112">
        <v>26.3090277777778</v>
      </c>
      <c r="P638" s="110" t="str">
        <f t="shared" si="46"/>
        <v/>
      </c>
      <c r="Q638" s="54"/>
      <c r="R638" s="87" t="str">
        <f t="shared" si="48"/>
        <v/>
      </c>
      <c r="S638" s="87" t="str">
        <f t="shared" si="49"/>
        <v/>
      </c>
      <c r="T638" s="54"/>
      <c r="U638" s="54"/>
      <c r="V638" s="54"/>
      <c r="W638" s="54"/>
      <c r="X638" s="69" t="str">
        <f t="shared" si="47"/>
        <v>D</v>
      </c>
    </row>
    <row r="639" spans="1:24" s="66" customFormat="1" x14ac:dyDescent="0.25">
      <c r="A639" s="51"/>
      <c r="B639" s="91" t="str">
        <f>IFERROR(VLOOKUP(A639,Lookup!A:B,2,0),"")</f>
        <v/>
      </c>
      <c r="C639" s="92" t="str">
        <f>IFERROR(VLOOKUP(A639,Lookup!A:C,3,0),"")</f>
        <v/>
      </c>
      <c r="D639" s="54"/>
      <c r="E639" s="54"/>
      <c r="F639" s="54"/>
      <c r="G639" s="72"/>
      <c r="H639" s="54"/>
      <c r="I639" s="54"/>
      <c r="J639" s="106">
        <f>VLOOKUP(A639&amp;G639,Lookup!J:N,5,0)</f>
        <v>0</v>
      </c>
      <c r="K639" s="110"/>
      <c r="L639" s="54"/>
      <c r="M639" s="54"/>
      <c r="N639" s="54"/>
      <c r="O639" s="112">
        <v>26.3506944444444</v>
      </c>
      <c r="P639" s="110" t="str">
        <f t="shared" si="46"/>
        <v/>
      </c>
      <c r="Q639" s="54"/>
      <c r="R639" s="87" t="str">
        <f t="shared" si="48"/>
        <v/>
      </c>
      <c r="S639" s="87" t="str">
        <f t="shared" si="49"/>
        <v/>
      </c>
      <c r="T639" s="54"/>
      <c r="U639" s="54"/>
      <c r="V639" s="54"/>
      <c r="W639" s="54"/>
      <c r="X639" s="69" t="str">
        <f t="shared" si="47"/>
        <v>D</v>
      </c>
    </row>
    <row r="640" spans="1:24" s="66" customFormat="1" x14ac:dyDescent="0.25">
      <c r="A640" s="51"/>
      <c r="B640" s="91" t="str">
        <f>IFERROR(VLOOKUP(A640,Lookup!A:B,2,0),"")</f>
        <v/>
      </c>
      <c r="C640" s="92" t="str">
        <f>IFERROR(VLOOKUP(A640,Lookup!A:C,3,0),"")</f>
        <v/>
      </c>
      <c r="D640" s="54"/>
      <c r="E640" s="54"/>
      <c r="F640" s="54"/>
      <c r="G640" s="72"/>
      <c r="H640" s="54"/>
      <c r="I640" s="54"/>
      <c r="J640" s="106">
        <f>VLOOKUP(A640&amp;G640,Lookup!J:N,5,0)</f>
        <v>0</v>
      </c>
      <c r="K640" s="110"/>
      <c r="L640" s="54"/>
      <c r="M640" s="54"/>
      <c r="N640" s="54"/>
      <c r="O640" s="112">
        <v>26.3923611111111</v>
      </c>
      <c r="P640" s="110" t="str">
        <f t="shared" si="46"/>
        <v/>
      </c>
      <c r="Q640" s="54"/>
      <c r="R640" s="87" t="str">
        <f t="shared" si="48"/>
        <v/>
      </c>
      <c r="S640" s="87" t="str">
        <f t="shared" si="49"/>
        <v/>
      </c>
      <c r="T640" s="54"/>
      <c r="U640" s="54"/>
      <c r="V640" s="54"/>
      <c r="W640" s="54"/>
      <c r="X640" s="69" t="str">
        <f t="shared" si="47"/>
        <v>D</v>
      </c>
    </row>
    <row r="641" spans="1:24" s="66" customFormat="1" x14ac:dyDescent="0.25">
      <c r="A641" s="51"/>
      <c r="B641" s="91" t="str">
        <f>IFERROR(VLOOKUP(A641,Lookup!A:B,2,0),"")</f>
        <v/>
      </c>
      <c r="C641" s="92" t="str">
        <f>IFERROR(VLOOKUP(A641,Lookup!A:C,3,0),"")</f>
        <v/>
      </c>
      <c r="D641" s="54"/>
      <c r="E641" s="54"/>
      <c r="F641" s="54"/>
      <c r="G641" s="72"/>
      <c r="H641" s="54"/>
      <c r="I641" s="54"/>
      <c r="J641" s="106">
        <f>VLOOKUP(A641&amp;G641,Lookup!J:N,5,0)</f>
        <v>0</v>
      </c>
      <c r="K641" s="110"/>
      <c r="L641" s="54"/>
      <c r="M641" s="54"/>
      <c r="N641" s="54"/>
      <c r="O641" s="112">
        <v>26.4340277777778</v>
      </c>
      <c r="P641" s="110" t="str">
        <f t="shared" si="46"/>
        <v/>
      </c>
      <c r="Q641" s="54"/>
      <c r="R641" s="87" t="str">
        <f t="shared" si="48"/>
        <v/>
      </c>
      <c r="S641" s="87" t="str">
        <f t="shared" si="49"/>
        <v/>
      </c>
      <c r="T641" s="54"/>
      <c r="U641" s="54"/>
      <c r="V641" s="54"/>
      <c r="W641" s="54"/>
      <c r="X641" s="69" t="str">
        <f t="shared" si="47"/>
        <v>D</v>
      </c>
    </row>
    <row r="642" spans="1:24" s="66" customFormat="1" x14ac:dyDescent="0.25">
      <c r="A642" s="51"/>
      <c r="B642" s="91" t="str">
        <f>IFERROR(VLOOKUP(A642,Lookup!A:B,2,0),"")</f>
        <v/>
      </c>
      <c r="C642" s="92" t="str">
        <f>IFERROR(VLOOKUP(A642,Lookup!A:C,3,0),"")</f>
        <v/>
      </c>
      <c r="D642" s="54"/>
      <c r="E642" s="54"/>
      <c r="F642" s="54"/>
      <c r="G642" s="72"/>
      <c r="H642" s="54"/>
      <c r="I642" s="54"/>
      <c r="J642" s="106">
        <f>VLOOKUP(A642&amp;G642,Lookup!J:N,5,0)</f>
        <v>0</v>
      </c>
      <c r="K642" s="110"/>
      <c r="L642" s="54"/>
      <c r="M642" s="54"/>
      <c r="N642" s="54"/>
      <c r="O642" s="112">
        <v>26.4756944444444</v>
      </c>
      <c r="P642" s="110" t="str">
        <f t="shared" si="46"/>
        <v/>
      </c>
      <c r="Q642" s="54"/>
      <c r="R642" s="87" t="str">
        <f t="shared" si="48"/>
        <v/>
      </c>
      <c r="S642" s="87" t="str">
        <f t="shared" si="49"/>
        <v/>
      </c>
      <c r="T642" s="54"/>
      <c r="U642" s="54"/>
      <c r="V642" s="54"/>
      <c r="W642" s="54"/>
      <c r="X642" s="69" t="str">
        <f t="shared" si="47"/>
        <v>D</v>
      </c>
    </row>
    <row r="643" spans="1:24" s="66" customFormat="1" x14ac:dyDescent="0.25">
      <c r="A643" s="51"/>
      <c r="B643" s="91" t="str">
        <f>IFERROR(VLOOKUP(A643,Lookup!A:B,2,0),"")</f>
        <v/>
      </c>
      <c r="C643" s="92" t="str">
        <f>IFERROR(VLOOKUP(A643,Lookup!A:C,3,0),"")</f>
        <v/>
      </c>
      <c r="D643" s="54"/>
      <c r="E643" s="54"/>
      <c r="F643" s="54"/>
      <c r="G643" s="72"/>
      <c r="H643" s="54"/>
      <c r="I643" s="54"/>
      <c r="J643" s="106">
        <f>VLOOKUP(A643&amp;G643,Lookup!J:N,5,0)</f>
        <v>0</v>
      </c>
      <c r="K643" s="110"/>
      <c r="L643" s="54"/>
      <c r="M643" s="54"/>
      <c r="N643" s="54"/>
      <c r="O643" s="112">
        <v>26.5173611111111</v>
      </c>
      <c r="P643" s="110" t="str">
        <f t="shared" ref="P643:P706" si="50">IF(N643="","",N643+O643)</f>
        <v/>
      </c>
      <c r="Q643" s="54"/>
      <c r="R643" s="87" t="str">
        <f t="shared" si="48"/>
        <v/>
      </c>
      <c r="S643" s="87" t="str">
        <f t="shared" si="49"/>
        <v/>
      </c>
      <c r="T643" s="54"/>
      <c r="U643" s="54"/>
      <c r="V643" s="54"/>
      <c r="W643" s="54"/>
      <c r="X643" s="69" t="str">
        <f t="shared" ref="X643:X706" si="51">IF(I643="SET","A",IF(I643="FREQ","C",IF(I643="","D","B")))</f>
        <v>D</v>
      </c>
    </row>
    <row r="644" spans="1:24" s="66" customFormat="1" x14ac:dyDescent="0.25">
      <c r="A644" s="51"/>
      <c r="B644" s="91" t="str">
        <f>IFERROR(VLOOKUP(A644,Lookup!A:B,2,0),"")</f>
        <v/>
      </c>
      <c r="C644" s="92" t="str">
        <f>IFERROR(VLOOKUP(A644,Lookup!A:C,3,0),"")</f>
        <v/>
      </c>
      <c r="D644" s="54"/>
      <c r="E644" s="54"/>
      <c r="F644" s="54"/>
      <c r="G644" s="72"/>
      <c r="H644" s="54"/>
      <c r="I644" s="54"/>
      <c r="J644" s="106">
        <f>VLOOKUP(A644&amp;G644,Lookup!J:N,5,0)</f>
        <v>0</v>
      </c>
      <c r="K644" s="110"/>
      <c r="L644" s="54"/>
      <c r="M644" s="54"/>
      <c r="N644" s="54"/>
      <c r="O644" s="112">
        <v>26.5590277777778</v>
      </c>
      <c r="P644" s="110" t="str">
        <f t="shared" si="50"/>
        <v/>
      </c>
      <c r="Q644" s="54"/>
      <c r="R644" s="87" t="str">
        <f t="shared" si="48"/>
        <v/>
      </c>
      <c r="S644" s="87" t="str">
        <f t="shared" si="49"/>
        <v/>
      </c>
      <c r="T644" s="54"/>
      <c r="U644" s="54"/>
      <c r="V644" s="54"/>
      <c r="W644" s="54"/>
      <c r="X644" s="69" t="str">
        <f t="shared" si="51"/>
        <v>D</v>
      </c>
    </row>
    <row r="645" spans="1:24" s="66" customFormat="1" x14ac:dyDescent="0.25">
      <c r="A645" s="51"/>
      <c r="B645" s="91" t="str">
        <f>IFERROR(VLOOKUP(A645,Lookup!A:B,2,0),"")</f>
        <v/>
      </c>
      <c r="C645" s="92" t="str">
        <f>IFERROR(VLOOKUP(A645,Lookup!A:C,3,0),"")</f>
        <v/>
      </c>
      <c r="D645" s="54"/>
      <c r="E645" s="54"/>
      <c r="F645" s="54"/>
      <c r="G645" s="72"/>
      <c r="H645" s="54"/>
      <c r="I645" s="54"/>
      <c r="J645" s="106">
        <f>VLOOKUP(A645&amp;G645,Lookup!J:N,5,0)</f>
        <v>0</v>
      </c>
      <c r="K645" s="110"/>
      <c r="L645" s="54"/>
      <c r="M645" s="54"/>
      <c r="N645" s="54"/>
      <c r="O645" s="112">
        <v>26.6006944444444</v>
      </c>
      <c r="P645" s="110" t="str">
        <f t="shared" si="50"/>
        <v/>
      </c>
      <c r="Q645" s="54"/>
      <c r="R645" s="87" t="str">
        <f t="shared" si="48"/>
        <v/>
      </c>
      <c r="S645" s="87" t="str">
        <f t="shared" si="49"/>
        <v/>
      </c>
      <c r="T645" s="54"/>
      <c r="U645" s="54"/>
      <c r="V645" s="54"/>
      <c r="W645" s="54"/>
      <c r="X645" s="69" t="str">
        <f t="shared" si="51"/>
        <v>D</v>
      </c>
    </row>
    <row r="646" spans="1:24" s="66" customFormat="1" x14ac:dyDescent="0.25">
      <c r="A646" s="51"/>
      <c r="B646" s="91" t="str">
        <f>IFERROR(VLOOKUP(A646,Lookup!A:B,2,0),"")</f>
        <v/>
      </c>
      <c r="C646" s="92" t="str">
        <f>IFERROR(VLOOKUP(A646,Lookup!A:C,3,0),"")</f>
        <v/>
      </c>
      <c r="D646" s="54"/>
      <c r="E646" s="54"/>
      <c r="F646" s="54"/>
      <c r="G646" s="72"/>
      <c r="H646" s="54"/>
      <c r="I646" s="54"/>
      <c r="J646" s="106">
        <f>VLOOKUP(A646&amp;G646,Lookup!J:N,5,0)</f>
        <v>0</v>
      </c>
      <c r="K646" s="110"/>
      <c r="L646" s="54"/>
      <c r="M646" s="54"/>
      <c r="N646" s="54"/>
      <c r="O646" s="112">
        <v>26.6423611111111</v>
      </c>
      <c r="P646" s="110" t="str">
        <f t="shared" si="50"/>
        <v/>
      </c>
      <c r="Q646" s="54"/>
      <c r="R646" s="87" t="str">
        <f t="shared" si="48"/>
        <v/>
      </c>
      <c r="S646" s="87" t="str">
        <f t="shared" si="49"/>
        <v/>
      </c>
      <c r="T646" s="54"/>
      <c r="U646" s="54"/>
      <c r="V646" s="54"/>
      <c r="W646" s="54"/>
      <c r="X646" s="69" t="str">
        <f t="shared" si="51"/>
        <v>D</v>
      </c>
    </row>
    <row r="647" spans="1:24" s="66" customFormat="1" x14ac:dyDescent="0.25">
      <c r="A647" s="51"/>
      <c r="B647" s="91" t="str">
        <f>IFERROR(VLOOKUP(A647,Lookup!A:B,2,0),"")</f>
        <v/>
      </c>
      <c r="C647" s="92" t="str">
        <f>IFERROR(VLOOKUP(A647,Lookup!A:C,3,0),"")</f>
        <v/>
      </c>
      <c r="D647" s="54"/>
      <c r="E647" s="54"/>
      <c r="F647" s="54"/>
      <c r="G647" s="72"/>
      <c r="H647" s="54"/>
      <c r="I647" s="54"/>
      <c r="J647" s="106">
        <f>VLOOKUP(A647&amp;G647,Lookup!J:N,5,0)</f>
        <v>0</v>
      </c>
      <c r="K647" s="110"/>
      <c r="L647" s="54"/>
      <c r="M647" s="54"/>
      <c r="N647" s="54"/>
      <c r="O647" s="112">
        <v>26.6840277777778</v>
      </c>
      <c r="P647" s="110" t="str">
        <f t="shared" si="50"/>
        <v/>
      </c>
      <c r="Q647" s="54"/>
      <c r="R647" s="87" t="str">
        <f t="shared" ref="R647:R710" si="52">IF(OR(EXACT(N647,""), EXACT(L647,"")),"",N647-L647)</f>
        <v/>
      </c>
      <c r="S647" s="87" t="str">
        <f t="shared" ref="S647:S710" si="53">IF(OR(EXACT(Q647,""), EXACT(L647,"")),"",Q647-L647)</f>
        <v/>
      </c>
      <c r="T647" s="54"/>
      <c r="U647" s="54"/>
      <c r="V647" s="54"/>
      <c r="W647" s="54"/>
      <c r="X647" s="69" t="str">
        <f t="shared" si="51"/>
        <v>D</v>
      </c>
    </row>
    <row r="648" spans="1:24" s="66" customFormat="1" x14ac:dyDescent="0.25">
      <c r="A648" s="51"/>
      <c r="B648" s="91" t="str">
        <f>IFERROR(VLOOKUP(A648,Lookup!A:B,2,0),"")</f>
        <v/>
      </c>
      <c r="C648" s="92" t="str">
        <f>IFERROR(VLOOKUP(A648,Lookup!A:C,3,0),"")</f>
        <v/>
      </c>
      <c r="D648" s="54"/>
      <c r="E648" s="54"/>
      <c r="F648" s="54"/>
      <c r="G648" s="72"/>
      <c r="H648" s="54"/>
      <c r="I648" s="54"/>
      <c r="J648" s="106">
        <f>VLOOKUP(A648&amp;G648,Lookup!J:N,5,0)</f>
        <v>0</v>
      </c>
      <c r="K648" s="110"/>
      <c r="L648" s="54"/>
      <c r="M648" s="54"/>
      <c r="N648" s="54"/>
      <c r="O648" s="112">
        <v>26.7256944444444</v>
      </c>
      <c r="P648" s="110" t="str">
        <f t="shared" si="50"/>
        <v/>
      </c>
      <c r="Q648" s="54"/>
      <c r="R648" s="87" t="str">
        <f t="shared" si="52"/>
        <v/>
      </c>
      <c r="S648" s="87" t="str">
        <f t="shared" si="53"/>
        <v/>
      </c>
      <c r="T648" s="54"/>
      <c r="U648" s="54"/>
      <c r="V648" s="54"/>
      <c r="W648" s="54"/>
      <c r="X648" s="69" t="str">
        <f t="shared" si="51"/>
        <v>D</v>
      </c>
    </row>
    <row r="649" spans="1:24" s="66" customFormat="1" x14ac:dyDescent="0.25">
      <c r="A649" s="51"/>
      <c r="B649" s="91" t="str">
        <f>IFERROR(VLOOKUP(A649,Lookup!A:B,2,0),"")</f>
        <v/>
      </c>
      <c r="C649" s="92" t="str">
        <f>IFERROR(VLOOKUP(A649,Lookup!A:C,3,0),"")</f>
        <v/>
      </c>
      <c r="D649" s="54"/>
      <c r="E649" s="54"/>
      <c r="F649" s="54"/>
      <c r="G649" s="72"/>
      <c r="H649" s="54"/>
      <c r="I649" s="54"/>
      <c r="J649" s="106">
        <f>VLOOKUP(A649&amp;G649,Lookup!J:N,5,0)</f>
        <v>0</v>
      </c>
      <c r="K649" s="110"/>
      <c r="L649" s="54"/>
      <c r="M649" s="54"/>
      <c r="N649" s="54"/>
      <c r="O649" s="112">
        <v>26.7673611111111</v>
      </c>
      <c r="P649" s="110" t="str">
        <f t="shared" si="50"/>
        <v/>
      </c>
      <c r="Q649" s="54"/>
      <c r="R649" s="87" t="str">
        <f t="shared" si="52"/>
        <v/>
      </c>
      <c r="S649" s="87" t="str">
        <f t="shared" si="53"/>
        <v/>
      </c>
      <c r="T649" s="54"/>
      <c r="U649" s="54"/>
      <c r="V649" s="54"/>
      <c r="W649" s="54"/>
      <c r="X649" s="69" t="str">
        <f t="shared" si="51"/>
        <v>D</v>
      </c>
    </row>
    <row r="650" spans="1:24" s="66" customFormat="1" x14ac:dyDescent="0.25">
      <c r="A650" s="51"/>
      <c r="B650" s="91" t="str">
        <f>IFERROR(VLOOKUP(A650,Lookup!A:B,2,0),"")</f>
        <v/>
      </c>
      <c r="C650" s="92" t="str">
        <f>IFERROR(VLOOKUP(A650,Lookup!A:C,3,0),"")</f>
        <v/>
      </c>
      <c r="D650" s="54"/>
      <c r="E650" s="54"/>
      <c r="F650" s="54"/>
      <c r="G650" s="72"/>
      <c r="H650" s="54"/>
      <c r="I650" s="54"/>
      <c r="J650" s="106">
        <f>VLOOKUP(A650&amp;G650,Lookup!J:N,5,0)</f>
        <v>0</v>
      </c>
      <c r="K650" s="110"/>
      <c r="L650" s="54"/>
      <c r="M650" s="54"/>
      <c r="N650" s="54"/>
      <c r="O650" s="112">
        <v>26.8090277777778</v>
      </c>
      <c r="P650" s="110" t="str">
        <f t="shared" si="50"/>
        <v/>
      </c>
      <c r="Q650" s="54"/>
      <c r="R650" s="87" t="str">
        <f t="shared" si="52"/>
        <v/>
      </c>
      <c r="S650" s="87" t="str">
        <f t="shared" si="53"/>
        <v/>
      </c>
      <c r="T650" s="54"/>
      <c r="U650" s="54"/>
      <c r="V650" s="54"/>
      <c r="W650" s="54"/>
      <c r="X650" s="69" t="str">
        <f t="shared" si="51"/>
        <v>D</v>
      </c>
    </row>
    <row r="651" spans="1:24" s="66" customFormat="1" x14ac:dyDescent="0.25">
      <c r="A651" s="51"/>
      <c r="B651" s="91" t="str">
        <f>IFERROR(VLOOKUP(A651,Lookup!A:B,2,0),"")</f>
        <v/>
      </c>
      <c r="C651" s="92" t="str">
        <f>IFERROR(VLOOKUP(A651,Lookup!A:C,3,0),"")</f>
        <v/>
      </c>
      <c r="D651" s="54"/>
      <c r="E651" s="54"/>
      <c r="F651" s="54"/>
      <c r="G651" s="72"/>
      <c r="H651" s="54"/>
      <c r="I651" s="54"/>
      <c r="J651" s="106">
        <f>VLOOKUP(A651&amp;G651,Lookup!J:N,5,0)</f>
        <v>0</v>
      </c>
      <c r="K651" s="110"/>
      <c r="L651" s="54"/>
      <c r="M651" s="54"/>
      <c r="N651" s="54"/>
      <c r="O651" s="112">
        <v>26.8506944444444</v>
      </c>
      <c r="P651" s="110" t="str">
        <f t="shared" si="50"/>
        <v/>
      </c>
      <c r="Q651" s="54"/>
      <c r="R651" s="87" t="str">
        <f t="shared" si="52"/>
        <v/>
      </c>
      <c r="S651" s="87" t="str">
        <f t="shared" si="53"/>
        <v/>
      </c>
      <c r="T651" s="54"/>
      <c r="U651" s="54"/>
      <c r="V651" s="54"/>
      <c r="W651" s="54"/>
      <c r="X651" s="69" t="str">
        <f t="shared" si="51"/>
        <v>D</v>
      </c>
    </row>
    <row r="652" spans="1:24" s="66" customFormat="1" x14ac:dyDescent="0.25">
      <c r="A652" s="51"/>
      <c r="B652" s="91" t="str">
        <f>IFERROR(VLOOKUP(A652,Lookup!A:B,2,0),"")</f>
        <v/>
      </c>
      <c r="C652" s="92" t="str">
        <f>IFERROR(VLOOKUP(A652,Lookup!A:C,3,0),"")</f>
        <v/>
      </c>
      <c r="D652" s="54"/>
      <c r="E652" s="54"/>
      <c r="F652" s="54"/>
      <c r="G652" s="72"/>
      <c r="H652" s="54"/>
      <c r="I652" s="54"/>
      <c r="J652" s="106">
        <f>VLOOKUP(A652&amp;G652,Lookup!J:N,5,0)</f>
        <v>0</v>
      </c>
      <c r="K652" s="110"/>
      <c r="L652" s="54"/>
      <c r="M652" s="54"/>
      <c r="N652" s="54"/>
      <c r="O652" s="112">
        <v>26.8923611111111</v>
      </c>
      <c r="P652" s="110" t="str">
        <f t="shared" si="50"/>
        <v/>
      </c>
      <c r="Q652" s="54"/>
      <c r="R652" s="87" t="str">
        <f t="shared" si="52"/>
        <v/>
      </c>
      <c r="S652" s="87" t="str">
        <f t="shared" si="53"/>
        <v/>
      </c>
      <c r="T652" s="54"/>
      <c r="U652" s="54"/>
      <c r="V652" s="54"/>
      <c r="W652" s="54"/>
      <c r="X652" s="69" t="str">
        <f t="shared" si="51"/>
        <v>D</v>
      </c>
    </row>
    <row r="653" spans="1:24" s="66" customFormat="1" x14ac:dyDescent="0.25">
      <c r="A653" s="51"/>
      <c r="B653" s="91" t="str">
        <f>IFERROR(VLOOKUP(A653,Lookup!A:B,2,0),"")</f>
        <v/>
      </c>
      <c r="C653" s="92" t="str">
        <f>IFERROR(VLOOKUP(A653,Lookup!A:C,3,0),"")</f>
        <v/>
      </c>
      <c r="D653" s="54"/>
      <c r="E653" s="54"/>
      <c r="F653" s="54"/>
      <c r="G653" s="72"/>
      <c r="H653" s="54"/>
      <c r="I653" s="54"/>
      <c r="J653" s="106">
        <f>VLOOKUP(A653&amp;G653,Lookup!J:N,5,0)</f>
        <v>0</v>
      </c>
      <c r="K653" s="110"/>
      <c r="L653" s="54"/>
      <c r="M653" s="54"/>
      <c r="N653" s="54"/>
      <c r="O653" s="112">
        <v>26.9340277777778</v>
      </c>
      <c r="P653" s="110" t="str">
        <f t="shared" si="50"/>
        <v/>
      </c>
      <c r="Q653" s="54"/>
      <c r="R653" s="87" t="str">
        <f t="shared" si="52"/>
        <v/>
      </c>
      <c r="S653" s="87" t="str">
        <f t="shared" si="53"/>
        <v/>
      </c>
      <c r="T653" s="54"/>
      <c r="U653" s="54"/>
      <c r="V653" s="54"/>
      <c r="W653" s="54"/>
      <c r="X653" s="69" t="str">
        <f t="shared" si="51"/>
        <v>D</v>
      </c>
    </row>
    <row r="654" spans="1:24" s="66" customFormat="1" x14ac:dyDescent="0.25">
      <c r="A654" s="51"/>
      <c r="B654" s="91" t="str">
        <f>IFERROR(VLOOKUP(A654,Lookup!A:B,2,0),"")</f>
        <v/>
      </c>
      <c r="C654" s="92" t="str">
        <f>IFERROR(VLOOKUP(A654,Lookup!A:C,3,0),"")</f>
        <v/>
      </c>
      <c r="D654" s="54"/>
      <c r="E654" s="54"/>
      <c r="F654" s="54"/>
      <c r="G654" s="72"/>
      <c r="H654" s="54"/>
      <c r="I654" s="54"/>
      <c r="J654" s="106">
        <f>VLOOKUP(A654&amp;G654,Lookup!J:N,5,0)</f>
        <v>0</v>
      </c>
      <c r="K654" s="110"/>
      <c r="L654" s="54"/>
      <c r="M654" s="54"/>
      <c r="N654" s="54"/>
      <c r="O654" s="112">
        <v>26.9756944444444</v>
      </c>
      <c r="P654" s="110" t="str">
        <f t="shared" si="50"/>
        <v/>
      </c>
      <c r="Q654" s="54"/>
      <c r="R654" s="87" t="str">
        <f t="shared" si="52"/>
        <v/>
      </c>
      <c r="S654" s="87" t="str">
        <f t="shared" si="53"/>
        <v/>
      </c>
      <c r="T654" s="54"/>
      <c r="U654" s="54"/>
      <c r="V654" s="54"/>
      <c r="W654" s="54"/>
      <c r="X654" s="69" t="str">
        <f t="shared" si="51"/>
        <v>D</v>
      </c>
    </row>
    <row r="655" spans="1:24" s="66" customFormat="1" x14ac:dyDescent="0.25">
      <c r="A655" s="51"/>
      <c r="B655" s="91" t="str">
        <f>IFERROR(VLOOKUP(A655,Lookup!A:B,2,0),"")</f>
        <v/>
      </c>
      <c r="C655" s="92" t="str">
        <f>IFERROR(VLOOKUP(A655,Lookup!A:C,3,0),"")</f>
        <v/>
      </c>
      <c r="D655" s="54"/>
      <c r="E655" s="54"/>
      <c r="F655" s="54"/>
      <c r="G655" s="72"/>
      <c r="H655" s="54"/>
      <c r="I655" s="54"/>
      <c r="J655" s="106">
        <f>VLOOKUP(A655&amp;G655,Lookup!J:N,5,0)</f>
        <v>0</v>
      </c>
      <c r="K655" s="110"/>
      <c r="L655" s="54"/>
      <c r="M655" s="54"/>
      <c r="N655" s="54"/>
      <c r="O655" s="112">
        <v>27.0173611111111</v>
      </c>
      <c r="P655" s="110" t="str">
        <f t="shared" si="50"/>
        <v/>
      </c>
      <c r="Q655" s="54"/>
      <c r="R655" s="87" t="str">
        <f t="shared" si="52"/>
        <v/>
      </c>
      <c r="S655" s="87" t="str">
        <f t="shared" si="53"/>
        <v/>
      </c>
      <c r="T655" s="54"/>
      <c r="U655" s="54"/>
      <c r="V655" s="54"/>
      <c r="W655" s="54"/>
      <c r="X655" s="69" t="str">
        <f t="shared" si="51"/>
        <v>D</v>
      </c>
    </row>
    <row r="656" spans="1:24" s="66" customFormat="1" x14ac:dyDescent="0.25">
      <c r="A656" s="51"/>
      <c r="B656" s="91" t="str">
        <f>IFERROR(VLOOKUP(A656,Lookup!A:B,2,0),"")</f>
        <v/>
      </c>
      <c r="C656" s="92" t="str">
        <f>IFERROR(VLOOKUP(A656,Lookup!A:C,3,0),"")</f>
        <v/>
      </c>
      <c r="D656" s="54"/>
      <c r="E656" s="54"/>
      <c r="F656" s="54"/>
      <c r="G656" s="72"/>
      <c r="H656" s="54"/>
      <c r="I656" s="54"/>
      <c r="J656" s="106">
        <f>VLOOKUP(A656&amp;G656,Lookup!J:N,5,0)</f>
        <v>0</v>
      </c>
      <c r="K656" s="110"/>
      <c r="L656" s="54"/>
      <c r="M656" s="54"/>
      <c r="N656" s="54"/>
      <c r="O656" s="112">
        <v>27.0590277777778</v>
      </c>
      <c r="P656" s="110" t="str">
        <f t="shared" si="50"/>
        <v/>
      </c>
      <c r="Q656" s="54"/>
      <c r="R656" s="87" t="str">
        <f t="shared" si="52"/>
        <v/>
      </c>
      <c r="S656" s="87" t="str">
        <f t="shared" si="53"/>
        <v/>
      </c>
      <c r="T656" s="54"/>
      <c r="U656" s="54"/>
      <c r="V656" s="54"/>
      <c r="W656" s="54"/>
      <c r="X656" s="69" t="str">
        <f t="shared" si="51"/>
        <v>D</v>
      </c>
    </row>
    <row r="657" spans="1:24" s="66" customFormat="1" x14ac:dyDescent="0.25">
      <c r="A657" s="51"/>
      <c r="B657" s="91" t="str">
        <f>IFERROR(VLOOKUP(A657,Lookup!A:B,2,0),"")</f>
        <v/>
      </c>
      <c r="C657" s="92" t="str">
        <f>IFERROR(VLOOKUP(A657,Lookup!A:C,3,0),"")</f>
        <v/>
      </c>
      <c r="D657" s="54"/>
      <c r="E657" s="54"/>
      <c r="F657" s="54"/>
      <c r="G657" s="72"/>
      <c r="H657" s="54"/>
      <c r="I657" s="54"/>
      <c r="J657" s="106">
        <f>VLOOKUP(A657&amp;G657,Lookup!J:N,5,0)</f>
        <v>0</v>
      </c>
      <c r="K657" s="110"/>
      <c r="L657" s="54"/>
      <c r="M657" s="54"/>
      <c r="N657" s="54"/>
      <c r="O657" s="112">
        <v>27.1006944444444</v>
      </c>
      <c r="P657" s="110" t="str">
        <f t="shared" si="50"/>
        <v/>
      </c>
      <c r="Q657" s="54"/>
      <c r="R657" s="87" t="str">
        <f t="shared" si="52"/>
        <v/>
      </c>
      <c r="S657" s="87" t="str">
        <f t="shared" si="53"/>
        <v/>
      </c>
      <c r="T657" s="54"/>
      <c r="U657" s="54"/>
      <c r="V657" s="54"/>
      <c r="W657" s="54"/>
      <c r="X657" s="69" t="str">
        <f t="shared" si="51"/>
        <v>D</v>
      </c>
    </row>
    <row r="658" spans="1:24" s="66" customFormat="1" x14ac:dyDescent="0.25">
      <c r="A658" s="51"/>
      <c r="B658" s="91" t="str">
        <f>IFERROR(VLOOKUP(A658,Lookup!A:B,2,0),"")</f>
        <v/>
      </c>
      <c r="C658" s="92" t="str">
        <f>IFERROR(VLOOKUP(A658,Lookup!A:C,3,0),"")</f>
        <v/>
      </c>
      <c r="D658" s="54"/>
      <c r="E658" s="54"/>
      <c r="F658" s="54"/>
      <c r="G658" s="72"/>
      <c r="H658" s="54"/>
      <c r="I658" s="54"/>
      <c r="J658" s="106">
        <f>VLOOKUP(A658&amp;G658,Lookup!J:N,5,0)</f>
        <v>0</v>
      </c>
      <c r="K658" s="110"/>
      <c r="L658" s="54"/>
      <c r="M658" s="54"/>
      <c r="N658" s="54"/>
      <c r="O658" s="112">
        <v>27.1423611111111</v>
      </c>
      <c r="P658" s="110" t="str">
        <f t="shared" si="50"/>
        <v/>
      </c>
      <c r="Q658" s="54"/>
      <c r="R658" s="87" t="str">
        <f t="shared" si="52"/>
        <v/>
      </c>
      <c r="S658" s="87" t="str">
        <f t="shared" si="53"/>
        <v/>
      </c>
      <c r="T658" s="54"/>
      <c r="U658" s="54"/>
      <c r="V658" s="54"/>
      <c r="W658" s="54"/>
      <c r="X658" s="69" t="str">
        <f t="shared" si="51"/>
        <v>D</v>
      </c>
    </row>
    <row r="659" spans="1:24" s="66" customFormat="1" x14ac:dyDescent="0.25">
      <c r="A659" s="51"/>
      <c r="B659" s="91" t="str">
        <f>IFERROR(VLOOKUP(A659,Lookup!A:B,2,0),"")</f>
        <v/>
      </c>
      <c r="C659" s="92" t="str">
        <f>IFERROR(VLOOKUP(A659,Lookup!A:C,3,0),"")</f>
        <v/>
      </c>
      <c r="D659" s="54"/>
      <c r="E659" s="54"/>
      <c r="F659" s="54"/>
      <c r="G659" s="72"/>
      <c r="H659" s="54"/>
      <c r="I659" s="54"/>
      <c r="J659" s="106">
        <f>VLOOKUP(A659&amp;G659,Lookup!J:N,5,0)</f>
        <v>0</v>
      </c>
      <c r="K659" s="110"/>
      <c r="L659" s="54"/>
      <c r="M659" s="54"/>
      <c r="N659" s="54"/>
      <c r="O659" s="112">
        <v>27.1840277777778</v>
      </c>
      <c r="P659" s="110" t="str">
        <f t="shared" si="50"/>
        <v/>
      </c>
      <c r="Q659" s="54"/>
      <c r="R659" s="87" t="str">
        <f t="shared" si="52"/>
        <v/>
      </c>
      <c r="S659" s="87" t="str">
        <f t="shared" si="53"/>
        <v/>
      </c>
      <c r="T659" s="54"/>
      <c r="U659" s="54"/>
      <c r="V659" s="54"/>
      <c r="W659" s="54"/>
      <c r="X659" s="69" t="str">
        <f t="shared" si="51"/>
        <v>D</v>
      </c>
    </row>
    <row r="660" spans="1:24" s="66" customFormat="1" x14ac:dyDescent="0.25">
      <c r="A660" s="51"/>
      <c r="B660" s="91" t="str">
        <f>IFERROR(VLOOKUP(A660,Lookup!A:B,2,0),"")</f>
        <v/>
      </c>
      <c r="C660" s="92" t="str">
        <f>IFERROR(VLOOKUP(A660,Lookup!A:C,3,0),"")</f>
        <v/>
      </c>
      <c r="D660" s="54"/>
      <c r="E660" s="54"/>
      <c r="F660" s="54"/>
      <c r="G660" s="72"/>
      <c r="H660" s="54"/>
      <c r="I660" s="54"/>
      <c r="J660" s="106">
        <f>VLOOKUP(A660&amp;G660,Lookup!J:N,5,0)</f>
        <v>0</v>
      </c>
      <c r="K660" s="110"/>
      <c r="L660" s="54"/>
      <c r="M660" s="54"/>
      <c r="N660" s="54"/>
      <c r="O660" s="112">
        <v>27.2256944444444</v>
      </c>
      <c r="P660" s="110" t="str">
        <f t="shared" si="50"/>
        <v/>
      </c>
      <c r="Q660" s="54"/>
      <c r="R660" s="87" t="str">
        <f t="shared" si="52"/>
        <v/>
      </c>
      <c r="S660" s="87" t="str">
        <f t="shared" si="53"/>
        <v/>
      </c>
      <c r="T660" s="54"/>
      <c r="U660" s="54"/>
      <c r="V660" s="54"/>
      <c r="W660" s="54"/>
      <c r="X660" s="69" t="str">
        <f t="shared" si="51"/>
        <v>D</v>
      </c>
    </row>
    <row r="661" spans="1:24" s="66" customFormat="1" x14ac:dyDescent="0.25">
      <c r="A661" s="51"/>
      <c r="B661" s="91" t="str">
        <f>IFERROR(VLOOKUP(A661,Lookup!A:B,2,0),"")</f>
        <v/>
      </c>
      <c r="C661" s="92" t="str">
        <f>IFERROR(VLOOKUP(A661,Lookup!A:C,3,0),"")</f>
        <v/>
      </c>
      <c r="D661" s="54"/>
      <c r="E661" s="54"/>
      <c r="F661" s="54"/>
      <c r="G661" s="72"/>
      <c r="H661" s="54"/>
      <c r="I661" s="54"/>
      <c r="J661" s="106">
        <f>VLOOKUP(A661&amp;G661,Lookup!J:N,5,0)</f>
        <v>0</v>
      </c>
      <c r="K661" s="110"/>
      <c r="L661" s="54"/>
      <c r="M661" s="54"/>
      <c r="N661" s="54"/>
      <c r="O661" s="112">
        <v>27.2673611111111</v>
      </c>
      <c r="P661" s="110" t="str">
        <f t="shared" si="50"/>
        <v/>
      </c>
      <c r="Q661" s="54"/>
      <c r="R661" s="87" t="str">
        <f t="shared" si="52"/>
        <v/>
      </c>
      <c r="S661" s="87" t="str">
        <f t="shared" si="53"/>
        <v/>
      </c>
      <c r="T661" s="54"/>
      <c r="U661" s="54"/>
      <c r="V661" s="54"/>
      <c r="W661" s="54"/>
      <c r="X661" s="69" t="str">
        <f t="shared" si="51"/>
        <v>D</v>
      </c>
    </row>
    <row r="662" spans="1:24" s="66" customFormat="1" x14ac:dyDescent="0.25">
      <c r="A662" s="51"/>
      <c r="B662" s="91" t="str">
        <f>IFERROR(VLOOKUP(A662,Lookup!A:B,2,0),"")</f>
        <v/>
      </c>
      <c r="C662" s="92" t="str">
        <f>IFERROR(VLOOKUP(A662,Lookup!A:C,3,0),"")</f>
        <v/>
      </c>
      <c r="D662" s="54"/>
      <c r="E662" s="54"/>
      <c r="F662" s="54"/>
      <c r="G662" s="72"/>
      <c r="H662" s="54"/>
      <c r="I662" s="54"/>
      <c r="J662" s="106">
        <f>VLOOKUP(A662&amp;G662,Lookup!J:N,5,0)</f>
        <v>0</v>
      </c>
      <c r="K662" s="110"/>
      <c r="L662" s="54"/>
      <c r="M662" s="54"/>
      <c r="N662" s="54"/>
      <c r="O662" s="112">
        <v>27.3090277777778</v>
      </c>
      <c r="P662" s="110" t="str">
        <f t="shared" si="50"/>
        <v/>
      </c>
      <c r="Q662" s="54"/>
      <c r="R662" s="87" t="str">
        <f t="shared" si="52"/>
        <v/>
      </c>
      <c r="S662" s="87" t="str">
        <f t="shared" si="53"/>
        <v/>
      </c>
      <c r="T662" s="54"/>
      <c r="U662" s="54"/>
      <c r="V662" s="54"/>
      <c r="W662" s="54"/>
      <c r="X662" s="69" t="str">
        <f t="shared" si="51"/>
        <v>D</v>
      </c>
    </row>
    <row r="663" spans="1:24" s="66" customFormat="1" x14ac:dyDescent="0.25">
      <c r="A663" s="51"/>
      <c r="B663" s="91" t="str">
        <f>IFERROR(VLOOKUP(A663,Lookup!A:B,2,0),"")</f>
        <v/>
      </c>
      <c r="C663" s="92" t="str">
        <f>IFERROR(VLOOKUP(A663,Lookup!A:C,3,0),"")</f>
        <v/>
      </c>
      <c r="D663" s="54"/>
      <c r="E663" s="54"/>
      <c r="F663" s="54"/>
      <c r="G663" s="72"/>
      <c r="H663" s="54"/>
      <c r="I663" s="54"/>
      <c r="J663" s="106">
        <f>VLOOKUP(A663&amp;G663,Lookup!J:N,5,0)</f>
        <v>0</v>
      </c>
      <c r="K663" s="110"/>
      <c r="L663" s="54"/>
      <c r="M663" s="54"/>
      <c r="N663" s="54"/>
      <c r="O663" s="112">
        <v>27.3506944444444</v>
      </c>
      <c r="P663" s="110" t="str">
        <f t="shared" si="50"/>
        <v/>
      </c>
      <c r="Q663" s="54"/>
      <c r="R663" s="87" t="str">
        <f t="shared" si="52"/>
        <v/>
      </c>
      <c r="S663" s="87" t="str">
        <f t="shared" si="53"/>
        <v/>
      </c>
      <c r="T663" s="54"/>
      <c r="U663" s="54"/>
      <c r="V663" s="54"/>
      <c r="W663" s="54"/>
      <c r="X663" s="69" t="str">
        <f t="shared" si="51"/>
        <v>D</v>
      </c>
    </row>
    <row r="664" spans="1:24" s="66" customFormat="1" x14ac:dyDescent="0.25">
      <c r="A664" s="51"/>
      <c r="B664" s="91" t="str">
        <f>IFERROR(VLOOKUP(A664,Lookup!A:B,2,0),"")</f>
        <v/>
      </c>
      <c r="C664" s="92" t="str">
        <f>IFERROR(VLOOKUP(A664,Lookup!A:C,3,0),"")</f>
        <v/>
      </c>
      <c r="D664" s="54"/>
      <c r="E664" s="54"/>
      <c r="F664" s="54"/>
      <c r="G664" s="72"/>
      <c r="H664" s="54"/>
      <c r="I664" s="54"/>
      <c r="J664" s="106">
        <f>VLOOKUP(A664&amp;G664,Lookup!J:N,5,0)</f>
        <v>0</v>
      </c>
      <c r="K664" s="110"/>
      <c r="L664" s="54"/>
      <c r="M664" s="54"/>
      <c r="N664" s="54"/>
      <c r="O664" s="112">
        <v>27.3923611111111</v>
      </c>
      <c r="P664" s="110" t="str">
        <f t="shared" si="50"/>
        <v/>
      </c>
      <c r="Q664" s="54"/>
      <c r="R664" s="87" t="str">
        <f t="shared" si="52"/>
        <v/>
      </c>
      <c r="S664" s="87" t="str">
        <f t="shared" si="53"/>
        <v/>
      </c>
      <c r="T664" s="54"/>
      <c r="U664" s="54"/>
      <c r="V664" s="54"/>
      <c r="W664" s="54"/>
      <c r="X664" s="69" t="str">
        <f t="shared" si="51"/>
        <v>D</v>
      </c>
    </row>
    <row r="665" spans="1:24" s="66" customFormat="1" x14ac:dyDescent="0.25">
      <c r="A665" s="51"/>
      <c r="B665" s="91" t="str">
        <f>IFERROR(VLOOKUP(A665,Lookup!A:B,2,0),"")</f>
        <v/>
      </c>
      <c r="C665" s="92" t="str">
        <f>IFERROR(VLOOKUP(A665,Lookup!A:C,3,0),"")</f>
        <v/>
      </c>
      <c r="D665" s="54"/>
      <c r="E665" s="54"/>
      <c r="F665" s="54"/>
      <c r="G665" s="72"/>
      <c r="H665" s="54"/>
      <c r="I665" s="54"/>
      <c r="J665" s="106">
        <f>VLOOKUP(A665&amp;G665,Lookup!J:N,5,0)</f>
        <v>0</v>
      </c>
      <c r="K665" s="110"/>
      <c r="L665" s="54"/>
      <c r="M665" s="54"/>
      <c r="N665" s="54"/>
      <c r="O665" s="112">
        <v>27.4340277777778</v>
      </c>
      <c r="P665" s="110" t="str">
        <f t="shared" si="50"/>
        <v/>
      </c>
      <c r="Q665" s="54"/>
      <c r="R665" s="87" t="str">
        <f t="shared" si="52"/>
        <v/>
      </c>
      <c r="S665" s="87" t="str">
        <f t="shared" si="53"/>
        <v/>
      </c>
      <c r="T665" s="54"/>
      <c r="U665" s="54"/>
      <c r="V665" s="54"/>
      <c r="W665" s="54"/>
      <c r="X665" s="69" t="str">
        <f t="shared" si="51"/>
        <v>D</v>
      </c>
    </row>
    <row r="666" spans="1:24" s="66" customFormat="1" x14ac:dyDescent="0.25">
      <c r="A666" s="51"/>
      <c r="B666" s="91" t="str">
        <f>IFERROR(VLOOKUP(A666,Lookup!A:B,2,0),"")</f>
        <v/>
      </c>
      <c r="C666" s="92" t="str">
        <f>IFERROR(VLOOKUP(A666,Lookup!A:C,3,0),"")</f>
        <v/>
      </c>
      <c r="D666" s="54"/>
      <c r="E666" s="54"/>
      <c r="F666" s="54"/>
      <c r="G666" s="72"/>
      <c r="H666" s="54"/>
      <c r="I666" s="54"/>
      <c r="J666" s="106">
        <f>VLOOKUP(A666&amp;G666,Lookup!J:N,5,0)</f>
        <v>0</v>
      </c>
      <c r="K666" s="110"/>
      <c r="L666" s="54"/>
      <c r="M666" s="54"/>
      <c r="N666" s="54"/>
      <c r="O666" s="112">
        <v>27.4756944444444</v>
      </c>
      <c r="P666" s="110" t="str">
        <f t="shared" si="50"/>
        <v/>
      </c>
      <c r="Q666" s="54"/>
      <c r="R666" s="87" t="str">
        <f t="shared" si="52"/>
        <v/>
      </c>
      <c r="S666" s="87" t="str">
        <f t="shared" si="53"/>
        <v/>
      </c>
      <c r="T666" s="54"/>
      <c r="U666" s="54"/>
      <c r="V666" s="54"/>
      <c r="W666" s="54"/>
      <c r="X666" s="69" t="str">
        <f t="shared" si="51"/>
        <v>D</v>
      </c>
    </row>
    <row r="667" spans="1:24" s="66" customFormat="1" x14ac:dyDescent="0.25">
      <c r="A667" s="51"/>
      <c r="B667" s="91" t="str">
        <f>IFERROR(VLOOKUP(A667,Lookup!A:B,2,0),"")</f>
        <v/>
      </c>
      <c r="C667" s="92" t="str">
        <f>IFERROR(VLOOKUP(A667,Lookup!A:C,3,0),"")</f>
        <v/>
      </c>
      <c r="D667" s="54"/>
      <c r="E667" s="54"/>
      <c r="F667" s="54"/>
      <c r="G667" s="72"/>
      <c r="H667" s="54"/>
      <c r="I667" s="54"/>
      <c r="J667" s="106">
        <f>VLOOKUP(A667&amp;G667,Lookup!J:N,5,0)</f>
        <v>0</v>
      </c>
      <c r="K667" s="110"/>
      <c r="L667" s="54"/>
      <c r="M667" s="54"/>
      <c r="N667" s="54"/>
      <c r="O667" s="112">
        <v>27.5173611111111</v>
      </c>
      <c r="P667" s="110" t="str">
        <f t="shared" si="50"/>
        <v/>
      </c>
      <c r="Q667" s="54"/>
      <c r="R667" s="87" t="str">
        <f t="shared" si="52"/>
        <v/>
      </c>
      <c r="S667" s="87" t="str">
        <f t="shared" si="53"/>
        <v/>
      </c>
      <c r="T667" s="54"/>
      <c r="U667" s="54"/>
      <c r="V667" s="54"/>
      <c r="W667" s="54"/>
      <c r="X667" s="69" t="str">
        <f t="shared" si="51"/>
        <v>D</v>
      </c>
    </row>
    <row r="668" spans="1:24" s="66" customFormat="1" x14ac:dyDescent="0.25">
      <c r="A668" s="51"/>
      <c r="B668" s="91" t="str">
        <f>IFERROR(VLOOKUP(A668,Lookup!A:B,2,0),"")</f>
        <v/>
      </c>
      <c r="C668" s="92" t="str">
        <f>IFERROR(VLOOKUP(A668,Lookup!A:C,3,0),"")</f>
        <v/>
      </c>
      <c r="D668" s="54"/>
      <c r="E668" s="54"/>
      <c r="F668" s="54"/>
      <c r="G668" s="72"/>
      <c r="H668" s="54"/>
      <c r="I668" s="54"/>
      <c r="J668" s="106">
        <f>VLOOKUP(A668&amp;G668,Lookup!J:N,5,0)</f>
        <v>0</v>
      </c>
      <c r="K668" s="110"/>
      <c r="L668" s="54"/>
      <c r="M668" s="54"/>
      <c r="N668" s="54"/>
      <c r="O668" s="112">
        <v>27.5590277777778</v>
      </c>
      <c r="P668" s="110" t="str">
        <f t="shared" si="50"/>
        <v/>
      </c>
      <c r="Q668" s="54"/>
      <c r="R668" s="87" t="str">
        <f t="shared" si="52"/>
        <v/>
      </c>
      <c r="S668" s="87" t="str">
        <f t="shared" si="53"/>
        <v/>
      </c>
      <c r="T668" s="54"/>
      <c r="U668" s="54"/>
      <c r="V668" s="54"/>
      <c r="W668" s="54"/>
      <c r="X668" s="69" t="str">
        <f t="shared" si="51"/>
        <v>D</v>
      </c>
    </row>
    <row r="669" spans="1:24" s="66" customFormat="1" x14ac:dyDescent="0.25">
      <c r="A669" s="51"/>
      <c r="B669" s="91" t="str">
        <f>IFERROR(VLOOKUP(A669,Lookup!A:B,2,0),"")</f>
        <v/>
      </c>
      <c r="C669" s="92" t="str">
        <f>IFERROR(VLOOKUP(A669,Lookup!A:C,3,0),"")</f>
        <v/>
      </c>
      <c r="D669" s="54"/>
      <c r="E669" s="54"/>
      <c r="F669" s="54"/>
      <c r="G669" s="72"/>
      <c r="H669" s="54"/>
      <c r="I669" s="54"/>
      <c r="J669" s="106">
        <f>VLOOKUP(A669&amp;G669,Lookup!J:N,5,0)</f>
        <v>0</v>
      </c>
      <c r="K669" s="110"/>
      <c r="L669" s="54"/>
      <c r="M669" s="54"/>
      <c r="N669" s="54"/>
      <c r="O669" s="112">
        <v>27.6006944444444</v>
      </c>
      <c r="P669" s="110" t="str">
        <f t="shared" si="50"/>
        <v/>
      </c>
      <c r="Q669" s="54"/>
      <c r="R669" s="87" t="str">
        <f t="shared" si="52"/>
        <v/>
      </c>
      <c r="S669" s="87" t="str">
        <f t="shared" si="53"/>
        <v/>
      </c>
      <c r="T669" s="54"/>
      <c r="U669" s="54"/>
      <c r="V669" s="54"/>
      <c r="W669" s="54"/>
      <c r="X669" s="69" t="str">
        <f t="shared" si="51"/>
        <v>D</v>
      </c>
    </row>
    <row r="670" spans="1:24" s="66" customFormat="1" x14ac:dyDescent="0.25">
      <c r="A670" s="51"/>
      <c r="B670" s="91" t="str">
        <f>IFERROR(VLOOKUP(A670,Lookup!A:B,2,0),"")</f>
        <v/>
      </c>
      <c r="C670" s="92" t="str">
        <f>IFERROR(VLOOKUP(A670,Lookup!A:C,3,0),"")</f>
        <v/>
      </c>
      <c r="D670" s="54"/>
      <c r="E670" s="54"/>
      <c r="F670" s="54"/>
      <c r="G670" s="72"/>
      <c r="H670" s="54"/>
      <c r="I670" s="54"/>
      <c r="J670" s="106">
        <f>VLOOKUP(A670&amp;G670,Lookup!J:N,5,0)</f>
        <v>0</v>
      </c>
      <c r="K670" s="110"/>
      <c r="L670" s="54"/>
      <c r="M670" s="54"/>
      <c r="N670" s="54"/>
      <c r="O670" s="112">
        <v>27.6423611111111</v>
      </c>
      <c r="P670" s="110" t="str">
        <f t="shared" si="50"/>
        <v/>
      </c>
      <c r="Q670" s="54"/>
      <c r="R670" s="87" t="str">
        <f t="shared" si="52"/>
        <v/>
      </c>
      <c r="S670" s="87" t="str">
        <f t="shared" si="53"/>
        <v/>
      </c>
      <c r="T670" s="54"/>
      <c r="U670" s="54"/>
      <c r="V670" s="54"/>
      <c r="W670" s="54"/>
      <c r="X670" s="69" t="str">
        <f t="shared" si="51"/>
        <v>D</v>
      </c>
    </row>
    <row r="671" spans="1:24" s="66" customFormat="1" x14ac:dyDescent="0.25">
      <c r="A671" s="51"/>
      <c r="B671" s="91" t="str">
        <f>IFERROR(VLOOKUP(A671,Lookup!A:B,2,0),"")</f>
        <v/>
      </c>
      <c r="C671" s="92" t="str">
        <f>IFERROR(VLOOKUP(A671,Lookup!A:C,3,0),"")</f>
        <v/>
      </c>
      <c r="D671" s="54"/>
      <c r="E671" s="54"/>
      <c r="F671" s="54"/>
      <c r="G671" s="72"/>
      <c r="H671" s="54"/>
      <c r="I671" s="54"/>
      <c r="J671" s="106">
        <f>VLOOKUP(A671&amp;G671,Lookup!J:N,5,0)</f>
        <v>0</v>
      </c>
      <c r="K671" s="110"/>
      <c r="L671" s="54"/>
      <c r="M671" s="54"/>
      <c r="N671" s="54"/>
      <c r="O671" s="112">
        <v>27.6840277777778</v>
      </c>
      <c r="P671" s="110" t="str">
        <f t="shared" si="50"/>
        <v/>
      </c>
      <c r="Q671" s="54"/>
      <c r="R671" s="87" t="str">
        <f t="shared" si="52"/>
        <v/>
      </c>
      <c r="S671" s="87" t="str">
        <f t="shared" si="53"/>
        <v/>
      </c>
      <c r="T671" s="54"/>
      <c r="U671" s="54"/>
      <c r="V671" s="54"/>
      <c r="W671" s="54"/>
      <c r="X671" s="69" t="str">
        <f t="shared" si="51"/>
        <v>D</v>
      </c>
    </row>
    <row r="672" spans="1:24" s="66" customFormat="1" x14ac:dyDescent="0.25">
      <c r="A672" s="51"/>
      <c r="B672" s="91" t="str">
        <f>IFERROR(VLOOKUP(A672,Lookup!A:B,2,0),"")</f>
        <v/>
      </c>
      <c r="C672" s="92" t="str">
        <f>IFERROR(VLOOKUP(A672,Lookup!A:C,3,0),"")</f>
        <v/>
      </c>
      <c r="D672" s="54"/>
      <c r="E672" s="54"/>
      <c r="F672" s="54"/>
      <c r="G672" s="72"/>
      <c r="H672" s="54"/>
      <c r="I672" s="54"/>
      <c r="J672" s="106">
        <f>VLOOKUP(A672&amp;G672,Lookup!J:N,5,0)</f>
        <v>0</v>
      </c>
      <c r="K672" s="110"/>
      <c r="L672" s="54"/>
      <c r="M672" s="54"/>
      <c r="N672" s="54"/>
      <c r="O672" s="112">
        <v>27.7256944444444</v>
      </c>
      <c r="P672" s="110" t="str">
        <f t="shared" si="50"/>
        <v/>
      </c>
      <c r="Q672" s="54"/>
      <c r="R672" s="87" t="str">
        <f t="shared" si="52"/>
        <v/>
      </c>
      <c r="S672" s="87" t="str">
        <f t="shared" si="53"/>
        <v/>
      </c>
      <c r="T672" s="54"/>
      <c r="U672" s="54"/>
      <c r="V672" s="54"/>
      <c r="W672" s="54"/>
      <c r="X672" s="69" t="str">
        <f t="shared" si="51"/>
        <v>D</v>
      </c>
    </row>
    <row r="673" spans="1:24" s="66" customFormat="1" x14ac:dyDescent="0.25">
      <c r="A673" s="51"/>
      <c r="B673" s="91" t="str">
        <f>IFERROR(VLOOKUP(A673,Lookup!A:B,2,0),"")</f>
        <v/>
      </c>
      <c r="C673" s="92" t="str">
        <f>IFERROR(VLOOKUP(A673,Lookup!A:C,3,0),"")</f>
        <v/>
      </c>
      <c r="D673" s="54"/>
      <c r="E673" s="54"/>
      <c r="F673" s="54"/>
      <c r="G673" s="72"/>
      <c r="H673" s="54"/>
      <c r="I673" s="54"/>
      <c r="J673" s="106">
        <f>VLOOKUP(A673&amp;G673,Lookup!J:N,5,0)</f>
        <v>0</v>
      </c>
      <c r="K673" s="110"/>
      <c r="L673" s="54"/>
      <c r="M673" s="54"/>
      <c r="N673" s="54"/>
      <c r="O673" s="112">
        <v>27.7673611111111</v>
      </c>
      <c r="P673" s="110" t="str">
        <f t="shared" si="50"/>
        <v/>
      </c>
      <c r="Q673" s="54"/>
      <c r="R673" s="87" t="str">
        <f t="shared" si="52"/>
        <v/>
      </c>
      <c r="S673" s="87" t="str">
        <f t="shared" si="53"/>
        <v/>
      </c>
      <c r="T673" s="54"/>
      <c r="U673" s="54"/>
      <c r="V673" s="54"/>
      <c r="W673" s="54"/>
      <c r="X673" s="69" t="str">
        <f t="shared" si="51"/>
        <v>D</v>
      </c>
    </row>
    <row r="674" spans="1:24" s="66" customFormat="1" x14ac:dyDescent="0.25">
      <c r="A674" s="51"/>
      <c r="B674" s="91" t="str">
        <f>IFERROR(VLOOKUP(A674,Lookup!A:B,2,0),"")</f>
        <v/>
      </c>
      <c r="C674" s="92" t="str">
        <f>IFERROR(VLOOKUP(A674,Lookup!A:C,3,0),"")</f>
        <v/>
      </c>
      <c r="D674" s="54"/>
      <c r="E674" s="54"/>
      <c r="F674" s="54"/>
      <c r="G674" s="72"/>
      <c r="H674" s="54"/>
      <c r="I674" s="54"/>
      <c r="J674" s="106">
        <f>VLOOKUP(A674&amp;G674,Lookup!J:N,5,0)</f>
        <v>0</v>
      </c>
      <c r="K674" s="110"/>
      <c r="L674" s="54"/>
      <c r="M674" s="54"/>
      <c r="N674" s="54"/>
      <c r="O674" s="112">
        <v>27.8090277777778</v>
      </c>
      <c r="P674" s="110" t="str">
        <f t="shared" si="50"/>
        <v/>
      </c>
      <c r="Q674" s="54"/>
      <c r="R674" s="87" t="str">
        <f t="shared" si="52"/>
        <v/>
      </c>
      <c r="S674" s="87" t="str">
        <f t="shared" si="53"/>
        <v/>
      </c>
      <c r="T674" s="54"/>
      <c r="U674" s="54"/>
      <c r="V674" s="54"/>
      <c r="W674" s="54"/>
      <c r="X674" s="69" t="str">
        <f t="shared" si="51"/>
        <v>D</v>
      </c>
    </row>
    <row r="675" spans="1:24" s="66" customFormat="1" x14ac:dyDescent="0.25">
      <c r="A675" s="51"/>
      <c r="B675" s="91" t="str">
        <f>IFERROR(VLOOKUP(A675,Lookup!A:B,2,0),"")</f>
        <v/>
      </c>
      <c r="C675" s="92" t="str">
        <f>IFERROR(VLOOKUP(A675,Lookup!A:C,3,0),"")</f>
        <v/>
      </c>
      <c r="D675" s="54"/>
      <c r="E675" s="54"/>
      <c r="F675" s="54"/>
      <c r="G675" s="72"/>
      <c r="H675" s="54"/>
      <c r="I675" s="54"/>
      <c r="J675" s="106">
        <f>VLOOKUP(A675&amp;G675,Lookup!J:N,5,0)</f>
        <v>0</v>
      </c>
      <c r="K675" s="110"/>
      <c r="L675" s="54"/>
      <c r="M675" s="54"/>
      <c r="N675" s="54"/>
      <c r="O675" s="112">
        <v>27.8506944444444</v>
      </c>
      <c r="P675" s="110" t="str">
        <f t="shared" si="50"/>
        <v/>
      </c>
      <c r="Q675" s="54"/>
      <c r="R675" s="87" t="str">
        <f t="shared" si="52"/>
        <v/>
      </c>
      <c r="S675" s="87" t="str">
        <f t="shared" si="53"/>
        <v/>
      </c>
      <c r="T675" s="54"/>
      <c r="U675" s="54"/>
      <c r="V675" s="54"/>
      <c r="W675" s="54"/>
      <c r="X675" s="69" t="str">
        <f t="shared" si="51"/>
        <v>D</v>
      </c>
    </row>
    <row r="676" spans="1:24" s="66" customFormat="1" x14ac:dyDescent="0.25">
      <c r="A676" s="51"/>
      <c r="B676" s="91" t="str">
        <f>IFERROR(VLOOKUP(A676,Lookup!A:B,2,0),"")</f>
        <v/>
      </c>
      <c r="C676" s="92" t="str">
        <f>IFERROR(VLOOKUP(A676,Lookup!A:C,3,0),"")</f>
        <v/>
      </c>
      <c r="D676" s="54"/>
      <c r="E676" s="54"/>
      <c r="F676" s="54"/>
      <c r="G676" s="72"/>
      <c r="H676" s="54"/>
      <c r="I676" s="54"/>
      <c r="J676" s="106">
        <f>VLOOKUP(A676&amp;G676,Lookup!J:N,5,0)</f>
        <v>0</v>
      </c>
      <c r="K676" s="110"/>
      <c r="L676" s="54"/>
      <c r="M676" s="54"/>
      <c r="N676" s="54"/>
      <c r="O676" s="112">
        <v>27.8923611111111</v>
      </c>
      <c r="P676" s="110" t="str">
        <f t="shared" si="50"/>
        <v/>
      </c>
      <c r="Q676" s="54"/>
      <c r="R676" s="87" t="str">
        <f t="shared" si="52"/>
        <v/>
      </c>
      <c r="S676" s="87" t="str">
        <f t="shared" si="53"/>
        <v/>
      </c>
      <c r="T676" s="54"/>
      <c r="U676" s="54"/>
      <c r="V676" s="54"/>
      <c r="W676" s="54"/>
      <c r="X676" s="69" t="str">
        <f t="shared" si="51"/>
        <v>D</v>
      </c>
    </row>
    <row r="677" spans="1:24" s="66" customFormat="1" x14ac:dyDescent="0.25">
      <c r="A677" s="51"/>
      <c r="B677" s="91" t="str">
        <f>IFERROR(VLOOKUP(A677,Lookup!A:B,2,0),"")</f>
        <v/>
      </c>
      <c r="C677" s="92" t="str">
        <f>IFERROR(VLOOKUP(A677,Lookup!A:C,3,0),"")</f>
        <v/>
      </c>
      <c r="D677" s="54"/>
      <c r="E677" s="54"/>
      <c r="F677" s="54"/>
      <c r="G677" s="72"/>
      <c r="H677" s="54"/>
      <c r="I677" s="54"/>
      <c r="J677" s="106">
        <f>VLOOKUP(A677&amp;G677,Lookup!J:N,5,0)</f>
        <v>0</v>
      </c>
      <c r="K677" s="110"/>
      <c r="L677" s="54"/>
      <c r="M677" s="54"/>
      <c r="N677" s="54"/>
      <c r="O677" s="112">
        <v>27.9340277777778</v>
      </c>
      <c r="P677" s="110" t="str">
        <f t="shared" si="50"/>
        <v/>
      </c>
      <c r="Q677" s="54"/>
      <c r="R677" s="87" t="str">
        <f t="shared" si="52"/>
        <v/>
      </c>
      <c r="S677" s="87" t="str">
        <f t="shared" si="53"/>
        <v/>
      </c>
      <c r="T677" s="54"/>
      <c r="U677" s="54"/>
      <c r="V677" s="54"/>
      <c r="W677" s="54"/>
      <c r="X677" s="69" t="str">
        <f t="shared" si="51"/>
        <v>D</v>
      </c>
    </row>
    <row r="678" spans="1:24" s="66" customFormat="1" x14ac:dyDescent="0.25">
      <c r="A678" s="51"/>
      <c r="B678" s="91" t="str">
        <f>IFERROR(VLOOKUP(A678,Lookup!A:B,2,0),"")</f>
        <v/>
      </c>
      <c r="C678" s="92" t="str">
        <f>IFERROR(VLOOKUP(A678,Lookup!A:C,3,0),"")</f>
        <v/>
      </c>
      <c r="D678" s="54"/>
      <c r="E678" s="54"/>
      <c r="F678" s="54"/>
      <c r="G678" s="72"/>
      <c r="H678" s="54"/>
      <c r="I678" s="54"/>
      <c r="J678" s="106">
        <f>VLOOKUP(A678&amp;G678,Lookup!J:N,5,0)</f>
        <v>0</v>
      </c>
      <c r="K678" s="110"/>
      <c r="L678" s="54"/>
      <c r="M678" s="54"/>
      <c r="N678" s="54"/>
      <c r="O678" s="112">
        <v>27.9756944444444</v>
      </c>
      <c r="P678" s="110" t="str">
        <f t="shared" si="50"/>
        <v/>
      </c>
      <c r="Q678" s="54"/>
      <c r="R678" s="87" t="str">
        <f t="shared" si="52"/>
        <v/>
      </c>
      <c r="S678" s="87" t="str">
        <f t="shared" si="53"/>
        <v/>
      </c>
      <c r="T678" s="54"/>
      <c r="U678" s="54"/>
      <c r="V678" s="54"/>
      <c r="W678" s="54"/>
      <c r="X678" s="69" t="str">
        <f t="shared" si="51"/>
        <v>D</v>
      </c>
    </row>
    <row r="679" spans="1:24" s="66" customFormat="1" x14ac:dyDescent="0.25">
      <c r="A679" s="51"/>
      <c r="B679" s="91" t="str">
        <f>IFERROR(VLOOKUP(A679,Lookup!A:B,2,0),"")</f>
        <v/>
      </c>
      <c r="C679" s="92" t="str">
        <f>IFERROR(VLOOKUP(A679,Lookup!A:C,3,0),"")</f>
        <v/>
      </c>
      <c r="D679" s="54"/>
      <c r="E679" s="54"/>
      <c r="F679" s="54"/>
      <c r="G679" s="72"/>
      <c r="H679" s="54"/>
      <c r="I679" s="54"/>
      <c r="J679" s="106">
        <f>VLOOKUP(A679&amp;G679,Lookup!J:N,5,0)</f>
        <v>0</v>
      </c>
      <c r="K679" s="110"/>
      <c r="L679" s="54"/>
      <c r="M679" s="54"/>
      <c r="N679" s="54"/>
      <c r="O679" s="112">
        <v>28.0173611111111</v>
      </c>
      <c r="P679" s="110" t="str">
        <f t="shared" si="50"/>
        <v/>
      </c>
      <c r="Q679" s="54"/>
      <c r="R679" s="87" t="str">
        <f t="shared" si="52"/>
        <v/>
      </c>
      <c r="S679" s="87" t="str">
        <f t="shared" si="53"/>
        <v/>
      </c>
      <c r="T679" s="54"/>
      <c r="U679" s="54"/>
      <c r="V679" s="54"/>
      <c r="W679" s="54"/>
      <c r="X679" s="69" t="str">
        <f t="shared" si="51"/>
        <v>D</v>
      </c>
    </row>
    <row r="680" spans="1:24" s="66" customFormat="1" x14ac:dyDescent="0.25">
      <c r="A680" s="51"/>
      <c r="B680" s="91" t="str">
        <f>IFERROR(VLOOKUP(A680,Lookup!A:B,2,0),"")</f>
        <v/>
      </c>
      <c r="C680" s="92" t="str">
        <f>IFERROR(VLOOKUP(A680,Lookup!A:C,3,0),"")</f>
        <v/>
      </c>
      <c r="D680" s="54"/>
      <c r="E680" s="54"/>
      <c r="F680" s="54"/>
      <c r="G680" s="72"/>
      <c r="H680" s="54"/>
      <c r="I680" s="54"/>
      <c r="J680" s="106">
        <f>VLOOKUP(A680&amp;G680,Lookup!J:N,5,0)</f>
        <v>0</v>
      </c>
      <c r="K680" s="115"/>
      <c r="L680" s="54"/>
      <c r="M680" s="54"/>
      <c r="N680" s="54"/>
      <c r="O680" s="112">
        <v>28.0590277777778</v>
      </c>
      <c r="P680" s="110" t="str">
        <f t="shared" si="50"/>
        <v/>
      </c>
      <c r="Q680" s="54"/>
      <c r="R680" s="87" t="str">
        <f t="shared" si="52"/>
        <v/>
      </c>
      <c r="S680" s="87" t="str">
        <f t="shared" si="53"/>
        <v/>
      </c>
      <c r="T680" s="54"/>
      <c r="U680" s="54"/>
      <c r="V680" s="54"/>
      <c r="W680" s="54"/>
      <c r="X680" s="69" t="str">
        <f t="shared" si="51"/>
        <v>D</v>
      </c>
    </row>
    <row r="681" spans="1:24" s="66" customFormat="1" x14ac:dyDescent="0.25">
      <c r="A681" s="51"/>
      <c r="B681" s="91" t="str">
        <f>IFERROR(VLOOKUP(A681,Lookup!A:B,2,0),"")</f>
        <v/>
      </c>
      <c r="C681" s="92" t="str">
        <f>IFERROR(VLOOKUP(A681,Lookup!A:C,3,0),"")</f>
        <v/>
      </c>
      <c r="D681" s="54"/>
      <c r="E681" s="54"/>
      <c r="F681" s="54"/>
      <c r="G681" s="72"/>
      <c r="H681" s="54"/>
      <c r="I681" s="54"/>
      <c r="J681" s="106">
        <f>VLOOKUP(A681&amp;G681,Lookup!J:N,5,0)</f>
        <v>0</v>
      </c>
      <c r="K681" s="115"/>
      <c r="L681" s="54"/>
      <c r="M681" s="54"/>
      <c r="N681" s="54"/>
      <c r="O681" s="112">
        <v>28.1006944444444</v>
      </c>
      <c r="P681" s="110" t="str">
        <f t="shared" si="50"/>
        <v/>
      </c>
      <c r="Q681" s="54"/>
      <c r="R681" s="87" t="str">
        <f t="shared" si="52"/>
        <v/>
      </c>
      <c r="S681" s="87" t="str">
        <f t="shared" si="53"/>
        <v/>
      </c>
      <c r="T681" s="54"/>
      <c r="U681" s="54"/>
      <c r="V681" s="54"/>
      <c r="W681" s="54"/>
      <c r="X681" s="69" t="str">
        <f t="shared" si="51"/>
        <v>D</v>
      </c>
    </row>
    <row r="682" spans="1:24" s="66" customFormat="1" x14ac:dyDescent="0.25">
      <c r="A682" s="51"/>
      <c r="B682" s="91" t="str">
        <f>IFERROR(VLOOKUP(A682,Lookup!A:B,2,0),"")</f>
        <v/>
      </c>
      <c r="C682" s="92" t="str">
        <f>IFERROR(VLOOKUP(A682,Lookup!A:C,3,0),"")</f>
        <v/>
      </c>
      <c r="D682" s="54"/>
      <c r="E682" s="54"/>
      <c r="F682" s="54"/>
      <c r="G682" s="72"/>
      <c r="H682" s="54"/>
      <c r="I682" s="54"/>
      <c r="J682" s="106">
        <f>VLOOKUP(A682&amp;G682,Lookup!J:N,5,0)</f>
        <v>0</v>
      </c>
      <c r="K682" s="115"/>
      <c r="L682" s="54"/>
      <c r="M682" s="54"/>
      <c r="N682" s="54"/>
      <c r="O682" s="112">
        <v>28.1423611111111</v>
      </c>
      <c r="P682" s="110" t="str">
        <f t="shared" si="50"/>
        <v/>
      </c>
      <c r="Q682" s="54"/>
      <c r="R682" s="87" t="str">
        <f t="shared" si="52"/>
        <v/>
      </c>
      <c r="S682" s="87" t="str">
        <f t="shared" si="53"/>
        <v/>
      </c>
      <c r="T682" s="54"/>
      <c r="U682" s="54"/>
      <c r="V682" s="54"/>
      <c r="W682" s="54"/>
      <c r="X682" s="69" t="str">
        <f t="shared" si="51"/>
        <v>D</v>
      </c>
    </row>
    <row r="683" spans="1:24" s="66" customFormat="1" x14ac:dyDescent="0.25">
      <c r="A683" s="51"/>
      <c r="B683" s="91" t="str">
        <f>IFERROR(VLOOKUP(A683,Lookup!A:B,2,0),"")</f>
        <v/>
      </c>
      <c r="C683" s="92" t="str">
        <f>IFERROR(VLOOKUP(A683,Lookup!A:C,3,0),"")</f>
        <v/>
      </c>
      <c r="D683" s="54"/>
      <c r="E683" s="54"/>
      <c r="F683" s="54"/>
      <c r="G683" s="72"/>
      <c r="H683" s="54"/>
      <c r="I683" s="54"/>
      <c r="J683" s="106">
        <f>VLOOKUP(A683&amp;G683,Lookup!J:N,5,0)</f>
        <v>0</v>
      </c>
      <c r="K683" s="115"/>
      <c r="L683" s="54"/>
      <c r="M683" s="54"/>
      <c r="N683" s="54"/>
      <c r="O683" s="112">
        <v>28.1840277777778</v>
      </c>
      <c r="P683" s="110" t="str">
        <f t="shared" si="50"/>
        <v/>
      </c>
      <c r="Q683" s="54"/>
      <c r="R683" s="87" t="str">
        <f t="shared" si="52"/>
        <v/>
      </c>
      <c r="S683" s="87" t="str">
        <f t="shared" si="53"/>
        <v/>
      </c>
      <c r="T683" s="54"/>
      <c r="U683" s="54"/>
      <c r="V683" s="54"/>
      <c r="W683" s="54"/>
      <c r="X683" s="69" t="str">
        <f t="shared" si="51"/>
        <v>D</v>
      </c>
    </row>
    <row r="684" spans="1:24" s="66" customFormat="1" x14ac:dyDescent="0.25">
      <c r="A684" s="51"/>
      <c r="B684" s="91" t="str">
        <f>IFERROR(VLOOKUP(A684,Lookup!A:B,2,0),"")</f>
        <v/>
      </c>
      <c r="C684" s="92" t="str">
        <f>IFERROR(VLOOKUP(A684,Lookup!A:C,3,0),"")</f>
        <v/>
      </c>
      <c r="D684" s="54"/>
      <c r="E684" s="54"/>
      <c r="F684" s="54"/>
      <c r="G684" s="72"/>
      <c r="H684" s="54"/>
      <c r="I684" s="54"/>
      <c r="J684" s="106">
        <f>VLOOKUP(A684&amp;G684,Lookup!J:N,5,0)</f>
        <v>0</v>
      </c>
      <c r="K684" s="115"/>
      <c r="L684" s="54"/>
      <c r="M684" s="54"/>
      <c r="N684" s="54"/>
      <c r="O684" s="112">
        <v>28.2256944444444</v>
      </c>
      <c r="P684" s="110" t="str">
        <f t="shared" si="50"/>
        <v/>
      </c>
      <c r="Q684" s="54"/>
      <c r="R684" s="87" t="str">
        <f t="shared" si="52"/>
        <v/>
      </c>
      <c r="S684" s="87" t="str">
        <f t="shared" si="53"/>
        <v/>
      </c>
      <c r="T684" s="54"/>
      <c r="U684" s="54"/>
      <c r="V684" s="54"/>
      <c r="W684" s="54"/>
      <c r="X684" s="69" t="str">
        <f t="shared" si="51"/>
        <v>D</v>
      </c>
    </row>
    <row r="685" spans="1:24" s="66" customFormat="1" x14ac:dyDescent="0.25">
      <c r="A685" s="51"/>
      <c r="B685" s="91" t="str">
        <f>IFERROR(VLOOKUP(A685,Lookup!A:B,2,0),"")</f>
        <v/>
      </c>
      <c r="C685" s="92" t="str">
        <f>IFERROR(VLOOKUP(A685,Lookup!A:C,3,0),"")</f>
        <v/>
      </c>
      <c r="D685" s="54"/>
      <c r="E685" s="54"/>
      <c r="F685" s="54"/>
      <c r="G685" s="72"/>
      <c r="H685" s="54"/>
      <c r="I685" s="54"/>
      <c r="J685" s="106">
        <f>VLOOKUP(A685&amp;G685,Lookup!J:N,5,0)</f>
        <v>0</v>
      </c>
      <c r="K685" s="115"/>
      <c r="L685" s="54"/>
      <c r="M685" s="54"/>
      <c r="N685" s="54"/>
      <c r="O685" s="112">
        <v>28.2673611111111</v>
      </c>
      <c r="P685" s="110" t="str">
        <f t="shared" si="50"/>
        <v/>
      </c>
      <c r="Q685" s="54"/>
      <c r="R685" s="87" t="str">
        <f t="shared" si="52"/>
        <v/>
      </c>
      <c r="S685" s="87" t="str">
        <f t="shared" si="53"/>
        <v/>
      </c>
      <c r="T685" s="54"/>
      <c r="U685" s="54"/>
      <c r="V685" s="54"/>
      <c r="W685" s="54"/>
      <c r="X685" s="69" t="str">
        <f t="shared" si="51"/>
        <v>D</v>
      </c>
    </row>
    <row r="686" spans="1:24" s="66" customFormat="1" x14ac:dyDescent="0.25">
      <c r="A686" s="51"/>
      <c r="B686" s="91" t="str">
        <f>IFERROR(VLOOKUP(A686,Lookup!A:B,2,0),"")</f>
        <v/>
      </c>
      <c r="C686" s="92" t="str">
        <f>IFERROR(VLOOKUP(A686,Lookup!A:C,3,0),"")</f>
        <v/>
      </c>
      <c r="D686" s="54"/>
      <c r="E686" s="54"/>
      <c r="F686" s="54"/>
      <c r="G686" s="72"/>
      <c r="H686" s="54"/>
      <c r="I686" s="54"/>
      <c r="J686" s="106">
        <f>VLOOKUP(A686&amp;G686,Lookup!J:N,5,0)</f>
        <v>0</v>
      </c>
      <c r="K686" s="115"/>
      <c r="L686" s="54"/>
      <c r="M686" s="54"/>
      <c r="N686" s="54"/>
      <c r="O686" s="112">
        <v>28.3090277777778</v>
      </c>
      <c r="P686" s="110" t="str">
        <f t="shared" si="50"/>
        <v/>
      </c>
      <c r="Q686" s="54"/>
      <c r="R686" s="87" t="str">
        <f t="shared" si="52"/>
        <v/>
      </c>
      <c r="S686" s="87" t="str">
        <f t="shared" si="53"/>
        <v/>
      </c>
      <c r="T686" s="54"/>
      <c r="U686" s="54"/>
      <c r="V686" s="54"/>
      <c r="W686" s="54"/>
      <c r="X686" s="69" t="str">
        <f t="shared" si="51"/>
        <v>D</v>
      </c>
    </row>
    <row r="687" spans="1:24" s="66" customFormat="1" x14ac:dyDescent="0.25">
      <c r="A687" s="51"/>
      <c r="B687" s="91" t="str">
        <f>IFERROR(VLOOKUP(A687,Lookup!A:B,2,0),"")</f>
        <v/>
      </c>
      <c r="C687" s="92" t="str">
        <f>IFERROR(VLOOKUP(A687,Lookup!A:C,3,0),"")</f>
        <v/>
      </c>
      <c r="D687" s="54"/>
      <c r="E687" s="54"/>
      <c r="F687" s="54"/>
      <c r="G687" s="72"/>
      <c r="H687" s="54"/>
      <c r="I687" s="54"/>
      <c r="J687" s="106">
        <f>VLOOKUP(A687&amp;G687,Lookup!J:N,5,0)</f>
        <v>0</v>
      </c>
      <c r="K687" s="115"/>
      <c r="L687" s="54"/>
      <c r="M687" s="54"/>
      <c r="N687" s="54"/>
      <c r="O687" s="112">
        <v>28.3506944444444</v>
      </c>
      <c r="P687" s="110" t="str">
        <f t="shared" si="50"/>
        <v/>
      </c>
      <c r="Q687" s="54"/>
      <c r="R687" s="87" t="str">
        <f t="shared" si="52"/>
        <v/>
      </c>
      <c r="S687" s="87" t="str">
        <f t="shared" si="53"/>
        <v/>
      </c>
      <c r="T687" s="54"/>
      <c r="U687" s="54"/>
      <c r="V687" s="54"/>
      <c r="W687" s="54"/>
      <c r="X687" s="69" t="str">
        <f t="shared" si="51"/>
        <v>D</v>
      </c>
    </row>
    <row r="688" spans="1:24" s="66" customFormat="1" x14ac:dyDescent="0.25">
      <c r="A688" s="51"/>
      <c r="B688" s="91" t="str">
        <f>IFERROR(VLOOKUP(A688,Lookup!A:B,2,0),"")</f>
        <v/>
      </c>
      <c r="C688" s="92" t="str">
        <f>IFERROR(VLOOKUP(A688,Lookup!A:C,3,0),"")</f>
        <v/>
      </c>
      <c r="D688" s="54"/>
      <c r="E688" s="54"/>
      <c r="F688" s="54"/>
      <c r="G688" s="72"/>
      <c r="H688" s="54"/>
      <c r="I688" s="54"/>
      <c r="J688" s="106">
        <f>VLOOKUP(A688&amp;G688,Lookup!J:N,5,0)</f>
        <v>0</v>
      </c>
      <c r="K688" s="115"/>
      <c r="L688" s="54"/>
      <c r="M688" s="54"/>
      <c r="N688" s="54"/>
      <c r="O688" s="112">
        <v>28.3923611111111</v>
      </c>
      <c r="P688" s="110" t="str">
        <f t="shared" si="50"/>
        <v/>
      </c>
      <c r="Q688" s="54"/>
      <c r="R688" s="87" t="str">
        <f t="shared" si="52"/>
        <v/>
      </c>
      <c r="S688" s="87" t="str">
        <f t="shared" si="53"/>
        <v/>
      </c>
      <c r="T688" s="54"/>
      <c r="U688" s="54"/>
      <c r="V688" s="54"/>
      <c r="W688" s="54"/>
      <c r="X688" s="69" t="str">
        <f t="shared" si="51"/>
        <v>D</v>
      </c>
    </row>
    <row r="689" spans="1:24" s="66" customFormat="1" x14ac:dyDescent="0.25">
      <c r="A689" s="51"/>
      <c r="B689" s="91" t="str">
        <f>IFERROR(VLOOKUP(A689,Lookup!A:B,2,0),"")</f>
        <v/>
      </c>
      <c r="C689" s="92" t="str">
        <f>IFERROR(VLOOKUP(A689,Lookup!A:C,3,0),"")</f>
        <v/>
      </c>
      <c r="D689" s="54"/>
      <c r="E689" s="54"/>
      <c r="F689" s="54"/>
      <c r="G689" s="72"/>
      <c r="H689" s="54"/>
      <c r="I689" s="54"/>
      <c r="J689" s="106">
        <f>VLOOKUP(A689&amp;G689,Lookup!J:N,5,0)</f>
        <v>0</v>
      </c>
      <c r="K689" s="115"/>
      <c r="L689" s="54"/>
      <c r="M689" s="54"/>
      <c r="N689" s="54"/>
      <c r="O689" s="112">
        <v>28.4340277777778</v>
      </c>
      <c r="P689" s="110" t="str">
        <f t="shared" si="50"/>
        <v/>
      </c>
      <c r="Q689" s="54"/>
      <c r="R689" s="87" t="str">
        <f t="shared" si="52"/>
        <v/>
      </c>
      <c r="S689" s="87" t="str">
        <f t="shared" si="53"/>
        <v/>
      </c>
      <c r="T689" s="54"/>
      <c r="U689" s="54"/>
      <c r="V689" s="54"/>
      <c r="W689" s="54"/>
      <c r="X689" s="69" t="str">
        <f t="shared" si="51"/>
        <v>D</v>
      </c>
    </row>
    <row r="690" spans="1:24" s="66" customFormat="1" x14ac:dyDescent="0.25">
      <c r="A690" s="51"/>
      <c r="B690" s="91" t="str">
        <f>IFERROR(VLOOKUP(A690,Lookup!A:B,2,0),"")</f>
        <v/>
      </c>
      <c r="C690" s="92" t="str">
        <f>IFERROR(VLOOKUP(A690,Lookup!A:C,3,0),"")</f>
        <v/>
      </c>
      <c r="D690" s="54"/>
      <c r="E690" s="54"/>
      <c r="F690" s="54"/>
      <c r="G690" s="72"/>
      <c r="H690" s="54"/>
      <c r="I690" s="54"/>
      <c r="J690" s="106">
        <f>VLOOKUP(A690&amp;G690,Lookup!J:N,5,0)</f>
        <v>0</v>
      </c>
      <c r="K690" s="115"/>
      <c r="L690" s="54"/>
      <c r="M690" s="54"/>
      <c r="N690" s="54"/>
      <c r="O690" s="112">
        <v>28.4756944444444</v>
      </c>
      <c r="P690" s="110" t="str">
        <f t="shared" si="50"/>
        <v/>
      </c>
      <c r="Q690" s="54"/>
      <c r="R690" s="87" t="str">
        <f t="shared" si="52"/>
        <v/>
      </c>
      <c r="S690" s="87" t="str">
        <f t="shared" si="53"/>
        <v/>
      </c>
      <c r="T690" s="54"/>
      <c r="U690" s="54"/>
      <c r="V690" s="54"/>
      <c r="W690" s="54"/>
      <c r="X690" s="69" t="str">
        <f t="shared" si="51"/>
        <v>D</v>
      </c>
    </row>
    <row r="691" spans="1:24" s="66" customFormat="1" x14ac:dyDescent="0.25">
      <c r="A691" s="51"/>
      <c r="B691" s="91" t="str">
        <f>IFERROR(VLOOKUP(A691,Lookup!A:B,2,0),"")</f>
        <v/>
      </c>
      <c r="C691" s="92" t="str">
        <f>IFERROR(VLOOKUP(A691,Lookup!A:C,3,0),"")</f>
        <v/>
      </c>
      <c r="D691" s="54"/>
      <c r="E691" s="54"/>
      <c r="F691" s="54"/>
      <c r="G691" s="72"/>
      <c r="H691" s="54"/>
      <c r="I691" s="54"/>
      <c r="J691" s="106">
        <f>VLOOKUP(A691&amp;G691,Lookup!J:N,5,0)</f>
        <v>0</v>
      </c>
      <c r="K691" s="115"/>
      <c r="L691" s="54"/>
      <c r="M691" s="54"/>
      <c r="N691" s="54"/>
      <c r="O691" s="112">
        <v>28.5173611111111</v>
      </c>
      <c r="P691" s="110" t="str">
        <f t="shared" si="50"/>
        <v/>
      </c>
      <c r="Q691" s="54"/>
      <c r="R691" s="87" t="str">
        <f t="shared" si="52"/>
        <v/>
      </c>
      <c r="S691" s="87" t="str">
        <f t="shared" si="53"/>
        <v/>
      </c>
      <c r="T691" s="54"/>
      <c r="U691" s="54"/>
      <c r="V691" s="54"/>
      <c r="W691" s="54"/>
      <c r="X691" s="69" t="str">
        <f t="shared" si="51"/>
        <v>D</v>
      </c>
    </row>
    <row r="692" spans="1:24" s="66" customFormat="1" x14ac:dyDescent="0.25">
      <c r="A692" s="51"/>
      <c r="B692" s="91" t="str">
        <f>IFERROR(VLOOKUP(A692,Lookup!A:B,2,0),"")</f>
        <v/>
      </c>
      <c r="C692" s="92" t="str">
        <f>IFERROR(VLOOKUP(A692,Lookup!A:C,3,0),"")</f>
        <v/>
      </c>
      <c r="D692" s="54"/>
      <c r="E692" s="54"/>
      <c r="F692" s="54"/>
      <c r="G692" s="72"/>
      <c r="H692" s="54"/>
      <c r="I692" s="54"/>
      <c r="J692" s="106">
        <f>VLOOKUP(A692&amp;G692,Lookup!J:N,5,0)</f>
        <v>0</v>
      </c>
      <c r="K692" s="115"/>
      <c r="L692" s="54"/>
      <c r="M692" s="54"/>
      <c r="N692" s="54"/>
      <c r="O692" s="112">
        <v>28.5590277777778</v>
      </c>
      <c r="P692" s="110" t="str">
        <f t="shared" si="50"/>
        <v/>
      </c>
      <c r="Q692" s="54"/>
      <c r="R692" s="87" t="str">
        <f t="shared" si="52"/>
        <v/>
      </c>
      <c r="S692" s="87" t="str">
        <f t="shared" si="53"/>
        <v/>
      </c>
      <c r="T692" s="54"/>
      <c r="U692" s="54"/>
      <c r="V692" s="54"/>
      <c r="W692" s="54"/>
      <c r="X692" s="69" t="str">
        <f t="shared" si="51"/>
        <v>D</v>
      </c>
    </row>
    <row r="693" spans="1:24" s="66" customFormat="1" x14ac:dyDescent="0.25">
      <c r="A693" s="51"/>
      <c r="B693" s="91" t="str">
        <f>IFERROR(VLOOKUP(A693,Lookup!A:B,2,0),"")</f>
        <v/>
      </c>
      <c r="C693" s="92" t="str">
        <f>IFERROR(VLOOKUP(A693,Lookup!A:C,3,0),"")</f>
        <v/>
      </c>
      <c r="D693" s="54"/>
      <c r="E693" s="54"/>
      <c r="F693" s="54"/>
      <c r="G693" s="72"/>
      <c r="H693" s="54"/>
      <c r="I693" s="54"/>
      <c r="J693" s="106">
        <f>VLOOKUP(A693&amp;G693,Lookup!J:N,5,0)</f>
        <v>0</v>
      </c>
      <c r="K693" s="115"/>
      <c r="L693" s="54"/>
      <c r="M693" s="54"/>
      <c r="N693" s="54"/>
      <c r="O693" s="112">
        <v>28.6006944444444</v>
      </c>
      <c r="P693" s="110" t="str">
        <f t="shared" si="50"/>
        <v/>
      </c>
      <c r="Q693" s="54"/>
      <c r="R693" s="87" t="str">
        <f t="shared" si="52"/>
        <v/>
      </c>
      <c r="S693" s="87" t="str">
        <f t="shared" si="53"/>
        <v/>
      </c>
      <c r="T693" s="54"/>
      <c r="U693" s="54"/>
      <c r="V693" s="54"/>
      <c r="W693" s="54"/>
      <c r="X693" s="69" t="str">
        <f t="shared" si="51"/>
        <v>D</v>
      </c>
    </row>
    <row r="694" spans="1:24" s="66" customFormat="1" x14ac:dyDescent="0.25">
      <c r="A694" s="51"/>
      <c r="B694" s="91" t="str">
        <f>IFERROR(VLOOKUP(A694,Lookup!A:B,2,0),"")</f>
        <v/>
      </c>
      <c r="C694" s="92" t="str">
        <f>IFERROR(VLOOKUP(A694,Lookup!A:C,3,0),"")</f>
        <v/>
      </c>
      <c r="D694" s="54"/>
      <c r="E694" s="54"/>
      <c r="F694" s="54"/>
      <c r="G694" s="72"/>
      <c r="H694" s="54"/>
      <c r="I694" s="54"/>
      <c r="J694" s="106">
        <f>VLOOKUP(A694&amp;G694,Lookup!J:N,5,0)</f>
        <v>0</v>
      </c>
      <c r="K694" s="115"/>
      <c r="L694" s="54"/>
      <c r="M694" s="54"/>
      <c r="N694" s="54"/>
      <c r="O694" s="112">
        <v>28.6423611111111</v>
      </c>
      <c r="P694" s="110" t="str">
        <f t="shared" si="50"/>
        <v/>
      </c>
      <c r="Q694" s="54"/>
      <c r="R694" s="87" t="str">
        <f t="shared" si="52"/>
        <v/>
      </c>
      <c r="S694" s="87" t="str">
        <f t="shared" si="53"/>
        <v/>
      </c>
      <c r="T694" s="54"/>
      <c r="U694" s="54"/>
      <c r="V694" s="54"/>
      <c r="W694" s="54"/>
      <c r="X694" s="69" t="str">
        <f t="shared" si="51"/>
        <v>D</v>
      </c>
    </row>
    <row r="695" spans="1:24" s="66" customFormat="1" x14ac:dyDescent="0.25">
      <c r="A695" s="51"/>
      <c r="B695" s="91" t="str">
        <f>IFERROR(VLOOKUP(A695,Lookup!A:B,2,0),"")</f>
        <v/>
      </c>
      <c r="C695" s="92" t="str">
        <f>IFERROR(VLOOKUP(A695,Lookup!A:C,3,0),"")</f>
        <v/>
      </c>
      <c r="D695" s="54"/>
      <c r="E695" s="54"/>
      <c r="F695" s="54"/>
      <c r="G695" s="72"/>
      <c r="H695" s="54"/>
      <c r="I695" s="54"/>
      <c r="J695" s="106">
        <f>VLOOKUP(A695&amp;G695,Lookup!J:N,5,0)</f>
        <v>0</v>
      </c>
      <c r="K695" s="115"/>
      <c r="L695" s="54"/>
      <c r="M695" s="54"/>
      <c r="N695" s="54"/>
      <c r="O695" s="112">
        <v>28.6840277777778</v>
      </c>
      <c r="P695" s="110" t="str">
        <f t="shared" si="50"/>
        <v/>
      </c>
      <c r="Q695" s="54"/>
      <c r="R695" s="87" t="str">
        <f t="shared" si="52"/>
        <v/>
      </c>
      <c r="S695" s="87" t="str">
        <f t="shared" si="53"/>
        <v/>
      </c>
      <c r="T695" s="54"/>
      <c r="U695" s="54"/>
      <c r="V695" s="54"/>
      <c r="W695" s="54"/>
      <c r="X695" s="69" t="str">
        <f t="shared" si="51"/>
        <v>D</v>
      </c>
    </row>
    <row r="696" spans="1:24" s="66" customFormat="1" x14ac:dyDescent="0.25">
      <c r="A696" s="51"/>
      <c r="B696" s="91" t="str">
        <f>IFERROR(VLOOKUP(A696,Lookup!A:B,2,0),"")</f>
        <v/>
      </c>
      <c r="C696" s="92" t="str">
        <f>IFERROR(VLOOKUP(A696,Lookup!A:C,3,0),"")</f>
        <v/>
      </c>
      <c r="D696" s="54"/>
      <c r="E696" s="54"/>
      <c r="F696" s="54"/>
      <c r="G696" s="72"/>
      <c r="H696" s="54"/>
      <c r="I696" s="54"/>
      <c r="J696" s="106">
        <f>VLOOKUP(A696&amp;G696,Lookup!J:N,5,0)</f>
        <v>0</v>
      </c>
      <c r="K696" s="115"/>
      <c r="L696" s="54"/>
      <c r="M696" s="54"/>
      <c r="N696" s="54"/>
      <c r="O696" s="112">
        <v>28.7256944444444</v>
      </c>
      <c r="P696" s="110" t="str">
        <f t="shared" si="50"/>
        <v/>
      </c>
      <c r="Q696" s="54"/>
      <c r="R696" s="87" t="str">
        <f t="shared" si="52"/>
        <v/>
      </c>
      <c r="S696" s="87" t="str">
        <f t="shared" si="53"/>
        <v/>
      </c>
      <c r="T696" s="54"/>
      <c r="U696" s="54"/>
      <c r="V696" s="54"/>
      <c r="W696" s="54"/>
      <c r="X696" s="69" t="str">
        <f t="shared" si="51"/>
        <v>D</v>
      </c>
    </row>
    <row r="697" spans="1:24" s="66" customFormat="1" x14ac:dyDescent="0.25">
      <c r="A697" s="51"/>
      <c r="B697" s="91" t="str">
        <f>IFERROR(VLOOKUP(A697,Lookup!A:B,2,0),"")</f>
        <v/>
      </c>
      <c r="C697" s="92" t="str">
        <f>IFERROR(VLOOKUP(A697,Lookup!A:C,3,0),"")</f>
        <v/>
      </c>
      <c r="D697" s="54"/>
      <c r="E697" s="54"/>
      <c r="F697" s="54"/>
      <c r="G697" s="72"/>
      <c r="H697" s="54"/>
      <c r="I697" s="54"/>
      <c r="J697" s="106">
        <f>VLOOKUP(A697&amp;G697,Lookup!J:N,5,0)</f>
        <v>0</v>
      </c>
      <c r="K697" s="115"/>
      <c r="L697" s="54"/>
      <c r="M697" s="54"/>
      <c r="N697" s="54"/>
      <c r="O697" s="112">
        <v>28.7673611111111</v>
      </c>
      <c r="P697" s="110" t="str">
        <f t="shared" si="50"/>
        <v/>
      </c>
      <c r="Q697" s="54"/>
      <c r="R697" s="87" t="str">
        <f t="shared" si="52"/>
        <v/>
      </c>
      <c r="S697" s="87" t="str">
        <f t="shared" si="53"/>
        <v/>
      </c>
      <c r="T697" s="54"/>
      <c r="U697" s="54"/>
      <c r="V697" s="54"/>
      <c r="W697" s="54"/>
      <c r="X697" s="69" t="str">
        <f t="shared" si="51"/>
        <v>D</v>
      </c>
    </row>
    <row r="698" spans="1:24" s="66" customFormat="1" x14ac:dyDescent="0.25">
      <c r="A698" s="51"/>
      <c r="B698" s="91" t="str">
        <f>IFERROR(VLOOKUP(A698,Lookup!A:B,2,0),"")</f>
        <v/>
      </c>
      <c r="C698" s="92" t="str">
        <f>IFERROR(VLOOKUP(A698,Lookup!A:C,3,0),"")</f>
        <v/>
      </c>
      <c r="D698" s="54"/>
      <c r="E698" s="54"/>
      <c r="F698" s="54"/>
      <c r="G698" s="72"/>
      <c r="H698" s="54"/>
      <c r="I698" s="54"/>
      <c r="J698" s="106">
        <f>VLOOKUP(A698&amp;G698,Lookup!J:N,5,0)</f>
        <v>0</v>
      </c>
      <c r="K698" s="115"/>
      <c r="L698" s="54"/>
      <c r="M698" s="54"/>
      <c r="N698" s="54"/>
      <c r="O698" s="112">
        <v>28.8090277777778</v>
      </c>
      <c r="P698" s="110" t="str">
        <f t="shared" si="50"/>
        <v/>
      </c>
      <c r="Q698" s="54"/>
      <c r="R698" s="87" t="str">
        <f t="shared" si="52"/>
        <v/>
      </c>
      <c r="S698" s="87" t="str">
        <f t="shared" si="53"/>
        <v/>
      </c>
      <c r="T698" s="54"/>
      <c r="U698" s="54"/>
      <c r="V698" s="54"/>
      <c r="W698" s="54"/>
      <c r="X698" s="69" t="str">
        <f t="shared" si="51"/>
        <v>D</v>
      </c>
    </row>
    <row r="699" spans="1:24" s="66" customFormat="1" x14ac:dyDescent="0.25">
      <c r="A699" s="51"/>
      <c r="B699" s="91" t="str">
        <f>IFERROR(VLOOKUP(A699,Lookup!A:B,2,0),"")</f>
        <v/>
      </c>
      <c r="C699" s="92" t="str">
        <f>IFERROR(VLOOKUP(A699,Lookup!A:C,3,0),"")</f>
        <v/>
      </c>
      <c r="D699" s="54"/>
      <c r="E699" s="54"/>
      <c r="F699" s="54"/>
      <c r="G699" s="72"/>
      <c r="H699" s="54"/>
      <c r="I699" s="54"/>
      <c r="J699" s="106">
        <f>VLOOKUP(A699&amp;G699,Lookup!J:N,5,0)</f>
        <v>0</v>
      </c>
      <c r="K699" s="115"/>
      <c r="L699" s="54"/>
      <c r="M699" s="54"/>
      <c r="N699" s="54"/>
      <c r="O699" s="112">
        <v>28.8506944444444</v>
      </c>
      <c r="P699" s="110" t="str">
        <f t="shared" si="50"/>
        <v/>
      </c>
      <c r="Q699" s="54"/>
      <c r="R699" s="87" t="str">
        <f t="shared" si="52"/>
        <v/>
      </c>
      <c r="S699" s="87" t="str">
        <f t="shared" si="53"/>
        <v/>
      </c>
      <c r="T699" s="54"/>
      <c r="U699" s="54"/>
      <c r="V699" s="54"/>
      <c r="W699" s="54"/>
      <c r="X699" s="69" t="str">
        <f t="shared" si="51"/>
        <v>D</v>
      </c>
    </row>
    <row r="700" spans="1:24" s="66" customFormat="1" x14ac:dyDescent="0.25">
      <c r="A700" s="51"/>
      <c r="B700" s="91" t="str">
        <f>IFERROR(VLOOKUP(A700,Lookup!A:B,2,0),"")</f>
        <v/>
      </c>
      <c r="C700" s="92" t="str">
        <f>IFERROR(VLOOKUP(A700,Lookup!A:C,3,0),"")</f>
        <v/>
      </c>
      <c r="D700" s="54"/>
      <c r="E700" s="54"/>
      <c r="F700" s="54"/>
      <c r="G700" s="72"/>
      <c r="H700" s="54"/>
      <c r="I700" s="54"/>
      <c r="J700" s="106">
        <f>VLOOKUP(A700&amp;G700,Lookup!J:N,5,0)</f>
        <v>0</v>
      </c>
      <c r="K700" s="115"/>
      <c r="L700" s="54"/>
      <c r="M700" s="54"/>
      <c r="N700" s="54"/>
      <c r="O700" s="112">
        <v>28.8923611111111</v>
      </c>
      <c r="P700" s="110" t="str">
        <f t="shared" si="50"/>
        <v/>
      </c>
      <c r="Q700" s="54"/>
      <c r="R700" s="87" t="str">
        <f t="shared" si="52"/>
        <v/>
      </c>
      <c r="S700" s="87" t="str">
        <f t="shared" si="53"/>
        <v/>
      </c>
      <c r="T700" s="54"/>
      <c r="U700" s="54"/>
      <c r="V700" s="54"/>
      <c r="W700" s="54"/>
      <c r="X700" s="69" t="str">
        <f t="shared" si="51"/>
        <v>D</v>
      </c>
    </row>
    <row r="701" spans="1:24" s="66" customFormat="1" x14ac:dyDescent="0.25">
      <c r="A701" s="51"/>
      <c r="B701" s="91" t="str">
        <f>IFERROR(VLOOKUP(A701,Lookup!A:B,2,0),"")</f>
        <v/>
      </c>
      <c r="C701" s="92" t="str">
        <f>IFERROR(VLOOKUP(A701,Lookup!A:C,3,0),"")</f>
        <v/>
      </c>
      <c r="D701" s="54"/>
      <c r="E701" s="54"/>
      <c r="F701" s="54"/>
      <c r="G701" s="72"/>
      <c r="H701" s="54"/>
      <c r="I701" s="54"/>
      <c r="J701" s="106">
        <f>VLOOKUP(A701&amp;G701,Lookup!J:N,5,0)</f>
        <v>0</v>
      </c>
      <c r="K701" s="115"/>
      <c r="L701" s="54"/>
      <c r="M701" s="54"/>
      <c r="N701" s="54"/>
      <c r="O701" s="112">
        <v>28.9340277777778</v>
      </c>
      <c r="P701" s="110" t="str">
        <f t="shared" si="50"/>
        <v/>
      </c>
      <c r="Q701" s="54"/>
      <c r="R701" s="87" t="str">
        <f t="shared" si="52"/>
        <v/>
      </c>
      <c r="S701" s="87" t="str">
        <f t="shared" si="53"/>
        <v/>
      </c>
      <c r="T701" s="54"/>
      <c r="U701" s="54"/>
      <c r="V701" s="54"/>
      <c r="W701" s="54"/>
      <c r="X701" s="69" t="str">
        <f t="shared" si="51"/>
        <v>D</v>
      </c>
    </row>
    <row r="702" spans="1:24" s="66" customFormat="1" x14ac:dyDescent="0.25">
      <c r="A702" s="51"/>
      <c r="B702" s="91" t="str">
        <f>IFERROR(VLOOKUP(A702,Lookup!A:B,2,0),"")</f>
        <v/>
      </c>
      <c r="C702" s="92" t="str">
        <f>IFERROR(VLOOKUP(A702,Lookup!A:C,3,0),"")</f>
        <v/>
      </c>
      <c r="D702" s="54"/>
      <c r="E702" s="54"/>
      <c r="F702" s="54"/>
      <c r="G702" s="72"/>
      <c r="H702" s="54"/>
      <c r="I702" s="54"/>
      <c r="J702" s="106">
        <f>VLOOKUP(A702&amp;G702,Lookup!J:N,5,0)</f>
        <v>0</v>
      </c>
      <c r="K702" s="115"/>
      <c r="L702" s="54"/>
      <c r="M702" s="54"/>
      <c r="N702" s="54"/>
      <c r="O702" s="112">
        <v>28.9756944444444</v>
      </c>
      <c r="P702" s="110" t="str">
        <f t="shared" si="50"/>
        <v/>
      </c>
      <c r="Q702" s="54"/>
      <c r="R702" s="87" t="str">
        <f t="shared" si="52"/>
        <v/>
      </c>
      <c r="S702" s="87" t="str">
        <f t="shared" si="53"/>
        <v/>
      </c>
      <c r="T702" s="54"/>
      <c r="U702" s="54"/>
      <c r="V702" s="54"/>
      <c r="W702" s="54"/>
      <c r="X702" s="69" t="str">
        <f t="shared" si="51"/>
        <v>D</v>
      </c>
    </row>
    <row r="703" spans="1:24" s="66" customFormat="1" x14ac:dyDescent="0.25">
      <c r="A703" s="51"/>
      <c r="B703" s="91" t="str">
        <f>IFERROR(VLOOKUP(A703,Lookup!A:B,2,0),"")</f>
        <v/>
      </c>
      <c r="C703" s="92" t="str">
        <f>IFERROR(VLOOKUP(A703,Lookup!A:C,3,0),"")</f>
        <v/>
      </c>
      <c r="D703" s="54"/>
      <c r="E703" s="54"/>
      <c r="F703" s="54"/>
      <c r="G703" s="72"/>
      <c r="H703" s="54"/>
      <c r="I703" s="54"/>
      <c r="J703" s="106">
        <f>VLOOKUP(A703&amp;G703,Lookup!J:N,5,0)</f>
        <v>0</v>
      </c>
      <c r="K703" s="115"/>
      <c r="L703" s="54"/>
      <c r="M703" s="54"/>
      <c r="N703" s="54"/>
      <c r="O703" s="112">
        <v>29.0173611111111</v>
      </c>
      <c r="P703" s="110" t="str">
        <f t="shared" si="50"/>
        <v/>
      </c>
      <c r="Q703" s="54"/>
      <c r="R703" s="87" t="str">
        <f t="shared" si="52"/>
        <v/>
      </c>
      <c r="S703" s="87" t="str">
        <f t="shared" si="53"/>
        <v/>
      </c>
      <c r="T703" s="54"/>
      <c r="U703" s="54"/>
      <c r="V703" s="54"/>
      <c r="W703" s="54"/>
      <c r="X703" s="69" t="str">
        <f t="shared" si="51"/>
        <v>D</v>
      </c>
    </row>
    <row r="704" spans="1:24" s="66" customFormat="1" x14ac:dyDescent="0.25">
      <c r="A704" s="51"/>
      <c r="B704" s="91" t="str">
        <f>IFERROR(VLOOKUP(A704,Lookup!A:B,2,0),"")</f>
        <v/>
      </c>
      <c r="C704" s="92" t="str">
        <f>IFERROR(VLOOKUP(A704,Lookup!A:C,3,0),"")</f>
        <v/>
      </c>
      <c r="D704" s="54"/>
      <c r="E704" s="54"/>
      <c r="F704" s="54"/>
      <c r="G704" s="72"/>
      <c r="H704" s="54"/>
      <c r="I704" s="54"/>
      <c r="J704" s="106">
        <f>VLOOKUP(A704&amp;G704,Lookup!J:N,5,0)</f>
        <v>0</v>
      </c>
      <c r="K704" s="115"/>
      <c r="L704" s="54"/>
      <c r="M704" s="54"/>
      <c r="N704" s="54"/>
      <c r="O704" s="112">
        <v>29.0590277777778</v>
      </c>
      <c r="P704" s="110" t="str">
        <f t="shared" si="50"/>
        <v/>
      </c>
      <c r="Q704" s="54"/>
      <c r="R704" s="87" t="str">
        <f t="shared" si="52"/>
        <v/>
      </c>
      <c r="S704" s="87" t="str">
        <f t="shared" si="53"/>
        <v/>
      </c>
      <c r="T704" s="54"/>
      <c r="U704" s="54"/>
      <c r="V704" s="54"/>
      <c r="W704" s="54"/>
      <c r="X704" s="69" t="str">
        <f t="shared" si="51"/>
        <v>D</v>
      </c>
    </row>
    <row r="705" spans="1:24" s="66" customFormat="1" x14ac:dyDescent="0.25">
      <c r="A705" s="51"/>
      <c r="B705" s="91" t="str">
        <f>IFERROR(VLOOKUP(A705,Lookup!A:B,2,0),"")</f>
        <v/>
      </c>
      <c r="C705" s="92" t="str">
        <f>IFERROR(VLOOKUP(A705,Lookup!A:C,3,0),"")</f>
        <v/>
      </c>
      <c r="D705" s="54"/>
      <c r="E705" s="54"/>
      <c r="F705" s="54"/>
      <c r="G705" s="72"/>
      <c r="H705" s="54"/>
      <c r="I705" s="54"/>
      <c r="J705" s="106">
        <f>VLOOKUP(A705&amp;G705,Lookup!J:N,5,0)</f>
        <v>0</v>
      </c>
      <c r="K705" s="115"/>
      <c r="L705" s="54"/>
      <c r="M705" s="54"/>
      <c r="N705" s="54"/>
      <c r="O705" s="112">
        <v>29.1006944444444</v>
      </c>
      <c r="P705" s="110" t="str">
        <f t="shared" si="50"/>
        <v/>
      </c>
      <c r="Q705" s="54"/>
      <c r="R705" s="87" t="str">
        <f t="shared" si="52"/>
        <v/>
      </c>
      <c r="S705" s="87" t="str">
        <f t="shared" si="53"/>
        <v/>
      </c>
      <c r="T705" s="54"/>
      <c r="U705" s="54"/>
      <c r="V705" s="54"/>
      <c r="W705" s="54"/>
      <c r="X705" s="69" t="str">
        <f t="shared" si="51"/>
        <v>D</v>
      </c>
    </row>
    <row r="706" spans="1:24" s="66" customFormat="1" x14ac:dyDescent="0.25">
      <c r="A706" s="51"/>
      <c r="B706" s="91" t="str">
        <f>IFERROR(VLOOKUP(A706,Lookup!A:B,2,0),"")</f>
        <v/>
      </c>
      <c r="C706" s="92" t="str">
        <f>IFERROR(VLOOKUP(A706,Lookup!A:C,3,0),"")</f>
        <v/>
      </c>
      <c r="D706" s="54"/>
      <c r="E706" s="54"/>
      <c r="F706" s="54"/>
      <c r="G706" s="72"/>
      <c r="H706" s="54"/>
      <c r="I706" s="54"/>
      <c r="J706" s="106">
        <f>VLOOKUP(A706&amp;G706,Lookup!J:N,5,0)</f>
        <v>0</v>
      </c>
      <c r="K706" s="115"/>
      <c r="L706" s="54"/>
      <c r="M706" s="54"/>
      <c r="N706" s="54"/>
      <c r="O706" s="112">
        <v>29.1423611111111</v>
      </c>
      <c r="P706" s="110" t="str">
        <f t="shared" si="50"/>
        <v/>
      </c>
      <c r="Q706" s="54"/>
      <c r="R706" s="87" t="str">
        <f t="shared" si="52"/>
        <v/>
      </c>
      <c r="S706" s="87" t="str">
        <f t="shared" si="53"/>
        <v/>
      </c>
      <c r="T706" s="54"/>
      <c r="U706" s="54"/>
      <c r="V706" s="54"/>
      <c r="W706" s="54"/>
      <c r="X706" s="69" t="str">
        <f t="shared" si="51"/>
        <v>D</v>
      </c>
    </row>
    <row r="707" spans="1:24" s="66" customFormat="1" x14ac:dyDescent="0.25">
      <c r="A707" s="51"/>
      <c r="B707" s="91" t="str">
        <f>IFERROR(VLOOKUP(A707,Lookup!A:B,2,0),"")</f>
        <v/>
      </c>
      <c r="C707" s="92" t="str">
        <f>IFERROR(VLOOKUP(A707,Lookup!A:C,3,0),"")</f>
        <v/>
      </c>
      <c r="D707" s="54"/>
      <c r="E707" s="54"/>
      <c r="F707" s="54"/>
      <c r="G707" s="72"/>
      <c r="H707" s="54"/>
      <c r="I707" s="54"/>
      <c r="J707" s="106">
        <f>VLOOKUP(A707&amp;G707,Lookup!J:N,5,0)</f>
        <v>0</v>
      </c>
      <c r="K707" s="115"/>
      <c r="L707" s="54"/>
      <c r="M707" s="54"/>
      <c r="N707" s="54"/>
      <c r="O707" s="112">
        <v>29.1840277777778</v>
      </c>
      <c r="P707" s="110" t="str">
        <f t="shared" ref="P707:P770" si="54">IF(N707="","",N707+O707)</f>
        <v/>
      </c>
      <c r="Q707" s="54"/>
      <c r="R707" s="87" t="str">
        <f t="shared" si="52"/>
        <v/>
      </c>
      <c r="S707" s="87" t="str">
        <f t="shared" si="53"/>
        <v/>
      </c>
      <c r="T707" s="54"/>
      <c r="U707" s="54"/>
      <c r="V707" s="54"/>
      <c r="W707" s="54"/>
      <c r="X707" s="69" t="str">
        <f t="shared" ref="X707:X770" si="55">IF(I707="SET","A",IF(I707="FREQ","C",IF(I707="","D","B")))</f>
        <v>D</v>
      </c>
    </row>
    <row r="708" spans="1:24" s="66" customFormat="1" x14ac:dyDescent="0.25">
      <c r="A708" s="51"/>
      <c r="B708" s="91" t="str">
        <f>IFERROR(VLOOKUP(A708,Lookup!A:B,2,0),"")</f>
        <v/>
      </c>
      <c r="C708" s="92" t="str">
        <f>IFERROR(VLOOKUP(A708,Lookup!A:C,3,0),"")</f>
        <v/>
      </c>
      <c r="D708" s="54"/>
      <c r="E708" s="54"/>
      <c r="F708" s="54"/>
      <c r="G708" s="72"/>
      <c r="H708" s="54"/>
      <c r="I708" s="54"/>
      <c r="J708" s="106">
        <f>VLOOKUP(A708&amp;G708,Lookup!J:N,5,0)</f>
        <v>0</v>
      </c>
      <c r="K708" s="115"/>
      <c r="L708" s="54"/>
      <c r="M708" s="54"/>
      <c r="N708" s="54"/>
      <c r="O708" s="112">
        <v>29.2256944444444</v>
      </c>
      <c r="P708" s="110" t="str">
        <f t="shared" si="54"/>
        <v/>
      </c>
      <c r="Q708" s="54"/>
      <c r="R708" s="87" t="str">
        <f t="shared" si="52"/>
        <v/>
      </c>
      <c r="S708" s="87" t="str">
        <f t="shared" si="53"/>
        <v/>
      </c>
      <c r="T708" s="54"/>
      <c r="U708" s="54"/>
      <c r="V708" s="54"/>
      <c r="W708" s="54"/>
      <c r="X708" s="69" t="str">
        <f t="shared" si="55"/>
        <v>D</v>
      </c>
    </row>
    <row r="709" spans="1:24" s="66" customFormat="1" x14ac:dyDescent="0.25">
      <c r="A709" s="51"/>
      <c r="B709" s="91" t="str">
        <f>IFERROR(VLOOKUP(A709,Lookup!A:B,2,0),"")</f>
        <v/>
      </c>
      <c r="C709" s="92" t="str">
        <f>IFERROR(VLOOKUP(A709,Lookup!A:C,3,0),"")</f>
        <v/>
      </c>
      <c r="D709" s="54"/>
      <c r="E709" s="54"/>
      <c r="F709" s="54"/>
      <c r="G709" s="72"/>
      <c r="H709" s="54"/>
      <c r="I709" s="54"/>
      <c r="J709" s="106">
        <f>VLOOKUP(A709&amp;G709,Lookup!J:N,5,0)</f>
        <v>0</v>
      </c>
      <c r="K709" s="115"/>
      <c r="L709" s="54"/>
      <c r="M709" s="54"/>
      <c r="N709" s="54"/>
      <c r="O709" s="112">
        <v>29.2673611111111</v>
      </c>
      <c r="P709" s="110" t="str">
        <f t="shared" si="54"/>
        <v/>
      </c>
      <c r="Q709" s="54"/>
      <c r="R709" s="87" t="str">
        <f t="shared" si="52"/>
        <v/>
      </c>
      <c r="S709" s="87" t="str">
        <f t="shared" si="53"/>
        <v/>
      </c>
      <c r="T709" s="54"/>
      <c r="U709" s="54"/>
      <c r="V709" s="54"/>
      <c r="W709" s="54"/>
      <c r="X709" s="69" t="str">
        <f t="shared" si="55"/>
        <v>D</v>
      </c>
    </row>
    <row r="710" spans="1:24" s="66" customFormat="1" x14ac:dyDescent="0.25">
      <c r="A710" s="51"/>
      <c r="B710" s="91" t="str">
        <f>IFERROR(VLOOKUP(A710,Lookup!A:B,2,0),"")</f>
        <v/>
      </c>
      <c r="C710" s="92" t="str">
        <f>IFERROR(VLOOKUP(A710,Lookup!A:C,3,0),"")</f>
        <v/>
      </c>
      <c r="D710" s="54"/>
      <c r="E710" s="54"/>
      <c r="F710" s="54"/>
      <c r="G710" s="72"/>
      <c r="H710" s="54"/>
      <c r="I710" s="54"/>
      <c r="J710" s="106">
        <f>VLOOKUP(A710&amp;G710,Lookup!J:N,5,0)</f>
        <v>0</v>
      </c>
      <c r="K710" s="115"/>
      <c r="L710" s="54"/>
      <c r="M710" s="54"/>
      <c r="N710" s="54"/>
      <c r="O710" s="112">
        <v>29.3090277777778</v>
      </c>
      <c r="P710" s="110" t="str">
        <f t="shared" si="54"/>
        <v/>
      </c>
      <c r="Q710" s="54"/>
      <c r="R710" s="87" t="str">
        <f t="shared" si="52"/>
        <v/>
      </c>
      <c r="S710" s="87" t="str">
        <f t="shared" si="53"/>
        <v/>
      </c>
      <c r="T710" s="54"/>
      <c r="U710" s="54"/>
      <c r="V710" s="54"/>
      <c r="W710" s="54"/>
      <c r="X710" s="69" t="str">
        <f t="shared" si="55"/>
        <v>D</v>
      </c>
    </row>
    <row r="711" spans="1:24" s="66" customFormat="1" x14ac:dyDescent="0.25">
      <c r="A711" s="51"/>
      <c r="B711" s="91" t="str">
        <f>IFERROR(VLOOKUP(A711,Lookup!A:B,2,0),"")</f>
        <v/>
      </c>
      <c r="C711" s="92" t="str">
        <f>IFERROR(VLOOKUP(A711,Lookup!A:C,3,0),"")</f>
        <v/>
      </c>
      <c r="D711" s="54"/>
      <c r="E711" s="54"/>
      <c r="F711" s="54"/>
      <c r="G711" s="72"/>
      <c r="H711" s="54"/>
      <c r="I711" s="54"/>
      <c r="J711" s="106">
        <f>VLOOKUP(A711&amp;G711,Lookup!J:N,5,0)</f>
        <v>0</v>
      </c>
      <c r="K711" s="115"/>
      <c r="L711" s="54"/>
      <c r="M711" s="54"/>
      <c r="N711" s="54"/>
      <c r="O711" s="112">
        <v>29.3506944444444</v>
      </c>
      <c r="P711" s="110" t="str">
        <f t="shared" si="54"/>
        <v/>
      </c>
      <c r="Q711" s="54"/>
      <c r="R711" s="87" t="str">
        <f t="shared" ref="R711:R774" si="56">IF(OR(EXACT(N711,""), EXACT(L711,"")),"",N711-L711)</f>
        <v/>
      </c>
      <c r="S711" s="87" t="str">
        <f t="shared" ref="S711:S774" si="57">IF(OR(EXACT(Q711,""), EXACT(L711,"")),"",Q711-L711)</f>
        <v/>
      </c>
      <c r="T711" s="54"/>
      <c r="U711" s="54"/>
      <c r="V711" s="54"/>
      <c r="W711" s="54"/>
      <c r="X711" s="69" t="str">
        <f t="shared" si="55"/>
        <v>D</v>
      </c>
    </row>
    <row r="712" spans="1:24" s="66" customFormat="1" x14ac:dyDescent="0.25">
      <c r="A712" s="51"/>
      <c r="B712" s="91" t="str">
        <f>IFERROR(VLOOKUP(A712,Lookup!A:B,2,0),"")</f>
        <v/>
      </c>
      <c r="C712" s="92" t="str">
        <f>IFERROR(VLOOKUP(A712,Lookup!A:C,3,0),"")</f>
        <v/>
      </c>
      <c r="D712" s="54"/>
      <c r="E712" s="54"/>
      <c r="F712" s="54"/>
      <c r="G712" s="72"/>
      <c r="H712" s="54"/>
      <c r="I712" s="54"/>
      <c r="J712" s="106">
        <f>VLOOKUP(A712&amp;G712,Lookup!J:N,5,0)</f>
        <v>0</v>
      </c>
      <c r="K712" s="115"/>
      <c r="L712" s="54"/>
      <c r="M712" s="54"/>
      <c r="N712" s="54"/>
      <c r="O712" s="112">
        <v>29.3923611111111</v>
      </c>
      <c r="P712" s="110" t="str">
        <f t="shared" si="54"/>
        <v/>
      </c>
      <c r="Q712" s="54"/>
      <c r="R712" s="87" t="str">
        <f t="shared" si="56"/>
        <v/>
      </c>
      <c r="S712" s="87" t="str">
        <f t="shared" si="57"/>
        <v/>
      </c>
      <c r="T712" s="54"/>
      <c r="U712" s="54"/>
      <c r="V712" s="54"/>
      <c r="W712" s="54"/>
      <c r="X712" s="69" t="str">
        <f t="shared" si="55"/>
        <v>D</v>
      </c>
    </row>
    <row r="713" spans="1:24" s="66" customFormat="1" x14ac:dyDescent="0.25">
      <c r="A713" s="51"/>
      <c r="B713" s="91" t="str">
        <f>IFERROR(VLOOKUP(A713,Lookup!A:B,2,0),"")</f>
        <v/>
      </c>
      <c r="C713" s="92" t="str">
        <f>IFERROR(VLOOKUP(A713,Lookup!A:C,3,0),"")</f>
        <v/>
      </c>
      <c r="D713" s="54"/>
      <c r="E713" s="54"/>
      <c r="F713" s="54"/>
      <c r="G713" s="72"/>
      <c r="H713" s="54"/>
      <c r="I713" s="54"/>
      <c r="J713" s="106">
        <f>VLOOKUP(A713&amp;G713,Lookup!J:N,5,0)</f>
        <v>0</v>
      </c>
      <c r="K713" s="115"/>
      <c r="L713" s="54"/>
      <c r="M713" s="54"/>
      <c r="N713" s="54"/>
      <c r="O713" s="112">
        <v>29.4340277777778</v>
      </c>
      <c r="P713" s="110" t="str">
        <f t="shared" si="54"/>
        <v/>
      </c>
      <c r="Q713" s="54"/>
      <c r="R713" s="87" t="str">
        <f t="shared" si="56"/>
        <v/>
      </c>
      <c r="S713" s="87" t="str">
        <f t="shared" si="57"/>
        <v/>
      </c>
      <c r="T713" s="54"/>
      <c r="U713" s="54"/>
      <c r="V713" s="54"/>
      <c r="W713" s="54"/>
      <c r="X713" s="69" t="str">
        <f t="shared" si="55"/>
        <v>D</v>
      </c>
    </row>
    <row r="714" spans="1:24" s="66" customFormat="1" x14ac:dyDescent="0.25">
      <c r="A714" s="51"/>
      <c r="B714" s="91" t="str">
        <f>IFERROR(VLOOKUP(A714,Lookup!A:B,2,0),"")</f>
        <v/>
      </c>
      <c r="C714" s="92" t="str">
        <f>IFERROR(VLOOKUP(A714,Lookup!A:C,3,0),"")</f>
        <v/>
      </c>
      <c r="D714" s="54"/>
      <c r="E714" s="54"/>
      <c r="F714" s="54"/>
      <c r="G714" s="72"/>
      <c r="H714" s="54"/>
      <c r="I714" s="54"/>
      <c r="J714" s="106">
        <f>VLOOKUP(A714&amp;G714,Lookup!J:N,5,0)</f>
        <v>0</v>
      </c>
      <c r="K714" s="115"/>
      <c r="L714" s="54"/>
      <c r="M714" s="54"/>
      <c r="N714" s="54"/>
      <c r="O714" s="112">
        <v>29.4756944444444</v>
      </c>
      <c r="P714" s="110" t="str">
        <f t="shared" si="54"/>
        <v/>
      </c>
      <c r="Q714" s="54"/>
      <c r="R714" s="87" t="str">
        <f t="shared" si="56"/>
        <v/>
      </c>
      <c r="S714" s="87" t="str">
        <f t="shared" si="57"/>
        <v/>
      </c>
      <c r="T714" s="54"/>
      <c r="U714" s="54"/>
      <c r="V714" s="54"/>
      <c r="W714" s="54"/>
      <c r="X714" s="69" t="str">
        <f t="shared" si="55"/>
        <v>D</v>
      </c>
    </row>
    <row r="715" spans="1:24" s="66" customFormat="1" x14ac:dyDescent="0.25">
      <c r="A715" s="51"/>
      <c r="B715" s="91" t="str">
        <f>IFERROR(VLOOKUP(A715,Lookup!A:B,2,0),"")</f>
        <v/>
      </c>
      <c r="C715" s="92" t="str">
        <f>IFERROR(VLOOKUP(A715,Lookup!A:C,3,0),"")</f>
        <v/>
      </c>
      <c r="D715" s="54"/>
      <c r="E715" s="54"/>
      <c r="F715" s="54"/>
      <c r="G715" s="72"/>
      <c r="H715" s="54"/>
      <c r="I715" s="54"/>
      <c r="J715" s="106">
        <f>VLOOKUP(A715&amp;G715,Lookup!J:N,5,0)</f>
        <v>0</v>
      </c>
      <c r="K715" s="115"/>
      <c r="L715" s="54"/>
      <c r="M715" s="54"/>
      <c r="N715" s="54"/>
      <c r="O715" s="112">
        <v>29.5173611111111</v>
      </c>
      <c r="P715" s="110" t="str">
        <f t="shared" si="54"/>
        <v/>
      </c>
      <c r="Q715" s="54"/>
      <c r="R715" s="87" t="str">
        <f t="shared" si="56"/>
        <v/>
      </c>
      <c r="S715" s="87" t="str">
        <f t="shared" si="57"/>
        <v/>
      </c>
      <c r="T715" s="54"/>
      <c r="U715" s="54"/>
      <c r="V715" s="54"/>
      <c r="W715" s="54"/>
      <c r="X715" s="69" t="str">
        <f t="shared" si="55"/>
        <v>D</v>
      </c>
    </row>
    <row r="716" spans="1:24" s="66" customFormat="1" x14ac:dyDescent="0.25">
      <c r="A716" s="51"/>
      <c r="B716" s="91" t="str">
        <f>IFERROR(VLOOKUP(A716,Lookup!A:B,2,0),"")</f>
        <v/>
      </c>
      <c r="C716" s="92" t="str">
        <f>IFERROR(VLOOKUP(A716,Lookup!A:C,3,0),"")</f>
        <v/>
      </c>
      <c r="D716" s="54"/>
      <c r="E716" s="54"/>
      <c r="F716" s="54"/>
      <c r="G716" s="72"/>
      <c r="H716" s="54"/>
      <c r="I716" s="54"/>
      <c r="J716" s="106">
        <f>VLOOKUP(A716&amp;G716,Lookup!J:N,5,0)</f>
        <v>0</v>
      </c>
      <c r="K716" s="115"/>
      <c r="L716" s="54"/>
      <c r="M716" s="54"/>
      <c r="N716" s="54"/>
      <c r="O716" s="112">
        <v>29.5590277777778</v>
      </c>
      <c r="P716" s="110" t="str">
        <f t="shared" si="54"/>
        <v/>
      </c>
      <c r="Q716" s="54"/>
      <c r="R716" s="87" t="str">
        <f t="shared" si="56"/>
        <v/>
      </c>
      <c r="S716" s="87" t="str">
        <f t="shared" si="57"/>
        <v/>
      </c>
      <c r="T716" s="54"/>
      <c r="U716" s="54"/>
      <c r="V716" s="54"/>
      <c r="W716" s="54"/>
      <c r="X716" s="69" t="str">
        <f t="shared" si="55"/>
        <v>D</v>
      </c>
    </row>
    <row r="717" spans="1:24" s="66" customFormat="1" x14ac:dyDescent="0.25">
      <c r="A717" s="51"/>
      <c r="B717" s="91" t="str">
        <f>IFERROR(VLOOKUP(A717,Lookup!A:B,2,0),"")</f>
        <v/>
      </c>
      <c r="C717" s="92" t="str">
        <f>IFERROR(VLOOKUP(A717,Lookup!A:C,3,0),"")</f>
        <v/>
      </c>
      <c r="D717" s="54"/>
      <c r="E717" s="54"/>
      <c r="F717" s="54"/>
      <c r="G717" s="72"/>
      <c r="H717" s="54"/>
      <c r="I717" s="54"/>
      <c r="J717" s="106">
        <f>VLOOKUP(A717&amp;G717,Lookup!J:N,5,0)</f>
        <v>0</v>
      </c>
      <c r="K717" s="115"/>
      <c r="L717" s="54"/>
      <c r="M717" s="54"/>
      <c r="N717" s="54"/>
      <c r="O717" s="112">
        <v>29.6006944444444</v>
      </c>
      <c r="P717" s="110" t="str">
        <f t="shared" si="54"/>
        <v/>
      </c>
      <c r="Q717" s="54"/>
      <c r="R717" s="87" t="str">
        <f t="shared" si="56"/>
        <v/>
      </c>
      <c r="S717" s="87" t="str">
        <f t="shared" si="57"/>
        <v/>
      </c>
      <c r="T717" s="54"/>
      <c r="U717" s="54"/>
      <c r="V717" s="54"/>
      <c r="W717" s="54"/>
      <c r="X717" s="69" t="str">
        <f t="shared" si="55"/>
        <v>D</v>
      </c>
    </row>
    <row r="718" spans="1:24" s="66" customFormat="1" x14ac:dyDescent="0.25">
      <c r="A718" s="51"/>
      <c r="B718" s="91" t="str">
        <f>IFERROR(VLOOKUP(A718,Lookup!A:B,2,0),"")</f>
        <v/>
      </c>
      <c r="C718" s="92" t="str">
        <f>IFERROR(VLOOKUP(A718,Lookup!A:C,3,0),"")</f>
        <v/>
      </c>
      <c r="D718" s="54"/>
      <c r="E718" s="54"/>
      <c r="F718" s="54"/>
      <c r="G718" s="72"/>
      <c r="H718" s="54"/>
      <c r="I718" s="54"/>
      <c r="J718" s="106">
        <f>VLOOKUP(A718&amp;G718,Lookup!J:N,5,0)</f>
        <v>0</v>
      </c>
      <c r="K718" s="115"/>
      <c r="L718" s="54"/>
      <c r="M718" s="54"/>
      <c r="N718" s="54"/>
      <c r="O718" s="112">
        <v>29.6423611111111</v>
      </c>
      <c r="P718" s="110" t="str">
        <f t="shared" si="54"/>
        <v/>
      </c>
      <c r="Q718" s="54"/>
      <c r="R718" s="87" t="str">
        <f t="shared" si="56"/>
        <v/>
      </c>
      <c r="S718" s="87" t="str">
        <f t="shared" si="57"/>
        <v/>
      </c>
      <c r="T718" s="54"/>
      <c r="U718" s="54"/>
      <c r="V718" s="54"/>
      <c r="W718" s="54"/>
      <c r="X718" s="69" t="str">
        <f t="shared" si="55"/>
        <v>D</v>
      </c>
    </row>
    <row r="719" spans="1:24" s="66" customFormat="1" x14ac:dyDescent="0.25">
      <c r="A719" s="51"/>
      <c r="B719" s="91" t="str">
        <f>IFERROR(VLOOKUP(A719,Lookup!A:B,2,0),"")</f>
        <v/>
      </c>
      <c r="C719" s="92" t="str">
        <f>IFERROR(VLOOKUP(A719,Lookup!A:C,3,0),"")</f>
        <v/>
      </c>
      <c r="D719" s="54"/>
      <c r="E719" s="54"/>
      <c r="F719" s="54"/>
      <c r="G719" s="72"/>
      <c r="H719" s="54"/>
      <c r="I719" s="54"/>
      <c r="J719" s="106">
        <f>VLOOKUP(A719&amp;G719,Lookup!J:N,5,0)</f>
        <v>0</v>
      </c>
      <c r="K719" s="115"/>
      <c r="L719" s="54"/>
      <c r="M719" s="54"/>
      <c r="N719" s="54"/>
      <c r="O719" s="112">
        <v>29.6840277777778</v>
      </c>
      <c r="P719" s="110" t="str">
        <f t="shared" si="54"/>
        <v/>
      </c>
      <c r="Q719" s="54"/>
      <c r="R719" s="87" t="str">
        <f t="shared" si="56"/>
        <v/>
      </c>
      <c r="S719" s="87" t="str">
        <f t="shared" si="57"/>
        <v/>
      </c>
      <c r="T719" s="54"/>
      <c r="U719" s="54"/>
      <c r="V719" s="54"/>
      <c r="W719" s="54"/>
      <c r="X719" s="69" t="str">
        <f t="shared" si="55"/>
        <v>D</v>
      </c>
    </row>
    <row r="720" spans="1:24" s="66" customFormat="1" x14ac:dyDescent="0.25">
      <c r="A720" s="51"/>
      <c r="B720" s="91" t="str">
        <f>IFERROR(VLOOKUP(A720,Lookup!A:B,2,0),"")</f>
        <v/>
      </c>
      <c r="C720" s="92" t="str">
        <f>IFERROR(VLOOKUP(A720,Lookup!A:C,3,0),"")</f>
        <v/>
      </c>
      <c r="D720" s="54"/>
      <c r="E720" s="54"/>
      <c r="F720" s="54"/>
      <c r="G720" s="72"/>
      <c r="H720" s="54"/>
      <c r="I720" s="54"/>
      <c r="J720" s="106">
        <f>VLOOKUP(A720&amp;G720,Lookup!J:N,5,0)</f>
        <v>0</v>
      </c>
      <c r="K720" s="115"/>
      <c r="L720" s="54"/>
      <c r="M720" s="54"/>
      <c r="N720" s="54"/>
      <c r="O720" s="112">
        <v>29.7256944444444</v>
      </c>
      <c r="P720" s="110" t="str">
        <f t="shared" si="54"/>
        <v/>
      </c>
      <c r="Q720" s="54"/>
      <c r="R720" s="87" t="str">
        <f t="shared" si="56"/>
        <v/>
      </c>
      <c r="S720" s="87" t="str">
        <f t="shared" si="57"/>
        <v/>
      </c>
      <c r="T720" s="54"/>
      <c r="U720" s="54"/>
      <c r="V720" s="54"/>
      <c r="W720" s="54"/>
      <c r="X720" s="69" t="str">
        <f t="shared" si="55"/>
        <v>D</v>
      </c>
    </row>
    <row r="721" spans="1:24" s="66" customFormat="1" x14ac:dyDescent="0.25">
      <c r="A721" s="51"/>
      <c r="B721" s="91" t="str">
        <f>IFERROR(VLOOKUP(A721,Lookup!A:B,2,0),"")</f>
        <v/>
      </c>
      <c r="C721" s="92" t="str">
        <f>IFERROR(VLOOKUP(A721,Lookup!A:C,3,0),"")</f>
        <v/>
      </c>
      <c r="D721" s="54"/>
      <c r="E721" s="54"/>
      <c r="F721" s="54"/>
      <c r="G721" s="72"/>
      <c r="H721" s="54"/>
      <c r="I721" s="54"/>
      <c r="J721" s="106">
        <f>VLOOKUP(A721&amp;G721,Lookup!J:N,5,0)</f>
        <v>0</v>
      </c>
      <c r="K721" s="115"/>
      <c r="L721" s="54"/>
      <c r="M721" s="54"/>
      <c r="N721" s="54"/>
      <c r="O721" s="112">
        <v>29.7673611111111</v>
      </c>
      <c r="P721" s="110" t="str">
        <f t="shared" si="54"/>
        <v/>
      </c>
      <c r="Q721" s="54"/>
      <c r="R721" s="87" t="str">
        <f t="shared" si="56"/>
        <v/>
      </c>
      <c r="S721" s="87" t="str">
        <f t="shared" si="57"/>
        <v/>
      </c>
      <c r="T721" s="54"/>
      <c r="U721" s="54"/>
      <c r="V721" s="54"/>
      <c r="W721" s="54"/>
      <c r="X721" s="69" t="str">
        <f t="shared" si="55"/>
        <v>D</v>
      </c>
    </row>
    <row r="722" spans="1:24" s="66" customFormat="1" x14ac:dyDescent="0.25">
      <c r="A722" s="51"/>
      <c r="B722" s="91" t="str">
        <f>IFERROR(VLOOKUP(A722,Lookup!A:B,2,0),"")</f>
        <v/>
      </c>
      <c r="C722" s="92" t="str">
        <f>IFERROR(VLOOKUP(A722,Lookup!A:C,3,0),"")</f>
        <v/>
      </c>
      <c r="D722" s="54"/>
      <c r="E722" s="54"/>
      <c r="F722" s="54"/>
      <c r="G722" s="72"/>
      <c r="H722" s="54"/>
      <c r="I722" s="54"/>
      <c r="J722" s="106">
        <f>VLOOKUP(A722&amp;G722,Lookup!J:N,5,0)</f>
        <v>0</v>
      </c>
      <c r="K722" s="115"/>
      <c r="L722" s="54"/>
      <c r="M722" s="54"/>
      <c r="N722" s="54"/>
      <c r="O722" s="112">
        <v>29.8090277777778</v>
      </c>
      <c r="P722" s="110" t="str">
        <f t="shared" si="54"/>
        <v/>
      </c>
      <c r="Q722" s="54"/>
      <c r="R722" s="87" t="str">
        <f t="shared" si="56"/>
        <v/>
      </c>
      <c r="S722" s="87" t="str">
        <f t="shared" si="57"/>
        <v/>
      </c>
      <c r="T722" s="54"/>
      <c r="U722" s="54"/>
      <c r="V722" s="54"/>
      <c r="W722" s="54"/>
      <c r="X722" s="69" t="str">
        <f t="shared" si="55"/>
        <v>D</v>
      </c>
    </row>
    <row r="723" spans="1:24" s="66" customFormat="1" x14ac:dyDescent="0.25">
      <c r="A723" s="51"/>
      <c r="B723" s="91" t="str">
        <f>IFERROR(VLOOKUP(A723,Lookup!A:B,2,0),"")</f>
        <v/>
      </c>
      <c r="C723" s="92" t="str">
        <f>IFERROR(VLOOKUP(A723,Lookup!A:C,3,0),"")</f>
        <v/>
      </c>
      <c r="D723" s="54"/>
      <c r="E723" s="54"/>
      <c r="F723" s="54"/>
      <c r="G723" s="72"/>
      <c r="H723" s="54"/>
      <c r="I723" s="54"/>
      <c r="J723" s="106">
        <f>VLOOKUP(A723&amp;G723,Lookup!J:N,5,0)</f>
        <v>0</v>
      </c>
      <c r="K723" s="115"/>
      <c r="L723" s="54"/>
      <c r="M723" s="54"/>
      <c r="N723" s="54"/>
      <c r="O723" s="112">
        <v>29.8506944444444</v>
      </c>
      <c r="P723" s="110" t="str">
        <f t="shared" si="54"/>
        <v/>
      </c>
      <c r="Q723" s="54"/>
      <c r="R723" s="87" t="str">
        <f t="shared" si="56"/>
        <v/>
      </c>
      <c r="S723" s="87" t="str">
        <f t="shared" si="57"/>
        <v/>
      </c>
      <c r="T723" s="54"/>
      <c r="U723" s="54"/>
      <c r="V723" s="54"/>
      <c r="W723" s="54"/>
      <c r="X723" s="69" t="str">
        <f t="shared" si="55"/>
        <v>D</v>
      </c>
    </row>
    <row r="724" spans="1:24" s="66" customFormat="1" x14ac:dyDescent="0.25">
      <c r="A724" s="51"/>
      <c r="B724" s="91" t="str">
        <f>IFERROR(VLOOKUP(A724,Lookup!A:B,2,0),"")</f>
        <v/>
      </c>
      <c r="C724" s="92" t="str">
        <f>IFERROR(VLOOKUP(A724,Lookup!A:C,3,0),"")</f>
        <v/>
      </c>
      <c r="D724" s="54"/>
      <c r="E724" s="54"/>
      <c r="F724" s="54"/>
      <c r="G724" s="72"/>
      <c r="H724" s="54"/>
      <c r="I724" s="54"/>
      <c r="J724" s="106">
        <f>VLOOKUP(A724&amp;G724,Lookup!J:N,5,0)</f>
        <v>0</v>
      </c>
      <c r="K724" s="115"/>
      <c r="L724" s="54"/>
      <c r="M724" s="54"/>
      <c r="N724" s="54"/>
      <c r="O724" s="112">
        <v>29.8923611111111</v>
      </c>
      <c r="P724" s="110" t="str">
        <f t="shared" si="54"/>
        <v/>
      </c>
      <c r="Q724" s="54"/>
      <c r="R724" s="87" t="str">
        <f t="shared" si="56"/>
        <v/>
      </c>
      <c r="S724" s="87" t="str">
        <f t="shared" si="57"/>
        <v/>
      </c>
      <c r="T724" s="54"/>
      <c r="U724" s="54"/>
      <c r="V724" s="54"/>
      <c r="W724" s="54"/>
      <c r="X724" s="69" t="str">
        <f t="shared" si="55"/>
        <v>D</v>
      </c>
    </row>
    <row r="725" spans="1:24" s="66" customFormat="1" x14ac:dyDescent="0.25">
      <c r="A725" s="51"/>
      <c r="B725" s="91" t="str">
        <f>IFERROR(VLOOKUP(A725,Lookup!A:B,2,0),"")</f>
        <v/>
      </c>
      <c r="C725" s="92" t="str">
        <f>IFERROR(VLOOKUP(A725,Lookup!A:C,3,0),"")</f>
        <v/>
      </c>
      <c r="D725" s="54"/>
      <c r="E725" s="54"/>
      <c r="F725" s="54"/>
      <c r="G725" s="72"/>
      <c r="H725" s="54"/>
      <c r="I725" s="54"/>
      <c r="J725" s="106">
        <f>VLOOKUP(A725&amp;G725,Lookup!J:N,5,0)</f>
        <v>0</v>
      </c>
      <c r="K725" s="115"/>
      <c r="L725" s="54"/>
      <c r="M725" s="54"/>
      <c r="N725" s="54"/>
      <c r="O725" s="112">
        <v>29.9340277777778</v>
      </c>
      <c r="P725" s="110" t="str">
        <f t="shared" si="54"/>
        <v/>
      </c>
      <c r="Q725" s="54"/>
      <c r="R725" s="87" t="str">
        <f t="shared" si="56"/>
        <v/>
      </c>
      <c r="S725" s="87" t="str">
        <f t="shared" si="57"/>
        <v/>
      </c>
      <c r="T725" s="54"/>
      <c r="U725" s="54"/>
      <c r="V725" s="54"/>
      <c r="W725" s="54"/>
      <c r="X725" s="69" t="str">
        <f t="shared" si="55"/>
        <v>D</v>
      </c>
    </row>
    <row r="726" spans="1:24" s="66" customFormat="1" x14ac:dyDescent="0.25">
      <c r="A726" s="51"/>
      <c r="B726" s="91" t="str">
        <f>IFERROR(VLOOKUP(A726,Lookup!A:B,2,0),"")</f>
        <v/>
      </c>
      <c r="C726" s="92" t="str">
        <f>IFERROR(VLOOKUP(A726,Lookup!A:C,3,0),"")</f>
        <v/>
      </c>
      <c r="D726" s="54"/>
      <c r="E726" s="54"/>
      <c r="F726" s="54"/>
      <c r="G726" s="72"/>
      <c r="H726" s="54"/>
      <c r="I726" s="54"/>
      <c r="J726" s="106">
        <f>VLOOKUP(A726&amp;G726,Lookup!J:N,5,0)</f>
        <v>0</v>
      </c>
      <c r="K726" s="115"/>
      <c r="L726" s="54"/>
      <c r="M726" s="54"/>
      <c r="N726" s="54"/>
      <c r="O726" s="112">
        <v>29.9756944444444</v>
      </c>
      <c r="P726" s="110" t="str">
        <f t="shared" si="54"/>
        <v/>
      </c>
      <c r="Q726" s="54"/>
      <c r="R726" s="87" t="str">
        <f t="shared" si="56"/>
        <v/>
      </c>
      <c r="S726" s="87" t="str">
        <f t="shared" si="57"/>
        <v/>
      </c>
      <c r="T726" s="54"/>
      <c r="U726" s="54"/>
      <c r="V726" s="54"/>
      <c r="W726" s="54"/>
      <c r="X726" s="69" t="str">
        <f t="shared" si="55"/>
        <v>D</v>
      </c>
    </row>
    <row r="727" spans="1:24" s="66" customFormat="1" x14ac:dyDescent="0.25">
      <c r="A727" s="51"/>
      <c r="B727" s="91" t="str">
        <f>IFERROR(VLOOKUP(A727,Lookup!A:B,2,0),"")</f>
        <v/>
      </c>
      <c r="C727" s="92" t="str">
        <f>IFERROR(VLOOKUP(A727,Lookup!A:C,3,0),"")</f>
        <v/>
      </c>
      <c r="D727" s="54"/>
      <c r="E727" s="54"/>
      <c r="F727" s="54"/>
      <c r="G727" s="72"/>
      <c r="H727" s="54"/>
      <c r="I727" s="54"/>
      <c r="J727" s="106">
        <f>VLOOKUP(A727&amp;G727,Lookup!J:N,5,0)</f>
        <v>0</v>
      </c>
      <c r="K727" s="115"/>
      <c r="L727" s="54"/>
      <c r="M727" s="54"/>
      <c r="N727" s="54"/>
      <c r="O727" s="112">
        <v>30.0173611111111</v>
      </c>
      <c r="P727" s="110" t="str">
        <f t="shared" si="54"/>
        <v/>
      </c>
      <c r="Q727" s="54"/>
      <c r="R727" s="87" t="str">
        <f t="shared" si="56"/>
        <v/>
      </c>
      <c r="S727" s="87" t="str">
        <f t="shared" si="57"/>
        <v/>
      </c>
      <c r="T727" s="54"/>
      <c r="U727" s="54"/>
      <c r="V727" s="54"/>
      <c r="W727" s="54"/>
      <c r="X727" s="69" t="str">
        <f t="shared" si="55"/>
        <v>D</v>
      </c>
    </row>
    <row r="728" spans="1:24" s="66" customFormat="1" x14ac:dyDescent="0.25">
      <c r="A728" s="51"/>
      <c r="B728" s="91" t="str">
        <f>IFERROR(VLOOKUP(A728,Lookup!A:B,2,0),"")</f>
        <v/>
      </c>
      <c r="C728" s="92" t="str">
        <f>IFERROR(VLOOKUP(A728,Lookup!A:C,3,0),"")</f>
        <v/>
      </c>
      <c r="D728" s="54"/>
      <c r="E728" s="54"/>
      <c r="F728" s="54"/>
      <c r="G728" s="72"/>
      <c r="H728" s="54"/>
      <c r="I728" s="54"/>
      <c r="J728" s="106">
        <f>VLOOKUP(A728&amp;G728,Lookup!J:N,5,0)</f>
        <v>0</v>
      </c>
      <c r="K728" s="115"/>
      <c r="L728" s="54"/>
      <c r="M728" s="54"/>
      <c r="N728" s="54"/>
      <c r="O728" s="112">
        <v>30.0590277777778</v>
      </c>
      <c r="P728" s="110" t="str">
        <f t="shared" si="54"/>
        <v/>
      </c>
      <c r="Q728" s="54"/>
      <c r="R728" s="87" t="str">
        <f t="shared" si="56"/>
        <v/>
      </c>
      <c r="S728" s="87" t="str">
        <f t="shared" si="57"/>
        <v/>
      </c>
      <c r="T728" s="54"/>
      <c r="U728" s="54"/>
      <c r="V728" s="54"/>
      <c r="W728" s="54"/>
      <c r="X728" s="69" t="str">
        <f t="shared" si="55"/>
        <v>D</v>
      </c>
    </row>
    <row r="729" spans="1:24" s="66" customFormat="1" x14ac:dyDescent="0.25">
      <c r="A729" s="51"/>
      <c r="B729" s="91" t="str">
        <f>IFERROR(VLOOKUP(A729,Lookup!A:B,2,0),"")</f>
        <v/>
      </c>
      <c r="C729" s="92" t="str">
        <f>IFERROR(VLOOKUP(A729,Lookup!A:C,3,0),"")</f>
        <v/>
      </c>
      <c r="D729" s="54"/>
      <c r="E729" s="54"/>
      <c r="F729" s="54"/>
      <c r="G729" s="72"/>
      <c r="H729" s="54"/>
      <c r="I729" s="54"/>
      <c r="J729" s="106">
        <f>VLOOKUP(A729&amp;G729,Lookup!J:N,5,0)</f>
        <v>0</v>
      </c>
      <c r="K729" s="115"/>
      <c r="L729" s="54"/>
      <c r="M729" s="54"/>
      <c r="N729" s="54"/>
      <c r="O729" s="112">
        <v>30.1006944444444</v>
      </c>
      <c r="P729" s="110" t="str">
        <f t="shared" si="54"/>
        <v/>
      </c>
      <c r="Q729" s="54"/>
      <c r="R729" s="87" t="str">
        <f t="shared" si="56"/>
        <v/>
      </c>
      <c r="S729" s="87" t="str">
        <f t="shared" si="57"/>
        <v/>
      </c>
      <c r="T729" s="54"/>
      <c r="U729" s="54"/>
      <c r="V729" s="54"/>
      <c r="W729" s="54"/>
      <c r="X729" s="69" t="str">
        <f t="shared" si="55"/>
        <v>D</v>
      </c>
    </row>
    <row r="730" spans="1:24" s="66" customFormat="1" x14ac:dyDescent="0.25">
      <c r="A730" s="51"/>
      <c r="B730" s="91" t="str">
        <f>IFERROR(VLOOKUP(A730,Lookup!A:B,2,0),"")</f>
        <v/>
      </c>
      <c r="C730" s="92" t="str">
        <f>IFERROR(VLOOKUP(A730,Lookup!A:C,3,0),"")</f>
        <v/>
      </c>
      <c r="D730" s="54"/>
      <c r="E730" s="54"/>
      <c r="F730" s="54"/>
      <c r="G730" s="72"/>
      <c r="H730" s="54"/>
      <c r="I730" s="54"/>
      <c r="J730" s="106">
        <f>VLOOKUP(A730&amp;G730,Lookup!J:N,5,0)</f>
        <v>0</v>
      </c>
      <c r="K730" s="115"/>
      <c r="L730" s="54"/>
      <c r="M730" s="54"/>
      <c r="N730" s="54"/>
      <c r="O730" s="112">
        <v>30.1423611111111</v>
      </c>
      <c r="P730" s="110" t="str">
        <f t="shared" si="54"/>
        <v/>
      </c>
      <c r="Q730" s="54"/>
      <c r="R730" s="87" t="str">
        <f t="shared" si="56"/>
        <v/>
      </c>
      <c r="S730" s="87" t="str">
        <f t="shared" si="57"/>
        <v/>
      </c>
      <c r="T730" s="54"/>
      <c r="U730" s="54"/>
      <c r="V730" s="54"/>
      <c r="W730" s="54"/>
      <c r="X730" s="69" t="str">
        <f t="shared" si="55"/>
        <v>D</v>
      </c>
    </row>
    <row r="731" spans="1:24" s="66" customFormat="1" x14ac:dyDescent="0.25">
      <c r="A731" s="51"/>
      <c r="B731" s="91" t="str">
        <f>IFERROR(VLOOKUP(A731,Lookup!A:B,2,0),"")</f>
        <v/>
      </c>
      <c r="C731" s="92" t="str">
        <f>IFERROR(VLOOKUP(A731,Lookup!A:C,3,0),"")</f>
        <v/>
      </c>
      <c r="D731" s="54"/>
      <c r="E731" s="54"/>
      <c r="F731" s="54"/>
      <c r="G731" s="72"/>
      <c r="H731" s="54"/>
      <c r="I731" s="54"/>
      <c r="J731" s="106">
        <f>VLOOKUP(A731&amp;G731,Lookup!J:N,5,0)</f>
        <v>0</v>
      </c>
      <c r="K731" s="115"/>
      <c r="L731" s="54"/>
      <c r="M731" s="54"/>
      <c r="N731" s="54"/>
      <c r="O731" s="112">
        <v>30.1840277777778</v>
      </c>
      <c r="P731" s="110" t="str">
        <f t="shared" si="54"/>
        <v/>
      </c>
      <c r="Q731" s="54"/>
      <c r="R731" s="87" t="str">
        <f t="shared" si="56"/>
        <v/>
      </c>
      <c r="S731" s="87" t="str">
        <f t="shared" si="57"/>
        <v/>
      </c>
      <c r="T731" s="54"/>
      <c r="U731" s="54"/>
      <c r="V731" s="54"/>
      <c r="W731" s="54"/>
      <c r="X731" s="69" t="str">
        <f t="shared" si="55"/>
        <v>D</v>
      </c>
    </row>
    <row r="732" spans="1:24" s="66" customFormat="1" x14ac:dyDescent="0.25">
      <c r="A732" s="51"/>
      <c r="B732" s="91" t="str">
        <f>IFERROR(VLOOKUP(A732,Lookup!A:B,2,0),"")</f>
        <v/>
      </c>
      <c r="C732" s="92" t="str">
        <f>IFERROR(VLOOKUP(A732,Lookup!A:C,3,0),"")</f>
        <v/>
      </c>
      <c r="D732" s="54"/>
      <c r="E732" s="54"/>
      <c r="F732" s="54"/>
      <c r="G732" s="72"/>
      <c r="H732" s="54"/>
      <c r="I732" s="54"/>
      <c r="J732" s="106">
        <f>VLOOKUP(A732&amp;G732,Lookup!J:N,5,0)</f>
        <v>0</v>
      </c>
      <c r="K732" s="115"/>
      <c r="L732" s="54"/>
      <c r="M732" s="54"/>
      <c r="N732" s="54"/>
      <c r="O732" s="112">
        <v>30.2256944444444</v>
      </c>
      <c r="P732" s="110" t="str">
        <f t="shared" si="54"/>
        <v/>
      </c>
      <c r="Q732" s="54"/>
      <c r="R732" s="87" t="str">
        <f t="shared" si="56"/>
        <v/>
      </c>
      <c r="S732" s="87" t="str">
        <f t="shared" si="57"/>
        <v/>
      </c>
      <c r="T732" s="54"/>
      <c r="U732" s="54"/>
      <c r="V732" s="54"/>
      <c r="W732" s="54"/>
      <c r="X732" s="69" t="str">
        <f t="shared" si="55"/>
        <v>D</v>
      </c>
    </row>
    <row r="733" spans="1:24" s="66" customFormat="1" x14ac:dyDescent="0.25">
      <c r="A733" s="51"/>
      <c r="B733" s="91" t="str">
        <f>IFERROR(VLOOKUP(A733,Lookup!A:B,2,0),"")</f>
        <v/>
      </c>
      <c r="C733" s="92" t="str">
        <f>IFERROR(VLOOKUP(A733,Lookup!A:C,3,0),"")</f>
        <v/>
      </c>
      <c r="D733" s="54"/>
      <c r="E733" s="54"/>
      <c r="F733" s="54"/>
      <c r="G733" s="72"/>
      <c r="H733" s="54"/>
      <c r="I733" s="54"/>
      <c r="J733" s="106">
        <f>VLOOKUP(A733&amp;G733,Lookup!J:N,5,0)</f>
        <v>0</v>
      </c>
      <c r="K733" s="115"/>
      <c r="L733" s="54"/>
      <c r="M733" s="54"/>
      <c r="N733" s="54"/>
      <c r="O733" s="112">
        <v>30.2673611111111</v>
      </c>
      <c r="P733" s="110" t="str">
        <f t="shared" si="54"/>
        <v/>
      </c>
      <c r="Q733" s="54"/>
      <c r="R733" s="87" t="str">
        <f t="shared" si="56"/>
        <v/>
      </c>
      <c r="S733" s="87" t="str">
        <f t="shared" si="57"/>
        <v/>
      </c>
      <c r="T733" s="54"/>
      <c r="U733" s="54"/>
      <c r="V733" s="54"/>
      <c r="W733" s="54"/>
      <c r="X733" s="69" t="str">
        <f t="shared" si="55"/>
        <v>D</v>
      </c>
    </row>
    <row r="734" spans="1:24" s="66" customFormat="1" x14ac:dyDescent="0.25">
      <c r="A734" s="51"/>
      <c r="B734" s="91" t="str">
        <f>IFERROR(VLOOKUP(A734,Lookup!A:B,2,0),"")</f>
        <v/>
      </c>
      <c r="C734" s="92" t="str">
        <f>IFERROR(VLOOKUP(A734,Lookup!A:C,3,0),"")</f>
        <v/>
      </c>
      <c r="D734" s="54"/>
      <c r="E734" s="54"/>
      <c r="F734" s="54"/>
      <c r="G734" s="72"/>
      <c r="H734" s="54"/>
      <c r="I734" s="54"/>
      <c r="J734" s="106">
        <f>VLOOKUP(A734&amp;G734,Lookup!J:N,5,0)</f>
        <v>0</v>
      </c>
      <c r="K734" s="115"/>
      <c r="L734" s="54"/>
      <c r="M734" s="54"/>
      <c r="N734" s="54"/>
      <c r="O734" s="112">
        <v>30.3090277777778</v>
      </c>
      <c r="P734" s="110" t="str">
        <f t="shared" si="54"/>
        <v/>
      </c>
      <c r="Q734" s="54"/>
      <c r="R734" s="87" t="str">
        <f t="shared" si="56"/>
        <v/>
      </c>
      <c r="S734" s="87" t="str">
        <f t="shared" si="57"/>
        <v/>
      </c>
      <c r="T734" s="54"/>
      <c r="U734" s="54"/>
      <c r="V734" s="54"/>
      <c r="W734" s="54"/>
      <c r="X734" s="69" t="str">
        <f t="shared" si="55"/>
        <v>D</v>
      </c>
    </row>
    <row r="735" spans="1:24" s="66" customFormat="1" x14ac:dyDescent="0.25">
      <c r="A735" s="51"/>
      <c r="B735" s="91" t="str">
        <f>IFERROR(VLOOKUP(A735,Lookup!A:B,2,0),"")</f>
        <v/>
      </c>
      <c r="C735" s="92" t="str">
        <f>IFERROR(VLOOKUP(A735,Lookup!A:C,3,0),"")</f>
        <v/>
      </c>
      <c r="D735" s="54"/>
      <c r="E735" s="54"/>
      <c r="F735" s="54"/>
      <c r="G735" s="72"/>
      <c r="H735" s="54"/>
      <c r="I735" s="54"/>
      <c r="J735" s="106">
        <f>VLOOKUP(A735&amp;G735,Lookup!J:N,5,0)</f>
        <v>0</v>
      </c>
      <c r="K735" s="115"/>
      <c r="L735" s="54"/>
      <c r="M735" s="54"/>
      <c r="N735" s="54"/>
      <c r="O735" s="112">
        <v>30.3506944444444</v>
      </c>
      <c r="P735" s="110" t="str">
        <f t="shared" si="54"/>
        <v/>
      </c>
      <c r="Q735" s="54"/>
      <c r="R735" s="87" t="str">
        <f t="shared" si="56"/>
        <v/>
      </c>
      <c r="S735" s="87" t="str">
        <f t="shared" si="57"/>
        <v/>
      </c>
      <c r="T735" s="54"/>
      <c r="U735" s="54"/>
      <c r="V735" s="54"/>
      <c r="W735" s="54"/>
      <c r="X735" s="69" t="str">
        <f t="shared" si="55"/>
        <v>D</v>
      </c>
    </row>
    <row r="736" spans="1:24" s="66" customFormat="1" x14ac:dyDescent="0.25">
      <c r="A736" s="51"/>
      <c r="B736" s="91" t="str">
        <f>IFERROR(VLOOKUP(A736,Lookup!A:B,2,0),"")</f>
        <v/>
      </c>
      <c r="C736" s="92" t="str">
        <f>IFERROR(VLOOKUP(A736,Lookup!A:C,3,0),"")</f>
        <v/>
      </c>
      <c r="D736" s="54"/>
      <c r="E736" s="54"/>
      <c r="F736" s="54"/>
      <c r="G736" s="72"/>
      <c r="H736" s="54"/>
      <c r="I736" s="54"/>
      <c r="J736" s="106">
        <f>VLOOKUP(A736&amp;G736,Lookup!J:N,5,0)</f>
        <v>0</v>
      </c>
      <c r="K736" s="115"/>
      <c r="L736" s="54"/>
      <c r="M736" s="54"/>
      <c r="N736" s="54"/>
      <c r="O736" s="112">
        <v>30.3923611111111</v>
      </c>
      <c r="P736" s="110" t="str">
        <f t="shared" si="54"/>
        <v/>
      </c>
      <c r="Q736" s="54"/>
      <c r="R736" s="87" t="str">
        <f t="shared" si="56"/>
        <v/>
      </c>
      <c r="S736" s="87" t="str">
        <f t="shared" si="57"/>
        <v/>
      </c>
      <c r="T736" s="54"/>
      <c r="U736" s="54"/>
      <c r="V736" s="54"/>
      <c r="W736" s="54"/>
      <c r="X736" s="69" t="str">
        <f t="shared" si="55"/>
        <v>D</v>
      </c>
    </row>
    <row r="737" spans="1:24" s="66" customFormat="1" x14ac:dyDescent="0.25">
      <c r="A737" s="51"/>
      <c r="B737" s="91" t="str">
        <f>IFERROR(VLOOKUP(A737,Lookup!A:B,2,0),"")</f>
        <v/>
      </c>
      <c r="C737" s="92" t="str">
        <f>IFERROR(VLOOKUP(A737,Lookup!A:C,3,0),"")</f>
        <v/>
      </c>
      <c r="D737" s="54"/>
      <c r="E737" s="54"/>
      <c r="F737" s="54"/>
      <c r="G737" s="72"/>
      <c r="H737" s="54"/>
      <c r="I737" s="54"/>
      <c r="J737" s="106">
        <f>VLOOKUP(A737&amp;G737,Lookup!J:N,5,0)</f>
        <v>0</v>
      </c>
      <c r="K737" s="115"/>
      <c r="L737" s="54"/>
      <c r="M737" s="54"/>
      <c r="N737" s="54"/>
      <c r="O737" s="112">
        <v>30.4340277777778</v>
      </c>
      <c r="P737" s="110" t="str">
        <f t="shared" si="54"/>
        <v/>
      </c>
      <c r="Q737" s="54"/>
      <c r="R737" s="87" t="str">
        <f t="shared" si="56"/>
        <v/>
      </c>
      <c r="S737" s="87" t="str">
        <f t="shared" si="57"/>
        <v/>
      </c>
      <c r="T737" s="54"/>
      <c r="U737" s="54"/>
      <c r="V737" s="54"/>
      <c r="W737" s="54"/>
      <c r="X737" s="69" t="str">
        <f t="shared" si="55"/>
        <v>D</v>
      </c>
    </row>
    <row r="738" spans="1:24" s="66" customFormat="1" x14ac:dyDescent="0.25">
      <c r="A738" s="51"/>
      <c r="B738" s="91" t="str">
        <f>IFERROR(VLOOKUP(A738,Lookup!A:B,2,0),"")</f>
        <v/>
      </c>
      <c r="C738" s="92" t="str">
        <f>IFERROR(VLOOKUP(A738,Lookup!A:C,3,0),"")</f>
        <v/>
      </c>
      <c r="D738" s="54"/>
      <c r="E738" s="54"/>
      <c r="F738" s="54"/>
      <c r="G738" s="72"/>
      <c r="H738" s="54"/>
      <c r="I738" s="54"/>
      <c r="J738" s="106">
        <f>VLOOKUP(A738&amp;G738,Lookup!J:N,5,0)</f>
        <v>0</v>
      </c>
      <c r="K738" s="115"/>
      <c r="L738" s="54"/>
      <c r="M738" s="54"/>
      <c r="N738" s="54"/>
      <c r="O738" s="112">
        <v>30.4756944444444</v>
      </c>
      <c r="P738" s="110" t="str">
        <f t="shared" si="54"/>
        <v/>
      </c>
      <c r="Q738" s="54"/>
      <c r="R738" s="87" t="str">
        <f t="shared" si="56"/>
        <v/>
      </c>
      <c r="S738" s="87" t="str">
        <f t="shared" si="57"/>
        <v/>
      </c>
      <c r="T738" s="54"/>
      <c r="U738" s="54"/>
      <c r="V738" s="54"/>
      <c r="W738" s="54"/>
      <c r="X738" s="69" t="str">
        <f t="shared" si="55"/>
        <v>D</v>
      </c>
    </row>
    <row r="739" spans="1:24" s="66" customFormat="1" x14ac:dyDescent="0.25">
      <c r="A739" s="51"/>
      <c r="B739" s="91" t="str">
        <f>IFERROR(VLOOKUP(A739,Lookup!A:B,2,0),"")</f>
        <v/>
      </c>
      <c r="C739" s="92" t="str">
        <f>IFERROR(VLOOKUP(A739,Lookup!A:C,3,0),"")</f>
        <v/>
      </c>
      <c r="D739" s="54"/>
      <c r="E739" s="54"/>
      <c r="F739" s="54"/>
      <c r="G739" s="72"/>
      <c r="H739" s="54"/>
      <c r="I739" s="54"/>
      <c r="J739" s="106">
        <f>VLOOKUP(A739&amp;G739,Lookup!J:N,5,0)</f>
        <v>0</v>
      </c>
      <c r="K739" s="115"/>
      <c r="L739" s="54"/>
      <c r="M739" s="54"/>
      <c r="N739" s="54"/>
      <c r="O739" s="112">
        <v>30.5173611111111</v>
      </c>
      <c r="P739" s="110" t="str">
        <f t="shared" si="54"/>
        <v/>
      </c>
      <c r="Q739" s="54"/>
      <c r="R739" s="87" t="str">
        <f t="shared" si="56"/>
        <v/>
      </c>
      <c r="S739" s="87" t="str">
        <f t="shared" si="57"/>
        <v/>
      </c>
      <c r="T739" s="54"/>
      <c r="U739" s="54"/>
      <c r="V739" s="54"/>
      <c r="W739" s="54"/>
      <c r="X739" s="69" t="str">
        <f t="shared" si="55"/>
        <v>D</v>
      </c>
    </row>
    <row r="740" spans="1:24" s="66" customFormat="1" x14ac:dyDescent="0.25">
      <c r="A740" s="51"/>
      <c r="B740" s="91" t="str">
        <f>IFERROR(VLOOKUP(A740,Lookup!A:B,2,0),"")</f>
        <v/>
      </c>
      <c r="C740" s="92" t="str">
        <f>IFERROR(VLOOKUP(A740,Lookup!A:C,3,0),"")</f>
        <v/>
      </c>
      <c r="D740" s="54"/>
      <c r="E740" s="54"/>
      <c r="F740" s="54"/>
      <c r="G740" s="72"/>
      <c r="H740" s="54"/>
      <c r="I740" s="54"/>
      <c r="J740" s="106">
        <f>VLOOKUP(A740&amp;G740,Lookup!J:N,5,0)</f>
        <v>0</v>
      </c>
      <c r="K740" s="115"/>
      <c r="L740" s="54"/>
      <c r="M740" s="54"/>
      <c r="N740" s="54"/>
      <c r="O740" s="112">
        <v>30.5590277777778</v>
      </c>
      <c r="P740" s="110" t="str">
        <f t="shared" si="54"/>
        <v/>
      </c>
      <c r="Q740" s="54"/>
      <c r="R740" s="87" t="str">
        <f t="shared" si="56"/>
        <v/>
      </c>
      <c r="S740" s="87" t="str">
        <f t="shared" si="57"/>
        <v/>
      </c>
      <c r="T740" s="54"/>
      <c r="U740" s="54"/>
      <c r="V740" s="54"/>
      <c r="W740" s="54"/>
      <c r="X740" s="69" t="str">
        <f t="shared" si="55"/>
        <v>D</v>
      </c>
    </row>
    <row r="741" spans="1:24" s="66" customFormat="1" x14ac:dyDescent="0.25">
      <c r="A741" s="51"/>
      <c r="B741" s="91" t="str">
        <f>IFERROR(VLOOKUP(A741,Lookup!A:B,2,0),"")</f>
        <v/>
      </c>
      <c r="C741" s="92" t="str">
        <f>IFERROR(VLOOKUP(A741,Lookup!A:C,3,0),"")</f>
        <v/>
      </c>
      <c r="D741" s="54"/>
      <c r="E741" s="54"/>
      <c r="F741" s="54"/>
      <c r="G741" s="72"/>
      <c r="H741" s="54"/>
      <c r="I741" s="54"/>
      <c r="J741" s="106">
        <f>VLOOKUP(A741&amp;G741,Lookup!J:N,5,0)</f>
        <v>0</v>
      </c>
      <c r="K741" s="115"/>
      <c r="L741" s="54"/>
      <c r="M741" s="54"/>
      <c r="N741" s="54"/>
      <c r="O741" s="112">
        <v>30.6006944444444</v>
      </c>
      <c r="P741" s="110" t="str">
        <f t="shared" si="54"/>
        <v/>
      </c>
      <c r="Q741" s="54"/>
      <c r="R741" s="87" t="str">
        <f t="shared" si="56"/>
        <v/>
      </c>
      <c r="S741" s="87" t="str">
        <f t="shared" si="57"/>
        <v/>
      </c>
      <c r="T741" s="54"/>
      <c r="U741" s="54"/>
      <c r="V741" s="54"/>
      <c r="W741" s="54"/>
      <c r="X741" s="69" t="str">
        <f t="shared" si="55"/>
        <v>D</v>
      </c>
    </row>
    <row r="742" spans="1:24" s="66" customFormat="1" x14ac:dyDescent="0.25">
      <c r="A742" s="51"/>
      <c r="B742" s="91" t="str">
        <f>IFERROR(VLOOKUP(A742,Lookup!A:B,2,0),"")</f>
        <v/>
      </c>
      <c r="C742" s="92" t="str">
        <f>IFERROR(VLOOKUP(A742,Lookup!A:C,3,0),"")</f>
        <v/>
      </c>
      <c r="D742" s="54"/>
      <c r="E742" s="54"/>
      <c r="F742" s="54"/>
      <c r="G742" s="72"/>
      <c r="H742" s="54"/>
      <c r="I742" s="54"/>
      <c r="J742" s="106">
        <f>VLOOKUP(A742&amp;G742,Lookup!J:N,5,0)</f>
        <v>0</v>
      </c>
      <c r="K742" s="115"/>
      <c r="L742" s="54"/>
      <c r="M742" s="54"/>
      <c r="N742" s="54"/>
      <c r="O742" s="112">
        <v>30.6423611111111</v>
      </c>
      <c r="P742" s="110" t="str">
        <f t="shared" si="54"/>
        <v/>
      </c>
      <c r="Q742" s="54"/>
      <c r="R742" s="87" t="str">
        <f t="shared" si="56"/>
        <v/>
      </c>
      <c r="S742" s="87" t="str">
        <f t="shared" si="57"/>
        <v/>
      </c>
      <c r="T742" s="54"/>
      <c r="U742" s="54"/>
      <c r="V742" s="54"/>
      <c r="W742" s="54"/>
      <c r="X742" s="69" t="str">
        <f t="shared" si="55"/>
        <v>D</v>
      </c>
    </row>
    <row r="743" spans="1:24" s="66" customFormat="1" x14ac:dyDescent="0.25">
      <c r="A743" s="51"/>
      <c r="B743" s="91" t="str">
        <f>IFERROR(VLOOKUP(A743,Lookup!A:B,2,0),"")</f>
        <v/>
      </c>
      <c r="C743" s="92" t="str">
        <f>IFERROR(VLOOKUP(A743,Lookup!A:C,3,0),"")</f>
        <v/>
      </c>
      <c r="D743" s="54"/>
      <c r="E743" s="54"/>
      <c r="F743" s="54"/>
      <c r="G743" s="72"/>
      <c r="H743" s="54"/>
      <c r="I743" s="54"/>
      <c r="J743" s="106">
        <f>VLOOKUP(A743&amp;G743,Lookup!J:N,5,0)</f>
        <v>0</v>
      </c>
      <c r="K743" s="115"/>
      <c r="L743" s="54"/>
      <c r="M743" s="54"/>
      <c r="N743" s="54"/>
      <c r="O743" s="112">
        <v>30.6840277777778</v>
      </c>
      <c r="P743" s="110" t="str">
        <f t="shared" si="54"/>
        <v/>
      </c>
      <c r="Q743" s="54"/>
      <c r="R743" s="87" t="str">
        <f t="shared" si="56"/>
        <v/>
      </c>
      <c r="S743" s="87" t="str">
        <f t="shared" si="57"/>
        <v/>
      </c>
      <c r="T743" s="54"/>
      <c r="U743" s="54"/>
      <c r="V743" s="54"/>
      <c r="W743" s="54"/>
      <c r="X743" s="69" t="str">
        <f t="shared" si="55"/>
        <v>D</v>
      </c>
    </row>
    <row r="744" spans="1:24" s="66" customFormat="1" x14ac:dyDescent="0.25">
      <c r="A744" s="51"/>
      <c r="B744" s="91" t="str">
        <f>IFERROR(VLOOKUP(A744,Lookup!A:B,2,0),"")</f>
        <v/>
      </c>
      <c r="C744" s="92" t="str">
        <f>IFERROR(VLOOKUP(A744,Lookup!A:C,3,0),"")</f>
        <v/>
      </c>
      <c r="D744" s="54"/>
      <c r="E744" s="54"/>
      <c r="F744" s="54"/>
      <c r="G744" s="72"/>
      <c r="H744" s="54"/>
      <c r="I744" s="54"/>
      <c r="J744" s="106">
        <f>VLOOKUP(A744&amp;G744,Lookup!J:N,5,0)</f>
        <v>0</v>
      </c>
      <c r="K744" s="115"/>
      <c r="L744" s="54"/>
      <c r="M744" s="54"/>
      <c r="N744" s="54"/>
      <c r="O744" s="112">
        <v>30.7256944444444</v>
      </c>
      <c r="P744" s="110" t="str">
        <f t="shared" si="54"/>
        <v/>
      </c>
      <c r="Q744" s="54"/>
      <c r="R744" s="87" t="str">
        <f t="shared" si="56"/>
        <v/>
      </c>
      <c r="S744" s="87" t="str">
        <f t="shared" si="57"/>
        <v/>
      </c>
      <c r="T744" s="54"/>
      <c r="U744" s="54"/>
      <c r="V744" s="54"/>
      <c r="W744" s="54"/>
      <c r="X744" s="69" t="str">
        <f t="shared" si="55"/>
        <v>D</v>
      </c>
    </row>
    <row r="745" spans="1:24" s="66" customFormat="1" x14ac:dyDescent="0.25">
      <c r="A745" s="51"/>
      <c r="B745" s="91" t="str">
        <f>IFERROR(VLOOKUP(A745,Lookup!A:B,2,0),"")</f>
        <v/>
      </c>
      <c r="C745" s="92" t="str">
        <f>IFERROR(VLOOKUP(A745,Lookup!A:C,3,0),"")</f>
        <v/>
      </c>
      <c r="D745" s="54"/>
      <c r="E745" s="54"/>
      <c r="F745" s="54"/>
      <c r="G745" s="72"/>
      <c r="H745" s="54"/>
      <c r="I745" s="54"/>
      <c r="J745" s="106">
        <f>VLOOKUP(A745&amp;G745,Lookup!J:N,5,0)</f>
        <v>0</v>
      </c>
      <c r="K745" s="115"/>
      <c r="L745" s="54"/>
      <c r="M745" s="54"/>
      <c r="N745" s="54"/>
      <c r="O745" s="112">
        <v>30.7673611111111</v>
      </c>
      <c r="P745" s="110" t="str">
        <f t="shared" si="54"/>
        <v/>
      </c>
      <c r="Q745" s="54"/>
      <c r="R745" s="87" t="str">
        <f t="shared" si="56"/>
        <v/>
      </c>
      <c r="S745" s="87" t="str">
        <f t="shared" si="57"/>
        <v/>
      </c>
      <c r="T745" s="54"/>
      <c r="U745" s="54"/>
      <c r="V745" s="54"/>
      <c r="W745" s="54"/>
      <c r="X745" s="69" t="str">
        <f t="shared" si="55"/>
        <v>D</v>
      </c>
    </row>
    <row r="746" spans="1:24" s="66" customFormat="1" x14ac:dyDescent="0.25">
      <c r="A746" s="51"/>
      <c r="B746" s="91" t="str">
        <f>IFERROR(VLOOKUP(A746,Lookup!A:B,2,0),"")</f>
        <v/>
      </c>
      <c r="C746" s="92" t="str">
        <f>IFERROR(VLOOKUP(A746,Lookup!A:C,3,0),"")</f>
        <v/>
      </c>
      <c r="D746" s="54"/>
      <c r="E746" s="54"/>
      <c r="F746" s="54"/>
      <c r="G746" s="72"/>
      <c r="H746" s="54"/>
      <c r="I746" s="54"/>
      <c r="J746" s="106">
        <f>VLOOKUP(A746&amp;G746,Lookup!J:N,5,0)</f>
        <v>0</v>
      </c>
      <c r="K746" s="115"/>
      <c r="L746" s="54"/>
      <c r="M746" s="54"/>
      <c r="N746" s="54"/>
      <c r="O746" s="112">
        <v>30.8090277777778</v>
      </c>
      <c r="P746" s="110" t="str">
        <f t="shared" si="54"/>
        <v/>
      </c>
      <c r="Q746" s="54"/>
      <c r="R746" s="87" t="str">
        <f t="shared" si="56"/>
        <v/>
      </c>
      <c r="S746" s="87" t="str">
        <f t="shared" si="57"/>
        <v/>
      </c>
      <c r="T746" s="54"/>
      <c r="U746" s="54"/>
      <c r="V746" s="54"/>
      <c r="W746" s="54"/>
      <c r="X746" s="69" t="str">
        <f t="shared" si="55"/>
        <v>D</v>
      </c>
    </row>
    <row r="747" spans="1:24" s="66" customFormat="1" x14ac:dyDescent="0.25">
      <c r="A747" s="51"/>
      <c r="B747" s="91" t="str">
        <f>IFERROR(VLOOKUP(A747,Lookup!A:B,2,0),"")</f>
        <v/>
      </c>
      <c r="C747" s="92" t="str">
        <f>IFERROR(VLOOKUP(A747,Lookup!A:C,3,0),"")</f>
        <v/>
      </c>
      <c r="D747" s="54"/>
      <c r="E747" s="54"/>
      <c r="F747" s="54"/>
      <c r="G747" s="72"/>
      <c r="H747" s="54"/>
      <c r="I747" s="54"/>
      <c r="J747" s="106">
        <f>VLOOKUP(A747&amp;G747,Lookup!J:N,5,0)</f>
        <v>0</v>
      </c>
      <c r="K747" s="115"/>
      <c r="L747" s="54"/>
      <c r="M747" s="54"/>
      <c r="N747" s="54"/>
      <c r="O747" s="112">
        <v>30.8506944444444</v>
      </c>
      <c r="P747" s="110" t="str">
        <f t="shared" si="54"/>
        <v/>
      </c>
      <c r="Q747" s="54"/>
      <c r="R747" s="87" t="str">
        <f t="shared" si="56"/>
        <v/>
      </c>
      <c r="S747" s="87" t="str">
        <f t="shared" si="57"/>
        <v/>
      </c>
      <c r="T747" s="54"/>
      <c r="U747" s="54"/>
      <c r="V747" s="54"/>
      <c r="W747" s="54"/>
      <c r="X747" s="69" t="str">
        <f t="shared" si="55"/>
        <v>D</v>
      </c>
    </row>
    <row r="748" spans="1:24" s="66" customFormat="1" x14ac:dyDescent="0.25">
      <c r="A748" s="51"/>
      <c r="B748" s="91" t="str">
        <f>IFERROR(VLOOKUP(A748,Lookup!A:B,2,0),"")</f>
        <v/>
      </c>
      <c r="C748" s="92" t="str">
        <f>IFERROR(VLOOKUP(A748,Lookup!A:C,3,0),"")</f>
        <v/>
      </c>
      <c r="D748" s="54"/>
      <c r="E748" s="54"/>
      <c r="F748" s="54"/>
      <c r="G748" s="72"/>
      <c r="H748" s="54"/>
      <c r="I748" s="54"/>
      <c r="J748" s="106">
        <f>VLOOKUP(A748&amp;G748,Lookup!J:N,5,0)</f>
        <v>0</v>
      </c>
      <c r="K748" s="115"/>
      <c r="L748" s="54"/>
      <c r="M748" s="54"/>
      <c r="N748" s="54"/>
      <c r="O748" s="112">
        <v>30.8923611111111</v>
      </c>
      <c r="P748" s="110" t="str">
        <f t="shared" si="54"/>
        <v/>
      </c>
      <c r="Q748" s="54"/>
      <c r="R748" s="87" t="str">
        <f t="shared" si="56"/>
        <v/>
      </c>
      <c r="S748" s="87" t="str">
        <f t="shared" si="57"/>
        <v/>
      </c>
      <c r="T748" s="54"/>
      <c r="U748" s="54"/>
      <c r="V748" s="54"/>
      <c r="W748" s="54"/>
      <c r="X748" s="69" t="str">
        <f t="shared" si="55"/>
        <v>D</v>
      </c>
    </row>
    <row r="749" spans="1:24" s="66" customFormat="1" x14ac:dyDescent="0.25">
      <c r="A749" s="51"/>
      <c r="B749" s="91" t="str">
        <f>IFERROR(VLOOKUP(A749,Lookup!A:B,2,0),"")</f>
        <v/>
      </c>
      <c r="C749" s="92" t="str">
        <f>IFERROR(VLOOKUP(A749,Lookup!A:C,3,0),"")</f>
        <v/>
      </c>
      <c r="D749" s="54"/>
      <c r="E749" s="54"/>
      <c r="F749" s="54"/>
      <c r="G749" s="72"/>
      <c r="H749" s="54"/>
      <c r="I749" s="54"/>
      <c r="J749" s="106">
        <f>VLOOKUP(A749&amp;G749,Lookup!J:N,5,0)</f>
        <v>0</v>
      </c>
      <c r="K749" s="115"/>
      <c r="L749" s="54"/>
      <c r="M749" s="54"/>
      <c r="N749" s="54"/>
      <c r="O749" s="112">
        <v>30.9340277777778</v>
      </c>
      <c r="P749" s="110" t="str">
        <f t="shared" si="54"/>
        <v/>
      </c>
      <c r="Q749" s="54"/>
      <c r="R749" s="87" t="str">
        <f t="shared" si="56"/>
        <v/>
      </c>
      <c r="S749" s="87" t="str">
        <f t="shared" si="57"/>
        <v/>
      </c>
      <c r="T749" s="54"/>
      <c r="U749" s="54"/>
      <c r="V749" s="54"/>
      <c r="W749" s="54"/>
      <c r="X749" s="69" t="str">
        <f t="shared" si="55"/>
        <v>D</v>
      </c>
    </row>
    <row r="750" spans="1:24" s="66" customFormat="1" x14ac:dyDescent="0.25">
      <c r="A750" s="51"/>
      <c r="B750" s="91" t="str">
        <f>IFERROR(VLOOKUP(A750,Lookup!A:B,2,0),"")</f>
        <v/>
      </c>
      <c r="C750" s="92" t="str">
        <f>IFERROR(VLOOKUP(A750,Lookup!A:C,3,0),"")</f>
        <v/>
      </c>
      <c r="D750" s="54"/>
      <c r="E750" s="54"/>
      <c r="F750" s="54"/>
      <c r="G750" s="72"/>
      <c r="H750" s="54"/>
      <c r="I750" s="54"/>
      <c r="J750" s="106">
        <f>VLOOKUP(A750&amp;G750,Lookup!J:N,5,0)</f>
        <v>0</v>
      </c>
      <c r="K750" s="115"/>
      <c r="L750" s="54"/>
      <c r="M750" s="54"/>
      <c r="N750" s="54"/>
      <c r="O750" s="112">
        <v>30.9756944444444</v>
      </c>
      <c r="P750" s="110" t="str">
        <f t="shared" si="54"/>
        <v/>
      </c>
      <c r="Q750" s="54"/>
      <c r="R750" s="87" t="str">
        <f t="shared" si="56"/>
        <v/>
      </c>
      <c r="S750" s="87" t="str">
        <f t="shared" si="57"/>
        <v/>
      </c>
      <c r="T750" s="54"/>
      <c r="U750" s="54"/>
      <c r="V750" s="54"/>
      <c r="W750" s="54"/>
      <c r="X750" s="69" t="str">
        <f t="shared" si="55"/>
        <v>D</v>
      </c>
    </row>
    <row r="751" spans="1:24" s="66" customFormat="1" x14ac:dyDescent="0.25">
      <c r="A751" s="51"/>
      <c r="B751" s="91" t="str">
        <f>IFERROR(VLOOKUP(A751,Lookup!A:B,2,0),"")</f>
        <v/>
      </c>
      <c r="C751" s="92" t="str">
        <f>IFERROR(VLOOKUP(A751,Lookup!A:C,3,0),"")</f>
        <v/>
      </c>
      <c r="D751" s="54"/>
      <c r="E751" s="54"/>
      <c r="F751" s="54"/>
      <c r="G751" s="72"/>
      <c r="H751" s="54"/>
      <c r="I751" s="54"/>
      <c r="J751" s="106">
        <f>VLOOKUP(A751&amp;G751,Lookup!J:N,5,0)</f>
        <v>0</v>
      </c>
      <c r="K751" s="115"/>
      <c r="L751" s="54"/>
      <c r="M751" s="54"/>
      <c r="N751" s="54"/>
      <c r="O751" s="112">
        <v>31.0173611111111</v>
      </c>
      <c r="P751" s="110" t="str">
        <f t="shared" si="54"/>
        <v/>
      </c>
      <c r="Q751" s="54"/>
      <c r="R751" s="87" t="str">
        <f t="shared" si="56"/>
        <v/>
      </c>
      <c r="S751" s="87" t="str">
        <f t="shared" si="57"/>
        <v/>
      </c>
      <c r="T751" s="54"/>
      <c r="U751" s="54"/>
      <c r="V751" s="54"/>
      <c r="W751" s="54"/>
      <c r="X751" s="69" t="str">
        <f t="shared" si="55"/>
        <v>D</v>
      </c>
    </row>
    <row r="752" spans="1:24" s="66" customFormat="1" x14ac:dyDescent="0.25">
      <c r="A752" s="51"/>
      <c r="B752" s="91" t="str">
        <f>IFERROR(VLOOKUP(A752,Lookup!A:B,2,0),"")</f>
        <v/>
      </c>
      <c r="C752" s="92" t="str">
        <f>IFERROR(VLOOKUP(A752,Lookup!A:C,3,0),"")</f>
        <v/>
      </c>
      <c r="D752" s="54"/>
      <c r="E752" s="54"/>
      <c r="F752" s="54"/>
      <c r="G752" s="72"/>
      <c r="H752" s="54"/>
      <c r="I752" s="54"/>
      <c r="J752" s="106">
        <f>VLOOKUP(A752&amp;G752,Lookup!J:N,5,0)</f>
        <v>0</v>
      </c>
      <c r="K752" s="115"/>
      <c r="L752" s="54"/>
      <c r="M752" s="54"/>
      <c r="N752" s="54"/>
      <c r="O752" s="112">
        <v>31.0590277777778</v>
      </c>
      <c r="P752" s="110" t="str">
        <f t="shared" si="54"/>
        <v/>
      </c>
      <c r="Q752" s="54"/>
      <c r="R752" s="87" t="str">
        <f t="shared" si="56"/>
        <v/>
      </c>
      <c r="S752" s="87" t="str">
        <f t="shared" si="57"/>
        <v/>
      </c>
      <c r="T752" s="54"/>
      <c r="U752" s="54"/>
      <c r="V752" s="54"/>
      <c r="W752" s="54"/>
      <c r="X752" s="69" t="str">
        <f t="shared" si="55"/>
        <v>D</v>
      </c>
    </row>
    <row r="753" spans="1:24" s="66" customFormat="1" x14ac:dyDescent="0.25">
      <c r="A753" s="51"/>
      <c r="B753" s="91" t="str">
        <f>IFERROR(VLOOKUP(A753,Lookup!A:B,2,0),"")</f>
        <v/>
      </c>
      <c r="C753" s="92" t="str">
        <f>IFERROR(VLOOKUP(A753,Lookup!A:C,3,0),"")</f>
        <v/>
      </c>
      <c r="D753" s="54"/>
      <c r="E753" s="54"/>
      <c r="F753" s="54"/>
      <c r="G753" s="72"/>
      <c r="H753" s="54"/>
      <c r="I753" s="54"/>
      <c r="J753" s="106">
        <f>VLOOKUP(A753&amp;G753,Lookup!J:N,5,0)</f>
        <v>0</v>
      </c>
      <c r="K753" s="115"/>
      <c r="L753" s="54"/>
      <c r="M753" s="54"/>
      <c r="N753" s="54"/>
      <c r="O753" s="112">
        <v>31.1006944444444</v>
      </c>
      <c r="P753" s="110" t="str">
        <f t="shared" si="54"/>
        <v/>
      </c>
      <c r="Q753" s="54"/>
      <c r="R753" s="87" t="str">
        <f t="shared" si="56"/>
        <v/>
      </c>
      <c r="S753" s="87" t="str">
        <f t="shared" si="57"/>
        <v/>
      </c>
      <c r="T753" s="54"/>
      <c r="U753" s="54"/>
      <c r="V753" s="54"/>
      <c r="W753" s="54"/>
      <c r="X753" s="69" t="str">
        <f t="shared" si="55"/>
        <v>D</v>
      </c>
    </row>
    <row r="754" spans="1:24" s="66" customFormat="1" x14ac:dyDescent="0.25">
      <c r="A754" s="51"/>
      <c r="B754" s="91" t="str">
        <f>IFERROR(VLOOKUP(A754,Lookup!A:B,2,0),"")</f>
        <v/>
      </c>
      <c r="C754" s="92" t="str">
        <f>IFERROR(VLOOKUP(A754,Lookup!A:C,3,0),"")</f>
        <v/>
      </c>
      <c r="D754" s="54"/>
      <c r="E754" s="54"/>
      <c r="F754" s="54"/>
      <c r="G754" s="72"/>
      <c r="H754" s="54"/>
      <c r="I754" s="54"/>
      <c r="J754" s="106">
        <f>VLOOKUP(A754&amp;G754,Lookup!J:N,5,0)</f>
        <v>0</v>
      </c>
      <c r="K754" s="115"/>
      <c r="L754" s="54"/>
      <c r="M754" s="54"/>
      <c r="N754" s="54"/>
      <c r="O754" s="112">
        <v>31.1423611111111</v>
      </c>
      <c r="P754" s="110" t="str">
        <f t="shared" si="54"/>
        <v/>
      </c>
      <c r="Q754" s="54"/>
      <c r="R754" s="87" t="str">
        <f t="shared" si="56"/>
        <v/>
      </c>
      <c r="S754" s="87" t="str">
        <f t="shared" si="57"/>
        <v/>
      </c>
      <c r="T754" s="54"/>
      <c r="U754" s="54"/>
      <c r="V754" s="54"/>
      <c r="W754" s="54"/>
      <c r="X754" s="69" t="str">
        <f t="shared" si="55"/>
        <v>D</v>
      </c>
    </row>
    <row r="755" spans="1:24" s="66" customFormat="1" x14ac:dyDescent="0.25">
      <c r="A755" s="51"/>
      <c r="B755" s="91" t="str">
        <f>IFERROR(VLOOKUP(A755,Lookup!A:B,2,0),"")</f>
        <v/>
      </c>
      <c r="C755" s="92" t="str">
        <f>IFERROR(VLOOKUP(A755,Lookup!A:C,3,0),"")</f>
        <v/>
      </c>
      <c r="D755" s="54"/>
      <c r="E755" s="54"/>
      <c r="F755" s="54"/>
      <c r="G755" s="72"/>
      <c r="H755" s="54"/>
      <c r="I755" s="54"/>
      <c r="J755" s="106">
        <f>VLOOKUP(A755&amp;G755,Lookup!J:N,5,0)</f>
        <v>0</v>
      </c>
      <c r="K755" s="115"/>
      <c r="L755" s="54"/>
      <c r="M755" s="54"/>
      <c r="N755" s="54"/>
      <c r="O755" s="112">
        <v>31.1840277777778</v>
      </c>
      <c r="P755" s="110" t="str">
        <f t="shared" si="54"/>
        <v/>
      </c>
      <c r="Q755" s="54"/>
      <c r="R755" s="87" t="str">
        <f t="shared" si="56"/>
        <v/>
      </c>
      <c r="S755" s="87" t="str">
        <f t="shared" si="57"/>
        <v/>
      </c>
      <c r="T755" s="54"/>
      <c r="U755" s="54"/>
      <c r="V755" s="54"/>
      <c r="W755" s="54"/>
      <c r="X755" s="69" t="str">
        <f t="shared" si="55"/>
        <v>D</v>
      </c>
    </row>
    <row r="756" spans="1:24" s="66" customFormat="1" x14ac:dyDescent="0.25">
      <c r="A756" s="51"/>
      <c r="B756" s="91" t="str">
        <f>IFERROR(VLOOKUP(A756,Lookup!A:B,2,0),"")</f>
        <v/>
      </c>
      <c r="C756" s="92" t="str">
        <f>IFERROR(VLOOKUP(A756,Lookup!A:C,3,0),"")</f>
        <v/>
      </c>
      <c r="D756" s="54"/>
      <c r="E756" s="54"/>
      <c r="F756" s="54"/>
      <c r="G756" s="72"/>
      <c r="H756" s="54"/>
      <c r="I756" s="54"/>
      <c r="J756" s="106">
        <f>VLOOKUP(A756&amp;G756,Lookup!J:N,5,0)</f>
        <v>0</v>
      </c>
      <c r="K756" s="115"/>
      <c r="L756" s="54"/>
      <c r="M756" s="54"/>
      <c r="N756" s="54"/>
      <c r="O756" s="112">
        <v>31.2256944444444</v>
      </c>
      <c r="P756" s="110" t="str">
        <f t="shared" si="54"/>
        <v/>
      </c>
      <c r="Q756" s="54"/>
      <c r="R756" s="87" t="str">
        <f t="shared" si="56"/>
        <v/>
      </c>
      <c r="S756" s="87" t="str">
        <f t="shared" si="57"/>
        <v/>
      </c>
      <c r="T756" s="54"/>
      <c r="U756" s="54"/>
      <c r="V756" s="54"/>
      <c r="W756" s="54"/>
      <c r="X756" s="69" t="str">
        <f t="shared" si="55"/>
        <v>D</v>
      </c>
    </row>
    <row r="757" spans="1:24" s="66" customFormat="1" x14ac:dyDescent="0.25">
      <c r="A757" s="51"/>
      <c r="B757" s="91" t="str">
        <f>IFERROR(VLOOKUP(A757,Lookup!A:B,2,0),"")</f>
        <v/>
      </c>
      <c r="C757" s="92" t="str">
        <f>IFERROR(VLOOKUP(A757,Lookup!A:C,3,0),"")</f>
        <v/>
      </c>
      <c r="D757" s="54"/>
      <c r="E757" s="54"/>
      <c r="F757" s="54"/>
      <c r="G757" s="72"/>
      <c r="H757" s="54"/>
      <c r="I757" s="54"/>
      <c r="J757" s="106">
        <f>VLOOKUP(A757&amp;G757,Lookup!J:N,5,0)</f>
        <v>0</v>
      </c>
      <c r="K757" s="115"/>
      <c r="L757" s="54"/>
      <c r="M757" s="54"/>
      <c r="N757" s="54"/>
      <c r="O757" s="112">
        <v>31.2673611111111</v>
      </c>
      <c r="P757" s="110" t="str">
        <f t="shared" si="54"/>
        <v/>
      </c>
      <c r="Q757" s="54"/>
      <c r="R757" s="87" t="str">
        <f t="shared" si="56"/>
        <v/>
      </c>
      <c r="S757" s="87" t="str">
        <f t="shared" si="57"/>
        <v/>
      </c>
      <c r="T757" s="54"/>
      <c r="U757" s="54"/>
      <c r="V757" s="54"/>
      <c r="W757" s="54"/>
      <c r="X757" s="69" t="str">
        <f t="shared" si="55"/>
        <v>D</v>
      </c>
    </row>
    <row r="758" spans="1:24" s="66" customFormat="1" x14ac:dyDescent="0.25">
      <c r="A758" s="51"/>
      <c r="B758" s="91" t="str">
        <f>IFERROR(VLOOKUP(A758,Lookup!A:B,2,0),"")</f>
        <v/>
      </c>
      <c r="C758" s="92" t="str">
        <f>IFERROR(VLOOKUP(A758,Lookup!A:C,3,0),"")</f>
        <v/>
      </c>
      <c r="D758" s="54"/>
      <c r="E758" s="54"/>
      <c r="F758" s="54"/>
      <c r="G758" s="72"/>
      <c r="H758" s="54"/>
      <c r="I758" s="54"/>
      <c r="J758" s="106">
        <f>VLOOKUP(A758&amp;G758,Lookup!J:N,5,0)</f>
        <v>0</v>
      </c>
      <c r="K758" s="115"/>
      <c r="L758" s="54"/>
      <c r="M758" s="54"/>
      <c r="N758" s="54"/>
      <c r="O758" s="112">
        <v>31.3090277777778</v>
      </c>
      <c r="P758" s="110" t="str">
        <f t="shared" si="54"/>
        <v/>
      </c>
      <c r="Q758" s="54"/>
      <c r="R758" s="87" t="str">
        <f t="shared" si="56"/>
        <v/>
      </c>
      <c r="S758" s="87" t="str">
        <f t="shared" si="57"/>
        <v/>
      </c>
      <c r="T758" s="54"/>
      <c r="U758" s="54"/>
      <c r="V758" s="54"/>
      <c r="W758" s="54"/>
      <c r="X758" s="69" t="str">
        <f t="shared" si="55"/>
        <v>D</v>
      </c>
    </row>
    <row r="759" spans="1:24" s="66" customFormat="1" x14ac:dyDescent="0.25">
      <c r="A759" s="51"/>
      <c r="B759" s="91" t="str">
        <f>IFERROR(VLOOKUP(A759,Lookup!A:B,2,0),"")</f>
        <v/>
      </c>
      <c r="C759" s="92" t="str">
        <f>IFERROR(VLOOKUP(A759,Lookup!A:C,3,0),"")</f>
        <v/>
      </c>
      <c r="D759" s="54"/>
      <c r="E759" s="54"/>
      <c r="F759" s="54"/>
      <c r="G759" s="72"/>
      <c r="H759" s="54"/>
      <c r="I759" s="54"/>
      <c r="J759" s="106">
        <f>VLOOKUP(A759&amp;G759,Lookup!J:N,5,0)</f>
        <v>0</v>
      </c>
      <c r="K759" s="115"/>
      <c r="L759" s="54"/>
      <c r="M759" s="54"/>
      <c r="N759" s="54"/>
      <c r="O759" s="112">
        <v>31.3506944444444</v>
      </c>
      <c r="P759" s="110" t="str">
        <f t="shared" si="54"/>
        <v/>
      </c>
      <c r="Q759" s="54"/>
      <c r="R759" s="87" t="str">
        <f t="shared" si="56"/>
        <v/>
      </c>
      <c r="S759" s="87" t="str">
        <f t="shared" si="57"/>
        <v/>
      </c>
      <c r="T759" s="54"/>
      <c r="U759" s="54"/>
      <c r="V759" s="54"/>
      <c r="W759" s="54"/>
      <c r="X759" s="69" t="str">
        <f t="shared" si="55"/>
        <v>D</v>
      </c>
    </row>
    <row r="760" spans="1:24" s="66" customFormat="1" x14ac:dyDescent="0.25">
      <c r="A760" s="51"/>
      <c r="B760" s="91" t="str">
        <f>IFERROR(VLOOKUP(A760,Lookup!A:B,2,0),"")</f>
        <v/>
      </c>
      <c r="C760" s="92" t="str">
        <f>IFERROR(VLOOKUP(A760,Lookup!A:C,3,0),"")</f>
        <v/>
      </c>
      <c r="D760" s="54"/>
      <c r="E760" s="54"/>
      <c r="F760" s="54"/>
      <c r="G760" s="72"/>
      <c r="H760" s="54"/>
      <c r="I760" s="54"/>
      <c r="J760" s="106">
        <f>VLOOKUP(A760&amp;G760,Lookup!J:N,5,0)</f>
        <v>0</v>
      </c>
      <c r="K760" s="115"/>
      <c r="L760" s="54"/>
      <c r="M760" s="54"/>
      <c r="N760" s="54"/>
      <c r="O760" s="112">
        <v>31.3923611111111</v>
      </c>
      <c r="P760" s="110" t="str">
        <f t="shared" si="54"/>
        <v/>
      </c>
      <c r="Q760" s="54"/>
      <c r="R760" s="87" t="str">
        <f t="shared" si="56"/>
        <v/>
      </c>
      <c r="S760" s="87" t="str">
        <f t="shared" si="57"/>
        <v/>
      </c>
      <c r="T760" s="54"/>
      <c r="U760" s="54"/>
      <c r="V760" s="54"/>
      <c r="W760" s="54"/>
      <c r="X760" s="69" t="str">
        <f t="shared" si="55"/>
        <v>D</v>
      </c>
    </row>
    <row r="761" spans="1:24" s="66" customFormat="1" x14ac:dyDescent="0.25">
      <c r="A761" s="51"/>
      <c r="B761" s="91" t="str">
        <f>IFERROR(VLOOKUP(A761,Lookup!A:B,2,0),"")</f>
        <v/>
      </c>
      <c r="C761" s="92" t="str">
        <f>IFERROR(VLOOKUP(A761,Lookup!A:C,3,0),"")</f>
        <v/>
      </c>
      <c r="D761" s="54"/>
      <c r="E761" s="54"/>
      <c r="F761" s="54"/>
      <c r="G761" s="72"/>
      <c r="H761" s="54"/>
      <c r="I761" s="54"/>
      <c r="J761" s="106">
        <f>VLOOKUP(A761&amp;G761,Lookup!J:N,5,0)</f>
        <v>0</v>
      </c>
      <c r="K761" s="115"/>
      <c r="L761" s="54"/>
      <c r="M761" s="54"/>
      <c r="N761" s="54"/>
      <c r="O761" s="112">
        <v>31.4340277777778</v>
      </c>
      <c r="P761" s="110" t="str">
        <f t="shared" si="54"/>
        <v/>
      </c>
      <c r="Q761" s="54"/>
      <c r="R761" s="87" t="str">
        <f t="shared" si="56"/>
        <v/>
      </c>
      <c r="S761" s="87" t="str">
        <f t="shared" si="57"/>
        <v/>
      </c>
      <c r="T761" s="54"/>
      <c r="U761" s="54"/>
      <c r="V761" s="54"/>
      <c r="W761" s="54"/>
      <c r="X761" s="69" t="str">
        <f t="shared" si="55"/>
        <v>D</v>
      </c>
    </row>
    <row r="762" spans="1:24" s="66" customFormat="1" x14ac:dyDescent="0.25">
      <c r="A762" s="51"/>
      <c r="B762" s="91" t="str">
        <f>IFERROR(VLOOKUP(A762,Lookup!A:B,2,0),"")</f>
        <v/>
      </c>
      <c r="C762" s="92" t="str">
        <f>IFERROR(VLOOKUP(A762,Lookup!A:C,3,0),"")</f>
        <v/>
      </c>
      <c r="D762" s="54"/>
      <c r="E762" s="54"/>
      <c r="F762" s="54"/>
      <c r="G762" s="72"/>
      <c r="H762" s="54"/>
      <c r="I762" s="54"/>
      <c r="J762" s="106">
        <f>VLOOKUP(A762&amp;G762,Lookup!J:N,5,0)</f>
        <v>0</v>
      </c>
      <c r="K762" s="115"/>
      <c r="L762" s="54"/>
      <c r="M762" s="54"/>
      <c r="N762" s="54"/>
      <c r="O762" s="112">
        <v>31.4756944444444</v>
      </c>
      <c r="P762" s="110" t="str">
        <f t="shared" si="54"/>
        <v/>
      </c>
      <c r="Q762" s="54"/>
      <c r="R762" s="87" t="str">
        <f t="shared" si="56"/>
        <v/>
      </c>
      <c r="S762" s="87" t="str">
        <f t="shared" si="57"/>
        <v/>
      </c>
      <c r="T762" s="54"/>
      <c r="U762" s="54"/>
      <c r="V762" s="54"/>
      <c r="W762" s="54"/>
      <c r="X762" s="69" t="str">
        <f t="shared" si="55"/>
        <v>D</v>
      </c>
    </row>
    <row r="763" spans="1:24" s="66" customFormat="1" x14ac:dyDescent="0.25">
      <c r="A763" s="51"/>
      <c r="B763" s="91" t="str">
        <f>IFERROR(VLOOKUP(A763,Lookup!A:B,2,0),"")</f>
        <v/>
      </c>
      <c r="C763" s="92" t="str">
        <f>IFERROR(VLOOKUP(A763,Lookup!A:C,3,0),"")</f>
        <v/>
      </c>
      <c r="D763" s="54"/>
      <c r="E763" s="54"/>
      <c r="F763" s="54"/>
      <c r="G763" s="72"/>
      <c r="H763" s="54"/>
      <c r="I763" s="54"/>
      <c r="J763" s="106">
        <f>VLOOKUP(A763&amp;G763,Lookup!J:N,5,0)</f>
        <v>0</v>
      </c>
      <c r="K763" s="115"/>
      <c r="L763" s="54"/>
      <c r="M763" s="54"/>
      <c r="N763" s="54"/>
      <c r="O763" s="112">
        <v>31.5173611111111</v>
      </c>
      <c r="P763" s="110" t="str">
        <f t="shared" si="54"/>
        <v/>
      </c>
      <c r="Q763" s="54"/>
      <c r="R763" s="87" t="str">
        <f t="shared" si="56"/>
        <v/>
      </c>
      <c r="S763" s="87" t="str">
        <f t="shared" si="57"/>
        <v/>
      </c>
      <c r="T763" s="54"/>
      <c r="U763" s="54"/>
      <c r="V763" s="54"/>
      <c r="W763" s="54"/>
      <c r="X763" s="69" t="str">
        <f t="shared" si="55"/>
        <v>D</v>
      </c>
    </row>
    <row r="764" spans="1:24" s="66" customFormat="1" x14ac:dyDescent="0.25">
      <c r="A764" s="51"/>
      <c r="B764" s="91" t="str">
        <f>IFERROR(VLOOKUP(A764,Lookup!A:B,2,0),"")</f>
        <v/>
      </c>
      <c r="C764" s="92" t="str">
        <f>IFERROR(VLOOKUP(A764,Lookup!A:C,3,0),"")</f>
        <v/>
      </c>
      <c r="D764" s="54"/>
      <c r="E764" s="54"/>
      <c r="F764" s="54"/>
      <c r="G764" s="72"/>
      <c r="H764" s="54"/>
      <c r="I764" s="54"/>
      <c r="J764" s="106">
        <f>VLOOKUP(A764&amp;G764,Lookup!J:N,5,0)</f>
        <v>0</v>
      </c>
      <c r="K764" s="115"/>
      <c r="L764" s="54"/>
      <c r="M764" s="54"/>
      <c r="N764" s="54"/>
      <c r="O764" s="112">
        <v>31.5590277777778</v>
      </c>
      <c r="P764" s="110" t="str">
        <f t="shared" si="54"/>
        <v/>
      </c>
      <c r="Q764" s="54"/>
      <c r="R764" s="87" t="str">
        <f t="shared" si="56"/>
        <v/>
      </c>
      <c r="S764" s="87" t="str">
        <f t="shared" si="57"/>
        <v/>
      </c>
      <c r="T764" s="54"/>
      <c r="U764" s="54"/>
      <c r="V764" s="54"/>
      <c r="W764" s="54"/>
      <c r="X764" s="69" t="str">
        <f t="shared" si="55"/>
        <v>D</v>
      </c>
    </row>
    <row r="765" spans="1:24" s="66" customFormat="1" x14ac:dyDescent="0.25">
      <c r="A765" s="51"/>
      <c r="B765" s="91" t="str">
        <f>IFERROR(VLOOKUP(A765,Lookup!A:B,2,0),"")</f>
        <v/>
      </c>
      <c r="C765" s="92" t="str">
        <f>IFERROR(VLOOKUP(A765,Lookup!A:C,3,0),"")</f>
        <v/>
      </c>
      <c r="D765" s="54"/>
      <c r="E765" s="54"/>
      <c r="F765" s="54"/>
      <c r="G765" s="72"/>
      <c r="H765" s="54"/>
      <c r="I765" s="54"/>
      <c r="J765" s="106">
        <f>VLOOKUP(A765&amp;G765,Lookup!J:N,5,0)</f>
        <v>0</v>
      </c>
      <c r="K765" s="115"/>
      <c r="L765" s="54"/>
      <c r="M765" s="54"/>
      <c r="N765" s="54"/>
      <c r="O765" s="112">
        <v>31.6006944444444</v>
      </c>
      <c r="P765" s="110" t="str">
        <f t="shared" si="54"/>
        <v/>
      </c>
      <c r="Q765" s="54"/>
      <c r="R765" s="87" t="str">
        <f t="shared" si="56"/>
        <v/>
      </c>
      <c r="S765" s="87" t="str">
        <f t="shared" si="57"/>
        <v/>
      </c>
      <c r="T765" s="54"/>
      <c r="U765" s="54"/>
      <c r="V765" s="54"/>
      <c r="W765" s="54"/>
      <c r="X765" s="69" t="str">
        <f t="shared" si="55"/>
        <v>D</v>
      </c>
    </row>
    <row r="766" spans="1:24" s="66" customFormat="1" x14ac:dyDescent="0.25">
      <c r="A766" s="51"/>
      <c r="B766" s="91" t="str">
        <f>IFERROR(VLOOKUP(A766,Lookup!A:B,2,0),"")</f>
        <v/>
      </c>
      <c r="C766" s="92" t="str">
        <f>IFERROR(VLOOKUP(A766,Lookup!A:C,3,0),"")</f>
        <v/>
      </c>
      <c r="D766" s="54"/>
      <c r="E766" s="54"/>
      <c r="F766" s="54"/>
      <c r="G766" s="72"/>
      <c r="H766" s="54"/>
      <c r="I766" s="54"/>
      <c r="J766" s="106">
        <f>VLOOKUP(A766&amp;G766,Lookup!J:N,5,0)</f>
        <v>0</v>
      </c>
      <c r="K766" s="115"/>
      <c r="L766" s="54"/>
      <c r="M766" s="54"/>
      <c r="N766" s="54"/>
      <c r="O766" s="112">
        <v>31.6423611111111</v>
      </c>
      <c r="P766" s="110" t="str">
        <f t="shared" si="54"/>
        <v/>
      </c>
      <c r="Q766" s="54"/>
      <c r="R766" s="87" t="str">
        <f t="shared" si="56"/>
        <v/>
      </c>
      <c r="S766" s="87" t="str">
        <f t="shared" si="57"/>
        <v/>
      </c>
      <c r="T766" s="54"/>
      <c r="U766" s="54"/>
      <c r="V766" s="54"/>
      <c r="W766" s="54"/>
      <c r="X766" s="69" t="str">
        <f t="shared" si="55"/>
        <v>D</v>
      </c>
    </row>
    <row r="767" spans="1:24" s="66" customFormat="1" x14ac:dyDescent="0.25">
      <c r="A767" s="51"/>
      <c r="B767" s="91" t="str">
        <f>IFERROR(VLOOKUP(A767,Lookup!A:B,2,0),"")</f>
        <v/>
      </c>
      <c r="C767" s="92" t="str">
        <f>IFERROR(VLOOKUP(A767,Lookup!A:C,3,0),"")</f>
        <v/>
      </c>
      <c r="D767" s="54"/>
      <c r="E767" s="54"/>
      <c r="F767" s="54"/>
      <c r="G767" s="72"/>
      <c r="H767" s="54"/>
      <c r="I767" s="54"/>
      <c r="J767" s="106">
        <f>VLOOKUP(A767&amp;G767,Lookup!J:N,5,0)</f>
        <v>0</v>
      </c>
      <c r="K767" s="115"/>
      <c r="L767" s="54"/>
      <c r="M767" s="54"/>
      <c r="N767" s="54"/>
      <c r="O767" s="112">
        <v>31.6840277777778</v>
      </c>
      <c r="P767" s="110" t="str">
        <f t="shared" si="54"/>
        <v/>
      </c>
      <c r="Q767" s="54"/>
      <c r="R767" s="87" t="str">
        <f t="shared" si="56"/>
        <v/>
      </c>
      <c r="S767" s="87" t="str">
        <f t="shared" si="57"/>
        <v/>
      </c>
      <c r="T767" s="54"/>
      <c r="U767" s="54"/>
      <c r="V767" s="54"/>
      <c r="W767" s="54"/>
      <c r="X767" s="69" t="str">
        <f t="shared" si="55"/>
        <v>D</v>
      </c>
    </row>
    <row r="768" spans="1:24" s="66" customFormat="1" x14ac:dyDescent="0.25">
      <c r="A768" s="51"/>
      <c r="B768" s="91" t="str">
        <f>IFERROR(VLOOKUP(A768,Lookup!A:B,2,0),"")</f>
        <v/>
      </c>
      <c r="C768" s="92" t="str">
        <f>IFERROR(VLOOKUP(A768,Lookup!A:C,3,0),"")</f>
        <v/>
      </c>
      <c r="D768" s="54"/>
      <c r="E768" s="54"/>
      <c r="F768" s="54"/>
      <c r="G768" s="72"/>
      <c r="H768" s="54"/>
      <c r="I768" s="54"/>
      <c r="J768" s="106">
        <f>VLOOKUP(A768&amp;G768,Lookup!J:N,5,0)</f>
        <v>0</v>
      </c>
      <c r="K768" s="115"/>
      <c r="L768" s="54"/>
      <c r="M768" s="54"/>
      <c r="N768" s="54"/>
      <c r="O768" s="112">
        <v>31.7256944444444</v>
      </c>
      <c r="P768" s="110" t="str">
        <f t="shared" si="54"/>
        <v/>
      </c>
      <c r="Q768" s="54"/>
      <c r="R768" s="87" t="str">
        <f t="shared" si="56"/>
        <v/>
      </c>
      <c r="S768" s="87" t="str">
        <f t="shared" si="57"/>
        <v/>
      </c>
      <c r="T768" s="54"/>
      <c r="U768" s="54"/>
      <c r="V768" s="54"/>
      <c r="W768" s="54"/>
      <c r="X768" s="69" t="str">
        <f t="shared" si="55"/>
        <v>D</v>
      </c>
    </row>
    <row r="769" spans="1:24" s="66" customFormat="1" x14ac:dyDescent="0.25">
      <c r="A769" s="51"/>
      <c r="B769" s="91" t="str">
        <f>IFERROR(VLOOKUP(A769,Lookup!A:B,2,0),"")</f>
        <v/>
      </c>
      <c r="C769" s="92" t="str">
        <f>IFERROR(VLOOKUP(A769,Lookup!A:C,3,0),"")</f>
        <v/>
      </c>
      <c r="D769" s="54"/>
      <c r="E769" s="54"/>
      <c r="F769" s="54"/>
      <c r="G769" s="72"/>
      <c r="H769" s="54"/>
      <c r="I769" s="54"/>
      <c r="J769" s="106">
        <f>VLOOKUP(A769&amp;G769,Lookup!J:N,5,0)</f>
        <v>0</v>
      </c>
      <c r="K769" s="115"/>
      <c r="L769" s="54"/>
      <c r="M769" s="54"/>
      <c r="N769" s="54"/>
      <c r="O769" s="112">
        <v>31.7673611111111</v>
      </c>
      <c r="P769" s="110" t="str">
        <f t="shared" si="54"/>
        <v/>
      </c>
      <c r="Q769" s="54"/>
      <c r="R769" s="87" t="str">
        <f t="shared" si="56"/>
        <v/>
      </c>
      <c r="S769" s="87" t="str">
        <f t="shared" si="57"/>
        <v/>
      </c>
      <c r="T769" s="54"/>
      <c r="U769" s="54"/>
      <c r="V769" s="54"/>
      <c r="W769" s="54"/>
      <c r="X769" s="69" t="str">
        <f t="shared" si="55"/>
        <v>D</v>
      </c>
    </row>
    <row r="770" spans="1:24" s="66" customFormat="1" x14ac:dyDescent="0.25">
      <c r="A770" s="51"/>
      <c r="B770" s="91" t="str">
        <f>IFERROR(VLOOKUP(A770,Lookup!A:B,2,0),"")</f>
        <v/>
      </c>
      <c r="C770" s="92" t="str">
        <f>IFERROR(VLOOKUP(A770,Lookup!A:C,3,0),"")</f>
        <v/>
      </c>
      <c r="D770" s="54"/>
      <c r="E770" s="54"/>
      <c r="F770" s="54"/>
      <c r="G770" s="72"/>
      <c r="H770" s="54"/>
      <c r="I770" s="54"/>
      <c r="J770" s="106">
        <f>VLOOKUP(A770&amp;G770,Lookup!J:N,5,0)</f>
        <v>0</v>
      </c>
      <c r="K770" s="115"/>
      <c r="L770" s="54"/>
      <c r="M770" s="54"/>
      <c r="N770" s="54"/>
      <c r="O770" s="112">
        <v>31.8090277777778</v>
      </c>
      <c r="P770" s="110" t="str">
        <f t="shared" si="54"/>
        <v/>
      </c>
      <c r="Q770" s="54"/>
      <c r="R770" s="87" t="str">
        <f t="shared" si="56"/>
        <v/>
      </c>
      <c r="S770" s="87" t="str">
        <f t="shared" si="57"/>
        <v/>
      </c>
      <c r="T770" s="54"/>
      <c r="U770" s="54"/>
      <c r="V770" s="54"/>
      <c r="W770" s="54"/>
      <c r="X770" s="69" t="str">
        <f t="shared" si="55"/>
        <v>D</v>
      </c>
    </row>
    <row r="771" spans="1:24" s="66" customFormat="1" x14ac:dyDescent="0.25">
      <c r="A771" s="51"/>
      <c r="B771" s="91" t="str">
        <f>IFERROR(VLOOKUP(A771,Lookup!A:B,2,0),"")</f>
        <v/>
      </c>
      <c r="C771" s="92" t="str">
        <f>IFERROR(VLOOKUP(A771,Lookup!A:C,3,0),"")</f>
        <v/>
      </c>
      <c r="D771" s="54"/>
      <c r="E771" s="54"/>
      <c r="F771" s="54"/>
      <c r="G771" s="72"/>
      <c r="H771" s="54"/>
      <c r="I771" s="54"/>
      <c r="J771" s="106">
        <f>VLOOKUP(A771&amp;G771,Lookup!J:N,5,0)</f>
        <v>0</v>
      </c>
      <c r="K771" s="115"/>
      <c r="L771" s="54"/>
      <c r="M771" s="54"/>
      <c r="N771" s="54"/>
      <c r="O771" s="112">
        <v>31.8506944444444</v>
      </c>
      <c r="P771" s="110" t="str">
        <f t="shared" ref="P771:P834" si="58">IF(N771="","",N771+O771)</f>
        <v/>
      </c>
      <c r="Q771" s="54"/>
      <c r="R771" s="87" t="str">
        <f t="shared" si="56"/>
        <v/>
      </c>
      <c r="S771" s="87" t="str">
        <f t="shared" si="57"/>
        <v/>
      </c>
      <c r="T771" s="54"/>
      <c r="U771" s="54"/>
      <c r="V771" s="54"/>
      <c r="W771" s="54"/>
      <c r="X771" s="69" t="str">
        <f t="shared" ref="X771:X834" si="59">IF(I771="SET","A",IF(I771="FREQ","C",IF(I771="","D","B")))</f>
        <v>D</v>
      </c>
    </row>
    <row r="772" spans="1:24" s="66" customFormat="1" x14ac:dyDescent="0.25">
      <c r="A772" s="51"/>
      <c r="B772" s="91" t="str">
        <f>IFERROR(VLOOKUP(A772,Lookup!A:B,2,0),"")</f>
        <v/>
      </c>
      <c r="C772" s="92" t="str">
        <f>IFERROR(VLOOKUP(A772,Lookup!A:C,3,0),"")</f>
        <v/>
      </c>
      <c r="D772" s="54"/>
      <c r="E772" s="54"/>
      <c r="F772" s="54"/>
      <c r="G772" s="72"/>
      <c r="H772" s="54"/>
      <c r="I772" s="54"/>
      <c r="J772" s="106">
        <f>VLOOKUP(A772&amp;G772,Lookup!J:N,5,0)</f>
        <v>0</v>
      </c>
      <c r="K772" s="115"/>
      <c r="L772" s="54"/>
      <c r="M772" s="54"/>
      <c r="N772" s="54"/>
      <c r="O772" s="112">
        <v>31.8923611111111</v>
      </c>
      <c r="P772" s="110" t="str">
        <f t="shared" si="58"/>
        <v/>
      </c>
      <c r="Q772" s="54"/>
      <c r="R772" s="87" t="str">
        <f t="shared" si="56"/>
        <v/>
      </c>
      <c r="S772" s="87" t="str">
        <f t="shared" si="57"/>
        <v/>
      </c>
      <c r="T772" s="54"/>
      <c r="U772" s="54"/>
      <c r="V772" s="54"/>
      <c r="W772" s="54"/>
      <c r="X772" s="69" t="str">
        <f t="shared" si="59"/>
        <v>D</v>
      </c>
    </row>
    <row r="773" spans="1:24" s="66" customFormat="1" x14ac:dyDescent="0.25">
      <c r="A773" s="51"/>
      <c r="B773" s="91" t="str">
        <f>IFERROR(VLOOKUP(A773,Lookup!A:B,2,0),"")</f>
        <v/>
      </c>
      <c r="C773" s="92" t="str">
        <f>IFERROR(VLOOKUP(A773,Lookup!A:C,3,0),"")</f>
        <v/>
      </c>
      <c r="D773" s="54"/>
      <c r="E773" s="54"/>
      <c r="F773" s="54"/>
      <c r="G773" s="72"/>
      <c r="H773" s="54"/>
      <c r="I773" s="54"/>
      <c r="J773" s="106">
        <f>VLOOKUP(A773&amp;G773,Lookup!J:N,5,0)</f>
        <v>0</v>
      </c>
      <c r="K773" s="115"/>
      <c r="L773" s="54"/>
      <c r="M773" s="54"/>
      <c r="N773" s="54"/>
      <c r="O773" s="112">
        <v>31.9340277777778</v>
      </c>
      <c r="P773" s="110" t="str">
        <f t="shared" si="58"/>
        <v/>
      </c>
      <c r="Q773" s="54"/>
      <c r="R773" s="87" t="str">
        <f t="shared" si="56"/>
        <v/>
      </c>
      <c r="S773" s="87" t="str">
        <f t="shared" si="57"/>
        <v/>
      </c>
      <c r="T773" s="54"/>
      <c r="U773" s="54"/>
      <c r="V773" s="54"/>
      <c r="W773" s="54"/>
      <c r="X773" s="69" t="str">
        <f t="shared" si="59"/>
        <v>D</v>
      </c>
    </row>
    <row r="774" spans="1:24" s="66" customFormat="1" x14ac:dyDescent="0.25">
      <c r="A774" s="51"/>
      <c r="B774" s="91" t="str">
        <f>IFERROR(VLOOKUP(A774,Lookup!A:B,2,0),"")</f>
        <v/>
      </c>
      <c r="C774" s="92" t="str">
        <f>IFERROR(VLOOKUP(A774,Lookup!A:C,3,0),"")</f>
        <v/>
      </c>
      <c r="D774" s="54"/>
      <c r="E774" s="54"/>
      <c r="F774" s="54"/>
      <c r="G774" s="72"/>
      <c r="H774" s="54"/>
      <c r="I774" s="54"/>
      <c r="J774" s="106">
        <f>VLOOKUP(A774&amp;G774,Lookup!J:N,5,0)</f>
        <v>0</v>
      </c>
      <c r="K774" s="115"/>
      <c r="L774" s="54"/>
      <c r="M774" s="54"/>
      <c r="N774" s="54"/>
      <c r="O774" s="112">
        <v>31.9756944444444</v>
      </c>
      <c r="P774" s="110" t="str">
        <f t="shared" si="58"/>
        <v/>
      </c>
      <c r="Q774" s="54"/>
      <c r="R774" s="87" t="str">
        <f t="shared" si="56"/>
        <v/>
      </c>
      <c r="S774" s="87" t="str">
        <f t="shared" si="57"/>
        <v/>
      </c>
      <c r="T774" s="54"/>
      <c r="U774" s="54"/>
      <c r="V774" s="54"/>
      <c r="W774" s="54"/>
      <c r="X774" s="69" t="str">
        <f t="shared" si="59"/>
        <v>D</v>
      </c>
    </row>
    <row r="775" spans="1:24" s="66" customFormat="1" x14ac:dyDescent="0.25">
      <c r="A775" s="51"/>
      <c r="B775" s="91" t="str">
        <f>IFERROR(VLOOKUP(A775,Lookup!A:B,2,0),"")</f>
        <v/>
      </c>
      <c r="C775" s="92" t="str">
        <f>IFERROR(VLOOKUP(A775,Lookup!A:C,3,0),"")</f>
        <v/>
      </c>
      <c r="D775" s="54"/>
      <c r="E775" s="54"/>
      <c r="F775" s="54"/>
      <c r="G775" s="72"/>
      <c r="H775" s="54"/>
      <c r="I775" s="54"/>
      <c r="J775" s="106">
        <f>VLOOKUP(A775&amp;G775,Lookup!J:N,5,0)</f>
        <v>0</v>
      </c>
      <c r="K775" s="115"/>
      <c r="L775" s="54"/>
      <c r="M775" s="54"/>
      <c r="N775" s="54"/>
      <c r="O775" s="112">
        <v>32.0173611111111</v>
      </c>
      <c r="P775" s="110" t="str">
        <f t="shared" si="58"/>
        <v/>
      </c>
      <c r="Q775" s="54"/>
      <c r="R775" s="87" t="str">
        <f t="shared" ref="R775:R838" si="60">IF(OR(EXACT(N775,""), EXACT(L775,"")),"",N775-L775)</f>
        <v/>
      </c>
      <c r="S775" s="87" t="str">
        <f t="shared" ref="S775:S838" si="61">IF(OR(EXACT(Q775,""), EXACT(L775,"")),"",Q775-L775)</f>
        <v/>
      </c>
      <c r="T775" s="54"/>
      <c r="U775" s="54"/>
      <c r="V775" s="54"/>
      <c r="W775" s="54"/>
      <c r="X775" s="69" t="str">
        <f t="shared" si="59"/>
        <v>D</v>
      </c>
    </row>
    <row r="776" spans="1:24" s="66" customFormat="1" x14ac:dyDescent="0.25">
      <c r="A776" s="51"/>
      <c r="B776" s="91" t="str">
        <f>IFERROR(VLOOKUP(A776,Lookup!A:B,2,0),"")</f>
        <v/>
      </c>
      <c r="C776" s="92" t="str">
        <f>IFERROR(VLOOKUP(A776,Lookup!A:C,3,0),"")</f>
        <v/>
      </c>
      <c r="D776" s="54"/>
      <c r="E776" s="54"/>
      <c r="F776" s="54"/>
      <c r="G776" s="72"/>
      <c r="H776" s="54"/>
      <c r="I776" s="54"/>
      <c r="J776" s="106">
        <f>VLOOKUP(A776&amp;G776,Lookup!J:N,5,0)</f>
        <v>0</v>
      </c>
      <c r="K776" s="115"/>
      <c r="L776" s="54"/>
      <c r="M776" s="54"/>
      <c r="N776" s="54"/>
      <c r="O776" s="112">
        <v>32.0590277777778</v>
      </c>
      <c r="P776" s="110" t="str">
        <f t="shared" si="58"/>
        <v/>
      </c>
      <c r="Q776" s="54"/>
      <c r="R776" s="87" t="str">
        <f t="shared" si="60"/>
        <v/>
      </c>
      <c r="S776" s="87" t="str">
        <f t="shared" si="61"/>
        <v/>
      </c>
      <c r="T776" s="54"/>
      <c r="U776" s="54"/>
      <c r="V776" s="54"/>
      <c r="W776" s="54"/>
      <c r="X776" s="69" t="str">
        <f t="shared" si="59"/>
        <v>D</v>
      </c>
    </row>
    <row r="777" spans="1:24" s="66" customFormat="1" x14ac:dyDescent="0.25">
      <c r="A777" s="51"/>
      <c r="B777" s="91" t="str">
        <f>IFERROR(VLOOKUP(A777,Lookup!A:B,2,0),"")</f>
        <v/>
      </c>
      <c r="C777" s="92" t="str">
        <f>IFERROR(VLOOKUP(A777,Lookup!A:C,3,0),"")</f>
        <v/>
      </c>
      <c r="D777" s="54"/>
      <c r="E777" s="54"/>
      <c r="F777" s="54"/>
      <c r="G777" s="72"/>
      <c r="H777" s="54"/>
      <c r="I777" s="54"/>
      <c r="J777" s="106">
        <f>VLOOKUP(A777&amp;G777,Lookup!J:N,5,0)</f>
        <v>0</v>
      </c>
      <c r="K777" s="115"/>
      <c r="L777" s="54"/>
      <c r="M777" s="54"/>
      <c r="N777" s="54"/>
      <c r="O777" s="112">
        <v>32.1006944444444</v>
      </c>
      <c r="P777" s="110" t="str">
        <f t="shared" si="58"/>
        <v/>
      </c>
      <c r="Q777" s="54"/>
      <c r="R777" s="87" t="str">
        <f t="shared" si="60"/>
        <v/>
      </c>
      <c r="S777" s="87" t="str">
        <f t="shared" si="61"/>
        <v/>
      </c>
      <c r="T777" s="54"/>
      <c r="U777" s="54"/>
      <c r="V777" s="54"/>
      <c r="W777" s="54"/>
      <c r="X777" s="69" t="str">
        <f t="shared" si="59"/>
        <v>D</v>
      </c>
    </row>
    <row r="778" spans="1:24" s="66" customFormat="1" x14ac:dyDescent="0.25">
      <c r="A778" s="51"/>
      <c r="B778" s="91" t="str">
        <f>IFERROR(VLOOKUP(A778,Lookup!A:B,2,0),"")</f>
        <v/>
      </c>
      <c r="C778" s="92" t="str">
        <f>IFERROR(VLOOKUP(A778,Lookup!A:C,3,0),"")</f>
        <v/>
      </c>
      <c r="D778" s="54"/>
      <c r="E778" s="54"/>
      <c r="F778" s="54"/>
      <c r="G778" s="72"/>
      <c r="H778" s="54"/>
      <c r="I778" s="54"/>
      <c r="J778" s="106">
        <f>VLOOKUP(A778&amp;G778,Lookup!J:N,5,0)</f>
        <v>0</v>
      </c>
      <c r="K778" s="115"/>
      <c r="L778" s="54"/>
      <c r="M778" s="54"/>
      <c r="N778" s="54"/>
      <c r="O778" s="112">
        <v>32.1423611111111</v>
      </c>
      <c r="P778" s="110" t="str">
        <f t="shared" si="58"/>
        <v/>
      </c>
      <c r="Q778" s="54"/>
      <c r="R778" s="87" t="str">
        <f t="shared" si="60"/>
        <v/>
      </c>
      <c r="S778" s="87" t="str">
        <f t="shared" si="61"/>
        <v/>
      </c>
      <c r="T778" s="54"/>
      <c r="U778" s="54"/>
      <c r="V778" s="54"/>
      <c r="W778" s="54"/>
      <c r="X778" s="69" t="str">
        <f t="shared" si="59"/>
        <v>D</v>
      </c>
    </row>
    <row r="779" spans="1:24" s="66" customFormat="1" x14ac:dyDescent="0.25">
      <c r="A779" s="51"/>
      <c r="B779" s="91" t="str">
        <f>IFERROR(VLOOKUP(A779,Lookup!A:B,2,0),"")</f>
        <v/>
      </c>
      <c r="C779" s="92" t="str">
        <f>IFERROR(VLOOKUP(A779,Lookup!A:C,3,0),"")</f>
        <v/>
      </c>
      <c r="D779" s="54"/>
      <c r="E779" s="54"/>
      <c r="F779" s="54"/>
      <c r="G779" s="72"/>
      <c r="H779" s="54"/>
      <c r="I779" s="54"/>
      <c r="J779" s="106">
        <f>VLOOKUP(A779&amp;G779,Lookup!J:N,5,0)</f>
        <v>0</v>
      </c>
      <c r="K779" s="115"/>
      <c r="L779" s="54"/>
      <c r="M779" s="54"/>
      <c r="N779" s="54"/>
      <c r="O779" s="112">
        <v>32.1840277777778</v>
      </c>
      <c r="P779" s="110" t="str">
        <f t="shared" si="58"/>
        <v/>
      </c>
      <c r="Q779" s="54"/>
      <c r="R779" s="87" t="str">
        <f t="shared" si="60"/>
        <v/>
      </c>
      <c r="S779" s="87" t="str">
        <f t="shared" si="61"/>
        <v/>
      </c>
      <c r="T779" s="54"/>
      <c r="U779" s="54"/>
      <c r="V779" s="54"/>
      <c r="W779" s="54"/>
      <c r="X779" s="69" t="str">
        <f t="shared" si="59"/>
        <v>D</v>
      </c>
    </row>
    <row r="780" spans="1:24" s="66" customFormat="1" x14ac:dyDescent="0.25">
      <c r="A780" s="51"/>
      <c r="B780" s="91" t="str">
        <f>IFERROR(VLOOKUP(A780,Lookup!A:B,2,0),"")</f>
        <v/>
      </c>
      <c r="C780" s="92" t="str">
        <f>IFERROR(VLOOKUP(A780,Lookup!A:C,3,0),"")</f>
        <v/>
      </c>
      <c r="D780" s="54"/>
      <c r="E780" s="54"/>
      <c r="F780" s="54"/>
      <c r="G780" s="72"/>
      <c r="H780" s="54"/>
      <c r="I780" s="54"/>
      <c r="J780" s="106">
        <f>VLOOKUP(A780&amp;G780,Lookup!J:N,5,0)</f>
        <v>0</v>
      </c>
      <c r="K780" s="115"/>
      <c r="L780" s="54"/>
      <c r="M780" s="54"/>
      <c r="N780" s="54"/>
      <c r="O780" s="112">
        <v>32.2256944444444</v>
      </c>
      <c r="P780" s="110" t="str">
        <f t="shared" si="58"/>
        <v/>
      </c>
      <c r="Q780" s="54"/>
      <c r="R780" s="87" t="str">
        <f t="shared" si="60"/>
        <v/>
      </c>
      <c r="S780" s="87" t="str">
        <f t="shared" si="61"/>
        <v/>
      </c>
      <c r="T780" s="54"/>
      <c r="U780" s="54"/>
      <c r="V780" s="54"/>
      <c r="W780" s="54"/>
      <c r="X780" s="69" t="str">
        <f t="shared" si="59"/>
        <v>D</v>
      </c>
    </row>
    <row r="781" spans="1:24" s="66" customFormat="1" x14ac:dyDescent="0.25">
      <c r="A781" s="51"/>
      <c r="B781" s="91" t="str">
        <f>IFERROR(VLOOKUP(A781,Lookup!A:B,2,0),"")</f>
        <v/>
      </c>
      <c r="C781" s="92" t="str">
        <f>IFERROR(VLOOKUP(A781,Lookup!A:C,3,0),"")</f>
        <v/>
      </c>
      <c r="D781" s="54"/>
      <c r="E781" s="54"/>
      <c r="F781" s="54"/>
      <c r="G781" s="72"/>
      <c r="H781" s="54"/>
      <c r="I781" s="54"/>
      <c r="J781" s="106">
        <f>VLOOKUP(A781&amp;G781,Lookup!J:N,5,0)</f>
        <v>0</v>
      </c>
      <c r="K781" s="115"/>
      <c r="L781" s="54"/>
      <c r="M781" s="54"/>
      <c r="N781" s="54"/>
      <c r="O781" s="112">
        <v>32.2673611111111</v>
      </c>
      <c r="P781" s="110" t="str">
        <f t="shared" si="58"/>
        <v/>
      </c>
      <c r="Q781" s="54"/>
      <c r="R781" s="87" t="str">
        <f t="shared" si="60"/>
        <v/>
      </c>
      <c r="S781" s="87" t="str">
        <f t="shared" si="61"/>
        <v/>
      </c>
      <c r="T781" s="54"/>
      <c r="U781" s="54"/>
      <c r="V781" s="54"/>
      <c r="W781" s="54"/>
      <c r="X781" s="69" t="str">
        <f t="shared" si="59"/>
        <v>D</v>
      </c>
    </row>
    <row r="782" spans="1:24" s="66" customFormat="1" x14ac:dyDescent="0.25">
      <c r="A782" s="51"/>
      <c r="B782" s="91" t="str">
        <f>IFERROR(VLOOKUP(A782,Lookup!A:B,2,0),"")</f>
        <v/>
      </c>
      <c r="C782" s="92" t="str">
        <f>IFERROR(VLOOKUP(A782,Lookup!A:C,3,0),"")</f>
        <v/>
      </c>
      <c r="D782" s="54"/>
      <c r="E782" s="54"/>
      <c r="F782" s="54"/>
      <c r="G782" s="72"/>
      <c r="H782" s="54"/>
      <c r="I782" s="54"/>
      <c r="J782" s="106">
        <f>VLOOKUP(A782&amp;G782,Lookup!J:N,5,0)</f>
        <v>0</v>
      </c>
      <c r="K782" s="115"/>
      <c r="L782" s="54"/>
      <c r="M782" s="54"/>
      <c r="N782" s="54"/>
      <c r="O782" s="112">
        <v>32.3090277777778</v>
      </c>
      <c r="P782" s="110" t="str">
        <f t="shared" si="58"/>
        <v/>
      </c>
      <c r="Q782" s="54"/>
      <c r="R782" s="87" t="str">
        <f t="shared" si="60"/>
        <v/>
      </c>
      <c r="S782" s="87" t="str">
        <f t="shared" si="61"/>
        <v/>
      </c>
      <c r="T782" s="54"/>
      <c r="U782" s="54"/>
      <c r="V782" s="54"/>
      <c r="W782" s="54"/>
      <c r="X782" s="69" t="str">
        <f t="shared" si="59"/>
        <v>D</v>
      </c>
    </row>
    <row r="783" spans="1:24" s="66" customFormat="1" x14ac:dyDescent="0.25">
      <c r="A783" s="51"/>
      <c r="B783" s="91" t="str">
        <f>IFERROR(VLOOKUP(A783,Lookup!A:B,2,0),"")</f>
        <v/>
      </c>
      <c r="C783" s="92" t="str">
        <f>IFERROR(VLOOKUP(A783,Lookup!A:C,3,0),"")</f>
        <v/>
      </c>
      <c r="D783" s="54"/>
      <c r="E783" s="54"/>
      <c r="F783" s="54"/>
      <c r="G783" s="72"/>
      <c r="H783" s="54"/>
      <c r="I783" s="54"/>
      <c r="J783" s="106">
        <f>VLOOKUP(A783&amp;G783,Lookup!J:N,5,0)</f>
        <v>0</v>
      </c>
      <c r="K783" s="115"/>
      <c r="L783" s="54"/>
      <c r="M783" s="54"/>
      <c r="N783" s="54"/>
      <c r="O783" s="112">
        <v>32.3506944444444</v>
      </c>
      <c r="P783" s="110" t="str">
        <f t="shared" si="58"/>
        <v/>
      </c>
      <c r="Q783" s="54"/>
      <c r="R783" s="87" t="str">
        <f t="shared" si="60"/>
        <v/>
      </c>
      <c r="S783" s="87" t="str">
        <f t="shared" si="61"/>
        <v/>
      </c>
      <c r="T783" s="54"/>
      <c r="U783" s="54"/>
      <c r="V783" s="54"/>
      <c r="W783" s="54"/>
      <c r="X783" s="69" t="str">
        <f t="shared" si="59"/>
        <v>D</v>
      </c>
    </row>
    <row r="784" spans="1:24" s="66" customFormat="1" x14ac:dyDescent="0.25">
      <c r="A784" s="51"/>
      <c r="B784" s="91" t="str">
        <f>IFERROR(VLOOKUP(A784,Lookup!A:B,2,0),"")</f>
        <v/>
      </c>
      <c r="C784" s="92" t="str">
        <f>IFERROR(VLOOKUP(A784,Lookup!A:C,3,0),"")</f>
        <v/>
      </c>
      <c r="D784" s="54"/>
      <c r="E784" s="54"/>
      <c r="F784" s="54"/>
      <c r="G784" s="72"/>
      <c r="H784" s="54"/>
      <c r="I784" s="54"/>
      <c r="J784" s="106">
        <f>VLOOKUP(A784&amp;G784,Lookup!J:N,5,0)</f>
        <v>0</v>
      </c>
      <c r="K784" s="115"/>
      <c r="L784" s="54"/>
      <c r="M784" s="54"/>
      <c r="N784" s="54"/>
      <c r="O784" s="112">
        <v>32.3923611111111</v>
      </c>
      <c r="P784" s="110" t="str">
        <f t="shared" si="58"/>
        <v/>
      </c>
      <c r="Q784" s="54"/>
      <c r="R784" s="87" t="str">
        <f t="shared" si="60"/>
        <v/>
      </c>
      <c r="S784" s="87" t="str">
        <f t="shared" si="61"/>
        <v/>
      </c>
      <c r="T784" s="54"/>
      <c r="U784" s="54"/>
      <c r="V784" s="54"/>
      <c r="W784" s="54"/>
      <c r="X784" s="69" t="str">
        <f t="shared" si="59"/>
        <v>D</v>
      </c>
    </row>
    <row r="785" spans="1:24" s="66" customFormat="1" x14ac:dyDescent="0.25">
      <c r="A785" s="51"/>
      <c r="B785" s="91" t="str">
        <f>IFERROR(VLOOKUP(A785,Lookup!A:B,2,0),"")</f>
        <v/>
      </c>
      <c r="C785" s="92" t="str">
        <f>IFERROR(VLOOKUP(A785,Lookup!A:C,3,0),"")</f>
        <v/>
      </c>
      <c r="D785" s="54"/>
      <c r="E785" s="54"/>
      <c r="F785" s="54"/>
      <c r="G785" s="72"/>
      <c r="H785" s="54"/>
      <c r="I785" s="54"/>
      <c r="J785" s="106">
        <f>VLOOKUP(A785&amp;G785,Lookup!J:N,5,0)</f>
        <v>0</v>
      </c>
      <c r="K785" s="115"/>
      <c r="L785" s="54"/>
      <c r="M785" s="54"/>
      <c r="N785" s="54"/>
      <c r="O785" s="112">
        <v>32.4340277777778</v>
      </c>
      <c r="P785" s="110" t="str">
        <f t="shared" si="58"/>
        <v/>
      </c>
      <c r="Q785" s="54"/>
      <c r="R785" s="87" t="str">
        <f t="shared" si="60"/>
        <v/>
      </c>
      <c r="S785" s="87" t="str">
        <f t="shared" si="61"/>
        <v/>
      </c>
      <c r="T785" s="54"/>
      <c r="U785" s="54"/>
      <c r="V785" s="54"/>
      <c r="W785" s="54"/>
      <c r="X785" s="69" t="str">
        <f t="shared" si="59"/>
        <v>D</v>
      </c>
    </row>
    <row r="786" spans="1:24" s="66" customFormat="1" x14ac:dyDescent="0.25">
      <c r="A786" s="51"/>
      <c r="B786" s="91" t="str">
        <f>IFERROR(VLOOKUP(A786,Lookup!A:B,2,0),"")</f>
        <v/>
      </c>
      <c r="C786" s="92" t="str">
        <f>IFERROR(VLOOKUP(A786,Lookup!A:C,3,0),"")</f>
        <v/>
      </c>
      <c r="D786" s="54"/>
      <c r="E786" s="54"/>
      <c r="F786" s="54"/>
      <c r="G786" s="72"/>
      <c r="H786" s="54"/>
      <c r="I786" s="54"/>
      <c r="J786" s="106">
        <f>VLOOKUP(A786&amp;G786,Lookup!J:N,5,0)</f>
        <v>0</v>
      </c>
      <c r="K786" s="115"/>
      <c r="L786" s="54"/>
      <c r="M786" s="54"/>
      <c r="N786" s="54"/>
      <c r="O786" s="112">
        <v>32.4756944444444</v>
      </c>
      <c r="P786" s="110" t="str">
        <f t="shared" si="58"/>
        <v/>
      </c>
      <c r="Q786" s="54"/>
      <c r="R786" s="87" t="str">
        <f t="shared" si="60"/>
        <v/>
      </c>
      <c r="S786" s="87" t="str">
        <f t="shared" si="61"/>
        <v/>
      </c>
      <c r="T786" s="54"/>
      <c r="U786" s="54"/>
      <c r="V786" s="54"/>
      <c r="W786" s="54"/>
      <c r="X786" s="69" t="str">
        <f t="shared" si="59"/>
        <v>D</v>
      </c>
    </row>
    <row r="787" spans="1:24" s="66" customFormat="1" x14ac:dyDescent="0.25">
      <c r="A787" s="51"/>
      <c r="B787" s="91" t="str">
        <f>IFERROR(VLOOKUP(A787,Lookup!A:B,2,0),"")</f>
        <v/>
      </c>
      <c r="C787" s="92" t="str">
        <f>IFERROR(VLOOKUP(A787,Lookup!A:C,3,0),"")</f>
        <v/>
      </c>
      <c r="D787" s="54"/>
      <c r="E787" s="54"/>
      <c r="F787" s="54"/>
      <c r="G787" s="72"/>
      <c r="H787" s="54"/>
      <c r="I787" s="54"/>
      <c r="J787" s="106">
        <f>VLOOKUP(A787&amp;G787,Lookup!J:N,5,0)</f>
        <v>0</v>
      </c>
      <c r="K787" s="115"/>
      <c r="L787" s="54"/>
      <c r="M787" s="54"/>
      <c r="N787" s="54"/>
      <c r="O787" s="112">
        <v>32.5173611111111</v>
      </c>
      <c r="P787" s="110" t="str">
        <f t="shared" si="58"/>
        <v/>
      </c>
      <c r="Q787" s="54"/>
      <c r="R787" s="87" t="str">
        <f t="shared" si="60"/>
        <v/>
      </c>
      <c r="S787" s="87" t="str">
        <f t="shared" si="61"/>
        <v/>
      </c>
      <c r="T787" s="54"/>
      <c r="U787" s="54"/>
      <c r="V787" s="54"/>
      <c r="W787" s="54"/>
      <c r="X787" s="69" t="str">
        <f t="shared" si="59"/>
        <v>D</v>
      </c>
    </row>
    <row r="788" spans="1:24" s="66" customFormat="1" x14ac:dyDescent="0.25">
      <c r="A788" s="51"/>
      <c r="B788" s="91" t="str">
        <f>IFERROR(VLOOKUP(A788,Lookup!A:B,2,0),"")</f>
        <v/>
      </c>
      <c r="C788" s="92" t="str">
        <f>IFERROR(VLOOKUP(A788,Lookup!A:C,3,0),"")</f>
        <v/>
      </c>
      <c r="D788" s="54"/>
      <c r="E788" s="54"/>
      <c r="F788" s="54"/>
      <c r="G788" s="72"/>
      <c r="H788" s="54"/>
      <c r="I788" s="54"/>
      <c r="J788" s="106">
        <f>VLOOKUP(A788&amp;G788,Lookup!J:N,5,0)</f>
        <v>0</v>
      </c>
      <c r="K788" s="115"/>
      <c r="L788" s="54"/>
      <c r="M788" s="54"/>
      <c r="N788" s="54"/>
      <c r="O788" s="112">
        <v>32.5590277777778</v>
      </c>
      <c r="P788" s="110" t="str">
        <f t="shared" si="58"/>
        <v/>
      </c>
      <c r="Q788" s="54"/>
      <c r="R788" s="87" t="str">
        <f t="shared" si="60"/>
        <v/>
      </c>
      <c r="S788" s="87" t="str">
        <f t="shared" si="61"/>
        <v/>
      </c>
      <c r="T788" s="54"/>
      <c r="U788" s="54"/>
      <c r="V788" s="54"/>
      <c r="W788" s="54"/>
      <c r="X788" s="69" t="str">
        <f t="shared" si="59"/>
        <v>D</v>
      </c>
    </row>
    <row r="789" spans="1:24" s="66" customFormat="1" x14ac:dyDescent="0.25">
      <c r="A789" s="51"/>
      <c r="B789" s="91" t="str">
        <f>IFERROR(VLOOKUP(A789,Lookup!A:B,2,0),"")</f>
        <v/>
      </c>
      <c r="C789" s="92" t="str">
        <f>IFERROR(VLOOKUP(A789,Lookup!A:C,3,0),"")</f>
        <v/>
      </c>
      <c r="D789" s="54"/>
      <c r="E789" s="54"/>
      <c r="F789" s="54"/>
      <c r="G789" s="72"/>
      <c r="H789" s="54"/>
      <c r="I789" s="54"/>
      <c r="J789" s="106">
        <f>VLOOKUP(A789&amp;G789,Lookup!J:N,5,0)</f>
        <v>0</v>
      </c>
      <c r="K789" s="115"/>
      <c r="L789" s="54"/>
      <c r="M789" s="54"/>
      <c r="N789" s="54"/>
      <c r="O789" s="112">
        <v>32.6006944444444</v>
      </c>
      <c r="P789" s="110" t="str">
        <f t="shared" si="58"/>
        <v/>
      </c>
      <c r="Q789" s="54"/>
      <c r="R789" s="87" t="str">
        <f t="shared" si="60"/>
        <v/>
      </c>
      <c r="S789" s="87" t="str">
        <f t="shared" si="61"/>
        <v/>
      </c>
      <c r="T789" s="54"/>
      <c r="U789" s="54"/>
      <c r="V789" s="54"/>
      <c r="W789" s="54"/>
      <c r="X789" s="69" t="str">
        <f t="shared" si="59"/>
        <v>D</v>
      </c>
    </row>
    <row r="790" spans="1:24" s="66" customFormat="1" x14ac:dyDescent="0.25">
      <c r="A790" s="51"/>
      <c r="B790" s="91" t="str">
        <f>IFERROR(VLOOKUP(A790,Lookup!A:B,2,0),"")</f>
        <v/>
      </c>
      <c r="C790" s="92" t="str">
        <f>IFERROR(VLOOKUP(A790,Lookup!A:C,3,0),"")</f>
        <v/>
      </c>
      <c r="D790" s="54"/>
      <c r="E790" s="54"/>
      <c r="F790" s="54"/>
      <c r="G790" s="72"/>
      <c r="H790" s="54"/>
      <c r="I790" s="54"/>
      <c r="J790" s="106">
        <f>VLOOKUP(A790&amp;G790,Lookup!J:N,5,0)</f>
        <v>0</v>
      </c>
      <c r="K790" s="115"/>
      <c r="L790" s="54"/>
      <c r="M790" s="54"/>
      <c r="N790" s="54"/>
      <c r="O790" s="112">
        <v>32.6423611111111</v>
      </c>
      <c r="P790" s="110" t="str">
        <f t="shared" si="58"/>
        <v/>
      </c>
      <c r="Q790" s="54"/>
      <c r="R790" s="87" t="str">
        <f t="shared" si="60"/>
        <v/>
      </c>
      <c r="S790" s="87" t="str">
        <f t="shared" si="61"/>
        <v/>
      </c>
      <c r="T790" s="54"/>
      <c r="U790" s="54"/>
      <c r="V790" s="54"/>
      <c r="W790" s="54"/>
      <c r="X790" s="69" t="str">
        <f t="shared" si="59"/>
        <v>D</v>
      </c>
    </row>
    <row r="791" spans="1:24" s="66" customFormat="1" x14ac:dyDescent="0.25">
      <c r="A791" s="51"/>
      <c r="B791" s="91" t="str">
        <f>IFERROR(VLOOKUP(A791,Lookup!A:B,2,0),"")</f>
        <v/>
      </c>
      <c r="C791" s="92" t="str">
        <f>IFERROR(VLOOKUP(A791,Lookup!A:C,3,0),"")</f>
        <v/>
      </c>
      <c r="D791" s="54"/>
      <c r="E791" s="54"/>
      <c r="F791" s="54"/>
      <c r="G791" s="72"/>
      <c r="H791" s="54"/>
      <c r="I791" s="54"/>
      <c r="J791" s="106">
        <f>VLOOKUP(A791&amp;G791,Lookup!J:N,5,0)</f>
        <v>0</v>
      </c>
      <c r="K791" s="115"/>
      <c r="L791" s="54"/>
      <c r="M791" s="54"/>
      <c r="N791" s="54"/>
      <c r="O791" s="112">
        <v>32.6840277777778</v>
      </c>
      <c r="P791" s="110" t="str">
        <f t="shared" si="58"/>
        <v/>
      </c>
      <c r="Q791" s="54"/>
      <c r="R791" s="87" t="str">
        <f t="shared" si="60"/>
        <v/>
      </c>
      <c r="S791" s="87" t="str">
        <f t="shared" si="61"/>
        <v/>
      </c>
      <c r="T791" s="54"/>
      <c r="U791" s="54"/>
      <c r="V791" s="54"/>
      <c r="W791" s="54"/>
      <c r="X791" s="69" t="str">
        <f t="shared" si="59"/>
        <v>D</v>
      </c>
    </row>
    <row r="792" spans="1:24" s="66" customFormat="1" x14ac:dyDescent="0.25">
      <c r="A792" s="51"/>
      <c r="B792" s="91" t="str">
        <f>IFERROR(VLOOKUP(A792,Lookup!A:B,2,0),"")</f>
        <v/>
      </c>
      <c r="C792" s="92" t="str">
        <f>IFERROR(VLOOKUP(A792,Lookup!A:C,3,0),"")</f>
        <v/>
      </c>
      <c r="D792" s="54"/>
      <c r="E792" s="54"/>
      <c r="F792" s="54"/>
      <c r="G792" s="72"/>
      <c r="H792" s="54"/>
      <c r="I792" s="54"/>
      <c r="J792" s="106">
        <f>VLOOKUP(A792&amp;G792,Lookup!J:N,5,0)</f>
        <v>0</v>
      </c>
      <c r="K792" s="115"/>
      <c r="L792" s="54"/>
      <c r="M792" s="54"/>
      <c r="N792" s="54"/>
      <c r="O792" s="112">
        <v>32.7256944444444</v>
      </c>
      <c r="P792" s="110" t="str">
        <f t="shared" si="58"/>
        <v/>
      </c>
      <c r="Q792" s="54"/>
      <c r="R792" s="87" t="str">
        <f t="shared" si="60"/>
        <v/>
      </c>
      <c r="S792" s="87" t="str">
        <f t="shared" si="61"/>
        <v/>
      </c>
      <c r="T792" s="54"/>
      <c r="U792" s="54"/>
      <c r="V792" s="54"/>
      <c r="W792" s="54"/>
      <c r="X792" s="69" t="str">
        <f t="shared" si="59"/>
        <v>D</v>
      </c>
    </row>
    <row r="793" spans="1:24" s="66" customFormat="1" x14ac:dyDescent="0.25">
      <c r="A793" s="51"/>
      <c r="B793" s="91" t="str">
        <f>IFERROR(VLOOKUP(A793,Lookup!A:B,2,0),"")</f>
        <v/>
      </c>
      <c r="C793" s="92" t="str">
        <f>IFERROR(VLOOKUP(A793,Lookup!A:C,3,0),"")</f>
        <v/>
      </c>
      <c r="D793" s="54"/>
      <c r="E793" s="54"/>
      <c r="F793" s="54"/>
      <c r="G793" s="72"/>
      <c r="H793" s="54"/>
      <c r="I793" s="54"/>
      <c r="J793" s="106">
        <f>VLOOKUP(A793&amp;G793,Lookup!J:N,5,0)</f>
        <v>0</v>
      </c>
      <c r="K793" s="115"/>
      <c r="L793" s="54"/>
      <c r="M793" s="54"/>
      <c r="N793" s="54"/>
      <c r="O793" s="112">
        <v>32.7673611111111</v>
      </c>
      <c r="P793" s="110" t="str">
        <f t="shared" si="58"/>
        <v/>
      </c>
      <c r="Q793" s="54"/>
      <c r="R793" s="87" t="str">
        <f t="shared" si="60"/>
        <v/>
      </c>
      <c r="S793" s="87" t="str">
        <f t="shared" si="61"/>
        <v/>
      </c>
      <c r="T793" s="54"/>
      <c r="U793" s="54"/>
      <c r="V793" s="54"/>
      <c r="W793" s="54"/>
      <c r="X793" s="69" t="str">
        <f t="shared" si="59"/>
        <v>D</v>
      </c>
    </row>
    <row r="794" spans="1:24" s="66" customFormat="1" x14ac:dyDescent="0.25">
      <c r="A794" s="51"/>
      <c r="B794" s="91" t="str">
        <f>IFERROR(VLOOKUP(A794,Lookup!A:B,2,0),"")</f>
        <v/>
      </c>
      <c r="C794" s="92" t="str">
        <f>IFERROR(VLOOKUP(A794,Lookup!A:C,3,0),"")</f>
        <v/>
      </c>
      <c r="D794" s="54"/>
      <c r="E794" s="54"/>
      <c r="F794" s="54"/>
      <c r="G794" s="72"/>
      <c r="H794" s="54"/>
      <c r="I794" s="54"/>
      <c r="J794" s="106">
        <f>VLOOKUP(A794&amp;G794,Lookup!J:N,5,0)</f>
        <v>0</v>
      </c>
      <c r="K794" s="115"/>
      <c r="L794" s="54"/>
      <c r="M794" s="54"/>
      <c r="N794" s="54"/>
      <c r="O794" s="112">
        <v>32.8090277777778</v>
      </c>
      <c r="P794" s="110" t="str">
        <f t="shared" si="58"/>
        <v/>
      </c>
      <c r="Q794" s="54"/>
      <c r="R794" s="87" t="str">
        <f t="shared" si="60"/>
        <v/>
      </c>
      <c r="S794" s="87" t="str">
        <f t="shared" si="61"/>
        <v/>
      </c>
      <c r="T794" s="54"/>
      <c r="U794" s="54"/>
      <c r="V794" s="54"/>
      <c r="W794" s="54"/>
      <c r="X794" s="69" t="str">
        <f t="shared" si="59"/>
        <v>D</v>
      </c>
    </row>
    <row r="795" spans="1:24" s="66" customFormat="1" x14ac:dyDescent="0.25">
      <c r="A795" s="51"/>
      <c r="B795" s="91" t="str">
        <f>IFERROR(VLOOKUP(A795,Lookup!A:B,2,0),"")</f>
        <v/>
      </c>
      <c r="C795" s="92" t="str">
        <f>IFERROR(VLOOKUP(A795,Lookup!A:C,3,0),"")</f>
        <v/>
      </c>
      <c r="D795" s="54"/>
      <c r="E795" s="54"/>
      <c r="F795" s="54"/>
      <c r="G795" s="72"/>
      <c r="H795" s="54"/>
      <c r="I795" s="54"/>
      <c r="J795" s="106">
        <f>VLOOKUP(A795&amp;G795,Lookup!J:N,5,0)</f>
        <v>0</v>
      </c>
      <c r="K795" s="115"/>
      <c r="L795" s="54"/>
      <c r="M795" s="54"/>
      <c r="N795" s="54"/>
      <c r="O795" s="112">
        <v>32.8506944444444</v>
      </c>
      <c r="P795" s="110" t="str">
        <f t="shared" si="58"/>
        <v/>
      </c>
      <c r="Q795" s="54"/>
      <c r="R795" s="87" t="str">
        <f t="shared" si="60"/>
        <v/>
      </c>
      <c r="S795" s="87" t="str">
        <f t="shared" si="61"/>
        <v/>
      </c>
      <c r="T795" s="54"/>
      <c r="U795" s="54"/>
      <c r="V795" s="54"/>
      <c r="W795" s="54"/>
      <c r="X795" s="69" t="str">
        <f t="shared" si="59"/>
        <v>D</v>
      </c>
    </row>
    <row r="796" spans="1:24" s="66" customFormat="1" x14ac:dyDescent="0.25">
      <c r="A796" s="51"/>
      <c r="B796" s="91" t="str">
        <f>IFERROR(VLOOKUP(A796,Lookup!A:B,2,0),"")</f>
        <v/>
      </c>
      <c r="C796" s="92" t="str">
        <f>IFERROR(VLOOKUP(A796,Lookup!A:C,3,0),"")</f>
        <v/>
      </c>
      <c r="D796" s="54"/>
      <c r="E796" s="54"/>
      <c r="F796" s="54"/>
      <c r="G796" s="72"/>
      <c r="H796" s="54"/>
      <c r="I796" s="54"/>
      <c r="J796" s="106">
        <f>VLOOKUP(A796&amp;G796,Lookup!J:N,5,0)</f>
        <v>0</v>
      </c>
      <c r="K796" s="115"/>
      <c r="L796" s="54"/>
      <c r="M796" s="54"/>
      <c r="N796" s="54"/>
      <c r="O796" s="112">
        <v>32.8923611111111</v>
      </c>
      <c r="P796" s="110" t="str">
        <f t="shared" si="58"/>
        <v/>
      </c>
      <c r="Q796" s="54"/>
      <c r="R796" s="87" t="str">
        <f t="shared" si="60"/>
        <v/>
      </c>
      <c r="S796" s="87" t="str">
        <f t="shared" si="61"/>
        <v/>
      </c>
      <c r="T796" s="54"/>
      <c r="U796" s="54"/>
      <c r="V796" s="54"/>
      <c r="W796" s="54"/>
      <c r="X796" s="69" t="str">
        <f t="shared" si="59"/>
        <v>D</v>
      </c>
    </row>
    <row r="797" spans="1:24" s="66" customFormat="1" x14ac:dyDescent="0.25">
      <c r="A797" s="51"/>
      <c r="B797" s="91" t="str">
        <f>IFERROR(VLOOKUP(A797,Lookup!A:B,2,0),"")</f>
        <v/>
      </c>
      <c r="C797" s="92" t="str">
        <f>IFERROR(VLOOKUP(A797,Lookup!A:C,3,0),"")</f>
        <v/>
      </c>
      <c r="D797" s="54"/>
      <c r="E797" s="54"/>
      <c r="F797" s="54"/>
      <c r="G797" s="72"/>
      <c r="H797" s="54"/>
      <c r="I797" s="54"/>
      <c r="J797" s="106">
        <f>VLOOKUP(A797&amp;G797,Lookup!J:N,5,0)</f>
        <v>0</v>
      </c>
      <c r="K797" s="115"/>
      <c r="L797" s="54"/>
      <c r="M797" s="54"/>
      <c r="N797" s="54"/>
      <c r="O797" s="112">
        <v>32.9340277777778</v>
      </c>
      <c r="P797" s="110" t="str">
        <f t="shared" si="58"/>
        <v/>
      </c>
      <c r="Q797" s="54"/>
      <c r="R797" s="87" t="str">
        <f t="shared" si="60"/>
        <v/>
      </c>
      <c r="S797" s="87" t="str">
        <f t="shared" si="61"/>
        <v/>
      </c>
      <c r="T797" s="54"/>
      <c r="U797" s="54"/>
      <c r="V797" s="54"/>
      <c r="W797" s="54"/>
      <c r="X797" s="69" t="str">
        <f t="shared" si="59"/>
        <v>D</v>
      </c>
    </row>
    <row r="798" spans="1:24" s="66" customFormat="1" x14ac:dyDescent="0.25">
      <c r="A798" s="51"/>
      <c r="B798" s="91" t="str">
        <f>IFERROR(VLOOKUP(A798,Lookup!A:B,2,0),"")</f>
        <v/>
      </c>
      <c r="C798" s="92" t="str">
        <f>IFERROR(VLOOKUP(A798,Lookup!A:C,3,0),"")</f>
        <v/>
      </c>
      <c r="D798" s="54"/>
      <c r="E798" s="54"/>
      <c r="F798" s="54"/>
      <c r="G798" s="72"/>
      <c r="H798" s="54"/>
      <c r="I798" s="54"/>
      <c r="J798" s="106">
        <f>VLOOKUP(A798&amp;G798,Lookup!J:N,5,0)</f>
        <v>0</v>
      </c>
      <c r="K798" s="115"/>
      <c r="L798" s="54"/>
      <c r="M798" s="54"/>
      <c r="N798" s="54"/>
      <c r="O798" s="112">
        <v>32.9756944444444</v>
      </c>
      <c r="P798" s="110" t="str">
        <f t="shared" si="58"/>
        <v/>
      </c>
      <c r="Q798" s="54"/>
      <c r="R798" s="87" t="str">
        <f t="shared" si="60"/>
        <v/>
      </c>
      <c r="S798" s="87" t="str">
        <f t="shared" si="61"/>
        <v/>
      </c>
      <c r="T798" s="54"/>
      <c r="U798" s="54"/>
      <c r="V798" s="54"/>
      <c r="W798" s="54"/>
      <c r="X798" s="69" t="str">
        <f t="shared" si="59"/>
        <v>D</v>
      </c>
    </row>
    <row r="799" spans="1:24" s="66" customFormat="1" x14ac:dyDescent="0.25">
      <c r="A799" s="51"/>
      <c r="B799" s="91" t="str">
        <f>IFERROR(VLOOKUP(A799,Lookup!A:B,2,0),"")</f>
        <v/>
      </c>
      <c r="C799" s="92" t="str">
        <f>IFERROR(VLOOKUP(A799,Lookup!A:C,3,0),"")</f>
        <v/>
      </c>
      <c r="D799" s="54"/>
      <c r="E799" s="54"/>
      <c r="F799" s="54"/>
      <c r="G799" s="72"/>
      <c r="H799" s="54"/>
      <c r="I799" s="54"/>
      <c r="J799" s="106">
        <f>VLOOKUP(A799&amp;G799,Lookup!J:N,5,0)</f>
        <v>0</v>
      </c>
      <c r="K799" s="115"/>
      <c r="L799" s="54"/>
      <c r="M799" s="54"/>
      <c r="N799" s="54"/>
      <c r="O799" s="112">
        <v>33.0173611111111</v>
      </c>
      <c r="P799" s="110" t="str">
        <f t="shared" si="58"/>
        <v/>
      </c>
      <c r="Q799" s="54"/>
      <c r="R799" s="87" t="str">
        <f t="shared" si="60"/>
        <v/>
      </c>
      <c r="S799" s="87" t="str">
        <f t="shared" si="61"/>
        <v/>
      </c>
      <c r="T799" s="54"/>
      <c r="U799" s="54"/>
      <c r="V799" s="54"/>
      <c r="W799" s="54"/>
      <c r="X799" s="69" t="str">
        <f t="shared" si="59"/>
        <v>D</v>
      </c>
    </row>
    <row r="800" spans="1:24" s="66" customFormat="1" x14ac:dyDescent="0.25">
      <c r="A800" s="51"/>
      <c r="B800" s="91" t="str">
        <f>IFERROR(VLOOKUP(A800,Lookup!A:B,2,0),"")</f>
        <v/>
      </c>
      <c r="C800" s="92" t="str">
        <f>IFERROR(VLOOKUP(A800,Lookup!A:C,3,0),"")</f>
        <v/>
      </c>
      <c r="D800" s="54"/>
      <c r="E800" s="54"/>
      <c r="F800" s="54"/>
      <c r="G800" s="72"/>
      <c r="H800" s="54"/>
      <c r="I800" s="54"/>
      <c r="J800" s="106">
        <f>VLOOKUP(A800&amp;G800,Lookup!J:N,5,0)</f>
        <v>0</v>
      </c>
      <c r="K800" s="115"/>
      <c r="L800" s="54"/>
      <c r="M800" s="54"/>
      <c r="N800" s="54"/>
      <c r="O800" s="112">
        <v>33.0590277777778</v>
      </c>
      <c r="P800" s="110" t="str">
        <f t="shared" si="58"/>
        <v/>
      </c>
      <c r="Q800" s="54"/>
      <c r="R800" s="87" t="str">
        <f t="shared" si="60"/>
        <v/>
      </c>
      <c r="S800" s="87" t="str">
        <f t="shared" si="61"/>
        <v/>
      </c>
      <c r="T800" s="54"/>
      <c r="U800" s="54"/>
      <c r="V800" s="54"/>
      <c r="W800" s="54"/>
      <c r="X800" s="69" t="str">
        <f t="shared" si="59"/>
        <v>D</v>
      </c>
    </row>
    <row r="801" spans="1:24" s="66" customFormat="1" x14ac:dyDescent="0.25">
      <c r="A801" s="51"/>
      <c r="B801" s="91" t="str">
        <f>IFERROR(VLOOKUP(A801,Lookup!A:B,2,0),"")</f>
        <v/>
      </c>
      <c r="C801" s="92" t="str">
        <f>IFERROR(VLOOKUP(A801,Lookup!A:C,3,0),"")</f>
        <v/>
      </c>
      <c r="D801" s="54"/>
      <c r="E801" s="54"/>
      <c r="F801" s="54"/>
      <c r="G801" s="72"/>
      <c r="H801" s="54"/>
      <c r="I801" s="54"/>
      <c r="J801" s="106">
        <f>VLOOKUP(A801&amp;G801,Lookup!J:N,5,0)</f>
        <v>0</v>
      </c>
      <c r="K801" s="115"/>
      <c r="L801" s="54"/>
      <c r="M801" s="54"/>
      <c r="N801" s="54"/>
      <c r="O801" s="112">
        <v>33.1006944444444</v>
      </c>
      <c r="P801" s="110" t="str">
        <f t="shared" si="58"/>
        <v/>
      </c>
      <c r="Q801" s="54"/>
      <c r="R801" s="87" t="str">
        <f t="shared" si="60"/>
        <v/>
      </c>
      <c r="S801" s="87" t="str">
        <f t="shared" si="61"/>
        <v/>
      </c>
      <c r="T801" s="54"/>
      <c r="U801" s="54"/>
      <c r="V801" s="54"/>
      <c r="W801" s="54"/>
      <c r="X801" s="69" t="str">
        <f t="shared" si="59"/>
        <v>D</v>
      </c>
    </row>
    <row r="802" spans="1:24" s="66" customFormat="1" x14ac:dyDescent="0.25">
      <c r="A802" s="51"/>
      <c r="B802" s="91" t="str">
        <f>IFERROR(VLOOKUP(A802,Lookup!A:B,2,0),"")</f>
        <v/>
      </c>
      <c r="C802" s="92" t="str">
        <f>IFERROR(VLOOKUP(A802,Lookup!A:C,3,0),"")</f>
        <v/>
      </c>
      <c r="D802" s="54"/>
      <c r="E802" s="54"/>
      <c r="F802" s="54"/>
      <c r="G802" s="72"/>
      <c r="H802" s="54"/>
      <c r="I802" s="54"/>
      <c r="J802" s="106">
        <f>VLOOKUP(A802&amp;G802,Lookup!J:N,5,0)</f>
        <v>0</v>
      </c>
      <c r="K802" s="115"/>
      <c r="L802" s="54"/>
      <c r="M802" s="54"/>
      <c r="N802" s="54"/>
      <c r="O802" s="112">
        <v>33.1423611111111</v>
      </c>
      <c r="P802" s="110" t="str">
        <f t="shared" si="58"/>
        <v/>
      </c>
      <c r="Q802" s="54"/>
      <c r="R802" s="87" t="str">
        <f t="shared" si="60"/>
        <v/>
      </c>
      <c r="S802" s="87" t="str">
        <f t="shared" si="61"/>
        <v/>
      </c>
      <c r="T802" s="54"/>
      <c r="U802" s="54"/>
      <c r="V802" s="54"/>
      <c r="W802" s="54"/>
      <c r="X802" s="69" t="str">
        <f t="shared" si="59"/>
        <v>D</v>
      </c>
    </row>
    <row r="803" spans="1:24" s="66" customFormat="1" x14ac:dyDescent="0.25">
      <c r="A803" s="51"/>
      <c r="B803" s="91" t="str">
        <f>IFERROR(VLOOKUP(A803,Lookup!A:B,2,0),"")</f>
        <v/>
      </c>
      <c r="C803" s="92" t="str">
        <f>IFERROR(VLOOKUP(A803,Lookup!A:C,3,0),"")</f>
        <v/>
      </c>
      <c r="D803" s="54"/>
      <c r="E803" s="54"/>
      <c r="F803" s="54"/>
      <c r="G803" s="72"/>
      <c r="H803" s="54"/>
      <c r="I803" s="54"/>
      <c r="J803" s="106">
        <f>VLOOKUP(A803&amp;G803,Lookup!J:N,5,0)</f>
        <v>0</v>
      </c>
      <c r="K803" s="115"/>
      <c r="L803" s="54"/>
      <c r="M803" s="54"/>
      <c r="N803" s="54"/>
      <c r="O803" s="112">
        <v>33.1840277777778</v>
      </c>
      <c r="P803" s="110" t="str">
        <f t="shared" si="58"/>
        <v/>
      </c>
      <c r="Q803" s="54"/>
      <c r="R803" s="87" t="str">
        <f t="shared" si="60"/>
        <v/>
      </c>
      <c r="S803" s="87" t="str">
        <f t="shared" si="61"/>
        <v/>
      </c>
      <c r="T803" s="54"/>
      <c r="U803" s="54"/>
      <c r="V803" s="54"/>
      <c r="W803" s="54"/>
      <c r="X803" s="69" t="str">
        <f t="shared" si="59"/>
        <v>D</v>
      </c>
    </row>
    <row r="804" spans="1:24" s="66" customFormat="1" x14ac:dyDescent="0.25">
      <c r="A804" s="51"/>
      <c r="B804" s="91" t="str">
        <f>IFERROR(VLOOKUP(A804,Lookup!A:B,2,0),"")</f>
        <v/>
      </c>
      <c r="C804" s="92" t="str">
        <f>IFERROR(VLOOKUP(A804,Lookup!A:C,3,0),"")</f>
        <v/>
      </c>
      <c r="D804" s="54"/>
      <c r="E804" s="54"/>
      <c r="F804" s="54"/>
      <c r="G804" s="72"/>
      <c r="H804" s="54"/>
      <c r="I804" s="54"/>
      <c r="J804" s="106">
        <f>VLOOKUP(A804&amp;G804,Lookup!J:N,5,0)</f>
        <v>0</v>
      </c>
      <c r="K804" s="115"/>
      <c r="L804" s="54"/>
      <c r="M804" s="54"/>
      <c r="N804" s="54"/>
      <c r="O804" s="112">
        <v>33.2256944444444</v>
      </c>
      <c r="P804" s="110" t="str">
        <f t="shared" si="58"/>
        <v/>
      </c>
      <c r="Q804" s="54"/>
      <c r="R804" s="87" t="str">
        <f t="shared" si="60"/>
        <v/>
      </c>
      <c r="S804" s="87" t="str">
        <f t="shared" si="61"/>
        <v/>
      </c>
      <c r="T804" s="54"/>
      <c r="U804" s="54"/>
      <c r="V804" s="54"/>
      <c r="W804" s="54"/>
      <c r="X804" s="69" t="str">
        <f t="shared" si="59"/>
        <v>D</v>
      </c>
    </row>
    <row r="805" spans="1:24" s="66" customFormat="1" x14ac:dyDescent="0.25">
      <c r="A805" s="51"/>
      <c r="B805" s="91" t="str">
        <f>IFERROR(VLOOKUP(A805,Lookup!A:B,2,0),"")</f>
        <v/>
      </c>
      <c r="C805" s="92" t="str">
        <f>IFERROR(VLOOKUP(A805,Lookup!A:C,3,0),"")</f>
        <v/>
      </c>
      <c r="D805" s="54"/>
      <c r="E805" s="54"/>
      <c r="F805" s="54"/>
      <c r="G805" s="72"/>
      <c r="H805" s="54"/>
      <c r="I805" s="54"/>
      <c r="J805" s="106">
        <f>VLOOKUP(A805&amp;G805,Lookup!J:N,5,0)</f>
        <v>0</v>
      </c>
      <c r="K805" s="115"/>
      <c r="L805" s="54"/>
      <c r="M805" s="54"/>
      <c r="N805" s="54"/>
      <c r="O805" s="112">
        <v>33.2673611111111</v>
      </c>
      <c r="P805" s="110" t="str">
        <f t="shared" si="58"/>
        <v/>
      </c>
      <c r="Q805" s="54"/>
      <c r="R805" s="87" t="str">
        <f t="shared" si="60"/>
        <v/>
      </c>
      <c r="S805" s="87" t="str">
        <f t="shared" si="61"/>
        <v/>
      </c>
      <c r="T805" s="54"/>
      <c r="U805" s="54"/>
      <c r="V805" s="54"/>
      <c r="W805" s="54"/>
      <c r="X805" s="69" t="str">
        <f t="shared" si="59"/>
        <v>D</v>
      </c>
    </row>
    <row r="806" spans="1:24" s="66" customFormat="1" x14ac:dyDescent="0.25">
      <c r="A806" s="51"/>
      <c r="B806" s="91" t="str">
        <f>IFERROR(VLOOKUP(A806,Lookup!A:B,2,0),"")</f>
        <v/>
      </c>
      <c r="C806" s="92" t="str">
        <f>IFERROR(VLOOKUP(A806,Lookup!A:C,3,0),"")</f>
        <v/>
      </c>
      <c r="D806" s="54"/>
      <c r="E806" s="54"/>
      <c r="F806" s="54"/>
      <c r="G806" s="72"/>
      <c r="H806" s="54"/>
      <c r="I806" s="54"/>
      <c r="J806" s="106">
        <f>VLOOKUP(A806&amp;G806,Lookup!J:N,5,0)</f>
        <v>0</v>
      </c>
      <c r="K806" s="115"/>
      <c r="L806" s="54"/>
      <c r="M806" s="54"/>
      <c r="N806" s="54"/>
      <c r="O806" s="112">
        <v>33.3090277777778</v>
      </c>
      <c r="P806" s="110" t="str">
        <f t="shared" si="58"/>
        <v/>
      </c>
      <c r="Q806" s="54"/>
      <c r="R806" s="87" t="str">
        <f t="shared" si="60"/>
        <v/>
      </c>
      <c r="S806" s="87" t="str">
        <f t="shared" si="61"/>
        <v/>
      </c>
      <c r="T806" s="54"/>
      <c r="U806" s="54"/>
      <c r="V806" s="54"/>
      <c r="W806" s="54"/>
      <c r="X806" s="69" t="str">
        <f t="shared" si="59"/>
        <v>D</v>
      </c>
    </row>
    <row r="807" spans="1:24" s="66" customFormat="1" x14ac:dyDescent="0.25">
      <c r="A807" s="51"/>
      <c r="B807" s="91" t="str">
        <f>IFERROR(VLOOKUP(A807,Lookup!A:B,2,0),"")</f>
        <v/>
      </c>
      <c r="C807" s="92" t="str">
        <f>IFERROR(VLOOKUP(A807,Lookup!A:C,3,0),"")</f>
        <v/>
      </c>
      <c r="D807" s="54"/>
      <c r="E807" s="54"/>
      <c r="F807" s="54"/>
      <c r="G807" s="72"/>
      <c r="H807" s="54"/>
      <c r="I807" s="54"/>
      <c r="J807" s="106">
        <f>VLOOKUP(A807&amp;G807,Lookup!J:N,5,0)</f>
        <v>0</v>
      </c>
      <c r="K807" s="115"/>
      <c r="L807" s="54"/>
      <c r="M807" s="54"/>
      <c r="N807" s="54"/>
      <c r="O807" s="112">
        <v>33.3506944444444</v>
      </c>
      <c r="P807" s="110" t="str">
        <f t="shared" si="58"/>
        <v/>
      </c>
      <c r="Q807" s="54"/>
      <c r="R807" s="87" t="str">
        <f t="shared" si="60"/>
        <v/>
      </c>
      <c r="S807" s="87" t="str">
        <f t="shared" si="61"/>
        <v/>
      </c>
      <c r="T807" s="54"/>
      <c r="U807" s="54"/>
      <c r="V807" s="54"/>
      <c r="W807" s="54"/>
      <c r="X807" s="69" t="str">
        <f t="shared" si="59"/>
        <v>D</v>
      </c>
    </row>
    <row r="808" spans="1:24" s="66" customFormat="1" x14ac:dyDescent="0.25">
      <c r="A808" s="51"/>
      <c r="B808" s="91" t="str">
        <f>IFERROR(VLOOKUP(A808,Lookup!A:B,2,0),"")</f>
        <v/>
      </c>
      <c r="C808" s="92" t="str">
        <f>IFERROR(VLOOKUP(A808,Lookup!A:C,3,0),"")</f>
        <v/>
      </c>
      <c r="D808" s="54"/>
      <c r="E808" s="54"/>
      <c r="F808" s="54"/>
      <c r="G808" s="72"/>
      <c r="H808" s="54"/>
      <c r="I808" s="54"/>
      <c r="J808" s="106">
        <f>VLOOKUP(A808&amp;G808,Lookup!J:N,5,0)</f>
        <v>0</v>
      </c>
      <c r="K808" s="115"/>
      <c r="L808" s="54"/>
      <c r="M808" s="54"/>
      <c r="N808" s="54"/>
      <c r="O808" s="112">
        <v>33.3923611111111</v>
      </c>
      <c r="P808" s="110" t="str">
        <f t="shared" si="58"/>
        <v/>
      </c>
      <c r="Q808" s="54"/>
      <c r="R808" s="87" t="str">
        <f t="shared" si="60"/>
        <v/>
      </c>
      <c r="S808" s="87" t="str">
        <f t="shared" si="61"/>
        <v/>
      </c>
      <c r="T808" s="54"/>
      <c r="U808" s="54"/>
      <c r="V808" s="54"/>
      <c r="W808" s="54"/>
      <c r="X808" s="69" t="str">
        <f t="shared" si="59"/>
        <v>D</v>
      </c>
    </row>
    <row r="809" spans="1:24" s="66" customFormat="1" x14ac:dyDescent="0.25">
      <c r="A809" s="51"/>
      <c r="B809" s="91" t="str">
        <f>IFERROR(VLOOKUP(A809,Lookup!A:B,2,0),"")</f>
        <v/>
      </c>
      <c r="C809" s="92" t="str">
        <f>IFERROR(VLOOKUP(A809,Lookup!A:C,3,0),"")</f>
        <v/>
      </c>
      <c r="D809" s="54"/>
      <c r="E809" s="54"/>
      <c r="F809" s="54"/>
      <c r="G809" s="72"/>
      <c r="H809" s="54"/>
      <c r="I809" s="54"/>
      <c r="J809" s="106">
        <f>VLOOKUP(A809&amp;G809,Lookup!J:N,5,0)</f>
        <v>0</v>
      </c>
      <c r="K809" s="115"/>
      <c r="L809" s="54"/>
      <c r="M809" s="54"/>
      <c r="N809" s="54"/>
      <c r="O809" s="112">
        <v>33.4340277777778</v>
      </c>
      <c r="P809" s="110" t="str">
        <f t="shared" si="58"/>
        <v/>
      </c>
      <c r="Q809" s="54"/>
      <c r="R809" s="87" t="str">
        <f t="shared" si="60"/>
        <v/>
      </c>
      <c r="S809" s="87" t="str">
        <f t="shared" si="61"/>
        <v/>
      </c>
      <c r="T809" s="54"/>
      <c r="U809" s="54"/>
      <c r="V809" s="54"/>
      <c r="W809" s="54"/>
      <c r="X809" s="69" t="str">
        <f t="shared" si="59"/>
        <v>D</v>
      </c>
    </row>
    <row r="810" spans="1:24" s="66" customFormat="1" x14ac:dyDescent="0.25">
      <c r="A810" s="51"/>
      <c r="B810" s="91" t="str">
        <f>IFERROR(VLOOKUP(A810,Lookup!A:B,2,0),"")</f>
        <v/>
      </c>
      <c r="C810" s="92" t="str">
        <f>IFERROR(VLOOKUP(A810,Lookup!A:C,3,0),"")</f>
        <v/>
      </c>
      <c r="D810" s="54"/>
      <c r="E810" s="54"/>
      <c r="F810" s="54"/>
      <c r="G810" s="72"/>
      <c r="H810" s="54"/>
      <c r="I810" s="54"/>
      <c r="J810" s="106">
        <f>VLOOKUP(A810&amp;G810,Lookup!J:N,5,0)</f>
        <v>0</v>
      </c>
      <c r="K810" s="115"/>
      <c r="L810" s="54"/>
      <c r="M810" s="54"/>
      <c r="N810" s="54"/>
      <c r="O810" s="112">
        <v>33.4756944444444</v>
      </c>
      <c r="P810" s="110" t="str">
        <f t="shared" si="58"/>
        <v/>
      </c>
      <c r="Q810" s="54"/>
      <c r="R810" s="87" t="str">
        <f t="shared" si="60"/>
        <v/>
      </c>
      <c r="S810" s="87" t="str">
        <f t="shared" si="61"/>
        <v/>
      </c>
      <c r="T810" s="54"/>
      <c r="U810" s="54"/>
      <c r="V810" s="54"/>
      <c r="W810" s="54"/>
      <c r="X810" s="69" t="str">
        <f t="shared" si="59"/>
        <v>D</v>
      </c>
    </row>
    <row r="811" spans="1:24" s="66" customFormat="1" x14ac:dyDescent="0.25">
      <c r="A811" s="51"/>
      <c r="B811" s="91" t="str">
        <f>IFERROR(VLOOKUP(A811,Lookup!A:B,2,0),"")</f>
        <v/>
      </c>
      <c r="C811" s="92" t="str">
        <f>IFERROR(VLOOKUP(A811,Lookup!A:C,3,0),"")</f>
        <v/>
      </c>
      <c r="D811" s="54"/>
      <c r="E811" s="54"/>
      <c r="F811" s="54"/>
      <c r="G811" s="72"/>
      <c r="H811" s="54"/>
      <c r="I811" s="54"/>
      <c r="J811" s="106">
        <f>VLOOKUP(A811&amp;G811,Lookup!J:N,5,0)</f>
        <v>0</v>
      </c>
      <c r="K811" s="115"/>
      <c r="L811" s="54"/>
      <c r="M811" s="54"/>
      <c r="N811" s="54"/>
      <c r="O811" s="112">
        <v>33.5173611111111</v>
      </c>
      <c r="P811" s="110" t="str">
        <f t="shared" si="58"/>
        <v/>
      </c>
      <c r="Q811" s="54"/>
      <c r="R811" s="87" t="str">
        <f t="shared" si="60"/>
        <v/>
      </c>
      <c r="S811" s="87" t="str">
        <f t="shared" si="61"/>
        <v/>
      </c>
      <c r="T811" s="54"/>
      <c r="U811" s="54"/>
      <c r="V811" s="54"/>
      <c r="W811" s="54"/>
      <c r="X811" s="69" t="str">
        <f t="shared" si="59"/>
        <v>D</v>
      </c>
    </row>
    <row r="812" spans="1:24" s="66" customFormat="1" x14ac:dyDescent="0.25">
      <c r="A812" s="51"/>
      <c r="B812" s="91" t="str">
        <f>IFERROR(VLOOKUP(A812,Lookup!A:B,2,0),"")</f>
        <v/>
      </c>
      <c r="C812" s="92" t="str">
        <f>IFERROR(VLOOKUP(A812,Lookup!A:C,3,0),"")</f>
        <v/>
      </c>
      <c r="D812" s="54"/>
      <c r="E812" s="54"/>
      <c r="F812" s="54"/>
      <c r="G812" s="72"/>
      <c r="H812" s="54"/>
      <c r="I812" s="54"/>
      <c r="J812" s="106">
        <f>VLOOKUP(A812&amp;G812,Lookup!J:N,5,0)</f>
        <v>0</v>
      </c>
      <c r="K812" s="115"/>
      <c r="L812" s="54"/>
      <c r="M812" s="54"/>
      <c r="N812" s="54"/>
      <c r="O812" s="112">
        <v>33.5590277777778</v>
      </c>
      <c r="P812" s="110" t="str">
        <f t="shared" si="58"/>
        <v/>
      </c>
      <c r="Q812" s="54"/>
      <c r="R812" s="87" t="str">
        <f t="shared" si="60"/>
        <v/>
      </c>
      <c r="S812" s="87" t="str">
        <f t="shared" si="61"/>
        <v/>
      </c>
      <c r="T812" s="54"/>
      <c r="U812" s="54"/>
      <c r="V812" s="54"/>
      <c r="W812" s="54"/>
      <c r="X812" s="69" t="str">
        <f t="shared" si="59"/>
        <v>D</v>
      </c>
    </row>
    <row r="813" spans="1:24" s="66" customFormat="1" x14ac:dyDescent="0.25">
      <c r="A813" s="51"/>
      <c r="B813" s="91" t="str">
        <f>IFERROR(VLOOKUP(A813,Lookup!A:B,2,0),"")</f>
        <v/>
      </c>
      <c r="C813" s="92" t="str">
        <f>IFERROR(VLOOKUP(A813,Lookup!A:C,3,0),"")</f>
        <v/>
      </c>
      <c r="D813" s="54"/>
      <c r="E813" s="54"/>
      <c r="F813" s="54"/>
      <c r="G813" s="72"/>
      <c r="H813" s="54"/>
      <c r="I813" s="54"/>
      <c r="J813" s="106">
        <f>VLOOKUP(A813&amp;G813,Lookup!J:N,5,0)</f>
        <v>0</v>
      </c>
      <c r="K813" s="115"/>
      <c r="L813" s="54"/>
      <c r="M813" s="54"/>
      <c r="N813" s="54"/>
      <c r="O813" s="112">
        <v>33.6006944444444</v>
      </c>
      <c r="P813" s="110" t="str">
        <f t="shared" si="58"/>
        <v/>
      </c>
      <c r="Q813" s="54"/>
      <c r="R813" s="87" t="str">
        <f t="shared" si="60"/>
        <v/>
      </c>
      <c r="S813" s="87" t="str">
        <f t="shared" si="61"/>
        <v/>
      </c>
      <c r="T813" s="54"/>
      <c r="U813" s="54"/>
      <c r="V813" s="54"/>
      <c r="W813" s="54"/>
      <c r="X813" s="69" t="str">
        <f t="shared" si="59"/>
        <v>D</v>
      </c>
    </row>
    <row r="814" spans="1:24" s="66" customFormat="1" x14ac:dyDescent="0.25">
      <c r="A814" s="51"/>
      <c r="B814" s="91" t="str">
        <f>IFERROR(VLOOKUP(A814,Lookup!A:B,2,0),"")</f>
        <v/>
      </c>
      <c r="C814" s="92" t="str">
        <f>IFERROR(VLOOKUP(A814,Lookup!A:C,3,0),"")</f>
        <v/>
      </c>
      <c r="D814" s="54"/>
      <c r="E814" s="54"/>
      <c r="F814" s="54"/>
      <c r="G814" s="72"/>
      <c r="H814" s="54"/>
      <c r="I814" s="54"/>
      <c r="J814" s="106">
        <f>VLOOKUP(A814&amp;G814,Lookup!J:N,5,0)</f>
        <v>0</v>
      </c>
      <c r="K814" s="115"/>
      <c r="L814" s="54"/>
      <c r="M814" s="54"/>
      <c r="N814" s="54"/>
      <c r="O814" s="112">
        <v>33.6423611111111</v>
      </c>
      <c r="P814" s="110" t="str">
        <f t="shared" si="58"/>
        <v/>
      </c>
      <c r="Q814" s="54"/>
      <c r="R814" s="87" t="str">
        <f t="shared" si="60"/>
        <v/>
      </c>
      <c r="S814" s="87" t="str">
        <f t="shared" si="61"/>
        <v/>
      </c>
      <c r="T814" s="54"/>
      <c r="U814" s="54"/>
      <c r="V814" s="54"/>
      <c r="W814" s="54"/>
      <c r="X814" s="69" t="str">
        <f t="shared" si="59"/>
        <v>D</v>
      </c>
    </row>
    <row r="815" spans="1:24" s="66" customFormat="1" x14ac:dyDescent="0.25">
      <c r="A815" s="51"/>
      <c r="B815" s="91" t="str">
        <f>IFERROR(VLOOKUP(A815,Lookup!A:B,2,0),"")</f>
        <v/>
      </c>
      <c r="C815" s="92" t="str">
        <f>IFERROR(VLOOKUP(A815,Lookup!A:C,3,0),"")</f>
        <v/>
      </c>
      <c r="D815" s="54"/>
      <c r="E815" s="54"/>
      <c r="F815" s="54"/>
      <c r="G815" s="72"/>
      <c r="H815" s="54"/>
      <c r="I815" s="54"/>
      <c r="J815" s="106">
        <f>VLOOKUP(A815&amp;G815,Lookup!J:N,5,0)</f>
        <v>0</v>
      </c>
      <c r="K815" s="115"/>
      <c r="L815" s="54"/>
      <c r="M815" s="54"/>
      <c r="N815" s="54"/>
      <c r="O815" s="112">
        <v>33.6840277777778</v>
      </c>
      <c r="P815" s="110" t="str">
        <f t="shared" si="58"/>
        <v/>
      </c>
      <c r="Q815" s="54"/>
      <c r="R815" s="87" t="str">
        <f t="shared" si="60"/>
        <v/>
      </c>
      <c r="S815" s="87" t="str">
        <f t="shared" si="61"/>
        <v/>
      </c>
      <c r="T815" s="54"/>
      <c r="U815" s="54"/>
      <c r="V815" s="54"/>
      <c r="W815" s="54"/>
      <c r="X815" s="69" t="str">
        <f t="shared" si="59"/>
        <v>D</v>
      </c>
    </row>
    <row r="816" spans="1:24" s="66" customFormat="1" x14ac:dyDescent="0.25">
      <c r="A816" s="51"/>
      <c r="B816" s="91" t="str">
        <f>IFERROR(VLOOKUP(A816,Lookup!A:B,2,0),"")</f>
        <v/>
      </c>
      <c r="C816" s="92" t="str">
        <f>IFERROR(VLOOKUP(A816,Lookup!A:C,3,0),"")</f>
        <v/>
      </c>
      <c r="D816" s="54"/>
      <c r="E816" s="54"/>
      <c r="F816" s="54"/>
      <c r="G816" s="72"/>
      <c r="H816" s="54"/>
      <c r="I816" s="54"/>
      <c r="J816" s="106">
        <f>VLOOKUP(A816&amp;G816,Lookup!J:N,5,0)</f>
        <v>0</v>
      </c>
      <c r="K816" s="115"/>
      <c r="L816" s="54"/>
      <c r="M816" s="54"/>
      <c r="N816" s="54"/>
      <c r="O816" s="112">
        <v>33.7256944444444</v>
      </c>
      <c r="P816" s="110" t="str">
        <f t="shared" si="58"/>
        <v/>
      </c>
      <c r="Q816" s="54"/>
      <c r="R816" s="87" t="str">
        <f t="shared" si="60"/>
        <v/>
      </c>
      <c r="S816" s="87" t="str">
        <f t="shared" si="61"/>
        <v/>
      </c>
      <c r="T816" s="54"/>
      <c r="U816" s="54"/>
      <c r="V816" s="54"/>
      <c r="W816" s="54"/>
      <c r="X816" s="69" t="str">
        <f t="shared" si="59"/>
        <v>D</v>
      </c>
    </row>
    <row r="817" spans="1:24" s="66" customFormat="1" x14ac:dyDescent="0.25">
      <c r="A817" s="51"/>
      <c r="B817" s="91" t="str">
        <f>IFERROR(VLOOKUP(A817,Lookup!A:B,2,0),"")</f>
        <v/>
      </c>
      <c r="C817" s="92" t="str">
        <f>IFERROR(VLOOKUP(A817,Lookup!A:C,3,0),"")</f>
        <v/>
      </c>
      <c r="D817" s="54"/>
      <c r="E817" s="54"/>
      <c r="F817" s="54"/>
      <c r="G817" s="72"/>
      <c r="H817" s="54"/>
      <c r="I817" s="54"/>
      <c r="J817" s="106">
        <f>VLOOKUP(A817&amp;G817,Lookup!J:N,5,0)</f>
        <v>0</v>
      </c>
      <c r="K817" s="115"/>
      <c r="L817" s="54"/>
      <c r="M817" s="54"/>
      <c r="N817" s="54"/>
      <c r="O817" s="112">
        <v>33.7673611111111</v>
      </c>
      <c r="P817" s="110" t="str">
        <f t="shared" si="58"/>
        <v/>
      </c>
      <c r="Q817" s="54"/>
      <c r="R817" s="87" t="str">
        <f t="shared" si="60"/>
        <v/>
      </c>
      <c r="S817" s="87" t="str">
        <f t="shared" si="61"/>
        <v/>
      </c>
      <c r="T817" s="54"/>
      <c r="U817" s="54"/>
      <c r="V817" s="54"/>
      <c r="W817" s="54"/>
      <c r="X817" s="69" t="str">
        <f t="shared" si="59"/>
        <v>D</v>
      </c>
    </row>
    <row r="818" spans="1:24" s="66" customFormat="1" x14ac:dyDescent="0.25">
      <c r="A818" s="51"/>
      <c r="B818" s="91" t="str">
        <f>IFERROR(VLOOKUP(A818,Lookup!A:B,2,0),"")</f>
        <v/>
      </c>
      <c r="C818" s="92" t="str">
        <f>IFERROR(VLOOKUP(A818,Lookup!A:C,3,0),"")</f>
        <v/>
      </c>
      <c r="D818" s="54"/>
      <c r="E818" s="54"/>
      <c r="F818" s="54"/>
      <c r="G818" s="72"/>
      <c r="H818" s="54"/>
      <c r="I818" s="54"/>
      <c r="J818" s="106">
        <f>VLOOKUP(A818&amp;G818,Lookup!J:N,5,0)</f>
        <v>0</v>
      </c>
      <c r="K818" s="115"/>
      <c r="L818" s="54"/>
      <c r="M818" s="54"/>
      <c r="N818" s="54"/>
      <c r="O818" s="112">
        <v>33.8090277777778</v>
      </c>
      <c r="P818" s="110" t="str">
        <f t="shared" si="58"/>
        <v/>
      </c>
      <c r="Q818" s="54"/>
      <c r="R818" s="87" t="str">
        <f t="shared" si="60"/>
        <v/>
      </c>
      <c r="S818" s="87" t="str">
        <f t="shared" si="61"/>
        <v/>
      </c>
      <c r="T818" s="54"/>
      <c r="U818" s="54"/>
      <c r="V818" s="54"/>
      <c r="W818" s="54"/>
      <c r="X818" s="69" t="str">
        <f t="shared" si="59"/>
        <v>D</v>
      </c>
    </row>
    <row r="819" spans="1:24" s="66" customFormat="1" x14ac:dyDescent="0.25">
      <c r="A819" s="51"/>
      <c r="B819" s="91" t="str">
        <f>IFERROR(VLOOKUP(A819,Lookup!A:B,2,0),"")</f>
        <v/>
      </c>
      <c r="C819" s="92" t="str">
        <f>IFERROR(VLOOKUP(A819,Lookup!A:C,3,0),"")</f>
        <v/>
      </c>
      <c r="D819" s="54"/>
      <c r="E819" s="54"/>
      <c r="F819" s="54"/>
      <c r="G819" s="72"/>
      <c r="H819" s="54"/>
      <c r="I819" s="54"/>
      <c r="J819" s="106">
        <f>VLOOKUP(A819&amp;G819,Lookup!J:N,5,0)</f>
        <v>0</v>
      </c>
      <c r="K819" s="115"/>
      <c r="L819" s="54"/>
      <c r="M819" s="54"/>
      <c r="N819" s="54"/>
      <c r="O819" s="112">
        <v>33.8506944444444</v>
      </c>
      <c r="P819" s="110" t="str">
        <f t="shared" si="58"/>
        <v/>
      </c>
      <c r="Q819" s="54"/>
      <c r="R819" s="87" t="str">
        <f t="shared" si="60"/>
        <v/>
      </c>
      <c r="S819" s="87" t="str">
        <f t="shared" si="61"/>
        <v/>
      </c>
      <c r="T819" s="54"/>
      <c r="U819" s="54"/>
      <c r="V819" s="54"/>
      <c r="W819" s="54"/>
      <c r="X819" s="69" t="str">
        <f t="shared" si="59"/>
        <v>D</v>
      </c>
    </row>
    <row r="820" spans="1:24" s="66" customFormat="1" x14ac:dyDescent="0.25">
      <c r="A820" s="51"/>
      <c r="B820" s="91" t="str">
        <f>IFERROR(VLOOKUP(A820,Lookup!A:B,2,0),"")</f>
        <v/>
      </c>
      <c r="C820" s="92" t="str">
        <f>IFERROR(VLOOKUP(A820,Lookup!A:C,3,0),"")</f>
        <v/>
      </c>
      <c r="D820" s="54"/>
      <c r="E820" s="54"/>
      <c r="F820" s="54"/>
      <c r="G820" s="72"/>
      <c r="H820" s="54"/>
      <c r="I820" s="54"/>
      <c r="J820" s="106">
        <f>VLOOKUP(A820&amp;G820,Lookup!J:N,5,0)</f>
        <v>0</v>
      </c>
      <c r="K820" s="115"/>
      <c r="L820" s="54"/>
      <c r="M820" s="54"/>
      <c r="N820" s="54"/>
      <c r="O820" s="112">
        <v>33.8923611111111</v>
      </c>
      <c r="P820" s="110" t="str">
        <f t="shared" si="58"/>
        <v/>
      </c>
      <c r="Q820" s="54"/>
      <c r="R820" s="87" t="str">
        <f t="shared" si="60"/>
        <v/>
      </c>
      <c r="S820" s="87" t="str">
        <f t="shared" si="61"/>
        <v/>
      </c>
      <c r="T820" s="54"/>
      <c r="U820" s="54"/>
      <c r="V820" s="54"/>
      <c r="W820" s="54"/>
      <c r="X820" s="69" t="str">
        <f t="shared" si="59"/>
        <v>D</v>
      </c>
    </row>
    <row r="821" spans="1:24" s="66" customFormat="1" x14ac:dyDescent="0.25">
      <c r="A821" s="51"/>
      <c r="B821" s="91" t="str">
        <f>IFERROR(VLOOKUP(A821,Lookup!A:B,2,0),"")</f>
        <v/>
      </c>
      <c r="C821" s="92" t="str">
        <f>IFERROR(VLOOKUP(A821,Lookup!A:C,3,0),"")</f>
        <v/>
      </c>
      <c r="D821" s="54"/>
      <c r="E821" s="54"/>
      <c r="F821" s="54"/>
      <c r="G821" s="72"/>
      <c r="H821" s="54"/>
      <c r="I821" s="54"/>
      <c r="J821" s="106">
        <f>VLOOKUP(A821&amp;G821,Lookup!J:N,5,0)</f>
        <v>0</v>
      </c>
      <c r="K821" s="115"/>
      <c r="L821" s="54"/>
      <c r="M821" s="54"/>
      <c r="N821" s="54"/>
      <c r="O821" s="112">
        <v>33.9340277777778</v>
      </c>
      <c r="P821" s="110" t="str">
        <f t="shared" si="58"/>
        <v/>
      </c>
      <c r="Q821" s="54"/>
      <c r="R821" s="87" t="str">
        <f t="shared" si="60"/>
        <v/>
      </c>
      <c r="S821" s="87" t="str">
        <f t="shared" si="61"/>
        <v/>
      </c>
      <c r="T821" s="54"/>
      <c r="U821" s="54"/>
      <c r="V821" s="54"/>
      <c r="W821" s="54"/>
      <c r="X821" s="69" t="str">
        <f t="shared" si="59"/>
        <v>D</v>
      </c>
    </row>
    <row r="822" spans="1:24" s="66" customFormat="1" x14ac:dyDescent="0.25">
      <c r="A822" s="51"/>
      <c r="B822" s="91" t="str">
        <f>IFERROR(VLOOKUP(A822,Lookup!A:B,2,0),"")</f>
        <v/>
      </c>
      <c r="C822" s="92" t="str">
        <f>IFERROR(VLOOKUP(A822,Lookup!A:C,3,0),"")</f>
        <v/>
      </c>
      <c r="D822" s="54"/>
      <c r="E822" s="54"/>
      <c r="F822" s="54"/>
      <c r="G822" s="72"/>
      <c r="H822" s="54"/>
      <c r="I822" s="54"/>
      <c r="J822" s="106">
        <f>VLOOKUP(A822&amp;G822,Lookup!J:N,5,0)</f>
        <v>0</v>
      </c>
      <c r="K822" s="115"/>
      <c r="L822" s="54"/>
      <c r="M822" s="54"/>
      <c r="N822" s="54"/>
      <c r="O822" s="112">
        <v>33.9756944444444</v>
      </c>
      <c r="P822" s="110" t="str">
        <f t="shared" si="58"/>
        <v/>
      </c>
      <c r="Q822" s="54"/>
      <c r="R822" s="87" t="str">
        <f t="shared" si="60"/>
        <v/>
      </c>
      <c r="S822" s="87" t="str">
        <f t="shared" si="61"/>
        <v/>
      </c>
      <c r="T822" s="54"/>
      <c r="U822" s="54"/>
      <c r="V822" s="54"/>
      <c r="W822" s="54"/>
      <c r="X822" s="69" t="str">
        <f t="shared" si="59"/>
        <v>D</v>
      </c>
    </row>
    <row r="823" spans="1:24" s="66" customFormat="1" x14ac:dyDescent="0.25">
      <c r="A823" s="51"/>
      <c r="B823" s="91" t="str">
        <f>IFERROR(VLOOKUP(A823,Lookup!A:B,2,0),"")</f>
        <v/>
      </c>
      <c r="C823" s="92" t="str">
        <f>IFERROR(VLOOKUP(A823,Lookup!A:C,3,0),"")</f>
        <v/>
      </c>
      <c r="D823" s="54"/>
      <c r="E823" s="54"/>
      <c r="F823" s="54"/>
      <c r="G823" s="72"/>
      <c r="H823" s="54"/>
      <c r="I823" s="54"/>
      <c r="J823" s="106">
        <f>VLOOKUP(A823&amp;G823,Lookup!J:N,5,0)</f>
        <v>0</v>
      </c>
      <c r="K823" s="115"/>
      <c r="L823" s="54"/>
      <c r="M823" s="54"/>
      <c r="N823" s="54"/>
      <c r="O823" s="112">
        <v>34.0173611111111</v>
      </c>
      <c r="P823" s="110" t="str">
        <f t="shared" si="58"/>
        <v/>
      </c>
      <c r="Q823" s="54"/>
      <c r="R823" s="87" t="str">
        <f t="shared" si="60"/>
        <v/>
      </c>
      <c r="S823" s="87" t="str">
        <f t="shared" si="61"/>
        <v/>
      </c>
      <c r="T823" s="54"/>
      <c r="U823" s="54"/>
      <c r="V823" s="54"/>
      <c r="W823" s="54"/>
      <c r="X823" s="69" t="str">
        <f t="shared" si="59"/>
        <v>D</v>
      </c>
    </row>
    <row r="824" spans="1:24" s="66" customFormat="1" x14ac:dyDescent="0.25">
      <c r="A824" s="51"/>
      <c r="B824" s="91" t="str">
        <f>IFERROR(VLOOKUP(A824,Lookup!A:B,2,0),"")</f>
        <v/>
      </c>
      <c r="C824" s="92" t="str">
        <f>IFERROR(VLOOKUP(A824,Lookup!A:C,3,0),"")</f>
        <v/>
      </c>
      <c r="D824" s="54"/>
      <c r="E824" s="54"/>
      <c r="F824" s="54"/>
      <c r="G824" s="72"/>
      <c r="H824" s="54"/>
      <c r="I824" s="54"/>
      <c r="J824" s="106">
        <f>VLOOKUP(A824&amp;G824,Lookup!J:N,5,0)</f>
        <v>0</v>
      </c>
      <c r="K824" s="115"/>
      <c r="L824" s="54"/>
      <c r="M824" s="54"/>
      <c r="N824" s="54"/>
      <c r="O824" s="112">
        <v>34.0590277777778</v>
      </c>
      <c r="P824" s="110" t="str">
        <f t="shared" si="58"/>
        <v/>
      </c>
      <c r="Q824" s="54"/>
      <c r="R824" s="87" t="str">
        <f t="shared" si="60"/>
        <v/>
      </c>
      <c r="S824" s="87" t="str">
        <f t="shared" si="61"/>
        <v/>
      </c>
      <c r="T824" s="54"/>
      <c r="U824" s="54"/>
      <c r="V824" s="54"/>
      <c r="W824" s="54"/>
      <c r="X824" s="69" t="str">
        <f t="shared" si="59"/>
        <v>D</v>
      </c>
    </row>
    <row r="825" spans="1:24" s="66" customFormat="1" x14ac:dyDescent="0.25">
      <c r="A825" s="51"/>
      <c r="B825" s="91" t="str">
        <f>IFERROR(VLOOKUP(A825,Lookup!A:B,2,0),"")</f>
        <v/>
      </c>
      <c r="C825" s="92" t="str">
        <f>IFERROR(VLOOKUP(A825,Lookup!A:C,3,0),"")</f>
        <v/>
      </c>
      <c r="D825" s="54"/>
      <c r="E825" s="54"/>
      <c r="F825" s="54"/>
      <c r="G825" s="72"/>
      <c r="H825" s="54"/>
      <c r="I825" s="54"/>
      <c r="J825" s="106">
        <f>VLOOKUP(A825&amp;G825,Lookup!J:N,5,0)</f>
        <v>0</v>
      </c>
      <c r="K825" s="115"/>
      <c r="L825" s="54"/>
      <c r="M825" s="54"/>
      <c r="N825" s="54"/>
      <c r="O825" s="112">
        <v>34.1006944444444</v>
      </c>
      <c r="P825" s="110" t="str">
        <f t="shared" si="58"/>
        <v/>
      </c>
      <c r="Q825" s="54"/>
      <c r="R825" s="87" t="str">
        <f t="shared" si="60"/>
        <v/>
      </c>
      <c r="S825" s="87" t="str">
        <f t="shared" si="61"/>
        <v/>
      </c>
      <c r="T825" s="54"/>
      <c r="U825" s="54"/>
      <c r="V825" s="54"/>
      <c r="W825" s="54"/>
      <c r="X825" s="69" t="str">
        <f t="shared" si="59"/>
        <v>D</v>
      </c>
    </row>
    <row r="826" spans="1:24" s="66" customFormat="1" x14ac:dyDescent="0.25">
      <c r="A826" s="51"/>
      <c r="B826" s="91" t="str">
        <f>IFERROR(VLOOKUP(A826,Lookup!A:B,2,0),"")</f>
        <v/>
      </c>
      <c r="C826" s="92" t="str">
        <f>IFERROR(VLOOKUP(A826,Lookup!A:C,3,0),"")</f>
        <v/>
      </c>
      <c r="D826" s="54"/>
      <c r="E826" s="54"/>
      <c r="F826" s="54"/>
      <c r="G826" s="72"/>
      <c r="H826" s="54"/>
      <c r="I826" s="54"/>
      <c r="J826" s="106">
        <f>VLOOKUP(A826&amp;G826,Lookup!J:N,5,0)</f>
        <v>0</v>
      </c>
      <c r="K826" s="115"/>
      <c r="L826" s="54"/>
      <c r="M826" s="54"/>
      <c r="N826" s="54"/>
      <c r="O826" s="112">
        <v>34.1423611111111</v>
      </c>
      <c r="P826" s="110" t="str">
        <f t="shared" si="58"/>
        <v/>
      </c>
      <c r="Q826" s="54"/>
      <c r="R826" s="87" t="str">
        <f t="shared" si="60"/>
        <v/>
      </c>
      <c r="S826" s="87" t="str">
        <f t="shared" si="61"/>
        <v/>
      </c>
      <c r="T826" s="54"/>
      <c r="U826" s="54"/>
      <c r="V826" s="54"/>
      <c r="W826" s="54"/>
      <c r="X826" s="69" t="str">
        <f t="shared" si="59"/>
        <v>D</v>
      </c>
    </row>
    <row r="827" spans="1:24" s="66" customFormat="1" x14ac:dyDescent="0.25">
      <c r="A827" s="51"/>
      <c r="B827" s="91" t="str">
        <f>IFERROR(VLOOKUP(A827,Lookup!A:B,2,0),"")</f>
        <v/>
      </c>
      <c r="C827" s="92" t="str">
        <f>IFERROR(VLOOKUP(A827,Lookup!A:C,3,0),"")</f>
        <v/>
      </c>
      <c r="D827" s="54"/>
      <c r="E827" s="54"/>
      <c r="F827" s="54"/>
      <c r="G827" s="72"/>
      <c r="H827" s="54"/>
      <c r="I827" s="54"/>
      <c r="J827" s="106">
        <f>VLOOKUP(A827&amp;G827,Lookup!J:N,5,0)</f>
        <v>0</v>
      </c>
      <c r="K827" s="115"/>
      <c r="L827" s="54"/>
      <c r="M827" s="54"/>
      <c r="N827" s="54"/>
      <c r="O827" s="112">
        <v>34.1840277777778</v>
      </c>
      <c r="P827" s="110" t="str">
        <f t="shared" si="58"/>
        <v/>
      </c>
      <c r="Q827" s="54"/>
      <c r="R827" s="87" t="str">
        <f t="shared" si="60"/>
        <v/>
      </c>
      <c r="S827" s="87" t="str">
        <f t="shared" si="61"/>
        <v/>
      </c>
      <c r="T827" s="54"/>
      <c r="U827" s="54"/>
      <c r="V827" s="54"/>
      <c r="W827" s="54"/>
      <c r="X827" s="69" t="str">
        <f t="shared" si="59"/>
        <v>D</v>
      </c>
    </row>
    <row r="828" spans="1:24" s="66" customFormat="1" x14ac:dyDescent="0.25">
      <c r="A828" s="51"/>
      <c r="B828" s="91" t="str">
        <f>IFERROR(VLOOKUP(A828,Lookup!A:B,2,0),"")</f>
        <v/>
      </c>
      <c r="C828" s="92" t="str">
        <f>IFERROR(VLOOKUP(A828,Lookup!A:C,3,0),"")</f>
        <v/>
      </c>
      <c r="D828" s="54"/>
      <c r="E828" s="54"/>
      <c r="F828" s="54"/>
      <c r="G828" s="72"/>
      <c r="H828" s="54"/>
      <c r="I828" s="54"/>
      <c r="J828" s="106">
        <f>VLOOKUP(A828&amp;G828,Lookup!J:N,5,0)</f>
        <v>0</v>
      </c>
      <c r="K828" s="115"/>
      <c r="L828" s="54"/>
      <c r="M828" s="54"/>
      <c r="N828" s="54"/>
      <c r="O828" s="112">
        <v>34.2256944444444</v>
      </c>
      <c r="P828" s="110" t="str">
        <f t="shared" si="58"/>
        <v/>
      </c>
      <c r="Q828" s="54"/>
      <c r="R828" s="87" t="str">
        <f t="shared" si="60"/>
        <v/>
      </c>
      <c r="S828" s="87" t="str">
        <f t="shared" si="61"/>
        <v/>
      </c>
      <c r="T828" s="54"/>
      <c r="U828" s="54"/>
      <c r="V828" s="54"/>
      <c r="W828" s="54"/>
      <c r="X828" s="69" t="str">
        <f t="shared" si="59"/>
        <v>D</v>
      </c>
    </row>
    <row r="829" spans="1:24" s="66" customFormat="1" x14ac:dyDescent="0.25">
      <c r="A829" s="51"/>
      <c r="B829" s="91" t="str">
        <f>IFERROR(VLOOKUP(A829,Lookup!A:B,2,0),"")</f>
        <v/>
      </c>
      <c r="C829" s="92" t="str">
        <f>IFERROR(VLOOKUP(A829,Lookup!A:C,3,0),"")</f>
        <v/>
      </c>
      <c r="D829" s="54"/>
      <c r="E829" s="54"/>
      <c r="F829" s="54"/>
      <c r="G829" s="72"/>
      <c r="H829" s="54"/>
      <c r="I829" s="54"/>
      <c r="J829" s="106">
        <f>VLOOKUP(A829&amp;G829,Lookup!J:N,5,0)</f>
        <v>0</v>
      </c>
      <c r="K829" s="115"/>
      <c r="L829" s="54"/>
      <c r="M829" s="54"/>
      <c r="N829" s="54"/>
      <c r="O829" s="112">
        <v>34.2673611111111</v>
      </c>
      <c r="P829" s="110" t="str">
        <f t="shared" si="58"/>
        <v/>
      </c>
      <c r="Q829" s="54"/>
      <c r="R829" s="87" t="str">
        <f t="shared" si="60"/>
        <v/>
      </c>
      <c r="S829" s="87" t="str">
        <f t="shared" si="61"/>
        <v/>
      </c>
      <c r="T829" s="54"/>
      <c r="U829" s="54"/>
      <c r="V829" s="54"/>
      <c r="W829" s="54"/>
      <c r="X829" s="69" t="str">
        <f t="shared" si="59"/>
        <v>D</v>
      </c>
    </row>
    <row r="830" spans="1:24" s="66" customFormat="1" x14ac:dyDescent="0.25">
      <c r="A830" s="51"/>
      <c r="B830" s="91" t="str">
        <f>IFERROR(VLOOKUP(A830,Lookup!A:B,2,0),"")</f>
        <v/>
      </c>
      <c r="C830" s="92" t="str">
        <f>IFERROR(VLOOKUP(A830,Lookup!A:C,3,0),"")</f>
        <v/>
      </c>
      <c r="D830" s="54"/>
      <c r="E830" s="54"/>
      <c r="F830" s="54"/>
      <c r="G830" s="72"/>
      <c r="H830" s="54"/>
      <c r="I830" s="54"/>
      <c r="J830" s="106">
        <f>VLOOKUP(A830&amp;G830,Lookup!J:N,5,0)</f>
        <v>0</v>
      </c>
      <c r="K830" s="115"/>
      <c r="L830" s="54"/>
      <c r="M830" s="54"/>
      <c r="N830" s="54"/>
      <c r="O830" s="112">
        <v>34.3090277777778</v>
      </c>
      <c r="P830" s="110" t="str">
        <f t="shared" si="58"/>
        <v/>
      </c>
      <c r="Q830" s="54"/>
      <c r="R830" s="87" t="str">
        <f t="shared" si="60"/>
        <v/>
      </c>
      <c r="S830" s="87" t="str">
        <f t="shared" si="61"/>
        <v/>
      </c>
      <c r="T830" s="54"/>
      <c r="U830" s="54"/>
      <c r="V830" s="54"/>
      <c r="W830" s="54"/>
      <c r="X830" s="69" t="str">
        <f t="shared" si="59"/>
        <v>D</v>
      </c>
    </row>
    <row r="831" spans="1:24" s="66" customFormat="1" x14ac:dyDescent="0.25">
      <c r="A831" s="51"/>
      <c r="B831" s="91" t="str">
        <f>IFERROR(VLOOKUP(A831,Lookup!A:B,2,0),"")</f>
        <v/>
      </c>
      <c r="C831" s="92" t="str">
        <f>IFERROR(VLOOKUP(A831,Lookup!A:C,3,0),"")</f>
        <v/>
      </c>
      <c r="D831" s="54"/>
      <c r="E831" s="54"/>
      <c r="F831" s="54"/>
      <c r="G831" s="72"/>
      <c r="H831" s="54"/>
      <c r="I831" s="54"/>
      <c r="J831" s="106">
        <f>VLOOKUP(A831&amp;G831,Lookup!J:N,5,0)</f>
        <v>0</v>
      </c>
      <c r="K831" s="115"/>
      <c r="L831" s="54"/>
      <c r="M831" s="54"/>
      <c r="N831" s="54"/>
      <c r="O831" s="112">
        <v>34.3506944444444</v>
      </c>
      <c r="P831" s="110" t="str">
        <f t="shared" si="58"/>
        <v/>
      </c>
      <c r="Q831" s="54"/>
      <c r="R831" s="87" t="str">
        <f t="shared" si="60"/>
        <v/>
      </c>
      <c r="S831" s="87" t="str">
        <f t="shared" si="61"/>
        <v/>
      </c>
      <c r="T831" s="54"/>
      <c r="U831" s="54"/>
      <c r="V831" s="54"/>
      <c r="W831" s="54"/>
      <c r="X831" s="69" t="str">
        <f t="shared" si="59"/>
        <v>D</v>
      </c>
    </row>
    <row r="832" spans="1:24" s="66" customFormat="1" x14ac:dyDescent="0.25">
      <c r="A832" s="51"/>
      <c r="B832" s="91" t="str">
        <f>IFERROR(VLOOKUP(A832,Lookup!A:B,2,0),"")</f>
        <v/>
      </c>
      <c r="C832" s="92" t="str">
        <f>IFERROR(VLOOKUP(A832,Lookup!A:C,3,0),"")</f>
        <v/>
      </c>
      <c r="D832" s="54"/>
      <c r="E832" s="54"/>
      <c r="F832" s="54"/>
      <c r="G832" s="72"/>
      <c r="H832" s="54"/>
      <c r="I832" s="54"/>
      <c r="J832" s="106">
        <f>VLOOKUP(A832&amp;G832,Lookup!J:N,5,0)</f>
        <v>0</v>
      </c>
      <c r="K832" s="115"/>
      <c r="L832" s="54"/>
      <c r="M832" s="54"/>
      <c r="N832" s="54"/>
      <c r="O832" s="112">
        <v>34.3923611111111</v>
      </c>
      <c r="P832" s="110" t="str">
        <f t="shared" si="58"/>
        <v/>
      </c>
      <c r="Q832" s="54"/>
      <c r="R832" s="87" t="str">
        <f t="shared" si="60"/>
        <v/>
      </c>
      <c r="S832" s="87" t="str">
        <f t="shared" si="61"/>
        <v/>
      </c>
      <c r="T832" s="54"/>
      <c r="U832" s="54"/>
      <c r="V832" s="54"/>
      <c r="W832" s="54"/>
      <c r="X832" s="69" t="str">
        <f t="shared" si="59"/>
        <v>D</v>
      </c>
    </row>
    <row r="833" spans="1:24" s="66" customFormat="1" x14ac:dyDescent="0.25">
      <c r="A833" s="51"/>
      <c r="B833" s="91" t="str">
        <f>IFERROR(VLOOKUP(A833,Lookup!A:B,2,0),"")</f>
        <v/>
      </c>
      <c r="C833" s="92" t="str">
        <f>IFERROR(VLOOKUP(A833,Lookup!A:C,3,0),"")</f>
        <v/>
      </c>
      <c r="D833" s="54"/>
      <c r="E833" s="54"/>
      <c r="F833" s="54"/>
      <c r="G833" s="72"/>
      <c r="H833" s="54"/>
      <c r="I833" s="54"/>
      <c r="J833" s="106">
        <f>VLOOKUP(A833&amp;G833,Lookup!J:N,5,0)</f>
        <v>0</v>
      </c>
      <c r="K833" s="115"/>
      <c r="L833" s="54"/>
      <c r="M833" s="54"/>
      <c r="N833" s="54"/>
      <c r="O833" s="112">
        <v>34.4340277777778</v>
      </c>
      <c r="P833" s="110" t="str">
        <f t="shared" si="58"/>
        <v/>
      </c>
      <c r="Q833" s="54"/>
      <c r="R833" s="87" t="str">
        <f t="shared" si="60"/>
        <v/>
      </c>
      <c r="S833" s="87" t="str">
        <f t="shared" si="61"/>
        <v/>
      </c>
      <c r="T833" s="54"/>
      <c r="U833" s="54"/>
      <c r="V833" s="54"/>
      <c r="W833" s="54"/>
      <c r="X833" s="69" t="str">
        <f t="shared" si="59"/>
        <v>D</v>
      </c>
    </row>
    <row r="834" spans="1:24" s="66" customFormat="1" x14ac:dyDescent="0.25">
      <c r="A834" s="51"/>
      <c r="B834" s="91" t="str">
        <f>IFERROR(VLOOKUP(A834,Lookup!A:B,2,0),"")</f>
        <v/>
      </c>
      <c r="C834" s="92" t="str">
        <f>IFERROR(VLOOKUP(A834,Lookup!A:C,3,0),"")</f>
        <v/>
      </c>
      <c r="D834" s="54"/>
      <c r="E834" s="54"/>
      <c r="F834" s="54"/>
      <c r="G834" s="72"/>
      <c r="H834" s="54"/>
      <c r="I834" s="54"/>
      <c r="J834" s="106">
        <f>VLOOKUP(A834&amp;G834,Lookup!J:N,5,0)</f>
        <v>0</v>
      </c>
      <c r="K834" s="115"/>
      <c r="L834" s="54"/>
      <c r="M834" s="54"/>
      <c r="N834" s="54"/>
      <c r="O834" s="112">
        <v>34.4756944444444</v>
      </c>
      <c r="P834" s="110" t="str">
        <f t="shared" si="58"/>
        <v/>
      </c>
      <c r="Q834" s="54"/>
      <c r="R834" s="87" t="str">
        <f t="shared" si="60"/>
        <v/>
      </c>
      <c r="S834" s="87" t="str">
        <f t="shared" si="61"/>
        <v/>
      </c>
      <c r="T834" s="54"/>
      <c r="U834" s="54"/>
      <c r="V834" s="54"/>
      <c r="W834" s="54"/>
      <c r="X834" s="69" t="str">
        <f t="shared" si="59"/>
        <v>D</v>
      </c>
    </row>
    <row r="835" spans="1:24" s="66" customFormat="1" x14ac:dyDescent="0.25">
      <c r="A835" s="51"/>
      <c r="B835" s="91" t="str">
        <f>IFERROR(VLOOKUP(A835,Lookup!A:B,2,0),"")</f>
        <v/>
      </c>
      <c r="C835" s="92" t="str">
        <f>IFERROR(VLOOKUP(A835,Lookup!A:C,3,0),"")</f>
        <v/>
      </c>
      <c r="D835" s="54"/>
      <c r="E835" s="54"/>
      <c r="F835" s="54"/>
      <c r="G835" s="72"/>
      <c r="H835" s="54"/>
      <c r="I835" s="54"/>
      <c r="J835" s="106">
        <f>VLOOKUP(A835&amp;G835,Lookup!J:N,5,0)</f>
        <v>0</v>
      </c>
      <c r="K835" s="115"/>
      <c r="L835" s="54"/>
      <c r="M835" s="54"/>
      <c r="N835" s="54"/>
      <c r="O835" s="112">
        <v>34.5173611111111</v>
      </c>
      <c r="P835" s="110" t="str">
        <f t="shared" ref="P835:P898" si="62">IF(N835="","",N835+O835)</f>
        <v/>
      </c>
      <c r="Q835" s="54"/>
      <c r="R835" s="87" t="str">
        <f t="shared" si="60"/>
        <v/>
      </c>
      <c r="S835" s="87" t="str">
        <f t="shared" si="61"/>
        <v/>
      </c>
      <c r="T835" s="54"/>
      <c r="U835" s="54"/>
      <c r="V835" s="54"/>
      <c r="W835" s="54"/>
      <c r="X835" s="69" t="str">
        <f t="shared" ref="X835:X898" si="63">IF(I835="SET","A",IF(I835="FREQ","C",IF(I835="","D","B")))</f>
        <v>D</v>
      </c>
    </row>
    <row r="836" spans="1:24" s="66" customFormat="1" x14ac:dyDescent="0.25">
      <c r="A836" s="51"/>
      <c r="B836" s="91" t="str">
        <f>IFERROR(VLOOKUP(A836,Lookup!A:B,2,0),"")</f>
        <v/>
      </c>
      <c r="C836" s="92" t="str">
        <f>IFERROR(VLOOKUP(A836,Lookup!A:C,3,0),"")</f>
        <v/>
      </c>
      <c r="D836" s="54"/>
      <c r="E836" s="54"/>
      <c r="F836" s="54"/>
      <c r="G836" s="72"/>
      <c r="H836" s="54"/>
      <c r="I836" s="54"/>
      <c r="J836" s="106">
        <f>VLOOKUP(A836&amp;G836,Lookup!J:N,5,0)</f>
        <v>0</v>
      </c>
      <c r="K836" s="115"/>
      <c r="L836" s="54"/>
      <c r="M836" s="54"/>
      <c r="N836" s="54"/>
      <c r="O836" s="112">
        <v>34.5590277777778</v>
      </c>
      <c r="P836" s="110" t="str">
        <f t="shared" si="62"/>
        <v/>
      </c>
      <c r="Q836" s="54"/>
      <c r="R836" s="87" t="str">
        <f t="shared" si="60"/>
        <v/>
      </c>
      <c r="S836" s="87" t="str">
        <f t="shared" si="61"/>
        <v/>
      </c>
      <c r="T836" s="54"/>
      <c r="U836" s="54"/>
      <c r="V836" s="54"/>
      <c r="W836" s="54"/>
      <c r="X836" s="69" t="str">
        <f t="shared" si="63"/>
        <v>D</v>
      </c>
    </row>
    <row r="837" spans="1:24" s="66" customFormat="1" x14ac:dyDescent="0.25">
      <c r="A837" s="51"/>
      <c r="B837" s="91" t="str">
        <f>IFERROR(VLOOKUP(A837,Lookup!A:B,2,0),"")</f>
        <v/>
      </c>
      <c r="C837" s="92" t="str">
        <f>IFERROR(VLOOKUP(A837,Lookup!A:C,3,0),"")</f>
        <v/>
      </c>
      <c r="D837" s="54"/>
      <c r="E837" s="54"/>
      <c r="F837" s="54"/>
      <c r="G837" s="72"/>
      <c r="H837" s="54"/>
      <c r="I837" s="54"/>
      <c r="J837" s="106">
        <f>VLOOKUP(A837&amp;G837,Lookup!J:N,5,0)</f>
        <v>0</v>
      </c>
      <c r="K837" s="115"/>
      <c r="L837" s="54"/>
      <c r="M837" s="54"/>
      <c r="N837" s="54"/>
      <c r="O837" s="112">
        <v>34.6006944444444</v>
      </c>
      <c r="P837" s="110" t="str">
        <f t="shared" si="62"/>
        <v/>
      </c>
      <c r="Q837" s="54"/>
      <c r="R837" s="87" t="str">
        <f t="shared" si="60"/>
        <v/>
      </c>
      <c r="S837" s="87" t="str">
        <f t="shared" si="61"/>
        <v/>
      </c>
      <c r="T837" s="54"/>
      <c r="U837" s="54"/>
      <c r="V837" s="54"/>
      <c r="W837" s="54"/>
      <c r="X837" s="69" t="str">
        <f t="shared" si="63"/>
        <v>D</v>
      </c>
    </row>
    <row r="838" spans="1:24" s="66" customFormat="1" x14ac:dyDescent="0.25">
      <c r="A838" s="51"/>
      <c r="B838" s="91" t="str">
        <f>IFERROR(VLOOKUP(A838,Lookup!A:B,2,0),"")</f>
        <v/>
      </c>
      <c r="C838" s="92" t="str">
        <f>IFERROR(VLOOKUP(A838,Lookup!A:C,3,0),"")</f>
        <v/>
      </c>
      <c r="D838" s="54"/>
      <c r="E838" s="54"/>
      <c r="F838" s="54"/>
      <c r="G838" s="72"/>
      <c r="H838" s="54"/>
      <c r="I838" s="54"/>
      <c r="J838" s="106">
        <f>VLOOKUP(A838&amp;G838,Lookup!J:N,5,0)</f>
        <v>0</v>
      </c>
      <c r="K838" s="115"/>
      <c r="L838" s="54"/>
      <c r="M838" s="54"/>
      <c r="N838" s="54"/>
      <c r="O838" s="112">
        <v>34.6423611111111</v>
      </c>
      <c r="P838" s="110" t="str">
        <f t="shared" si="62"/>
        <v/>
      </c>
      <c r="Q838" s="54"/>
      <c r="R838" s="87" t="str">
        <f t="shared" si="60"/>
        <v/>
      </c>
      <c r="S838" s="87" t="str">
        <f t="shared" si="61"/>
        <v/>
      </c>
      <c r="T838" s="54"/>
      <c r="U838" s="54"/>
      <c r="V838" s="54"/>
      <c r="W838" s="54"/>
      <c r="X838" s="69" t="str">
        <f t="shared" si="63"/>
        <v>D</v>
      </c>
    </row>
    <row r="839" spans="1:24" s="66" customFormat="1" x14ac:dyDescent="0.25">
      <c r="A839" s="51"/>
      <c r="B839" s="91" t="str">
        <f>IFERROR(VLOOKUP(A839,Lookup!A:B,2,0),"")</f>
        <v/>
      </c>
      <c r="C839" s="92" t="str">
        <f>IFERROR(VLOOKUP(A839,Lookup!A:C,3,0),"")</f>
        <v/>
      </c>
      <c r="D839" s="54"/>
      <c r="E839" s="54"/>
      <c r="F839" s="54"/>
      <c r="G839" s="72"/>
      <c r="H839" s="54"/>
      <c r="I839" s="54"/>
      <c r="J839" s="106">
        <f>VLOOKUP(A839&amp;G839,Lookup!J:N,5,0)</f>
        <v>0</v>
      </c>
      <c r="K839" s="115"/>
      <c r="L839" s="54"/>
      <c r="M839" s="54"/>
      <c r="N839" s="54"/>
      <c r="O839" s="112">
        <v>34.6840277777778</v>
      </c>
      <c r="P839" s="110" t="str">
        <f t="shared" si="62"/>
        <v/>
      </c>
      <c r="Q839" s="54"/>
      <c r="R839" s="87" t="str">
        <f t="shared" ref="R839:R902" si="64">IF(OR(EXACT(N839,""), EXACT(L839,"")),"",N839-L839)</f>
        <v/>
      </c>
      <c r="S839" s="87" t="str">
        <f t="shared" ref="S839:S902" si="65">IF(OR(EXACT(Q839,""), EXACT(L839,"")),"",Q839-L839)</f>
        <v/>
      </c>
      <c r="T839" s="54"/>
      <c r="U839" s="54"/>
      <c r="V839" s="54"/>
      <c r="W839" s="54"/>
      <c r="X839" s="69" t="str">
        <f t="shared" si="63"/>
        <v>D</v>
      </c>
    </row>
    <row r="840" spans="1:24" s="66" customFormat="1" x14ac:dyDescent="0.25">
      <c r="A840" s="51"/>
      <c r="B840" s="91" t="str">
        <f>IFERROR(VLOOKUP(A840,Lookup!A:B,2,0),"")</f>
        <v/>
      </c>
      <c r="C840" s="92" t="str">
        <f>IFERROR(VLOOKUP(A840,Lookup!A:C,3,0),"")</f>
        <v/>
      </c>
      <c r="D840" s="54"/>
      <c r="E840" s="54"/>
      <c r="F840" s="54"/>
      <c r="G840" s="72"/>
      <c r="H840" s="54"/>
      <c r="I840" s="54"/>
      <c r="J840" s="106">
        <f>VLOOKUP(A840&amp;G840,Lookup!J:N,5,0)</f>
        <v>0</v>
      </c>
      <c r="K840" s="115"/>
      <c r="L840" s="54"/>
      <c r="M840" s="54"/>
      <c r="N840" s="54"/>
      <c r="O840" s="112">
        <v>34.7256944444444</v>
      </c>
      <c r="P840" s="110" t="str">
        <f t="shared" si="62"/>
        <v/>
      </c>
      <c r="Q840" s="54"/>
      <c r="R840" s="87" t="str">
        <f t="shared" si="64"/>
        <v/>
      </c>
      <c r="S840" s="87" t="str">
        <f t="shared" si="65"/>
        <v/>
      </c>
      <c r="T840" s="54"/>
      <c r="U840" s="54"/>
      <c r="V840" s="54"/>
      <c r="W840" s="54"/>
      <c r="X840" s="69" t="str">
        <f t="shared" si="63"/>
        <v>D</v>
      </c>
    </row>
    <row r="841" spans="1:24" s="66" customFormat="1" x14ac:dyDescent="0.25">
      <c r="A841" s="51"/>
      <c r="B841" s="91" t="str">
        <f>IFERROR(VLOOKUP(A841,Lookup!A:B,2,0),"")</f>
        <v/>
      </c>
      <c r="C841" s="92" t="str">
        <f>IFERROR(VLOOKUP(A841,Lookup!A:C,3,0),"")</f>
        <v/>
      </c>
      <c r="D841" s="54"/>
      <c r="E841" s="54"/>
      <c r="F841" s="54"/>
      <c r="G841" s="72"/>
      <c r="H841" s="54"/>
      <c r="I841" s="54"/>
      <c r="J841" s="106">
        <f>VLOOKUP(A841&amp;G841,Lookup!J:N,5,0)</f>
        <v>0</v>
      </c>
      <c r="K841" s="115"/>
      <c r="L841" s="54"/>
      <c r="M841" s="54"/>
      <c r="N841" s="54"/>
      <c r="O841" s="112">
        <v>34.7673611111111</v>
      </c>
      <c r="P841" s="110" t="str">
        <f t="shared" si="62"/>
        <v/>
      </c>
      <c r="Q841" s="54"/>
      <c r="R841" s="87" t="str">
        <f t="shared" si="64"/>
        <v/>
      </c>
      <c r="S841" s="87" t="str">
        <f t="shared" si="65"/>
        <v/>
      </c>
      <c r="T841" s="54"/>
      <c r="U841" s="54"/>
      <c r="V841" s="54"/>
      <c r="W841" s="54"/>
      <c r="X841" s="69" t="str">
        <f t="shared" si="63"/>
        <v>D</v>
      </c>
    </row>
    <row r="842" spans="1:24" s="66" customFormat="1" x14ac:dyDescent="0.25">
      <c r="A842" s="51"/>
      <c r="B842" s="91" t="str">
        <f>IFERROR(VLOOKUP(A842,Lookup!A:B,2,0),"")</f>
        <v/>
      </c>
      <c r="C842" s="92" t="str">
        <f>IFERROR(VLOOKUP(A842,Lookup!A:C,3,0),"")</f>
        <v/>
      </c>
      <c r="D842" s="54"/>
      <c r="E842" s="54"/>
      <c r="F842" s="54"/>
      <c r="G842" s="72"/>
      <c r="H842" s="54"/>
      <c r="I842" s="54"/>
      <c r="J842" s="106">
        <f>VLOOKUP(A842&amp;G842,Lookup!J:N,5,0)</f>
        <v>0</v>
      </c>
      <c r="K842" s="115"/>
      <c r="L842" s="54"/>
      <c r="M842" s="54"/>
      <c r="N842" s="54"/>
      <c r="O842" s="112">
        <v>34.8090277777778</v>
      </c>
      <c r="P842" s="110" t="str">
        <f t="shared" si="62"/>
        <v/>
      </c>
      <c r="Q842" s="54"/>
      <c r="R842" s="87" t="str">
        <f t="shared" si="64"/>
        <v/>
      </c>
      <c r="S842" s="87" t="str">
        <f t="shared" si="65"/>
        <v/>
      </c>
      <c r="T842" s="54"/>
      <c r="U842" s="54"/>
      <c r="V842" s="54"/>
      <c r="W842" s="54"/>
      <c r="X842" s="69" t="str">
        <f t="shared" si="63"/>
        <v>D</v>
      </c>
    </row>
    <row r="843" spans="1:24" s="66" customFormat="1" x14ac:dyDescent="0.25">
      <c r="A843" s="51"/>
      <c r="B843" s="91" t="str">
        <f>IFERROR(VLOOKUP(A843,Lookup!A:B,2,0),"")</f>
        <v/>
      </c>
      <c r="C843" s="92" t="str">
        <f>IFERROR(VLOOKUP(A843,Lookup!A:C,3,0),"")</f>
        <v/>
      </c>
      <c r="D843" s="54"/>
      <c r="E843" s="54"/>
      <c r="F843" s="54"/>
      <c r="G843" s="72"/>
      <c r="H843" s="54"/>
      <c r="I843" s="54"/>
      <c r="J843" s="106">
        <f>VLOOKUP(A843&amp;G843,Lookup!J:N,5,0)</f>
        <v>0</v>
      </c>
      <c r="K843" s="115"/>
      <c r="L843" s="54"/>
      <c r="M843" s="54"/>
      <c r="N843" s="54"/>
      <c r="O843" s="112">
        <v>34.8506944444444</v>
      </c>
      <c r="P843" s="110" t="str">
        <f t="shared" si="62"/>
        <v/>
      </c>
      <c r="Q843" s="54"/>
      <c r="R843" s="87" t="str">
        <f t="shared" si="64"/>
        <v/>
      </c>
      <c r="S843" s="87" t="str">
        <f t="shared" si="65"/>
        <v/>
      </c>
      <c r="T843" s="54"/>
      <c r="U843" s="54"/>
      <c r="V843" s="54"/>
      <c r="W843" s="54"/>
      <c r="X843" s="69" t="str">
        <f t="shared" si="63"/>
        <v>D</v>
      </c>
    </row>
    <row r="844" spans="1:24" s="66" customFormat="1" x14ac:dyDescent="0.25">
      <c r="A844" s="51"/>
      <c r="B844" s="91" t="str">
        <f>IFERROR(VLOOKUP(A844,Lookup!A:B,2,0),"")</f>
        <v/>
      </c>
      <c r="C844" s="92" t="str">
        <f>IFERROR(VLOOKUP(A844,Lookup!A:C,3,0),"")</f>
        <v/>
      </c>
      <c r="D844" s="54"/>
      <c r="E844" s="54"/>
      <c r="F844" s="54"/>
      <c r="G844" s="72"/>
      <c r="H844" s="54"/>
      <c r="I844" s="54"/>
      <c r="J844" s="106">
        <f>VLOOKUP(A844&amp;G844,Lookup!J:N,5,0)</f>
        <v>0</v>
      </c>
      <c r="K844" s="115"/>
      <c r="L844" s="54"/>
      <c r="M844" s="54"/>
      <c r="N844" s="54"/>
      <c r="O844" s="112">
        <v>34.8923611111111</v>
      </c>
      <c r="P844" s="110" t="str">
        <f t="shared" si="62"/>
        <v/>
      </c>
      <c r="Q844" s="54"/>
      <c r="R844" s="87" t="str">
        <f t="shared" si="64"/>
        <v/>
      </c>
      <c r="S844" s="87" t="str">
        <f t="shared" si="65"/>
        <v/>
      </c>
      <c r="T844" s="54"/>
      <c r="U844" s="54"/>
      <c r="V844" s="54"/>
      <c r="W844" s="54"/>
      <c r="X844" s="69" t="str">
        <f t="shared" si="63"/>
        <v>D</v>
      </c>
    </row>
    <row r="845" spans="1:24" s="66" customFormat="1" x14ac:dyDescent="0.25">
      <c r="A845" s="51"/>
      <c r="B845" s="91" t="str">
        <f>IFERROR(VLOOKUP(A845,Lookup!A:B,2,0),"")</f>
        <v/>
      </c>
      <c r="C845" s="92" t="str">
        <f>IFERROR(VLOOKUP(A845,Lookup!A:C,3,0),"")</f>
        <v/>
      </c>
      <c r="D845" s="54"/>
      <c r="E845" s="54"/>
      <c r="F845" s="54"/>
      <c r="G845" s="72"/>
      <c r="H845" s="54"/>
      <c r="I845" s="54"/>
      <c r="J845" s="106">
        <f>VLOOKUP(A845&amp;G845,Lookup!J:N,5,0)</f>
        <v>0</v>
      </c>
      <c r="K845" s="115"/>
      <c r="L845" s="54"/>
      <c r="M845" s="54"/>
      <c r="N845" s="54"/>
      <c r="O845" s="112">
        <v>34.9340277777778</v>
      </c>
      <c r="P845" s="110" t="str">
        <f t="shared" si="62"/>
        <v/>
      </c>
      <c r="Q845" s="54"/>
      <c r="R845" s="87" t="str">
        <f t="shared" si="64"/>
        <v/>
      </c>
      <c r="S845" s="87" t="str">
        <f t="shared" si="65"/>
        <v/>
      </c>
      <c r="T845" s="54"/>
      <c r="U845" s="54"/>
      <c r="V845" s="54"/>
      <c r="W845" s="54"/>
      <c r="X845" s="69" t="str">
        <f t="shared" si="63"/>
        <v>D</v>
      </c>
    </row>
    <row r="846" spans="1:24" s="66" customFormat="1" x14ac:dyDescent="0.25">
      <c r="A846" s="51"/>
      <c r="B846" s="91" t="str">
        <f>IFERROR(VLOOKUP(A846,Lookup!A:B,2,0),"")</f>
        <v/>
      </c>
      <c r="C846" s="92" t="str">
        <f>IFERROR(VLOOKUP(A846,Lookup!A:C,3,0),"")</f>
        <v/>
      </c>
      <c r="D846" s="54"/>
      <c r="E846" s="54"/>
      <c r="F846" s="54"/>
      <c r="G846" s="72"/>
      <c r="H846" s="54"/>
      <c r="I846" s="54"/>
      <c r="J846" s="106">
        <f>VLOOKUP(A846&amp;G846,Lookup!J:N,5,0)</f>
        <v>0</v>
      </c>
      <c r="K846" s="115"/>
      <c r="L846" s="54"/>
      <c r="M846" s="54"/>
      <c r="N846" s="54"/>
      <c r="O846" s="112">
        <v>34.9756944444444</v>
      </c>
      <c r="P846" s="110" t="str">
        <f t="shared" si="62"/>
        <v/>
      </c>
      <c r="Q846" s="54"/>
      <c r="R846" s="87" t="str">
        <f t="shared" si="64"/>
        <v/>
      </c>
      <c r="S846" s="87" t="str">
        <f t="shared" si="65"/>
        <v/>
      </c>
      <c r="T846" s="54"/>
      <c r="U846" s="54"/>
      <c r="V846" s="54"/>
      <c r="W846" s="54"/>
      <c r="X846" s="69" t="str">
        <f t="shared" si="63"/>
        <v>D</v>
      </c>
    </row>
    <row r="847" spans="1:24" s="66" customFormat="1" x14ac:dyDescent="0.25">
      <c r="A847" s="51"/>
      <c r="B847" s="91" t="str">
        <f>IFERROR(VLOOKUP(A847,Lookup!A:B,2,0),"")</f>
        <v/>
      </c>
      <c r="C847" s="92" t="str">
        <f>IFERROR(VLOOKUP(A847,Lookup!A:C,3,0),"")</f>
        <v/>
      </c>
      <c r="D847" s="54"/>
      <c r="E847" s="54"/>
      <c r="F847" s="54"/>
      <c r="G847" s="72"/>
      <c r="H847" s="54"/>
      <c r="I847" s="54"/>
      <c r="J847" s="106">
        <f>VLOOKUP(A847&amp;G847,Lookup!J:N,5,0)</f>
        <v>0</v>
      </c>
      <c r="K847" s="115"/>
      <c r="L847" s="54"/>
      <c r="M847" s="54"/>
      <c r="N847" s="54"/>
      <c r="O847" s="112">
        <v>35.0173611111111</v>
      </c>
      <c r="P847" s="110" t="str">
        <f t="shared" si="62"/>
        <v/>
      </c>
      <c r="Q847" s="54"/>
      <c r="R847" s="87" t="str">
        <f t="shared" si="64"/>
        <v/>
      </c>
      <c r="S847" s="87" t="str">
        <f t="shared" si="65"/>
        <v/>
      </c>
      <c r="T847" s="54"/>
      <c r="U847" s="54"/>
      <c r="V847" s="54"/>
      <c r="W847" s="54"/>
      <c r="X847" s="69" t="str">
        <f t="shared" si="63"/>
        <v>D</v>
      </c>
    </row>
    <row r="848" spans="1:24" s="66" customFormat="1" x14ac:dyDescent="0.25">
      <c r="A848" s="51"/>
      <c r="B848" s="91" t="str">
        <f>IFERROR(VLOOKUP(A848,Lookup!A:B,2,0),"")</f>
        <v/>
      </c>
      <c r="C848" s="92" t="str">
        <f>IFERROR(VLOOKUP(A848,Lookup!A:C,3,0),"")</f>
        <v/>
      </c>
      <c r="D848" s="54"/>
      <c r="E848" s="54"/>
      <c r="F848" s="54"/>
      <c r="G848" s="72"/>
      <c r="H848" s="54"/>
      <c r="I848" s="54"/>
      <c r="J848" s="106">
        <f>VLOOKUP(A848&amp;G848,Lookup!J:N,5,0)</f>
        <v>0</v>
      </c>
      <c r="K848" s="115"/>
      <c r="L848" s="54"/>
      <c r="M848" s="54"/>
      <c r="N848" s="54"/>
      <c r="O848" s="112">
        <v>35.0590277777778</v>
      </c>
      <c r="P848" s="110" t="str">
        <f t="shared" si="62"/>
        <v/>
      </c>
      <c r="Q848" s="54"/>
      <c r="R848" s="87" t="str">
        <f t="shared" si="64"/>
        <v/>
      </c>
      <c r="S848" s="87" t="str">
        <f t="shared" si="65"/>
        <v/>
      </c>
      <c r="T848" s="54"/>
      <c r="U848" s="54"/>
      <c r="V848" s="54"/>
      <c r="W848" s="54"/>
      <c r="X848" s="69" t="str">
        <f t="shared" si="63"/>
        <v>D</v>
      </c>
    </row>
    <row r="849" spans="1:24" s="66" customFormat="1" x14ac:dyDescent="0.25">
      <c r="A849" s="51"/>
      <c r="B849" s="91" t="str">
        <f>IFERROR(VLOOKUP(A849,Lookup!A:B,2,0),"")</f>
        <v/>
      </c>
      <c r="C849" s="92" t="str">
        <f>IFERROR(VLOOKUP(A849,Lookup!A:C,3,0),"")</f>
        <v/>
      </c>
      <c r="D849" s="54"/>
      <c r="E849" s="54"/>
      <c r="F849" s="54"/>
      <c r="G849" s="72"/>
      <c r="H849" s="54"/>
      <c r="I849" s="54"/>
      <c r="J849" s="106">
        <f>VLOOKUP(A849&amp;G849,Lookup!J:N,5,0)</f>
        <v>0</v>
      </c>
      <c r="K849" s="115"/>
      <c r="L849" s="54"/>
      <c r="M849" s="54"/>
      <c r="N849" s="54"/>
      <c r="O849" s="112">
        <v>35.1006944444444</v>
      </c>
      <c r="P849" s="110" t="str">
        <f t="shared" si="62"/>
        <v/>
      </c>
      <c r="Q849" s="54"/>
      <c r="R849" s="87" t="str">
        <f t="shared" si="64"/>
        <v/>
      </c>
      <c r="S849" s="87" t="str">
        <f t="shared" si="65"/>
        <v/>
      </c>
      <c r="T849" s="54"/>
      <c r="U849" s="54"/>
      <c r="V849" s="54"/>
      <c r="W849" s="54"/>
      <c r="X849" s="69" t="str">
        <f t="shared" si="63"/>
        <v>D</v>
      </c>
    </row>
    <row r="850" spans="1:24" s="66" customFormat="1" x14ac:dyDescent="0.25">
      <c r="A850" s="51"/>
      <c r="B850" s="91" t="str">
        <f>IFERROR(VLOOKUP(A850,Lookup!A:B,2,0),"")</f>
        <v/>
      </c>
      <c r="C850" s="92" t="str">
        <f>IFERROR(VLOOKUP(A850,Lookup!A:C,3,0),"")</f>
        <v/>
      </c>
      <c r="D850" s="54"/>
      <c r="E850" s="54"/>
      <c r="F850" s="54"/>
      <c r="G850" s="72"/>
      <c r="H850" s="54"/>
      <c r="I850" s="54"/>
      <c r="J850" s="106">
        <f>VLOOKUP(A850&amp;G850,Lookup!J:N,5,0)</f>
        <v>0</v>
      </c>
      <c r="K850" s="115"/>
      <c r="L850" s="54"/>
      <c r="M850" s="54"/>
      <c r="N850" s="54"/>
      <c r="O850" s="112">
        <v>35.1423611111111</v>
      </c>
      <c r="P850" s="110" t="str">
        <f t="shared" si="62"/>
        <v/>
      </c>
      <c r="Q850" s="54"/>
      <c r="R850" s="87" t="str">
        <f t="shared" si="64"/>
        <v/>
      </c>
      <c r="S850" s="87" t="str">
        <f t="shared" si="65"/>
        <v/>
      </c>
      <c r="T850" s="54"/>
      <c r="U850" s="54"/>
      <c r="V850" s="54"/>
      <c r="W850" s="54"/>
      <c r="X850" s="69" t="str">
        <f t="shared" si="63"/>
        <v>D</v>
      </c>
    </row>
    <row r="851" spans="1:24" s="66" customFormat="1" x14ac:dyDescent="0.25">
      <c r="A851" s="51"/>
      <c r="B851" s="91" t="str">
        <f>IFERROR(VLOOKUP(A851,Lookup!A:B,2,0),"")</f>
        <v/>
      </c>
      <c r="C851" s="92" t="str">
        <f>IFERROR(VLOOKUP(A851,Lookup!A:C,3,0),"")</f>
        <v/>
      </c>
      <c r="D851" s="54"/>
      <c r="E851" s="54"/>
      <c r="F851" s="54"/>
      <c r="G851" s="72"/>
      <c r="H851" s="54"/>
      <c r="I851" s="54"/>
      <c r="J851" s="106">
        <f>VLOOKUP(A851&amp;G851,Lookup!J:N,5,0)</f>
        <v>0</v>
      </c>
      <c r="K851" s="115"/>
      <c r="L851" s="54"/>
      <c r="M851" s="54"/>
      <c r="N851" s="54"/>
      <c r="O851" s="112">
        <v>35.1840277777778</v>
      </c>
      <c r="P851" s="110" t="str">
        <f t="shared" si="62"/>
        <v/>
      </c>
      <c r="Q851" s="54"/>
      <c r="R851" s="87" t="str">
        <f t="shared" si="64"/>
        <v/>
      </c>
      <c r="S851" s="87" t="str">
        <f t="shared" si="65"/>
        <v/>
      </c>
      <c r="T851" s="54"/>
      <c r="U851" s="54"/>
      <c r="V851" s="54"/>
      <c r="W851" s="54"/>
      <c r="X851" s="69" t="str">
        <f t="shared" si="63"/>
        <v>D</v>
      </c>
    </row>
    <row r="852" spans="1:24" s="66" customFormat="1" x14ac:dyDescent="0.25">
      <c r="A852" s="51"/>
      <c r="B852" s="91" t="str">
        <f>IFERROR(VLOOKUP(A852,Lookup!A:B,2,0),"")</f>
        <v/>
      </c>
      <c r="C852" s="92" t="str">
        <f>IFERROR(VLOOKUP(A852,Lookup!A:C,3,0),"")</f>
        <v/>
      </c>
      <c r="D852" s="54"/>
      <c r="E852" s="54"/>
      <c r="F852" s="54"/>
      <c r="G852" s="72"/>
      <c r="H852" s="54"/>
      <c r="I852" s="54"/>
      <c r="J852" s="106">
        <f>VLOOKUP(A852&amp;G852,Lookup!J:N,5,0)</f>
        <v>0</v>
      </c>
      <c r="K852" s="115"/>
      <c r="L852" s="54"/>
      <c r="M852" s="54"/>
      <c r="N852" s="54"/>
      <c r="O852" s="112">
        <v>35.2256944444444</v>
      </c>
      <c r="P852" s="110" t="str">
        <f t="shared" si="62"/>
        <v/>
      </c>
      <c r="Q852" s="54"/>
      <c r="R852" s="87" t="str">
        <f t="shared" si="64"/>
        <v/>
      </c>
      <c r="S852" s="87" t="str">
        <f t="shared" si="65"/>
        <v/>
      </c>
      <c r="T852" s="54"/>
      <c r="U852" s="54"/>
      <c r="V852" s="54"/>
      <c r="W852" s="54"/>
      <c r="X852" s="69" t="str">
        <f t="shared" si="63"/>
        <v>D</v>
      </c>
    </row>
    <row r="853" spans="1:24" s="66" customFormat="1" x14ac:dyDescent="0.25">
      <c r="A853" s="51"/>
      <c r="B853" s="91" t="str">
        <f>IFERROR(VLOOKUP(A853,Lookup!A:B,2,0),"")</f>
        <v/>
      </c>
      <c r="C853" s="92" t="str">
        <f>IFERROR(VLOOKUP(A853,Lookup!A:C,3,0),"")</f>
        <v/>
      </c>
      <c r="D853" s="54"/>
      <c r="E853" s="54"/>
      <c r="F853" s="54"/>
      <c r="G853" s="72"/>
      <c r="H853" s="54"/>
      <c r="I853" s="54"/>
      <c r="J853" s="106">
        <f>VLOOKUP(A853&amp;G853,Lookup!J:N,5,0)</f>
        <v>0</v>
      </c>
      <c r="K853" s="115"/>
      <c r="L853" s="54"/>
      <c r="M853" s="54"/>
      <c r="N853" s="54"/>
      <c r="O853" s="112">
        <v>35.2673611111111</v>
      </c>
      <c r="P853" s="110" t="str">
        <f t="shared" si="62"/>
        <v/>
      </c>
      <c r="Q853" s="54"/>
      <c r="R853" s="87" t="str">
        <f t="shared" si="64"/>
        <v/>
      </c>
      <c r="S853" s="87" t="str">
        <f t="shared" si="65"/>
        <v/>
      </c>
      <c r="T853" s="54"/>
      <c r="U853" s="54"/>
      <c r="V853" s="54"/>
      <c r="W853" s="54"/>
      <c r="X853" s="69" t="str">
        <f t="shared" si="63"/>
        <v>D</v>
      </c>
    </row>
    <row r="854" spans="1:24" s="66" customFormat="1" x14ac:dyDescent="0.25">
      <c r="A854" s="51"/>
      <c r="B854" s="91" t="str">
        <f>IFERROR(VLOOKUP(A854,Lookup!A:B,2,0),"")</f>
        <v/>
      </c>
      <c r="C854" s="92" t="str">
        <f>IFERROR(VLOOKUP(A854,Lookup!A:C,3,0),"")</f>
        <v/>
      </c>
      <c r="D854" s="54"/>
      <c r="E854" s="54"/>
      <c r="F854" s="54"/>
      <c r="G854" s="72"/>
      <c r="H854" s="54"/>
      <c r="I854" s="54"/>
      <c r="J854" s="106">
        <f>VLOOKUP(A854&amp;G854,Lookup!J:N,5,0)</f>
        <v>0</v>
      </c>
      <c r="K854" s="115"/>
      <c r="L854" s="54"/>
      <c r="M854" s="54"/>
      <c r="N854" s="54"/>
      <c r="O854" s="112">
        <v>35.3090277777778</v>
      </c>
      <c r="P854" s="110" t="str">
        <f t="shared" si="62"/>
        <v/>
      </c>
      <c r="Q854" s="54"/>
      <c r="R854" s="87" t="str">
        <f t="shared" si="64"/>
        <v/>
      </c>
      <c r="S854" s="87" t="str">
        <f t="shared" si="65"/>
        <v/>
      </c>
      <c r="T854" s="54"/>
      <c r="U854" s="54"/>
      <c r="V854" s="54"/>
      <c r="W854" s="54"/>
      <c r="X854" s="69" t="str">
        <f t="shared" si="63"/>
        <v>D</v>
      </c>
    </row>
    <row r="855" spans="1:24" s="66" customFormat="1" x14ac:dyDescent="0.25">
      <c r="A855" s="51"/>
      <c r="B855" s="91" t="str">
        <f>IFERROR(VLOOKUP(A855,Lookup!A:B,2,0),"")</f>
        <v/>
      </c>
      <c r="C855" s="92" t="str">
        <f>IFERROR(VLOOKUP(A855,Lookup!A:C,3,0),"")</f>
        <v/>
      </c>
      <c r="D855" s="54"/>
      <c r="E855" s="54"/>
      <c r="F855" s="54"/>
      <c r="G855" s="72"/>
      <c r="H855" s="54"/>
      <c r="I855" s="54"/>
      <c r="J855" s="106">
        <f>VLOOKUP(A855&amp;G855,Lookup!J:N,5,0)</f>
        <v>0</v>
      </c>
      <c r="K855" s="115"/>
      <c r="L855" s="54"/>
      <c r="M855" s="54"/>
      <c r="N855" s="54"/>
      <c r="O855" s="112">
        <v>35.3506944444444</v>
      </c>
      <c r="P855" s="110" t="str">
        <f t="shared" si="62"/>
        <v/>
      </c>
      <c r="Q855" s="54"/>
      <c r="R855" s="87" t="str">
        <f t="shared" si="64"/>
        <v/>
      </c>
      <c r="S855" s="87" t="str">
        <f t="shared" si="65"/>
        <v/>
      </c>
      <c r="T855" s="54"/>
      <c r="U855" s="54"/>
      <c r="V855" s="54"/>
      <c r="W855" s="54"/>
      <c r="X855" s="69" t="str">
        <f t="shared" si="63"/>
        <v>D</v>
      </c>
    </row>
    <row r="856" spans="1:24" s="66" customFormat="1" x14ac:dyDescent="0.25">
      <c r="A856" s="51"/>
      <c r="B856" s="91" t="str">
        <f>IFERROR(VLOOKUP(A856,Lookup!A:B,2,0),"")</f>
        <v/>
      </c>
      <c r="C856" s="92" t="str">
        <f>IFERROR(VLOOKUP(A856,Lookup!A:C,3,0),"")</f>
        <v/>
      </c>
      <c r="D856" s="54"/>
      <c r="E856" s="54"/>
      <c r="F856" s="54"/>
      <c r="G856" s="72"/>
      <c r="H856" s="54"/>
      <c r="I856" s="54"/>
      <c r="J856" s="106">
        <f>VLOOKUP(A856&amp;G856,Lookup!J:N,5,0)</f>
        <v>0</v>
      </c>
      <c r="K856" s="115"/>
      <c r="L856" s="54"/>
      <c r="M856" s="54"/>
      <c r="N856" s="54"/>
      <c r="O856" s="112">
        <v>35.3923611111111</v>
      </c>
      <c r="P856" s="110" t="str">
        <f t="shared" si="62"/>
        <v/>
      </c>
      <c r="Q856" s="54"/>
      <c r="R856" s="87" t="str">
        <f t="shared" si="64"/>
        <v/>
      </c>
      <c r="S856" s="87" t="str">
        <f t="shared" si="65"/>
        <v/>
      </c>
      <c r="T856" s="54"/>
      <c r="U856" s="54"/>
      <c r="V856" s="54"/>
      <c r="W856" s="54"/>
      <c r="X856" s="69" t="str">
        <f t="shared" si="63"/>
        <v>D</v>
      </c>
    </row>
    <row r="857" spans="1:24" s="66" customFormat="1" x14ac:dyDescent="0.25">
      <c r="A857" s="51"/>
      <c r="B857" s="91" t="str">
        <f>IFERROR(VLOOKUP(A857,Lookup!A:B,2,0),"")</f>
        <v/>
      </c>
      <c r="C857" s="92" t="str">
        <f>IFERROR(VLOOKUP(A857,Lookup!A:C,3,0),"")</f>
        <v/>
      </c>
      <c r="D857" s="54"/>
      <c r="E857" s="54"/>
      <c r="F857" s="54"/>
      <c r="G857" s="72"/>
      <c r="H857" s="54"/>
      <c r="I857" s="54"/>
      <c r="J857" s="106">
        <f>VLOOKUP(A857&amp;G857,Lookup!J:N,5,0)</f>
        <v>0</v>
      </c>
      <c r="K857" s="115"/>
      <c r="L857" s="54"/>
      <c r="M857" s="54"/>
      <c r="N857" s="54"/>
      <c r="O857" s="112">
        <v>35.4340277777778</v>
      </c>
      <c r="P857" s="110" t="str">
        <f t="shared" si="62"/>
        <v/>
      </c>
      <c r="Q857" s="54"/>
      <c r="R857" s="87" t="str">
        <f t="shared" si="64"/>
        <v/>
      </c>
      <c r="S857" s="87" t="str">
        <f t="shared" si="65"/>
        <v/>
      </c>
      <c r="T857" s="54"/>
      <c r="U857" s="54"/>
      <c r="V857" s="54"/>
      <c r="W857" s="54"/>
      <c r="X857" s="69" t="str">
        <f t="shared" si="63"/>
        <v>D</v>
      </c>
    </row>
    <row r="858" spans="1:24" s="66" customFormat="1" x14ac:dyDescent="0.25">
      <c r="A858" s="51"/>
      <c r="B858" s="91" t="str">
        <f>IFERROR(VLOOKUP(A858,Lookup!A:B,2,0),"")</f>
        <v/>
      </c>
      <c r="C858" s="92" t="str">
        <f>IFERROR(VLOOKUP(A858,Lookup!A:C,3,0),"")</f>
        <v/>
      </c>
      <c r="D858" s="54"/>
      <c r="E858" s="54"/>
      <c r="F858" s="54"/>
      <c r="G858" s="72"/>
      <c r="H858" s="54"/>
      <c r="I858" s="54"/>
      <c r="J858" s="106">
        <f>VLOOKUP(A858&amp;G858,Lookup!J:N,5,0)</f>
        <v>0</v>
      </c>
      <c r="K858" s="115"/>
      <c r="L858" s="54"/>
      <c r="M858" s="54"/>
      <c r="N858" s="54"/>
      <c r="O858" s="112">
        <v>35.4756944444444</v>
      </c>
      <c r="P858" s="110" t="str">
        <f t="shared" si="62"/>
        <v/>
      </c>
      <c r="Q858" s="54"/>
      <c r="R858" s="87" t="str">
        <f t="shared" si="64"/>
        <v/>
      </c>
      <c r="S858" s="87" t="str">
        <f t="shared" si="65"/>
        <v/>
      </c>
      <c r="T858" s="54"/>
      <c r="U858" s="54"/>
      <c r="V858" s="54"/>
      <c r="W858" s="54"/>
      <c r="X858" s="69" t="str">
        <f t="shared" si="63"/>
        <v>D</v>
      </c>
    </row>
    <row r="859" spans="1:24" s="66" customFormat="1" x14ac:dyDescent="0.25">
      <c r="A859" s="51"/>
      <c r="B859" s="91" t="str">
        <f>IFERROR(VLOOKUP(A859,Lookup!A:B,2,0),"")</f>
        <v/>
      </c>
      <c r="C859" s="92" t="str">
        <f>IFERROR(VLOOKUP(A859,Lookup!A:C,3,0),"")</f>
        <v/>
      </c>
      <c r="D859" s="54"/>
      <c r="E859" s="54"/>
      <c r="F859" s="54"/>
      <c r="G859" s="72"/>
      <c r="H859" s="54"/>
      <c r="I859" s="54"/>
      <c r="J859" s="106">
        <f>VLOOKUP(A859&amp;G859,Lookup!J:N,5,0)</f>
        <v>0</v>
      </c>
      <c r="K859" s="115"/>
      <c r="L859" s="54"/>
      <c r="M859" s="54"/>
      <c r="N859" s="54"/>
      <c r="O859" s="112">
        <v>35.5173611111111</v>
      </c>
      <c r="P859" s="110" t="str">
        <f t="shared" si="62"/>
        <v/>
      </c>
      <c r="Q859" s="54"/>
      <c r="R859" s="87" t="str">
        <f t="shared" si="64"/>
        <v/>
      </c>
      <c r="S859" s="87" t="str">
        <f t="shared" si="65"/>
        <v/>
      </c>
      <c r="T859" s="54"/>
      <c r="U859" s="54"/>
      <c r="V859" s="54"/>
      <c r="W859" s="54"/>
      <c r="X859" s="69" t="str">
        <f t="shared" si="63"/>
        <v>D</v>
      </c>
    </row>
    <row r="860" spans="1:24" s="66" customFormat="1" x14ac:dyDescent="0.25">
      <c r="A860" s="51"/>
      <c r="B860" s="91" t="str">
        <f>IFERROR(VLOOKUP(A860,Lookup!A:B,2,0),"")</f>
        <v/>
      </c>
      <c r="C860" s="92" t="str">
        <f>IFERROR(VLOOKUP(A860,Lookup!A:C,3,0),"")</f>
        <v/>
      </c>
      <c r="D860" s="54"/>
      <c r="E860" s="54"/>
      <c r="F860" s="54"/>
      <c r="G860" s="72"/>
      <c r="H860" s="54"/>
      <c r="I860" s="54"/>
      <c r="J860" s="106">
        <f>VLOOKUP(A860&amp;G860,Lookup!J:N,5,0)</f>
        <v>0</v>
      </c>
      <c r="K860" s="115"/>
      <c r="L860" s="54"/>
      <c r="M860" s="54"/>
      <c r="N860" s="54"/>
      <c r="O860" s="112">
        <v>35.5590277777778</v>
      </c>
      <c r="P860" s="110" t="str">
        <f t="shared" si="62"/>
        <v/>
      </c>
      <c r="Q860" s="54"/>
      <c r="R860" s="87" t="str">
        <f t="shared" si="64"/>
        <v/>
      </c>
      <c r="S860" s="87" t="str">
        <f t="shared" si="65"/>
        <v/>
      </c>
      <c r="T860" s="54"/>
      <c r="U860" s="54"/>
      <c r="V860" s="54"/>
      <c r="W860" s="54"/>
      <c r="X860" s="69" t="str">
        <f t="shared" si="63"/>
        <v>D</v>
      </c>
    </row>
    <row r="861" spans="1:24" s="66" customFormat="1" x14ac:dyDescent="0.25">
      <c r="A861" s="51"/>
      <c r="B861" s="91" t="str">
        <f>IFERROR(VLOOKUP(A861,Lookup!A:B,2,0),"")</f>
        <v/>
      </c>
      <c r="C861" s="92" t="str">
        <f>IFERROR(VLOOKUP(A861,Lookup!A:C,3,0),"")</f>
        <v/>
      </c>
      <c r="D861" s="54"/>
      <c r="E861" s="54"/>
      <c r="F861" s="54"/>
      <c r="G861" s="72"/>
      <c r="H861" s="54"/>
      <c r="I861" s="54"/>
      <c r="J861" s="106">
        <f>VLOOKUP(A861&amp;G861,Lookup!J:N,5,0)</f>
        <v>0</v>
      </c>
      <c r="K861" s="115"/>
      <c r="L861" s="54"/>
      <c r="M861" s="54"/>
      <c r="N861" s="54"/>
      <c r="O861" s="112">
        <v>35.6006944444444</v>
      </c>
      <c r="P861" s="110" t="str">
        <f t="shared" si="62"/>
        <v/>
      </c>
      <c r="Q861" s="54"/>
      <c r="R861" s="87" t="str">
        <f t="shared" si="64"/>
        <v/>
      </c>
      <c r="S861" s="87" t="str">
        <f t="shared" si="65"/>
        <v/>
      </c>
      <c r="T861" s="54"/>
      <c r="U861" s="54"/>
      <c r="V861" s="54"/>
      <c r="W861" s="54"/>
      <c r="X861" s="69" t="str">
        <f t="shared" si="63"/>
        <v>D</v>
      </c>
    </row>
    <row r="862" spans="1:24" s="66" customFormat="1" x14ac:dyDescent="0.25">
      <c r="A862" s="51"/>
      <c r="B862" s="91" t="str">
        <f>IFERROR(VLOOKUP(A862,Lookup!A:B,2,0),"")</f>
        <v/>
      </c>
      <c r="C862" s="92" t="str">
        <f>IFERROR(VLOOKUP(A862,Lookup!A:C,3,0),"")</f>
        <v/>
      </c>
      <c r="D862" s="54"/>
      <c r="E862" s="54"/>
      <c r="F862" s="54"/>
      <c r="G862" s="72"/>
      <c r="H862" s="54"/>
      <c r="I862" s="54"/>
      <c r="J862" s="106">
        <f>VLOOKUP(A862&amp;G862,Lookup!J:N,5,0)</f>
        <v>0</v>
      </c>
      <c r="K862" s="115"/>
      <c r="L862" s="54"/>
      <c r="M862" s="54"/>
      <c r="N862" s="54"/>
      <c r="O862" s="112">
        <v>35.6423611111111</v>
      </c>
      <c r="P862" s="110" t="str">
        <f t="shared" si="62"/>
        <v/>
      </c>
      <c r="Q862" s="54"/>
      <c r="R862" s="87" t="str">
        <f t="shared" si="64"/>
        <v/>
      </c>
      <c r="S862" s="87" t="str">
        <f t="shared" si="65"/>
        <v/>
      </c>
      <c r="T862" s="54"/>
      <c r="U862" s="54"/>
      <c r="V862" s="54"/>
      <c r="W862" s="54"/>
      <c r="X862" s="69" t="str">
        <f t="shared" si="63"/>
        <v>D</v>
      </c>
    </row>
    <row r="863" spans="1:24" s="66" customFormat="1" x14ac:dyDescent="0.25">
      <c r="A863" s="51"/>
      <c r="B863" s="91" t="str">
        <f>IFERROR(VLOOKUP(A863,Lookup!A:B,2,0),"")</f>
        <v/>
      </c>
      <c r="C863" s="92" t="str">
        <f>IFERROR(VLOOKUP(A863,Lookup!A:C,3,0),"")</f>
        <v/>
      </c>
      <c r="D863" s="54"/>
      <c r="E863" s="54"/>
      <c r="F863" s="54"/>
      <c r="G863" s="72"/>
      <c r="H863" s="54"/>
      <c r="I863" s="54"/>
      <c r="J863" s="106">
        <f>VLOOKUP(A863&amp;G863,Lookup!J:N,5,0)</f>
        <v>0</v>
      </c>
      <c r="K863" s="115"/>
      <c r="L863" s="54"/>
      <c r="M863" s="54"/>
      <c r="N863" s="54"/>
      <c r="O863" s="112">
        <v>35.6840277777778</v>
      </c>
      <c r="P863" s="110" t="str">
        <f t="shared" si="62"/>
        <v/>
      </c>
      <c r="Q863" s="54"/>
      <c r="R863" s="87" t="str">
        <f t="shared" si="64"/>
        <v/>
      </c>
      <c r="S863" s="87" t="str">
        <f t="shared" si="65"/>
        <v/>
      </c>
      <c r="T863" s="54"/>
      <c r="U863" s="54"/>
      <c r="V863" s="54"/>
      <c r="W863" s="54"/>
      <c r="X863" s="69" t="str">
        <f t="shared" si="63"/>
        <v>D</v>
      </c>
    </row>
    <row r="864" spans="1:24" s="66" customFormat="1" x14ac:dyDescent="0.25">
      <c r="A864" s="51"/>
      <c r="B864" s="91" t="str">
        <f>IFERROR(VLOOKUP(A864,Lookup!A:B,2,0),"")</f>
        <v/>
      </c>
      <c r="C864" s="92" t="str">
        <f>IFERROR(VLOOKUP(A864,Lookup!A:C,3,0),"")</f>
        <v/>
      </c>
      <c r="D864" s="54"/>
      <c r="E864" s="54"/>
      <c r="F864" s="54"/>
      <c r="G864" s="72"/>
      <c r="H864" s="54"/>
      <c r="I864" s="54"/>
      <c r="J864" s="106">
        <f>VLOOKUP(A864&amp;G864,Lookup!J:N,5,0)</f>
        <v>0</v>
      </c>
      <c r="K864" s="115"/>
      <c r="L864" s="54"/>
      <c r="M864" s="54"/>
      <c r="N864" s="54"/>
      <c r="O864" s="112">
        <v>35.7256944444444</v>
      </c>
      <c r="P864" s="110" t="str">
        <f t="shared" si="62"/>
        <v/>
      </c>
      <c r="Q864" s="54"/>
      <c r="R864" s="87" t="str">
        <f t="shared" si="64"/>
        <v/>
      </c>
      <c r="S864" s="87" t="str">
        <f t="shared" si="65"/>
        <v/>
      </c>
      <c r="T864" s="54"/>
      <c r="U864" s="54"/>
      <c r="V864" s="54"/>
      <c r="W864" s="54"/>
      <c r="X864" s="69" t="str">
        <f t="shared" si="63"/>
        <v>D</v>
      </c>
    </row>
    <row r="865" spans="1:24" s="66" customFormat="1" x14ac:dyDescent="0.25">
      <c r="A865" s="51"/>
      <c r="B865" s="91" t="str">
        <f>IFERROR(VLOOKUP(A865,Lookup!A:B,2,0),"")</f>
        <v/>
      </c>
      <c r="C865" s="92" t="str">
        <f>IFERROR(VLOOKUP(A865,Lookup!A:C,3,0),"")</f>
        <v/>
      </c>
      <c r="D865" s="54"/>
      <c r="E865" s="54"/>
      <c r="F865" s="54"/>
      <c r="G865" s="72"/>
      <c r="H865" s="54"/>
      <c r="I865" s="54"/>
      <c r="J865" s="106">
        <f>VLOOKUP(A865&amp;G865,Lookup!J:N,5,0)</f>
        <v>0</v>
      </c>
      <c r="K865" s="115"/>
      <c r="L865" s="54"/>
      <c r="M865" s="54"/>
      <c r="N865" s="54"/>
      <c r="O865" s="112">
        <v>35.7673611111111</v>
      </c>
      <c r="P865" s="110" t="str">
        <f t="shared" si="62"/>
        <v/>
      </c>
      <c r="Q865" s="54"/>
      <c r="R865" s="87" t="str">
        <f t="shared" si="64"/>
        <v/>
      </c>
      <c r="S865" s="87" t="str">
        <f t="shared" si="65"/>
        <v/>
      </c>
      <c r="T865" s="54"/>
      <c r="U865" s="54"/>
      <c r="V865" s="54"/>
      <c r="W865" s="54"/>
      <c r="X865" s="69" t="str">
        <f t="shared" si="63"/>
        <v>D</v>
      </c>
    </row>
    <row r="866" spans="1:24" s="66" customFormat="1" x14ac:dyDescent="0.25">
      <c r="A866" s="51"/>
      <c r="B866" s="91" t="str">
        <f>IFERROR(VLOOKUP(A866,Lookup!A:B,2,0),"")</f>
        <v/>
      </c>
      <c r="C866" s="92" t="str">
        <f>IFERROR(VLOOKUP(A866,Lookup!A:C,3,0),"")</f>
        <v/>
      </c>
      <c r="D866" s="54"/>
      <c r="E866" s="54"/>
      <c r="F866" s="54"/>
      <c r="G866" s="72"/>
      <c r="H866" s="54"/>
      <c r="I866" s="54"/>
      <c r="J866" s="106">
        <f>VLOOKUP(A866&amp;G866,Lookup!J:N,5,0)</f>
        <v>0</v>
      </c>
      <c r="K866" s="115"/>
      <c r="L866" s="54"/>
      <c r="M866" s="54"/>
      <c r="N866" s="54"/>
      <c r="O866" s="112">
        <v>35.8090277777778</v>
      </c>
      <c r="P866" s="110" t="str">
        <f t="shared" si="62"/>
        <v/>
      </c>
      <c r="Q866" s="54"/>
      <c r="R866" s="87" t="str">
        <f t="shared" si="64"/>
        <v/>
      </c>
      <c r="S866" s="87" t="str">
        <f t="shared" si="65"/>
        <v/>
      </c>
      <c r="T866" s="54"/>
      <c r="U866" s="54"/>
      <c r="V866" s="54"/>
      <c r="W866" s="54"/>
      <c r="X866" s="69" t="str">
        <f t="shared" si="63"/>
        <v>D</v>
      </c>
    </row>
    <row r="867" spans="1:24" s="66" customFormat="1" x14ac:dyDescent="0.25">
      <c r="A867" s="51"/>
      <c r="B867" s="91" t="str">
        <f>IFERROR(VLOOKUP(A867,Lookup!A:B,2,0),"")</f>
        <v/>
      </c>
      <c r="C867" s="92" t="str">
        <f>IFERROR(VLOOKUP(A867,Lookup!A:C,3,0),"")</f>
        <v/>
      </c>
      <c r="D867" s="54"/>
      <c r="E867" s="54"/>
      <c r="F867" s="54"/>
      <c r="G867" s="72"/>
      <c r="H867" s="54"/>
      <c r="I867" s="54"/>
      <c r="J867" s="106">
        <f>VLOOKUP(A867&amp;G867,Lookup!J:N,5,0)</f>
        <v>0</v>
      </c>
      <c r="K867" s="115"/>
      <c r="L867" s="54"/>
      <c r="M867" s="54"/>
      <c r="N867" s="54"/>
      <c r="O867" s="112">
        <v>35.8506944444444</v>
      </c>
      <c r="P867" s="110" t="str">
        <f t="shared" si="62"/>
        <v/>
      </c>
      <c r="Q867" s="54"/>
      <c r="R867" s="87" t="str">
        <f t="shared" si="64"/>
        <v/>
      </c>
      <c r="S867" s="87" t="str">
        <f t="shared" si="65"/>
        <v/>
      </c>
      <c r="T867" s="54"/>
      <c r="U867" s="54"/>
      <c r="V867" s="54"/>
      <c r="W867" s="54"/>
      <c r="X867" s="69" t="str">
        <f t="shared" si="63"/>
        <v>D</v>
      </c>
    </row>
    <row r="868" spans="1:24" s="66" customFormat="1" x14ac:dyDescent="0.25">
      <c r="A868" s="51"/>
      <c r="B868" s="91" t="str">
        <f>IFERROR(VLOOKUP(A868,Lookup!A:B,2,0),"")</f>
        <v/>
      </c>
      <c r="C868" s="92" t="str">
        <f>IFERROR(VLOOKUP(A868,Lookup!A:C,3,0),"")</f>
        <v/>
      </c>
      <c r="D868" s="54"/>
      <c r="E868" s="54"/>
      <c r="F868" s="54"/>
      <c r="G868" s="72"/>
      <c r="H868" s="54"/>
      <c r="I868" s="54"/>
      <c r="J868" s="106">
        <f>VLOOKUP(A868&amp;G868,Lookup!J:N,5,0)</f>
        <v>0</v>
      </c>
      <c r="K868" s="115"/>
      <c r="L868" s="54"/>
      <c r="M868" s="54"/>
      <c r="N868" s="54"/>
      <c r="O868" s="112">
        <v>35.8923611111111</v>
      </c>
      <c r="P868" s="110" t="str">
        <f t="shared" si="62"/>
        <v/>
      </c>
      <c r="Q868" s="54"/>
      <c r="R868" s="87" t="str">
        <f t="shared" si="64"/>
        <v/>
      </c>
      <c r="S868" s="87" t="str">
        <f t="shared" si="65"/>
        <v/>
      </c>
      <c r="T868" s="54"/>
      <c r="U868" s="54"/>
      <c r="V868" s="54"/>
      <c r="W868" s="54"/>
      <c r="X868" s="69" t="str">
        <f t="shared" si="63"/>
        <v>D</v>
      </c>
    </row>
    <row r="869" spans="1:24" s="66" customFormat="1" x14ac:dyDescent="0.25">
      <c r="A869" s="51"/>
      <c r="B869" s="91" t="str">
        <f>IFERROR(VLOOKUP(A869,Lookup!A:B,2,0),"")</f>
        <v/>
      </c>
      <c r="C869" s="92" t="str">
        <f>IFERROR(VLOOKUP(A869,Lookup!A:C,3,0),"")</f>
        <v/>
      </c>
      <c r="D869" s="54"/>
      <c r="E869" s="54"/>
      <c r="F869" s="54"/>
      <c r="G869" s="72"/>
      <c r="H869" s="54"/>
      <c r="I869" s="54"/>
      <c r="J869" s="106">
        <f>VLOOKUP(A869&amp;G869,Lookup!J:N,5,0)</f>
        <v>0</v>
      </c>
      <c r="K869" s="115"/>
      <c r="L869" s="54"/>
      <c r="M869" s="54"/>
      <c r="N869" s="54"/>
      <c r="O869" s="112">
        <v>35.9340277777778</v>
      </c>
      <c r="P869" s="110" t="str">
        <f t="shared" si="62"/>
        <v/>
      </c>
      <c r="Q869" s="54"/>
      <c r="R869" s="87" t="str">
        <f t="shared" si="64"/>
        <v/>
      </c>
      <c r="S869" s="87" t="str">
        <f t="shared" si="65"/>
        <v/>
      </c>
      <c r="T869" s="54"/>
      <c r="U869" s="54"/>
      <c r="V869" s="54"/>
      <c r="W869" s="54"/>
      <c r="X869" s="69" t="str">
        <f t="shared" si="63"/>
        <v>D</v>
      </c>
    </row>
    <row r="870" spans="1:24" s="66" customFormat="1" x14ac:dyDescent="0.25">
      <c r="A870" s="51"/>
      <c r="B870" s="91" t="str">
        <f>IFERROR(VLOOKUP(A870,Lookup!A:B,2,0),"")</f>
        <v/>
      </c>
      <c r="C870" s="92" t="str">
        <f>IFERROR(VLOOKUP(A870,Lookup!A:C,3,0),"")</f>
        <v/>
      </c>
      <c r="D870" s="54"/>
      <c r="E870" s="54"/>
      <c r="F870" s="54"/>
      <c r="G870" s="72"/>
      <c r="H870" s="54"/>
      <c r="I870" s="54"/>
      <c r="J870" s="106">
        <f>VLOOKUP(A870&amp;G870,Lookup!J:N,5,0)</f>
        <v>0</v>
      </c>
      <c r="K870" s="115"/>
      <c r="L870" s="54"/>
      <c r="M870" s="54"/>
      <c r="N870" s="54"/>
      <c r="O870" s="112">
        <v>35.9756944444444</v>
      </c>
      <c r="P870" s="110" t="str">
        <f t="shared" si="62"/>
        <v/>
      </c>
      <c r="Q870" s="54"/>
      <c r="R870" s="87" t="str">
        <f t="shared" si="64"/>
        <v/>
      </c>
      <c r="S870" s="87" t="str">
        <f t="shared" si="65"/>
        <v/>
      </c>
      <c r="T870" s="54"/>
      <c r="U870" s="54"/>
      <c r="V870" s="54"/>
      <c r="W870" s="54"/>
      <c r="X870" s="69" t="str">
        <f t="shared" si="63"/>
        <v>D</v>
      </c>
    </row>
    <row r="871" spans="1:24" s="66" customFormat="1" x14ac:dyDescent="0.25">
      <c r="A871" s="51"/>
      <c r="B871" s="91" t="str">
        <f>IFERROR(VLOOKUP(A871,Lookup!A:B,2,0),"")</f>
        <v/>
      </c>
      <c r="C871" s="92" t="str">
        <f>IFERROR(VLOOKUP(A871,Lookup!A:C,3,0),"")</f>
        <v/>
      </c>
      <c r="D871" s="54"/>
      <c r="E871" s="54"/>
      <c r="F871" s="54"/>
      <c r="G871" s="72"/>
      <c r="H871" s="54"/>
      <c r="I871" s="54"/>
      <c r="J871" s="106">
        <f>VLOOKUP(A871&amp;G871,Lookup!J:N,5,0)</f>
        <v>0</v>
      </c>
      <c r="K871" s="115"/>
      <c r="L871" s="54"/>
      <c r="M871" s="54"/>
      <c r="N871" s="54"/>
      <c r="O871" s="112">
        <v>36.0173611111111</v>
      </c>
      <c r="P871" s="110" t="str">
        <f t="shared" si="62"/>
        <v/>
      </c>
      <c r="Q871" s="54"/>
      <c r="R871" s="87" t="str">
        <f t="shared" si="64"/>
        <v/>
      </c>
      <c r="S871" s="87" t="str">
        <f t="shared" si="65"/>
        <v/>
      </c>
      <c r="T871" s="54"/>
      <c r="U871" s="54"/>
      <c r="V871" s="54"/>
      <c r="W871" s="54"/>
      <c r="X871" s="69" t="str">
        <f t="shared" si="63"/>
        <v>D</v>
      </c>
    </row>
    <row r="872" spans="1:24" s="66" customFormat="1" x14ac:dyDescent="0.25">
      <c r="A872" s="51"/>
      <c r="B872" s="91" t="str">
        <f>IFERROR(VLOOKUP(A872,Lookup!A:B,2,0),"")</f>
        <v/>
      </c>
      <c r="C872" s="92" t="str">
        <f>IFERROR(VLOOKUP(A872,Lookup!A:C,3,0),"")</f>
        <v/>
      </c>
      <c r="D872" s="54"/>
      <c r="E872" s="54"/>
      <c r="F872" s="54"/>
      <c r="G872" s="72"/>
      <c r="H872" s="54"/>
      <c r="I872" s="54"/>
      <c r="J872" s="106">
        <f>VLOOKUP(A872&amp;G872,Lookup!J:N,5,0)</f>
        <v>0</v>
      </c>
      <c r="K872" s="115"/>
      <c r="L872" s="54"/>
      <c r="M872" s="54"/>
      <c r="N872" s="54"/>
      <c r="O872" s="112">
        <v>36.0590277777778</v>
      </c>
      <c r="P872" s="110" t="str">
        <f t="shared" si="62"/>
        <v/>
      </c>
      <c r="Q872" s="54"/>
      <c r="R872" s="87" t="str">
        <f t="shared" si="64"/>
        <v/>
      </c>
      <c r="S872" s="87" t="str">
        <f t="shared" si="65"/>
        <v/>
      </c>
      <c r="T872" s="54"/>
      <c r="U872" s="54"/>
      <c r="V872" s="54"/>
      <c r="W872" s="54"/>
      <c r="X872" s="69" t="str">
        <f t="shared" si="63"/>
        <v>D</v>
      </c>
    </row>
    <row r="873" spans="1:24" s="66" customFormat="1" x14ac:dyDescent="0.25">
      <c r="A873" s="51"/>
      <c r="B873" s="91" t="str">
        <f>IFERROR(VLOOKUP(A873,Lookup!A:B,2,0),"")</f>
        <v/>
      </c>
      <c r="C873" s="92" t="str">
        <f>IFERROR(VLOOKUP(A873,Lookup!A:C,3,0),"")</f>
        <v/>
      </c>
      <c r="D873" s="54"/>
      <c r="E873" s="54"/>
      <c r="F873" s="54"/>
      <c r="G873" s="72"/>
      <c r="H873" s="54"/>
      <c r="I873" s="54"/>
      <c r="J873" s="106">
        <f>VLOOKUP(A873&amp;G873,Lookup!J:N,5,0)</f>
        <v>0</v>
      </c>
      <c r="K873" s="115"/>
      <c r="L873" s="54"/>
      <c r="M873" s="54"/>
      <c r="N873" s="54"/>
      <c r="O873" s="112">
        <v>36.1006944444444</v>
      </c>
      <c r="P873" s="110" t="str">
        <f t="shared" si="62"/>
        <v/>
      </c>
      <c r="Q873" s="54"/>
      <c r="R873" s="87" t="str">
        <f t="shared" si="64"/>
        <v/>
      </c>
      <c r="S873" s="87" t="str">
        <f t="shared" si="65"/>
        <v/>
      </c>
      <c r="T873" s="54"/>
      <c r="U873" s="54"/>
      <c r="V873" s="54"/>
      <c r="W873" s="54"/>
      <c r="X873" s="69" t="str">
        <f t="shared" si="63"/>
        <v>D</v>
      </c>
    </row>
    <row r="874" spans="1:24" s="66" customFormat="1" x14ac:dyDescent="0.25">
      <c r="A874" s="51"/>
      <c r="B874" s="91" t="str">
        <f>IFERROR(VLOOKUP(A874,Lookup!A:B,2,0),"")</f>
        <v/>
      </c>
      <c r="C874" s="92" t="str">
        <f>IFERROR(VLOOKUP(A874,Lookup!A:C,3,0),"")</f>
        <v/>
      </c>
      <c r="D874" s="54"/>
      <c r="E874" s="54"/>
      <c r="F874" s="54"/>
      <c r="G874" s="72"/>
      <c r="H874" s="54"/>
      <c r="I874" s="54"/>
      <c r="J874" s="106">
        <f>VLOOKUP(A874&amp;G874,Lookup!J:N,5,0)</f>
        <v>0</v>
      </c>
      <c r="K874" s="115"/>
      <c r="L874" s="54"/>
      <c r="M874" s="54"/>
      <c r="N874" s="54"/>
      <c r="O874" s="112">
        <v>36.1423611111111</v>
      </c>
      <c r="P874" s="110" t="str">
        <f t="shared" si="62"/>
        <v/>
      </c>
      <c r="Q874" s="54"/>
      <c r="R874" s="87" t="str">
        <f t="shared" si="64"/>
        <v/>
      </c>
      <c r="S874" s="87" t="str">
        <f t="shared" si="65"/>
        <v/>
      </c>
      <c r="T874" s="54"/>
      <c r="U874" s="54"/>
      <c r="V874" s="54"/>
      <c r="W874" s="54"/>
      <c r="X874" s="69" t="str">
        <f t="shared" si="63"/>
        <v>D</v>
      </c>
    </row>
    <row r="875" spans="1:24" s="66" customFormat="1" x14ac:dyDescent="0.25">
      <c r="A875" s="51"/>
      <c r="B875" s="91" t="str">
        <f>IFERROR(VLOOKUP(A875,Lookup!A:B,2,0),"")</f>
        <v/>
      </c>
      <c r="C875" s="92" t="str">
        <f>IFERROR(VLOOKUP(A875,Lookup!A:C,3,0),"")</f>
        <v/>
      </c>
      <c r="D875" s="54"/>
      <c r="E875" s="54"/>
      <c r="F875" s="54"/>
      <c r="G875" s="72"/>
      <c r="H875" s="54"/>
      <c r="I875" s="54"/>
      <c r="J875" s="106">
        <f>VLOOKUP(A875&amp;G875,Lookup!J:N,5,0)</f>
        <v>0</v>
      </c>
      <c r="K875" s="115"/>
      <c r="L875" s="54"/>
      <c r="M875" s="54"/>
      <c r="N875" s="54"/>
      <c r="O875" s="112">
        <v>36.1840277777778</v>
      </c>
      <c r="P875" s="110" t="str">
        <f t="shared" si="62"/>
        <v/>
      </c>
      <c r="Q875" s="54"/>
      <c r="R875" s="87" t="str">
        <f t="shared" si="64"/>
        <v/>
      </c>
      <c r="S875" s="87" t="str">
        <f t="shared" si="65"/>
        <v/>
      </c>
      <c r="T875" s="54"/>
      <c r="U875" s="54"/>
      <c r="V875" s="54"/>
      <c r="W875" s="54"/>
      <c r="X875" s="69" t="str">
        <f t="shared" si="63"/>
        <v>D</v>
      </c>
    </row>
    <row r="876" spans="1:24" s="66" customFormat="1" x14ac:dyDescent="0.25">
      <c r="A876" s="51"/>
      <c r="B876" s="91" t="str">
        <f>IFERROR(VLOOKUP(A876,Lookup!A:B,2,0),"")</f>
        <v/>
      </c>
      <c r="C876" s="92" t="str">
        <f>IFERROR(VLOOKUP(A876,Lookup!A:C,3,0),"")</f>
        <v/>
      </c>
      <c r="D876" s="54"/>
      <c r="E876" s="54"/>
      <c r="F876" s="54"/>
      <c r="G876" s="72"/>
      <c r="H876" s="54"/>
      <c r="I876" s="54"/>
      <c r="J876" s="106">
        <f>VLOOKUP(A876&amp;G876,Lookup!J:N,5,0)</f>
        <v>0</v>
      </c>
      <c r="K876" s="115"/>
      <c r="L876" s="54"/>
      <c r="M876" s="54"/>
      <c r="N876" s="54"/>
      <c r="O876" s="112">
        <v>36.2256944444444</v>
      </c>
      <c r="P876" s="110" t="str">
        <f t="shared" si="62"/>
        <v/>
      </c>
      <c r="Q876" s="54"/>
      <c r="R876" s="87" t="str">
        <f t="shared" si="64"/>
        <v/>
      </c>
      <c r="S876" s="87" t="str">
        <f t="shared" si="65"/>
        <v/>
      </c>
      <c r="T876" s="54"/>
      <c r="U876" s="54"/>
      <c r="V876" s="54"/>
      <c r="W876" s="54"/>
      <c r="X876" s="69" t="str">
        <f t="shared" si="63"/>
        <v>D</v>
      </c>
    </row>
    <row r="877" spans="1:24" s="66" customFormat="1" x14ac:dyDescent="0.25">
      <c r="A877" s="51"/>
      <c r="B877" s="91" t="str">
        <f>IFERROR(VLOOKUP(A877,Lookup!A:B,2,0),"")</f>
        <v/>
      </c>
      <c r="C877" s="92" t="str">
        <f>IFERROR(VLOOKUP(A877,Lookup!A:C,3,0),"")</f>
        <v/>
      </c>
      <c r="D877" s="54"/>
      <c r="E877" s="54"/>
      <c r="F877" s="54"/>
      <c r="G877" s="72"/>
      <c r="H877" s="54"/>
      <c r="I877" s="54"/>
      <c r="J877" s="106">
        <f>VLOOKUP(A877&amp;G877,Lookup!J:N,5,0)</f>
        <v>0</v>
      </c>
      <c r="K877" s="115"/>
      <c r="L877" s="54"/>
      <c r="M877" s="54"/>
      <c r="N877" s="54"/>
      <c r="O877" s="112">
        <v>36.2673611111111</v>
      </c>
      <c r="P877" s="110" t="str">
        <f t="shared" si="62"/>
        <v/>
      </c>
      <c r="Q877" s="54"/>
      <c r="R877" s="87" t="str">
        <f t="shared" si="64"/>
        <v/>
      </c>
      <c r="S877" s="87" t="str">
        <f t="shared" si="65"/>
        <v/>
      </c>
      <c r="T877" s="54"/>
      <c r="U877" s="54"/>
      <c r="V877" s="54"/>
      <c r="W877" s="54"/>
      <c r="X877" s="69" t="str">
        <f t="shared" si="63"/>
        <v>D</v>
      </c>
    </row>
    <row r="878" spans="1:24" s="66" customFormat="1" x14ac:dyDescent="0.25">
      <c r="A878" s="51"/>
      <c r="B878" s="91" t="str">
        <f>IFERROR(VLOOKUP(A878,Lookup!A:B,2,0),"")</f>
        <v/>
      </c>
      <c r="C878" s="92" t="str">
        <f>IFERROR(VLOOKUP(A878,Lookup!A:C,3,0),"")</f>
        <v/>
      </c>
      <c r="D878" s="54"/>
      <c r="E878" s="54"/>
      <c r="F878" s="54"/>
      <c r="G878" s="72"/>
      <c r="H878" s="54"/>
      <c r="I878" s="54"/>
      <c r="J878" s="106">
        <f>VLOOKUP(A878&amp;G878,Lookup!J:N,5,0)</f>
        <v>0</v>
      </c>
      <c r="K878" s="115"/>
      <c r="L878" s="54"/>
      <c r="M878" s="54"/>
      <c r="N878" s="54"/>
      <c r="O878" s="112">
        <v>36.3090277777778</v>
      </c>
      <c r="P878" s="110" t="str">
        <f t="shared" si="62"/>
        <v/>
      </c>
      <c r="Q878" s="54"/>
      <c r="R878" s="87" t="str">
        <f t="shared" si="64"/>
        <v/>
      </c>
      <c r="S878" s="87" t="str">
        <f t="shared" si="65"/>
        <v/>
      </c>
      <c r="T878" s="54"/>
      <c r="U878" s="54"/>
      <c r="V878" s="54"/>
      <c r="W878" s="54"/>
      <c r="X878" s="69" t="str">
        <f t="shared" si="63"/>
        <v>D</v>
      </c>
    </row>
    <row r="879" spans="1:24" s="66" customFormat="1" x14ac:dyDescent="0.25">
      <c r="A879" s="51"/>
      <c r="B879" s="91" t="str">
        <f>IFERROR(VLOOKUP(A879,Lookup!A:B,2,0),"")</f>
        <v/>
      </c>
      <c r="C879" s="92" t="str">
        <f>IFERROR(VLOOKUP(A879,Lookup!A:C,3,0),"")</f>
        <v/>
      </c>
      <c r="D879" s="54"/>
      <c r="E879" s="54"/>
      <c r="F879" s="54"/>
      <c r="G879" s="72"/>
      <c r="H879" s="54"/>
      <c r="I879" s="54"/>
      <c r="J879" s="106">
        <f>VLOOKUP(A879&amp;G879,Lookup!J:N,5,0)</f>
        <v>0</v>
      </c>
      <c r="K879" s="115"/>
      <c r="L879" s="54"/>
      <c r="M879" s="54"/>
      <c r="N879" s="54"/>
      <c r="O879" s="112">
        <v>36.3506944444444</v>
      </c>
      <c r="P879" s="110" t="str">
        <f t="shared" si="62"/>
        <v/>
      </c>
      <c r="Q879" s="54"/>
      <c r="R879" s="87" t="str">
        <f t="shared" si="64"/>
        <v/>
      </c>
      <c r="S879" s="87" t="str">
        <f t="shared" si="65"/>
        <v/>
      </c>
      <c r="T879" s="54"/>
      <c r="U879" s="54"/>
      <c r="V879" s="54"/>
      <c r="W879" s="54"/>
      <c r="X879" s="69" t="str">
        <f t="shared" si="63"/>
        <v>D</v>
      </c>
    </row>
    <row r="880" spans="1:24" s="66" customFormat="1" x14ac:dyDescent="0.25">
      <c r="A880" s="51"/>
      <c r="B880" s="91" t="str">
        <f>IFERROR(VLOOKUP(A880,Lookup!A:B,2,0),"")</f>
        <v/>
      </c>
      <c r="C880" s="92" t="str">
        <f>IFERROR(VLOOKUP(A880,Lookup!A:C,3,0),"")</f>
        <v/>
      </c>
      <c r="D880" s="54"/>
      <c r="E880" s="54"/>
      <c r="F880" s="54"/>
      <c r="G880" s="72"/>
      <c r="H880" s="54"/>
      <c r="I880" s="54"/>
      <c r="J880" s="106">
        <f>VLOOKUP(A880&amp;G880,Lookup!J:N,5,0)</f>
        <v>0</v>
      </c>
      <c r="K880" s="115"/>
      <c r="L880" s="54"/>
      <c r="M880" s="54"/>
      <c r="N880" s="54"/>
      <c r="O880" s="112">
        <v>36.3923611111111</v>
      </c>
      <c r="P880" s="110" t="str">
        <f t="shared" si="62"/>
        <v/>
      </c>
      <c r="Q880" s="54"/>
      <c r="R880" s="87" t="str">
        <f t="shared" si="64"/>
        <v/>
      </c>
      <c r="S880" s="87" t="str">
        <f t="shared" si="65"/>
        <v/>
      </c>
      <c r="T880" s="54"/>
      <c r="U880" s="54"/>
      <c r="V880" s="54"/>
      <c r="W880" s="54"/>
      <c r="X880" s="69" t="str">
        <f t="shared" si="63"/>
        <v>D</v>
      </c>
    </row>
    <row r="881" spans="1:24" s="66" customFormat="1" x14ac:dyDescent="0.25">
      <c r="A881" s="51"/>
      <c r="B881" s="91" t="str">
        <f>IFERROR(VLOOKUP(A881,Lookup!A:B,2,0),"")</f>
        <v/>
      </c>
      <c r="C881" s="92" t="str">
        <f>IFERROR(VLOOKUP(A881,Lookup!A:C,3,0),"")</f>
        <v/>
      </c>
      <c r="D881" s="54"/>
      <c r="E881" s="54"/>
      <c r="F881" s="54"/>
      <c r="G881" s="72"/>
      <c r="H881" s="54"/>
      <c r="I881" s="54"/>
      <c r="J881" s="106">
        <f>VLOOKUP(A881&amp;G881,Lookup!J:N,5,0)</f>
        <v>0</v>
      </c>
      <c r="K881" s="115"/>
      <c r="L881" s="54"/>
      <c r="M881" s="54"/>
      <c r="N881" s="54"/>
      <c r="O881" s="112">
        <v>36.4340277777778</v>
      </c>
      <c r="P881" s="110" t="str">
        <f t="shared" si="62"/>
        <v/>
      </c>
      <c r="Q881" s="54"/>
      <c r="R881" s="87" t="str">
        <f t="shared" si="64"/>
        <v/>
      </c>
      <c r="S881" s="87" t="str">
        <f t="shared" si="65"/>
        <v/>
      </c>
      <c r="T881" s="54"/>
      <c r="U881" s="54"/>
      <c r="V881" s="54"/>
      <c r="W881" s="54"/>
      <c r="X881" s="69" t="str">
        <f t="shared" si="63"/>
        <v>D</v>
      </c>
    </row>
    <row r="882" spans="1:24" s="66" customFormat="1" x14ac:dyDescent="0.25">
      <c r="A882" s="51"/>
      <c r="B882" s="91" t="str">
        <f>IFERROR(VLOOKUP(A882,Lookup!A:B,2,0),"")</f>
        <v/>
      </c>
      <c r="C882" s="92" t="str">
        <f>IFERROR(VLOOKUP(A882,Lookup!A:C,3,0),"")</f>
        <v/>
      </c>
      <c r="D882" s="54"/>
      <c r="E882" s="54"/>
      <c r="F882" s="54"/>
      <c r="G882" s="72"/>
      <c r="H882" s="54"/>
      <c r="I882" s="54"/>
      <c r="J882" s="106">
        <f>VLOOKUP(A882&amp;G882,Lookup!J:N,5,0)</f>
        <v>0</v>
      </c>
      <c r="K882" s="115"/>
      <c r="L882" s="54"/>
      <c r="M882" s="54"/>
      <c r="N882" s="54"/>
      <c r="O882" s="112">
        <v>36.4756944444444</v>
      </c>
      <c r="P882" s="110" t="str">
        <f t="shared" si="62"/>
        <v/>
      </c>
      <c r="Q882" s="54"/>
      <c r="R882" s="87" t="str">
        <f t="shared" si="64"/>
        <v/>
      </c>
      <c r="S882" s="87" t="str">
        <f t="shared" si="65"/>
        <v/>
      </c>
      <c r="T882" s="54"/>
      <c r="U882" s="54"/>
      <c r="V882" s="54"/>
      <c r="W882" s="54"/>
      <c r="X882" s="69" t="str">
        <f t="shared" si="63"/>
        <v>D</v>
      </c>
    </row>
    <row r="883" spans="1:24" s="66" customFormat="1" x14ac:dyDescent="0.25">
      <c r="A883" s="51"/>
      <c r="B883" s="91" t="str">
        <f>IFERROR(VLOOKUP(A883,Lookup!A:B,2,0),"")</f>
        <v/>
      </c>
      <c r="C883" s="92" t="str">
        <f>IFERROR(VLOOKUP(A883,Lookup!A:C,3,0),"")</f>
        <v/>
      </c>
      <c r="D883" s="54"/>
      <c r="E883" s="54"/>
      <c r="F883" s="54"/>
      <c r="G883" s="72"/>
      <c r="H883" s="54"/>
      <c r="I883" s="54"/>
      <c r="J883" s="106">
        <f>VLOOKUP(A883&amp;G883,Lookup!J:N,5,0)</f>
        <v>0</v>
      </c>
      <c r="K883" s="115"/>
      <c r="L883" s="54"/>
      <c r="M883" s="54"/>
      <c r="N883" s="54"/>
      <c r="O883" s="112">
        <v>36.5173611111111</v>
      </c>
      <c r="P883" s="110" t="str">
        <f t="shared" si="62"/>
        <v/>
      </c>
      <c r="Q883" s="54"/>
      <c r="R883" s="87" t="str">
        <f t="shared" si="64"/>
        <v/>
      </c>
      <c r="S883" s="87" t="str">
        <f t="shared" si="65"/>
        <v/>
      </c>
      <c r="T883" s="54"/>
      <c r="U883" s="54"/>
      <c r="V883" s="54"/>
      <c r="W883" s="54"/>
      <c r="X883" s="69" t="str">
        <f t="shared" si="63"/>
        <v>D</v>
      </c>
    </row>
    <row r="884" spans="1:24" s="66" customFormat="1" x14ac:dyDescent="0.25">
      <c r="A884" s="51"/>
      <c r="B884" s="91" t="str">
        <f>IFERROR(VLOOKUP(A884,Lookup!A:B,2,0),"")</f>
        <v/>
      </c>
      <c r="C884" s="92" t="str">
        <f>IFERROR(VLOOKUP(A884,Lookup!A:C,3,0),"")</f>
        <v/>
      </c>
      <c r="D884" s="54"/>
      <c r="E884" s="54"/>
      <c r="F884" s="54"/>
      <c r="G884" s="72"/>
      <c r="H884" s="54"/>
      <c r="I884" s="54"/>
      <c r="J884" s="106">
        <f>VLOOKUP(A884&amp;G884,Lookup!J:N,5,0)</f>
        <v>0</v>
      </c>
      <c r="K884" s="115"/>
      <c r="L884" s="54"/>
      <c r="M884" s="54"/>
      <c r="N884" s="54"/>
      <c r="O884" s="112">
        <v>36.5590277777778</v>
      </c>
      <c r="P884" s="110" t="str">
        <f t="shared" si="62"/>
        <v/>
      </c>
      <c r="Q884" s="54"/>
      <c r="R884" s="87" t="str">
        <f t="shared" si="64"/>
        <v/>
      </c>
      <c r="S884" s="87" t="str">
        <f t="shared" si="65"/>
        <v/>
      </c>
      <c r="T884" s="54"/>
      <c r="U884" s="54"/>
      <c r="V884" s="54"/>
      <c r="W884" s="54"/>
      <c r="X884" s="69" t="str">
        <f t="shared" si="63"/>
        <v>D</v>
      </c>
    </row>
    <row r="885" spans="1:24" s="66" customFormat="1" x14ac:dyDescent="0.25">
      <c r="A885" s="51"/>
      <c r="B885" s="91" t="str">
        <f>IFERROR(VLOOKUP(A885,Lookup!A:B,2,0),"")</f>
        <v/>
      </c>
      <c r="C885" s="92" t="str">
        <f>IFERROR(VLOOKUP(A885,Lookup!A:C,3,0),"")</f>
        <v/>
      </c>
      <c r="D885" s="54"/>
      <c r="E885" s="54"/>
      <c r="F885" s="54"/>
      <c r="G885" s="72"/>
      <c r="H885" s="54"/>
      <c r="I885" s="54"/>
      <c r="J885" s="106">
        <f>VLOOKUP(A885&amp;G885,Lookup!J:N,5,0)</f>
        <v>0</v>
      </c>
      <c r="K885" s="115"/>
      <c r="L885" s="54"/>
      <c r="M885" s="54"/>
      <c r="N885" s="54"/>
      <c r="O885" s="112">
        <v>36.6006944444444</v>
      </c>
      <c r="P885" s="110" t="str">
        <f t="shared" si="62"/>
        <v/>
      </c>
      <c r="Q885" s="54"/>
      <c r="R885" s="87" t="str">
        <f t="shared" si="64"/>
        <v/>
      </c>
      <c r="S885" s="87" t="str">
        <f t="shared" si="65"/>
        <v/>
      </c>
      <c r="T885" s="54"/>
      <c r="U885" s="54"/>
      <c r="V885" s="54"/>
      <c r="W885" s="54"/>
      <c r="X885" s="69" t="str">
        <f t="shared" si="63"/>
        <v>D</v>
      </c>
    </row>
    <row r="886" spans="1:24" s="66" customFormat="1" x14ac:dyDescent="0.25">
      <c r="A886" s="51"/>
      <c r="B886" s="91" t="str">
        <f>IFERROR(VLOOKUP(A886,Lookup!A:B,2,0),"")</f>
        <v/>
      </c>
      <c r="C886" s="92" t="str">
        <f>IFERROR(VLOOKUP(A886,Lookup!A:C,3,0),"")</f>
        <v/>
      </c>
      <c r="D886" s="54"/>
      <c r="E886" s="54"/>
      <c r="F886" s="54"/>
      <c r="G886" s="72"/>
      <c r="H886" s="54"/>
      <c r="I886" s="54"/>
      <c r="J886" s="106">
        <f>VLOOKUP(A886&amp;G886,Lookup!J:N,5,0)</f>
        <v>0</v>
      </c>
      <c r="K886" s="115"/>
      <c r="L886" s="54"/>
      <c r="M886" s="54"/>
      <c r="N886" s="54"/>
      <c r="O886" s="112">
        <v>36.6423611111111</v>
      </c>
      <c r="P886" s="110" t="str">
        <f t="shared" si="62"/>
        <v/>
      </c>
      <c r="Q886" s="54"/>
      <c r="R886" s="87" t="str">
        <f t="shared" si="64"/>
        <v/>
      </c>
      <c r="S886" s="87" t="str">
        <f t="shared" si="65"/>
        <v/>
      </c>
      <c r="T886" s="54"/>
      <c r="U886" s="54"/>
      <c r="V886" s="54"/>
      <c r="W886" s="54"/>
      <c r="X886" s="69" t="str">
        <f t="shared" si="63"/>
        <v>D</v>
      </c>
    </row>
    <row r="887" spans="1:24" s="66" customFormat="1" x14ac:dyDescent="0.25">
      <c r="A887" s="51"/>
      <c r="B887" s="91" t="str">
        <f>IFERROR(VLOOKUP(A887,Lookup!A:B,2,0),"")</f>
        <v/>
      </c>
      <c r="C887" s="92" t="str">
        <f>IFERROR(VLOOKUP(A887,Lookup!A:C,3,0),"")</f>
        <v/>
      </c>
      <c r="D887" s="54"/>
      <c r="E887" s="54"/>
      <c r="F887" s="54"/>
      <c r="G887" s="72"/>
      <c r="H887" s="54"/>
      <c r="I887" s="54"/>
      <c r="J887" s="106">
        <f>VLOOKUP(A887&amp;G887,Lookup!J:N,5,0)</f>
        <v>0</v>
      </c>
      <c r="K887" s="115"/>
      <c r="L887" s="54"/>
      <c r="M887" s="54"/>
      <c r="N887" s="54"/>
      <c r="O887" s="112">
        <v>36.6840277777778</v>
      </c>
      <c r="P887" s="110" t="str">
        <f t="shared" si="62"/>
        <v/>
      </c>
      <c r="Q887" s="54"/>
      <c r="R887" s="87" t="str">
        <f t="shared" si="64"/>
        <v/>
      </c>
      <c r="S887" s="87" t="str">
        <f t="shared" si="65"/>
        <v/>
      </c>
      <c r="T887" s="54"/>
      <c r="U887" s="54"/>
      <c r="V887" s="54"/>
      <c r="W887" s="54"/>
      <c r="X887" s="69" t="str">
        <f t="shared" si="63"/>
        <v>D</v>
      </c>
    </row>
    <row r="888" spans="1:24" s="66" customFormat="1" x14ac:dyDescent="0.25">
      <c r="A888" s="51"/>
      <c r="B888" s="91" t="str">
        <f>IFERROR(VLOOKUP(A888,Lookup!A:B,2,0),"")</f>
        <v/>
      </c>
      <c r="C888" s="92" t="str">
        <f>IFERROR(VLOOKUP(A888,Lookup!A:C,3,0),"")</f>
        <v/>
      </c>
      <c r="D888" s="54"/>
      <c r="E888" s="54"/>
      <c r="F888" s="54"/>
      <c r="G888" s="72"/>
      <c r="H888" s="54"/>
      <c r="I888" s="54"/>
      <c r="J888" s="106">
        <f>VLOOKUP(A888&amp;G888,Lookup!J:N,5,0)</f>
        <v>0</v>
      </c>
      <c r="K888" s="115"/>
      <c r="L888" s="54"/>
      <c r="M888" s="54"/>
      <c r="N888" s="54"/>
      <c r="O888" s="112">
        <v>36.7256944444444</v>
      </c>
      <c r="P888" s="110" t="str">
        <f t="shared" si="62"/>
        <v/>
      </c>
      <c r="Q888" s="54"/>
      <c r="R888" s="87" t="str">
        <f t="shared" si="64"/>
        <v/>
      </c>
      <c r="S888" s="87" t="str">
        <f t="shared" si="65"/>
        <v/>
      </c>
      <c r="T888" s="54"/>
      <c r="U888" s="54"/>
      <c r="V888" s="54"/>
      <c r="W888" s="54"/>
      <c r="X888" s="69" t="str">
        <f t="shared" si="63"/>
        <v>D</v>
      </c>
    </row>
    <row r="889" spans="1:24" s="66" customFormat="1" x14ac:dyDescent="0.25">
      <c r="A889" s="51"/>
      <c r="B889" s="91" t="str">
        <f>IFERROR(VLOOKUP(A889,Lookup!A:B,2,0),"")</f>
        <v/>
      </c>
      <c r="C889" s="92" t="str">
        <f>IFERROR(VLOOKUP(A889,Lookup!A:C,3,0),"")</f>
        <v/>
      </c>
      <c r="D889" s="54"/>
      <c r="E889" s="54"/>
      <c r="F889" s="54"/>
      <c r="G889" s="72"/>
      <c r="H889" s="54"/>
      <c r="I889" s="54"/>
      <c r="J889" s="106">
        <f>VLOOKUP(A889&amp;G889,Lookup!J:N,5,0)</f>
        <v>0</v>
      </c>
      <c r="K889" s="115"/>
      <c r="L889" s="54"/>
      <c r="M889" s="54"/>
      <c r="N889" s="54"/>
      <c r="O889" s="112">
        <v>36.7673611111111</v>
      </c>
      <c r="P889" s="110" t="str">
        <f t="shared" si="62"/>
        <v/>
      </c>
      <c r="Q889" s="54"/>
      <c r="R889" s="87" t="str">
        <f t="shared" si="64"/>
        <v/>
      </c>
      <c r="S889" s="87" t="str">
        <f t="shared" si="65"/>
        <v/>
      </c>
      <c r="T889" s="54"/>
      <c r="U889" s="54"/>
      <c r="V889" s="54"/>
      <c r="W889" s="54"/>
      <c r="X889" s="69" t="str">
        <f t="shared" si="63"/>
        <v>D</v>
      </c>
    </row>
    <row r="890" spans="1:24" s="66" customFormat="1" x14ac:dyDescent="0.25">
      <c r="A890" s="51"/>
      <c r="B890" s="91" t="str">
        <f>IFERROR(VLOOKUP(A890,Lookup!A:B,2,0),"")</f>
        <v/>
      </c>
      <c r="C890" s="92" t="str">
        <f>IFERROR(VLOOKUP(A890,Lookup!A:C,3,0),"")</f>
        <v/>
      </c>
      <c r="D890" s="54"/>
      <c r="E890" s="54"/>
      <c r="F890" s="54"/>
      <c r="G890" s="72"/>
      <c r="H890" s="54"/>
      <c r="I890" s="54"/>
      <c r="J890" s="106">
        <f>VLOOKUP(A890&amp;G890,Lookup!J:N,5,0)</f>
        <v>0</v>
      </c>
      <c r="K890" s="115"/>
      <c r="L890" s="54"/>
      <c r="M890" s="54"/>
      <c r="N890" s="54"/>
      <c r="O890" s="112">
        <v>36.8090277777778</v>
      </c>
      <c r="P890" s="110" t="str">
        <f t="shared" si="62"/>
        <v/>
      </c>
      <c r="Q890" s="54"/>
      <c r="R890" s="87" t="str">
        <f t="shared" si="64"/>
        <v/>
      </c>
      <c r="S890" s="87" t="str">
        <f t="shared" si="65"/>
        <v/>
      </c>
      <c r="T890" s="54"/>
      <c r="U890" s="54"/>
      <c r="V890" s="54"/>
      <c r="W890" s="54"/>
      <c r="X890" s="69" t="str">
        <f t="shared" si="63"/>
        <v>D</v>
      </c>
    </row>
    <row r="891" spans="1:24" s="66" customFormat="1" x14ac:dyDescent="0.25">
      <c r="A891" s="51"/>
      <c r="B891" s="91" t="str">
        <f>IFERROR(VLOOKUP(A891,Lookup!A:B,2,0),"")</f>
        <v/>
      </c>
      <c r="C891" s="92" t="str">
        <f>IFERROR(VLOOKUP(A891,Lookup!A:C,3,0),"")</f>
        <v/>
      </c>
      <c r="D891" s="54"/>
      <c r="E891" s="54"/>
      <c r="F891" s="54"/>
      <c r="G891" s="72"/>
      <c r="H891" s="54"/>
      <c r="I891" s="54"/>
      <c r="J891" s="106">
        <f>VLOOKUP(A891&amp;G891,Lookup!J:N,5,0)</f>
        <v>0</v>
      </c>
      <c r="K891" s="115"/>
      <c r="L891" s="54"/>
      <c r="M891" s="54"/>
      <c r="N891" s="54"/>
      <c r="O891" s="112">
        <v>36.8506944444444</v>
      </c>
      <c r="P891" s="110" t="str">
        <f t="shared" si="62"/>
        <v/>
      </c>
      <c r="Q891" s="54"/>
      <c r="R891" s="87" t="str">
        <f t="shared" si="64"/>
        <v/>
      </c>
      <c r="S891" s="87" t="str">
        <f t="shared" si="65"/>
        <v/>
      </c>
      <c r="T891" s="54"/>
      <c r="U891" s="54"/>
      <c r="V891" s="54"/>
      <c r="W891" s="54"/>
      <c r="X891" s="69" t="str">
        <f t="shared" si="63"/>
        <v>D</v>
      </c>
    </row>
    <row r="892" spans="1:24" s="66" customFormat="1" x14ac:dyDescent="0.25">
      <c r="A892" s="51"/>
      <c r="B892" s="91" t="str">
        <f>IFERROR(VLOOKUP(A892,Lookup!A:B,2,0),"")</f>
        <v/>
      </c>
      <c r="C892" s="92" t="str">
        <f>IFERROR(VLOOKUP(A892,Lookup!A:C,3,0),"")</f>
        <v/>
      </c>
      <c r="D892" s="54"/>
      <c r="E892" s="54"/>
      <c r="F892" s="54"/>
      <c r="G892" s="72"/>
      <c r="H892" s="54"/>
      <c r="I892" s="54"/>
      <c r="J892" s="106">
        <f>VLOOKUP(A892&amp;G892,Lookup!J:N,5,0)</f>
        <v>0</v>
      </c>
      <c r="K892" s="115"/>
      <c r="L892" s="54"/>
      <c r="M892" s="54"/>
      <c r="N892" s="54"/>
      <c r="O892" s="112">
        <v>36.8923611111111</v>
      </c>
      <c r="P892" s="110" t="str">
        <f t="shared" si="62"/>
        <v/>
      </c>
      <c r="Q892" s="54"/>
      <c r="R892" s="87" t="str">
        <f t="shared" si="64"/>
        <v/>
      </c>
      <c r="S892" s="87" t="str">
        <f t="shared" si="65"/>
        <v/>
      </c>
      <c r="T892" s="54"/>
      <c r="U892" s="54"/>
      <c r="V892" s="54"/>
      <c r="W892" s="54"/>
      <c r="X892" s="69" t="str">
        <f t="shared" si="63"/>
        <v>D</v>
      </c>
    </row>
    <row r="893" spans="1:24" s="66" customFormat="1" x14ac:dyDescent="0.25">
      <c r="A893" s="51"/>
      <c r="B893" s="91" t="str">
        <f>IFERROR(VLOOKUP(A893,Lookup!A:B,2,0),"")</f>
        <v/>
      </c>
      <c r="C893" s="92" t="str">
        <f>IFERROR(VLOOKUP(A893,Lookup!A:C,3,0),"")</f>
        <v/>
      </c>
      <c r="D893" s="54"/>
      <c r="E893" s="54"/>
      <c r="F893" s="54"/>
      <c r="G893" s="72"/>
      <c r="H893" s="54"/>
      <c r="I893" s="54"/>
      <c r="J893" s="106">
        <f>VLOOKUP(A893&amp;G893,Lookup!J:N,5,0)</f>
        <v>0</v>
      </c>
      <c r="K893" s="115"/>
      <c r="L893" s="54"/>
      <c r="M893" s="54"/>
      <c r="N893" s="54"/>
      <c r="O893" s="112">
        <v>36.9340277777778</v>
      </c>
      <c r="P893" s="110" t="str">
        <f t="shared" si="62"/>
        <v/>
      </c>
      <c r="Q893" s="54"/>
      <c r="R893" s="87" t="str">
        <f t="shared" si="64"/>
        <v/>
      </c>
      <c r="S893" s="87" t="str">
        <f t="shared" si="65"/>
        <v/>
      </c>
      <c r="T893" s="54"/>
      <c r="U893" s="54"/>
      <c r="V893" s="54"/>
      <c r="W893" s="54"/>
      <c r="X893" s="69" t="str">
        <f t="shared" si="63"/>
        <v>D</v>
      </c>
    </row>
    <row r="894" spans="1:24" s="66" customFormat="1" x14ac:dyDescent="0.25">
      <c r="A894" s="51"/>
      <c r="B894" s="91" t="str">
        <f>IFERROR(VLOOKUP(A894,Lookup!A:B,2,0),"")</f>
        <v/>
      </c>
      <c r="C894" s="92" t="str">
        <f>IFERROR(VLOOKUP(A894,Lookup!A:C,3,0),"")</f>
        <v/>
      </c>
      <c r="D894" s="54"/>
      <c r="E894" s="54"/>
      <c r="F894" s="54"/>
      <c r="G894" s="72"/>
      <c r="H894" s="54"/>
      <c r="I894" s="54"/>
      <c r="J894" s="106">
        <f>VLOOKUP(A894&amp;G894,Lookup!J:N,5,0)</f>
        <v>0</v>
      </c>
      <c r="K894" s="115"/>
      <c r="L894" s="54"/>
      <c r="M894" s="54"/>
      <c r="N894" s="54"/>
      <c r="O894" s="112">
        <v>36.9756944444444</v>
      </c>
      <c r="P894" s="110" t="str">
        <f t="shared" si="62"/>
        <v/>
      </c>
      <c r="Q894" s="54"/>
      <c r="R894" s="87" t="str">
        <f t="shared" si="64"/>
        <v/>
      </c>
      <c r="S894" s="87" t="str">
        <f t="shared" si="65"/>
        <v/>
      </c>
      <c r="T894" s="54"/>
      <c r="U894" s="54"/>
      <c r="V894" s="54"/>
      <c r="W894" s="54"/>
      <c r="X894" s="69" t="str">
        <f t="shared" si="63"/>
        <v>D</v>
      </c>
    </row>
    <row r="895" spans="1:24" s="66" customFormat="1" x14ac:dyDescent="0.25">
      <c r="A895" s="51"/>
      <c r="B895" s="91" t="str">
        <f>IFERROR(VLOOKUP(A895,Lookup!A:B,2,0),"")</f>
        <v/>
      </c>
      <c r="C895" s="92" t="str">
        <f>IFERROR(VLOOKUP(A895,Lookup!A:C,3,0),"")</f>
        <v/>
      </c>
      <c r="D895" s="54"/>
      <c r="E895" s="54"/>
      <c r="F895" s="54"/>
      <c r="G895" s="72"/>
      <c r="H895" s="54"/>
      <c r="I895" s="54"/>
      <c r="J895" s="106">
        <f>VLOOKUP(A895&amp;G895,Lookup!J:N,5,0)</f>
        <v>0</v>
      </c>
      <c r="K895" s="115"/>
      <c r="L895" s="54"/>
      <c r="M895" s="54"/>
      <c r="N895" s="54"/>
      <c r="O895" s="112">
        <v>37.0173611111111</v>
      </c>
      <c r="P895" s="110" t="str">
        <f t="shared" si="62"/>
        <v/>
      </c>
      <c r="Q895" s="54"/>
      <c r="R895" s="87" t="str">
        <f t="shared" si="64"/>
        <v/>
      </c>
      <c r="S895" s="87" t="str">
        <f t="shared" si="65"/>
        <v/>
      </c>
      <c r="T895" s="54"/>
      <c r="U895" s="54"/>
      <c r="V895" s="54"/>
      <c r="W895" s="54"/>
      <c r="X895" s="69" t="str">
        <f t="shared" si="63"/>
        <v>D</v>
      </c>
    </row>
    <row r="896" spans="1:24" s="66" customFormat="1" x14ac:dyDescent="0.25">
      <c r="A896" s="51"/>
      <c r="B896" s="91" t="str">
        <f>IFERROR(VLOOKUP(A896,Lookup!A:B,2,0),"")</f>
        <v/>
      </c>
      <c r="C896" s="92" t="str">
        <f>IFERROR(VLOOKUP(A896,Lookup!A:C,3,0),"")</f>
        <v/>
      </c>
      <c r="D896" s="54"/>
      <c r="E896" s="54"/>
      <c r="F896" s="54"/>
      <c r="G896" s="72"/>
      <c r="H896" s="54"/>
      <c r="I896" s="54"/>
      <c r="J896" s="106">
        <f>VLOOKUP(A896&amp;G896,Lookup!J:N,5,0)</f>
        <v>0</v>
      </c>
      <c r="K896" s="115"/>
      <c r="L896" s="54"/>
      <c r="M896" s="54"/>
      <c r="N896" s="54"/>
      <c r="O896" s="112">
        <v>37.0590277777778</v>
      </c>
      <c r="P896" s="110" t="str">
        <f t="shared" si="62"/>
        <v/>
      </c>
      <c r="Q896" s="54"/>
      <c r="R896" s="87" t="str">
        <f t="shared" si="64"/>
        <v/>
      </c>
      <c r="S896" s="87" t="str">
        <f t="shared" si="65"/>
        <v/>
      </c>
      <c r="T896" s="54"/>
      <c r="U896" s="54"/>
      <c r="V896" s="54"/>
      <c r="W896" s="54"/>
      <c r="X896" s="69" t="str">
        <f t="shared" si="63"/>
        <v>D</v>
      </c>
    </row>
    <row r="897" spans="1:24" s="66" customFormat="1" x14ac:dyDescent="0.25">
      <c r="A897" s="51"/>
      <c r="B897" s="91" t="str">
        <f>IFERROR(VLOOKUP(A897,Lookup!A:B,2,0),"")</f>
        <v/>
      </c>
      <c r="C897" s="92" t="str">
        <f>IFERROR(VLOOKUP(A897,Lookup!A:C,3,0),"")</f>
        <v/>
      </c>
      <c r="D897" s="54"/>
      <c r="E897" s="54"/>
      <c r="F897" s="54"/>
      <c r="G897" s="72"/>
      <c r="H897" s="54"/>
      <c r="I897" s="54"/>
      <c r="J897" s="106">
        <f>VLOOKUP(A897&amp;G897,Lookup!J:N,5,0)</f>
        <v>0</v>
      </c>
      <c r="K897" s="115"/>
      <c r="L897" s="54"/>
      <c r="M897" s="54"/>
      <c r="N897" s="54"/>
      <c r="O897" s="112">
        <v>37.1006944444444</v>
      </c>
      <c r="P897" s="110" t="str">
        <f t="shared" si="62"/>
        <v/>
      </c>
      <c r="Q897" s="54"/>
      <c r="R897" s="87" t="str">
        <f t="shared" si="64"/>
        <v/>
      </c>
      <c r="S897" s="87" t="str">
        <f t="shared" si="65"/>
        <v/>
      </c>
      <c r="T897" s="54"/>
      <c r="U897" s="54"/>
      <c r="V897" s="54"/>
      <c r="W897" s="54"/>
      <c r="X897" s="69" t="str">
        <f t="shared" si="63"/>
        <v>D</v>
      </c>
    </row>
    <row r="898" spans="1:24" s="66" customFormat="1" x14ac:dyDescent="0.25">
      <c r="A898" s="51"/>
      <c r="B898" s="91" t="str">
        <f>IFERROR(VLOOKUP(A898,Lookup!A:B,2,0),"")</f>
        <v/>
      </c>
      <c r="C898" s="92" t="str">
        <f>IFERROR(VLOOKUP(A898,Lookup!A:C,3,0),"")</f>
        <v/>
      </c>
      <c r="D898" s="54"/>
      <c r="E898" s="54"/>
      <c r="F898" s="54"/>
      <c r="G898" s="72"/>
      <c r="H898" s="54"/>
      <c r="I898" s="54"/>
      <c r="J898" s="106">
        <f>VLOOKUP(A898&amp;G898,Lookup!J:N,5,0)</f>
        <v>0</v>
      </c>
      <c r="K898" s="115"/>
      <c r="L898" s="54"/>
      <c r="M898" s="54"/>
      <c r="N898" s="54"/>
      <c r="O898" s="112">
        <v>37.1423611111111</v>
      </c>
      <c r="P898" s="110" t="str">
        <f t="shared" si="62"/>
        <v/>
      </c>
      <c r="Q898" s="54"/>
      <c r="R898" s="87" t="str">
        <f t="shared" si="64"/>
        <v/>
      </c>
      <c r="S898" s="87" t="str">
        <f t="shared" si="65"/>
        <v/>
      </c>
      <c r="T898" s="54"/>
      <c r="U898" s="54"/>
      <c r="V898" s="54"/>
      <c r="W898" s="54"/>
      <c r="X898" s="69" t="str">
        <f t="shared" si="63"/>
        <v>D</v>
      </c>
    </row>
    <row r="899" spans="1:24" s="66" customFormat="1" x14ac:dyDescent="0.25">
      <c r="A899" s="51"/>
      <c r="B899" s="91" t="str">
        <f>IFERROR(VLOOKUP(A899,Lookup!A:B,2,0),"")</f>
        <v/>
      </c>
      <c r="C899" s="92" t="str">
        <f>IFERROR(VLOOKUP(A899,Lookup!A:C,3,0),"")</f>
        <v/>
      </c>
      <c r="D899" s="54"/>
      <c r="E899" s="54"/>
      <c r="F899" s="54"/>
      <c r="G899" s="72"/>
      <c r="H899" s="54"/>
      <c r="I899" s="54"/>
      <c r="J899" s="106">
        <f>VLOOKUP(A899&amp;G899,Lookup!J:N,5,0)</f>
        <v>0</v>
      </c>
      <c r="K899" s="115"/>
      <c r="L899" s="54"/>
      <c r="M899" s="54"/>
      <c r="N899" s="54"/>
      <c r="O899" s="112">
        <v>37.1840277777778</v>
      </c>
      <c r="P899" s="110" t="str">
        <f t="shared" ref="P899:P962" si="66">IF(N899="","",N899+O899)</f>
        <v/>
      </c>
      <c r="Q899" s="54"/>
      <c r="R899" s="87" t="str">
        <f t="shared" si="64"/>
        <v/>
      </c>
      <c r="S899" s="87" t="str">
        <f t="shared" si="65"/>
        <v/>
      </c>
      <c r="T899" s="54"/>
      <c r="U899" s="54"/>
      <c r="V899" s="54"/>
      <c r="W899" s="54"/>
      <c r="X899" s="69" t="str">
        <f t="shared" ref="X899:X962" si="67">IF(I899="SET","A",IF(I899="FREQ","C",IF(I899="","D","B")))</f>
        <v>D</v>
      </c>
    </row>
    <row r="900" spans="1:24" s="66" customFormat="1" x14ac:dyDescent="0.25">
      <c r="A900" s="51"/>
      <c r="B900" s="91" t="str">
        <f>IFERROR(VLOOKUP(A900,Lookup!A:B,2,0),"")</f>
        <v/>
      </c>
      <c r="C900" s="92" t="str">
        <f>IFERROR(VLOOKUP(A900,Lookup!A:C,3,0),"")</f>
        <v/>
      </c>
      <c r="D900" s="54"/>
      <c r="E900" s="54"/>
      <c r="F900" s="54"/>
      <c r="G900" s="72"/>
      <c r="H900" s="54"/>
      <c r="I900" s="54"/>
      <c r="J900" s="106">
        <f>VLOOKUP(A900&amp;G900,Lookup!J:N,5,0)</f>
        <v>0</v>
      </c>
      <c r="K900" s="115"/>
      <c r="L900" s="54"/>
      <c r="M900" s="54"/>
      <c r="N900" s="54"/>
      <c r="O900" s="112">
        <v>37.2256944444444</v>
      </c>
      <c r="P900" s="110" t="str">
        <f t="shared" si="66"/>
        <v/>
      </c>
      <c r="Q900" s="54"/>
      <c r="R900" s="87" t="str">
        <f t="shared" si="64"/>
        <v/>
      </c>
      <c r="S900" s="87" t="str">
        <f t="shared" si="65"/>
        <v/>
      </c>
      <c r="T900" s="54"/>
      <c r="U900" s="54"/>
      <c r="V900" s="54"/>
      <c r="W900" s="54"/>
      <c r="X900" s="69" t="str">
        <f t="shared" si="67"/>
        <v>D</v>
      </c>
    </row>
    <row r="901" spans="1:24" s="66" customFormat="1" x14ac:dyDescent="0.25">
      <c r="A901" s="51"/>
      <c r="B901" s="91" t="str">
        <f>IFERROR(VLOOKUP(A901,Lookup!A:B,2,0),"")</f>
        <v/>
      </c>
      <c r="C901" s="92" t="str">
        <f>IFERROR(VLOOKUP(A901,Lookup!A:C,3,0),"")</f>
        <v/>
      </c>
      <c r="D901" s="54"/>
      <c r="E901" s="54"/>
      <c r="F901" s="54"/>
      <c r="G901" s="72"/>
      <c r="H901" s="54"/>
      <c r="I901" s="54"/>
      <c r="J901" s="106">
        <f>VLOOKUP(A901&amp;G901,Lookup!J:N,5,0)</f>
        <v>0</v>
      </c>
      <c r="K901" s="115"/>
      <c r="L901" s="54"/>
      <c r="M901" s="54"/>
      <c r="N901" s="54"/>
      <c r="O901" s="112">
        <v>37.2673611111111</v>
      </c>
      <c r="P901" s="110" t="str">
        <f t="shared" si="66"/>
        <v/>
      </c>
      <c r="Q901" s="54"/>
      <c r="R901" s="87" t="str">
        <f t="shared" si="64"/>
        <v/>
      </c>
      <c r="S901" s="87" t="str">
        <f t="shared" si="65"/>
        <v/>
      </c>
      <c r="T901" s="54"/>
      <c r="U901" s="54"/>
      <c r="V901" s="54"/>
      <c r="W901" s="54"/>
      <c r="X901" s="69" t="str">
        <f t="shared" si="67"/>
        <v>D</v>
      </c>
    </row>
    <row r="902" spans="1:24" s="66" customFormat="1" x14ac:dyDescent="0.25">
      <c r="A902" s="51"/>
      <c r="B902" s="91" t="str">
        <f>IFERROR(VLOOKUP(A902,Lookup!A:B,2,0),"")</f>
        <v/>
      </c>
      <c r="C902" s="92" t="str">
        <f>IFERROR(VLOOKUP(A902,Lookup!A:C,3,0),"")</f>
        <v/>
      </c>
      <c r="D902" s="54"/>
      <c r="E902" s="54"/>
      <c r="F902" s="54"/>
      <c r="G902" s="72"/>
      <c r="H902" s="54"/>
      <c r="I902" s="54"/>
      <c r="J902" s="106">
        <f>VLOOKUP(A902&amp;G902,Lookup!J:N,5,0)</f>
        <v>0</v>
      </c>
      <c r="K902" s="115"/>
      <c r="L902" s="54"/>
      <c r="M902" s="54"/>
      <c r="N902" s="54"/>
      <c r="O902" s="112">
        <v>37.3090277777778</v>
      </c>
      <c r="P902" s="110" t="str">
        <f t="shared" si="66"/>
        <v/>
      </c>
      <c r="Q902" s="54"/>
      <c r="R902" s="87" t="str">
        <f t="shared" si="64"/>
        <v/>
      </c>
      <c r="S902" s="87" t="str">
        <f t="shared" si="65"/>
        <v/>
      </c>
      <c r="T902" s="54"/>
      <c r="U902" s="54"/>
      <c r="V902" s="54"/>
      <c r="W902" s="54"/>
      <c r="X902" s="69" t="str">
        <f t="shared" si="67"/>
        <v>D</v>
      </c>
    </row>
    <row r="903" spans="1:24" s="66" customFormat="1" x14ac:dyDescent="0.25">
      <c r="A903" s="51"/>
      <c r="B903" s="91" t="str">
        <f>IFERROR(VLOOKUP(A903,Lookup!A:B,2,0),"")</f>
        <v/>
      </c>
      <c r="C903" s="92" t="str">
        <f>IFERROR(VLOOKUP(A903,Lookup!A:C,3,0),"")</f>
        <v/>
      </c>
      <c r="D903" s="54"/>
      <c r="E903" s="54"/>
      <c r="F903" s="54"/>
      <c r="G903" s="72"/>
      <c r="H903" s="54"/>
      <c r="I903" s="54"/>
      <c r="J903" s="106">
        <f>VLOOKUP(A903&amp;G903,Lookup!J:N,5,0)</f>
        <v>0</v>
      </c>
      <c r="K903" s="115"/>
      <c r="L903" s="54"/>
      <c r="M903" s="54"/>
      <c r="N903" s="54"/>
      <c r="O903" s="112">
        <v>37.3506944444444</v>
      </c>
      <c r="P903" s="110" t="str">
        <f t="shared" si="66"/>
        <v/>
      </c>
      <c r="Q903" s="54"/>
      <c r="R903" s="87" t="str">
        <f t="shared" ref="R903:R966" si="68">IF(OR(EXACT(N903,""), EXACT(L903,"")),"",N903-L903)</f>
        <v/>
      </c>
      <c r="S903" s="87" t="str">
        <f t="shared" ref="S903:S966" si="69">IF(OR(EXACT(Q903,""), EXACT(L903,"")),"",Q903-L903)</f>
        <v/>
      </c>
      <c r="T903" s="54"/>
      <c r="U903" s="54"/>
      <c r="V903" s="54"/>
      <c r="W903" s="54"/>
      <c r="X903" s="69" t="str">
        <f t="shared" si="67"/>
        <v>D</v>
      </c>
    </row>
    <row r="904" spans="1:24" s="66" customFormat="1" x14ac:dyDescent="0.25">
      <c r="A904" s="51"/>
      <c r="B904" s="91" t="str">
        <f>IFERROR(VLOOKUP(A904,Lookup!A:B,2,0),"")</f>
        <v/>
      </c>
      <c r="C904" s="92" t="str">
        <f>IFERROR(VLOOKUP(A904,Lookup!A:C,3,0),"")</f>
        <v/>
      </c>
      <c r="D904" s="54"/>
      <c r="E904" s="54"/>
      <c r="F904" s="54"/>
      <c r="G904" s="72"/>
      <c r="H904" s="54"/>
      <c r="I904" s="54"/>
      <c r="J904" s="106">
        <f>VLOOKUP(A904&amp;G904,Lookup!J:N,5,0)</f>
        <v>0</v>
      </c>
      <c r="K904" s="115"/>
      <c r="L904" s="54"/>
      <c r="M904" s="54"/>
      <c r="N904" s="54"/>
      <c r="O904" s="112">
        <v>37.3923611111111</v>
      </c>
      <c r="P904" s="110" t="str">
        <f t="shared" si="66"/>
        <v/>
      </c>
      <c r="Q904" s="54"/>
      <c r="R904" s="87" t="str">
        <f t="shared" si="68"/>
        <v/>
      </c>
      <c r="S904" s="87" t="str">
        <f t="shared" si="69"/>
        <v/>
      </c>
      <c r="T904" s="54"/>
      <c r="U904" s="54"/>
      <c r="V904" s="54"/>
      <c r="W904" s="54"/>
      <c r="X904" s="69" t="str">
        <f t="shared" si="67"/>
        <v>D</v>
      </c>
    </row>
    <row r="905" spans="1:24" s="66" customFormat="1" x14ac:dyDescent="0.25">
      <c r="A905" s="51"/>
      <c r="B905" s="91" t="str">
        <f>IFERROR(VLOOKUP(A905,Lookup!A:B,2,0),"")</f>
        <v/>
      </c>
      <c r="C905" s="92" t="str">
        <f>IFERROR(VLOOKUP(A905,Lookup!A:C,3,0),"")</f>
        <v/>
      </c>
      <c r="D905" s="54"/>
      <c r="E905" s="54"/>
      <c r="F905" s="54"/>
      <c r="G905" s="72"/>
      <c r="H905" s="54"/>
      <c r="I905" s="54"/>
      <c r="J905" s="106">
        <f>VLOOKUP(A905&amp;G905,Lookup!J:N,5,0)</f>
        <v>0</v>
      </c>
      <c r="K905" s="115"/>
      <c r="L905" s="54"/>
      <c r="M905" s="54"/>
      <c r="N905" s="54"/>
      <c r="O905" s="112">
        <v>37.4340277777778</v>
      </c>
      <c r="P905" s="110" t="str">
        <f t="shared" si="66"/>
        <v/>
      </c>
      <c r="Q905" s="54"/>
      <c r="R905" s="87" t="str">
        <f t="shared" si="68"/>
        <v/>
      </c>
      <c r="S905" s="87" t="str">
        <f t="shared" si="69"/>
        <v/>
      </c>
      <c r="T905" s="54"/>
      <c r="U905" s="54"/>
      <c r="V905" s="54"/>
      <c r="W905" s="54"/>
      <c r="X905" s="69" t="str">
        <f t="shared" si="67"/>
        <v>D</v>
      </c>
    </row>
    <row r="906" spans="1:24" s="66" customFormat="1" x14ac:dyDescent="0.25">
      <c r="A906" s="51"/>
      <c r="B906" s="91" t="str">
        <f>IFERROR(VLOOKUP(A906,Lookup!A:B,2,0),"")</f>
        <v/>
      </c>
      <c r="C906" s="92" t="str">
        <f>IFERROR(VLOOKUP(A906,Lookup!A:C,3,0),"")</f>
        <v/>
      </c>
      <c r="D906" s="54"/>
      <c r="E906" s="54"/>
      <c r="F906" s="54"/>
      <c r="G906" s="72"/>
      <c r="H906" s="54"/>
      <c r="I906" s="54"/>
      <c r="J906" s="106">
        <f>VLOOKUP(A906&amp;G906,Lookup!J:N,5,0)</f>
        <v>0</v>
      </c>
      <c r="K906" s="115"/>
      <c r="L906" s="54"/>
      <c r="M906" s="54"/>
      <c r="N906" s="54"/>
      <c r="O906" s="112">
        <v>37.4756944444444</v>
      </c>
      <c r="P906" s="110" t="str">
        <f t="shared" si="66"/>
        <v/>
      </c>
      <c r="Q906" s="54"/>
      <c r="R906" s="87" t="str">
        <f t="shared" si="68"/>
        <v/>
      </c>
      <c r="S906" s="87" t="str">
        <f t="shared" si="69"/>
        <v/>
      </c>
      <c r="T906" s="54"/>
      <c r="U906" s="54"/>
      <c r="V906" s="54"/>
      <c r="W906" s="54"/>
      <c r="X906" s="69" t="str">
        <f t="shared" si="67"/>
        <v>D</v>
      </c>
    </row>
    <row r="907" spans="1:24" s="66" customFormat="1" x14ac:dyDescent="0.25">
      <c r="A907" s="51"/>
      <c r="B907" s="91" t="str">
        <f>IFERROR(VLOOKUP(A907,Lookup!A:B,2,0),"")</f>
        <v/>
      </c>
      <c r="C907" s="92" t="str">
        <f>IFERROR(VLOOKUP(A907,Lookup!A:C,3,0),"")</f>
        <v/>
      </c>
      <c r="D907" s="54"/>
      <c r="E907" s="54"/>
      <c r="F907" s="54"/>
      <c r="G907" s="72"/>
      <c r="H907" s="54"/>
      <c r="I907" s="54"/>
      <c r="J907" s="106">
        <f>VLOOKUP(A907&amp;G907,Lookup!J:N,5,0)</f>
        <v>0</v>
      </c>
      <c r="K907" s="115"/>
      <c r="L907" s="54"/>
      <c r="M907" s="54"/>
      <c r="N907" s="54"/>
      <c r="O907" s="112">
        <v>37.5173611111111</v>
      </c>
      <c r="P907" s="110" t="str">
        <f t="shared" si="66"/>
        <v/>
      </c>
      <c r="Q907" s="54"/>
      <c r="R907" s="87" t="str">
        <f t="shared" si="68"/>
        <v/>
      </c>
      <c r="S907" s="87" t="str">
        <f t="shared" si="69"/>
        <v/>
      </c>
      <c r="T907" s="54"/>
      <c r="U907" s="54"/>
      <c r="V907" s="54"/>
      <c r="W907" s="54"/>
      <c r="X907" s="69" t="str">
        <f t="shared" si="67"/>
        <v>D</v>
      </c>
    </row>
    <row r="908" spans="1:24" s="66" customFormat="1" x14ac:dyDescent="0.25">
      <c r="A908" s="51"/>
      <c r="B908" s="91" t="str">
        <f>IFERROR(VLOOKUP(A908,Lookup!A:B,2,0),"")</f>
        <v/>
      </c>
      <c r="C908" s="92" t="str">
        <f>IFERROR(VLOOKUP(A908,Lookup!A:C,3,0),"")</f>
        <v/>
      </c>
      <c r="D908" s="54"/>
      <c r="E908" s="54"/>
      <c r="F908" s="54"/>
      <c r="G908" s="72"/>
      <c r="H908" s="54"/>
      <c r="I908" s="54"/>
      <c r="J908" s="106">
        <f>VLOOKUP(A908&amp;G908,Lookup!J:N,5,0)</f>
        <v>0</v>
      </c>
      <c r="K908" s="115"/>
      <c r="L908" s="54"/>
      <c r="M908" s="54"/>
      <c r="N908" s="54"/>
      <c r="O908" s="112">
        <v>37.5590277777778</v>
      </c>
      <c r="P908" s="110" t="str">
        <f t="shared" si="66"/>
        <v/>
      </c>
      <c r="Q908" s="54"/>
      <c r="R908" s="87" t="str">
        <f t="shared" si="68"/>
        <v/>
      </c>
      <c r="S908" s="87" t="str">
        <f t="shared" si="69"/>
        <v/>
      </c>
      <c r="T908" s="54"/>
      <c r="U908" s="54"/>
      <c r="V908" s="54"/>
      <c r="W908" s="54"/>
      <c r="X908" s="69" t="str">
        <f t="shared" si="67"/>
        <v>D</v>
      </c>
    </row>
    <row r="909" spans="1:24" s="66" customFormat="1" x14ac:dyDescent="0.25">
      <c r="A909" s="51"/>
      <c r="B909" s="91" t="str">
        <f>IFERROR(VLOOKUP(A909,Lookup!A:B,2,0),"")</f>
        <v/>
      </c>
      <c r="C909" s="92" t="str">
        <f>IFERROR(VLOOKUP(A909,Lookup!A:C,3,0),"")</f>
        <v/>
      </c>
      <c r="D909" s="54"/>
      <c r="E909" s="54"/>
      <c r="F909" s="54"/>
      <c r="G909" s="72"/>
      <c r="H909" s="54"/>
      <c r="I909" s="54"/>
      <c r="J909" s="106">
        <f>VLOOKUP(A909&amp;G909,Lookup!J:N,5,0)</f>
        <v>0</v>
      </c>
      <c r="K909" s="115"/>
      <c r="L909" s="54"/>
      <c r="M909" s="54"/>
      <c r="N909" s="54"/>
      <c r="O909" s="112">
        <v>37.6006944444444</v>
      </c>
      <c r="P909" s="110" t="str">
        <f t="shared" si="66"/>
        <v/>
      </c>
      <c r="Q909" s="54"/>
      <c r="R909" s="87" t="str">
        <f t="shared" si="68"/>
        <v/>
      </c>
      <c r="S909" s="87" t="str">
        <f t="shared" si="69"/>
        <v/>
      </c>
      <c r="T909" s="54"/>
      <c r="U909" s="54"/>
      <c r="V909" s="54"/>
      <c r="W909" s="54"/>
      <c r="X909" s="69" t="str">
        <f t="shared" si="67"/>
        <v>D</v>
      </c>
    </row>
    <row r="910" spans="1:24" s="66" customFormat="1" x14ac:dyDescent="0.25">
      <c r="A910" s="51"/>
      <c r="B910" s="91" t="str">
        <f>IFERROR(VLOOKUP(A910,Lookup!A:B,2,0),"")</f>
        <v/>
      </c>
      <c r="C910" s="92" t="str">
        <f>IFERROR(VLOOKUP(A910,Lookup!A:C,3,0),"")</f>
        <v/>
      </c>
      <c r="D910" s="54"/>
      <c r="E910" s="54"/>
      <c r="F910" s="54"/>
      <c r="G910" s="72"/>
      <c r="H910" s="54"/>
      <c r="I910" s="54"/>
      <c r="J910" s="106">
        <f>VLOOKUP(A910&amp;G910,Lookup!J:N,5,0)</f>
        <v>0</v>
      </c>
      <c r="K910" s="115"/>
      <c r="L910" s="54"/>
      <c r="M910" s="54"/>
      <c r="N910" s="54"/>
      <c r="O910" s="112">
        <v>37.6423611111111</v>
      </c>
      <c r="P910" s="110" t="str">
        <f t="shared" si="66"/>
        <v/>
      </c>
      <c r="Q910" s="54"/>
      <c r="R910" s="87" t="str">
        <f t="shared" si="68"/>
        <v/>
      </c>
      <c r="S910" s="87" t="str">
        <f t="shared" si="69"/>
        <v/>
      </c>
      <c r="T910" s="54"/>
      <c r="U910" s="54"/>
      <c r="V910" s="54"/>
      <c r="W910" s="54"/>
      <c r="X910" s="69" t="str">
        <f t="shared" si="67"/>
        <v>D</v>
      </c>
    </row>
    <row r="911" spans="1:24" s="66" customFormat="1" x14ac:dyDescent="0.25">
      <c r="A911" s="51"/>
      <c r="B911" s="91" t="str">
        <f>IFERROR(VLOOKUP(A911,Lookup!A:B,2,0),"")</f>
        <v/>
      </c>
      <c r="C911" s="92" t="str">
        <f>IFERROR(VLOOKUP(A911,Lookup!A:C,3,0),"")</f>
        <v/>
      </c>
      <c r="D911" s="54"/>
      <c r="E911" s="54"/>
      <c r="F911" s="54"/>
      <c r="G911" s="72"/>
      <c r="H911" s="54"/>
      <c r="I911" s="54"/>
      <c r="J911" s="106">
        <f>VLOOKUP(A911&amp;G911,Lookup!J:N,5,0)</f>
        <v>0</v>
      </c>
      <c r="K911" s="115"/>
      <c r="L911" s="54"/>
      <c r="M911" s="54"/>
      <c r="N911" s="54"/>
      <c r="O911" s="112">
        <v>37.6840277777778</v>
      </c>
      <c r="P911" s="110" t="str">
        <f t="shared" si="66"/>
        <v/>
      </c>
      <c r="Q911" s="54"/>
      <c r="R911" s="87" t="str">
        <f t="shared" si="68"/>
        <v/>
      </c>
      <c r="S911" s="87" t="str">
        <f t="shared" si="69"/>
        <v/>
      </c>
      <c r="T911" s="54"/>
      <c r="U911" s="54"/>
      <c r="V911" s="54"/>
      <c r="W911" s="54"/>
      <c r="X911" s="69" t="str">
        <f t="shared" si="67"/>
        <v>D</v>
      </c>
    </row>
    <row r="912" spans="1:24" s="66" customFormat="1" x14ac:dyDescent="0.25">
      <c r="A912" s="51"/>
      <c r="B912" s="91" t="str">
        <f>IFERROR(VLOOKUP(A912,Lookup!A:B,2,0),"")</f>
        <v/>
      </c>
      <c r="C912" s="92" t="str">
        <f>IFERROR(VLOOKUP(A912,Lookup!A:C,3,0),"")</f>
        <v/>
      </c>
      <c r="D912" s="54"/>
      <c r="E912" s="54"/>
      <c r="F912" s="54"/>
      <c r="G912" s="72"/>
      <c r="H912" s="54"/>
      <c r="I912" s="54"/>
      <c r="J912" s="106">
        <f>VLOOKUP(A912&amp;G912,Lookup!J:N,5,0)</f>
        <v>0</v>
      </c>
      <c r="K912" s="115"/>
      <c r="L912" s="54"/>
      <c r="M912" s="54"/>
      <c r="N912" s="54"/>
      <c r="O912" s="112">
        <v>37.7256944444444</v>
      </c>
      <c r="P912" s="110" t="str">
        <f t="shared" si="66"/>
        <v/>
      </c>
      <c r="Q912" s="54"/>
      <c r="R912" s="87" t="str">
        <f t="shared" si="68"/>
        <v/>
      </c>
      <c r="S912" s="87" t="str">
        <f t="shared" si="69"/>
        <v/>
      </c>
      <c r="T912" s="54"/>
      <c r="U912" s="54"/>
      <c r="V912" s="54"/>
      <c r="W912" s="54"/>
      <c r="X912" s="69" t="str">
        <f t="shared" si="67"/>
        <v>D</v>
      </c>
    </row>
    <row r="913" spans="1:24" s="66" customFormat="1" x14ac:dyDescent="0.25">
      <c r="A913" s="51"/>
      <c r="B913" s="91" t="str">
        <f>IFERROR(VLOOKUP(A913,Lookup!A:B,2,0),"")</f>
        <v/>
      </c>
      <c r="C913" s="92" t="str">
        <f>IFERROR(VLOOKUP(A913,Lookup!A:C,3,0),"")</f>
        <v/>
      </c>
      <c r="D913" s="54"/>
      <c r="E913" s="54"/>
      <c r="F913" s="54"/>
      <c r="G913" s="72"/>
      <c r="H913" s="54"/>
      <c r="I913" s="54"/>
      <c r="J913" s="106">
        <f>VLOOKUP(A913&amp;G913,Lookup!J:N,5,0)</f>
        <v>0</v>
      </c>
      <c r="K913" s="115"/>
      <c r="L913" s="54"/>
      <c r="M913" s="54"/>
      <c r="N913" s="54"/>
      <c r="O913" s="112">
        <v>37.7673611111111</v>
      </c>
      <c r="P913" s="110" t="str">
        <f t="shared" si="66"/>
        <v/>
      </c>
      <c r="Q913" s="54"/>
      <c r="R913" s="87" t="str">
        <f t="shared" si="68"/>
        <v/>
      </c>
      <c r="S913" s="87" t="str">
        <f t="shared" si="69"/>
        <v/>
      </c>
      <c r="T913" s="54"/>
      <c r="U913" s="54"/>
      <c r="V913" s="54"/>
      <c r="W913" s="54"/>
      <c r="X913" s="69" t="str">
        <f t="shared" si="67"/>
        <v>D</v>
      </c>
    </row>
    <row r="914" spans="1:24" s="66" customFormat="1" x14ac:dyDescent="0.25">
      <c r="A914" s="51"/>
      <c r="B914" s="91" t="str">
        <f>IFERROR(VLOOKUP(A914,Lookup!A:B,2,0),"")</f>
        <v/>
      </c>
      <c r="C914" s="92" t="str">
        <f>IFERROR(VLOOKUP(A914,Lookup!A:C,3,0),"")</f>
        <v/>
      </c>
      <c r="D914" s="54"/>
      <c r="E914" s="54"/>
      <c r="F914" s="54"/>
      <c r="G914" s="72"/>
      <c r="H914" s="54"/>
      <c r="I914" s="54"/>
      <c r="J914" s="106">
        <f>VLOOKUP(A914&amp;G914,Lookup!J:N,5,0)</f>
        <v>0</v>
      </c>
      <c r="K914" s="115"/>
      <c r="L914" s="54"/>
      <c r="M914" s="54"/>
      <c r="N914" s="54"/>
      <c r="O914" s="112">
        <v>37.8090277777778</v>
      </c>
      <c r="P914" s="110" t="str">
        <f t="shared" si="66"/>
        <v/>
      </c>
      <c r="Q914" s="54"/>
      <c r="R914" s="87" t="str">
        <f t="shared" si="68"/>
        <v/>
      </c>
      <c r="S914" s="87" t="str">
        <f t="shared" si="69"/>
        <v/>
      </c>
      <c r="T914" s="54"/>
      <c r="U914" s="54"/>
      <c r="V914" s="54"/>
      <c r="W914" s="54"/>
      <c r="X914" s="69" t="str">
        <f t="shared" si="67"/>
        <v>D</v>
      </c>
    </row>
    <row r="915" spans="1:24" s="66" customFormat="1" x14ac:dyDescent="0.25">
      <c r="A915" s="51"/>
      <c r="B915" s="91" t="str">
        <f>IFERROR(VLOOKUP(A915,Lookup!A:B,2,0),"")</f>
        <v/>
      </c>
      <c r="C915" s="92" t="str">
        <f>IFERROR(VLOOKUP(A915,Lookup!A:C,3,0),"")</f>
        <v/>
      </c>
      <c r="D915" s="54"/>
      <c r="E915" s="54"/>
      <c r="F915" s="54"/>
      <c r="G915" s="72"/>
      <c r="H915" s="54"/>
      <c r="I915" s="54"/>
      <c r="J915" s="106">
        <f>VLOOKUP(A915&amp;G915,Lookup!J:N,5,0)</f>
        <v>0</v>
      </c>
      <c r="K915" s="115"/>
      <c r="L915" s="54"/>
      <c r="M915" s="54"/>
      <c r="N915" s="54"/>
      <c r="O915" s="112">
        <v>37.8506944444444</v>
      </c>
      <c r="P915" s="110" t="str">
        <f t="shared" si="66"/>
        <v/>
      </c>
      <c r="Q915" s="54"/>
      <c r="R915" s="87" t="str">
        <f t="shared" si="68"/>
        <v/>
      </c>
      <c r="S915" s="87" t="str">
        <f t="shared" si="69"/>
        <v/>
      </c>
      <c r="T915" s="54"/>
      <c r="U915" s="54"/>
      <c r="V915" s="54"/>
      <c r="W915" s="54"/>
      <c r="X915" s="69" t="str">
        <f t="shared" si="67"/>
        <v>D</v>
      </c>
    </row>
    <row r="916" spans="1:24" s="66" customFormat="1" x14ac:dyDescent="0.25">
      <c r="A916" s="51"/>
      <c r="B916" s="91" t="str">
        <f>IFERROR(VLOOKUP(A916,Lookup!A:B,2,0),"")</f>
        <v/>
      </c>
      <c r="C916" s="92" t="str">
        <f>IFERROR(VLOOKUP(A916,Lookup!A:C,3,0),"")</f>
        <v/>
      </c>
      <c r="D916" s="54"/>
      <c r="E916" s="54"/>
      <c r="F916" s="54"/>
      <c r="G916" s="72"/>
      <c r="H916" s="54"/>
      <c r="I916" s="54"/>
      <c r="J916" s="106">
        <f>VLOOKUP(A916&amp;G916,Lookup!J:N,5,0)</f>
        <v>0</v>
      </c>
      <c r="K916" s="115"/>
      <c r="L916" s="54"/>
      <c r="M916" s="54"/>
      <c r="N916" s="54"/>
      <c r="O916" s="112">
        <v>37.8923611111111</v>
      </c>
      <c r="P916" s="110" t="str">
        <f t="shared" si="66"/>
        <v/>
      </c>
      <c r="Q916" s="54"/>
      <c r="R916" s="87" t="str">
        <f t="shared" si="68"/>
        <v/>
      </c>
      <c r="S916" s="87" t="str">
        <f t="shared" si="69"/>
        <v/>
      </c>
      <c r="T916" s="54"/>
      <c r="U916" s="54"/>
      <c r="V916" s="54"/>
      <c r="W916" s="54"/>
      <c r="X916" s="69" t="str">
        <f t="shared" si="67"/>
        <v>D</v>
      </c>
    </row>
    <row r="917" spans="1:24" s="66" customFormat="1" x14ac:dyDescent="0.25">
      <c r="A917" s="51"/>
      <c r="B917" s="91" t="str">
        <f>IFERROR(VLOOKUP(A917,Lookup!A:B,2,0),"")</f>
        <v/>
      </c>
      <c r="C917" s="92" t="str">
        <f>IFERROR(VLOOKUP(A917,Lookup!A:C,3,0),"")</f>
        <v/>
      </c>
      <c r="D917" s="54"/>
      <c r="E917" s="54"/>
      <c r="F917" s="54"/>
      <c r="G917" s="72"/>
      <c r="H917" s="54"/>
      <c r="I917" s="54"/>
      <c r="J917" s="106">
        <f>VLOOKUP(A917&amp;G917,Lookup!J:N,5,0)</f>
        <v>0</v>
      </c>
      <c r="K917" s="115"/>
      <c r="L917" s="54"/>
      <c r="M917" s="54"/>
      <c r="N917" s="54"/>
      <c r="O917" s="112">
        <v>37.9340277777778</v>
      </c>
      <c r="P917" s="110" t="str">
        <f t="shared" si="66"/>
        <v/>
      </c>
      <c r="Q917" s="54"/>
      <c r="R917" s="87" t="str">
        <f t="shared" si="68"/>
        <v/>
      </c>
      <c r="S917" s="87" t="str">
        <f t="shared" si="69"/>
        <v/>
      </c>
      <c r="T917" s="54"/>
      <c r="U917" s="54"/>
      <c r="V917" s="54"/>
      <c r="W917" s="54"/>
      <c r="X917" s="69" t="str">
        <f t="shared" si="67"/>
        <v>D</v>
      </c>
    </row>
    <row r="918" spans="1:24" s="66" customFormat="1" x14ac:dyDescent="0.25">
      <c r="A918" s="51"/>
      <c r="B918" s="91" t="str">
        <f>IFERROR(VLOOKUP(A918,Lookup!A:B,2,0),"")</f>
        <v/>
      </c>
      <c r="C918" s="92" t="str">
        <f>IFERROR(VLOOKUP(A918,Lookup!A:C,3,0),"")</f>
        <v/>
      </c>
      <c r="D918" s="54"/>
      <c r="E918" s="54"/>
      <c r="F918" s="54"/>
      <c r="G918" s="72"/>
      <c r="H918" s="54"/>
      <c r="I918" s="54"/>
      <c r="J918" s="106">
        <f>VLOOKUP(A918&amp;G918,Lookup!J:N,5,0)</f>
        <v>0</v>
      </c>
      <c r="K918" s="115"/>
      <c r="L918" s="54"/>
      <c r="M918" s="54"/>
      <c r="N918" s="54"/>
      <c r="O918" s="112">
        <v>37.9756944444444</v>
      </c>
      <c r="P918" s="110" t="str">
        <f t="shared" si="66"/>
        <v/>
      </c>
      <c r="Q918" s="54"/>
      <c r="R918" s="87" t="str">
        <f t="shared" si="68"/>
        <v/>
      </c>
      <c r="S918" s="87" t="str">
        <f t="shared" si="69"/>
        <v/>
      </c>
      <c r="T918" s="54"/>
      <c r="U918" s="54"/>
      <c r="V918" s="54"/>
      <c r="W918" s="54"/>
      <c r="X918" s="69" t="str">
        <f t="shared" si="67"/>
        <v>D</v>
      </c>
    </row>
    <row r="919" spans="1:24" s="66" customFormat="1" x14ac:dyDescent="0.25">
      <c r="A919" s="51"/>
      <c r="B919" s="91" t="str">
        <f>IFERROR(VLOOKUP(A919,Lookup!A:B,2,0),"")</f>
        <v/>
      </c>
      <c r="C919" s="92" t="str">
        <f>IFERROR(VLOOKUP(A919,Lookup!A:C,3,0),"")</f>
        <v/>
      </c>
      <c r="D919" s="54"/>
      <c r="E919" s="54"/>
      <c r="F919" s="54"/>
      <c r="G919" s="72"/>
      <c r="H919" s="54"/>
      <c r="I919" s="54"/>
      <c r="J919" s="106">
        <f>VLOOKUP(A919&amp;G919,Lookup!J:N,5,0)</f>
        <v>0</v>
      </c>
      <c r="K919" s="115"/>
      <c r="L919" s="54"/>
      <c r="M919" s="54"/>
      <c r="N919" s="54"/>
      <c r="O919" s="112">
        <v>38.0173611111111</v>
      </c>
      <c r="P919" s="110" t="str">
        <f t="shared" si="66"/>
        <v/>
      </c>
      <c r="Q919" s="54"/>
      <c r="R919" s="87" t="str">
        <f t="shared" si="68"/>
        <v/>
      </c>
      <c r="S919" s="87" t="str">
        <f t="shared" si="69"/>
        <v/>
      </c>
      <c r="T919" s="54"/>
      <c r="U919" s="54"/>
      <c r="V919" s="54"/>
      <c r="W919" s="54"/>
      <c r="X919" s="69" t="str">
        <f t="shared" si="67"/>
        <v>D</v>
      </c>
    </row>
    <row r="920" spans="1:24" s="66" customFormat="1" x14ac:dyDescent="0.25">
      <c r="A920" s="51"/>
      <c r="B920" s="91" t="str">
        <f>IFERROR(VLOOKUP(A920,Lookup!A:B,2,0),"")</f>
        <v/>
      </c>
      <c r="C920" s="92" t="str">
        <f>IFERROR(VLOOKUP(A920,Lookup!A:C,3,0),"")</f>
        <v/>
      </c>
      <c r="D920" s="54"/>
      <c r="E920" s="54"/>
      <c r="F920" s="54"/>
      <c r="G920" s="72"/>
      <c r="H920" s="54"/>
      <c r="I920" s="54"/>
      <c r="J920" s="106">
        <f>VLOOKUP(A920&amp;G920,Lookup!J:N,5,0)</f>
        <v>0</v>
      </c>
      <c r="K920" s="115"/>
      <c r="L920" s="54"/>
      <c r="M920" s="54"/>
      <c r="N920" s="54"/>
      <c r="O920" s="112">
        <v>38.0590277777778</v>
      </c>
      <c r="P920" s="110" t="str">
        <f t="shared" si="66"/>
        <v/>
      </c>
      <c r="Q920" s="54"/>
      <c r="R920" s="87" t="str">
        <f t="shared" si="68"/>
        <v/>
      </c>
      <c r="S920" s="87" t="str">
        <f t="shared" si="69"/>
        <v/>
      </c>
      <c r="T920" s="54"/>
      <c r="U920" s="54"/>
      <c r="V920" s="54"/>
      <c r="W920" s="54"/>
      <c r="X920" s="69" t="str">
        <f t="shared" si="67"/>
        <v>D</v>
      </c>
    </row>
    <row r="921" spans="1:24" s="66" customFormat="1" x14ac:dyDescent="0.25">
      <c r="A921" s="51"/>
      <c r="B921" s="91" t="str">
        <f>IFERROR(VLOOKUP(A921,Lookup!A:B,2,0),"")</f>
        <v/>
      </c>
      <c r="C921" s="92" t="str">
        <f>IFERROR(VLOOKUP(A921,Lookup!A:C,3,0),"")</f>
        <v/>
      </c>
      <c r="D921" s="54"/>
      <c r="E921" s="54"/>
      <c r="F921" s="54"/>
      <c r="G921" s="72"/>
      <c r="H921" s="54"/>
      <c r="I921" s="54"/>
      <c r="J921" s="106">
        <f>VLOOKUP(A921&amp;G921,Lookup!J:N,5,0)</f>
        <v>0</v>
      </c>
      <c r="K921" s="115"/>
      <c r="L921" s="54"/>
      <c r="M921" s="54"/>
      <c r="N921" s="54"/>
      <c r="O921" s="112">
        <v>38.1006944444444</v>
      </c>
      <c r="P921" s="110" t="str">
        <f t="shared" si="66"/>
        <v/>
      </c>
      <c r="Q921" s="54"/>
      <c r="R921" s="87" t="str">
        <f t="shared" si="68"/>
        <v/>
      </c>
      <c r="S921" s="87" t="str">
        <f t="shared" si="69"/>
        <v/>
      </c>
      <c r="T921" s="54"/>
      <c r="U921" s="54"/>
      <c r="V921" s="54"/>
      <c r="W921" s="54"/>
      <c r="X921" s="69" t="str">
        <f t="shared" si="67"/>
        <v>D</v>
      </c>
    </row>
    <row r="922" spans="1:24" s="66" customFormat="1" x14ac:dyDescent="0.25">
      <c r="A922" s="51"/>
      <c r="B922" s="91" t="str">
        <f>IFERROR(VLOOKUP(A922,Lookup!A:B,2,0),"")</f>
        <v/>
      </c>
      <c r="C922" s="92" t="str">
        <f>IFERROR(VLOOKUP(A922,Lookup!A:C,3,0),"")</f>
        <v/>
      </c>
      <c r="D922" s="54"/>
      <c r="E922" s="54"/>
      <c r="F922" s="54"/>
      <c r="G922" s="72"/>
      <c r="H922" s="54"/>
      <c r="I922" s="54"/>
      <c r="J922" s="106">
        <f>VLOOKUP(A922&amp;G922,Lookup!J:N,5,0)</f>
        <v>0</v>
      </c>
      <c r="K922" s="115"/>
      <c r="L922" s="54"/>
      <c r="M922" s="54"/>
      <c r="N922" s="54"/>
      <c r="O922" s="112">
        <v>38.1423611111111</v>
      </c>
      <c r="P922" s="110" t="str">
        <f t="shared" si="66"/>
        <v/>
      </c>
      <c r="Q922" s="54"/>
      <c r="R922" s="87" t="str">
        <f t="shared" si="68"/>
        <v/>
      </c>
      <c r="S922" s="87" t="str">
        <f t="shared" si="69"/>
        <v/>
      </c>
      <c r="T922" s="54"/>
      <c r="U922" s="54"/>
      <c r="V922" s="54"/>
      <c r="W922" s="54"/>
      <c r="X922" s="69" t="str">
        <f t="shared" si="67"/>
        <v>D</v>
      </c>
    </row>
    <row r="923" spans="1:24" s="66" customFormat="1" x14ac:dyDescent="0.25">
      <c r="A923" s="51"/>
      <c r="B923" s="91" t="str">
        <f>IFERROR(VLOOKUP(A923,Lookup!A:B,2,0),"")</f>
        <v/>
      </c>
      <c r="C923" s="92" t="str">
        <f>IFERROR(VLOOKUP(A923,Lookup!A:C,3,0),"")</f>
        <v/>
      </c>
      <c r="D923" s="54"/>
      <c r="E923" s="54"/>
      <c r="F923" s="54"/>
      <c r="G923" s="72"/>
      <c r="H923" s="54"/>
      <c r="I923" s="54"/>
      <c r="J923" s="106">
        <f>VLOOKUP(A923&amp;G923,Lookup!J:N,5,0)</f>
        <v>0</v>
      </c>
      <c r="K923" s="115"/>
      <c r="L923" s="54"/>
      <c r="M923" s="54"/>
      <c r="N923" s="54"/>
      <c r="O923" s="112">
        <v>38.1840277777778</v>
      </c>
      <c r="P923" s="110" t="str">
        <f t="shared" si="66"/>
        <v/>
      </c>
      <c r="Q923" s="54"/>
      <c r="R923" s="87" t="str">
        <f t="shared" si="68"/>
        <v/>
      </c>
      <c r="S923" s="87" t="str">
        <f t="shared" si="69"/>
        <v/>
      </c>
      <c r="T923" s="54"/>
      <c r="U923" s="54"/>
      <c r="V923" s="54"/>
      <c r="W923" s="54"/>
      <c r="X923" s="69" t="str">
        <f t="shared" si="67"/>
        <v>D</v>
      </c>
    </row>
    <row r="924" spans="1:24" s="66" customFormat="1" x14ac:dyDescent="0.25">
      <c r="A924" s="51"/>
      <c r="B924" s="91" t="str">
        <f>IFERROR(VLOOKUP(A924,Lookup!A:B,2,0),"")</f>
        <v/>
      </c>
      <c r="C924" s="92" t="str">
        <f>IFERROR(VLOOKUP(A924,Lookup!A:C,3,0),"")</f>
        <v/>
      </c>
      <c r="D924" s="54"/>
      <c r="E924" s="54"/>
      <c r="F924" s="54"/>
      <c r="G924" s="72"/>
      <c r="H924" s="54"/>
      <c r="I924" s="54"/>
      <c r="J924" s="106">
        <f>VLOOKUP(A924&amp;G924,Lookup!J:N,5,0)</f>
        <v>0</v>
      </c>
      <c r="K924" s="115"/>
      <c r="L924" s="54"/>
      <c r="M924" s="54"/>
      <c r="N924" s="54"/>
      <c r="O924" s="112">
        <v>38.2256944444444</v>
      </c>
      <c r="P924" s="110" t="str">
        <f t="shared" si="66"/>
        <v/>
      </c>
      <c r="Q924" s="54"/>
      <c r="R924" s="87" t="str">
        <f t="shared" si="68"/>
        <v/>
      </c>
      <c r="S924" s="87" t="str">
        <f t="shared" si="69"/>
        <v/>
      </c>
      <c r="T924" s="54"/>
      <c r="U924" s="54"/>
      <c r="V924" s="54"/>
      <c r="W924" s="54"/>
      <c r="X924" s="69" t="str">
        <f t="shared" si="67"/>
        <v>D</v>
      </c>
    </row>
    <row r="925" spans="1:24" s="66" customFormat="1" x14ac:dyDescent="0.25">
      <c r="A925" s="51"/>
      <c r="B925" s="91" t="str">
        <f>IFERROR(VLOOKUP(A925,Lookup!A:B,2,0),"")</f>
        <v/>
      </c>
      <c r="C925" s="92" t="str">
        <f>IFERROR(VLOOKUP(A925,Lookup!A:C,3,0),"")</f>
        <v/>
      </c>
      <c r="D925" s="54"/>
      <c r="E925" s="54"/>
      <c r="F925" s="54"/>
      <c r="G925" s="72"/>
      <c r="H925" s="54"/>
      <c r="I925" s="54"/>
      <c r="J925" s="106">
        <f>VLOOKUP(A925&amp;G925,Lookup!J:N,5,0)</f>
        <v>0</v>
      </c>
      <c r="K925" s="115"/>
      <c r="L925" s="54"/>
      <c r="M925" s="54"/>
      <c r="N925" s="54"/>
      <c r="O925" s="112">
        <v>38.2673611111111</v>
      </c>
      <c r="P925" s="110" t="str">
        <f t="shared" si="66"/>
        <v/>
      </c>
      <c r="Q925" s="54"/>
      <c r="R925" s="87" t="str">
        <f t="shared" si="68"/>
        <v/>
      </c>
      <c r="S925" s="87" t="str">
        <f t="shared" si="69"/>
        <v/>
      </c>
      <c r="T925" s="54"/>
      <c r="U925" s="54"/>
      <c r="V925" s="54"/>
      <c r="W925" s="54"/>
      <c r="X925" s="69" t="str">
        <f t="shared" si="67"/>
        <v>D</v>
      </c>
    </row>
    <row r="926" spans="1:24" s="66" customFormat="1" x14ac:dyDescent="0.25">
      <c r="A926" s="51"/>
      <c r="B926" s="91" t="str">
        <f>IFERROR(VLOOKUP(A926,Lookup!A:B,2,0),"")</f>
        <v/>
      </c>
      <c r="C926" s="92" t="str">
        <f>IFERROR(VLOOKUP(A926,Lookup!A:C,3,0),"")</f>
        <v/>
      </c>
      <c r="D926" s="54"/>
      <c r="E926" s="54"/>
      <c r="F926" s="54"/>
      <c r="G926" s="72"/>
      <c r="H926" s="54"/>
      <c r="I926" s="54"/>
      <c r="J926" s="106">
        <f>VLOOKUP(A926&amp;G926,Lookup!J:N,5,0)</f>
        <v>0</v>
      </c>
      <c r="K926" s="115"/>
      <c r="L926" s="54"/>
      <c r="M926" s="54"/>
      <c r="N926" s="54"/>
      <c r="O926" s="112">
        <v>38.3090277777778</v>
      </c>
      <c r="P926" s="110" t="str">
        <f t="shared" si="66"/>
        <v/>
      </c>
      <c r="Q926" s="54"/>
      <c r="R926" s="87" t="str">
        <f t="shared" si="68"/>
        <v/>
      </c>
      <c r="S926" s="87" t="str">
        <f t="shared" si="69"/>
        <v/>
      </c>
      <c r="T926" s="54"/>
      <c r="U926" s="54"/>
      <c r="V926" s="54"/>
      <c r="W926" s="54"/>
      <c r="X926" s="69" t="str">
        <f t="shared" si="67"/>
        <v>D</v>
      </c>
    </row>
    <row r="927" spans="1:24" s="66" customFormat="1" x14ac:dyDescent="0.25">
      <c r="A927" s="51"/>
      <c r="B927" s="91" t="str">
        <f>IFERROR(VLOOKUP(A927,Lookup!A:B,2,0),"")</f>
        <v/>
      </c>
      <c r="C927" s="92" t="str">
        <f>IFERROR(VLOOKUP(A927,Lookup!A:C,3,0),"")</f>
        <v/>
      </c>
      <c r="D927" s="54"/>
      <c r="E927" s="54"/>
      <c r="F927" s="54"/>
      <c r="G927" s="72"/>
      <c r="H927" s="54"/>
      <c r="I927" s="54"/>
      <c r="J927" s="106">
        <f>VLOOKUP(A927&amp;G927,Lookup!J:N,5,0)</f>
        <v>0</v>
      </c>
      <c r="K927" s="115"/>
      <c r="L927" s="54"/>
      <c r="M927" s="54"/>
      <c r="N927" s="54"/>
      <c r="O927" s="112">
        <v>38.3506944444444</v>
      </c>
      <c r="P927" s="110" t="str">
        <f t="shared" si="66"/>
        <v/>
      </c>
      <c r="Q927" s="54"/>
      <c r="R927" s="87" t="str">
        <f t="shared" si="68"/>
        <v/>
      </c>
      <c r="S927" s="87" t="str">
        <f t="shared" si="69"/>
        <v/>
      </c>
      <c r="T927" s="54"/>
      <c r="U927" s="54"/>
      <c r="V927" s="54"/>
      <c r="W927" s="54"/>
      <c r="X927" s="69" t="str">
        <f t="shared" si="67"/>
        <v>D</v>
      </c>
    </row>
    <row r="928" spans="1:24" s="66" customFormat="1" x14ac:dyDescent="0.25">
      <c r="A928" s="51"/>
      <c r="B928" s="91" t="str">
        <f>IFERROR(VLOOKUP(A928,Lookup!A:B,2,0),"")</f>
        <v/>
      </c>
      <c r="C928" s="92" t="str">
        <f>IFERROR(VLOOKUP(A928,Lookup!A:C,3,0),"")</f>
        <v/>
      </c>
      <c r="D928" s="54"/>
      <c r="E928" s="54"/>
      <c r="F928" s="54"/>
      <c r="G928" s="72"/>
      <c r="H928" s="54"/>
      <c r="I928" s="54"/>
      <c r="J928" s="106">
        <f>VLOOKUP(A928&amp;G928,Lookup!J:N,5,0)</f>
        <v>0</v>
      </c>
      <c r="K928" s="115"/>
      <c r="L928" s="54"/>
      <c r="M928" s="54"/>
      <c r="N928" s="54"/>
      <c r="O928" s="112">
        <v>38.3923611111111</v>
      </c>
      <c r="P928" s="110" t="str">
        <f t="shared" si="66"/>
        <v/>
      </c>
      <c r="Q928" s="54"/>
      <c r="R928" s="87" t="str">
        <f t="shared" si="68"/>
        <v/>
      </c>
      <c r="S928" s="87" t="str">
        <f t="shared" si="69"/>
        <v/>
      </c>
      <c r="T928" s="54"/>
      <c r="U928" s="54"/>
      <c r="V928" s="54"/>
      <c r="W928" s="54"/>
      <c r="X928" s="69" t="str">
        <f t="shared" si="67"/>
        <v>D</v>
      </c>
    </row>
    <row r="929" spans="1:24" s="66" customFormat="1" x14ac:dyDescent="0.25">
      <c r="A929" s="51"/>
      <c r="B929" s="91" t="str">
        <f>IFERROR(VLOOKUP(A929,Lookup!A:B,2,0),"")</f>
        <v/>
      </c>
      <c r="C929" s="92" t="str">
        <f>IFERROR(VLOOKUP(A929,Lookup!A:C,3,0),"")</f>
        <v/>
      </c>
      <c r="D929" s="54"/>
      <c r="E929" s="54"/>
      <c r="F929" s="54"/>
      <c r="G929" s="72"/>
      <c r="H929" s="54"/>
      <c r="I929" s="54"/>
      <c r="J929" s="106">
        <f>VLOOKUP(A929&amp;G929,Lookup!J:N,5,0)</f>
        <v>0</v>
      </c>
      <c r="K929" s="115"/>
      <c r="L929" s="54"/>
      <c r="M929" s="54"/>
      <c r="N929" s="54"/>
      <c r="O929" s="112">
        <v>38.4340277777778</v>
      </c>
      <c r="P929" s="110" t="str">
        <f t="shared" si="66"/>
        <v/>
      </c>
      <c r="Q929" s="54"/>
      <c r="R929" s="87" t="str">
        <f t="shared" si="68"/>
        <v/>
      </c>
      <c r="S929" s="87" t="str">
        <f t="shared" si="69"/>
        <v/>
      </c>
      <c r="T929" s="54"/>
      <c r="U929" s="54"/>
      <c r="V929" s="54"/>
      <c r="W929" s="54"/>
      <c r="X929" s="69" t="str">
        <f t="shared" si="67"/>
        <v>D</v>
      </c>
    </row>
    <row r="930" spans="1:24" s="66" customFormat="1" x14ac:dyDescent="0.25">
      <c r="A930" s="51"/>
      <c r="B930" s="91" t="str">
        <f>IFERROR(VLOOKUP(A930,Lookup!A:B,2,0),"")</f>
        <v/>
      </c>
      <c r="C930" s="92" t="str">
        <f>IFERROR(VLOOKUP(A930,Lookup!A:C,3,0),"")</f>
        <v/>
      </c>
      <c r="D930" s="54"/>
      <c r="E930" s="54"/>
      <c r="F930" s="54"/>
      <c r="G930" s="72"/>
      <c r="H930" s="54"/>
      <c r="I930" s="54"/>
      <c r="J930" s="106">
        <f>VLOOKUP(A930&amp;G930,Lookup!J:N,5,0)</f>
        <v>0</v>
      </c>
      <c r="K930" s="115"/>
      <c r="L930" s="54"/>
      <c r="M930" s="54"/>
      <c r="N930" s="54"/>
      <c r="O930" s="112">
        <v>38.4756944444444</v>
      </c>
      <c r="P930" s="110" t="str">
        <f t="shared" si="66"/>
        <v/>
      </c>
      <c r="Q930" s="54"/>
      <c r="R930" s="87" t="str">
        <f t="shared" si="68"/>
        <v/>
      </c>
      <c r="S930" s="87" t="str">
        <f t="shared" si="69"/>
        <v/>
      </c>
      <c r="T930" s="54"/>
      <c r="U930" s="54"/>
      <c r="V930" s="54"/>
      <c r="W930" s="54"/>
      <c r="X930" s="69" t="str">
        <f t="shared" si="67"/>
        <v>D</v>
      </c>
    </row>
    <row r="931" spans="1:24" s="66" customFormat="1" x14ac:dyDescent="0.25">
      <c r="A931" s="51"/>
      <c r="B931" s="91" t="str">
        <f>IFERROR(VLOOKUP(A931,Lookup!A:B,2,0),"")</f>
        <v/>
      </c>
      <c r="C931" s="92" t="str">
        <f>IFERROR(VLOOKUP(A931,Lookup!A:C,3,0),"")</f>
        <v/>
      </c>
      <c r="D931" s="54"/>
      <c r="E931" s="54"/>
      <c r="F931" s="54"/>
      <c r="G931" s="72"/>
      <c r="H931" s="54"/>
      <c r="I931" s="54"/>
      <c r="J931" s="106">
        <f>VLOOKUP(A931&amp;G931,Lookup!J:N,5,0)</f>
        <v>0</v>
      </c>
      <c r="K931" s="115"/>
      <c r="L931" s="54"/>
      <c r="M931" s="54"/>
      <c r="N931" s="54"/>
      <c r="O931" s="112">
        <v>38.5173611111111</v>
      </c>
      <c r="P931" s="110" t="str">
        <f t="shared" si="66"/>
        <v/>
      </c>
      <c r="Q931" s="54"/>
      <c r="R931" s="87" t="str">
        <f t="shared" si="68"/>
        <v/>
      </c>
      <c r="S931" s="87" t="str">
        <f t="shared" si="69"/>
        <v/>
      </c>
      <c r="T931" s="54"/>
      <c r="U931" s="54"/>
      <c r="V931" s="54"/>
      <c r="W931" s="54"/>
      <c r="X931" s="69" t="str">
        <f t="shared" si="67"/>
        <v>D</v>
      </c>
    </row>
    <row r="932" spans="1:24" s="66" customFormat="1" x14ac:dyDescent="0.25">
      <c r="A932" s="51"/>
      <c r="B932" s="91" t="str">
        <f>IFERROR(VLOOKUP(A932,Lookup!A:B,2,0),"")</f>
        <v/>
      </c>
      <c r="C932" s="92" t="str">
        <f>IFERROR(VLOOKUP(A932,Lookup!A:C,3,0),"")</f>
        <v/>
      </c>
      <c r="D932" s="54"/>
      <c r="E932" s="54"/>
      <c r="F932" s="54"/>
      <c r="G932" s="72"/>
      <c r="H932" s="54"/>
      <c r="I932" s="54"/>
      <c r="J932" s="106">
        <f>VLOOKUP(A932&amp;G932,Lookup!J:N,5,0)</f>
        <v>0</v>
      </c>
      <c r="K932" s="115"/>
      <c r="L932" s="54"/>
      <c r="M932" s="54"/>
      <c r="N932" s="54"/>
      <c r="O932" s="112">
        <v>38.5590277777778</v>
      </c>
      <c r="P932" s="110" t="str">
        <f t="shared" si="66"/>
        <v/>
      </c>
      <c r="Q932" s="54"/>
      <c r="R932" s="87" t="str">
        <f t="shared" si="68"/>
        <v/>
      </c>
      <c r="S932" s="87" t="str">
        <f t="shared" si="69"/>
        <v/>
      </c>
      <c r="T932" s="54"/>
      <c r="U932" s="54"/>
      <c r="V932" s="54"/>
      <c r="W932" s="54"/>
      <c r="X932" s="69" t="str">
        <f t="shared" si="67"/>
        <v>D</v>
      </c>
    </row>
    <row r="933" spans="1:24" s="66" customFormat="1" x14ac:dyDescent="0.25">
      <c r="A933" s="51"/>
      <c r="B933" s="91" t="str">
        <f>IFERROR(VLOOKUP(A933,Lookup!A:B,2,0),"")</f>
        <v/>
      </c>
      <c r="C933" s="92" t="str">
        <f>IFERROR(VLOOKUP(A933,Lookup!A:C,3,0),"")</f>
        <v/>
      </c>
      <c r="D933" s="54"/>
      <c r="E933" s="54"/>
      <c r="F933" s="54"/>
      <c r="G933" s="72"/>
      <c r="H933" s="54"/>
      <c r="I933" s="54"/>
      <c r="J933" s="106">
        <f>VLOOKUP(A933&amp;G933,Lookup!J:N,5,0)</f>
        <v>0</v>
      </c>
      <c r="K933" s="115"/>
      <c r="L933" s="54"/>
      <c r="M933" s="54"/>
      <c r="N933" s="54"/>
      <c r="O933" s="112">
        <v>38.6006944444444</v>
      </c>
      <c r="P933" s="110" t="str">
        <f t="shared" si="66"/>
        <v/>
      </c>
      <c r="Q933" s="54"/>
      <c r="R933" s="87" t="str">
        <f t="shared" si="68"/>
        <v/>
      </c>
      <c r="S933" s="87" t="str">
        <f t="shared" si="69"/>
        <v/>
      </c>
      <c r="T933" s="54"/>
      <c r="U933" s="54"/>
      <c r="V933" s="54"/>
      <c r="W933" s="54"/>
      <c r="X933" s="69" t="str">
        <f t="shared" si="67"/>
        <v>D</v>
      </c>
    </row>
    <row r="934" spans="1:24" s="66" customFormat="1" x14ac:dyDescent="0.25">
      <c r="A934" s="51"/>
      <c r="B934" s="91" t="str">
        <f>IFERROR(VLOOKUP(A934,Lookup!A:B,2,0),"")</f>
        <v/>
      </c>
      <c r="C934" s="92" t="str">
        <f>IFERROR(VLOOKUP(A934,Lookup!A:C,3,0),"")</f>
        <v/>
      </c>
      <c r="D934" s="54"/>
      <c r="E934" s="54"/>
      <c r="F934" s="54"/>
      <c r="G934" s="72"/>
      <c r="H934" s="54"/>
      <c r="I934" s="54"/>
      <c r="J934" s="106">
        <f>VLOOKUP(A934&amp;G934,Lookup!J:N,5,0)</f>
        <v>0</v>
      </c>
      <c r="K934" s="115"/>
      <c r="L934" s="54"/>
      <c r="M934" s="54"/>
      <c r="N934" s="54"/>
      <c r="O934" s="112">
        <v>38.6423611111111</v>
      </c>
      <c r="P934" s="110" t="str">
        <f t="shared" si="66"/>
        <v/>
      </c>
      <c r="Q934" s="54"/>
      <c r="R934" s="87" t="str">
        <f t="shared" si="68"/>
        <v/>
      </c>
      <c r="S934" s="87" t="str">
        <f t="shared" si="69"/>
        <v/>
      </c>
      <c r="T934" s="54"/>
      <c r="U934" s="54"/>
      <c r="V934" s="54"/>
      <c r="W934" s="54"/>
      <c r="X934" s="69" t="str">
        <f t="shared" si="67"/>
        <v>D</v>
      </c>
    </row>
    <row r="935" spans="1:24" s="66" customFormat="1" x14ac:dyDescent="0.25">
      <c r="A935" s="51"/>
      <c r="B935" s="91" t="str">
        <f>IFERROR(VLOOKUP(A935,Lookup!A:B,2,0),"")</f>
        <v/>
      </c>
      <c r="C935" s="92" t="str">
        <f>IFERROR(VLOOKUP(A935,Lookup!A:C,3,0),"")</f>
        <v/>
      </c>
      <c r="D935" s="54"/>
      <c r="E935" s="54"/>
      <c r="F935" s="54"/>
      <c r="G935" s="72"/>
      <c r="H935" s="54"/>
      <c r="I935" s="54"/>
      <c r="J935" s="106">
        <f>VLOOKUP(A935&amp;G935,Lookup!J:N,5,0)</f>
        <v>0</v>
      </c>
      <c r="K935" s="115"/>
      <c r="L935" s="54"/>
      <c r="M935" s="54"/>
      <c r="N935" s="54"/>
      <c r="O935" s="112">
        <v>38.6840277777778</v>
      </c>
      <c r="P935" s="110" t="str">
        <f t="shared" si="66"/>
        <v/>
      </c>
      <c r="Q935" s="54"/>
      <c r="R935" s="87" t="str">
        <f t="shared" si="68"/>
        <v/>
      </c>
      <c r="S935" s="87" t="str">
        <f t="shared" si="69"/>
        <v/>
      </c>
      <c r="T935" s="54"/>
      <c r="U935" s="54"/>
      <c r="V935" s="54"/>
      <c r="W935" s="54"/>
      <c r="X935" s="69" t="str">
        <f t="shared" si="67"/>
        <v>D</v>
      </c>
    </row>
    <row r="936" spans="1:24" s="66" customFormat="1" x14ac:dyDescent="0.25">
      <c r="A936" s="51"/>
      <c r="B936" s="91" t="str">
        <f>IFERROR(VLOOKUP(A936,Lookup!A:B,2,0),"")</f>
        <v/>
      </c>
      <c r="C936" s="92" t="str">
        <f>IFERROR(VLOOKUP(A936,Lookup!A:C,3,0),"")</f>
        <v/>
      </c>
      <c r="D936" s="54"/>
      <c r="E936" s="54"/>
      <c r="F936" s="54"/>
      <c r="G936" s="72"/>
      <c r="H936" s="54"/>
      <c r="I936" s="54"/>
      <c r="J936" s="106">
        <f>VLOOKUP(A936&amp;G936,Lookup!J:N,5,0)</f>
        <v>0</v>
      </c>
      <c r="K936" s="115"/>
      <c r="L936" s="54"/>
      <c r="M936" s="54"/>
      <c r="N936" s="54"/>
      <c r="O936" s="112">
        <v>38.7256944444444</v>
      </c>
      <c r="P936" s="110" t="str">
        <f t="shared" si="66"/>
        <v/>
      </c>
      <c r="Q936" s="54"/>
      <c r="R936" s="87" t="str">
        <f t="shared" si="68"/>
        <v/>
      </c>
      <c r="S936" s="87" t="str">
        <f t="shared" si="69"/>
        <v/>
      </c>
      <c r="T936" s="54"/>
      <c r="U936" s="54"/>
      <c r="V936" s="54"/>
      <c r="W936" s="54"/>
      <c r="X936" s="69" t="str">
        <f t="shared" si="67"/>
        <v>D</v>
      </c>
    </row>
    <row r="937" spans="1:24" s="66" customFormat="1" x14ac:dyDescent="0.25">
      <c r="A937" s="51"/>
      <c r="B937" s="91" t="str">
        <f>IFERROR(VLOOKUP(A937,Lookup!A:B,2,0),"")</f>
        <v/>
      </c>
      <c r="C937" s="92" t="str">
        <f>IFERROR(VLOOKUP(A937,Lookup!A:C,3,0),"")</f>
        <v/>
      </c>
      <c r="D937" s="54"/>
      <c r="E937" s="54"/>
      <c r="F937" s="54"/>
      <c r="G937" s="72"/>
      <c r="H937" s="54"/>
      <c r="I937" s="54"/>
      <c r="J937" s="106">
        <f>VLOOKUP(A937&amp;G937,Lookup!J:N,5,0)</f>
        <v>0</v>
      </c>
      <c r="K937" s="115"/>
      <c r="L937" s="54"/>
      <c r="M937" s="54"/>
      <c r="N937" s="54"/>
      <c r="O937" s="112">
        <v>38.7673611111111</v>
      </c>
      <c r="P937" s="110" t="str">
        <f t="shared" si="66"/>
        <v/>
      </c>
      <c r="Q937" s="54"/>
      <c r="R937" s="87" t="str">
        <f t="shared" si="68"/>
        <v/>
      </c>
      <c r="S937" s="87" t="str">
        <f t="shared" si="69"/>
        <v/>
      </c>
      <c r="T937" s="54"/>
      <c r="U937" s="54"/>
      <c r="V937" s="54"/>
      <c r="W937" s="54"/>
      <c r="X937" s="69" t="str">
        <f t="shared" si="67"/>
        <v>D</v>
      </c>
    </row>
    <row r="938" spans="1:24" s="66" customFormat="1" x14ac:dyDescent="0.25">
      <c r="A938" s="51"/>
      <c r="B938" s="91" t="str">
        <f>IFERROR(VLOOKUP(A938,Lookup!A:B,2,0),"")</f>
        <v/>
      </c>
      <c r="C938" s="92" t="str">
        <f>IFERROR(VLOOKUP(A938,Lookup!A:C,3,0),"")</f>
        <v/>
      </c>
      <c r="D938" s="54"/>
      <c r="E938" s="54"/>
      <c r="F938" s="54"/>
      <c r="G938" s="72"/>
      <c r="H938" s="54"/>
      <c r="I938" s="54"/>
      <c r="J938" s="106">
        <f>VLOOKUP(A938&amp;G938,Lookup!J:N,5,0)</f>
        <v>0</v>
      </c>
      <c r="K938" s="115"/>
      <c r="L938" s="54"/>
      <c r="M938" s="54"/>
      <c r="N938" s="54"/>
      <c r="O938" s="112">
        <v>38.8090277777778</v>
      </c>
      <c r="P938" s="110" t="str">
        <f t="shared" si="66"/>
        <v/>
      </c>
      <c r="Q938" s="54"/>
      <c r="R938" s="87" t="str">
        <f t="shared" si="68"/>
        <v/>
      </c>
      <c r="S938" s="87" t="str">
        <f t="shared" si="69"/>
        <v/>
      </c>
      <c r="T938" s="54"/>
      <c r="U938" s="54"/>
      <c r="V938" s="54"/>
      <c r="W938" s="54"/>
      <c r="X938" s="69" t="str">
        <f t="shared" si="67"/>
        <v>D</v>
      </c>
    </row>
    <row r="939" spans="1:24" s="66" customFormat="1" x14ac:dyDescent="0.25">
      <c r="A939" s="51"/>
      <c r="B939" s="91" t="str">
        <f>IFERROR(VLOOKUP(A939,Lookup!A:B,2,0),"")</f>
        <v/>
      </c>
      <c r="C939" s="92" t="str">
        <f>IFERROR(VLOOKUP(A939,Lookup!A:C,3,0),"")</f>
        <v/>
      </c>
      <c r="D939" s="54"/>
      <c r="E939" s="54"/>
      <c r="F939" s="54"/>
      <c r="G939" s="72"/>
      <c r="H939" s="54"/>
      <c r="I939" s="54"/>
      <c r="J939" s="106">
        <f>VLOOKUP(A939&amp;G939,Lookup!J:N,5,0)</f>
        <v>0</v>
      </c>
      <c r="K939" s="115"/>
      <c r="L939" s="54"/>
      <c r="M939" s="54"/>
      <c r="N939" s="54"/>
      <c r="O939" s="112">
        <v>38.8506944444444</v>
      </c>
      <c r="P939" s="110" t="str">
        <f t="shared" si="66"/>
        <v/>
      </c>
      <c r="Q939" s="54"/>
      <c r="R939" s="87" t="str">
        <f t="shared" si="68"/>
        <v/>
      </c>
      <c r="S939" s="87" t="str">
        <f t="shared" si="69"/>
        <v/>
      </c>
      <c r="T939" s="54"/>
      <c r="U939" s="54"/>
      <c r="V939" s="54"/>
      <c r="W939" s="54"/>
      <c r="X939" s="69" t="str">
        <f t="shared" si="67"/>
        <v>D</v>
      </c>
    </row>
    <row r="940" spans="1:24" s="66" customFormat="1" x14ac:dyDescent="0.25">
      <c r="A940" s="51"/>
      <c r="B940" s="91" t="str">
        <f>IFERROR(VLOOKUP(A940,Lookup!A:B,2,0),"")</f>
        <v/>
      </c>
      <c r="C940" s="92" t="str">
        <f>IFERROR(VLOOKUP(A940,Lookup!A:C,3,0),"")</f>
        <v/>
      </c>
      <c r="D940" s="54"/>
      <c r="E940" s="54"/>
      <c r="F940" s="54"/>
      <c r="G940" s="72"/>
      <c r="H940" s="54"/>
      <c r="I940" s="54"/>
      <c r="J940" s="106">
        <f>VLOOKUP(A940&amp;G940,Lookup!J:N,5,0)</f>
        <v>0</v>
      </c>
      <c r="K940" s="115"/>
      <c r="L940" s="54"/>
      <c r="M940" s="54"/>
      <c r="N940" s="54"/>
      <c r="O940" s="112">
        <v>38.8923611111111</v>
      </c>
      <c r="P940" s="110" t="str">
        <f t="shared" si="66"/>
        <v/>
      </c>
      <c r="Q940" s="54"/>
      <c r="R940" s="87" t="str">
        <f t="shared" si="68"/>
        <v/>
      </c>
      <c r="S940" s="87" t="str">
        <f t="shared" si="69"/>
        <v/>
      </c>
      <c r="T940" s="54"/>
      <c r="U940" s="54"/>
      <c r="V940" s="54"/>
      <c r="W940" s="54"/>
      <c r="X940" s="69" t="str">
        <f t="shared" si="67"/>
        <v>D</v>
      </c>
    </row>
    <row r="941" spans="1:24" s="66" customFormat="1" x14ac:dyDescent="0.25">
      <c r="A941" s="51"/>
      <c r="B941" s="91" t="str">
        <f>IFERROR(VLOOKUP(A941,Lookup!A:B,2,0),"")</f>
        <v/>
      </c>
      <c r="C941" s="92" t="str">
        <f>IFERROR(VLOOKUP(A941,Lookup!A:C,3,0),"")</f>
        <v/>
      </c>
      <c r="D941" s="54"/>
      <c r="E941" s="54"/>
      <c r="F941" s="54"/>
      <c r="G941" s="72"/>
      <c r="H941" s="54"/>
      <c r="I941" s="54"/>
      <c r="J941" s="106">
        <f>VLOOKUP(A941&amp;G941,Lookup!J:N,5,0)</f>
        <v>0</v>
      </c>
      <c r="K941" s="115"/>
      <c r="L941" s="54"/>
      <c r="M941" s="54"/>
      <c r="N941" s="54"/>
      <c r="O941" s="112">
        <v>38.9340277777778</v>
      </c>
      <c r="P941" s="110" t="str">
        <f t="shared" si="66"/>
        <v/>
      </c>
      <c r="Q941" s="54"/>
      <c r="R941" s="87" t="str">
        <f t="shared" si="68"/>
        <v/>
      </c>
      <c r="S941" s="87" t="str">
        <f t="shared" si="69"/>
        <v/>
      </c>
      <c r="T941" s="54"/>
      <c r="U941" s="54"/>
      <c r="V941" s="54"/>
      <c r="W941" s="54"/>
      <c r="X941" s="69" t="str">
        <f t="shared" si="67"/>
        <v>D</v>
      </c>
    </row>
    <row r="942" spans="1:24" s="66" customFormat="1" x14ac:dyDescent="0.25">
      <c r="A942" s="51"/>
      <c r="B942" s="91" t="str">
        <f>IFERROR(VLOOKUP(A942,Lookup!A:B,2,0),"")</f>
        <v/>
      </c>
      <c r="C942" s="92" t="str">
        <f>IFERROR(VLOOKUP(A942,Lookup!A:C,3,0),"")</f>
        <v/>
      </c>
      <c r="D942" s="54"/>
      <c r="E942" s="54"/>
      <c r="F942" s="54"/>
      <c r="G942" s="72"/>
      <c r="H942" s="54"/>
      <c r="I942" s="54"/>
      <c r="J942" s="106">
        <f>VLOOKUP(A942&amp;G942,Lookup!J:N,5,0)</f>
        <v>0</v>
      </c>
      <c r="K942" s="115"/>
      <c r="L942" s="54"/>
      <c r="M942" s="54"/>
      <c r="N942" s="54"/>
      <c r="O942" s="112">
        <v>38.9756944444444</v>
      </c>
      <c r="P942" s="110" t="str">
        <f t="shared" si="66"/>
        <v/>
      </c>
      <c r="Q942" s="54"/>
      <c r="R942" s="87" t="str">
        <f t="shared" si="68"/>
        <v/>
      </c>
      <c r="S942" s="87" t="str">
        <f t="shared" si="69"/>
        <v/>
      </c>
      <c r="T942" s="54"/>
      <c r="U942" s="54"/>
      <c r="V942" s="54"/>
      <c r="W942" s="54"/>
      <c r="X942" s="69" t="str">
        <f t="shared" si="67"/>
        <v>D</v>
      </c>
    </row>
    <row r="943" spans="1:24" s="66" customFormat="1" x14ac:dyDescent="0.25">
      <c r="A943" s="51"/>
      <c r="B943" s="91" t="str">
        <f>IFERROR(VLOOKUP(A943,Lookup!A:B,2,0),"")</f>
        <v/>
      </c>
      <c r="C943" s="92" t="str">
        <f>IFERROR(VLOOKUP(A943,Lookup!A:C,3,0),"")</f>
        <v/>
      </c>
      <c r="D943" s="54"/>
      <c r="E943" s="54"/>
      <c r="F943" s="54"/>
      <c r="G943" s="72"/>
      <c r="H943" s="54"/>
      <c r="I943" s="54"/>
      <c r="J943" s="106">
        <f>VLOOKUP(A943&amp;G943,Lookup!J:N,5,0)</f>
        <v>0</v>
      </c>
      <c r="K943" s="115"/>
      <c r="L943" s="54"/>
      <c r="M943" s="54"/>
      <c r="N943" s="54"/>
      <c r="O943" s="112">
        <v>39.0173611111111</v>
      </c>
      <c r="P943" s="110" t="str">
        <f t="shared" si="66"/>
        <v/>
      </c>
      <c r="Q943" s="54"/>
      <c r="R943" s="87" t="str">
        <f t="shared" si="68"/>
        <v/>
      </c>
      <c r="S943" s="87" t="str">
        <f t="shared" si="69"/>
        <v/>
      </c>
      <c r="T943" s="54"/>
      <c r="U943" s="54"/>
      <c r="V943" s="54"/>
      <c r="W943" s="54"/>
      <c r="X943" s="69" t="str">
        <f t="shared" si="67"/>
        <v>D</v>
      </c>
    </row>
    <row r="944" spans="1:24" s="66" customFormat="1" x14ac:dyDescent="0.25">
      <c r="A944" s="51"/>
      <c r="B944" s="91" t="str">
        <f>IFERROR(VLOOKUP(A944,Lookup!A:B,2,0),"")</f>
        <v/>
      </c>
      <c r="C944" s="92" t="str">
        <f>IFERROR(VLOOKUP(A944,Lookup!A:C,3,0),"")</f>
        <v/>
      </c>
      <c r="D944" s="54"/>
      <c r="E944" s="54"/>
      <c r="F944" s="54"/>
      <c r="G944" s="72"/>
      <c r="H944" s="54"/>
      <c r="I944" s="54"/>
      <c r="J944" s="106">
        <f>VLOOKUP(A944&amp;G944,Lookup!J:N,5,0)</f>
        <v>0</v>
      </c>
      <c r="K944" s="115"/>
      <c r="L944" s="54"/>
      <c r="M944" s="54"/>
      <c r="N944" s="54"/>
      <c r="O944" s="112">
        <v>39.0590277777778</v>
      </c>
      <c r="P944" s="110" t="str">
        <f t="shared" si="66"/>
        <v/>
      </c>
      <c r="Q944" s="54"/>
      <c r="R944" s="87" t="str">
        <f t="shared" si="68"/>
        <v/>
      </c>
      <c r="S944" s="87" t="str">
        <f t="shared" si="69"/>
        <v/>
      </c>
      <c r="T944" s="54"/>
      <c r="U944" s="54"/>
      <c r="V944" s="54"/>
      <c r="W944" s="54"/>
      <c r="X944" s="69" t="str">
        <f t="shared" si="67"/>
        <v>D</v>
      </c>
    </row>
    <row r="945" spans="1:24" s="66" customFormat="1" x14ac:dyDescent="0.25">
      <c r="A945" s="51"/>
      <c r="B945" s="91" t="str">
        <f>IFERROR(VLOOKUP(A945,Lookup!A:B,2,0),"")</f>
        <v/>
      </c>
      <c r="C945" s="92" t="str">
        <f>IFERROR(VLOOKUP(A945,Lookup!A:C,3,0),"")</f>
        <v/>
      </c>
      <c r="D945" s="54"/>
      <c r="E945" s="54"/>
      <c r="F945" s="54"/>
      <c r="G945" s="72"/>
      <c r="H945" s="54"/>
      <c r="I945" s="54"/>
      <c r="J945" s="106">
        <f>VLOOKUP(A945&amp;G945,Lookup!J:N,5,0)</f>
        <v>0</v>
      </c>
      <c r="K945" s="115"/>
      <c r="L945" s="54"/>
      <c r="M945" s="54"/>
      <c r="N945" s="54"/>
      <c r="O945" s="112">
        <v>39.1006944444444</v>
      </c>
      <c r="P945" s="110" t="str">
        <f t="shared" si="66"/>
        <v/>
      </c>
      <c r="Q945" s="54"/>
      <c r="R945" s="87" t="str">
        <f t="shared" si="68"/>
        <v/>
      </c>
      <c r="S945" s="87" t="str">
        <f t="shared" si="69"/>
        <v/>
      </c>
      <c r="T945" s="54"/>
      <c r="U945" s="54"/>
      <c r="V945" s="54"/>
      <c r="W945" s="54"/>
      <c r="X945" s="69" t="str">
        <f t="shared" si="67"/>
        <v>D</v>
      </c>
    </row>
    <row r="946" spans="1:24" s="66" customFormat="1" x14ac:dyDescent="0.25">
      <c r="A946" s="51"/>
      <c r="B946" s="91" t="str">
        <f>IFERROR(VLOOKUP(A946,Lookup!A:B,2,0),"")</f>
        <v/>
      </c>
      <c r="C946" s="92" t="str">
        <f>IFERROR(VLOOKUP(A946,Lookup!A:C,3,0),"")</f>
        <v/>
      </c>
      <c r="D946" s="54"/>
      <c r="E946" s="54"/>
      <c r="F946" s="54"/>
      <c r="G946" s="72"/>
      <c r="H946" s="54"/>
      <c r="I946" s="54"/>
      <c r="J946" s="106">
        <f>VLOOKUP(A946&amp;G946,Lookup!J:N,5,0)</f>
        <v>0</v>
      </c>
      <c r="K946" s="115"/>
      <c r="L946" s="54"/>
      <c r="M946" s="54"/>
      <c r="N946" s="54"/>
      <c r="O946" s="112">
        <v>39.1423611111111</v>
      </c>
      <c r="P946" s="110" t="str">
        <f t="shared" si="66"/>
        <v/>
      </c>
      <c r="Q946" s="54"/>
      <c r="R946" s="87" t="str">
        <f t="shared" si="68"/>
        <v/>
      </c>
      <c r="S946" s="87" t="str">
        <f t="shared" si="69"/>
        <v/>
      </c>
      <c r="T946" s="54"/>
      <c r="U946" s="54"/>
      <c r="V946" s="54"/>
      <c r="W946" s="54"/>
      <c r="X946" s="69" t="str">
        <f t="shared" si="67"/>
        <v>D</v>
      </c>
    </row>
    <row r="947" spans="1:24" s="66" customFormat="1" x14ac:dyDescent="0.25">
      <c r="A947" s="51"/>
      <c r="B947" s="91" t="str">
        <f>IFERROR(VLOOKUP(A947,Lookup!A:B,2,0),"")</f>
        <v/>
      </c>
      <c r="C947" s="92" t="str">
        <f>IFERROR(VLOOKUP(A947,Lookup!A:C,3,0),"")</f>
        <v/>
      </c>
      <c r="D947" s="54"/>
      <c r="E947" s="54"/>
      <c r="F947" s="54"/>
      <c r="G947" s="72"/>
      <c r="H947" s="54"/>
      <c r="I947" s="54"/>
      <c r="J947" s="106">
        <f>VLOOKUP(A947&amp;G947,Lookup!J:N,5,0)</f>
        <v>0</v>
      </c>
      <c r="K947" s="115"/>
      <c r="L947" s="54"/>
      <c r="M947" s="54"/>
      <c r="N947" s="54"/>
      <c r="O947" s="112">
        <v>39.1840277777778</v>
      </c>
      <c r="P947" s="110" t="str">
        <f t="shared" si="66"/>
        <v/>
      </c>
      <c r="Q947" s="54"/>
      <c r="R947" s="87" t="str">
        <f t="shared" si="68"/>
        <v/>
      </c>
      <c r="S947" s="87" t="str">
        <f t="shared" si="69"/>
        <v/>
      </c>
      <c r="T947" s="54"/>
      <c r="U947" s="54"/>
      <c r="V947" s="54"/>
      <c r="W947" s="54"/>
      <c r="X947" s="69" t="str">
        <f t="shared" si="67"/>
        <v>D</v>
      </c>
    </row>
    <row r="948" spans="1:24" s="66" customFormat="1" x14ac:dyDescent="0.25">
      <c r="A948" s="51"/>
      <c r="B948" s="91" t="str">
        <f>IFERROR(VLOOKUP(A948,Lookup!A:B,2,0),"")</f>
        <v/>
      </c>
      <c r="C948" s="92" t="str">
        <f>IFERROR(VLOOKUP(A948,Lookup!A:C,3,0),"")</f>
        <v/>
      </c>
      <c r="D948" s="54"/>
      <c r="E948" s="54"/>
      <c r="F948" s="54"/>
      <c r="G948" s="72"/>
      <c r="H948" s="54"/>
      <c r="I948" s="54"/>
      <c r="J948" s="106">
        <f>VLOOKUP(A948&amp;G948,Lookup!J:N,5,0)</f>
        <v>0</v>
      </c>
      <c r="K948" s="115"/>
      <c r="L948" s="54"/>
      <c r="M948" s="54"/>
      <c r="N948" s="54"/>
      <c r="O948" s="112">
        <v>39.2256944444444</v>
      </c>
      <c r="P948" s="110" t="str">
        <f t="shared" si="66"/>
        <v/>
      </c>
      <c r="Q948" s="54"/>
      <c r="R948" s="87" t="str">
        <f t="shared" si="68"/>
        <v/>
      </c>
      <c r="S948" s="87" t="str">
        <f t="shared" si="69"/>
        <v/>
      </c>
      <c r="T948" s="54"/>
      <c r="U948" s="54"/>
      <c r="V948" s="54"/>
      <c r="W948" s="54"/>
      <c r="X948" s="69" t="str">
        <f t="shared" si="67"/>
        <v>D</v>
      </c>
    </row>
    <row r="949" spans="1:24" s="66" customFormat="1" x14ac:dyDescent="0.25">
      <c r="A949" s="51"/>
      <c r="B949" s="91" t="str">
        <f>IFERROR(VLOOKUP(A949,Lookup!A:B,2,0),"")</f>
        <v/>
      </c>
      <c r="C949" s="92" t="str">
        <f>IFERROR(VLOOKUP(A949,Lookup!A:C,3,0),"")</f>
        <v/>
      </c>
      <c r="D949" s="54"/>
      <c r="E949" s="54"/>
      <c r="F949" s="54"/>
      <c r="G949" s="72"/>
      <c r="H949" s="54"/>
      <c r="I949" s="54"/>
      <c r="J949" s="106">
        <f>VLOOKUP(A949&amp;G949,Lookup!J:N,5,0)</f>
        <v>0</v>
      </c>
      <c r="K949" s="115"/>
      <c r="L949" s="54"/>
      <c r="M949" s="54"/>
      <c r="N949" s="54"/>
      <c r="O949" s="112">
        <v>39.2673611111111</v>
      </c>
      <c r="P949" s="110" t="str">
        <f t="shared" si="66"/>
        <v/>
      </c>
      <c r="Q949" s="54"/>
      <c r="R949" s="87" t="str">
        <f t="shared" si="68"/>
        <v/>
      </c>
      <c r="S949" s="87" t="str">
        <f t="shared" si="69"/>
        <v/>
      </c>
      <c r="T949" s="54"/>
      <c r="U949" s="54"/>
      <c r="V949" s="54"/>
      <c r="W949" s="54"/>
      <c r="X949" s="69" t="str">
        <f t="shared" si="67"/>
        <v>D</v>
      </c>
    </row>
    <row r="950" spans="1:24" s="66" customFormat="1" x14ac:dyDescent="0.25">
      <c r="A950" s="51"/>
      <c r="B950" s="91" t="str">
        <f>IFERROR(VLOOKUP(A950,Lookup!A:B,2,0),"")</f>
        <v/>
      </c>
      <c r="C950" s="92" t="str">
        <f>IFERROR(VLOOKUP(A950,Lookup!A:C,3,0),"")</f>
        <v/>
      </c>
      <c r="D950" s="54"/>
      <c r="E950" s="54"/>
      <c r="F950" s="54"/>
      <c r="G950" s="72"/>
      <c r="H950" s="54"/>
      <c r="I950" s="54"/>
      <c r="J950" s="106">
        <f>VLOOKUP(A950&amp;G950,Lookup!J:N,5,0)</f>
        <v>0</v>
      </c>
      <c r="K950" s="115"/>
      <c r="L950" s="54"/>
      <c r="M950" s="54"/>
      <c r="N950" s="54"/>
      <c r="O950" s="112">
        <v>39.3090277777778</v>
      </c>
      <c r="P950" s="110" t="str">
        <f t="shared" si="66"/>
        <v/>
      </c>
      <c r="Q950" s="54"/>
      <c r="R950" s="87" t="str">
        <f t="shared" si="68"/>
        <v/>
      </c>
      <c r="S950" s="87" t="str">
        <f t="shared" si="69"/>
        <v/>
      </c>
      <c r="T950" s="54"/>
      <c r="U950" s="54"/>
      <c r="V950" s="54"/>
      <c r="W950" s="54"/>
      <c r="X950" s="69" t="str">
        <f t="shared" si="67"/>
        <v>D</v>
      </c>
    </row>
    <row r="951" spans="1:24" s="66" customFormat="1" x14ac:dyDescent="0.25">
      <c r="A951" s="51"/>
      <c r="B951" s="91" t="str">
        <f>IFERROR(VLOOKUP(A951,Lookup!A:B,2,0),"")</f>
        <v/>
      </c>
      <c r="C951" s="92" t="str">
        <f>IFERROR(VLOOKUP(A951,Lookup!A:C,3,0),"")</f>
        <v/>
      </c>
      <c r="D951" s="54"/>
      <c r="E951" s="54"/>
      <c r="F951" s="54"/>
      <c r="G951" s="72"/>
      <c r="H951" s="54"/>
      <c r="I951" s="54"/>
      <c r="J951" s="106">
        <f>VLOOKUP(A951&amp;G951,Lookup!J:N,5,0)</f>
        <v>0</v>
      </c>
      <c r="K951" s="115"/>
      <c r="L951" s="54"/>
      <c r="M951" s="54"/>
      <c r="N951" s="54"/>
      <c r="O951" s="112">
        <v>39.3506944444444</v>
      </c>
      <c r="P951" s="110" t="str">
        <f t="shared" si="66"/>
        <v/>
      </c>
      <c r="Q951" s="54"/>
      <c r="R951" s="87" t="str">
        <f t="shared" si="68"/>
        <v/>
      </c>
      <c r="S951" s="87" t="str">
        <f t="shared" si="69"/>
        <v/>
      </c>
      <c r="T951" s="54"/>
      <c r="U951" s="54"/>
      <c r="V951" s="54"/>
      <c r="W951" s="54"/>
      <c r="X951" s="69" t="str">
        <f t="shared" si="67"/>
        <v>D</v>
      </c>
    </row>
    <row r="952" spans="1:24" s="66" customFormat="1" x14ac:dyDescent="0.25">
      <c r="A952" s="51"/>
      <c r="B952" s="91" t="str">
        <f>IFERROR(VLOOKUP(A952,Lookup!A:B,2,0),"")</f>
        <v/>
      </c>
      <c r="C952" s="92" t="str">
        <f>IFERROR(VLOOKUP(A952,Lookup!A:C,3,0),"")</f>
        <v/>
      </c>
      <c r="D952" s="54"/>
      <c r="E952" s="54"/>
      <c r="F952" s="54"/>
      <c r="G952" s="72"/>
      <c r="H952" s="54"/>
      <c r="I952" s="54"/>
      <c r="J952" s="106">
        <f>VLOOKUP(A952&amp;G952,Lookup!J:N,5,0)</f>
        <v>0</v>
      </c>
      <c r="K952" s="115"/>
      <c r="L952" s="54"/>
      <c r="M952" s="54"/>
      <c r="N952" s="54"/>
      <c r="O952" s="112">
        <v>39.3923611111111</v>
      </c>
      <c r="P952" s="110" t="str">
        <f t="shared" si="66"/>
        <v/>
      </c>
      <c r="Q952" s="54"/>
      <c r="R952" s="87" t="str">
        <f t="shared" si="68"/>
        <v/>
      </c>
      <c r="S952" s="87" t="str">
        <f t="shared" si="69"/>
        <v/>
      </c>
      <c r="T952" s="54"/>
      <c r="U952" s="54"/>
      <c r="V952" s="54"/>
      <c r="W952" s="54"/>
      <c r="X952" s="69" t="str">
        <f t="shared" si="67"/>
        <v>D</v>
      </c>
    </row>
    <row r="953" spans="1:24" s="66" customFormat="1" x14ac:dyDescent="0.25">
      <c r="A953" s="51"/>
      <c r="B953" s="91" t="str">
        <f>IFERROR(VLOOKUP(A953,Lookup!A:B,2,0),"")</f>
        <v/>
      </c>
      <c r="C953" s="92" t="str">
        <f>IFERROR(VLOOKUP(A953,Lookup!A:C,3,0),"")</f>
        <v/>
      </c>
      <c r="D953" s="54"/>
      <c r="E953" s="54"/>
      <c r="F953" s="54"/>
      <c r="G953" s="72"/>
      <c r="H953" s="54"/>
      <c r="I953" s="54"/>
      <c r="J953" s="106">
        <f>VLOOKUP(A953&amp;G953,Lookup!J:N,5,0)</f>
        <v>0</v>
      </c>
      <c r="K953" s="115"/>
      <c r="L953" s="54"/>
      <c r="M953" s="54"/>
      <c r="N953" s="54"/>
      <c r="O953" s="112">
        <v>39.4340277777778</v>
      </c>
      <c r="P953" s="110" t="str">
        <f t="shared" si="66"/>
        <v/>
      </c>
      <c r="Q953" s="54"/>
      <c r="R953" s="87" t="str">
        <f t="shared" si="68"/>
        <v/>
      </c>
      <c r="S953" s="87" t="str">
        <f t="shared" si="69"/>
        <v/>
      </c>
      <c r="T953" s="54"/>
      <c r="U953" s="54"/>
      <c r="V953" s="54"/>
      <c r="W953" s="54"/>
      <c r="X953" s="69" t="str">
        <f t="shared" si="67"/>
        <v>D</v>
      </c>
    </row>
    <row r="954" spans="1:24" s="66" customFormat="1" x14ac:dyDescent="0.25">
      <c r="A954" s="51"/>
      <c r="B954" s="91" t="str">
        <f>IFERROR(VLOOKUP(A954,Lookup!A:B,2,0),"")</f>
        <v/>
      </c>
      <c r="C954" s="92" t="str">
        <f>IFERROR(VLOOKUP(A954,Lookup!A:C,3,0),"")</f>
        <v/>
      </c>
      <c r="D954" s="54"/>
      <c r="E954" s="54"/>
      <c r="F954" s="54"/>
      <c r="G954" s="72"/>
      <c r="H954" s="54"/>
      <c r="I954" s="54"/>
      <c r="J954" s="106">
        <f>VLOOKUP(A954&amp;G954,Lookup!J:N,5,0)</f>
        <v>0</v>
      </c>
      <c r="K954" s="115"/>
      <c r="L954" s="54"/>
      <c r="M954" s="54"/>
      <c r="N954" s="54"/>
      <c r="O954" s="112">
        <v>39.4756944444444</v>
      </c>
      <c r="P954" s="110" t="str">
        <f t="shared" si="66"/>
        <v/>
      </c>
      <c r="Q954" s="54"/>
      <c r="R954" s="87" t="str">
        <f t="shared" si="68"/>
        <v/>
      </c>
      <c r="S954" s="87" t="str">
        <f t="shared" si="69"/>
        <v/>
      </c>
      <c r="T954" s="54"/>
      <c r="U954" s="54"/>
      <c r="V954" s="54"/>
      <c r="W954" s="54"/>
      <c r="X954" s="69" t="str">
        <f t="shared" si="67"/>
        <v>D</v>
      </c>
    </row>
    <row r="955" spans="1:24" s="66" customFormat="1" x14ac:dyDescent="0.25">
      <c r="A955" s="51"/>
      <c r="B955" s="91" t="str">
        <f>IFERROR(VLOOKUP(A955,Lookup!A:B,2,0),"")</f>
        <v/>
      </c>
      <c r="C955" s="92" t="str">
        <f>IFERROR(VLOOKUP(A955,Lookup!A:C,3,0),"")</f>
        <v/>
      </c>
      <c r="D955" s="54"/>
      <c r="E955" s="54"/>
      <c r="F955" s="54"/>
      <c r="G955" s="72"/>
      <c r="H955" s="54"/>
      <c r="I955" s="54"/>
      <c r="J955" s="106">
        <f>VLOOKUP(A955&amp;G955,Lookup!J:N,5,0)</f>
        <v>0</v>
      </c>
      <c r="K955" s="115"/>
      <c r="L955" s="54"/>
      <c r="M955" s="54"/>
      <c r="N955" s="54"/>
      <c r="O955" s="112">
        <v>39.5173611111111</v>
      </c>
      <c r="P955" s="110" t="str">
        <f t="shared" si="66"/>
        <v/>
      </c>
      <c r="Q955" s="54"/>
      <c r="R955" s="87" t="str">
        <f t="shared" si="68"/>
        <v/>
      </c>
      <c r="S955" s="87" t="str">
        <f t="shared" si="69"/>
        <v/>
      </c>
      <c r="T955" s="54"/>
      <c r="U955" s="54"/>
      <c r="V955" s="54"/>
      <c r="W955" s="54"/>
      <c r="X955" s="69" t="str">
        <f t="shared" si="67"/>
        <v>D</v>
      </c>
    </row>
    <row r="956" spans="1:24" s="66" customFormat="1" x14ac:dyDescent="0.25">
      <c r="A956" s="51"/>
      <c r="B956" s="91" t="str">
        <f>IFERROR(VLOOKUP(A956,Lookup!A:B,2,0),"")</f>
        <v/>
      </c>
      <c r="C956" s="92" t="str">
        <f>IFERROR(VLOOKUP(A956,Lookup!A:C,3,0),"")</f>
        <v/>
      </c>
      <c r="D956" s="54"/>
      <c r="E956" s="54"/>
      <c r="F956" s="54"/>
      <c r="G956" s="72"/>
      <c r="H956" s="54"/>
      <c r="I956" s="54"/>
      <c r="J956" s="106">
        <f>VLOOKUP(A956&amp;G956,Lookup!J:N,5,0)</f>
        <v>0</v>
      </c>
      <c r="K956" s="115"/>
      <c r="L956" s="54"/>
      <c r="M956" s="54"/>
      <c r="N956" s="54"/>
      <c r="O956" s="112">
        <v>39.5590277777778</v>
      </c>
      <c r="P956" s="110" t="str">
        <f t="shared" si="66"/>
        <v/>
      </c>
      <c r="Q956" s="54"/>
      <c r="R956" s="87" t="str">
        <f t="shared" si="68"/>
        <v/>
      </c>
      <c r="S956" s="87" t="str">
        <f t="shared" si="69"/>
        <v/>
      </c>
      <c r="T956" s="54"/>
      <c r="U956" s="54"/>
      <c r="V956" s="54"/>
      <c r="W956" s="54"/>
      <c r="X956" s="69" t="str">
        <f t="shared" si="67"/>
        <v>D</v>
      </c>
    </row>
    <row r="957" spans="1:24" s="66" customFormat="1" x14ac:dyDescent="0.25">
      <c r="A957" s="51"/>
      <c r="B957" s="91" t="str">
        <f>IFERROR(VLOOKUP(A957,Lookup!A:B,2,0),"")</f>
        <v/>
      </c>
      <c r="C957" s="92" t="str">
        <f>IFERROR(VLOOKUP(A957,Lookup!A:C,3,0),"")</f>
        <v/>
      </c>
      <c r="D957" s="54"/>
      <c r="E957" s="54"/>
      <c r="F957" s="54"/>
      <c r="G957" s="72"/>
      <c r="H957" s="54"/>
      <c r="I957" s="54"/>
      <c r="J957" s="106">
        <f>VLOOKUP(A957&amp;G957,Lookup!J:N,5,0)</f>
        <v>0</v>
      </c>
      <c r="K957" s="115"/>
      <c r="L957" s="54"/>
      <c r="M957" s="54"/>
      <c r="N957" s="54"/>
      <c r="O957" s="112">
        <v>39.6006944444444</v>
      </c>
      <c r="P957" s="110" t="str">
        <f t="shared" si="66"/>
        <v/>
      </c>
      <c r="Q957" s="54"/>
      <c r="R957" s="87" t="str">
        <f t="shared" si="68"/>
        <v/>
      </c>
      <c r="S957" s="87" t="str">
        <f t="shared" si="69"/>
        <v/>
      </c>
      <c r="T957" s="54"/>
      <c r="U957" s="54"/>
      <c r="V957" s="54"/>
      <c r="W957" s="54"/>
      <c r="X957" s="69" t="str">
        <f t="shared" si="67"/>
        <v>D</v>
      </c>
    </row>
    <row r="958" spans="1:24" s="66" customFormat="1" x14ac:dyDescent="0.25">
      <c r="A958" s="51"/>
      <c r="B958" s="91" t="str">
        <f>IFERROR(VLOOKUP(A958,Lookup!A:B,2,0),"")</f>
        <v/>
      </c>
      <c r="C958" s="92" t="str">
        <f>IFERROR(VLOOKUP(A958,Lookup!A:C,3,0),"")</f>
        <v/>
      </c>
      <c r="D958" s="54"/>
      <c r="E958" s="54"/>
      <c r="F958" s="54"/>
      <c r="G958" s="72"/>
      <c r="H958" s="54"/>
      <c r="I958" s="54"/>
      <c r="J958" s="106">
        <f>VLOOKUP(A958&amp;G958,Lookup!J:N,5,0)</f>
        <v>0</v>
      </c>
      <c r="K958" s="115"/>
      <c r="L958" s="54"/>
      <c r="M958" s="54"/>
      <c r="N958" s="54"/>
      <c r="O958" s="112">
        <v>39.6423611111111</v>
      </c>
      <c r="P958" s="110" t="str">
        <f t="shared" si="66"/>
        <v/>
      </c>
      <c r="Q958" s="54"/>
      <c r="R958" s="87" t="str">
        <f t="shared" si="68"/>
        <v/>
      </c>
      <c r="S958" s="87" t="str">
        <f t="shared" si="69"/>
        <v/>
      </c>
      <c r="T958" s="54"/>
      <c r="U958" s="54"/>
      <c r="V958" s="54"/>
      <c r="W958" s="54"/>
      <c r="X958" s="69" t="str">
        <f t="shared" si="67"/>
        <v>D</v>
      </c>
    </row>
    <row r="959" spans="1:24" s="66" customFormat="1" x14ac:dyDescent="0.25">
      <c r="A959" s="51"/>
      <c r="B959" s="91" t="str">
        <f>IFERROR(VLOOKUP(A959,Lookup!A:B,2,0),"")</f>
        <v/>
      </c>
      <c r="C959" s="92" t="str">
        <f>IFERROR(VLOOKUP(A959,Lookup!A:C,3,0),"")</f>
        <v/>
      </c>
      <c r="D959" s="54"/>
      <c r="E959" s="54"/>
      <c r="F959" s="54"/>
      <c r="G959" s="72"/>
      <c r="H959" s="54"/>
      <c r="I959" s="54"/>
      <c r="J959" s="106">
        <f>VLOOKUP(A959&amp;G959,Lookup!J:N,5,0)</f>
        <v>0</v>
      </c>
      <c r="K959" s="115"/>
      <c r="L959" s="54"/>
      <c r="M959" s="54"/>
      <c r="N959" s="54"/>
      <c r="O959" s="112">
        <v>39.6840277777778</v>
      </c>
      <c r="P959" s="110" t="str">
        <f t="shared" si="66"/>
        <v/>
      </c>
      <c r="Q959" s="54"/>
      <c r="R959" s="87" t="str">
        <f t="shared" si="68"/>
        <v/>
      </c>
      <c r="S959" s="87" t="str">
        <f t="shared" si="69"/>
        <v/>
      </c>
      <c r="T959" s="54"/>
      <c r="U959" s="54"/>
      <c r="V959" s="54"/>
      <c r="W959" s="54"/>
      <c r="X959" s="69" t="str">
        <f t="shared" si="67"/>
        <v>D</v>
      </c>
    </row>
    <row r="960" spans="1:24" s="66" customFormat="1" x14ac:dyDescent="0.25">
      <c r="A960" s="51"/>
      <c r="B960" s="91" t="str">
        <f>IFERROR(VLOOKUP(A960,Lookup!A:B,2,0),"")</f>
        <v/>
      </c>
      <c r="C960" s="92" t="str">
        <f>IFERROR(VLOOKUP(A960,Lookup!A:C,3,0),"")</f>
        <v/>
      </c>
      <c r="D960" s="54"/>
      <c r="E960" s="54"/>
      <c r="F960" s="54"/>
      <c r="G960" s="72"/>
      <c r="H960" s="54"/>
      <c r="I960" s="54"/>
      <c r="J960" s="106">
        <f>VLOOKUP(A960&amp;G960,Lookup!J:N,5,0)</f>
        <v>0</v>
      </c>
      <c r="K960" s="115"/>
      <c r="L960" s="54"/>
      <c r="M960" s="54"/>
      <c r="N960" s="54"/>
      <c r="O960" s="112">
        <v>39.7256944444444</v>
      </c>
      <c r="P960" s="110" t="str">
        <f t="shared" si="66"/>
        <v/>
      </c>
      <c r="Q960" s="54"/>
      <c r="R960" s="87" t="str">
        <f t="shared" si="68"/>
        <v/>
      </c>
      <c r="S960" s="87" t="str">
        <f t="shared" si="69"/>
        <v/>
      </c>
      <c r="T960" s="54"/>
      <c r="U960" s="54"/>
      <c r="V960" s="54"/>
      <c r="W960" s="54"/>
      <c r="X960" s="69" t="str">
        <f t="shared" si="67"/>
        <v>D</v>
      </c>
    </row>
    <row r="961" spans="1:24" s="66" customFormat="1" x14ac:dyDescent="0.25">
      <c r="A961" s="51"/>
      <c r="B961" s="91" t="str">
        <f>IFERROR(VLOOKUP(A961,Lookup!A:B,2,0),"")</f>
        <v/>
      </c>
      <c r="C961" s="92" t="str">
        <f>IFERROR(VLOOKUP(A961,Lookup!A:C,3,0),"")</f>
        <v/>
      </c>
      <c r="D961" s="54"/>
      <c r="E961" s="54"/>
      <c r="F961" s="54"/>
      <c r="G961" s="72"/>
      <c r="H961" s="54"/>
      <c r="I961" s="54"/>
      <c r="J961" s="106">
        <f>VLOOKUP(A961&amp;G961,Lookup!J:N,5,0)</f>
        <v>0</v>
      </c>
      <c r="K961" s="115"/>
      <c r="L961" s="54"/>
      <c r="M961" s="54"/>
      <c r="N961" s="54"/>
      <c r="O961" s="112">
        <v>39.7673611111111</v>
      </c>
      <c r="P961" s="110" t="str">
        <f t="shared" si="66"/>
        <v/>
      </c>
      <c r="Q961" s="54"/>
      <c r="R961" s="87" t="str">
        <f t="shared" si="68"/>
        <v/>
      </c>
      <c r="S961" s="87" t="str">
        <f t="shared" si="69"/>
        <v/>
      </c>
      <c r="T961" s="54"/>
      <c r="U961" s="54"/>
      <c r="V961" s="54"/>
      <c r="W961" s="54"/>
      <c r="X961" s="69" t="str">
        <f t="shared" si="67"/>
        <v>D</v>
      </c>
    </row>
    <row r="962" spans="1:24" s="66" customFormat="1" x14ac:dyDescent="0.25">
      <c r="A962" s="51"/>
      <c r="B962" s="91" t="str">
        <f>IFERROR(VLOOKUP(A962,Lookup!A:B,2,0),"")</f>
        <v/>
      </c>
      <c r="C962" s="92" t="str">
        <f>IFERROR(VLOOKUP(A962,Lookup!A:C,3,0),"")</f>
        <v/>
      </c>
      <c r="D962" s="54"/>
      <c r="E962" s="54"/>
      <c r="F962" s="54"/>
      <c r="G962" s="72"/>
      <c r="H962" s="54"/>
      <c r="I962" s="54"/>
      <c r="J962" s="106">
        <f>VLOOKUP(A962&amp;G962,Lookup!J:N,5,0)</f>
        <v>0</v>
      </c>
      <c r="K962" s="115"/>
      <c r="L962" s="54"/>
      <c r="M962" s="54"/>
      <c r="N962" s="54"/>
      <c r="O962" s="112">
        <v>39.8090277777778</v>
      </c>
      <c r="P962" s="110" t="str">
        <f t="shared" si="66"/>
        <v/>
      </c>
      <c r="Q962" s="54"/>
      <c r="R962" s="87" t="str">
        <f t="shared" si="68"/>
        <v/>
      </c>
      <c r="S962" s="87" t="str">
        <f t="shared" si="69"/>
        <v/>
      </c>
      <c r="T962" s="54"/>
      <c r="U962" s="54"/>
      <c r="V962" s="54"/>
      <c r="W962" s="54"/>
      <c r="X962" s="69" t="str">
        <f t="shared" si="67"/>
        <v>D</v>
      </c>
    </row>
    <row r="963" spans="1:24" s="66" customFormat="1" x14ac:dyDescent="0.25">
      <c r="A963" s="51"/>
      <c r="B963" s="91" t="str">
        <f>IFERROR(VLOOKUP(A963,Lookup!A:B,2,0),"")</f>
        <v/>
      </c>
      <c r="C963" s="92" t="str">
        <f>IFERROR(VLOOKUP(A963,Lookup!A:C,3,0),"")</f>
        <v/>
      </c>
      <c r="D963" s="54"/>
      <c r="E963" s="54"/>
      <c r="F963" s="54"/>
      <c r="G963" s="72"/>
      <c r="H963" s="54"/>
      <c r="I963" s="54"/>
      <c r="J963" s="106">
        <f>VLOOKUP(A963&amp;G963,Lookup!J:N,5,0)</f>
        <v>0</v>
      </c>
      <c r="K963" s="115"/>
      <c r="L963" s="54"/>
      <c r="M963" s="54"/>
      <c r="N963" s="54"/>
      <c r="O963" s="112">
        <v>39.8506944444444</v>
      </c>
      <c r="P963" s="110" t="str">
        <f t="shared" ref="P963:P1026" si="70">IF(N963="","",N963+O963)</f>
        <v/>
      </c>
      <c r="Q963" s="54"/>
      <c r="R963" s="87" t="str">
        <f t="shared" si="68"/>
        <v/>
      </c>
      <c r="S963" s="87" t="str">
        <f t="shared" si="69"/>
        <v/>
      </c>
      <c r="T963" s="54"/>
      <c r="U963" s="54"/>
      <c r="V963" s="54"/>
      <c r="W963" s="54"/>
      <c r="X963" s="69" t="str">
        <f t="shared" ref="X963:X1026" si="71">IF(I963="SET","A",IF(I963="FREQ","C",IF(I963="","D","B")))</f>
        <v>D</v>
      </c>
    </row>
    <row r="964" spans="1:24" s="66" customFormat="1" x14ac:dyDescent="0.25">
      <c r="A964" s="51"/>
      <c r="B964" s="91" t="str">
        <f>IFERROR(VLOOKUP(A964,Lookup!A:B,2,0),"")</f>
        <v/>
      </c>
      <c r="C964" s="92" t="str">
        <f>IFERROR(VLOOKUP(A964,Lookup!A:C,3,0),"")</f>
        <v/>
      </c>
      <c r="D964" s="54"/>
      <c r="E964" s="54"/>
      <c r="F964" s="54"/>
      <c r="G964" s="72"/>
      <c r="H964" s="54"/>
      <c r="I964" s="54"/>
      <c r="J964" s="106">
        <f>VLOOKUP(A964&amp;G964,Lookup!J:N,5,0)</f>
        <v>0</v>
      </c>
      <c r="K964" s="115"/>
      <c r="L964" s="54"/>
      <c r="M964" s="54"/>
      <c r="N964" s="54"/>
      <c r="O964" s="112">
        <v>39.8923611111111</v>
      </c>
      <c r="P964" s="110" t="str">
        <f t="shared" si="70"/>
        <v/>
      </c>
      <c r="Q964" s="54"/>
      <c r="R964" s="87" t="str">
        <f t="shared" si="68"/>
        <v/>
      </c>
      <c r="S964" s="87" t="str">
        <f t="shared" si="69"/>
        <v/>
      </c>
      <c r="T964" s="54"/>
      <c r="U964" s="54"/>
      <c r="V964" s="54"/>
      <c r="W964" s="54"/>
      <c r="X964" s="69" t="str">
        <f t="shared" si="71"/>
        <v>D</v>
      </c>
    </row>
    <row r="965" spans="1:24" s="66" customFormat="1" x14ac:dyDescent="0.25">
      <c r="A965" s="51"/>
      <c r="B965" s="91" t="str">
        <f>IFERROR(VLOOKUP(A965,Lookup!A:B,2,0),"")</f>
        <v/>
      </c>
      <c r="C965" s="92" t="str">
        <f>IFERROR(VLOOKUP(A965,Lookup!A:C,3,0),"")</f>
        <v/>
      </c>
      <c r="D965" s="54"/>
      <c r="E965" s="54"/>
      <c r="F965" s="54"/>
      <c r="G965" s="72"/>
      <c r="H965" s="54"/>
      <c r="I965" s="54"/>
      <c r="J965" s="106">
        <f>VLOOKUP(A965&amp;G965,Lookup!J:N,5,0)</f>
        <v>0</v>
      </c>
      <c r="K965" s="115"/>
      <c r="L965" s="54"/>
      <c r="M965" s="54"/>
      <c r="N965" s="54"/>
      <c r="O965" s="112">
        <v>39.9340277777778</v>
      </c>
      <c r="P965" s="110" t="str">
        <f t="shared" si="70"/>
        <v/>
      </c>
      <c r="Q965" s="54"/>
      <c r="R965" s="87" t="str">
        <f t="shared" si="68"/>
        <v/>
      </c>
      <c r="S965" s="87" t="str">
        <f t="shared" si="69"/>
        <v/>
      </c>
      <c r="T965" s="54"/>
      <c r="U965" s="54"/>
      <c r="V965" s="54"/>
      <c r="W965" s="54"/>
      <c r="X965" s="69" t="str">
        <f t="shared" si="71"/>
        <v>D</v>
      </c>
    </row>
    <row r="966" spans="1:24" s="66" customFormat="1" x14ac:dyDescent="0.25">
      <c r="A966" s="51"/>
      <c r="B966" s="91" t="str">
        <f>IFERROR(VLOOKUP(A966,Lookup!A:B,2,0),"")</f>
        <v/>
      </c>
      <c r="C966" s="92" t="str">
        <f>IFERROR(VLOOKUP(A966,Lookup!A:C,3,0),"")</f>
        <v/>
      </c>
      <c r="D966" s="54"/>
      <c r="E966" s="54"/>
      <c r="F966" s="54"/>
      <c r="G966" s="72"/>
      <c r="H966" s="54"/>
      <c r="I966" s="54"/>
      <c r="J966" s="106">
        <f>VLOOKUP(A966&amp;G966,Lookup!J:N,5,0)</f>
        <v>0</v>
      </c>
      <c r="K966" s="115"/>
      <c r="L966" s="54"/>
      <c r="M966" s="54"/>
      <c r="N966" s="54"/>
      <c r="O966" s="112">
        <v>39.9756944444444</v>
      </c>
      <c r="P966" s="110" t="str">
        <f t="shared" si="70"/>
        <v/>
      </c>
      <c r="Q966" s="54"/>
      <c r="R966" s="87" t="str">
        <f t="shared" si="68"/>
        <v/>
      </c>
      <c r="S966" s="87" t="str">
        <f t="shared" si="69"/>
        <v/>
      </c>
      <c r="T966" s="54"/>
      <c r="U966" s="54"/>
      <c r="V966" s="54"/>
      <c r="W966" s="54"/>
      <c r="X966" s="69" t="str">
        <f t="shared" si="71"/>
        <v>D</v>
      </c>
    </row>
    <row r="967" spans="1:24" s="66" customFormat="1" x14ac:dyDescent="0.25">
      <c r="A967" s="51"/>
      <c r="B967" s="91" t="str">
        <f>IFERROR(VLOOKUP(A967,Lookup!A:B,2,0),"")</f>
        <v/>
      </c>
      <c r="C967" s="92" t="str">
        <f>IFERROR(VLOOKUP(A967,Lookup!A:C,3,0),"")</f>
        <v/>
      </c>
      <c r="D967" s="54"/>
      <c r="E967" s="54"/>
      <c r="F967" s="54"/>
      <c r="G967" s="72"/>
      <c r="H967" s="54"/>
      <c r="I967" s="54"/>
      <c r="J967" s="106">
        <f>VLOOKUP(A967&amp;G967,Lookup!J:N,5,0)</f>
        <v>0</v>
      </c>
      <c r="K967" s="115"/>
      <c r="L967" s="54"/>
      <c r="M967" s="54"/>
      <c r="N967" s="54"/>
      <c r="O967" s="112">
        <v>40.0173611111111</v>
      </c>
      <c r="P967" s="110" t="str">
        <f t="shared" si="70"/>
        <v/>
      </c>
      <c r="Q967" s="54"/>
      <c r="R967" s="87" t="str">
        <f t="shared" ref="R967:R1005" si="72">IF(OR(EXACT(N967,""), EXACT(L967,"")),"",N967-L967)</f>
        <v/>
      </c>
      <c r="S967" s="87" t="str">
        <f t="shared" ref="S967:S1030" si="73">IF(OR(EXACT(Q967,""), EXACT(L967,"")),"",Q967-L967)</f>
        <v/>
      </c>
      <c r="T967" s="54"/>
      <c r="U967" s="54"/>
      <c r="V967" s="54"/>
      <c r="W967" s="54"/>
      <c r="X967" s="69" t="str">
        <f t="shared" si="71"/>
        <v>D</v>
      </c>
    </row>
    <row r="968" spans="1:24" s="66" customFormat="1" x14ac:dyDescent="0.25">
      <c r="A968" s="51"/>
      <c r="B968" s="91" t="str">
        <f>IFERROR(VLOOKUP(A968,Lookup!A:B,2,0),"")</f>
        <v/>
      </c>
      <c r="C968" s="92" t="str">
        <f>IFERROR(VLOOKUP(A968,Lookup!A:C,3,0),"")</f>
        <v/>
      </c>
      <c r="D968" s="54"/>
      <c r="E968" s="54"/>
      <c r="F968" s="54"/>
      <c r="G968" s="72"/>
      <c r="H968" s="54"/>
      <c r="I968" s="54"/>
      <c r="J968" s="106">
        <f>VLOOKUP(A968&amp;G968,Lookup!J:N,5,0)</f>
        <v>0</v>
      </c>
      <c r="K968" s="115"/>
      <c r="L968" s="54"/>
      <c r="M968" s="54"/>
      <c r="N968" s="54"/>
      <c r="O968" s="112">
        <v>40.0590277777778</v>
      </c>
      <c r="P968" s="110" t="str">
        <f t="shared" si="70"/>
        <v/>
      </c>
      <c r="Q968" s="54"/>
      <c r="R968" s="87" t="str">
        <f t="shared" si="72"/>
        <v/>
      </c>
      <c r="S968" s="87" t="str">
        <f t="shared" si="73"/>
        <v/>
      </c>
      <c r="T968" s="54"/>
      <c r="U968" s="54"/>
      <c r="V968" s="54"/>
      <c r="W968" s="54"/>
      <c r="X968" s="69" t="str">
        <f t="shared" si="71"/>
        <v>D</v>
      </c>
    </row>
    <row r="969" spans="1:24" s="66" customFormat="1" x14ac:dyDescent="0.25">
      <c r="A969" s="51"/>
      <c r="B969" s="91" t="str">
        <f>IFERROR(VLOOKUP(A969,Lookup!A:B,2,0),"")</f>
        <v/>
      </c>
      <c r="C969" s="92" t="str">
        <f>IFERROR(VLOOKUP(A969,Lookup!A:C,3,0),"")</f>
        <v/>
      </c>
      <c r="D969" s="54"/>
      <c r="E969" s="54"/>
      <c r="F969" s="54"/>
      <c r="G969" s="72"/>
      <c r="H969" s="54"/>
      <c r="I969" s="54"/>
      <c r="J969" s="106">
        <f>VLOOKUP(A969&amp;G969,Lookup!J:N,5,0)</f>
        <v>0</v>
      </c>
      <c r="K969" s="115"/>
      <c r="L969" s="54"/>
      <c r="M969" s="54"/>
      <c r="N969" s="54"/>
      <c r="O969" s="112">
        <v>40.1006944444444</v>
      </c>
      <c r="P969" s="110" t="str">
        <f t="shared" si="70"/>
        <v/>
      </c>
      <c r="Q969" s="54"/>
      <c r="R969" s="87" t="str">
        <f t="shared" si="72"/>
        <v/>
      </c>
      <c r="S969" s="87" t="str">
        <f t="shared" si="73"/>
        <v/>
      </c>
      <c r="T969" s="54"/>
      <c r="U969" s="54"/>
      <c r="V969" s="54"/>
      <c r="W969" s="54"/>
      <c r="X969" s="69" t="str">
        <f t="shared" si="71"/>
        <v>D</v>
      </c>
    </row>
    <row r="970" spans="1:24" s="66" customFormat="1" x14ac:dyDescent="0.25">
      <c r="A970" s="51"/>
      <c r="B970" s="91" t="str">
        <f>IFERROR(VLOOKUP(A970,Lookup!A:B,2,0),"")</f>
        <v/>
      </c>
      <c r="C970" s="92" t="str">
        <f>IFERROR(VLOOKUP(A970,Lookup!A:C,3,0),"")</f>
        <v/>
      </c>
      <c r="D970" s="54"/>
      <c r="E970" s="54"/>
      <c r="F970" s="54"/>
      <c r="G970" s="72"/>
      <c r="H970" s="54"/>
      <c r="I970" s="54"/>
      <c r="J970" s="106">
        <f>VLOOKUP(A970&amp;G970,Lookup!J:N,5,0)</f>
        <v>0</v>
      </c>
      <c r="K970" s="115"/>
      <c r="L970" s="54"/>
      <c r="M970" s="54"/>
      <c r="N970" s="54"/>
      <c r="O970" s="112">
        <v>40.1423611111111</v>
      </c>
      <c r="P970" s="110" t="str">
        <f t="shared" si="70"/>
        <v/>
      </c>
      <c r="Q970" s="54"/>
      <c r="R970" s="87" t="str">
        <f t="shared" si="72"/>
        <v/>
      </c>
      <c r="S970" s="87" t="str">
        <f t="shared" si="73"/>
        <v/>
      </c>
      <c r="T970" s="54"/>
      <c r="U970" s="54"/>
      <c r="V970" s="54"/>
      <c r="W970" s="54"/>
      <c r="X970" s="69" t="str">
        <f t="shared" si="71"/>
        <v>D</v>
      </c>
    </row>
    <row r="971" spans="1:24" s="66" customFormat="1" x14ac:dyDescent="0.25">
      <c r="A971" s="51"/>
      <c r="B971" s="91" t="str">
        <f>IFERROR(VLOOKUP(A971,Lookup!A:B,2,0),"")</f>
        <v/>
      </c>
      <c r="C971" s="92" t="str">
        <f>IFERROR(VLOOKUP(A971,Lookup!A:C,3,0),"")</f>
        <v/>
      </c>
      <c r="D971" s="54"/>
      <c r="E971" s="54"/>
      <c r="F971" s="54"/>
      <c r="G971" s="72"/>
      <c r="H971" s="54"/>
      <c r="I971" s="54"/>
      <c r="J971" s="106">
        <f>VLOOKUP(A971&amp;G971,Lookup!J:N,5,0)</f>
        <v>0</v>
      </c>
      <c r="K971" s="115"/>
      <c r="L971" s="54"/>
      <c r="M971" s="54"/>
      <c r="N971" s="54"/>
      <c r="O971" s="112">
        <v>40.1840277777778</v>
      </c>
      <c r="P971" s="110" t="str">
        <f t="shared" si="70"/>
        <v/>
      </c>
      <c r="Q971" s="54"/>
      <c r="R971" s="87" t="str">
        <f t="shared" si="72"/>
        <v/>
      </c>
      <c r="S971" s="87" t="str">
        <f t="shared" si="73"/>
        <v/>
      </c>
      <c r="T971" s="54"/>
      <c r="U971" s="54"/>
      <c r="V971" s="54"/>
      <c r="W971" s="54"/>
      <c r="X971" s="69" t="str">
        <f t="shared" si="71"/>
        <v>D</v>
      </c>
    </row>
    <row r="972" spans="1:24" s="66" customFormat="1" x14ac:dyDescent="0.25">
      <c r="A972" s="51"/>
      <c r="B972" s="91" t="str">
        <f>IFERROR(VLOOKUP(A972,Lookup!A:B,2,0),"")</f>
        <v/>
      </c>
      <c r="C972" s="92" t="str">
        <f>IFERROR(VLOOKUP(A972,Lookup!A:C,3,0),"")</f>
        <v/>
      </c>
      <c r="D972" s="54"/>
      <c r="E972" s="54"/>
      <c r="F972" s="54"/>
      <c r="G972" s="72"/>
      <c r="H972" s="54"/>
      <c r="I972" s="54"/>
      <c r="J972" s="106">
        <f>VLOOKUP(A972&amp;G972,Lookup!J:N,5,0)</f>
        <v>0</v>
      </c>
      <c r="K972" s="115"/>
      <c r="L972" s="54"/>
      <c r="M972" s="54"/>
      <c r="N972" s="54"/>
      <c r="O972" s="112">
        <v>40.2256944444444</v>
      </c>
      <c r="P972" s="110" t="str">
        <f t="shared" si="70"/>
        <v/>
      </c>
      <c r="Q972" s="54"/>
      <c r="R972" s="87" t="str">
        <f t="shared" si="72"/>
        <v/>
      </c>
      <c r="S972" s="87" t="str">
        <f t="shared" si="73"/>
        <v/>
      </c>
      <c r="T972" s="54"/>
      <c r="U972" s="54"/>
      <c r="V972" s="54"/>
      <c r="W972" s="54"/>
      <c r="X972" s="69" t="str">
        <f t="shared" si="71"/>
        <v>D</v>
      </c>
    </row>
    <row r="973" spans="1:24" s="66" customFormat="1" x14ac:dyDescent="0.25">
      <c r="A973" s="51"/>
      <c r="B973" s="91" t="str">
        <f>IFERROR(VLOOKUP(A973,Lookup!A:B,2,0),"")</f>
        <v/>
      </c>
      <c r="C973" s="92" t="str">
        <f>IFERROR(VLOOKUP(A973,Lookup!A:C,3,0),"")</f>
        <v/>
      </c>
      <c r="D973" s="54"/>
      <c r="E973" s="54"/>
      <c r="F973" s="54"/>
      <c r="G973" s="72"/>
      <c r="H973" s="54"/>
      <c r="I973" s="54"/>
      <c r="J973" s="106">
        <f>VLOOKUP(A973&amp;G973,Lookup!J:N,5,0)</f>
        <v>0</v>
      </c>
      <c r="K973" s="115"/>
      <c r="L973" s="54"/>
      <c r="M973" s="54"/>
      <c r="N973" s="54"/>
      <c r="O973" s="112">
        <v>40.2673611111111</v>
      </c>
      <c r="P973" s="110" t="str">
        <f t="shared" si="70"/>
        <v/>
      </c>
      <c r="Q973" s="54"/>
      <c r="R973" s="87" t="str">
        <f t="shared" si="72"/>
        <v/>
      </c>
      <c r="S973" s="87" t="str">
        <f t="shared" si="73"/>
        <v/>
      </c>
      <c r="T973" s="54"/>
      <c r="U973" s="54"/>
      <c r="V973" s="54"/>
      <c r="W973" s="54"/>
      <c r="X973" s="69" t="str">
        <f t="shared" si="71"/>
        <v>D</v>
      </c>
    </row>
    <row r="974" spans="1:24" s="66" customFormat="1" x14ac:dyDescent="0.25">
      <c r="A974" s="51"/>
      <c r="B974" s="91" t="str">
        <f>IFERROR(VLOOKUP(A974,Lookup!A:B,2,0),"")</f>
        <v/>
      </c>
      <c r="C974" s="92" t="str">
        <f>IFERROR(VLOOKUP(A974,Lookup!A:C,3,0),"")</f>
        <v/>
      </c>
      <c r="D974" s="54"/>
      <c r="E974" s="54"/>
      <c r="F974" s="54"/>
      <c r="G974" s="72"/>
      <c r="H974" s="54"/>
      <c r="I974" s="54"/>
      <c r="J974" s="106">
        <f>VLOOKUP(A974&amp;G974,Lookup!J:N,5,0)</f>
        <v>0</v>
      </c>
      <c r="K974" s="115"/>
      <c r="L974" s="54"/>
      <c r="M974" s="54"/>
      <c r="N974" s="54"/>
      <c r="O974" s="112">
        <v>40.3090277777778</v>
      </c>
      <c r="P974" s="110" t="str">
        <f t="shared" si="70"/>
        <v/>
      </c>
      <c r="Q974" s="54"/>
      <c r="R974" s="87" t="str">
        <f t="shared" si="72"/>
        <v/>
      </c>
      <c r="S974" s="87" t="str">
        <f t="shared" si="73"/>
        <v/>
      </c>
      <c r="T974" s="54"/>
      <c r="U974" s="54"/>
      <c r="V974" s="54"/>
      <c r="W974" s="54"/>
      <c r="X974" s="69" t="str">
        <f t="shared" si="71"/>
        <v>D</v>
      </c>
    </row>
    <row r="975" spans="1:24" s="66" customFormat="1" x14ac:dyDescent="0.25">
      <c r="A975" s="51"/>
      <c r="B975" s="91" t="str">
        <f>IFERROR(VLOOKUP(A975,Lookup!A:B,2,0),"")</f>
        <v/>
      </c>
      <c r="C975" s="92" t="str">
        <f>IFERROR(VLOOKUP(A975,Lookup!A:C,3,0),"")</f>
        <v/>
      </c>
      <c r="D975" s="54"/>
      <c r="E975" s="54"/>
      <c r="F975" s="54"/>
      <c r="G975" s="72"/>
      <c r="H975" s="54"/>
      <c r="I975" s="54"/>
      <c r="J975" s="106">
        <f>VLOOKUP(A975&amp;G975,Lookup!J:N,5,0)</f>
        <v>0</v>
      </c>
      <c r="K975" s="115"/>
      <c r="L975" s="54"/>
      <c r="M975" s="54"/>
      <c r="N975" s="54"/>
      <c r="O975" s="112">
        <v>40.3506944444444</v>
      </c>
      <c r="P975" s="110" t="str">
        <f t="shared" si="70"/>
        <v/>
      </c>
      <c r="Q975" s="54"/>
      <c r="R975" s="87" t="str">
        <f t="shared" si="72"/>
        <v/>
      </c>
      <c r="S975" s="87" t="str">
        <f t="shared" si="73"/>
        <v/>
      </c>
      <c r="T975" s="54"/>
      <c r="U975" s="54"/>
      <c r="V975" s="54"/>
      <c r="W975" s="54"/>
      <c r="X975" s="69" t="str">
        <f t="shared" si="71"/>
        <v>D</v>
      </c>
    </row>
    <row r="976" spans="1:24" s="66" customFormat="1" x14ac:dyDescent="0.25">
      <c r="A976" s="51"/>
      <c r="B976" s="91" t="str">
        <f>IFERROR(VLOOKUP(A976,Lookup!A:B,2,0),"")</f>
        <v/>
      </c>
      <c r="C976" s="92" t="str">
        <f>IFERROR(VLOOKUP(A976,Lookup!A:C,3,0),"")</f>
        <v/>
      </c>
      <c r="D976" s="54"/>
      <c r="E976" s="54"/>
      <c r="F976" s="54"/>
      <c r="G976" s="72"/>
      <c r="H976" s="54"/>
      <c r="I976" s="54"/>
      <c r="J976" s="106">
        <f>VLOOKUP(A976&amp;G976,Lookup!J:N,5,0)</f>
        <v>0</v>
      </c>
      <c r="K976" s="115"/>
      <c r="L976" s="54"/>
      <c r="M976" s="54"/>
      <c r="N976" s="54"/>
      <c r="O976" s="112">
        <v>40.3923611111111</v>
      </c>
      <c r="P976" s="110" t="str">
        <f t="shared" si="70"/>
        <v/>
      </c>
      <c r="Q976" s="54"/>
      <c r="R976" s="87" t="str">
        <f t="shared" si="72"/>
        <v/>
      </c>
      <c r="S976" s="87" t="str">
        <f t="shared" si="73"/>
        <v/>
      </c>
      <c r="T976" s="54"/>
      <c r="U976" s="54"/>
      <c r="V976" s="54"/>
      <c r="W976" s="54"/>
      <c r="X976" s="69" t="str">
        <f t="shared" si="71"/>
        <v>D</v>
      </c>
    </row>
    <row r="977" spans="1:24" s="66" customFormat="1" x14ac:dyDescent="0.25">
      <c r="A977" s="51"/>
      <c r="B977" s="91" t="str">
        <f>IFERROR(VLOOKUP(A977,Lookup!A:B,2,0),"")</f>
        <v/>
      </c>
      <c r="C977" s="92" t="str">
        <f>IFERROR(VLOOKUP(A977,Lookup!A:C,3,0),"")</f>
        <v/>
      </c>
      <c r="D977" s="54"/>
      <c r="E977" s="54"/>
      <c r="F977" s="54"/>
      <c r="G977" s="72"/>
      <c r="H977" s="54"/>
      <c r="I977" s="54"/>
      <c r="J977" s="106">
        <f>VLOOKUP(A977&amp;G977,Lookup!J:N,5,0)</f>
        <v>0</v>
      </c>
      <c r="K977" s="115"/>
      <c r="L977" s="54"/>
      <c r="M977" s="54"/>
      <c r="N977" s="54"/>
      <c r="O977" s="112">
        <v>40.4340277777778</v>
      </c>
      <c r="P977" s="110" t="str">
        <f t="shared" si="70"/>
        <v/>
      </c>
      <c r="Q977" s="54"/>
      <c r="R977" s="87" t="str">
        <f t="shared" si="72"/>
        <v/>
      </c>
      <c r="S977" s="87" t="str">
        <f t="shared" si="73"/>
        <v/>
      </c>
      <c r="T977" s="54"/>
      <c r="U977" s="54"/>
      <c r="V977" s="54"/>
      <c r="W977" s="54"/>
      <c r="X977" s="69" t="str">
        <f t="shared" si="71"/>
        <v>D</v>
      </c>
    </row>
    <row r="978" spans="1:24" s="66" customFormat="1" x14ac:dyDescent="0.25">
      <c r="A978" s="51"/>
      <c r="B978" s="91" t="str">
        <f>IFERROR(VLOOKUP(A978,Lookup!A:B,2,0),"")</f>
        <v/>
      </c>
      <c r="C978" s="92" t="str">
        <f>IFERROR(VLOOKUP(A978,Lookup!A:C,3,0),"")</f>
        <v/>
      </c>
      <c r="D978" s="54"/>
      <c r="E978" s="54"/>
      <c r="F978" s="54"/>
      <c r="G978" s="72"/>
      <c r="H978" s="54"/>
      <c r="I978" s="54"/>
      <c r="J978" s="106">
        <f>VLOOKUP(A978&amp;G978,Lookup!J:N,5,0)</f>
        <v>0</v>
      </c>
      <c r="K978" s="115"/>
      <c r="L978" s="54"/>
      <c r="M978" s="54"/>
      <c r="N978" s="54"/>
      <c r="O978" s="112">
        <v>40.4756944444444</v>
      </c>
      <c r="P978" s="110" t="str">
        <f t="shared" si="70"/>
        <v/>
      </c>
      <c r="Q978" s="54"/>
      <c r="R978" s="87" t="str">
        <f t="shared" si="72"/>
        <v/>
      </c>
      <c r="S978" s="87" t="str">
        <f t="shared" si="73"/>
        <v/>
      </c>
      <c r="T978" s="54"/>
      <c r="U978" s="54"/>
      <c r="V978" s="54"/>
      <c r="W978" s="54"/>
      <c r="X978" s="69" t="str">
        <f t="shared" si="71"/>
        <v>D</v>
      </c>
    </row>
    <row r="979" spans="1:24" s="66" customFormat="1" x14ac:dyDescent="0.25">
      <c r="A979" s="51"/>
      <c r="B979" s="91" t="str">
        <f>IFERROR(VLOOKUP(A979,Lookup!A:B,2,0),"")</f>
        <v/>
      </c>
      <c r="C979" s="92" t="str">
        <f>IFERROR(VLOOKUP(A979,Lookup!A:C,3,0),"")</f>
        <v/>
      </c>
      <c r="D979" s="54"/>
      <c r="E979" s="54"/>
      <c r="F979" s="54"/>
      <c r="G979" s="72"/>
      <c r="H979" s="54"/>
      <c r="I979" s="54"/>
      <c r="J979" s="106">
        <f>VLOOKUP(A979&amp;G979,Lookup!J:N,5,0)</f>
        <v>0</v>
      </c>
      <c r="K979" s="115"/>
      <c r="L979" s="54"/>
      <c r="M979" s="54"/>
      <c r="N979" s="54"/>
      <c r="O979" s="112">
        <v>40.5173611111111</v>
      </c>
      <c r="P979" s="110" t="str">
        <f t="shared" si="70"/>
        <v/>
      </c>
      <c r="Q979" s="54"/>
      <c r="R979" s="87" t="str">
        <f t="shared" si="72"/>
        <v/>
      </c>
      <c r="S979" s="87" t="str">
        <f t="shared" si="73"/>
        <v/>
      </c>
      <c r="T979" s="54"/>
      <c r="U979" s="54"/>
      <c r="V979" s="54"/>
      <c r="W979" s="54"/>
      <c r="X979" s="69" t="str">
        <f t="shared" si="71"/>
        <v>D</v>
      </c>
    </row>
    <row r="980" spans="1:24" s="66" customFormat="1" x14ac:dyDescent="0.25">
      <c r="A980" s="51"/>
      <c r="B980" s="91" t="str">
        <f>IFERROR(VLOOKUP(A980,Lookup!A:B,2,0),"")</f>
        <v/>
      </c>
      <c r="C980" s="92" t="str">
        <f>IFERROR(VLOOKUP(A980,Lookup!A:C,3,0),"")</f>
        <v/>
      </c>
      <c r="D980" s="54"/>
      <c r="E980" s="54"/>
      <c r="F980" s="54"/>
      <c r="G980" s="72"/>
      <c r="H980" s="54"/>
      <c r="I980" s="54"/>
      <c r="J980" s="106">
        <f>VLOOKUP(A980&amp;G980,Lookup!J:N,5,0)</f>
        <v>0</v>
      </c>
      <c r="K980" s="115"/>
      <c r="L980" s="54"/>
      <c r="M980" s="54"/>
      <c r="N980" s="54"/>
      <c r="O980" s="112">
        <v>40.5590277777778</v>
      </c>
      <c r="P980" s="110" t="str">
        <f t="shared" si="70"/>
        <v/>
      </c>
      <c r="Q980" s="54"/>
      <c r="R980" s="87" t="str">
        <f t="shared" si="72"/>
        <v/>
      </c>
      <c r="S980" s="87" t="str">
        <f t="shared" si="73"/>
        <v/>
      </c>
      <c r="T980" s="54"/>
      <c r="U980" s="54"/>
      <c r="V980" s="54"/>
      <c r="W980" s="54"/>
      <c r="X980" s="69" t="str">
        <f t="shared" si="71"/>
        <v>D</v>
      </c>
    </row>
    <row r="981" spans="1:24" s="66" customFormat="1" x14ac:dyDescent="0.25">
      <c r="A981" s="51"/>
      <c r="B981" s="91" t="str">
        <f>IFERROR(VLOOKUP(A981,Lookup!A:B,2,0),"")</f>
        <v/>
      </c>
      <c r="C981" s="92" t="str">
        <f>IFERROR(VLOOKUP(A981,Lookup!A:C,3,0),"")</f>
        <v/>
      </c>
      <c r="D981" s="54"/>
      <c r="E981" s="54"/>
      <c r="F981" s="54"/>
      <c r="G981" s="72"/>
      <c r="H981" s="54"/>
      <c r="I981" s="54"/>
      <c r="J981" s="106">
        <f>VLOOKUP(A981&amp;G981,Lookup!J:N,5,0)</f>
        <v>0</v>
      </c>
      <c r="K981" s="115"/>
      <c r="L981" s="54"/>
      <c r="M981" s="54"/>
      <c r="N981" s="54"/>
      <c r="O981" s="112">
        <v>40.6006944444444</v>
      </c>
      <c r="P981" s="110" t="str">
        <f t="shared" si="70"/>
        <v/>
      </c>
      <c r="Q981" s="54"/>
      <c r="R981" s="87" t="str">
        <f t="shared" si="72"/>
        <v/>
      </c>
      <c r="S981" s="87" t="str">
        <f t="shared" si="73"/>
        <v/>
      </c>
      <c r="T981" s="54"/>
      <c r="U981" s="54"/>
      <c r="V981" s="54"/>
      <c r="W981" s="54"/>
      <c r="X981" s="69" t="str">
        <f t="shared" si="71"/>
        <v>D</v>
      </c>
    </row>
    <row r="982" spans="1:24" s="66" customFormat="1" x14ac:dyDescent="0.25">
      <c r="A982" s="51"/>
      <c r="B982" s="91" t="str">
        <f>IFERROR(VLOOKUP(A982,Lookup!A:B,2,0),"")</f>
        <v/>
      </c>
      <c r="C982" s="92" t="str">
        <f>IFERROR(VLOOKUP(A982,Lookup!A:C,3,0),"")</f>
        <v/>
      </c>
      <c r="D982" s="54"/>
      <c r="E982" s="54"/>
      <c r="F982" s="54"/>
      <c r="G982" s="72"/>
      <c r="H982" s="54"/>
      <c r="I982" s="54"/>
      <c r="J982" s="106">
        <f>VLOOKUP(A982&amp;G982,Lookup!J:N,5,0)</f>
        <v>0</v>
      </c>
      <c r="K982" s="115"/>
      <c r="L982" s="54"/>
      <c r="M982" s="54"/>
      <c r="N982" s="54"/>
      <c r="O982" s="112">
        <v>40.6423611111111</v>
      </c>
      <c r="P982" s="110" t="str">
        <f t="shared" si="70"/>
        <v/>
      </c>
      <c r="Q982" s="54"/>
      <c r="R982" s="87" t="str">
        <f t="shared" si="72"/>
        <v/>
      </c>
      <c r="S982" s="87" t="str">
        <f t="shared" si="73"/>
        <v/>
      </c>
      <c r="T982" s="54"/>
      <c r="U982" s="54"/>
      <c r="V982" s="54"/>
      <c r="W982" s="54"/>
      <c r="X982" s="69" t="str">
        <f t="shared" si="71"/>
        <v>D</v>
      </c>
    </row>
    <row r="983" spans="1:24" s="66" customFormat="1" x14ac:dyDescent="0.25">
      <c r="A983" s="51"/>
      <c r="B983" s="91" t="str">
        <f>IFERROR(VLOOKUP(A983,Lookup!A:B,2,0),"")</f>
        <v/>
      </c>
      <c r="C983" s="92" t="str">
        <f>IFERROR(VLOOKUP(A983,Lookup!A:C,3,0),"")</f>
        <v/>
      </c>
      <c r="D983" s="54"/>
      <c r="E983" s="54"/>
      <c r="F983" s="54"/>
      <c r="G983" s="72"/>
      <c r="H983" s="54"/>
      <c r="I983" s="54"/>
      <c r="J983" s="106">
        <f>VLOOKUP(A983&amp;G983,Lookup!J:N,5,0)</f>
        <v>0</v>
      </c>
      <c r="K983" s="115"/>
      <c r="L983" s="54"/>
      <c r="M983" s="54"/>
      <c r="N983" s="54"/>
      <c r="O983" s="112">
        <v>40.6840277777778</v>
      </c>
      <c r="P983" s="110" t="str">
        <f t="shared" si="70"/>
        <v/>
      </c>
      <c r="Q983" s="54"/>
      <c r="R983" s="87" t="str">
        <f t="shared" si="72"/>
        <v/>
      </c>
      <c r="S983" s="87" t="str">
        <f t="shared" si="73"/>
        <v/>
      </c>
      <c r="T983" s="54"/>
      <c r="U983" s="54"/>
      <c r="V983" s="54"/>
      <c r="W983" s="54"/>
      <c r="X983" s="69" t="str">
        <f t="shared" si="71"/>
        <v>D</v>
      </c>
    </row>
    <row r="984" spans="1:24" s="66" customFormat="1" x14ac:dyDescent="0.25">
      <c r="A984" s="51"/>
      <c r="B984" s="91" t="str">
        <f>IFERROR(VLOOKUP(A984,Lookup!A:B,2,0),"")</f>
        <v/>
      </c>
      <c r="C984" s="92" t="str">
        <f>IFERROR(VLOOKUP(A984,Lookup!A:C,3,0),"")</f>
        <v/>
      </c>
      <c r="D984" s="54"/>
      <c r="E984" s="54"/>
      <c r="F984" s="54"/>
      <c r="G984" s="72"/>
      <c r="H984" s="54"/>
      <c r="I984" s="54"/>
      <c r="J984" s="106">
        <f>VLOOKUP(A984&amp;G984,Lookup!J:N,5,0)</f>
        <v>0</v>
      </c>
      <c r="K984" s="115"/>
      <c r="L984" s="54"/>
      <c r="M984" s="54"/>
      <c r="N984" s="54"/>
      <c r="O984" s="112">
        <v>40.7256944444444</v>
      </c>
      <c r="P984" s="110" t="str">
        <f t="shared" si="70"/>
        <v/>
      </c>
      <c r="Q984" s="54"/>
      <c r="R984" s="87" t="str">
        <f t="shared" si="72"/>
        <v/>
      </c>
      <c r="S984" s="87" t="str">
        <f t="shared" si="73"/>
        <v/>
      </c>
      <c r="T984" s="54"/>
      <c r="U984" s="54"/>
      <c r="V984" s="54"/>
      <c r="W984" s="54"/>
      <c r="X984" s="69" t="str">
        <f t="shared" si="71"/>
        <v>D</v>
      </c>
    </row>
    <row r="985" spans="1:24" s="66" customFormat="1" x14ac:dyDescent="0.25">
      <c r="A985" s="51"/>
      <c r="B985" s="91" t="str">
        <f>IFERROR(VLOOKUP(A985,Lookup!A:B,2,0),"")</f>
        <v/>
      </c>
      <c r="C985" s="92" t="str">
        <f>IFERROR(VLOOKUP(A985,Lookup!A:C,3,0),"")</f>
        <v/>
      </c>
      <c r="D985" s="54"/>
      <c r="E985" s="54"/>
      <c r="F985" s="54"/>
      <c r="G985" s="72"/>
      <c r="H985" s="54"/>
      <c r="I985" s="54"/>
      <c r="J985" s="106">
        <f>VLOOKUP(A985&amp;G985,Lookup!J:N,5,0)</f>
        <v>0</v>
      </c>
      <c r="K985" s="115"/>
      <c r="L985" s="54"/>
      <c r="M985" s="54"/>
      <c r="N985" s="54"/>
      <c r="O985" s="112">
        <v>40.7673611111111</v>
      </c>
      <c r="P985" s="110" t="str">
        <f t="shared" si="70"/>
        <v/>
      </c>
      <c r="Q985" s="54"/>
      <c r="R985" s="87" t="str">
        <f t="shared" si="72"/>
        <v/>
      </c>
      <c r="S985" s="87" t="str">
        <f t="shared" si="73"/>
        <v/>
      </c>
      <c r="T985" s="54"/>
      <c r="U985" s="54"/>
      <c r="V985" s="54"/>
      <c r="W985" s="54"/>
      <c r="X985" s="69" t="str">
        <f t="shared" si="71"/>
        <v>D</v>
      </c>
    </row>
    <row r="986" spans="1:24" s="66" customFormat="1" x14ac:dyDescent="0.25">
      <c r="A986" s="51"/>
      <c r="B986" s="91" t="str">
        <f>IFERROR(VLOOKUP(A986,Lookup!A:B,2,0),"")</f>
        <v/>
      </c>
      <c r="C986" s="92" t="str">
        <f>IFERROR(VLOOKUP(A986,Lookup!A:C,3,0),"")</f>
        <v/>
      </c>
      <c r="D986" s="54"/>
      <c r="E986" s="54"/>
      <c r="F986" s="54"/>
      <c r="G986" s="72"/>
      <c r="H986" s="54"/>
      <c r="I986" s="54"/>
      <c r="J986" s="106">
        <f>VLOOKUP(A986&amp;G986,Lookup!J:N,5,0)</f>
        <v>0</v>
      </c>
      <c r="K986" s="115"/>
      <c r="L986" s="54"/>
      <c r="M986" s="54"/>
      <c r="N986" s="54"/>
      <c r="O986" s="112">
        <v>40.8090277777778</v>
      </c>
      <c r="P986" s="110" t="str">
        <f t="shared" si="70"/>
        <v/>
      </c>
      <c r="Q986" s="54"/>
      <c r="R986" s="87" t="str">
        <f t="shared" si="72"/>
        <v/>
      </c>
      <c r="S986" s="87" t="str">
        <f t="shared" si="73"/>
        <v/>
      </c>
      <c r="T986" s="54"/>
      <c r="U986" s="54"/>
      <c r="V986" s="54"/>
      <c r="W986" s="54"/>
      <c r="X986" s="69" t="str">
        <f t="shared" si="71"/>
        <v>D</v>
      </c>
    </row>
    <row r="987" spans="1:24" s="66" customFormat="1" x14ac:dyDescent="0.25">
      <c r="A987" s="51"/>
      <c r="B987" s="91" t="str">
        <f>IFERROR(VLOOKUP(A987,Lookup!A:B,2,0),"")</f>
        <v/>
      </c>
      <c r="C987" s="92" t="str">
        <f>IFERROR(VLOOKUP(A987,Lookup!A:C,3,0),"")</f>
        <v/>
      </c>
      <c r="D987" s="54"/>
      <c r="E987" s="54"/>
      <c r="F987" s="54"/>
      <c r="G987" s="72"/>
      <c r="H987" s="54"/>
      <c r="I987" s="54"/>
      <c r="J987" s="106">
        <f>VLOOKUP(A987&amp;G987,Lookup!J:N,5,0)</f>
        <v>0</v>
      </c>
      <c r="K987" s="115"/>
      <c r="L987" s="54"/>
      <c r="M987" s="54"/>
      <c r="N987" s="54"/>
      <c r="O987" s="112">
        <v>40.8506944444444</v>
      </c>
      <c r="P987" s="110" t="str">
        <f t="shared" si="70"/>
        <v/>
      </c>
      <c r="Q987" s="54"/>
      <c r="R987" s="87" t="str">
        <f t="shared" si="72"/>
        <v/>
      </c>
      <c r="S987" s="87" t="str">
        <f t="shared" si="73"/>
        <v/>
      </c>
      <c r="T987" s="54"/>
      <c r="U987" s="54"/>
      <c r="V987" s="54"/>
      <c r="W987" s="54"/>
      <c r="X987" s="69" t="str">
        <f t="shared" si="71"/>
        <v>D</v>
      </c>
    </row>
    <row r="988" spans="1:24" s="66" customFormat="1" x14ac:dyDescent="0.25">
      <c r="A988" s="51"/>
      <c r="B988" s="91" t="str">
        <f>IFERROR(VLOOKUP(A988,Lookup!A:B,2,0),"")</f>
        <v/>
      </c>
      <c r="C988" s="92" t="str">
        <f>IFERROR(VLOOKUP(A988,Lookup!A:C,3,0),"")</f>
        <v/>
      </c>
      <c r="D988" s="54"/>
      <c r="E988" s="54"/>
      <c r="F988" s="54"/>
      <c r="G988" s="72"/>
      <c r="H988" s="54"/>
      <c r="I988" s="54"/>
      <c r="J988" s="106">
        <f>VLOOKUP(A988&amp;G988,Lookup!J:N,5,0)</f>
        <v>0</v>
      </c>
      <c r="K988" s="115"/>
      <c r="L988" s="54"/>
      <c r="M988" s="54"/>
      <c r="N988" s="54"/>
      <c r="O988" s="112">
        <v>40.8923611111111</v>
      </c>
      <c r="P988" s="110" t="str">
        <f t="shared" si="70"/>
        <v/>
      </c>
      <c r="Q988" s="54"/>
      <c r="R988" s="87" t="str">
        <f t="shared" si="72"/>
        <v/>
      </c>
      <c r="S988" s="87" t="str">
        <f t="shared" si="73"/>
        <v/>
      </c>
      <c r="T988" s="54"/>
      <c r="U988" s="54"/>
      <c r="V988" s="54"/>
      <c r="W988" s="54"/>
      <c r="X988" s="69" t="str">
        <f t="shared" si="71"/>
        <v>D</v>
      </c>
    </row>
    <row r="989" spans="1:24" s="66" customFormat="1" x14ac:dyDescent="0.25">
      <c r="A989" s="51"/>
      <c r="B989" s="91" t="str">
        <f>IFERROR(VLOOKUP(A989,Lookup!A:B,2,0),"")</f>
        <v/>
      </c>
      <c r="C989" s="92" t="str">
        <f>IFERROR(VLOOKUP(A989,Lookup!A:C,3,0),"")</f>
        <v/>
      </c>
      <c r="D989" s="54"/>
      <c r="E989" s="54"/>
      <c r="F989" s="54"/>
      <c r="G989" s="72"/>
      <c r="H989" s="54"/>
      <c r="I989" s="54"/>
      <c r="J989" s="106">
        <f>VLOOKUP(A989&amp;G989,Lookup!J:N,5,0)</f>
        <v>0</v>
      </c>
      <c r="K989" s="115"/>
      <c r="L989" s="54"/>
      <c r="M989" s="54"/>
      <c r="N989" s="54"/>
      <c r="O989" s="112">
        <v>40.9340277777778</v>
      </c>
      <c r="P989" s="110" t="str">
        <f t="shared" si="70"/>
        <v/>
      </c>
      <c r="Q989" s="54"/>
      <c r="R989" s="87" t="str">
        <f t="shared" si="72"/>
        <v/>
      </c>
      <c r="S989" s="87" t="str">
        <f t="shared" si="73"/>
        <v/>
      </c>
      <c r="T989" s="54"/>
      <c r="U989" s="54"/>
      <c r="V989" s="54"/>
      <c r="W989" s="54"/>
      <c r="X989" s="69" t="str">
        <f t="shared" si="71"/>
        <v>D</v>
      </c>
    </row>
    <row r="990" spans="1:24" s="66" customFormat="1" x14ac:dyDescent="0.25">
      <c r="A990" s="51"/>
      <c r="B990" s="91" t="str">
        <f>IFERROR(VLOOKUP(A990,Lookup!A:B,2,0),"")</f>
        <v/>
      </c>
      <c r="C990" s="92" t="str">
        <f>IFERROR(VLOOKUP(A990,Lookup!A:C,3,0),"")</f>
        <v/>
      </c>
      <c r="D990" s="54"/>
      <c r="E990" s="54"/>
      <c r="F990" s="54"/>
      <c r="G990" s="72"/>
      <c r="H990" s="54"/>
      <c r="I990" s="54"/>
      <c r="J990" s="106">
        <f>VLOOKUP(A990&amp;G990,Lookup!J:N,5,0)</f>
        <v>0</v>
      </c>
      <c r="K990" s="115"/>
      <c r="L990" s="54"/>
      <c r="M990" s="54"/>
      <c r="N990" s="54"/>
      <c r="O990" s="112">
        <v>40.9756944444444</v>
      </c>
      <c r="P990" s="110" t="str">
        <f t="shared" si="70"/>
        <v/>
      </c>
      <c r="Q990" s="54"/>
      <c r="R990" s="87" t="str">
        <f t="shared" si="72"/>
        <v/>
      </c>
      <c r="S990" s="87" t="str">
        <f t="shared" si="73"/>
        <v/>
      </c>
      <c r="T990" s="54"/>
      <c r="U990" s="54"/>
      <c r="V990" s="54"/>
      <c r="W990" s="54"/>
      <c r="X990" s="69" t="str">
        <f t="shared" si="71"/>
        <v>D</v>
      </c>
    </row>
    <row r="991" spans="1:24" s="66" customFormat="1" x14ac:dyDescent="0.25">
      <c r="A991" s="51"/>
      <c r="B991" s="91" t="str">
        <f>IFERROR(VLOOKUP(A991,Lookup!A:B,2,0),"")</f>
        <v/>
      </c>
      <c r="C991" s="92" t="str">
        <f>IFERROR(VLOOKUP(A991,Lookup!A:C,3,0),"")</f>
        <v/>
      </c>
      <c r="D991" s="54"/>
      <c r="E991" s="54"/>
      <c r="F991" s="54"/>
      <c r="G991" s="72"/>
      <c r="H991" s="54"/>
      <c r="I991" s="54"/>
      <c r="J991" s="106">
        <f>VLOOKUP(A991&amp;G991,Lookup!J:N,5,0)</f>
        <v>0</v>
      </c>
      <c r="K991" s="115"/>
      <c r="L991" s="54"/>
      <c r="M991" s="54"/>
      <c r="N991" s="54"/>
      <c r="O991" s="112">
        <v>41.0173611111111</v>
      </c>
      <c r="P991" s="110" t="str">
        <f t="shared" si="70"/>
        <v/>
      </c>
      <c r="Q991" s="54"/>
      <c r="R991" s="87" t="str">
        <f t="shared" si="72"/>
        <v/>
      </c>
      <c r="S991" s="87" t="str">
        <f t="shared" si="73"/>
        <v/>
      </c>
      <c r="T991" s="54"/>
      <c r="U991" s="54"/>
      <c r="V991" s="54"/>
      <c r="W991" s="54"/>
      <c r="X991" s="69" t="str">
        <f t="shared" si="71"/>
        <v>D</v>
      </c>
    </row>
    <row r="992" spans="1:24" s="66" customFormat="1" x14ac:dyDescent="0.25">
      <c r="A992" s="51"/>
      <c r="B992" s="91" t="str">
        <f>IFERROR(VLOOKUP(A992,Lookup!A:B,2,0),"")</f>
        <v/>
      </c>
      <c r="C992" s="92" t="str">
        <f>IFERROR(VLOOKUP(A992,Lookup!A:C,3,0),"")</f>
        <v/>
      </c>
      <c r="D992" s="54"/>
      <c r="E992" s="54"/>
      <c r="F992" s="54"/>
      <c r="G992" s="72"/>
      <c r="H992" s="54"/>
      <c r="I992" s="54"/>
      <c r="J992" s="106">
        <f>VLOOKUP(A992&amp;G992,Lookup!J:N,5,0)</f>
        <v>0</v>
      </c>
      <c r="K992" s="115"/>
      <c r="L992" s="54"/>
      <c r="M992" s="54"/>
      <c r="N992" s="54"/>
      <c r="O992" s="112">
        <v>41.0590277777778</v>
      </c>
      <c r="P992" s="110" t="str">
        <f t="shared" si="70"/>
        <v/>
      </c>
      <c r="Q992" s="54"/>
      <c r="R992" s="87" t="str">
        <f t="shared" si="72"/>
        <v/>
      </c>
      <c r="S992" s="87" t="str">
        <f t="shared" si="73"/>
        <v/>
      </c>
      <c r="T992" s="54"/>
      <c r="U992" s="54"/>
      <c r="V992" s="54"/>
      <c r="W992" s="54"/>
      <c r="X992" s="69" t="str">
        <f t="shared" si="71"/>
        <v>D</v>
      </c>
    </row>
    <row r="993" spans="1:24" s="66" customFormat="1" x14ac:dyDescent="0.25">
      <c r="A993" s="51"/>
      <c r="B993" s="91" t="str">
        <f>IFERROR(VLOOKUP(A993,Lookup!A:B,2,0),"")</f>
        <v/>
      </c>
      <c r="C993" s="92" t="str">
        <f>IFERROR(VLOOKUP(A993,Lookup!A:C,3,0),"")</f>
        <v/>
      </c>
      <c r="D993" s="54"/>
      <c r="E993" s="54"/>
      <c r="F993" s="54"/>
      <c r="G993" s="72"/>
      <c r="H993" s="54"/>
      <c r="I993" s="54"/>
      <c r="J993" s="106">
        <f>VLOOKUP(A993&amp;G993,Lookup!J:N,5,0)</f>
        <v>0</v>
      </c>
      <c r="K993" s="115"/>
      <c r="L993" s="54"/>
      <c r="M993" s="54"/>
      <c r="N993" s="54"/>
      <c r="O993" s="112">
        <v>41.1006944444444</v>
      </c>
      <c r="P993" s="110" t="str">
        <f t="shared" si="70"/>
        <v/>
      </c>
      <c r="Q993" s="54"/>
      <c r="R993" s="87" t="str">
        <f t="shared" si="72"/>
        <v/>
      </c>
      <c r="S993" s="87" t="str">
        <f t="shared" si="73"/>
        <v/>
      </c>
      <c r="T993" s="54"/>
      <c r="U993" s="54"/>
      <c r="V993" s="54"/>
      <c r="W993" s="54"/>
      <c r="X993" s="69" t="str">
        <f t="shared" si="71"/>
        <v>D</v>
      </c>
    </row>
    <row r="994" spans="1:24" s="66" customFormat="1" x14ac:dyDescent="0.25">
      <c r="A994" s="51"/>
      <c r="B994" s="91" t="str">
        <f>IFERROR(VLOOKUP(A994,Lookup!A:B,2,0),"")</f>
        <v/>
      </c>
      <c r="C994" s="92" t="str">
        <f>IFERROR(VLOOKUP(A994,Lookup!A:C,3,0),"")</f>
        <v/>
      </c>
      <c r="D994" s="54"/>
      <c r="E994" s="54"/>
      <c r="F994" s="54"/>
      <c r="G994" s="72"/>
      <c r="H994" s="54"/>
      <c r="I994" s="54"/>
      <c r="J994" s="106">
        <f>VLOOKUP(A994&amp;G994,Lookup!J:N,5,0)</f>
        <v>0</v>
      </c>
      <c r="K994" s="115"/>
      <c r="L994" s="54"/>
      <c r="M994" s="54"/>
      <c r="N994" s="54"/>
      <c r="O994" s="112">
        <v>41.1423611111111</v>
      </c>
      <c r="P994" s="110" t="str">
        <f t="shared" si="70"/>
        <v/>
      </c>
      <c r="Q994" s="54"/>
      <c r="R994" s="87" t="str">
        <f t="shared" si="72"/>
        <v/>
      </c>
      <c r="S994" s="87" t="str">
        <f t="shared" si="73"/>
        <v/>
      </c>
      <c r="T994" s="54"/>
      <c r="U994" s="54"/>
      <c r="V994" s="54"/>
      <c r="W994" s="54"/>
      <c r="X994" s="69" t="str">
        <f t="shared" si="71"/>
        <v>D</v>
      </c>
    </row>
    <row r="995" spans="1:24" s="66" customFormat="1" x14ac:dyDescent="0.25">
      <c r="A995" s="51"/>
      <c r="B995" s="91" t="str">
        <f>IFERROR(VLOOKUP(A995,Lookup!A:B,2,0),"")</f>
        <v/>
      </c>
      <c r="C995" s="92" t="str">
        <f>IFERROR(VLOOKUP(A995,Lookup!A:C,3,0),"")</f>
        <v/>
      </c>
      <c r="D995" s="54"/>
      <c r="E995" s="54"/>
      <c r="F995" s="54"/>
      <c r="G995" s="72"/>
      <c r="H995" s="54"/>
      <c r="I995" s="54"/>
      <c r="J995" s="106">
        <f>VLOOKUP(A995&amp;G995,Lookup!J:N,5,0)</f>
        <v>0</v>
      </c>
      <c r="K995" s="115"/>
      <c r="L995" s="54"/>
      <c r="M995" s="54"/>
      <c r="N995" s="54"/>
      <c r="O995" s="112">
        <v>41.1840277777778</v>
      </c>
      <c r="P995" s="110" t="str">
        <f t="shared" si="70"/>
        <v/>
      </c>
      <c r="Q995" s="54"/>
      <c r="R995" s="87" t="str">
        <f t="shared" si="72"/>
        <v/>
      </c>
      <c r="S995" s="87" t="str">
        <f t="shared" si="73"/>
        <v/>
      </c>
      <c r="T995" s="54"/>
      <c r="U995" s="54"/>
      <c r="V995" s="54"/>
      <c r="W995" s="54"/>
      <c r="X995" s="69" t="str">
        <f t="shared" si="71"/>
        <v>D</v>
      </c>
    </row>
    <row r="996" spans="1:24" s="66" customFormat="1" x14ac:dyDescent="0.25">
      <c r="A996" s="51"/>
      <c r="B996" s="91" t="str">
        <f>IFERROR(VLOOKUP(A996,Lookup!A:B,2,0),"")</f>
        <v/>
      </c>
      <c r="C996" s="92" t="str">
        <f>IFERROR(VLOOKUP(A996,Lookup!A:C,3,0),"")</f>
        <v/>
      </c>
      <c r="D996" s="54"/>
      <c r="E996" s="54"/>
      <c r="F996" s="54"/>
      <c r="G996" s="72"/>
      <c r="H996" s="54"/>
      <c r="I996" s="54"/>
      <c r="J996" s="106">
        <f>VLOOKUP(A996&amp;G996,Lookup!J:N,5,0)</f>
        <v>0</v>
      </c>
      <c r="K996" s="115"/>
      <c r="L996" s="54"/>
      <c r="M996" s="54"/>
      <c r="N996" s="54"/>
      <c r="O996" s="112">
        <v>41.2256944444444</v>
      </c>
      <c r="P996" s="110" t="str">
        <f t="shared" si="70"/>
        <v/>
      </c>
      <c r="Q996" s="54"/>
      <c r="R996" s="87" t="str">
        <f t="shared" si="72"/>
        <v/>
      </c>
      <c r="S996" s="87" t="str">
        <f t="shared" si="73"/>
        <v/>
      </c>
      <c r="T996" s="54"/>
      <c r="U996" s="54"/>
      <c r="V996" s="54"/>
      <c r="W996" s="54"/>
      <c r="X996" s="69" t="str">
        <f t="shared" si="71"/>
        <v>D</v>
      </c>
    </row>
    <row r="997" spans="1:24" s="66" customFormat="1" x14ac:dyDescent="0.25">
      <c r="A997" s="51"/>
      <c r="B997" s="91" t="str">
        <f>IFERROR(VLOOKUP(A997,Lookup!A:B,2,0),"")</f>
        <v/>
      </c>
      <c r="C997" s="92" t="str">
        <f>IFERROR(VLOOKUP(A997,Lookup!A:C,3,0),"")</f>
        <v/>
      </c>
      <c r="D997" s="54"/>
      <c r="E997" s="54"/>
      <c r="F997" s="54"/>
      <c r="G997" s="72"/>
      <c r="H997" s="54"/>
      <c r="I997" s="54"/>
      <c r="J997" s="106">
        <f>VLOOKUP(A997&amp;G997,Lookup!J:N,5,0)</f>
        <v>0</v>
      </c>
      <c r="K997" s="115"/>
      <c r="L997" s="54"/>
      <c r="M997" s="54"/>
      <c r="N997" s="54"/>
      <c r="O997" s="112">
        <v>41.2673611111111</v>
      </c>
      <c r="P997" s="110" t="str">
        <f t="shared" si="70"/>
        <v/>
      </c>
      <c r="Q997" s="54"/>
      <c r="R997" s="87" t="str">
        <f t="shared" si="72"/>
        <v/>
      </c>
      <c r="S997" s="87" t="str">
        <f t="shared" si="73"/>
        <v/>
      </c>
      <c r="T997" s="54"/>
      <c r="U997" s="54"/>
      <c r="V997" s="54"/>
      <c r="W997" s="54"/>
      <c r="X997" s="69" t="str">
        <f t="shared" si="71"/>
        <v>D</v>
      </c>
    </row>
    <row r="998" spans="1:24" s="66" customFormat="1" x14ac:dyDescent="0.25">
      <c r="A998" s="51"/>
      <c r="B998" s="91" t="str">
        <f>IFERROR(VLOOKUP(A998,Lookup!A:B,2,0),"")</f>
        <v/>
      </c>
      <c r="C998" s="92" t="str">
        <f>IFERROR(VLOOKUP(A998,Lookup!A:C,3,0),"")</f>
        <v/>
      </c>
      <c r="D998" s="54"/>
      <c r="E998" s="54"/>
      <c r="F998" s="54"/>
      <c r="G998" s="72"/>
      <c r="H998" s="54"/>
      <c r="I998" s="54"/>
      <c r="J998" s="106">
        <f>VLOOKUP(A998&amp;G998,Lookup!J:N,5,0)</f>
        <v>0</v>
      </c>
      <c r="K998" s="115"/>
      <c r="L998" s="54"/>
      <c r="M998" s="54"/>
      <c r="N998" s="54"/>
      <c r="O998" s="112">
        <v>41.3090277777778</v>
      </c>
      <c r="P998" s="110" t="str">
        <f t="shared" si="70"/>
        <v/>
      </c>
      <c r="Q998" s="54"/>
      <c r="R998" s="87" t="str">
        <f t="shared" si="72"/>
        <v/>
      </c>
      <c r="S998" s="87" t="str">
        <f t="shared" si="73"/>
        <v/>
      </c>
      <c r="T998" s="54"/>
      <c r="U998" s="54"/>
      <c r="V998" s="54"/>
      <c r="W998" s="54"/>
      <c r="X998" s="69" t="str">
        <f t="shared" si="71"/>
        <v>D</v>
      </c>
    </row>
    <row r="999" spans="1:24" s="66" customFormat="1" x14ac:dyDescent="0.25">
      <c r="A999" s="51"/>
      <c r="B999" s="91" t="str">
        <f>IFERROR(VLOOKUP(A999,Lookup!A:B,2,0),"")</f>
        <v/>
      </c>
      <c r="C999" s="92" t="str">
        <f>IFERROR(VLOOKUP(A999,Lookup!A:C,3,0),"")</f>
        <v/>
      </c>
      <c r="D999" s="54"/>
      <c r="E999" s="54"/>
      <c r="F999" s="54"/>
      <c r="G999" s="72"/>
      <c r="H999" s="54"/>
      <c r="I999" s="54"/>
      <c r="J999" s="106">
        <f>VLOOKUP(A999&amp;G999,Lookup!J:N,5,0)</f>
        <v>0</v>
      </c>
      <c r="K999" s="115"/>
      <c r="L999" s="54"/>
      <c r="M999" s="54"/>
      <c r="N999" s="54"/>
      <c r="O999" s="112">
        <v>41.3506944444444</v>
      </c>
      <c r="P999" s="110" t="str">
        <f t="shared" si="70"/>
        <v/>
      </c>
      <c r="Q999" s="54"/>
      <c r="R999" s="87" t="str">
        <f t="shared" si="72"/>
        <v/>
      </c>
      <c r="S999" s="87" t="str">
        <f t="shared" si="73"/>
        <v/>
      </c>
      <c r="T999" s="54"/>
      <c r="U999" s="54"/>
      <c r="V999" s="54"/>
      <c r="W999" s="54"/>
      <c r="X999" s="69" t="str">
        <f t="shared" si="71"/>
        <v>D</v>
      </c>
    </row>
    <row r="1000" spans="1:24" s="66" customFormat="1" x14ac:dyDescent="0.25">
      <c r="A1000" s="51"/>
      <c r="B1000" s="91" t="str">
        <f>IFERROR(VLOOKUP(A1000,Lookup!A:B,2,0),"")</f>
        <v/>
      </c>
      <c r="C1000" s="92" t="str">
        <f>IFERROR(VLOOKUP(A1000,Lookup!A:C,3,0),"")</f>
        <v/>
      </c>
      <c r="D1000" s="54"/>
      <c r="E1000" s="54"/>
      <c r="F1000" s="54"/>
      <c r="G1000" s="72"/>
      <c r="H1000" s="54"/>
      <c r="I1000" s="54"/>
      <c r="J1000" s="106">
        <f>VLOOKUP(A1000&amp;G1000,Lookup!J:N,5,0)</f>
        <v>0</v>
      </c>
      <c r="K1000" s="115"/>
      <c r="L1000" s="54"/>
      <c r="M1000" s="54"/>
      <c r="N1000" s="54"/>
      <c r="O1000" s="112">
        <v>41.3923611111111</v>
      </c>
      <c r="P1000" s="110" t="str">
        <f t="shared" si="70"/>
        <v/>
      </c>
      <c r="Q1000" s="54"/>
      <c r="R1000" s="87" t="str">
        <f t="shared" si="72"/>
        <v/>
      </c>
      <c r="S1000" s="87" t="str">
        <f t="shared" si="73"/>
        <v/>
      </c>
      <c r="T1000" s="54"/>
      <c r="U1000" s="54"/>
      <c r="V1000" s="54"/>
      <c r="W1000" s="54"/>
      <c r="X1000" s="69" t="str">
        <f t="shared" si="71"/>
        <v>D</v>
      </c>
    </row>
    <row r="1001" spans="1:24" s="66" customFormat="1" x14ac:dyDescent="0.25">
      <c r="A1001" s="51"/>
      <c r="B1001" s="91" t="str">
        <f>IFERROR(VLOOKUP(A1001,Lookup!A:B,2,0),"")</f>
        <v/>
      </c>
      <c r="C1001" s="92" t="str">
        <f>IFERROR(VLOOKUP(A1001,Lookup!A:C,3,0),"")</f>
        <v/>
      </c>
      <c r="D1001" s="54"/>
      <c r="E1001" s="54"/>
      <c r="F1001" s="54"/>
      <c r="G1001" s="72"/>
      <c r="H1001" s="54"/>
      <c r="I1001" s="54"/>
      <c r="J1001" s="106">
        <f>VLOOKUP(A1001&amp;G1001,Lookup!J:N,5,0)</f>
        <v>0</v>
      </c>
      <c r="K1001" s="115"/>
      <c r="L1001" s="54"/>
      <c r="M1001" s="54"/>
      <c r="N1001" s="54"/>
      <c r="O1001" s="112">
        <v>41.4340277777778</v>
      </c>
      <c r="P1001" s="110" t="str">
        <f t="shared" si="70"/>
        <v/>
      </c>
      <c r="Q1001" s="54"/>
      <c r="R1001" s="87" t="str">
        <f t="shared" si="72"/>
        <v/>
      </c>
      <c r="S1001" s="87" t="str">
        <f t="shared" si="73"/>
        <v/>
      </c>
      <c r="T1001" s="54"/>
      <c r="U1001" s="54"/>
      <c r="V1001" s="54"/>
      <c r="W1001" s="54"/>
      <c r="X1001" s="69" t="str">
        <f t="shared" si="71"/>
        <v>D</v>
      </c>
    </row>
    <row r="1002" spans="1:24" s="66" customFormat="1" x14ac:dyDescent="0.25">
      <c r="A1002" s="51"/>
      <c r="B1002" s="91" t="str">
        <f>IFERROR(VLOOKUP(A1002,Lookup!A:B,2,0),"")</f>
        <v/>
      </c>
      <c r="C1002" s="92" t="str">
        <f>IFERROR(VLOOKUP(A1002,Lookup!A:C,3,0),"")</f>
        <v/>
      </c>
      <c r="D1002" s="54"/>
      <c r="E1002" s="54"/>
      <c r="F1002" s="54"/>
      <c r="G1002" s="72"/>
      <c r="H1002" s="54"/>
      <c r="I1002" s="54"/>
      <c r="J1002" s="106">
        <f>VLOOKUP(A1002&amp;G1002,Lookup!J:N,5,0)</f>
        <v>0</v>
      </c>
      <c r="K1002" s="115"/>
      <c r="L1002" s="54"/>
      <c r="M1002" s="54"/>
      <c r="N1002" s="54"/>
      <c r="O1002" s="112">
        <v>41.4756944444444</v>
      </c>
      <c r="P1002" s="110" t="str">
        <f t="shared" si="70"/>
        <v/>
      </c>
      <c r="Q1002" s="54"/>
      <c r="R1002" s="87" t="str">
        <f t="shared" si="72"/>
        <v/>
      </c>
      <c r="S1002" s="87" t="str">
        <f t="shared" si="73"/>
        <v/>
      </c>
      <c r="T1002" s="54"/>
      <c r="U1002" s="54"/>
      <c r="V1002" s="54"/>
      <c r="W1002" s="54"/>
      <c r="X1002" s="69" t="str">
        <f t="shared" si="71"/>
        <v>D</v>
      </c>
    </row>
    <row r="1003" spans="1:24" s="66" customFormat="1" x14ac:dyDescent="0.25">
      <c r="A1003" s="51"/>
      <c r="B1003" s="91" t="str">
        <f>IFERROR(VLOOKUP(A1003,Lookup!A:B,2,0),"")</f>
        <v/>
      </c>
      <c r="C1003" s="92" t="str">
        <f>IFERROR(VLOOKUP(A1003,Lookup!A:C,3,0),"")</f>
        <v/>
      </c>
      <c r="D1003" s="54"/>
      <c r="E1003" s="54"/>
      <c r="F1003" s="54"/>
      <c r="G1003" s="72"/>
      <c r="H1003" s="54"/>
      <c r="I1003" s="54"/>
      <c r="J1003" s="106">
        <f>VLOOKUP(A1003&amp;G1003,Lookup!J:N,5,0)</f>
        <v>0</v>
      </c>
      <c r="K1003" s="115"/>
      <c r="L1003" s="54"/>
      <c r="M1003" s="54"/>
      <c r="N1003" s="54"/>
      <c r="O1003" s="112">
        <v>41.5173611111111</v>
      </c>
      <c r="P1003" s="110" t="str">
        <f t="shared" si="70"/>
        <v/>
      </c>
      <c r="Q1003" s="54"/>
      <c r="R1003" s="87" t="str">
        <f t="shared" si="72"/>
        <v/>
      </c>
      <c r="S1003" s="87" t="str">
        <f t="shared" si="73"/>
        <v/>
      </c>
      <c r="T1003" s="54"/>
      <c r="U1003" s="54"/>
      <c r="V1003" s="54"/>
      <c r="W1003" s="54"/>
      <c r="X1003" s="69" t="str">
        <f t="shared" si="71"/>
        <v>D</v>
      </c>
    </row>
    <row r="1004" spans="1:24" s="66" customFormat="1" x14ac:dyDescent="0.25">
      <c r="A1004" s="51"/>
      <c r="B1004" s="91" t="str">
        <f>IFERROR(VLOOKUP(A1004,Lookup!A:B,2,0),"")</f>
        <v/>
      </c>
      <c r="C1004" s="92" t="str">
        <f>IFERROR(VLOOKUP(A1004,Lookup!A:C,3,0),"")</f>
        <v/>
      </c>
      <c r="D1004" s="54"/>
      <c r="E1004" s="54"/>
      <c r="F1004" s="54"/>
      <c r="G1004" s="72"/>
      <c r="H1004" s="54"/>
      <c r="I1004" s="54"/>
      <c r="J1004" s="106">
        <f>VLOOKUP(A1004&amp;G1004,Lookup!J:N,5,0)</f>
        <v>0</v>
      </c>
      <c r="K1004" s="115"/>
      <c r="L1004" s="54"/>
      <c r="M1004" s="54"/>
      <c r="N1004" s="54"/>
      <c r="O1004" s="112">
        <v>41.5590277777778</v>
      </c>
      <c r="P1004" s="110" t="str">
        <f t="shared" si="70"/>
        <v/>
      </c>
      <c r="Q1004" s="54"/>
      <c r="R1004" s="87" t="str">
        <f t="shared" si="72"/>
        <v/>
      </c>
      <c r="S1004" s="87" t="str">
        <f t="shared" si="73"/>
        <v/>
      </c>
      <c r="T1004" s="54"/>
      <c r="U1004" s="54"/>
      <c r="V1004" s="54"/>
      <c r="W1004" s="54"/>
      <c r="X1004" s="69" t="str">
        <f t="shared" si="71"/>
        <v>D</v>
      </c>
    </row>
    <row r="1005" spans="1:24" s="66" customFormat="1" x14ac:dyDescent="0.25">
      <c r="A1005" s="51"/>
      <c r="B1005" s="91" t="str">
        <f>IFERROR(VLOOKUP(A1005,Lookup!A:B,2,0),"")</f>
        <v/>
      </c>
      <c r="C1005" s="92" t="str">
        <f>IFERROR(VLOOKUP(A1005,Lookup!A:C,3,0),"")</f>
        <v/>
      </c>
      <c r="D1005" s="54"/>
      <c r="E1005" s="54"/>
      <c r="F1005" s="54"/>
      <c r="G1005" s="72"/>
      <c r="H1005" s="54"/>
      <c r="I1005" s="54"/>
      <c r="J1005" s="106">
        <f>VLOOKUP(A1005&amp;G1005,Lookup!J:N,5,0)</f>
        <v>0</v>
      </c>
      <c r="K1005" s="115"/>
      <c r="L1005" s="54"/>
      <c r="M1005" s="54"/>
      <c r="N1005" s="54"/>
      <c r="O1005" s="112">
        <v>41.6006944444444</v>
      </c>
      <c r="P1005" s="110" t="str">
        <f t="shared" si="70"/>
        <v/>
      </c>
      <c r="Q1005" s="54"/>
      <c r="R1005" s="87" t="str">
        <f t="shared" si="72"/>
        <v/>
      </c>
      <c r="S1005" s="87" t="str">
        <f t="shared" si="73"/>
        <v/>
      </c>
      <c r="T1005" s="54"/>
      <c r="U1005" s="54"/>
      <c r="V1005" s="54"/>
      <c r="W1005" s="54"/>
      <c r="X1005" s="69" t="str">
        <f t="shared" si="71"/>
        <v>D</v>
      </c>
    </row>
    <row r="1006" spans="1:24" s="66" customFormat="1" x14ac:dyDescent="0.25">
      <c r="A1006" s="51"/>
      <c r="B1006" s="91" t="str">
        <f>IFERROR(VLOOKUP(A1006,Lookup!A:B,2,0),"")</f>
        <v/>
      </c>
      <c r="C1006" s="92" t="str">
        <f>IFERROR(VLOOKUP(A1006,Lookup!A:C,3,0),"")</f>
        <v/>
      </c>
      <c r="D1006" s="54"/>
      <c r="E1006" s="54"/>
      <c r="F1006" s="54"/>
      <c r="G1006" s="72"/>
      <c r="H1006" s="54"/>
      <c r="I1006" s="54"/>
      <c r="J1006" s="106">
        <f>VLOOKUP(A1006&amp;G1006,Lookup!J:N,5,0)</f>
        <v>0</v>
      </c>
      <c r="K1006" s="115"/>
      <c r="L1006" s="54"/>
      <c r="M1006" s="54"/>
      <c r="N1006" s="54"/>
      <c r="O1006" s="112">
        <v>41.6423611111111</v>
      </c>
      <c r="P1006" s="110" t="str">
        <f t="shared" si="70"/>
        <v/>
      </c>
      <c r="Q1006" s="54"/>
      <c r="R1006" s="58"/>
      <c r="S1006" s="87" t="str">
        <f t="shared" si="73"/>
        <v/>
      </c>
      <c r="T1006" s="54"/>
      <c r="U1006" s="54"/>
      <c r="V1006" s="54"/>
      <c r="W1006" s="54"/>
      <c r="X1006" s="69" t="str">
        <f t="shared" si="71"/>
        <v>D</v>
      </c>
    </row>
    <row r="1007" spans="1:24" s="66" customFormat="1" x14ac:dyDescent="0.25">
      <c r="A1007" s="51"/>
      <c r="B1007" s="91" t="str">
        <f>IFERROR(VLOOKUP(A1007,Lookup!A:B,2,0),"")</f>
        <v/>
      </c>
      <c r="C1007" s="92" t="str">
        <f>IFERROR(VLOOKUP(A1007,Lookup!A:C,3,0),"")</f>
        <v/>
      </c>
      <c r="D1007" s="54"/>
      <c r="E1007" s="54"/>
      <c r="F1007" s="54"/>
      <c r="G1007" s="72"/>
      <c r="H1007" s="54"/>
      <c r="I1007" s="54"/>
      <c r="J1007" s="106">
        <f>VLOOKUP(A1007&amp;G1007,Lookup!J:N,5,0)</f>
        <v>0</v>
      </c>
      <c r="K1007" s="115"/>
      <c r="L1007" s="54"/>
      <c r="M1007" s="54"/>
      <c r="N1007" s="54"/>
      <c r="O1007" s="112">
        <v>41.6840277777778</v>
      </c>
      <c r="P1007" s="110" t="str">
        <f t="shared" si="70"/>
        <v/>
      </c>
      <c r="Q1007" s="54"/>
      <c r="R1007" s="58"/>
      <c r="S1007" s="87" t="str">
        <f t="shared" si="73"/>
        <v/>
      </c>
      <c r="T1007" s="54"/>
      <c r="U1007" s="54"/>
      <c r="V1007" s="54"/>
      <c r="W1007" s="54"/>
      <c r="X1007" s="69" t="str">
        <f t="shared" si="71"/>
        <v>D</v>
      </c>
    </row>
    <row r="1008" spans="1:24" s="66" customFormat="1" x14ac:dyDescent="0.25">
      <c r="A1008" s="51"/>
      <c r="B1008" s="91" t="str">
        <f>IFERROR(VLOOKUP(A1008,Lookup!A:B,2,0),"")</f>
        <v/>
      </c>
      <c r="C1008" s="92" t="str">
        <f>IFERROR(VLOOKUP(A1008,Lookup!A:C,3,0),"")</f>
        <v/>
      </c>
      <c r="D1008" s="54"/>
      <c r="E1008" s="54"/>
      <c r="F1008" s="54"/>
      <c r="G1008" s="72"/>
      <c r="H1008" s="54"/>
      <c r="I1008" s="54"/>
      <c r="J1008" s="106">
        <f>VLOOKUP(A1008&amp;G1008,Lookup!J:N,5,0)</f>
        <v>0</v>
      </c>
      <c r="K1008" s="115"/>
      <c r="L1008" s="54"/>
      <c r="M1008" s="54"/>
      <c r="N1008" s="54"/>
      <c r="O1008" s="112">
        <v>41.7256944444444</v>
      </c>
      <c r="P1008" s="110" t="str">
        <f t="shared" si="70"/>
        <v/>
      </c>
      <c r="Q1008" s="54"/>
      <c r="R1008" s="58"/>
      <c r="S1008" s="87" t="str">
        <f t="shared" si="73"/>
        <v/>
      </c>
      <c r="T1008" s="54"/>
      <c r="U1008" s="54"/>
      <c r="V1008" s="54"/>
      <c r="W1008" s="54"/>
      <c r="X1008" s="69" t="str">
        <f t="shared" si="71"/>
        <v>D</v>
      </c>
    </row>
    <row r="1009" spans="1:24" s="66" customFormat="1" x14ac:dyDescent="0.25">
      <c r="A1009" s="51"/>
      <c r="B1009" s="91" t="str">
        <f>IFERROR(VLOOKUP(A1009,Lookup!A:B,2,0),"")</f>
        <v/>
      </c>
      <c r="C1009" s="92" t="str">
        <f>IFERROR(VLOOKUP(A1009,Lookup!A:C,3,0),"")</f>
        <v/>
      </c>
      <c r="D1009" s="54"/>
      <c r="E1009" s="54"/>
      <c r="F1009" s="54"/>
      <c r="G1009" s="72"/>
      <c r="H1009" s="54"/>
      <c r="I1009" s="54"/>
      <c r="J1009" s="106">
        <f>VLOOKUP(A1009&amp;G1009,Lookup!J:N,5,0)</f>
        <v>0</v>
      </c>
      <c r="K1009" s="115"/>
      <c r="L1009" s="54"/>
      <c r="M1009" s="54"/>
      <c r="N1009" s="54"/>
      <c r="O1009" s="112">
        <v>41.7673611111111</v>
      </c>
      <c r="P1009" s="110" t="str">
        <f t="shared" si="70"/>
        <v/>
      </c>
      <c r="Q1009" s="54"/>
      <c r="R1009" s="58"/>
      <c r="S1009" s="87" t="str">
        <f t="shared" si="73"/>
        <v/>
      </c>
      <c r="T1009" s="54"/>
      <c r="U1009" s="54"/>
      <c r="V1009" s="54"/>
      <c r="W1009" s="54"/>
      <c r="X1009" s="69" t="str">
        <f t="shared" si="71"/>
        <v>D</v>
      </c>
    </row>
    <row r="1010" spans="1:24" s="66" customFormat="1" x14ac:dyDescent="0.25">
      <c r="A1010" s="51"/>
      <c r="B1010" s="91" t="str">
        <f>IFERROR(VLOOKUP(A1010,Lookup!A:B,2,0),"")</f>
        <v/>
      </c>
      <c r="C1010" s="92" t="str">
        <f>IFERROR(VLOOKUP(A1010,Lookup!A:C,3,0),"")</f>
        <v/>
      </c>
      <c r="D1010" s="54"/>
      <c r="E1010" s="54"/>
      <c r="F1010" s="54"/>
      <c r="G1010" s="72"/>
      <c r="H1010" s="54"/>
      <c r="I1010" s="54"/>
      <c r="J1010" s="106">
        <f>VLOOKUP(A1010&amp;G1010,Lookup!J:N,5,0)</f>
        <v>0</v>
      </c>
      <c r="K1010" s="115"/>
      <c r="L1010" s="54"/>
      <c r="M1010" s="54"/>
      <c r="N1010" s="54"/>
      <c r="O1010" s="112">
        <v>41.8090277777778</v>
      </c>
      <c r="P1010" s="110" t="str">
        <f t="shared" si="70"/>
        <v/>
      </c>
      <c r="Q1010" s="54"/>
      <c r="R1010" s="58"/>
      <c r="S1010" s="87" t="str">
        <f t="shared" si="73"/>
        <v/>
      </c>
      <c r="T1010" s="54"/>
      <c r="U1010" s="54"/>
      <c r="V1010" s="54"/>
      <c r="W1010" s="54"/>
      <c r="X1010" s="69" t="str">
        <f t="shared" si="71"/>
        <v>D</v>
      </c>
    </row>
    <row r="1011" spans="1:24" s="66" customFormat="1" x14ac:dyDescent="0.25">
      <c r="A1011" s="51"/>
      <c r="B1011" s="91" t="str">
        <f>IFERROR(VLOOKUP(A1011,Lookup!A:B,2,0),"")</f>
        <v/>
      </c>
      <c r="C1011" s="92" t="str">
        <f>IFERROR(VLOOKUP(A1011,Lookup!A:C,3,0),"")</f>
        <v/>
      </c>
      <c r="D1011" s="54"/>
      <c r="E1011" s="54"/>
      <c r="F1011" s="54"/>
      <c r="G1011" s="72"/>
      <c r="H1011" s="54"/>
      <c r="I1011" s="54"/>
      <c r="J1011" s="106">
        <f>VLOOKUP(A1011&amp;G1011,Lookup!J:N,5,0)</f>
        <v>0</v>
      </c>
      <c r="K1011" s="115"/>
      <c r="L1011" s="54"/>
      <c r="M1011" s="54"/>
      <c r="N1011" s="54"/>
      <c r="O1011" s="112">
        <v>41.8506944444444</v>
      </c>
      <c r="P1011" s="110" t="str">
        <f t="shared" si="70"/>
        <v/>
      </c>
      <c r="Q1011" s="54"/>
      <c r="R1011" s="58"/>
      <c r="S1011" s="87" t="str">
        <f t="shared" si="73"/>
        <v/>
      </c>
      <c r="T1011" s="54"/>
      <c r="U1011" s="54"/>
      <c r="V1011" s="54"/>
      <c r="W1011" s="54"/>
      <c r="X1011" s="69" t="str">
        <f t="shared" si="71"/>
        <v>D</v>
      </c>
    </row>
    <row r="1012" spans="1:24" s="66" customFormat="1" x14ac:dyDescent="0.25">
      <c r="A1012" s="51"/>
      <c r="B1012" s="91" t="str">
        <f>IFERROR(VLOOKUP(A1012,Lookup!A:B,2,0),"")</f>
        <v/>
      </c>
      <c r="C1012" s="92" t="str">
        <f>IFERROR(VLOOKUP(A1012,Lookup!A:C,3,0),"")</f>
        <v/>
      </c>
      <c r="D1012" s="54"/>
      <c r="E1012" s="54"/>
      <c r="F1012" s="54"/>
      <c r="G1012" s="72"/>
      <c r="H1012" s="54"/>
      <c r="I1012" s="54"/>
      <c r="J1012" s="106">
        <f>VLOOKUP(A1012&amp;G1012,Lookup!J:N,5,0)</f>
        <v>0</v>
      </c>
      <c r="K1012" s="115"/>
      <c r="L1012" s="54"/>
      <c r="M1012" s="54"/>
      <c r="N1012" s="54"/>
      <c r="O1012" s="112">
        <v>41.8923611111111</v>
      </c>
      <c r="P1012" s="110" t="str">
        <f t="shared" si="70"/>
        <v/>
      </c>
      <c r="Q1012" s="54"/>
      <c r="R1012" s="58"/>
      <c r="S1012" s="87" t="str">
        <f t="shared" si="73"/>
        <v/>
      </c>
      <c r="T1012" s="54"/>
      <c r="U1012" s="54"/>
      <c r="V1012" s="54"/>
      <c r="W1012" s="54"/>
      <c r="X1012" s="69" t="str">
        <f t="shared" si="71"/>
        <v>D</v>
      </c>
    </row>
    <row r="1013" spans="1:24" s="66" customFormat="1" x14ac:dyDescent="0.25">
      <c r="A1013" s="51"/>
      <c r="B1013" s="91" t="str">
        <f>IFERROR(VLOOKUP(A1013,Lookup!A:B,2,0),"")</f>
        <v/>
      </c>
      <c r="C1013" s="92" t="str">
        <f>IFERROR(VLOOKUP(A1013,Lookup!A:C,3,0),"")</f>
        <v/>
      </c>
      <c r="D1013" s="54"/>
      <c r="E1013" s="54"/>
      <c r="F1013" s="54"/>
      <c r="G1013" s="72"/>
      <c r="H1013" s="54"/>
      <c r="I1013" s="54"/>
      <c r="J1013" s="106">
        <f>VLOOKUP(A1013&amp;G1013,Lookup!J:N,5,0)</f>
        <v>0</v>
      </c>
      <c r="K1013" s="115"/>
      <c r="L1013" s="54"/>
      <c r="M1013" s="54"/>
      <c r="N1013" s="54"/>
      <c r="O1013" s="112">
        <v>41.9340277777778</v>
      </c>
      <c r="P1013" s="110" t="str">
        <f t="shared" si="70"/>
        <v/>
      </c>
      <c r="Q1013" s="54"/>
      <c r="R1013" s="58"/>
      <c r="S1013" s="87" t="str">
        <f t="shared" si="73"/>
        <v/>
      </c>
      <c r="T1013" s="54"/>
      <c r="U1013" s="54"/>
      <c r="V1013" s="54"/>
      <c r="W1013" s="54"/>
      <c r="X1013" s="69" t="str">
        <f t="shared" si="71"/>
        <v>D</v>
      </c>
    </row>
    <row r="1014" spans="1:24" s="66" customFormat="1" x14ac:dyDescent="0.25">
      <c r="A1014" s="51"/>
      <c r="B1014" s="91" t="str">
        <f>IFERROR(VLOOKUP(A1014,Lookup!A:B,2,0),"")</f>
        <v/>
      </c>
      <c r="C1014" s="92" t="str">
        <f>IFERROR(VLOOKUP(A1014,Lookup!A:C,3,0),"")</f>
        <v/>
      </c>
      <c r="D1014" s="54"/>
      <c r="E1014" s="54"/>
      <c r="F1014" s="54"/>
      <c r="G1014" s="72"/>
      <c r="H1014" s="54"/>
      <c r="I1014" s="54"/>
      <c r="J1014" s="106">
        <f>VLOOKUP(A1014&amp;G1014,Lookup!J:N,5,0)</f>
        <v>0</v>
      </c>
      <c r="K1014" s="115"/>
      <c r="L1014" s="54"/>
      <c r="M1014" s="54"/>
      <c r="N1014" s="54"/>
      <c r="O1014" s="112">
        <v>41.9756944444444</v>
      </c>
      <c r="P1014" s="110" t="str">
        <f t="shared" si="70"/>
        <v/>
      </c>
      <c r="Q1014" s="54"/>
      <c r="R1014" s="58"/>
      <c r="S1014" s="87" t="str">
        <f t="shared" si="73"/>
        <v/>
      </c>
      <c r="T1014" s="54"/>
      <c r="U1014" s="54"/>
      <c r="V1014" s="54"/>
      <c r="W1014" s="54"/>
      <c r="X1014" s="69" t="str">
        <f t="shared" si="71"/>
        <v>D</v>
      </c>
    </row>
    <row r="1015" spans="1:24" s="66" customFormat="1" x14ac:dyDescent="0.25">
      <c r="A1015" s="51"/>
      <c r="B1015" s="91" t="str">
        <f>IFERROR(VLOOKUP(A1015,Lookup!A:B,2,0),"")</f>
        <v/>
      </c>
      <c r="C1015" s="92" t="str">
        <f>IFERROR(VLOOKUP(A1015,Lookup!A:C,3,0),"")</f>
        <v/>
      </c>
      <c r="D1015" s="54"/>
      <c r="E1015" s="54"/>
      <c r="F1015" s="54"/>
      <c r="G1015" s="72"/>
      <c r="H1015" s="54"/>
      <c r="I1015" s="54"/>
      <c r="J1015" s="106">
        <f>VLOOKUP(A1015&amp;G1015,Lookup!J:N,5,0)</f>
        <v>0</v>
      </c>
      <c r="K1015" s="115"/>
      <c r="L1015" s="54"/>
      <c r="M1015" s="54"/>
      <c r="N1015" s="54"/>
      <c r="O1015" s="112">
        <v>42.0173611111111</v>
      </c>
      <c r="P1015" s="110" t="str">
        <f t="shared" si="70"/>
        <v/>
      </c>
      <c r="Q1015" s="54"/>
      <c r="R1015" s="58"/>
      <c r="S1015" s="87" t="str">
        <f t="shared" si="73"/>
        <v/>
      </c>
      <c r="T1015" s="54"/>
      <c r="U1015" s="54"/>
      <c r="V1015" s="54"/>
      <c r="W1015" s="54"/>
      <c r="X1015" s="69" t="str">
        <f t="shared" si="71"/>
        <v>D</v>
      </c>
    </row>
    <row r="1016" spans="1:24" s="66" customFormat="1" x14ac:dyDescent="0.25">
      <c r="A1016" s="51"/>
      <c r="B1016" s="91" t="str">
        <f>IFERROR(VLOOKUP(A1016,Lookup!A:B,2,0),"")</f>
        <v/>
      </c>
      <c r="C1016" s="92" t="str">
        <f>IFERROR(VLOOKUP(A1016,Lookup!A:C,3,0),"")</f>
        <v/>
      </c>
      <c r="D1016" s="54"/>
      <c r="E1016" s="54"/>
      <c r="F1016" s="54"/>
      <c r="G1016" s="72"/>
      <c r="H1016" s="54"/>
      <c r="I1016" s="54"/>
      <c r="J1016" s="106">
        <f>VLOOKUP(A1016&amp;G1016,Lookup!J:N,5,0)</f>
        <v>0</v>
      </c>
      <c r="K1016" s="115"/>
      <c r="L1016" s="54"/>
      <c r="M1016" s="54"/>
      <c r="N1016" s="54"/>
      <c r="O1016" s="112">
        <v>42.0590277777778</v>
      </c>
      <c r="P1016" s="110" t="str">
        <f t="shared" si="70"/>
        <v/>
      </c>
      <c r="Q1016" s="54"/>
      <c r="R1016" s="58"/>
      <c r="S1016" s="87" t="str">
        <f t="shared" si="73"/>
        <v/>
      </c>
      <c r="T1016" s="54"/>
      <c r="U1016" s="54"/>
      <c r="V1016" s="54"/>
      <c r="W1016" s="54"/>
      <c r="X1016" s="69" t="str">
        <f t="shared" si="71"/>
        <v>D</v>
      </c>
    </row>
    <row r="1017" spans="1:24" s="66" customFormat="1" x14ac:dyDescent="0.25">
      <c r="A1017" s="51"/>
      <c r="B1017" s="91" t="str">
        <f>IFERROR(VLOOKUP(A1017,Lookup!A:B,2,0),"")</f>
        <v/>
      </c>
      <c r="C1017" s="92" t="str">
        <f>IFERROR(VLOOKUP(A1017,Lookup!A:C,3,0),"")</f>
        <v/>
      </c>
      <c r="D1017" s="54"/>
      <c r="E1017" s="54"/>
      <c r="F1017" s="54"/>
      <c r="G1017" s="72"/>
      <c r="H1017" s="54"/>
      <c r="I1017" s="54"/>
      <c r="J1017" s="106">
        <f>VLOOKUP(A1017&amp;G1017,Lookup!J:N,5,0)</f>
        <v>0</v>
      </c>
      <c r="K1017" s="115"/>
      <c r="L1017" s="54"/>
      <c r="M1017" s="54"/>
      <c r="N1017" s="54"/>
      <c r="O1017" s="112">
        <v>42.1006944444444</v>
      </c>
      <c r="P1017" s="110" t="str">
        <f t="shared" si="70"/>
        <v/>
      </c>
      <c r="Q1017" s="54"/>
      <c r="R1017" s="58"/>
      <c r="S1017" s="87" t="str">
        <f t="shared" si="73"/>
        <v/>
      </c>
      <c r="T1017" s="54"/>
      <c r="U1017" s="54"/>
      <c r="V1017" s="54"/>
      <c r="W1017" s="54"/>
      <c r="X1017" s="69" t="str">
        <f t="shared" si="71"/>
        <v>D</v>
      </c>
    </row>
    <row r="1018" spans="1:24" s="66" customFormat="1" x14ac:dyDescent="0.25">
      <c r="A1018" s="51"/>
      <c r="B1018" s="91" t="str">
        <f>IFERROR(VLOOKUP(A1018,Lookup!A:B,2,0),"")</f>
        <v/>
      </c>
      <c r="C1018" s="92" t="str">
        <f>IFERROR(VLOOKUP(A1018,Lookup!A:C,3,0),"")</f>
        <v/>
      </c>
      <c r="D1018" s="54"/>
      <c r="E1018" s="54"/>
      <c r="F1018" s="54"/>
      <c r="G1018" s="72"/>
      <c r="H1018" s="54"/>
      <c r="I1018" s="54"/>
      <c r="J1018" s="106">
        <f>VLOOKUP(A1018&amp;G1018,Lookup!J:N,5,0)</f>
        <v>0</v>
      </c>
      <c r="K1018" s="115"/>
      <c r="L1018" s="54"/>
      <c r="M1018" s="54"/>
      <c r="N1018" s="54"/>
      <c r="O1018" s="112">
        <v>42.1423611111111</v>
      </c>
      <c r="P1018" s="110" t="str">
        <f t="shared" si="70"/>
        <v/>
      </c>
      <c r="Q1018" s="54"/>
      <c r="R1018" s="58"/>
      <c r="S1018" s="87" t="str">
        <f t="shared" si="73"/>
        <v/>
      </c>
      <c r="T1018" s="54"/>
      <c r="U1018" s="54"/>
      <c r="V1018" s="54"/>
      <c r="W1018" s="54"/>
      <c r="X1018" s="69" t="str">
        <f t="shared" si="71"/>
        <v>D</v>
      </c>
    </row>
    <row r="1019" spans="1:24" s="66" customFormat="1" x14ac:dyDescent="0.25">
      <c r="A1019" s="51"/>
      <c r="B1019" s="91" t="str">
        <f>IFERROR(VLOOKUP(A1019,Lookup!A:B,2,0),"")</f>
        <v/>
      </c>
      <c r="C1019" s="92" t="str">
        <f>IFERROR(VLOOKUP(A1019,Lookup!A:C,3,0),"")</f>
        <v/>
      </c>
      <c r="D1019" s="54"/>
      <c r="E1019" s="54"/>
      <c r="F1019" s="54"/>
      <c r="G1019" s="72"/>
      <c r="H1019" s="54"/>
      <c r="I1019" s="54"/>
      <c r="J1019" s="106">
        <f>VLOOKUP(A1019&amp;G1019,Lookup!J:N,5,0)</f>
        <v>0</v>
      </c>
      <c r="K1019" s="115"/>
      <c r="L1019" s="54"/>
      <c r="M1019" s="54"/>
      <c r="N1019" s="54"/>
      <c r="O1019" s="112">
        <v>42.1840277777778</v>
      </c>
      <c r="P1019" s="110" t="str">
        <f t="shared" si="70"/>
        <v/>
      </c>
      <c r="Q1019" s="54"/>
      <c r="R1019" s="58"/>
      <c r="S1019" s="87" t="str">
        <f t="shared" si="73"/>
        <v/>
      </c>
      <c r="T1019" s="54"/>
      <c r="U1019" s="54"/>
      <c r="V1019" s="54"/>
      <c r="W1019" s="54"/>
      <c r="X1019" s="69" t="str">
        <f t="shared" si="71"/>
        <v>D</v>
      </c>
    </row>
    <row r="1020" spans="1:24" s="66" customFormat="1" x14ac:dyDescent="0.25">
      <c r="A1020" s="51"/>
      <c r="B1020" s="91" t="str">
        <f>IFERROR(VLOOKUP(A1020,Lookup!A:B,2,0),"")</f>
        <v/>
      </c>
      <c r="C1020" s="92" t="str">
        <f>IFERROR(VLOOKUP(A1020,Lookup!A:C,3,0),"")</f>
        <v/>
      </c>
      <c r="D1020" s="54"/>
      <c r="E1020" s="54"/>
      <c r="F1020" s="54"/>
      <c r="G1020" s="72"/>
      <c r="H1020" s="54"/>
      <c r="I1020" s="54"/>
      <c r="J1020" s="106">
        <f>VLOOKUP(A1020&amp;G1020,Lookup!J:N,5,0)</f>
        <v>0</v>
      </c>
      <c r="K1020" s="115"/>
      <c r="L1020" s="54"/>
      <c r="M1020" s="54"/>
      <c r="N1020" s="54"/>
      <c r="O1020" s="112">
        <v>42.2256944444444</v>
      </c>
      <c r="P1020" s="110" t="str">
        <f t="shared" si="70"/>
        <v/>
      </c>
      <c r="Q1020" s="54"/>
      <c r="R1020" s="58"/>
      <c r="S1020" s="87" t="str">
        <f t="shared" si="73"/>
        <v/>
      </c>
      <c r="T1020" s="54"/>
      <c r="U1020" s="54"/>
      <c r="V1020" s="54"/>
      <c r="W1020" s="54"/>
      <c r="X1020" s="69" t="str">
        <f t="shared" si="71"/>
        <v>D</v>
      </c>
    </row>
    <row r="1021" spans="1:24" s="66" customFormat="1" x14ac:dyDescent="0.25">
      <c r="A1021" s="51"/>
      <c r="B1021" s="91" t="str">
        <f>IFERROR(VLOOKUP(A1021,Lookup!A:B,2,0),"")</f>
        <v/>
      </c>
      <c r="C1021" s="92" t="str">
        <f>IFERROR(VLOOKUP(A1021,Lookup!A:C,3,0),"")</f>
        <v/>
      </c>
      <c r="D1021" s="54"/>
      <c r="E1021" s="54"/>
      <c r="F1021" s="54"/>
      <c r="G1021" s="72"/>
      <c r="H1021" s="54"/>
      <c r="I1021" s="54"/>
      <c r="J1021" s="106">
        <f>VLOOKUP(A1021&amp;G1021,Lookup!J:N,5,0)</f>
        <v>0</v>
      </c>
      <c r="K1021" s="115"/>
      <c r="L1021" s="54"/>
      <c r="M1021" s="54"/>
      <c r="N1021" s="54"/>
      <c r="O1021" s="112">
        <v>42.2673611111111</v>
      </c>
      <c r="P1021" s="110" t="str">
        <f t="shared" si="70"/>
        <v/>
      </c>
      <c r="Q1021" s="54"/>
      <c r="R1021" s="58"/>
      <c r="S1021" s="87" t="str">
        <f t="shared" si="73"/>
        <v/>
      </c>
      <c r="T1021" s="54"/>
      <c r="U1021" s="54"/>
      <c r="V1021" s="54"/>
      <c r="W1021" s="54"/>
      <c r="X1021" s="69" t="str">
        <f t="shared" si="71"/>
        <v>D</v>
      </c>
    </row>
    <row r="1022" spans="1:24" s="66" customFormat="1" x14ac:dyDescent="0.25">
      <c r="A1022" s="51"/>
      <c r="B1022" s="91" t="str">
        <f>IFERROR(VLOOKUP(A1022,Lookup!A:B,2,0),"")</f>
        <v/>
      </c>
      <c r="C1022" s="92" t="str">
        <f>IFERROR(VLOOKUP(A1022,Lookup!A:C,3,0),"")</f>
        <v/>
      </c>
      <c r="D1022" s="54"/>
      <c r="E1022" s="54"/>
      <c r="F1022" s="54"/>
      <c r="G1022" s="72"/>
      <c r="H1022" s="54"/>
      <c r="I1022" s="54"/>
      <c r="J1022" s="106">
        <f>VLOOKUP(A1022&amp;G1022,Lookup!J:N,5,0)</f>
        <v>0</v>
      </c>
      <c r="K1022" s="115"/>
      <c r="L1022" s="54"/>
      <c r="M1022" s="54"/>
      <c r="N1022" s="54"/>
      <c r="O1022" s="112">
        <v>42.3090277777778</v>
      </c>
      <c r="P1022" s="110" t="str">
        <f t="shared" si="70"/>
        <v/>
      </c>
      <c r="Q1022" s="54"/>
      <c r="R1022" s="58"/>
      <c r="S1022" s="87" t="str">
        <f t="shared" si="73"/>
        <v/>
      </c>
      <c r="T1022" s="54"/>
      <c r="U1022" s="54"/>
      <c r="V1022" s="54"/>
      <c r="W1022" s="54"/>
      <c r="X1022" s="69" t="str">
        <f t="shared" si="71"/>
        <v>D</v>
      </c>
    </row>
    <row r="1023" spans="1:24" s="66" customFormat="1" x14ac:dyDescent="0.25">
      <c r="A1023" s="51"/>
      <c r="B1023" s="91" t="str">
        <f>IFERROR(VLOOKUP(A1023,Lookup!A:B,2,0),"")</f>
        <v/>
      </c>
      <c r="C1023" s="92" t="str">
        <f>IFERROR(VLOOKUP(A1023,Lookup!A:C,3,0),"")</f>
        <v/>
      </c>
      <c r="D1023" s="54"/>
      <c r="E1023" s="54"/>
      <c r="F1023" s="54"/>
      <c r="G1023" s="72"/>
      <c r="H1023" s="54"/>
      <c r="I1023" s="54"/>
      <c r="J1023" s="106">
        <f>VLOOKUP(A1023&amp;G1023,Lookup!J:N,5,0)</f>
        <v>0</v>
      </c>
      <c r="K1023" s="115"/>
      <c r="L1023" s="54"/>
      <c r="M1023" s="54"/>
      <c r="N1023" s="54"/>
      <c r="O1023" s="112">
        <v>42.3506944444444</v>
      </c>
      <c r="P1023" s="110" t="str">
        <f t="shared" si="70"/>
        <v/>
      </c>
      <c r="Q1023" s="54"/>
      <c r="R1023" s="58"/>
      <c r="S1023" s="87" t="str">
        <f t="shared" si="73"/>
        <v/>
      </c>
      <c r="T1023" s="54"/>
      <c r="U1023" s="54"/>
      <c r="V1023" s="54"/>
      <c r="W1023" s="54"/>
      <c r="X1023" s="69" t="str">
        <f t="shared" si="71"/>
        <v>D</v>
      </c>
    </row>
    <row r="1024" spans="1:24" s="66" customFormat="1" x14ac:dyDescent="0.25">
      <c r="A1024" s="51"/>
      <c r="B1024" s="91" t="str">
        <f>IFERROR(VLOOKUP(A1024,Lookup!A:B,2,0),"")</f>
        <v/>
      </c>
      <c r="C1024" s="92" t="str">
        <f>IFERROR(VLOOKUP(A1024,Lookup!A:C,3,0),"")</f>
        <v/>
      </c>
      <c r="D1024" s="54"/>
      <c r="E1024" s="54"/>
      <c r="F1024" s="54"/>
      <c r="G1024" s="72"/>
      <c r="H1024" s="54"/>
      <c r="I1024" s="54"/>
      <c r="J1024" s="106">
        <f>VLOOKUP(A1024&amp;G1024,Lookup!J:N,5,0)</f>
        <v>0</v>
      </c>
      <c r="K1024" s="115"/>
      <c r="L1024" s="54"/>
      <c r="M1024" s="54"/>
      <c r="N1024" s="54"/>
      <c r="O1024" s="112">
        <v>42.3923611111111</v>
      </c>
      <c r="P1024" s="110" t="str">
        <f t="shared" si="70"/>
        <v/>
      </c>
      <c r="Q1024" s="54"/>
      <c r="R1024" s="58"/>
      <c r="S1024" s="87" t="str">
        <f t="shared" si="73"/>
        <v/>
      </c>
      <c r="T1024" s="54"/>
      <c r="U1024" s="54"/>
      <c r="V1024" s="54"/>
      <c r="W1024" s="54"/>
      <c r="X1024" s="69" t="str">
        <f t="shared" si="71"/>
        <v>D</v>
      </c>
    </row>
    <row r="1025" spans="1:24" s="66" customFormat="1" x14ac:dyDescent="0.25">
      <c r="A1025" s="51"/>
      <c r="B1025" s="91" t="str">
        <f>IFERROR(VLOOKUP(A1025,Lookup!A:B,2,0),"")</f>
        <v/>
      </c>
      <c r="C1025" s="92" t="str">
        <f>IFERROR(VLOOKUP(A1025,Lookup!A:C,3,0),"")</f>
        <v/>
      </c>
      <c r="D1025" s="54"/>
      <c r="E1025" s="54"/>
      <c r="F1025" s="54"/>
      <c r="G1025" s="72"/>
      <c r="H1025" s="54"/>
      <c r="I1025" s="54"/>
      <c r="J1025" s="106">
        <f>VLOOKUP(A1025&amp;G1025,Lookup!J:N,5,0)</f>
        <v>0</v>
      </c>
      <c r="K1025" s="115"/>
      <c r="L1025" s="54"/>
      <c r="M1025" s="54"/>
      <c r="N1025" s="54"/>
      <c r="O1025" s="112">
        <v>42.4340277777778</v>
      </c>
      <c r="P1025" s="110" t="str">
        <f t="shared" si="70"/>
        <v/>
      </c>
      <c r="Q1025" s="54"/>
      <c r="R1025" s="58"/>
      <c r="S1025" s="87" t="str">
        <f t="shared" si="73"/>
        <v/>
      </c>
      <c r="T1025" s="54"/>
      <c r="U1025" s="54"/>
      <c r="V1025" s="54"/>
      <c r="W1025" s="54"/>
      <c r="X1025" s="69" t="str">
        <f t="shared" si="71"/>
        <v>D</v>
      </c>
    </row>
    <row r="1026" spans="1:24" s="66" customFormat="1" x14ac:dyDescent="0.25">
      <c r="A1026" s="51"/>
      <c r="B1026" s="91" t="str">
        <f>IFERROR(VLOOKUP(A1026,Lookup!A:B,2,0),"")</f>
        <v/>
      </c>
      <c r="C1026" s="92" t="str">
        <f>IFERROR(VLOOKUP(A1026,Lookup!A:C,3,0),"")</f>
        <v/>
      </c>
      <c r="D1026" s="54"/>
      <c r="E1026" s="54"/>
      <c r="F1026" s="54"/>
      <c r="G1026" s="72"/>
      <c r="H1026" s="54"/>
      <c r="I1026" s="54"/>
      <c r="J1026" s="106">
        <f>VLOOKUP(A1026&amp;G1026,Lookup!J:N,5,0)</f>
        <v>0</v>
      </c>
      <c r="K1026" s="115"/>
      <c r="L1026" s="54"/>
      <c r="M1026" s="54"/>
      <c r="N1026" s="54"/>
      <c r="O1026" s="112">
        <v>42.4756944444444</v>
      </c>
      <c r="P1026" s="110" t="str">
        <f t="shared" si="70"/>
        <v/>
      </c>
      <c r="Q1026" s="54"/>
      <c r="R1026" s="58"/>
      <c r="S1026" s="87" t="str">
        <f t="shared" si="73"/>
        <v/>
      </c>
      <c r="T1026" s="54"/>
      <c r="U1026" s="54"/>
      <c r="V1026" s="54"/>
      <c r="W1026" s="54"/>
      <c r="X1026" s="69" t="str">
        <f t="shared" si="71"/>
        <v>D</v>
      </c>
    </row>
    <row r="1027" spans="1:24" s="66" customFormat="1" x14ac:dyDescent="0.25">
      <c r="A1027" s="51"/>
      <c r="B1027" s="91" t="str">
        <f>IFERROR(VLOOKUP(A1027,Lookup!A:B,2,0),"")</f>
        <v/>
      </c>
      <c r="C1027" s="92" t="str">
        <f>IFERROR(VLOOKUP(A1027,Lookup!A:C,3,0),"")</f>
        <v/>
      </c>
      <c r="D1027" s="54"/>
      <c r="E1027" s="54"/>
      <c r="F1027" s="54"/>
      <c r="G1027" s="72"/>
      <c r="H1027" s="54"/>
      <c r="I1027" s="54"/>
      <c r="J1027" s="106">
        <f>VLOOKUP(A1027&amp;G1027,Lookup!J:N,5,0)</f>
        <v>0</v>
      </c>
      <c r="K1027" s="115"/>
      <c r="L1027" s="54"/>
      <c r="M1027" s="54"/>
      <c r="N1027" s="54"/>
      <c r="O1027" s="112">
        <v>42.5173611111111</v>
      </c>
      <c r="P1027" s="110" t="str">
        <f t="shared" ref="P1027:P1090" si="74">IF(N1027="","",N1027+O1027)</f>
        <v/>
      </c>
      <c r="Q1027" s="54"/>
      <c r="R1027" s="58"/>
      <c r="S1027" s="87" t="str">
        <f t="shared" si="73"/>
        <v/>
      </c>
      <c r="T1027" s="54"/>
      <c r="U1027" s="54"/>
      <c r="V1027" s="54"/>
      <c r="W1027" s="54"/>
      <c r="X1027" s="69" t="str">
        <f t="shared" ref="X1027:X1090" si="75">IF(I1027="SET","A",IF(I1027="FREQ","C",IF(I1027="","D","B")))</f>
        <v>D</v>
      </c>
    </row>
    <row r="1028" spans="1:24" s="66" customFormat="1" x14ac:dyDescent="0.25">
      <c r="A1028" s="51"/>
      <c r="B1028" s="91" t="str">
        <f>IFERROR(VLOOKUP(A1028,Lookup!A:B,2,0),"")</f>
        <v/>
      </c>
      <c r="C1028" s="92" t="str">
        <f>IFERROR(VLOOKUP(A1028,Lookup!A:C,3,0),"")</f>
        <v/>
      </c>
      <c r="D1028" s="54"/>
      <c r="E1028" s="54"/>
      <c r="F1028" s="54"/>
      <c r="G1028" s="72"/>
      <c r="H1028" s="54"/>
      <c r="I1028" s="54"/>
      <c r="J1028" s="106">
        <f>VLOOKUP(A1028&amp;G1028,Lookup!J:N,5,0)</f>
        <v>0</v>
      </c>
      <c r="K1028" s="115"/>
      <c r="L1028" s="54"/>
      <c r="M1028" s="54"/>
      <c r="N1028" s="54"/>
      <c r="O1028" s="112">
        <v>42.5590277777778</v>
      </c>
      <c r="P1028" s="110" t="str">
        <f t="shared" si="74"/>
        <v/>
      </c>
      <c r="Q1028" s="54"/>
      <c r="R1028" s="58"/>
      <c r="S1028" s="87" t="str">
        <f t="shared" si="73"/>
        <v/>
      </c>
      <c r="T1028" s="54"/>
      <c r="U1028" s="54"/>
      <c r="V1028" s="54"/>
      <c r="W1028" s="54"/>
      <c r="X1028" s="69" t="str">
        <f t="shared" si="75"/>
        <v>D</v>
      </c>
    </row>
    <row r="1029" spans="1:24" s="66" customFormat="1" x14ac:dyDescent="0.25">
      <c r="A1029" s="51"/>
      <c r="B1029" s="91" t="str">
        <f>IFERROR(VLOOKUP(A1029,Lookup!A:B,2,0),"")</f>
        <v/>
      </c>
      <c r="C1029" s="92" t="str">
        <f>IFERROR(VLOOKUP(A1029,Lookup!A:C,3,0),"")</f>
        <v/>
      </c>
      <c r="D1029" s="54"/>
      <c r="E1029" s="54"/>
      <c r="F1029" s="54"/>
      <c r="G1029" s="72"/>
      <c r="H1029" s="54"/>
      <c r="I1029" s="54"/>
      <c r="J1029" s="106">
        <f>VLOOKUP(A1029&amp;G1029,Lookup!J:N,5,0)</f>
        <v>0</v>
      </c>
      <c r="K1029" s="115"/>
      <c r="L1029" s="54"/>
      <c r="M1029" s="54"/>
      <c r="N1029" s="54"/>
      <c r="O1029" s="112">
        <v>42.6006944444444</v>
      </c>
      <c r="P1029" s="110" t="str">
        <f t="shared" si="74"/>
        <v/>
      </c>
      <c r="Q1029" s="54"/>
      <c r="R1029" s="58"/>
      <c r="S1029" s="87" t="str">
        <f t="shared" si="73"/>
        <v/>
      </c>
      <c r="T1029" s="54"/>
      <c r="U1029" s="54"/>
      <c r="V1029" s="54"/>
      <c r="W1029" s="54"/>
      <c r="X1029" s="69" t="str">
        <f t="shared" si="75"/>
        <v>D</v>
      </c>
    </row>
    <row r="1030" spans="1:24" s="66" customFormat="1" x14ac:dyDescent="0.25">
      <c r="A1030" s="51"/>
      <c r="B1030" s="91" t="str">
        <f>IFERROR(VLOOKUP(A1030,Lookup!A:B,2,0),"")</f>
        <v/>
      </c>
      <c r="C1030" s="92" t="str">
        <f>IFERROR(VLOOKUP(A1030,Lookup!A:C,3,0),"")</f>
        <v/>
      </c>
      <c r="D1030" s="54"/>
      <c r="E1030" s="54"/>
      <c r="F1030" s="54"/>
      <c r="G1030" s="72"/>
      <c r="H1030" s="54"/>
      <c r="I1030" s="54"/>
      <c r="J1030" s="106">
        <f>VLOOKUP(A1030&amp;G1030,Lookup!J:N,5,0)</f>
        <v>0</v>
      </c>
      <c r="K1030" s="115"/>
      <c r="L1030" s="54"/>
      <c r="M1030" s="54"/>
      <c r="N1030" s="54"/>
      <c r="O1030" s="112">
        <v>42.6423611111111</v>
      </c>
      <c r="P1030" s="110" t="str">
        <f t="shared" si="74"/>
        <v/>
      </c>
      <c r="Q1030" s="54"/>
      <c r="R1030" s="58"/>
      <c r="S1030" s="87" t="str">
        <f t="shared" si="73"/>
        <v/>
      </c>
      <c r="T1030" s="54"/>
      <c r="U1030" s="54"/>
      <c r="V1030" s="54"/>
      <c r="W1030" s="54"/>
      <c r="X1030" s="69" t="str">
        <f t="shared" si="75"/>
        <v>D</v>
      </c>
    </row>
    <row r="1031" spans="1:24" s="66" customFormat="1" x14ac:dyDescent="0.25">
      <c r="A1031" s="51"/>
      <c r="B1031" s="91" t="str">
        <f>IFERROR(VLOOKUP(A1031,Lookup!A:B,2,0),"")</f>
        <v/>
      </c>
      <c r="C1031" s="92" t="str">
        <f>IFERROR(VLOOKUP(A1031,Lookup!A:C,3,0),"")</f>
        <v/>
      </c>
      <c r="D1031" s="54"/>
      <c r="E1031" s="54"/>
      <c r="F1031" s="54"/>
      <c r="G1031" s="72"/>
      <c r="H1031" s="54"/>
      <c r="I1031" s="54"/>
      <c r="J1031" s="106">
        <f>VLOOKUP(A1031&amp;G1031,Lookup!J:N,5,0)</f>
        <v>0</v>
      </c>
      <c r="K1031" s="115"/>
      <c r="L1031" s="54"/>
      <c r="M1031" s="54"/>
      <c r="N1031" s="54"/>
      <c r="O1031" s="112">
        <v>42.6840277777778</v>
      </c>
      <c r="P1031" s="110" t="str">
        <f t="shared" si="74"/>
        <v/>
      </c>
      <c r="Q1031" s="54"/>
      <c r="R1031" s="58"/>
      <c r="S1031" s="87" t="str">
        <f t="shared" ref="S1031:S1094" si="76">IF(OR(EXACT(Q1031,""), EXACT(L1031,"")),"",Q1031-L1031)</f>
        <v/>
      </c>
      <c r="T1031" s="54"/>
      <c r="U1031" s="54"/>
      <c r="V1031" s="54"/>
      <c r="W1031" s="54"/>
      <c r="X1031" s="69" t="str">
        <f t="shared" si="75"/>
        <v>D</v>
      </c>
    </row>
    <row r="1032" spans="1:24" s="66" customFormat="1" x14ac:dyDescent="0.25">
      <c r="A1032" s="51"/>
      <c r="B1032" s="91" t="str">
        <f>IFERROR(VLOOKUP(A1032,Lookup!A:B,2,0),"")</f>
        <v/>
      </c>
      <c r="C1032" s="92" t="str">
        <f>IFERROR(VLOOKUP(A1032,Lookup!A:C,3,0),"")</f>
        <v/>
      </c>
      <c r="D1032" s="54"/>
      <c r="E1032" s="54"/>
      <c r="F1032" s="54"/>
      <c r="G1032" s="72"/>
      <c r="H1032" s="54"/>
      <c r="I1032" s="54"/>
      <c r="J1032" s="106">
        <f>VLOOKUP(A1032&amp;G1032,Lookup!J:N,5,0)</f>
        <v>0</v>
      </c>
      <c r="K1032" s="115"/>
      <c r="L1032" s="54"/>
      <c r="M1032" s="54"/>
      <c r="N1032" s="54"/>
      <c r="O1032" s="112">
        <v>42.7256944444444</v>
      </c>
      <c r="P1032" s="110" t="str">
        <f t="shared" si="74"/>
        <v/>
      </c>
      <c r="Q1032" s="54"/>
      <c r="R1032" s="58"/>
      <c r="S1032" s="87" t="str">
        <f t="shared" si="76"/>
        <v/>
      </c>
      <c r="T1032" s="54"/>
      <c r="U1032" s="54"/>
      <c r="V1032" s="54"/>
      <c r="W1032" s="54"/>
      <c r="X1032" s="69" t="str">
        <f t="shared" si="75"/>
        <v>D</v>
      </c>
    </row>
    <row r="1033" spans="1:24" s="66" customFormat="1" x14ac:dyDescent="0.25">
      <c r="A1033" s="51"/>
      <c r="B1033" s="91" t="str">
        <f>IFERROR(VLOOKUP(A1033,Lookup!A:B,2,0),"")</f>
        <v/>
      </c>
      <c r="C1033" s="92" t="str">
        <f>IFERROR(VLOOKUP(A1033,Lookup!A:C,3,0),"")</f>
        <v/>
      </c>
      <c r="D1033" s="54"/>
      <c r="E1033" s="54"/>
      <c r="F1033" s="54"/>
      <c r="G1033" s="72"/>
      <c r="H1033" s="54"/>
      <c r="I1033" s="54"/>
      <c r="J1033" s="106">
        <f>VLOOKUP(A1033&amp;G1033,Lookup!J:N,5,0)</f>
        <v>0</v>
      </c>
      <c r="K1033" s="115"/>
      <c r="L1033" s="54"/>
      <c r="M1033" s="54"/>
      <c r="N1033" s="54"/>
      <c r="O1033" s="112">
        <v>42.7673611111111</v>
      </c>
      <c r="P1033" s="110" t="str">
        <f t="shared" si="74"/>
        <v/>
      </c>
      <c r="Q1033" s="54"/>
      <c r="R1033" s="58"/>
      <c r="S1033" s="87" t="str">
        <f t="shared" si="76"/>
        <v/>
      </c>
      <c r="T1033" s="54"/>
      <c r="U1033" s="54"/>
      <c r="V1033" s="54"/>
      <c r="W1033" s="54"/>
      <c r="X1033" s="69" t="str">
        <f t="shared" si="75"/>
        <v>D</v>
      </c>
    </row>
    <row r="1034" spans="1:24" s="66" customFormat="1" x14ac:dyDescent="0.25">
      <c r="A1034" s="51"/>
      <c r="B1034" s="91" t="str">
        <f>IFERROR(VLOOKUP(A1034,Lookup!A:B,2,0),"")</f>
        <v/>
      </c>
      <c r="C1034" s="92" t="str">
        <f>IFERROR(VLOOKUP(A1034,Lookup!A:C,3,0),"")</f>
        <v/>
      </c>
      <c r="D1034" s="54"/>
      <c r="E1034" s="54"/>
      <c r="F1034" s="54"/>
      <c r="G1034" s="72"/>
      <c r="H1034" s="54"/>
      <c r="I1034" s="54"/>
      <c r="J1034" s="106">
        <f>VLOOKUP(A1034&amp;G1034,Lookup!J:N,5,0)</f>
        <v>0</v>
      </c>
      <c r="K1034" s="115"/>
      <c r="L1034" s="54"/>
      <c r="M1034" s="54"/>
      <c r="N1034" s="54"/>
      <c r="O1034" s="112">
        <v>42.8090277777778</v>
      </c>
      <c r="P1034" s="110" t="str">
        <f t="shared" si="74"/>
        <v/>
      </c>
      <c r="Q1034" s="54"/>
      <c r="R1034" s="58"/>
      <c r="S1034" s="87" t="str">
        <f t="shared" si="76"/>
        <v/>
      </c>
      <c r="T1034" s="54"/>
      <c r="U1034" s="54"/>
      <c r="V1034" s="54"/>
      <c r="W1034" s="54"/>
      <c r="X1034" s="69" t="str">
        <f t="shared" si="75"/>
        <v>D</v>
      </c>
    </row>
    <row r="1035" spans="1:24" s="66" customFormat="1" x14ac:dyDescent="0.25">
      <c r="A1035" s="51"/>
      <c r="B1035" s="91" t="str">
        <f>IFERROR(VLOOKUP(A1035,Lookup!A:B,2,0),"")</f>
        <v/>
      </c>
      <c r="C1035" s="92" t="str">
        <f>IFERROR(VLOOKUP(A1035,Lookup!A:C,3,0),"")</f>
        <v/>
      </c>
      <c r="D1035" s="54"/>
      <c r="E1035" s="54"/>
      <c r="F1035" s="54"/>
      <c r="G1035" s="72"/>
      <c r="H1035" s="54"/>
      <c r="I1035" s="54"/>
      <c r="J1035" s="106">
        <f>VLOOKUP(A1035&amp;G1035,Lookup!J:N,5,0)</f>
        <v>0</v>
      </c>
      <c r="K1035" s="115"/>
      <c r="L1035" s="54"/>
      <c r="M1035" s="54"/>
      <c r="N1035" s="54"/>
      <c r="O1035" s="112">
        <v>42.8506944444444</v>
      </c>
      <c r="P1035" s="110" t="str">
        <f t="shared" si="74"/>
        <v/>
      </c>
      <c r="Q1035" s="54"/>
      <c r="R1035" s="58"/>
      <c r="S1035" s="87" t="str">
        <f t="shared" si="76"/>
        <v/>
      </c>
      <c r="T1035" s="54"/>
      <c r="U1035" s="54"/>
      <c r="V1035" s="54"/>
      <c r="W1035" s="54"/>
      <c r="X1035" s="69" t="str">
        <f t="shared" si="75"/>
        <v>D</v>
      </c>
    </row>
    <row r="1036" spans="1:24" s="66" customFormat="1" x14ac:dyDescent="0.25">
      <c r="A1036" s="51"/>
      <c r="B1036" s="91" t="str">
        <f>IFERROR(VLOOKUP(A1036,Lookup!A:B,2,0),"")</f>
        <v/>
      </c>
      <c r="C1036" s="92" t="str">
        <f>IFERROR(VLOOKUP(A1036,Lookup!A:C,3,0),"")</f>
        <v/>
      </c>
      <c r="D1036" s="54"/>
      <c r="E1036" s="54"/>
      <c r="F1036" s="54"/>
      <c r="G1036" s="72"/>
      <c r="H1036" s="54"/>
      <c r="I1036" s="54"/>
      <c r="J1036" s="106">
        <f>VLOOKUP(A1036&amp;G1036,Lookup!J:N,5,0)</f>
        <v>0</v>
      </c>
      <c r="K1036" s="115"/>
      <c r="L1036" s="54"/>
      <c r="M1036" s="54"/>
      <c r="N1036" s="54"/>
      <c r="O1036" s="112">
        <v>42.8923611111111</v>
      </c>
      <c r="P1036" s="110" t="str">
        <f t="shared" si="74"/>
        <v/>
      </c>
      <c r="Q1036" s="54"/>
      <c r="R1036" s="58"/>
      <c r="S1036" s="87" t="str">
        <f t="shared" si="76"/>
        <v/>
      </c>
      <c r="T1036" s="54"/>
      <c r="U1036" s="54"/>
      <c r="V1036" s="54"/>
      <c r="W1036" s="54"/>
      <c r="X1036" s="69" t="str">
        <f t="shared" si="75"/>
        <v>D</v>
      </c>
    </row>
    <row r="1037" spans="1:24" s="66" customFormat="1" x14ac:dyDescent="0.25">
      <c r="A1037" s="51"/>
      <c r="B1037" s="91" t="str">
        <f>IFERROR(VLOOKUP(A1037,Lookup!A:B,2,0),"")</f>
        <v/>
      </c>
      <c r="C1037" s="92" t="str">
        <f>IFERROR(VLOOKUP(A1037,Lookup!A:C,3,0),"")</f>
        <v/>
      </c>
      <c r="D1037" s="54"/>
      <c r="E1037" s="54"/>
      <c r="F1037" s="54"/>
      <c r="G1037" s="72"/>
      <c r="H1037" s="54"/>
      <c r="I1037" s="54"/>
      <c r="J1037" s="106">
        <f>VLOOKUP(A1037&amp;G1037,Lookup!J:N,5,0)</f>
        <v>0</v>
      </c>
      <c r="K1037" s="115"/>
      <c r="L1037" s="54"/>
      <c r="M1037" s="54"/>
      <c r="N1037" s="54"/>
      <c r="O1037" s="112">
        <v>42.9340277777778</v>
      </c>
      <c r="P1037" s="110" t="str">
        <f t="shared" si="74"/>
        <v/>
      </c>
      <c r="Q1037" s="54"/>
      <c r="R1037" s="58"/>
      <c r="S1037" s="87" t="str">
        <f t="shared" si="76"/>
        <v/>
      </c>
      <c r="T1037" s="54"/>
      <c r="U1037" s="54"/>
      <c r="V1037" s="54"/>
      <c r="W1037" s="54"/>
      <c r="X1037" s="69" t="str">
        <f t="shared" si="75"/>
        <v>D</v>
      </c>
    </row>
    <row r="1038" spans="1:24" s="66" customFormat="1" x14ac:dyDescent="0.25">
      <c r="A1038" s="51"/>
      <c r="B1038" s="91" t="str">
        <f>IFERROR(VLOOKUP(A1038,Lookup!A:B,2,0),"")</f>
        <v/>
      </c>
      <c r="C1038" s="92" t="str">
        <f>IFERROR(VLOOKUP(A1038,Lookup!A:C,3,0),"")</f>
        <v/>
      </c>
      <c r="D1038" s="54"/>
      <c r="E1038" s="54"/>
      <c r="F1038" s="54"/>
      <c r="G1038" s="72"/>
      <c r="H1038" s="54"/>
      <c r="I1038" s="54"/>
      <c r="J1038" s="106">
        <f>VLOOKUP(A1038&amp;G1038,Lookup!J:N,5,0)</f>
        <v>0</v>
      </c>
      <c r="K1038" s="115"/>
      <c r="L1038" s="54"/>
      <c r="M1038" s="54"/>
      <c r="N1038" s="54"/>
      <c r="O1038" s="112">
        <v>42.9756944444444</v>
      </c>
      <c r="P1038" s="110" t="str">
        <f t="shared" si="74"/>
        <v/>
      </c>
      <c r="Q1038" s="54"/>
      <c r="R1038" s="58"/>
      <c r="S1038" s="87" t="str">
        <f t="shared" si="76"/>
        <v/>
      </c>
      <c r="T1038" s="54"/>
      <c r="U1038" s="54"/>
      <c r="V1038" s="54"/>
      <c r="W1038" s="54"/>
      <c r="X1038" s="69" t="str">
        <f t="shared" si="75"/>
        <v>D</v>
      </c>
    </row>
    <row r="1039" spans="1:24" s="66" customFormat="1" x14ac:dyDescent="0.25">
      <c r="A1039" s="51"/>
      <c r="B1039" s="91" t="str">
        <f>IFERROR(VLOOKUP(A1039,Lookup!A:B,2,0),"")</f>
        <v/>
      </c>
      <c r="C1039" s="92" t="str">
        <f>IFERROR(VLOOKUP(A1039,Lookup!A:C,3,0),"")</f>
        <v/>
      </c>
      <c r="D1039" s="54"/>
      <c r="E1039" s="54"/>
      <c r="F1039" s="54"/>
      <c r="G1039" s="72"/>
      <c r="H1039" s="54"/>
      <c r="I1039" s="54"/>
      <c r="J1039" s="106">
        <f>VLOOKUP(A1039&amp;G1039,Lookup!J:N,5,0)</f>
        <v>0</v>
      </c>
      <c r="K1039" s="115"/>
      <c r="L1039" s="54"/>
      <c r="M1039" s="54"/>
      <c r="N1039" s="54"/>
      <c r="O1039" s="112">
        <v>43.0173611111111</v>
      </c>
      <c r="P1039" s="110" t="str">
        <f t="shared" si="74"/>
        <v/>
      </c>
      <c r="Q1039" s="54"/>
      <c r="R1039" s="58"/>
      <c r="S1039" s="87" t="str">
        <f t="shared" si="76"/>
        <v/>
      </c>
      <c r="T1039" s="54"/>
      <c r="U1039" s="54"/>
      <c r="V1039" s="54"/>
      <c r="W1039" s="54"/>
      <c r="X1039" s="69" t="str">
        <f t="shared" si="75"/>
        <v>D</v>
      </c>
    </row>
    <row r="1040" spans="1:24" s="66" customFormat="1" x14ac:dyDescent="0.25">
      <c r="A1040" s="51"/>
      <c r="B1040" s="91" t="str">
        <f>IFERROR(VLOOKUP(A1040,Lookup!A:B,2,0),"")</f>
        <v/>
      </c>
      <c r="C1040" s="92" t="str">
        <f>IFERROR(VLOOKUP(A1040,Lookup!A:C,3,0),"")</f>
        <v/>
      </c>
      <c r="D1040" s="54"/>
      <c r="E1040" s="54"/>
      <c r="F1040" s="54"/>
      <c r="G1040" s="72"/>
      <c r="H1040" s="54"/>
      <c r="I1040" s="54"/>
      <c r="J1040" s="106">
        <f>VLOOKUP(A1040&amp;G1040,Lookup!J:N,5,0)</f>
        <v>0</v>
      </c>
      <c r="K1040" s="115"/>
      <c r="L1040" s="54"/>
      <c r="M1040" s="54"/>
      <c r="N1040" s="54"/>
      <c r="O1040" s="112">
        <v>43.0590277777778</v>
      </c>
      <c r="P1040" s="110" t="str">
        <f t="shared" si="74"/>
        <v/>
      </c>
      <c r="Q1040" s="54"/>
      <c r="R1040" s="58"/>
      <c r="S1040" s="87" t="str">
        <f t="shared" si="76"/>
        <v/>
      </c>
      <c r="T1040" s="54"/>
      <c r="U1040" s="54"/>
      <c r="V1040" s="54"/>
      <c r="W1040" s="54"/>
      <c r="X1040" s="69" t="str">
        <f t="shared" si="75"/>
        <v>D</v>
      </c>
    </row>
    <row r="1041" spans="1:24" s="66" customFormat="1" x14ac:dyDescent="0.25">
      <c r="A1041" s="51"/>
      <c r="B1041" s="91" t="str">
        <f>IFERROR(VLOOKUP(A1041,Lookup!A:B,2,0),"")</f>
        <v/>
      </c>
      <c r="C1041" s="92" t="str">
        <f>IFERROR(VLOOKUP(A1041,Lookup!A:C,3,0),"")</f>
        <v/>
      </c>
      <c r="D1041" s="54"/>
      <c r="E1041" s="54"/>
      <c r="F1041" s="54"/>
      <c r="G1041" s="72"/>
      <c r="H1041" s="54"/>
      <c r="I1041" s="54"/>
      <c r="J1041" s="106">
        <f>VLOOKUP(A1041&amp;G1041,Lookup!J:N,5,0)</f>
        <v>0</v>
      </c>
      <c r="K1041" s="115"/>
      <c r="L1041" s="54"/>
      <c r="M1041" s="54"/>
      <c r="N1041" s="54"/>
      <c r="O1041" s="112">
        <v>43.1006944444444</v>
      </c>
      <c r="P1041" s="110" t="str">
        <f t="shared" si="74"/>
        <v/>
      </c>
      <c r="Q1041" s="54"/>
      <c r="R1041" s="58"/>
      <c r="S1041" s="87" t="str">
        <f t="shared" si="76"/>
        <v/>
      </c>
      <c r="T1041" s="54"/>
      <c r="U1041" s="54"/>
      <c r="V1041" s="54"/>
      <c r="W1041" s="54"/>
      <c r="X1041" s="69" t="str">
        <f t="shared" si="75"/>
        <v>D</v>
      </c>
    </row>
    <row r="1042" spans="1:24" s="66" customFormat="1" x14ac:dyDescent="0.25">
      <c r="A1042" s="51"/>
      <c r="B1042" s="91" t="str">
        <f>IFERROR(VLOOKUP(A1042,Lookup!A:B,2,0),"")</f>
        <v/>
      </c>
      <c r="C1042" s="92" t="str">
        <f>IFERROR(VLOOKUP(A1042,Lookup!A:C,3,0),"")</f>
        <v/>
      </c>
      <c r="D1042" s="54"/>
      <c r="E1042" s="54"/>
      <c r="F1042" s="54"/>
      <c r="G1042" s="72"/>
      <c r="H1042" s="54"/>
      <c r="I1042" s="54"/>
      <c r="J1042" s="106">
        <f>VLOOKUP(A1042&amp;G1042,Lookup!J:N,5,0)</f>
        <v>0</v>
      </c>
      <c r="K1042" s="115"/>
      <c r="L1042" s="54"/>
      <c r="M1042" s="54"/>
      <c r="N1042" s="54"/>
      <c r="O1042" s="112">
        <v>43.1423611111111</v>
      </c>
      <c r="P1042" s="110" t="str">
        <f t="shared" si="74"/>
        <v/>
      </c>
      <c r="Q1042" s="54"/>
      <c r="R1042" s="58"/>
      <c r="S1042" s="87" t="str">
        <f t="shared" si="76"/>
        <v/>
      </c>
      <c r="T1042" s="54"/>
      <c r="U1042" s="54"/>
      <c r="V1042" s="54"/>
      <c r="W1042" s="54"/>
      <c r="X1042" s="69" t="str">
        <f t="shared" si="75"/>
        <v>D</v>
      </c>
    </row>
    <row r="1043" spans="1:24" s="66" customFormat="1" x14ac:dyDescent="0.25">
      <c r="A1043" s="51"/>
      <c r="B1043" s="91" t="str">
        <f>IFERROR(VLOOKUP(A1043,Lookup!A:B,2,0),"")</f>
        <v/>
      </c>
      <c r="C1043" s="92" t="str">
        <f>IFERROR(VLOOKUP(A1043,Lookup!A:C,3,0),"")</f>
        <v/>
      </c>
      <c r="D1043" s="54"/>
      <c r="E1043" s="54"/>
      <c r="F1043" s="54"/>
      <c r="G1043" s="72"/>
      <c r="H1043" s="54"/>
      <c r="I1043" s="54"/>
      <c r="J1043" s="106">
        <f>VLOOKUP(A1043&amp;G1043,Lookup!J:N,5,0)</f>
        <v>0</v>
      </c>
      <c r="K1043" s="115"/>
      <c r="L1043" s="54"/>
      <c r="M1043" s="54"/>
      <c r="N1043" s="54"/>
      <c r="O1043" s="112">
        <v>43.1840277777778</v>
      </c>
      <c r="P1043" s="110" t="str">
        <f t="shared" si="74"/>
        <v/>
      </c>
      <c r="Q1043" s="54"/>
      <c r="R1043" s="58"/>
      <c r="S1043" s="87" t="str">
        <f t="shared" si="76"/>
        <v/>
      </c>
      <c r="T1043" s="54"/>
      <c r="U1043" s="54"/>
      <c r="V1043" s="54"/>
      <c r="W1043" s="54"/>
      <c r="X1043" s="69" t="str">
        <f t="shared" si="75"/>
        <v>D</v>
      </c>
    </row>
    <row r="1044" spans="1:24" s="66" customFormat="1" x14ac:dyDescent="0.25">
      <c r="A1044" s="51"/>
      <c r="B1044" s="91" t="str">
        <f>IFERROR(VLOOKUP(A1044,Lookup!A:B,2,0),"")</f>
        <v/>
      </c>
      <c r="C1044" s="92" t="str">
        <f>IFERROR(VLOOKUP(A1044,Lookup!A:C,3,0),"")</f>
        <v/>
      </c>
      <c r="D1044" s="54"/>
      <c r="E1044" s="54"/>
      <c r="F1044" s="54"/>
      <c r="G1044" s="72"/>
      <c r="H1044" s="54"/>
      <c r="I1044" s="54"/>
      <c r="J1044" s="106">
        <f>VLOOKUP(A1044&amp;G1044,Lookup!J:N,5,0)</f>
        <v>0</v>
      </c>
      <c r="K1044" s="115"/>
      <c r="L1044" s="54"/>
      <c r="M1044" s="54"/>
      <c r="N1044" s="54"/>
      <c r="O1044" s="112">
        <v>43.2256944444444</v>
      </c>
      <c r="P1044" s="110" t="str">
        <f t="shared" si="74"/>
        <v/>
      </c>
      <c r="Q1044" s="54"/>
      <c r="R1044" s="58"/>
      <c r="S1044" s="87" t="str">
        <f t="shared" si="76"/>
        <v/>
      </c>
      <c r="T1044" s="54"/>
      <c r="U1044" s="54"/>
      <c r="V1044" s="54"/>
      <c r="W1044" s="54"/>
      <c r="X1044" s="69" t="str">
        <f t="shared" si="75"/>
        <v>D</v>
      </c>
    </row>
    <row r="1045" spans="1:24" s="66" customFormat="1" x14ac:dyDescent="0.25">
      <c r="A1045" s="51"/>
      <c r="B1045" s="91" t="str">
        <f>IFERROR(VLOOKUP(A1045,Lookup!A:B,2,0),"")</f>
        <v/>
      </c>
      <c r="C1045" s="92" t="str">
        <f>IFERROR(VLOOKUP(A1045,Lookup!A:C,3,0),"")</f>
        <v/>
      </c>
      <c r="D1045" s="54"/>
      <c r="E1045" s="54"/>
      <c r="F1045" s="54"/>
      <c r="G1045" s="72"/>
      <c r="H1045" s="54"/>
      <c r="I1045" s="54"/>
      <c r="J1045" s="106">
        <f>VLOOKUP(A1045&amp;G1045,Lookup!J:N,5,0)</f>
        <v>0</v>
      </c>
      <c r="K1045" s="115"/>
      <c r="L1045" s="54"/>
      <c r="M1045" s="54"/>
      <c r="N1045" s="54"/>
      <c r="O1045" s="112">
        <v>43.2673611111111</v>
      </c>
      <c r="P1045" s="110" t="str">
        <f t="shared" si="74"/>
        <v/>
      </c>
      <c r="Q1045" s="54"/>
      <c r="R1045" s="58"/>
      <c r="S1045" s="87" t="str">
        <f t="shared" si="76"/>
        <v/>
      </c>
      <c r="T1045" s="54"/>
      <c r="U1045" s="54"/>
      <c r="V1045" s="54"/>
      <c r="W1045" s="54"/>
      <c r="X1045" s="69" t="str">
        <f t="shared" si="75"/>
        <v>D</v>
      </c>
    </row>
    <row r="1046" spans="1:24" s="66" customFormat="1" x14ac:dyDescent="0.25">
      <c r="A1046" s="51"/>
      <c r="B1046" s="91" t="str">
        <f>IFERROR(VLOOKUP(A1046,Lookup!A:B,2,0),"")</f>
        <v/>
      </c>
      <c r="C1046" s="92" t="str">
        <f>IFERROR(VLOOKUP(A1046,Lookup!A:C,3,0),"")</f>
        <v/>
      </c>
      <c r="D1046" s="54"/>
      <c r="E1046" s="54"/>
      <c r="F1046" s="54"/>
      <c r="G1046" s="72"/>
      <c r="H1046" s="54"/>
      <c r="I1046" s="54"/>
      <c r="J1046" s="106">
        <f>VLOOKUP(A1046&amp;G1046,Lookup!J:N,5,0)</f>
        <v>0</v>
      </c>
      <c r="K1046" s="115"/>
      <c r="L1046" s="54"/>
      <c r="M1046" s="54"/>
      <c r="N1046" s="54"/>
      <c r="O1046" s="112">
        <v>43.3090277777778</v>
      </c>
      <c r="P1046" s="110" t="str">
        <f t="shared" si="74"/>
        <v/>
      </c>
      <c r="Q1046" s="54"/>
      <c r="R1046" s="58"/>
      <c r="S1046" s="87" t="str">
        <f t="shared" si="76"/>
        <v/>
      </c>
      <c r="T1046" s="54"/>
      <c r="U1046" s="54"/>
      <c r="V1046" s="54"/>
      <c r="W1046" s="54"/>
      <c r="X1046" s="69" t="str">
        <f t="shared" si="75"/>
        <v>D</v>
      </c>
    </row>
    <row r="1047" spans="1:24" s="66" customFormat="1" x14ac:dyDescent="0.25">
      <c r="A1047" s="51"/>
      <c r="B1047" s="91" t="str">
        <f>IFERROR(VLOOKUP(A1047,Lookup!A:B,2,0),"")</f>
        <v/>
      </c>
      <c r="C1047" s="92" t="str">
        <f>IFERROR(VLOOKUP(A1047,Lookup!A:C,3,0),"")</f>
        <v/>
      </c>
      <c r="D1047" s="54"/>
      <c r="E1047" s="54"/>
      <c r="F1047" s="54"/>
      <c r="G1047" s="72"/>
      <c r="H1047" s="54"/>
      <c r="I1047" s="54"/>
      <c r="J1047" s="106">
        <f>VLOOKUP(A1047&amp;G1047,Lookup!J:N,5,0)</f>
        <v>0</v>
      </c>
      <c r="K1047" s="115"/>
      <c r="L1047" s="54"/>
      <c r="M1047" s="54"/>
      <c r="N1047" s="54"/>
      <c r="O1047" s="112">
        <v>43.3506944444444</v>
      </c>
      <c r="P1047" s="110" t="str">
        <f t="shared" si="74"/>
        <v/>
      </c>
      <c r="Q1047" s="54"/>
      <c r="R1047" s="58"/>
      <c r="S1047" s="87" t="str">
        <f t="shared" si="76"/>
        <v/>
      </c>
      <c r="T1047" s="54"/>
      <c r="U1047" s="54"/>
      <c r="V1047" s="54"/>
      <c r="W1047" s="54"/>
      <c r="X1047" s="69" t="str">
        <f t="shared" si="75"/>
        <v>D</v>
      </c>
    </row>
    <row r="1048" spans="1:24" s="66" customFormat="1" x14ac:dyDescent="0.25">
      <c r="A1048" s="51"/>
      <c r="B1048" s="91" t="str">
        <f>IFERROR(VLOOKUP(A1048,Lookup!A:B,2,0),"")</f>
        <v/>
      </c>
      <c r="C1048" s="92" t="str">
        <f>IFERROR(VLOOKUP(A1048,Lookup!A:C,3,0),"")</f>
        <v/>
      </c>
      <c r="D1048" s="54"/>
      <c r="E1048" s="54"/>
      <c r="F1048" s="54"/>
      <c r="G1048" s="72"/>
      <c r="H1048" s="54"/>
      <c r="I1048" s="54"/>
      <c r="J1048" s="106">
        <f>VLOOKUP(A1048&amp;G1048,Lookup!J:N,5,0)</f>
        <v>0</v>
      </c>
      <c r="K1048" s="115"/>
      <c r="L1048" s="54"/>
      <c r="M1048" s="54"/>
      <c r="N1048" s="54"/>
      <c r="O1048" s="112">
        <v>43.3923611111111</v>
      </c>
      <c r="P1048" s="110" t="str">
        <f t="shared" si="74"/>
        <v/>
      </c>
      <c r="Q1048" s="54"/>
      <c r="R1048" s="58"/>
      <c r="S1048" s="87" t="str">
        <f t="shared" si="76"/>
        <v/>
      </c>
      <c r="T1048" s="54"/>
      <c r="U1048" s="54"/>
      <c r="V1048" s="54"/>
      <c r="W1048" s="54"/>
      <c r="X1048" s="69" t="str">
        <f t="shared" si="75"/>
        <v>D</v>
      </c>
    </row>
    <row r="1049" spans="1:24" s="66" customFormat="1" x14ac:dyDescent="0.25">
      <c r="A1049" s="51"/>
      <c r="B1049" s="91" t="str">
        <f>IFERROR(VLOOKUP(A1049,Lookup!A:B,2,0),"")</f>
        <v/>
      </c>
      <c r="C1049" s="92" t="str">
        <f>IFERROR(VLOOKUP(A1049,Lookup!A:C,3,0),"")</f>
        <v/>
      </c>
      <c r="D1049" s="54"/>
      <c r="E1049" s="54"/>
      <c r="F1049" s="54"/>
      <c r="G1049" s="72"/>
      <c r="H1049" s="54"/>
      <c r="I1049" s="54"/>
      <c r="J1049" s="106">
        <f>VLOOKUP(A1049&amp;G1049,Lookup!J:N,5,0)</f>
        <v>0</v>
      </c>
      <c r="K1049" s="115"/>
      <c r="L1049" s="54"/>
      <c r="M1049" s="54"/>
      <c r="N1049" s="54"/>
      <c r="O1049" s="112">
        <v>43.4340277777778</v>
      </c>
      <c r="P1049" s="110" t="str">
        <f t="shared" si="74"/>
        <v/>
      </c>
      <c r="Q1049" s="54"/>
      <c r="R1049" s="58"/>
      <c r="S1049" s="87" t="str">
        <f t="shared" si="76"/>
        <v/>
      </c>
      <c r="T1049" s="54"/>
      <c r="U1049" s="54"/>
      <c r="V1049" s="54"/>
      <c r="W1049" s="54"/>
      <c r="X1049" s="69" t="str">
        <f t="shared" si="75"/>
        <v>D</v>
      </c>
    </row>
    <row r="1050" spans="1:24" s="66" customFormat="1" x14ac:dyDescent="0.25">
      <c r="A1050" s="51"/>
      <c r="B1050" s="91" t="str">
        <f>IFERROR(VLOOKUP(A1050,Lookup!A:B,2,0),"")</f>
        <v/>
      </c>
      <c r="C1050" s="92" t="str">
        <f>IFERROR(VLOOKUP(A1050,Lookup!A:C,3,0),"")</f>
        <v/>
      </c>
      <c r="D1050" s="54"/>
      <c r="E1050" s="54"/>
      <c r="F1050" s="54"/>
      <c r="G1050" s="72"/>
      <c r="H1050" s="54"/>
      <c r="I1050" s="54"/>
      <c r="J1050" s="106">
        <f>VLOOKUP(A1050&amp;G1050,Lookup!J:N,5,0)</f>
        <v>0</v>
      </c>
      <c r="K1050" s="115"/>
      <c r="L1050" s="54"/>
      <c r="M1050" s="54"/>
      <c r="N1050" s="54"/>
      <c r="O1050" s="112">
        <v>43.4756944444444</v>
      </c>
      <c r="P1050" s="110" t="str">
        <f t="shared" si="74"/>
        <v/>
      </c>
      <c r="Q1050" s="54"/>
      <c r="R1050" s="58"/>
      <c r="S1050" s="87" t="str">
        <f t="shared" si="76"/>
        <v/>
      </c>
      <c r="T1050" s="54"/>
      <c r="U1050" s="54"/>
      <c r="V1050" s="54"/>
      <c r="W1050" s="54"/>
      <c r="X1050" s="69" t="str">
        <f t="shared" si="75"/>
        <v>D</v>
      </c>
    </row>
    <row r="1051" spans="1:24" s="66" customFormat="1" x14ac:dyDescent="0.25">
      <c r="A1051" s="51"/>
      <c r="B1051" s="91" t="str">
        <f>IFERROR(VLOOKUP(A1051,Lookup!A:B,2,0),"")</f>
        <v/>
      </c>
      <c r="C1051" s="92" t="str">
        <f>IFERROR(VLOOKUP(A1051,Lookup!A:C,3,0),"")</f>
        <v/>
      </c>
      <c r="D1051" s="54"/>
      <c r="E1051" s="54"/>
      <c r="F1051" s="54"/>
      <c r="G1051" s="72"/>
      <c r="H1051" s="54"/>
      <c r="I1051" s="54"/>
      <c r="J1051" s="106">
        <f>VLOOKUP(A1051&amp;G1051,Lookup!J:N,5,0)</f>
        <v>0</v>
      </c>
      <c r="K1051" s="115"/>
      <c r="L1051" s="54"/>
      <c r="M1051" s="54"/>
      <c r="N1051" s="54"/>
      <c r="O1051" s="112">
        <v>43.5173611111111</v>
      </c>
      <c r="P1051" s="110" t="str">
        <f t="shared" si="74"/>
        <v/>
      </c>
      <c r="Q1051" s="54"/>
      <c r="R1051" s="58"/>
      <c r="S1051" s="87" t="str">
        <f t="shared" si="76"/>
        <v/>
      </c>
      <c r="T1051" s="54"/>
      <c r="U1051" s="54"/>
      <c r="V1051" s="54"/>
      <c r="W1051" s="54"/>
      <c r="X1051" s="69" t="str">
        <f t="shared" si="75"/>
        <v>D</v>
      </c>
    </row>
    <row r="1052" spans="1:24" s="66" customFormat="1" x14ac:dyDescent="0.25">
      <c r="A1052" s="51"/>
      <c r="B1052" s="91" t="str">
        <f>IFERROR(VLOOKUP(A1052,Lookup!A:B,2,0),"")</f>
        <v/>
      </c>
      <c r="C1052" s="92" t="str">
        <f>IFERROR(VLOOKUP(A1052,Lookup!A:C,3,0),"")</f>
        <v/>
      </c>
      <c r="D1052" s="54"/>
      <c r="E1052" s="54"/>
      <c r="F1052" s="54"/>
      <c r="G1052" s="72"/>
      <c r="H1052" s="54"/>
      <c r="I1052" s="54"/>
      <c r="J1052" s="106">
        <f>VLOOKUP(A1052&amp;G1052,Lookup!J:N,5,0)</f>
        <v>0</v>
      </c>
      <c r="K1052" s="115"/>
      <c r="L1052" s="54"/>
      <c r="M1052" s="54"/>
      <c r="N1052" s="54"/>
      <c r="O1052" s="112">
        <v>43.5590277777778</v>
      </c>
      <c r="P1052" s="110" t="str">
        <f t="shared" si="74"/>
        <v/>
      </c>
      <c r="Q1052" s="54"/>
      <c r="R1052" s="58"/>
      <c r="S1052" s="87" t="str">
        <f t="shared" si="76"/>
        <v/>
      </c>
      <c r="T1052" s="54"/>
      <c r="U1052" s="54"/>
      <c r="V1052" s="54"/>
      <c r="W1052" s="54"/>
      <c r="X1052" s="69" t="str">
        <f t="shared" si="75"/>
        <v>D</v>
      </c>
    </row>
    <row r="1053" spans="1:24" s="66" customFormat="1" x14ac:dyDescent="0.25">
      <c r="A1053" s="51"/>
      <c r="B1053" s="91" t="str">
        <f>IFERROR(VLOOKUP(A1053,Lookup!A:B,2,0),"")</f>
        <v/>
      </c>
      <c r="C1053" s="92" t="str">
        <f>IFERROR(VLOOKUP(A1053,Lookup!A:C,3,0),"")</f>
        <v/>
      </c>
      <c r="D1053" s="54"/>
      <c r="E1053" s="54"/>
      <c r="F1053" s="54"/>
      <c r="G1053" s="72"/>
      <c r="H1053" s="54"/>
      <c r="I1053" s="54"/>
      <c r="J1053" s="106">
        <f>VLOOKUP(A1053&amp;G1053,Lookup!J:N,5,0)</f>
        <v>0</v>
      </c>
      <c r="K1053" s="115"/>
      <c r="L1053" s="54"/>
      <c r="M1053" s="54"/>
      <c r="N1053" s="54"/>
      <c r="O1053" s="112">
        <v>43.6006944444444</v>
      </c>
      <c r="P1053" s="110" t="str">
        <f t="shared" si="74"/>
        <v/>
      </c>
      <c r="Q1053" s="54"/>
      <c r="R1053" s="58"/>
      <c r="S1053" s="87" t="str">
        <f t="shared" si="76"/>
        <v/>
      </c>
      <c r="T1053" s="54"/>
      <c r="U1053" s="54"/>
      <c r="V1053" s="54"/>
      <c r="W1053" s="54"/>
      <c r="X1053" s="69" t="str">
        <f t="shared" si="75"/>
        <v>D</v>
      </c>
    </row>
    <row r="1054" spans="1:24" s="66" customFormat="1" x14ac:dyDescent="0.25">
      <c r="A1054" s="51"/>
      <c r="B1054" s="91" t="str">
        <f>IFERROR(VLOOKUP(A1054,Lookup!A:B,2,0),"")</f>
        <v/>
      </c>
      <c r="C1054" s="92" t="str">
        <f>IFERROR(VLOOKUP(A1054,Lookup!A:C,3,0),"")</f>
        <v/>
      </c>
      <c r="D1054" s="54"/>
      <c r="E1054" s="54"/>
      <c r="F1054" s="54"/>
      <c r="G1054" s="72"/>
      <c r="H1054" s="54"/>
      <c r="I1054" s="54"/>
      <c r="J1054" s="106">
        <f>VLOOKUP(A1054&amp;G1054,Lookup!J:N,5,0)</f>
        <v>0</v>
      </c>
      <c r="K1054" s="115"/>
      <c r="L1054" s="54"/>
      <c r="M1054" s="54"/>
      <c r="N1054" s="54"/>
      <c r="O1054" s="112">
        <v>43.6423611111111</v>
      </c>
      <c r="P1054" s="110" t="str">
        <f t="shared" si="74"/>
        <v/>
      </c>
      <c r="Q1054" s="54"/>
      <c r="R1054" s="58"/>
      <c r="S1054" s="87" t="str">
        <f t="shared" si="76"/>
        <v/>
      </c>
      <c r="T1054" s="54"/>
      <c r="U1054" s="54"/>
      <c r="V1054" s="54"/>
      <c r="W1054" s="54"/>
      <c r="X1054" s="69" t="str">
        <f t="shared" si="75"/>
        <v>D</v>
      </c>
    </row>
    <row r="1055" spans="1:24" s="66" customFormat="1" x14ac:dyDescent="0.25">
      <c r="A1055" s="51"/>
      <c r="B1055" s="91" t="str">
        <f>IFERROR(VLOOKUP(A1055,Lookup!A:B,2,0),"")</f>
        <v/>
      </c>
      <c r="C1055" s="92" t="str">
        <f>IFERROR(VLOOKUP(A1055,Lookup!A:C,3,0),"")</f>
        <v/>
      </c>
      <c r="D1055" s="54"/>
      <c r="E1055" s="54"/>
      <c r="F1055" s="54"/>
      <c r="G1055" s="72"/>
      <c r="H1055" s="54"/>
      <c r="I1055" s="54"/>
      <c r="J1055" s="106">
        <f>VLOOKUP(A1055&amp;G1055,Lookup!J:N,5,0)</f>
        <v>0</v>
      </c>
      <c r="K1055" s="115"/>
      <c r="L1055" s="54"/>
      <c r="M1055" s="54"/>
      <c r="N1055" s="54"/>
      <c r="O1055" s="112">
        <v>43.6840277777778</v>
      </c>
      <c r="P1055" s="110" t="str">
        <f t="shared" si="74"/>
        <v/>
      </c>
      <c r="Q1055" s="54"/>
      <c r="R1055" s="58"/>
      <c r="S1055" s="87" t="str">
        <f t="shared" si="76"/>
        <v/>
      </c>
      <c r="T1055" s="54"/>
      <c r="U1055" s="54"/>
      <c r="V1055" s="54"/>
      <c r="W1055" s="54"/>
      <c r="X1055" s="69" t="str">
        <f t="shared" si="75"/>
        <v>D</v>
      </c>
    </row>
    <row r="1056" spans="1:24" s="66" customFormat="1" x14ac:dyDescent="0.25">
      <c r="A1056" s="51"/>
      <c r="B1056" s="91" t="str">
        <f>IFERROR(VLOOKUP(A1056,Lookup!A:B,2,0),"")</f>
        <v/>
      </c>
      <c r="C1056" s="92" t="str">
        <f>IFERROR(VLOOKUP(A1056,Lookup!A:C,3,0),"")</f>
        <v/>
      </c>
      <c r="D1056" s="54"/>
      <c r="E1056" s="54"/>
      <c r="F1056" s="54"/>
      <c r="G1056" s="72"/>
      <c r="H1056" s="54"/>
      <c r="I1056" s="54"/>
      <c r="J1056" s="106">
        <f>VLOOKUP(A1056&amp;G1056,Lookup!J:N,5,0)</f>
        <v>0</v>
      </c>
      <c r="K1056" s="115"/>
      <c r="L1056" s="54"/>
      <c r="M1056" s="54"/>
      <c r="N1056" s="54"/>
      <c r="O1056" s="112">
        <v>43.7256944444444</v>
      </c>
      <c r="P1056" s="110" t="str">
        <f t="shared" si="74"/>
        <v/>
      </c>
      <c r="Q1056" s="54"/>
      <c r="R1056" s="58"/>
      <c r="S1056" s="87" t="str">
        <f t="shared" si="76"/>
        <v/>
      </c>
      <c r="T1056" s="54"/>
      <c r="U1056" s="54"/>
      <c r="V1056" s="54"/>
      <c r="W1056" s="54"/>
      <c r="X1056" s="69" t="str">
        <f t="shared" si="75"/>
        <v>D</v>
      </c>
    </row>
    <row r="1057" spans="1:24" s="66" customFormat="1" x14ac:dyDescent="0.25">
      <c r="A1057" s="51"/>
      <c r="B1057" s="91" t="str">
        <f>IFERROR(VLOOKUP(A1057,Lookup!A:B,2,0),"")</f>
        <v/>
      </c>
      <c r="C1057" s="92" t="str">
        <f>IFERROR(VLOOKUP(A1057,Lookup!A:C,3,0),"")</f>
        <v/>
      </c>
      <c r="D1057" s="54"/>
      <c r="E1057" s="54"/>
      <c r="F1057" s="54"/>
      <c r="G1057" s="72"/>
      <c r="H1057" s="54"/>
      <c r="I1057" s="54"/>
      <c r="J1057" s="106">
        <f>VLOOKUP(A1057&amp;G1057,Lookup!J:N,5,0)</f>
        <v>0</v>
      </c>
      <c r="K1057" s="115"/>
      <c r="L1057" s="54"/>
      <c r="M1057" s="54"/>
      <c r="N1057" s="54"/>
      <c r="O1057" s="112">
        <v>43.7673611111111</v>
      </c>
      <c r="P1057" s="110" t="str">
        <f t="shared" si="74"/>
        <v/>
      </c>
      <c r="Q1057" s="54"/>
      <c r="R1057" s="58"/>
      <c r="S1057" s="87" t="str">
        <f t="shared" si="76"/>
        <v/>
      </c>
      <c r="T1057" s="54"/>
      <c r="U1057" s="54"/>
      <c r="V1057" s="54"/>
      <c r="W1057" s="54"/>
      <c r="X1057" s="69" t="str">
        <f t="shared" si="75"/>
        <v>D</v>
      </c>
    </row>
    <row r="1058" spans="1:24" s="66" customFormat="1" x14ac:dyDescent="0.25">
      <c r="A1058" s="51"/>
      <c r="B1058" s="91" t="str">
        <f>IFERROR(VLOOKUP(A1058,Lookup!A:B,2,0),"")</f>
        <v/>
      </c>
      <c r="C1058" s="92" t="str">
        <f>IFERROR(VLOOKUP(A1058,Lookup!A:C,3,0),"")</f>
        <v/>
      </c>
      <c r="D1058" s="54"/>
      <c r="E1058" s="54"/>
      <c r="F1058" s="54"/>
      <c r="G1058" s="72"/>
      <c r="H1058" s="54"/>
      <c r="I1058" s="54"/>
      <c r="J1058" s="106">
        <f>VLOOKUP(A1058&amp;G1058,Lookup!J:N,5,0)</f>
        <v>0</v>
      </c>
      <c r="K1058" s="115"/>
      <c r="L1058" s="54"/>
      <c r="M1058" s="54"/>
      <c r="N1058" s="54"/>
      <c r="O1058" s="112">
        <v>43.8090277777778</v>
      </c>
      <c r="P1058" s="110" t="str">
        <f t="shared" si="74"/>
        <v/>
      </c>
      <c r="Q1058" s="54"/>
      <c r="R1058" s="58"/>
      <c r="S1058" s="87" t="str">
        <f t="shared" si="76"/>
        <v/>
      </c>
      <c r="T1058" s="54"/>
      <c r="U1058" s="54"/>
      <c r="V1058" s="54"/>
      <c r="W1058" s="54"/>
      <c r="X1058" s="69" t="str">
        <f t="shared" si="75"/>
        <v>D</v>
      </c>
    </row>
    <row r="1059" spans="1:24" s="66" customFormat="1" x14ac:dyDescent="0.25">
      <c r="A1059" s="51"/>
      <c r="B1059" s="91" t="str">
        <f>IFERROR(VLOOKUP(A1059,Lookup!A:B,2,0),"")</f>
        <v/>
      </c>
      <c r="C1059" s="92" t="str">
        <f>IFERROR(VLOOKUP(A1059,Lookup!A:C,3,0),"")</f>
        <v/>
      </c>
      <c r="D1059" s="54"/>
      <c r="E1059" s="54"/>
      <c r="F1059" s="54"/>
      <c r="G1059" s="72"/>
      <c r="H1059" s="54"/>
      <c r="I1059" s="54"/>
      <c r="J1059" s="106">
        <f>VLOOKUP(A1059&amp;G1059,Lookup!J:N,5,0)</f>
        <v>0</v>
      </c>
      <c r="K1059" s="115"/>
      <c r="L1059" s="54"/>
      <c r="M1059" s="54"/>
      <c r="N1059" s="54"/>
      <c r="O1059" s="112">
        <v>43.8506944444444</v>
      </c>
      <c r="P1059" s="110" t="str">
        <f t="shared" si="74"/>
        <v/>
      </c>
      <c r="Q1059" s="54"/>
      <c r="R1059" s="58"/>
      <c r="S1059" s="87" t="str">
        <f t="shared" si="76"/>
        <v/>
      </c>
      <c r="T1059" s="54"/>
      <c r="U1059" s="54"/>
      <c r="V1059" s="54"/>
      <c r="W1059" s="54"/>
      <c r="X1059" s="69" t="str">
        <f t="shared" si="75"/>
        <v>D</v>
      </c>
    </row>
    <row r="1060" spans="1:24" s="66" customFormat="1" x14ac:dyDescent="0.25">
      <c r="A1060" s="51"/>
      <c r="B1060" s="91" t="str">
        <f>IFERROR(VLOOKUP(A1060,Lookup!A:B,2,0),"")</f>
        <v/>
      </c>
      <c r="C1060" s="92" t="str">
        <f>IFERROR(VLOOKUP(A1060,Lookup!A:C,3,0),"")</f>
        <v/>
      </c>
      <c r="D1060" s="54"/>
      <c r="E1060" s="54"/>
      <c r="F1060" s="54"/>
      <c r="G1060" s="72"/>
      <c r="H1060" s="54"/>
      <c r="I1060" s="54"/>
      <c r="J1060" s="106">
        <f>VLOOKUP(A1060&amp;G1060,Lookup!J:N,5,0)</f>
        <v>0</v>
      </c>
      <c r="K1060" s="115"/>
      <c r="L1060" s="54"/>
      <c r="M1060" s="54"/>
      <c r="N1060" s="54"/>
      <c r="O1060" s="112">
        <v>43.8923611111111</v>
      </c>
      <c r="P1060" s="110" t="str">
        <f t="shared" si="74"/>
        <v/>
      </c>
      <c r="Q1060" s="54"/>
      <c r="R1060" s="58"/>
      <c r="S1060" s="87" t="str">
        <f t="shared" si="76"/>
        <v/>
      </c>
      <c r="T1060" s="54"/>
      <c r="U1060" s="54"/>
      <c r="V1060" s="54"/>
      <c r="W1060" s="54"/>
      <c r="X1060" s="69" t="str">
        <f t="shared" si="75"/>
        <v>D</v>
      </c>
    </row>
    <row r="1061" spans="1:24" s="66" customFormat="1" x14ac:dyDescent="0.25">
      <c r="A1061" s="51"/>
      <c r="B1061" s="91" t="str">
        <f>IFERROR(VLOOKUP(A1061,Lookup!A:B,2,0),"")</f>
        <v/>
      </c>
      <c r="C1061" s="92" t="str">
        <f>IFERROR(VLOOKUP(A1061,Lookup!A:C,3,0),"")</f>
        <v/>
      </c>
      <c r="D1061" s="54"/>
      <c r="E1061" s="54"/>
      <c r="F1061" s="54"/>
      <c r="G1061" s="72"/>
      <c r="H1061" s="54"/>
      <c r="I1061" s="54"/>
      <c r="J1061" s="106">
        <f>VLOOKUP(A1061&amp;G1061,Lookup!J:N,5,0)</f>
        <v>0</v>
      </c>
      <c r="K1061" s="115"/>
      <c r="L1061" s="54"/>
      <c r="M1061" s="54"/>
      <c r="N1061" s="54"/>
      <c r="O1061" s="112">
        <v>43.9340277777778</v>
      </c>
      <c r="P1061" s="110" t="str">
        <f t="shared" si="74"/>
        <v/>
      </c>
      <c r="Q1061" s="54"/>
      <c r="R1061" s="58"/>
      <c r="S1061" s="87" t="str">
        <f t="shared" si="76"/>
        <v/>
      </c>
      <c r="T1061" s="54"/>
      <c r="U1061" s="54"/>
      <c r="V1061" s="54"/>
      <c r="W1061" s="54"/>
      <c r="X1061" s="69" t="str">
        <f t="shared" si="75"/>
        <v>D</v>
      </c>
    </row>
    <row r="1062" spans="1:24" s="66" customFormat="1" x14ac:dyDescent="0.25">
      <c r="A1062" s="51"/>
      <c r="B1062" s="91" t="str">
        <f>IFERROR(VLOOKUP(A1062,Lookup!A:B,2,0),"")</f>
        <v/>
      </c>
      <c r="C1062" s="92" t="str">
        <f>IFERROR(VLOOKUP(A1062,Lookup!A:C,3,0),"")</f>
        <v/>
      </c>
      <c r="D1062" s="54"/>
      <c r="E1062" s="54"/>
      <c r="F1062" s="54"/>
      <c r="G1062" s="72"/>
      <c r="H1062" s="54"/>
      <c r="I1062" s="54"/>
      <c r="J1062" s="106">
        <f>VLOOKUP(A1062&amp;G1062,Lookup!J:N,5,0)</f>
        <v>0</v>
      </c>
      <c r="K1062" s="115"/>
      <c r="L1062" s="54"/>
      <c r="M1062" s="54"/>
      <c r="N1062" s="54"/>
      <c r="O1062" s="112">
        <v>43.9756944444444</v>
      </c>
      <c r="P1062" s="110" t="str">
        <f t="shared" si="74"/>
        <v/>
      </c>
      <c r="Q1062" s="54"/>
      <c r="R1062" s="58"/>
      <c r="S1062" s="87" t="str">
        <f t="shared" si="76"/>
        <v/>
      </c>
      <c r="T1062" s="54"/>
      <c r="U1062" s="54"/>
      <c r="V1062" s="54"/>
      <c r="W1062" s="54"/>
      <c r="X1062" s="69" t="str">
        <f t="shared" si="75"/>
        <v>D</v>
      </c>
    </row>
    <row r="1063" spans="1:24" s="66" customFormat="1" x14ac:dyDescent="0.25">
      <c r="A1063" s="51"/>
      <c r="B1063" s="91" t="str">
        <f>IFERROR(VLOOKUP(A1063,Lookup!A:B,2,0),"")</f>
        <v/>
      </c>
      <c r="C1063" s="92" t="str">
        <f>IFERROR(VLOOKUP(A1063,Lookup!A:C,3,0),"")</f>
        <v/>
      </c>
      <c r="D1063" s="54"/>
      <c r="E1063" s="54"/>
      <c r="F1063" s="54"/>
      <c r="G1063" s="72"/>
      <c r="H1063" s="54"/>
      <c r="I1063" s="54"/>
      <c r="J1063" s="106">
        <f>VLOOKUP(A1063&amp;G1063,Lookup!J:N,5,0)</f>
        <v>0</v>
      </c>
      <c r="K1063" s="115"/>
      <c r="L1063" s="54"/>
      <c r="M1063" s="54"/>
      <c r="N1063" s="54"/>
      <c r="O1063" s="112">
        <v>44.0173611111111</v>
      </c>
      <c r="P1063" s="110" t="str">
        <f t="shared" si="74"/>
        <v/>
      </c>
      <c r="Q1063" s="54"/>
      <c r="R1063" s="58"/>
      <c r="S1063" s="87" t="str">
        <f t="shared" si="76"/>
        <v/>
      </c>
      <c r="T1063" s="54"/>
      <c r="U1063" s="54"/>
      <c r="V1063" s="54"/>
      <c r="W1063" s="54"/>
      <c r="X1063" s="69" t="str">
        <f t="shared" si="75"/>
        <v>D</v>
      </c>
    </row>
    <row r="1064" spans="1:24" s="66" customFormat="1" x14ac:dyDescent="0.25">
      <c r="A1064" s="51"/>
      <c r="B1064" s="91" t="str">
        <f>IFERROR(VLOOKUP(A1064,Lookup!A:B,2,0),"")</f>
        <v/>
      </c>
      <c r="C1064" s="92" t="str">
        <f>IFERROR(VLOOKUP(A1064,Lookup!A:C,3,0),"")</f>
        <v/>
      </c>
      <c r="D1064" s="54"/>
      <c r="E1064" s="54"/>
      <c r="F1064" s="54"/>
      <c r="G1064" s="72"/>
      <c r="H1064" s="54"/>
      <c r="I1064" s="54"/>
      <c r="J1064" s="106">
        <f>VLOOKUP(A1064&amp;G1064,Lookup!J:N,5,0)</f>
        <v>0</v>
      </c>
      <c r="K1064" s="115"/>
      <c r="L1064" s="54"/>
      <c r="M1064" s="54"/>
      <c r="N1064" s="54"/>
      <c r="O1064" s="112">
        <v>44.0590277777778</v>
      </c>
      <c r="P1064" s="110" t="str">
        <f t="shared" si="74"/>
        <v/>
      </c>
      <c r="Q1064" s="54"/>
      <c r="R1064" s="58"/>
      <c r="S1064" s="87" t="str">
        <f t="shared" si="76"/>
        <v/>
      </c>
      <c r="T1064" s="54"/>
      <c r="U1064" s="54"/>
      <c r="V1064" s="54"/>
      <c r="W1064" s="54"/>
      <c r="X1064" s="69" t="str">
        <f t="shared" si="75"/>
        <v>D</v>
      </c>
    </row>
    <row r="1065" spans="1:24" s="66" customFormat="1" x14ac:dyDescent="0.25">
      <c r="A1065" s="51"/>
      <c r="B1065" s="91" t="str">
        <f>IFERROR(VLOOKUP(A1065,Lookup!A:B,2,0),"")</f>
        <v/>
      </c>
      <c r="C1065" s="92" t="str">
        <f>IFERROR(VLOOKUP(A1065,Lookup!A:C,3,0),"")</f>
        <v/>
      </c>
      <c r="D1065" s="54"/>
      <c r="E1065" s="54"/>
      <c r="F1065" s="54"/>
      <c r="G1065" s="72"/>
      <c r="H1065" s="54"/>
      <c r="I1065" s="54"/>
      <c r="J1065" s="106">
        <f>VLOOKUP(A1065&amp;G1065,Lookup!J:N,5,0)</f>
        <v>0</v>
      </c>
      <c r="K1065" s="115"/>
      <c r="L1065" s="54"/>
      <c r="M1065" s="54"/>
      <c r="N1065" s="54"/>
      <c r="O1065" s="112">
        <v>44.1006944444444</v>
      </c>
      <c r="P1065" s="110" t="str">
        <f t="shared" si="74"/>
        <v/>
      </c>
      <c r="Q1065" s="54"/>
      <c r="R1065" s="58"/>
      <c r="S1065" s="87" t="str">
        <f t="shared" si="76"/>
        <v/>
      </c>
      <c r="T1065" s="54"/>
      <c r="U1065" s="54"/>
      <c r="V1065" s="54"/>
      <c r="W1065" s="54"/>
      <c r="X1065" s="69" t="str">
        <f t="shared" si="75"/>
        <v>D</v>
      </c>
    </row>
    <row r="1066" spans="1:24" s="66" customFormat="1" x14ac:dyDescent="0.25">
      <c r="A1066" s="51"/>
      <c r="B1066" s="91" t="str">
        <f>IFERROR(VLOOKUP(A1066,Lookup!A:B,2,0),"")</f>
        <v/>
      </c>
      <c r="C1066" s="92" t="str">
        <f>IFERROR(VLOOKUP(A1066,Lookup!A:C,3,0),"")</f>
        <v/>
      </c>
      <c r="D1066" s="54"/>
      <c r="E1066" s="54"/>
      <c r="F1066" s="54"/>
      <c r="G1066" s="72"/>
      <c r="H1066" s="54"/>
      <c r="I1066" s="54"/>
      <c r="J1066" s="106">
        <f>VLOOKUP(A1066&amp;G1066,Lookup!J:N,5,0)</f>
        <v>0</v>
      </c>
      <c r="K1066" s="115"/>
      <c r="L1066" s="54"/>
      <c r="M1066" s="54"/>
      <c r="N1066" s="54"/>
      <c r="O1066" s="112">
        <v>44.1423611111111</v>
      </c>
      <c r="P1066" s="110" t="str">
        <f t="shared" si="74"/>
        <v/>
      </c>
      <c r="Q1066" s="54"/>
      <c r="R1066" s="58"/>
      <c r="S1066" s="87" t="str">
        <f t="shared" si="76"/>
        <v/>
      </c>
      <c r="T1066" s="54"/>
      <c r="U1066" s="54"/>
      <c r="V1066" s="54"/>
      <c r="W1066" s="54"/>
      <c r="X1066" s="69" t="str">
        <f t="shared" si="75"/>
        <v>D</v>
      </c>
    </row>
    <row r="1067" spans="1:24" s="66" customFormat="1" x14ac:dyDescent="0.25">
      <c r="A1067" s="51"/>
      <c r="B1067" s="91" t="str">
        <f>IFERROR(VLOOKUP(A1067,Lookup!A:B,2,0),"")</f>
        <v/>
      </c>
      <c r="C1067" s="92" t="str">
        <f>IFERROR(VLOOKUP(A1067,Lookup!A:C,3,0),"")</f>
        <v/>
      </c>
      <c r="D1067" s="54"/>
      <c r="E1067" s="54"/>
      <c r="F1067" s="54"/>
      <c r="G1067" s="72"/>
      <c r="H1067" s="54"/>
      <c r="I1067" s="54"/>
      <c r="J1067" s="106">
        <f>VLOOKUP(A1067&amp;G1067,Lookup!J:N,5,0)</f>
        <v>0</v>
      </c>
      <c r="K1067" s="115"/>
      <c r="L1067" s="54"/>
      <c r="M1067" s="54"/>
      <c r="N1067" s="54"/>
      <c r="O1067" s="112">
        <v>44.1840277777778</v>
      </c>
      <c r="P1067" s="110" t="str">
        <f t="shared" si="74"/>
        <v/>
      </c>
      <c r="Q1067" s="54"/>
      <c r="R1067" s="58"/>
      <c r="S1067" s="87" t="str">
        <f t="shared" si="76"/>
        <v/>
      </c>
      <c r="T1067" s="54"/>
      <c r="U1067" s="54"/>
      <c r="V1067" s="54"/>
      <c r="W1067" s="54"/>
      <c r="X1067" s="69" t="str">
        <f t="shared" si="75"/>
        <v>D</v>
      </c>
    </row>
    <row r="1068" spans="1:24" s="66" customFormat="1" x14ac:dyDescent="0.25">
      <c r="A1068" s="51"/>
      <c r="B1068" s="91" t="str">
        <f>IFERROR(VLOOKUP(A1068,Lookup!A:B,2,0),"")</f>
        <v/>
      </c>
      <c r="C1068" s="92" t="str">
        <f>IFERROR(VLOOKUP(A1068,Lookup!A:C,3,0),"")</f>
        <v/>
      </c>
      <c r="D1068" s="54"/>
      <c r="E1068" s="54"/>
      <c r="F1068" s="54"/>
      <c r="G1068" s="72"/>
      <c r="H1068" s="54"/>
      <c r="I1068" s="54"/>
      <c r="J1068" s="106">
        <f>VLOOKUP(A1068&amp;G1068,Lookup!J:N,5,0)</f>
        <v>0</v>
      </c>
      <c r="K1068" s="115"/>
      <c r="L1068" s="54"/>
      <c r="M1068" s="54"/>
      <c r="N1068" s="54"/>
      <c r="O1068" s="112">
        <v>44.2256944444444</v>
      </c>
      <c r="P1068" s="110" t="str">
        <f t="shared" si="74"/>
        <v/>
      </c>
      <c r="Q1068" s="54"/>
      <c r="R1068" s="58"/>
      <c r="S1068" s="87" t="str">
        <f t="shared" si="76"/>
        <v/>
      </c>
      <c r="T1068" s="54"/>
      <c r="U1068" s="54"/>
      <c r="V1068" s="54"/>
      <c r="W1068" s="54"/>
      <c r="X1068" s="69" t="str">
        <f t="shared" si="75"/>
        <v>D</v>
      </c>
    </row>
    <row r="1069" spans="1:24" s="66" customFormat="1" x14ac:dyDescent="0.25">
      <c r="A1069" s="51"/>
      <c r="B1069" s="91" t="str">
        <f>IFERROR(VLOOKUP(A1069,Lookup!A:B,2,0),"")</f>
        <v/>
      </c>
      <c r="C1069" s="92" t="str">
        <f>IFERROR(VLOOKUP(A1069,Lookup!A:C,3,0),"")</f>
        <v/>
      </c>
      <c r="D1069" s="54"/>
      <c r="E1069" s="54"/>
      <c r="F1069" s="54"/>
      <c r="G1069" s="72"/>
      <c r="H1069" s="54"/>
      <c r="I1069" s="54"/>
      <c r="J1069" s="106">
        <f>VLOOKUP(A1069&amp;G1069,Lookup!J:N,5,0)</f>
        <v>0</v>
      </c>
      <c r="K1069" s="115"/>
      <c r="L1069" s="54"/>
      <c r="M1069" s="54"/>
      <c r="N1069" s="54"/>
      <c r="O1069" s="112">
        <v>44.2673611111111</v>
      </c>
      <c r="P1069" s="110" t="str">
        <f t="shared" si="74"/>
        <v/>
      </c>
      <c r="Q1069" s="54"/>
      <c r="R1069" s="58"/>
      <c r="S1069" s="87" t="str">
        <f t="shared" si="76"/>
        <v/>
      </c>
      <c r="T1069" s="54"/>
      <c r="U1069" s="54"/>
      <c r="V1069" s="54"/>
      <c r="W1069" s="54"/>
      <c r="X1069" s="69" t="str">
        <f t="shared" si="75"/>
        <v>D</v>
      </c>
    </row>
    <row r="1070" spans="1:24" s="66" customFormat="1" x14ac:dyDescent="0.25">
      <c r="A1070" s="51"/>
      <c r="B1070" s="91" t="str">
        <f>IFERROR(VLOOKUP(A1070,Lookup!A:B,2,0),"")</f>
        <v/>
      </c>
      <c r="C1070" s="92" t="str">
        <f>IFERROR(VLOOKUP(A1070,Lookup!A:C,3,0),"")</f>
        <v/>
      </c>
      <c r="D1070" s="54"/>
      <c r="E1070" s="54"/>
      <c r="F1070" s="54"/>
      <c r="G1070" s="72"/>
      <c r="H1070" s="54"/>
      <c r="I1070" s="54"/>
      <c r="J1070" s="106">
        <f>VLOOKUP(A1070&amp;G1070,Lookup!J:N,5,0)</f>
        <v>0</v>
      </c>
      <c r="K1070" s="115"/>
      <c r="L1070" s="54"/>
      <c r="M1070" s="54"/>
      <c r="N1070" s="54"/>
      <c r="O1070" s="112">
        <v>44.3090277777778</v>
      </c>
      <c r="P1070" s="110" t="str">
        <f t="shared" si="74"/>
        <v/>
      </c>
      <c r="Q1070" s="54"/>
      <c r="R1070" s="58"/>
      <c r="S1070" s="87" t="str">
        <f t="shared" si="76"/>
        <v/>
      </c>
      <c r="T1070" s="54"/>
      <c r="U1070" s="54"/>
      <c r="V1070" s="54"/>
      <c r="W1070" s="54"/>
      <c r="X1070" s="69" t="str">
        <f t="shared" si="75"/>
        <v>D</v>
      </c>
    </row>
    <row r="1071" spans="1:24" s="66" customFormat="1" x14ac:dyDescent="0.25">
      <c r="A1071" s="51"/>
      <c r="B1071" s="91" t="str">
        <f>IFERROR(VLOOKUP(A1071,Lookup!A:B,2,0),"")</f>
        <v/>
      </c>
      <c r="C1071" s="92" t="str">
        <f>IFERROR(VLOOKUP(A1071,Lookup!A:C,3,0),"")</f>
        <v/>
      </c>
      <c r="D1071" s="54"/>
      <c r="E1071" s="54"/>
      <c r="F1071" s="54"/>
      <c r="G1071" s="72"/>
      <c r="H1071" s="54"/>
      <c r="I1071" s="54"/>
      <c r="J1071" s="106">
        <f>VLOOKUP(A1071&amp;G1071,Lookup!J:N,5,0)</f>
        <v>0</v>
      </c>
      <c r="K1071" s="115"/>
      <c r="L1071" s="54"/>
      <c r="M1071" s="54"/>
      <c r="N1071" s="54"/>
      <c r="O1071" s="112">
        <v>44.3506944444444</v>
      </c>
      <c r="P1071" s="110" t="str">
        <f t="shared" si="74"/>
        <v/>
      </c>
      <c r="Q1071" s="54"/>
      <c r="R1071" s="58"/>
      <c r="S1071" s="87" t="str">
        <f t="shared" si="76"/>
        <v/>
      </c>
      <c r="T1071" s="54"/>
      <c r="U1071" s="54"/>
      <c r="V1071" s="54"/>
      <c r="W1071" s="54"/>
      <c r="X1071" s="69" t="str">
        <f t="shared" si="75"/>
        <v>D</v>
      </c>
    </row>
    <row r="1072" spans="1:24" s="66" customFormat="1" x14ac:dyDescent="0.25">
      <c r="A1072" s="51"/>
      <c r="B1072" s="91" t="str">
        <f>IFERROR(VLOOKUP(A1072,Lookup!A:B,2,0),"")</f>
        <v/>
      </c>
      <c r="C1072" s="92" t="str">
        <f>IFERROR(VLOOKUP(A1072,Lookup!A:C,3,0),"")</f>
        <v/>
      </c>
      <c r="D1072" s="54"/>
      <c r="E1072" s="54"/>
      <c r="F1072" s="54"/>
      <c r="G1072" s="72"/>
      <c r="H1072" s="54"/>
      <c r="I1072" s="54"/>
      <c r="J1072" s="106">
        <f>VLOOKUP(A1072&amp;G1072,Lookup!J:N,5,0)</f>
        <v>0</v>
      </c>
      <c r="K1072" s="115"/>
      <c r="L1072" s="54"/>
      <c r="M1072" s="54"/>
      <c r="N1072" s="54"/>
      <c r="O1072" s="112">
        <v>44.3923611111111</v>
      </c>
      <c r="P1072" s="110" t="str">
        <f t="shared" si="74"/>
        <v/>
      </c>
      <c r="Q1072" s="54"/>
      <c r="R1072" s="58"/>
      <c r="S1072" s="87" t="str">
        <f t="shared" si="76"/>
        <v/>
      </c>
      <c r="T1072" s="54"/>
      <c r="U1072" s="54"/>
      <c r="V1072" s="54"/>
      <c r="W1072" s="54"/>
      <c r="X1072" s="69" t="str">
        <f t="shared" si="75"/>
        <v>D</v>
      </c>
    </row>
    <row r="1073" spans="1:24" s="66" customFormat="1" x14ac:dyDescent="0.25">
      <c r="A1073" s="51"/>
      <c r="B1073" s="91" t="str">
        <f>IFERROR(VLOOKUP(A1073,Lookup!A:B,2,0),"")</f>
        <v/>
      </c>
      <c r="C1073" s="92" t="str">
        <f>IFERROR(VLOOKUP(A1073,Lookup!A:C,3,0),"")</f>
        <v/>
      </c>
      <c r="D1073" s="54"/>
      <c r="E1073" s="54"/>
      <c r="F1073" s="54"/>
      <c r="G1073" s="72"/>
      <c r="H1073" s="54"/>
      <c r="I1073" s="54"/>
      <c r="J1073" s="106">
        <f>VLOOKUP(A1073&amp;G1073,Lookup!J:N,5,0)</f>
        <v>0</v>
      </c>
      <c r="K1073" s="115"/>
      <c r="L1073" s="54"/>
      <c r="M1073" s="54"/>
      <c r="N1073" s="54"/>
      <c r="O1073" s="112">
        <v>44.4340277777778</v>
      </c>
      <c r="P1073" s="110" t="str">
        <f t="shared" si="74"/>
        <v/>
      </c>
      <c r="Q1073" s="54"/>
      <c r="R1073" s="58"/>
      <c r="S1073" s="87" t="str">
        <f t="shared" si="76"/>
        <v/>
      </c>
      <c r="T1073" s="54"/>
      <c r="U1073" s="54"/>
      <c r="V1073" s="54"/>
      <c r="W1073" s="54"/>
      <c r="X1073" s="69" t="str">
        <f t="shared" si="75"/>
        <v>D</v>
      </c>
    </row>
    <row r="1074" spans="1:24" s="66" customFormat="1" x14ac:dyDescent="0.25">
      <c r="A1074" s="51"/>
      <c r="B1074" s="91" t="str">
        <f>IFERROR(VLOOKUP(A1074,Lookup!A:B,2,0),"")</f>
        <v/>
      </c>
      <c r="C1074" s="92" t="str">
        <f>IFERROR(VLOOKUP(A1074,Lookup!A:C,3,0),"")</f>
        <v/>
      </c>
      <c r="D1074" s="54"/>
      <c r="E1074" s="54"/>
      <c r="F1074" s="54"/>
      <c r="G1074" s="72"/>
      <c r="H1074" s="54"/>
      <c r="I1074" s="54"/>
      <c r="J1074" s="106">
        <f>VLOOKUP(A1074&amp;G1074,Lookup!J:N,5,0)</f>
        <v>0</v>
      </c>
      <c r="K1074" s="115"/>
      <c r="L1074" s="54"/>
      <c r="M1074" s="54"/>
      <c r="N1074" s="54"/>
      <c r="O1074" s="112">
        <v>44.4756944444444</v>
      </c>
      <c r="P1074" s="110" t="str">
        <f t="shared" si="74"/>
        <v/>
      </c>
      <c r="Q1074" s="54"/>
      <c r="R1074" s="58"/>
      <c r="S1074" s="87" t="str">
        <f t="shared" si="76"/>
        <v/>
      </c>
      <c r="T1074" s="54"/>
      <c r="U1074" s="54"/>
      <c r="V1074" s="54"/>
      <c r="W1074" s="54"/>
      <c r="X1074" s="69" t="str">
        <f t="shared" si="75"/>
        <v>D</v>
      </c>
    </row>
    <row r="1075" spans="1:24" s="66" customFormat="1" x14ac:dyDescent="0.25">
      <c r="A1075" s="51"/>
      <c r="B1075" s="91" t="str">
        <f>IFERROR(VLOOKUP(A1075,Lookup!A:B,2,0),"")</f>
        <v/>
      </c>
      <c r="C1075" s="92" t="str">
        <f>IFERROR(VLOOKUP(A1075,Lookup!A:C,3,0),"")</f>
        <v/>
      </c>
      <c r="D1075" s="54"/>
      <c r="E1075" s="54"/>
      <c r="F1075" s="54"/>
      <c r="G1075" s="72"/>
      <c r="H1075" s="54"/>
      <c r="I1075" s="54"/>
      <c r="J1075" s="106">
        <f>VLOOKUP(A1075&amp;G1075,Lookup!J:N,5,0)</f>
        <v>0</v>
      </c>
      <c r="K1075" s="115"/>
      <c r="L1075" s="54"/>
      <c r="M1075" s="54"/>
      <c r="N1075" s="54"/>
      <c r="O1075" s="112">
        <v>44.5173611111111</v>
      </c>
      <c r="P1075" s="110" t="str">
        <f t="shared" si="74"/>
        <v/>
      </c>
      <c r="Q1075" s="54"/>
      <c r="R1075" s="58"/>
      <c r="S1075" s="87" t="str">
        <f t="shared" si="76"/>
        <v/>
      </c>
      <c r="T1075" s="54"/>
      <c r="U1075" s="54"/>
      <c r="V1075" s="54"/>
      <c r="W1075" s="54"/>
      <c r="X1075" s="69" t="str">
        <f t="shared" si="75"/>
        <v>D</v>
      </c>
    </row>
    <row r="1076" spans="1:24" s="66" customFormat="1" x14ac:dyDescent="0.25">
      <c r="A1076" s="51"/>
      <c r="B1076" s="91" t="str">
        <f>IFERROR(VLOOKUP(A1076,Lookup!A:B,2,0),"")</f>
        <v/>
      </c>
      <c r="C1076" s="92" t="str">
        <f>IFERROR(VLOOKUP(A1076,Lookup!A:C,3,0),"")</f>
        <v/>
      </c>
      <c r="D1076" s="54"/>
      <c r="E1076" s="54"/>
      <c r="F1076" s="54"/>
      <c r="G1076" s="72"/>
      <c r="H1076" s="54"/>
      <c r="I1076" s="54"/>
      <c r="J1076" s="106">
        <f>VLOOKUP(A1076&amp;G1076,Lookup!J:N,5,0)</f>
        <v>0</v>
      </c>
      <c r="K1076" s="115"/>
      <c r="L1076" s="54"/>
      <c r="M1076" s="54"/>
      <c r="N1076" s="54"/>
      <c r="O1076" s="112">
        <v>44.5590277777778</v>
      </c>
      <c r="P1076" s="110" t="str">
        <f t="shared" si="74"/>
        <v/>
      </c>
      <c r="Q1076" s="54"/>
      <c r="R1076" s="58"/>
      <c r="S1076" s="87" t="str">
        <f t="shared" si="76"/>
        <v/>
      </c>
      <c r="T1076" s="54"/>
      <c r="U1076" s="54"/>
      <c r="V1076" s="54"/>
      <c r="W1076" s="54"/>
      <c r="X1076" s="69" t="str">
        <f t="shared" si="75"/>
        <v>D</v>
      </c>
    </row>
    <row r="1077" spans="1:24" s="66" customFormat="1" x14ac:dyDescent="0.25">
      <c r="A1077" s="51"/>
      <c r="B1077" s="91" t="str">
        <f>IFERROR(VLOOKUP(A1077,Lookup!A:B,2,0),"")</f>
        <v/>
      </c>
      <c r="C1077" s="92" t="str">
        <f>IFERROR(VLOOKUP(A1077,Lookup!A:C,3,0),"")</f>
        <v/>
      </c>
      <c r="D1077" s="54"/>
      <c r="E1077" s="54"/>
      <c r="F1077" s="54"/>
      <c r="G1077" s="72"/>
      <c r="H1077" s="54"/>
      <c r="I1077" s="54"/>
      <c r="J1077" s="106">
        <f>VLOOKUP(A1077&amp;G1077,Lookup!J:N,5,0)</f>
        <v>0</v>
      </c>
      <c r="K1077" s="115"/>
      <c r="L1077" s="54"/>
      <c r="M1077" s="54"/>
      <c r="N1077" s="54"/>
      <c r="O1077" s="112">
        <v>44.6006944444444</v>
      </c>
      <c r="P1077" s="110" t="str">
        <f t="shared" si="74"/>
        <v/>
      </c>
      <c r="Q1077" s="54"/>
      <c r="R1077" s="58"/>
      <c r="S1077" s="87" t="str">
        <f t="shared" si="76"/>
        <v/>
      </c>
      <c r="T1077" s="54"/>
      <c r="U1077" s="54"/>
      <c r="V1077" s="54"/>
      <c r="W1077" s="54"/>
      <c r="X1077" s="69" t="str">
        <f t="shared" si="75"/>
        <v>D</v>
      </c>
    </row>
    <row r="1078" spans="1:24" s="66" customFormat="1" x14ac:dyDescent="0.25">
      <c r="A1078" s="51"/>
      <c r="B1078" s="91" t="str">
        <f>IFERROR(VLOOKUP(A1078,Lookup!A:B,2,0),"")</f>
        <v/>
      </c>
      <c r="C1078" s="92" t="str">
        <f>IFERROR(VLOOKUP(A1078,Lookup!A:C,3,0),"")</f>
        <v/>
      </c>
      <c r="D1078" s="54"/>
      <c r="E1078" s="54"/>
      <c r="F1078" s="54"/>
      <c r="G1078" s="72"/>
      <c r="H1078" s="54"/>
      <c r="I1078" s="54"/>
      <c r="J1078" s="106">
        <f>VLOOKUP(A1078&amp;G1078,Lookup!J:N,5,0)</f>
        <v>0</v>
      </c>
      <c r="K1078" s="115"/>
      <c r="L1078" s="54"/>
      <c r="M1078" s="54"/>
      <c r="N1078" s="54"/>
      <c r="O1078" s="112">
        <v>44.6423611111111</v>
      </c>
      <c r="P1078" s="110" t="str">
        <f t="shared" si="74"/>
        <v/>
      </c>
      <c r="Q1078" s="54"/>
      <c r="R1078" s="58"/>
      <c r="S1078" s="87" t="str">
        <f t="shared" si="76"/>
        <v/>
      </c>
      <c r="T1078" s="54"/>
      <c r="U1078" s="54"/>
      <c r="V1078" s="54"/>
      <c r="W1078" s="54"/>
      <c r="X1078" s="69" t="str">
        <f t="shared" si="75"/>
        <v>D</v>
      </c>
    </row>
    <row r="1079" spans="1:24" s="66" customFormat="1" x14ac:dyDescent="0.25">
      <c r="A1079" s="51"/>
      <c r="B1079" s="91" t="str">
        <f>IFERROR(VLOOKUP(A1079,Lookup!A:B,2,0),"")</f>
        <v/>
      </c>
      <c r="C1079" s="92" t="str">
        <f>IFERROR(VLOOKUP(A1079,Lookup!A:C,3,0),"")</f>
        <v/>
      </c>
      <c r="D1079" s="54"/>
      <c r="E1079" s="54"/>
      <c r="F1079" s="54"/>
      <c r="G1079" s="72"/>
      <c r="H1079" s="54"/>
      <c r="I1079" s="54"/>
      <c r="J1079" s="106">
        <f>VLOOKUP(A1079&amp;G1079,Lookup!J:N,5,0)</f>
        <v>0</v>
      </c>
      <c r="K1079" s="115"/>
      <c r="L1079" s="54"/>
      <c r="M1079" s="54"/>
      <c r="N1079" s="54"/>
      <c r="O1079" s="112">
        <v>44.6840277777778</v>
      </c>
      <c r="P1079" s="110" t="str">
        <f t="shared" si="74"/>
        <v/>
      </c>
      <c r="Q1079" s="54"/>
      <c r="R1079" s="58"/>
      <c r="S1079" s="87" t="str">
        <f t="shared" si="76"/>
        <v/>
      </c>
      <c r="T1079" s="54"/>
      <c r="U1079" s="54"/>
      <c r="V1079" s="54"/>
      <c r="W1079" s="54"/>
      <c r="X1079" s="69" t="str">
        <f t="shared" si="75"/>
        <v>D</v>
      </c>
    </row>
    <row r="1080" spans="1:24" s="66" customFormat="1" x14ac:dyDescent="0.25">
      <c r="A1080" s="51"/>
      <c r="B1080" s="91" t="str">
        <f>IFERROR(VLOOKUP(A1080,Lookup!A:B,2,0),"")</f>
        <v/>
      </c>
      <c r="C1080" s="92" t="str">
        <f>IFERROR(VLOOKUP(A1080,Lookup!A:C,3,0),"")</f>
        <v/>
      </c>
      <c r="D1080" s="54"/>
      <c r="E1080" s="54"/>
      <c r="F1080" s="54"/>
      <c r="G1080" s="72"/>
      <c r="H1080" s="54"/>
      <c r="I1080" s="54"/>
      <c r="J1080" s="106">
        <f>VLOOKUP(A1080&amp;G1080,Lookup!J:N,5,0)</f>
        <v>0</v>
      </c>
      <c r="K1080" s="115"/>
      <c r="L1080" s="54"/>
      <c r="M1080" s="54"/>
      <c r="N1080" s="54"/>
      <c r="O1080" s="112">
        <v>44.7256944444444</v>
      </c>
      <c r="P1080" s="110" t="str">
        <f t="shared" si="74"/>
        <v/>
      </c>
      <c r="Q1080" s="54"/>
      <c r="R1080" s="58"/>
      <c r="S1080" s="87" t="str">
        <f t="shared" si="76"/>
        <v/>
      </c>
      <c r="T1080" s="54"/>
      <c r="U1080" s="54"/>
      <c r="V1080" s="54"/>
      <c r="W1080" s="54"/>
      <c r="X1080" s="69" t="str">
        <f t="shared" si="75"/>
        <v>D</v>
      </c>
    </row>
    <row r="1081" spans="1:24" s="66" customFormat="1" x14ac:dyDescent="0.25">
      <c r="A1081" s="51"/>
      <c r="B1081" s="91" t="str">
        <f>IFERROR(VLOOKUP(A1081,Lookup!A:B,2,0),"")</f>
        <v/>
      </c>
      <c r="C1081" s="92" t="str">
        <f>IFERROR(VLOOKUP(A1081,Lookup!A:C,3,0),"")</f>
        <v/>
      </c>
      <c r="D1081" s="54"/>
      <c r="E1081" s="54"/>
      <c r="F1081" s="54"/>
      <c r="G1081" s="72"/>
      <c r="H1081" s="54"/>
      <c r="I1081" s="54"/>
      <c r="J1081" s="106">
        <f>VLOOKUP(A1081&amp;G1081,Lookup!J:N,5,0)</f>
        <v>0</v>
      </c>
      <c r="K1081" s="115"/>
      <c r="L1081" s="54"/>
      <c r="M1081" s="54"/>
      <c r="N1081" s="54"/>
      <c r="O1081" s="112">
        <v>44.7673611111111</v>
      </c>
      <c r="P1081" s="110" t="str">
        <f t="shared" si="74"/>
        <v/>
      </c>
      <c r="Q1081" s="54"/>
      <c r="R1081" s="58"/>
      <c r="S1081" s="87" t="str">
        <f t="shared" si="76"/>
        <v/>
      </c>
      <c r="T1081" s="54"/>
      <c r="U1081" s="54"/>
      <c r="V1081" s="54"/>
      <c r="W1081" s="54"/>
      <c r="X1081" s="69" t="str">
        <f t="shared" si="75"/>
        <v>D</v>
      </c>
    </row>
    <row r="1082" spans="1:24" s="66" customFormat="1" x14ac:dyDescent="0.25">
      <c r="A1082" s="51"/>
      <c r="B1082" s="91" t="str">
        <f>IFERROR(VLOOKUP(A1082,Lookup!A:B,2,0),"")</f>
        <v/>
      </c>
      <c r="C1082" s="92" t="str">
        <f>IFERROR(VLOOKUP(A1082,Lookup!A:C,3,0),"")</f>
        <v/>
      </c>
      <c r="D1082" s="54"/>
      <c r="E1082" s="54"/>
      <c r="F1082" s="54"/>
      <c r="G1082" s="72"/>
      <c r="H1082" s="54"/>
      <c r="I1082" s="54"/>
      <c r="J1082" s="106">
        <f>VLOOKUP(A1082&amp;G1082,Lookup!J:N,5,0)</f>
        <v>0</v>
      </c>
      <c r="K1082" s="115"/>
      <c r="L1082" s="54"/>
      <c r="M1082" s="54"/>
      <c r="N1082" s="54"/>
      <c r="O1082" s="112">
        <v>44.8090277777778</v>
      </c>
      <c r="P1082" s="110" t="str">
        <f t="shared" si="74"/>
        <v/>
      </c>
      <c r="Q1082" s="54"/>
      <c r="R1082" s="58"/>
      <c r="S1082" s="87" t="str">
        <f t="shared" si="76"/>
        <v/>
      </c>
      <c r="T1082" s="54"/>
      <c r="U1082" s="54"/>
      <c r="V1082" s="54"/>
      <c r="W1082" s="54"/>
      <c r="X1082" s="69" t="str">
        <f t="shared" si="75"/>
        <v>D</v>
      </c>
    </row>
    <row r="1083" spans="1:24" s="66" customFormat="1" x14ac:dyDescent="0.25">
      <c r="A1083" s="51"/>
      <c r="B1083" s="91" t="str">
        <f>IFERROR(VLOOKUP(A1083,Lookup!A:B,2,0),"")</f>
        <v/>
      </c>
      <c r="C1083" s="92" t="str">
        <f>IFERROR(VLOOKUP(A1083,Lookup!A:C,3,0),"")</f>
        <v/>
      </c>
      <c r="D1083" s="54"/>
      <c r="E1083" s="54"/>
      <c r="F1083" s="54"/>
      <c r="G1083" s="72"/>
      <c r="H1083" s="54"/>
      <c r="I1083" s="54"/>
      <c r="J1083" s="106">
        <f>VLOOKUP(A1083&amp;G1083,Lookup!J:N,5,0)</f>
        <v>0</v>
      </c>
      <c r="K1083" s="115"/>
      <c r="L1083" s="54"/>
      <c r="M1083" s="54"/>
      <c r="N1083" s="54"/>
      <c r="O1083" s="112">
        <v>44.8506944444444</v>
      </c>
      <c r="P1083" s="110" t="str">
        <f t="shared" si="74"/>
        <v/>
      </c>
      <c r="Q1083" s="54"/>
      <c r="R1083" s="58"/>
      <c r="S1083" s="87" t="str">
        <f t="shared" si="76"/>
        <v/>
      </c>
      <c r="T1083" s="54"/>
      <c r="U1083" s="54"/>
      <c r="V1083" s="54"/>
      <c r="W1083" s="54"/>
      <c r="X1083" s="69" t="str">
        <f t="shared" si="75"/>
        <v>D</v>
      </c>
    </row>
    <row r="1084" spans="1:24" s="66" customFormat="1" x14ac:dyDescent="0.25">
      <c r="A1084" s="51"/>
      <c r="B1084" s="91" t="str">
        <f>IFERROR(VLOOKUP(A1084,Lookup!A:B,2,0),"")</f>
        <v/>
      </c>
      <c r="C1084" s="92" t="str">
        <f>IFERROR(VLOOKUP(A1084,Lookup!A:C,3,0),"")</f>
        <v/>
      </c>
      <c r="D1084" s="54"/>
      <c r="E1084" s="54"/>
      <c r="F1084" s="54"/>
      <c r="G1084" s="72"/>
      <c r="H1084" s="54"/>
      <c r="I1084" s="54"/>
      <c r="J1084" s="106">
        <f>VLOOKUP(A1084&amp;G1084,Lookup!J:N,5,0)</f>
        <v>0</v>
      </c>
      <c r="K1084" s="115"/>
      <c r="L1084" s="54"/>
      <c r="M1084" s="54"/>
      <c r="N1084" s="54"/>
      <c r="O1084" s="112">
        <v>44.8923611111111</v>
      </c>
      <c r="P1084" s="110" t="str">
        <f t="shared" si="74"/>
        <v/>
      </c>
      <c r="Q1084" s="54"/>
      <c r="R1084" s="58"/>
      <c r="S1084" s="87" t="str">
        <f t="shared" si="76"/>
        <v/>
      </c>
      <c r="T1084" s="54"/>
      <c r="U1084" s="54"/>
      <c r="V1084" s="54"/>
      <c r="W1084" s="54"/>
      <c r="X1084" s="69" t="str">
        <f t="shared" si="75"/>
        <v>D</v>
      </c>
    </row>
    <row r="1085" spans="1:24" s="66" customFormat="1" x14ac:dyDescent="0.25">
      <c r="A1085" s="51"/>
      <c r="B1085" s="91" t="str">
        <f>IFERROR(VLOOKUP(A1085,Lookup!A:B,2,0),"")</f>
        <v/>
      </c>
      <c r="C1085" s="92" t="str">
        <f>IFERROR(VLOOKUP(A1085,Lookup!A:C,3,0),"")</f>
        <v/>
      </c>
      <c r="D1085" s="54"/>
      <c r="E1085" s="54"/>
      <c r="F1085" s="54"/>
      <c r="G1085" s="72"/>
      <c r="H1085" s="54"/>
      <c r="I1085" s="54"/>
      <c r="J1085" s="106">
        <f>VLOOKUP(A1085&amp;G1085,Lookup!J:N,5,0)</f>
        <v>0</v>
      </c>
      <c r="K1085" s="115"/>
      <c r="L1085" s="54"/>
      <c r="M1085" s="54"/>
      <c r="N1085" s="54"/>
      <c r="O1085" s="112">
        <v>44.9340277777778</v>
      </c>
      <c r="P1085" s="110" t="str">
        <f t="shared" si="74"/>
        <v/>
      </c>
      <c r="Q1085" s="54"/>
      <c r="R1085" s="58"/>
      <c r="S1085" s="87" t="str">
        <f t="shared" si="76"/>
        <v/>
      </c>
      <c r="T1085" s="54"/>
      <c r="U1085" s="54"/>
      <c r="V1085" s="54"/>
      <c r="W1085" s="54"/>
      <c r="X1085" s="69" t="str">
        <f t="shared" si="75"/>
        <v>D</v>
      </c>
    </row>
    <row r="1086" spans="1:24" s="66" customFormat="1" x14ac:dyDescent="0.25">
      <c r="A1086" s="51"/>
      <c r="B1086" s="91" t="str">
        <f>IFERROR(VLOOKUP(A1086,Lookup!A:B,2,0),"")</f>
        <v/>
      </c>
      <c r="C1086" s="92" t="str">
        <f>IFERROR(VLOOKUP(A1086,Lookup!A:C,3,0),"")</f>
        <v/>
      </c>
      <c r="D1086" s="54"/>
      <c r="E1086" s="54"/>
      <c r="F1086" s="54"/>
      <c r="G1086" s="72"/>
      <c r="H1086" s="54"/>
      <c r="I1086" s="54"/>
      <c r="J1086" s="106">
        <f>VLOOKUP(A1086&amp;G1086,Lookup!J:N,5,0)</f>
        <v>0</v>
      </c>
      <c r="K1086" s="115"/>
      <c r="L1086" s="54"/>
      <c r="M1086" s="54"/>
      <c r="N1086" s="54"/>
      <c r="O1086" s="112">
        <v>44.9756944444444</v>
      </c>
      <c r="P1086" s="110" t="str">
        <f t="shared" si="74"/>
        <v/>
      </c>
      <c r="Q1086" s="54"/>
      <c r="R1086" s="58"/>
      <c r="S1086" s="87" t="str">
        <f t="shared" si="76"/>
        <v/>
      </c>
      <c r="T1086" s="54"/>
      <c r="U1086" s="54"/>
      <c r="V1086" s="54"/>
      <c r="W1086" s="54"/>
      <c r="X1086" s="69" t="str">
        <f t="shared" si="75"/>
        <v>D</v>
      </c>
    </row>
    <row r="1087" spans="1:24" s="66" customFormat="1" x14ac:dyDescent="0.25">
      <c r="A1087" s="51"/>
      <c r="B1087" s="91" t="str">
        <f>IFERROR(VLOOKUP(A1087,Lookup!A:B,2,0),"")</f>
        <v/>
      </c>
      <c r="C1087" s="92" t="str">
        <f>IFERROR(VLOOKUP(A1087,Lookup!A:C,3,0),"")</f>
        <v/>
      </c>
      <c r="D1087" s="54"/>
      <c r="E1087" s="54"/>
      <c r="F1087" s="54"/>
      <c r="G1087" s="72"/>
      <c r="H1087" s="54"/>
      <c r="I1087" s="54"/>
      <c r="J1087" s="106">
        <f>VLOOKUP(A1087&amp;G1087,Lookup!J:N,5,0)</f>
        <v>0</v>
      </c>
      <c r="K1087" s="115"/>
      <c r="L1087" s="54"/>
      <c r="M1087" s="54"/>
      <c r="N1087" s="54"/>
      <c r="O1087" s="112">
        <v>45.0173611111111</v>
      </c>
      <c r="P1087" s="110" t="str">
        <f t="shared" si="74"/>
        <v/>
      </c>
      <c r="Q1087" s="54"/>
      <c r="R1087" s="58"/>
      <c r="S1087" s="87" t="str">
        <f t="shared" si="76"/>
        <v/>
      </c>
      <c r="T1087" s="54"/>
      <c r="U1087" s="54"/>
      <c r="V1087" s="54"/>
      <c r="W1087" s="54"/>
      <c r="X1087" s="69" t="str">
        <f t="shared" si="75"/>
        <v>D</v>
      </c>
    </row>
    <row r="1088" spans="1:24" s="66" customFormat="1" x14ac:dyDescent="0.25">
      <c r="A1088" s="51"/>
      <c r="B1088" s="91" t="str">
        <f>IFERROR(VLOOKUP(A1088,Lookup!A:B,2,0),"")</f>
        <v/>
      </c>
      <c r="C1088" s="92" t="str">
        <f>IFERROR(VLOOKUP(A1088,Lookup!A:C,3,0),"")</f>
        <v/>
      </c>
      <c r="D1088" s="54"/>
      <c r="E1088" s="54"/>
      <c r="F1088" s="54"/>
      <c r="G1088" s="72"/>
      <c r="H1088" s="54"/>
      <c r="I1088" s="54"/>
      <c r="J1088" s="106">
        <f>VLOOKUP(A1088&amp;G1088,Lookup!J:N,5,0)</f>
        <v>0</v>
      </c>
      <c r="K1088" s="115"/>
      <c r="L1088" s="54"/>
      <c r="M1088" s="54"/>
      <c r="N1088" s="54"/>
      <c r="O1088" s="112">
        <v>45.0590277777778</v>
      </c>
      <c r="P1088" s="110" t="str">
        <f t="shared" si="74"/>
        <v/>
      </c>
      <c r="Q1088" s="54"/>
      <c r="R1088" s="58"/>
      <c r="S1088" s="87" t="str">
        <f t="shared" si="76"/>
        <v/>
      </c>
      <c r="T1088" s="54"/>
      <c r="U1088" s="54"/>
      <c r="V1088" s="54"/>
      <c r="W1088" s="54"/>
      <c r="X1088" s="69" t="str">
        <f t="shared" si="75"/>
        <v>D</v>
      </c>
    </row>
    <row r="1089" spans="1:24" s="66" customFormat="1" x14ac:dyDescent="0.25">
      <c r="A1089" s="51"/>
      <c r="B1089" s="91" t="str">
        <f>IFERROR(VLOOKUP(A1089,Lookup!A:B,2,0),"")</f>
        <v/>
      </c>
      <c r="C1089" s="92" t="str">
        <f>IFERROR(VLOOKUP(A1089,Lookup!A:C,3,0),"")</f>
        <v/>
      </c>
      <c r="D1089" s="54"/>
      <c r="E1089" s="54"/>
      <c r="F1089" s="54"/>
      <c r="G1089" s="72"/>
      <c r="H1089" s="54"/>
      <c r="I1089" s="54"/>
      <c r="J1089" s="106">
        <f>VLOOKUP(A1089&amp;G1089,Lookup!J:N,5,0)</f>
        <v>0</v>
      </c>
      <c r="K1089" s="115"/>
      <c r="L1089" s="54"/>
      <c r="M1089" s="54"/>
      <c r="N1089" s="54"/>
      <c r="O1089" s="112">
        <v>45.1006944444444</v>
      </c>
      <c r="P1089" s="110" t="str">
        <f t="shared" si="74"/>
        <v/>
      </c>
      <c r="Q1089" s="54"/>
      <c r="R1089" s="58"/>
      <c r="S1089" s="87" t="str">
        <f t="shared" si="76"/>
        <v/>
      </c>
      <c r="T1089" s="54"/>
      <c r="U1089" s="54"/>
      <c r="V1089" s="54"/>
      <c r="W1089" s="54"/>
      <c r="X1089" s="69" t="str">
        <f t="shared" si="75"/>
        <v>D</v>
      </c>
    </row>
    <row r="1090" spans="1:24" s="66" customFormat="1" x14ac:dyDescent="0.25">
      <c r="A1090" s="51"/>
      <c r="B1090" s="91" t="str">
        <f>IFERROR(VLOOKUP(A1090,Lookup!A:B,2,0),"")</f>
        <v/>
      </c>
      <c r="C1090" s="92" t="str">
        <f>IFERROR(VLOOKUP(A1090,Lookup!A:C,3,0),"")</f>
        <v/>
      </c>
      <c r="D1090" s="54"/>
      <c r="E1090" s="54"/>
      <c r="F1090" s="54"/>
      <c r="G1090" s="72"/>
      <c r="H1090" s="54"/>
      <c r="I1090" s="54"/>
      <c r="J1090" s="106">
        <f>VLOOKUP(A1090&amp;G1090,Lookup!J:N,5,0)</f>
        <v>0</v>
      </c>
      <c r="K1090" s="115"/>
      <c r="L1090" s="54"/>
      <c r="M1090" s="54"/>
      <c r="N1090" s="54"/>
      <c r="O1090" s="112">
        <v>45.1423611111111</v>
      </c>
      <c r="P1090" s="110" t="str">
        <f t="shared" si="74"/>
        <v/>
      </c>
      <c r="Q1090" s="54"/>
      <c r="R1090" s="58"/>
      <c r="S1090" s="87" t="str">
        <f t="shared" si="76"/>
        <v/>
      </c>
      <c r="T1090" s="54"/>
      <c r="U1090" s="54"/>
      <c r="V1090" s="54"/>
      <c r="W1090" s="54"/>
      <c r="X1090" s="69" t="str">
        <f t="shared" si="75"/>
        <v>D</v>
      </c>
    </row>
    <row r="1091" spans="1:24" s="66" customFormat="1" x14ac:dyDescent="0.25">
      <c r="A1091" s="51"/>
      <c r="B1091" s="91" t="str">
        <f>IFERROR(VLOOKUP(A1091,Lookup!A:B,2,0),"")</f>
        <v/>
      </c>
      <c r="C1091" s="92" t="str">
        <f>IFERROR(VLOOKUP(A1091,Lookup!A:C,3,0),"")</f>
        <v/>
      </c>
      <c r="D1091" s="54"/>
      <c r="E1091" s="54"/>
      <c r="F1091" s="54"/>
      <c r="G1091" s="72"/>
      <c r="H1091" s="54"/>
      <c r="I1091" s="54"/>
      <c r="J1091" s="106">
        <f>VLOOKUP(A1091&amp;G1091,Lookup!J:N,5,0)</f>
        <v>0</v>
      </c>
      <c r="K1091" s="115"/>
      <c r="L1091" s="54"/>
      <c r="M1091" s="54"/>
      <c r="N1091" s="54"/>
      <c r="O1091" s="112">
        <v>45.1840277777778</v>
      </c>
      <c r="P1091" s="110" t="str">
        <f t="shared" ref="P1091:P1154" si="77">IF(N1091="","",N1091+O1091)</f>
        <v/>
      </c>
      <c r="Q1091" s="54"/>
      <c r="R1091" s="58"/>
      <c r="S1091" s="87" t="str">
        <f t="shared" si="76"/>
        <v/>
      </c>
      <c r="T1091" s="54"/>
      <c r="U1091" s="54"/>
      <c r="V1091" s="54"/>
      <c r="W1091" s="54"/>
      <c r="X1091" s="69" t="str">
        <f t="shared" ref="X1091:X1154" si="78">IF(I1091="SET","A",IF(I1091="FREQ","C",IF(I1091="","D","B")))</f>
        <v>D</v>
      </c>
    </row>
    <row r="1092" spans="1:24" s="66" customFormat="1" x14ac:dyDescent="0.25">
      <c r="A1092" s="51"/>
      <c r="B1092" s="91" t="str">
        <f>IFERROR(VLOOKUP(A1092,Lookup!A:B,2,0),"")</f>
        <v/>
      </c>
      <c r="C1092" s="92" t="str">
        <f>IFERROR(VLOOKUP(A1092,Lookup!A:C,3,0),"")</f>
        <v/>
      </c>
      <c r="D1092" s="54"/>
      <c r="E1092" s="54"/>
      <c r="F1092" s="54"/>
      <c r="G1092" s="72"/>
      <c r="H1092" s="54"/>
      <c r="I1092" s="54"/>
      <c r="J1092" s="106">
        <f>VLOOKUP(A1092&amp;G1092,Lookup!J:N,5,0)</f>
        <v>0</v>
      </c>
      <c r="K1092" s="115"/>
      <c r="L1092" s="54"/>
      <c r="M1092" s="54"/>
      <c r="N1092" s="54"/>
      <c r="O1092" s="112">
        <v>45.2256944444444</v>
      </c>
      <c r="P1092" s="110" t="str">
        <f t="shared" si="77"/>
        <v/>
      </c>
      <c r="Q1092" s="54"/>
      <c r="R1092" s="58"/>
      <c r="S1092" s="87" t="str">
        <f t="shared" si="76"/>
        <v/>
      </c>
      <c r="T1092" s="54"/>
      <c r="U1092" s="54"/>
      <c r="V1092" s="54"/>
      <c r="W1092" s="54"/>
      <c r="X1092" s="69" t="str">
        <f t="shared" si="78"/>
        <v>D</v>
      </c>
    </row>
    <row r="1093" spans="1:24" s="66" customFormat="1" x14ac:dyDescent="0.25">
      <c r="A1093" s="51"/>
      <c r="B1093" s="91" t="str">
        <f>IFERROR(VLOOKUP(A1093,Lookup!A:B,2,0),"")</f>
        <v/>
      </c>
      <c r="C1093" s="92" t="str">
        <f>IFERROR(VLOOKUP(A1093,Lookup!A:C,3,0),"")</f>
        <v/>
      </c>
      <c r="D1093" s="54"/>
      <c r="E1093" s="54"/>
      <c r="F1093" s="54"/>
      <c r="G1093" s="72"/>
      <c r="H1093" s="54"/>
      <c r="I1093" s="54"/>
      <c r="J1093" s="106">
        <f>VLOOKUP(A1093&amp;G1093,Lookup!J:N,5,0)</f>
        <v>0</v>
      </c>
      <c r="K1093" s="115"/>
      <c r="L1093" s="54"/>
      <c r="M1093" s="54"/>
      <c r="N1093" s="54"/>
      <c r="O1093" s="112">
        <v>45.2673611111111</v>
      </c>
      <c r="P1093" s="110" t="str">
        <f t="shared" si="77"/>
        <v/>
      </c>
      <c r="Q1093" s="54"/>
      <c r="R1093" s="58"/>
      <c r="S1093" s="87" t="str">
        <f t="shared" si="76"/>
        <v/>
      </c>
      <c r="T1093" s="54"/>
      <c r="U1093" s="54"/>
      <c r="V1093" s="54"/>
      <c r="W1093" s="54"/>
      <c r="X1093" s="69" t="str">
        <f t="shared" si="78"/>
        <v>D</v>
      </c>
    </row>
    <row r="1094" spans="1:24" s="66" customFormat="1" x14ac:dyDescent="0.25">
      <c r="A1094" s="51"/>
      <c r="B1094" s="91" t="str">
        <f>IFERROR(VLOOKUP(A1094,Lookup!A:B,2,0),"")</f>
        <v/>
      </c>
      <c r="C1094" s="92" t="str">
        <f>IFERROR(VLOOKUP(A1094,Lookup!A:C,3,0),"")</f>
        <v/>
      </c>
      <c r="D1094" s="54"/>
      <c r="E1094" s="54"/>
      <c r="F1094" s="54"/>
      <c r="G1094" s="72"/>
      <c r="H1094" s="54"/>
      <c r="I1094" s="54"/>
      <c r="J1094" s="106">
        <f>VLOOKUP(A1094&amp;G1094,Lookup!J:N,5,0)</f>
        <v>0</v>
      </c>
      <c r="K1094" s="115"/>
      <c r="L1094" s="54"/>
      <c r="M1094" s="54"/>
      <c r="N1094" s="54"/>
      <c r="O1094" s="112">
        <v>45.3090277777778</v>
      </c>
      <c r="P1094" s="110" t="str">
        <f t="shared" si="77"/>
        <v/>
      </c>
      <c r="Q1094" s="54"/>
      <c r="R1094" s="58"/>
      <c r="S1094" s="87" t="str">
        <f t="shared" si="76"/>
        <v/>
      </c>
      <c r="T1094" s="54"/>
      <c r="U1094" s="54"/>
      <c r="V1094" s="54"/>
      <c r="W1094" s="54"/>
      <c r="X1094" s="69" t="str">
        <f t="shared" si="78"/>
        <v>D</v>
      </c>
    </row>
    <row r="1095" spans="1:24" s="66" customFormat="1" x14ac:dyDescent="0.25">
      <c r="A1095" s="51"/>
      <c r="B1095" s="91" t="str">
        <f>IFERROR(VLOOKUP(A1095,Lookup!A:B,2,0),"")</f>
        <v/>
      </c>
      <c r="C1095" s="92" t="str">
        <f>IFERROR(VLOOKUP(A1095,Lookup!A:C,3,0),"")</f>
        <v/>
      </c>
      <c r="D1095" s="54"/>
      <c r="E1095" s="54"/>
      <c r="F1095" s="54"/>
      <c r="G1095" s="72"/>
      <c r="H1095" s="54"/>
      <c r="I1095" s="54"/>
      <c r="J1095" s="106">
        <f>VLOOKUP(A1095&amp;G1095,Lookup!J:N,5,0)</f>
        <v>0</v>
      </c>
      <c r="K1095" s="115"/>
      <c r="L1095" s="54"/>
      <c r="M1095" s="54"/>
      <c r="N1095" s="54"/>
      <c r="O1095" s="112">
        <v>45.3506944444444</v>
      </c>
      <c r="P1095" s="110" t="str">
        <f t="shared" si="77"/>
        <v/>
      </c>
      <c r="Q1095" s="54"/>
      <c r="R1095" s="58"/>
      <c r="S1095" s="87" t="str">
        <f t="shared" ref="S1095:S1158" si="79">IF(OR(EXACT(Q1095,""), EXACT(L1095,"")),"",Q1095-L1095)</f>
        <v/>
      </c>
      <c r="T1095" s="54"/>
      <c r="U1095" s="54"/>
      <c r="V1095" s="54"/>
      <c r="W1095" s="54"/>
      <c r="X1095" s="69" t="str">
        <f t="shared" si="78"/>
        <v>D</v>
      </c>
    </row>
    <row r="1096" spans="1:24" s="66" customFormat="1" x14ac:dyDescent="0.25">
      <c r="A1096" s="51"/>
      <c r="B1096" s="91" t="str">
        <f>IFERROR(VLOOKUP(A1096,Lookup!A:B,2,0),"")</f>
        <v/>
      </c>
      <c r="C1096" s="92" t="str">
        <f>IFERROR(VLOOKUP(A1096,Lookup!A:C,3,0),"")</f>
        <v/>
      </c>
      <c r="D1096" s="54"/>
      <c r="E1096" s="54"/>
      <c r="F1096" s="54"/>
      <c r="G1096" s="72"/>
      <c r="H1096" s="54"/>
      <c r="I1096" s="54"/>
      <c r="J1096" s="106">
        <f>VLOOKUP(A1096&amp;G1096,Lookup!J:N,5,0)</f>
        <v>0</v>
      </c>
      <c r="K1096" s="115"/>
      <c r="L1096" s="54"/>
      <c r="M1096" s="54"/>
      <c r="N1096" s="54"/>
      <c r="O1096" s="112">
        <v>45.3923611111111</v>
      </c>
      <c r="P1096" s="110" t="str">
        <f t="shared" si="77"/>
        <v/>
      </c>
      <c r="Q1096" s="54"/>
      <c r="R1096" s="58"/>
      <c r="S1096" s="87" t="str">
        <f t="shared" si="79"/>
        <v/>
      </c>
      <c r="T1096" s="54"/>
      <c r="U1096" s="54"/>
      <c r="V1096" s="54"/>
      <c r="W1096" s="54"/>
      <c r="X1096" s="69" t="str">
        <f t="shared" si="78"/>
        <v>D</v>
      </c>
    </row>
    <row r="1097" spans="1:24" s="66" customFormat="1" x14ac:dyDescent="0.25">
      <c r="A1097" s="51"/>
      <c r="B1097" s="91" t="str">
        <f>IFERROR(VLOOKUP(A1097,Lookup!A:B,2,0),"")</f>
        <v/>
      </c>
      <c r="C1097" s="92" t="str">
        <f>IFERROR(VLOOKUP(A1097,Lookup!A:C,3,0),"")</f>
        <v/>
      </c>
      <c r="D1097" s="54"/>
      <c r="E1097" s="54"/>
      <c r="F1097" s="54"/>
      <c r="G1097" s="72"/>
      <c r="H1097" s="54"/>
      <c r="I1097" s="54"/>
      <c r="J1097" s="106">
        <f>VLOOKUP(A1097&amp;G1097,Lookup!J:N,5,0)</f>
        <v>0</v>
      </c>
      <c r="K1097" s="115"/>
      <c r="L1097" s="54"/>
      <c r="M1097" s="54"/>
      <c r="N1097" s="54"/>
      <c r="O1097" s="112">
        <v>45.4340277777778</v>
      </c>
      <c r="P1097" s="110" t="str">
        <f t="shared" si="77"/>
        <v/>
      </c>
      <c r="Q1097" s="54"/>
      <c r="R1097" s="58"/>
      <c r="S1097" s="87" t="str">
        <f t="shared" si="79"/>
        <v/>
      </c>
      <c r="T1097" s="54"/>
      <c r="U1097" s="54"/>
      <c r="V1097" s="54"/>
      <c r="W1097" s="54"/>
      <c r="X1097" s="69" t="str">
        <f t="shared" si="78"/>
        <v>D</v>
      </c>
    </row>
    <row r="1098" spans="1:24" s="66" customFormat="1" x14ac:dyDescent="0.25">
      <c r="A1098" s="51"/>
      <c r="B1098" s="91" t="str">
        <f>IFERROR(VLOOKUP(A1098,Lookup!A:B,2,0),"")</f>
        <v/>
      </c>
      <c r="C1098" s="92" t="str">
        <f>IFERROR(VLOOKUP(A1098,Lookup!A:C,3,0),"")</f>
        <v/>
      </c>
      <c r="D1098" s="54"/>
      <c r="E1098" s="54"/>
      <c r="F1098" s="54"/>
      <c r="G1098" s="72"/>
      <c r="H1098" s="54"/>
      <c r="I1098" s="54"/>
      <c r="J1098" s="106">
        <f>VLOOKUP(A1098&amp;G1098,Lookup!J:N,5,0)</f>
        <v>0</v>
      </c>
      <c r="K1098" s="115"/>
      <c r="L1098" s="54"/>
      <c r="M1098" s="54"/>
      <c r="N1098" s="54"/>
      <c r="O1098" s="112">
        <v>45.4756944444444</v>
      </c>
      <c r="P1098" s="110" t="str">
        <f t="shared" si="77"/>
        <v/>
      </c>
      <c r="Q1098" s="54"/>
      <c r="R1098" s="58"/>
      <c r="S1098" s="87" t="str">
        <f t="shared" si="79"/>
        <v/>
      </c>
      <c r="T1098" s="54"/>
      <c r="U1098" s="54"/>
      <c r="V1098" s="54"/>
      <c r="W1098" s="54"/>
      <c r="X1098" s="69" t="str">
        <f t="shared" si="78"/>
        <v>D</v>
      </c>
    </row>
    <row r="1099" spans="1:24" s="66" customFormat="1" x14ac:dyDescent="0.25">
      <c r="A1099" s="51"/>
      <c r="B1099" s="91" t="str">
        <f>IFERROR(VLOOKUP(A1099,Lookup!A:B,2,0),"")</f>
        <v/>
      </c>
      <c r="C1099" s="92" t="str">
        <f>IFERROR(VLOOKUP(A1099,Lookup!A:C,3,0),"")</f>
        <v/>
      </c>
      <c r="D1099" s="54"/>
      <c r="E1099" s="54"/>
      <c r="F1099" s="54"/>
      <c r="G1099" s="72"/>
      <c r="H1099" s="54"/>
      <c r="I1099" s="54"/>
      <c r="J1099" s="106">
        <f>VLOOKUP(A1099&amp;G1099,Lookup!J:N,5,0)</f>
        <v>0</v>
      </c>
      <c r="K1099" s="115"/>
      <c r="L1099" s="54"/>
      <c r="M1099" s="54"/>
      <c r="N1099" s="54"/>
      <c r="O1099" s="112">
        <v>45.5173611111111</v>
      </c>
      <c r="P1099" s="110" t="str">
        <f t="shared" si="77"/>
        <v/>
      </c>
      <c r="Q1099" s="54"/>
      <c r="R1099" s="58"/>
      <c r="S1099" s="87" t="str">
        <f t="shared" si="79"/>
        <v/>
      </c>
      <c r="T1099" s="54"/>
      <c r="U1099" s="54"/>
      <c r="V1099" s="54"/>
      <c r="W1099" s="54"/>
      <c r="X1099" s="69" t="str">
        <f t="shared" si="78"/>
        <v>D</v>
      </c>
    </row>
    <row r="1100" spans="1:24" s="66" customFormat="1" x14ac:dyDescent="0.25">
      <c r="A1100" s="51"/>
      <c r="B1100" s="91" t="str">
        <f>IFERROR(VLOOKUP(A1100,Lookup!A:B,2,0),"")</f>
        <v/>
      </c>
      <c r="C1100" s="92" t="str">
        <f>IFERROR(VLOOKUP(A1100,Lookup!A:C,3,0),"")</f>
        <v/>
      </c>
      <c r="D1100" s="54"/>
      <c r="E1100" s="54"/>
      <c r="F1100" s="54"/>
      <c r="G1100" s="72"/>
      <c r="H1100" s="54"/>
      <c r="I1100" s="54"/>
      <c r="J1100" s="106">
        <f>VLOOKUP(A1100&amp;G1100,Lookup!J:N,5,0)</f>
        <v>0</v>
      </c>
      <c r="K1100" s="115"/>
      <c r="L1100" s="54"/>
      <c r="M1100" s="54"/>
      <c r="N1100" s="54"/>
      <c r="O1100" s="112">
        <v>45.5590277777778</v>
      </c>
      <c r="P1100" s="110" t="str">
        <f t="shared" si="77"/>
        <v/>
      </c>
      <c r="Q1100" s="54"/>
      <c r="R1100" s="58"/>
      <c r="S1100" s="87" t="str">
        <f t="shared" si="79"/>
        <v/>
      </c>
      <c r="T1100" s="54"/>
      <c r="U1100" s="54"/>
      <c r="V1100" s="54"/>
      <c r="W1100" s="54"/>
      <c r="X1100" s="69" t="str">
        <f t="shared" si="78"/>
        <v>D</v>
      </c>
    </row>
    <row r="1101" spans="1:24" s="66" customFormat="1" x14ac:dyDescent="0.25">
      <c r="A1101" s="51"/>
      <c r="B1101" s="91" t="str">
        <f>IFERROR(VLOOKUP(A1101,Lookup!A:B,2,0),"")</f>
        <v/>
      </c>
      <c r="C1101" s="92" t="str">
        <f>IFERROR(VLOOKUP(A1101,Lookup!A:C,3,0),"")</f>
        <v/>
      </c>
      <c r="D1101" s="54"/>
      <c r="E1101" s="54"/>
      <c r="F1101" s="54"/>
      <c r="G1101" s="72"/>
      <c r="H1101" s="54"/>
      <c r="I1101" s="54"/>
      <c r="J1101" s="106">
        <f>VLOOKUP(A1101&amp;G1101,Lookup!J:N,5,0)</f>
        <v>0</v>
      </c>
      <c r="K1101" s="115"/>
      <c r="L1101" s="54"/>
      <c r="M1101" s="54"/>
      <c r="N1101" s="54"/>
      <c r="O1101" s="112">
        <v>45.6006944444444</v>
      </c>
      <c r="P1101" s="110" t="str">
        <f t="shared" si="77"/>
        <v/>
      </c>
      <c r="Q1101" s="54"/>
      <c r="R1101" s="58"/>
      <c r="S1101" s="87" t="str">
        <f t="shared" si="79"/>
        <v/>
      </c>
      <c r="T1101" s="54"/>
      <c r="U1101" s="54"/>
      <c r="V1101" s="54"/>
      <c r="W1101" s="54"/>
      <c r="X1101" s="69" t="str">
        <f t="shared" si="78"/>
        <v>D</v>
      </c>
    </row>
    <row r="1102" spans="1:24" s="66" customFormat="1" x14ac:dyDescent="0.25">
      <c r="A1102" s="51"/>
      <c r="B1102" s="91" t="str">
        <f>IFERROR(VLOOKUP(A1102,Lookup!A:B,2,0),"")</f>
        <v/>
      </c>
      <c r="C1102" s="92" t="str">
        <f>IFERROR(VLOOKUP(A1102,Lookup!A:C,3,0),"")</f>
        <v/>
      </c>
      <c r="D1102" s="54"/>
      <c r="E1102" s="54"/>
      <c r="F1102" s="54"/>
      <c r="G1102" s="72"/>
      <c r="H1102" s="54"/>
      <c r="I1102" s="54"/>
      <c r="J1102" s="106">
        <f>VLOOKUP(A1102&amp;G1102,Lookup!J:N,5,0)</f>
        <v>0</v>
      </c>
      <c r="K1102" s="115"/>
      <c r="L1102" s="54"/>
      <c r="M1102" s="54"/>
      <c r="N1102" s="54"/>
      <c r="O1102" s="112">
        <v>45.6423611111111</v>
      </c>
      <c r="P1102" s="110" t="str">
        <f t="shared" si="77"/>
        <v/>
      </c>
      <c r="Q1102" s="54"/>
      <c r="R1102" s="58"/>
      <c r="S1102" s="87" t="str">
        <f t="shared" si="79"/>
        <v/>
      </c>
      <c r="T1102" s="54"/>
      <c r="U1102" s="54"/>
      <c r="V1102" s="54"/>
      <c r="W1102" s="54"/>
      <c r="X1102" s="69" t="str">
        <f t="shared" si="78"/>
        <v>D</v>
      </c>
    </row>
    <row r="1103" spans="1:24" s="66" customFormat="1" x14ac:dyDescent="0.25">
      <c r="A1103" s="51"/>
      <c r="B1103" s="91" t="str">
        <f>IFERROR(VLOOKUP(A1103,Lookup!A:B,2,0),"")</f>
        <v/>
      </c>
      <c r="C1103" s="92" t="str">
        <f>IFERROR(VLOOKUP(A1103,Lookup!A:C,3,0),"")</f>
        <v/>
      </c>
      <c r="D1103" s="54"/>
      <c r="E1103" s="54"/>
      <c r="F1103" s="54"/>
      <c r="G1103" s="72"/>
      <c r="H1103" s="54"/>
      <c r="I1103" s="54"/>
      <c r="J1103" s="106">
        <f>VLOOKUP(A1103&amp;G1103,Lookup!J:N,5,0)</f>
        <v>0</v>
      </c>
      <c r="K1103" s="115"/>
      <c r="L1103" s="54"/>
      <c r="M1103" s="54"/>
      <c r="N1103" s="54"/>
      <c r="O1103" s="112">
        <v>45.6840277777778</v>
      </c>
      <c r="P1103" s="110" t="str">
        <f t="shared" si="77"/>
        <v/>
      </c>
      <c r="Q1103" s="54"/>
      <c r="R1103" s="58"/>
      <c r="S1103" s="87" t="str">
        <f t="shared" si="79"/>
        <v/>
      </c>
      <c r="T1103" s="54"/>
      <c r="U1103" s="54"/>
      <c r="V1103" s="54"/>
      <c r="W1103" s="54"/>
      <c r="X1103" s="69" t="str">
        <f t="shared" si="78"/>
        <v>D</v>
      </c>
    </row>
    <row r="1104" spans="1:24" s="66" customFormat="1" x14ac:dyDescent="0.25">
      <c r="A1104" s="51"/>
      <c r="B1104" s="91" t="str">
        <f>IFERROR(VLOOKUP(A1104,Lookup!A:B,2,0),"")</f>
        <v/>
      </c>
      <c r="C1104" s="92" t="str">
        <f>IFERROR(VLOOKUP(A1104,Lookup!A:C,3,0),"")</f>
        <v/>
      </c>
      <c r="D1104" s="54"/>
      <c r="E1104" s="54"/>
      <c r="F1104" s="54"/>
      <c r="G1104" s="72"/>
      <c r="H1104" s="54"/>
      <c r="I1104" s="54"/>
      <c r="J1104" s="106">
        <f>VLOOKUP(A1104&amp;G1104,Lookup!J:N,5,0)</f>
        <v>0</v>
      </c>
      <c r="K1104" s="115"/>
      <c r="L1104" s="54"/>
      <c r="M1104" s="54"/>
      <c r="N1104" s="54"/>
      <c r="O1104" s="112">
        <v>45.7256944444444</v>
      </c>
      <c r="P1104" s="110" t="str">
        <f t="shared" si="77"/>
        <v/>
      </c>
      <c r="Q1104" s="54"/>
      <c r="R1104" s="58"/>
      <c r="S1104" s="87" t="str">
        <f t="shared" si="79"/>
        <v/>
      </c>
      <c r="T1104" s="54"/>
      <c r="U1104" s="54"/>
      <c r="V1104" s="54"/>
      <c r="W1104" s="54"/>
      <c r="X1104" s="69" t="str">
        <f t="shared" si="78"/>
        <v>D</v>
      </c>
    </row>
    <row r="1105" spans="1:24" s="66" customFormat="1" x14ac:dyDescent="0.25">
      <c r="A1105" s="51"/>
      <c r="B1105" s="91" t="str">
        <f>IFERROR(VLOOKUP(A1105,Lookup!A:B,2,0),"")</f>
        <v/>
      </c>
      <c r="C1105" s="92" t="str">
        <f>IFERROR(VLOOKUP(A1105,Lookup!A:C,3,0),"")</f>
        <v/>
      </c>
      <c r="D1105" s="54"/>
      <c r="E1105" s="54"/>
      <c r="F1105" s="54"/>
      <c r="G1105" s="72"/>
      <c r="H1105" s="54"/>
      <c r="I1105" s="54"/>
      <c r="J1105" s="106">
        <f>VLOOKUP(A1105&amp;G1105,Lookup!J:N,5,0)</f>
        <v>0</v>
      </c>
      <c r="K1105" s="115"/>
      <c r="L1105" s="54"/>
      <c r="M1105" s="54"/>
      <c r="N1105" s="54"/>
      <c r="O1105" s="112">
        <v>45.7673611111111</v>
      </c>
      <c r="P1105" s="110" t="str">
        <f t="shared" si="77"/>
        <v/>
      </c>
      <c r="Q1105" s="54"/>
      <c r="R1105" s="58"/>
      <c r="S1105" s="87" t="str">
        <f t="shared" si="79"/>
        <v/>
      </c>
      <c r="T1105" s="54"/>
      <c r="U1105" s="54"/>
      <c r="V1105" s="54"/>
      <c r="W1105" s="54"/>
      <c r="X1105" s="69" t="str">
        <f t="shared" si="78"/>
        <v>D</v>
      </c>
    </row>
    <row r="1106" spans="1:24" s="66" customFormat="1" x14ac:dyDescent="0.25">
      <c r="A1106" s="51"/>
      <c r="B1106" s="91" t="str">
        <f>IFERROR(VLOOKUP(A1106,Lookup!A:B,2,0),"")</f>
        <v/>
      </c>
      <c r="C1106" s="92" t="str">
        <f>IFERROR(VLOOKUP(A1106,Lookup!A:C,3,0),"")</f>
        <v/>
      </c>
      <c r="D1106" s="54"/>
      <c r="E1106" s="54"/>
      <c r="F1106" s="54"/>
      <c r="G1106" s="72"/>
      <c r="H1106" s="54"/>
      <c r="I1106" s="54"/>
      <c r="J1106" s="106">
        <f>VLOOKUP(A1106&amp;G1106,Lookup!J:N,5,0)</f>
        <v>0</v>
      </c>
      <c r="K1106" s="115"/>
      <c r="L1106" s="54"/>
      <c r="M1106" s="54"/>
      <c r="N1106" s="54"/>
      <c r="O1106" s="112">
        <v>45.8090277777778</v>
      </c>
      <c r="P1106" s="110" t="str">
        <f t="shared" si="77"/>
        <v/>
      </c>
      <c r="Q1106" s="54"/>
      <c r="R1106" s="58"/>
      <c r="S1106" s="87" t="str">
        <f t="shared" si="79"/>
        <v/>
      </c>
      <c r="T1106" s="54"/>
      <c r="U1106" s="54"/>
      <c r="V1106" s="54"/>
      <c r="W1106" s="54"/>
      <c r="X1106" s="69" t="str">
        <f t="shared" si="78"/>
        <v>D</v>
      </c>
    </row>
    <row r="1107" spans="1:24" s="66" customFormat="1" x14ac:dyDescent="0.25">
      <c r="A1107" s="51"/>
      <c r="B1107" s="91" t="str">
        <f>IFERROR(VLOOKUP(A1107,Lookup!A:B,2,0),"")</f>
        <v/>
      </c>
      <c r="C1107" s="92" t="str">
        <f>IFERROR(VLOOKUP(A1107,Lookup!A:C,3,0),"")</f>
        <v/>
      </c>
      <c r="D1107" s="54"/>
      <c r="E1107" s="54"/>
      <c r="F1107" s="54"/>
      <c r="G1107" s="72"/>
      <c r="H1107" s="54"/>
      <c r="I1107" s="54"/>
      <c r="J1107" s="106">
        <f>VLOOKUP(A1107&amp;G1107,Lookup!J:N,5,0)</f>
        <v>0</v>
      </c>
      <c r="K1107" s="115"/>
      <c r="L1107" s="54"/>
      <c r="M1107" s="54"/>
      <c r="N1107" s="54"/>
      <c r="O1107" s="112">
        <v>45.8506944444444</v>
      </c>
      <c r="P1107" s="110" t="str">
        <f t="shared" si="77"/>
        <v/>
      </c>
      <c r="Q1107" s="54"/>
      <c r="R1107" s="58"/>
      <c r="S1107" s="87" t="str">
        <f t="shared" si="79"/>
        <v/>
      </c>
      <c r="T1107" s="54"/>
      <c r="U1107" s="54"/>
      <c r="V1107" s="54"/>
      <c r="W1107" s="54"/>
      <c r="X1107" s="69" t="str">
        <f t="shared" si="78"/>
        <v>D</v>
      </c>
    </row>
    <row r="1108" spans="1:24" s="66" customFormat="1" x14ac:dyDescent="0.25">
      <c r="A1108" s="51"/>
      <c r="B1108" s="91" t="str">
        <f>IFERROR(VLOOKUP(A1108,Lookup!A:B,2,0),"")</f>
        <v/>
      </c>
      <c r="C1108" s="92" t="str">
        <f>IFERROR(VLOOKUP(A1108,Lookup!A:C,3,0),"")</f>
        <v/>
      </c>
      <c r="D1108" s="54"/>
      <c r="E1108" s="54"/>
      <c r="F1108" s="54"/>
      <c r="G1108" s="72"/>
      <c r="H1108" s="54"/>
      <c r="I1108" s="54"/>
      <c r="J1108" s="106">
        <f>VLOOKUP(A1108&amp;G1108,Lookup!J:N,5,0)</f>
        <v>0</v>
      </c>
      <c r="K1108" s="115"/>
      <c r="L1108" s="54"/>
      <c r="M1108" s="54"/>
      <c r="N1108" s="54"/>
      <c r="O1108" s="112">
        <v>45.8923611111111</v>
      </c>
      <c r="P1108" s="110" t="str">
        <f t="shared" si="77"/>
        <v/>
      </c>
      <c r="Q1108" s="54"/>
      <c r="R1108" s="58"/>
      <c r="S1108" s="87" t="str">
        <f t="shared" si="79"/>
        <v/>
      </c>
      <c r="T1108" s="54"/>
      <c r="U1108" s="54"/>
      <c r="V1108" s="54"/>
      <c r="W1108" s="54"/>
      <c r="X1108" s="69" t="str">
        <f t="shared" si="78"/>
        <v>D</v>
      </c>
    </row>
    <row r="1109" spans="1:24" s="66" customFormat="1" x14ac:dyDescent="0.25">
      <c r="A1109" s="51"/>
      <c r="B1109" s="91" t="str">
        <f>IFERROR(VLOOKUP(A1109,Lookup!A:B,2,0),"")</f>
        <v/>
      </c>
      <c r="C1109" s="92" t="str">
        <f>IFERROR(VLOOKUP(A1109,Lookup!A:C,3,0),"")</f>
        <v/>
      </c>
      <c r="D1109" s="54"/>
      <c r="E1109" s="54"/>
      <c r="F1109" s="54"/>
      <c r="G1109" s="72"/>
      <c r="H1109" s="54"/>
      <c r="I1109" s="54"/>
      <c r="J1109" s="106">
        <f>VLOOKUP(A1109&amp;G1109,Lookup!J:N,5,0)</f>
        <v>0</v>
      </c>
      <c r="K1109" s="115"/>
      <c r="L1109" s="54"/>
      <c r="M1109" s="54"/>
      <c r="N1109" s="54"/>
      <c r="O1109" s="112">
        <v>45.9340277777778</v>
      </c>
      <c r="P1109" s="110" t="str">
        <f t="shared" si="77"/>
        <v/>
      </c>
      <c r="Q1109" s="54"/>
      <c r="R1109" s="58"/>
      <c r="S1109" s="87" t="str">
        <f t="shared" si="79"/>
        <v/>
      </c>
      <c r="T1109" s="54"/>
      <c r="U1109" s="54"/>
      <c r="V1109" s="54"/>
      <c r="W1109" s="54"/>
      <c r="X1109" s="69" t="str">
        <f t="shared" si="78"/>
        <v>D</v>
      </c>
    </row>
    <row r="1110" spans="1:24" s="66" customFormat="1" x14ac:dyDescent="0.25">
      <c r="A1110" s="51"/>
      <c r="B1110" s="91" t="str">
        <f>IFERROR(VLOOKUP(A1110,Lookup!A:B,2,0),"")</f>
        <v/>
      </c>
      <c r="C1110" s="92" t="str">
        <f>IFERROR(VLOOKUP(A1110,Lookup!A:C,3,0),"")</f>
        <v/>
      </c>
      <c r="D1110" s="54"/>
      <c r="E1110" s="54"/>
      <c r="F1110" s="54"/>
      <c r="G1110" s="72"/>
      <c r="H1110" s="54"/>
      <c r="I1110" s="54"/>
      <c r="J1110" s="106">
        <f>VLOOKUP(A1110&amp;G1110,Lookup!J:N,5,0)</f>
        <v>0</v>
      </c>
      <c r="K1110" s="115"/>
      <c r="L1110" s="54"/>
      <c r="M1110" s="54"/>
      <c r="N1110" s="54"/>
      <c r="O1110" s="112">
        <v>45.9756944444444</v>
      </c>
      <c r="P1110" s="110" t="str">
        <f t="shared" si="77"/>
        <v/>
      </c>
      <c r="Q1110" s="54"/>
      <c r="R1110" s="58"/>
      <c r="S1110" s="87" t="str">
        <f t="shared" si="79"/>
        <v/>
      </c>
      <c r="T1110" s="54"/>
      <c r="U1110" s="54"/>
      <c r="V1110" s="54"/>
      <c r="W1110" s="54"/>
      <c r="X1110" s="69" t="str">
        <f t="shared" si="78"/>
        <v>D</v>
      </c>
    </row>
    <row r="1111" spans="1:24" s="66" customFormat="1" x14ac:dyDescent="0.25">
      <c r="A1111" s="51"/>
      <c r="B1111" s="91" t="str">
        <f>IFERROR(VLOOKUP(A1111,Lookup!A:B,2,0),"")</f>
        <v/>
      </c>
      <c r="C1111" s="92" t="str">
        <f>IFERROR(VLOOKUP(A1111,Lookup!A:C,3,0),"")</f>
        <v/>
      </c>
      <c r="D1111" s="54"/>
      <c r="E1111" s="54"/>
      <c r="F1111" s="54"/>
      <c r="G1111" s="72"/>
      <c r="H1111" s="54"/>
      <c r="I1111" s="54"/>
      <c r="J1111" s="106">
        <f>VLOOKUP(A1111&amp;G1111,Lookup!J:N,5,0)</f>
        <v>0</v>
      </c>
      <c r="K1111" s="115"/>
      <c r="L1111" s="54"/>
      <c r="M1111" s="54"/>
      <c r="N1111" s="54"/>
      <c r="O1111" s="112">
        <v>46.0173611111111</v>
      </c>
      <c r="P1111" s="110" t="str">
        <f t="shared" si="77"/>
        <v/>
      </c>
      <c r="Q1111" s="54"/>
      <c r="R1111" s="58"/>
      <c r="S1111" s="87" t="str">
        <f t="shared" si="79"/>
        <v/>
      </c>
      <c r="T1111" s="54"/>
      <c r="U1111" s="54"/>
      <c r="V1111" s="54"/>
      <c r="W1111" s="54"/>
      <c r="X1111" s="69" t="str">
        <f t="shared" si="78"/>
        <v>D</v>
      </c>
    </row>
    <row r="1112" spans="1:24" s="66" customFormat="1" x14ac:dyDescent="0.25">
      <c r="A1112" s="51"/>
      <c r="B1112" s="91" t="str">
        <f>IFERROR(VLOOKUP(A1112,Lookup!A:B,2,0),"")</f>
        <v/>
      </c>
      <c r="C1112" s="92" t="str">
        <f>IFERROR(VLOOKUP(A1112,Lookup!A:C,3,0),"")</f>
        <v/>
      </c>
      <c r="D1112" s="54"/>
      <c r="E1112" s="54"/>
      <c r="F1112" s="54"/>
      <c r="G1112" s="72"/>
      <c r="H1112" s="54"/>
      <c r="I1112" s="54"/>
      <c r="J1112" s="106">
        <f>VLOOKUP(A1112&amp;G1112,Lookup!J:N,5,0)</f>
        <v>0</v>
      </c>
      <c r="K1112" s="115"/>
      <c r="L1112" s="54"/>
      <c r="M1112" s="54"/>
      <c r="N1112" s="54"/>
      <c r="O1112" s="112">
        <v>46.0590277777778</v>
      </c>
      <c r="P1112" s="110" t="str">
        <f t="shared" si="77"/>
        <v/>
      </c>
      <c r="Q1112" s="54"/>
      <c r="R1112" s="58"/>
      <c r="S1112" s="87" t="str">
        <f t="shared" si="79"/>
        <v/>
      </c>
      <c r="T1112" s="54"/>
      <c r="U1112" s="54"/>
      <c r="V1112" s="54"/>
      <c r="W1112" s="54"/>
      <c r="X1112" s="69" t="str">
        <f t="shared" si="78"/>
        <v>D</v>
      </c>
    </row>
    <row r="1113" spans="1:24" s="66" customFormat="1" x14ac:dyDescent="0.25">
      <c r="A1113" s="51"/>
      <c r="B1113" s="91" t="str">
        <f>IFERROR(VLOOKUP(A1113,Lookup!A:B,2,0),"")</f>
        <v/>
      </c>
      <c r="C1113" s="92" t="str">
        <f>IFERROR(VLOOKUP(A1113,Lookup!A:C,3,0),"")</f>
        <v/>
      </c>
      <c r="D1113" s="54"/>
      <c r="E1113" s="54"/>
      <c r="F1113" s="54"/>
      <c r="G1113" s="72"/>
      <c r="H1113" s="54"/>
      <c r="I1113" s="54"/>
      <c r="J1113" s="106">
        <f>VLOOKUP(A1113&amp;G1113,Lookup!J:N,5,0)</f>
        <v>0</v>
      </c>
      <c r="K1113" s="115"/>
      <c r="L1113" s="54"/>
      <c r="M1113" s="54"/>
      <c r="N1113" s="54"/>
      <c r="O1113" s="112">
        <v>46.1006944444444</v>
      </c>
      <c r="P1113" s="110" t="str">
        <f t="shared" si="77"/>
        <v/>
      </c>
      <c r="Q1113" s="54"/>
      <c r="R1113" s="58"/>
      <c r="S1113" s="87" t="str">
        <f t="shared" si="79"/>
        <v/>
      </c>
      <c r="T1113" s="54"/>
      <c r="U1113" s="54"/>
      <c r="V1113" s="54"/>
      <c r="W1113" s="54"/>
      <c r="X1113" s="69" t="str">
        <f t="shared" si="78"/>
        <v>D</v>
      </c>
    </row>
    <row r="1114" spans="1:24" s="66" customFormat="1" x14ac:dyDescent="0.25">
      <c r="A1114" s="51"/>
      <c r="B1114" s="91" t="str">
        <f>IFERROR(VLOOKUP(A1114,Lookup!A:B,2,0),"")</f>
        <v/>
      </c>
      <c r="C1114" s="92" t="str">
        <f>IFERROR(VLOOKUP(A1114,Lookup!A:C,3,0),"")</f>
        <v/>
      </c>
      <c r="D1114" s="54"/>
      <c r="E1114" s="54"/>
      <c r="F1114" s="54"/>
      <c r="G1114" s="72"/>
      <c r="H1114" s="54"/>
      <c r="I1114" s="54"/>
      <c r="J1114" s="106">
        <f>VLOOKUP(A1114&amp;G1114,Lookup!J:N,5,0)</f>
        <v>0</v>
      </c>
      <c r="K1114" s="115"/>
      <c r="L1114" s="54"/>
      <c r="M1114" s="54"/>
      <c r="N1114" s="54"/>
      <c r="O1114" s="112">
        <v>46.1423611111111</v>
      </c>
      <c r="P1114" s="110" t="str">
        <f t="shared" si="77"/>
        <v/>
      </c>
      <c r="Q1114" s="54"/>
      <c r="R1114" s="58"/>
      <c r="S1114" s="87" t="str">
        <f t="shared" si="79"/>
        <v/>
      </c>
      <c r="T1114" s="54"/>
      <c r="U1114" s="54"/>
      <c r="V1114" s="54"/>
      <c r="W1114" s="54"/>
      <c r="X1114" s="69" t="str">
        <f t="shared" si="78"/>
        <v>D</v>
      </c>
    </row>
    <row r="1115" spans="1:24" s="66" customFormat="1" x14ac:dyDescent="0.25">
      <c r="A1115" s="51"/>
      <c r="B1115" s="91" t="str">
        <f>IFERROR(VLOOKUP(A1115,Lookup!A:B,2,0),"")</f>
        <v/>
      </c>
      <c r="C1115" s="92" t="str">
        <f>IFERROR(VLOOKUP(A1115,Lookup!A:C,3,0),"")</f>
        <v/>
      </c>
      <c r="D1115" s="54"/>
      <c r="E1115" s="54"/>
      <c r="F1115" s="54"/>
      <c r="G1115" s="72"/>
      <c r="H1115" s="54"/>
      <c r="I1115" s="54"/>
      <c r="J1115" s="106">
        <f>VLOOKUP(A1115&amp;G1115,Lookup!J:N,5,0)</f>
        <v>0</v>
      </c>
      <c r="K1115" s="115"/>
      <c r="L1115" s="54"/>
      <c r="M1115" s="54"/>
      <c r="N1115" s="54"/>
      <c r="O1115" s="112">
        <v>46.1840277777778</v>
      </c>
      <c r="P1115" s="110" t="str">
        <f t="shared" si="77"/>
        <v/>
      </c>
      <c r="Q1115" s="54"/>
      <c r="R1115" s="58"/>
      <c r="S1115" s="87" t="str">
        <f t="shared" si="79"/>
        <v/>
      </c>
      <c r="T1115" s="54"/>
      <c r="U1115" s="54"/>
      <c r="V1115" s="54"/>
      <c r="W1115" s="54"/>
      <c r="X1115" s="69" t="str">
        <f t="shared" si="78"/>
        <v>D</v>
      </c>
    </row>
    <row r="1116" spans="1:24" s="66" customFormat="1" x14ac:dyDescent="0.25">
      <c r="A1116" s="51"/>
      <c r="B1116" s="91" t="str">
        <f>IFERROR(VLOOKUP(A1116,Lookup!A:B,2,0),"")</f>
        <v/>
      </c>
      <c r="C1116" s="92" t="str">
        <f>IFERROR(VLOOKUP(A1116,Lookup!A:C,3,0),"")</f>
        <v/>
      </c>
      <c r="D1116" s="54"/>
      <c r="E1116" s="54"/>
      <c r="F1116" s="54"/>
      <c r="G1116" s="72"/>
      <c r="H1116" s="54"/>
      <c r="I1116" s="54"/>
      <c r="J1116" s="106">
        <f>VLOOKUP(A1116&amp;G1116,Lookup!J:N,5,0)</f>
        <v>0</v>
      </c>
      <c r="K1116" s="115"/>
      <c r="L1116" s="54"/>
      <c r="M1116" s="54"/>
      <c r="N1116" s="54"/>
      <c r="O1116" s="112">
        <v>46.2256944444444</v>
      </c>
      <c r="P1116" s="110" t="str">
        <f t="shared" si="77"/>
        <v/>
      </c>
      <c r="Q1116" s="54"/>
      <c r="R1116" s="58"/>
      <c r="S1116" s="87" t="str">
        <f t="shared" si="79"/>
        <v/>
      </c>
      <c r="T1116" s="54"/>
      <c r="U1116" s="54"/>
      <c r="V1116" s="54"/>
      <c r="W1116" s="54"/>
      <c r="X1116" s="69" t="str">
        <f t="shared" si="78"/>
        <v>D</v>
      </c>
    </row>
    <row r="1117" spans="1:24" s="66" customFormat="1" x14ac:dyDescent="0.25">
      <c r="A1117" s="51"/>
      <c r="B1117" s="91" t="str">
        <f>IFERROR(VLOOKUP(A1117,Lookup!A:B,2,0),"")</f>
        <v/>
      </c>
      <c r="C1117" s="92" t="str">
        <f>IFERROR(VLOOKUP(A1117,Lookup!A:C,3,0),"")</f>
        <v/>
      </c>
      <c r="D1117" s="54"/>
      <c r="E1117" s="54"/>
      <c r="F1117" s="54"/>
      <c r="G1117" s="72"/>
      <c r="H1117" s="54"/>
      <c r="I1117" s="54"/>
      <c r="J1117" s="106">
        <f>VLOOKUP(A1117&amp;G1117,Lookup!J:N,5,0)</f>
        <v>0</v>
      </c>
      <c r="K1117" s="115"/>
      <c r="L1117" s="54"/>
      <c r="M1117" s="54"/>
      <c r="N1117" s="54"/>
      <c r="O1117" s="112">
        <v>46.2673611111111</v>
      </c>
      <c r="P1117" s="110" t="str">
        <f t="shared" si="77"/>
        <v/>
      </c>
      <c r="Q1117" s="54"/>
      <c r="R1117" s="58"/>
      <c r="S1117" s="87" t="str">
        <f t="shared" si="79"/>
        <v/>
      </c>
      <c r="T1117" s="54"/>
      <c r="U1117" s="54"/>
      <c r="V1117" s="54"/>
      <c r="W1117" s="54"/>
      <c r="X1117" s="69" t="str">
        <f t="shared" si="78"/>
        <v>D</v>
      </c>
    </row>
    <row r="1118" spans="1:24" s="66" customFormat="1" x14ac:dyDescent="0.25">
      <c r="A1118" s="51"/>
      <c r="B1118" s="91" t="str">
        <f>IFERROR(VLOOKUP(A1118,Lookup!A:B,2,0),"")</f>
        <v/>
      </c>
      <c r="C1118" s="92" t="str">
        <f>IFERROR(VLOOKUP(A1118,Lookup!A:C,3,0),"")</f>
        <v/>
      </c>
      <c r="D1118" s="54"/>
      <c r="E1118" s="54"/>
      <c r="F1118" s="54"/>
      <c r="G1118" s="72"/>
      <c r="H1118" s="54"/>
      <c r="I1118" s="54"/>
      <c r="J1118" s="106">
        <f>VLOOKUP(A1118&amp;G1118,Lookup!J:N,5,0)</f>
        <v>0</v>
      </c>
      <c r="K1118" s="115"/>
      <c r="L1118" s="54"/>
      <c r="M1118" s="54"/>
      <c r="N1118" s="54"/>
      <c r="O1118" s="112">
        <v>46.3090277777778</v>
      </c>
      <c r="P1118" s="110" t="str">
        <f t="shared" si="77"/>
        <v/>
      </c>
      <c r="Q1118" s="54"/>
      <c r="R1118" s="58"/>
      <c r="S1118" s="87" t="str">
        <f t="shared" si="79"/>
        <v/>
      </c>
      <c r="T1118" s="54"/>
      <c r="U1118" s="54"/>
      <c r="V1118" s="54"/>
      <c r="W1118" s="54"/>
      <c r="X1118" s="69" t="str">
        <f t="shared" si="78"/>
        <v>D</v>
      </c>
    </row>
    <row r="1119" spans="1:24" s="66" customFormat="1" x14ac:dyDescent="0.25">
      <c r="A1119" s="51"/>
      <c r="B1119" s="91" t="str">
        <f>IFERROR(VLOOKUP(A1119,Lookup!A:B,2,0),"")</f>
        <v/>
      </c>
      <c r="C1119" s="92" t="str">
        <f>IFERROR(VLOOKUP(A1119,Lookup!A:C,3,0),"")</f>
        <v/>
      </c>
      <c r="D1119" s="54"/>
      <c r="E1119" s="54"/>
      <c r="F1119" s="54"/>
      <c r="G1119" s="72"/>
      <c r="H1119" s="54"/>
      <c r="I1119" s="54"/>
      <c r="J1119" s="106">
        <f>VLOOKUP(A1119&amp;G1119,Lookup!J:N,5,0)</f>
        <v>0</v>
      </c>
      <c r="K1119" s="115"/>
      <c r="L1119" s="54"/>
      <c r="M1119" s="54"/>
      <c r="N1119" s="54"/>
      <c r="O1119" s="112">
        <v>46.3506944444444</v>
      </c>
      <c r="P1119" s="110" t="str">
        <f t="shared" si="77"/>
        <v/>
      </c>
      <c r="Q1119" s="54"/>
      <c r="R1119" s="58"/>
      <c r="S1119" s="87" t="str">
        <f t="shared" si="79"/>
        <v/>
      </c>
      <c r="T1119" s="54"/>
      <c r="U1119" s="54"/>
      <c r="V1119" s="54"/>
      <c r="W1119" s="54"/>
      <c r="X1119" s="69" t="str">
        <f t="shared" si="78"/>
        <v>D</v>
      </c>
    </row>
    <row r="1120" spans="1:24" s="66" customFormat="1" x14ac:dyDescent="0.25">
      <c r="A1120" s="51"/>
      <c r="B1120" s="91" t="str">
        <f>IFERROR(VLOOKUP(A1120,Lookup!A:B,2,0),"")</f>
        <v/>
      </c>
      <c r="C1120" s="92" t="str">
        <f>IFERROR(VLOOKUP(A1120,Lookup!A:C,3,0),"")</f>
        <v/>
      </c>
      <c r="D1120" s="54"/>
      <c r="E1120" s="54"/>
      <c r="F1120" s="54"/>
      <c r="G1120" s="72"/>
      <c r="H1120" s="54"/>
      <c r="I1120" s="54"/>
      <c r="J1120" s="106">
        <f>VLOOKUP(A1120&amp;G1120,Lookup!J:N,5,0)</f>
        <v>0</v>
      </c>
      <c r="K1120" s="115"/>
      <c r="L1120" s="54"/>
      <c r="M1120" s="54"/>
      <c r="N1120" s="54"/>
      <c r="O1120" s="112">
        <v>46.3923611111111</v>
      </c>
      <c r="P1120" s="110" t="str">
        <f t="shared" si="77"/>
        <v/>
      </c>
      <c r="Q1120" s="54"/>
      <c r="R1120" s="58"/>
      <c r="S1120" s="87" t="str">
        <f t="shared" si="79"/>
        <v/>
      </c>
      <c r="T1120" s="54"/>
      <c r="U1120" s="54"/>
      <c r="V1120" s="54"/>
      <c r="W1120" s="54"/>
      <c r="X1120" s="69" t="str">
        <f t="shared" si="78"/>
        <v>D</v>
      </c>
    </row>
    <row r="1121" spans="1:24" s="66" customFormat="1" x14ac:dyDescent="0.25">
      <c r="A1121" s="51"/>
      <c r="B1121" s="91" t="str">
        <f>IFERROR(VLOOKUP(A1121,Lookup!A:B,2,0),"")</f>
        <v/>
      </c>
      <c r="C1121" s="92" t="str">
        <f>IFERROR(VLOOKUP(A1121,Lookup!A:C,3,0),"")</f>
        <v/>
      </c>
      <c r="D1121" s="54"/>
      <c r="E1121" s="54"/>
      <c r="F1121" s="54"/>
      <c r="G1121" s="72"/>
      <c r="H1121" s="54"/>
      <c r="I1121" s="54"/>
      <c r="J1121" s="106">
        <f>VLOOKUP(A1121&amp;G1121,Lookup!J:N,5,0)</f>
        <v>0</v>
      </c>
      <c r="K1121" s="115"/>
      <c r="L1121" s="54"/>
      <c r="M1121" s="54"/>
      <c r="N1121" s="54"/>
      <c r="O1121" s="112">
        <v>46.4340277777778</v>
      </c>
      <c r="P1121" s="110" t="str">
        <f t="shared" si="77"/>
        <v/>
      </c>
      <c r="Q1121" s="54"/>
      <c r="R1121" s="58"/>
      <c r="S1121" s="87" t="str">
        <f t="shared" si="79"/>
        <v/>
      </c>
      <c r="T1121" s="54"/>
      <c r="U1121" s="54"/>
      <c r="V1121" s="54"/>
      <c r="W1121" s="54"/>
      <c r="X1121" s="69" t="str">
        <f t="shared" si="78"/>
        <v>D</v>
      </c>
    </row>
    <row r="1122" spans="1:24" s="66" customFormat="1" x14ac:dyDescent="0.25">
      <c r="A1122" s="51"/>
      <c r="B1122" s="91" t="str">
        <f>IFERROR(VLOOKUP(A1122,Lookup!A:B,2,0),"")</f>
        <v/>
      </c>
      <c r="C1122" s="92" t="str">
        <f>IFERROR(VLOOKUP(A1122,Lookup!A:C,3,0),"")</f>
        <v/>
      </c>
      <c r="D1122" s="54"/>
      <c r="E1122" s="54"/>
      <c r="F1122" s="54"/>
      <c r="G1122" s="72"/>
      <c r="H1122" s="54"/>
      <c r="I1122" s="54"/>
      <c r="J1122" s="106">
        <f>VLOOKUP(A1122&amp;G1122,Lookup!J:N,5,0)</f>
        <v>0</v>
      </c>
      <c r="K1122" s="115"/>
      <c r="L1122" s="54"/>
      <c r="M1122" s="54"/>
      <c r="N1122" s="54"/>
      <c r="O1122" s="112">
        <v>46.4756944444444</v>
      </c>
      <c r="P1122" s="110" t="str">
        <f t="shared" si="77"/>
        <v/>
      </c>
      <c r="Q1122" s="54"/>
      <c r="R1122" s="58"/>
      <c r="S1122" s="87" t="str">
        <f t="shared" si="79"/>
        <v/>
      </c>
      <c r="T1122" s="54"/>
      <c r="U1122" s="54"/>
      <c r="V1122" s="54"/>
      <c r="W1122" s="54"/>
      <c r="X1122" s="69" t="str">
        <f t="shared" si="78"/>
        <v>D</v>
      </c>
    </row>
    <row r="1123" spans="1:24" s="66" customFormat="1" x14ac:dyDescent="0.25">
      <c r="A1123" s="51"/>
      <c r="B1123" s="91" t="str">
        <f>IFERROR(VLOOKUP(A1123,Lookup!A:B,2,0),"")</f>
        <v/>
      </c>
      <c r="C1123" s="92" t="str">
        <f>IFERROR(VLOOKUP(A1123,Lookup!A:C,3,0),"")</f>
        <v/>
      </c>
      <c r="D1123" s="54"/>
      <c r="E1123" s="54"/>
      <c r="F1123" s="54"/>
      <c r="G1123" s="72"/>
      <c r="H1123" s="54"/>
      <c r="I1123" s="54"/>
      <c r="J1123" s="106">
        <f>VLOOKUP(A1123&amp;G1123,Lookup!J:N,5,0)</f>
        <v>0</v>
      </c>
      <c r="K1123" s="115"/>
      <c r="L1123" s="54"/>
      <c r="M1123" s="54"/>
      <c r="N1123" s="54"/>
      <c r="O1123" s="112">
        <v>46.5173611111111</v>
      </c>
      <c r="P1123" s="110" t="str">
        <f t="shared" si="77"/>
        <v/>
      </c>
      <c r="Q1123" s="54"/>
      <c r="R1123" s="58"/>
      <c r="S1123" s="87" t="str">
        <f t="shared" si="79"/>
        <v/>
      </c>
      <c r="T1123" s="54"/>
      <c r="U1123" s="54"/>
      <c r="V1123" s="54"/>
      <c r="W1123" s="54"/>
      <c r="X1123" s="69" t="str">
        <f t="shared" si="78"/>
        <v>D</v>
      </c>
    </row>
    <row r="1124" spans="1:24" s="66" customFormat="1" x14ac:dyDescent="0.25">
      <c r="A1124" s="51"/>
      <c r="B1124" s="91" t="str">
        <f>IFERROR(VLOOKUP(A1124,Lookup!A:B,2,0),"")</f>
        <v/>
      </c>
      <c r="C1124" s="92" t="str">
        <f>IFERROR(VLOOKUP(A1124,Lookup!A:C,3,0),"")</f>
        <v/>
      </c>
      <c r="D1124" s="54"/>
      <c r="E1124" s="54"/>
      <c r="F1124" s="54"/>
      <c r="G1124" s="72"/>
      <c r="H1124" s="54"/>
      <c r="I1124" s="54"/>
      <c r="J1124" s="106">
        <f>VLOOKUP(A1124&amp;G1124,Lookup!J:N,5,0)</f>
        <v>0</v>
      </c>
      <c r="K1124" s="115"/>
      <c r="L1124" s="54"/>
      <c r="M1124" s="54"/>
      <c r="N1124" s="54"/>
      <c r="O1124" s="112">
        <v>46.5590277777778</v>
      </c>
      <c r="P1124" s="110" t="str">
        <f t="shared" si="77"/>
        <v/>
      </c>
      <c r="Q1124" s="54"/>
      <c r="R1124" s="58"/>
      <c r="S1124" s="87" t="str">
        <f t="shared" si="79"/>
        <v/>
      </c>
      <c r="T1124" s="54"/>
      <c r="U1124" s="54"/>
      <c r="V1124" s="54"/>
      <c r="W1124" s="54"/>
      <c r="X1124" s="69" t="str">
        <f t="shared" si="78"/>
        <v>D</v>
      </c>
    </row>
    <row r="1125" spans="1:24" s="66" customFormat="1" x14ac:dyDescent="0.25">
      <c r="A1125" s="51"/>
      <c r="B1125" s="91" t="str">
        <f>IFERROR(VLOOKUP(A1125,Lookup!A:B,2,0),"")</f>
        <v/>
      </c>
      <c r="C1125" s="92" t="str">
        <f>IFERROR(VLOOKUP(A1125,Lookup!A:C,3,0),"")</f>
        <v/>
      </c>
      <c r="D1125" s="54"/>
      <c r="E1125" s="54"/>
      <c r="F1125" s="54"/>
      <c r="G1125" s="72"/>
      <c r="H1125" s="54"/>
      <c r="I1125" s="54"/>
      <c r="J1125" s="106">
        <f>VLOOKUP(A1125&amp;G1125,Lookup!J:N,5,0)</f>
        <v>0</v>
      </c>
      <c r="K1125" s="115"/>
      <c r="L1125" s="54"/>
      <c r="M1125" s="54"/>
      <c r="N1125" s="54"/>
      <c r="O1125" s="112">
        <v>46.6006944444444</v>
      </c>
      <c r="P1125" s="110" t="str">
        <f t="shared" si="77"/>
        <v/>
      </c>
      <c r="Q1125" s="54"/>
      <c r="R1125" s="58"/>
      <c r="S1125" s="87" t="str">
        <f t="shared" si="79"/>
        <v/>
      </c>
      <c r="T1125" s="54"/>
      <c r="U1125" s="54"/>
      <c r="V1125" s="54"/>
      <c r="W1125" s="54"/>
      <c r="X1125" s="69" t="str">
        <f t="shared" si="78"/>
        <v>D</v>
      </c>
    </row>
    <row r="1126" spans="1:24" s="66" customFormat="1" x14ac:dyDescent="0.25">
      <c r="A1126" s="51"/>
      <c r="B1126" s="91" t="str">
        <f>IFERROR(VLOOKUP(A1126,Lookup!A:B,2,0),"")</f>
        <v/>
      </c>
      <c r="C1126" s="92" t="str">
        <f>IFERROR(VLOOKUP(A1126,Lookup!A:C,3,0),"")</f>
        <v/>
      </c>
      <c r="D1126" s="54"/>
      <c r="E1126" s="54"/>
      <c r="F1126" s="54"/>
      <c r="G1126" s="72"/>
      <c r="H1126" s="54"/>
      <c r="I1126" s="54"/>
      <c r="J1126" s="106">
        <f>VLOOKUP(A1126&amp;G1126,Lookup!J:N,5,0)</f>
        <v>0</v>
      </c>
      <c r="K1126" s="115"/>
      <c r="L1126" s="54"/>
      <c r="M1126" s="54"/>
      <c r="N1126" s="54"/>
      <c r="O1126" s="112">
        <v>46.6423611111111</v>
      </c>
      <c r="P1126" s="110" t="str">
        <f t="shared" si="77"/>
        <v/>
      </c>
      <c r="Q1126" s="54"/>
      <c r="R1126" s="58"/>
      <c r="S1126" s="87" t="str">
        <f t="shared" si="79"/>
        <v/>
      </c>
      <c r="T1126" s="54"/>
      <c r="U1126" s="54"/>
      <c r="V1126" s="54"/>
      <c r="W1126" s="54"/>
      <c r="X1126" s="69" t="str">
        <f t="shared" si="78"/>
        <v>D</v>
      </c>
    </row>
    <row r="1127" spans="1:24" s="66" customFormat="1" x14ac:dyDescent="0.25">
      <c r="A1127" s="51"/>
      <c r="B1127" s="91" t="str">
        <f>IFERROR(VLOOKUP(A1127,Lookup!A:B,2,0),"")</f>
        <v/>
      </c>
      <c r="C1127" s="92" t="str">
        <f>IFERROR(VLOOKUP(A1127,Lookup!A:C,3,0),"")</f>
        <v/>
      </c>
      <c r="D1127" s="54"/>
      <c r="E1127" s="54"/>
      <c r="F1127" s="54"/>
      <c r="G1127" s="72"/>
      <c r="H1127" s="54"/>
      <c r="I1127" s="54"/>
      <c r="J1127" s="106">
        <f>VLOOKUP(A1127&amp;G1127,Lookup!J:N,5,0)</f>
        <v>0</v>
      </c>
      <c r="K1127" s="115"/>
      <c r="L1127" s="54"/>
      <c r="M1127" s="54"/>
      <c r="N1127" s="54"/>
      <c r="O1127" s="112">
        <v>46.6840277777778</v>
      </c>
      <c r="P1127" s="110" t="str">
        <f t="shared" si="77"/>
        <v/>
      </c>
      <c r="Q1127" s="54"/>
      <c r="R1127" s="58"/>
      <c r="S1127" s="87" t="str">
        <f t="shared" si="79"/>
        <v/>
      </c>
      <c r="T1127" s="54"/>
      <c r="U1127" s="54"/>
      <c r="V1127" s="54"/>
      <c r="W1127" s="54"/>
      <c r="X1127" s="69" t="str">
        <f t="shared" si="78"/>
        <v>D</v>
      </c>
    </row>
    <row r="1128" spans="1:24" s="66" customFormat="1" x14ac:dyDescent="0.25">
      <c r="A1128" s="51"/>
      <c r="B1128" s="91" t="str">
        <f>IFERROR(VLOOKUP(A1128,Lookup!A:B,2,0),"")</f>
        <v/>
      </c>
      <c r="C1128" s="92" t="str">
        <f>IFERROR(VLOOKUP(A1128,Lookup!A:C,3,0),"")</f>
        <v/>
      </c>
      <c r="D1128" s="54"/>
      <c r="E1128" s="54"/>
      <c r="F1128" s="54"/>
      <c r="G1128" s="72"/>
      <c r="H1128" s="54"/>
      <c r="I1128" s="54"/>
      <c r="J1128" s="106">
        <f>VLOOKUP(A1128&amp;G1128,Lookup!J:N,5,0)</f>
        <v>0</v>
      </c>
      <c r="K1128" s="115"/>
      <c r="L1128" s="54"/>
      <c r="M1128" s="54"/>
      <c r="N1128" s="54"/>
      <c r="O1128" s="112">
        <v>46.7256944444444</v>
      </c>
      <c r="P1128" s="110" t="str">
        <f t="shared" si="77"/>
        <v/>
      </c>
      <c r="Q1128" s="54"/>
      <c r="R1128" s="58"/>
      <c r="S1128" s="87" t="str">
        <f t="shared" si="79"/>
        <v/>
      </c>
      <c r="T1128" s="54"/>
      <c r="U1128" s="54"/>
      <c r="V1128" s="54"/>
      <c r="W1128" s="54"/>
      <c r="X1128" s="69" t="str">
        <f t="shared" si="78"/>
        <v>D</v>
      </c>
    </row>
    <row r="1129" spans="1:24" s="66" customFormat="1" x14ac:dyDescent="0.25">
      <c r="A1129" s="51"/>
      <c r="B1129" s="91" t="str">
        <f>IFERROR(VLOOKUP(A1129,Lookup!A:B,2,0),"")</f>
        <v/>
      </c>
      <c r="C1129" s="92" t="str">
        <f>IFERROR(VLOOKUP(A1129,Lookup!A:C,3,0),"")</f>
        <v/>
      </c>
      <c r="D1129" s="54"/>
      <c r="E1129" s="54"/>
      <c r="F1129" s="54"/>
      <c r="G1129" s="72"/>
      <c r="H1129" s="54"/>
      <c r="I1129" s="54"/>
      <c r="J1129" s="106">
        <f>VLOOKUP(A1129&amp;G1129,Lookup!J:N,5,0)</f>
        <v>0</v>
      </c>
      <c r="K1129" s="115"/>
      <c r="L1129" s="54"/>
      <c r="M1129" s="54"/>
      <c r="N1129" s="54"/>
      <c r="O1129" s="112">
        <v>46.7673611111111</v>
      </c>
      <c r="P1129" s="110" t="str">
        <f t="shared" si="77"/>
        <v/>
      </c>
      <c r="Q1129" s="54"/>
      <c r="R1129" s="58"/>
      <c r="S1129" s="87" t="str">
        <f t="shared" si="79"/>
        <v/>
      </c>
      <c r="T1129" s="54"/>
      <c r="U1129" s="54"/>
      <c r="V1129" s="54"/>
      <c r="W1129" s="54"/>
      <c r="X1129" s="69" t="str">
        <f t="shared" si="78"/>
        <v>D</v>
      </c>
    </row>
    <row r="1130" spans="1:24" s="66" customFormat="1" x14ac:dyDescent="0.25">
      <c r="A1130" s="51"/>
      <c r="B1130" s="91" t="str">
        <f>IFERROR(VLOOKUP(A1130,Lookup!A:B,2,0),"")</f>
        <v/>
      </c>
      <c r="C1130" s="92" t="str">
        <f>IFERROR(VLOOKUP(A1130,Lookup!A:C,3,0),"")</f>
        <v/>
      </c>
      <c r="D1130" s="54"/>
      <c r="E1130" s="54"/>
      <c r="F1130" s="54"/>
      <c r="G1130" s="72"/>
      <c r="H1130" s="54"/>
      <c r="I1130" s="54"/>
      <c r="J1130" s="106">
        <f>VLOOKUP(A1130&amp;G1130,Lookup!J:N,5,0)</f>
        <v>0</v>
      </c>
      <c r="K1130" s="115"/>
      <c r="L1130" s="54"/>
      <c r="M1130" s="54"/>
      <c r="N1130" s="54"/>
      <c r="O1130" s="112">
        <v>46.8090277777778</v>
      </c>
      <c r="P1130" s="110" t="str">
        <f t="shared" si="77"/>
        <v/>
      </c>
      <c r="Q1130" s="54"/>
      <c r="R1130" s="58"/>
      <c r="S1130" s="87" t="str">
        <f t="shared" si="79"/>
        <v/>
      </c>
      <c r="T1130" s="54"/>
      <c r="U1130" s="54"/>
      <c r="V1130" s="54"/>
      <c r="W1130" s="54"/>
      <c r="X1130" s="69" t="str">
        <f t="shared" si="78"/>
        <v>D</v>
      </c>
    </row>
    <row r="1131" spans="1:24" s="66" customFormat="1" x14ac:dyDescent="0.25">
      <c r="A1131" s="51"/>
      <c r="B1131" s="91" t="str">
        <f>IFERROR(VLOOKUP(A1131,Lookup!A:B,2,0),"")</f>
        <v/>
      </c>
      <c r="C1131" s="92" t="str">
        <f>IFERROR(VLOOKUP(A1131,Lookup!A:C,3,0),"")</f>
        <v/>
      </c>
      <c r="D1131" s="54"/>
      <c r="E1131" s="54"/>
      <c r="F1131" s="54"/>
      <c r="G1131" s="72"/>
      <c r="H1131" s="54"/>
      <c r="I1131" s="54"/>
      <c r="J1131" s="106">
        <f>VLOOKUP(A1131&amp;G1131,Lookup!J:N,5,0)</f>
        <v>0</v>
      </c>
      <c r="K1131" s="115"/>
      <c r="L1131" s="54"/>
      <c r="M1131" s="54"/>
      <c r="N1131" s="54"/>
      <c r="O1131" s="112">
        <v>46.8506944444444</v>
      </c>
      <c r="P1131" s="110" t="str">
        <f t="shared" si="77"/>
        <v/>
      </c>
      <c r="Q1131" s="54"/>
      <c r="R1131" s="58"/>
      <c r="S1131" s="87" t="str">
        <f t="shared" si="79"/>
        <v/>
      </c>
      <c r="T1131" s="54"/>
      <c r="U1131" s="54"/>
      <c r="V1131" s="54"/>
      <c r="W1131" s="54"/>
      <c r="X1131" s="69" t="str">
        <f t="shared" si="78"/>
        <v>D</v>
      </c>
    </row>
    <row r="1132" spans="1:24" s="66" customFormat="1" x14ac:dyDescent="0.25">
      <c r="A1132" s="51"/>
      <c r="B1132" s="91" t="str">
        <f>IFERROR(VLOOKUP(A1132,Lookup!A:B,2,0),"")</f>
        <v/>
      </c>
      <c r="C1132" s="92" t="str">
        <f>IFERROR(VLOOKUP(A1132,Lookup!A:C,3,0),"")</f>
        <v/>
      </c>
      <c r="D1132" s="54"/>
      <c r="E1132" s="54"/>
      <c r="F1132" s="54"/>
      <c r="G1132" s="72"/>
      <c r="H1132" s="54"/>
      <c r="I1132" s="54"/>
      <c r="J1132" s="106">
        <f>VLOOKUP(A1132&amp;G1132,Lookup!J:N,5,0)</f>
        <v>0</v>
      </c>
      <c r="K1132" s="115"/>
      <c r="L1132" s="54"/>
      <c r="M1132" s="54"/>
      <c r="N1132" s="54"/>
      <c r="O1132" s="112">
        <v>46.8923611111111</v>
      </c>
      <c r="P1132" s="110" t="str">
        <f t="shared" si="77"/>
        <v/>
      </c>
      <c r="Q1132" s="54"/>
      <c r="R1132" s="58"/>
      <c r="S1132" s="87" t="str">
        <f t="shared" si="79"/>
        <v/>
      </c>
      <c r="T1132" s="54"/>
      <c r="U1132" s="54"/>
      <c r="V1132" s="54"/>
      <c r="W1132" s="54"/>
      <c r="X1132" s="69" t="str">
        <f t="shared" si="78"/>
        <v>D</v>
      </c>
    </row>
    <row r="1133" spans="1:24" s="66" customFormat="1" x14ac:dyDescent="0.25">
      <c r="A1133" s="51"/>
      <c r="B1133" s="91" t="str">
        <f>IFERROR(VLOOKUP(A1133,Lookup!A:B,2,0),"")</f>
        <v/>
      </c>
      <c r="C1133" s="92" t="str">
        <f>IFERROR(VLOOKUP(A1133,Lookup!A:C,3,0),"")</f>
        <v/>
      </c>
      <c r="D1133" s="54"/>
      <c r="E1133" s="54"/>
      <c r="F1133" s="54"/>
      <c r="G1133" s="72"/>
      <c r="H1133" s="54"/>
      <c r="I1133" s="54"/>
      <c r="J1133" s="106">
        <f>VLOOKUP(A1133&amp;G1133,Lookup!J:N,5,0)</f>
        <v>0</v>
      </c>
      <c r="K1133" s="115"/>
      <c r="L1133" s="54"/>
      <c r="M1133" s="54"/>
      <c r="N1133" s="54"/>
      <c r="O1133" s="112">
        <v>46.9340277777778</v>
      </c>
      <c r="P1133" s="110" t="str">
        <f t="shared" si="77"/>
        <v/>
      </c>
      <c r="Q1133" s="54"/>
      <c r="R1133" s="58"/>
      <c r="S1133" s="87" t="str">
        <f t="shared" si="79"/>
        <v/>
      </c>
      <c r="T1133" s="54"/>
      <c r="U1133" s="54"/>
      <c r="V1133" s="54"/>
      <c r="W1133" s="54"/>
      <c r="X1133" s="69" t="str">
        <f t="shared" si="78"/>
        <v>D</v>
      </c>
    </row>
    <row r="1134" spans="1:24" s="66" customFormat="1" x14ac:dyDescent="0.25">
      <c r="A1134" s="51"/>
      <c r="B1134" s="91" t="str">
        <f>IFERROR(VLOOKUP(A1134,Lookup!A:B,2,0),"")</f>
        <v/>
      </c>
      <c r="C1134" s="92" t="str">
        <f>IFERROR(VLOOKUP(A1134,Lookup!A:C,3,0),"")</f>
        <v/>
      </c>
      <c r="D1134" s="54"/>
      <c r="E1134" s="54"/>
      <c r="F1134" s="54"/>
      <c r="G1134" s="72"/>
      <c r="H1134" s="54"/>
      <c r="I1134" s="54"/>
      <c r="J1134" s="106">
        <f>VLOOKUP(A1134&amp;G1134,Lookup!J:N,5,0)</f>
        <v>0</v>
      </c>
      <c r="K1134" s="115"/>
      <c r="L1134" s="54"/>
      <c r="M1134" s="54"/>
      <c r="N1134" s="54"/>
      <c r="O1134" s="112">
        <v>46.9756944444444</v>
      </c>
      <c r="P1134" s="110" t="str">
        <f t="shared" si="77"/>
        <v/>
      </c>
      <c r="Q1134" s="54"/>
      <c r="R1134" s="58"/>
      <c r="S1134" s="87" t="str">
        <f t="shared" si="79"/>
        <v/>
      </c>
      <c r="T1134" s="54"/>
      <c r="U1134" s="54"/>
      <c r="V1134" s="54"/>
      <c r="W1134" s="54"/>
      <c r="X1134" s="69" t="str">
        <f t="shared" si="78"/>
        <v>D</v>
      </c>
    </row>
    <row r="1135" spans="1:24" s="66" customFormat="1" x14ac:dyDescent="0.25">
      <c r="A1135" s="51"/>
      <c r="B1135" s="91" t="str">
        <f>IFERROR(VLOOKUP(A1135,Lookup!A:B,2,0),"")</f>
        <v/>
      </c>
      <c r="C1135" s="92" t="str">
        <f>IFERROR(VLOOKUP(A1135,Lookup!A:C,3,0),"")</f>
        <v/>
      </c>
      <c r="D1135" s="54"/>
      <c r="E1135" s="54"/>
      <c r="F1135" s="54"/>
      <c r="G1135" s="72"/>
      <c r="H1135" s="54"/>
      <c r="I1135" s="54"/>
      <c r="J1135" s="106">
        <f>VLOOKUP(A1135&amp;G1135,Lookup!J:N,5,0)</f>
        <v>0</v>
      </c>
      <c r="K1135" s="115"/>
      <c r="L1135" s="54"/>
      <c r="M1135" s="54"/>
      <c r="N1135" s="54"/>
      <c r="O1135" s="112">
        <v>47.0173611111111</v>
      </c>
      <c r="P1135" s="110" t="str">
        <f t="shared" si="77"/>
        <v/>
      </c>
      <c r="Q1135" s="54"/>
      <c r="R1135" s="58"/>
      <c r="S1135" s="87" t="str">
        <f t="shared" si="79"/>
        <v/>
      </c>
      <c r="T1135" s="54"/>
      <c r="U1135" s="54"/>
      <c r="V1135" s="54"/>
      <c r="W1135" s="54"/>
      <c r="X1135" s="69" t="str">
        <f t="shared" si="78"/>
        <v>D</v>
      </c>
    </row>
    <row r="1136" spans="1:24" s="66" customFormat="1" x14ac:dyDescent="0.25">
      <c r="A1136" s="51"/>
      <c r="B1136" s="91" t="str">
        <f>IFERROR(VLOOKUP(A1136,Lookup!A:B,2,0),"")</f>
        <v/>
      </c>
      <c r="C1136" s="92" t="str">
        <f>IFERROR(VLOOKUP(A1136,Lookup!A:C,3,0),"")</f>
        <v/>
      </c>
      <c r="D1136" s="54"/>
      <c r="E1136" s="54"/>
      <c r="F1136" s="54"/>
      <c r="G1136" s="72"/>
      <c r="H1136" s="54"/>
      <c r="I1136" s="54"/>
      <c r="J1136" s="106">
        <f>VLOOKUP(A1136&amp;G1136,Lookup!J:N,5,0)</f>
        <v>0</v>
      </c>
      <c r="K1136" s="115"/>
      <c r="L1136" s="54"/>
      <c r="M1136" s="54"/>
      <c r="N1136" s="54"/>
      <c r="O1136" s="112">
        <v>47.0590277777778</v>
      </c>
      <c r="P1136" s="110" t="str">
        <f t="shared" si="77"/>
        <v/>
      </c>
      <c r="Q1136" s="54"/>
      <c r="R1136" s="58"/>
      <c r="S1136" s="87" t="str">
        <f t="shared" si="79"/>
        <v/>
      </c>
      <c r="T1136" s="54"/>
      <c r="U1136" s="54"/>
      <c r="V1136" s="54"/>
      <c r="W1136" s="54"/>
      <c r="X1136" s="69" t="str">
        <f t="shared" si="78"/>
        <v>D</v>
      </c>
    </row>
    <row r="1137" spans="1:24" s="66" customFormat="1" x14ac:dyDescent="0.25">
      <c r="A1137" s="51"/>
      <c r="B1137" s="91" t="str">
        <f>IFERROR(VLOOKUP(A1137,Lookup!A:B,2,0),"")</f>
        <v/>
      </c>
      <c r="C1137" s="92" t="str">
        <f>IFERROR(VLOOKUP(A1137,Lookup!A:C,3,0),"")</f>
        <v/>
      </c>
      <c r="D1137" s="54"/>
      <c r="E1137" s="54"/>
      <c r="F1137" s="54"/>
      <c r="G1137" s="72"/>
      <c r="H1137" s="54"/>
      <c r="I1137" s="54"/>
      <c r="J1137" s="106">
        <f>VLOOKUP(A1137&amp;G1137,Lookup!J:N,5,0)</f>
        <v>0</v>
      </c>
      <c r="K1137" s="115"/>
      <c r="L1137" s="54"/>
      <c r="M1137" s="54"/>
      <c r="N1137" s="54"/>
      <c r="O1137" s="112">
        <v>47.1006944444444</v>
      </c>
      <c r="P1137" s="110" t="str">
        <f t="shared" si="77"/>
        <v/>
      </c>
      <c r="Q1137" s="54"/>
      <c r="R1137" s="58"/>
      <c r="S1137" s="87" t="str">
        <f t="shared" si="79"/>
        <v/>
      </c>
      <c r="T1137" s="54"/>
      <c r="U1137" s="54"/>
      <c r="V1137" s="54"/>
      <c r="W1137" s="54"/>
      <c r="X1137" s="69" t="str">
        <f t="shared" si="78"/>
        <v>D</v>
      </c>
    </row>
    <row r="1138" spans="1:24" s="66" customFormat="1" x14ac:dyDescent="0.25">
      <c r="A1138" s="51"/>
      <c r="B1138" s="91" t="str">
        <f>IFERROR(VLOOKUP(A1138,Lookup!A:B,2,0),"")</f>
        <v/>
      </c>
      <c r="C1138" s="92" t="str">
        <f>IFERROR(VLOOKUP(A1138,Lookup!A:C,3,0),"")</f>
        <v/>
      </c>
      <c r="D1138" s="54"/>
      <c r="E1138" s="54"/>
      <c r="F1138" s="54"/>
      <c r="G1138" s="72"/>
      <c r="H1138" s="54"/>
      <c r="I1138" s="54"/>
      <c r="J1138" s="106">
        <f>VLOOKUP(A1138&amp;G1138,Lookup!J:N,5,0)</f>
        <v>0</v>
      </c>
      <c r="K1138" s="115"/>
      <c r="L1138" s="54"/>
      <c r="M1138" s="54"/>
      <c r="N1138" s="54"/>
      <c r="O1138" s="112">
        <v>47.1423611111111</v>
      </c>
      <c r="P1138" s="110" t="str">
        <f t="shared" si="77"/>
        <v/>
      </c>
      <c r="Q1138" s="54"/>
      <c r="R1138" s="58"/>
      <c r="S1138" s="87" t="str">
        <f t="shared" si="79"/>
        <v/>
      </c>
      <c r="T1138" s="54"/>
      <c r="U1138" s="54"/>
      <c r="V1138" s="54"/>
      <c r="W1138" s="54"/>
      <c r="X1138" s="69" t="str">
        <f t="shared" si="78"/>
        <v>D</v>
      </c>
    </row>
    <row r="1139" spans="1:24" s="66" customFormat="1" x14ac:dyDescent="0.25">
      <c r="A1139" s="51"/>
      <c r="B1139" s="91" t="str">
        <f>IFERROR(VLOOKUP(A1139,Lookup!A:B,2,0),"")</f>
        <v/>
      </c>
      <c r="C1139" s="92" t="str">
        <f>IFERROR(VLOOKUP(A1139,Lookup!A:C,3,0),"")</f>
        <v/>
      </c>
      <c r="D1139" s="54"/>
      <c r="E1139" s="54"/>
      <c r="F1139" s="54"/>
      <c r="G1139" s="72"/>
      <c r="H1139" s="54"/>
      <c r="I1139" s="54"/>
      <c r="J1139" s="106">
        <f>VLOOKUP(A1139&amp;G1139,Lookup!J:N,5,0)</f>
        <v>0</v>
      </c>
      <c r="K1139" s="115"/>
      <c r="L1139" s="54"/>
      <c r="M1139" s="54"/>
      <c r="N1139" s="54"/>
      <c r="O1139" s="112">
        <v>47.1840277777778</v>
      </c>
      <c r="P1139" s="110" t="str">
        <f t="shared" si="77"/>
        <v/>
      </c>
      <c r="Q1139" s="54"/>
      <c r="R1139" s="58"/>
      <c r="S1139" s="87" t="str">
        <f t="shared" si="79"/>
        <v/>
      </c>
      <c r="T1139" s="54"/>
      <c r="U1139" s="54"/>
      <c r="V1139" s="54"/>
      <c r="W1139" s="54"/>
      <c r="X1139" s="69" t="str">
        <f t="shared" si="78"/>
        <v>D</v>
      </c>
    </row>
    <row r="1140" spans="1:24" s="66" customFormat="1" x14ac:dyDescent="0.25">
      <c r="A1140" s="51"/>
      <c r="B1140" s="91" t="str">
        <f>IFERROR(VLOOKUP(A1140,Lookup!A:B,2,0),"")</f>
        <v/>
      </c>
      <c r="C1140" s="92" t="str">
        <f>IFERROR(VLOOKUP(A1140,Lookup!A:C,3,0),"")</f>
        <v/>
      </c>
      <c r="D1140" s="54"/>
      <c r="E1140" s="54"/>
      <c r="F1140" s="54"/>
      <c r="G1140" s="72"/>
      <c r="H1140" s="54"/>
      <c r="I1140" s="54"/>
      <c r="J1140" s="106">
        <f>VLOOKUP(A1140&amp;G1140,Lookup!J:N,5,0)</f>
        <v>0</v>
      </c>
      <c r="K1140" s="115"/>
      <c r="L1140" s="54"/>
      <c r="M1140" s="54"/>
      <c r="N1140" s="54"/>
      <c r="O1140" s="112">
        <v>47.2256944444444</v>
      </c>
      <c r="P1140" s="110" t="str">
        <f t="shared" si="77"/>
        <v/>
      </c>
      <c r="Q1140" s="54"/>
      <c r="R1140" s="58"/>
      <c r="S1140" s="87" t="str">
        <f t="shared" si="79"/>
        <v/>
      </c>
      <c r="T1140" s="54"/>
      <c r="U1140" s="54"/>
      <c r="V1140" s="54"/>
      <c r="W1140" s="54"/>
      <c r="X1140" s="69" t="str">
        <f t="shared" si="78"/>
        <v>D</v>
      </c>
    </row>
    <row r="1141" spans="1:24" s="66" customFormat="1" x14ac:dyDescent="0.25">
      <c r="A1141" s="51"/>
      <c r="B1141" s="91" t="str">
        <f>IFERROR(VLOOKUP(A1141,Lookup!A:B,2,0),"")</f>
        <v/>
      </c>
      <c r="C1141" s="92" t="str">
        <f>IFERROR(VLOOKUP(A1141,Lookup!A:C,3,0),"")</f>
        <v/>
      </c>
      <c r="D1141" s="54"/>
      <c r="E1141" s="54"/>
      <c r="F1141" s="54"/>
      <c r="G1141" s="72"/>
      <c r="H1141" s="54"/>
      <c r="I1141" s="54"/>
      <c r="J1141" s="106">
        <f>VLOOKUP(A1141&amp;G1141,Lookup!J:N,5,0)</f>
        <v>0</v>
      </c>
      <c r="K1141" s="115"/>
      <c r="L1141" s="54"/>
      <c r="M1141" s="54"/>
      <c r="N1141" s="54"/>
      <c r="O1141" s="112">
        <v>47.2673611111111</v>
      </c>
      <c r="P1141" s="110" t="str">
        <f t="shared" si="77"/>
        <v/>
      </c>
      <c r="Q1141" s="54"/>
      <c r="R1141" s="58"/>
      <c r="S1141" s="87" t="str">
        <f t="shared" si="79"/>
        <v/>
      </c>
      <c r="T1141" s="54"/>
      <c r="U1141" s="54"/>
      <c r="V1141" s="54"/>
      <c r="W1141" s="54"/>
      <c r="X1141" s="69" t="str">
        <f t="shared" si="78"/>
        <v>D</v>
      </c>
    </row>
    <row r="1142" spans="1:24" s="66" customFormat="1" x14ac:dyDescent="0.25">
      <c r="A1142" s="51"/>
      <c r="B1142" s="91" t="str">
        <f>IFERROR(VLOOKUP(A1142,Lookup!A:B,2,0),"")</f>
        <v/>
      </c>
      <c r="C1142" s="92" t="str">
        <f>IFERROR(VLOOKUP(A1142,Lookup!A:C,3,0),"")</f>
        <v/>
      </c>
      <c r="D1142" s="54"/>
      <c r="E1142" s="54"/>
      <c r="F1142" s="54"/>
      <c r="G1142" s="72"/>
      <c r="H1142" s="54"/>
      <c r="I1142" s="54"/>
      <c r="J1142" s="106">
        <f>VLOOKUP(A1142&amp;G1142,Lookup!J:N,5,0)</f>
        <v>0</v>
      </c>
      <c r="K1142" s="115"/>
      <c r="L1142" s="54"/>
      <c r="M1142" s="54"/>
      <c r="N1142" s="54"/>
      <c r="O1142" s="112">
        <v>47.3090277777778</v>
      </c>
      <c r="P1142" s="110" t="str">
        <f t="shared" si="77"/>
        <v/>
      </c>
      <c r="Q1142" s="54"/>
      <c r="R1142" s="58"/>
      <c r="S1142" s="87" t="str">
        <f t="shared" si="79"/>
        <v/>
      </c>
      <c r="T1142" s="54"/>
      <c r="U1142" s="54"/>
      <c r="V1142" s="54"/>
      <c r="W1142" s="54"/>
      <c r="X1142" s="69" t="str">
        <f t="shared" si="78"/>
        <v>D</v>
      </c>
    </row>
    <row r="1143" spans="1:24" s="66" customFormat="1" x14ac:dyDescent="0.25">
      <c r="A1143" s="51"/>
      <c r="B1143" s="91" t="str">
        <f>IFERROR(VLOOKUP(A1143,Lookup!A:B,2,0),"")</f>
        <v/>
      </c>
      <c r="C1143" s="92" t="str">
        <f>IFERROR(VLOOKUP(A1143,Lookup!A:C,3,0),"")</f>
        <v/>
      </c>
      <c r="D1143" s="54"/>
      <c r="E1143" s="54"/>
      <c r="F1143" s="54"/>
      <c r="G1143" s="72"/>
      <c r="H1143" s="54"/>
      <c r="I1143" s="54"/>
      <c r="J1143" s="106">
        <f>VLOOKUP(A1143&amp;G1143,Lookup!J:N,5,0)</f>
        <v>0</v>
      </c>
      <c r="K1143" s="115"/>
      <c r="L1143" s="54"/>
      <c r="M1143" s="54"/>
      <c r="N1143" s="54"/>
      <c r="O1143" s="112">
        <v>47.3506944444444</v>
      </c>
      <c r="P1143" s="110" t="str">
        <f t="shared" si="77"/>
        <v/>
      </c>
      <c r="Q1143" s="54"/>
      <c r="R1143" s="58"/>
      <c r="S1143" s="87" t="str">
        <f t="shared" si="79"/>
        <v/>
      </c>
      <c r="T1143" s="54"/>
      <c r="U1143" s="54"/>
      <c r="V1143" s="54"/>
      <c r="W1143" s="54"/>
      <c r="X1143" s="69" t="str">
        <f t="shared" si="78"/>
        <v>D</v>
      </c>
    </row>
    <row r="1144" spans="1:24" s="66" customFormat="1" x14ac:dyDescent="0.25">
      <c r="A1144" s="51"/>
      <c r="B1144" s="91" t="str">
        <f>IFERROR(VLOOKUP(A1144,Lookup!A:B,2,0),"")</f>
        <v/>
      </c>
      <c r="C1144" s="92" t="str">
        <f>IFERROR(VLOOKUP(A1144,Lookup!A:C,3,0),"")</f>
        <v/>
      </c>
      <c r="D1144" s="54"/>
      <c r="E1144" s="54"/>
      <c r="F1144" s="54"/>
      <c r="G1144" s="72"/>
      <c r="H1144" s="54"/>
      <c r="I1144" s="54"/>
      <c r="J1144" s="106">
        <f>VLOOKUP(A1144&amp;G1144,Lookup!J:N,5,0)</f>
        <v>0</v>
      </c>
      <c r="K1144" s="115"/>
      <c r="L1144" s="54"/>
      <c r="M1144" s="54"/>
      <c r="N1144" s="54"/>
      <c r="O1144" s="112">
        <v>47.3923611111111</v>
      </c>
      <c r="P1144" s="110" t="str">
        <f t="shared" si="77"/>
        <v/>
      </c>
      <c r="Q1144" s="54"/>
      <c r="R1144" s="58"/>
      <c r="S1144" s="87" t="str">
        <f t="shared" si="79"/>
        <v/>
      </c>
      <c r="T1144" s="54"/>
      <c r="U1144" s="54"/>
      <c r="V1144" s="54"/>
      <c r="W1144" s="54"/>
      <c r="X1144" s="69" t="str">
        <f t="shared" si="78"/>
        <v>D</v>
      </c>
    </row>
    <row r="1145" spans="1:24" s="66" customFormat="1" x14ac:dyDescent="0.25">
      <c r="A1145" s="51"/>
      <c r="B1145" s="91" t="str">
        <f>IFERROR(VLOOKUP(A1145,Lookup!A:B,2,0),"")</f>
        <v/>
      </c>
      <c r="C1145" s="92" t="str">
        <f>IFERROR(VLOOKUP(A1145,Lookup!A:C,3,0),"")</f>
        <v/>
      </c>
      <c r="D1145" s="54"/>
      <c r="E1145" s="54"/>
      <c r="F1145" s="54"/>
      <c r="G1145" s="72"/>
      <c r="H1145" s="54"/>
      <c r="I1145" s="54"/>
      <c r="J1145" s="106">
        <f>VLOOKUP(A1145&amp;G1145,Lookup!J:N,5,0)</f>
        <v>0</v>
      </c>
      <c r="K1145" s="115"/>
      <c r="L1145" s="54"/>
      <c r="M1145" s="54"/>
      <c r="N1145" s="54"/>
      <c r="O1145" s="112">
        <v>47.4340277777778</v>
      </c>
      <c r="P1145" s="110" t="str">
        <f t="shared" si="77"/>
        <v/>
      </c>
      <c r="Q1145" s="54"/>
      <c r="R1145" s="58"/>
      <c r="S1145" s="87" t="str">
        <f t="shared" si="79"/>
        <v/>
      </c>
      <c r="T1145" s="54"/>
      <c r="U1145" s="54"/>
      <c r="V1145" s="54"/>
      <c r="W1145" s="54"/>
      <c r="X1145" s="69" t="str">
        <f t="shared" si="78"/>
        <v>D</v>
      </c>
    </row>
    <row r="1146" spans="1:24" s="66" customFormat="1" x14ac:dyDescent="0.25">
      <c r="A1146" s="51"/>
      <c r="B1146" s="91" t="str">
        <f>IFERROR(VLOOKUP(A1146,Lookup!A:B,2,0),"")</f>
        <v/>
      </c>
      <c r="C1146" s="92" t="str">
        <f>IFERROR(VLOOKUP(A1146,Lookup!A:C,3,0),"")</f>
        <v/>
      </c>
      <c r="D1146" s="54"/>
      <c r="E1146" s="54"/>
      <c r="F1146" s="54"/>
      <c r="G1146" s="72"/>
      <c r="H1146" s="54"/>
      <c r="I1146" s="54"/>
      <c r="J1146" s="106">
        <f>VLOOKUP(A1146&amp;G1146,Lookup!J:N,5,0)</f>
        <v>0</v>
      </c>
      <c r="K1146" s="115"/>
      <c r="L1146" s="54"/>
      <c r="M1146" s="54"/>
      <c r="N1146" s="54"/>
      <c r="O1146" s="112">
        <v>47.4756944444444</v>
      </c>
      <c r="P1146" s="110" t="str">
        <f t="shared" si="77"/>
        <v/>
      </c>
      <c r="Q1146" s="54"/>
      <c r="R1146" s="58"/>
      <c r="S1146" s="87" t="str">
        <f t="shared" si="79"/>
        <v/>
      </c>
      <c r="T1146" s="54"/>
      <c r="U1146" s="54"/>
      <c r="V1146" s="54"/>
      <c r="W1146" s="54"/>
      <c r="X1146" s="69" t="str">
        <f t="shared" si="78"/>
        <v>D</v>
      </c>
    </row>
    <row r="1147" spans="1:24" s="66" customFormat="1" x14ac:dyDescent="0.25">
      <c r="A1147" s="51"/>
      <c r="B1147" s="91" t="str">
        <f>IFERROR(VLOOKUP(A1147,Lookup!A:B,2,0),"")</f>
        <v/>
      </c>
      <c r="C1147" s="92" t="str">
        <f>IFERROR(VLOOKUP(A1147,Lookup!A:C,3,0),"")</f>
        <v/>
      </c>
      <c r="D1147" s="54"/>
      <c r="E1147" s="54"/>
      <c r="F1147" s="54"/>
      <c r="G1147" s="72"/>
      <c r="H1147" s="54"/>
      <c r="I1147" s="54"/>
      <c r="J1147" s="106">
        <f>VLOOKUP(A1147&amp;G1147,Lookup!J:N,5,0)</f>
        <v>0</v>
      </c>
      <c r="K1147" s="115"/>
      <c r="L1147" s="54"/>
      <c r="M1147" s="54"/>
      <c r="N1147" s="54"/>
      <c r="O1147" s="112">
        <v>47.5173611111111</v>
      </c>
      <c r="P1147" s="110" t="str">
        <f t="shared" si="77"/>
        <v/>
      </c>
      <c r="Q1147" s="54"/>
      <c r="R1147" s="58"/>
      <c r="S1147" s="87" t="str">
        <f t="shared" si="79"/>
        <v/>
      </c>
      <c r="T1147" s="54"/>
      <c r="U1147" s="54"/>
      <c r="V1147" s="54"/>
      <c r="W1147" s="54"/>
      <c r="X1147" s="69" t="str">
        <f t="shared" si="78"/>
        <v>D</v>
      </c>
    </row>
    <row r="1148" spans="1:24" s="66" customFormat="1" x14ac:dyDescent="0.25">
      <c r="A1148" s="51"/>
      <c r="B1148" s="91" t="str">
        <f>IFERROR(VLOOKUP(A1148,Lookup!A:B,2,0),"")</f>
        <v/>
      </c>
      <c r="C1148" s="92" t="str">
        <f>IFERROR(VLOOKUP(A1148,Lookup!A:C,3,0),"")</f>
        <v/>
      </c>
      <c r="D1148" s="54"/>
      <c r="E1148" s="54"/>
      <c r="F1148" s="54"/>
      <c r="G1148" s="72"/>
      <c r="H1148" s="54"/>
      <c r="I1148" s="54"/>
      <c r="J1148" s="106">
        <f>VLOOKUP(A1148&amp;G1148,Lookup!J:N,5,0)</f>
        <v>0</v>
      </c>
      <c r="K1148" s="115"/>
      <c r="L1148" s="54"/>
      <c r="M1148" s="54"/>
      <c r="N1148" s="54"/>
      <c r="O1148" s="112">
        <v>47.5590277777778</v>
      </c>
      <c r="P1148" s="110" t="str">
        <f t="shared" si="77"/>
        <v/>
      </c>
      <c r="Q1148" s="54"/>
      <c r="R1148" s="58"/>
      <c r="S1148" s="87" t="str">
        <f t="shared" si="79"/>
        <v/>
      </c>
      <c r="T1148" s="54"/>
      <c r="U1148" s="54"/>
      <c r="V1148" s="54"/>
      <c r="W1148" s="54"/>
      <c r="X1148" s="69" t="str">
        <f t="shared" si="78"/>
        <v>D</v>
      </c>
    </row>
    <row r="1149" spans="1:24" s="66" customFormat="1" x14ac:dyDescent="0.25">
      <c r="A1149" s="51"/>
      <c r="B1149" s="91" t="str">
        <f>IFERROR(VLOOKUP(A1149,Lookup!A:B,2,0),"")</f>
        <v/>
      </c>
      <c r="C1149" s="92" t="str">
        <f>IFERROR(VLOOKUP(A1149,Lookup!A:C,3,0),"")</f>
        <v/>
      </c>
      <c r="D1149" s="54"/>
      <c r="E1149" s="54"/>
      <c r="F1149" s="54"/>
      <c r="G1149" s="72"/>
      <c r="H1149" s="54"/>
      <c r="I1149" s="54"/>
      <c r="J1149" s="106">
        <f>VLOOKUP(A1149&amp;G1149,Lookup!J:N,5,0)</f>
        <v>0</v>
      </c>
      <c r="K1149" s="115"/>
      <c r="L1149" s="54"/>
      <c r="M1149" s="54"/>
      <c r="N1149" s="54"/>
      <c r="O1149" s="112">
        <v>47.6006944444444</v>
      </c>
      <c r="P1149" s="110" t="str">
        <f t="shared" si="77"/>
        <v/>
      </c>
      <c r="Q1149" s="54"/>
      <c r="R1149" s="58"/>
      <c r="S1149" s="87" t="str">
        <f t="shared" si="79"/>
        <v/>
      </c>
      <c r="T1149" s="54"/>
      <c r="U1149" s="54"/>
      <c r="V1149" s="54"/>
      <c r="W1149" s="54"/>
      <c r="X1149" s="69" t="str">
        <f t="shared" si="78"/>
        <v>D</v>
      </c>
    </row>
    <row r="1150" spans="1:24" s="66" customFormat="1" x14ac:dyDescent="0.25">
      <c r="A1150" s="51"/>
      <c r="B1150" s="91" t="str">
        <f>IFERROR(VLOOKUP(A1150,Lookup!A:B,2,0),"")</f>
        <v/>
      </c>
      <c r="C1150" s="92" t="str">
        <f>IFERROR(VLOOKUP(A1150,Lookup!A:C,3,0),"")</f>
        <v/>
      </c>
      <c r="D1150" s="54"/>
      <c r="E1150" s="54"/>
      <c r="F1150" s="54"/>
      <c r="G1150" s="72"/>
      <c r="H1150" s="54"/>
      <c r="I1150" s="54"/>
      <c r="J1150" s="106">
        <f>VLOOKUP(A1150&amp;G1150,Lookup!J:N,5,0)</f>
        <v>0</v>
      </c>
      <c r="K1150" s="115"/>
      <c r="L1150" s="54"/>
      <c r="M1150" s="54"/>
      <c r="N1150" s="54"/>
      <c r="O1150" s="112">
        <v>47.6423611111111</v>
      </c>
      <c r="P1150" s="110" t="str">
        <f t="shared" si="77"/>
        <v/>
      </c>
      <c r="Q1150" s="54"/>
      <c r="R1150" s="58"/>
      <c r="S1150" s="87" t="str">
        <f t="shared" si="79"/>
        <v/>
      </c>
      <c r="T1150" s="54"/>
      <c r="U1150" s="54"/>
      <c r="V1150" s="54"/>
      <c r="W1150" s="54"/>
      <c r="X1150" s="69" t="str">
        <f t="shared" si="78"/>
        <v>D</v>
      </c>
    </row>
    <row r="1151" spans="1:24" s="66" customFormat="1" x14ac:dyDescent="0.25">
      <c r="A1151" s="51"/>
      <c r="B1151" s="91" t="str">
        <f>IFERROR(VLOOKUP(A1151,Lookup!A:B,2,0),"")</f>
        <v/>
      </c>
      <c r="C1151" s="92" t="str">
        <f>IFERROR(VLOOKUP(A1151,Lookup!A:C,3,0),"")</f>
        <v/>
      </c>
      <c r="D1151" s="54"/>
      <c r="E1151" s="54"/>
      <c r="F1151" s="54"/>
      <c r="G1151" s="72"/>
      <c r="H1151" s="54"/>
      <c r="I1151" s="54"/>
      <c r="J1151" s="106">
        <f>VLOOKUP(A1151&amp;G1151,Lookup!J:N,5,0)</f>
        <v>0</v>
      </c>
      <c r="K1151" s="115"/>
      <c r="L1151" s="54"/>
      <c r="M1151" s="54"/>
      <c r="N1151" s="54"/>
      <c r="O1151" s="112">
        <v>47.6840277777778</v>
      </c>
      <c r="P1151" s="110" t="str">
        <f t="shared" si="77"/>
        <v/>
      </c>
      <c r="Q1151" s="54"/>
      <c r="R1151" s="58"/>
      <c r="S1151" s="87" t="str">
        <f t="shared" si="79"/>
        <v/>
      </c>
      <c r="T1151" s="54"/>
      <c r="U1151" s="54"/>
      <c r="V1151" s="54"/>
      <c r="W1151" s="54"/>
      <c r="X1151" s="69" t="str">
        <f t="shared" si="78"/>
        <v>D</v>
      </c>
    </row>
    <row r="1152" spans="1:24" s="66" customFormat="1" x14ac:dyDescent="0.25">
      <c r="A1152" s="51"/>
      <c r="B1152" s="91" t="str">
        <f>IFERROR(VLOOKUP(A1152,Lookup!A:B,2,0),"")</f>
        <v/>
      </c>
      <c r="C1152" s="92" t="str">
        <f>IFERROR(VLOOKUP(A1152,Lookup!A:C,3,0),"")</f>
        <v/>
      </c>
      <c r="D1152" s="54"/>
      <c r="E1152" s="54"/>
      <c r="F1152" s="54"/>
      <c r="G1152" s="72"/>
      <c r="H1152" s="54"/>
      <c r="I1152" s="54"/>
      <c r="J1152" s="106">
        <f>VLOOKUP(A1152&amp;G1152,Lookup!J:N,5,0)</f>
        <v>0</v>
      </c>
      <c r="K1152" s="115"/>
      <c r="L1152" s="54"/>
      <c r="M1152" s="54"/>
      <c r="N1152" s="54"/>
      <c r="O1152" s="112">
        <v>47.7256944444444</v>
      </c>
      <c r="P1152" s="110" t="str">
        <f t="shared" si="77"/>
        <v/>
      </c>
      <c r="Q1152" s="54"/>
      <c r="R1152" s="58"/>
      <c r="S1152" s="87" t="str">
        <f t="shared" si="79"/>
        <v/>
      </c>
      <c r="T1152" s="54"/>
      <c r="U1152" s="54"/>
      <c r="V1152" s="54"/>
      <c r="W1152" s="54"/>
      <c r="X1152" s="69" t="str">
        <f t="shared" si="78"/>
        <v>D</v>
      </c>
    </row>
    <row r="1153" spans="1:24" s="66" customFormat="1" x14ac:dyDescent="0.25">
      <c r="A1153" s="51"/>
      <c r="B1153" s="91" t="str">
        <f>IFERROR(VLOOKUP(A1153,Lookup!A:B,2,0),"")</f>
        <v/>
      </c>
      <c r="C1153" s="92" t="str">
        <f>IFERROR(VLOOKUP(A1153,Lookup!A:C,3,0),"")</f>
        <v/>
      </c>
      <c r="D1153" s="54"/>
      <c r="E1153" s="54"/>
      <c r="F1153" s="54"/>
      <c r="G1153" s="72"/>
      <c r="H1153" s="54"/>
      <c r="I1153" s="54"/>
      <c r="J1153" s="106">
        <f>VLOOKUP(A1153&amp;G1153,Lookup!J:N,5,0)</f>
        <v>0</v>
      </c>
      <c r="K1153" s="115"/>
      <c r="L1153" s="54"/>
      <c r="M1153" s="54"/>
      <c r="N1153" s="54"/>
      <c r="O1153" s="112">
        <v>47.7673611111111</v>
      </c>
      <c r="P1153" s="110" t="str">
        <f t="shared" si="77"/>
        <v/>
      </c>
      <c r="Q1153" s="54"/>
      <c r="R1153" s="58"/>
      <c r="S1153" s="87" t="str">
        <f t="shared" si="79"/>
        <v/>
      </c>
      <c r="T1153" s="54"/>
      <c r="U1153" s="54"/>
      <c r="V1153" s="54"/>
      <c r="W1153" s="54"/>
      <c r="X1153" s="69" t="str">
        <f t="shared" si="78"/>
        <v>D</v>
      </c>
    </row>
    <row r="1154" spans="1:24" s="66" customFormat="1" x14ac:dyDescent="0.25">
      <c r="A1154" s="51"/>
      <c r="B1154" s="91" t="str">
        <f>IFERROR(VLOOKUP(A1154,Lookup!A:B,2,0),"")</f>
        <v/>
      </c>
      <c r="C1154" s="92" t="str">
        <f>IFERROR(VLOOKUP(A1154,Lookup!A:C,3,0),"")</f>
        <v/>
      </c>
      <c r="D1154" s="54"/>
      <c r="E1154" s="54"/>
      <c r="F1154" s="54"/>
      <c r="G1154" s="72"/>
      <c r="H1154" s="54"/>
      <c r="I1154" s="54"/>
      <c r="J1154" s="106">
        <f>VLOOKUP(A1154&amp;G1154,Lookup!J:N,5,0)</f>
        <v>0</v>
      </c>
      <c r="K1154" s="115"/>
      <c r="L1154" s="54"/>
      <c r="M1154" s="54"/>
      <c r="N1154" s="54"/>
      <c r="O1154" s="112">
        <v>47.8090277777778</v>
      </c>
      <c r="P1154" s="110" t="str">
        <f t="shared" si="77"/>
        <v/>
      </c>
      <c r="Q1154" s="54"/>
      <c r="R1154" s="58"/>
      <c r="S1154" s="87" t="str">
        <f t="shared" si="79"/>
        <v/>
      </c>
      <c r="T1154" s="54"/>
      <c r="U1154" s="54"/>
      <c r="V1154" s="54"/>
      <c r="W1154" s="54"/>
      <c r="X1154" s="69" t="str">
        <f t="shared" si="78"/>
        <v>D</v>
      </c>
    </row>
    <row r="1155" spans="1:24" s="66" customFormat="1" x14ac:dyDescent="0.25">
      <c r="A1155" s="51"/>
      <c r="B1155" s="91" t="str">
        <f>IFERROR(VLOOKUP(A1155,Lookup!A:B,2,0),"")</f>
        <v/>
      </c>
      <c r="C1155" s="92" t="str">
        <f>IFERROR(VLOOKUP(A1155,Lookup!A:C,3,0),"")</f>
        <v/>
      </c>
      <c r="D1155" s="54"/>
      <c r="E1155" s="54"/>
      <c r="F1155" s="54"/>
      <c r="G1155" s="72"/>
      <c r="H1155" s="54"/>
      <c r="I1155" s="54"/>
      <c r="J1155" s="106">
        <f>VLOOKUP(A1155&amp;G1155,Lookup!J:N,5,0)</f>
        <v>0</v>
      </c>
      <c r="K1155" s="115"/>
      <c r="L1155" s="54"/>
      <c r="M1155" s="54"/>
      <c r="N1155" s="54"/>
      <c r="O1155" s="112">
        <v>47.8506944444444</v>
      </c>
      <c r="P1155" s="110" t="str">
        <f t="shared" ref="P1155:P1218" si="80">IF(N1155="","",N1155+O1155)</f>
        <v/>
      </c>
      <c r="Q1155" s="54"/>
      <c r="R1155" s="58"/>
      <c r="S1155" s="87" t="str">
        <f t="shared" si="79"/>
        <v/>
      </c>
      <c r="T1155" s="54"/>
      <c r="U1155" s="54"/>
      <c r="V1155" s="54"/>
      <c r="W1155" s="54"/>
      <c r="X1155" s="69" t="str">
        <f t="shared" ref="X1155:X1218" si="81">IF(I1155="SET","A",IF(I1155="FREQ","C",IF(I1155="","D","B")))</f>
        <v>D</v>
      </c>
    </row>
    <row r="1156" spans="1:24" s="66" customFormat="1" x14ac:dyDescent="0.25">
      <c r="A1156" s="51"/>
      <c r="B1156" s="91" t="str">
        <f>IFERROR(VLOOKUP(A1156,Lookup!A:B,2,0),"")</f>
        <v/>
      </c>
      <c r="C1156" s="92" t="str">
        <f>IFERROR(VLOOKUP(A1156,Lookup!A:C,3,0),"")</f>
        <v/>
      </c>
      <c r="D1156" s="54"/>
      <c r="E1156" s="54"/>
      <c r="F1156" s="54"/>
      <c r="G1156" s="72"/>
      <c r="H1156" s="54"/>
      <c r="I1156" s="54"/>
      <c r="J1156" s="106">
        <f>VLOOKUP(A1156&amp;G1156,Lookup!J:N,5,0)</f>
        <v>0</v>
      </c>
      <c r="K1156" s="115"/>
      <c r="L1156" s="54"/>
      <c r="M1156" s="54"/>
      <c r="N1156" s="54"/>
      <c r="O1156" s="112">
        <v>47.8923611111111</v>
      </c>
      <c r="P1156" s="110" t="str">
        <f t="shared" si="80"/>
        <v/>
      </c>
      <c r="Q1156" s="54"/>
      <c r="R1156" s="58"/>
      <c r="S1156" s="87" t="str">
        <f t="shared" si="79"/>
        <v/>
      </c>
      <c r="T1156" s="54"/>
      <c r="U1156" s="54"/>
      <c r="V1156" s="54"/>
      <c r="W1156" s="54"/>
      <c r="X1156" s="69" t="str">
        <f t="shared" si="81"/>
        <v>D</v>
      </c>
    </row>
    <row r="1157" spans="1:24" s="66" customFormat="1" x14ac:dyDescent="0.25">
      <c r="A1157" s="51"/>
      <c r="B1157" s="91" t="str">
        <f>IFERROR(VLOOKUP(A1157,Lookup!A:B,2,0),"")</f>
        <v/>
      </c>
      <c r="C1157" s="92" t="str">
        <f>IFERROR(VLOOKUP(A1157,Lookup!A:C,3,0),"")</f>
        <v/>
      </c>
      <c r="D1157" s="54"/>
      <c r="E1157" s="54"/>
      <c r="F1157" s="54"/>
      <c r="G1157" s="72"/>
      <c r="H1157" s="54"/>
      <c r="I1157" s="54"/>
      <c r="J1157" s="106">
        <f>VLOOKUP(A1157&amp;G1157,Lookup!J:N,5,0)</f>
        <v>0</v>
      </c>
      <c r="K1157" s="115"/>
      <c r="L1157" s="54"/>
      <c r="M1157" s="54"/>
      <c r="N1157" s="54"/>
      <c r="O1157" s="112">
        <v>47.9340277777778</v>
      </c>
      <c r="P1157" s="110" t="str">
        <f t="shared" si="80"/>
        <v/>
      </c>
      <c r="Q1157" s="54"/>
      <c r="R1157" s="58"/>
      <c r="S1157" s="87" t="str">
        <f t="shared" si="79"/>
        <v/>
      </c>
      <c r="T1157" s="54"/>
      <c r="U1157" s="54"/>
      <c r="V1157" s="54"/>
      <c r="W1157" s="54"/>
      <c r="X1157" s="69" t="str">
        <f t="shared" si="81"/>
        <v>D</v>
      </c>
    </row>
    <row r="1158" spans="1:24" s="66" customFormat="1" x14ac:dyDescent="0.25">
      <c r="A1158" s="51"/>
      <c r="B1158" s="91" t="str">
        <f>IFERROR(VLOOKUP(A1158,Lookup!A:B,2,0),"")</f>
        <v/>
      </c>
      <c r="C1158" s="92" t="str">
        <f>IFERROR(VLOOKUP(A1158,Lookup!A:C,3,0),"")</f>
        <v/>
      </c>
      <c r="D1158" s="54"/>
      <c r="E1158" s="54"/>
      <c r="F1158" s="54"/>
      <c r="G1158" s="72"/>
      <c r="H1158" s="54"/>
      <c r="I1158" s="54"/>
      <c r="J1158" s="106">
        <f>VLOOKUP(A1158&amp;G1158,Lookup!J:N,5,0)</f>
        <v>0</v>
      </c>
      <c r="K1158" s="115"/>
      <c r="L1158" s="54"/>
      <c r="M1158" s="54"/>
      <c r="N1158" s="54"/>
      <c r="O1158" s="112">
        <v>47.9756944444444</v>
      </c>
      <c r="P1158" s="110" t="str">
        <f t="shared" si="80"/>
        <v/>
      </c>
      <c r="Q1158" s="54"/>
      <c r="R1158" s="58"/>
      <c r="S1158" s="87" t="str">
        <f t="shared" si="79"/>
        <v/>
      </c>
      <c r="T1158" s="54"/>
      <c r="U1158" s="54"/>
      <c r="V1158" s="54"/>
      <c r="W1158" s="54"/>
      <c r="X1158" s="69" t="str">
        <f t="shared" si="81"/>
        <v>D</v>
      </c>
    </row>
    <row r="1159" spans="1:24" s="66" customFormat="1" x14ac:dyDescent="0.25">
      <c r="A1159" s="51"/>
      <c r="B1159" s="91" t="str">
        <f>IFERROR(VLOOKUP(A1159,Lookup!A:B,2,0),"")</f>
        <v/>
      </c>
      <c r="C1159" s="92" t="str">
        <f>IFERROR(VLOOKUP(A1159,Lookup!A:C,3,0),"")</f>
        <v/>
      </c>
      <c r="D1159" s="54"/>
      <c r="E1159" s="54"/>
      <c r="F1159" s="54"/>
      <c r="G1159" s="72"/>
      <c r="H1159" s="54"/>
      <c r="I1159" s="54"/>
      <c r="J1159" s="106">
        <f>VLOOKUP(A1159&amp;G1159,Lookup!J:N,5,0)</f>
        <v>0</v>
      </c>
      <c r="K1159" s="115"/>
      <c r="L1159" s="54"/>
      <c r="M1159" s="54"/>
      <c r="N1159" s="54"/>
      <c r="O1159" s="112">
        <v>48.0173611111111</v>
      </c>
      <c r="P1159" s="110" t="str">
        <f t="shared" si="80"/>
        <v/>
      </c>
      <c r="Q1159" s="54"/>
      <c r="R1159" s="58"/>
      <c r="S1159" s="87" t="str">
        <f t="shared" ref="S1159:S1222" si="82">IF(OR(EXACT(Q1159,""), EXACT(L1159,"")),"",Q1159-L1159)</f>
        <v/>
      </c>
      <c r="T1159" s="54"/>
      <c r="U1159" s="54"/>
      <c r="V1159" s="54"/>
      <c r="W1159" s="54"/>
      <c r="X1159" s="69" t="str">
        <f t="shared" si="81"/>
        <v>D</v>
      </c>
    </row>
    <row r="1160" spans="1:24" s="66" customFormat="1" x14ac:dyDescent="0.25">
      <c r="A1160" s="51"/>
      <c r="B1160" s="91" t="str">
        <f>IFERROR(VLOOKUP(A1160,Lookup!A:B,2,0),"")</f>
        <v/>
      </c>
      <c r="C1160" s="92" t="str">
        <f>IFERROR(VLOOKUP(A1160,Lookup!A:C,3,0),"")</f>
        <v/>
      </c>
      <c r="D1160" s="54"/>
      <c r="E1160" s="54"/>
      <c r="F1160" s="54"/>
      <c r="G1160" s="72"/>
      <c r="H1160" s="54"/>
      <c r="I1160" s="54"/>
      <c r="J1160" s="106">
        <f>VLOOKUP(A1160&amp;G1160,Lookup!J:N,5,0)</f>
        <v>0</v>
      </c>
      <c r="K1160" s="115"/>
      <c r="L1160" s="54"/>
      <c r="M1160" s="54"/>
      <c r="N1160" s="54"/>
      <c r="O1160" s="112">
        <v>48.0590277777778</v>
      </c>
      <c r="P1160" s="110" t="str">
        <f t="shared" si="80"/>
        <v/>
      </c>
      <c r="Q1160" s="54"/>
      <c r="R1160" s="58"/>
      <c r="S1160" s="87" t="str">
        <f t="shared" si="82"/>
        <v/>
      </c>
      <c r="T1160" s="54"/>
      <c r="U1160" s="54"/>
      <c r="V1160" s="54"/>
      <c r="W1160" s="54"/>
      <c r="X1160" s="69" t="str">
        <f t="shared" si="81"/>
        <v>D</v>
      </c>
    </row>
    <row r="1161" spans="1:24" s="66" customFormat="1" x14ac:dyDescent="0.25">
      <c r="A1161" s="51"/>
      <c r="B1161" s="91" t="str">
        <f>IFERROR(VLOOKUP(A1161,Lookup!A:B,2,0),"")</f>
        <v/>
      </c>
      <c r="C1161" s="92" t="str">
        <f>IFERROR(VLOOKUP(A1161,Lookup!A:C,3,0),"")</f>
        <v/>
      </c>
      <c r="D1161" s="54"/>
      <c r="E1161" s="54"/>
      <c r="F1161" s="54"/>
      <c r="G1161" s="72"/>
      <c r="H1161" s="54"/>
      <c r="I1161" s="54"/>
      <c r="J1161" s="106">
        <f>VLOOKUP(A1161&amp;G1161,Lookup!J:N,5,0)</f>
        <v>0</v>
      </c>
      <c r="K1161" s="115"/>
      <c r="L1161" s="54"/>
      <c r="M1161" s="54"/>
      <c r="N1161" s="54"/>
      <c r="O1161" s="112">
        <v>48.1006944444444</v>
      </c>
      <c r="P1161" s="110" t="str">
        <f t="shared" si="80"/>
        <v/>
      </c>
      <c r="Q1161" s="54"/>
      <c r="R1161" s="58"/>
      <c r="S1161" s="87" t="str">
        <f t="shared" si="82"/>
        <v/>
      </c>
      <c r="T1161" s="54"/>
      <c r="U1161" s="54"/>
      <c r="V1161" s="54"/>
      <c r="W1161" s="54"/>
      <c r="X1161" s="69" t="str">
        <f t="shared" si="81"/>
        <v>D</v>
      </c>
    </row>
    <row r="1162" spans="1:24" s="66" customFormat="1" x14ac:dyDescent="0.25">
      <c r="A1162" s="51"/>
      <c r="B1162" s="91" t="str">
        <f>IFERROR(VLOOKUP(A1162,Lookup!A:B,2,0),"")</f>
        <v/>
      </c>
      <c r="C1162" s="92" t="str">
        <f>IFERROR(VLOOKUP(A1162,Lookup!A:C,3,0),"")</f>
        <v/>
      </c>
      <c r="D1162" s="54"/>
      <c r="E1162" s="54"/>
      <c r="F1162" s="54"/>
      <c r="G1162" s="72"/>
      <c r="H1162" s="54"/>
      <c r="I1162" s="54"/>
      <c r="J1162" s="106">
        <f>VLOOKUP(A1162&amp;G1162,Lookup!J:N,5,0)</f>
        <v>0</v>
      </c>
      <c r="K1162" s="115"/>
      <c r="L1162" s="54"/>
      <c r="M1162" s="54"/>
      <c r="N1162" s="54"/>
      <c r="O1162" s="112">
        <v>48.1423611111111</v>
      </c>
      <c r="P1162" s="110" t="str">
        <f t="shared" si="80"/>
        <v/>
      </c>
      <c r="Q1162" s="54"/>
      <c r="R1162" s="58"/>
      <c r="S1162" s="87" t="str">
        <f t="shared" si="82"/>
        <v/>
      </c>
      <c r="T1162" s="54"/>
      <c r="U1162" s="54"/>
      <c r="V1162" s="54"/>
      <c r="W1162" s="54"/>
      <c r="X1162" s="69" t="str">
        <f t="shared" si="81"/>
        <v>D</v>
      </c>
    </row>
    <row r="1163" spans="1:24" s="66" customFormat="1" x14ac:dyDescent="0.25">
      <c r="A1163" s="51"/>
      <c r="B1163" s="91" t="str">
        <f>IFERROR(VLOOKUP(A1163,Lookup!A:B,2,0),"")</f>
        <v/>
      </c>
      <c r="C1163" s="92" t="str">
        <f>IFERROR(VLOOKUP(A1163,Lookup!A:C,3,0),"")</f>
        <v/>
      </c>
      <c r="D1163" s="54"/>
      <c r="E1163" s="54"/>
      <c r="F1163" s="54"/>
      <c r="G1163" s="72"/>
      <c r="H1163" s="54"/>
      <c r="I1163" s="54"/>
      <c r="J1163" s="106">
        <f>VLOOKUP(A1163&amp;G1163,Lookup!J:N,5,0)</f>
        <v>0</v>
      </c>
      <c r="K1163" s="115"/>
      <c r="L1163" s="54"/>
      <c r="M1163" s="54"/>
      <c r="N1163" s="54"/>
      <c r="O1163" s="112">
        <v>48.1840277777778</v>
      </c>
      <c r="P1163" s="110" t="str">
        <f t="shared" si="80"/>
        <v/>
      </c>
      <c r="Q1163" s="54"/>
      <c r="R1163" s="58"/>
      <c r="S1163" s="87" t="str">
        <f t="shared" si="82"/>
        <v/>
      </c>
      <c r="T1163" s="54"/>
      <c r="U1163" s="54"/>
      <c r="V1163" s="54"/>
      <c r="W1163" s="54"/>
      <c r="X1163" s="69" t="str">
        <f t="shared" si="81"/>
        <v>D</v>
      </c>
    </row>
    <row r="1164" spans="1:24" s="66" customFormat="1" x14ac:dyDescent="0.25">
      <c r="A1164" s="51"/>
      <c r="B1164" s="91" t="str">
        <f>IFERROR(VLOOKUP(A1164,Lookup!A:B,2,0),"")</f>
        <v/>
      </c>
      <c r="C1164" s="92" t="str">
        <f>IFERROR(VLOOKUP(A1164,Lookup!A:C,3,0),"")</f>
        <v/>
      </c>
      <c r="D1164" s="54"/>
      <c r="E1164" s="54"/>
      <c r="F1164" s="54"/>
      <c r="G1164" s="72"/>
      <c r="H1164" s="54"/>
      <c r="I1164" s="54"/>
      <c r="J1164" s="106">
        <f>VLOOKUP(A1164&amp;G1164,Lookup!J:N,5,0)</f>
        <v>0</v>
      </c>
      <c r="K1164" s="115"/>
      <c r="L1164" s="54"/>
      <c r="M1164" s="54"/>
      <c r="N1164" s="54"/>
      <c r="O1164" s="112">
        <v>48.2256944444444</v>
      </c>
      <c r="P1164" s="110" t="str">
        <f t="shared" si="80"/>
        <v/>
      </c>
      <c r="Q1164" s="54"/>
      <c r="R1164" s="58"/>
      <c r="S1164" s="87" t="str">
        <f t="shared" si="82"/>
        <v/>
      </c>
      <c r="T1164" s="54"/>
      <c r="U1164" s="54"/>
      <c r="V1164" s="54"/>
      <c r="W1164" s="54"/>
      <c r="X1164" s="69" t="str">
        <f t="shared" si="81"/>
        <v>D</v>
      </c>
    </row>
    <row r="1165" spans="1:24" s="66" customFormat="1" x14ac:dyDescent="0.25">
      <c r="A1165" s="51"/>
      <c r="B1165" s="91" t="str">
        <f>IFERROR(VLOOKUP(A1165,Lookup!A:B,2,0),"")</f>
        <v/>
      </c>
      <c r="C1165" s="92" t="str">
        <f>IFERROR(VLOOKUP(A1165,Lookup!A:C,3,0),"")</f>
        <v/>
      </c>
      <c r="D1165" s="54"/>
      <c r="E1165" s="54"/>
      <c r="F1165" s="54"/>
      <c r="G1165" s="72"/>
      <c r="H1165" s="54"/>
      <c r="I1165" s="54"/>
      <c r="J1165" s="106">
        <f>VLOOKUP(A1165&amp;G1165,Lookup!J:N,5,0)</f>
        <v>0</v>
      </c>
      <c r="K1165" s="115"/>
      <c r="L1165" s="54"/>
      <c r="M1165" s="54"/>
      <c r="N1165" s="54"/>
      <c r="O1165" s="112">
        <v>48.2673611111111</v>
      </c>
      <c r="P1165" s="110" t="str">
        <f t="shared" si="80"/>
        <v/>
      </c>
      <c r="Q1165" s="54"/>
      <c r="R1165" s="58"/>
      <c r="S1165" s="87" t="str">
        <f t="shared" si="82"/>
        <v/>
      </c>
      <c r="T1165" s="54"/>
      <c r="U1165" s="54"/>
      <c r="V1165" s="54"/>
      <c r="W1165" s="54"/>
      <c r="X1165" s="69" t="str">
        <f t="shared" si="81"/>
        <v>D</v>
      </c>
    </row>
    <row r="1166" spans="1:24" s="66" customFormat="1" x14ac:dyDescent="0.25">
      <c r="A1166" s="51"/>
      <c r="B1166" s="91" t="str">
        <f>IFERROR(VLOOKUP(A1166,Lookup!A:B,2,0),"")</f>
        <v/>
      </c>
      <c r="C1166" s="92" t="str">
        <f>IFERROR(VLOOKUP(A1166,Lookup!A:C,3,0),"")</f>
        <v/>
      </c>
      <c r="D1166" s="54"/>
      <c r="E1166" s="54"/>
      <c r="F1166" s="54"/>
      <c r="G1166" s="72"/>
      <c r="H1166" s="54"/>
      <c r="I1166" s="54"/>
      <c r="J1166" s="106">
        <f>VLOOKUP(A1166&amp;G1166,Lookup!J:N,5,0)</f>
        <v>0</v>
      </c>
      <c r="K1166" s="115"/>
      <c r="L1166" s="54"/>
      <c r="M1166" s="54"/>
      <c r="N1166" s="54"/>
      <c r="O1166" s="112">
        <v>48.3090277777778</v>
      </c>
      <c r="P1166" s="110" t="str">
        <f t="shared" si="80"/>
        <v/>
      </c>
      <c r="Q1166" s="54"/>
      <c r="R1166" s="58"/>
      <c r="S1166" s="87" t="str">
        <f t="shared" si="82"/>
        <v/>
      </c>
      <c r="T1166" s="54"/>
      <c r="U1166" s="54"/>
      <c r="V1166" s="54"/>
      <c r="W1166" s="54"/>
      <c r="X1166" s="69" t="str">
        <f t="shared" si="81"/>
        <v>D</v>
      </c>
    </row>
    <row r="1167" spans="1:24" s="66" customFormat="1" x14ac:dyDescent="0.25">
      <c r="A1167" s="51"/>
      <c r="B1167" s="91" t="str">
        <f>IFERROR(VLOOKUP(A1167,Lookup!A:B,2,0),"")</f>
        <v/>
      </c>
      <c r="C1167" s="92" t="str">
        <f>IFERROR(VLOOKUP(A1167,Lookup!A:C,3,0),"")</f>
        <v/>
      </c>
      <c r="D1167" s="54"/>
      <c r="E1167" s="54"/>
      <c r="F1167" s="54"/>
      <c r="G1167" s="72"/>
      <c r="H1167" s="54"/>
      <c r="I1167" s="54"/>
      <c r="J1167" s="106">
        <f>VLOOKUP(A1167&amp;G1167,Lookup!J:N,5,0)</f>
        <v>0</v>
      </c>
      <c r="K1167" s="115"/>
      <c r="L1167" s="54"/>
      <c r="M1167" s="54"/>
      <c r="N1167" s="54"/>
      <c r="O1167" s="112">
        <v>48.3506944444444</v>
      </c>
      <c r="P1167" s="110" t="str">
        <f t="shared" si="80"/>
        <v/>
      </c>
      <c r="Q1167" s="54"/>
      <c r="R1167" s="58"/>
      <c r="S1167" s="87" t="str">
        <f t="shared" si="82"/>
        <v/>
      </c>
      <c r="T1167" s="54"/>
      <c r="U1167" s="54"/>
      <c r="V1167" s="54"/>
      <c r="W1167" s="54"/>
      <c r="X1167" s="69" t="str">
        <f t="shared" si="81"/>
        <v>D</v>
      </c>
    </row>
    <row r="1168" spans="1:24" s="66" customFormat="1" x14ac:dyDescent="0.25">
      <c r="A1168" s="51"/>
      <c r="B1168" s="91" t="str">
        <f>IFERROR(VLOOKUP(A1168,Lookup!A:B,2,0),"")</f>
        <v/>
      </c>
      <c r="C1168" s="92" t="str">
        <f>IFERROR(VLOOKUP(A1168,Lookup!A:C,3,0),"")</f>
        <v/>
      </c>
      <c r="D1168" s="54"/>
      <c r="E1168" s="54"/>
      <c r="F1168" s="54"/>
      <c r="G1168" s="72"/>
      <c r="H1168" s="54"/>
      <c r="I1168" s="54"/>
      <c r="J1168" s="106">
        <f>VLOOKUP(A1168&amp;G1168,Lookup!J:N,5,0)</f>
        <v>0</v>
      </c>
      <c r="K1168" s="115"/>
      <c r="L1168" s="54"/>
      <c r="M1168" s="54"/>
      <c r="N1168" s="54"/>
      <c r="O1168" s="112">
        <v>48.3923611111111</v>
      </c>
      <c r="P1168" s="110" t="str">
        <f t="shared" si="80"/>
        <v/>
      </c>
      <c r="Q1168" s="54"/>
      <c r="R1168" s="58"/>
      <c r="S1168" s="87" t="str">
        <f t="shared" si="82"/>
        <v/>
      </c>
      <c r="T1168" s="54"/>
      <c r="U1168" s="54"/>
      <c r="V1168" s="54"/>
      <c r="W1168" s="54"/>
      <c r="X1168" s="69" t="str">
        <f t="shared" si="81"/>
        <v>D</v>
      </c>
    </row>
    <row r="1169" spans="1:24" s="66" customFormat="1" x14ac:dyDescent="0.25">
      <c r="A1169" s="51"/>
      <c r="B1169" s="91" t="str">
        <f>IFERROR(VLOOKUP(A1169,Lookup!A:B,2,0),"")</f>
        <v/>
      </c>
      <c r="C1169" s="92" t="str">
        <f>IFERROR(VLOOKUP(A1169,Lookup!A:C,3,0),"")</f>
        <v/>
      </c>
      <c r="D1169" s="54"/>
      <c r="E1169" s="54"/>
      <c r="F1169" s="54"/>
      <c r="G1169" s="72"/>
      <c r="H1169" s="54"/>
      <c r="I1169" s="54"/>
      <c r="J1169" s="106">
        <f>VLOOKUP(A1169&amp;G1169,Lookup!J:N,5,0)</f>
        <v>0</v>
      </c>
      <c r="K1169" s="115"/>
      <c r="L1169" s="54"/>
      <c r="M1169" s="54"/>
      <c r="N1169" s="54"/>
      <c r="O1169" s="112">
        <v>48.4340277777778</v>
      </c>
      <c r="P1169" s="110" t="str">
        <f t="shared" si="80"/>
        <v/>
      </c>
      <c r="Q1169" s="54"/>
      <c r="R1169" s="58"/>
      <c r="S1169" s="87" t="str">
        <f t="shared" si="82"/>
        <v/>
      </c>
      <c r="T1169" s="54"/>
      <c r="U1169" s="54"/>
      <c r="V1169" s="54"/>
      <c r="W1169" s="54"/>
      <c r="X1169" s="69" t="str">
        <f t="shared" si="81"/>
        <v>D</v>
      </c>
    </row>
    <row r="1170" spans="1:24" s="66" customFormat="1" x14ac:dyDescent="0.25">
      <c r="A1170" s="51"/>
      <c r="B1170" s="91" t="str">
        <f>IFERROR(VLOOKUP(A1170,Lookup!A:B,2,0),"")</f>
        <v/>
      </c>
      <c r="C1170" s="92" t="str">
        <f>IFERROR(VLOOKUP(A1170,Lookup!A:C,3,0),"")</f>
        <v/>
      </c>
      <c r="D1170" s="54"/>
      <c r="E1170" s="54"/>
      <c r="F1170" s="54"/>
      <c r="G1170" s="72"/>
      <c r="H1170" s="54"/>
      <c r="I1170" s="54"/>
      <c r="J1170" s="106">
        <f>VLOOKUP(A1170&amp;G1170,Lookup!J:N,5,0)</f>
        <v>0</v>
      </c>
      <c r="K1170" s="115"/>
      <c r="L1170" s="54"/>
      <c r="M1170" s="54"/>
      <c r="N1170" s="54"/>
      <c r="O1170" s="112">
        <v>48.4756944444444</v>
      </c>
      <c r="P1170" s="110" t="str">
        <f t="shared" si="80"/>
        <v/>
      </c>
      <c r="Q1170" s="54"/>
      <c r="R1170" s="58"/>
      <c r="S1170" s="87" t="str">
        <f t="shared" si="82"/>
        <v/>
      </c>
      <c r="T1170" s="54"/>
      <c r="U1170" s="54"/>
      <c r="V1170" s="54"/>
      <c r="W1170" s="54"/>
      <c r="X1170" s="69" t="str">
        <f t="shared" si="81"/>
        <v>D</v>
      </c>
    </row>
    <row r="1171" spans="1:24" s="66" customFormat="1" x14ac:dyDescent="0.25">
      <c r="A1171" s="51"/>
      <c r="B1171" s="91" t="str">
        <f>IFERROR(VLOOKUP(A1171,Lookup!A:B,2,0),"")</f>
        <v/>
      </c>
      <c r="C1171" s="92" t="str">
        <f>IFERROR(VLOOKUP(A1171,Lookup!A:C,3,0),"")</f>
        <v/>
      </c>
      <c r="D1171" s="54"/>
      <c r="E1171" s="54"/>
      <c r="F1171" s="54"/>
      <c r="G1171" s="72"/>
      <c r="H1171" s="54"/>
      <c r="I1171" s="54"/>
      <c r="J1171" s="106">
        <f>VLOOKUP(A1171&amp;G1171,Lookup!J:N,5,0)</f>
        <v>0</v>
      </c>
      <c r="K1171" s="115"/>
      <c r="L1171" s="54"/>
      <c r="M1171" s="54"/>
      <c r="N1171" s="54"/>
      <c r="O1171" s="112">
        <v>48.5173611111111</v>
      </c>
      <c r="P1171" s="110" t="str">
        <f t="shared" si="80"/>
        <v/>
      </c>
      <c r="Q1171" s="54"/>
      <c r="R1171" s="58"/>
      <c r="S1171" s="87" t="str">
        <f t="shared" si="82"/>
        <v/>
      </c>
      <c r="T1171" s="54"/>
      <c r="U1171" s="54"/>
      <c r="V1171" s="54"/>
      <c r="W1171" s="54"/>
      <c r="X1171" s="69" t="str">
        <f t="shared" si="81"/>
        <v>D</v>
      </c>
    </row>
    <row r="1172" spans="1:24" s="66" customFormat="1" x14ac:dyDescent="0.25">
      <c r="A1172" s="51"/>
      <c r="B1172" s="91" t="str">
        <f>IFERROR(VLOOKUP(A1172,Lookup!A:B,2,0),"")</f>
        <v/>
      </c>
      <c r="C1172" s="92" t="str">
        <f>IFERROR(VLOOKUP(A1172,Lookup!A:C,3,0),"")</f>
        <v/>
      </c>
      <c r="D1172" s="54"/>
      <c r="E1172" s="54"/>
      <c r="F1172" s="54"/>
      <c r="G1172" s="72"/>
      <c r="H1172" s="54"/>
      <c r="I1172" s="54"/>
      <c r="J1172" s="106">
        <f>VLOOKUP(A1172&amp;G1172,Lookup!J:N,5,0)</f>
        <v>0</v>
      </c>
      <c r="K1172" s="115"/>
      <c r="L1172" s="54"/>
      <c r="M1172" s="54"/>
      <c r="N1172" s="54"/>
      <c r="O1172" s="112">
        <v>48.5590277777778</v>
      </c>
      <c r="P1172" s="110" t="str">
        <f t="shared" si="80"/>
        <v/>
      </c>
      <c r="Q1172" s="54"/>
      <c r="R1172" s="58"/>
      <c r="S1172" s="87" t="str">
        <f t="shared" si="82"/>
        <v/>
      </c>
      <c r="T1172" s="54"/>
      <c r="U1172" s="54"/>
      <c r="V1172" s="54"/>
      <c r="W1172" s="54"/>
      <c r="X1172" s="69" t="str">
        <f t="shared" si="81"/>
        <v>D</v>
      </c>
    </row>
    <row r="1173" spans="1:24" s="66" customFormat="1" x14ac:dyDescent="0.25">
      <c r="A1173" s="51"/>
      <c r="B1173" s="91" t="str">
        <f>IFERROR(VLOOKUP(A1173,Lookup!A:B,2,0),"")</f>
        <v/>
      </c>
      <c r="C1173" s="92" t="str">
        <f>IFERROR(VLOOKUP(A1173,Lookup!A:C,3,0),"")</f>
        <v/>
      </c>
      <c r="D1173" s="54"/>
      <c r="E1173" s="54"/>
      <c r="F1173" s="54"/>
      <c r="G1173" s="72"/>
      <c r="H1173" s="54"/>
      <c r="I1173" s="54"/>
      <c r="J1173" s="106">
        <f>VLOOKUP(A1173&amp;G1173,Lookup!J:N,5,0)</f>
        <v>0</v>
      </c>
      <c r="K1173" s="115"/>
      <c r="L1173" s="54"/>
      <c r="M1173" s="54"/>
      <c r="N1173" s="54"/>
      <c r="O1173" s="112">
        <v>48.6006944444444</v>
      </c>
      <c r="P1173" s="110" t="str">
        <f t="shared" si="80"/>
        <v/>
      </c>
      <c r="Q1173" s="54"/>
      <c r="R1173" s="58"/>
      <c r="S1173" s="87" t="str">
        <f t="shared" si="82"/>
        <v/>
      </c>
      <c r="T1173" s="54"/>
      <c r="U1173" s="54"/>
      <c r="V1173" s="54"/>
      <c r="W1173" s="54"/>
      <c r="X1173" s="69" t="str">
        <f t="shared" si="81"/>
        <v>D</v>
      </c>
    </row>
    <row r="1174" spans="1:24" s="66" customFormat="1" x14ac:dyDescent="0.25">
      <c r="A1174" s="51"/>
      <c r="B1174" s="91" t="str">
        <f>IFERROR(VLOOKUP(A1174,Lookup!A:B,2,0),"")</f>
        <v/>
      </c>
      <c r="C1174" s="92" t="str">
        <f>IFERROR(VLOOKUP(A1174,Lookup!A:C,3,0),"")</f>
        <v/>
      </c>
      <c r="D1174" s="54"/>
      <c r="E1174" s="54"/>
      <c r="F1174" s="54"/>
      <c r="G1174" s="72"/>
      <c r="H1174" s="54"/>
      <c r="I1174" s="54"/>
      <c r="J1174" s="106">
        <f>VLOOKUP(A1174&amp;G1174,Lookup!J:N,5,0)</f>
        <v>0</v>
      </c>
      <c r="K1174" s="115"/>
      <c r="L1174" s="54"/>
      <c r="M1174" s="54"/>
      <c r="N1174" s="54"/>
      <c r="O1174" s="112">
        <v>48.6423611111111</v>
      </c>
      <c r="P1174" s="110" t="str">
        <f t="shared" si="80"/>
        <v/>
      </c>
      <c r="Q1174" s="54"/>
      <c r="R1174" s="58"/>
      <c r="S1174" s="87" t="str">
        <f t="shared" si="82"/>
        <v/>
      </c>
      <c r="T1174" s="54"/>
      <c r="U1174" s="54"/>
      <c r="V1174" s="54"/>
      <c r="W1174" s="54"/>
      <c r="X1174" s="69" t="str">
        <f t="shared" si="81"/>
        <v>D</v>
      </c>
    </row>
    <row r="1175" spans="1:24" s="66" customFormat="1" x14ac:dyDescent="0.25">
      <c r="A1175" s="51"/>
      <c r="B1175" s="91" t="str">
        <f>IFERROR(VLOOKUP(A1175,Lookup!A:B,2,0),"")</f>
        <v/>
      </c>
      <c r="C1175" s="92" t="str">
        <f>IFERROR(VLOOKUP(A1175,Lookup!A:C,3,0),"")</f>
        <v/>
      </c>
      <c r="D1175" s="54"/>
      <c r="E1175" s="54"/>
      <c r="F1175" s="54"/>
      <c r="G1175" s="72"/>
      <c r="H1175" s="54"/>
      <c r="I1175" s="54"/>
      <c r="J1175" s="106">
        <f>VLOOKUP(A1175&amp;G1175,Lookup!J:N,5,0)</f>
        <v>0</v>
      </c>
      <c r="K1175" s="115"/>
      <c r="L1175" s="54"/>
      <c r="M1175" s="54"/>
      <c r="N1175" s="54"/>
      <c r="O1175" s="112">
        <v>48.6840277777778</v>
      </c>
      <c r="P1175" s="110" t="str">
        <f t="shared" si="80"/>
        <v/>
      </c>
      <c r="Q1175" s="54"/>
      <c r="R1175" s="58"/>
      <c r="S1175" s="87" t="str">
        <f t="shared" si="82"/>
        <v/>
      </c>
      <c r="T1175" s="54"/>
      <c r="U1175" s="54"/>
      <c r="V1175" s="54"/>
      <c r="W1175" s="54"/>
      <c r="X1175" s="69" t="str">
        <f t="shared" si="81"/>
        <v>D</v>
      </c>
    </row>
    <row r="1176" spans="1:24" s="66" customFormat="1" x14ac:dyDescent="0.25">
      <c r="A1176" s="51"/>
      <c r="B1176" s="91" t="str">
        <f>IFERROR(VLOOKUP(A1176,Lookup!A:B,2,0),"")</f>
        <v/>
      </c>
      <c r="C1176" s="92" t="str">
        <f>IFERROR(VLOOKUP(A1176,Lookup!A:C,3,0),"")</f>
        <v/>
      </c>
      <c r="D1176" s="54"/>
      <c r="E1176" s="54"/>
      <c r="F1176" s="54"/>
      <c r="G1176" s="72"/>
      <c r="H1176" s="54"/>
      <c r="I1176" s="54"/>
      <c r="J1176" s="106">
        <f>VLOOKUP(A1176&amp;G1176,Lookup!J:N,5,0)</f>
        <v>0</v>
      </c>
      <c r="K1176" s="115"/>
      <c r="L1176" s="54"/>
      <c r="M1176" s="54"/>
      <c r="N1176" s="54"/>
      <c r="O1176" s="112">
        <v>48.7256944444444</v>
      </c>
      <c r="P1176" s="110" t="str">
        <f t="shared" si="80"/>
        <v/>
      </c>
      <c r="Q1176" s="54"/>
      <c r="R1176" s="58"/>
      <c r="S1176" s="87" t="str">
        <f t="shared" si="82"/>
        <v/>
      </c>
      <c r="T1176" s="54"/>
      <c r="U1176" s="54"/>
      <c r="V1176" s="54"/>
      <c r="W1176" s="54"/>
      <c r="X1176" s="69" t="str">
        <f t="shared" si="81"/>
        <v>D</v>
      </c>
    </row>
    <row r="1177" spans="1:24" s="66" customFormat="1" x14ac:dyDescent="0.25">
      <c r="A1177" s="51"/>
      <c r="B1177" s="91" t="str">
        <f>IFERROR(VLOOKUP(A1177,Lookup!A:B,2,0),"")</f>
        <v/>
      </c>
      <c r="C1177" s="92" t="str">
        <f>IFERROR(VLOOKUP(A1177,Lookup!A:C,3,0),"")</f>
        <v/>
      </c>
      <c r="D1177" s="54"/>
      <c r="E1177" s="54"/>
      <c r="F1177" s="54"/>
      <c r="G1177" s="72"/>
      <c r="H1177" s="54"/>
      <c r="I1177" s="54"/>
      <c r="J1177" s="106">
        <f>VLOOKUP(A1177&amp;G1177,Lookup!J:N,5,0)</f>
        <v>0</v>
      </c>
      <c r="K1177" s="115"/>
      <c r="L1177" s="54"/>
      <c r="M1177" s="54"/>
      <c r="N1177" s="54"/>
      <c r="O1177" s="112">
        <v>48.7673611111111</v>
      </c>
      <c r="P1177" s="110" t="str">
        <f t="shared" si="80"/>
        <v/>
      </c>
      <c r="Q1177" s="54"/>
      <c r="R1177" s="58"/>
      <c r="S1177" s="87" t="str">
        <f t="shared" si="82"/>
        <v/>
      </c>
      <c r="T1177" s="54"/>
      <c r="U1177" s="54"/>
      <c r="V1177" s="54"/>
      <c r="W1177" s="54"/>
      <c r="X1177" s="69" t="str">
        <f t="shared" si="81"/>
        <v>D</v>
      </c>
    </row>
    <row r="1178" spans="1:24" s="66" customFormat="1" x14ac:dyDescent="0.25">
      <c r="A1178" s="51"/>
      <c r="B1178" s="91" t="str">
        <f>IFERROR(VLOOKUP(A1178,Lookup!A:B,2,0),"")</f>
        <v/>
      </c>
      <c r="C1178" s="92" t="str">
        <f>IFERROR(VLOOKUP(A1178,Lookup!A:C,3,0),"")</f>
        <v/>
      </c>
      <c r="D1178" s="54"/>
      <c r="E1178" s="54"/>
      <c r="F1178" s="54"/>
      <c r="G1178" s="72"/>
      <c r="H1178" s="54"/>
      <c r="I1178" s="54"/>
      <c r="J1178" s="106">
        <f>VLOOKUP(A1178&amp;G1178,Lookup!J:N,5,0)</f>
        <v>0</v>
      </c>
      <c r="K1178" s="115"/>
      <c r="L1178" s="54"/>
      <c r="M1178" s="54"/>
      <c r="N1178" s="54"/>
      <c r="O1178" s="112">
        <v>48.8090277777778</v>
      </c>
      <c r="P1178" s="110" t="str">
        <f t="shared" si="80"/>
        <v/>
      </c>
      <c r="Q1178" s="54"/>
      <c r="R1178" s="58"/>
      <c r="S1178" s="87" t="str">
        <f t="shared" si="82"/>
        <v/>
      </c>
      <c r="T1178" s="54"/>
      <c r="U1178" s="54"/>
      <c r="V1178" s="54"/>
      <c r="W1178" s="54"/>
      <c r="X1178" s="69" t="str">
        <f t="shared" si="81"/>
        <v>D</v>
      </c>
    </row>
    <row r="1179" spans="1:24" s="66" customFormat="1" x14ac:dyDescent="0.25">
      <c r="A1179" s="51"/>
      <c r="B1179" s="91" t="str">
        <f>IFERROR(VLOOKUP(A1179,Lookup!A:B,2,0),"")</f>
        <v/>
      </c>
      <c r="C1179" s="92" t="str">
        <f>IFERROR(VLOOKUP(A1179,Lookup!A:C,3,0),"")</f>
        <v/>
      </c>
      <c r="D1179" s="54"/>
      <c r="E1179" s="54"/>
      <c r="F1179" s="54"/>
      <c r="G1179" s="72"/>
      <c r="H1179" s="54"/>
      <c r="I1179" s="54"/>
      <c r="J1179" s="106">
        <f>VLOOKUP(A1179&amp;G1179,Lookup!J:N,5,0)</f>
        <v>0</v>
      </c>
      <c r="K1179" s="115"/>
      <c r="L1179" s="54"/>
      <c r="M1179" s="54"/>
      <c r="N1179" s="54"/>
      <c r="O1179" s="112">
        <v>48.8506944444444</v>
      </c>
      <c r="P1179" s="110" t="str">
        <f t="shared" si="80"/>
        <v/>
      </c>
      <c r="Q1179" s="54"/>
      <c r="R1179" s="58"/>
      <c r="S1179" s="87" t="str">
        <f t="shared" si="82"/>
        <v/>
      </c>
      <c r="T1179" s="54"/>
      <c r="U1179" s="54"/>
      <c r="V1179" s="54"/>
      <c r="W1179" s="54"/>
      <c r="X1179" s="69" t="str">
        <f t="shared" si="81"/>
        <v>D</v>
      </c>
    </row>
    <row r="1180" spans="1:24" s="66" customFormat="1" x14ac:dyDescent="0.25">
      <c r="A1180" s="51"/>
      <c r="B1180" s="91" t="str">
        <f>IFERROR(VLOOKUP(A1180,Lookup!A:B,2,0),"")</f>
        <v/>
      </c>
      <c r="C1180" s="92" t="str">
        <f>IFERROR(VLOOKUP(A1180,Lookup!A:C,3,0),"")</f>
        <v/>
      </c>
      <c r="D1180" s="54"/>
      <c r="E1180" s="54"/>
      <c r="F1180" s="54"/>
      <c r="G1180" s="72"/>
      <c r="H1180" s="54"/>
      <c r="I1180" s="54"/>
      <c r="J1180" s="106">
        <f>VLOOKUP(A1180&amp;G1180,Lookup!J:N,5,0)</f>
        <v>0</v>
      </c>
      <c r="K1180" s="115"/>
      <c r="L1180" s="54"/>
      <c r="M1180" s="54"/>
      <c r="N1180" s="54"/>
      <c r="O1180" s="112">
        <v>48.8923611111111</v>
      </c>
      <c r="P1180" s="110" t="str">
        <f t="shared" si="80"/>
        <v/>
      </c>
      <c r="Q1180" s="54"/>
      <c r="R1180" s="58"/>
      <c r="S1180" s="87" t="str">
        <f t="shared" si="82"/>
        <v/>
      </c>
      <c r="T1180" s="54"/>
      <c r="U1180" s="54"/>
      <c r="V1180" s="54"/>
      <c r="W1180" s="54"/>
      <c r="X1180" s="69" t="str">
        <f t="shared" si="81"/>
        <v>D</v>
      </c>
    </row>
    <row r="1181" spans="1:24" s="66" customFormat="1" x14ac:dyDescent="0.25">
      <c r="A1181" s="51"/>
      <c r="B1181" s="91" t="str">
        <f>IFERROR(VLOOKUP(A1181,Lookup!A:B,2,0),"")</f>
        <v/>
      </c>
      <c r="C1181" s="92" t="str">
        <f>IFERROR(VLOOKUP(A1181,Lookup!A:C,3,0),"")</f>
        <v/>
      </c>
      <c r="D1181" s="54"/>
      <c r="E1181" s="54"/>
      <c r="F1181" s="54"/>
      <c r="G1181" s="72"/>
      <c r="H1181" s="54"/>
      <c r="I1181" s="54"/>
      <c r="J1181" s="106">
        <f>VLOOKUP(A1181&amp;G1181,Lookup!J:N,5,0)</f>
        <v>0</v>
      </c>
      <c r="K1181" s="115"/>
      <c r="L1181" s="54"/>
      <c r="M1181" s="54"/>
      <c r="N1181" s="54"/>
      <c r="O1181" s="112">
        <v>48.9340277777778</v>
      </c>
      <c r="P1181" s="110" t="str">
        <f t="shared" si="80"/>
        <v/>
      </c>
      <c r="Q1181" s="54"/>
      <c r="R1181" s="58"/>
      <c r="S1181" s="87" t="str">
        <f t="shared" si="82"/>
        <v/>
      </c>
      <c r="T1181" s="54"/>
      <c r="U1181" s="54"/>
      <c r="V1181" s="54"/>
      <c r="W1181" s="54"/>
      <c r="X1181" s="69" t="str">
        <f t="shared" si="81"/>
        <v>D</v>
      </c>
    </row>
    <row r="1182" spans="1:24" s="66" customFormat="1" x14ac:dyDescent="0.25">
      <c r="A1182" s="51"/>
      <c r="B1182" s="91" t="str">
        <f>IFERROR(VLOOKUP(A1182,Lookup!A:B,2,0),"")</f>
        <v/>
      </c>
      <c r="C1182" s="92" t="str">
        <f>IFERROR(VLOOKUP(A1182,Lookup!A:C,3,0),"")</f>
        <v/>
      </c>
      <c r="D1182" s="54"/>
      <c r="E1182" s="54"/>
      <c r="F1182" s="54"/>
      <c r="G1182" s="72"/>
      <c r="H1182" s="54"/>
      <c r="I1182" s="54"/>
      <c r="J1182" s="106">
        <f>VLOOKUP(A1182&amp;G1182,Lookup!J:N,5,0)</f>
        <v>0</v>
      </c>
      <c r="K1182" s="115"/>
      <c r="L1182" s="54"/>
      <c r="M1182" s="54"/>
      <c r="N1182" s="54"/>
      <c r="O1182" s="112">
        <v>48.9756944444444</v>
      </c>
      <c r="P1182" s="110" t="str">
        <f t="shared" si="80"/>
        <v/>
      </c>
      <c r="Q1182" s="54"/>
      <c r="R1182" s="58"/>
      <c r="S1182" s="87" t="str">
        <f t="shared" si="82"/>
        <v/>
      </c>
      <c r="T1182" s="54"/>
      <c r="U1182" s="54"/>
      <c r="V1182" s="54"/>
      <c r="W1182" s="54"/>
      <c r="X1182" s="69" t="str">
        <f t="shared" si="81"/>
        <v>D</v>
      </c>
    </row>
    <row r="1183" spans="1:24" s="66" customFormat="1" x14ac:dyDescent="0.25">
      <c r="A1183" s="51"/>
      <c r="B1183" s="91" t="str">
        <f>IFERROR(VLOOKUP(A1183,Lookup!A:B,2,0),"")</f>
        <v/>
      </c>
      <c r="C1183" s="92" t="str">
        <f>IFERROR(VLOOKUP(A1183,Lookup!A:C,3,0),"")</f>
        <v/>
      </c>
      <c r="D1183" s="54"/>
      <c r="E1183" s="54"/>
      <c r="F1183" s="54"/>
      <c r="G1183" s="72"/>
      <c r="H1183" s="54"/>
      <c r="I1183" s="54"/>
      <c r="J1183" s="106">
        <f>VLOOKUP(A1183&amp;G1183,Lookup!J:N,5,0)</f>
        <v>0</v>
      </c>
      <c r="K1183" s="115"/>
      <c r="L1183" s="54"/>
      <c r="M1183" s="54"/>
      <c r="N1183" s="54"/>
      <c r="O1183" s="112">
        <v>49.0173611111111</v>
      </c>
      <c r="P1183" s="110" t="str">
        <f t="shared" si="80"/>
        <v/>
      </c>
      <c r="Q1183" s="54"/>
      <c r="R1183" s="58"/>
      <c r="S1183" s="87" t="str">
        <f t="shared" si="82"/>
        <v/>
      </c>
      <c r="T1183" s="54"/>
      <c r="U1183" s="54"/>
      <c r="V1183" s="54"/>
      <c r="W1183" s="54"/>
      <c r="X1183" s="69" t="str">
        <f t="shared" si="81"/>
        <v>D</v>
      </c>
    </row>
    <row r="1184" spans="1:24" s="66" customFormat="1" x14ac:dyDescent="0.25">
      <c r="A1184" s="51"/>
      <c r="B1184" s="91" t="str">
        <f>IFERROR(VLOOKUP(A1184,Lookup!A:B,2,0),"")</f>
        <v/>
      </c>
      <c r="C1184" s="92" t="str">
        <f>IFERROR(VLOOKUP(A1184,Lookup!A:C,3,0),"")</f>
        <v/>
      </c>
      <c r="D1184" s="54"/>
      <c r="E1184" s="54"/>
      <c r="F1184" s="54"/>
      <c r="G1184" s="72"/>
      <c r="H1184" s="54"/>
      <c r="I1184" s="54"/>
      <c r="J1184" s="106">
        <f>VLOOKUP(A1184&amp;G1184,Lookup!J:N,5,0)</f>
        <v>0</v>
      </c>
      <c r="K1184" s="115"/>
      <c r="L1184" s="54"/>
      <c r="M1184" s="54"/>
      <c r="N1184" s="54"/>
      <c r="O1184" s="112">
        <v>49.0590277777778</v>
      </c>
      <c r="P1184" s="110" t="str">
        <f t="shared" si="80"/>
        <v/>
      </c>
      <c r="Q1184" s="54"/>
      <c r="R1184" s="58"/>
      <c r="S1184" s="87" t="str">
        <f t="shared" si="82"/>
        <v/>
      </c>
      <c r="T1184" s="54"/>
      <c r="U1184" s="54"/>
      <c r="V1184" s="54"/>
      <c r="W1184" s="54"/>
      <c r="X1184" s="69" t="str">
        <f t="shared" si="81"/>
        <v>D</v>
      </c>
    </row>
    <row r="1185" spans="1:24" s="66" customFormat="1" x14ac:dyDescent="0.25">
      <c r="A1185" s="51"/>
      <c r="B1185" s="91" t="str">
        <f>IFERROR(VLOOKUP(A1185,Lookup!A:B,2,0),"")</f>
        <v/>
      </c>
      <c r="C1185" s="92" t="str">
        <f>IFERROR(VLOOKUP(A1185,Lookup!A:C,3,0),"")</f>
        <v/>
      </c>
      <c r="D1185" s="54"/>
      <c r="E1185" s="54"/>
      <c r="F1185" s="54"/>
      <c r="G1185" s="72"/>
      <c r="H1185" s="54"/>
      <c r="I1185" s="54"/>
      <c r="J1185" s="106">
        <f>VLOOKUP(A1185&amp;G1185,Lookup!J:N,5,0)</f>
        <v>0</v>
      </c>
      <c r="K1185" s="115"/>
      <c r="L1185" s="54"/>
      <c r="M1185" s="54"/>
      <c r="N1185" s="54"/>
      <c r="O1185" s="112">
        <v>49.1006944444444</v>
      </c>
      <c r="P1185" s="110" t="str">
        <f t="shared" si="80"/>
        <v/>
      </c>
      <c r="Q1185" s="54"/>
      <c r="R1185" s="58"/>
      <c r="S1185" s="87" t="str">
        <f t="shared" si="82"/>
        <v/>
      </c>
      <c r="T1185" s="54"/>
      <c r="U1185" s="54"/>
      <c r="V1185" s="54"/>
      <c r="W1185" s="54"/>
      <c r="X1185" s="69" t="str">
        <f t="shared" si="81"/>
        <v>D</v>
      </c>
    </row>
    <row r="1186" spans="1:24" s="66" customFormat="1" x14ac:dyDescent="0.25">
      <c r="A1186" s="51"/>
      <c r="B1186" s="91" t="str">
        <f>IFERROR(VLOOKUP(A1186,Lookup!A:B,2,0),"")</f>
        <v/>
      </c>
      <c r="C1186" s="92" t="str">
        <f>IFERROR(VLOOKUP(A1186,Lookup!A:C,3,0),"")</f>
        <v/>
      </c>
      <c r="D1186" s="54"/>
      <c r="E1186" s="54"/>
      <c r="F1186" s="54"/>
      <c r="G1186" s="72"/>
      <c r="H1186" s="54"/>
      <c r="I1186" s="54"/>
      <c r="J1186" s="106">
        <f>VLOOKUP(A1186&amp;G1186,Lookup!J:N,5,0)</f>
        <v>0</v>
      </c>
      <c r="K1186" s="115"/>
      <c r="L1186" s="54"/>
      <c r="M1186" s="54"/>
      <c r="N1186" s="54"/>
      <c r="O1186" s="112">
        <v>49.1423611111111</v>
      </c>
      <c r="P1186" s="110" t="str">
        <f t="shared" si="80"/>
        <v/>
      </c>
      <c r="Q1186" s="54"/>
      <c r="R1186" s="58"/>
      <c r="S1186" s="87" t="str">
        <f t="shared" si="82"/>
        <v/>
      </c>
      <c r="T1186" s="54"/>
      <c r="U1186" s="54"/>
      <c r="V1186" s="54"/>
      <c r="W1186" s="54"/>
      <c r="X1186" s="69" t="str">
        <f t="shared" si="81"/>
        <v>D</v>
      </c>
    </row>
    <row r="1187" spans="1:24" s="66" customFormat="1" x14ac:dyDescent="0.25">
      <c r="A1187" s="51"/>
      <c r="B1187" s="91" t="str">
        <f>IFERROR(VLOOKUP(A1187,Lookup!A:B,2,0),"")</f>
        <v/>
      </c>
      <c r="C1187" s="92" t="str">
        <f>IFERROR(VLOOKUP(A1187,Lookup!A:C,3,0),"")</f>
        <v/>
      </c>
      <c r="D1187" s="54"/>
      <c r="E1187" s="54"/>
      <c r="F1187" s="54"/>
      <c r="G1187" s="72"/>
      <c r="H1187" s="54"/>
      <c r="I1187" s="54"/>
      <c r="J1187" s="106">
        <f>VLOOKUP(A1187&amp;G1187,Lookup!J:N,5,0)</f>
        <v>0</v>
      </c>
      <c r="K1187" s="115"/>
      <c r="L1187" s="54"/>
      <c r="M1187" s="54"/>
      <c r="N1187" s="54"/>
      <c r="O1187" s="112">
        <v>49.1840277777778</v>
      </c>
      <c r="P1187" s="110" t="str">
        <f t="shared" si="80"/>
        <v/>
      </c>
      <c r="Q1187" s="54"/>
      <c r="R1187" s="58"/>
      <c r="S1187" s="87" t="str">
        <f t="shared" si="82"/>
        <v/>
      </c>
      <c r="T1187" s="54"/>
      <c r="U1187" s="54"/>
      <c r="V1187" s="54"/>
      <c r="W1187" s="54"/>
      <c r="X1187" s="69" t="str">
        <f t="shared" si="81"/>
        <v>D</v>
      </c>
    </row>
    <row r="1188" spans="1:24" s="66" customFormat="1" x14ac:dyDescent="0.25">
      <c r="A1188" s="51"/>
      <c r="B1188" s="91" t="str">
        <f>IFERROR(VLOOKUP(A1188,Lookup!A:B,2,0),"")</f>
        <v/>
      </c>
      <c r="C1188" s="92" t="str">
        <f>IFERROR(VLOOKUP(A1188,Lookup!A:C,3,0),"")</f>
        <v/>
      </c>
      <c r="D1188" s="54"/>
      <c r="E1188" s="54"/>
      <c r="F1188" s="54"/>
      <c r="G1188" s="72"/>
      <c r="H1188" s="54"/>
      <c r="I1188" s="54"/>
      <c r="J1188" s="106">
        <f>VLOOKUP(A1188&amp;G1188,Lookup!J:N,5,0)</f>
        <v>0</v>
      </c>
      <c r="K1188" s="115"/>
      <c r="L1188" s="54"/>
      <c r="M1188" s="54"/>
      <c r="N1188" s="54"/>
      <c r="O1188" s="112">
        <v>49.2256944444444</v>
      </c>
      <c r="P1188" s="110" t="str">
        <f t="shared" si="80"/>
        <v/>
      </c>
      <c r="Q1188" s="54"/>
      <c r="R1188" s="58"/>
      <c r="S1188" s="87" t="str">
        <f t="shared" si="82"/>
        <v/>
      </c>
      <c r="T1188" s="54"/>
      <c r="U1188" s="54"/>
      <c r="V1188" s="54"/>
      <c r="W1188" s="54"/>
      <c r="X1188" s="69" t="str">
        <f t="shared" si="81"/>
        <v>D</v>
      </c>
    </row>
    <row r="1189" spans="1:24" s="66" customFormat="1" x14ac:dyDescent="0.25">
      <c r="A1189" s="51"/>
      <c r="B1189" s="91" t="str">
        <f>IFERROR(VLOOKUP(A1189,Lookup!A:B,2,0),"")</f>
        <v/>
      </c>
      <c r="C1189" s="92" t="str">
        <f>IFERROR(VLOOKUP(A1189,Lookup!A:C,3,0),"")</f>
        <v/>
      </c>
      <c r="D1189" s="54"/>
      <c r="E1189" s="54"/>
      <c r="F1189" s="54"/>
      <c r="G1189" s="72"/>
      <c r="H1189" s="54"/>
      <c r="I1189" s="54"/>
      <c r="J1189" s="106">
        <f>VLOOKUP(A1189&amp;G1189,Lookup!J:N,5,0)</f>
        <v>0</v>
      </c>
      <c r="K1189" s="115"/>
      <c r="L1189" s="54"/>
      <c r="M1189" s="54"/>
      <c r="N1189" s="54"/>
      <c r="O1189" s="112">
        <v>49.2673611111111</v>
      </c>
      <c r="P1189" s="110" t="str">
        <f t="shared" si="80"/>
        <v/>
      </c>
      <c r="Q1189" s="54"/>
      <c r="R1189" s="58"/>
      <c r="S1189" s="87" t="str">
        <f t="shared" si="82"/>
        <v/>
      </c>
      <c r="T1189" s="54"/>
      <c r="U1189" s="54"/>
      <c r="V1189" s="54"/>
      <c r="W1189" s="54"/>
      <c r="X1189" s="69" t="str">
        <f t="shared" si="81"/>
        <v>D</v>
      </c>
    </row>
    <row r="1190" spans="1:24" s="66" customFormat="1" x14ac:dyDescent="0.25">
      <c r="A1190" s="51"/>
      <c r="B1190" s="91" t="str">
        <f>IFERROR(VLOOKUP(A1190,Lookup!A:B,2,0),"")</f>
        <v/>
      </c>
      <c r="C1190" s="92" t="str">
        <f>IFERROR(VLOOKUP(A1190,Lookup!A:C,3,0),"")</f>
        <v/>
      </c>
      <c r="D1190" s="54"/>
      <c r="E1190" s="54"/>
      <c r="F1190" s="54"/>
      <c r="G1190" s="72"/>
      <c r="H1190" s="54"/>
      <c r="I1190" s="54"/>
      <c r="J1190" s="106">
        <f>VLOOKUP(A1190&amp;G1190,Lookup!J:N,5,0)</f>
        <v>0</v>
      </c>
      <c r="K1190" s="115"/>
      <c r="L1190" s="54"/>
      <c r="M1190" s="54"/>
      <c r="N1190" s="54"/>
      <c r="O1190" s="112">
        <v>49.3090277777778</v>
      </c>
      <c r="P1190" s="110" t="str">
        <f t="shared" si="80"/>
        <v/>
      </c>
      <c r="Q1190" s="54"/>
      <c r="R1190" s="58"/>
      <c r="S1190" s="87" t="str">
        <f t="shared" si="82"/>
        <v/>
      </c>
      <c r="T1190" s="54"/>
      <c r="U1190" s="54"/>
      <c r="V1190" s="54"/>
      <c r="W1190" s="54"/>
      <c r="X1190" s="69" t="str">
        <f t="shared" si="81"/>
        <v>D</v>
      </c>
    </row>
    <row r="1191" spans="1:24" s="66" customFormat="1" x14ac:dyDescent="0.25">
      <c r="A1191" s="51"/>
      <c r="B1191" s="91" t="str">
        <f>IFERROR(VLOOKUP(A1191,Lookup!A:B,2,0),"")</f>
        <v/>
      </c>
      <c r="C1191" s="92" t="str">
        <f>IFERROR(VLOOKUP(A1191,Lookup!A:C,3,0),"")</f>
        <v/>
      </c>
      <c r="D1191" s="54"/>
      <c r="E1191" s="54"/>
      <c r="F1191" s="54"/>
      <c r="G1191" s="72"/>
      <c r="H1191" s="54"/>
      <c r="I1191" s="54"/>
      <c r="J1191" s="106">
        <f>VLOOKUP(A1191&amp;G1191,Lookup!J:N,5,0)</f>
        <v>0</v>
      </c>
      <c r="K1191" s="115"/>
      <c r="L1191" s="54"/>
      <c r="M1191" s="54"/>
      <c r="N1191" s="54"/>
      <c r="O1191" s="112">
        <v>49.3506944444444</v>
      </c>
      <c r="P1191" s="110" t="str">
        <f t="shared" si="80"/>
        <v/>
      </c>
      <c r="Q1191" s="54"/>
      <c r="R1191" s="58"/>
      <c r="S1191" s="87" t="str">
        <f t="shared" si="82"/>
        <v/>
      </c>
      <c r="T1191" s="54"/>
      <c r="U1191" s="54"/>
      <c r="V1191" s="54"/>
      <c r="W1191" s="54"/>
      <c r="X1191" s="69" t="str">
        <f t="shared" si="81"/>
        <v>D</v>
      </c>
    </row>
    <row r="1192" spans="1:24" s="66" customFormat="1" x14ac:dyDescent="0.25">
      <c r="A1192" s="51"/>
      <c r="B1192" s="91" t="str">
        <f>IFERROR(VLOOKUP(A1192,Lookup!A:B,2,0),"")</f>
        <v/>
      </c>
      <c r="C1192" s="92" t="str">
        <f>IFERROR(VLOOKUP(A1192,Lookup!A:C,3,0),"")</f>
        <v/>
      </c>
      <c r="D1192" s="54"/>
      <c r="E1192" s="54"/>
      <c r="F1192" s="54"/>
      <c r="G1192" s="72"/>
      <c r="H1192" s="54"/>
      <c r="I1192" s="54"/>
      <c r="J1192" s="106">
        <f>VLOOKUP(A1192&amp;G1192,Lookup!J:N,5,0)</f>
        <v>0</v>
      </c>
      <c r="K1192" s="115"/>
      <c r="L1192" s="54"/>
      <c r="M1192" s="54"/>
      <c r="N1192" s="54"/>
      <c r="O1192" s="112">
        <v>49.3923611111111</v>
      </c>
      <c r="P1192" s="110" t="str">
        <f t="shared" si="80"/>
        <v/>
      </c>
      <c r="Q1192" s="54"/>
      <c r="R1192" s="58"/>
      <c r="S1192" s="87" t="str">
        <f t="shared" si="82"/>
        <v/>
      </c>
      <c r="T1192" s="54"/>
      <c r="U1192" s="54"/>
      <c r="V1192" s="54"/>
      <c r="W1192" s="54"/>
      <c r="X1192" s="69" t="str">
        <f t="shared" si="81"/>
        <v>D</v>
      </c>
    </row>
    <row r="1193" spans="1:24" s="66" customFormat="1" x14ac:dyDescent="0.25">
      <c r="A1193" s="51"/>
      <c r="B1193" s="91" t="str">
        <f>IFERROR(VLOOKUP(A1193,Lookup!A:B,2,0),"")</f>
        <v/>
      </c>
      <c r="C1193" s="92" t="str">
        <f>IFERROR(VLOOKUP(A1193,Lookup!A:C,3,0),"")</f>
        <v/>
      </c>
      <c r="D1193" s="54"/>
      <c r="E1193" s="54"/>
      <c r="F1193" s="54"/>
      <c r="G1193" s="72"/>
      <c r="H1193" s="54"/>
      <c r="I1193" s="54"/>
      <c r="J1193" s="106">
        <f>VLOOKUP(A1193&amp;G1193,Lookup!J:N,5,0)</f>
        <v>0</v>
      </c>
      <c r="K1193" s="115"/>
      <c r="L1193" s="54"/>
      <c r="M1193" s="54"/>
      <c r="N1193" s="54"/>
      <c r="O1193" s="112">
        <v>49.4340277777778</v>
      </c>
      <c r="P1193" s="110" t="str">
        <f t="shared" si="80"/>
        <v/>
      </c>
      <c r="Q1193" s="54"/>
      <c r="R1193" s="58"/>
      <c r="S1193" s="87" t="str">
        <f t="shared" si="82"/>
        <v/>
      </c>
      <c r="T1193" s="54"/>
      <c r="U1193" s="54"/>
      <c r="V1193" s="54"/>
      <c r="W1193" s="54"/>
      <c r="X1193" s="69" t="str">
        <f t="shared" si="81"/>
        <v>D</v>
      </c>
    </row>
    <row r="1194" spans="1:24" s="66" customFormat="1" x14ac:dyDescent="0.25">
      <c r="A1194" s="51"/>
      <c r="B1194" s="91" t="str">
        <f>IFERROR(VLOOKUP(A1194,Lookup!A:B,2,0),"")</f>
        <v/>
      </c>
      <c r="C1194" s="92" t="str">
        <f>IFERROR(VLOOKUP(A1194,Lookup!A:C,3,0),"")</f>
        <v/>
      </c>
      <c r="D1194" s="54"/>
      <c r="E1194" s="54"/>
      <c r="F1194" s="54"/>
      <c r="G1194" s="72"/>
      <c r="H1194" s="54"/>
      <c r="I1194" s="54"/>
      <c r="J1194" s="106">
        <f>VLOOKUP(A1194&amp;G1194,Lookup!J:N,5,0)</f>
        <v>0</v>
      </c>
      <c r="K1194" s="115"/>
      <c r="L1194" s="54"/>
      <c r="M1194" s="54"/>
      <c r="N1194" s="54"/>
      <c r="O1194" s="112">
        <v>49.4756944444444</v>
      </c>
      <c r="P1194" s="110" t="str">
        <f t="shared" si="80"/>
        <v/>
      </c>
      <c r="Q1194" s="54"/>
      <c r="R1194" s="58"/>
      <c r="S1194" s="87" t="str">
        <f t="shared" si="82"/>
        <v/>
      </c>
      <c r="T1194" s="54"/>
      <c r="U1194" s="54"/>
      <c r="V1194" s="54"/>
      <c r="W1194" s="54"/>
      <c r="X1194" s="69" t="str">
        <f t="shared" si="81"/>
        <v>D</v>
      </c>
    </row>
    <row r="1195" spans="1:24" s="66" customFormat="1" x14ac:dyDescent="0.25">
      <c r="A1195" s="51"/>
      <c r="B1195" s="91" t="str">
        <f>IFERROR(VLOOKUP(A1195,Lookup!A:B,2,0),"")</f>
        <v/>
      </c>
      <c r="C1195" s="92" t="str">
        <f>IFERROR(VLOOKUP(A1195,Lookup!A:C,3,0),"")</f>
        <v/>
      </c>
      <c r="D1195" s="54"/>
      <c r="E1195" s="54"/>
      <c r="F1195" s="54"/>
      <c r="G1195" s="72"/>
      <c r="H1195" s="54"/>
      <c r="I1195" s="54"/>
      <c r="J1195" s="106">
        <f>VLOOKUP(A1195&amp;G1195,Lookup!J:N,5,0)</f>
        <v>0</v>
      </c>
      <c r="K1195" s="115"/>
      <c r="L1195" s="54"/>
      <c r="M1195" s="54"/>
      <c r="N1195" s="54"/>
      <c r="O1195" s="112">
        <v>49.5173611111111</v>
      </c>
      <c r="P1195" s="110" t="str">
        <f t="shared" si="80"/>
        <v/>
      </c>
      <c r="Q1195" s="54"/>
      <c r="R1195" s="58"/>
      <c r="S1195" s="87" t="str">
        <f t="shared" si="82"/>
        <v/>
      </c>
      <c r="T1195" s="54"/>
      <c r="U1195" s="54"/>
      <c r="V1195" s="54"/>
      <c r="W1195" s="54"/>
      <c r="X1195" s="69" t="str">
        <f t="shared" si="81"/>
        <v>D</v>
      </c>
    </row>
    <row r="1196" spans="1:24" s="66" customFormat="1" x14ac:dyDescent="0.25">
      <c r="A1196" s="51"/>
      <c r="B1196" s="91" t="str">
        <f>IFERROR(VLOOKUP(A1196,Lookup!A:B,2,0),"")</f>
        <v/>
      </c>
      <c r="C1196" s="92" t="str">
        <f>IFERROR(VLOOKUP(A1196,Lookup!A:C,3,0),"")</f>
        <v/>
      </c>
      <c r="D1196" s="54"/>
      <c r="E1196" s="54"/>
      <c r="F1196" s="54"/>
      <c r="G1196" s="72"/>
      <c r="H1196" s="54"/>
      <c r="I1196" s="54"/>
      <c r="J1196" s="106">
        <f>VLOOKUP(A1196&amp;G1196,Lookup!J:N,5,0)</f>
        <v>0</v>
      </c>
      <c r="K1196" s="115"/>
      <c r="L1196" s="54"/>
      <c r="M1196" s="54"/>
      <c r="N1196" s="54"/>
      <c r="O1196" s="112">
        <v>49.5590277777778</v>
      </c>
      <c r="P1196" s="110" t="str">
        <f t="shared" si="80"/>
        <v/>
      </c>
      <c r="Q1196" s="54"/>
      <c r="R1196" s="58"/>
      <c r="S1196" s="87" t="str">
        <f t="shared" si="82"/>
        <v/>
      </c>
      <c r="T1196" s="54"/>
      <c r="U1196" s="54"/>
      <c r="V1196" s="54"/>
      <c r="W1196" s="54"/>
      <c r="X1196" s="69" t="str">
        <f t="shared" si="81"/>
        <v>D</v>
      </c>
    </row>
    <row r="1197" spans="1:24" s="66" customFormat="1" x14ac:dyDescent="0.25">
      <c r="A1197" s="51"/>
      <c r="B1197" s="91" t="str">
        <f>IFERROR(VLOOKUP(A1197,Lookup!A:B,2,0),"")</f>
        <v/>
      </c>
      <c r="C1197" s="92" t="str">
        <f>IFERROR(VLOOKUP(A1197,Lookup!A:C,3,0),"")</f>
        <v/>
      </c>
      <c r="D1197" s="54"/>
      <c r="E1197" s="54"/>
      <c r="F1197" s="54"/>
      <c r="G1197" s="72"/>
      <c r="H1197" s="54"/>
      <c r="I1197" s="54"/>
      <c r="J1197" s="106">
        <f>VLOOKUP(A1197&amp;G1197,Lookup!J:N,5,0)</f>
        <v>0</v>
      </c>
      <c r="K1197" s="115"/>
      <c r="L1197" s="54"/>
      <c r="M1197" s="54"/>
      <c r="N1197" s="54"/>
      <c r="O1197" s="112">
        <v>49.6006944444444</v>
      </c>
      <c r="P1197" s="110" t="str">
        <f t="shared" si="80"/>
        <v/>
      </c>
      <c r="Q1197" s="54"/>
      <c r="R1197" s="58"/>
      <c r="S1197" s="87" t="str">
        <f t="shared" si="82"/>
        <v/>
      </c>
      <c r="T1197" s="54"/>
      <c r="U1197" s="54"/>
      <c r="V1197" s="54"/>
      <c r="W1197" s="54"/>
      <c r="X1197" s="69" t="str">
        <f t="shared" si="81"/>
        <v>D</v>
      </c>
    </row>
    <row r="1198" spans="1:24" s="66" customFormat="1" x14ac:dyDescent="0.25">
      <c r="A1198" s="51"/>
      <c r="B1198" s="91" t="str">
        <f>IFERROR(VLOOKUP(A1198,Lookup!A:B,2,0),"")</f>
        <v/>
      </c>
      <c r="C1198" s="92" t="str">
        <f>IFERROR(VLOOKUP(A1198,Lookup!A:C,3,0),"")</f>
        <v/>
      </c>
      <c r="D1198" s="54"/>
      <c r="E1198" s="54"/>
      <c r="F1198" s="54"/>
      <c r="G1198" s="72"/>
      <c r="H1198" s="54"/>
      <c r="I1198" s="54"/>
      <c r="J1198" s="106">
        <f>VLOOKUP(A1198&amp;G1198,Lookup!J:N,5,0)</f>
        <v>0</v>
      </c>
      <c r="K1198" s="115"/>
      <c r="L1198" s="54"/>
      <c r="M1198" s="54"/>
      <c r="N1198" s="54"/>
      <c r="O1198" s="112">
        <v>49.6423611111111</v>
      </c>
      <c r="P1198" s="110" t="str">
        <f t="shared" si="80"/>
        <v/>
      </c>
      <c r="Q1198" s="54"/>
      <c r="R1198" s="58"/>
      <c r="S1198" s="87" t="str">
        <f t="shared" si="82"/>
        <v/>
      </c>
      <c r="T1198" s="54"/>
      <c r="U1198" s="54"/>
      <c r="V1198" s="54"/>
      <c r="W1198" s="54"/>
      <c r="X1198" s="69" t="str">
        <f t="shared" si="81"/>
        <v>D</v>
      </c>
    </row>
    <row r="1199" spans="1:24" s="66" customFormat="1" x14ac:dyDescent="0.25">
      <c r="A1199" s="51"/>
      <c r="B1199" s="91" t="str">
        <f>IFERROR(VLOOKUP(A1199,Lookup!A:B,2,0),"")</f>
        <v/>
      </c>
      <c r="C1199" s="92" t="str">
        <f>IFERROR(VLOOKUP(A1199,Lookup!A:C,3,0),"")</f>
        <v/>
      </c>
      <c r="D1199" s="54"/>
      <c r="E1199" s="54"/>
      <c r="F1199" s="54"/>
      <c r="G1199" s="72"/>
      <c r="H1199" s="54"/>
      <c r="I1199" s="54"/>
      <c r="J1199" s="106">
        <f>VLOOKUP(A1199&amp;G1199,Lookup!J:N,5,0)</f>
        <v>0</v>
      </c>
      <c r="K1199" s="115"/>
      <c r="L1199" s="54"/>
      <c r="M1199" s="54"/>
      <c r="N1199" s="54"/>
      <c r="O1199" s="112">
        <v>49.6840277777778</v>
      </c>
      <c r="P1199" s="110" t="str">
        <f t="shared" si="80"/>
        <v/>
      </c>
      <c r="Q1199" s="54"/>
      <c r="R1199" s="58"/>
      <c r="S1199" s="87" t="str">
        <f t="shared" si="82"/>
        <v/>
      </c>
      <c r="T1199" s="54"/>
      <c r="U1199" s="54"/>
      <c r="V1199" s="54"/>
      <c r="W1199" s="54"/>
      <c r="X1199" s="69" t="str">
        <f t="shared" si="81"/>
        <v>D</v>
      </c>
    </row>
    <row r="1200" spans="1:24" s="66" customFormat="1" x14ac:dyDescent="0.25">
      <c r="A1200" s="51"/>
      <c r="B1200" s="91" t="str">
        <f>IFERROR(VLOOKUP(A1200,Lookup!A:B,2,0),"")</f>
        <v/>
      </c>
      <c r="C1200" s="92" t="str">
        <f>IFERROR(VLOOKUP(A1200,Lookup!A:C,3,0),"")</f>
        <v/>
      </c>
      <c r="D1200" s="54"/>
      <c r="E1200" s="54"/>
      <c r="F1200" s="54"/>
      <c r="G1200" s="72"/>
      <c r="H1200" s="54"/>
      <c r="I1200" s="54"/>
      <c r="J1200" s="106">
        <f>VLOOKUP(A1200&amp;G1200,Lookup!J:N,5,0)</f>
        <v>0</v>
      </c>
      <c r="K1200" s="115"/>
      <c r="L1200" s="54"/>
      <c r="M1200" s="54"/>
      <c r="N1200" s="54"/>
      <c r="O1200" s="112">
        <v>49.7256944444444</v>
      </c>
      <c r="P1200" s="110" t="str">
        <f t="shared" si="80"/>
        <v/>
      </c>
      <c r="Q1200" s="54"/>
      <c r="R1200" s="58"/>
      <c r="S1200" s="87" t="str">
        <f t="shared" si="82"/>
        <v/>
      </c>
      <c r="T1200" s="54"/>
      <c r="U1200" s="54"/>
      <c r="V1200" s="54"/>
      <c r="W1200" s="54"/>
      <c r="X1200" s="69" t="str">
        <f t="shared" si="81"/>
        <v>D</v>
      </c>
    </row>
    <row r="1201" spans="1:24" s="66" customFormat="1" x14ac:dyDescent="0.25">
      <c r="A1201" s="51"/>
      <c r="B1201" s="91" t="str">
        <f>IFERROR(VLOOKUP(A1201,Lookup!A:B,2,0),"")</f>
        <v/>
      </c>
      <c r="C1201" s="92" t="str">
        <f>IFERROR(VLOOKUP(A1201,Lookup!A:C,3,0),"")</f>
        <v/>
      </c>
      <c r="D1201" s="54"/>
      <c r="E1201" s="54"/>
      <c r="F1201" s="54"/>
      <c r="G1201" s="72"/>
      <c r="H1201" s="54"/>
      <c r="I1201" s="54"/>
      <c r="J1201" s="106">
        <f>VLOOKUP(A1201&amp;G1201,Lookup!J:N,5,0)</f>
        <v>0</v>
      </c>
      <c r="K1201" s="115"/>
      <c r="L1201" s="54"/>
      <c r="M1201" s="54"/>
      <c r="N1201" s="54"/>
      <c r="O1201" s="112">
        <v>49.7673611111111</v>
      </c>
      <c r="P1201" s="110" t="str">
        <f t="shared" si="80"/>
        <v/>
      </c>
      <c r="Q1201" s="54"/>
      <c r="R1201" s="58"/>
      <c r="S1201" s="87" t="str">
        <f t="shared" si="82"/>
        <v/>
      </c>
      <c r="T1201" s="54"/>
      <c r="U1201" s="54"/>
      <c r="V1201" s="54"/>
      <c r="W1201" s="54"/>
      <c r="X1201" s="69" t="str">
        <f t="shared" si="81"/>
        <v>D</v>
      </c>
    </row>
    <row r="1202" spans="1:24" s="66" customFormat="1" x14ac:dyDescent="0.25">
      <c r="A1202" s="51"/>
      <c r="B1202" s="91" t="str">
        <f>IFERROR(VLOOKUP(A1202,Lookup!A:B,2,0),"")</f>
        <v/>
      </c>
      <c r="C1202" s="92" t="str">
        <f>IFERROR(VLOOKUP(A1202,Lookup!A:C,3,0),"")</f>
        <v/>
      </c>
      <c r="D1202" s="54"/>
      <c r="E1202" s="54"/>
      <c r="F1202" s="54"/>
      <c r="G1202" s="72"/>
      <c r="H1202" s="54"/>
      <c r="I1202" s="54"/>
      <c r="J1202" s="106">
        <f>VLOOKUP(A1202&amp;G1202,Lookup!J:N,5,0)</f>
        <v>0</v>
      </c>
      <c r="K1202" s="115"/>
      <c r="L1202" s="54"/>
      <c r="M1202" s="54"/>
      <c r="N1202" s="54"/>
      <c r="O1202" s="112">
        <v>49.8090277777778</v>
      </c>
      <c r="P1202" s="110" t="str">
        <f t="shared" si="80"/>
        <v/>
      </c>
      <c r="Q1202" s="54"/>
      <c r="R1202" s="58"/>
      <c r="S1202" s="87" t="str">
        <f t="shared" si="82"/>
        <v/>
      </c>
      <c r="T1202" s="54"/>
      <c r="U1202" s="54"/>
      <c r="V1202" s="54"/>
      <c r="W1202" s="54"/>
      <c r="X1202" s="69" t="str">
        <f t="shared" si="81"/>
        <v>D</v>
      </c>
    </row>
    <row r="1203" spans="1:24" s="66" customFormat="1" x14ac:dyDescent="0.25">
      <c r="A1203" s="51"/>
      <c r="B1203" s="91" t="str">
        <f>IFERROR(VLOOKUP(A1203,Lookup!A:B,2,0),"")</f>
        <v/>
      </c>
      <c r="C1203" s="92" t="str">
        <f>IFERROR(VLOOKUP(A1203,Lookup!A:C,3,0),"")</f>
        <v/>
      </c>
      <c r="D1203" s="54"/>
      <c r="E1203" s="54"/>
      <c r="F1203" s="54"/>
      <c r="G1203" s="72"/>
      <c r="H1203" s="54"/>
      <c r="I1203" s="54"/>
      <c r="J1203" s="106">
        <f>VLOOKUP(A1203&amp;G1203,Lookup!J:N,5,0)</f>
        <v>0</v>
      </c>
      <c r="K1203" s="115"/>
      <c r="L1203" s="54"/>
      <c r="M1203" s="54"/>
      <c r="N1203" s="54"/>
      <c r="O1203" s="112">
        <v>49.8506944444444</v>
      </c>
      <c r="P1203" s="110" t="str">
        <f t="shared" si="80"/>
        <v/>
      </c>
      <c r="Q1203" s="54"/>
      <c r="R1203" s="58"/>
      <c r="S1203" s="87" t="str">
        <f t="shared" si="82"/>
        <v/>
      </c>
      <c r="T1203" s="54"/>
      <c r="U1203" s="54"/>
      <c r="V1203" s="54"/>
      <c r="W1203" s="54"/>
      <c r="X1203" s="69" t="str">
        <f t="shared" si="81"/>
        <v>D</v>
      </c>
    </row>
    <row r="1204" spans="1:24" s="66" customFormat="1" x14ac:dyDescent="0.25">
      <c r="A1204" s="51"/>
      <c r="B1204" s="91" t="str">
        <f>IFERROR(VLOOKUP(A1204,Lookup!A:B,2,0),"")</f>
        <v/>
      </c>
      <c r="C1204" s="92" t="str">
        <f>IFERROR(VLOOKUP(A1204,Lookup!A:C,3,0),"")</f>
        <v/>
      </c>
      <c r="D1204" s="54"/>
      <c r="E1204" s="54"/>
      <c r="F1204" s="54"/>
      <c r="G1204" s="72"/>
      <c r="H1204" s="54"/>
      <c r="I1204" s="54"/>
      <c r="J1204" s="106">
        <f>VLOOKUP(A1204&amp;G1204,Lookup!J:N,5,0)</f>
        <v>0</v>
      </c>
      <c r="K1204" s="115"/>
      <c r="L1204" s="54"/>
      <c r="M1204" s="54"/>
      <c r="N1204" s="54"/>
      <c r="O1204" s="112">
        <v>49.8923611111111</v>
      </c>
      <c r="P1204" s="110" t="str">
        <f t="shared" si="80"/>
        <v/>
      </c>
      <c r="Q1204" s="54"/>
      <c r="R1204" s="58"/>
      <c r="S1204" s="87" t="str">
        <f t="shared" si="82"/>
        <v/>
      </c>
      <c r="T1204" s="54"/>
      <c r="U1204" s="54"/>
      <c r="V1204" s="54"/>
      <c r="W1204" s="54"/>
      <c r="X1204" s="69" t="str">
        <f t="shared" si="81"/>
        <v>D</v>
      </c>
    </row>
    <row r="1205" spans="1:24" s="66" customFormat="1" x14ac:dyDescent="0.25">
      <c r="A1205" s="51"/>
      <c r="B1205" s="91" t="str">
        <f>IFERROR(VLOOKUP(A1205,Lookup!A:B,2,0),"")</f>
        <v/>
      </c>
      <c r="C1205" s="92" t="str">
        <f>IFERROR(VLOOKUP(A1205,Lookup!A:C,3,0),"")</f>
        <v/>
      </c>
      <c r="D1205" s="54"/>
      <c r="E1205" s="54"/>
      <c r="F1205" s="54"/>
      <c r="G1205" s="72"/>
      <c r="H1205" s="54"/>
      <c r="I1205" s="54"/>
      <c r="J1205" s="106">
        <f>VLOOKUP(A1205&amp;G1205,Lookup!J:N,5,0)</f>
        <v>0</v>
      </c>
      <c r="K1205" s="115"/>
      <c r="L1205" s="54"/>
      <c r="M1205" s="54"/>
      <c r="N1205" s="54"/>
      <c r="O1205" s="112">
        <v>49.9340277777778</v>
      </c>
      <c r="P1205" s="110" t="str">
        <f t="shared" si="80"/>
        <v/>
      </c>
      <c r="Q1205" s="54"/>
      <c r="R1205" s="58"/>
      <c r="S1205" s="87" t="str">
        <f t="shared" si="82"/>
        <v/>
      </c>
      <c r="T1205" s="54"/>
      <c r="U1205" s="54"/>
      <c r="V1205" s="54"/>
      <c r="W1205" s="54"/>
      <c r="X1205" s="69" t="str">
        <f t="shared" si="81"/>
        <v>D</v>
      </c>
    </row>
    <row r="1206" spans="1:24" s="66" customFormat="1" x14ac:dyDescent="0.25">
      <c r="A1206" s="51"/>
      <c r="B1206" s="91" t="str">
        <f>IFERROR(VLOOKUP(A1206,Lookup!A:B,2,0),"")</f>
        <v/>
      </c>
      <c r="C1206" s="92" t="str">
        <f>IFERROR(VLOOKUP(A1206,Lookup!A:C,3,0),"")</f>
        <v/>
      </c>
      <c r="D1206" s="54"/>
      <c r="E1206" s="54"/>
      <c r="F1206" s="54"/>
      <c r="G1206" s="72"/>
      <c r="H1206" s="54"/>
      <c r="I1206" s="54"/>
      <c r="J1206" s="106">
        <f>VLOOKUP(A1206&amp;G1206,Lookup!J:N,5,0)</f>
        <v>0</v>
      </c>
      <c r="K1206" s="115"/>
      <c r="L1206" s="54"/>
      <c r="M1206" s="54"/>
      <c r="N1206" s="54"/>
      <c r="O1206" s="112">
        <v>49.9756944444444</v>
      </c>
      <c r="P1206" s="110" t="str">
        <f t="shared" si="80"/>
        <v/>
      </c>
      <c r="Q1206" s="54"/>
      <c r="R1206" s="58"/>
      <c r="S1206" s="87" t="str">
        <f t="shared" si="82"/>
        <v/>
      </c>
      <c r="T1206" s="54"/>
      <c r="U1206" s="54"/>
      <c r="V1206" s="54"/>
      <c r="W1206" s="54"/>
      <c r="X1206" s="69" t="str">
        <f t="shared" si="81"/>
        <v>D</v>
      </c>
    </row>
    <row r="1207" spans="1:24" s="66" customFormat="1" x14ac:dyDescent="0.25">
      <c r="A1207" s="51"/>
      <c r="B1207" s="91" t="str">
        <f>IFERROR(VLOOKUP(A1207,Lookup!A:B,2,0),"")</f>
        <v/>
      </c>
      <c r="C1207" s="92" t="str">
        <f>IFERROR(VLOOKUP(A1207,Lookup!A:C,3,0),"")</f>
        <v/>
      </c>
      <c r="D1207" s="54"/>
      <c r="E1207" s="54"/>
      <c r="F1207" s="54"/>
      <c r="G1207" s="72"/>
      <c r="H1207" s="54"/>
      <c r="I1207" s="54"/>
      <c r="J1207" s="106">
        <f>VLOOKUP(A1207&amp;G1207,Lookup!J:N,5,0)</f>
        <v>0</v>
      </c>
      <c r="K1207" s="115"/>
      <c r="L1207" s="54"/>
      <c r="M1207" s="54"/>
      <c r="N1207" s="54"/>
      <c r="O1207" s="112">
        <v>50.0173611111111</v>
      </c>
      <c r="P1207" s="110" t="str">
        <f t="shared" si="80"/>
        <v/>
      </c>
      <c r="Q1207" s="54"/>
      <c r="R1207" s="58"/>
      <c r="S1207" s="87" t="str">
        <f t="shared" si="82"/>
        <v/>
      </c>
      <c r="T1207" s="54"/>
      <c r="U1207" s="54"/>
      <c r="V1207" s="54"/>
      <c r="W1207" s="54"/>
      <c r="X1207" s="69" t="str">
        <f t="shared" si="81"/>
        <v>D</v>
      </c>
    </row>
    <row r="1208" spans="1:24" s="66" customFormat="1" x14ac:dyDescent="0.25">
      <c r="A1208" s="51"/>
      <c r="B1208" s="91" t="str">
        <f>IFERROR(VLOOKUP(A1208,Lookup!A:B,2,0),"")</f>
        <v/>
      </c>
      <c r="C1208" s="92" t="str">
        <f>IFERROR(VLOOKUP(A1208,Lookup!A:C,3,0),"")</f>
        <v/>
      </c>
      <c r="D1208" s="54"/>
      <c r="E1208" s="54"/>
      <c r="F1208" s="54"/>
      <c r="G1208" s="72"/>
      <c r="H1208" s="54"/>
      <c r="I1208" s="54"/>
      <c r="J1208" s="106">
        <f>VLOOKUP(A1208&amp;G1208,Lookup!J:N,5,0)</f>
        <v>0</v>
      </c>
      <c r="K1208" s="115"/>
      <c r="L1208" s="54"/>
      <c r="M1208" s="54"/>
      <c r="N1208" s="54"/>
      <c r="O1208" s="112">
        <v>50.0590277777778</v>
      </c>
      <c r="P1208" s="110" t="str">
        <f t="shared" si="80"/>
        <v/>
      </c>
      <c r="Q1208" s="54"/>
      <c r="R1208" s="58"/>
      <c r="S1208" s="87" t="str">
        <f t="shared" si="82"/>
        <v/>
      </c>
      <c r="T1208" s="54"/>
      <c r="U1208" s="54"/>
      <c r="V1208" s="54"/>
      <c r="W1208" s="54"/>
      <c r="X1208" s="69" t="str">
        <f t="shared" si="81"/>
        <v>D</v>
      </c>
    </row>
    <row r="1209" spans="1:24" s="66" customFormat="1" x14ac:dyDescent="0.25">
      <c r="A1209" s="51"/>
      <c r="B1209" s="91" t="str">
        <f>IFERROR(VLOOKUP(A1209,Lookup!A:B,2,0),"")</f>
        <v/>
      </c>
      <c r="C1209" s="92" t="str">
        <f>IFERROR(VLOOKUP(A1209,Lookup!A:C,3,0),"")</f>
        <v/>
      </c>
      <c r="D1209" s="54"/>
      <c r="E1209" s="54"/>
      <c r="F1209" s="54"/>
      <c r="G1209" s="72"/>
      <c r="H1209" s="54"/>
      <c r="I1209" s="54"/>
      <c r="J1209" s="106">
        <f>VLOOKUP(A1209&amp;G1209,Lookup!J:N,5,0)</f>
        <v>0</v>
      </c>
      <c r="K1209" s="115"/>
      <c r="L1209" s="54"/>
      <c r="M1209" s="54"/>
      <c r="N1209" s="54"/>
      <c r="O1209" s="112">
        <v>50.1006944444444</v>
      </c>
      <c r="P1209" s="110" t="str">
        <f t="shared" si="80"/>
        <v/>
      </c>
      <c r="Q1209" s="54"/>
      <c r="R1209" s="58"/>
      <c r="S1209" s="87" t="str">
        <f t="shared" si="82"/>
        <v/>
      </c>
      <c r="T1209" s="54"/>
      <c r="U1209" s="54"/>
      <c r="V1209" s="54"/>
      <c r="W1209" s="54"/>
      <c r="X1209" s="69" t="str">
        <f t="shared" si="81"/>
        <v>D</v>
      </c>
    </row>
    <row r="1210" spans="1:24" s="66" customFormat="1" x14ac:dyDescent="0.25">
      <c r="A1210" s="51"/>
      <c r="B1210" s="91" t="str">
        <f>IFERROR(VLOOKUP(A1210,Lookup!A:B,2,0),"")</f>
        <v/>
      </c>
      <c r="C1210" s="92" t="str">
        <f>IFERROR(VLOOKUP(A1210,Lookup!A:C,3,0),"")</f>
        <v/>
      </c>
      <c r="D1210" s="54"/>
      <c r="E1210" s="54"/>
      <c r="F1210" s="54"/>
      <c r="G1210" s="72"/>
      <c r="H1210" s="54"/>
      <c r="I1210" s="54"/>
      <c r="J1210" s="106">
        <f>VLOOKUP(A1210&amp;G1210,Lookup!J:N,5,0)</f>
        <v>0</v>
      </c>
      <c r="K1210" s="115"/>
      <c r="L1210" s="54"/>
      <c r="M1210" s="54"/>
      <c r="N1210" s="54"/>
      <c r="O1210" s="112">
        <v>50.1423611111111</v>
      </c>
      <c r="P1210" s="110" t="str">
        <f t="shared" si="80"/>
        <v/>
      </c>
      <c r="Q1210" s="54"/>
      <c r="R1210" s="58"/>
      <c r="S1210" s="87" t="str">
        <f t="shared" si="82"/>
        <v/>
      </c>
      <c r="T1210" s="54"/>
      <c r="U1210" s="54"/>
      <c r="V1210" s="54"/>
      <c r="W1210" s="54"/>
      <c r="X1210" s="69" t="str">
        <f t="shared" si="81"/>
        <v>D</v>
      </c>
    </row>
    <row r="1211" spans="1:24" s="66" customFormat="1" x14ac:dyDescent="0.25">
      <c r="A1211" s="51"/>
      <c r="B1211" s="91" t="str">
        <f>IFERROR(VLOOKUP(A1211,Lookup!A:B,2,0),"")</f>
        <v/>
      </c>
      <c r="C1211" s="92" t="str">
        <f>IFERROR(VLOOKUP(A1211,Lookup!A:C,3,0),"")</f>
        <v/>
      </c>
      <c r="D1211" s="54"/>
      <c r="E1211" s="54"/>
      <c r="F1211" s="54"/>
      <c r="G1211" s="72"/>
      <c r="H1211" s="54"/>
      <c r="I1211" s="54"/>
      <c r="J1211" s="106">
        <f>VLOOKUP(A1211&amp;G1211,Lookup!J:N,5,0)</f>
        <v>0</v>
      </c>
      <c r="K1211" s="115"/>
      <c r="L1211" s="54"/>
      <c r="M1211" s="54"/>
      <c r="N1211" s="54"/>
      <c r="O1211" s="112">
        <v>50.1840277777778</v>
      </c>
      <c r="P1211" s="110" t="str">
        <f t="shared" si="80"/>
        <v/>
      </c>
      <c r="Q1211" s="54"/>
      <c r="R1211" s="58"/>
      <c r="S1211" s="87" t="str">
        <f t="shared" si="82"/>
        <v/>
      </c>
      <c r="T1211" s="54"/>
      <c r="U1211" s="54"/>
      <c r="V1211" s="54"/>
      <c r="W1211" s="54"/>
      <c r="X1211" s="69" t="str">
        <f t="shared" si="81"/>
        <v>D</v>
      </c>
    </row>
    <row r="1212" spans="1:24" s="66" customFormat="1" x14ac:dyDescent="0.25">
      <c r="A1212" s="51"/>
      <c r="B1212" s="91" t="str">
        <f>IFERROR(VLOOKUP(A1212,Lookup!A:B,2,0),"")</f>
        <v/>
      </c>
      <c r="C1212" s="92" t="str">
        <f>IFERROR(VLOOKUP(A1212,Lookup!A:C,3,0),"")</f>
        <v/>
      </c>
      <c r="D1212" s="54"/>
      <c r="E1212" s="54"/>
      <c r="F1212" s="54"/>
      <c r="G1212" s="72"/>
      <c r="H1212" s="54"/>
      <c r="I1212" s="54"/>
      <c r="J1212" s="106">
        <f>VLOOKUP(A1212&amp;G1212,Lookup!J:N,5,0)</f>
        <v>0</v>
      </c>
      <c r="K1212" s="115"/>
      <c r="L1212" s="54"/>
      <c r="M1212" s="54"/>
      <c r="N1212" s="54"/>
      <c r="O1212" s="112">
        <v>50.2256944444444</v>
      </c>
      <c r="P1212" s="110" t="str">
        <f t="shared" si="80"/>
        <v/>
      </c>
      <c r="Q1212" s="54"/>
      <c r="R1212" s="58"/>
      <c r="S1212" s="87" t="str">
        <f t="shared" si="82"/>
        <v/>
      </c>
      <c r="T1212" s="54"/>
      <c r="U1212" s="54"/>
      <c r="V1212" s="54"/>
      <c r="W1212" s="54"/>
      <c r="X1212" s="69" t="str">
        <f t="shared" si="81"/>
        <v>D</v>
      </c>
    </row>
    <row r="1213" spans="1:24" s="66" customFormat="1" x14ac:dyDescent="0.25">
      <c r="A1213" s="51"/>
      <c r="B1213" s="91" t="str">
        <f>IFERROR(VLOOKUP(A1213,Lookup!A:B,2,0),"")</f>
        <v/>
      </c>
      <c r="C1213" s="92" t="str">
        <f>IFERROR(VLOOKUP(A1213,Lookup!A:C,3,0),"")</f>
        <v/>
      </c>
      <c r="D1213" s="54"/>
      <c r="E1213" s="54"/>
      <c r="F1213" s="54"/>
      <c r="G1213" s="72"/>
      <c r="H1213" s="54"/>
      <c r="I1213" s="54"/>
      <c r="J1213" s="106">
        <f>VLOOKUP(A1213&amp;G1213,Lookup!J:N,5,0)</f>
        <v>0</v>
      </c>
      <c r="K1213" s="115"/>
      <c r="L1213" s="54"/>
      <c r="M1213" s="54"/>
      <c r="N1213" s="54"/>
      <c r="O1213" s="112">
        <v>50.2673611111111</v>
      </c>
      <c r="P1213" s="110" t="str">
        <f t="shared" si="80"/>
        <v/>
      </c>
      <c r="Q1213" s="54"/>
      <c r="R1213" s="58"/>
      <c r="S1213" s="87" t="str">
        <f t="shared" si="82"/>
        <v/>
      </c>
      <c r="T1213" s="54"/>
      <c r="U1213" s="54"/>
      <c r="V1213" s="54"/>
      <c r="W1213" s="54"/>
      <c r="X1213" s="69" t="str">
        <f t="shared" si="81"/>
        <v>D</v>
      </c>
    </row>
    <row r="1214" spans="1:24" s="66" customFormat="1" x14ac:dyDescent="0.25">
      <c r="A1214" s="51"/>
      <c r="B1214" s="91" t="str">
        <f>IFERROR(VLOOKUP(A1214,Lookup!A:B,2,0),"")</f>
        <v/>
      </c>
      <c r="C1214" s="92" t="str">
        <f>IFERROR(VLOOKUP(A1214,Lookup!A:C,3,0),"")</f>
        <v/>
      </c>
      <c r="D1214" s="54"/>
      <c r="E1214" s="54"/>
      <c r="F1214" s="54"/>
      <c r="G1214" s="72"/>
      <c r="H1214" s="54"/>
      <c r="I1214" s="54"/>
      <c r="J1214" s="106">
        <f>VLOOKUP(A1214&amp;G1214,Lookup!J:N,5,0)</f>
        <v>0</v>
      </c>
      <c r="K1214" s="115"/>
      <c r="L1214" s="54"/>
      <c r="M1214" s="54"/>
      <c r="N1214" s="54"/>
      <c r="O1214" s="112">
        <v>50.3090277777778</v>
      </c>
      <c r="P1214" s="110" t="str">
        <f t="shared" si="80"/>
        <v/>
      </c>
      <c r="Q1214" s="54"/>
      <c r="R1214" s="58"/>
      <c r="S1214" s="87" t="str">
        <f t="shared" si="82"/>
        <v/>
      </c>
      <c r="T1214" s="54"/>
      <c r="U1214" s="54"/>
      <c r="V1214" s="54"/>
      <c r="W1214" s="54"/>
      <c r="X1214" s="69" t="str">
        <f t="shared" si="81"/>
        <v>D</v>
      </c>
    </row>
    <row r="1215" spans="1:24" s="66" customFormat="1" x14ac:dyDescent="0.25">
      <c r="A1215" s="51"/>
      <c r="B1215" s="91" t="str">
        <f>IFERROR(VLOOKUP(A1215,Lookup!A:B,2,0),"")</f>
        <v/>
      </c>
      <c r="C1215" s="92" t="str">
        <f>IFERROR(VLOOKUP(A1215,Lookup!A:C,3,0),"")</f>
        <v/>
      </c>
      <c r="D1215" s="54"/>
      <c r="E1215" s="54"/>
      <c r="F1215" s="54"/>
      <c r="G1215" s="72"/>
      <c r="H1215" s="54"/>
      <c r="I1215" s="54"/>
      <c r="J1215" s="106">
        <f>VLOOKUP(A1215&amp;G1215,Lookup!J:N,5,0)</f>
        <v>0</v>
      </c>
      <c r="K1215" s="115"/>
      <c r="L1215" s="54"/>
      <c r="M1215" s="54"/>
      <c r="N1215" s="54"/>
      <c r="O1215" s="112">
        <v>50.3506944444444</v>
      </c>
      <c r="P1215" s="110" t="str">
        <f t="shared" si="80"/>
        <v/>
      </c>
      <c r="Q1215" s="54"/>
      <c r="R1215" s="58"/>
      <c r="S1215" s="87" t="str">
        <f t="shared" si="82"/>
        <v/>
      </c>
      <c r="T1215" s="54"/>
      <c r="U1215" s="54"/>
      <c r="V1215" s="54"/>
      <c r="W1215" s="54"/>
      <c r="X1215" s="69" t="str">
        <f t="shared" si="81"/>
        <v>D</v>
      </c>
    </row>
    <row r="1216" spans="1:24" s="66" customFormat="1" x14ac:dyDescent="0.25">
      <c r="A1216" s="51"/>
      <c r="B1216" s="91" t="str">
        <f>IFERROR(VLOOKUP(A1216,Lookup!A:B,2,0),"")</f>
        <v/>
      </c>
      <c r="C1216" s="92" t="str">
        <f>IFERROR(VLOOKUP(A1216,Lookup!A:C,3,0),"")</f>
        <v/>
      </c>
      <c r="D1216" s="54"/>
      <c r="E1216" s="54"/>
      <c r="F1216" s="54"/>
      <c r="G1216" s="72"/>
      <c r="H1216" s="54"/>
      <c r="I1216" s="54"/>
      <c r="J1216" s="106">
        <f>VLOOKUP(A1216&amp;G1216,Lookup!J:N,5,0)</f>
        <v>0</v>
      </c>
      <c r="K1216" s="115"/>
      <c r="L1216" s="54"/>
      <c r="M1216" s="54"/>
      <c r="N1216" s="54"/>
      <c r="O1216" s="112">
        <v>50.3923611111111</v>
      </c>
      <c r="P1216" s="110" t="str">
        <f t="shared" si="80"/>
        <v/>
      </c>
      <c r="Q1216" s="54"/>
      <c r="R1216" s="58"/>
      <c r="S1216" s="87" t="str">
        <f t="shared" si="82"/>
        <v/>
      </c>
      <c r="T1216" s="54"/>
      <c r="U1216" s="54"/>
      <c r="V1216" s="54"/>
      <c r="W1216" s="54"/>
      <c r="X1216" s="69" t="str">
        <f t="shared" si="81"/>
        <v>D</v>
      </c>
    </row>
    <row r="1217" spans="1:24" s="66" customFormat="1" x14ac:dyDescent="0.25">
      <c r="A1217" s="51"/>
      <c r="B1217" s="91" t="str">
        <f>IFERROR(VLOOKUP(A1217,Lookup!A:B,2,0),"")</f>
        <v/>
      </c>
      <c r="C1217" s="92" t="str">
        <f>IFERROR(VLOOKUP(A1217,Lookup!A:C,3,0),"")</f>
        <v/>
      </c>
      <c r="D1217" s="54"/>
      <c r="E1217" s="54"/>
      <c r="F1217" s="54"/>
      <c r="G1217" s="72"/>
      <c r="H1217" s="54"/>
      <c r="I1217" s="54"/>
      <c r="J1217" s="106">
        <f>VLOOKUP(A1217&amp;G1217,Lookup!J:N,5,0)</f>
        <v>0</v>
      </c>
      <c r="K1217" s="115"/>
      <c r="L1217" s="54"/>
      <c r="M1217" s="54"/>
      <c r="N1217" s="54"/>
      <c r="O1217" s="112">
        <v>50.4340277777778</v>
      </c>
      <c r="P1217" s="110" t="str">
        <f t="shared" si="80"/>
        <v/>
      </c>
      <c r="Q1217" s="54"/>
      <c r="R1217" s="58"/>
      <c r="S1217" s="87" t="str">
        <f t="shared" si="82"/>
        <v/>
      </c>
      <c r="T1217" s="54"/>
      <c r="U1217" s="54"/>
      <c r="V1217" s="54"/>
      <c r="W1217" s="54"/>
      <c r="X1217" s="69" t="str">
        <f t="shared" si="81"/>
        <v>D</v>
      </c>
    </row>
    <row r="1218" spans="1:24" s="66" customFormat="1" x14ac:dyDescent="0.25">
      <c r="A1218" s="51"/>
      <c r="B1218" s="91" t="str">
        <f>IFERROR(VLOOKUP(A1218,Lookup!A:B,2,0),"")</f>
        <v/>
      </c>
      <c r="C1218" s="92" t="str">
        <f>IFERROR(VLOOKUP(A1218,Lookup!A:C,3,0),"")</f>
        <v/>
      </c>
      <c r="D1218" s="54"/>
      <c r="E1218" s="54"/>
      <c r="F1218" s="54"/>
      <c r="G1218" s="72"/>
      <c r="H1218" s="54"/>
      <c r="I1218" s="54"/>
      <c r="J1218" s="106">
        <f>VLOOKUP(A1218&amp;G1218,Lookup!J:N,5,0)</f>
        <v>0</v>
      </c>
      <c r="K1218" s="115"/>
      <c r="L1218" s="54"/>
      <c r="M1218" s="54"/>
      <c r="N1218" s="54"/>
      <c r="O1218" s="112">
        <v>50.4756944444444</v>
      </c>
      <c r="P1218" s="110" t="str">
        <f t="shared" si="80"/>
        <v/>
      </c>
      <c r="Q1218" s="54"/>
      <c r="R1218" s="58"/>
      <c r="S1218" s="87" t="str">
        <f t="shared" si="82"/>
        <v/>
      </c>
      <c r="T1218" s="54"/>
      <c r="U1218" s="54"/>
      <c r="V1218" s="54"/>
      <c r="W1218" s="54"/>
      <c r="X1218" s="69" t="str">
        <f t="shared" si="81"/>
        <v>D</v>
      </c>
    </row>
    <row r="1219" spans="1:24" s="66" customFormat="1" x14ac:dyDescent="0.25">
      <c r="A1219" s="51"/>
      <c r="B1219" s="91" t="str">
        <f>IFERROR(VLOOKUP(A1219,Lookup!A:B,2,0),"")</f>
        <v/>
      </c>
      <c r="C1219" s="92" t="str">
        <f>IFERROR(VLOOKUP(A1219,Lookup!A:C,3,0),"")</f>
        <v/>
      </c>
      <c r="D1219" s="54"/>
      <c r="E1219" s="54"/>
      <c r="F1219" s="54"/>
      <c r="G1219" s="72"/>
      <c r="H1219" s="54"/>
      <c r="I1219" s="54"/>
      <c r="J1219" s="106">
        <f>VLOOKUP(A1219&amp;G1219,Lookup!J:N,5,0)</f>
        <v>0</v>
      </c>
      <c r="K1219" s="115"/>
      <c r="L1219" s="54"/>
      <c r="M1219" s="54"/>
      <c r="N1219" s="54"/>
      <c r="O1219" s="112">
        <v>50.5173611111111</v>
      </c>
      <c r="P1219" s="110" t="str">
        <f t="shared" ref="P1219:P1282" si="83">IF(N1219="","",N1219+O1219)</f>
        <v/>
      </c>
      <c r="Q1219" s="54"/>
      <c r="R1219" s="58"/>
      <c r="S1219" s="87" t="str">
        <f t="shared" si="82"/>
        <v/>
      </c>
      <c r="T1219" s="54"/>
      <c r="U1219" s="54"/>
      <c r="V1219" s="54"/>
      <c r="W1219" s="54"/>
      <c r="X1219" s="69" t="str">
        <f t="shared" ref="X1219:X1282" si="84">IF(I1219="SET","A",IF(I1219="FREQ","C",IF(I1219="","D","B")))</f>
        <v>D</v>
      </c>
    </row>
    <row r="1220" spans="1:24" s="66" customFormat="1" x14ac:dyDescent="0.25">
      <c r="A1220" s="51"/>
      <c r="B1220" s="91" t="str">
        <f>IFERROR(VLOOKUP(A1220,Lookup!A:B,2,0),"")</f>
        <v/>
      </c>
      <c r="C1220" s="92" t="str">
        <f>IFERROR(VLOOKUP(A1220,Lookup!A:C,3,0),"")</f>
        <v/>
      </c>
      <c r="D1220" s="54"/>
      <c r="E1220" s="54"/>
      <c r="F1220" s="54"/>
      <c r="G1220" s="72"/>
      <c r="H1220" s="54"/>
      <c r="I1220" s="54"/>
      <c r="J1220" s="106">
        <f>VLOOKUP(A1220&amp;G1220,Lookup!J:N,5,0)</f>
        <v>0</v>
      </c>
      <c r="K1220" s="115"/>
      <c r="L1220" s="54"/>
      <c r="M1220" s="54"/>
      <c r="N1220" s="54"/>
      <c r="O1220" s="112">
        <v>50.5590277777778</v>
      </c>
      <c r="P1220" s="110" t="str">
        <f t="shared" si="83"/>
        <v/>
      </c>
      <c r="Q1220" s="54"/>
      <c r="R1220" s="58"/>
      <c r="S1220" s="87" t="str">
        <f t="shared" si="82"/>
        <v/>
      </c>
      <c r="T1220" s="54"/>
      <c r="U1220" s="54"/>
      <c r="V1220" s="54"/>
      <c r="W1220" s="54"/>
      <c r="X1220" s="69" t="str">
        <f t="shared" si="84"/>
        <v>D</v>
      </c>
    </row>
    <row r="1221" spans="1:24" s="66" customFormat="1" x14ac:dyDescent="0.25">
      <c r="A1221" s="51"/>
      <c r="B1221" s="91" t="str">
        <f>IFERROR(VLOOKUP(A1221,Lookup!A:B,2,0),"")</f>
        <v/>
      </c>
      <c r="C1221" s="92" t="str">
        <f>IFERROR(VLOOKUP(A1221,Lookup!A:C,3,0),"")</f>
        <v/>
      </c>
      <c r="D1221" s="54"/>
      <c r="E1221" s="54"/>
      <c r="F1221" s="54"/>
      <c r="G1221" s="72"/>
      <c r="H1221" s="54"/>
      <c r="I1221" s="54"/>
      <c r="J1221" s="106">
        <f>VLOOKUP(A1221&amp;G1221,Lookup!J:N,5,0)</f>
        <v>0</v>
      </c>
      <c r="K1221" s="115"/>
      <c r="L1221" s="54"/>
      <c r="M1221" s="54"/>
      <c r="N1221" s="54"/>
      <c r="O1221" s="112">
        <v>50.6006944444444</v>
      </c>
      <c r="P1221" s="110" t="str">
        <f t="shared" si="83"/>
        <v/>
      </c>
      <c r="Q1221" s="54"/>
      <c r="R1221" s="58"/>
      <c r="S1221" s="87" t="str">
        <f t="shared" si="82"/>
        <v/>
      </c>
      <c r="T1221" s="54"/>
      <c r="U1221" s="54"/>
      <c r="V1221" s="54"/>
      <c r="W1221" s="54"/>
      <c r="X1221" s="69" t="str">
        <f t="shared" si="84"/>
        <v>D</v>
      </c>
    </row>
    <row r="1222" spans="1:24" s="66" customFormat="1" x14ac:dyDescent="0.25">
      <c r="A1222" s="51"/>
      <c r="B1222" s="91" t="str">
        <f>IFERROR(VLOOKUP(A1222,Lookup!A:B,2,0),"")</f>
        <v/>
      </c>
      <c r="C1222" s="92" t="str">
        <f>IFERROR(VLOOKUP(A1222,Lookup!A:C,3,0),"")</f>
        <v/>
      </c>
      <c r="D1222" s="54"/>
      <c r="E1222" s="54"/>
      <c r="F1222" s="54"/>
      <c r="G1222" s="72"/>
      <c r="H1222" s="54"/>
      <c r="I1222" s="54"/>
      <c r="J1222" s="106">
        <f>VLOOKUP(A1222&amp;G1222,Lookup!J:N,5,0)</f>
        <v>0</v>
      </c>
      <c r="K1222" s="115"/>
      <c r="L1222" s="54"/>
      <c r="M1222" s="54"/>
      <c r="N1222" s="54"/>
      <c r="O1222" s="112">
        <v>50.6423611111111</v>
      </c>
      <c r="P1222" s="110" t="str">
        <f t="shared" si="83"/>
        <v/>
      </c>
      <c r="Q1222" s="54"/>
      <c r="R1222" s="58"/>
      <c r="S1222" s="87" t="str">
        <f t="shared" si="82"/>
        <v/>
      </c>
      <c r="T1222" s="54"/>
      <c r="U1222" s="54"/>
      <c r="V1222" s="54"/>
      <c r="W1222" s="54"/>
      <c r="X1222" s="69" t="str">
        <f t="shared" si="84"/>
        <v>D</v>
      </c>
    </row>
    <row r="1223" spans="1:24" s="66" customFormat="1" x14ac:dyDescent="0.25">
      <c r="A1223" s="51"/>
      <c r="B1223" s="91" t="str">
        <f>IFERROR(VLOOKUP(A1223,Lookup!A:B,2,0),"")</f>
        <v/>
      </c>
      <c r="C1223" s="92" t="str">
        <f>IFERROR(VLOOKUP(A1223,Lookup!A:C,3,0),"")</f>
        <v/>
      </c>
      <c r="D1223" s="54"/>
      <c r="E1223" s="54"/>
      <c r="F1223" s="54"/>
      <c r="G1223" s="72"/>
      <c r="H1223" s="54"/>
      <c r="I1223" s="54"/>
      <c r="J1223" s="106">
        <f>VLOOKUP(A1223&amp;G1223,Lookup!J:N,5,0)</f>
        <v>0</v>
      </c>
      <c r="K1223" s="115"/>
      <c r="L1223" s="54"/>
      <c r="M1223" s="54"/>
      <c r="N1223" s="54"/>
      <c r="O1223" s="112">
        <v>50.6840277777778</v>
      </c>
      <c r="P1223" s="110" t="str">
        <f t="shared" si="83"/>
        <v/>
      </c>
      <c r="Q1223" s="54"/>
      <c r="R1223" s="58"/>
      <c r="S1223" s="87" t="str">
        <f t="shared" ref="S1223:S1286" si="85">IF(OR(EXACT(Q1223,""), EXACT(L1223,"")),"",Q1223-L1223)</f>
        <v/>
      </c>
      <c r="T1223" s="54"/>
      <c r="U1223" s="54"/>
      <c r="V1223" s="54"/>
      <c r="W1223" s="54"/>
      <c r="X1223" s="69" t="str">
        <f t="shared" si="84"/>
        <v>D</v>
      </c>
    </row>
    <row r="1224" spans="1:24" s="66" customFormat="1" x14ac:dyDescent="0.25">
      <c r="A1224" s="51"/>
      <c r="B1224" s="91" t="str">
        <f>IFERROR(VLOOKUP(A1224,Lookup!A:B,2,0),"")</f>
        <v/>
      </c>
      <c r="C1224" s="92" t="str">
        <f>IFERROR(VLOOKUP(A1224,Lookup!A:C,3,0),"")</f>
        <v/>
      </c>
      <c r="D1224" s="54"/>
      <c r="E1224" s="54"/>
      <c r="F1224" s="54"/>
      <c r="G1224" s="72"/>
      <c r="H1224" s="54"/>
      <c r="I1224" s="54"/>
      <c r="J1224" s="106">
        <f>VLOOKUP(A1224&amp;G1224,Lookup!J:N,5,0)</f>
        <v>0</v>
      </c>
      <c r="K1224" s="115"/>
      <c r="L1224" s="54"/>
      <c r="M1224" s="54"/>
      <c r="N1224" s="54"/>
      <c r="O1224" s="112">
        <v>50.7256944444444</v>
      </c>
      <c r="P1224" s="110" t="str">
        <f t="shared" si="83"/>
        <v/>
      </c>
      <c r="Q1224" s="54"/>
      <c r="R1224" s="58"/>
      <c r="S1224" s="87" t="str">
        <f t="shared" si="85"/>
        <v/>
      </c>
      <c r="T1224" s="54"/>
      <c r="U1224" s="54"/>
      <c r="V1224" s="54"/>
      <c r="W1224" s="54"/>
      <c r="X1224" s="69" t="str">
        <f t="shared" si="84"/>
        <v>D</v>
      </c>
    </row>
    <row r="1225" spans="1:24" s="66" customFormat="1" x14ac:dyDescent="0.25">
      <c r="A1225" s="51"/>
      <c r="B1225" s="91" t="str">
        <f>IFERROR(VLOOKUP(A1225,Lookup!A:B,2,0),"")</f>
        <v/>
      </c>
      <c r="C1225" s="92" t="str">
        <f>IFERROR(VLOOKUP(A1225,Lookup!A:C,3,0),"")</f>
        <v/>
      </c>
      <c r="D1225" s="54"/>
      <c r="E1225" s="54"/>
      <c r="F1225" s="54"/>
      <c r="G1225" s="72"/>
      <c r="H1225" s="54"/>
      <c r="I1225" s="54"/>
      <c r="J1225" s="106">
        <f>VLOOKUP(A1225&amp;G1225,Lookup!J:N,5,0)</f>
        <v>0</v>
      </c>
      <c r="K1225" s="115"/>
      <c r="L1225" s="54"/>
      <c r="M1225" s="54"/>
      <c r="N1225" s="54"/>
      <c r="O1225" s="112">
        <v>50.7673611111111</v>
      </c>
      <c r="P1225" s="110" t="str">
        <f t="shared" si="83"/>
        <v/>
      </c>
      <c r="Q1225" s="54"/>
      <c r="R1225" s="58"/>
      <c r="S1225" s="87" t="str">
        <f t="shared" si="85"/>
        <v/>
      </c>
      <c r="T1225" s="54"/>
      <c r="U1225" s="54"/>
      <c r="V1225" s="54"/>
      <c r="W1225" s="54"/>
      <c r="X1225" s="69" t="str">
        <f t="shared" si="84"/>
        <v>D</v>
      </c>
    </row>
    <row r="1226" spans="1:24" s="66" customFormat="1" x14ac:dyDescent="0.25">
      <c r="A1226" s="51"/>
      <c r="B1226" s="91" t="str">
        <f>IFERROR(VLOOKUP(A1226,Lookup!A:B,2,0),"")</f>
        <v/>
      </c>
      <c r="C1226" s="92" t="str">
        <f>IFERROR(VLOOKUP(A1226,Lookup!A:C,3,0),"")</f>
        <v/>
      </c>
      <c r="D1226" s="54"/>
      <c r="E1226" s="54"/>
      <c r="F1226" s="54"/>
      <c r="G1226" s="72"/>
      <c r="H1226" s="54"/>
      <c r="I1226" s="54"/>
      <c r="J1226" s="106">
        <f>VLOOKUP(A1226&amp;G1226,Lookup!J:N,5,0)</f>
        <v>0</v>
      </c>
      <c r="K1226" s="115"/>
      <c r="L1226" s="54"/>
      <c r="M1226" s="54"/>
      <c r="N1226" s="54"/>
      <c r="O1226" s="112">
        <v>50.8090277777778</v>
      </c>
      <c r="P1226" s="110" t="str">
        <f t="shared" si="83"/>
        <v/>
      </c>
      <c r="Q1226" s="54"/>
      <c r="R1226" s="58"/>
      <c r="S1226" s="87" t="str">
        <f t="shared" si="85"/>
        <v/>
      </c>
      <c r="T1226" s="54"/>
      <c r="U1226" s="54"/>
      <c r="V1226" s="54"/>
      <c r="W1226" s="54"/>
      <c r="X1226" s="69" t="str">
        <f t="shared" si="84"/>
        <v>D</v>
      </c>
    </row>
    <row r="1227" spans="1:24" s="66" customFormat="1" x14ac:dyDescent="0.25">
      <c r="A1227" s="51"/>
      <c r="B1227" s="91" t="str">
        <f>IFERROR(VLOOKUP(A1227,Lookup!A:B,2,0),"")</f>
        <v/>
      </c>
      <c r="C1227" s="92" t="str">
        <f>IFERROR(VLOOKUP(A1227,Lookup!A:C,3,0),"")</f>
        <v/>
      </c>
      <c r="D1227" s="54"/>
      <c r="E1227" s="54"/>
      <c r="F1227" s="54"/>
      <c r="G1227" s="72"/>
      <c r="H1227" s="54"/>
      <c r="I1227" s="54"/>
      <c r="J1227" s="106">
        <f>VLOOKUP(A1227&amp;G1227,Lookup!J:N,5,0)</f>
        <v>0</v>
      </c>
      <c r="K1227" s="115"/>
      <c r="L1227" s="54"/>
      <c r="M1227" s="54"/>
      <c r="N1227" s="54"/>
      <c r="O1227" s="112">
        <v>50.8506944444444</v>
      </c>
      <c r="P1227" s="110" t="str">
        <f t="shared" si="83"/>
        <v/>
      </c>
      <c r="Q1227" s="54"/>
      <c r="R1227" s="58"/>
      <c r="S1227" s="87" t="str">
        <f t="shared" si="85"/>
        <v/>
      </c>
      <c r="T1227" s="54"/>
      <c r="U1227" s="54"/>
      <c r="V1227" s="54"/>
      <c r="W1227" s="54"/>
      <c r="X1227" s="69" t="str">
        <f t="shared" si="84"/>
        <v>D</v>
      </c>
    </row>
    <row r="1228" spans="1:24" s="66" customFormat="1" x14ac:dyDescent="0.25">
      <c r="A1228" s="51"/>
      <c r="B1228" s="91" t="str">
        <f>IFERROR(VLOOKUP(A1228,Lookup!A:B,2,0),"")</f>
        <v/>
      </c>
      <c r="C1228" s="92" t="str">
        <f>IFERROR(VLOOKUP(A1228,Lookup!A:C,3,0),"")</f>
        <v/>
      </c>
      <c r="D1228" s="54"/>
      <c r="E1228" s="54"/>
      <c r="F1228" s="54"/>
      <c r="G1228" s="72"/>
      <c r="H1228" s="54"/>
      <c r="I1228" s="54"/>
      <c r="J1228" s="106">
        <f>VLOOKUP(A1228&amp;G1228,Lookup!J:N,5,0)</f>
        <v>0</v>
      </c>
      <c r="K1228" s="115"/>
      <c r="L1228" s="54"/>
      <c r="M1228" s="54"/>
      <c r="N1228" s="54"/>
      <c r="O1228" s="112">
        <v>50.8923611111111</v>
      </c>
      <c r="P1228" s="110" t="str">
        <f t="shared" si="83"/>
        <v/>
      </c>
      <c r="Q1228" s="54"/>
      <c r="R1228" s="58"/>
      <c r="S1228" s="87" t="str">
        <f t="shared" si="85"/>
        <v/>
      </c>
      <c r="T1228" s="54"/>
      <c r="U1228" s="54"/>
      <c r="V1228" s="54"/>
      <c r="W1228" s="54"/>
      <c r="X1228" s="69" t="str">
        <f t="shared" si="84"/>
        <v>D</v>
      </c>
    </row>
    <row r="1229" spans="1:24" s="66" customFormat="1" x14ac:dyDescent="0.25">
      <c r="A1229" s="51"/>
      <c r="B1229" s="91" t="str">
        <f>IFERROR(VLOOKUP(A1229,Lookup!A:B,2,0),"")</f>
        <v/>
      </c>
      <c r="C1229" s="92" t="str">
        <f>IFERROR(VLOOKUP(A1229,Lookup!A:C,3,0),"")</f>
        <v/>
      </c>
      <c r="D1229" s="54"/>
      <c r="E1229" s="54"/>
      <c r="F1229" s="54"/>
      <c r="G1229" s="72"/>
      <c r="H1229" s="54"/>
      <c r="I1229" s="54"/>
      <c r="J1229" s="106">
        <f>VLOOKUP(A1229&amp;G1229,Lookup!J:N,5,0)</f>
        <v>0</v>
      </c>
      <c r="K1229" s="115"/>
      <c r="L1229" s="54"/>
      <c r="M1229" s="54"/>
      <c r="N1229" s="54"/>
      <c r="O1229" s="112">
        <v>50.9340277777778</v>
      </c>
      <c r="P1229" s="110" t="str">
        <f t="shared" si="83"/>
        <v/>
      </c>
      <c r="Q1229" s="54"/>
      <c r="R1229" s="58"/>
      <c r="S1229" s="87" t="str">
        <f t="shared" si="85"/>
        <v/>
      </c>
      <c r="T1229" s="54"/>
      <c r="U1229" s="54"/>
      <c r="V1229" s="54"/>
      <c r="W1229" s="54"/>
      <c r="X1229" s="69" t="str">
        <f t="shared" si="84"/>
        <v>D</v>
      </c>
    </row>
    <row r="1230" spans="1:24" s="66" customFormat="1" x14ac:dyDescent="0.25">
      <c r="A1230" s="51"/>
      <c r="B1230" s="91" t="str">
        <f>IFERROR(VLOOKUP(A1230,Lookup!A:B,2,0),"")</f>
        <v/>
      </c>
      <c r="C1230" s="92" t="str">
        <f>IFERROR(VLOOKUP(A1230,Lookup!A:C,3,0),"")</f>
        <v/>
      </c>
      <c r="D1230" s="54"/>
      <c r="E1230" s="54"/>
      <c r="F1230" s="54"/>
      <c r="G1230" s="72"/>
      <c r="H1230" s="54"/>
      <c r="I1230" s="54"/>
      <c r="J1230" s="106">
        <f>VLOOKUP(A1230&amp;G1230,Lookup!J:N,5,0)</f>
        <v>0</v>
      </c>
      <c r="K1230" s="115"/>
      <c r="L1230" s="54"/>
      <c r="M1230" s="54"/>
      <c r="N1230" s="54"/>
      <c r="O1230" s="112">
        <v>50.9756944444444</v>
      </c>
      <c r="P1230" s="110" t="str">
        <f t="shared" si="83"/>
        <v/>
      </c>
      <c r="Q1230" s="54"/>
      <c r="R1230" s="58"/>
      <c r="S1230" s="87" t="str">
        <f t="shared" si="85"/>
        <v/>
      </c>
      <c r="T1230" s="54"/>
      <c r="U1230" s="54"/>
      <c r="V1230" s="54"/>
      <c r="W1230" s="54"/>
      <c r="X1230" s="69" t="str">
        <f t="shared" si="84"/>
        <v>D</v>
      </c>
    </row>
    <row r="1231" spans="1:24" s="66" customFormat="1" x14ac:dyDescent="0.25">
      <c r="A1231" s="51"/>
      <c r="B1231" s="91" t="str">
        <f>IFERROR(VLOOKUP(A1231,Lookup!A:B,2,0),"")</f>
        <v/>
      </c>
      <c r="C1231" s="92" t="str">
        <f>IFERROR(VLOOKUP(A1231,Lookup!A:C,3,0),"")</f>
        <v/>
      </c>
      <c r="D1231" s="54"/>
      <c r="E1231" s="54"/>
      <c r="F1231" s="54"/>
      <c r="G1231" s="72"/>
      <c r="H1231" s="54"/>
      <c r="I1231" s="54"/>
      <c r="J1231" s="106">
        <f>VLOOKUP(A1231&amp;G1231,Lookup!J:N,5,0)</f>
        <v>0</v>
      </c>
      <c r="K1231" s="115"/>
      <c r="L1231" s="54"/>
      <c r="M1231" s="54"/>
      <c r="N1231" s="54"/>
      <c r="O1231" s="112">
        <v>51.0173611111111</v>
      </c>
      <c r="P1231" s="110" t="str">
        <f t="shared" si="83"/>
        <v/>
      </c>
      <c r="Q1231" s="54"/>
      <c r="R1231" s="58"/>
      <c r="S1231" s="87" t="str">
        <f t="shared" si="85"/>
        <v/>
      </c>
      <c r="T1231" s="54"/>
      <c r="U1231" s="54"/>
      <c r="V1231" s="54"/>
      <c r="W1231" s="54"/>
      <c r="X1231" s="69" t="str">
        <f t="shared" si="84"/>
        <v>D</v>
      </c>
    </row>
    <row r="1232" spans="1:24" s="66" customFormat="1" x14ac:dyDescent="0.25">
      <c r="A1232" s="51"/>
      <c r="B1232" s="91" t="str">
        <f>IFERROR(VLOOKUP(A1232,Lookup!A:B,2,0),"")</f>
        <v/>
      </c>
      <c r="C1232" s="92" t="str">
        <f>IFERROR(VLOOKUP(A1232,Lookup!A:C,3,0),"")</f>
        <v/>
      </c>
      <c r="D1232" s="54"/>
      <c r="E1232" s="54"/>
      <c r="F1232" s="54"/>
      <c r="G1232" s="72"/>
      <c r="H1232" s="54"/>
      <c r="I1232" s="54"/>
      <c r="J1232" s="106">
        <f>VLOOKUP(A1232&amp;G1232,Lookup!J:N,5,0)</f>
        <v>0</v>
      </c>
      <c r="K1232" s="115"/>
      <c r="L1232" s="54"/>
      <c r="M1232" s="54"/>
      <c r="N1232" s="54"/>
      <c r="O1232" s="112">
        <v>51.0590277777778</v>
      </c>
      <c r="P1232" s="110" t="str">
        <f t="shared" si="83"/>
        <v/>
      </c>
      <c r="Q1232" s="54"/>
      <c r="R1232" s="58"/>
      <c r="S1232" s="87" t="str">
        <f t="shared" si="85"/>
        <v/>
      </c>
      <c r="T1232" s="54"/>
      <c r="U1232" s="54"/>
      <c r="V1232" s="54"/>
      <c r="W1232" s="54"/>
      <c r="X1232" s="69" t="str">
        <f t="shared" si="84"/>
        <v>D</v>
      </c>
    </row>
    <row r="1233" spans="1:24" s="66" customFormat="1" x14ac:dyDescent="0.25">
      <c r="A1233" s="51"/>
      <c r="B1233" s="91" t="str">
        <f>IFERROR(VLOOKUP(A1233,Lookup!A:B,2,0),"")</f>
        <v/>
      </c>
      <c r="C1233" s="92" t="str">
        <f>IFERROR(VLOOKUP(A1233,Lookup!A:C,3,0),"")</f>
        <v/>
      </c>
      <c r="D1233" s="54"/>
      <c r="E1233" s="54"/>
      <c r="F1233" s="54"/>
      <c r="G1233" s="72"/>
      <c r="H1233" s="54"/>
      <c r="I1233" s="54"/>
      <c r="J1233" s="106">
        <f>VLOOKUP(A1233&amp;G1233,Lookup!J:N,5,0)</f>
        <v>0</v>
      </c>
      <c r="K1233" s="115"/>
      <c r="L1233" s="54"/>
      <c r="M1233" s="54"/>
      <c r="N1233" s="54"/>
      <c r="O1233" s="112">
        <v>51.1006944444444</v>
      </c>
      <c r="P1233" s="110" t="str">
        <f t="shared" si="83"/>
        <v/>
      </c>
      <c r="Q1233" s="54"/>
      <c r="R1233" s="58"/>
      <c r="S1233" s="87" t="str">
        <f t="shared" si="85"/>
        <v/>
      </c>
      <c r="T1233" s="54"/>
      <c r="U1233" s="54"/>
      <c r="V1233" s="54"/>
      <c r="W1233" s="54"/>
      <c r="X1233" s="69" t="str">
        <f t="shared" si="84"/>
        <v>D</v>
      </c>
    </row>
    <row r="1234" spans="1:24" s="66" customFormat="1" x14ac:dyDescent="0.25">
      <c r="A1234" s="51"/>
      <c r="B1234" s="91" t="str">
        <f>IFERROR(VLOOKUP(A1234,Lookup!A:B,2,0),"")</f>
        <v/>
      </c>
      <c r="C1234" s="92" t="str">
        <f>IFERROR(VLOOKUP(A1234,Lookup!A:C,3,0),"")</f>
        <v/>
      </c>
      <c r="D1234" s="54"/>
      <c r="E1234" s="54"/>
      <c r="F1234" s="54"/>
      <c r="G1234" s="72"/>
      <c r="H1234" s="54"/>
      <c r="I1234" s="54"/>
      <c r="J1234" s="106">
        <f>VLOOKUP(A1234&amp;G1234,Lookup!J:N,5,0)</f>
        <v>0</v>
      </c>
      <c r="K1234" s="115"/>
      <c r="L1234" s="54"/>
      <c r="M1234" s="54"/>
      <c r="N1234" s="54"/>
      <c r="O1234" s="112">
        <v>51.1423611111111</v>
      </c>
      <c r="P1234" s="110" t="str">
        <f t="shared" si="83"/>
        <v/>
      </c>
      <c r="Q1234" s="54"/>
      <c r="R1234" s="58"/>
      <c r="S1234" s="87" t="str">
        <f t="shared" si="85"/>
        <v/>
      </c>
      <c r="T1234" s="54"/>
      <c r="U1234" s="54"/>
      <c r="V1234" s="54"/>
      <c r="W1234" s="54"/>
      <c r="X1234" s="69" t="str">
        <f t="shared" si="84"/>
        <v>D</v>
      </c>
    </row>
    <row r="1235" spans="1:24" s="66" customFormat="1" x14ac:dyDescent="0.25">
      <c r="A1235" s="51"/>
      <c r="B1235" s="91" t="str">
        <f>IFERROR(VLOOKUP(A1235,Lookup!A:B,2,0),"")</f>
        <v/>
      </c>
      <c r="C1235" s="92" t="str">
        <f>IFERROR(VLOOKUP(A1235,Lookup!A:C,3,0),"")</f>
        <v/>
      </c>
      <c r="D1235" s="54"/>
      <c r="E1235" s="54"/>
      <c r="F1235" s="54"/>
      <c r="G1235" s="72"/>
      <c r="H1235" s="54"/>
      <c r="I1235" s="54"/>
      <c r="J1235" s="106">
        <f>VLOOKUP(A1235&amp;G1235,Lookup!J:N,5,0)</f>
        <v>0</v>
      </c>
      <c r="K1235" s="115"/>
      <c r="L1235" s="54"/>
      <c r="M1235" s="54"/>
      <c r="N1235" s="54"/>
      <c r="O1235" s="112">
        <v>51.1840277777778</v>
      </c>
      <c r="P1235" s="110" t="str">
        <f t="shared" si="83"/>
        <v/>
      </c>
      <c r="Q1235" s="54"/>
      <c r="R1235" s="58"/>
      <c r="S1235" s="87" t="str">
        <f t="shared" si="85"/>
        <v/>
      </c>
      <c r="T1235" s="54"/>
      <c r="U1235" s="54"/>
      <c r="V1235" s="54"/>
      <c r="W1235" s="54"/>
      <c r="X1235" s="69" t="str">
        <f t="shared" si="84"/>
        <v>D</v>
      </c>
    </row>
    <row r="1236" spans="1:24" s="66" customFormat="1" x14ac:dyDescent="0.25">
      <c r="A1236" s="51"/>
      <c r="B1236" s="91" t="str">
        <f>IFERROR(VLOOKUP(A1236,Lookup!A:B,2,0),"")</f>
        <v/>
      </c>
      <c r="C1236" s="92" t="str">
        <f>IFERROR(VLOOKUP(A1236,Lookup!A:C,3,0),"")</f>
        <v/>
      </c>
      <c r="D1236" s="54"/>
      <c r="E1236" s="54"/>
      <c r="F1236" s="54"/>
      <c r="G1236" s="72"/>
      <c r="H1236" s="54"/>
      <c r="I1236" s="54"/>
      <c r="J1236" s="106">
        <f>VLOOKUP(A1236&amp;G1236,Lookup!J:N,5,0)</f>
        <v>0</v>
      </c>
      <c r="K1236" s="115"/>
      <c r="L1236" s="54"/>
      <c r="M1236" s="54"/>
      <c r="N1236" s="54"/>
      <c r="O1236" s="112">
        <v>51.2256944444444</v>
      </c>
      <c r="P1236" s="110" t="str">
        <f t="shared" si="83"/>
        <v/>
      </c>
      <c r="Q1236" s="54"/>
      <c r="R1236" s="58"/>
      <c r="S1236" s="87" t="str">
        <f t="shared" si="85"/>
        <v/>
      </c>
      <c r="T1236" s="54"/>
      <c r="U1236" s="54"/>
      <c r="V1236" s="54"/>
      <c r="W1236" s="54"/>
      <c r="X1236" s="69" t="str">
        <f t="shared" si="84"/>
        <v>D</v>
      </c>
    </row>
    <row r="1237" spans="1:24" s="66" customFormat="1" x14ac:dyDescent="0.25">
      <c r="A1237" s="51"/>
      <c r="B1237" s="91" t="str">
        <f>IFERROR(VLOOKUP(A1237,Lookup!A:B,2,0),"")</f>
        <v/>
      </c>
      <c r="C1237" s="92" t="str">
        <f>IFERROR(VLOOKUP(A1237,Lookup!A:C,3,0),"")</f>
        <v/>
      </c>
      <c r="D1237" s="54"/>
      <c r="E1237" s="54"/>
      <c r="F1237" s="54"/>
      <c r="G1237" s="72"/>
      <c r="H1237" s="54"/>
      <c r="I1237" s="54"/>
      <c r="J1237" s="106">
        <f>VLOOKUP(A1237&amp;G1237,Lookup!J:N,5,0)</f>
        <v>0</v>
      </c>
      <c r="K1237" s="115"/>
      <c r="L1237" s="54"/>
      <c r="M1237" s="54"/>
      <c r="N1237" s="54"/>
      <c r="O1237" s="112">
        <v>51.2673611111111</v>
      </c>
      <c r="P1237" s="110" t="str">
        <f t="shared" si="83"/>
        <v/>
      </c>
      <c r="Q1237" s="54"/>
      <c r="R1237" s="58"/>
      <c r="S1237" s="87" t="str">
        <f t="shared" si="85"/>
        <v/>
      </c>
      <c r="T1237" s="54"/>
      <c r="U1237" s="54"/>
      <c r="V1237" s="54"/>
      <c r="W1237" s="54"/>
      <c r="X1237" s="69" t="str">
        <f t="shared" si="84"/>
        <v>D</v>
      </c>
    </row>
    <row r="1238" spans="1:24" s="66" customFormat="1" x14ac:dyDescent="0.25">
      <c r="A1238" s="51"/>
      <c r="B1238" s="91" t="str">
        <f>IFERROR(VLOOKUP(A1238,Lookup!A:B,2,0),"")</f>
        <v/>
      </c>
      <c r="C1238" s="92" t="str">
        <f>IFERROR(VLOOKUP(A1238,Lookup!A:C,3,0),"")</f>
        <v/>
      </c>
      <c r="D1238" s="54"/>
      <c r="E1238" s="54"/>
      <c r="F1238" s="54"/>
      <c r="G1238" s="72"/>
      <c r="H1238" s="54"/>
      <c r="I1238" s="54"/>
      <c r="J1238" s="106">
        <f>VLOOKUP(A1238&amp;G1238,Lookup!J:N,5,0)</f>
        <v>0</v>
      </c>
      <c r="K1238" s="115"/>
      <c r="L1238" s="54"/>
      <c r="M1238" s="54"/>
      <c r="N1238" s="54"/>
      <c r="O1238" s="112">
        <v>51.3090277777778</v>
      </c>
      <c r="P1238" s="110" t="str">
        <f t="shared" si="83"/>
        <v/>
      </c>
      <c r="Q1238" s="54"/>
      <c r="R1238" s="58"/>
      <c r="S1238" s="87" t="str">
        <f t="shared" si="85"/>
        <v/>
      </c>
      <c r="T1238" s="54"/>
      <c r="U1238" s="54"/>
      <c r="V1238" s="54"/>
      <c r="W1238" s="54"/>
      <c r="X1238" s="69" t="str">
        <f t="shared" si="84"/>
        <v>D</v>
      </c>
    </row>
    <row r="1239" spans="1:24" s="66" customFormat="1" x14ac:dyDescent="0.25">
      <c r="A1239" s="51"/>
      <c r="B1239" s="91" t="str">
        <f>IFERROR(VLOOKUP(A1239,Lookup!A:B,2,0),"")</f>
        <v/>
      </c>
      <c r="C1239" s="92" t="str">
        <f>IFERROR(VLOOKUP(A1239,Lookup!A:C,3,0),"")</f>
        <v/>
      </c>
      <c r="D1239" s="54"/>
      <c r="E1239" s="54"/>
      <c r="F1239" s="54"/>
      <c r="G1239" s="72"/>
      <c r="H1239" s="54"/>
      <c r="I1239" s="54"/>
      <c r="J1239" s="106">
        <f>VLOOKUP(A1239&amp;G1239,Lookup!J:N,5,0)</f>
        <v>0</v>
      </c>
      <c r="K1239" s="115"/>
      <c r="L1239" s="54"/>
      <c r="M1239" s="54"/>
      <c r="N1239" s="54"/>
      <c r="O1239" s="112">
        <v>51.3506944444444</v>
      </c>
      <c r="P1239" s="110" t="str">
        <f t="shared" si="83"/>
        <v/>
      </c>
      <c r="Q1239" s="54"/>
      <c r="R1239" s="58"/>
      <c r="S1239" s="87" t="str">
        <f t="shared" si="85"/>
        <v/>
      </c>
      <c r="T1239" s="54"/>
      <c r="U1239" s="54"/>
      <c r="V1239" s="54"/>
      <c r="W1239" s="54"/>
      <c r="X1239" s="69" t="str">
        <f t="shared" si="84"/>
        <v>D</v>
      </c>
    </row>
    <row r="1240" spans="1:24" s="66" customFormat="1" x14ac:dyDescent="0.25">
      <c r="A1240" s="51"/>
      <c r="B1240" s="91" t="str">
        <f>IFERROR(VLOOKUP(A1240,Lookup!A:B,2,0),"")</f>
        <v/>
      </c>
      <c r="C1240" s="92" t="str">
        <f>IFERROR(VLOOKUP(A1240,Lookup!A:C,3,0),"")</f>
        <v/>
      </c>
      <c r="D1240" s="54"/>
      <c r="E1240" s="54"/>
      <c r="F1240" s="54"/>
      <c r="G1240" s="72"/>
      <c r="H1240" s="54"/>
      <c r="I1240" s="54"/>
      <c r="J1240" s="106">
        <f>VLOOKUP(A1240&amp;G1240,Lookup!J:N,5,0)</f>
        <v>0</v>
      </c>
      <c r="K1240" s="115"/>
      <c r="L1240" s="54"/>
      <c r="M1240" s="54"/>
      <c r="N1240" s="54"/>
      <c r="O1240" s="112">
        <v>51.3923611111111</v>
      </c>
      <c r="P1240" s="110" t="str">
        <f t="shared" si="83"/>
        <v/>
      </c>
      <c r="Q1240" s="54"/>
      <c r="R1240" s="58"/>
      <c r="S1240" s="87" t="str">
        <f t="shared" si="85"/>
        <v/>
      </c>
      <c r="T1240" s="54"/>
      <c r="U1240" s="54"/>
      <c r="V1240" s="54"/>
      <c r="W1240" s="54"/>
      <c r="X1240" s="69" t="str">
        <f t="shared" si="84"/>
        <v>D</v>
      </c>
    </row>
    <row r="1241" spans="1:24" s="66" customFormat="1" x14ac:dyDescent="0.25">
      <c r="A1241" s="51"/>
      <c r="B1241" s="91" t="str">
        <f>IFERROR(VLOOKUP(A1241,Lookup!A:B,2,0),"")</f>
        <v/>
      </c>
      <c r="C1241" s="92" t="str">
        <f>IFERROR(VLOOKUP(A1241,Lookup!A:C,3,0),"")</f>
        <v/>
      </c>
      <c r="D1241" s="54"/>
      <c r="E1241" s="54"/>
      <c r="F1241" s="54"/>
      <c r="G1241" s="72"/>
      <c r="H1241" s="54"/>
      <c r="I1241" s="54"/>
      <c r="J1241" s="106">
        <f>VLOOKUP(A1241&amp;G1241,Lookup!J:N,5,0)</f>
        <v>0</v>
      </c>
      <c r="K1241" s="115"/>
      <c r="L1241" s="54"/>
      <c r="M1241" s="54"/>
      <c r="N1241" s="54"/>
      <c r="O1241" s="112">
        <v>51.4340277777778</v>
      </c>
      <c r="P1241" s="110" t="str">
        <f t="shared" si="83"/>
        <v/>
      </c>
      <c r="Q1241" s="54"/>
      <c r="R1241" s="58"/>
      <c r="S1241" s="87" t="str">
        <f t="shared" si="85"/>
        <v/>
      </c>
      <c r="T1241" s="54"/>
      <c r="U1241" s="54"/>
      <c r="V1241" s="54"/>
      <c r="W1241" s="54"/>
      <c r="X1241" s="69" t="str">
        <f t="shared" si="84"/>
        <v>D</v>
      </c>
    </row>
    <row r="1242" spans="1:24" s="66" customFormat="1" x14ac:dyDescent="0.25">
      <c r="A1242" s="51"/>
      <c r="B1242" s="91" t="str">
        <f>IFERROR(VLOOKUP(A1242,Lookup!A:B,2,0),"")</f>
        <v/>
      </c>
      <c r="C1242" s="92" t="str">
        <f>IFERROR(VLOOKUP(A1242,Lookup!A:C,3,0),"")</f>
        <v/>
      </c>
      <c r="D1242" s="54"/>
      <c r="E1242" s="54"/>
      <c r="F1242" s="54"/>
      <c r="G1242" s="72"/>
      <c r="H1242" s="54"/>
      <c r="I1242" s="54"/>
      <c r="J1242" s="106">
        <f>VLOOKUP(A1242&amp;G1242,Lookup!J:N,5,0)</f>
        <v>0</v>
      </c>
      <c r="K1242" s="115"/>
      <c r="L1242" s="54"/>
      <c r="M1242" s="54"/>
      <c r="N1242" s="54"/>
      <c r="O1242" s="112">
        <v>51.4756944444444</v>
      </c>
      <c r="P1242" s="110" t="str">
        <f t="shared" si="83"/>
        <v/>
      </c>
      <c r="Q1242" s="54"/>
      <c r="R1242" s="58"/>
      <c r="S1242" s="87" t="str">
        <f t="shared" si="85"/>
        <v/>
      </c>
      <c r="T1242" s="54"/>
      <c r="U1242" s="54"/>
      <c r="V1242" s="54"/>
      <c r="W1242" s="54"/>
      <c r="X1242" s="69" t="str">
        <f t="shared" si="84"/>
        <v>D</v>
      </c>
    </row>
    <row r="1243" spans="1:24" s="66" customFormat="1" x14ac:dyDescent="0.25">
      <c r="A1243" s="51"/>
      <c r="B1243" s="91" t="str">
        <f>IFERROR(VLOOKUP(A1243,Lookup!A:B,2,0),"")</f>
        <v/>
      </c>
      <c r="C1243" s="92" t="str">
        <f>IFERROR(VLOOKUP(A1243,Lookup!A:C,3,0),"")</f>
        <v/>
      </c>
      <c r="D1243" s="54"/>
      <c r="E1243" s="54"/>
      <c r="F1243" s="54"/>
      <c r="G1243" s="72"/>
      <c r="H1243" s="54"/>
      <c r="I1243" s="54"/>
      <c r="J1243" s="106">
        <f>VLOOKUP(A1243&amp;G1243,Lookup!J:N,5,0)</f>
        <v>0</v>
      </c>
      <c r="K1243" s="115"/>
      <c r="L1243" s="54"/>
      <c r="M1243" s="54"/>
      <c r="N1243" s="54"/>
      <c r="O1243" s="112">
        <v>51.5173611111111</v>
      </c>
      <c r="P1243" s="110" t="str">
        <f t="shared" si="83"/>
        <v/>
      </c>
      <c r="Q1243" s="54"/>
      <c r="R1243" s="58"/>
      <c r="S1243" s="87" t="str">
        <f t="shared" si="85"/>
        <v/>
      </c>
      <c r="T1243" s="54"/>
      <c r="U1243" s="54"/>
      <c r="V1243" s="54"/>
      <c r="W1243" s="54"/>
      <c r="X1243" s="69" t="str">
        <f t="shared" si="84"/>
        <v>D</v>
      </c>
    </row>
    <row r="1244" spans="1:24" s="66" customFormat="1" x14ac:dyDescent="0.25">
      <c r="A1244" s="51"/>
      <c r="B1244" s="91" t="str">
        <f>IFERROR(VLOOKUP(A1244,Lookup!A:B,2,0),"")</f>
        <v/>
      </c>
      <c r="C1244" s="92" t="str">
        <f>IFERROR(VLOOKUP(A1244,Lookup!A:C,3,0),"")</f>
        <v/>
      </c>
      <c r="D1244" s="54"/>
      <c r="E1244" s="54"/>
      <c r="F1244" s="54"/>
      <c r="G1244" s="72"/>
      <c r="H1244" s="54"/>
      <c r="I1244" s="54"/>
      <c r="J1244" s="106">
        <f>VLOOKUP(A1244&amp;G1244,Lookup!J:N,5,0)</f>
        <v>0</v>
      </c>
      <c r="K1244" s="115"/>
      <c r="L1244" s="54"/>
      <c r="M1244" s="54"/>
      <c r="N1244" s="54"/>
      <c r="O1244" s="112">
        <v>51.5590277777778</v>
      </c>
      <c r="P1244" s="110" t="str">
        <f t="shared" si="83"/>
        <v/>
      </c>
      <c r="Q1244" s="54"/>
      <c r="R1244" s="58"/>
      <c r="S1244" s="87" t="str">
        <f t="shared" si="85"/>
        <v/>
      </c>
      <c r="T1244" s="54"/>
      <c r="U1244" s="54"/>
      <c r="V1244" s="54"/>
      <c r="W1244" s="54"/>
      <c r="X1244" s="69" t="str">
        <f t="shared" si="84"/>
        <v>D</v>
      </c>
    </row>
    <row r="1245" spans="1:24" s="66" customFormat="1" x14ac:dyDescent="0.25">
      <c r="A1245" s="51"/>
      <c r="B1245" s="91" t="str">
        <f>IFERROR(VLOOKUP(A1245,Lookup!A:B,2,0),"")</f>
        <v/>
      </c>
      <c r="C1245" s="92" t="str">
        <f>IFERROR(VLOOKUP(A1245,Lookup!A:C,3,0),"")</f>
        <v/>
      </c>
      <c r="D1245" s="54"/>
      <c r="E1245" s="54"/>
      <c r="F1245" s="54"/>
      <c r="G1245" s="72"/>
      <c r="H1245" s="54"/>
      <c r="I1245" s="54"/>
      <c r="J1245" s="106">
        <f>VLOOKUP(A1245&amp;G1245,Lookup!J:N,5,0)</f>
        <v>0</v>
      </c>
      <c r="K1245" s="115"/>
      <c r="L1245" s="54"/>
      <c r="M1245" s="54"/>
      <c r="N1245" s="54"/>
      <c r="O1245" s="112">
        <v>51.6006944444444</v>
      </c>
      <c r="P1245" s="110" t="str">
        <f t="shared" si="83"/>
        <v/>
      </c>
      <c r="Q1245" s="54"/>
      <c r="R1245" s="58"/>
      <c r="S1245" s="87" t="str">
        <f t="shared" si="85"/>
        <v/>
      </c>
      <c r="T1245" s="54"/>
      <c r="U1245" s="54"/>
      <c r="V1245" s="54"/>
      <c r="W1245" s="54"/>
      <c r="X1245" s="69" t="str">
        <f t="shared" si="84"/>
        <v>D</v>
      </c>
    </row>
    <row r="1246" spans="1:24" s="66" customFormat="1" x14ac:dyDescent="0.25">
      <c r="A1246" s="51"/>
      <c r="B1246" s="91" t="str">
        <f>IFERROR(VLOOKUP(A1246,Lookup!A:B,2,0),"")</f>
        <v/>
      </c>
      <c r="C1246" s="92" t="str">
        <f>IFERROR(VLOOKUP(A1246,Lookup!A:C,3,0),"")</f>
        <v/>
      </c>
      <c r="D1246" s="54"/>
      <c r="E1246" s="54"/>
      <c r="F1246" s="54"/>
      <c r="G1246" s="72"/>
      <c r="H1246" s="54"/>
      <c r="I1246" s="54"/>
      <c r="J1246" s="106">
        <f>VLOOKUP(A1246&amp;G1246,Lookup!J:N,5,0)</f>
        <v>0</v>
      </c>
      <c r="K1246" s="115"/>
      <c r="L1246" s="54"/>
      <c r="M1246" s="54"/>
      <c r="N1246" s="54"/>
      <c r="O1246" s="112">
        <v>51.6423611111111</v>
      </c>
      <c r="P1246" s="110" t="str">
        <f t="shared" si="83"/>
        <v/>
      </c>
      <c r="Q1246" s="54"/>
      <c r="R1246" s="58"/>
      <c r="S1246" s="87" t="str">
        <f t="shared" si="85"/>
        <v/>
      </c>
      <c r="T1246" s="54"/>
      <c r="U1246" s="54"/>
      <c r="V1246" s="54"/>
      <c r="W1246" s="54"/>
      <c r="X1246" s="69" t="str">
        <f t="shared" si="84"/>
        <v>D</v>
      </c>
    </row>
    <row r="1247" spans="1:24" s="66" customFormat="1" x14ac:dyDescent="0.25">
      <c r="A1247" s="51"/>
      <c r="B1247" s="91" t="str">
        <f>IFERROR(VLOOKUP(A1247,Lookup!A:B,2,0),"")</f>
        <v/>
      </c>
      <c r="C1247" s="92" t="str">
        <f>IFERROR(VLOOKUP(A1247,Lookup!A:C,3,0),"")</f>
        <v/>
      </c>
      <c r="D1247" s="54"/>
      <c r="E1247" s="54"/>
      <c r="F1247" s="54"/>
      <c r="G1247" s="72"/>
      <c r="H1247" s="54"/>
      <c r="I1247" s="54"/>
      <c r="J1247" s="106">
        <f>VLOOKUP(A1247&amp;G1247,Lookup!J:N,5,0)</f>
        <v>0</v>
      </c>
      <c r="K1247" s="115"/>
      <c r="L1247" s="54"/>
      <c r="M1247" s="54"/>
      <c r="N1247" s="54"/>
      <c r="O1247" s="112">
        <v>51.6840277777778</v>
      </c>
      <c r="P1247" s="110" t="str">
        <f t="shared" si="83"/>
        <v/>
      </c>
      <c r="Q1247" s="54"/>
      <c r="R1247" s="58"/>
      <c r="S1247" s="87" t="str">
        <f t="shared" si="85"/>
        <v/>
      </c>
      <c r="T1247" s="54"/>
      <c r="U1247" s="54"/>
      <c r="V1247" s="54"/>
      <c r="W1247" s="54"/>
      <c r="X1247" s="69" t="str">
        <f t="shared" si="84"/>
        <v>D</v>
      </c>
    </row>
    <row r="1248" spans="1:24" s="66" customFormat="1" x14ac:dyDescent="0.25">
      <c r="A1248" s="51"/>
      <c r="B1248" s="91" t="str">
        <f>IFERROR(VLOOKUP(A1248,Lookup!A:B,2,0),"")</f>
        <v/>
      </c>
      <c r="C1248" s="92" t="str">
        <f>IFERROR(VLOOKUP(A1248,Lookup!A:C,3,0),"")</f>
        <v/>
      </c>
      <c r="D1248" s="54"/>
      <c r="E1248" s="54"/>
      <c r="F1248" s="54"/>
      <c r="G1248" s="72"/>
      <c r="H1248" s="54"/>
      <c r="I1248" s="54"/>
      <c r="J1248" s="106">
        <f>VLOOKUP(A1248&amp;G1248,Lookup!J:N,5,0)</f>
        <v>0</v>
      </c>
      <c r="K1248" s="115"/>
      <c r="L1248" s="54"/>
      <c r="M1248" s="54"/>
      <c r="N1248" s="54"/>
      <c r="O1248" s="112">
        <v>51.7256944444444</v>
      </c>
      <c r="P1248" s="110" t="str">
        <f t="shared" si="83"/>
        <v/>
      </c>
      <c r="Q1248" s="54"/>
      <c r="R1248" s="58"/>
      <c r="S1248" s="87" t="str">
        <f t="shared" si="85"/>
        <v/>
      </c>
      <c r="T1248" s="54"/>
      <c r="U1248" s="54"/>
      <c r="V1248" s="54"/>
      <c r="W1248" s="54"/>
      <c r="X1248" s="69" t="str">
        <f t="shared" si="84"/>
        <v>D</v>
      </c>
    </row>
    <row r="1249" spans="1:24" s="66" customFormat="1" x14ac:dyDescent="0.25">
      <c r="A1249" s="51"/>
      <c r="B1249" s="91" t="str">
        <f>IFERROR(VLOOKUP(A1249,Lookup!A:B,2,0),"")</f>
        <v/>
      </c>
      <c r="C1249" s="92" t="str">
        <f>IFERROR(VLOOKUP(A1249,Lookup!A:C,3,0),"")</f>
        <v/>
      </c>
      <c r="D1249" s="54"/>
      <c r="E1249" s="54"/>
      <c r="F1249" s="54"/>
      <c r="G1249" s="72"/>
      <c r="H1249" s="54"/>
      <c r="I1249" s="54"/>
      <c r="J1249" s="106">
        <f>VLOOKUP(A1249&amp;G1249,Lookup!J:N,5,0)</f>
        <v>0</v>
      </c>
      <c r="K1249" s="115"/>
      <c r="L1249" s="54"/>
      <c r="M1249" s="54"/>
      <c r="N1249" s="54"/>
      <c r="O1249" s="112">
        <v>51.7673611111111</v>
      </c>
      <c r="P1249" s="110" t="str">
        <f t="shared" si="83"/>
        <v/>
      </c>
      <c r="Q1249" s="54"/>
      <c r="R1249" s="58"/>
      <c r="S1249" s="87" t="str">
        <f t="shared" si="85"/>
        <v/>
      </c>
      <c r="T1249" s="54"/>
      <c r="U1249" s="54"/>
      <c r="V1249" s="54"/>
      <c r="W1249" s="54"/>
      <c r="X1249" s="69" t="str">
        <f t="shared" si="84"/>
        <v>D</v>
      </c>
    </row>
    <row r="1250" spans="1:24" s="66" customFormat="1" x14ac:dyDescent="0.25">
      <c r="A1250" s="51"/>
      <c r="B1250" s="91" t="str">
        <f>IFERROR(VLOOKUP(A1250,Lookup!A:B,2,0),"")</f>
        <v/>
      </c>
      <c r="C1250" s="92" t="str">
        <f>IFERROR(VLOOKUP(A1250,Lookup!A:C,3,0),"")</f>
        <v/>
      </c>
      <c r="D1250" s="54"/>
      <c r="E1250" s="54"/>
      <c r="F1250" s="54"/>
      <c r="G1250" s="72"/>
      <c r="H1250" s="54"/>
      <c r="I1250" s="54"/>
      <c r="J1250" s="106">
        <f>VLOOKUP(A1250&amp;G1250,Lookup!J:N,5,0)</f>
        <v>0</v>
      </c>
      <c r="K1250" s="115"/>
      <c r="L1250" s="54"/>
      <c r="M1250" s="54"/>
      <c r="N1250" s="54"/>
      <c r="O1250" s="112">
        <v>51.8090277777778</v>
      </c>
      <c r="P1250" s="110" t="str">
        <f t="shared" si="83"/>
        <v/>
      </c>
      <c r="Q1250" s="54"/>
      <c r="R1250" s="58"/>
      <c r="S1250" s="87" t="str">
        <f t="shared" si="85"/>
        <v/>
      </c>
      <c r="T1250" s="54"/>
      <c r="U1250" s="54"/>
      <c r="V1250" s="54"/>
      <c r="W1250" s="54"/>
      <c r="X1250" s="69" t="str">
        <f t="shared" si="84"/>
        <v>D</v>
      </c>
    </row>
    <row r="1251" spans="1:24" s="66" customFormat="1" x14ac:dyDescent="0.25">
      <c r="A1251" s="51"/>
      <c r="B1251" s="91" t="str">
        <f>IFERROR(VLOOKUP(A1251,Lookup!A:B,2,0),"")</f>
        <v/>
      </c>
      <c r="C1251" s="92" t="str">
        <f>IFERROR(VLOOKUP(A1251,Lookup!A:C,3,0),"")</f>
        <v/>
      </c>
      <c r="D1251" s="54"/>
      <c r="E1251" s="54"/>
      <c r="F1251" s="54"/>
      <c r="G1251" s="72"/>
      <c r="H1251" s="54"/>
      <c r="I1251" s="54"/>
      <c r="J1251" s="106">
        <f>VLOOKUP(A1251&amp;G1251,Lookup!J:N,5,0)</f>
        <v>0</v>
      </c>
      <c r="K1251" s="115"/>
      <c r="L1251" s="54"/>
      <c r="M1251" s="54"/>
      <c r="N1251" s="54"/>
      <c r="O1251" s="112">
        <v>51.8506944444444</v>
      </c>
      <c r="P1251" s="110" t="str">
        <f t="shared" si="83"/>
        <v/>
      </c>
      <c r="Q1251" s="54"/>
      <c r="R1251" s="58"/>
      <c r="S1251" s="87" t="str">
        <f t="shared" si="85"/>
        <v/>
      </c>
      <c r="T1251" s="54"/>
      <c r="U1251" s="54"/>
      <c r="V1251" s="54"/>
      <c r="W1251" s="54"/>
      <c r="X1251" s="69" t="str">
        <f t="shared" si="84"/>
        <v>D</v>
      </c>
    </row>
    <row r="1252" spans="1:24" s="66" customFormat="1" x14ac:dyDescent="0.25">
      <c r="A1252" s="51"/>
      <c r="B1252" s="91" t="str">
        <f>IFERROR(VLOOKUP(A1252,Lookup!A:B,2,0),"")</f>
        <v/>
      </c>
      <c r="C1252" s="92" t="str">
        <f>IFERROR(VLOOKUP(A1252,Lookup!A:C,3,0),"")</f>
        <v/>
      </c>
      <c r="D1252" s="54"/>
      <c r="E1252" s="54"/>
      <c r="F1252" s="54"/>
      <c r="G1252" s="72"/>
      <c r="H1252" s="54"/>
      <c r="I1252" s="54"/>
      <c r="J1252" s="106">
        <f>VLOOKUP(A1252&amp;G1252,Lookup!J:N,5,0)</f>
        <v>0</v>
      </c>
      <c r="K1252" s="115"/>
      <c r="L1252" s="54"/>
      <c r="M1252" s="54"/>
      <c r="N1252" s="54"/>
      <c r="O1252" s="112">
        <v>51.8923611111111</v>
      </c>
      <c r="P1252" s="110" t="str">
        <f t="shared" si="83"/>
        <v/>
      </c>
      <c r="Q1252" s="54"/>
      <c r="R1252" s="58"/>
      <c r="S1252" s="87" t="str">
        <f t="shared" si="85"/>
        <v/>
      </c>
      <c r="T1252" s="54"/>
      <c r="U1252" s="54"/>
      <c r="V1252" s="54"/>
      <c r="W1252" s="54"/>
      <c r="X1252" s="69" t="str">
        <f t="shared" si="84"/>
        <v>D</v>
      </c>
    </row>
    <row r="1253" spans="1:24" s="66" customFormat="1" x14ac:dyDescent="0.25">
      <c r="A1253" s="51"/>
      <c r="B1253" s="91" t="str">
        <f>IFERROR(VLOOKUP(A1253,Lookup!A:B,2,0),"")</f>
        <v/>
      </c>
      <c r="C1253" s="92" t="str">
        <f>IFERROR(VLOOKUP(A1253,Lookup!A:C,3,0),"")</f>
        <v/>
      </c>
      <c r="D1253" s="54"/>
      <c r="E1253" s="54"/>
      <c r="F1253" s="54"/>
      <c r="G1253" s="72"/>
      <c r="H1253" s="54"/>
      <c r="I1253" s="54"/>
      <c r="J1253" s="106">
        <f>VLOOKUP(A1253&amp;G1253,Lookup!J:N,5,0)</f>
        <v>0</v>
      </c>
      <c r="K1253" s="115"/>
      <c r="L1253" s="54"/>
      <c r="M1253" s="54"/>
      <c r="N1253" s="54"/>
      <c r="O1253" s="112">
        <v>51.9340277777778</v>
      </c>
      <c r="P1253" s="110" t="str">
        <f t="shared" si="83"/>
        <v/>
      </c>
      <c r="Q1253" s="54"/>
      <c r="R1253" s="58"/>
      <c r="S1253" s="87" t="str">
        <f t="shared" si="85"/>
        <v/>
      </c>
      <c r="T1253" s="54"/>
      <c r="U1253" s="54"/>
      <c r="V1253" s="54"/>
      <c r="W1253" s="54"/>
      <c r="X1253" s="69" t="str">
        <f t="shared" si="84"/>
        <v>D</v>
      </c>
    </row>
    <row r="1254" spans="1:24" s="66" customFormat="1" x14ac:dyDescent="0.25">
      <c r="A1254" s="51"/>
      <c r="B1254" s="91" t="str">
        <f>IFERROR(VLOOKUP(A1254,Lookup!A:B,2,0),"")</f>
        <v/>
      </c>
      <c r="C1254" s="92" t="str">
        <f>IFERROR(VLOOKUP(A1254,Lookup!A:C,3,0),"")</f>
        <v/>
      </c>
      <c r="D1254" s="54"/>
      <c r="E1254" s="54"/>
      <c r="F1254" s="54"/>
      <c r="G1254" s="72"/>
      <c r="H1254" s="54"/>
      <c r="I1254" s="54"/>
      <c r="J1254" s="106">
        <f>VLOOKUP(A1254&amp;G1254,Lookup!J:N,5,0)</f>
        <v>0</v>
      </c>
      <c r="K1254" s="115"/>
      <c r="L1254" s="54"/>
      <c r="M1254" s="54"/>
      <c r="N1254" s="54"/>
      <c r="O1254" s="112">
        <v>51.9756944444444</v>
      </c>
      <c r="P1254" s="110" t="str">
        <f t="shared" si="83"/>
        <v/>
      </c>
      <c r="Q1254" s="54"/>
      <c r="R1254" s="58"/>
      <c r="S1254" s="87" t="str">
        <f t="shared" si="85"/>
        <v/>
      </c>
      <c r="T1254" s="54"/>
      <c r="U1254" s="54"/>
      <c r="V1254" s="54"/>
      <c r="W1254" s="54"/>
      <c r="X1254" s="69" t="str">
        <f t="shared" si="84"/>
        <v>D</v>
      </c>
    </row>
    <row r="1255" spans="1:24" s="66" customFormat="1" x14ac:dyDescent="0.25">
      <c r="A1255" s="51"/>
      <c r="B1255" s="91" t="str">
        <f>IFERROR(VLOOKUP(A1255,Lookup!A:B,2,0),"")</f>
        <v/>
      </c>
      <c r="C1255" s="92" t="str">
        <f>IFERROR(VLOOKUP(A1255,Lookup!A:C,3,0),"")</f>
        <v/>
      </c>
      <c r="D1255" s="54"/>
      <c r="E1255" s="54"/>
      <c r="F1255" s="54"/>
      <c r="G1255" s="72"/>
      <c r="H1255" s="54"/>
      <c r="I1255" s="54"/>
      <c r="J1255" s="106">
        <f>VLOOKUP(A1255&amp;G1255,Lookup!J:N,5,0)</f>
        <v>0</v>
      </c>
      <c r="K1255" s="115"/>
      <c r="L1255" s="54"/>
      <c r="M1255" s="54"/>
      <c r="N1255" s="54"/>
      <c r="O1255" s="112">
        <v>52.0173611111111</v>
      </c>
      <c r="P1255" s="110" t="str">
        <f t="shared" si="83"/>
        <v/>
      </c>
      <c r="Q1255" s="54"/>
      <c r="R1255" s="58"/>
      <c r="S1255" s="87" t="str">
        <f t="shared" si="85"/>
        <v/>
      </c>
      <c r="T1255" s="54"/>
      <c r="U1255" s="54"/>
      <c r="V1255" s="54"/>
      <c r="W1255" s="54"/>
      <c r="X1255" s="69" t="str">
        <f t="shared" si="84"/>
        <v>D</v>
      </c>
    </row>
    <row r="1256" spans="1:24" s="66" customFormat="1" x14ac:dyDescent="0.25">
      <c r="A1256" s="51"/>
      <c r="B1256" s="91" t="str">
        <f>IFERROR(VLOOKUP(A1256,Lookup!A:B,2,0),"")</f>
        <v/>
      </c>
      <c r="C1256" s="92" t="str">
        <f>IFERROR(VLOOKUP(A1256,Lookup!A:C,3,0),"")</f>
        <v/>
      </c>
      <c r="D1256" s="54"/>
      <c r="E1256" s="54"/>
      <c r="F1256" s="54"/>
      <c r="G1256" s="72"/>
      <c r="H1256" s="54"/>
      <c r="I1256" s="54"/>
      <c r="J1256" s="106">
        <f>VLOOKUP(A1256&amp;G1256,Lookup!J:N,5,0)</f>
        <v>0</v>
      </c>
      <c r="K1256" s="115"/>
      <c r="L1256" s="54"/>
      <c r="M1256" s="54"/>
      <c r="N1256" s="54"/>
      <c r="O1256" s="112">
        <v>52.0590277777778</v>
      </c>
      <c r="P1256" s="110" t="str">
        <f t="shared" si="83"/>
        <v/>
      </c>
      <c r="Q1256" s="54"/>
      <c r="R1256" s="58"/>
      <c r="S1256" s="87" t="str">
        <f t="shared" si="85"/>
        <v/>
      </c>
      <c r="T1256" s="54"/>
      <c r="U1256" s="54"/>
      <c r="V1256" s="54"/>
      <c r="W1256" s="54"/>
      <c r="X1256" s="69" t="str">
        <f t="shared" si="84"/>
        <v>D</v>
      </c>
    </row>
    <row r="1257" spans="1:24" s="66" customFormat="1" x14ac:dyDescent="0.25">
      <c r="A1257" s="51"/>
      <c r="B1257" s="91" t="str">
        <f>IFERROR(VLOOKUP(A1257,Lookup!A:B,2,0),"")</f>
        <v/>
      </c>
      <c r="C1257" s="92" t="str">
        <f>IFERROR(VLOOKUP(A1257,Lookup!A:C,3,0),"")</f>
        <v/>
      </c>
      <c r="D1257" s="54"/>
      <c r="E1257" s="54"/>
      <c r="F1257" s="54"/>
      <c r="G1257" s="72"/>
      <c r="H1257" s="54"/>
      <c r="I1257" s="54"/>
      <c r="J1257" s="106">
        <f>VLOOKUP(A1257&amp;G1257,Lookup!J:N,5,0)</f>
        <v>0</v>
      </c>
      <c r="K1257" s="115"/>
      <c r="L1257" s="54"/>
      <c r="M1257" s="54"/>
      <c r="N1257" s="54"/>
      <c r="O1257" s="112">
        <v>52.1006944444444</v>
      </c>
      <c r="P1257" s="110" t="str">
        <f t="shared" si="83"/>
        <v/>
      </c>
      <c r="Q1257" s="54"/>
      <c r="R1257" s="58"/>
      <c r="S1257" s="87" t="str">
        <f t="shared" si="85"/>
        <v/>
      </c>
      <c r="T1257" s="54"/>
      <c r="U1257" s="54"/>
      <c r="V1257" s="54"/>
      <c r="W1257" s="54"/>
      <c r="X1257" s="69" t="str">
        <f t="shared" si="84"/>
        <v>D</v>
      </c>
    </row>
    <row r="1258" spans="1:24" s="66" customFormat="1" x14ac:dyDescent="0.25">
      <c r="A1258" s="51"/>
      <c r="B1258" s="91" t="str">
        <f>IFERROR(VLOOKUP(A1258,Lookup!A:B,2,0),"")</f>
        <v/>
      </c>
      <c r="C1258" s="92" t="str">
        <f>IFERROR(VLOOKUP(A1258,Lookup!A:C,3,0),"")</f>
        <v/>
      </c>
      <c r="D1258" s="54"/>
      <c r="E1258" s="54"/>
      <c r="F1258" s="54"/>
      <c r="G1258" s="72"/>
      <c r="H1258" s="54"/>
      <c r="I1258" s="54"/>
      <c r="J1258" s="106">
        <f>VLOOKUP(A1258&amp;G1258,Lookup!J:N,5,0)</f>
        <v>0</v>
      </c>
      <c r="K1258" s="115"/>
      <c r="L1258" s="54"/>
      <c r="M1258" s="54"/>
      <c r="N1258" s="54"/>
      <c r="O1258" s="112">
        <v>52.1423611111111</v>
      </c>
      <c r="P1258" s="110" t="str">
        <f t="shared" si="83"/>
        <v/>
      </c>
      <c r="Q1258" s="54"/>
      <c r="R1258" s="58"/>
      <c r="S1258" s="87" t="str">
        <f t="shared" si="85"/>
        <v/>
      </c>
      <c r="T1258" s="54"/>
      <c r="U1258" s="54"/>
      <c r="V1258" s="54"/>
      <c r="W1258" s="54"/>
      <c r="X1258" s="69" t="str">
        <f t="shared" si="84"/>
        <v>D</v>
      </c>
    </row>
    <row r="1259" spans="1:24" s="66" customFormat="1" x14ac:dyDescent="0.25">
      <c r="A1259" s="51"/>
      <c r="B1259" s="91" t="str">
        <f>IFERROR(VLOOKUP(A1259,Lookup!A:B,2,0),"")</f>
        <v/>
      </c>
      <c r="C1259" s="92" t="str">
        <f>IFERROR(VLOOKUP(A1259,Lookup!A:C,3,0),"")</f>
        <v/>
      </c>
      <c r="D1259" s="54"/>
      <c r="E1259" s="54"/>
      <c r="F1259" s="54"/>
      <c r="G1259" s="72"/>
      <c r="H1259" s="54"/>
      <c r="I1259" s="54"/>
      <c r="J1259" s="106">
        <f>VLOOKUP(A1259&amp;G1259,Lookup!J:N,5,0)</f>
        <v>0</v>
      </c>
      <c r="K1259" s="115"/>
      <c r="L1259" s="54"/>
      <c r="M1259" s="54"/>
      <c r="N1259" s="54"/>
      <c r="O1259" s="112">
        <v>52.1840277777778</v>
      </c>
      <c r="P1259" s="110" t="str">
        <f t="shared" si="83"/>
        <v/>
      </c>
      <c r="Q1259" s="54"/>
      <c r="R1259" s="58"/>
      <c r="S1259" s="87" t="str">
        <f t="shared" si="85"/>
        <v/>
      </c>
      <c r="T1259" s="54"/>
      <c r="U1259" s="54"/>
      <c r="V1259" s="54"/>
      <c r="W1259" s="54"/>
      <c r="X1259" s="69" t="str">
        <f t="shared" si="84"/>
        <v>D</v>
      </c>
    </row>
    <row r="1260" spans="1:24" s="66" customFormat="1" x14ac:dyDescent="0.25">
      <c r="A1260" s="51"/>
      <c r="B1260" s="91" t="str">
        <f>IFERROR(VLOOKUP(A1260,Lookup!A:B,2,0),"")</f>
        <v/>
      </c>
      <c r="C1260" s="92" t="str">
        <f>IFERROR(VLOOKUP(A1260,Lookup!A:C,3,0),"")</f>
        <v/>
      </c>
      <c r="D1260" s="54"/>
      <c r="E1260" s="54"/>
      <c r="F1260" s="54"/>
      <c r="G1260" s="72"/>
      <c r="H1260" s="54"/>
      <c r="I1260" s="54"/>
      <c r="J1260" s="106">
        <f>VLOOKUP(A1260&amp;G1260,Lookup!J:N,5,0)</f>
        <v>0</v>
      </c>
      <c r="K1260" s="115"/>
      <c r="L1260" s="54"/>
      <c r="M1260" s="54"/>
      <c r="N1260" s="54"/>
      <c r="O1260" s="112">
        <v>52.2256944444444</v>
      </c>
      <c r="P1260" s="110" t="str">
        <f t="shared" si="83"/>
        <v/>
      </c>
      <c r="Q1260" s="54"/>
      <c r="R1260" s="58"/>
      <c r="S1260" s="87" t="str">
        <f t="shared" si="85"/>
        <v/>
      </c>
      <c r="T1260" s="54"/>
      <c r="U1260" s="54"/>
      <c r="V1260" s="54"/>
      <c r="W1260" s="54"/>
      <c r="X1260" s="69" t="str">
        <f t="shared" si="84"/>
        <v>D</v>
      </c>
    </row>
    <row r="1261" spans="1:24" s="66" customFormat="1" x14ac:dyDescent="0.25">
      <c r="A1261" s="51"/>
      <c r="B1261" s="91" t="str">
        <f>IFERROR(VLOOKUP(A1261,Lookup!A:B,2,0),"")</f>
        <v/>
      </c>
      <c r="C1261" s="92" t="str">
        <f>IFERROR(VLOOKUP(A1261,Lookup!A:C,3,0),"")</f>
        <v/>
      </c>
      <c r="D1261" s="54"/>
      <c r="E1261" s="54"/>
      <c r="F1261" s="54"/>
      <c r="G1261" s="72"/>
      <c r="H1261" s="54"/>
      <c r="I1261" s="54"/>
      <c r="J1261" s="106">
        <f>VLOOKUP(A1261&amp;G1261,Lookup!J:N,5,0)</f>
        <v>0</v>
      </c>
      <c r="K1261" s="115"/>
      <c r="L1261" s="54"/>
      <c r="M1261" s="54"/>
      <c r="N1261" s="54"/>
      <c r="O1261" s="112">
        <v>52.2673611111111</v>
      </c>
      <c r="P1261" s="110" t="str">
        <f t="shared" si="83"/>
        <v/>
      </c>
      <c r="Q1261" s="54"/>
      <c r="R1261" s="58"/>
      <c r="S1261" s="87" t="str">
        <f t="shared" si="85"/>
        <v/>
      </c>
      <c r="T1261" s="54"/>
      <c r="U1261" s="54"/>
      <c r="V1261" s="54"/>
      <c r="W1261" s="54"/>
      <c r="X1261" s="69" t="str">
        <f t="shared" si="84"/>
        <v>D</v>
      </c>
    </row>
    <row r="1262" spans="1:24" s="66" customFormat="1" x14ac:dyDescent="0.25">
      <c r="A1262" s="51"/>
      <c r="B1262" s="91" t="str">
        <f>IFERROR(VLOOKUP(A1262,Lookup!A:B,2,0),"")</f>
        <v/>
      </c>
      <c r="C1262" s="92" t="str">
        <f>IFERROR(VLOOKUP(A1262,Lookup!A:C,3,0),"")</f>
        <v/>
      </c>
      <c r="D1262" s="54"/>
      <c r="E1262" s="54"/>
      <c r="F1262" s="54"/>
      <c r="G1262" s="72"/>
      <c r="H1262" s="54"/>
      <c r="I1262" s="54"/>
      <c r="J1262" s="106">
        <f>VLOOKUP(A1262&amp;G1262,Lookup!J:N,5,0)</f>
        <v>0</v>
      </c>
      <c r="K1262" s="115"/>
      <c r="L1262" s="54"/>
      <c r="M1262" s="54"/>
      <c r="N1262" s="54"/>
      <c r="O1262" s="112">
        <v>52.3090277777778</v>
      </c>
      <c r="P1262" s="110" t="str">
        <f t="shared" si="83"/>
        <v/>
      </c>
      <c r="Q1262" s="54"/>
      <c r="R1262" s="58"/>
      <c r="S1262" s="87" t="str">
        <f t="shared" si="85"/>
        <v/>
      </c>
      <c r="T1262" s="54"/>
      <c r="U1262" s="54"/>
      <c r="V1262" s="54"/>
      <c r="W1262" s="54"/>
      <c r="X1262" s="69" t="str">
        <f t="shared" si="84"/>
        <v>D</v>
      </c>
    </row>
    <row r="1263" spans="1:24" s="66" customFormat="1" x14ac:dyDescent="0.25">
      <c r="A1263" s="51"/>
      <c r="B1263" s="91" t="str">
        <f>IFERROR(VLOOKUP(A1263,Lookup!A:B,2,0),"")</f>
        <v/>
      </c>
      <c r="C1263" s="92" t="str">
        <f>IFERROR(VLOOKUP(A1263,Lookup!A:C,3,0),"")</f>
        <v/>
      </c>
      <c r="D1263" s="54"/>
      <c r="E1263" s="54"/>
      <c r="F1263" s="54"/>
      <c r="G1263" s="72"/>
      <c r="H1263" s="54"/>
      <c r="I1263" s="54"/>
      <c r="J1263" s="106">
        <f>VLOOKUP(A1263&amp;G1263,Lookup!J:N,5,0)</f>
        <v>0</v>
      </c>
      <c r="K1263" s="115"/>
      <c r="L1263" s="54"/>
      <c r="M1263" s="54"/>
      <c r="N1263" s="54"/>
      <c r="O1263" s="112">
        <v>52.3506944444444</v>
      </c>
      <c r="P1263" s="110" t="str">
        <f t="shared" si="83"/>
        <v/>
      </c>
      <c r="Q1263" s="54"/>
      <c r="R1263" s="58"/>
      <c r="S1263" s="87" t="str">
        <f t="shared" si="85"/>
        <v/>
      </c>
      <c r="T1263" s="54"/>
      <c r="U1263" s="54"/>
      <c r="V1263" s="54"/>
      <c r="W1263" s="54"/>
      <c r="X1263" s="69" t="str">
        <f t="shared" si="84"/>
        <v>D</v>
      </c>
    </row>
    <row r="1264" spans="1:24" s="66" customFormat="1" x14ac:dyDescent="0.25">
      <c r="A1264" s="51"/>
      <c r="B1264" s="91" t="str">
        <f>IFERROR(VLOOKUP(A1264,Lookup!A:B,2,0),"")</f>
        <v/>
      </c>
      <c r="C1264" s="92" t="str">
        <f>IFERROR(VLOOKUP(A1264,Lookup!A:C,3,0),"")</f>
        <v/>
      </c>
      <c r="D1264" s="54"/>
      <c r="E1264" s="54"/>
      <c r="F1264" s="54"/>
      <c r="G1264" s="72"/>
      <c r="H1264" s="54"/>
      <c r="I1264" s="54"/>
      <c r="J1264" s="106">
        <f>VLOOKUP(A1264&amp;G1264,Lookup!J:N,5,0)</f>
        <v>0</v>
      </c>
      <c r="K1264" s="115"/>
      <c r="L1264" s="54"/>
      <c r="M1264" s="54"/>
      <c r="N1264" s="54"/>
      <c r="O1264" s="112">
        <v>52.3923611111111</v>
      </c>
      <c r="P1264" s="110" t="str">
        <f t="shared" si="83"/>
        <v/>
      </c>
      <c r="Q1264" s="54"/>
      <c r="R1264" s="58"/>
      <c r="S1264" s="87" t="str">
        <f t="shared" si="85"/>
        <v/>
      </c>
      <c r="T1264" s="54"/>
      <c r="U1264" s="54"/>
      <c r="V1264" s="54"/>
      <c r="W1264" s="54"/>
      <c r="X1264" s="69" t="str">
        <f t="shared" si="84"/>
        <v>D</v>
      </c>
    </row>
    <row r="1265" spans="1:24" s="66" customFormat="1" x14ac:dyDescent="0.25">
      <c r="A1265" s="51"/>
      <c r="B1265" s="91" t="str">
        <f>IFERROR(VLOOKUP(A1265,Lookup!A:B,2,0),"")</f>
        <v/>
      </c>
      <c r="C1265" s="92" t="str">
        <f>IFERROR(VLOOKUP(A1265,Lookup!A:C,3,0),"")</f>
        <v/>
      </c>
      <c r="D1265" s="54"/>
      <c r="E1265" s="54"/>
      <c r="F1265" s="54"/>
      <c r="G1265" s="72"/>
      <c r="H1265" s="54"/>
      <c r="I1265" s="54"/>
      <c r="J1265" s="106">
        <f>VLOOKUP(A1265&amp;G1265,Lookup!J:N,5,0)</f>
        <v>0</v>
      </c>
      <c r="K1265" s="115"/>
      <c r="L1265" s="54"/>
      <c r="M1265" s="54"/>
      <c r="N1265" s="54"/>
      <c r="O1265" s="112">
        <v>52.4340277777778</v>
      </c>
      <c r="P1265" s="110" t="str">
        <f t="shared" si="83"/>
        <v/>
      </c>
      <c r="Q1265" s="54"/>
      <c r="R1265" s="58"/>
      <c r="S1265" s="87" t="str">
        <f t="shared" si="85"/>
        <v/>
      </c>
      <c r="T1265" s="54"/>
      <c r="U1265" s="54"/>
      <c r="V1265" s="54"/>
      <c r="W1265" s="54"/>
      <c r="X1265" s="69" t="str">
        <f t="shared" si="84"/>
        <v>D</v>
      </c>
    </row>
    <row r="1266" spans="1:24" s="66" customFormat="1" x14ac:dyDescent="0.25">
      <c r="A1266" s="51"/>
      <c r="B1266" s="91" t="str">
        <f>IFERROR(VLOOKUP(A1266,Lookup!A:B,2,0),"")</f>
        <v/>
      </c>
      <c r="C1266" s="92" t="str">
        <f>IFERROR(VLOOKUP(A1266,Lookup!A:C,3,0),"")</f>
        <v/>
      </c>
      <c r="D1266" s="54"/>
      <c r="E1266" s="54"/>
      <c r="F1266" s="54"/>
      <c r="G1266" s="72"/>
      <c r="H1266" s="54"/>
      <c r="I1266" s="54"/>
      <c r="J1266" s="106">
        <f>VLOOKUP(A1266&amp;G1266,Lookup!J:N,5,0)</f>
        <v>0</v>
      </c>
      <c r="K1266" s="115"/>
      <c r="L1266" s="54"/>
      <c r="M1266" s="54"/>
      <c r="N1266" s="54"/>
      <c r="O1266" s="112">
        <v>52.4756944444444</v>
      </c>
      <c r="P1266" s="110" t="str">
        <f t="shared" si="83"/>
        <v/>
      </c>
      <c r="Q1266" s="54"/>
      <c r="R1266" s="58"/>
      <c r="S1266" s="87" t="str">
        <f t="shared" si="85"/>
        <v/>
      </c>
      <c r="T1266" s="54"/>
      <c r="U1266" s="54"/>
      <c r="V1266" s="54"/>
      <c r="W1266" s="54"/>
      <c r="X1266" s="69" t="str">
        <f t="shared" si="84"/>
        <v>D</v>
      </c>
    </row>
    <row r="1267" spans="1:24" s="66" customFormat="1" x14ac:dyDescent="0.25">
      <c r="A1267" s="51"/>
      <c r="B1267" s="91" t="str">
        <f>IFERROR(VLOOKUP(A1267,Lookup!A:B,2,0),"")</f>
        <v/>
      </c>
      <c r="C1267" s="92" t="str">
        <f>IFERROR(VLOOKUP(A1267,Lookup!A:C,3,0),"")</f>
        <v/>
      </c>
      <c r="D1267" s="54"/>
      <c r="E1267" s="54"/>
      <c r="F1267" s="54"/>
      <c r="G1267" s="72"/>
      <c r="H1267" s="54"/>
      <c r="I1267" s="54"/>
      <c r="J1267" s="106">
        <f>VLOOKUP(A1267&amp;G1267,Lookup!J:N,5,0)</f>
        <v>0</v>
      </c>
      <c r="K1267" s="115"/>
      <c r="L1267" s="54"/>
      <c r="M1267" s="54"/>
      <c r="N1267" s="54"/>
      <c r="O1267" s="112">
        <v>52.5173611111111</v>
      </c>
      <c r="P1267" s="110" t="str">
        <f t="shared" si="83"/>
        <v/>
      </c>
      <c r="Q1267" s="54"/>
      <c r="R1267" s="58"/>
      <c r="S1267" s="87" t="str">
        <f t="shared" si="85"/>
        <v/>
      </c>
      <c r="T1267" s="54"/>
      <c r="U1267" s="54"/>
      <c r="V1267" s="54"/>
      <c r="W1267" s="54"/>
      <c r="X1267" s="69" t="str">
        <f t="shared" si="84"/>
        <v>D</v>
      </c>
    </row>
    <row r="1268" spans="1:24" s="66" customFormat="1" x14ac:dyDescent="0.25">
      <c r="A1268" s="51"/>
      <c r="B1268" s="91" t="str">
        <f>IFERROR(VLOOKUP(A1268,Lookup!A:B,2,0),"")</f>
        <v/>
      </c>
      <c r="C1268" s="92" t="str">
        <f>IFERROR(VLOOKUP(A1268,Lookup!A:C,3,0),"")</f>
        <v/>
      </c>
      <c r="D1268" s="54"/>
      <c r="E1268" s="54"/>
      <c r="F1268" s="54"/>
      <c r="G1268" s="72"/>
      <c r="H1268" s="54"/>
      <c r="I1268" s="54"/>
      <c r="J1268" s="106">
        <f>VLOOKUP(A1268&amp;G1268,Lookup!J:N,5,0)</f>
        <v>0</v>
      </c>
      <c r="K1268" s="115"/>
      <c r="L1268" s="54"/>
      <c r="M1268" s="54"/>
      <c r="N1268" s="54"/>
      <c r="O1268" s="112">
        <v>52.5590277777778</v>
      </c>
      <c r="P1268" s="110" t="str">
        <f t="shared" si="83"/>
        <v/>
      </c>
      <c r="Q1268" s="54"/>
      <c r="R1268" s="58"/>
      <c r="S1268" s="87" t="str">
        <f t="shared" si="85"/>
        <v/>
      </c>
      <c r="T1268" s="54"/>
      <c r="U1268" s="54"/>
      <c r="V1268" s="54"/>
      <c r="W1268" s="54"/>
      <c r="X1268" s="69" t="str">
        <f t="shared" si="84"/>
        <v>D</v>
      </c>
    </row>
    <row r="1269" spans="1:24" s="66" customFormat="1" x14ac:dyDescent="0.25">
      <c r="A1269" s="51"/>
      <c r="B1269" s="91" t="str">
        <f>IFERROR(VLOOKUP(A1269,Lookup!A:B,2,0),"")</f>
        <v/>
      </c>
      <c r="C1269" s="92" t="str">
        <f>IFERROR(VLOOKUP(A1269,Lookup!A:C,3,0),"")</f>
        <v/>
      </c>
      <c r="D1269" s="54"/>
      <c r="E1269" s="54"/>
      <c r="F1269" s="54"/>
      <c r="G1269" s="72"/>
      <c r="H1269" s="54"/>
      <c r="I1269" s="54"/>
      <c r="J1269" s="106">
        <f>VLOOKUP(A1269&amp;G1269,Lookup!J:N,5,0)</f>
        <v>0</v>
      </c>
      <c r="K1269" s="115"/>
      <c r="L1269" s="54"/>
      <c r="M1269" s="54"/>
      <c r="N1269" s="54"/>
      <c r="O1269" s="112">
        <v>52.6006944444444</v>
      </c>
      <c r="P1269" s="110" t="str">
        <f t="shared" si="83"/>
        <v/>
      </c>
      <c r="Q1269" s="54"/>
      <c r="R1269" s="58"/>
      <c r="S1269" s="87" t="str">
        <f t="shared" si="85"/>
        <v/>
      </c>
      <c r="T1269" s="54"/>
      <c r="U1269" s="54"/>
      <c r="V1269" s="54"/>
      <c r="W1269" s="54"/>
      <c r="X1269" s="69" t="str">
        <f t="shared" si="84"/>
        <v>D</v>
      </c>
    </row>
    <row r="1270" spans="1:24" s="66" customFormat="1" x14ac:dyDescent="0.25">
      <c r="A1270" s="51"/>
      <c r="B1270" s="91" t="str">
        <f>IFERROR(VLOOKUP(A1270,Lookup!A:B,2,0),"")</f>
        <v/>
      </c>
      <c r="C1270" s="92" t="str">
        <f>IFERROR(VLOOKUP(A1270,Lookup!A:C,3,0),"")</f>
        <v/>
      </c>
      <c r="D1270" s="54"/>
      <c r="E1270" s="54"/>
      <c r="F1270" s="54"/>
      <c r="G1270" s="72"/>
      <c r="H1270" s="54"/>
      <c r="I1270" s="54"/>
      <c r="J1270" s="106">
        <f>VLOOKUP(A1270&amp;G1270,Lookup!J:N,5,0)</f>
        <v>0</v>
      </c>
      <c r="K1270" s="115"/>
      <c r="L1270" s="54"/>
      <c r="M1270" s="54"/>
      <c r="N1270" s="54"/>
      <c r="O1270" s="112">
        <v>52.6423611111111</v>
      </c>
      <c r="P1270" s="110" t="str">
        <f t="shared" si="83"/>
        <v/>
      </c>
      <c r="Q1270" s="54"/>
      <c r="R1270" s="58"/>
      <c r="S1270" s="87" t="str">
        <f t="shared" si="85"/>
        <v/>
      </c>
      <c r="T1270" s="54"/>
      <c r="U1270" s="54"/>
      <c r="V1270" s="54"/>
      <c r="W1270" s="54"/>
      <c r="X1270" s="69" t="str">
        <f t="shared" si="84"/>
        <v>D</v>
      </c>
    </row>
    <row r="1271" spans="1:24" s="66" customFormat="1" x14ac:dyDescent="0.25">
      <c r="A1271" s="51"/>
      <c r="B1271" s="91" t="str">
        <f>IFERROR(VLOOKUP(A1271,Lookup!A:B,2,0),"")</f>
        <v/>
      </c>
      <c r="C1271" s="92" t="str">
        <f>IFERROR(VLOOKUP(A1271,Lookup!A:C,3,0),"")</f>
        <v/>
      </c>
      <c r="D1271" s="54"/>
      <c r="E1271" s="54"/>
      <c r="F1271" s="54"/>
      <c r="G1271" s="72"/>
      <c r="H1271" s="54"/>
      <c r="I1271" s="54"/>
      <c r="J1271" s="106">
        <f>VLOOKUP(A1271&amp;G1271,Lookup!J:N,5,0)</f>
        <v>0</v>
      </c>
      <c r="K1271" s="115"/>
      <c r="L1271" s="54"/>
      <c r="M1271" s="54"/>
      <c r="N1271" s="54"/>
      <c r="O1271" s="112">
        <v>52.6840277777778</v>
      </c>
      <c r="P1271" s="110" t="str">
        <f t="shared" si="83"/>
        <v/>
      </c>
      <c r="Q1271" s="54"/>
      <c r="R1271" s="58"/>
      <c r="S1271" s="87" t="str">
        <f t="shared" si="85"/>
        <v/>
      </c>
      <c r="T1271" s="54"/>
      <c r="U1271" s="54"/>
      <c r="V1271" s="54"/>
      <c r="W1271" s="54"/>
      <c r="X1271" s="69" t="str">
        <f t="shared" si="84"/>
        <v>D</v>
      </c>
    </row>
    <row r="1272" spans="1:24" s="66" customFormat="1" x14ac:dyDescent="0.25">
      <c r="A1272" s="51"/>
      <c r="B1272" s="91" t="str">
        <f>IFERROR(VLOOKUP(A1272,Lookup!A:B,2,0),"")</f>
        <v/>
      </c>
      <c r="C1272" s="92" t="str">
        <f>IFERROR(VLOOKUP(A1272,Lookup!A:C,3,0),"")</f>
        <v/>
      </c>
      <c r="D1272" s="54"/>
      <c r="E1272" s="54"/>
      <c r="F1272" s="54"/>
      <c r="G1272" s="72"/>
      <c r="H1272" s="54"/>
      <c r="I1272" s="54"/>
      <c r="J1272" s="106">
        <f>VLOOKUP(A1272&amp;G1272,Lookup!J:N,5,0)</f>
        <v>0</v>
      </c>
      <c r="K1272" s="115"/>
      <c r="L1272" s="54"/>
      <c r="M1272" s="54"/>
      <c r="N1272" s="54"/>
      <c r="O1272" s="112">
        <v>52.7256944444444</v>
      </c>
      <c r="P1272" s="110" t="str">
        <f t="shared" si="83"/>
        <v/>
      </c>
      <c r="Q1272" s="54"/>
      <c r="R1272" s="58"/>
      <c r="S1272" s="87" t="str">
        <f t="shared" si="85"/>
        <v/>
      </c>
      <c r="T1272" s="54"/>
      <c r="U1272" s="54"/>
      <c r="V1272" s="54"/>
      <c r="W1272" s="54"/>
      <c r="X1272" s="69" t="str">
        <f t="shared" si="84"/>
        <v>D</v>
      </c>
    </row>
    <row r="1273" spans="1:24" s="66" customFormat="1" x14ac:dyDescent="0.25">
      <c r="A1273" s="51"/>
      <c r="B1273" s="91" t="str">
        <f>IFERROR(VLOOKUP(A1273,Lookup!A:B,2,0),"")</f>
        <v/>
      </c>
      <c r="C1273" s="92" t="str">
        <f>IFERROR(VLOOKUP(A1273,Lookup!A:C,3,0),"")</f>
        <v/>
      </c>
      <c r="D1273" s="54"/>
      <c r="E1273" s="54"/>
      <c r="F1273" s="54"/>
      <c r="G1273" s="72"/>
      <c r="H1273" s="54"/>
      <c r="I1273" s="54"/>
      <c r="J1273" s="106">
        <f>VLOOKUP(A1273&amp;G1273,Lookup!J:N,5,0)</f>
        <v>0</v>
      </c>
      <c r="K1273" s="115"/>
      <c r="L1273" s="54"/>
      <c r="M1273" s="54"/>
      <c r="N1273" s="54"/>
      <c r="O1273" s="112">
        <v>52.7673611111111</v>
      </c>
      <c r="P1273" s="110" t="str">
        <f t="shared" si="83"/>
        <v/>
      </c>
      <c r="Q1273" s="54"/>
      <c r="R1273" s="58"/>
      <c r="S1273" s="87" t="str">
        <f t="shared" si="85"/>
        <v/>
      </c>
      <c r="T1273" s="54"/>
      <c r="U1273" s="54"/>
      <c r="V1273" s="54"/>
      <c r="W1273" s="54"/>
      <c r="X1273" s="69" t="str">
        <f t="shared" si="84"/>
        <v>D</v>
      </c>
    </row>
    <row r="1274" spans="1:24" s="66" customFormat="1" x14ac:dyDescent="0.25">
      <c r="A1274" s="51"/>
      <c r="B1274" s="91" t="str">
        <f>IFERROR(VLOOKUP(A1274,Lookup!A:B,2,0),"")</f>
        <v/>
      </c>
      <c r="C1274" s="92" t="str">
        <f>IFERROR(VLOOKUP(A1274,Lookup!A:C,3,0),"")</f>
        <v/>
      </c>
      <c r="D1274" s="54"/>
      <c r="E1274" s="54"/>
      <c r="F1274" s="54"/>
      <c r="G1274" s="72"/>
      <c r="H1274" s="54"/>
      <c r="I1274" s="54"/>
      <c r="J1274" s="106">
        <f>VLOOKUP(A1274&amp;G1274,Lookup!J:N,5,0)</f>
        <v>0</v>
      </c>
      <c r="K1274" s="115"/>
      <c r="L1274" s="54"/>
      <c r="M1274" s="54"/>
      <c r="N1274" s="54"/>
      <c r="O1274" s="112">
        <v>52.8090277777778</v>
      </c>
      <c r="P1274" s="110" t="str">
        <f t="shared" si="83"/>
        <v/>
      </c>
      <c r="Q1274" s="54"/>
      <c r="R1274" s="58"/>
      <c r="S1274" s="87" t="str">
        <f t="shared" si="85"/>
        <v/>
      </c>
      <c r="T1274" s="54"/>
      <c r="U1274" s="54"/>
      <c r="V1274" s="54"/>
      <c r="W1274" s="54"/>
      <c r="X1274" s="69" t="str">
        <f t="shared" si="84"/>
        <v>D</v>
      </c>
    </row>
    <row r="1275" spans="1:24" s="66" customFormat="1" x14ac:dyDescent="0.25">
      <c r="A1275" s="51"/>
      <c r="B1275" s="91" t="str">
        <f>IFERROR(VLOOKUP(A1275,Lookup!A:B,2,0),"")</f>
        <v/>
      </c>
      <c r="C1275" s="92" t="str">
        <f>IFERROR(VLOOKUP(A1275,Lookup!A:C,3,0),"")</f>
        <v/>
      </c>
      <c r="D1275" s="54"/>
      <c r="E1275" s="54"/>
      <c r="F1275" s="54"/>
      <c r="G1275" s="72"/>
      <c r="H1275" s="54"/>
      <c r="I1275" s="54"/>
      <c r="J1275" s="106">
        <f>VLOOKUP(A1275&amp;G1275,Lookup!J:N,5,0)</f>
        <v>0</v>
      </c>
      <c r="K1275" s="115"/>
      <c r="L1275" s="54"/>
      <c r="M1275" s="54"/>
      <c r="N1275" s="54"/>
      <c r="O1275" s="112">
        <v>52.8506944444444</v>
      </c>
      <c r="P1275" s="110" t="str">
        <f t="shared" si="83"/>
        <v/>
      </c>
      <c r="Q1275" s="54"/>
      <c r="R1275" s="58"/>
      <c r="S1275" s="87" t="str">
        <f t="shared" si="85"/>
        <v/>
      </c>
      <c r="T1275" s="54"/>
      <c r="U1275" s="54"/>
      <c r="V1275" s="54"/>
      <c r="W1275" s="54"/>
      <c r="X1275" s="69" t="str">
        <f t="shared" si="84"/>
        <v>D</v>
      </c>
    </row>
    <row r="1276" spans="1:24" s="66" customFormat="1" x14ac:dyDescent="0.25">
      <c r="A1276" s="51"/>
      <c r="B1276" s="91" t="str">
        <f>IFERROR(VLOOKUP(A1276,Lookup!A:B,2,0),"")</f>
        <v/>
      </c>
      <c r="C1276" s="92" t="str">
        <f>IFERROR(VLOOKUP(A1276,Lookup!A:C,3,0),"")</f>
        <v/>
      </c>
      <c r="D1276" s="54"/>
      <c r="E1276" s="54"/>
      <c r="F1276" s="54"/>
      <c r="G1276" s="72"/>
      <c r="H1276" s="54"/>
      <c r="I1276" s="54"/>
      <c r="J1276" s="106">
        <f>VLOOKUP(A1276&amp;G1276,Lookup!J:N,5,0)</f>
        <v>0</v>
      </c>
      <c r="K1276" s="115"/>
      <c r="L1276" s="54"/>
      <c r="M1276" s="54"/>
      <c r="N1276" s="54"/>
      <c r="O1276" s="112">
        <v>52.8923611111111</v>
      </c>
      <c r="P1276" s="110" t="str">
        <f t="shared" si="83"/>
        <v/>
      </c>
      <c r="Q1276" s="54"/>
      <c r="R1276" s="58"/>
      <c r="S1276" s="87" t="str">
        <f t="shared" si="85"/>
        <v/>
      </c>
      <c r="T1276" s="54"/>
      <c r="U1276" s="54"/>
      <c r="V1276" s="54"/>
      <c r="W1276" s="54"/>
      <c r="X1276" s="69" t="str">
        <f t="shared" si="84"/>
        <v>D</v>
      </c>
    </row>
    <row r="1277" spans="1:24" s="66" customFormat="1" x14ac:dyDescent="0.25">
      <c r="A1277" s="51"/>
      <c r="B1277" s="91" t="str">
        <f>IFERROR(VLOOKUP(A1277,Lookup!A:B,2,0),"")</f>
        <v/>
      </c>
      <c r="C1277" s="92" t="str">
        <f>IFERROR(VLOOKUP(A1277,Lookup!A:C,3,0),"")</f>
        <v/>
      </c>
      <c r="D1277" s="54"/>
      <c r="E1277" s="54"/>
      <c r="F1277" s="54"/>
      <c r="G1277" s="72"/>
      <c r="H1277" s="54"/>
      <c r="I1277" s="54"/>
      <c r="J1277" s="106">
        <f>VLOOKUP(A1277&amp;G1277,Lookup!J:N,5,0)</f>
        <v>0</v>
      </c>
      <c r="K1277" s="115"/>
      <c r="L1277" s="54"/>
      <c r="M1277" s="54"/>
      <c r="N1277" s="54"/>
      <c r="O1277" s="112">
        <v>52.9340277777778</v>
      </c>
      <c r="P1277" s="110" t="str">
        <f t="shared" si="83"/>
        <v/>
      </c>
      <c r="Q1277" s="54"/>
      <c r="R1277" s="58"/>
      <c r="S1277" s="87" t="str">
        <f t="shared" si="85"/>
        <v/>
      </c>
      <c r="T1277" s="54"/>
      <c r="U1277" s="54"/>
      <c r="V1277" s="54"/>
      <c r="W1277" s="54"/>
      <c r="X1277" s="69" t="str">
        <f t="shared" si="84"/>
        <v>D</v>
      </c>
    </row>
    <row r="1278" spans="1:24" s="66" customFormat="1" x14ac:dyDescent="0.25">
      <c r="A1278" s="51"/>
      <c r="B1278" s="91" t="str">
        <f>IFERROR(VLOOKUP(A1278,Lookup!A:B,2,0),"")</f>
        <v/>
      </c>
      <c r="C1278" s="92" t="str">
        <f>IFERROR(VLOOKUP(A1278,Lookup!A:C,3,0),"")</f>
        <v/>
      </c>
      <c r="D1278" s="54"/>
      <c r="E1278" s="54"/>
      <c r="F1278" s="54"/>
      <c r="G1278" s="72"/>
      <c r="H1278" s="54"/>
      <c r="I1278" s="54"/>
      <c r="J1278" s="106">
        <f>VLOOKUP(A1278&amp;G1278,Lookup!J:N,5,0)</f>
        <v>0</v>
      </c>
      <c r="K1278" s="115"/>
      <c r="L1278" s="54"/>
      <c r="M1278" s="54"/>
      <c r="N1278" s="54"/>
      <c r="O1278" s="112">
        <v>52.9756944444444</v>
      </c>
      <c r="P1278" s="110" t="str">
        <f t="shared" si="83"/>
        <v/>
      </c>
      <c r="Q1278" s="54"/>
      <c r="R1278" s="58"/>
      <c r="S1278" s="87" t="str">
        <f t="shared" si="85"/>
        <v/>
      </c>
      <c r="T1278" s="54"/>
      <c r="U1278" s="54"/>
      <c r="V1278" s="54"/>
      <c r="W1278" s="54"/>
      <c r="X1278" s="69" t="str">
        <f t="shared" si="84"/>
        <v>D</v>
      </c>
    </row>
    <row r="1279" spans="1:24" s="66" customFormat="1" x14ac:dyDescent="0.25">
      <c r="A1279" s="51"/>
      <c r="B1279" s="91" t="str">
        <f>IFERROR(VLOOKUP(A1279,Lookup!A:B,2,0),"")</f>
        <v/>
      </c>
      <c r="C1279" s="92" t="str">
        <f>IFERROR(VLOOKUP(A1279,Lookup!A:C,3,0),"")</f>
        <v/>
      </c>
      <c r="D1279" s="54"/>
      <c r="E1279" s="54"/>
      <c r="F1279" s="54"/>
      <c r="G1279" s="72"/>
      <c r="H1279" s="54"/>
      <c r="I1279" s="54"/>
      <c r="J1279" s="106">
        <f>VLOOKUP(A1279&amp;G1279,Lookup!J:N,5,0)</f>
        <v>0</v>
      </c>
      <c r="K1279" s="115"/>
      <c r="L1279" s="54"/>
      <c r="M1279" s="54"/>
      <c r="N1279" s="54"/>
      <c r="O1279" s="112">
        <v>53.0173611111111</v>
      </c>
      <c r="P1279" s="110" t="str">
        <f t="shared" si="83"/>
        <v/>
      </c>
      <c r="Q1279" s="54"/>
      <c r="R1279" s="58"/>
      <c r="S1279" s="87" t="str">
        <f t="shared" si="85"/>
        <v/>
      </c>
      <c r="T1279" s="54"/>
      <c r="U1279" s="54"/>
      <c r="V1279" s="54"/>
      <c r="W1279" s="54"/>
      <c r="X1279" s="69" t="str">
        <f t="shared" si="84"/>
        <v>D</v>
      </c>
    </row>
    <row r="1280" spans="1:24" s="66" customFormat="1" x14ac:dyDescent="0.25">
      <c r="A1280" s="51"/>
      <c r="B1280" s="91" t="str">
        <f>IFERROR(VLOOKUP(A1280,Lookup!A:B,2,0),"")</f>
        <v/>
      </c>
      <c r="C1280" s="92" t="str">
        <f>IFERROR(VLOOKUP(A1280,Lookup!A:C,3,0),"")</f>
        <v/>
      </c>
      <c r="D1280" s="54"/>
      <c r="E1280" s="54"/>
      <c r="F1280" s="54"/>
      <c r="G1280" s="72"/>
      <c r="H1280" s="54"/>
      <c r="I1280" s="54"/>
      <c r="J1280" s="106">
        <f>VLOOKUP(A1280&amp;G1280,Lookup!J:N,5,0)</f>
        <v>0</v>
      </c>
      <c r="K1280" s="115"/>
      <c r="L1280" s="54"/>
      <c r="M1280" s="54"/>
      <c r="N1280" s="54"/>
      <c r="O1280" s="112">
        <v>53.0590277777778</v>
      </c>
      <c r="P1280" s="110" t="str">
        <f t="shared" si="83"/>
        <v/>
      </c>
      <c r="Q1280" s="54"/>
      <c r="R1280" s="58"/>
      <c r="S1280" s="87" t="str">
        <f t="shared" si="85"/>
        <v/>
      </c>
      <c r="T1280" s="54"/>
      <c r="U1280" s="54"/>
      <c r="V1280" s="54"/>
      <c r="W1280" s="54"/>
      <c r="X1280" s="69" t="str">
        <f t="shared" si="84"/>
        <v>D</v>
      </c>
    </row>
    <row r="1281" spans="1:24" s="66" customFormat="1" x14ac:dyDescent="0.25">
      <c r="A1281" s="51"/>
      <c r="B1281" s="91" t="str">
        <f>IFERROR(VLOOKUP(A1281,Lookup!A:B,2,0),"")</f>
        <v/>
      </c>
      <c r="C1281" s="92" t="str">
        <f>IFERROR(VLOOKUP(A1281,Lookup!A:C,3,0),"")</f>
        <v/>
      </c>
      <c r="D1281" s="54"/>
      <c r="E1281" s="54"/>
      <c r="F1281" s="54"/>
      <c r="G1281" s="72"/>
      <c r="H1281" s="54"/>
      <c r="I1281" s="54"/>
      <c r="J1281" s="106">
        <f>VLOOKUP(A1281&amp;G1281,Lookup!J:N,5,0)</f>
        <v>0</v>
      </c>
      <c r="K1281" s="115"/>
      <c r="L1281" s="54"/>
      <c r="M1281" s="54"/>
      <c r="N1281" s="54"/>
      <c r="O1281" s="112">
        <v>53.1006944444444</v>
      </c>
      <c r="P1281" s="110" t="str">
        <f t="shared" si="83"/>
        <v/>
      </c>
      <c r="Q1281" s="54"/>
      <c r="R1281" s="58"/>
      <c r="S1281" s="87" t="str">
        <f t="shared" si="85"/>
        <v/>
      </c>
      <c r="T1281" s="54"/>
      <c r="U1281" s="54"/>
      <c r="V1281" s="54"/>
      <c r="W1281" s="54"/>
      <c r="X1281" s="69" t="str">
        <f t="shared" si="84"/>
        <v>D</v>
      </c>
    </row>
    <row r="1282" spans="1:24" s="66" customFormat="1" x14ac:dyDescent="0.25">
      <c r="A1282" s="51"/>
      <c r="B1282" s="91" t="str">
        <f>IFERROR(VLOOKUP(A1282,Lookup!A:B,2,0),"")</f>
        <v/>
      </c>
      <c r="C1282" s="92" t="str">
        <f>IFERROR(VLOOKUP(A1282,Lookup!A:C,3,0),"")</f>
        <v/>
      </c>
      <c r="D1282" s="54"/>
      <c r="E1282" s="54"/>
      <c r="F1282" s="54"/>
      <c r="G1282" s="72"/>
      <c r="H1282" s="54"/>
      <c r="I1282" s="54"/>
      <c r="J1282" s="106">
        <f>VLOOKUP(A1282&amp;G1282,Lookup!J:N,5,0)</f>
        <v>0</v>
      </c>
      <c r="K1282" s="115"/>
      <c r="L1282" s="54"/>
      <c r="M1282" s="54"/>
      <c r="N1282" s="54"/>
      <c r="O1282" s="112">
        <v>53.1423611111111</v>
      </c>
      <c r="P1282" s="110" t="str">
        <f t="shared" si="83"/>
        <v/>
      </c>
      <c r="Q1282" s="54"/>
      <c r="R1282" s="58"/>
      <c r="S1282" s="87" t="str">
        <f t="shared" si="85"/>
        <v/>
      </c>
      <c r="T1282" s="54"/>
      <c r="U1282" s="54"/>
      <c r="V1282" s="54"/>
      <c r="W1282" s="54"/>
      <c r="X1282" s="69" t="str">
        <f t="shared" si="84"/>
        <v>D</v>
      </c>
    </row>
    <row r="1283" spans="1:24" s="66" customFormat="1" x14ac:dyDescent="0.25">
      <c r="A1283" s="51"/>
      <c r="B1283" s="91" t="str">
        <f>IFERROR(VLOOKUP(A1283,Lookup!A:B,2,0),"")</f>
        <v/>
      </c>
      <c r="C1283" s="92" t="str">
        <f>IFERROR(VLOOKUP(A1283,Lookup!A:C,3,0),"")</f>
        <v/>
      </c>
      <c r="D1283" s="54"/>
      <c r="E1283" s="54"/>
      <c r="F1283" s="54"/>
      <c r="G1283" s="72"/>
      <c r="H1283" s="54"/>
      <c r="I1283" s="54"/>
      <c r="J1283" s="106">
        <f>VLOOKUP(A1283&amp;G1283,Lookup!J:N,5,0)</f>
        <v>0</v>
      </c>
      <c r="K1283" s="115"/>
      <c r="L1283" s="54"/>
      <c r="M1283" s="54"/>
      <c r="N1283" s="54"/>
      <c r="O1283" s="112">
        <v>53.1840277777778</v>
      </c>
      <c r="P1283" s="110" t="str">
        <f t="shared" ref="P1283:P1346" si="86">IF(N1283="","",N1283+O1283)</f>
        <v/>
      </c>
      <c r="Q1283" s="54"/>
      <c r="R1283" s="58"/>
      <c r="S1283" s="87" t="str">
        <f t="shared" si="85"/>
        <v/>
      </c>
      <c r="T1283" s="54"/>
      <c r="U1283" s="54"/>
      <c r="V1283" s="54"/>
      <c r="W1283" s="54"/>
      <c r="X1283" s="69" t="str">
        <f t="shared" ref="X1283:X1346" si="87">IF(I1283="SET","A",IF(I1283="FREQ","C",IF(I1283="","D","B")))</f>
        <v>D</v>
      </c>
    </row>
    <row r="1284" spans="1:24" s="66" customFormat="1" x14ac:dyDescent="0.25">
      <c r="A1284" s="51"/>
      <c r="B1284" s="91" t="str">
        <f>IFERROR(VLOOKUP(A1284,Lookup!A:B,2,0),"")</f>
        <v/>
      </c>
      <c r="C1284" s="92" t="str">
        <f>IFERROR(VLOOKUP(A1284,Lookup!A:C,3,0),"")</f>
        <v/>
      </c>
      <c r="D1284" s="54"/>
      <c r="E1284" s="54"/>
      <c r="F1284" s="54"/>
      <c r="G1284" s="72"/>
      <c r="H1284" s="54"/>
      <c r="I1284" s="54"/>
      <c r="J1284" s="106">
        <f>VLOOKUP(A1284&amp;G1284,Lookup!J:N,5,0)</f>
        <v>0</v>
      </c>
      <c r="K1284" s="115"/>
      <c r="L1284" s="54"/>
      <c r="M1284" s="54"/>
      <c r="N1284" s="54"/>
      <c r="O1284" s="112">
        <v>53.2256944444444</v>
      </c>
      <c r="P1284" s="110" t="str">
        <f t="shared" si="86"/>
        <v/>
      </c>
      <c r="Q1284" s="54"/>
      <c r="R1284" s="58"/>
      <c r="S1284" s="87" t="str">
        <f t="shared" si="85"/>
        <v/>
      </c>
      <c r="T1284" s="54"/>
      <c r="U1284" s="54"/>
      <c r="V1284" s="54"/>
      <c r="W1284" s="54"/>
      <c r="X1284" s="69" t="str">
        <f t="shared" si="87"/>
        <v>D</v>
      </c>
    </row>
    <row r="1285" spans="1:24" s="66" customFormat="1" x14ac:dyDescent="0.25">
      <c r="A1285" s="51"/>
      <c r="B1285" s="91" t="str">
        <f>IFERROR(VLOOKUP(A1285,Lookup!A:B,2,0),"")</f>
        <v/>
      </c>
      <c r="C1285" s="92" t="str">
        <f>IFERROR(VLOOKUP(A1285,Lookup!A:C,3,0),"")</f>
        <v/>
      </c>
      <c r="D1285" s="54"/>
      <c r="E1285" s="54"/>
      <c r="F1285" s="54"/>
      <c r="G1285" s="72"/>
      <c r="H1285" s="54"/>
      <c r="I1285" s="54"/>
      <c r="J1285" s="106">
        <f>VLOOKUP(A1285&amp;G1285,Lookup!J:N,5,0)</f>
        <v>0</v>
      </c>
      <c r="K1285" s="115"/>
      <c r="L1285" s="54"/>
      <c r="M1285" s="54"/>
      <c r="N1285" s="54"/>
      <c r="O1285" s="112">
        <v>53.2673611111111</v>
      </c>
      <c r="P1285" s="110" t="str">
        <f t="shared" si="86"/>
        <v/>
      </c>
      <c r="Q1285" s="54"/>
      <c r="R1285" s="58"/>
      <c r="S1285" s="87" t="str">
        <f t="shared" si="85"/>
        <v/>
      </c>
      <c r="T1285" s="54"/>
      <c r="U1285" s="54"/>
      <c r="V1285" s="54"/>
      <c r="W1285" s="54"/>
      <c r="X1285" s="69" t="str">
        <f t="shared" si="87"/>
        <v>D</v>
      </c>
    </row>
    <row r="1286" spans="1:24" s="66" customFormat="1" x14ac:dyDescent="0.25">
      <c r="A1286" s="51"/>
      <c r="B1286" s="91" t="str">
        <f>IFERROR(VLOOKUP(A1286,Lookup!A:B,2,0),"")</f>
        <v/>
      </c>
      <c r="C1286" s="92" t="str">
        <f>IFERROR(VLOOKUP(A1286,Lookup!A:C,3,0),"")</f>
        <v/>
      </c>
      <c r="D1286" s="54"/>
      <c r="E1286" s="54"/>
      <c r="F1286" s="54"/>
      <c r="G1286" s="72"/>
      <c r="H1286" s="54"/>
      <c r="I1286" s="54"/>
      <c r="J1286" s="106">
        <f>VLOOKUP(A1286&amp;G1286,Lookup!J:N,5,0)</f>
        <v>0</v>
      </c>
      <c r="K1286" s="115"/>
      <c r="L1286" s="54"/>
      <c r="M1286" s="54"/>
      <c r="N1286" s="54"/>
      <c r="O1286" s="112">
        <v>53.3090277777778</v>
      </c>
      <c r="P1286" s="110" t="str">
        <f t="shared" si="86"/>
        <v/>
      </c>
      <c r="Q1286" s="54"/>
      <c r="R1286" s="58"/>
      <c r="S1286" s="87" t="str">
        <f t="shared" si="85"/>
        <v/>
      </c>
      <c r="T1286" s="54"/>
      <c r="U1286" s="54"/>
      <c r="V1286" s="54"/>
      <c r="W1286" s="54"/>
      <c r="X1286" s="69" t="str">
        <f t="shared" si="87"/>
        <v>D</v>
      </c>
    </row>
    <row r="1287" spans="1:24" s="66" customFormat="1" x14ac:dyDescent="0.25">
      <c r="A1287" s="51"/>
      <c r="B1287" s="91" t="str">
        <f>IFERROR(VLOOKUP(A1287,Lookup!A:B,2,0),"")</f>
        <v/>
      </c>
      <c r="C1287" s="92" t="str">
        <f>IFERROR(VLOOKUP(A1287,Lookup!A:C,3,0),"")</f>
        <v/>
      </c>
      <c r="D1287" s="54"/>
      <c r="E1287" s="54"/>
      <c r="F1287" s="54"/>
      <c r="G1287" s="72"/>
      <c r="H1287" s="54"/>
      <c r="I1287" s="54"/>
      <c r="J1287" s="106">
        <f>VLOOKUP(A1287&amp;G1287,Lookup!J:N,5,0)</f>
        <v>0</v>
      </c>
      <c r="K1287" s="115"/>
      <c r="L1287" s="54"/>
      <c r="M1287" s="54"/>
      <c r="N1287" s="54"/>
      <c r="O1287" s="112">
        <v>53.3506944444444</v>
      </c>
      <c r="P1287" s="110" t="str">
        <f t="shared" si="86"/>
        <v/>
      </c>
      <c r="Q1287" s="54"/>
      <c r="R1287" s="58"/>
      <c r="S1287" s="87" t="str">
        <f t="shared" ref="S1287:S1350" si="88">IF(OR(EXACT(Q1287,""), EXACT(L1287,"")),"",Q1287-L1287)</f>
        <v/>
      </c>
      <c r="T1287" s="54"/>
      <c r="U1287" s="54"/>
      <c r="V1287" s="54"/>
      <c r="W1287" s="54"/>
      <c r="X1287" s="69" t="str">
        <f t="shared" si="87"/>
        <v>D</v>
      </c>
    </row>
    <row r="1288" spans="1:24" s="66" customFormat="1" x14ac:dyDescent="0.25">
      <c r="A1288" s="51"/>
      <c r="B1288" s="91" t="str">
        <f>IFERROR(VLOOKUP(A1288,Lookup!A:B,2,0),"")</f>
        <v/>
      </c>
      <c r="C1288" s="92" t="str">
        <f>IFERROR(VLOOKUP(A1288,Lookup!A:C,3,0),"")</f>
        <v/>
      </c>
      <c r="D1288" s="54"/>
      <c r="E1288" s="54"/>
      <c r="F1288" s="54"/>
      <c r="G1288" s="72"/>
      <c r="H1288" s="54"/>
      <c r="I1288" s="54"/>
      <c r="J1288" s="106">
        <f>VLOOKUP(A1288&amp;G1288,Lookup!J:N,5,0)</f>
        <v>0</v>
      </c>
      <c r="K1288" s="115"/>
      <c r="L1288" s="54"/>
      <c r="M1288" s="54"/>
      <c r="N1288" s="54"/>
      <c r="O1288" s="112">
        <v>53.3923611111111</v>
      </c>
      <c r="P1288" s="110" t="str">
        <f t="shared" si="86"/>
        <v/>
      </c>
      <c r="Q1288" s="54"/>
      <c r="R1288" s="58"/>
      <c r="S1288" s="87" t="str">
        <f t="shared" si="88"/>
        <v/>
      </c>
      <c r="T1288" s="54"/>
      <c r="U1288" s="54"/>
      <c r="V1288" s="54"/>
      <c r="W1288" s="54"/>
      <c r="X1288" s="69" t="str">
        <f t="shared" si="87"/>
        <v>D</v>
      </c>
    </row>
    <row r="1289" spans="1:24" s="66" customFormat="1" x14ac:dyDescent="0.25">
      <c r="A1289" s="51"/>
      <c r="B1289" s="91" t="str">
        <f>IFERROR(VLOOKUP(A1289,Lookup!A:B,2,0),"")</f>
        <v/>
      </c>
      <c r="C1289" s="92" t="str">
        <f>IFERROR(VLOOKUP(A1289,Lookup!A:C,3,0),"")</f>
        <v/>
      </c>
      <c r="D1289" s="54"/>
      <c r="E1289" s="54"/>
      <c r="F1289" s="54"/>
      <c r="G1289" s="72"/>
      <c r="H1289" s="54"/>
      <c r="I1289" s="54"/>
      <c r="J1289" s="106">
        <f>VLOOKUP(A1289&amp;G1289,Lookup!J:N,5,0)</f>
        <v>0</v>
      </c>
      <c r="K1289" s="115"/>
      <c r="L1289" s="54"/>
      <c r="M1289" s="54"/>
      <c r="N1289" s="54"/>
      <c r="O1289" s="112">
        <v>53.4340277777778</v>
      </c>
      <c r="P1289" s="110" t="str">
        <f t="shared" si="86"/>
        <v/>
      </c>
      <c r="Q1289" s="54"/>
      <c r="R1289" s="58"/>
      <c r="S1289" s="87" t="str">
        <f t="shared" si="88"/>
        <v/>
      </c>
      <c r="T1289" s="54"/>
      <c r="U1289" s="54"/>
      <c r="V1289" s="54"/>
      <c r="W1289" s="54"/>
      <c r="X1289" s="69" t="str">
        <f t="shared" si="87"/>
        <v>D</v>
      </c>
    </row>
    <row r="1290" spans="1:24" s="66" customFormat="1" x14ac:dyDescent="0.25">
      <c r="A1290" s="51"/>
      <c r="B1290" s="91" t="str">
        <f>IFERROR(VLOOKUP(A1290,Lookup!A:B,2,0),"")</f>
        <v/>
      </c>
      <c r="C1290" s="92" t="str">
        <f>IFERROR(VLOOKUP(A1290,Lookup!A:C,3,0),"")</f>
        <v/>
      </c>
      <c r="D1290" s="54"/>
      <c r="E1290" s="54"/>
      <c r="F1290" s="54"/>
      <c r="G1290" s="72"/>
      <c r="H1290" s="54"/>
      <c r="I1290" s="54"/>
      <c r="J1290" s="106">
        <f>VLOOKUP(A1290&amp;G1290,Lookup!J:N,5,0)</f>
        <v>0</v>
      </c>
      <c r="K1290" s="115"/>
      <c r="L1290" s="54"/>
      <c r="M1290" s="54"/>
      <c r="N1290" s="54"/>
      <c r="O1290" s="112">
        <v>53.4756944444444</v>
      </c>
      <c r="P1290" s="110" t="str">
        <f t="shared" si="86"/>
        <v/>
      </c>
      <c r="Q1290" s="54"/>
      <c r="R1290" s="58"/>
      <c r="S1290" s="87" t="str">
        <f t="shared" si="88"/>
        <v/>
      </c>
      <c r="T1290" s="54"/>
      <c r="U1290" s="54"/>
      <c r="V1290" s="54"/>
      <c r="W1290" s="54"/>
      <c r="X1290" s="69" t="str">
        <f t="shared" si="87"/>
        <v>D</v>
      </c>
    </row>
    <row r="1291" spans="1:24" s="66" customFormat="1" x14ac:dyDescent="0.25">
      <c r="A1291" s="51"/>
      <c r="B1291" s="91" t="str">
        <f>IFERROR(VLOOKUP(A1291,Lookup!A:B,2,0),"")</f>
        <v/>
      </c>
      <c r="C1291" s="92" t="str">
        <f>IFERROR(VLOOKUP(A1291,Lookup!A:C,3,0),"")</f>
        <v/>
      </c>
      <c r="D1291" s="54"/>
      <c r="E1291" s="54"/>
      <c r="F1291" s="54"/>
      <c r="G1291" s="72"/>
      <c r="H1291" s="54"/>
      <c r="I1291" s="54"/>
      <c r="J1291" s="106">
        <f>VLOOKUP(A1291&amp;G1291,Lookup!J:N,5,0)</f>
        <v>0</v>
      </c>
      <c r="K1291" s="115"/>
      <c r="L1291" s="54"/>
      <c r="M1291" s="54"/>
      <c r="N1291" s="54"/>
      <c r="O1291" s="112">
        <v>53.5173611111111</v>
      </c>
      <c r="P1291" s="110" t="str">
        <f t="shared" si="86"/>
        <v/>
      </c>
      <c r="Q1291" s="54"/>
      <c r="R1291" s="58"/>
      <c r="S1291" s="87" t="str">
        <f t="shared" si="88"/>
        <v/>
      </c>
      <c r="T1291" s="54"/>
      <c r="U1291" s="54"/>
      <c r="V1291" s="54"/>
      <c r="W1291" s="54"/>
      <c r="X1291" s="69" t="str">
        <f t="shared" si="87"/>
        <v>D</v>
      </c>
    </row>
    <row r="1292" spans="1:24" s="66" customFormat="1" x14ac:dyDescent="0.25">
      <c r="A1292" s="51"/>
      <c r="B1292" s="91" t="str">
        <f>IFERROR(VLOOKUP(A1292,Lookup!A:B,2,0),"")</f>
        <v/>
      </c>
      <c r="C1292" s="92" t="str">
        <f>IFERROR(VLOOKUP(A1292,Lookup!A:C,3,0),"")</f>
        <v/>
      </c>
      <c r="D1292" s="54"/>
      <c r="E1292" s="54"/>
      <c r="F1292" s="54"/>
      <c r="G1292" s="72"/>
      <c r="H1292" s="54"/>
      <c r="I1292" s="54"/>
      <c r="J1292" s="106">
        <f>VLOOKUP(A1292&amp;G1292,Lookup!J:N,5,0)</f>
        <v>0</v>
      </c>
      <c r="K1292" s="115"/>
      <c r="L1292" s="54"/>
      <c r="M1292" s="54"/>
      <c r="N1292" s="54"/>
      <c r="O1292" s="112">
        <v>53.5590277777778</v>
      </c>
      <c r="P1292" s="110" t="str">
        <f t="shared" si="86"/>
        <v/>
      </c>
      <c r="Q1292" s="54"/>
      <c r="R1292" s="58"/>
      <c r="S1292" s="87" t="str">
        <f t="shared" si="88"/>
        <v/>
      </c>
      <c r="T1292" s="54"/>
      <c r="U1292" s="54"/>
      <c r="V1292" s="54"/>
      <c r="W1292" s="54"/>
      <c r="X1292" s="69" t="str">
        <f t="shared" si="87"/>
        <v>D</v>
      </c>
    </row>
    <row r="1293" spans="1:24" s="66" customFormat="1" x14ac:dyDescent="0.25">
      <c r="A1293" s="51"/>
      <c r="B1293" s="91" t="str">
        <f>IFERROR(VLOOKUP(A1293,Lookup!A:B,2,0),"")</f>
        <v/>
      </c>
      <c r="C1293" s="92" t="str">
        <f>IFERROR(VLOOKUP(A1293,Lookup!A:C,3,0),"")</f>
        <v/>
      </c>
      <c r="D1293" s="54"/>
      <c r="E1293" s="54"/>
      <c r="F1293" s="54"/>
      <c r="G1293" s="72"/>
      <c r="H1293" s="54"/>
      <c r="I1293" s="54"/>
      <c r="J1293" s="106">
        <f>VLOOKUP(A1293&amp;G1293,Lookup!J:N,5,0)</f>
        <v>0</v>
      </c>
      <c r="K1293" s="115"/>
      <c r="L1293" s="54"/>
      <c r="M1293" s="54"/>
      <c r="N1293" s="54"/>
      <c r="O1293" s="112">
        <v>53.6006944444444</v>
      </c>
      <c r="P1293" s="110" t="str">
        <f t="shared" si="86"/>
        <v/>
      </c>
      <c r="Q1293" s="54"/>
      <c r="R1293" s="58"/>
      <c r="S1293" s="87" t="str">
        <f t="shared" si="88"/>
        <v/>
      </c>
      <c r="T1293" s="54"/>
      <c r="U1293" s="54"/>
      <c r="V1293" s="54"/>
      <c r="W1293" s="54"/>
      <c r="X1293" s="69" t="str">
        <f t="shared" si="87"/>
        <v>D</v>
      </c>
    </row>
    <row r="1294" spans="1:24" s="66" customFormat="1" x14ac:dyDescent="0.25">
      <c r="A1294" s="51"/>
      <c r="B1294" s="91" t="str">
        <f>IFERROR(VLOOKUP(A1294,Lookup!A:B,2,0),"")</f>
        <v/>
      </c>
      <c r="C1294" s="92" t="str">
        <f>IFERROR(VLOOKUP(A1294,Lookup!A:C,3,0),"")</f>
        <v/>
      </c>
      <c r="D1294" s="54"/>
      <c r="E1294" s="54"/>
      <c r="F1294" s="54"/>
      <c r="G1294" s="72"/>
      <c r="H1294" s="54"/>
      <c r="I1294" s="54"/>
      <c r="J1294" s="106">
        <f>VLOOKUP(A1294&amp;G1294,Lookup!J:N,5,0)</f>
        <v>0</v>
      </c>
      <c r="K1294" s="115"/>
      <c r="L1294" s="54"/>
      <c r="M1294" s="54"/>
      <c r="N1294" s="54"/>
      <c r="O1294" s="112">
        <v>53.6423611111111</v>
      </c>
      <c r="P1294" s="110" t="str">
        <f t="shared" si="86"/>
        <v/>
      </c>
      <c r="Q1294" s="54"/>
      <c r="R1294" s="58"/>
      <c r="S1294" s="87" t="str">
        <f t="shared" si="88"/>
        <v/>
      </c>
      <c r="T1294" s="54"/>
      <c r="U1294" s="54"/>
      <c r="V1294" s="54"/>
      <c r="W1294" s="54"/>
      <c r="X1294" s="69" t="str">
        <f t="shared" si="87"/>
        <v>D</v>
      </c>
    </row>
    <row r="1295" spans="1:24" s="66" customFormat="1" x14ac:dyDescent="0.25">
      <c r="A1295" s="51"/>
      <c r="B1295" s="91" t="str">
        <f>IFERROR(VLOOKUP(A1295,Lookup!A:B,2,0),"")</f>
        <v/>
      </c>
      <c r="C1295" s="92" t="str">
        <f>IFERROR(VLOOKUP(A1295,Lookup!A:C,3,0),"")</f>
        <v/>
      </c>
      <c r="D1295" s="54"/>
      <c r="E1295" s="54"/>
      <c r="F1295" s="54"/>
      <c r="G1295" s="72"/>
      <c r="H1295" s="54"/>
      <c r="I1295" s="54"/>
      <c r="J1295" s="106">
        <f>VLOOKUP(A1295&amp;G1295,Lookup!J:N,5,0)</f>
        <v>0</v>
      </c>
      <c r="K1295" s="115"/>
      <c r="L1295" s="54"/>
      <c r="M1295" s="54"/>
      <c r="N1295" s="54"/>
      <c r="O1295" s="112">
        <v>53.6840277777778</v>
      </c>
      <c r="P1295" s="110" t="str">
        <f t="shared" si="86"/>
        <v/>
      </c>
      <c r="Q1295" s="54"/>
      <c r="R1295" s="58"/>
      <c r="S1295" s="87" t="str">
        <f t="shared" si="88"/>
        <v/>
      </c>
      <c r="T1295" s="54"/>
      <c r="U1295" s="54"/>
      <c r="V1295" s="54"/>
      <c r="W1295" s="54"/>
      <c r="X1295" s="69" t="str">
        <f t="shared" si="87"/>
        <v>D</v>
      </c>
    </row>
    <row r="1296" spans="1:24" s="66" customFormat="1" x14ac:dyDescent="0.25">
      <c r="A1296" s="51"/>
      <c r="B1296" s="91" t="str">
        <f>IFERROR(VLOOKUP(A1296,Lookup!A:B,2,0),"")</f>
        <v/>
      </c>
      <c r="C1296" s="92" t="str">
        <f>IFERROR(VLOOKUP(A1296,Lookup!A:C,3,0),"")</f>
        <v/>
      </c>
      <c r="D1296" s="54"/>
      <c r="E1296" s="54"/>
      <c r="F1296" s="54"/>
      <c r="G1296" s="72"/>
      <c r="H1296" s="54"/>
      <c r="I1296" s="54"/>
      <c r="J1296" s="106">
        <f>VLOOKUP(A1296&amp;G1296,Lookup!J:N,5,0)</f>
        <v>0</v>
      </c>
      <c r="K1296" s="115"/>
      <c r="L1296" s="54"/>
      <c r="M1296" s="54"/>
      <c r="N1296" s="54"/>
      <c r="O1296" s="112">
        <v>53.7256944444444</v>
      </c>
      <c r="P1296" s="110" t="str">
        <f t="shared" si="86"/>
        <v/>
      </c>
      <c r="Q1296" s="54"/>
      <c r="R1296" s="58"/>
      <c r="S1296" s="87" t="str">
        <f t="shared" si="88"/>
        <v/>
      </c>
      <c r="T1296" s="54"/>
      <c r="U1296" s="54"/>
      <c r="V1296" s="54"/>
      <c r="W1296" s="54"/>
      <c r="X1296" s="69" t="str">
        <f t="shared" si="87"/>
        <v>D</v>
      </c>
    </row>
    <row r="1297" spans="1:24" s="66" customFormat="1" x14ac:dyDescent="0.25">
      <c r="A1297" s="51"/>
      <c r="B1297" s="91" t="str">
        <f>IFERROR(VLOOKUP(A1297,Lookup!A:B,2,0),"")</f>
        <v/>
      </c>
      <c r="C1297" s="92" t="str">
        <f>IFERROR(VLOOKUP(A1297,Lookup!A:C,3,0),"")</f>
        <v/>
      </c>
      <c r="D1297" s="54"/>
      <c r="E1297" s="54"/>
      <c r="F1297" s="54"/>
      <c r="G1297" s="72"/>
      <c r="H1297" s="54"/>
      <c r="I1297" s="54"/>
      <c r="J1297" s="106">
        <f>VLOOKUP(A1297&amp;G1297,Lookup!J:N,5,0)</f>
        <v>0</v>
      </c>
      <c r="K1297" s="115"/>
      <c r="L1297" s="54"/>
      <c r="M1297" s="54"/>
      <c r="N1297" s="54"/>
      <c r="O1297" s="112">
        <v>53.7673611111111</v>
      </c>
      <c r="P1297" s="110" t="str">
        <f t="shared" si="86"/>
        <v/>
      </c>
      <c r="Q1297" s="54"/>
      <c r="R1297" s="58"/>
      <c r="S1297" s="87" t="str">
        <f t="shared" si="88"/>
        <v/>
      </c>
      <c r="T1297" s="54"/>
      <c r="U1297" s="54"/>
      <c r="V1297" s="54"/>
      <c r="W1297" s="54"/>
      <c r="X1297" s="69" t="str">
        <f t="shared" si="87"/>
        <v>D</v>
      </c>
    </row>
    <row r="1298" spans="1:24" s="66" customFormat="1" x14ac:dyDescent="0.25">
      <c r="A1298" s="51"/>
      <c r="B1298" s="91" t="str">
        <f>IFERROR(VLOOKUP(A1298,Lookup!A:B,2,0),"")</f>
        <v/>
      </c>
      <c r="C1298" s="92" t="str">
        <f>IFERROR(VLOOKUP(A1298,Lookup!A:C,3,0),"")</f>
        <v/>
      </c>
      <c r="D1298" s="54"/>
      <c r="E1298" s="54"/>
      <c r="F1298" s="54"/>
      <c r="G1298" s="72"/>
      <c r="H1298" s="54"/>
      <c r="I1298" s="54"/>
      <c r="J1298" s="106">
        <f>VLOOKUP(A1298&amp;G1298,Lookup!J:N,5,0)</f>
        <v>0</v>
      </c>
      <c r="K1298" s="115"/>
      <c r="L1298" s="54"/>
      <c r="M1298" s="54"/>
      <c r="N1298" s="54"/>
      <c r="O1298" s="112">
        <v>53.8090277777778</v>
      </c>
      <c r="P1298" s="110" t="str">
        <f t="shared" si="86"/>
        <v/>
      </c>
      <c r="Q1298" s="54"/>
      <c r="R1298" s="58"/>
      <c r="S1298" s="87" t="str">
        <f t="shared" si="88"/>
        <v/>
      </c>
      <c r="T1298" s="54"/>
      <c r="U1298" s="54"/>
      <c r="V1298" s="54"/>
      <c r="W1298" s="54"/>
      <c r="X1298" s="69" t="str">
        <f t="shared" si="87"/>
        <v>D</v>
      </c>
    </row>
    <row r="1299" spans="1:24" s="66" customFormat="1" x14ac:dyDescent="0.25">
      <c r="A1299" s="51"/>
      <c r="B1299" s="91" t="str">
        <f>IFERROR(VLOOKUP(A1299,Lookup!A:B,2,0),"")</f>
        <v/>
      </c>
      <c r="C1299" s="92" t="str">
        <f>IFERROR(VLOOKUP(A1299,Lookup!A:C,3,0),"")</f>
        <v/>
      </c>
      <c r="D1299" s="54"/>
      <c r="E1299" s="54"/>
      <c r="F1299" s="54"/>
      <c r="G1299" s="72"/>
      <c r="H1299" s="54"/>
      <c r="I1299" s="54"/>
      <c r="J1299" s="106">
        <f>VLOOKUP(A1299&amp;G1299,Lookup!J:N,5,0)</f>
        <v>0</v>
      </c>
      <c r="K1299" s="115"/>
      <c r="L1299" s="54"/>
      <c r="M1299" s="54"/>
      <c r="N1299" s="54"/>
      <c r="O1299" s="112">
        <v>53.8506944444444</v>
      </c>
      <c r="P1299" s="110" t="str">
        <f t="shared" si="86"/>
        <v/>
      </c>
      <c r="Q1299" s="54"/>
      <c r="R1299" s="58"/>
      <c r="S1299" s="87" t="str">
        <f t="shared" si="88"/>
        <v/>
      </c>
      <c r="T1299" s="54"/>
      <c r="U1299" s="54"/>
      <c r="V1299" s="54"/>
      <c r="W1299" s="54"/>
      <c r="X1299" s="69" t="str">
        <f t="shared" si="87"/>
        <v>D</v>
      </c>
    </row>
    <row r="1300" spans="1:24" s="66" customFormat="1" x14ac:dyDescent="0.25">
      <c r="A1300" s="51"/>
      <c r="B1300" s="91" t="str">
        <f>IFERROR(VLOOKUP(A1300,Lookup!A:B,2,0),"")</f>
        <v/>
      </c>
      <c r="C1300" s="92" t="str">
        <f>IFERROR(VLOOKUP(A1300,Lookup!A:C,3,0),"")</f>
        <v/>
      </c>
      <c r="D1300" s="54"/>
      <c r="E1300" s="54"/>
      <c r="F1300" s="54"/>
      <c r="G1300" s="72"/>
      <c r="H1300" s="54"/>
      <c r="I1300" s="54"/>
      <c r="J1300" s="106">
        <f>VLOOKUP(A1300&amp;G1300,Lookup!J:N,5,0)</f>
        <v>0</v>
      </c>
      <c r="K1300" s="115"/>
      <c r="L1300" s="54"/>
      <c r="M1300" s="54"/>
      <c r="N1300" s="54"/>
      <c r="O1300" s="112">
        <v>53.8923611111111</v>
      </c>
      <c r="P1300" s="110" t="str">
        <f t="shared" si="86"/>
        <v/>
      </c>
      <c r="Q1300" s="54"/>
      <c r="R1300" s="58"/>
      <c r="S1300" s="87" t="str">
        <f t="shared" si="88"/>
        <v/>
      </c>
      <c r="T1300" s="54"/>
      <c r="U1300" s="54"/>
      <c r="V1300" s="54"/>
      <c r="W1300" s="54"/>
      <c r="X1300" s="69" t="str">
        <f t="shared" si="87"/>
        <v>D</v>
      </c>
    </row>
    <row r="1301" spans="1:24" s="66" customFormat="1" x14ac:dyDescent="0.25">
      <c r="A1301" s="51"/>
      <c r="B1301" s="91" t="str">
        <f>IFERROR(VLOOKUP(A1301,Lookup!A:B,2,0),"")</f>
        <v/>
      </c>
      <c r="C1301" s="92" t="str">
        <f>IFERROR(VLOOKUP(A1301,Lookup!A:C,3,0),"")</f>
        <v/>
      </c>
      <c r="D1301" s="54"/>
      <c r="E1301" s="54"/>
      <c r="F1301" s="54"/>
      <c r="G1301" s="72"/>
      <c r="H1301" s="54"/>
      <c r="I1301" s="54"/>
      <c r="J1301" s="106">
        <f>VLOOKUP(A1301&amp;G1301,Lookup!J:N,5,0)</f>
        <v>0</v>
      </c>
      <c r="K1301" s="115"/>
      <c r="L1301" s="54"/>
      <c r="M1301" s="54"/>
      <c r="N1301" s="54"/>
      <c r="O1301" s="112">
        <v>53.9340277777778</v>
      </c>
      <c r="P1301" s="110" t="str">
        <f t="shared" si="86"/>
        <v/>
      </c>
      <c r="Q1301" s="54"/>
      <c r="R1301" s="58"/>
      <c r="S1301" s="87" t="str">
        <f t="shared" si="88"/>
        <v/>
      </c>
      <c r="T1301" s="54"/>
      <c r="U1301" s="54"/>
      <c r="V1301" s="54"/>
      <c r="W1301" s="54"/>
      <c r="X1301" s="69" t="str">
        <f t="shared" si="87"/>
        <v>D</v>
      </c>
    </row>
    <row r="1302" spans="1:24" s="66" customFormat="1" x14ac:dyDescent="0.25">
      <c r="A1302" s="51"/>
      <c r="B1302" s="91" t="str">
        <f>IFERROR(VLOOKUP(A1302,Lookup!A:B,2,0),"")</f>
        <v/>
      </c>
      <c r="C1302" s="92" t="str">
        <f>IFERROR(VLOOKUP(A1302,Lookup!A:C,3,0),"")</f>
        <v/>
      </c>
      <c r="D1302" s="54"/>
      <c r="E1302" s="54"/>
      <c r="F1302" s="54"/>
      <c r="G1302" s="72"/>
      <c r="H1302" s="54"/>
      <c r="I1302" s="54"/>
      <c r="J1302" s="106">
        <f>VLOOKUP(A1302&amp;G1302,Lookup!J:N,5,0)</f>
        <v>0</v>
      </c>
      <c r="K1302" s="115"/>
      <c r="L1302" s="54"/>
      <c r="M1302" s="54"/>
      <c r="N1302" s="54"/>
      <c r="O1302" s="112">
        <v>53.9756944444444</v>
      </c>
      <c r="P1302" s="110" t="str">
        <f t="shared" si="86"/>
        <v/>
      </c>
      <c r="Q1302" s="54"/>
      <c r="R1302" s="58"/>
      <c r="S1302" s="87" t="str">
        <f t="shared" si="88"/>
        <v/>
      </c>
      <c r="T1302" s="54"/>
      <c r="U1302" s="54"/>
      <c r="V1302" s="54"/>
      <c r="W1302" s="54"/>
      <c r="X1302" s="69" t="str">
        <f t="shared" si="87"/>
        <v>D</v>
      </c>
    </row>
    <row r="1303" spans="1:24" s="66" customFormat="1" x14ac:dyDescent="0.25">
      <c r="A1303" s="51"/>
      <c r="B1303" s="91" t="str">
        <f>IFERROR(VLOOKUP(A1303,Lookup!A:B,2,0),"")</f>
        <v/>
      </c>
      <c r="C1303" s="92" t="str">
        <f>IFERROR(VLOOKUP(A1303,Lookup!A:C,3,0),"")</f>
        <v/>
      </c>
      <c r="D1303" s="54"/>
      <c r="E1303" s="54"/>
      <c r="F1303" s="54"/>
      <c r="G1303" s="72"/>
      <c r="H1303" s="54"/>
      <c r="I1303" s="54"/>
      <c r="J1303" s="106">
        <f>VLOOKUP(A1303&amp;G1303,Lookup!J:N,5,0)</f>
        <v>0</v>
      </c>
      <c r="K1303" s="115"/>
      <c r="L1303" s="54"/>
      <c r="M1303" s="54"/>
      <c r="N1303" s="54"/>
      <c r="O1303" s="112">
        <v>54.0173611111111</v>
      </c>
      <c r="P1303" s="110" t="str">
        <f t="shared" si="86"/>
        <v/>
      </c>
      <c r="Q1303" s="54"/>
      <c r="R1303" s="58"/>
      <c r="S1303" s="87" t="str">
        <f t="shared" si="88"/>
        <v/>
      </c>
      <c r="T1303" s="54"/>
      <c r="U1303" s="54"/>
      <c r="V1303" s="54"/>
      <c r="W1303" s="54"/>
      <c r="X1303" s="69" t="str">
        <f t="shared" si="87"/>
        <v>D</v>
      </c>
    </row>
    <row r="1304" spans="1:24" s="66" customFormat="1" x14ac:dyDescent="0.25">
      <c r="A1304" s="51"/>
      <c r="B1304" s="91" t="str">
        <f>IFERROR(VLOOKUP(A1304,Lookup!A:B,2,0),"")</f>
        <v/>
      </c>
      <c r="C1304" s="92" t="str">
        <f>IFERROR(VLOOKUP(A1304,Lookup!A:C,3,0),"")</f>
        <v/>
      </c>
      <c r="D1304" s="54"/>
      <c r="E1304" s="54"/>
      <c r="F1304" s="54"/>
      <c r="G1304" s="72"/>
      <c r="H1304" s="54"/>
      <c r="I1304" s="54"/>
      <c r="J1304" s="106">
        <f>VLOOKUP(A1304&amp;G1304,Lookup!J:N,5,0)</f>
        <v>0</v>
      </c>
      <c r="K1304" s="115"/>
      <c r="L1304" s="54"/>
      <c r="M1304" s="54"/>
      <c r="N1304" s="54"/>
      <c r="O1304" s="112">
        <v>54.0590277777778</v>
      </c>
      <c r="P1304" s="110" t="str">
        <f t="shared" si="86"/>
        <v/>
      </c>
      <c r="Q1304" s="54"/>
      <c r="R1304" s="58"/>
      <c r="S1304" s="87" t="str">
        <f t="shared" si="88"/>
        <v/>
      </c>
      <c r="T1304" s="54"/>
      <c r="U1304" s="54"/>
      <c r="V1304" s="54"/>
      <c r="W1304" s="54"/>
      <c r="X1304" s="69" t="str">
        <f t="shared" si="87"/>
        <v>D</v>
      </c>
    </row>
    <row r="1305" spans="1:24" s="66" customFormat="1" x14ac:dyDescent="0.25">
      <c r="A1305" s="51"/>
      <c r="B1305" s="91" t="str">
        <f>IFERROR(VLOOKUP(A1305,Lookup!A:B,2,0),"")</f>
        <v/>
      </c>
      <c r="C1305" s="92" t="str">
        <f>IFERROR(VLOOKUP(A1305,Lookup!A:C,3,0),"")</f>
        <v/>
      </c>
      <c r="D1305" s="54"/>
      <c r="E1305" s="54"/>
      <c r="F1305" s="54"/>
      <c r="G1305" s="72"/>
      <c r="H1305" s="54"/>
      <c r="I1305" s="54"/>
      <c r="J1305" s="106">
        <f>VLOOKUP(A1305&amp;G1305,Lookup!J:N,5,0)</f>
        <v>0</v>
      </c>
      <c r="K1305" s="115"/>
      <c r="L1305" s="54"/>
      <c r="M1305" s="54"/>
      <c r="N1305" s="54"/>
      <c r="O1305" s="112">
        <v>54.1006944444444</v>
      </c>
      <c r="P1305" s="110" t="str">
        <f t="shared" si="86"/>
        <v/>
      </c>
      <c r="Q1305" s="54"/>
      <c r="R1305" s="58"/>
      <c r="S1305" s="87" t="str">
        <f t="shared" si="88"/>
        <v/>
      </c>
      <c r="T1305" s="54"/>
      <c r="U1305" s="54"/>
      <c r="V1305" s="54"/>
      <c r="W1305" s="54"/>
      <c r="X1305" s="69" t="str">
        <f t="shared" si="87"/>
        <v>D</v>
      </c>
    </row>
    <row r="1306" spans="1:24" s="66" customFormat="1" x14ac:dyDescent="0.25">
      <c r="A1306" s="51"/>
      <c r="B1306" s="91" t="str">
        <f>IFERROR(VLOOKUP(A1306,Lookup!A:B,2,0),"")</f>
        <v/>
      </c>
      <c r="C1306" s="92" t="str">
        <f>IFERROR(VLOOKUP(A1306,Lookup!A:C,3,0),"")</f>
        <v/>
      </c>
      <c r="D1306" s="54"/>
      <c r="E1306" s="54"/>
      <c r="F1306" s="54"/>
      <c r="G1306" s="72"/>
      <c r="H1306" s="54"/>
      <c r="I1306" s="54"/>
      <c r="J1306" s="106">
        <f>VLOOKUP(A1306&amp;G1306,Lookup!J:N,5,0)</f>
        <v>0</v>
      </c>
      <c r="K1306" s="115"/>
      <c r="L1306" s="54"/>
      <c r="M1306" s="54"/>
      <c r="N1306" s="54"/>
      <c r="O1306" s="112">
        <v>54.1423611111111</v>
      </c>
      <c r="P1306" s="110" t="str">
        <f t="shared" si="86"/>
        <v/>
      </c>
      <c r="Q1306" s="54"/>
      <c r="R1306" s="58"/>
      <c r="S1306" s="87" t="str">
        <f t="shared" si="88"/>
        <v/>
      </c>
      <c r="T1306" s="54"/>
      <c r="U1306" s="54"/>
      <c r="V1306" s="54"/>
      <c r="W1306" s="54"/>
      <c r="X1306" s="69" t="str">
        <f t="shared" si="87"/>
        <v>D</v>
      </c>
    </row>
    <row r="1307" spans="1:24" s="66" customFormat="1" x14ac:dyDescent="0.25">
      <c r="A1307" s="51"/>
      <c r="B1307" s="91" t="str">
        <f>IFERROR(VLOOKUP(A1307,Lookup!A:B,2,0),"")</f>
        <v/>
      </c>
      <c r="C1307" s="92" t="str">
        <f>IFERROR(VLOOKUP(A1307,Lookup!A:C,3,0),"")</f>
        <v/>
      </c>
      <c r="D1307" s="54"/>
      <c r="E1307" s="54"/>
      <c r="F1307" s="54"/>
      <c r="G1307" s="72"/>
      <c r="H1307" s="54"/>
      <c r="I1307" s="54"/>
      <c r="J1307" s="106">
        <f>VLOOKUP(A1307&amp;G1307,Lookup!J:N,5,0)</f>
        <v>0</v>
      </c>
      <c r="K1307" s="115"/>
      <c r="L1307" s="54"/>
      <c r="M1307" s="54"/>
      <c r="N1307" s="54"/>
      <c r="O1307" s="112">
        <v>54.1840277777778</v>
      </c>
      <c r="P1307" s="110" t="str">
        <f t="shared" si="86"/>
        <v/>
      </c>
      <c r="Q1307" s="54"/>
      <c r="R1307" s="58"/>
      <c r="S1307" s="87" t="str">
        <f t="shared" si="88"/>
        <v/>
      </c>
      <c r="T1307" s="54"/>
      <c r="U1307" s="54"/>
      <c r="V1307" s="54"/>
      <c r="W1307" s="54"/>
      <c r="X1307" s="69" t="str">
        <f t="shared" si="87"/>
        <v>D</v>
      </c>
    </row>
    <row r="1308" spans="1:24" s="66" customFormat="1" x14ac:dyDescent="0.25">
      <c r="A1308" s="51"/>
      <c r="B1308" s="91" t="str">
        <f>IFERROR(VLOOKUP(A1308,Lookup!A:B,2,0),"")</f>
        <v/>
      </c>
      <c r="C1308" s="92" t="str">
        <f>IFERROR(VLOOKUP(A1308,Lookup!A:C,3,0),"")</f>
        <v/>
      </c>
      <c r="D1308" s="54"/>
      <c r="E1308" s="54"/>
      <c r="F1308" s="54"/>
      <c r="G1308" s="72"/>
      <c r="H1308" s="54"/>
      <c r="I1308" s="54"/>
      <c r="J1308" s="106">
        <f>VLOOKUP(A1308&amp;G1308,Lookup!J:N,5,0)</f>
        <v>0</v>
      </c>
      <c r="K1308" s="115"/>
      <c r="L1308" s="54"/>
      <c r="M1308" s="54"/>
      <c r="N1308" s="54"/>
      <c r="O1308" s="112">
        <v>54.2256944444444</v>
      </c>
      <c r="P1308" s="110" t="str">
        <f t="shared" si="86"/>
        <v/>
      </c>
      <c r="Q1308" s="54"/>
      <c r="R1308" s="58"/>
      <c r="S1308" s="87" t="str">
        <f t="shared" si="88"/>
        <v/>
      </c>
      <c r="T1308" s="54"/>
      <c r="U1308" s="54"/>
      <c r="V1308" s="54"/>
      <c r="W1308" s="54"/>
      <c r="X1308" s="69" t="str">
        <f t="shared" si="87"/>
        <v>D</v>
      </c>
    </row>
    <row r="1309" spans="1:24" s="66" customFormat="1" x14ac:dyDescent="0.25">
      <c r="A1309" s="51"/>
      <c r="B1309" s="91" t="str">
        <f>IFERROR(VLOOKUP(A1309,Lookup!A:B,2,0),"")</f>
        <v/>
      </c>
      <c r="C1309" s="92" t="str">
        <f>IFERROR(VLOOKUP(A1309,Lookup!A:C,3,0),"")</f>
        <v/>
      </c>
      <c r="D1309" s="54"/>
      <c r="E1309" s="54"/>
      <c r="F1309" s="54"/>
      <c r="G1309" s="72"/>
      <c r="H1309" s="54"/>
      <c r="I1309" s="54"/>
      <c r="J1309" s="106">
        <f>VLOOKUP(A1309&amp;G1309,Lookup!J:N,5,0)</f>
        <v>0</v>
      </c>
      <c r="K1309" s="115"/>
      <c r="L1309" s="54"/>
      <c r="M1309" s="54"/>
      <c r="N1309" s="54"/>
      <c r="O1309" s="112">
        <v>54.2673611111111</v>
      </c>
      <c r="P1309" s="110" t="str">
        <f t="shared" si="86"/>
        <v/>
      </c>
      <c r="Q1309" s="54"/>
      <c r="R1309" s="58"/>
      <c r="S1309" s="87" t="str">
        <f t="shared" si="88"/>
        <v/>
      </c>
      <c r="T1309" s="54"/>
      <c r="U1309" s="54"/>
      <c r="V1309" s="54"/>
      <c r="W1309" s="54"/>
      <c r="X1309" s="69" t="str">
        <f t="shared" si="87"/>
        <v>D</v>
      </c>
    </row>
    <row r="1310" spans="1:24" s="66" customFormat="1" x14ac:dyDescent="0.25">
      <c r="A1310" s="51"/>
      <c r="B1310" s="91" t="str">
        <f>IFERROR(VLOOKUP(A1310,Lookup!A:B,2,0),"")</f>
        <v/>
      </c>
      <c r="C1310" s="92" t="str">
        <f>IFERROR(VLOOKUP(A1310,Lookup!A:C,3,0),"")</f>
        <v/>
      </c>
      <c r="D1310" s="54"/>
      <c r="E1310" s="54"/>
      <c r="F1310" s="54"/>
      <c r="G1310" s="72"/>
      <c r="H1310" s="54"/>
      <c r="I1310" s="54"/>
      <c r="J1310" s="106">
        <f>VLOOKUP(A1310&amp;G1310,Lookup!J:N,5,0)</f>
        <v>0</v>
      </c>
      <c r="K1310" s="115"/>
      <c r="L1310" s="54"/>
      <c r="M1310" s="54"/>
      <c r="N1310" s="54"/>
      <c r="O1310" s="112">
        <v>54.3090277777778</v>
      </c>
      <c r="P1310" s="110" t="str">
        <f t="shared" si="86"/>
        <v/>
      </c>
      <c r="Q1310" s="54"/>
      <c r="R1310" s="58"/>
      <c r="S1310" s="87" t="str">
        <f t="shared" si="88"/>
        <v/>
      </c>
      <c r="T1310" s="54"/>
      <c r="U1310" s="54"/>
      <c r="V1310" s="54"/>
      <c r="W1310" s="54"/>
      <c r="X1310" s="69" t="str">
        <f t="shared" si="87"/>
        <v>D</v>
      </c>
    </row>
    <row r="1311" spans="1:24" s="66" customFormat="1" x14ac:dyDescent="0.25">
      <c r="A1311" s="51"/>
      <c r="B1311" s="91" t="str">
        <f>IFERROR(VLOOKUP(A1311,Lookup!A:B,2,0),"")</f>
        <v/>
      </c>
      <c r="C1311" s="92" t="str">
        <f>IFERROR(VLOOKUP(A1311,Lookup!A:C,3,0),"")</f>
        <v/>
      </c>
      <c r="D1311" s="54"/>
      <c r="E1311" s="54"/>
      <c r="F1311" s="54"/>
      <c r="G1311" s="72"/>
      <c r="H1311" s="54"/>
      <c r="I1311" s="54"/>
      <c r="J1311" s="106">
        <f>VLOOKUP(A1311&amp;G1311,Lookup!J:N,5,0)</f>
        <v>0</v>
      </c>
      <c r="K1311" s="115"/>
      <c r="L1311" s="54"/>
      <c r="M1311" s="54"/>
      <c r="N1311" s="54"/>
      <c r="O1311" s="112">
        <v>54.3506944444444</v>
      </c>
      <c r="P1311" s="110" t="str">
        <f t="shared" si="86"/>
        <v/>
      </c>
      <c r="Q1311" s="54"/>
      <c r="R1311" s="58"/>
      <c r="S1311" s="87" t="str">
        <f t="shared" si="88"/>
        <v/>
      </c>
      <c r="T1311" s="54"/>
      <c r="U1311" s="54"/>
      <c r="V1311" s="54"/>
      <c r="W1311" s="54"/>
      <c r="X1311" s="69" t="str">
        <f t="shared" si="87"/>
        <v>D</v>
      </c>
    </row>
    <row r="1312" spans="1:24" s="66" customFormat="1" x14ac:dyDescent="0.25">
      <c r="A1312" s="51"/>
      <c r="B1312" s="91" t="str">
        <f>IFERROR(VLOOKUP(A1312,Lookup!A:B,2,0),"")</f>
        <v/>
      </c>
      <c r="C1312" s="92" t="str">
        <f>IFERROR(VLOOKUP(A1312,Lookup!A:C,3,0),"")</f>
        <v/>
      </c>
      <c r="D1312" s="54"/>
      <c r="E1312" s="54"/>
      <c r="F1312" s="54"/>
      <c r="G1312" s="72"/>
      <c r="H1312" s="54"/>
      <c r="I1312" s="54"/>
      <c r="J1312" s="106">
        <f>VLOOKUP(A1312&amp;G1312,Lookup!J:N,5,0)</f>
        <v>0</v>
      </c>
      <c r="K1312" s="115"/>
      <c r="L1312" s="54"/>
      <c r="M1312" s="54"/>
      <c r="N1312" s="54"/>
      <c r="O1312" s="112">
        <v>54.3923611111111</v>
      </c>
      <c r="P1312" s="110" t="str">
        <f t="shared" si="86"/>
        <v/>
      </c>
      <c r="Q1312" s="54"/>
      <c r="R1312" s="58"/>
      <c r="S1312" s="87" t="str">
        <f t="shared" si="88"/>
        <v/>
      </c>
      <c r="T1312" s="54"/>
      <c r="U1312" s="54"/>
      <c r="V1312" s="54"/>
      <c r="W1312" s="54"/>
      <c r="X1312" s="69" t="str">
        <f t="shared" si="87"/>
        <v>D</v>
      </c>
    </row>
    <row r="1313" spans="1:24" s="66" customFormat="1" x14ac:dyDescent="0.25">
      <c r="A1313" s="51"/>
      <c r="B1313" s="91" t="str">
        <f>IFERROR(VLOOKUP(A1313,Lookup!A:B,2,0),"")</f>
        <v/>
      </c>
      <c r="C1313" s="92" t="str">
        <f>IFERROR(VLOOKUP(A1313,Lookup!A:C,3,0),"")</f>
        <v/>
      </c>
      <c r="D1313" s="54"/>
      <c r="E1313" s="54"/>
      <c r="F1313" s="54"/>
      <c r="G1313" s="72"/>
      <c r="H1313" s="54"/>
      <c r="I1313" s="54"/>
      <c r="J1313" s="106">
        <f>VLOOKUP(A1313&amp;G1313,Lookup!J:N,5,0)</f>
        <v>0</v>
      </c>
      <c r="K1313" s="115"/>
      <c r="L1313" s="54"/>
      <c r="M1313" s="54"/>
      <c r="N1313" s="54"/>
      <c r="O1313" s="112">
        <v>54.4340277777778</v>
      </c>
      <c r="P1313" s="110" t="str">
        <f t="shared" si="86"/>
        <v/>
      </c>
      <c r="Q1313" s="54"/>
      <c r="R1313" s="58"/>
      <c r="S1313" s="87" t="str">
        <f t="shared" si="88"/>
        <v/>
      </c>
      <c r="T1313" s="54"/>
      <c r="U1313" s="54"/>
      <c r="V1313" s="54"/>
      <c r="W1313" s="54"/>
      <c r="X1313" s="69" t="str">
        <f t="shared" si="87"/>
        <v>D</v>
      </c>
    </row>
    <row r="1314" spans="1:24" s="66" customFormat="1" x14ac:dyDescent="0.25">
      <c r="A1314" s="51"/>
      <c r="B1314" s="91" t="str">
        <f>IFERROR(VLOOKUP(A1314,Lookup!A:B,2,0),"")</f>
        <v/>
      </c>
      <c r="C1314" s="92" t="str">
        <f>IFERROR(VLOOKUP(A1314,Lookup!A:C,3,0),"")</f>
        <v/>
      </c>
      <c r="D1314" s="54"/>
      <c r="E1314" s="54"/>
      <c r="F1314" s="54"/>
      <c r="G1314" s="72"/>
      <c r="H1314" s="54"/>
      <c r="I1314" s="54"/>
      <c r="J1314" s="106">
        <f>VLOOKUP(A1314&amp;G1314,Lookup!J:N,5,0)</f>
        <v>0</v>
      </c>
      <c r="K1314" s="115"/>
      <c r="L1314" s="54"/>
      <c r="M1314" s="54"/>
      <c r="N1314" s="54"/>
      <c r="O1314" s="112">
        <v>54.4756944444444</v>
      </c>
      <c r="P1314" s="110" t="str">
        <f t="shared" si="86"/>
        <v/>
      </c>
      <c r="Q1314" s="54"/>
      <c r="R1314" s="58"/>
      <c r="S1314" s="87" t="str">
        <f t="shared" si="88"/>
        <v/>
      </c>
      <c r="T1314" s="54"/>
      <c r="U1314" s="54"/>
      <c r="V1314" s="54"/>
      <c r="W1314" s="54"/>
      <c r="X1314" s="69" t="str">
        <f t="shared" si="87"/>
        <v>D</v>
      </c>
    </row>
    <row r="1315" spans="1:24" s="66" customFormat="1" x14ac:dyDescent="0.25">
      <c r="A1315" s="51"/>
      <c r="B1315" s="91" t="str">
        <f>IFERROR(VLOOKUP(A1315,Lookup!A:B,2,0),"")</f>
        <v/>
      </c>
      <c r="C1315" s="92" t="str">
        <f>IFERROR(VLOOKUP(A1315,Lookup!A:C,3,0),"")</f>
        <v/>
      </c>
      <c r="D1315" s="54"/>
      <c r="E1315" s="54"/>
      <c r="F1315" s="54"/>
      <c r="G1315" s="72"/>
      <c r="H1315" s="54"/>
      <c r="I1315" s="54"/>
      <c r="J1315" s="106">
        <f>VLOOKUP(A1315&amp;G1315,Lookup!J:N,5,0)</f>
        <v>0</v>
      </c>
      <c r="K1315" s="115"/>
      <c r="L1315" s="54"/>
      <c r="M1315" s="54"/>
      <c r="N1315" s="54"/>
      <c r="O1315" s="112">
        <v>54.5173611111111</v>
      </c>
      <c r="P1315" s="110" t="str">
        <f t="shared" si="86"/>
        <v/>
      </c>
      <c r="Q1315" s="54"/>
      <c r="R1315" s="58"/>
      <c r="S1315" s="87" t="str">
        <f t="shared" si="88"/>
        <v/>
      </c>
      <c r="T1315" s="54"/>
      <c r="U1315" s="54"/>
      <c r="V1315" s="54"/>
      <c r="W1315" s="54"/>
      <c r="X1315" s="69" t="str">
        <f t="shared" si="87"/>
        <v>D</v>
      </c>
    </row>
    <row r="1316" spans="1:24" s="66" customFormat="1" x14ac:dyDescent="0.25">
      <c r="A1316" s="51"/>
      <c r="B1316" s="91" t="str">
        <f>IFERROR(VLOOKUP(A1316,Lookup!A:B,2,0),"")</f>
        <v/>
      </c>
      <c r="C1316" s="92" t="str">
        <f>IFERROR(VLOOKUP(A1316,Lookup!A:C,3,0),"")</f>
        <v/>
      </c>
      <c r="D1316" s="54"/>
      <c r="E1316" s="54"/>
      <c r="F1316" s="54"/>
      <c r="G1316" s="72"/>
      <c r="H1316" s="54"/>
      <c r="I1316" s="54"/>
      <c r="J1316" s="106">
        <f>VLOOKUP(A1316&amp;G1316,Lookup!J:N,5,0)</f>
        <v>0</v>
      </c>
      <c r="K1316" s="115"/>
      <c r="L1316" s="54"/>
      <c r="M1316" s="54"/>
      <c r="N1316" s="54"/>
      <c r="O1316" s="112">
        <v>54.5590277777778</v>
      </c>
      <c r="P1316" s="110" t="str">
        <f t="shared" si="86"/>
        <v/>
      </c>
      <c r="Q1316" s="54"/>
      <c r="R1316" s="58"/>
      <c r="S1316" s="87" t="str">
        <f t="shared" si="88"/>
        <v/>
      </c>
      <c r="T1316" s="54"/>
      <c r="U1316" s="54"/>
      <c r="V1316" s="54"/>
      <c r="W1316" s="54"/>
      <c r="X1316" s="69" t="str">
        <f t="shared" si="87"/>
        <v>D</v>
      </c>
    </row>
    <row r="1317" spans="1:24" s="66" customFormat="1" x14ac:dyDescent="0.25">
      <c r="A1317" s="51"/>
      <c r="B1317" s="91" t="str">
        <f>IFERROR(VLOOKUP(A1317,Lookup!A:B,2,0),"")</f>
        <v/>
      </c>
      <c r="C1317" s="92" t="str">
        <f>IFERROR(VLOOKUP(A1317,Lookup!A:C,3,0),"")</f>
        <v/>
      </c>
      <c r="D1317" s="54"/>
      <c r="E1317" s="54"/>
      <c r="F1317" s="54"/>
      <c r="G1317" s="72"/>
      <c r="H1317" s="54"/>
      <c r="I1317" s="54"/>
      <c r="J1317" s="106">
        <f>VLOOKUP(A1317&amp;G1317,Lookup!J:N,5,0)</f>
        <v>0</v>
      </c>
      <c r="K1317" s="115"/>
      <c r="L1317" s="54"/>
      <c r="M1317" s="54"/>
      <c r="N1317" s="54"/>
      <c r="O1317" s="112">
        <v>54.6006944444444</v>
      </c>
      <c r="P1317" s="110" t="str">
        <f t="shared" si="86"/>
        <v/>
      </c>
      <c r="Q1317" s="54"/>
      <c r="R1317" s="58"/>
      <c r="S1317" s="87" t="str">
        <f t="shared" si="88"/>
        <v/>
      </c>
      <c r="T1317" s="54"/>
      <c r="U1317" s="54"/>
      <c r="V1317" s="54"/>
      <c r="W1317" s="54"/>
      <c r="X1317" s="69" t="str">
        <f t="shared" si="87"/>
        <v>D</v>
      </c>
    </row>
    <row r="1318" spans="1:24" s="66" customFormat="1" x14ac:dyDescent="0.25">
      <c r="A1318" s="51"/>
      <c r="B1318" s="91" t="str">
        <f>IFERROR(VLOOKUP(A1318,Lookup!A:B,2,0),"")</f>
        <v/>
      </c>
      <c r="C1318" s="92" t="str">
        <f>IFERROR(VLOOKUP(A1318,Lookup!A:C,3,0),"")</f>
        <v/>
      </c>
      <c r="D1318" s="54"/>
      <c r="E1318" s="54"/>
      <c r="F1318" s="54"/>
      <c r="G1318" s="72"/>
      <c r="H1318" s="54"/>
      <c r="I1318" s="54"/>
      <c r="J1318" s="106">
        <f>VLOOKUP(A1318&amp;G1318,Lookup!J:N,5,0)</f>
        <v>0</v>
      </c>
      <c r="K1318" s="115"/>
      <c r="L1318" s="54"/>
      <c r="M1318" s="54"/>
      <c r="N1318" s="54"/>
      <c r="O1318" s="112">
        <v>54.6423611111111</v>
      </c>
      <c r="P1318" s="110" t="str">
        <f t="shared" si="86"/>
        <v/>
      </c>
      <c r="Q1318" s="54"/>
      <c r="R1318" s="58"/>
      <c r="S1318" s="87" t="str">
        <f t="shared" si="88"/>
        <v/>
      </c>
      <c r="T1318" s="54"/>
      <c r="U1318" s="54"/>
      <c r="V1318" s="54"/>
      <c r="W1318" s="54"/>
      <c r="X1318" s="69" t="str">
        <f t="shared" si="87"/>
        <v>D</v>
      </c>
    </row>
    <row r="1319" spans="1:24" s="66" customFormat="1" x14ac:dyDescent="0.25">
      <c r="A1319" s="51"/>
      <c r="B1319" s="91" t="str">
        <f>IFERROR(VLOOKUP(A1319,Lookup!A:B,2,0),"")</f>
        <v/>
      </c>
      <c r="C1319" s="92" t="str">
        <f>IFERROR(VLOOKUP(A1319,Lookup!A:C,3,0),"")</f>
        <v/>
      </c>
      <c r="D1319" s="54"/>
      <c r="E1319" s="54"/>
      <c r="F1319" s="54"/>
      <c r="G1319" s="72"/>
      <c r="H1319" s="54"/>
      <c r="I1319" s="54"/>
      <c r="J1319" s="106">
        <f>VLOOKUP(A1319&amp;G1319,Lookup!J:N,5,0)</f>
        <v>0</v>
      </c>
      <c r="K1319" s="115"/>
      <c r="L1319" s="54"/>
      <c r="M1319" s="54"/>
      <c r="N1319" s="54"/>
      <c r="O1319" s="112">
        <v>54.6840277777778</v>
      </c>
      <c r="P1319" s="110" t="str">
        <f t="shared" si="86"/>
        <v/>
      </c>
      <c r="Q1319" s="54"/>
      <c r="R1319" s="58"/>
      <c r="S1319" s="87" t="str">
        <f t="shared" si="88"/>
        <v/>
      </c>
      <c r="T1319" s="54"/>
      <c r="U1319" s="54"/>
      <c r="V1319" s="54"/>
      <c r="W1319" s="54"/>
      <c r="X1319" s="69" t="str">
        <f t="shared" si="87"/>
        <v>D</v>
      </c>
    </row>
    <row r="1320" spans="1:24" s="66" customFormat="1" x14ac:dyDescent="0.25">
      <c r="A1320" s="51"/>
      <c r="B1320" s="91" t="str">
        <f>IFERROR(VLOOKUP(A1320,Lookup!A:B,2,0),"")</f>
        <v/>
      </c>
      <c r="C1320" s="92" t="str">
        <f>IFERROR(VLOOKUP(A1320,Lookup!A:C,3,0),"")</f>
        <v/>
      </c>
      <c r="D1320" s="54"/>
      <c r="E1320" s="54"/>
      <c r="F1320" s="54"/>
      <c r="G1320" s="72"/>
      <c r="H1320" s="54"/>
      <c r="I1320" s="54"/>
      <c r="J1320" s="106">
        <f>VLOOKUP(A1320&amp;G1320,Lookup!J:N,5,0)</f>
        <v>0</v>
      </c>
      <c r="K1320" s="115"/>
      <c r="L1320" s="54"/>
      <c r="M1320" s="54"/>
      <c r="N1320" s="54"/>
      <c r="O1320" s="112">
        <v>54.7256944444444</v>
      </c>
      <c r="P1320" s="110" t="str">
        <f t="shared" si="86"/>
        <v/>
      </c>
      <c r="Q1320" s="54"/>
      <c r="R1320" s="58"/>
      <c r="S1320" s="87" t="str">
        <f t="shared" si="88"/>
        <v/>
      </c>
      <c r="T1320" s="54"/>
      <c r="U1320" s="54"/>
      <c r="V1320" s="54"/>
      <c r="W1320" s="54"/>
      <c r="X1320" s="69" t="str">
        <f t="shared" si="87"/>
        <v>D</v>
      </c>
    </row>
    <row r="1321" spans="1:24" s="66" customFormat="1" x14ac:dyDescent="0.25">
      <c r="A1321" s="51"/>
      <c r="B1321" s="91" t="str">
        <f>IFERROR(VLOOKUP(A1321,Lookup!A:B,2,0),"")</f>
        <v/>
      </c>
      <c r="C1321" s="92" t="str">
        <f>IFERROR(VLOOKUP(A1321,Lookup!A:C,3,0),"")</f>
        <v/>
      </c>
      <c r="D1321" s="54"/>
      <c r="E1321" s="54"/>
      <c r="F1321" s="54"/>
      <c r="G1321" s="72"/>
      <c r="H1321" s="54"/>
      <c r="I1321" s="54"/>
      <c r="J1321" s="106">
        <f>VLOOKUP(A1321&amp;G1321,Lookup!J:N,5,0)</f>
        <v>0</v>
      </c>
      <c r="K1321" s="115"/>
      <c r="L1321" s="54"/>
      <c r="M1321" s="54"/>
      <c r="N1321" s="54"/>
      <c r="O1321" s="112">
        <v>54.7673611111111</v>
      </c>
      <c r="P1321" s="110" t="str">
        <f t="shared" si="86"/>
        <v/>
      </c>
      <c r="Q1321" s="54"/>
      <c r="R1321" s="58"/>
      <c r="S1321" s="87" t="str">
        <f t="shared" si="88"/>
        <v/>
      </c>
      <c r="T1321" s="54"/>
      <c r="U1321" s="54"/>
      <c r="V1321" s="54"/>
      <c r="W1321" s="54"/>
      <c r="X1321" s="69" t="str">
        <f t="shared" si="87"/>
        <v>D</v>
      </c>
    </row>
    <row r="1322" spans="1:24" s="66" customFormat="1" x14ac:dyDescent="0.25">
      <c r="A1322" s="51"/>
      <c r="B1322" s="91" t="str">
        <f>IFERROR(VLOOKUP(A1322,Lookup!A:B,2,0),"")</f>
        <v/>
      </c>
      <c r="C1322" s="92" t="str">
        <f>IFERROR(VLOOKUP(A1322,Lookup!A:C,3,0),"")</f>
        <v/>
      </c>
      <c r="D1322" s="54"/>
      <c r="E1322" s="54"/>
      <c r="F1322" s="54"/>
      <c r="G1322" s="72"/>
      <c r="H1322" s="54"/>
      <c r="I1322" s="54"/>
      <c r="J1322" s="106">
        <f>VLOOKUP(A1322&amp;G1322,Lookup!J:N,5,0)</f>
        <v>0</v>
      </c>
      <c r="K1322" s="115"/>
      <c r="L1322" s="54"/>
      <c r="M1322" s="54"/>
      <c r="N1322" s="54"/>
      <c r="O1322" s="112">
        <v>54.8090277777778</v>
      </c>
      <c r="P1322" s="110" t="str">
        <f t="shared" si="86"/>
        <v/>
      </c>
      <c r="Q1322" s="54"/>
      <c r="R1322" s="58"/>
      <c r="S1322" s="87" t="str">
        <f t="shared" si="88"/>
        <v/>
      </c>
      <c r="T1322" s="54"/>
      <c r="U1322" s="54"/>
      <c r="V1322" s="54"/>
      <c r="W1322" s="54"/>
      <c r="X1322" s="69" t="str">
        <f t="shared" si="87"/>
        <v>D</v>
      </c>
    </row>
    <row r="1323" spans="1:24" s="66" customFormat="1" x14ac:dyDescent="0.25">
      <c r="A1323" s="51"/>
      <c r="B1323" s="91" t="str">
        <f>IFERROR(VLOOKUP(A1323,Lookup!A:B,2,0),"")</f>
        <v/>
      </c>
      <c r="C1323" s="92" t="str">
        <f>IFERROR(VLOOKUP(A1323,Lookup!A:C,3,0),"")</f>
        <v/>
      </c>
      <c r="D1323" s="54"/>
      <c r="E1323" s="54"/>
      <c r="F1323" s="54"/>
      <c r="G1323" s="72"/>
      <c r="H1323" s="54"/>
      <c r="I1323" s="54"/>
      <c r="J1323" s="106">
        <f>VLOOKUP(A1323&amp;G1323,Lookup!J:N,5,0)</f>
        <v>0</v>
      </c>
      <c r="K1323" s="115"/>
      <c r="L1323" s="54"/>
      <c r="M1323" s="54"/>
      <c r="N1323" s="54"/>
      <c r="O1323" s="112">
        <v>54.8506944444444</v>
      </c>
      <c r="P1323" s="110" t="str">
        <f t="shared" si="86"/>
        <v/>
      </c>
      <c r="Q1323" s="54"/>
      <c r="R1323" s="58"/>
      <c r="S1323" s="87" t="str">
        <f t="shared" si="88"/>
        <v/>
      </c>
      <c r="T1323" s="54"/>
      <c r="U1323" s="54"/>
      <c r="V1323" s="54"/>
      <c r="W1323" s="54"/>
      <c r="X1323" s="69" t="str">
        <f t="shared" si="87"/>
        <v>D</v>
      </c>
    </row>
    <row r="1324" spans="1:24" s="66" customFormat="1" x14ac:dyDescent="0.25">
      <c r="A1324" s="51"/>
      <c r="B1324" s="91" t="str">
        <f>IFERROR(VLOOKUP(A1324,Lookup!A:B,2,0),"")</f>
        <v/>
      </c>
      <c r="C1324" s="92" t="str">
        <f>IFERROR(VLOOKUP(A1324,Lookup!A:C,3,0),"")</f>
        <v/>
      </c>
      <c r="D1324" s="54"/>
      <c r="E1324" s="54"/>
      <c r="F1324" s="54"/>
      <c r="G1324" s="72"/>
      <c r="H1324" s="54"/>
      <c r="I1324" s="54"/>
      <c r="J1324" s="106">
        <f>VLOOKUP(A1324&amp;G1324,Lookup!J:N,5,0)</f>
        <v>0</v>
      </c>
      <c r="K1324" s="115"/>
      <c r="L1324" s="54"/>
      <c r="M1324" s="54"/>
      <c r="N1324" s="54"/>
      <c r="O1324" s="112">
        <v>54.8923611111111</v>
      </c>
      <c r="P1324" s="110" t="str">
        <f t="shared" si="86"/>
        <v/>
      </c>
      <c r="Q1324" s="54"/>
      <c r="R1324" s="58"/>
      <c r="S1324" s="87" t="str">
        <f t="shared" si="88"/>
        <v/>
      </c>
      <c r="T1324" s="54"/>
      <c r="U1324" s="54"/>
      <c r="V1324" s="54"/>
      <c r="W1324" s="54"/>
      <c r="X1324" s="69" t="str">
        <f t="shared" si="87"/>
        <v>D</v>
      </c>
    </row>
    <row r="1325" spans="1:24" s="66" customFormat="1" x14ac:dyDescent="0.25">
      <c r="A1325" s="51"/>
      <c r="B1325" s="91" t="str">
        <f>IFERROR(VLOOKUP(A1325,Lookup!A:B,2,0),"")</f>
        <v/>
      </c>
      <c r="C1325" s="92" t="str">
        <f>IFERROR(VLOOKUP(A1325,Lookup!A:C,3,0),"")</f>
        <v/>
      </c>
      <c r="D1325" s="54"/>
      <c r="E1325" s="54"/>
      <c r="F1325" s="54"/>
      <c r="G1325" s="72"/>
      <c r="H1325" s="54"/>
      <c r="I1325" s="54"/>
      <c r="J1325" s="106">
        <f>VLOOKUP(A1325&amp;G1325,Lookup!J:N,5,0)</f>
        <v>0</v>
      </c>
      <c r="K1325" s="115"/>
      <c r="L1325" s="54"/>
      <c r="M1325" s="54"/>
      <c r="N1325" s="54"/>
      <c r="O1325" s="112">
        <v>54.9340277777778</v>
      </c>
      <c r="P1325" s="110" t="str">
        <f t="shared" si="86"/>
        <v/>
      </c>
      <c r="Q1325" s="54"/>
      <c r="R1325" s="58"/>
      <c r="S1325" s="87" t="str">
        <f t="shared" si="88"/>
        <v/>
      </c>
      <c r="T1325" s="54"/>
      <c r="U1325" s="54"/>
      <c r="V1325" s="54"/>
      <c r="W1325" s="54"/>
      <c r="X1325" s="69" t="str">
        <f t="shared" si="87"/>
        <v>D</v>
      </c>
    </row>
    <row r="1326" spans="1:24" s="66" customFormat="1" x14ac:dyDescent="0.25">
      <c r="A1326" s="51"/>
      <c r="B1326" s="91" t="str">
        <f>IFERROR(VLOOKUP(A1326,Lookup!A:B,2,0),"")</f>
        <v/>
      </c>
      <c r="C1326" s="92" t="str">
        <f>IFERROR(VLOOKUP(A1326,Lookup!A:C,3,0),"")</f>
        <v/>
      </c>
      <c r="D1326" s="54"/>
      <c r="E1326" s="54"/>
      <c r="F1326" s="54"/>
      <c r="G1326" s="72"/>
      <c r="H1326" s="54"/>
      <c r="I1326" s="54"/>
      <c r="J1326" s="106">
        <f>VLOOKUP(A1326&amp;G1326,Lookup!J:N,5,0)</f>
        <v>0</v>
      </c>
      <c r="K1326" s="115"/>
      <c r="L1326" s="54"/>
      <c r="M1326" s="54"/>
      <c r="N1326" s="54"/>
      <c r="O1326" s="112">
        <v>54.9756944444444</v>
      </c>
      <c r="P1326" s="110" t="str">
        <f t="shared" si="86"/>
        <v/>
      </c>
      <c r="Q1326" s="54"/>
      <c r="R1326" s="58"/>
      <c r="S1326" s="87" t="str">
        <f t="shared" si="88"/>
        <v/>
      </c>
      <c r="T1326" s="54"/>
      <c r="U1326" s="54"/>
      <c r="V1326" s="54"/>
      <c r="W1326" s="54"/>
      <c r="X1326" s="69" t="str">
        <f t="shared" si="87"/>
        <v>D</v>
      </c>
    </row>
    <row r="1327" spans="1:24" s="66" customFormat="1" x14ac:dyDescent="0.25">
      <c r="A1327" s="51"/>
      <c r="B1327" s="91" t="str">
        <f>IFERROR(VLOOKUP(A1327,Lookup!A:B,2,0),"")</f>
        <v/>
      </c>
      <c r="C1327" s="92" t="str">
        <f>IFERROR(VLOOKUP(A1327,Lookup!A:C,3,0),"")</f>
        <v/>
      </c>
      <c r="D1327" s="54"/>
      <c r="E1327" s="54"/>
      <c r="F1327" s="54"/>
      <c r="G1327" s="72"/>
      <c r="H1327" s="54"/>
      <c r="I1327" s="54"/>
      <c r="J1327" s="106">
        <f>VLOOKUP(A1327&amp;G1327,Lookup!J:N,5,0)</f>
        <v>0</v>
      </c>
      <c r="K1327" s="115"/>
      <c r="L1327" s="54"/>
      <c r="M1327" s="54"/>
      <c r="N1327" s="54"/>
      <c r="O1327" s="112">
        <v>55.0173611111111</v>
      </c>
      <c r="P1327" s="110" t="str">
        <f t="shared" si="86"/>
        <v/>
      </c>
      <c r="Q1327" s="54"/>
      <c r="R1327" s="58"/>
      <c r="S1327" s="87" t="str">
        <f t="shared" si="88"/>
        <v/>
      </c>
      <c r="T1327" s="54"/>
      <c r="U1327" s="54"/>
      <c r="V1327" s="54"/>
      <c r="W1327" s="54"/>
      <c r="X1327" s="69" t="str">
        <f t="shared" si="87"/>
        <v>D</v>
      </c>
    </row>
    <row r="1328" spans="1:24" s="66" customFormat="1" x14ac:dyDescent="0.25">
      <c r="A1328" s="51"/>
      <c r="B1328" s="91" t="str">
        <f>IFERROR(VLOOKUP(A1328,Lookup!A:B,2,0),"")</f>
        <v/>
      </c>
      <c r="C1328" s="92" t="str">
        <f>IFERROR(VLOOKUP(A1328,Lookup!A:C,3,0),"")</f>
        <v/>
      </c>
      <c r="D1328" s="54"/>
      <c r="E1328" s="54"/>
      <c r="F1328" s="54"/>
      <c r="G1328" s="72"/>
      <c r="H1328" s="54"/>
      <c r="I1328" s="54"/>
      <c r="J1328" s="106">
        <f>VLOOKUP(A1328&amp;G1328,Lookup!J:N,5,0)</f>
        <v>0</v>
      </c>
      <c r="K1328" s="115"/>
      <c r="L1328" s="54"/>
      <c r="M1328" s="54"/>
      <c r="N1328" s="54"/>
      <c r="O1328" s="112">
        <v>55.0590277777778</v>
      </c>
      <c r="P1328" s="110" t="str">
        <f t="shared" si="86"/>
        <v/>
      </c>
      <c r="Q1328" s="54"/>
      <c r="R1328" s="58"/>
      <c r="S1328" s="87" t="str">
        <f t="shared" si="88"/>
        <v/>
      </c>
      <c r="T1328" s="54"/>
      <c r="U1328" s="54"/>
      <c r="V1328" s="54"/>
      <c r="W1328" s="54"/>
      <c r="X1328" s="69" t="str">
        <f t="shared" si="87"/>
        <v>D</v>
      </c>
    </row>
    <row r="1329" spans="1:24" s="66" customFormat="1" x14ac:dyDescent="0.25">
      <c r="A1329" s="51"/>
      <c r="B1329" s="91" t="str">
        <f>IFERROR(VLOOKUP(A1329,Lookup!A:B,2,0),"")</f>
        <v/>
      </c>
      <c r="C1329" s="92" t="str">
        <f>IFERROR(VLOOKUP(A1329,Lookup!A:C,3,0),"")</f>
        <v/>
      </c>
      <c r="D1329" s="54"/>
      <c r="E1329" s="54"/>
      <c r="F1329" s="54"/>
      <c r="G1329" s="72"/>
      <c r="H1329" s="54"/>
      <c r="I1329" s="54"/>
      <c r="J1329" s="106">
        <f>VLOOKUP(A1329&amp;G1329,Lookup!J:N,5,0)</f>
        <v>0</v>
      </c>
      <c r="K1329" s="115"/>
      <c r="L1329" s="54"/>
      <c r="M1329" s="54"/>
      <c r="N1329" s="54"/>
      <c r="O1329" s="112">
        <v>55.1006944444444</v>
      </c>
      <c r="P1329" s="110" t="str">
        <f t="shared" si="86"/>
        <v/>
      </c>
      <c r="Q1329" s="54"/>
      <c r="R1329" s="58"/>
      <c r="S1329" s="87" t="str">
        <f t="shared" si="88"/>
        <v/>
      </c>
      <c r="T1329" s="54"/>
      <c r="U1329" s="54"/>
      <c r="V1329" s="54"/>
      <c r="W1329" s="54"/>
      <c r="X1329" s="69" t="str">
        <f t="shared" si="87"/>
        <v>D</v>
      </c>
    </row>
    <row r="1330" spans="1:24" s="66" customFormat="1" x14ac:dyDescent="0.25">
      <c r="A1330" s="51"/>
      <c r="B1330" s="91" t="str">
        <f>IFERROR(VLOOKUP(A1330,Lookup!A:B,2,0),"")</f>
        <v/>
      </c>
      <c r="C1330" s="92" t="str">
        <f>IFERROR(VLOOKUP(A1330,Lookup!A:C,3,0),"")</f>
        <v/>
      </c>
      <c r="D1330" s="54"/>
      <c r="E1330" s="54"/>
      <c r="F1330" s="54"/>
      <c r="G1330" s="72"/>
      <c r="H1330" s="54"/>
      <c r="I1330" s="54"/>
      <c r="J1330" s="106">
        <f>VLOOKUP(A1330&amp;G1330,Lookup!J:N,5,0)</f>
        <v>0</v>
      </c>
      <c r="K1330" s="115"/>
      <c r="L1330" s="54"/>
      <c r="M1330" s="54"/>
      <c r="N1330" s="54"/>
      <c r="O1330" s="112">
        <v>55.1423611111111</v>
      </c>
      <c r="P1330" s="110" t="str">
        <f t="shared" si="86"/>
        <v/>
      </c>
      <c r="Q1330" s="54"/>
      <c r="R1330" s="58"/>
      <c r="S1330" s="87" t="str">
        <f t="shared" si="88"/>
        <v/>
      </c>
      <c r="T1330" s="54"/>
      <c r="U1330" s="54"/>
      <c r="V1330" s="54"/>
      <c r="W1330" s="54"/>
      <c r="X1330" s="69" t="str">
        <f t="shared" si="87"/>
        <v>D</v>
      </c>
    </row>
    <row r="1331" spans="1:24" s="66" customFormat="1" x14ac:dyDescent="0.25">
      <c r="A1331" s="51"/>
      <c r="B1331" s="91" t="str">
        <f>IFERROR(VLOOKUP(A1331,Lookup!A:B,2,0),"")</f>
        <v/>
      </c>
      <c r="C1331" s="92" t="str">
        <f>IFERROR(VLOOKUP(A1331,Lookup!A:C,3,0),"")</f>
        <v/>
      </c>
      <c r="D1331" s="54"/>
      <c r="E1331" s="54"/>
      <c r="F1331" s="54"/>
      <c r="G1331" s="72"/>
      <c r="H1331" s="54"/>
      <c r="I1331" s="54"/>
      <c r="J1331" s="106">
        <f>VLOOKUP(A1331&amp;G1331,Lookup!J:N,5,0)</f>
        <v>0</v>
      </c>
      <c r="K1331" s="115"/>
      <c r="L1331" s="54"/>
      <c r="M1331" s="54"/>
      <c r="N1331" s="54"/>
      <c r="O1331" s="112">
        <v>55.1840277777778</v>
      </c>
      <c r="P1331" s="110" t="str">
        <f t="shared" si="86"/>
        <v/>
      </c>
      <c r="Q1331" s="54"/>
      <c r="R1331" s="58"/>
      <c r="S1331" s="87" t="str">
        <f t="shared" si="88"/>
        <v/>
      </c>
      <c r="T1331" s="54"/>
      <c r="U1331" s="54"/>
      <c r="V1331" s="54"/>
      <c r="W1331" s="54"/>
      <c r="X1331" s="69" t="str">
        <f t="shared" si="87"/>
        <v>D</v>
      </c>
    </row>
    <row r="1332" spans="1:24" s="66" customFormat="1" x14ac:dyDescent="0.25">
      <c r="A1332" s="51"/>
      <c r="B1332" s="91" t="str">
        <f>IFERROR(VLOOKUP(A1332,Lookup!A:B,2,0),"")</f>
        <v/>
      </c>
      <c r="C1332" s="92" t="str">
        <f>IFERROR(VLOOKUP(A1332,Lookup!A:C,3,0),"")</f>
        <v/>
      </c>
      <c r="D1332" s="54"/>
      <c r="E1332" s="54"/>
      <c r="F1332" s="54"/>
      <c r="G1332" s="72"/>
      <c r="H1332" s="54"/>
      <c r="I1332" s="54"/>
      <c r="J1332" s="106">
        <f>VLOOKUP(A1332&amp;G1332,Lookup!J:N,5,0)</f>
        <v>0</v>
      </c>
      <c r="K1332" s="115"/>
      <c r="L1332" s="54"/>
      <c r="M1332" s="54"/>
      <c r="N1332" s="54"/>
      <c r="O1332" s="112">
        <v>55.2256944444444</v>
      </c>
      <c r="P1332" s="110" t="str">
        <f t="shared" si="86"/>
        <v/>
      </c>
      <c r="Q1332" s="54"/>
      <c r="R1332" s="58"/>
      <c r="S1332" s="87" t="str">
        <f t="shared" si="88"/>
        <v/>
      </c>
      <c r="T1332" s="54"/>
      <c r="U1332" s="54"/>
      <c r="V1332" s="54"/>
      <c r="W1332" s="54"/>
      <c r="X1332" s="69" t="str">
        <f t="shared" si="87"/>
        <v>D</v>
      </c>
    </row>
    <row r="1333" spans="1:24" s="66" customFormat="1" x14ac:dyDescent="0.25">
      <c r="A1333" s="51"/>
      <c r="B1333" s="91" t="str">
        <f>IFERROR(VLOOKUP(A1333,Lookup!A:B,2,0),"")</f>
        <v/>
      </c>
      <c r="C1333" s="92" t="str">
        <f>IFERROR(VLOOKUP(A1333,Lookup!A:C,3,0),"")</f>
        <v/>
      </c>
      <c r="D1333" s="54"/>
      <c r="E1333" s="54"/>
      <c r="F1333" s="54"/>
      <c r="G1333" s="72"/>
      <c r="H1333" s="54"/>
      <c r="I1333" s="54"/>
      <c r="J1333" s="106">
        <f>VLOOKUP(A1333&amp;G1333,Lookup!J:N,5,0)</f>
        <v>0</v>
      </c>
      <c r="K1333" s="115"/>
      <c r="L1333" s="54"/>
      <c r="M1333" s="54"/>
      <c r="N1333" s="54"/>
      <c r="O1333" s="112">
        <v>55.2673611111111</v>
      </c>
      <c r="P1333" s="110" t="str">
        <f t="shared" si="86"/>
        <v/>
      </c>
      <c r="Q1333" s="54"/>
      <c r="R1333" s="58"/>
      <c r="S1333" s="87" t="str">
        <f t="shared" si="88"/>
        <v/>
      </c>
      <c r="T1333" s="54"/>
      <c r="U1333" s="54"/>
      <c r="V1333" s="54"/>
      <c r="W1333" s="54"/>
      <c r="X1333" s="69" t="str">
        <f t="shared" si="87"/>
        <v>D</v>
      </c>
    </row>
    <row r="1334" spans="1:24" s="66" customFormat="1" x14ac:dyDescent="0.25">
      <c r="A1334" s="51"/>
      <c r="B1334" s="91" t="str">
        <f>IFERROR(VLOOKUP(A1334,Lookup!A:B,2,0),"")</f>
        <v/>
      </c>
      <c r="C1334" s="92" t="str">
        <f>IFERROR(VLOOKUP(A1334,Lookup!A:C,3,0),"")</f>
        <v/>
      </c>
      <c r="D1334" s="54"/>
      <c r="E1334" s="54"/>
      <c r="F1334" s="54"/>
      <c r="G1334" s="72"/>
      <c r="H1334" s="54"/>
      <c r="I1334" s="54"/>
      <c r="J1334" s="106">
        <f>VLOOKUP(A1334&amp;G1334,Lookup!J:N,5,0)</f>
        <v>0</v>
      </c>
      <c r="K1334" s="115"/>
      <c r="L1334" s="54"/>
      <c r="M1334" s="54"/>
      <c r="N1334" s="54"/>
      <c r="O1334" s="112">
        <v>55.3090277777778</v>
      </c>
      <c r="P1334" s="110" t="str">
        <f t="shared" si="86"/>
        <v/>
      </c>
      <c r="Q1334" s="54"/>
      <c r="R1334" s="58"/>
      <c r="S1334" s="87" t="str">
        <f t="shared" si="88"/>
        <v/>
      </c>
      <c r="T1334" s="54"/>
      <c r="U1334" s="54"/>
      <c r="V1334" s="54"/>
      <c r="W1334" s="54"/>
      <c r="X1334" s="69" t="str">
        <f t="shared" si="87"/>
        <v>D</v>
      </c>
    </row>
    <row r="1335" spans="1:24" s="66" customFormat="1" x14ac:dyDescent="0.25">
      <c r="A1335" s="51"/>
      <c r="B1335" s="91" t="str">
        <f>IFERROR(VLOOKUP(A1335,Lookup!A:B,2,0),"")</f>
        <v/>
      </c>
      <c r="C1335" s="92" t="str">
        <f>IFERROR(VLOOKUP(A1335,Lookup!A:C,3,0),"")</f>
        <v/>
      </c>
      <c r="D1335" s="54"/>
      <c r="E1335" s="54"/>
      <c r="F1335" s="54"/>
      <c r="G1335" s="72"/>
      <c r="H1335" s="54"/>
      <c r="I1335" s="54"/>
      <c r="J1335" s="106">
        <f>VLOOKUP(A1335&amp;G1335,Lookup!J:N,5,0)</f>
        <v>0</v>
      </c>
      <c r="K1335" s="115"/>
      <c r="L1335" s="54"/>
      <c r="M1335" s="54"/>
      <c r="N1335" s="54"/>
      <c r="O1335" s="112">
        <v>55.3506944444444</v>
      </c>
      <c r="P1335" s="110" t="str">
        <f t="shared" si="86"/>
        <v/>
      </c>
      <c r="Q1335" s="54"/>
      <c r="R1335" s="58"/>
      <c r="S1335" s="87" t="str">
        <f t="shared" si="88"/>
        <v/>
      </c>
      <c r="T1335" s="54"/>
      <c r="U1335" s="54"/>
      <c r="V1335" s="54"/>
      <c r="W1335" s="54"/>
      <c r="X1335" s="69" t="str">
        <f t="shared" si="87"/>
        <v>D</v>
      </c>
    </row>
    <row r="1336" spans="1:24" s="66" customFormat="1" x14ac:dyDescent="0.25">
      <c r="A1336" s="51"/>
      <c r="B1336" s="91" t="str">
        <f>IFERROR(VLOOKUP(A1336,Lookup!A:B,2,0),"")</f>
        <v/>
      </c>
      <c r="C1336" s="92" t="str">
        <f>IFERROR(VLOOKUP(A1336,Lookup!A:C,3,0),"")</f>
        <v/>
      </c>
      <c r="D1336" s="54"/>
      <c r="E1336" s="54"/>
      <c r="F1336" s="54"/>
      <c r="G1336" s="72"/>
      <c r="H1336" s="54"/>
      <c r="I1336" s="54"/>
      <c r="J1336" s="106">
        <f>VLOOKUP(A1336&amp;G1336,Lookup!J:N,5,0)</f>
        <v>0</v>
      </c>
      <c r="K1336" s="115"/>
      <c r="L1336" s="54"/>
      <c r="M1336" s="54"/>
      <c r="N1336" s="54"/>
      <c r="O1336" s="112">
        <v>55.3923611111111</v>
      </c>
      <c r="P1336" s="110" t="str">
        <f t="shared" si="86"/>
        <v/>
      </c>
      <c r="Q1336" s="54"/>
      <c r="R1336" s="58"/>
      <c r="S1336" s="87" t="str">
        <f t="shared" si="88"/>
        <v/>
      </c>
      <c r="T1336" s="54"/>
      <c r="U1336" s="54"/>
      <c r="V1336" s="54"/>
      <c r="W1336" s="54"/>
      <c r="X1336" s="69" t="str">
        <f t="shared" si="87"/>
        <v>D</v>
      </c>
    </row>
    <row r="1337" spans="1:24" s="66" customFormat="1" x14ac:dyDescent="0.25">
      <c r="A1337" s="51"/>
      <c r="B1337" s="91" t="str">
        <f>IFERROR(VLOOKUP(A1337,Lookup!A:B,2,0),"")</f>
        <v/>
      </c>
      <c r="C1337" s="92" t="str">
        <f>IFERROR(VLOOKUP(A1337,Lookup!A:C,3,0),"")</f>
        <v/>
      </c>
      <c r="D1337" s="54"/>
      <c r="E1337" s="54"/>
      <c r="F1337" s="54"/>
      <c r="G1337" s="72"/>
      <c r="H1337" s="54"/>
      <c r="I1337" s="54"/>
      <c r="J1337" s="106">
        <f>VLOOKUP(A1337&amp;G1337,Lookup!J:N,5,0)</f>
        <v>0</v>
      </c>
      <c r="K1337" s="115"/>
      <c r="L1337" s="54"/>
      <c r="M1337" s="54"/>
      <c r="N1337" s="54"/>
      <c r="O1337" s="112">
        <v>55.4340277777778</v>
      </c>
      <c r="P1337" s="110" t="str">
        <f t="shared" si="86"/>
        <v/>
      </c>
      <c r="Q1337" s="54"/>
      <c r="R1337" s="58"/>
      <c r="S1337" s="87" t="str">
        <f t="shared" si="88"/>
        <v/>
      </c>
      <c r="T1337" s="54"/>
      <c r="U1337" s="54"/>
      <c r="V1337" s="54"/>
      <c r="W1337" s="54"/>
      <c r="X1337" s="69" t="str">
        <f t="shared" si="87"/>
        <v>D</v>
      </c>
    </row>
    <row r="1338" spans="1:24" s="66" customFormat="1" x14ac:dyDescent="0.25">
      <c r="A1338" s="51"/>
      <c r="B1338" s="91" t="str">
        <f>IFERROR(VLOOKUP(A1338,Lookup!A:B,2,0),"")</f>
        <v/>
      </c>
      <c r="C1338" s="92" t="str">
        <f>IFERROR(VLOOKUP(A1338,Lookup!A:C,3,0),"")</f>
        <v/>
      </c>
      <c r="D1338" s="54"/>
      <c r="E1338" s="54"/>
      <c r="F1338" s="54"/>
      <c r="G1338" s="72"/>
      <c r="H1338" s="54"/>
      <c r="I1338" s="54"/>
      <c r="J1338" s="106">
        <f>VLOOKUP(A1338&amp;G1338,Lookup!J:N,5,0)</f>
        <v>0</v>
      </c>
      <c r="K1338" s="115"/>
      <c r="L1338" s="54"/>
      <c r="M1338" s="54"/>
      <c r="N1338" s="54"/>
      <c r="O1338" s="112">
        <v>55.4756944444444</v>
      </c>
      <c r="P1338" s="110" t="str">
        <f t="shared" si="86"/>
        <v/>
      </c>
      <c r="Q1338" s="54"/>
      <c r="R1338" s="58"/>
      <c r="S1338" s="87" t="str">
        <f t="shared" si="88"/>
        <v/>
      </c>
      <c r="T1338" s="54"/>
      <c r="U1338" s="54"/>
      <c r="V1338" s="54"/>
      <c r="W1338" s="54"/>
      <c r="X1338" s="69" t="str">
        <f t="shared" si="87"/>
        <v>D</v>
      </c>
    </row>
    <row r="1339" spans="1:24" s="66" customFormat="1" x14ac:dyDescent="0.25">
      <c r="A1339" s="51"/>
      <c r="B1339" s="91" t="str">
        <f>IFERROR(VLOOKUP(A1339,Lookup!A:B,2,0),"")</f>
        <v/>
      </c>
      <c r="C1339" s="92" t="str">
        <f>IFERROR(VLOOKUP(A1339,Lookup!A:C,3,0),"")</f>
        <v/>
      </c>
      <c r="D1339" s="54"/>
      <c r="E1339" s="54"/>
      <c r="F1339" s="54"/>
      <c r="G1339" s="72"/>
      <c r="H1339" s="54"/>
      <c r="I1339" s="54"/>
      <c r="J1339" s="106">
        <f>VLOOKUP(A1339&amp;G1339,Lookup!J:N,5,0)</f>
        <v>0</v>
      </c>
      <c r="K1339" s="115"/>
      <c r="L1339" s="54"/>
      <c r="M1339" s="54"/>
      <c r="N1339" s="54"/>
      <c r="O1339" s="112">
        <v>55.5173611111111</v>
      </c>
      <c r="P1339" s="110" t="str">
        <f t="shared" si="86"/>
        <v/>
      </c>
      <c r="Q1339" s="54"/>
      <c r="R1339" s="58"/>
      <c r="S1339" s="87" t="str">
        <f t="shared" si="88"/>
        <v/>
      </c>
      <c r="T1339" s="54"/>
      <c r="U1339" s="54"/>
      <c r="V1339" s="54"/>
      <c r="W1339" s="54"/>
      <c r="X1339" s="69" t="str">
        <f t="shared" si="87"/>
        <v>D</v>
      </c>
    </row>
    <row r="1340" spans="1:24" s="66" customFormat="1" x14ac:dyDescent="0.25">
      <c r="A1340" s="51"/>
      <c r="B1340" s="91" t="str">
        <f>IFERROR(VLOOKUP(A1340,Lookup!A:B,2,0),"")</f>
        <v/>
      </c>
      <c r="C1340" s="92" t="str">
        <f>IFERROR(VLOOKUP(A1340,Lookup!A:C,3,0),"")</f>
        <v/>
      </c>
      <c r="D1340" s="54"/>
      <c r="E1340" s="54"/>
      <c r="F1340" s="54"/>
      <c r="G1340" s="72"/>
      <c r="H1340" s="54"/>
      <c r="I1340" s="54"/>
      <c r="J1340" s="106">
        <f>VLOOKUP(A1340&amp;G1340,Lookup!J:N,5,0)</f>
        <v>0</v>
      </c>
      <c r="K1340" s="115"/>
      <c r="L1340" s="54"/>
      <c r="M1340" s="54"/>
      <c r="N1340" s="54"/>
      <c r="O1340" s="112">
        <v>55.5590277777778</v>
      </c>
      <c r="P1340" s="110" t="str">
        <f t="shared" si="86"/>
        <v/>
      </c>
      <c r="Q1340" s="54"/>
      <c r="R1340" s="58"/>
      <c r="S1340" s="87" t="str">
        <f t="shared" si="88"/>
        <v/>
      </c>
      <c r="T1340" s="54"/>
      <c r="U1340" s="54"/>
      <c r="V1340" s="54"/>
      <c r="W1340" s="54"/>
      <c r="X1340" s="69" t="str">
        <f t="shared" si="87"/>
        <v>D</v>
      </c>
    </row>
    <row r="1341" spans="1:24" s="66" customFormat="1" x14ac:dyDescent="0.25">
      <c r="A1341" s="51"/>
      <c r="B1341" s="91" t="str">
        <f>IFERROR(VLOOKUP(A1341,Lookup!A:B,2,0),"")</f>
        <v/>
      </c>
      <c r="C1341" s="92" t="str">
        <f>IFERROR(VLOOKUP(A1341,Lookup!A:C,3,0),"")</f>
        <v/>
      </c>
      <c r="D1341" s="54"/>
      <c r="E1341" s="54"/>
      <c r="F1341" s="54"/>
      <c r="G1341" s="72"/>
      <c r="H1341" s="54"/>
      <c r="I1341" s="54"/>
      <c r="J1341" s="106">
        <f>VLOOKUP(A1341&amp;G1341,Lookup!J:N,5,0)</f>
        <v>0</v>
      </c>
      <c r="K1341" s="115"/>
      <c r="L1341" s="54"/>
      <c r="M1341" s="54"/>
      <c r="N1341" s="54"/>
      <c r="O1341" s="112">
        <v>55.6006944444444</v>
      </c>
      <c r="P1341" s="110" t="str">
        <f t="shared" si="86"/>
        <v/>
      </c>
      <c r="Q1341" s="54"/>
      <c r="R1341" s="58"/>
      <c r="S1341" s="87" t="str">
        <f t="shared" si="88"/>
        <v/>
      </c>
      <c r="T1341" s="54"/>
      <c r="U1341" s="54"/>
      <c r="V1341" s="54"/>
      <c r="W1341" s="54"/>
      <c r="X1341" s="69" t="str">
        <f t="shared" si="87"/>
        <v>D</v>
      </c>
    </row>
    <row r="1342" spans="1:24" s="66" customFormat="1" x14ac:dyDescent="0.25">
      <c r="A1342" s="51"/>
      <c r="B1342" s="91" t="str">
        <f>IFERROR(VLOOKUP(A1342,Lookup!A:B,2,0),"")</f>
        <v/>
      </c>
      <c r="C1342" s="92" t="str">
        <f>IFERROR(VLOOKUP(A1342,Lookup!A:C,3,0),"")</f>
        <v/>
      </c>
      <c r="D1342" s="54"/>
      <c r="E1342" s="54"/>
      <c r="F1342" s="54"/>
      <c r="G1342" s="72"/>
      <c r="H1342" s="54"/>
      <c r="I1342" s="54"/>
      <c r="J1342" s="106">
        <f>VLOOKUP(A1342&amp;G1342,Lookup!J:N,5,0)</f>
        <v>0</v>
      </c>
      <c r="K1342" s="115"/>
      <c r="L1342" s="54"/>
      <c r="M1342" s="54"/>
      <c r="N1342" s="54"/>
      <c r="O1342" s="112">
        <v>55.6423611111111</v>
      </c>
      <c r="P1342" s="110" t="str">
        <f t="shared" si="86"/>
        <v/>
      </c>
      <c r="Q1342" s="54"/>
      <c r="R1342" s="58"/>
      <c r="S1342" s="87" t="str">
        <f t="shared" si="88"/>
        <v/>
      </c>
      <c r="T1342" s="54"/>
      <c r="U1342" s="54"/>
      <c r="V1342" s="54"/>
      <c r="W1342" s="54"/>
      <c r="X1342" s="69" t="str">
        <f t="shared" si="87"/>
        <v>D</v>
      </c>
    </row>
    <row r="1343" spans="1:24" s="66" customFormat="1" x14ac:dyDescent="0.25">
      <c r="A1343" s="51"/>
      <c r="B1343" s="91" t="str">
        <f>IFERROR(VLOOKUP(A1343,Lookup!A:B,2,0),"")</f>
        <v/>
      </c>
      <c r="C1343" s="92" t="str">
        <f>IFERROR(VLOOKUP(A1343,Lookup!A:C,3,0),"")</f>
        <v/>
      </c>
      <c r="D1343" s="54"/>
      <c r="E1343" s="54"/>
      <c r="F1343" s="54"/>
      <c r="G1343" s="72"/>
      <c r="H1343" s="54"/>
      <c r="I1343" s="54"/>
      <c r="J1343" s="106">
        <f>VLOOKUP(A1343&amp;G1343,Lookup!J:N,5,0)</f>
        <v>0</v>
      </c>
      <c r="K1343" s="115"/>
      <c r="L1343" s="54"/>
      <c r="M1343" s="54"/>
      <c r="N1343" s="54"/>
      <c r="O1343" s="112">
        <v>55.6840277777778</v>
      </c>
      <c r="P1343" s="110" t="str">
        <f t="shared" si="86"/>
        <v/>
      </c>
      <c r="Q1343" s="54"/>
      <c r="R1343" s="58"/>
      <c r="S1343" s="87" t="str">
        <f t="shared" si="88"/>
        <v/>
      </c>
      <c r="T1343" s="54"/>
      <c r="U1343" s="54"/>
      <c r="V1343" s="54"/>
      <c r="W1343" s="54"/>
      <c r="X1343" s="69" t="str">
        <f t="shared" si="87"/>
        <v>D</v>
      </c>
    </row>
    <row r="1344" spans="1:24" s="66" customFormat="1" x14ac:dyDescent="0.25">
      <c r="A1344" s="51"/>
      <c r="B1344" s="91" t="str">
        <f>IFERROR(VLOOKUP(A1344,Lookup!A:B,2,0),"")</f>
        <v/>
      </c>
      <c r="C1344" s="92" t="str">
        <f>IFERROR(VLOOKUP(A1344,Lookup!A:C,3,0),"")</f>
        <v/>
      </c>
      <c r="D1344" s="54"/>
      <c r="E1344" s="54"/>
      <c r="F1344" s="54"/>
      <c r="G1344" s="72"/>
      <c r="H1344" s="54"/>
      <c r="I1344" s="54"/>
      <c r="J1344" s="106">
        <f>VLOOKUP(A1344&amp;G1344,Lookup!J:N,5,0)</f>
        <v>0</v>
      </c>
      <c r="K1344" s="115"/>
      <c r="L1344" s="54"/>
      <c r="M1344" s="54"/>
      <c r="N1344" s="54"/>
      <c r="O1344" s="112">
        <v>55.7256944444444</v>
      </c>
      <c r="P1344" s="110" t="str">
        <f t="shared" si="86"/>
        <v/>
      </c>
      <c r="Q1344" s="54"/>
      <c r="R1344" s="58"/>
      <c r="S1344" s="87" t="str">
        <f t="shared" si="88"/>
        <v/>
      </c>
      <c r="T1344" s="54"/>
      <c r="U1344" s="54"/>
      <c r="V1344" s="54"/>
      <c r="W1344" s="54"/>
      <c r="X1344" s="69" t="str">
        <f t="shared" si="87"/>
        <v>D</v>
      </c>
    </row>
    <row r="1345" spans="1:24" s="66" customFormat="1" x14ac:dyDescent="0.25">
      <c r="A1345" s="51"/>
      <c r="B1345" s="91" t="str">
        <f>IFERROR(VLOOKUP(A1345,Lookup!A:B,2,0),"")</f>
        <v/>
      </c>
      <c r="C1345" s="92" t="str">
        <f>IFERROR(VLOOKUP(A1345,Lookup!A:C,3,0),"")</f>
        <v/>
      </c>
      <c r="D1345" s="54"/>
      <c r="E1345" s="54"/>
      <c r="F1345" s="54"/>
      <c r="G1345" s="72"/>
      <c r="H1345" s="54"/>
      <c r="I1345" s="54"/>
      <c r="J1345" s="106">
        <f>VLOOKUP(A1345&amp;G1345,Lookup!J:N,5,0)</f>
        <v>0</v>
      </c>
      <c r="K1345" s="115"/>
      <c r="L1345" s="54"/>
      <c r="M1345" s="54"/>
      <c r="N1345" s="54"/>
      <c r="O1345" s="112">
        <v>55.7673611111111</v>
      </c>
      <c r="P1345" s="110" t="str">
        <f t="shared" si="86"/>
        <v/>
      </c>
      <c r="Q1345" s="54"/>
      <c r="R1345" s="58"/>
      <c r="S1345" s="87" t="str">
        <f t="shared" si="88"/>
        <v/>
      </c>
      <c r="T1345" s="54"/>
      <c r="U1345" s="54"/>
      <c r="V1345" s="54"/>
      <c r="W1345" s="54"/>
      <c r="X1345" s="69" t="str">
        <f t="shared" si="87"/>
        <v>D</v>
      </c>
    </row>
    <row r="1346" spans="1:24" s="66" customFormat="1" x14ac:dyDescent="0.25">
      <c r="A1346" s="51"/>
      <c r="B1346" s="91" t="str">
        <f>IFERROR(VLOOKUP(A1346,Lookup!A:B,2,0),"")</f>
        <v/>
      </c>
      <c r="C1346" s="92" t="str">
        <f>IFERROR(VLOOKUP(A1346,Lookup!A:C,3,0),"")</f>
        <v/>
      </c>
      <c r="D1346" s="54"/>
      <c r="E1346" s="54"/>
      <c r="F1346" s="54"/>
      <c r="G1346" s="72"/>
      <c r="H1346" s="54"/>
      <c r="I1346" s="54"/>
      <c r="J1346" s="106">
        <f>VLOOKUP(A1346&amp;G1346,Lookup!J:N,5,0)</f>
        <v>0</v>
      </c>
      <c r="K1346" s="115"/>
      <c r="L1346" s="54"/>
      <c r="M1346" s="54"/>
      <c r="N1346" s="54"/>
      <c r="O1346" s="112">
        <v>55.8090277777778</v>
      </c>
      <c r="P1346" s="110" t="str">
        <f t="shared" si="86"/>
        <v/>
      </c>
      <c r="Q1346" s="54"/>
      <c r="R1346" s="58"/>
      <c r="S1346" s="87" t="str">
        <f t="shared" si="88"/>
        <v/>
      </c>
      <c r="T1346" s="54"/>
      <c r="U1346" s="54"/>
      <c r="V1346" s="54"/>
      <c r="W1346" s="54"/>
      <c r="X1346" s="69" t="str">
        <f t="shared" si="87"/>
        <v>D</v>
      </c>
    </row>
    <row r="1347" spans="1:24" s="66" customFormat="1" x14ac:dyDescent="0.25">
      <c r="A1347" s="51"/>
      <c r="B1347" s="91" t="str">
        <f>IFERROR(VLOOKUP(A1347,Lookup!A:B,2,0),"")</f>
        <v/>
      </c>
      <c r="C1347" s="92" t="str">
        <f>IFERROR(VLOOKUP(A1347,Lookup!A:C,3,0),"")</f>
        <v/>
      </c>
      <c r="D1347" s="54"/>
      <c r="E1347" s="54"/>
      <c r="F1347" s="54"/>
      <c r="G1347" s="72"/>
      <c r="H1347" s="54"/>
      <c r="I1347" s="54"/>
      <c r="J1347" s="106">
        <f>VLOOKUP(A1347&amp;G1347,Lookup!J:N,5,0)</f>
        <v>0</v>
      </c>
      <c r="K1347" s="115"/>
      <c r="L1347" s="54"/>
      <c r="M1347" s="54"/>
      <c r="N1347" s="54"/>
      <c r="O1347" s="112">
        <v>55.8506944444444</v>
      </c>
      <c r="P1347" s="110" t="str">
        <f t="shared" ref="P1347:P1410" si="89">IF(N1347="","",N1347+O1347)</f>
        <v/>
      </c>
      <c r="Q1347" s="54"/>
      <c r="R1347" s="58"/>
      <c r="S1347" s="87" t="str">
        <f t="shared" si="88"/>
        <v/>
      </c>
      <c r="T1347" s="54"/>
      <c r="U1347" s="54"/>
      <c r="V1347" s="54"/>
      <c r="W1347" s="54"/>
      <c r="X1347" s="69" t="str">
        <f t="shared" ref="X1347:X1410" si="90">IF(I1347="SET","A",IF(I1347="FREQ","C",IF(I1347="","D","B")))</f>
        <v>D</v>
      </c>
    </row>
    <row r="1348" spans="1:24" s="66" customFormat="1" x14ac:dyDescent="0.25">
      <c r="A1348" s="51"/>
      <c r="B1348" s="91" t="str">
        <f>IFERROR(VLOOKUP(A1348,Lookup!A:B,2,0),"")</f>
        <v/>
      </c>
      <c r="C1348" s="92" t="str">
        <f>IFERROR(VLOOKUP(A1348,Lookup!A:C,3,0),"")</f>
        <v/>
      </c>
      <c r="D1348" s="54"/>
      <c r="E1348" s="54"/>
      <c r="F1348" s="54"/>
      <c r="G1348" s="72"/>
      <c r="H1348" s="54"/>
      <c r="I1348" s="54"/>
      <c r="J1348" s="106">
        <f>VLOOKUP(A1348&amp;G1348,Lookup!J:N,5,0)</f>
        <v>0</v>
      </c>
      <c r="K1348" s="115"/>
      <c r="L1348" s="54"/>
      <c r="M1348" s="54"/>
      <c r="N1348" s="54"/>
      <c r="O1348" s="112">
        <v>55.8923611111111</v>
      </c>
      <c r="P1348" s="110" t="str">
        <f t="shared" si="89"/>
        <v/>
      </c>
      <c r="Q1348" s="54"/>
      <c r="R1348" s="58"/>
      <c r="S1348" s="87" t="str">
        <f t="shared" si="88"/>
        <v/>
      </c>
      <c r="T1348" s="54"/>
      <c r="U1348" s="54"/>
      <c r="V1348" s="54"/>
      <c r="W1348" s="54"/>
      <c r="X1348" s="69" t="str">
        <f t="shared" si="90"/>
        <v>D</v>
      </c>
    </row>
    <row r="1349" spans="1:24" s="66" customFormat="1" x14ac:dyDescent="0.25">
      <c r="A1349" s="51"/>
      <c r="B1349" s="91" t="str">
        <f>IFERROR(VLOOKUP(A1349,Lookup!A:B,2,0),"")</f>
        <v/>
      </c>
      <c r="C1349" s="92" t="str">
        <f>IFERROR(VLOOKUP(A1349,Lookup!A:C,3,0),"")</f>
        <v/>
      </c>
      <c r="D1349" s="54"/>
      <c r="E1349" s="54"/>
      <c r="F1349" s="54"/>
      <c r="G1349" s="72"/>
      <c r="H1349" s="54"/>
      <c r="I1349" s="54"/>
      <c r="J1349" s="106">
        <f>VLOOKUP(A1349&amp;G1349,Lookup!J:N,5,0)</f>
        <v>0</v>
      </c>
      <c r="K1349" s="115"/>
      <c r="L1349" s="54"/>
      <c r="M1349" s="54"/>
      <c r="N1349" s="54"/>
      <c r="O1349" s="112">
        <v>55.9340277777778</v>
      </c>
      <c r="P1349" s="110" t="str">
        <f t="shared" si="89"/>
        <v/>
      </c>
      <c r="Q1349" s="54"/>
      <c r="R1349" s="58"/>
      <c r="S1349" s="87" t="str">
        <f t="shared" si="88"/>
        <v/>
      </c>
      <c r="T1349" s="54"/>
      <c r="U1349" s="54"/>
      <c r="V1349" s="54"/>
      <c r="W1349" s="54"/>
      <c r="X1349" s="69" t="str">
        <f t="shared" si="90"/>
        <v>D</v>
      </c>
    </row>
    <row r="1350" spans="1:24" s="66" customFormat="1" x14ac:dyDescent="0.25">
      <c r="A1350" s="51"/>
      <c r="B1350" s="91" t="str">
        <f>IFERROR(VLOOKUP(A1350,Lookup!A:B,2,0),"")</f>
        <v/>
      </c>
      <c r="C1350" s="92" t="str">
        <f>IFERROR(VLOOKUP(A1350,Lookup!A:C,3,0),"")</f>
        <v/>
      </c>
      <c r="D1350" s="54"/>
      <c r="E1350" s="54"/>
      <c r="F1350" s="54"/>
      <c r="G1350" s="72"/>
      <c r="H1350" s="54"/>
      <c r="I1350" s="54"/>
      <c r="J1350" s="106">
        <f>VLOOKUP(A1350&amp;G1350,Lookup!J:N,5,0)</f>
        <v>0</v>
      </c>
      <c r="K1350" s="115"/>
      <c r="L1350" s="54"/>
      <c r="M1350" s="54"/>
      <c r="N1350" s="54"/>
      <c r="O1350" s="112">
        <v>55.9756944444444</v>
      </c>
      <c r="P1350" s="110" t="str">
        <f t="shared" si="89"/>
        <v/>
      </c>
      <c r="Q1350" s="54"/>
      <c r="R1350" s="58"/>
      <c r="S1350" s="87" t="str">
        <f t="shared" si="88"/>
        <v/>
      </c>
      <c r="T1350" s="54"/>
      <c r="U1350" s="54"/>
      <c r="V1350" s="54"/>
      <c r="W1350" s="54"/>
      <c r="X1350" s="69" t="str">
        <f t="shared" si="90"/>
        <v>D</v>
      </c>
    </row>
    <row r="1351" spans="1:24" s="66" customFormat="1" x14ac:dyDescent="0.25">
      <c r="A1351" s="51"/>
      <c r="B1351" s="91" t="str">
        <f>IFERROR(VLOOKUP(A1351,Lookup!A:B,2,0),"")</f>
        <v/>
      </c>
      <c r="C1351" s="92" t="str">
        <f>IFERROR(VLOOKUP(A1351,Lookup!A:C,3,0),"")</f>
        <v/>
      </c>
      <c r="D1351" s="54"/>
      <c r="E1351" s="54"/>
      <c r="F1351" s="54"/>
      <c r="G1351" s="72"/>
      <c r="H1351" s="54"/>
      <c r="I1351" s="54"/>
      <c r="J1351" s="106">
        <f>VLOOKUP(A1351&amp;G1351,Lookup!J:N,5,0)</f>
        <v>0</v>
      </c>
      <c r="K1351" s="115"/>
      <c r="L1351" s="54"/>
      <c r="M1351" s="54"/>
      <c r="N1351" s="54"/>
      <c r="O1351" s="112">
        <v>56.0173611111111</v>
      </c>
      <c r="P1351" s="110" t="str">
        <f t="shared" si="89"/>
        <v/>
      </c>
      <c r="Q1351" s="54"/>
      <c r="R1351" s="58"/>
      <c r="S1351" s="87" t="str">
        <f t="shared" ref="S1351:S1414" si="91">IF(OR(EXACT(Q1351,""), EXACT(L1351,"")),"",Q1351-L1351)</f>
        <v/>
      </c>
      <c r="T1351" s="54"/>
      <c r="U1351" s="54"/>
      <c r="V1351" s="54"/>
      <c r="W1351" s="54"/>
      <c r="X1351" s="69" t="str">
        <f t="shared" si="90"/>
        <v>D</v>
      </c>
    </row>
    <row r="1352" spans="1:24" s="66" customFormat="1" x14ac:dyDescent="0.25">
      <c r="A1352" s="51"/>
      <c r="B1352" s="91" t="str">
        <f>IFERROR(VLOOKUP(A1352,Lookup!A:B,2,0),"")</f>
        <v/>
      </c>
      <c r="C1352" s="92" t="str">
        <f>IFERROR(VLOOKUP(A1352,Lookup!A:C,3,0),"")</f>
        <v/>
      </c>
      <c r="D1352" s="54"/>
      <c r="E1352" s="54"/>
      <c r="F1352" s="54"/>
      <c r="G1352" s="72"/>
      <c r="H1352" s="54"/>
      <c r="I1352" s="54"/>
      <c r="J1352" s="106">
        <f>VLOOKUP(A1352&amp;G1352,Lookup!J:N,5,0)</f>
        <v>0</v>
      </c>
      <c r="K1352" s="115"/>
      <c r="L1352" s="54"/>
      <c r="M1352" s="54"/>
      <c r="N1352" s="54"/>
      <c r="O1352" s="112">
        <v>56.0590277777778</v>
      </c>
      <c r="P1352" s="110" t="str">
        <f t="shared" si="89"/>
        <v/>
      </c>
      <c r="Q1352" s="54"/>
      <c r="R1352" s="58"/>
      <c r="S1352" s="87" t="str">
        <f t="shared" si="91"/>
        <v/>
      </c>
      <c r="T1352" s="54"/>
      <c r="U1352" s="54"/>
      <c r="V1352" s="54"/>
      <c r="W1352" s="54"/>
      <c r="X1352" s="69" t="str">
        <f t="shared" si="90"/>
        <v>D</v>
      </c>
    </row>
    <row r="1353" spans="1:24" s="66" customFormat="1" x14ac:dyDescent="0.25">
      <c r="A1353" s="51"/>
      <c r="B1353" s="91" t="str">
        <f>IFERROR(VLOOKUP(A1353,Lookup!A:B,2,0),"")</f>
        <v/>
      </c>
      <c r="C1353" s="92" t="str">
        <f>IFERROR(VLOOKUP(A1353,Lookup!A:C,3,0),"")</f>
        <v/>
      </c>
      <c r="D1353" s="54"/>
      <c r="E1353" s="54"/>
      <c r="F1353" s="54"/>
      <c r="G1353" s="72"/>
      <c r="H1353" s="54"/>
      <c r="I1353" s="54"/>
      <c r="J1353" s="106">
        <f>VLOOKUP(A1353&amp;G1353,Lookup!J:N,5,0)</f>
        <v>0</v>
      </c>
      <c r="K1353" s="115"/>
      <c r="L1353" s="54"/>
      <c r="M1353" s="54"/>
      <c r="N1353" s="54"/>
      <c r="O1353" s="112">
        <v>56.1006944444444</v>
      </c>
      <c r="P1353" s="110" t="str">
        <f t="shared" si="89"/>
        <v/>
      </c>
      <c r="Q1353" s="54"/>
      <c r="R1353" s="58"/>
      <c r="S1353" s="87" t="str">
        <f t="shared" si="91"/>
        <v/>
      </c>
      <c r="T1353" s="54"/>
      <c r="U1353" s="54"/>
      <c r="V1353" s="54"/>
      <c r="W1353" s="54"/>
      <c r="X1353" s="69" t="str">
        <f t="shared" si="90"/>
        <v>D</v>
      </c>
    </row>
    <row r="1354" spans="1:24" s="66" customFormat="1" x14ac:dyDescent="0.25">
      <c r="A1354" s="51"/>
      <c r="B1354" s="91" t="str">
        <f>IFERROR(VLOOKUP(A1354,Lookup!A:B,2,0),"")</f>
        <v/>
      </c>
      <c r="C1354" s="92" t="str">
        <f>IFERROR(VLOOKUP(A1354,Lookup!A:C,3,0),"")</f>
        <v/>
      </c>
      <c r="D1354" s="54"/>
      <c r="E1354" s="54"/>
      <c r="F1354" s="54"/>
      <c r="G1354" s="72"/>
      <c r="H1354" s="54"/>
      <c r="I1354" s="54"/>
      <c r="J1354" s="106">
        <f>VLOOKUP(A1354&amp;G1354,Lookup!J:N,5,0)</f>
        <v>0</v>
      </c>
      <c r="K1354" s="115"/>
      <c r="L1354" s="54"/>
      <c r="M1354" s="54"/>
      <c r="N1354" s="54"/>
      <c r="O1354" s="112">
        <v>56.1423611111111</v>
      </c>
      <c r="P1354" s="110" t="str">
        <f t="shared" si="89"/>
        <v/>
      </c>
      <c r="Q1354" s="54"/>
      <c r="R1354" s="58"/>
      <c r="S1354" s="87" t="str">
        <f t="shared" si="91"/>
        <v/>
      </c>
      <c r="T1354" s="54"/>
      <c r="U1354" s="54"/>
      <c r="V1354" s="54"/>
      <c r="W1354" s="54"/>
      <c r="X1354" s="69" t="str">
        <f t="shared" si="90"/>
        <v>D</v>
      </c>
    </row>
    <row r="1355" spans="1:24" s="66" customFormat="1" x14ac:dyDescent="0.25">
      <c r="A1355" s="51"/>
      <c r="B1355" s="91" t="str">
        <f>IFERROR(VLOOKUP(A1355,Lookup!A:B,2,0),"")</f>
        <v/>
      </c>
      <c r="C1355" s="92" t="str">
        <f>IFERROR(VLOOKUP(A1355,Lookup!A:C,3,0),"")</f>
        <v/>
      </c>
      <c r="D1355" s="54"/>
      <c r="E1355" s="54"/>
      <c r="F1355" s="54"/>
      <c r="G1355" s="72"/>
      <c r="H1355" s="54"/>
      <c r="I1355" s="54"/>
      <c r="J1355" s="106">
        <f>VLOOKUP(A1355&amp;G1355,Lookup!J:N,5,0)</f>
        <v>0</v>
      </c>
      <c r="K1355" s="115"/>
      <c r="L1355" s="54"/>
      <c r="M1355" s="54"/>
      <c r="N1355" s="54"/>
      <c r="O1355" s="112">
        <v>56.1840277777778</v>
      </c>
      <c r="P1355" s="110" t="str">
        <f t="shared" si="89"/>
        <v/>
      </c>
      <c r="Q1355" s="54"/>
      <c r="R1355" s="58"/>
      <c r="S1355" s="87" t="str">
        <f t="shared" si="91"/>
        <v/>
      </c>
      <c r="T1355" s="54"/>
      <c r="U1355" s="54"/>
      <c r="V1355" s="54"/>
      <c r="W1355" s="54"/>
      <c r="X1355" s="69" t="str">
        <f t="shared" si="90"/>
        <v>D</v>
      </c>
    </row>
    <row r="1356" spans="1:24" s="66" customFormat="1" x14ac:dyDescent="0.25">
      <c r="A1356" s="51"/>
      <c r="B1356" s="91" t="str">
        <f>IFERROR(VLOOKUP(A1356,Lookup!A:B,2,0),"")</f>
        <v/>
      </c>
      <c r="C1356" s="92" t="str">
        <f>IFERROR(VLOOKUP(A1356,Lookup!A:C,3,0),"")</f>
        <v/>
      </c>
      <c r="D1356" s="54"/>
      <c r="E1356" s="54"/>
      <c r="F1356" s="54"/>
      <c r="G1356" s="72"/>
      <c r="H1356" s="54"/>
      <c r="I1356" s="54"/>
      <c r="J1356" s="106">
        <f>VLOOKUP(A1356&amp;G1356,Lookup!J:N,5,0)</f>
        <v>0</v>
      </c>
      <c r="K1356" s="115"/>
      <c r="L1356" s="54"/>
      <c r="M1356" s="54"/>
      <c r="N1356" s="54"/>
      <c r="O1356" s="112">
        <v>56.2256944444444</v>
      </c>
      <c r="P1356" s="110" t="str">
        <f t="shared" si="89"/>
        <v/>
      </c>
      <c r="Q1356" s="54"/>
      <c r="R1356" s="58"/>
      <c r="S1356" s="87" t="str">
        <f t="shared" si="91"/>
        <v/>
      </c>
      <c r="T1356" s="54"/>
      <c r="U1356" s="54"/>
      <c r="V1356" s="54"/>
      <c r="W1356" s="54"/>
      <c r="X1356" s="69" t="str">
        <f t="shared" si="90"/>
        <v>D</v>
      </c>
    </row>
    <row r="1357" spans="1:24" s="66" customFormat="1" x14ac:dyDescent="0.25">
      <c r="A1357" s="51"/>
      <c r="B1357" s="91" t="str">
        <f>IFERROR(VLOOKUP(A1357,Lookup!A:B,2,0),"")</f>
        <v/>
      </c>
      <c r="C1357" s="92" t="str">
        <f>IFERROR(VLOOKUP(A1357,Lookup!A:C,3,0),"")</f>
        <v/>
      </c>
      <c r="D1357" s="54"/>
      <c r="E1357" s="54"/>
      <c r="F1357" s="54"/>
      <c r="G1357" s="72"/>
      <c r="H1357" s="54"/>
      <c r="I1357" s="54"/>
      <c r="J1357" s="106">
        <f>VLOOKUP(A1357&amp;G1357,Lookup!J:N,5,0)</f>
        <v>0</v>
      </c>
      <c r="K1357" s="115"/>
      <c r="L1357" s="54"/>
      <c r="M1357" s="54"/>
      <c r="N1357" s="54"/>
      <c r="O1357" s="112">
        <v>56.2673611111111</v>
      </c>
      <c r="P1357" s="110" t="str">
        <f t="shared" si="89"/>
        <v/>
      </c>
      <c r="Q1357" s="54"/>
      <c r="R1357" s="58"/>
      <c r="S1357" s="87" t="str">
        <f t="shared" si="91"/>
        <v/>
      </c>
      <c r="T1357" s="54"/>
      <c r="U1357" s="54"/>
      <c r="V1357" s="54"/>
      <c r="W1357" s="54"/>
      <c r="X1357" s="69" t="str">
        <f t="shared" si="90"/>
        <v>D</v>
      </c>
    </row>
    <row r="1358" spans="1:24" s="66" customFormat="1" x14ac:dyDescent="0.25">
      <c r="A1358" s="51"/>
      <c r="B1358" s="91" t="str">
        <f>IFERROR(VLOOKUP(A1358,Lookup!A:B,2,0),"")</f>
        <v/>
      </c>
      <c r="C1358" s="92" t="str">
        <f>IFERROR(VLOOKUP(A1358,Lookup!A:C,3,0),"")</f>
        <v/>
      </c>
      <c r="D1358" s="54"/>
      <c r="E1358" s="54"/>
      <c r="F1358" s="54"/>
      <c r="G1358" s="72"/>
      <c r="H1358" s="54"/>
      <c r="I1358" s="54"/>
      <c r="J1358" s="106">
        <f>VLOOKUP(A1358&amp;G1358,Lookup!J:N,5,0)</f>
        <v>0</v>
      </c>
      <c r="K1358" s="115"/>
      <c r="L1358" s="54"/>
      <c r="M1358" s="54"/>
      <c r="N1358" s="54"/>
      <c r="O1358" s="112">
        <v>56.3090277777778</v>
      </c>
      <c r="P1358" s="110" t="str">
        <f t="shared" si="89"/>
        <v/>
      </c>
      <c r="Q1358" s="54"/>
      <c r="R1358" s="58"/>
      <c r="S1358" s="87" t="str">
        <f t="shared" si="91"/>
        <v/>
      </c>
      <c r="T1358" s="54"/>
      <c r="U1358" s="54"/>
      <c r="V1358" s="54"/>
      <c r="W1358" s="54"/>
      <c r="X1358" s="69" t="str">
        <f t="shared" si="90"/>
        <v>D</v>
      </c>
    </row>
    <row r="1359" spans="1:24" s="66" customFormat="1" x14ac:dyDescent="0.25">
      <c r="A1359" s="51"/>
      <c r="B1359" s="91" t="str">
        <f>IFERROR(VLOOKUP(A1359,Lookup!A:B,2,0),"")</f>
        <v/>
      </c>
      <c r="C1359" s="92" t="str">
        <f>IFERROR(VLOOKUP(A1359,Lookup!A:C,3,0),"")</f>
        <v/>
      </c>
      <c r="D1359" s="54"/>
      <c r="E1359" s="54"/>
      <c r="F1359" s="54"/>
      <c r="G1359" s="72"/>
      <c r="H1359" s="54"/>
      <c r="I1359" s="54"/>
      <c r="J1359" s="106">
        <f>VLOOKUP(A1359&amp;G1359,Lookup!J:N,5,0)</f>
        <v>0</v>
      </c>
      <c r="K1359" s="115"/>
      <c r="L1359" s="54"/>
      <c r="M1359" s="54"/>
      <c r="N1359" s="54"/>
      <c r="O1359" s="112">
        <v>56.3506944444444</v>
      </c>
      <c r="P1359" s="110" t="str">
        <f t="shared" si="89"/>
        <v/>
      </c>
      <c r="Q1359" s="54"/>
      <c r="R1359" s="58"/>
      <c r="S1359" s="87" t="str">
        <f t="shared" si="91"/>
        <v/>
      </c>
      <c r="T1359" s="54"/>
      <c r="U1359" s="54"/>
      <c r="V1359" s="54"/>
      <c r="W1359" s="54"/>
      <c r="X1359" s="69" t="str">
        <f t="shared" si="90"/>
        <v>D</v>
      </c>
    </row>
    <row r="1360" spans="1:24" s="66" customFormat="1" x14ac:dyDescent="0.25">
      <c r="A1360" s="51"/>
      <c r="B1360" s="91" t="str">
        <f>IFERROR(VLOOKUP(A1360,Lookup!A:B,2,0),"")</f>
        <v/>
      </c>
      <c r="C1360" s="92" t="str">
        <f>IFERROR(VLOOKUP(A1360,Lookup!A:C,3,0),"")</f>
        <v/>
      </c>
      <c r="D1360" s="54"/>
      <c r="E1360" s="54"/>
      <c r="F1360" s="54"/>
      <c r="G1360" s="72"/>
      <c r="H1360" s="54"/>
      <c r="I1360" s="54"/>
      <c r="J1360" s="106">
        <f>VLOOKUP(A1360&amp;G1360,Lookup!J:N,5,0)</f>
        <v>0</v>
      </c>
      <c r="K1360" s="115"/>
      <c r="L1360" s="54"/>
      <c r="M1360" s="54"/>
      <c r="N1360" s="54"/>
      <c r="O1360" s="112">
        <v>56.3923611111111</v>
      </c>
      <c r="P1360" s="110" t="str">
        <f t="shared" si="89"/>
        <v/>
      </c>
      <c r="Q1360" s="54"/>
      <c r="R1360" s="58"/>
      <c r="S1360" s="87" t="str">
        <f t="shared" si="91"/>
        <v/>
      </c>
      <c r="T1360" s="54"/>
      <c r="U1360" s="54"/>
      <c r="V1360" s="54"/>
      <c r="W1360" s="54"/>
      <c r="X1360" s="69" t="str">
        <f t="shared" si="90"/>
        <v>D</v>
      </c>
    </row>
    <row r="1361" spans="1:24" s="66" customFormat="1" x14ac:dyDescent="0.25">
      <c r="A1361" s="51"/>
      <c r="B1361" s="91" t="str">
        <f>IFERROR(VLOOKUP(A1361,Lookup!A:B,2,0),"")</f>
        <v/>
      </c>
      <c r="C1361" s="92" t="str">
        <f>IFERROR(VLOOKUP(A1361,Lookup!A:C,3,0),"")</f>
        <v/>
      </c>
      <c r="D1361" s="54"/>
      <c r="E1361" s="54"/>
      <c r="F1361" s="54"/>
      <c r="G1361" s="72"/>
      <c r="H1361" s="54"/>
      <c r="I1361" s="54"/>
      <c r="J1361" s="106">
        <f>VLOOKUP(A1361&amp;G1361,Lookup!J:N,5,0)</f>
        <v>0</v>
      </c>
      <c r="K1361" s="115"/>
      <c r="L1361" s="54"/>
      <c r="M1361" s="54"/>
      <c r="N1361" s="54"/>
      <c r="O1361" s="112">
        <v>56.4340277777778</v>
      </c>
      <c r="P1361" s="110" t="str">
        <f t="shared" si="89"/>
        <v/>
      </c>
      <c r="Q1361" s="54"/>
      <c r="R1361" s="58"/>
      <c r="S1361" s="87" t="str">
        <f t="shared" si="91"/>
        <v/>
      </c>
      <c r="T1361" s="54"/>
      <c r="U1361" s="54"/>
      <c r="V1361" s="54"/>
      <c r="W1361" s="54"/>
      <c r="X1361" s="69" t="str">
        <f t="shared" si="90"/>
        <v>D</v>
      </c>
    </row>
    <row r="1362" spans="1:24" s="66" customFormat="1" x14ac:dyDescent="0.25">
      <c r="A1362" s="51"/>
      <c r="B1362" s="91" t="str">
        <f>IFERROR(VLOOKUP(A1362,Lookup!A:B,2,0),"")</f>
        <v/>
      </c>
      <c r="C1362" s="92" t="str">
        <f>IFERROR(VLOOKUP(A1362,Lookup!A:C,3,0),"")</f>
        <v/>
      </c>
      <c r="D1362" s="54"/>
      <c r="E1362" s="54"/>
      <c r="F1362" s="54"/>
      <c r="G1362" s="72"/>
      <c r="H1362" s="54"/>
      <c r="I1362" s="54"/>
      <c r="J1362" s="106">
        <f>VLOOKUP(A1362&amp;G1362,Lookup!J:N,5,0)</f>
        <v>0</v>
      </c>
      <c r="K1362" s="115"/>
      <c r="L1362" s="54"/>
      <c r="M1362" s="54"/>
      <c r="N1362" s="54"/>
      <c r="O1362" s="112">
        <v>56.4756944444444</v>
      </c>
      <c r="P1362" s="110" t="str">
        <f t="shared" si="89"/>
        <v/>
      </c>
      <c r="Q1362" s="54"/>
      <c r="R1362" s="58"/>
      <c r="S1362" s="87" t="str">
        <f t="shared" si="91"/>
        <v/>
      </c>
      <c r="T1362" s="54"/>
      <c r="U1362" s="54"/>
      <c r="V1362" s="54"/>
      <c r="W1362" s="54"/>
      <c r="X1362" s="69" t="str">
        <f t="shared" si="90"/>
        <v>D</v>
      </c>
    </row>
    <row r="1363" spans="1:24" s="66" customFormat="1" x14ac:dyDescent="0.25">
      <c r="A1363" s="51"/>
      <c r="B1363" s="91" t="str">
        <f>IFERROR(VLOOKUP(A1363,Lookup!A:B,2,0),"")</f>
        <v/>
      </c>
      <c r="C1363" s="92" t="str">
        <f>IFERROR(VLOOKUP(A1363,Lookup!A:C,3,0),"")</f>
        <v/>
      </c>
      <c r="D1363" s="54"/>
      <c r="E1363" s="54"/>
      <c r="F1363" s="54"/>
      <c r="G1363" s="72"/>
      <c r="H1363" s="54"/>
      <c r="I1363" s="54"/>
      <c r="J1363" s="106">
        <f>VLOOKUP(A1363&amp;G1363,Lookup!J:N,5,0)</f>
        <v>0</v>
      </c>
      <c r="K1363" s="115"/>
      <c r="L1363" s="54"/>
      <c r="M1363" s="54"/>
      <c r="N1363" s="54"/>
      <c r="O1363" s="112">
        <v>56.5173611111111</v>
      </c>
      <c r="P1363" s="110" t="str">
        <f t="shared" si="89"/>
        <v/>
      </c>
      <c r="Q1363" s="54"/>
      <c r="R1363" s="58"/>
      <c r="S1363" s="87" t="str">
        <f t="shared" si="91"/>
        <v/>
      </c>
      <c r="T1363" s="54"/>
      <c r="U1363" s="54"/>
      <c r="V1363" s="54"/>
      <c r="W1363" s="54"/>
      <c r="X1363" s="69" t="str">
        <f t="shared" si="90"/>
        <v>D</v>
      </c>
    </row>
    <row r="1364" spans="1:24" s="66" customFormat="1" x14ac:dyDescent="0.25">
      <c r="A1364" s="51"/>
      <c r="B1364" s="91" t="str">
        <f>IFERROR(VLOOKUP(A1364,Lookup!A:B,2,0),"")</f>
        <v/>
      </c>
      <c r="C1364" s="92" t="str">
        <f>IFERROR(VLOOKUP(A1364,Lookup!A:C,3,0),"")</f>
        <v/>
      </c>
      <c r="D1364" s="54"/>
      <c r="E1364" s="54"/>
      <c r="F1364" s="54"/>
      <c r="G1364" s="72"/>
      <c r="H1364" s="54"/>
      <c r="I1364" s="54"/>
      <c r="J1364" s="106">
        <f>VLOOKUP(A1364&amp;G1364,Lookup!J:N,5,0)</f>
        <v>0</v>
      </c>
      <c r="K1364" s="115"/>
      <c r="L1364" s="54"/>
      <c r="M1364" s="54"/>
      <c r="N1364" s="54"/>
      <c r="O1364" s="112">
        <v>56.5590277777778</v>
      </c>
      <c r="P1364" s="110" t="str">
        <f t="shared" si="89"/>
        <v/>
      </c>
      <c r="Q1364" s="54"/>
      <c r="R1364" s="58"/>
      <c r="S1364" s="87" t="str">
        <f t="shared" si="91"/>
        <v/>
      </c>
      <c r="T1364" s="54"/>
      <c r="U1364" s="54"/>
      <c r="V1364" s="54"/>
      <c r="W1364" s="54"/>
      <c r="X1364" s="69" t="str">
        <f t="shared" si="90"/>
        <v>D</v>
      </c>
    </row>
    <row r="1365" spans="1:24" s="66" customFormat="1" x14ac:dyDescent="0.25">
      <c r="A1365" s="51"/>
      <c r="B1365" s="91" t="str">
        <f>IFERROR(VLOOKUP(A1365,Lookup!A:B,2,0),"")</f>
        <v/>
      </c>
      <c r="C1365" s="92" t="str">
        <f>IFERROR(VLOOKUP(A1365,Lookup!A:C,3,0),"")</f>
        <v/>
      </c>
      <c r="D1365" s="54"/>
      <c r="E1365" s="54"/>
      <c r="F1365" s="54"/>
      <c r="G1365" s="72"/>
      <c r="H1365" s="54"/>
      <c r="I1365" s="54"/>
      <c r="J1365" s="106">
        <f>VLOOKUP(A1365&amp;G1365,Lookup!J:N,5,0)</f>
        <v>0</v>
      </c>
      <c r="K1365" s="115"/>
      <c r="L1365" s="54"/>
      <c r="M1365" s="54"/>
      <c r="N1365" s="54"/>
      <c r="O1365" s="112">
        <v>56.6006944444444</v>
      </c>
      <c r="P1365" s="110" t="str">
        <f t="shared" si="89"/>
        <v/>
      </c>
      <c r="Q1365" s="54"/>
      <c r="R1365" s="58"/>
      <c r="S1365" s="87" t="str">
        <f t="shared" si="91"/>
        <v/>
      </c>
      <c r="T1365" s="54"/>
      <c r="U1365" s="54"/>
      <c r="V1365" s="54"/>
      <c r="W1365" s="54"/>
      <c r="X1365" s="69" t="str">
        <f t="shared" si="90"/>
        <v>D</v>
      </c>
    </row>
    <row r="1366" spans="1:24" s="66" customFormat="1" x14ac:dyDescent="0.25">
      <c r="A1366" s="51"/>
      <c r="B1366" s="91" t="str">
        <f>IFERROR(VLOOKUP(A1366,Lookup!A:B,2,0),"")</f>
        <v/>
      </c>
      <c r="C1366" s="92" t="str">
        <f>IFERROR(VLOOKUP(A1366,Lookup!A:C,3,0),"")</f>
        <v/>
      </c>
      <c r="D1366" s="54"/>
      <c r="E1366" s="54"/>
      <c r="F1366" s="54"/>
      <c r="G1366" s="72"/>
      <c r="H1366" s="54"/>
      <c r="I1366" s="54"/>
      <c r="J1366" s="106">
        <f>VLOOKUP(A1366&amp;G1366,Lookup!J:N,5,0)</f>
        <v>0</v>
      </c>
      <c r="K1366" s="115"/>
      <c r="L1366" s="54"/>
      <c r="M1366" s="54"/>
      <c r="N1366" s="54"/>
      <c r="O1366" s="112">
        <v>56.6423611111111</v>
      </c>
      <c r="P1366" s="110" t="str">
        <f t="shared" si="89"/>
        <v/>
      </c>
      <c r="Q1366" s="54"/>
      <c r="R1366" s="58"/>
      <c r="S1366" s="87" t="str">
        <f t="shared" si="91"/>
        <v/>
      </c>
      <c r="T1366" s="54"/>
      <c r="U1366" s="54"/>
      <c r="V1366" s="54"/>
      <c r="W1366" s="54"/>
      <c r="X1366" s="69" t="str">
        <f t="shared" si="90"/>
        <v>D</v>
      </c>
    </row>
    <row r="1367" spans="1:24" s="66" customFormat="1" x14ac:dyDescent="0.25">
      <c r="A1367" s="51"/>
      <c r="B1367" s="91" t="str">
        <f>IFERROR(VLOOKUP(A1367,Lookup!A:B,2,0),"")</f>
        <v/>
      </c>
      <c r="C1367" s="92" t="str">
        <f>IFERROR(VLOOKUP(A1367,Lookup!A:C,3,0),"")</f>
        <v/>
      </c>
      <c r="D1367" s="54"/>
      <c r="E1367" s="54"/>
      <c r="F1367" s="54"/>
      <c r="G1367" s="72"/>
      <c r="H1367" s="54"/>
      <c r="I1367" s="54"/>
      <c r="J1367" s="106">
        <f>VLOOKUP(A1367&amp;G1367,Lookup!J:N,5,0)</f>
        <v>0</v>
      </c>
      <c r="K1367" s="115"/>
      <c r="L1367" s="54"/>
      <c r="M1367" s="54"/>
      <c r="N1367" s="54"/>
      <c r="O1367" s="112">
        <v>56.6840277777778</v>
      </c>
      <c r="P1367" s="110" t="str">
        <f t="shared" si="89"/>
        <v/>
      </c>
      <c r="Q1367" s="54"/>
      <c r="R1367" s="58"/>
      <c r="S1367" s="87" t="str">
        <f t="shared" si="91"/>
        <v/>
      </c>
      <c r="T1367" s="54"/>
      <c r="U1367" s="54"/>
      <c r="V1367" s="54"/>
      <c r="W1367" s="54"/>
      <c r="X1367" s="69" t="str">
        <f t="shared" si="90"/>
        <v>D</v>
      </c>
    </row>
    <row r="1368" spans="1:24" s="66" customFormat="1" x14ac:dyDescent="0.25">
      <c r="A1368" s="51"/>
      <c r="B1368" s="91" t="str">
        <f>IFERROR(VLOOKUP(A1368,Lookup!A:B,2,0),"")</f>
        <v/>
      </c>
      <c r="C1368" s="92" t="str">
        <f>IFERROR(VLOOKUP(A1368,Lookup!A:C,3,0),"")</f>
        <v/>
      </c>
      <c r="D1368" s="54"/>
      <c r="E1368" s="54"/>
      <c r="F1368" s="54"/>
      <c r="G1368" s="72"/>
      <c r="H1368" s="54"/>
      <c r="I1368" s="54"/>
      <c r="J1368" s="106">
        <f>VLOOKUP(A1368&amp;G1368,Lookup!J:N,5,0)</f>
        <v>0</v>
      </c>
      <c r="K1368" s="115"/>
      <c r="L1368" s="54"/>
      <c r="M1368" s="54"/>
      <c r="N1368" s="54"/>
      <c r="O1368" s="112">
        <v>56.7256944444444</v>
      </c>
      <c r="P1368" s="110" t="str">
        <f t="shared" si="89"/>
        <v/>
      </c>
      <c r="Q1368" s="54"/>
      <c r="R1368" s="58"/>
      <c r="S1368" s="87" t="str">
        <f t="shared" si="91"/>
        <v/>
      </c>
      <c r="T1368" s="54"/>
      <c r="U1368" s="54"/>
      <c r="V1368" s="54"/>
      <c r="W1368" s="54"/>
      <c r="X1368" s="69" t="str">
        <f t="shared" si="90"/>
        <v>D</v>
      </c>
    </row>
    <row r="1369" spans="1:24" s="66" customFormat="1" x14ac:dyDescent="0.25">
      <c r="A1369" s="51"/>
      <c r="B1369" s="91" t="str">
        <f>IFERROR(VLOOKUP(A1369,Lookup!A:B,2,0),"")</f>
        <v/>
      </c>
      <c r="C1369" s="92" t="str">
        <f>IFERROR(VLOOKUP(A1369,Lookup!A:C,3,0),"")</f>
        <v/>
      </c>
      <c r="D1369" s="54"/>
      <c r="E1369" s="54"/>
      <c r="F1369" s="54"/>
      <c r="G1369" s="72"/>
      <c r="H1369" s="54"/>
      <c r="I1369" s="54"/>
      <c r="J1369" s="106">
        <f>VLOOKUP(A1369&amp;G1369,Lookup!J:N,5,0)</f>
        <v>0</v>
      </c>
      <c r="K1369" s="115"/>
      <c r="L1369" s="54"/>
      <c r="M1369" s="54"/>
      <c r="N1369" s="54"/>
      <c r="O1369" s="112">
        <v>56.7673611111111</v>
      </c>
      <c r="P1369" s="110" t="str">
        <f t="shared" si="89"/>
        <v/>
      </c>
      <c r="Q1369" s="54"/>
      <c r="R1369" s="58"/>
      <c r="S1369" s="87" t="str">
        <f t="shared" si="91"/>
        <v/>
      </c>
      <c r="T1369" s="54"/>
      <c r="U1369" s="54"/>
      <c r="V1369" s="54"/>
      <c r="W1369" s="54"/>
      <c r="X1369" s="69" t="str">
        <f t="shared" si="90"/>
        <v>D</v>
      </c>
    </row>
    <row r="1370" spans="1:24" s="66" customFormat="1" x14ac:dyDescent="0.25">
      <c r="A1370" s="51"/>
      <c r="B1370" s="91" t="str">
        <f>IFERROR(VLOOKUP(A1370,Lookup!A:B,2,0),"")</f>
        <v/>
      </c>
      <c r="C1370" s="92" t="str">
        <f>IFERROR(VLOOKUP(A1370,Lookup!A:C,3,0),"")</f>
        <v/>
      </c>
      <c r="D1370" s="54"/>
      <c r="E1370" s="54"/>
      <c r="F1370" s="54"/>
      <c r="G1370" s="72"/>
      <c r="H1370" s="54"/>
      <c r="I1370" s="54"/>
      <c r="J1370" s="106">
        <f>VLOOKUP(A1370&amp;G1370,Lookup!J:N,5,0)</f>
        <v>0</v>
      </c>
      <c r="K1370" s="115"/>
      <c r="L1370" s="54"/>
      <c r="M1370" s="54"/>
      <c r="N1370" s="54"/>
      <c r="O1370" s="112">
        <v>56.8090277777778</v>
      </c>
      <c r="P1370" s="110" t="str">
        <f t="shared" si="89"/>
        <v/>
      </c>
      <c r="Q1370" s="54"/>
      <c r="R1370" s="58"/>
      <c r="S1370" s="87" t="str">
        <f t="shared" si="91"/>
        <v/>
      </c>
      <c r="T1370" s="54"/>
      <c r="U1370" s="54"/>
      <c r="V1370" s="54"/>
      <c r="W1370" s="54"/>
      <c r="X1370" s="69" t="str">
        <f t="shared" si="90"/>
        <v>D</v>
      </c>
    </row>
    <row r="1371" spans="1:24" s="66" customFormat="1" x14ac:dyDescent="0.25">
      <c r="A1371" s="51"/>
      <c r="B1371" s="91" t="str">
        <f>IFERROR(VLOOKUP(A1371,Lookup!A:B,2,0),"")</f>
        <v/>
      </c>
      <c r="C1371" s="92" t="str">
        <f>IFERROR(VLOOKUP(A1371,Lookup!A:C,3,0),"")</f>
        <v/>
      </c>
      <c r="D1371" s="54"/>
      <c r="E1371" s="54"/>
      <c r="F1371" s="54"/>
      <c r="G1371" s="72"/>
      <c r="H1371" s="54"/>
      <c r="I1371" s="54"/>
      <c r="J1371" s="106">
        <f>VLOOKUP(A1371&amp;G1371,Lookup!J:N,5,0)</f>
        <v>0</v>
      </c>
      <c r="K1371" s="115"/>
      <c r="L1371" s="54"/>
      <c r="M1371" s="54"/>
      <c r="N1371" s="54"/>
      <c r="O1371" s="112">
        <v>56.8506944444444</v>
      </c>
      <c r="P1371" s="110" t="str">
        <f t="shared" si="89"/>
        <v/>
      </c>
      <c r="Q1371" s="54"/>
      <c r="R1371" s="58"/>
      <c r="S1371" s="87" t="str">
        <f t="shared" si="91"/>
        <v/>
      </c>
      <c r="T1371" s="54"/>
      <c r="U1371" s="54"/>
      <c r="V1371" s="54"/>
      <c r="W1371" s="54"/>
      <c r="X1371" s="69" t="str">
        <f t="shared" si="90"/>
        <v>D</v>
      </c>
    </row>
    <row r="1372" spans="1:24" s="66" customFormat="1" x14ac:dyDescent="0.25">
      <c r="A1372" s="51"/>
      <c r="B1372" s="91" t="str">
        <f>IFERROR(VLOOKUP(A1372,Lookup!A:B,2,0),"")</f>
        <v/>
      </c>
      <c r="C1372" s="92" t="str">
        <f>IFERROR(VLOOKUP(A1372,Lookup!A:C,3,0),"")</f>
        <v/>
      </c>
      <c r="D1372" s="54"/>
      <c r="E1372" s="54"/>
      <c r="F1372" s="54"/>
      <c r="G1372" s="72"/>
      <c r="H1372" s="54"/>
      <c r="I1372" s="54"/>
      <c r="J1372" s="106">
        <f>VLOOKUP(A1372&amp;G1372,Lookup!J:N,5,0)</f>
        <v>0</v>
      </c>
      <c r="K1372" s="115"/>
      <c r="L1372" s="54"/>
      <c r="M1372" s="54"/>
      <c r="N1372" s="54"/>
      <c r="O1372" s="112">
        <v>56.8923611111111</v>
      </c>
      <c r="P1372" s="110" t="str">
        <f t="shared" si="89"/>
        <v/>
      </c>
      <c r="Q1372" s="54"/>
      <c r="R1372" s="58"/>
      <c r="S1372" s="87" t="str">
        <f t="shared" si="91"/>
        <v/>
      </c>
      <c r="T1372" s="54"/>
      <c r="U1372" s="54"/>
      <c r="V1372" s="54"/>
      <c r="W1372" s="54"/>
      <c r="X1372" s="69" t="str">
        <f t="shared" si="90"/>
        <v>D</v>
      </c>
    </row>
    <row r="1373" spans="1:24" s="66" customFormat="1" x14ac:dyDescent="0.25">
      <c r="A1373" s="51"/>
      <c r="B1373" s="91" t="str">
        <f>IFERROR(VLOOKUP(A1373,Lookup!A:B,2,0),"")</f>
        <v/>
      </c>
      <c r="C1373" s="92" t="str">
        <f>IFERROR(VLOOKUP(A1373,Lookup!A:C,3,0),"")</f>
        <v/>
      </c>
      <c r="D1373" s="54"/>
      <c r="E1373" s="54"/>
      <c r="F1373" s="54"/>
      <c r="G1373" s="72"/>
      <c r="H1373" s="54"/>
      <c r="I1373" s="54"/>
      <c r="J1373" s="106">
        <f>VLOOKUP(A1373&amp;G1373,Lookup!J:N,5,0)</f>
        <v>0</v>
      </c>
      <c r="K1373" s="115"/>
      <c r="L1373" s="54"/>
      <c r="M1373" s="54"/>
      <c r="N1373" s="54"/>
      <c r="O1373" s="112">
        <v>56.9340277777778</v>
      </c>
      <c r="P1373" s="110" t="str">
        <f t="shared" si="89"/>
        <v/>
      </c>
      <c r="Q1373" s="54"/>
      <c r="R1373" s="58"/>
      <c r="S1373" s="87" t="str">
        <f t="shared" si="91"/>
        <v/>
      </c>
      <c r="T1373" s="54"/>
      <c r="U1373" s="54"/>
      <c r="V1373" s="54"/>
      <c r="W1373" s="54"/>
      <c r="X1373" s="69" t="str">
        <f t="shared" si="90"/>
        <v>D</v>
      </c>
    </row>
    <row r="1374" spans="1:24" s="66" customFormat="1" x14ac:dyDescent="0.25">
      <c r="A1374" s="51"/>
      <c r="B1374" s="91" t="str">
        <f>IFERROR(VLOOKUP(A1374,Lookup!A:B,2,0),"")</f>
        <v/>
      </c>
      <c r="C1374" s="92" t="str">
        <f>IFERROR(VLOOKUP(A1374,Lookup!A:C,3,0),"")</f>
        <v/>
      </c>
      <c r="D1374" s="54"/>
      <c r="E1374" s="54"/>
      <c r="F1374" s="54"/>
      <c r="G1374" s="72"/>
      <c r="H1374" s="54"/>
      <c r="I1374" s="54"/>
      <c r="J1374" s="106">
        <f>VLOOKUP(A1374&amp;G1374,Lookup!J:N,5,0)</f>
        <v>0</v>
      </c>
      <c r="K1374" s="115"/>
      <c r="L1374" s="54"/>
      <c r="M1374" s="54"/>
      <c r="N1374" s="54"/>
      <c r="O1374" s="112">
        <v>56.9756944444444</v>
      </c>
      <c r="P1374" s="110" t="str">
        <f t="shared" si="89"/>
        <v/>
      </c>
      <c r="Q1374" s="54"/>
      <c r="R1374" s="58"/>
      <c r="S1374" s="87" t="str">
        <f t="shared" si="91"/>
        <v/>
      </c>
      <c r="T1374" s="54"/>
      <c r="U1374" s="54"/>
      <c r="V1374" s="54"/>
      <c r="W1374" s="54"/>
      <c r="X1374" s="69" t="str">
        <f t="shared" si="90"/>
        <v>D</v>
      </c>
    </row>
    <row r="1375" spans="1:24" s="66" customFormat="1" x14ac:dyDescent="0.25">
      <c r="A1375" s="51"/>
      <c r="B1375" s="91" t="str">
        <f>IFERROR(VLOOKUP(A1375,Lookup!A:B,2,0),"")</f>
        <v/>
      </c>
      <c r="C1375" s="92" t="str">
        <f>IFERROR(VLOOKUP(A1375,Lookup!A:C,3,0),"")</f>
        <v/>
      </c>
      <c r="D1375" s="54"/>
      <c r="E1375" s="54"/>
      <c r="F1375" s="54"/>
      <c r="G1375" s="72"/>
      <c r="H1375" s="54"/>
      <c r="I1375" s="54"/>
      <c r="J1375" s="106">
        <f>VLOOKUP(A1375&amp;G1375,Lookup!J:N,5,0)</f>
        <v>0</v>
      </c>
      <c r="K1375" s="115"/>
      <c r="L1375" s="54"/>
      <c r="M1375" s="54"/>
      <c r="N1375" s="54"/>
      <c r="O1375" s="112">
        <v>57.0173611111111</v>
      </c>
      <c r="P1375" s="110" t="str">
        <f t="shared" si="89"/>
        <v/>
      </c>
      <c r="Q1375" s="54"/>
      <c r="R1375" s="58"/>
      <c r="S1375" s="87" t="str">
        <f t="shared" si="91"/>
        <v/>
      </c>
      <c r="T1375" s="54"/>
      <c r="U1375" s="54"/>
      <c r="V1375" s="54"/>
      <c r="W1375" s="54"/>
      <c r="X1375" s="69" t="str">
        <f t="shared" si="90"/>
        <v>D</v>
      </c>
    </row>
    <row r="1376" spans="1:24" s="66" customFormat="1" x14ac:dyDescent="0.25">
      <c r="A1376" s="51"/>
      <c r="B1376" s="91" t="str">
        <f>IFERROR(VLOOKUP(A1376,Lookup!A:B,2,0),"")</f>
        <v/>
      </c>
      <c r="C1376" s="92" t="str">
        <f>IFERROR(VLOOKUP(A1376,Lookup!A:C,3,0),"")</f>
        <v/>
      </c>
      <c r="D1376" s="54"/>
      <c r="E1376" s="54"/>
      <c r="F1376" s="54"/>
      <c r="G1376" s="72"/>
      <c r="H1376" s="54"/>
      <c r="I1376" s="54"/>
      <c r="J1376" s="106">
        <f>VLOOKUP(A1376&amp;G1376,Lookup!J:N,5,0)</f>
        <v>0</v>
      </c>
      <c r="K1376" s="115"/>
      <c r="L1376" s="54"/>
      <c r="M1376" s="54"/>
      <c r="N1376" s="54"/>
      <c r="O1376" s="112">
        <v>57.0590277777778</v>
      </c>
      <c r="P1376" s="110" t="str">
        <f t="shared" si="89"/>
        <v/>
      </c>
      <c r="Q1376" s="54"/>
      <c r="R1376" s="58"/>
      <c r="S1376" s="87" t="str">
        <f t="shared" si="91"/>
        <v/>
      </c>
      <c r="T1376" s="54"/>
      <c r="U1376" s="54"/>
      <c r="V1376" s="54"/>
      <c r="W1376" s="54"/>
      <c r="X1376" s="69" t="str">
        <f t="shared" si="90"/>
        <v>D</v>
      </c>
    </row>
    <row r="1377" spans="1:24" s="66" customFormat="1" x14ac:dyDescent="0.25">
      <c r="A1377" s="51"/>
      <c r="B1377" s="91" t="str">
        <f>IFERROR(VLOOKUP(A1377,Lookup!A:B,2,0),"")</f>
        <v/>
      </c>
      <c r="C1377" s="92" t="str">
        <f>IFERROR(VLOOKUP(A1377,Lookup!A:C,3,0),"")</f>
        <v/>
      </c>
      <c r="D1377" s="54"/>
      <c r="E1377" s="54"/>
      <c r="F1377" s="54"/>
      <c r="G1377" s="72"/>
      <c r="H1377" s="54"/>
      <c r="I1377" s="54"/>
      <c r="J1377" s="106">
        <f>VLOOKUP(A1377&amp;G1377,Lookup!J:N,5,0)</f>
        <v>0</v>
      </c>
      <c r="K1377" s="115"/>
      <c r="L1377" s="54"/>
      <c r="M1377" s="54"/>
      <c r="N1377" s="54"/>
      <c r="O1377" s="112">
        <v>57.1006944444444</v>
      </c>
      <c r="P1377" s="110" t="str">
        <f t="shared" si="89"/>
        <v/>
      </c>
      <c r="Q1377" s="54"/>
      <c r="R1377" s="58"/>
      <c r="S1377" s="87" t="str">
        <f t="shared" si="91"/>
        <v/>
      </c>
      <c r="T1377" s="54"/>
      <c r="U1377" s="54"/>
      <c r="V1377" s="54"/>
      <c r="W1377" s="54"/>
      <c r="X1377" s="69" t="str">
        <f t="shared" si="90"/>
        <v>D</v>
      </c>
    </row>
    <row r="1378" spans="1:24" s="66" customFormat="1" x14ac:dyDescent="0.25">
      <c r="A1378" s="51"/>
      <c r="B1378" s="91" t="str">
        <f>IFERROR(VLOOKUP(A1378,Lookup!A:B,2,0),"")</f>
        <v/>
      </c>
      <c r="C1378" s="92" t="str">
        <f>IFERROR(VLOOKUP(A1378,Lookup!A:C,3,0),"")</f>
        <v/>
      </c>
      <c r="D1378" s="54"/>
      <c r="E1378" s="54"/>
      <c r="F1378" s="54"/>
      <c r="G1378" s="72"/>
      <c r="H1378" s="54"/>
      <c r="I1378" s="54"/>
      <c r="J1378" s="106">
        <f>VLOOKUP(A1378&amp;G1378,Lookup!J:N,5,0)</f>
        <v>0</v>
      </c>
      <c r="K1378" s="115"/>
      <c r="L1378" s="54"/>
      <c r="M1378" s="54"/>
      <c r="N1378" s="54"/>
      <c r="O1378" s="112">
        <v>57.1423611111111</v>
      </c>
      <c r="P1378" s="110" t="str">
        <f t="shared" si="89"/>
        <v/>
      </c>
      <c r="Q1378" s="54"/>
      <c r="R1378" s="58"/>
      <c r="S1378" s="87" t="str">
        <f t="shared" si="91"/>
        <v/>
      </c>
      <c r="T1378" s="54"/>
      <c r="U1378" s="54"/>
      <c r="V1378" s="54"/>
      <c r="W1378" s="54"/>
      <c r="X1378" s="69" t="str">
        <f t="shared" si="90"/>
        <v>D</v>
      </c>
    </row>
    <row r="1379" spans="1:24" s="66" customFormat="1" x14ac:dyDescent="0.25">
      <c r="A1379" s="51"/>
      <c r="B1379" s="91" t="str">
        <f>IFERROR(VLOOKUP(A1379,Lookup!A:B,2,0),"")</f>
        <v/>
      </c>
      <c r="C1379" s="92" t="str">
        <f>IFERROR(VLOOKUP(A1379,Lookup!A:C,3,0),"")</f>
        <v/>
      </c>
      <c r="D1379" s="54"/>
      <c r="E1379" s="54"/>
      <c r="F1379" s="54"/>
      <c r="G1379" s="72"/>
      <c r="H1379" s="54"/>
      <c r="I1379" s="54"/>
      <c r="J1379" s="106">
        <f>VLOOKUP(A1379&amp;G1379,Lookup!J:N,5,0)</f>
        <v>0</v>
      </c>
      <c r="K1379" s="115"/>
      <c r="L1379" s="54"/>
      <c r="M1379" s="54"/>
      <c r="N1379" s="54"/>
      <c r="O1379" s="112">
        <v>57.1840277777778</v>
      </c>
      <c r="P1379" s="110" t="str">
        <f t="shared" si="89"/>
        <v/>
      </c>
      <c r="Q1379" s="54"/>
      <c r="R1379" s="58"/>
      <c r="S1379" s="87" t="str">
        <f t="shared" si="91"/>
        <v/>
      </c>
      <c r="T1379" s="54"/>
      <c r="U1379" s="54"/>
      <c r="V1379" s="54"/>
      <c r="W1379" s="54"/>
      <c r="X1379" s="69" t="str">
        <f t="shared" si="90"/>
        <v>D</v>
      </c>
    </row>
    <row r="1380" spans="1:24" s="66" customFormat="1" x14ac:dyDescent="0.25">
      <c r="A1380" s="51"/>
      <c r="B1380" s="91" t="str">
        <f>IFERROR(VLOOKUP(A1380,Lookup!A:B,2,0),"")</f>
        <v/>
      </c>
      <c r="C1380" s="92" t="str">
        <f>IFERROR(VLOOKUP(A1380,Lookup!A:C,3,0),"")</f>
        <v/>
      </c>
      <c r="D1380" s="54"/>
      <c r="E1380" s="54"/>
      <c r="F1380" s="54"/>
      <c r="G1380" s="72"/>
      <c r="H1380" s="54"/>
      <c r="I1380" s="54"/>
      <c r="J1380" s="106">
        <f>VLOOKUP(A1380&amp;G1380,Lookup!J:N,5,0)</f>
        <v>0</v>
      </c>
      <c r="K1380" s="115"/>
      <c r="L1380" s="54"/>
      <c r="M1380" s="54"/>
      <c r="N1380" s="54"/>
      <c r="O1380" s="112">
        <v>57.2256944444444</v>
      </c>
      <c r="P1380" s="110" t="str">
        <f t="shared" si="89"/>
        <v/>
      </c>
      <c r="Q1380" s="54"/>
      <c r="R1380" s="58"/>
      <c r="S1380" s="87" t="str">
        <f t="shared" si="91"/>
        <v/>
      </c>
      <c r="T1380" s="54"/>
      <c r="U1380" s="54"/>
      <c r="V1380" s="54"/>
      <c r="W1380" s="54"/>
      <c r="X1380" s="69" t="str">
        <f t="shared" si="90"/>
        <v>D</v>
      </c>
    </row>
    <row r="1381" spans="1:24" s="66" customFormat="1" x14ac:dyDescent="0.25">
      <c r="A1381" s="51"/>
      <c r="B1381" s="91" t="str">
        <f>IFERROR(VLOOKUP(A1381,Lookup!A:B,2,0),"")</f>
        <v/>
      </c>
      <c r="C1381" s="92" t="str">
        <f>IFERROR(VLOOKUP(A1381,Lookup!A:C,3,0),"")</f>
        <v/>
      </c>
      <c r="D1381" s="54"/>
      <c r="E1381" s="54"/>
      <c r="F1381" s="54"/>
      <c r="G1381" s="72"/>
      <c r="H1381" s="54"/>
      <c r="I1381" s="54"/>
      <c r="J1381" s="106">
        <f>VLOOKUP(A1381&amp;G1381,Lookup!J:N,5,0)</f>
        <v>0</v>
      </c>
      <c r="K1381" s="115"/>
      <c r="L1381" s="54"/>
      <c r="M1381" s="54"/>
      <c r="N1381" s="54"/>
      <c r="O1381" s="112">
        <v>57.2673611111111</v>
      </c>
      <c r="P1381" s="110" t="str">
        <f t="shared" si="89"/>
        <v/>
      </c>
      <c r="Q1381" s="54"/>
      <c r="R1381" s="58"/>
      <c r="S1381" s="87" t="str">
        <f t="shared" si="91"/>
        <v/>
      </c>
      <c r="T1381" s="54"/>
      <c r="U1381" s="54"/>
      <c r="V1381" s="54"/>
      <c r="W1381" s="54"/>
      <c r="X1381" s="69" t="str">
        <f t="shared" si="90"/>
        <v>D</v>
      </c>
    </row>
    <row r="1382" spans="1:24" s="66" customFormat="1" x14ac:dyDescent="0.25">
      <c r="A1382" s="51"/>
      <c r="B1382" s="91" t="str">
        <f>IFERROR(VLOOKUP(A1382,Lookup!A:B,2,0),"")</f>
        <v/>
      </c>
      <c r="C1382" s="92" t="str">
        <f>IFERROR(VLOOKUP(A1382,Lookup!A:C,3,0),"")</f>
        <v/>
      </c>
      <c r="D1382" s="54"/>
      <c r="E1382" s="54"/>
      <c r="F1382" s="54"/>
      <c r="G1382" s="72"/>
      <c r="H1382" s="54"/>
      <c r="I1382" s="54"/>
      <c r="J1382" s="106">
        <f>VLOOKUP(A1382&amp;G1382,Lookup!J:N,5,0)</f>
        <v>0</v>
      </c>
      <c r="K1382" s="115"/>
      <c r="L1382" s="54"/>
      <c r="M1382" s="54"/>
      <c r="N1382" s="54"/>
      <c r="O1382" s="112">
        <v>57.3090277777778</v>
      </c>
      <c r="P1382" s="110" t="str">
        <f t="shared" si="89"/>
        <v/>
      </c>
      <c r="Q1382" s="54"/>
      <c r="R1382" s="58"/>
      <c r="S1382" s="87" t="str">
        <f t="shared" si="91"/>
        <v/>
      </c>
      <c r="T1382" s="54"/>
      <c r="U1382" s="54"/>
      <c r="V1382" s="54"/>
      <c r="W1382" s="54"/>
      <c r="X1382" s="69" t="str">
        <f t="shared" si="90"/>
        <v>D</v>
      </c>
    </row>
    <row r="1383" spans="1:24" s="66" customFormat="1" x14ac:dyDescent="0.25">
      <c r="A1383" s="51"/>
      <c r="B1383" s="91" t="str">
        <f>IFERROR(VLOOKUP(A1383,Lookup!A:B,2,0),"")</f>
        <v/>
      </c>
      <c r="C1383" s="92" t="str">
        <f>IFERROR(VLOOKUP(A1383,Lookup!A:C,3,0),"")</f>
        <v/>
      </c>
      <c r="D1383" s="54"/>
      <c r="E1383" s="54"/>
      <c r="F1383" s="54"/>
      <c r="G1383" s="72"/>
      <c r="H1383" s="54"/>
      <c r="I1383" s="54"/>
      <c r="J1383" s="106">
        <f>VLOOKUP(A1383&amp;G1383,Lookup!J:N,5,0)</f>
        <v>0</v>
      </c>
      <c r="K1383" s="115"/>
      <c r="L1383" s="54"/>
      <c r="M1383" s="54"/>
      <c r="N1383" s="54"/>
      <c r="O1383" s="112">
        <v>57.3506944444444</v>
      </c>
      <c r="P1383" s="110" t="str">
        <f t="shared" si="89"/>
        <v/>
      </c>
      <c r="Q1383" s="54"/>
      <c r="R1383" s="58"/>
      <c r="S1383" s="87" t="str">
        <f t="shared" si="91"/>
        <v/>
      </c>
      <c r="T1383" s="54"/>
      <c r="U1383" s="54"/>
      <c r="V1383" s="54"/>
      <c r="W1383" s="54"/>
      <c r="X1383" s="69" t="str">
        <f t="shared" si="90"/>
        <v>D</v>
      </c>
    </row>
    <row r="1384" spans="1:24" s="66" customFormat="1" x14ac:dyDescent="0.25">
      <c r="A1384" s="51"/>
      <c r="B1384" s="91" t="str">
        <f>IFERROR(VLOOKUP(A1384,Lookup!A:B,2,0),"")</f>
        <v/>
      </c>
      <c r="C1384" s="92" t="str">
        <f>IFERROR(VLOOKUP(A1384,Lookup!A:C,3,0),"")</f>
        <v/>
      </c>
      <c r="D1384" s="54"/>
      <c r="E1384" s="54"/>
      <c r="F1384" s="54"/>
      <c r="G1384" s="72"/>
      <c r="H1384" s="54"/>
      <c r="I1384" s="54"/>
      <c r="J1384" s="106">
        <f>VLOOKUP(A1384&amp;G1384,Lookup!J:N,5,0)</f>
        <v>0</v>
      </c>
      <c r="K1384" s="115"/>
      <c r="L1384" s="54"/>
      <c r="M1384" s="54"/>
      <c r="N1384" s="54"/>
      <c r="O1384" s="112">
        <v>57.3923611111111</v>
      </c>
      <c r="P1384" s="110" t="str">
        <f t="shared" si="89"/>
        <v/>
      </c>
      <c r="Q1384" s="54"/>
      <c r="R1384" s="58"/>
      <c r="S1384" s="87" t="str">
        <f t="shared" si="91"/>
        <v/>
      </c>
      <c r="T1384" s="54"/>
      <c r="U1384" s="54"/>
      <c r="V1384" s="54"/>
      <c r="W1384" s="54"/>
      <c r="X1384" s="69" t="str">
        <f t="shared" si="90"/>
        <v>D</v>
      </c>
    </row>
    <row r="1385" spans="1:24" s="66" customFormat="1" x14ac:dyDescent="0.25">
      <c r="A1385" s="51"/>
      <c r="B1385" s="91" t="str">
        <f>IFERROR(VLOOKUP(A1385,Lookup!A:B,2,0),"")</f>
        <v/>
      </c>
      <c r="C1385" s="92" t="str">
        <f>IFERROR(VLOOKUP(A1385,Lookup!A:C,3,0),"")</f>
        <v/>
      </c>
      <c r="D1385" s="54"/>
      <c r="E1385" s="54"/>
      <c r="F1385" s="54"/>
      <c r="G1385" s="72"/>
      <c r="H1385" s="54"/>
      <c r="I1385" s="54"/>
      <c r="J1385" s="106">
        <f>VLOOKUP(A1385&amp;G1385,Lookup!J:N,5,0)</f>
        <v>0</v>
      </c>
      <c r="K1385" s="115"/>
      <c r="L1385" s="54"/>
      <c r="M1385" s="54"/>
      <c r="N1385" s="54"/>
      <c r="O1385" s="112">
        <v>57.4340277777778</v>
      </c>
      <c r="P1385" s="110" t="str">
        <f t="shared" si="89"/>
        <v/>
      </c>
      <c r="Q1385" s="54"/>
      <c r="R1385" s="58"/>
      <c r="S1385" s="87" t="str">
        <f t="shared" si="91"/>
        <v/>
      </c>
      <c r="T1385" s="54"/>
      <c r="U1385" s="54"/>
      <c r="V1385" s="54"/>
      <c r="W1385" s="54"/>
      <c r="X1385" s="69" t="str">
        <f t="shared" si="90"/>
        <v>D</v>
      </c>
    </row>
    <row r="1386" spans="1:24" s="66" customFormat="1" x14ac:dyDescent="0.25">
      <c r="A1386" s="51"/>
      <c r="B1386" s="91" t="str">
        <f>IFERROR(VLOOKUP(A1386,Lookup!A:B,2,0),"")</f>
        <v/>
      </c>
      <c r="C1386" s="92" t="str">
        <f>IFERROR(VLOOKUP(A1386,Lookup!A:C,3,0),"")</f>
        <v/>
      </c>
      <c r="D1386" s="54"/>
      <c r="E1386" s="54"/>
      <c r="F1386" s="54"/>
      <c r="G1386" s="72"/>
      <c r="H1386" s="54"/>
      <c r="I1386" s="54"/>
      <c r="J1386" s="106">
        <f>VLOOKUP(A1386&amp;G1386,Lookup!J:N,5,0)</f>
        <v>0</v>
      </c>
      <c r="K1386" s="115"/>
      <c r="L1386" s="54"/>
      <c r="M1386" s="54"/>
      <c r="N1386" s="54"/>
      <c r="O1386" s="112">
        <v>57.4756944444444</v>
      </c>
      <c r="P1386" s="110" t="str">
        <f t="shared" si="89"/>
        <v/>
      </c>
      <c r="Q1386" s="54"/>
      <c r="R1386" s="58"/>
      <c r="S1386" s="87" t="str">
        <f t="shared" si="91"/>
        <v/>
      </c>
      <c r="T1386" s="54"/>
      <c r="U1386" s="54"/>
      <c r="V1386" s="54"/>
      <c r="W1386" s="54"/>
      <c r="X1386" s="69" t="str">
        <f t="shared" si="90"/>
        <v>D</v>
      </c>
    </row>
    <row r="1387" spans="1:24" s="66" customFormat="1" x14ac:dyDescent="0.25">
      <c r="A1387" s="51"/>
      <c r="B1387" s="91" t="str">
        <f>IFERROR(VLOOKUP(A1387,Lookup!A:B,2,0),"")</f>
        <v/>
      </c>
      <c r="C1387" s="92" t="str">
        <f>IFERROR(VLOOKUP(A1387,Lookup!A:C,3,0),"")</f>
        <v/>
      </c>
      <c r="D1387" s="54"/>
      <c r="E1387" s="54"/>
      <c r="F1387" s="54"/>
      <c r="G1387" s="72"/>
      <c r="H1387" s="54"/>
      <c r="I1387" s="54"/>
      <c r="J1387" s="106">
        <f>VLOOKUP(A1387&amp;G1387,Lookup!J:N,5,0)</f>
        <v>0</v>
      </c>
      <c r="K1387" s="115"/>
      <c r="L1387" s="54"/>
      <c r="M1387" s="54"/>
      <c r="N1387" s="54"/>
      <c r="O1387" s="112">
        <v>57.5173611111111</v>
      </c>
      <c r="P1387" s="110" t="str">
        <f t="shared" si="89"/>
        <v/>
      </c>
      <c r="Q1387" s="54"/>
      <c r="R1387" s="58"/>
      <c r="S1387" s="87" t="str">
        <f t="shared" si="91"/>
        <v/>
      </c>
      <c r="T1387" s="54"/>
      <c r="U1387" s="54"/>
      <c r="V1387" s="54"/>
      <c r="W1387" s="54"/>
      <c r="X1387" s="69" t="str">
        <f t="shared" si="90"/>
        <v>D</v>
      </c>
    </row>
    <row r="1388" spans="1:24" s="66" customFormat="1" x14ac:dyDescent="0.25">
      <c r="A1388" s="51"/>
      <c r="B1388" s="91" t="str">
        <f>IFERROR(VLOOKUP(A1388,Lookup!A:B,2,0),"")</f>
        <v/>
      </c>
      <c r="C1388" s="92" t="str">
        <f>IFERROR(VLOOKUP(A1388,Lookup!A:C,3,0),"")</f>
        <v/>
      </c>
      <c r="D1388" s="54"/>
      <c r="E1388" s="54"/>
      <c r="F1388" s="54"/>
      <c r="G1388" s="72"/>
      <c r="H1388" s="54"/>
      <c r="I1388" s="54"/>
      <c r="J1388" s="106">
        <f>VLOOKUP(A1388&amp;G1388,Lookup!J:N,5,0)</f>
        <v>0</v>
      </c>
      <c r="K1388" s="115"/>
      <c r="L1388" s="54"/>
      <c r="M1388" s="54"/>
      <c r="N1388" s="54"/>
      <c r="O1388" s="112">
        <v>57.5590277777778</v>
      </c>
      <c r="P1388" s="110" t="str">
        <f t="shared" si="89"/>
        <v/>
      </c>
      <c r="Q1388" s="54"/>
      <c r="R1388" s="58"/>
      <c r="S1388" s="87" t="str">
        <f t="shared" si="91"/>
        <v/>
      </c>
      <c r="T1388" s="54"/>
      <c r="U1388" s="54"/>
      <c r="V1388" s="54"/>
      <c r="W1388" s="54"/>
      <c r="X1388" s="69" t="str">
        <f t="shared" si="90"/>
        <v>D</v>
      </c>
    </row>
    <row r="1389" spans="1:24" s="66" customFormat="1" x14ac:dyDescent="0.25">
      <c r="A1389" s="51"/>
      <c r="B1389" s="91" t="str">
        <f>IFERROR(VLOOKUP(A1389,Lookup!A:B,2,0),"")</f>
        <v/>
      </c>
      <c r="C1389" s="92" t="str">
        <f>IFERROR(VLOOKUP(A1389,Lookup!A:C,3,0),"")</f>
        <v/>
      </c>
      <c r="D1389" s="54"/>
      <c r="E1389" s="54"/>
      <c r="F1389" s="54"/>
      <c r="G1389" s="72"/>
      <c r="H1389" s="54"/>
      <c r="I1389" s="54"/>
      <c r="J1389" s="106">
        <f>VLOOKUP(A1389&amp;G1389,Lookup!J:N,5,0)</f>
        <v>0</v>
      </c>
      <c r="K1389" s="115"/>
      <c r="L1389" s="54"/>
      <c r="M1389" s="54"/>
      <c r="N1389" s="54"/>
      <c r="O1389" s="112">
        <v>57.6006944444444</v>
      </c>
      <c r="P1389" s="110" t="str">
        <f t="shared" si="89"/>
        <v/>
      </c>
      <c r="Q1389" s="54"/>
      <c r="R1389" s="58"/>
      <c r="S1389" s="87" t="str">
        <f t="shared" si="91"/>
        <v/>
      </c>
      <c r="T1389" s="54"/>
      <c r="U1389" s="54"/>
      <c r="V1389" s="54"/>
      <c r="W1389" s="54"/>
      <c r="X1389" s="69" t="str">
        <f t="shared" si="90"/>
        <v>D</v>
      </c>
    </row>
    <row r="1390" spans="1:24" s="66" customFormat="1" x14ac:dyDescent="0.25">
      <c r="A1390" s="51"/>
      <c r="B1390" s="91" t="str">
        <f>IFERROR(VLOOKUP(A1390,Lookup!A:B,2,0),"")</f>
        <v/>
      </c>
      <c r="C1390" s="92" t="str">
        <f>IFERROR(VLOOKUP(A1390,Lookup!A:C,3,0),"")</f>
        <v/>
      </c>
      <c r="D1390" s="54"/>
      <c r="E1390" s="54"/>
      <c r="F1390" s="54"/>
      <c r="G1390" s="72"/>
      <c r="H1390" s="54"/>
      <c r="I1390" s="54"/>
      <c r="J1390" s="106">
        <f>VLOOKUP(A1390&amp;G1390,Lookup!J:N,5,0)</f>
        <v>0</v>
      </c>
      <c r="K1390" s="115"/>
      <c r="L1390" s="54"/>
      <c r="M1390" s="54"/>
      <c r="N1390" s="54"/>
      <c r="O1390" s="112">
        <v>57.6423611111111</v>
      </c>
      <c r="P1390" s="110" t="str">
        <f t="shared" si="89"/>
        <v/>
      </c>
      <c r="Q1390" s="54"/>
      <c r="R1390" s="58"/>
      <c r="S1390" s="87" t="str">
        <f t="shared" si="91"/>
        <v/>
      </c>
      <c r="T1390" s="54"/>
      <c r="U1390" s="54"/>
      <c r="V1390" s="54"/>
      <c r="W1390" s="54"/>
      <c r="X1390" s="69" t="str">
        <f t="shared" si="90"/>
        <v>D</v>
      </c>
    </row>
    <row r="1391" spans="1:24" s="66" customFormat="1" x14ac:dyDescent="0.25">
      <c r="A1391" s="51"/>
      <c r="B1391" s="91" t="str">
        <f>IFERROR(VLOOKUP(A1391,Lookup!A:B,2,0),"")</f>
        <v/>
      </c>
      <c r="C1391" s="92" t="str">
        <f>IFERROR(VLOOKUP(A1391,Lookup!A:C,3,0),"")</f>
        <v/>
      </c>
      <c r="D1391" s="54"/>
      <c r="E1391" s="54"/>
      <c r="F1391" s="54"/>
      <c r="G1391" s="72"/>
      <c r="H1391" s="54"/>
      <c r="I1391" s="54"/>
      <c r="J1391" s="106">
        <f>VLOOKUP(A1391&amp;G1391,Lookup!J:N,5,0)</f>
        <v>0</v>
      </c>
      <c r="K1391" s="115"/>
      <c r="L1391" s="54"/>
      <c r="M1391" s="54"/>
      <c r="N1391" s="54"/>
      <c r="O1391" s="112">
        <v>57.6840277777778</v>
      </c>
      <c r="P1391" s="110" t="str">
        <f t="shared" si="89"/>
        <v/>
      </c>
      <c r="Q1391" s="54"/>
      <c r="R1391" s="58"/>
      <c r="S1391" s="87" t="str">
        <f t="shared" si="91"/>
        <v/>
      </c>
      <c r="T1391" s="54"/>
      <c r="U1391" s="54"/>
      <c r="V1391" s="54"/>
      <c r="W1391" s="54"/>
      <c r="X1391" s="69" t="str">
        <f t="shared" si="90"/>
        <v>D</v>
      </c>
    </row>
    <row r="1392" spans="1:24" s="66" customFormat="1" x14ac:dyDescent="0.25">
      <c r="A1392" s="51"/>
      <c r="B1392" s="91" t="str">
        <f>IFERROR(VLOOKUP(A1392,Lookup!A:B,2,0),"")</f>
        <v/>
      </c>
      <c r="C1392" s="92" t="str">
        <f>IFERROR(VLOOKUP(A1392,Lookup!A:C,3,0),"")</f>
        <v/>
      </c>
      <c r="D1392" s="54"/>
      <c r="E1392" s="54"/>
      <c r="F1392" s="54"/>
      <c r="G1392" s="72"/>
      <c r="H1392" s="54"/>
      <c r="I1392" s="54"/>
      <c r="J1392" s="106">
        <f>VLOOKUP(A1392&amp;G1392,Lookup!J:N,5,0)</f>
        <v>0</v>
      </c>
      <c r="K1392" s="115"/>
      <c r="L1392" s="54"/>
      <c r="M1392" s="54"/>
      <c r="N1392" s="54"/>
      <c r="O1392" s="112">
        <v>57.7256944444444</v>
      </c>
      <c r="P1392" s="110" t="str">
        <f t="shared" si="89"/>
        <v/>
      </c>
      <c r="Q1392" s="54"/>
      <c r="R1392" s="58"/>
      <c r="S1392" s="87" t="str">
        <f t="shared" si="91"/>
        <v/>
      </c>
      <c r="T1392" s="54"/>
      <c r="U1392" s="54"/>
      <c r="V1392" s="54"/>
      <c r="W1392" s="54"/>
      <c r="X1392" s="69" t="str">
        <f t="shared" si="90"/>
        <v>D</v>
      </c>
    </row>
    <row r="1393" spans="1:24" s="66" customFormat="1" x14ac:dyDescent="0.25">
      <c r="A1393" s="51"/>
      <c r="B1393" s="91" t="str">
        <f>IFERROR(VLOOKUP(A1393,Lookup!A:B,2,0),"")</f>
        <v/>
      </c>
      <c r="C1393" s="92" t="str">
        <f>IFERROR(VLOOKUP(A1393,Lookup!A:C,3,0),"")</f>
        <v/>
      </c>
      <c r="D1393" s="54"/>
      <c r="E1393" s="54"/>
      <c r="F1393" s="54"/>
      <c r="G1393" s="72"/>
      <c r="H1393" s="54"/>
      <c r="I1393" s="54"/>
      <c r="J1393" s="106">
        <f>VLOOKUP(A1393&amp;G1393,Lookup!J:N,5,0)</f>
        <v>0</v>
      </c>
      <c r="K1393" s="115"/>
      <c r="L1393" s="54"/>
      <c r="M1393" s="54"/>
      <c r="N1393" s="54"/>
      <c r="O1393" s="112">
        <v>57.7673611111111</v>
      </c>
      <c r="P1393" s="110" t="str">
        <f t="shared" si="89"/>
        <v/>
      </c>
      <c r="Q1393" s="54"/>
      <c r="R1393" s="58"/>
      <c r="S1393" s="87" t="str">
        <f t="shared" si="91"/>
        <v/>
      </c>
      <c r="T1393" s="54"/>
      <c r="U1393" s="54"/>
      <c r="V1393" s="54"/>
      <c r="W1393" s="54"/>
      <c r="X1393" s="69" t="str">
        <f t="shared" si="90"/>
        <v>D</v>
      </c>
    </row>
    <row r="1394" spans="1:24" s="66" customFormat="1" x14ac:dyDescent="0.25">
      <c r="A1394" s="51"/>
      <c r="B1394" s="91" t="str">
        <f>IFERROR(VLOOKUP(A1394,Lookup!A:B,2,0),"")</f>
        <v/>
      </c>
      <c r="C1394" s="92" t="str">
        <f>IFERROR(VLOOKUP(A1394,Lookup!A:C,3,0),"")</f>
        <v/>
      </c>
      <c r="D1394" s="54"/>
      <c r="E1394" s="54"/>
      <c r="F1394" s="54"/>
      <c r="G1394" s="72"/>
      <c r="H1394" s="54"/>
      <c r="I1394" s="54"/>
      <c r="J1394" s="106">
        <f>VLOOKUP(A1394&amp;G1394,Lookup!J:N,5,0)</f>
        <v>0</v>
      </c>
      <c r="K1394" s="115"/>
      <c r="L1394" s="54"/>
      <c r="M1394" s="54"/>
      <c r="N1394" s="54"/>
      <c r="O1394" s="112">
        <v>57.8090277777778</v>
      </c>
      <c r="P1394" s="110" t="str">
        <f t="shared" si="89"/>
        <v/>
      </c>
      <c r="Q1394" s="54"/>
      <c r="R1394" s="58"/>
      <c r="S1394" s="87" t="str">
        <f t="shared" si="91"/>
        <v/>
      </c>
      <c r="T1394" s="54"/>
      <c r="U1394" s="54"/>
      <c r="V1394" s="54"/>
      <c r="W1394" s="54"/>
      <c r="X1394" s="69" t="str">
        <f t="shared" si="90"/>
        <v>D</v>
      </c>
    </row>
    <row r="1395" spans="1:24" s="66" customFormat="1" x14ac:dyDescent="0.25">
      <c r="A1395" s="51"/>
      <c r="B1395" s="91" t="str">
        <f>IFERROR(VLOOKUP(A1395,Lookup!A:B,2,0),"")</f>
        <v/>
      </c>
      <c r="C1395" s="92" t="str">
        <f>IFERROR(VLOOKUP(A1395,Lookup!A:C,3,0),"")</f>
        <v/>
      </c>
      <c r="D1395" s="54"/>
      <c r="E1395" s="54"/>
      <c r="F1395" s="54"/>
      <c r="G1395" s="72"/>
      <c r="H1395" s="54"/>
      <c r="I1395" s="54"/>
      <c r="J1395" s="106">
        <f>VLOOKUP(A1395&amp;G1395,Lookup!J:N,5,0)</f>
        <v>0</v>
      </c>
      <c r="K1395" s="115"/>
      <c r="L1395" s="54"/>
      <c r="M1395" s="54"/>
      <c r="N1395" s="54"/>
      <c r="O1395" s="112">
        <v>57.8506944444444</v>
      </c>
      <c r="P1395" s="110" t="str">
        <f t="shared" si="89"/>
        <v/>
      </c>
      <c r="Q1395" s="54"/>
      <c r="R1395" s="58"/>
      <c r="S1395" s="87" t="str">
        <f t="shared" si="91"/>
        <v/>
      </c>
      <c r="T1395" s="54"/>
      <c r="U1395" s="54"/>
      <c r="V1395" s="54"/>
      <c r="W1395" s="54"/>
      <c r="X1395" s="69" t="str">
        <f t="shared" si="90"/>
        <v>D</v>
      </c>
    </row>
    <row r="1396" spans="1:24" s="66" customFormat="1" x14ac:dyDescent="0.25">
      <c r="A1396" s="51"/>
      <c r="B1396" s="91" t="str">
        <f>IFERROR(VLOOKUP(A1396,Lookup!A:B,2,0),"")</f>
        <v/>
      </c>
      <c r="C1396" s="92" t="str">
        <f>IFERROR(VLOOKUP(A1396,Lookup!A:C,3,0),"")</f>
        <v/>
      </c>
      <c r="D1396" s="54"/>
      <c r="E1396" s="54"/>
      <c r="F1396" s="54"/>
      <c r="G1396" s="72"/>
      <c r="H1396" s="54"/>
      <c r="I1396" s="54"/>
      <c r="J1396" s="106">
        <f>VLOOKUP(A1396&amp;G1396,Lookup!J:N,5,0)</f>
        <v>0</v>
      </c>
      <c r="K1396" s="115"/>
      <c r="L1396" s="54"/>
      <c r="M1396" s="54"/>
      <c r="N1396" s="54"/>
      <c r="O1396" s="112">
        <v>57.8923611111111</v>
      </c>
      <c r="P1396" s="110" t="str">
        <f t="shared" si="89"/>
        <v/>
      </c>
      <c r="Q1396" s="54"/>
      <c r="R1396" s="58"/>
      <c r="S1396" s="87" t="str">
        <f t="shared" si="91"/>
        <v/>
      </c>
      <c r="T1396" s="54"/>
      <c r="U1396" s="54"/>
      <c r="V1396" s="54"/>
      <c r="W1396" s="54"/>
      <c r="X1396" s="69" t="str">
        <f t="shared" si="90"/>
        <v>D</v>
      </c>
    </row>
    <row r="1397" spans="1:24" s="66" customFormat="1" x14ac:dyDescent="0.25">
      <c r="A1397" s="51"/>
      <c r="B1397" s="91" t="str">
        <f>IFERROR(VLOOKUP(A1397,Lookup!A:B,2,0),"")</f>
        <v/>
      </c>
      <c r="C1397" s="92" t="str">
        <f>IFERROR(VLOOKUP(A1397,Lookup!A:C,3,0),"")</f>
        <v/>
      </c>
      <c r="D1397" s="54"/>
      <c r="E1397" s="54"/>
      <c r="F1397" s="54"/>
      <c r="G1397" s="72"/>
      <c r="H1397" s="54"/>
      <c r="I1397" s="54"/>
      <c r="J1397" s="106">
        <f>VLOOKUP(A1397&amp;G1397,Lookup!J:N,5,0)</f>
        <v>0</v>
      </c>
      <c r="K1397" s="115"/>
      <c r="L1397" s="54"/>
      <c r="M1397" s="54"/>
      <c r="N1397" s="54"/>
      <c r="O1397" s="112">
        <v>57.9340277777778</v>
      </c>
      <c r="P1397" s="110" t="str">
        <f t="shared" si="89"/>
        <v/>
      </c>
      <c r="Q1397" s="54"/>
      <c r="R1397" s="58"/>
      <c r="S1397" s="87" t="str">
        <f t="shared" si="91"/>
        <v/>
      </c>
      <c r="T1397" s="54"/>
      <c r="U1397" s="54"/>
      <c r="V1397" s="54"/>
      <c r="W1397" s="54"/>
      <c r="X1397" s="69" t="str">
        <f t="shared" si="90"/>
        <v>D</v>
      </c>
    </row>
    <row r="1398" spans="1:24" s="66" customFormat="1" x14ac:dyDescent="0.25">
      <c r="A1398" s="51"/>
      <c r="B1398" s="91" t="str">
        <f>IFERROR(VLOOKUP(A1398,Lookup!A:B,2,0),"")</f>
        <v/>
      </c>
      <c r="C1398" s="92" t="str">
        <f>IFERROR(VLOOKUP(A1398,Lookup!A:C,3,0),"")</f>
        <v/>
      </c>
      <c r="D1398" s="54"/>
      <c r="E1398" s="54"/>
      <c r="F1398" s="54"/>
      <c r="G1398" s="72"/>
      <c r="H1398" s="54"/>
      <c r="I1398" s="54"/>
      <c r="J1398" s="106">
        <f>VLOOKUP(A1398&amp;G1398,Lookup!J:N,5,0)</f>
        <v>0</v>
      </c>
      <c r="K1398" s="115"/>
      <c r="L1398" s="54"/>
      <c r="M1398" s="54"/>
      <c r="N1398" s="54"/>
      <c r="O1398" s="112">
        <v>57.9756944444444</v>
      </c>
      <c r="P1398" s="110" t="str">
        <f t="shared" si="89"/>
        <v/>
      </c>
      <c r="Q1398" s="54"/>
      <c r="R1398" s="58"/>
      <c r="S1398" s="87" t="str">
        <f t="shared" si="91"/>
        <v/>
      </c>
      <c r="T1398" s="54"/>
      <c r="U1398" s="54"/>
      <c r="V1398" s="54"/>
      <c r="W1398" s="54"/>
      <c r="X1398" s="69" t="str">
        <f t="shared" si="90"/>
        <v>D</v>
      </c>
    </row>
    <row r="1399" spans="1:24" s="66" customFormat="1" x14ac:dyDescent="0.25">
      <c r="A1399" s="51"/>
      <c r="B1399" s="91" t="str">
        <f>IFERROR(VLOOKUP(A1399,Lookup!A:B,2,0),"")</f>
        <v/>
      </c>
      <c r="C1399" s="92" t="str">
        <f>IFERROR(VLOOKUP(A1399,Lookup!A:C,3,0),"")</f>
        <v/>
      </c>
      <c r="D1399" s="54"/>
      <c r="E1399" s="54"/>
      <c r="F1399" s="54"/>
      <c r="G1399" s="72"/>
      <c r="H1399" s="54"/>
      <c r="I1399" s="54"/>
      <c r="J1399" s="106">
        <f>VLOOKUP(A1399&amp;G1399,Lookup!J:N,5,0)</f>
        <v>0</v>
      </c>
      <c r="K1399" s="115"/>
      <c r="L1399" s="54"/>
      <c r="M1399" s="54"/>
      <c r="N1399" s="54"/>
      <c r="O1399" s="112">
        <v>58.0173611111111</v>
      </c>
      <c r="P1399" s="110" t="str">
        <f t="shared" si="89"/>
        <v/>
      </c>
      <c r="Q1399" s="54"/>
      <c r="R1399" s="58"/>
      <c r="S1399" s="87" t="str">
        <f t="shared" si="91"/>
        <v/>
      </c>
      <c r="T1399" s="54"/>
      <c r="U1399" s="54"/>
      <c r="V1399" s="54"/>
      <c r="W1399" s="54"/>
      <c r="X1399" s="69" t="str">
        <f t="shared" si="90"/>
        <v>D</v>
      </c>
    </row>
    <row r="1400" spans="1:24" s="66" customFormat="1" x14ac:dyDescent="0.25">
      <c r="A1400" s="51"/>
      <c r="B1400" s="91" t="str">
        <f>IFERROR(VLOOKUP(A1400,Lookup!A:B,2,0),"")</f>
        <v/>
      </c>
      <c r="C1400" s="92" t="str">
        <f>IFERROR(VLOOKUP(A1400,Lookup!A:C,3,0),"")</f>
        <v/>
      </c>
      <c r="D1400" s="54"/>
      <c r="E1400" s="54"/>
      <c r="F1400" s="54"/>
      <c r="G1400" s="72"/>
      <c r="H1400" s="54"/>
      <c r="I1400" s="54"/>
      <c r="J1400" s="106">
        <f>VLOOKUP(A1400&amp;G1400,Lookup!J:N,5,0)</f>
        <v>0</v>
      </c>
      <c r="K1400" s="115"/>
      <c r="L1400" s="54"/>
      <c r="M1400" s="54"/>
      <c r="N1400" s="54"/>
      <c r="O1400" s="112">
        <v>58.0590277777778</v>
      </c>
      <c r="P1400" s="110" t="str">
        <f t="shared" si="89"/>
        <v/>
      </c>
      <c r="Q1400" s="54"/>
      <c r="R1400" s="58"/>
      <c r="S1400" s="87" t="str">
        <f t="shared" si="91"/>
        <v/>
      </c>
      <c r="T1400" s="54"/>
      <c r="U1400" s="54"/>
      <c r="V1400" s="54"/>
      <c r="W1400" s="54"/>
      <c r="X1400" s="69" t="str">
        <f t="shared" si="90"/>
        <v>D</v>
      </c>
    </row>
    <row r="1401" spans="1:24" s="66" customFormat="1" x14ac:dyDescent="0.25">
      <c r="A1401" s="51"/>
      <c r="B1401" s="91" t="str">
        <f>IFERROR(VLOOKUP(A1401,Lookup!A:B,2,0),"")</f>
        <v/>
      </c>
      <c r="C1401" s="92" t="str">
        <f>IFERROR(VLOOKUP(A1401,Lookup!A:C,3,0),"")</f>
        <v/>
      </c>
      <c r="D1401" s="54"/>
      <c r="E1401" s="54"/>
      <c r="F1401" s="54"/>
      <c r="G1401" s="72"/>
      <c r="H1401" s="54"/>
      <c r="I1401" s="54"/>
      <c r="J1401" s="106">
        <f>VLOOKUP(A1401&amp;G1401,Lookup!J:N,5,0)</f>
        <v>0</v>
      </c>
      <c r="K1401" s="115"/>
      <c r="L1401" s="54"/>
      <c r="M1401" s="54"/>
      <c r="N1401" s="54"/>
      <c r="O1401" s="112">
        <v>58.1006944444444</v>
      </c>
      <c r="P1401" s="110" t="str">
        <f t="shared" si="89"/>
        <v/>
      </c>
      <c r="Q1401" s="54"/>
      <c r="R1401" s="58"/>
      <c r="S1401" s="87" t="str">
        <f t="shared" si="91"/>
        <v/>
      </c>
      <c r="T1401" s="54"/>
      <c r="U1401" s="54"/>
      <c r="V1401" s="54"/>
      <c r="W1401" s="54"/>
      <c r="X1401" s="69" t="str">
        <f t="shared" si="90"/>
        <v>D</v>
      </c>
    </row>
    <row r="1402" spans="1:24" s="66" customFormat="1" x14ac:dyDescent="0.25">
      <c r="A1402" s="51"/>
      <c r="B1402" s="91" t="str">
        <f>IFERROR(VLOOKUP(A1402,Lookup!A:B,2,0),"")</f>
        <v/>
      </c>
      <c r="C1402" s="92" t="str">
        <f>IFERROR(VLOOKUP(A1402,Lookup!A:C,3,0),"")</f>
        <v/>
      </c>
      <c r="D1402" s="54"/>
      <c r="E1402" s="54"/>
      <c r="F1402" s="54"/>
      <c r="G1402" s="72"/>
      <c r="H1402" s="54"/>
      <c r="I1402" s="54"/>
      <c r="J1402" s="106">
        <f>VLOOKUP(A1402&amp;G1402,Lookup!J:N,5,0)</f>
        <v>0</v>
      </c>
      <c r="K1402" s="115"/>
      <c r="L1402" s="54"/>
      <c r="M1402" s="54"/>
      <c r="N1402" s="54"/>
      <c r="O1402" s="112">
        <v>58.1423611111111</v>
      </c>
      <c r="P1402" s="110" t="str">
        <f t="shared" si="89"/>
        <v/>
      </c>
      <c r="Q1402" s="54"/>
      <c r="R1402" s="58"/>
      <c r="S1402" s="87" t="str">
        <f t="shared" si="91"/>
        <v/>
      </c>
      <c r="T1402" s="54"/>
      <c r="U1402" s="54"/>
      <c r="V1402" s="54"/>
      <c r="W1402" s="54"/>
      <c r="X1402" s="69" t="str">
        <f t="shared" si="90"/>
        <v>D</v>
      </c>
    </row>
    <row r="1403" spans="1:24" s="66" customFormat="1" x14ac:dyDescent="0.25">
      <c r="A1403" s="51"/>
      <c r="B1403" s="91" t="str">
        <f>IFERROR(VLOOKUP(A1403,Lookup!A:B,2,0),"")</f>
        <v/>
      </c>
      <c r="C1403" s="92" t="str">
        <f>IFERROR(VLOOKUP(A1403,Lookup!A:C,3,0),"")</f>
        <v/>
      </c>
      <c r="D1403" s="54"/>
      <c r="E1403" s="54"/>
      <c r="F1403" s="54"/>
      <c r="G1403" s="72"/>
      <c r="H1403" s="54"/>
      <c r="I1403" s="54"/>
      <c r="J1403" s="106">
        <f>VLOOKUP(A1403&amp;G1403,Lookup!J:N,5,0)</f>
        <v>0</v>
      </c>
      <c r="K1403" s="115"/>
      <c r="L1403" s="54"/>
      <c r="M1403" s="54"/>
      <c r="N1403" s="54"/>
      <c r="O1403" s="112">
        <v>58.1840277777778</v>
      </c>
      <c r="P1403" s="110" t="str">
        <f t="shared" si="89"/>
        <v/>
      </c>
      <c r="Q1403" s="54"/>
      <c r="R1403" s="58"/>
      <c r="S1403" s="87" t="str">
        <f t="shared" si="91"/>
        <v/>
      </c>
      <c r="T1403" s="54"/>
      <c r="U1403" s="54"/>
      <c r="V1403" s="54"/>
      <c r="W1403" s="54"/>
      <c r="X1403" s="69" t="str">
        <f t="shared" si="90"/>
        <v>D</v>
      </c>
    </row>
    <row r="1404" spans="1:24" s="66" customFormat="1" x14ac:dyDescent="0.25">
      <c r="A1404" s="51"/>
      <c r="B1404" s="91" t="str">
        <f>IFERROR(VLOOKUP(A1404,Lookup!A:B,2,0),"")</f>
        <v/>
      </c>
      <c r="C1404" s="92" t="str">
        <f>IFERROR(VLOOKUP(A1404,Lookup!A:C,3,0),"")</f>
        <v/>
      </c>
      <c r="D1404" s="54"/>
      <c r="E1404" s="54"/>
      <c r="F1404" s="54"/>
      <c r="G1404" s="72"/>
      <c r="H1404" s="54"/>
      <c r="I1404" s="54"/>
      <c r="J1404" s="106">
        <f>VLOOKUP(A1404&amp;G1404,Lookup!J:N,5,0)</f>
        <v>0</v>
      </c>
      <c r="K1404" s="115"/>
      <c r="L1404" s="54"/>
      <c r="M1404" s="54"/>
      <c r="N1404" s="54"/>
      <c r="O1404" s="112">
        <v>58.2256944444444</v>
      </c>
      <c r="P1404" s="110" t="str">
        <f t="shared" si="89"/>
        <v/>
      </c>
      <c r="Q1404" s="54"/>
      <c r="R1404" s="58"/>
      <c r="S1404" s="87" t="str">
        <f t="shared" si="91"/>
        <v/>
      </c>
      <c r="T1404" s="54"/>
      <c r="U1404" s="54"/>
      <c r="V1404" s="54"/>
      <c r="W1404" s="54"/>
      <c r="X1404" s="69" t="str">
        <f t="shared" si="90"/>
        <v>D</v>
      </c>
    </row>
    <row r="1405" spans="1:24" s="66" customFormat="1" x14ac:dyDescent="0.25">
      <c r="A1405" s="51"/>
      <c r="B1405" s="91" t="str">
        <f>IFERROR(VLOOKUP(A1405,Lookup!A:B,2,0),"")</f>
        <v/>
      </c>
      <c r="C1405" s="92" t="str">
        <f>IFERROR(VLOOKUP(A1405,Lookup!A:C,3,0),"")</f>
        <v/>
      </c>
      <c r="D1405" s="54"/>
      <c r="E1405" s="54"/>
      <c r="F1405" s="54"/>
      <c r="G1405" s="72"/>
      <c r="H1405" s="54"/>
      <c r="I1405" s="54"/>
      <c r="J1405" s="106">
        <f>VLOOKUP(A1405&amp;G1405,Lookup!J:N,5,0)</f>
        <v>0</v>
      </c>
      <c r="K1405" s="115"/>
      <c r="L1405" s="54"/>
      <c r="M1405" s="54"/>
      <c r="N1405" s="54"/>
      <c r="O1405" s="112">
        <v>58.2673611111111</v>
      </c>
      <c r="P1405" s="110" t="str">
        <f t="shared" si="89"/>
        <v/>
      </c>
      <c r="Q1405" s="54"/>
      <c r="R1405" s="58"/>
      <c r="S1405" s="87" t="str">
        <f t="shared" si="91"/>
        <v/>
      </c>
      <c r="T1405" s="54"/>
      <c r="U1405" s="54"/>
      <c r="V1405" s="54"/>
      <c r="W1405" s="54"/>
      <c r="X1405" s="69" t="str">
        <f t="shared" si="90"/>
        <v>D</v>
      </c>
    </row>
    <row r="1406" spans="1:24" s="66" customFormat="1" x14ac:dyDescent="0.25">
      <c r="A1406" s="51"/>
      <c r="B1406" s="91" t="str">
        <f>IFERROR(VLOOKUP(A1406,Lookup!A:B,2,0),"")</f>
        <v/>
      </c>
      <c r="C1406" s="92" t="str">
        <f>IFERROR(VLOOKUP(A1406,Lookup!A:C,3,0),"")</f>
        <v/>
      </c>
      <c r="D1406" s="54"/>
      <c r="E1406" s="54"/>
      <c r="F1406" s="54"/>
      <c r="G1406" s="72"/>
      <c r="H1406" s="54"/>
      <c r="I1406" s="54"/>
      <c r="J1406" s="106">
        <f>VLOOKUP(A1406&amp;G1406,Lookup!J:N,5,0)</f>
        <v>0</v>
      </c>
      <c r="K1406" s="115"/>
      <c r="L1406" s="54"/>
      <c r="M1406" s="54"/>
      <c r="N1406" s="54"/>
      <c r="O1406" s="112">
        <v>58.3090277777778</v>
      </c>
      <c r="P1406" s="110" t="str">
        <f t="shared" si="89"/>
        <v/>
      </c>
      <c r="Q1406" s="54"/>
      <c r="R1406" s="58"/>
      <c r="S1406" s="87" t="str">
        <f t="shared" si="91"/>
        <v/>
      </c>
      <c r="T1406" s="54"/>
      <c r="U1406" s="54"/>
      <c r="V1406" s="54"/>
      <c r="W1406" s="54"/>
      <c r="X1406" s="69" t="str">
        <f t="shared" si="90"/>
        <v>D</v>
      </c>
    </row>
    <row r="1407" spans="1:24" s="66" customFormat="1" x14ac:dyDescent="0.25">
      <c r="A1407" s="51"/>
      <c r="B1407" s="91" t="str">
        <f>IFERROR(VLOOKUP(A1407,Lookup!A:B,2,0),"")</f>
        <v/>
      </c>
      <c r="C1407" s="92" t="str">
        <f>IFERROR(VLOOKUP(A1407,Lookup!A:C,3,0),"")</f>
        <v/>
      </c>
      <c r="D1407" s="54"/>
      <c r="E1407" s="54"/>
      <c r="F1407" s="54"/>
      <c r="G1407" s="72"/>
      <c r="H1407" s="54"/>
      <c r="I1407" s="54"/>
      <c r="J1407" s="106">
        <f>VLOOKUP(A1407&amp;G1407,Lookup!J:N,5,0)</f>
        <v>0</v>
      </c>
      <c r="K1407" s="115"/>
      <c r="L1407" s="54"/>
      <c r="M1407" s="54"/>
      <c r="N1407" s="54"/>
      <c r="O1407" s="112">
        <v>58.3506944444444</v>
      </c>
      <c r="P1407" s="110" t="str">
        <f t="shared" si="89"/>
        <v/>
      </c>
      <c r="Q1407" s="54"/>
      <c r="R1407" s="58"/>
      <c r="S1407" s="87" t="str">
        <f t="shared" si="91"/>
        <v/>
      </c>
      <c r="T1407" s="54"/>
      <c r="U1407" s="54"/>
      <c r="V1407" s="54"/>
      <c r="W1407" s="54"/>
      <c r="X1407" s="69" t="str">
        <f t="shared" si="90"/>
        <v>D</v>
      </c>
    </row>
    <row r="1408" spans="1:24" s="66" customFormat="1" x14ac:dyDescent="0.25">
      <c r="A1408" s="51"/>
      <c r="B1408" s="91" t="str">
        <f>IFERROR(VLOOKUP(A1408,Lookup!A:B,2,0),"")</f>
        <v/>
      </c>
      <c r="C1408" s="92" t="str">
        <f>IFERROR(VLOOKUP(A1408,Lookup!A:C,3,0),"")</f>
        <v/>
      </c>
      <c r="D1408" s="54"/>
      <c r="E1408" s="54"/>
      <c r="F1408" s="54"/>
      <c r="G1408" s="72"/>
      <c r="H1408" s="54"/>
      <c r="I1408" s="54"/>
      <c r="J1408" s="106">
        <f>VLOOKUP(A1408&amp;G1408,Lookup!J:N,5,0)</f>
        <v>0</v>
      </c>
      <c r="K1408" s="115"/>
      <c r="L1408" s="54"/>
      <c r="M1408" s="54"/>
      <c r="N1408" s="54"/>
      <c r="O1408" s="112">
        <v>58.3923611111111</v>
      </c>
      <c r="P1408" s="110" t="str">
        <f t="shared" si="89"/>
        <v/>
      </c>
      <c r="Q1408" s="54"/>
      <c r="R1408" s="58"/>
      <c r="S1408" s="87" t="str">
        <f t="shared" si="91"/>
        <v/>
      </c>
      <c r="T1408" s="54"/>
      <c r="U1408" s="54"/>
      <c r="V1408" s="54"/>
      <c r="W1408" s="54"/>
      <c r="X1408" s="69" t="str">
        <f t="shared" si="90"/>
        <v>D</v>
      </c>
    </row>
    <row r="1409" spans="1:24" s="66" customFormat="1" x14ac:dyDescent="0.25">
      <c r="A1409" s="51"/>
      <c r="B1409" s="91" t="str">
        <f>IFERROR(VLOOKUP(A1409,Lookup!A:B,2,0),"")</f>
        <v/>
      </c>
      <c r="C1409" s="92" t="str">
        <f>IFERROR(VLOOKUP(A1409,Lookup!A:C,3,0),"")</f>
        <v/>
      </c>
      <c r="D1409" s="54"/>
      <c r="E1409" s="54"/>
      <c r="F1409" s="54"/>
      <c r="G1409" s="72"/>
      <c r="H1409" s="54"/>
      <c r="I1409" s="54"/>
      <c r="J1409" s="106">
        <f>VLOOKUP(A1409&amp;G1409,Lookup!J:N,5,0)</f>
        <v>0</v>
      </c>
      <c r="K1409" s="115"/>
      <c r="L1409" s="54"/>
      <c r="M1409" s="54"/>
      <c r="N1409" s="54"/>
      <c r="O1409" s="112">
        <v>58.4340277777778</v>
      </c>
      <c r="P1409" s="110" t="str">
        <f t="shared" si="89"/>
        <v/>
      </c>
      <c r="Q1409" s="54"/>
      <c r="R1409" s="58"/>
      <c r="S1409" s="87" t="str">
        <f t="shared" si="91"/>
        <v/>
      </c>
      <c r="T1409" s="54"/>
      <c r="U1409" s="54"/>
      <c r="V1409" s="54"/>
      <c r="W1409" s="54"/>
      <c r="X1409" s="69" t="str">
        <f t="shared" si="90"/>
        <v>D</v>
      </c>
    </row>
    <row r="1410" spans="1:24" s="66" customFormat="1" x14ac:dyDescent="0.25">
      <c r="A1410" s="51"/>
      <c r="B1410" s="91" t="str">
        <f>IFERROR(VLOOKUP(A1410,Lookup!A:B,2,0),"")</f>
        <v/>
      </c>
      <c r="C1410" s="92" t="str">
        <f>IFERROR(VLOOKUP(A1410,Lookup!A:C,3,0),"")</f>
        <v/>
      </c>
      <c r="D1410" s="54"/>
      <c r="E1410" s="54"/>
      <c r="F1410" s="54"/>
      <c r="G1410" s="72"/>
      <c r="H1410" s="54"/>
      <c r="I1410" s="54"/>
      <c r="J1410" s="106">
        <f>VLOOKUP(A1410&amp;G1410,Lookup!J:N,5,0)</f>
        <v>0</v>
      </c>
      <c r="K1410" s="115"/>
      <c r="L1410" s="54"/>
      <c r="M1410" s="54"/>
      <c r="N1410" s="54"/>
      <c r="O1410" s="112">
        <v>58.4756944444444</v>
      </c>
      <c r="P1410" s="110" t="str">
        <f t="shared" si="89"/>
        <v/>
      </c>
      <c r="Q1410" s="54"/>
      <c r="R1410" s="58"/>
      <c r="S1410" s="87" t="str">
        <f t="shared" si="91"/>
        <v/>
      </c>
      <c r="T1410" s="54"/>
      <c r="U1410" s="54"/>
      <c r="V1410" s="54"/>
      <c r="W1410" s="54"/>
      <c r="X1410" s="69" t="str">
        <f t="shared" si="90"/>
        <v>D</v>
      </c>
    </row>
    <row r="1411" spans="1:24" s="66" customFormat="1" x14ac:dyDescent="0.25">
      <c r="A1411" s="51"/>
      <c r="B1411" s="91" t="str">
        <f>IFERROR(VLOOKUP(A1411,Lookup!A:B,2,0),"")</f>
        <v/>
      </c>
      <c r="C1411" s="92" t="str">
        <f>IFERROR(VLOOKUP(A1411,Lookup!A:C,3,0),"")</f>
        <v/>
      </c>
      <c r="D1411" s="54"/>
      <c r="E1411" s="54"/>
      <c r="F1411" s="54"/>
      <c r="G1411" s="72"/>
      <c r="H1411" s="54"/>
      <c r="I1411" s="54"/>
      <c r="J1411" s="106">
        <f>VLOOKUP(A1411&amp;G1411,Lookup!J:N,5,0)</f>
        <v>0</v>
      </c>
      <c r="K1411" s="115"/>
      <c r="L1411" s="54"/>
      <c r="M1411" s="54"/>
      <c r="N1411" s="54"/>
      <c r="O1411" s="112">
        <v>58.5173611111111</v>
      </c>
      <c r="P1411" s="110" t="str">
        <f t="shared" ref="P1411:P1474" si="92">IF(N1411="","",N1411+O1411)</f>
        <v/>
      </c>
      <c r="Q1411" s="54"/>
      <c r="R1411" s="58"/>
      <c r="S1411" s="87" t="str">
        <f t="shared" si="91"/>
        <v/>
      </c>
      <c r="T1411" s="54"/>
      <c r="U1411" s="54"/>
      <c r="V1411" s="54"/>
      <c r="W1411" s="54"/>
      <c r="X1411" s="69" t="str">
        <f t="shared" ref="X1411:X1474" si="93">IF(I1411="SET","A",IF(I1411="FREQ","C",IF(I1411="","D","B")))</f>
        <v>D</v>
      </c>
    </row>
    <row r="1412" spans="1:24" s="66" customFormat="1" x14ac:dyDescent="0.25">
      <c r="A1412" s="51"/>
      <c r="B1412" s="91" t="str">
        <f>IFERROR(VLOOKUP(A1412,Lookup!A:B,2,0),"")</f>
        <v/>
      </c>
      <c r="C1412" s="92" t="str">
        <f>IFERROR(VLOOKUP(A1412,Lookup!A:C,3,0),"")</f>
        <v/>
      </c>
      <c r="D1412" s="54"/>
      <c r="E1412" s="54"/>
      <c r="F1412" s="54"/>
      <c r="G1412" s="72"/>
      <c r="H1412" s="54"/>
      <c r="I1412" s="54"/>
      <c r="J1412" s="106">
        <f>VLOOKUP(A1412&amp;G1412,Lookup!J:N,5,0)</f>
        <v>0</v>
      </c>
      <c r="K1412" s="115"/>
      <c r="L1412" s="54"/>
      <c r="M1412" s="54"/>
      <c r="N1412" s="54"/>
      <c r="O1412" s="112">
        <v>58.5590277777778</v>
      </c>
      <c r="P1412" s="110" t="str">
        <f t="shared" si="92"/>
        <v/>
      </c>
      <c r="Q1412" s="54"/>
      <c r="R1412" s="58"/>
      <c r="S1412" s="87" t="str">
        <f t="shared" si="91"/>
        <v/>
      </c>
      <c r="T1412" s="54"/>
      <c r="U1412" s="54"/>
      <c r="V1412" s="54"/>
      <c r="W1412" s="54"/>
      <c r="X1412" s="69" t="str">
        <f t="shared" si="93"/>
        <v>D</v>
      </c>
    </row>
    <row r="1413" spans="1:24" s="66" customFormat="1" x14ac:dyDescent="0.25">
      <c r="A1413" s="51"/>
      <c r="B1413" s="91" t="str">
        <f>IFERROR(VLOOKUP(A1413,Lookup!A:B,2,0),"")</f>
        <v/>
      </c>
      <c r="C1413" s="92" t="str">
        <f>IFERROR(VLOOKUP(A1413,Lookup!A:C,3,0),"")</f>
        <v/>
      </c>
      <c r="D1413" s="54"/>
      <c r="E1413" s="54"/>
      <c r="F1413" s="54"/>
      <c r="G1413" s="72"/>
      <c r="H1413" s="54"/>
      <c r="I1413" s="54"/>
      <c r="J1413" s="106">
        <f>VLOOKUP(A1413&amp;G1413,Lookup!J:N,5,0)</f>
        <v>0</v>
      </c>
      <c r="K1413" s="115"/>
      <c r="L1413" s="54"/>
      <c r="M1413" s="54"/>
      <c r="N1413" s="54"/>
      <c r="O1413" s="112">
        <v>58.6006944444444</v>
      </c>
      <c r="P1413" s="110" t="str">
        <f t="shared" si="92"/>
        <v/>
      </c>
      <c r="Q1413" s="54"/>
      <c r="R1413" s="58"/>
      <c r="S1413" s="87" t="str">
        <f t="shared" si="91"/>
        <v/>
      </c>
      <c r="T1413" s="54"/>
      <c r="U1413" s="54"/>
      <c r="V1413" s="54"/>
      <c r="W1413" s="54"/>
      <c r="X1413" s="69" t="str">
        <f t="shared" si="93"/>
        <v>D</v>
      </c>
    </row>
    <row r="1414" spans="1:24" s="66" customFormat="1" x14ac:dyDescent="0.25">
      <c r="A1414" s="51"/>
      <c r="B1414" s="91" t="str">
        <f>IFERROR(VLOOKUP(A1414,Lookup!A:B,2,0),"")</f>
        <v/>
      </c>
      <c r="C1414" s="92" t="str">
        <f>IFERROR(VLOOKUP(A1414,Lookup!A:C,3,0),"")</f>
        <v/>
      </c>
      <c r="D1414" s="54"/>
      <c r="E1414" s="54"/>
      <c r="F1414" s="54"/>
      <c r="G1414" s="72"/>
      <c r="H1414" s="54"/>
      <c r="I1414" s="54"/>
      <c r="J1414" s="106">
        <f>VLOOKUP(A1414&amp;G1414,Lookup!J:N,5,0)</f>
        <v>0</v>
      </c>
      <c r="K1414" s="115"/>
      <c r="L1414" s="54"/>
      <c r="M1414" s="54"/>
      <c r="N1414" s="54"/>
      <c r="O1414" s="112">
        <v>58.6423611111111</v>
      </c>
      <c r="P1414" s="110" t="str">
        <f t="shared" si="92"/>
        <v/>
      </c>
      <c r="Q1414" s="54"/>
      <c r="R1414" s="58"/>
      <c r="S1414" s="87" t="str">
        <f t="shared" si="91"/>
        <v/>
      </c>
      <c r="T1414" s="54"/>
      <c r="U1414" s="54"/>
      <c r="V1414" s="54"/>
      <c r="W1414" s="54"/>
      <c r="X1414" s="69" t="str">
        <f t="shared" si="93"/>
        <v>D</v>
      </c>
    </row>
    <row r="1415" spans="1:24" s="66" customFormat="1" x14ac:dyDescent="0.25">
      <c r="A1415" s="51"/>
      <c r="B1415" s="91" t="str">
        <f>IFERROR(VLOOKUP(A1415,Lookup!A:B,2,0),"")</f>
        <v/>
      </c>
      <c r="C1415" s="92" t="str">
        <f>IFERROR(VLOOKUP(A1415,Lookup!A:C,3,0),"")</f>
        <v/>
      </c>
      <c r="D1415" s="54"/>
      <c r="E1415" s="54"/>
      <c r="F1415" s="54"/>
      <c r="G1415" s="72"/>
      <c r="H1415" s="54"/>
      <c r="I1415" s="54"/>
      <c r="J1415" s="106">
        <f>VLOOKUP(A1415&amp;G1415,Lookup!J:N,5,0)</f>
        <v>0</v>
      </c>
      <c r="K1415" s="115"/>
      <c r="L1415" s="54"/>
      <c r="M1415" s="54"/>
      <c r="N1415" s="54"/>
      <c r="O1415" s="112">
        <v>58.6840277777778</v>
      </c>
      <c r="P1415" s="110" t="str">
        <f t="shared" si="92"/>
        <v/>
      </c>
      <c r="Q1415" s="54"/>
      <c r="R1415" s="58"/>
      <c r="S1415" s="87" t="str">
        <f t="shared" ref="S1415:S1478" si="94">IF(OR(EXACT(Q1415,""), EXACT(L1415,"")),"",Q1415-L1415)</f>
        <v/>
      </c>
      <c r="T1415" s="54"/>
      <c r="U1415" s="54"/>
      <c r="V1415" s="54"/>
      <c r="W1415" s="54"/>
      <c r="X1415" s="69" t="str">
        <f t="shared" si="93"/>
        <v>D</v>
      </c>
    </row>
    <row r="1416" spans="1:24" s="66" customFormat="1" x14ac:dyDescent="0.25">
      <c r="A1416" s="51"/>
      <c r="B1416" s="91" t="str">
        <f>IFERROR(VLOOKUP(A1416,Lookup!A:B,2,0),"")</f>
        <v/>
      </c>
      <c r="C1416" s="92" t="str">
        <f>IFERROR(VLOOKUP(A1416,Lookup!A:C,3,0),"")</f>
        <v/>
      </c>
      <c r="D1416" s="54"/>
      <c r="E1416" s="54"/>
      <c r="F1416" s="54"/>
      <c r="G1416" s="72"/>
      <c r="H1416" s="54"/>
      <c r="I1416" s="54"/>
      <c r="J1416" s="106">
        <f>VLOOKUP(A1416&amp;G1416,Lookup!J:N,5,0)</f>
        <v>0</v>
      </c>
      <c r="K1416" s="115"/>
      <c r="L1416" s="54"/>
      <c r="M1416" s="54"/>
      <c r="N1416" s="54"/>
      <c r="O1416" s="112">
        <v>58.7256944444444</v>
      </c>
      <c r="P1416" s="110" t="str">
        <f t="shared" si="92"/>
        <v/>
      </c>
      <c r="Q1416" s="54"/>
      <c r="R1416" s="58"/>
      <c r="S1416" s="87" t="str">
        <f t="shared" si="94"/>
        <v/>
      </c>
      <c r="T1416" s="54"/>
      <c r="U1416" s="54"/>
      <c r="V1416" s="54"/>
      <c r="W1416" s="54"/>
      <c r="X1416" s="69" t="str">
        <f t="shared" si="93"/>
        <v>D</v>
      </c>
    </row>
    <row r="1417" spans="1:24" s="66" customFormat="1" x14ac:dyDescent="0.25">
      <c r="A1417" s="51"/>
      <c r="B1417" s="91" t="str">
        <f>IFERROR(VLOOKUP(A1417,Lookup!A:B,2,0),"")</f>
        <v/>
      </c>
      <c r="C1417" s="92" t="str">
        <f>IFERROR(VLOOKUP(A1417,Lookup!A:C,3,0),"")</f>
        <v/>
      </c>
      <c r="D1417" s="54"/>
      <c r="E1417" s="54"/>
      <c r="F1417" s="54"/>
      <c r="G1417" s="72"/>
      <c r="H1417" s="54"/>
      <c r="I1417" s="54"/>
      <c r="J1417" s="106">
        <f>VLOOKUP(A1417&amp;G1417,Lookup!J:N,5,0)</f>
        <v>0</v>
      </c>
      <c r="K1417" s="115"/>
      <c r="L1417" s="54"/>
      <c r="M1417" s="54"/>
      <c r="N1417" s="54"/>
      <c r="O1417" s="112">
        <v>58.7673611111111</v>
      </c>
      <c r="P1417" s="110" t="str">
        <f t="shared" si="92"/>
        <v/>
      </c>
      <c r="Q1417" s="54"/>
      <c r="R1417" s="58"/>
      <c r="S1417" s="87" t="str">
        <f t="shared" si="94"/>
        <v/>
      </c>
      <c r="T1417" s="54"/>
      <c r="U1417" s="54"/>
      <c r="V1417" s="54"/>
      <c r="W1417" s="54"/>
      <c r="X1417" s="69" t="str">
        <f t="shared" si="93"/>
        <v>D</v>
      </c>
    </row>
    <row r="1418" spans="1:24" s="66" customFormat="1" x14ac:dyDescent="0.25">
      <c r="A1418" s="51"/>
      <c r="B1418" s="91" t="str">
        <f>IFERROR(VLOOKUP(A1418,Lookup!A:B,2,0),"")</f>
        <v/>
      </c>
      <c r="C1418" s="92" t="str">
        <f>IFERROR(VLOOKUP(A1418,Lookup!A:C,3,0),"")</f>
        <v/>
      </c>
      <c r="D1418" s="54"/>
      <c r="E1418" s="54"/>
      <c r="F1418" s="54"/>
      <c r="G1418" s="72"/>
      <c r="H1418" s="54"/>
      <c r="I1418" s="54"/>
      <c r="J1418" s="106">
        <f>VLOOKUP(A1418&amp;G1418,Lookup!J:N,5,0)</f>
        <v>0</v>
      </c>
      <c r="K1418" s="115"/>
      <c r="L1418" s="54"/>
      <c r="M1418" s="54"/>
      <c r="N1418" s="54"/>
      <c r="O1418" s="112">
        <v>58.8090277777778</v>
      </c>
      <c r="P1418" s="110" t="str">
        <f t="shared" si="92"/>
        <v/>
      </c>
      <c r="Q1418" s="54"/>
      <c r="R1418" s="58"/>
      <c r="S1418" s="87" t="str">
        <f t="shared" si="94"/>
        <v/>
      </c>
      <c r="T1418" s="54"/>
      <c r="U1418" s="54"/>
      <c r="V1418" s="54"/>
      <c r="W1418" s="54"/>
      <c r="X1418" s="69" t="str">
        <f t="shared" si="93"/>
        <v>D</v>
      </c>
    </row>
    <row r="1419" spans="1:24" s="66" customFormat="1" x14ac:dyDescent="0.25">
      <c r="A1419" s="51"/>
      <c r="B1419" s="91" t="str">
        <f>IFERROR(VLOOKUP(A1419,Lookup!A:B,2,0),"")</f>
        <v/>
      </c>
      <c r="C1419" s="92" t="str">
        <f>IFERROR(VLOOKUP(A1419,Lookup!A:C,3,0),"")</f>
        <v/>
      </c>
      <c r="D1419" s="54"/>
      <c r="E1419" s="54"/>
      <c r="F1419" s="54"/>
      <c r="G1419" s="72"/>
      <c r="H1419" s="54"/>
      <c r="I1419" s="54"/>
      <c r="J1419" s="106">
        <f>VLOOKUP(A1419&amp;G1419,Lookup!J:N,5,0)</f>
        <v>0</v>
      </c>
      <c r="K1419" s="115"/>
      <c r="L1419" s="54"/>
      <c r="M1419" s="54"/>
      <c r="N1419" s="54"/>
      <c r="O1419" s="112">
        <v>58.8506944444444</v>
      </c>
      <c r="P1419" s="110" t="str">
        <f t="shared" si="92"/>
        <v/>
      </c>
      <c r="Q1419" s="54"/>
      <c r="R1419" s="58"/>
      <c r="S1419" s="87" t="str">
        <f t="shared" si="94"/>
        <v/>
      </c>
      <c r="T1419" s="54"/>
      <c r="U1419" s="54"/>
      <c r="V1419" s="54"/>
      <c r="W1419" s="54"/>
      <c r="X1419" s="69" t="str">
        <f t="shared" si="93"/>
        <v>D</v>
      </c>
    </row>
    <row r="1420" spans="1:24" s="66" customFormat="1" x14ac:dyDescent="0.25">
      <c r="A1420" s="51"/>
      <c r="B1420" s="91" t="str">
        <f>IFERROR(VLOOKUP(A1420,Lookup!A:B,2,0),"")</f>
        <v/>
      </c>
      <c r="C1420" s="92" t="str">
        <f>IFERROR(VLOOKUP(A1420,Lookup!A:C,3,0),"")</f>
        <v/>
      </c>
      <c r="D1420" s="54"/>
      <c r="E1420" s="54"/>
      <c r="F1420" s="54"/>
      <c r="G1420" s="72"/>
      <c r="H1420" s="54"/>
      <c r="I1420" s="54"/>
      <c r="J1420" s="106">
        <f>VLOOKUP(A1420&amp;G1420,Lookup!J:N,5,0)</f>
        <v>0</v>
      </c>
      <c r="K1420" s="115"/>
      <c r="L1420" s="54"/>
      <c r="M1420" s="54"/>
      <c r="N1420" s="54"/>
      <c r="O1420" s="112">
        <v>58.8923611111111</v>
      </c>
      <c r="P1420" s="110" t="str">
        <f t="shared" si="92"/>
        <v/>
      </c>
      <c r="Q1420" s="54"/>
      <c r="R1420" s="58"/>
      <c r="S1420" s="87" t="str">
        <f t="shared" si="94"/>
        <v/>
      </c>
      <c r="T1420" s="54"/>
      <c r="U1420" s="54"/>
      <c r="V1420" s="54"/>
      <c r="W1420" s="54"/>
      <c r="X1420" s="69" t="str">
        <f t="shared" si="93"/>
        <v>D</v>
      </c>
    </row>
    <row r="1421" spans="1:24" s="66" customFormat="1" x14ac:dyDescent="0.25">
      <c r="A1421" s="51"/>
      <c r="B1421" s="91" t="str">
        <f>IFERROR(VLOOKUP(A1421,Lookup!A:B,2,0),"")</f>
        <v/>
      </c>
      <c r="C1421" s="92" t="str">
        <f>IFERROR(VLOOKUP(A1421,Lookup!A:C,3,0),"")</f>
        <v/>
      </c>
      <c r="D1421" s="54"/>
      <c r="E1421" s="54"/>
      <c r="F1421" s="54"/>
      <c r="G1421" s="72"/>
      <c r="H1421" s="54"/>
      <c r="I1421" s="54"/>
      <c r="J1421" s="106">
        <f>VLOOKUP(A1421&amp;G1421,Lookup!J:N,5,0)</f>
        <v>0</v>
      </c>
      <c r="K1421" s="115"/>
      <c r="L1421" s="54"/>
      <c r="M1421" s="54"/>
      <c r="N1421" s="54"/>
      <c r="O1421" s="112">
        <v>58.9340277777778</v>
      </c>
      <c r="P1421" s="110" t="str">
        <f t="shared" si="92"/>
        <v/>
      </c>
      <c r="Q1421" s="54"/>
      <c r="R1421" s="58"/>
      <c r="S1421" s="87" t="str">
        <f t="shared" si="94"/>
        <v/>
      </c>
      <c r="T1421" s="54"/>
      <c r="U1421" s="54"/>
      <c r="V1421" s="54"/>
      <c r="W1421" s="54"/>
      <c r="X1421" s="69" t="str">
        <f t="shared" si="93"/>
        <v>D</v>
      </c>
    </row>
    <row r="1422" spans="1:24" s="66" customFormat="1" x14ac:dyDescent="0.25">
      <c r="A1422" s="51"/>
      <c r="B1422" s="91" t="str">
        <f>IFERROR(VLOOKUP(A1422,Lookup!A:B,2,0),"")</f>
        <v/>
      </c>
      <c r="C1422" s="92" t="str">
        <f>IFERROR(VLOOKUP(A1422,Lookup!A:C,3,0),"")</f>
        <v/>
      </c>
      <c r="D1422" s="54"/>
      <c r="E1422" s="54"/>
      <c r="F1422" s="54"/>
      <c r="G1422" s="72"/>
      <c r="H1422" s="54"/>
      <c r="I1422" s="54"/>
      <c r="J1422" s="106">
        <f>VLOOKUP(A1422&amp;G1422,Lookup!J:N,5,0)</f>
        <v>0</v>
      </c>
      <c r="K1422" s="115"/>
      <c r="L1422" s="54"/>
      <c r="M1422" s="54"/>
      <c r="N1422" s="54"/>
      <c r="O1422" s="112">
        <v>58.9756944444444</v>
      </c>
      <c r="P1422" s="110" t="str">
        <f t="shared" si="92"/>
        <v/>
      </c>
      <c r="Q1422" s="54"/>
      <c r="R1422" s="58"/>
      <c r="S1422" s="87" t="str">
        <f t="shared" si="94"/>
        <v/>
      </c>
      <c r="T1422" s="54"/>
      <c r="U1422" s="54"/>
      <c r="V1422" s="54"/>
      <c r="W1422" s="54"/>
      <c r="X1422" s="69" t="str">
        <f t="shared" si="93"/>
        <v>D</v>
      </c>
    </row>
    <row r="1423" spans="1:24" s="66" customFormat="1" x14ac:dyDescent="0.25">
      <c r="A1423" s="51"/>
      <c r="B1423" s="91" t="str">
        <f>IFERROR(VLOOKUP(A1423,Lookup!A:B,2,0),"")</f>
        <v/>
      </c>
      <c r="C1423" s="92" t="str">
        <f>IFERROR(VLOOKUP(A1423,Lookup!A:C,3,0),"")</f>
        <v/>
      </c>
      <c r="D1423" s="54"/>
      <c r="E1423" s="54"/>
      <c r="F1423" s="54"/>
      <c r="G1423" s="72"/>
      <c r="H1423" s="54"/>
      <c r="I1423" s="54"/>
      <c r="J1423" s="106">
        <f>VLOOKUP(A1423&amp;G1423,Lookup!J:N,5,0)</f>
        <v>0</v>
      </c>
      <c r="K1423" s="115"/>
      <c r="L1423" s="54"/>
      <c r="M1423" s="54"/>
      <c r="N1423" s="54"/>
      <c r="O1423" s="112">
        <v>59.0173611111111</v>
      </c>
      <c r="P1423" s="110" t="str">
        <f t="shared" si="92"/>
        <v/>
      </c>
      <c r="Q1423" s="54"/>
      <c r="R1423" s="58"/>
      <c r="S1423" s="87" t="str">
        <f t="shared" si="94"/>
        <v/>
      </c>
      <c r="T1423" s="54"/>
      <c r="U1423" s="54"/>
      <c r="V1423" s="54"/>
      <c r="W1423" s="54"/>
      <c r="X1423" s="69" t="str">
        <f t="shared" si="93"/>
        <v>D</v>
      </c>
    </row>
    <row r="1424" spans="1:24" s="66" customFormat="1" x14ac:dyDescent="0.25">
      <c r="A1424" s="51"/>
      <c r="B1424" s="91" t="str">
        <f>IFERROR(VLOOKUP(A1424,Lookup!A:B,2,0),"")</f>
        <v/>
      </c>
      <c r="C1424" s="92" t="str">
        <f>IFERROR(VLOOKUP(A1424,Lookup!A:C,3,0),"")</f>
        <v/>
      </c>
      <c r="D1424" s="54"/>
      <c r="E1424" s="54"/>
      <c r="F1424" s="54"/>
      <c r="G1424" s="72"/>
      <c r="H1424" s="54"/>
      <c r="I1424" s="54"/>
      <c r="J1424" s="106">
        <f>VLOOKUP(A1424&amp;G1424,Lookup!J:N,5,0)</f>
        <v>0</v>
      </c>
      <c r="K1424" s="115"/>
      <c r="L1424" s="54"/>
      <c r="M1424" s="54"/>
      <c r="N1424" s="54"/>
      <c r="O1424" s="112">
        <v>59.0590277777778</v>
      </c>
      <c r="P1424" s="110" t="str">
        <f t="shared" si="92"/>
        <v/>
      </c>
      <c r="Q1424" s="54"/>
      <c r="R1424" s="58"/>
      <c r="S1424" s="87" t="str">
        <f t="shared" si="94"/>
        <v/>
      </c>
      <c r="T1424" s="54"/>
      <c r="U1424" s="54"/>
      <c r="V1424" s="54"/>
      <c r="W1424" s="54"/>
      <c r="X1424" s="69" t="str">
        <f t="shared" si="93"/>
        <v>D</v>
      </c>
    </row>
    <row r="1425" spans="1:24" s="66" customFormat="1" x14ac:dyDescent="0.25">
      <c r="A1425" s="51"/>
      <c r="B1425" s="91" t="str">
        <f>IFERROR(VLOOKUP(A1425,Lookup!A:B,2,0),"")</f>
        <v/>
      </c>
      <c r="C1425" s="92" t="str">
        <f>IFERROR(VLOOKUP(A1425,Lookup!A:C,3,0),"")</f>
        <v/>
      </c>
      <c r="D1425" s="54"/>
      <c r="E1425" s="54"/>
      <c r="F1425" s="54"/>
      <c r="G1425" s="72"/>
      <c r="H1425" s="54"/>
      <c r="I1425" s="54"/>
      <c r="J1425" s="106">
        <f>VLOOKUP(A1425&amp;G1425,Lookup!J:N,5,0)</f>
        <v>0</v>
      </c>
      <c r="K1425" s="115"/>
      <c r="L1425" s="54"/>
      <c r="M1425" s="54"/>
      <c r="N1425" s="54"/>
      <c r="O1425" s="112">
        <v>59.1006944444444</v>
      </c>
      <c r="P1425" s="110" t="str">
        <f t="shared" si="92"/>
        <v/>
      </c>
      <c r="Q1425" s="54"/>
      <c r="R1425" s="58"/>
      <c r="S1425" s="87" t="str">
        <f t="shared" si="94"/>
        <v/>
      </c>
      <c r="T1425" s="54"/>
      <c r="U1425" s="54"/>
      <c r="V1425" s="54"/>
      <c r="W1425" s="54"/>
      <c r="X1425" s="69" t="str">
        <f t="shared" si="93"/>
        <v>D</v>
      </c>
    </row>
    <row r="1426" spans="1:24" s="66" customFormat="1" x14ac:dyDescent="0.25">
      <c r="A1426" s="51"/>
      <c r="B1426" s="91" t="str">
        <f>IFERROR(VLOOKUP(A1426,Lookup!A:B,2,0),"")</f>
        <v/>
      </c>
      <c r="C1426" s="92" t="str">
        <f>IFERROR(VLOOKUP(A1426,Lookup!A:C,3,0),"")</f>
        <v/>
      </c>
      <c r="D1426" s="54"/>
      <c r="E1426" s="54"/>
      <c r="F1426" s="54"/>
      <c r="G1426" s="72"/>
      <c r="H1426" s="54"/>
      <c r="I1426" s="54"/>
      <c r="J1426" s="106">
        <f>VLOOKUP(A1426&amp;G1426,Lookup!J:N,5,0)</f>
        <v>0</v>
      </c>
      <c r="K1426" s="115"/>
      <c r="L1426" s="54"/>
      <c r="M1426" s="54"/>
      <c r="N1426" s="54"/>
      <c r="O1426" s="112">
        <v>59.1423611111111</v>
      </c>
      <c r="P1426" s="110" t="str">
        <f t="shared" si="92"/>
        <v/>
      </c>
      <c r="Q1426" s="54"/>
      <c r="R1426" s="58"/>
      <c r="S1426" s="87" t="str">
        <f t="shared" si="94"/>
        <v/>
      </c>
      <c r="T1426" s="54"/>
      <c r="U1426" s="54"/>
      <c r="V1426" s="54"/>
      <c r="W1426" s="54"/>
      <c r="X1426" s="69" t="str">
        <f t="shared" si="93"/>
        <v>D</v>
      </c>
    </row>
    <row r="1427" spans="1:24" s="66" customFormat="1" x14ac:dyDescent="0.25">
      <c r="A1427" s="51"/>
      <c r="B1427" s="91" t="str">
        <f>IFERROR(VLOOKUP(A1427,Lookup!A:B,2,0),"")</f>
        <v/>
      </c>
      <c r="C1427" s="92" t="str">
        <f>IFERROR(VLOOKUP(A1427,Lookup!A:C,3,0),"")</f>
        <v/>
      </c>
      <c r="D1427" s="54"/>
      <c r="E1427" s="54"/>
      <c r="F1427" s="54"/>
      <c r="G1427" s="72"/>
      <c r="H1427" s="54"/>
      <c r="I1427" s="54"/>
      <c r="J1427" s="106">
        <f>VLOOKUP(A1427&amp;G1427,Lookup!J:N,5,0)</f>
        <v>0</v>
      </c>
      <c r="K1427" s="115"/>
      <c r="L1427" s="54"/>
      <c r="M1427" s="54"/>
      <c r="N1427" s="54"/>
      <c r="O1427" s="112">
        <v>59.1840277777778</v>
      </c>
      <c r="P1427" s="110" t="str">
        <f t="shared" si="92"/>
        <v/>
      </c>
      <c r="Q1427" s="54"/>
      <c r="R1427" s="58"/>
      <c r="S1427" s="87" t="str">
        <f t="shared" si="94"/>
        <v/>
      </c>
      <c r="T1427" s="54"/>
      <c r="U1427" s="54"/>
      <c r="V1427" s="54"/>
      <c r="W1427" s="54"/>
      <c r="X1427" s="69" t="str">
        <f t="shared" si="93"/>
        <v>D</v>
      </c>
    </row>
    <row r="1428" spans="1:24" s="66" customFormat="1" x14ac:dyDescent="0.25">
      <c r="A1428" s="51"/>
      <c r="B1428" s="91" t="str">
        <f>IFERROR(VLOOKUP(A1428,Lookup!A:B,2,0),"")</f>
        <v/>
      </c>
      <c r="C1428" s="92" t="str">
        <f>IFERROR(VLOOKUP(A1428,Lookup!A:C,3,0),"")</f>
        <v/>
      </c>
      <c r="D1428" s="54"/>
      <c r="E1428" s="54"/>
      <c r="F1428" s="54"/>
      <c r="G1428" s="72"/>
      <c r="H1428" s="54"/>
      <c r="I1428" s="54"/>
      <c r="J1428" s="106">
        <f>VLOOKUP(A1428&amp;G1428,Lookup!J:N,5,0)</f>
        <v>0</v>
      </c>
      <c r="K1428" s="115"/>
      <c r="L1428" s="54"/>
      <c r="M1428" s="54"/>
      <c r="N1428" s="54"/>
      <c r="O1428" s="112">
        <v>59.2256944444444</v>
      </c>
      <c r="P1428" s="110" t="str">
        <f t="shared" si="92"/>
        <v/>
      </c>
      <c r="Q1428" s="54"/>
      <c r="R1428" s="58"/>
      <c r="S1428" s="87" t="str">
        <f t="shared" si="94"/>
        <v/>
      </c>
      <c r="T1428" s="54"/>
      <c r="U1428" s="54"/>
      <c r="V1428" s="54"/>
      <c r="W1428" s="54"/>
      <c r="X1428" s="69" t="str">
        <f t="shared" si="93"/>
        <v>D</v>
      </c>
    </row>
    <row r="1429" spans="1:24" s="66" customFormat="1" x14ac:dyDescent="0.25">
      <c r="A1429" s="51"/>
      <c r="B1429" s="91" t="str">
        <f>IFERROR(VLOOKUP(A1429,Lookup!A:B,2,0),"")</f>
        <v/>
      </c>
      <c r="C1429" s="92" t="str">
        <f>IFERROR(VLOOKUP(A1429,Lookup!A:C,3,0),"")</f>
        <v/>
      </c>
      <c r="D1429" s="54"/>
      <c r="E1429" s="54"/>
      <c r="F1429" s="54"/>
      <c r="G1429" s="72"/>
      <c r="H1429" s="54"/>
      <c r="I1429" s="54"/>
      <c r="J1429" s="106">
        <f>VLOOKUP(A1429&amp;G1429,Lookup!J:N,5,0)</f>
        <v>0</v>
      </c>
      <c r="K1429" s="115"/>
      <c r="L1429" s="54"/>
      <c r="M1429" s="54"/>
      <c r="N1429" s="54"/>
      <c r="O1429" s="112">
        <v>59.2673611111111</v>
      </c>
      <c r="P1429" s="110" t="str">
        <f t="shared" si="92"/>
        <v/>
      </c>
      <c r="Q1429" s="54"/>
      <c r="R1429" s="58"/>
      <c r="S1429" s="87" t="str">
        <f t="shared" si="94"/>
        <v/>
      </c>
      <c r="T1429" s="54"/>
      <c r="U1429" s="54"/>
      <c r="V1429" s="54"/>
      <c r="W1429" s="54"/>
      <c r="X1429" s="69" t="str">
        <f t="shared" si="93"/>
        <v>D</v>
      </c>
    </row>
    <row r="1430" spans="1:24" s="66" customFormat="1" x14ac:dyDescent="0.25">
      <c r="A1430" s="51"/>
      <c r="B1430" s="91" t="str">
        <f>IFERROR(VLOOKUP(A1430,Lookup!A:B,2,0),"")</f>
        <v/>
      </c>
      <c r="C1430" s="92" t="str">
        <f>IFERROR(VLOOKUP(A1430,Lookup!A:C,3,0),"")</f>
        <v/>
      </c>
      <c r="D1430" s="54"/>
      <c r="E1430" s="54"/>
      <c r="F1430" s="54"/>
      <c r="G1430" s="72"/>
      <c r="H1430" s="54"/>
      <c r="I1430" s="54"/>
      <c r="J1430" s="106">
        <f>VLOOKUP(A1430&amp;G1430,Lookup!J:N,5,0)</f>
        <v>0</v>
      </c>
      <c r="K1430" s="115"/>
      <c r="L1430" s="54"/>
      <c r="M1430" s="54"/>
      <c r="N1430" s="54"/>
      <c r="O1430" s="112">
        <v>59.3090277777778</v>
      </c>
      <c r="P1430" s="110" t="str">
        <f t="shared" si="92"/>
        <v/>
      </c>
      <c r="Q1430" s="54"/>
      <c r="R1430" s="58"/>
      <c r="S1430" s="87" t="str">
        <f t="shared" si="94"/>
        <v/>
      </c>
      <c r="T1430" s="54"/>
      <c r="U1430" s="54"/>
      <c r="V1430" s="54"/>
      <c r="W1430" s="54"/>
      <c r="X1430" s="69" t="str">
        <f t="shared" si="93"/>
        <v>D</v>
      </c>
    </row>
    <row r="1431" spans="1:24" s="66" customFormat="1" x14ac:dyDescent="0.25">
      <c r="A1431" s="51"/>
      <c r="B1431" s="91" t="str">
        <f>IFERROR(VLOOKUP(A1431,Lookup!A:B,2,0),"")</f>
        <v/>
      </c>
      <c r="C1431" s="92" t="str">
        <f>IFERROR(VLOOKUP(A1431,Lookup!A:C,3,0),"")</f>
        <v/>
      </c>
      <c r="D1431" s="54"/>
      <c r="E1431" s="54"/>
      <c r="F1431" s="54"/>
      <c r="G1431" s="72"/>
      <c r="H1431" s="54"/>
      <c r="I1431" s="54"/>
      <c r="J1431" s="106">
        <f>VLOOKUP(A1431&amp;G1431,Lookup!J:N,5,0)</f>
        <v>0</v>
      </c>
      <c r="K1431" s="115"/>
      <c r="L1431" s="54"/>
      <c r="M1431" s="54"/>
      <c r="N1431" s="54"/>
      <c r="O1431" s="112">
        <v>59.3506944444444</v>
      </c>
      <c r="P1431" s="110" t="str">
        <f t="shared" si="92"/>
        <v/>
      </c>
      <c r="Q1431" s="54"/>
      <c r="R1431" s="58"/>
      <c r="S1431" s="87" t="str">
        <f t="shared" si="94"/>
        <v/>
      </c>
      <c r="T1431" s="54"/>
      <c r="U1431" s="54"/>
      <c r="V1431" s="54"/>
      <c r="W1431" s="54"/>
      <c r="X1431" s="69" t="str">
        <f t="shared" si="93"/>
        <v>D</v>
      </c>
    </row>
    <row r="1432" spans="1:24" s="66" customFormat="1" x14ac:dyDescent="0.25">
      <c r="A1432" s="51"/>
      <c r="B1432" s="91" t="str">
        <f>IFERROR(VLOOKUP(A1432,Lookup!A:B,2,0),"")</f>
        <v/>
      </c>
      <c r="C1432" s="92" t="str">
        <f>IFERROR(VLOOKUP(A1432,Lookup!A:C,3,0),"")</f>
        <v/>
      </c>
      <c r="D1432" s="54"/>
      <c r="E1432" s="54"/>
      <c r="F1432" s="54"/>
      <c r="G1432" s="72"/>
      <c r="H1432" s="54"/>
      <c r="I1432" s="54"/>
      <c r="J1432" s="106">
        <f>VLOOKUP(A1432&amp;G1432,Lookup!J:N,5,0)</f>
        <v>0</v>
      </c>
      <c r="K1432" s="115"/>
      <c r="L1432" s="54"/>
      <c r="M1432" s="54"/>
      <c r="N1432" s="54"/>
      <c r="O1432" s="112">
        <v>59.3923611111111</v>
      </c>
      <c r="P1432" s="110" t="str">
        <f t="shared" si="92"/>
        <v/>
      </c>
      <c r="Q1432" s="54"/>
      <c r="R1432" s="58"/>
      <c r="S1432" s="87" t="str">
        <f t="shared" si="94"/>
        <v/>
      </c>
      <c r="T1432" s="54"/>
      <c r="U1432" s="54"/>
      <c r="V1432" s="54"/>
      <c r="W1432" s="54"/>
      <c r="X1432" s="69" t="str">
        <f t="shared" si="93"/>
        <v>D</v>
      </c>
    </row>
    <row r="1433" spans="1:24" s="66" customFormat="1" x14ac:dyDescent="0.25">
      <c r="A1433" s="51"/>
      <c r="B1433" s="91" t="str">
        <f>IFERROR(VLOOKUP(A1433,Lookup!A:B,2,0),"")</f>
        <v/>
      </c>
      <c r="C1433" s="92" t="str">
        <f>IFERROR(VLOOKUP(A1433,Lookup!A:C,3,0),"")</f>
        <v/>
      </c>
      <c r="D1433" s="54"/>
      <c r="E1433" s="54"/>
      <c r="F1433" s="54"/>
      <c r="G1433" s="72"/>
      <c r="H1433" s="54"/>
      <c r="I1433" s="54"/>
      <c r="J1433" s="106">
        <f>VLOOKUP(A1433&amp;G1433,Lookup!J:N,5,0)</f>
        <v>0</v>
      </c>
      <c r="K1433" s="115"/>
      <c r="L1433" s="54"/>
      <c r="M1433" s="54"/>
      <c r="N1433" s="54"/>
      <c r="O1433" s="112">
        <v>59.4340277777778</v>
      </c>
      <c r="P1433" s="110" t="str">
        <f t="shared" si="92"/>
        <v/>
      </c>
      <c r="Q1433" s="54"/>
      <c r="R1433" s="58"/>
      <c r="S1433" s="87" t="str">
        <f t="shared" si="94"/>
        <v/>
      </c>
      <c r="T1433" s="54"/>
      <c r="U1433" s="54"/>
      <c r="V1433" s="54"/>
      <c r="W1433" s="54"/>
      <c r="X1433" s="69" t="str">
        <f t="shared" si="93"/>
        <v>D</v>
      </c>
    </row>
    <row r="1434" spans="1:24" s="66" customFormat="1" x14ac:dyDescent="0.25">
      <c r="A1434" s="51"/>
      <c r="B1434" s="91" t="str">
        <f>IFERROR(VLOOKUP(A1434,Lookup!A:B,2,0),"")</f>
        <v/>
      </c>
      <c r="C1434" s="92" t="str">
        <f>IFERROR(VLOOKUP(A1434,Lookup!A:C,3,0),"")</f>
        <v/>
      </c>
      <c r="D1434" s="54"/>
      <c r="E1434" s="54"/>
      <c r="F1434" s="54"/>
      <c r="G1434" s="72"/>
      <c r="H1434" s="54"/>
      <c r="I1434" s="54"/>
      <c r="J1434" s="106">
        <f>VLOOKUP(A1434&amp;G1434,Lookup!J:N,5,0)</f>
        <v>0</v>
      </c>
      <c r="K1434" s="115"/>
      <c r="L1434" s="54"/>
      <c r="M1434" s="54"/>
      <c r="N1434" s="54"/>
      <c r="O1434" s="112">
        <v>59.4756944444444</v>
      </c>
      <c r="P1434" s="110" t="str">
        <f t="shared" si="92"/>
        <v/>
      </c>
      <c r="Q1434" s="54"/>
      <c r="R1434" s="58"/>
      <c r="S1434" s="87" t="str">
        <f t="shared" si="94"/>
        <v/>
      </c>
      <c r="T1434" s="54"/>
      <c r="U1434" s="54"/>
      <c r="V1434" s="54"/>
      <c r="W1434" s="54"/>
      <c r="X1434" s="69" t="str">
        <f t="shared" si="93"/>
        <v>D</v>
      </c>
    </row>
    <row r="1435" spans="1:24" s="66" customFormat="1" x14ac:dyDescent="0.25">
      <c r="A1435" s="51"/>
      <c r="B1435" s="91" t="str">
        <f>IFERROR(VLOOKUP(A1435,Lookup!A:B,2,0),"")</f>
        <v/>
      </c>
      <c r="C1435" s="92" t="str">
        <f>IFERROR(VLOOKUP(A1435,Lookup!A:C,3,0),"")</f>
        <v/>
      </c>
      <c r="D1435" s="54"/>
      <c r="E1435" s="54"/>
      <c r="F1435" s="54"/>
      <c r="G1435" s="72"/>
      <c r="H1435" s="54"/>
      <c r="I1435" s="54"/>
      <c r="J1435" s="106">
        <f>VLOOKUP(A1435&amp;G1435,Lookup!J:N,5,0)</f>
        <v>0</v>
      </c>
      <c r="K1435" s="115"/>
      <c r="L1435" s="54"/>
      <c r="M1435" s="54"/>
      <c r="N1435" s="54"/>
      <c r="O1435" s="112">
        <v>59.5173611111111</v>
      </c>
      <c r="P1435" s="110" t="str">
        <f t="shared" si="92"/>
        <v/>
      </c>
      <c r="Q1435" s="54"/>
      <c r="R1435" s="58"/>
      <c r="S1435" s="87" t="str">
        <f t="shared" si="94"/>
        <v/>
      </c>
      <c r="T1435" s="54"/>
      <c r="U1435" s="54"/>
      <c r="V1435" s="54"/>
      <c r="W1435" s="54"/>
      <c r="X1435" s="69" t="str">
        <f t="shared" si="93"/>
        <v>D</v>
      </c>
    </row>
    <row r="1436" spans="1:24" s="66" customFormat="1" x14ac:dyDescent="0.25">
      <c r="A1436" s="51"/>
      <c r="B1436" s="91" t="str">
        <f>IFERROR(VLOOKUP(A1436,Lookup!A:B,2,0),"")</f>
        <v/>
      </c>
      <c r="C1436" s="92" t="str">
        <f>IFERROR(VLOOKUP(A1436,Lookup!A:C,3,0),"")</f>
        <v/>
      </c>
      <c r="D1436" s="54"/>
      <c r="E1436" s="54"/>
      <c r="F1436" s="54"/>
      <c r="G1436" s="72"/>
      <c r="H1436" s="54"/>
      <c r="I1436" s="54"/>
      <c r="J1436" s="106">
        <f>VLOOKUP(A1436&amp;G1436,Lookup!J:N,5,0)</f>
        <v>0</v>
      </c>
      <c r="K1436" s="115"/>
      <c r="L1436" s="54"/>
      <c r="M1436" s="54"/>
      <c r="N1436" s="54"/>
      <c r="O1436" s="112">
        <v>59.5590277777778</v>
      </c>
      <c r="P1436" s="110" t="str">
        <f t="shared" si="92"/>
        <v/>
      </c>
      <c r="Q1436" s="54"/>
      <c r="R1436" s="58"/>
      <c r="S1436" s="87" t="str">
        <f t="shared" si="94"/>
        <v/>
      </c>
      <c r="T1436" s="54"/>
      <c r="U1436" s="54"/>
      <c r="V1436" s="54"/>
      <c r="W1436" s="54"/>
      <c r="X1436" s="69" t="str">
        <f t="shared" si="93"/>
        <v>D</v>
      </c>
    </row>
    <row r="1437" spans="1:24" s="66" customFormat="1" x14ac:dyDescent="0.25">
      <c r="A1437" s="51"/>
      <c r="B1437" s="91" t="str">
        <f>IFERROR(VLOOKUP(A1437,Lookup!A:B,2,0),"")</f>
        <v/>
      </c>
      <c r="C1437" s="92" t="str">
        <f>IFERROR(VLOOKUP(A1437,Lookup!A:C,3,0),"")</f>
        <v/>
      </c>
      <c r="D1437" s="54"/>
      <c r="E1437" s="54"/>
      <c r="F1437" s="54"/>
      <c r="G1437" s="72"/>
      <c r="H1437" s="54"/>
      <c r="I1437" s="54"/>
      <c r="J1437" s="106">
        <f>VLOOKUP(A1437&amp;G1437,Lookup!J:N,5,0)</f>
        <v>0</v>
      </c>
      <c r="K1437" s="115"/>
      <c r="L1437" s="54"/>
      <c r="M1437" s="54"/>
      <c r="N1437" s="54"/>
      <c r="O1437" s="112">
        <v>59.6006944444444</v>
      </c>
      <c r="P1437" s="110" t="str">
        <f t="shared" si="92"/>
        <v/>
      </c>
      <c r="Q1437" s="54"/>
      <c r="R1437" s="58"/>
      <c r="S1437" s="87" t="str">
        <f t="shared" si="94"/>
        <v/>
      </c>
      <c r="T1437" s="54"/>
      <c r="U1437" s="54"/>
      <c r="V1437" s="54"/>
      <c r="W1437" s="54"/>
      <c r="X1437" s="69" t="str">
        <f t="shared" si="93"/>
        <v>D</v>
      </c>
    </row>
    <row r="1438" spans="1:24" s="66" customFormat="1" x14ac:dyDescent="0.25">
      <c r="A1438" s="51"/>
      <c r="B1438" s="91" t="str">
        <f>IFERROR(VLOOKUP(A1438,Lookup!A:B,2,0),"")</f>
        <v/>
      </c>
      <c r="C1438" s="92" t="str">
        <f>IFERROR(VLOOKUP(A1438,Lookup!A:C,3,0),"")</f>
        <v/>
      </c>
      <c r="D1438" s="54"/>
      <c r="E1438" s="54"/>
      <c r="F1438" s="54"/>
      <c r="G1438" s="72"/>
      <c r="H1438" s="54"/>
      <c r="I1438" s="54"/>
      <c r="J1438" s="106">
        <f>VLOOKUP(A1438&amp;G1438,Lookup!J:N,5,0)</f>
        <v>0</v>
      </c>
      <c r="K1438" s="115"/>
      <c r="L1438" s="54"/>
      <c r="M1438" s="54"/>
      <c r="N1438" s="54"/>
      <c r="O1438" s="112">
        <v>59.6423611111111</v>
      </c>
      <c r="P1438" s="110" t="str">
        <f t="shared" si="92"/>
        <v/>
      </c>
      <c r="Q1438" s="54"/>
      <c r="R1438" s="58"/>
      <c r="S1438" s="87" t="str">
        <f t="shared" si="94"/>
        <v/>
      </c>
      <c r="T1438" s="54"/>
      <c r="U1438" s="54"/>
      <c r="V1438" s="54"/>
      <c r="W1438" s="54"/>
      <c r="X1438" s="69" t="str">
        <f t="shared" si="93"/>
        <v>D</v>
      </c>
    </row>
    <row r="1439" spans="1:24" s="66" customFormat="1" x14ac:dyDescent="0.25">
      <c r="A1439" s="51"/>
      <c r="B1439" s="91" t="str">
        <f>IFERROR(VLOOKUP(A1439,Lookup!A:B,2,0),"")</f>
        <v/>
      </c>
      <c r="C1439" s="92" t="str">
        <f>IFERROR(VLOOKUP(A1439,Lookup!A:C,3,0),"")</f>
        <v/>
      </c>
      <c r="D1439" s="54"/>
      <c r="E1439" s="54"/>
      <c r="F1439" s="54"/>
      <c r="G1439" s="72"/>
      <c r="H1439" s="54"/>
      <c r="I1439" s="54"/>
      <c r="J1439" s="106">
        <f>VLOOKUP(A1439&amp;G1439,Lookup!J:N,5,0)</f>
        <v>0</v>
      </c>
      <c r="K1439" s="115"/>
      <c r="L1439" s="54"/>
      <c r="M1439" s="54"/>
      <c r="N1439" s="54"/>
      <c r="O1439" s="112">
        <v>59.6840277777778</v>
      </c>
      <c r="P1439" s="110" t="str">
        <f t="shared" si="92"/>
        <v/>
      </c>
      <c r="Q1439" s="54"/>
      <c r="R1439" s="58"/>
      <c r="S1439" s="87" t="str">
        <f t="shared" si="94"/>
        <v/>
      </c>
      <c r="T1439" s="54"/>
      <c r="U1439" s="54"/>
      <c r="V1439" s="54"/>
      <c r="W1439" s="54"/>
      <c r="X1439" s="69" t="str">
        <f t="shared" si="93"/>
        <v>D</v>
      </c>
    </row>
    <row r="1440" spans="1:24" s="66" customFormat="1" x14ac:dyDescent="0.25">
      <c r="A1440" s="51"/>
      <c r="B1440" s="91" t="str">
        <f>IFERROR(VLOOKUP(A1440,Lookup!A:B,2,0),"")</f>
        <v/>
      </c>
      <c r="C1440" s="92" t="str">
        <f>IFERROR(VLOOKUP(A1440,Lookup!A:C,3,0),"")</f>
        <v/>
      </c>
      <c r="D1440" s="54"/>
      <c r="E1440" s="54"/>
      <c r="F1440" s="54"/>
      <c r="G1440" s="72"/>
      <c r="H1440" s="54"/>
      <c r="I1440" s="54"/>
      <c r="J1440" s="106">
        <f>VLOOKUP(A1440&amp;G1440,Lookup!J:N,5,0)</f>
        <v>0</v>
      </c>
      <c r="K1440" s="115"/>
      <c r="L1440" s="54"/>
      <c r="M1440" s="54"/>
      <c r="N1440" s="54"/>
      <c r="O1440" s="112">
        <v>59.7256944444444</v>
      </c>
      <c r="P1440" s="110" t="str">
        <f t="shared" si="92"/>
        <v/>
      </c>
      <c r="Q1440" s="54"/>
      <c r="R1440" s="58"/>
      <c r="S1440" s="87" t="str">
        <f t="shared" si="94"/>
        <v/>
      </c>
      <c r="T1440" s="54"/>
      <c r="U1440" s="54"/>
      <c r="V1440" s="54"/>
      <c r="W1440" s="54"/>
      <c r="X1440" s="69" t="str">
        <f t="shared" si="93"/>
        <v>D</v>
      </c>
    </row>
    <row r="1441" spans="1:24" s="66" customFormat="1" x14ac:dyDescent="0.25">
      <c r="A1441" s="51"/>
      <c r="B1441" s="91" t="str">
        <f>IFERROR(VLOOKUP(A1441,Lookup!A:B,2,0),"")</f>
        <v/>
      </c>
      <c r="C1441" s="92" t="str">
        <f>IFERROR(VLOOKUP(A1441,Lookup!A:C,3,0),"")</f>
        <v/>
      </c>
      <c r="D1441" s="54"/>
      <c r="E1441" s="54"/>
      <c r="F1441" s="54"/>
      <c r="G1441" s="72"/>
      <c r="H1441" s="54"/>
      <c r="I1441" s="54"/>
      <c r="J1441" s="106">
        <f>VLOOKUP(A1441&amp;G1441,Lookup!J:N,5,0)</f>
        <v>0</v>
      </c>
      <c r="K1441" s="115"/>
      <c r="L1441" s="54"/>
      <c r="M1441" s="54"/>
      <c r="N1441" s="54"/>
      <c r="O1441" s="112">
        <v>59.7673611111111</v>
      </c>
      <c r="P1441" s="110" t="str">
        <f t="shared" si="92"/>
        <v/>
      </c>
      <c r="Q1441" s="54"/>
      <c r="R1441" s="58"/>
      <c r="S1441" s="87" t="str">
        <f t="shared" si="94"/>
        <v/>
      </c>
      <c r="T1441" s="54"/>
      <c r="U1441" s="54"/>
      <c r="V1441" s="54"/>
      <c r="W1441" s="54"/>
      <c r="X1441" s="69" t="str">
        <f t="shared" si="93"/>
        <v>D</v>
      </c>
    </row>
    <row r="1442" spans="1:24" s="66" customFormat="1" x14ac:dyDescent="0.25">
      <c r="A1442" s="51"/>
      <c r="B1442" s="91" t="str">
        <f>IFERROR(VLOOKUP(A1442,Lookup!A:B,2,0),"")</f>
        <v/>
      </c>
      <c r="C1442" s="92" t="str">
        <f>IFERROR(VLOOKUP(A1442,Lookup!A:C,3,0),"")</f>
        <v/>
      </c>
      <c r="D1442" s="54"/>
      <c r="E1442" s="54"/>
      <c r="F1442" s="54"/>
      <c r="G1442" s="72"/>
      <c r="H1442" s="54"/>
      <c r="I1442" s="54"/>
      <c r="J1442" s="106">
        <f>VLOOKUP(A1442&amp;G1442,Lookup!J:N,5,0)</f>
        <v>0</v>
      </c>
      <c r="K1442" s="115"/>
      <c r="L1442" s="54"/>
      <c r="M1442" s="54"/>
      <c r="N1442" s="54"/>
      <c r="O1442" s="112">
        <v>59.8090277777778</v>
      </c>
      <c r="P1442" s="110" t="str">
        <f t="shared" si="92"/>
        <v/>
      </c>
      <c r="Q1442" s="54"/>
      <c r="R1442" s="58"/>
      <c r="S1442" s="87" t="str">
        <f t="shared" si="94"/>
        <v/>
      </c>
      <c r="T1442" s="54"/>
      <c r="U1442" s="54"/>
      <c r="V1442" s="54"/>
      <c r="W1442" s="54"/>
      <c r="X1442" s="69" t="str">
        <f t="shared" si="93"/>
        <v>D</v>
      </c>
    </row>
    <row r="1443" spans="1:24" s="66" customFormat="1" x14ac:dyDescent="0.25">
      <c r="A1443" s="51"/>
      <c r="B1443" s="91" t="str">
        <f>IFERROR(VLOOKUP(A1443,Lookup!A:B,2,0),"")</f>
        <v/>
      </c>
      <c r="C1443" s="92" t="str">
        <f>IFERROR(VLOOKUP(A1443,Lookup!A:C,3,0),"")</f>
        <v/>
      </c>
      <c r="D1443" s="54"/>
      <c r="E1443" s="54"/>
      <c r="F1443" s="54"/>
      <c r="G1443" s="72"/>
      <c r="H1443" s="54"/>
      <c r="I1443" s="54"/>
      <c r="J1443" s="106">
        <f>VLOOKUP(A1443&amp;G1443,Lookup!J:N,5,0)</f>
        <v>0</v>
      </c>
      <c r="K1443" s="115"/>
      <c r="L1443" s="54"/>
      <c r="M1443" s="54"/>
      <c r="N1443" s="54"/>
      <c r="O1443" s="112">
        <v>59.8506944444444</v>
      </c>
      <c r="P1443" s="110" t="str">
        <f t="shared" si="92"/>
        <v/>
      </c>
      <c r="Q1443" s="54"/>
      <c r="R1443" s="58"/>
      <c r="S1443" s="87" t="str">
        <f t="shared" si="94"/>
        <v/>
      </c>
      <c r="T1443" s="54"/>
      <c r="U1443" s="54"/>
      <c r="V1443" s="54"/>
      <c r="W1443" s="54"/>
      <c r="X1443" s="69" t="str">
        <f t="shared" si="93"/>
        <v>D</v>
      </c>
    </row>
    <row r="1444" spans="1:24" s="66" customFormat="1" x14ac:dyDescent="0.25">
      <c r="A1444" s="51"/>
      <c r="B1444" s="91" t="str">
        <f>IFERROR(VLOOKUP(A1444,Lookup!A:B,2,0),"")</f>
        <v/>
      </c>
      <c r="C1444" s="92" t="str">
        <f>IFERROR(VLOOKUP(A1444,Lookup!A:C,3,0),"")</f>
        <v/>
      </c>
      <c r="D1444" s="54"/>
      <c r="E1444" s="54"/>
      <c r="F1444" s="54"/>
      <c r="G1444" s="72"/>
      <c r="H1444" s="54"/>
      <c r="I1444" s="54"/>
      <c r="J1444" s="106">
        <f>VLOOKUP(A1444&amp;G1444,Lookup!J:N,5,0)</f>
        <v>0</v>
      </c>
      <c r="K1444" s="115"/>
      <c r="L1444" s="54"/>
      <c r="M1444" s="54"/>
      <c r="N1444" s="54"/>
      <c r="O1444" s="112">
        <v>59.8923611111111</v>
      </c>
      <c r="P1444" s="110" t="str">
        <f t="shared" si="92"/>
        <v/>
      </c>
      <c r="Q1444" s="54"/>
      <c r="R1444" s="58"/>
      <c r="S1444" s="87" t="str">
        <f t="shared" si="94"/>
        <v/>
      </c>
      <c r="T1444" s="54"/>
      <c r="U1444" s="54"/>
      <c r="V1444" s="54"/>
      <c r="W1444" s="54"/>
      <c r="X1444" s="69" t="str">
        <f t="shared" si="93"/>
        <v>D</v>
      </c>
    </row>
    <row r="1445" spans="1:24" s="66" customFormat="1" x14ac:dyDescent="0.25">
      <c r="A1445" s="51"/>
      <c r="B1445" s="91" t="str">
        <f>IFERROR(VLOOKUP(A1445,Lookup!A:B,2,0),"")</f>
        <v/>
      </c>
      <c r="C1445" s="92" t="str">
        <f>IFERROR(VLOOKUP(A1445,Lookup!A:C,3,0),"")</f>
        <v/>
      </c>
      <c r="D1445" s="54"/>
      <c r="E1445" s="54"/>
      <c r="F1445" s="54"/>
      <c r="G1445" s="72"/>
      <c r="H1445" s="54"/>
      <c r="I1445" s="54"/>
      <c r="J1445" s="106">
        <f>VLOOKUP(A1445&amp;G1445,Lookup!J:N,5,0)</f>
        <v>0</v>
      </c>
      <c r="K1445" s="115"/>
      <c r="L1445" s="54"/>
      <c r="M1445" s="54"/>
      <c r="N1445" s="54"/>
      <c r="O1445" s="112">
        <v>59.9340277777778</v>
      </c>
      <c r="P1445" s="110" t="str">
        <f t="shared" si="92"/>
        <v/>
      </c>
      <c r="Q1445" s="54"/>
      <c r="R1445" s="58"/>
      <c r="S1445" s="87" t="str">
        <f t="shared" si="94"/>
        <v/>
      </c>
      <c r="T1445" s="54"/>
      <c r="U1445" s="54"/>
      <c r="V1445" s="54"/>
      <c r="W1445" s="54"/>
      <c r="X1445" s="69" t="str">
        <f t="shared" si="93"/>
        <v>D</v>
      </c>
    </row>
    <row r="1446" spans="1:24" s="66" customFormat="1" x14ac:dyDescent="0.25">
      <c r="A1446" s="51"/>
      <c r="B1446" s="91" t="str">
        <f>IFERROR(VLOOKUP(A1446,Lookup!A:B,2,0),"")</f>
        <v/>
      </c>
      <c r="C1446" s="92" t="str">
        <f>IFERROR(VLOOKUP(A1446,Lookup!A:C,3,0),"")</f>
        <v/>
      </c>
      <c r="D1446" s="54"/>
      <c r="E1446" s="54"/>
      <c r="F1446" s="54"/>
      <c r="G1446" s="72"/>
      <c r="H1446" s="54"/>
      <c r="I1446" s="54"/>
      <c r="J1446" s="106">
        <f>VLOOKUP(A1446&amp;G1446,Lookup!J:N,5,0)</f>
        <v>0</v>
      </c>
      <c r="K1446" s="115"/>
      <c r="L1446" s="54"/>
      <c r="M1446" s="54"/>
      <c r="N1446" s="54"/>
      <c r="O1446" s="112">
        <v>59.9756944444444</v>
      </c>
      <c r="P1446" s="110" t="str">
        <f t="shared" si="92"/>
        <v/>
      </c>
      <c r="Q1446" s="54"/>
      <c r="R1446" s="58"/>
      <c r="S1446" s="87" t="str">
        <f t="shared" si="94"/>
        <v/>
      </c>
      <c r="T1446" s="54"/>
      <c r="U1446" s="54"/>
      <c r="V1446" s="54"/>
      <c r="W1446" s="54"/>
      <c r="X1446" s="69" t="str">
        <f t="shared" si="93"/>
        <v>D</v>
      </c>
    </row>
    <row r="1447" spans="1:24" s="66" customFormat="1" x14ac:dyDescent="0.25">
      <c r="A1447" s="51"/>
      <c r="B1447" s="91" t="str">
        <f>IFERROR(VLOOKUP(A1447,Lookup!A:B,2,0),"")</f>
        <v/>
      </c>
      <c r="C1447" s="92" t="str">
        <f>IFERROR(VLOOKUP(A1447,Lookup!A:C,3,0),"")</f>
        <v/>
      </c>
      <c r="D1447" s="54"/>
      <c r="E1447" s="54"/>
      <c r="F1447" s="54"/>
      <c r="G1447" s="72"/>
      <c r="H1447" s="54"/>
      <c r="I1447" s="54"/>
      <c r="J1447" s="106">
        <f>VLOOKUP(A1447&amp;G1447,Lookup!J:N,5,0)</f>
        <v>0</v>
      </c>
      <c r="K1447" s="115"/>
      <c r="L1447" s="54"/>
      <c r="M1447" s="54"/>
      <c r="N1447" s="54"/>
      <c r="O1447" s="112">
        <v>60.0173611111111</v>
      </c>
      <c r="P1447" s="110" t="str">
        <f t="shared" si="92"/>
        <v/>
      </c>
      <c r="Q1447" s="54"/>
      <c r="R1447" s="58"/>
      <c r="S1447" s="87" t="str">
        <f t="shared" si="94"/>
        <v/>
      </c>
      <c r="T1447" s="54"/>
      <c r="U1447" s="54"/>
      <c r="V1447" s="54"/>
      <c r="W1447" s="54"/>
      <c r="X1447" s="69" t="str">
        <f t="shared" si="93"/>
        <v>D</v>
      </c>
    </row>
    <row r="1448" spans="1:24" s="66" customFormat="1" x14ac:dyDescent="0.25">
      <c r="A1448" s="51"/>
      <c r="B1448" s="91" t="str">
        <f>IFERROR(VLOOKUP(A1448,Lookup!A:B,2,0),"")</f>
        <v/>
      </c>
      <c r="C1448" s="92" t="str">
        <f>IFERROR(VLOOKUP(A1448,Lookup!A:C,3,0),"")</f>
        <v/>
      </c>
      <c r="D1448" s="54"/>
      <c r="E1448" s="54"/>
      <c r="F1448" s="54"/>
      <c r="G1448" s="72"/>
      <c r="H1448" s="54"/>
      <c r="I1448" s="54"/>
      <c r="J1448" s="106">
        <f>VLOOKUP(A1448&amp;G1448,Lookup!J:N,5,0)</f>
        <v>0</v>
      </c>
      <c r="K1448" s="115"/>
      <c r="L1448" s="54"/>
      <c r="M1448" s="54"/>
      <c r="N1448" s="54"/>
      <c r="O1448" s="112">
        <v>60.0590277777778</v>
      </c>
      <c r="P1448" s="110" t="str">
        <f t="shared" si="92"/>
        <v/>
      </c>
      <c r="Q1448" s="54"/>
      <c r="R1448" s="58"/>
      <c r="S1448" s="87" t="str">
        <f t="shared" si="94"/>
        <v/>
      </c>
      <c r="T1448" s="54"/>
      <c r="U1448" s="54"/>
      <c r="V1448" s="54"/>
      <c r="W1448" s="54"/>
      <c r="X1448" s="69" t="str">
        <f t="shared" si="93"/>
        <v>D</v>
      </c>
    </row>
    <row r="1449" spans="1:24" s="66" customFormat="1" x14ac:dyDescent="0.25">
      <c r="A1449" s="51"/>
      <c r="B1449" s="91" t="str">
        <f>IFERROR(VLOOKUP(A1449,Lookup!A:B,2,0),"")</f>
        <v/>
      </c>
      <c r="C1449" s="92" t="str">
        <f>IFERROR(VLOOKUP(A1449,Lookup!A:C,3,0),"")</f>
        <v/>
      </c>
      <c r="D1449" s="54"/>
      <c r="E1449" s="54"/>
      <c r="F1449" s="54"/>
      <c r="G1449" s="72"/>
      <c r="H1449" s="54"/>
      <c r="I1449" s="54"/>
      <c r="J1449" s="106">
        <f>VLOOKUP(A1449&amp;G1449,Lookup!J:N,5,0)</f>
        <v>0</v>
      </c>
      <c r="K1449" s="115"/>
      <c r="L1449" s="54"/>
      <c r="M1449" s="54"/>
      <c r="N1449" s="54"/>
      <c r="O1449" s="112">
        <v>60.1006944444444</v>
      </c>
      <c r="P1449" s="110" t="str">
        <f t="shared" si="92"/>
        <v/>
      </c>
      <c r="Q1449" s="54"/>
      <c r="R1449" s="58"/>
      <c r="S1449" s="87" t="str">
        <f t="shared" si="94"/>
        <v/>
      </c>
      <c r="T1449" s="54"/>
      <c r="U1449" s="54"/>
      <c r="V1449" s="54"/>
      <c r="W1449" s="54"/>
      <c r="X1449" s="69" t="str">
        <f t="shared" si="93"/>
        <v>D</v>
      </c>
    </row>
    <row r="1450" spans="1:24" s="66" customFormat="1" x14ac:dyDescent="0.25">
      <c r="A1450" s="51"/>
      <c r="B1450" s="91" t="str">
        <f>IFERROR(VLOOKUP(A1450,Lookup!A:B,2,0),"")</f>
        <v/>
      </c>
      <c r="C1450" s="92" t="str">
        <f>IFERROR(VLOOKUP(A1450,Lookup!A:C,3,0),"")</f>
        <v/>
      </c>
      <c r="D1450" s="54"/>
      <c r="E1450" s="54"/>
      <c r="F1450" s="54"/>
      <c r="G1450" s="72"/>
      <c r="H1450" s="54"/>
      <c r="I1450" s="54"/>
      <c r="J1450" s="106">
        <f>VLOOKUP(A1450&amp;G1450,Lookup!J:N,5,0)</f>
        <v>0</v>
      </c>
      <c r="K1450" s="115"/>
      <c r="L1450" s="54"/>
      <c r="M1450" s="54"/>
      <c r="N1450" s="54"/>
      <c r="O1450" s="112">
        <v>60.1423611111111</v>
      </c>
      <c r="P1450" s="110" t="str">
        <f t="shared" si="92"/>
        <v/>
      </c>
      <c r="Q1450" s="54"/>
      <c r="R1450" s="58"/>
      <c r="S1450" s="87" t="str">
        <f t="shared" si="94"/>
        <v/>
      </c>
      <c r="T1450" s="54"/>
      <c r="U1450" s="54"/>
      <c r="V1450" s="54"/>
      <c r="W1450" s="54"/>
      <c r="X1450" s="69" t="str">
        <f t="shared" si="93"/>
        <v>D</v>
      </c>
    </row>
    <row r="1451" spans="1:24" s="66" customFormat="1" x14ac:dyDescent="0.25">
      <c r="A1451" s="51"/>
      <c r="B1451" s="91" t="str">
        <f>IFERROR(VLOOKUP(A1451,Lookup!A:B,2,0),"")</f>
        <v/>
      </c>
      <c r="C1451" s="92" t="str">
        <f>IFERROR(VLOOKUP(A1451,Lookup!A:C,3,0),"")</f>
        <v/>
      </c>
      <c r="D1451" s="54"/>
      <c r="E1451" s="54"/>
      <c r="F1451" s="54"/>
      <c r="G1451" s="72"/>
      <c r="H1451" s="54"/>
      <c r="I1451" s="54"/>
      <c r="J1451" s="106">
        <f>VLOOKUP(A1451&amp;G1451,Lookup!J:N,5,0)</f>
        <v>0</v>
      </c>
      <c r="K1451" s="115"/>
      <c r="L1451" s="54"/>
      <c r="M1451" s="54"/>
      <c r="N1451" s="54"/>
      <c r="O1451" s="112">
        <v>60.1840277777778</v>
      </c>
      <c r="P1451" s="110" t="str">
        <f t="shared" si="92"/>
        <v/>
      </c>
      <c r="Q1451" s="54"/>
      <c r="R1451" s="58"/>
      <c r="S1451" s="87" t="str">
        <f t="shared" si="94"/>
        <v/>
      </c>
      <c r="T1451" s="54"/>
      <c r="U1451" s="54"/>
      <c r="V1451" s="54"/>
      <c r="W1451" s="54"/>
      <c r="X1451" s="69" t="str">
        <f t="shared" si="93"/>
        <v>D</v>
      </c>
    </row>
    <row r="1452" spans="1:24" s="66" customFormat="1" x14ac:dyDescent="0.25">
      <c r="A1452" s="51"/>
      <c r="B1452" s="91" t="str">
        <f>IFERROR(VLOOKUP(A1452,Lookup!A:B,2,0),"")</f>
        <v/>
      </c>
      <c r="C1452" s="92" t="str">
        <f>IFERROR(VLOOKUP(A1452,Lookup!A:C,3,0),"")</f>
        <v/>
      </c>
      <c r="D1452" s="54"/>
      <c r="E1452" s="54"/>
      <c r="F1452" s="54"/>
      <c r="G1452" s="72"/>
      <c r="H1452" s="54"/>
      <c r="I1452" s="54"/>
      <c r="J1452" s="106">
        <f>VLOOKUP(A1452&amp;G1452,Lookup!J:N,5,0)</f>
        <v>0</v>
      </c>
      <c r="K1452" s="115"/>
      <c r="L1452" s="54"/>
      <c r="M1452" s="54"/>
      <c r="N1452" s="54"/>
      <c r="O1452" s="112">
        <v>60.2256944444444</v>
      </c>
      <c r="P1452" s="110" t="str">
        <f t="shared" si="92"/>
        <v/>
      </c>
      <c r="Q1452" s="54"/>
      <c r="R1452" s="58"/>
      <c r="S1452" s="87" t="str">
        <f t="shared" si="94"/>
        <v/>
      </c>
      <c r="T1452" s="54"/>
      <c r="U1452" s="54"/>
      <c r="V1452" s="54"/>
      <c r="W1452" s="54"/>
      <c r="X1452" s="69" t="str">
        <f t="shared" si="93"/>
        <v>D</v>
      </c>
    </row>
    <row r="1453" spans="1:24" s="66" customFormat="1" x14ac:dyDescent="0.25">
      <c r="A1453" s="51"/>
      <c r="B1453" s="91" t="str">
        <f>IFERROR(VLOOKUP(A1453,Lookup!A:B,2,0),"")</f>
        <v/>
      </c>
      <c r="C1453" s="92" t="str">
        <f>IFERROR(VLOOKUP(A1453,Lookup!A:C,3,0),"")</f>
        <v/>
      </c>
      <c r="D1453" s="54"/>
      <c r="E1453" s="54"/>
      <c r="F1453" s="54"/>
      <c r="G1453" s="72"/>
      <c r="H1453" s="54"/>
      <c r="I1453" s="54"/>
      <c r="J1453" s="106">
        <f>VLOOKUP(A1453&amp;G1453,Lookup!J:N,5,0)</f>
        <v>0</v>
      </c>
      <c r="K1453" s="115"/>
      <c r="L1453" s="54"/>
      <c r="M1453" s="54"/>
      <c r="N1453" s="54"/>
      <c r="O1453" s="112">
        <v>60.2673611111111</v>
      </c>
      <c r="P1453" s="110" t="str">
        <f t="shared" si="92"/>
        <v/>
      </c>
      <c r="Q1453" s="54"/>
      <c r="R1453" s="58"/>
      <c r="S1453" s="87" t="str">
        <f t="shared" si="94"/>
        <v/>
      </c>
      <c r="T1453" s="54"/>
      <c r="U1453" s="54"/>
      <c r="V1453" s="54"/>
      <c r="W1453" s="54"/>
      <c r="X1453" s="69" t="str">
        <f t="shared" si="93"/>
        <v>D</v>
      </c>
    </row>
    <row r="1454" spans="1:24" s="66" customFormat="1" x14ac:dyDescent="0.25">
      <c r="A1454" s="51"/>
      <c r="B1454" s="91" t="str">
        <f>IFERROR(VLOOKUP(A1454,Lookup!A:B,2,0),"")</f>
        <v/>
      </c>
      <c r="C1454" s="92" t="str">
        <f>IFERROR(VLOOKUP(A1454,Lookup!A:C,3,0),"")</f>
        <v/>
      </c>
      <c r="D1454" s="54"/>
      <c r="E1454" s="54"/>
      <c r="F1454" s="54"/>
      <c r="G1454" s="72"/>
      <c r="H1454" s="54"/>
      <c r="I1454" s="54"/>
      <c r="J1454" s="106">
        <f>VLOOKUP(A1454&amp;G1454,Lookup!J:N,5,0)</f>
        <v>0</v>
      </c>
      <c r="K1454" s="115"/>
      <c r="L1454" s="54"/>
      <c r="M1454" s="54"/>
      <c r="N1454" s="54"/>
      <c r="O1454" s="112">
        <v>60.3090277777778</v>
      </c>
      <c r="P1454" s="110" t="str">
        <f t="shared" si="92"/>
        <v/>
      </c>
      <c r="Q1454" s="54"/>
      <c r="R1454" s="58"/>
      <c r="S1454" s="87" t="str">
        <f t="shared" si="94"/>
        <v/>
      </c>
      <c r="T1454" s="54"/>
      <c r="U1454" s="54"/>
      <c r="V1454" s="54"/>
      <c r="W1454" s="54"/>
      <c r="X1454" s="69" t="str">
        <f t="shared" si="93"/>
        <v>D</v>
      </c>
    </row>
    <row r="1455" spans="1:24" s="66" customFormat="1" x14ac:dyDescent="0.25">
      <c r="A1455" s="51"/>
      <c r="B1455" s="91" t="str">
        <f>IFERROR(VLOOKUP(A1455,Lookup!A:B,2,0),"")</f>
        <v/>
      </c>
      <c r="C1455" s="92" t="str">
        <f>IFERROR(VLOOKUP(A1455,Lookup!A:C,3,0),"")</f>
        <v/>
      </c>
      <c r="D1455" s="54"/>
      <c r="E1455" s="54"/>
      <c r="F1455" s="54"/>
      <c r="G1455" s="72"/>
      <c r="H1455" s="54"/>
      <c r="I1455" s="54"/>
      <c r="J1455" s="106">
        <f>VLOOKUP(A1455&amp;G1455,Lookup!J:N,5,0)</f>
        <v>0</v>
      </c>
      <c r="K1455" s="115"/>
      <c r="L1455" s="54"/>
      <c r="M1455" s="54"/>
      <c r="N1455" s="54"/>
      <c r="O1455" s="112">
        <v>60.3506944444444</v>
      </c>
      <c r="P1455" s="110" t="str">
        <f t="shared" si="92"/>
        <v/>
      </c>
      <c r="Q1455" s="54"/>
      <c r="R1455" s="58"/>
      <c r="S1455" s="87" t="str">
        <f t="shared" si="94"/>
        <v/>
      </c>
      <c r="T1455" s="54"/>
      <c r="U1455" s="54"/>
      <c r="V1455" s="54"/>
      <c r="W1455" s="54"/>
      <c r="X1455" s="69" t="str">
        <f t="shared" si="93"/>
        <v>D</v>
      </c>
    </row>
    <row r="1456" spans="1:24" s="66" customFormat="1" x14ac:dyDescent="0.25">
      <c r="A1456" s="51"/>
      <c r="B1456" s="91" t="str">
        <f>IFERROR(VLOOKUP(A1456,Lookup!A:B,2,0),"")</f>
        <v/>
      </c>
      <c r="C1456" s="92" t="str">
        <f>IFERROR(VLOOKUP(A1456,Lookup!A:C,3,0),"")</f>
        <v/>
      </c>
      <c r="D1456" s="54"/>
      <c r="E1456" s="54"/>
      <c r="F1456" s="54"/>
      <c r="G1456" s="72"/>
      <c r="H1456" s="54"/>
      <c r="I1456" s="54"/>
      <c r="J1456" s="106">
        <f>VLOOKUP(A1456&amp;G1456,Lookup!J:N,5,0)</f>
        <v>0</v>
      </c>
      <c r="K1456" s="115"/>
      <c r="L1456" s="54"/>
      <c r="M1456" s="54"/>
      <c r="N1456" s="54"/>
      <c r="O1456" s="112">
        <v>60.3923611111111</v>
      </c>
      <c r="P1456" s="110" t="str">
        <f t="shared" si="92"/>
        <v/>
      </c>
      <c r="Q1456" s="54"/>
      <c r="R1456" s="58"/>
      <c r="S1456" s="87" t="str">
        <f t="shared" si="94"/>
        <v/>
      </c>
      <c r="T1456" s="54"/>
      <c r="U1456" s="54"/>
      <c r="V1456" s="54"/>
      <c r="W1456" s="54"/>
      <c r="X1456" s="69" t="str">
        <f t="shared" si="93"/>
        <v>D</v>
      </c>
    </row>
    <row r="1457" spans="1:24" s="66" customFormat="1" x14ac:dyDescent="0.25">
      <c r="A1457" s="51"/>
      <c r="B1457" s="91" t="str">
        <f>IFERROR(VLOOKUP(A1457,Lookup!A:B,2,0),"")</f>
        <v/>
      </c>
      <c r="C1457" s="92" t="str">
        <f>IFERROR(VLOOKUP(A1457,Lookup!A:C,3,0),"")</f>
        <v/>
      </c>
      <c r="D1457" s="54"/>
      <c r="E1457" s="54"/>
      <c r="F1457" s="54"/>
      <c r="G1457" s="72"/>
      <c r="H1457" s="54"/>
      <c r="I1457" s="54"/>
      <c r="J1457" s="106">
        <f>VLOOKUP(A1457&amp;G1457,Lookup!J:N,5,0)</f>
        <v>0</v>
      </c>
      <c r="K1457" s="115"/>
      <c r="L1457" s="54"/>
      <c r="M1457" s="54"/>
      <c r="N1457" s="54"/>
      <c r="O1457" s="112">
        <v>60.4340277777778</v>
      </c>
      <c r="P1457" s="110" t="str">
        <f t="shared" si="92"/>
        <v/>
      </c>
      <c r="Q1457" s="54"/>
      <c r="R1457" s="58"/>
      <c r="S1457" s="87" t="str">
        <f t="shared" si="94"/>
        <v/>
      </c>
      <c r="T1457" s="54"/>
      <c r="U1457" s="54"/>
      <c r="V1457" s="54"/>
      <c r="W1457" s="54"/>
      <c r="X1457" s="69" t="str">
        <f t="shared" si="93"/>
        <v>D</v>
      </c>
    </row>
    <row r="1458" spans="1:24" s="66" customFormat="1" x14ac:dyDescent="0.25">
      <c r="A1458" s="51"/>
      <c r="B1458" s="91" t="str">
        <f>IFERROR(VLOOKUP(A1458,Lookup!A:B,2,0),"")</f>
        <v/>
      </c>
      <c r="C1458" s="92" t="str">
        <f>IFERROR(VLOOKUP(A1458,Lookup!A:C,3,0),"")</f>
        <v/>
      </c>
      <c r="D1458" s="54"/>
      <c r="E1458" s="54"/>
      <c r="F1458" s="54"/>
      <c r="G1458" s="72"/>
      <c r="H1458" s="54"/>
      <c r="I1458" s="54"/>
      <c r="J1458" s="106">
        <f>VLOOKUP(A1458&amp;G1458,Lookup!J:N,5,0)</f>
        <v>0</v>
      </c>
      <c r="K1458" s="115"/>
      <c r="L1458" s="54"/>
      <c r="M1458" s="54"/>
      <c r="N1458" s="54"/>
      <c r="O1458" s="112">
        <v>60.4756944444444</v>
      </c>
      <c r="P1458" s="110" t="str">
        <f t="shared" si="92"/>
        <v/>
      </c>
      <c r="Q1458" s="54"/>
      <c r="R1458" s="58"/>
      <c r="S1458" s="87" t="str">
        <f t="shared" si="94"/>
        <v/>
      </c>
      <c r="T1458" s="54"/>
      <c r="U1458" s="54"/>
      <c r="V1458" s="54"/>
      <c r="W1458" s="54"/>
      <c r="X1458" s="69" t="str">
        <f t="shared" si="93"/>
        <v>D</v>
      </c>
    </row>
    <row r="1459" spans="1:24" s="66" customFormat="1" x14ac:dyDescent="0.25">
      <c r="A1459" s="51"/>
      <c r="B1459" s="91" t="str">
        <f>IFERROR(VLOOKUP(A1459,Lookup!A:B,2,0),"")</f>
        <v/>
      </c>
      <c r="C1459" s="92" t="str">
        <f>IFERROR(VLOOKUP(A1459,Lookup!A:C,3,0),"")</f>
        <v/>
      </c>
      <c r="D1459" s="54"/>
      <c r="E1459" s="54"/>
      <c r="F1459" s="54"/>
      <c r="G1459" s="72"/>
      <c r="H1459" s="54"/>
      <c r="I1459" s="54"/>
      <c r="J1459" s="106">
        <f>VLOOKUP(A1459&amp;G1459,Lookup!J:N,5,0)</f>
        <v>0</v>
      </c>
      <c r="K1459" s="115"/>
      <c r="L1459" s="54"/>
      <c r="M1459" s="54"/>
      <c r="N1459" s="54"/>
      <c r="O1459" s="112">
        <v>60.5173611111111</v>
      </c>
      <c r="P1459" s="110" t="str">
        <f t="shared" si="92"/>
        <v/>
      </c>
      <c r="Q1459" s="54"/>
      <c r="R1459" s="58"/>
      <c r="S1459" s="87" t="str">
        <f t="shared" si="94"/>
        <v/>
      </c>
      <c r="T1459" s="54"/>
      <c r="U1459" s="54"/>
      <c r="V1459" s="54"/>
      <c r="W1459" s="54"/>
      <c r="X1459" s="69" t="str">
        <f t="shared" si="93"/>
        <v>D</v>
      </c>
    </row>
    <row r="1460" spans="1:24" s="66" customFormat="1" x14ac:dyDescent="0.25">
      <c r="A1460" s="51"/>
      <c r="B1460" s="91" t="str">
        <f>IFERROR(VLOOKUP(A1460,Lookup!A:B,2,0),"")</f>
        <v/>
      </c>
      <c r="C1460" s="92" t="str">
        <f>IFERROR(VLOOKUP(A1460,Lookup!A:C,3,0),"")</f>
        <v/>
      </c>
      <c r="D1460" s="54"/>
      <c r="E1460" s="54"/>
      <c r="F1460" s="54"/>
      <c r="G1460" s="72"/>
      <c r="H1460" s="54"/>
      <c r="I1460" s="54"/>
      <c r="J1460" s="106">
        <f>VLOOKUP(A1460&amp;G1460,Lookup!J:N,5,0)</f>
        <v>0</v>
      </c>
      <c r="K1460" s="115"/>
      <c r="L1460" s="54"/>
      <c r="M1460" s="54"/>
      <c r="N1460" s="54"/>
      <c r="O1460" s="112">
        <v>60.5590277777778</v>
      </c>
      <c r="P1460" s="110" t="str">
        <f t="shared" si="92"/>
        <v/>
      </c>
      <c r="Q1460" s="54"/>
      <c r="R1460" s="58"/>
      <c r="S1460" s="87" t="str">
        <f t="shared" si="94"/>
        <v/>
      </c>
      <c r="T1460" s="54"/>
      <c r="U1460" s="54"/>
      <c r="V1460" s="54"/>
      <c r="W1460" s="54"/>
      <c r="X1460" s="69" t="str">
        <f t="shared" si="93"/>
        <v>D</v>
      </c>
    </row>
    <row r="1461" spans="1:24" s="66" customFormat="1" x14ac:dyDescent="0.25">
      <c r="A1461" s="51"/>
      <c r="B1461" s="91" t="str">
        <f>IFERROR(VLOOKUP(A1461,Lookup!A:B,2,0),"")</f>
        <v/>
      </c>
      <c r="C1461" s="92" t="str">
        <f>IFERROR(VLOOKUP(A1461,Lookup!A:C,3,0),"")</f>
        <v/>
      </c>
      <c r="D1461" s="54"/>
      <c r="E1461" s="54"/>
      <c r="F1461" s="54"/>
      <c r="G1461" s="72"/>
      <c r="H1461" s="54"/>
      <c r="I1461" s="54"/>
      <c r="J1461" s="106">
        <f>VLOOKUP(A1461&amp;G1461,Lookup!J:N,5,0)</f>
        <v>0</v>
      </c>
      <c r="K1461" s="115"/>
      <c r="L1461" s="54"/>
      <c r="M1461" s="54"/>
      <c r="N1461" s="54"/>
      <c r="O1461" s="112">
        <v>60.6006944444444</v>
      </c>
      <c r="P1461" s="110" t="str">
        <f t="shared" si="92"/>
        <v/>
      </c>
      <c r="Q1461" s="54"/>
      <c r="R1461" s="58"/>
      <c r="S1461" s="87" t="str">
        <f t="shared" si="94"/>
        <v/>
      </c>
      <c r="T1461" s="54"/>
      <c r="U1461" s="54"/>
      <c r="V1461" s="54"/>
      <c r="W1461" s="54"/>
      <c r="X1461" s="69" t="str">
        <f t="shared" si="93"/>
        <v>D</v>
      </c>
    </row>
    <row r="1462" spans="1:24" s="66" customFormat="1" x14ac:dyDescent="0.25">
      <c r="A1462" s="51"/>
      <c r="B1462" s="91" t="str">
        <f>IFERROR(VLOOKUP(A1462,Lookup!A:B,2,0),"")</f>
        <v/>
      </c>
      <c r="C1462" s="92" t="str">
        <f>IFERROR(VLOOKUP(A1462,Lookup!A:C,3,0),"")</f>
        <v/>
      </c>
      <c r="D1462" s="54"/>
      <c r="E1462" s="54"/>
      <c r="F1462" s="54"/>
      <c r="G1462" s="72"/>
      <c r="H1462" s="54"/>
      <c r="I1462" s="54"/>
      <c r="J1462" s="106">
        <f>VLOOKUP(A1462&amp;G1462,Lookup!J:N,5,0)</f>
        <v>0</v>
      </c>
      <c r="K1462" s="115"/>
      <c r="L1462" s="54"/>
      <c r="M1462" s="54"/>
      <c r="N1462" s="54"/>
      <c r="O1462" s="112">
        <v>60.6423611111111</v>
      </c>
      <c r="P1462" s="110" t="str">
        <f t="shared" si="92"/>
        <v/>
      </c>
      <c r="Q1462" s="54"/>
      <c r="R1462" s="58"/>
      <c r="S1462" s="87" t="str">
        <f t="shared" si="94"/>
        <v/>
      </c>
      <c r="T1462" s="54"/>
      <c r="U1462" s="54"/>
      <c r="V1462" s="54"/>
      <c r="W1462" s="54"/>
      <c r="X1462" s="69" t="str">
        <f t="shared" si="93"/>
        <v>D</v>
      </c>
    </row>
    <row r="1463" spans="1:24" s="66" customFormat="1" x14ac:dyDescent="0.25">
      <c r="A1463" s="51"/>
      <c r="B1463" s="91" t="str">
        <f>IFERROR(VLOOKUP(A1463,Lookup!A:B,2,0),"")</f>
        <v/>
      </c>
      <c r="C1463" s="92" t="str">
        <f>IFERROR(VLOOKUP(A1463,Lookup!A:C,3,0),"")</f>
        <v/>
      </c>
      <c r="D1463" s="54"/>
      <c r="E1463" s="54"/>
      <c r="F1463" s="54"/>
      <c r="G1463" s="72"/>
      <c r="H1463" s="54"/>
      <c r="I1463" s="54"/>
      <c r="J1463" s="106">
        <f>VLOOKUP(A1463&amp;G1463,Lookup!J:N,5,0)</f>
        <v>0</v>
      </c>
      <c r="K1463" s="115"/>
      <c r="L1463" s="54"/>
      <c r="M1463" s="54"/>
      <c r="N1463" s="54"/>
      <c r="O1463" s="112">
        <v>60.6840277777778</v>
      </c>
      <c r="P1463" s="110" t="str">
        <f t="shared" si="92"/>
        <v/>
      </c>
      <c r="Q1463" s="54"/>
      <c r="R1463" s="58"/>
      <c r="S1463" s="87" t="str">
        <f t="shared" si="94"/>
        <v/>
      </c>
      <c r="T1463" s="54"/>
      <c r="U1463" s="54"/>
      <c r="V1463" s="54"/>
      <c r="W1463" s="54"/>
      <c r="X1463" s="69" t="str">
        <f t="shared" si="93"/>
        <v>D</v>
      </c>
    </row>
    <row r="1464" spans="1:24" s="66" customFormat="1" x14ac:dyDescent="0.25">
      <c r="A1464" s="51"/>
      <c r="B1464" s="91" t="str">
        <f>IFERROR(VLOOKUP(A1464,Lookup!A:B,2,0),"")</f>
        <v/>
      </c>
      <c r="C1464" s="92" t="str">
        <f>IFERROR(VLOOKUP(A1464,Lookup!A:C,3,0),"")</f>
        <v/>
      </c>
      <c r="D1464" s="54"/>
      <c r="E1464" s="54"/>
      <c r="F1464" s="54"/>
      <c r="G1464" s="72"/>
      <c r="H1464" s="54"/>
      <c r="I1464" s="54"/>
      <c r="J1464" s="106">
        <f>VLOOKUP(A1464&amp;G1464,Lookup!J:N,5,0)</f>
        <v>0</v>
      </c>
      <c r="K1464" s="115"/>
      <c r="L1464" s="54"/>
      <c r="M1464" s="54"/>
      <c r="N1464" s="54"/>
      <c r="O1464" s="112">
        <v>60.7256944444444</v>
      </c>
      <c r="P1464" s="110" t="str">
        <f t="shared" si="92"/>
        <v/>
      </c>
      <c r="Q1464" s="54"/>
      <c r="R1464" s="58"/>
      <c r="S1464" s="87" t="str">
        <f t="shared" si="94"/>
        <v/>
      </c>
      <c r="T1464" s="54"/>
      <c r="U1464" s="54"/>
      <c r="V1464" s="54"/>
      <c r="W1464" s="54"/>
      <c r="X1464" s="69" t="str">
        <f t="shared" si="93"/>
        <v>D</v>
      </c>
    </row>
    <row r="1465" spans="1:24" s="66" customFormat="1" x14ac:dyDescent="0.25">
      <c r="A1465" s="51"/>
      <c r="B1465" s="91" t="str">
        <f>IFERROR(VLOOKUP(A1465,Lookup!A:B,2,0),"")</f>
        <v/>
      </c>
      <c r="C1465" s="92" t="str">
        <f>IFERROR(VLOOKUP(A1465,Lookup!A:C,3,0),"")</f>
        <v/>
      </c>
      <c r="D1465" s="54"/>
      <c r="E1465" s="54"/>
      <c r="F1465" s="54"/>
      <c r="G1465" s="72"/>
      <c r="H1465" s="54"/>
      <c r="I1465" s="54"/>
      <c r="J1465" s="106">
        <f>VLOOKUP(A1465&amp;G1465,Lookup!J:N,5,0)</f>
        <v>0</v>
      </c>
      <c r="K1465" s="115"/>
      <c r="L1465" s="54"/>
      <c r="M1465" s="54"/>
      <c r="N1465" s="54"/>
      <c r="O1465" s="112">
        <v>60.7673611111111</v>
      </c>
      <c r="P1465" s="110" t="str">
        <f t="shared" si="92"/>
        <v/>
      </c>
      <c r="Q1465" s="54"/>
      <c r="R1465" s="58"/>
      <c r="S1465" s="87" t="str">
        <f t="shared" si="94"/>
        <v/>
      </c>
      <c r="T1465" s="54"/>
      <c r="U1465" s="54"/>
      <c r="V1465" s="54"/>
      <c r="W1465" s="54"/>
      <c r="X1465" s="69" t="str">
        <f t="shared" si="93"/>
        <v>D</v>
      </c>
    </row>
    <row r="1466" spans="1:24" s="66" customFormat="1" x14ac:dyDescent="0.25">
      <c r="A1466" s="51"/>
      <c r="B1466" s="91" t="str">
        <f>IFERROR(VLOOKUP(A1466,Lookup!A:B,2,0),"")</f>
        <v/>
      </c>
      <c r="C1466" s="92" t="str">
        <f>IFERROR(VLOOKUP(A1466,Lookup!A:C,3,0),"")</f>
        <v/>
      </c>
      <c r="D1466" s="54"/>
      <c r="E1466" s="54"/>
      <c r="F1466" s="54"/>
      <c r="G1466" s="72"/>
      <c r="H1466" s="54"/>
      <c r="I1466" s="54"/>
      <c r="J1466" s="106">
        <f>VLOOKUP(A1466&amp;G1466,Lookup!J:N,5,0)</f>
        <v>0</v>
      </c>
      <c r="K1466" s="115"/>
      <c r="L1466" s="54"/>
      <c r="M1466" s="54"/>
      <c r="N1466" s="54"/>
      <c r="O1466" s="112">
        <v>60.8090277777778</v>
      </c>
      <c r="P1466" s="110" t="str">
        <f t="shared" si="92"/>
        <v/>
      </c>
      <c r="Q1466" s="54"/>
      <c r="R1466" s="58"/>
      <c r="S1466" s="87" t="str">
        <f t="shared" si="94"/>
        <v/>
      </c>
      <c r="T1466" s="54"/>
      <c r="U1466" s="54"/>
      <c r="V1466" s="54"/>
      <c r="W1466" s="54"/>
      <c r="X1466" s="69" t="str">
        <f t="shared" si="93"/>
        <v>D</v>
      </c>
    </row>
    <row r="1467" spans="1:24" s="66" customFormat="1" x14ac:dyDescent="0.25">
      <c r="A1467" s="51"/>
      <c r="B1467" s="91" t="str">
        <f>IFERROR(VLOOKUP(A1467,Lookup!A:B,2,0),"")</f>
        <v/>
      </c>
      <c r="C1467" s="92" t="str">
        <f>IFERROR(VLOOKUP(A1467,Lookup!A:C,3,0),"")</f>
        <v/>
      </c>
      <c r="D1467" s="54"/>
      <c r="E1467" s="54"/>
      <c r="F1467" s="54"/>
      <c r="G1467" s="72"/>
      <c r="H1467" s="54"/>
      <c r="I1467" s="54"/>
      <c r="J1467" s="106">
        <f>VLOOKUP(A1467&amp;G1467,Lookup!J:N,5,0)</f>
        <v>0</v>
      </c>
      <c r="K1467" s="115"/>
      <c r="L1467" s="54"/>
      <c r="M1467" s="54"/>
      <c r="N1467" s="54"/>
      <c r="O1467" s="112">
        <v>60.8506944444444</v>
      </c>
      <c r="P1467" s="110" t="str">
        <f t="shared" si="92"/>
        <v/>
      </c>
      <c r="Q1467" s="54"/>
      <c r="R1467" s="58"/>
      <c r="S1467" s="87" t="str">
        <f t="shared" si="94"/>
        <v/>
      </c>
      <c r="T1467" s="54"/>
      <c r="U1467" s="54"/>
      <c r="V1467" s="54"/>
      <c r="W1467" s="54"/>
      <c r="X1467" s="69" t="str">
        <f t="shared" si="93"/>
        <v>D</v>
      </c>
    </row>
    <row r="1468" spans="1:24" s="66" customFormat="1" x14ac:dyDescent="0.25">
      <c r="A1468" s="51"/>
      <c r="B1468" s="91" t="str">
        <f>IFERROR(VLOOKUP(A1468,Lookup!A:B,2,0),"")</f>
        <v/>
      </c>
      <c r="C1468" s="92" t="str">
        <f>IFERROR(VLOOKUP(A1468,Lookup!A:C,3,0),"")</f>
        <v/>
      </c>
      <c r="D1468" s="54"/>
      <c r="E1468" s="54"/>
      <c r="F1468" s="54"/>
      <c r="G1468" s="72"/>
      <c r="H1468" s="54"/>
      <c r="I1468" s="54"/>
      <c r="J1468" s="106">
        <f>VLOOKUP(A1468&amp;G1468,Lookup!J:N,5,0)</f>
        <v>0</v>
      </c>
      <c r="K1468" s="115"/>
      <c r="L1468" s="54"/>
      <c r="M1468" s="54"/>
      <c r="N1468" s="54"/>
      <c r="O1468" s="112">
        <v>60.8923611111111</v>
      </c>
      <c r="P1468" s="110" t="str">
        <f t="shared" si="92"/>
        <v/>
      </c>
      <c r="Q1468" s="54"/>
      <c r="R1468" s="58"/>
      <c r="S1468" s="87" t="str">
        <f t="shared" si="94"/>
        <v/>
      </c>
      <c r="T1468" s="54"/>
      <c r="U1468" s="54"/>
      <c r="V1468" s="54"/>
      <c r="W1468" s="54"/>
      <c r="X1468" s="69" t="str">
        <f t="shared" si="93"/>
        <v>D</v>
      </c>
    </row>
    <row r="1469" spans="1:24" s="66" customFormat="1" x14ac:dyDescent="0.25">
      <c r="A1469" s="51"/>
      <c r="B1469" s="91" t="str">
        <f>IFERROR(VLOOKUP(A1469,Lookup!A:B,2,0),"")</f>
        <v/>
      </c>
      <c r="C1469" s="92" t="str">
        <f>IFERROR(VLOOKUP(A1469,Lookup!A:C,3,0),"")</f>
        <v/>
      </c>
      <c r="D1469" s="54"/>
      <c r="E1469" s="54"/>
      <c r="F1469" s="54"/>
      <c r="G1469" s="72"/>
      <c r="H1469" s="54"/>
      <c r="I1469" s="54"/>
      <c r="J1469" s="106">
        <f>VLOOKUP(A1469&amp;G1469,Lookup!J:N,5,0)</f>
        <v>0</v>
      </c>
      <c r="K1469" s="115"/>
      <c r="L1469" s="54"/>
      <c r="M1469" s="54"/>
      <c r="N1469" s="54"/>
      <c r="O1469" s="112">
        <v>60.9340277777778</v>
      </c>
      <c r="P1469" s="110" t="str">
        <f t="shared" si="92"/>
        <v/>
      </c>
      <c r="Q1469" s="54"/>
      <c r="R1469" s="58"/>
      <c r="S1469" s="87" t="str">
        <f t="shared" si="94"/>
        <v/>
      </c>
      <c r="T1469" s="54"/>
      <c r="U1469" s="54"/>
      <c r="V1469" s="54"/>
      <c r="W1469" s="54"/>
      <c r="X1469" s="69" t="str">
        <f t="shared" si="93"/>
        <v>D</v>
      </c>
    </row>
    <row r="1470" spans="1:24" s="66" customFormat="1" x14ac:dyDescent="0.25">
      <c r="A1470" s="51"/>
      <c r="B1470" s="91" t="str">
        <f>IFERROR(VLOOKUP(A1470,Lookup!A:B,2,0),"")</f>
        <v/>
      </c>
      <c r="C1470" s="92" t="str">
        <f>IFERROR(VLOOKUP(A1470,Lookup!A:C,3,0),"")</f>
        <v/>
      </c>
      <c r="D1470" s="54"/>
      <c r="E1470" s="54"/>
      <c r="F1470" s="54"/>
      <c r="G1470" s="72"/>
      <c r="H1470" s="54"/>
      <c r="I1470" s="54"/>
      <c r="J1470" s="106">
        <f>VLOOKUP(A1470&amp;G1470,Lookup!J:N,5,0)</f>
        <v>0</v>
      </c>
      <c r="K1470" s="115"/>
      <c r="L1470" s="54"/>
      <c r="M1470" s="54"/>
      <c r="N1470" s="54"/>
      <c r="O1470" s="112">
        <v>60.9756944444444</v>
      </c>
      <c r="P1470" s="110" t="str">
        <f t="shared" si="92"/>
        <v/>
      </c>
      <c r="Q1470" s="54"/>
      <c r="R1470" s="58"/>
      <c r="S1470" s="87" t="str">
        <f t="shared" si="94"/>
        <v/>
      </c>
      <c r="T1470" s="54"/>
      <c r="U1470" s="54"/>
      <c r="V1470" s="54"/>
      <c r="W1470" s="54"/>
      <c r="X1470" s="69" t="str">
        <f t="shared" si="93"/>
        <v>D</v>
      </c>
    </row>
    <row r="1471" spans="1:24" s="66" customFormat="1" x14ac:dyDescent="0.25">
      <c r="A1471" s="51"/>
      <c r="B1471" s="91" t="str">
        <f>IFERROR(VLOOKUP(A1471,Lookup!A:B,2,0),"")</f>
        <v/>
      </c>
      <c r="C1471" s="92" t="str">
        <f>IFERROR(VLOOKUP(A1471,Lookup!A:C,3,0),"")</f>
        <v/>
      </c>
      <c r="D1471" s="54"/>
      <c r="E1471" s="54"/>
      <c r="F1471" s="54"/>
      <c r="G1471" s="72"/>
      <c r="H1471" s="54"/>
      <c r="I1471" s="54"/>
      <c r="J1471" s="106">
        <f>VLOOKUP(A1471&amp;G1471,Lookup!J:N,5,0)</f>
        <v>0</v>
      </c>
      <c r="K1471" s="115"/>
      <c r="L1471" s="54"/>
      <c r="M1471" s="54"/>
      <c r="N1471" s="54"/>
      <c r="O1471" s="112">
        <v>61.0173611111111</v>
      </c>
      <c r="P1471" s="110" t="str">
        <f t="shared" si="92"/>
        <v/>
      </c>
      <c r="Q1471" s="54"/>
      <c r="R1471" s="58"/>
      <c r="S1471" s="87" t="str">
        <f t="shared" si="94"/>
        <v/>
      </c>
      <c r="T1471" s="54"/>
      <c r="U1471" s="54"/>
      <c r="V1471" s="54"/>
      <c r="W1471" s="54"/>
      <c r="X1471" s="69" t="str">
        <f t="shared" si="93"/>
        <v>D</v>
      </c>
    </row>
    <row r="1472" spans="1:24" s="66" customFormat="1" x14ac:dyDescent="0.25">
      <c r="A1472" s="51"/>
      <c r="B1472" s="91" t="str">
        <f>IFERROR(VLOOKUP(A1472,Lookup!A:B,2,0),"")</f>
        <v/>
      </c>
      <c r="C1472" s="92" t="str">
        <f>IFERROR(VLOOKUP(A1472,Lookup!A:C,3,0),"")</f>
        <v/>
      </c>
      <c r="D1472" s="54"/>
      <c r="E1472" s="54"/>
      <c r="F1472" s="54"/>
      <c r="G1472" s="72"/>
      <c r="H1472" s="54"/>
      <c r="I1472" s="54"/>
      <c r="J1472" s="106">
        <f>VLOOKUP(A1472&amp;G1472,Lookup!J:N,5,0)</f>
        <v>0</v>
      </c>
      <c r="K1472" s="115"/>
      <c r="L1472" s="54"/>
      <c r="M1472" s="54"/>
      <c r="N1472" s="54"/>
      <c r="O1472" s="112">
        <v>61.0590277777778</v>
      </c>
      <c r="P1472" s="110" t="str">
        <f t="shared" si="92"/>
        <v/>
      </c>
      <c r="Q1472" s="54"/>
      <c r="R1472" s="58"/>
      <c r="S1472" s="87" t="str">
        <f t="shared" si="94"/>
        <v/>
      </c>
      <c r="T1472" s="54"/>
      <c r="U1472" s="54"/>
      <c r="V1472" s="54"/>
      <c r="W1472" s="54"/>
      <c r="X1472" s="69" t="str">
        <f t="shared" si="93"/>
        <v>D</v>
      </c>
    </row>
    <row r="1473" spans="1:24" s="66" customFormat="1" x14ac:dyDescent="0.25">
      <c r="A1473" s="51"/>
      <c r="B1473" s="91" t="str">
        <f>IFERROR(VLOOKUP(A1473,Lookup!A:B,2,0),"")</f>
        <v/>
      </c>
      <c r="C1473" s="92" t="str">
        <f>IFERROR(VLOOKUP(A1473,Lookup!A:C,3,0),"")</f>
        <v/>
      </c>
      <c r="D1473" s="54"/>
      <c r="E1473" s="54"/>
      <c r="F1473" s="54"/>
      <c r="G1473" s="72"/>
      <c r="H1473" s="54"/>
      <c r="I1473" s="54"/>
      <c r="J1473" s="106">
        <f>VLOOKUP(A1473&amp;G1473,Lookup!J:N,5,0)</f>
        <v>0</v>
      </c>
      <c r="K1473" s="115"/>
      <c r="L1473" s="54"/>
      <c r="M1473" s="54"/>
      <c r="N1473" s="54"/>
      <c r="O1473" s="112">
        <v>61.1006944444444</v>
      </c>
      <c r="P1473" s="110" t="str">
        <f t="shared" si="92"/>
        <v/>
      </c>
      <c r="Q1473" s="54"/>
      <c r="R1473" s="58"/>
      <c r="S1473" s="87" t="str">
        <f t="shared" si="94"/>
        <v/>
      </c>
      <c r="T1473" s="54"/>
      <c r="U1473" s="54"/>
      <c r="V1473" s="54"/>
      <c r="W1473" s="54"/>
      <c r="X1473" s="69" t="str">
        <f t="shared" si="93"/>
        <v>D</v>
      </c>
    </row>
    <row r="1474" spans="1:24" s="66" customFormat="1" x14ac:dyDescent="0.25">
      <c r="A1474" s="51"/>
      <c r="B1474" s="91" t="str">
        <f>IFERROR(VLOOKUP(A1474,Lookup!A:B,2,0),"")</f>
        <v/>
      </c>
      <c r="C1474" s="92" t="str">
        <f>IFERROR(VLOOKUP(A1474,Lookup!A:C,3,0),"")</f>
        <v/>
      </c>
      <c r="D1474" s="54"/>
      <c r="E1474" s="54"/>
      <c r="F1474" s="54"/>
      <c r="G1474" s="72"/>
      <c r="H1474" s="54"/>
      <c r="I1474" s="54"/>
      <c r="J1474" s="106">
        <f>VLOOKUP(A1474&amp;G1474,Lookup!J:N,5,0)</f>
        <v>0</v>
      </c>
      <c r="K1474" s="115"/>
      <c r="L1474" s="54"/>
      <c r="M1474" s="54"/>
      <c r="N1474" s="54"/>
      <c r="O1474" s="112">
        <v>61.1423611111111</v>
      </c>
      <c r="P1474" s="110" t="str">
        <f t="shared" si="92"/>
        <v/>
      </c>
      <c r="Q1474" s="54"/>
      <c r="R1474" s="58"/>
      <c r="S1474" s="87" t="str">
        <f t="shared" si="94"/>
        <v/>
      </c>
      <c r="T1474" s="54"/>
      <c r="U1474" s="54"/>
      <c r="V1474" s="54"/>
      <c r="W1474" s="54"/>
      <c r="X1474" s="69" t="str">
        <f t="shared" si="93"/>
        <v>D</v>
      </c>
    </row>
    <row r="1475" spans="1:24" s="66" customFormat="1" x14ac:dyDescent="0.25">
      <c r="A1475" s="51"/>
      <c r="B1475" s="91" t="str">
        <f>IFERROR(VLOOKUP(A1475,Lookup!A:B,2,0),"")</f>
        <v/>
      </c>
      <c r="C1475" s="92" t="str">
        <f>IFERROR(VLOOKUP(A1475,Lookup!A:C,3,0),"")</f>
        <v/>
      </c>
      <c r="D1475" s="54"/>
      <c r="E1475" s="54"/>
      <c r="F1475" s="54"/>
      <c r="G1475" s="72"/>
      <c r="H1475" s="54"/>
      <c r="I1475" s="54"/>
      <c r="J1475" s="106">
        <f>VLOOKUP(A1475&amp;G1475,Lookup!J:N,5,0)</f>
        <v>0</v>
      </c>
      <c r="K1475" s="115"/>
      <c r="L1475" s="54"/>
      <c r="M1475" s="54"/>
      <c r="N1475" s="54"/>
      <c r="O1475" s="112">
        <v>61.1840277777778</v>
      </c>
      <c r="P1475" s="110" t="str">
        <f t="shared" ref="P1475:P1538" si="95">IF(N1475="","",N1475+O1475)</f>
        <v/>
      </c>
      <c r="Q1475" s="54"/>
      <c r="R1475" s="58"/>
      <c r="S1475" s="87" t="str">
        <f t="shared" si="94"/>
        <v/>
      </c>
      <c r="T1475" s="54"/>
      <c r="U1475" s="54"/>
      <c r="V1475" s="54"/>
      <c r="W1475" s="54"/>
      <c r="X1475" s="69" t="str">
        <f t="shared" ref="X1475:X1538" si="96">IF(I1475="SET","A",IF(I1475="FREQ","C",IF(I1475="","D","B")))</f>
        <v>D</v>
      </c>
    </row>
    <row r="1476" spans="1:24" s="66" customFormat="1" x14ac:dyDescent="0.25">
      <c r="A1476" s="51"/>
      <c r="B1476" s="91" t="str">
        <f>IFERROR(VLOOKUP(A1476,Lookup!A:B,2,0),"")</f>
        <v/>
      </c>
      <c r="C1476" s="92" t="str">
        <f>IFERROR(VLOOKUP(A1476,Lookup!A:C,3,0),"")</f>
        <v/>
      </c>
      <c r="D1476" s="54"/>
      <c r="E1476" s="54"/>
      <c r="F1476" s="54"/>
      <c r="G1476" s="72"/>
      <c r="H1476" s="54"/>
      <c r="I1476" s="54"/>
      <c r="J1476" s="106">
        <f>VLOOKUP(A1476&amp;G1476,Lookup!J:N,5,0)</f>
        <v>0</v>
      </c>
      <c r="K1476" s="115"/>
      <c r="L1476" s="54"/>
      <c r="M1476" s="54"/>
      <c r="N1476" s="54"/>
      <c r="O1476" s="112">
        <v>61.2256944444444</v>
      </c>
      <c r="P1476" s="110" t="str">
        <f t="shared" si="95"/>
        <v/>
      </c>
      <c r="Q1476" s="54"/>
      <c r="R1476" s="58"/>
      <c r="S1476" s="87" t="str">
        <f t="shared" si="94"/>
        <v/>
      </c>
      <c r="T1476" s="54"/>
      <c r="U1476" s="54"/>
      <c r="V1476" s="54"/>
      <c r="W1476" s="54"/>
      <c r="X1476" s="69" t="str">
        <f t="shared" si="96"/>
        <v>D</v>
      </c>
    </row>
    <row r="1477" spans="1:24" s="66" customFormat="1" x14ac:dyDescent="0.25">
      <c r="A1477" s="51"/>
      <c r="B1477" s="91" t="str">
        <f>IFERROR(VLOOKUP(A1477,Lookup!A:B,2,0),"")</f>
        <v/>
      </c>
      <c r="C1477" s="92" t="str">
        <f>IFERROR(VLOOKUP(A1477,Lookup!A:C,3,0),"")</f>
        <v/>
      </c>
      <c r="D1477" s="54"/>
      <c r="E1477" s="54"/>
      <c r="F1477" s="54"/>
      <c r="G1477" s="72"/>
      <c r="H1477" s="54"/>
      <c r="I1477" s="54"/>
      <c r="J1477" s="106">
        <f>VLOOKUP(A1477&amp;G1477,Lookup!J:N,5,0)</f>
        <v>0</v>
      </c>
      <c r="K1477" s="115"/>
      <c r="L1477" s="54"/>
      <c r="M1477" s="54"/>
      <c r="N1477" s="54"/>
      <c r="O1477" s="112">
        <v>61.2673611111111</v>
      </c>
      <c r="P1477" s="110" t="str">
        <f t="shared" si="95"/>
        <v/>
      </c>
      <c r="Q1477" s="54"/>
      <c r="R1477" s="58"/>
      <c r="S1477" s="87" t="str">
        <f t="shared" si="94"/>
        <v/>
      </c>
      <c r="T1477" s="54"/>
      <c r="U1477" s="54"/>
      <c r="V1477" s="54"/>
      <c r="W1477" s="54"/>
      <c r="X1477" s="69" t="str">
        <f t="shared" si="96"/>
        <v>D</v>
      </c>
    </row>
    <row r="1478" spans="1:24" s="66" customFormat="1" x14ac:dyDescent="0.25">
      <c r="A1478" s="51"/>
      <c r="B1478" s="91" t="str">
        <f>IFERROR(VLOOKUP(A1478,Lookup!A:B,2,0),"")</f>
        <v/>
      </c>
      <c r="C1478" s="92" t="str">
        <f>IFERROR(VLOOKUP(A1478,Lookup!A:C,3,0),"")</f>
        <v/>
      </c>
      <c r="D1478" s="54"/>
      <c r="E1478" s="54"/>
      <c r="F1478" s="54"/>
      <c r="G1478" s="72"/>
      <c r="H1478" s="54"/>
      <c r="I1478" s="54"/>
      <c r="J1478" s="106">
        <f>VLOOKUP(A1478&amp;G1478,Lookup!J:N,5,0)</f>
        <v>0</v>
      </c>
      <c r="K1478" s="115"/>
      <c r="L1478" s="54"/>
      <c r="M1478" s="54"/>
      <c r="N1478" s="54"/>
      <c r="O1478" s="112">
        <v>61.3090277777778</v>
      </c>
      <c r="P1478" s="110" t="str">
        <f t="shared" si="95"/>
        <v/>
      </c>
      <c r="Q1478" s="54"/>
      <c r="R1478" s="58"/>
      <c r="S1478" s="87" t="str">
        <f t="shared" si="94"/>
        <v/>
      </c>
      <c r="T1478" s="54"/>
      <c r="U1478" s="54"/>
      <c r="V1478" s="54"/>
      <c r="W1478" s="54"/>
      <c r="X1478" s="69" t="str">
        <f t="shared" si="96"/>
        <v>D</v>
      </c>
    </row>
    <row r="1479" spans="1:24" s="66" customFormat="1" x14ac:dyDescent="0.25">
      <c r="A1479" s="51"/>
      <c r="B1479" s="91" t="str">
        <f>IFERROR(VLOOKUP(A1479,Lookup!A:B,2,0),"")</f>
        <v/>
      </c>
      <c r="C1479" s="92" t="str">
        <f>IFERROR(VLOOKUP(A1479,Lookup!A:C,3,0),"")</f>
        <v/>
      </c>
      <c r="D1479" s="54"/>
      <c r="E1479" s="54"/>
      <c r="F1479" s="54"/>
      <c r="G1479" s="72"/>
      <c r="H1479" s="54"/>
      <c r="I1479" s="54"/>
      <c r="J1479" s="106">
        <f>VLOOKUP(A1479&amp;G1479,Lookup!J:N,5,0)</f>
        <v>0</v>
      </c>
      <c r="K1479" s="115"/>
      <c r="L1479" s="54"/>
      <c r="M1479" s="54"/>
      <c r="N1479" s="54"/>
      <c r="O1479" s="112">
        <v>61.3506944444444</v>
      </c>
      <c r="P1479" s="110" t="str">
        <f t="shared" si="95"/>
        <v/>
      </c>
      <c r="Q1479" s="54"/>
      <c r="R1479" s="58"/>
      <c r="S1479" s="87" t="str">
        <f t="shared" ref="S1479:S1542" si="97">IF(OR(EXACT(Q1479,""), EXACT(L1479,"")),"",Q1479-L1479)</f>
        <v/>
      </c>
      <c r="T1479" s="54"/>
      <c r="U1479" s="54"/>
      <c r="V1479" s="54"/>
      <c r="W1479" s="54"/>
      <c r="X1479" s="69" t="str">
        <f t="shared" si="96"/>
        <v>D</v>
      </c>
    </row>
    <row r="1480" spans="1:24" s="66" customFormat="1" x14ac:dyDescent="0.25">
      <c r="A1480" s="51"/>
      <c r="B1480" s="91" t="str">
        <f>IFERROR(VLOOKUP(A1480,Lookup!A:B,2,0),"")</f>
        <v/>
      </c>
      <c r="C1480" s="92" t="str">
        <f>IFERROR(VLOOKUP(A1480,Lookup!A:C,3,0),"")</f>
        <v/>
      </c>
      <c r="D1480" s="54"/>
      <c r="E1480" s="54"/>
      <c r="F1480" s="54"/>
      <c r="G1480" s="72"/>
      <c r="H1480" s="54"/>
      <c r="I1480" s="54"/>
      <c r="J1480" s="106">
        <f>VLOOKUP(A1480&amp;G1480,Lookup!J:N,5,0)</f>
        <v>0</v>
      </c>
      <c r="K1480" s="115"/>
      <c r="L1480" s="54"/>
      <c r="M1480" s="54"/>
      <c r="N1480" s="54"/>
      <c r="O1480" s="112">
        <v>61.3923611111111</v>
      </c>
      <c r="P1480" s="110" t="str">
        <f t="shared" si="95"/>
        <v/>
      </c>
      <c r="Q1480" s="54"/>
      <c r="R1480" s="58"/>
      <c r="S1480" s="87" t="str">
        <f t="shared" si="97"/>
        <v/>
      </c>
      <c r="T1480" s="54"/>
      <c r="U1480" s="54"/>
      <c r="V1480" s="54"/>
      <c r="W1480" s="54"/>
      <c r="X1480" s="69" t="str">
        <f t="shared" si="96"/>
        <v>D</v>
      </c>
    </row>
    <row r="1481" spans="1:24" s="66" customFormat="1" x14ac:dyDescent="0.25">
      <c r="A1481" s="51"/>
      <c r="B1481" s="91" t="str">
        <f>IFERROR(VLOOKUP(A1481,Lookup!A:B,2,0),"")</f>
        <v/>
      </c>
      <c r="C1481" s="92" t="str">
        <f>IFERROR(VLOOKUP(A1481,Lookup!A:C,3,0),"")</f>
        <v/>
      </c>
      <c r="D1481" s="54"/>
      <c r="E1481" s="54"/>
      <c r="F1481" s="54"/>
      <c r="G1481" s="72"/>
      <c r="H1481" s="54"/>
      <c r="I1481" s="54"/>
      <c r="J1481" s="106">
        <f>VLOOKUP(A1481&amp;G1481,Lookup!J:N,5,0)</f>
        <v>0</v>
      </c>
      <c r="K1481" s="115"/>
      <c r="L1481" s="54"/>
      <c r="M1481" s="54"/>
      <c r="N1481" s="54"/>
      <c r="O1481" s="112">
        <v>61.4340277777778</v>
      </c>
      <c r="P1481" s="110" t="str">
        <f t="shared" si="95"/>
        <v/>
      </c>
      <c r="Q1481" s="54"/>
      <c r="R1481" s="58"/>
      <c r="S1481" s="87" t="str">
        <f t="shared" si="97"/>
        <v/>
      </c>
      <c r="T1481" s="54"/>
      <c r="U1481" s="54"/>
      <c r="V1481" s="54"/>
      <c r="W1481" s="54"/>
      <c r="X1481" s="69" t="str">
        <f t="shared" si="96"/>
        <v>D</v>
      </c>
    </row>
    <row r="1482" spans="1:24" s="66" customFormat="1" x14ac:dyDescent="0.25">
      <c r="A1482" s="51"/>
      <c r="B1482" s="91" t="str">
        <f>IFERROR(VLOOKUP(A1482,Lookup!A:B,2,0),"")</f>
        <v/>
      </c>
      <c r="C1482" s="92" t="str">
        <f>IFERROR(VLOOKUP(A1482,Lookup!A:C,3,0),"")</f>
        <v/>
      </c>
      <c r="D1482" s="54"/>
      <c r="E1482" s="54"/>
      <c r="F1482" s="54"/>
      <c r="G1482" s="72"/>
      <c r="H1482" s="54"/>
      <c r="I1482" s="54"/>
      <c r="J1482" s="106">
        <f>VLOOKUP(A1482&amp;G1482,Lookup!J:N,5,0)</f>
        <v>0</v>
      </c>
      <c r="K1482" s="115"/>
      <c r="L1482" s="54"/>
      <c r="M1482" s="54"/>
      <c r="N1482" s="54"/>
      <c r="O1482" s="112">
        <v>61.4756944444444</v>
      </c>
      <c r="P1482" s="110" t="str">
        <f t="shared" si="95"/>
        <v/>
      </c>
      <c r="Q1482" s="54"/>
      <c r="R1482" s="58"/>
      <c r="S1482" s="87" t="str">
        <f t="shared" si="97"/>
        <v/>
      </c>
      <c r="T1482" s="54"/>
      <c r="U1482" s="54"/>
      <c r="V1482" s="54"/>
      <c r="W1482" s="54"/>
      <c r="X1482" s="69" t="str">
        <f t="shared" si="96"/>
        <v>D</v>
      </c>
    </row>
    <row r="1483" spans="1:24" s="66" customFormat="1" x14ac:dyDescent="0.25">
      <c r="A1483" s="51"/>
      <c r="B1483" s="91" t="str">
        <f>IFERROR(VLOOKUP(A1483,Lookup!A:B,2,0),"")</f>
        <v/>
      </c>
      <c r="C1483" s="92" t="str">
        <f>IFERROR(VLOOKUP(A1483,Lookup!A:C,3,0),"")</f>
        <v/>
      </c>
      <c r="D1483" s="54"/>
      <c r="E1483" s="54"/>
      <c r="F1483" s="54"/>
      <c r="G1483" s="72"/>
      <c r="H1483" s="54"/>
      <c r="I1483" s="54"/>
      <c r="J1483" s="106">
        <f>VLOOKUP(A1483&amp;G1483,Lookup!J:N,5,0)</f>
        <v>0</v>
      </c>
      <c r="K1483" s="115"/>
      <c r="L1483" s="54"/>
      <c r="M1483" s="54"/>
      <c r="N1483" s="54"/>
      <c r="O1483" s="112">
        <v>61.5173611111111</v>
      </c>
      <c r="P1483" s="110" t="str">
        <f t="shared" si="95"/>
        <v/>
      </c>
      <c r="Q1483" s="54"/>
      <c r="R1483" s="58"/>
      <c r="S1483" s="87" t="str">
        <f t="shared" si="97"/>
        <v/>
      </c>
      <c r="T1483" s="54"/>
      <c r="U1483" s="54"/>
      <c r="V1483" s="54"/>
      <c r="W1483" s="54"/>
      <c r="X1483" s="69" t="str">
        <f t="shared" si="96"/>
        <v>D</v>
      </c>
    </row>
    <row r="1484" spans="1:24" s="66" customFormat="1" x14ac:dyDescent="0.25">
      <c r="A1484" s="51"/>
      <c r="B1484" s="91" t="str">
        <f>IFERROR(VLOOKUP(A1484,Lookup!A:B,2,0),"")</f>
        <v/>
      </c>
      <c r="C1484" s="92" t="str">
        <f>IFERROR(VLOOKUP(A1484,Lookup!A:C,3,0),"")</f>
        <v/>
      </c>
      <c r="D1484" s="54"/>
      <c r="E1484" s="54"/>
      <c r="F1484" s="54"/>
      <c r="G1484" s="72"/>
      <c r="H1484" s="54"/>
      <c r="I1484" s="54"/>
      <c r="J1484" s="106">
        <f>VLOOKUP(A1484&amp;G1484,Lookup!J:N,5,0)</f>
        <v>0</v>
      </c>
      <c r="K1484" s="115"/>
      <c r="L1484" s="54"/>
      <c r="M1484" s="54"/>
      <c r="N1484" s="54"/>
      <c r="O1484" s="112">
        <v>61.5590277777778</v>
      </c>
      <c r="P1484" s="110" t="str">
        <f t="shared" si="95"/>
        <v/>
      </c>
      <c r="Q1484" s="54"/>
      <c r="R1484" s="58"/>
      <c r="S1484" s="87" t="str">
        <f t="shared" si="97"/>
        <v/>
      </c>
      <c r="T1484" s="54"/>
      <c r="U1484" s="54"/>
      <c r="V1484" s="54"/>
      <c r="W1484" s="54"/>
      <c r="X1484" s="69" t="str">
        <f t="shared" si="96"/>
        <v>D</v>
      </c>
    </row>
    <row r="1485" spans="1:24" s="66" customFormat="1" x14ac:dyDescent="0.25">
      <c r="A1485" s="51"/>
      <c r="B1485" s="91" t="str">
        <f>IFERROR(VLOOKUP(A1485,Lookup!A:B,2,0),"")</f>
        <v/>
      </c>
      <c r="C1485" s="92" t="str">
        <f>IFERROR(VLOOKUP(A1485,Lookup!A:C,3,0),"")</f>
        <v/>
      </c>
      <c r="D1485" s="54"/>
      <c r="E1485" s="54"/>
      <c r="F1485" s="54"/>
      <c r="G1485" s="72"/>
      <c r="H1485" s="54"/>
      <c r="I1485" s="54"/>
      <c r="J1485" s="106">
        <f>VLOOKUP(A1485&amp;G1485,Lookup!J:N,5,0)</f>
        <v>0</v>
      </c>
      <c r="K1485" s="115"/>
      <c r="L1485" s="54"/>
      <c r="M1485" s="54"/>
      <c r="N1485" s="54"/>
      <c r="O1485" s="112">
        <v>61.6006944444444</v>
      </c>
      <c r="P1485" s="110" t="str">
        <f t="shared" si="95"/>
        <v/>
      </c>
      <c r="Q1485" s="54"/>
      <c r="R1485" s="58"/>
      <c r="S1485" s="87" t="str">
        <f t="shared" si="97"/>
        <v/>
      </c>
      <c r="T1485" s="54"/>
      <c r="U1485" s="54"/>
      <c r="V1485" s="54"/>
      <c r="W1485" s="54"/>
      <c r="X1485" s="69" t="str">
        <f t="shared" si="96"/>
        <v>D</v>
      </c>
    </row>
    <row r="1486" spans="1:24" s="66" customFormat="1" x14ac:dyDescent="0.25">
      <c r="A1486" s="51"/>
      <c r="B1486" s="91" t="str">
        <f>IFERROR(VLOOKUP(A1486,Lookup!A:B,2,0),"")</f>
        <v/>
      </c>
      <c r="C1486" s="92" t="str">
        <f>IFERROR(VLOOKUP(A1486,Lookup!A:C,3,0),"")</f>
        <v/>
      </c>
      <c r="D1486" s="54"/>
      <c r="E1486" s="54"/>
      <c r="F1486" s="54"/>
      <c r="G1486" s="72"/>
      <c r="H1486" s="54"/>
      <c r="I1486" s="54"/>
      <c r="J1486" s="106">
        <f>VLOOKUP(A1486&amp;G1486,Lookup!J:N,5,0)</f>
        <v>0</v>
      </c>
      <c r="K1486" s="115"/>
      <c r="L1486" s="54"/>
      <c r="M1486" s="54"/>
      <c r="N1486" s="54"/>
      <c r="O1486" s="112">
        <v>61.6423611111111</v>
      </c>
      <c r="P1486" s="110" t="str">
        <f t="shared" si="95"/>
        <v/>
      </c>
      <c r="Q1486" s="54"/>
      <c r="R1486" s="58"/>
      <c r="S1486" s="87" t="str">
        <f t="shared" si="97"/>
        <v/>
      </c>
      <c r="T1486" s="54"/>
      <c r="U1486" s="54"/>
      <c r="V1486" s="54"/>
      <c r="W1486" s="54"/>
      <c r="X1486" s="69" t="str">
        <f t="shared" si="96"/>
        <v>D</v>
      </c>
    </row>
    <row r="1487" spans="1:24" s="66" customFormat="1" x14ac:dyDescent="0.25">
      <c r="A1487" s="51"/>
      <c r="B1487" s="91" t="str">
        <f>IFERROR(VLOOKUP(A1487,Lookup!A:B,2,0),"")</f>
        <v/>
      </c>
      <c r="C1487" s="92" t="str">
        <f>IFERROR(VLOOKUP(A1487,Lookup!A:C,3,0),"")</f>
        <v/>
      </c>
      <c r="D1487" s="54"/>
      <c r="E1487" s="54"/>
      <c r="F1487" s="54"/>
      <c r="G1487" s="72"/>
      <c r="H1487" s="54"/>
      <c r="I1487" s="54"/>
      <c r="J1487" s="106">
        <f>VLOOKUP(A1487&amp;G1487,Lookup!J:N,5,0)</f>
        <v>0</v>
      </c>
      <c r="K1487" s="115"/>
      <c r="L1487" s="54"/>
      <c r="M1487" s="54"/>
      <c r="N1487" s="54"/>
      <c r="O1487" s="112">
        <v>61.6840277777778</v>
      </c>
      <c r="P1487" s="110" t="str">
        <f t="shared" si="95"/>
        <v/>
      </c>
      <c r="Q1487" s="54"/>
      <c r="R1487" s="58"/>
      <c r="S1487" s="87" t="str">
        <f t="shared" si="97"/>
        <v/>
      </c>
      <c r="T1487" s="54"/>
      <c r="U1487" s="54"/>
      <c r="V1487" s="54"/>
      <c r="W1487" s="54"/>
      <c r="X1487" s="69" t="str">
        <f t="shared" si="96"/>
        <v>D</v>
      </c>
    </row>
    <row r="1488" spans="1:24" s="66" customFormat="1" x14ac:dyDescent="0.25">
      <c r="A1488" s="51"/>
      <c r="B1488" s="91" t="str">
        <f>IFERROR(VLOOKUP(A1488,Lookup!A:B,2,0),"")</f>
        <v/>
      </c>
      <c r="C1488" s="92" t="str">
        <f>IFERROR(VLOOKUP(A1488,Lookup!A:C,3,0),"")</f>
        <v/>
      </c>
      <c r="D1488" s="54"/>
      <c r="E1488" s="54"/>
      <c r="F1488" s="54"/>
      <c r="G1488" s="72"/>
      <c r="H1488" s="54"/>
      <c r="I1488" s="54"/>
      <c r="J1488" s="106">
        <f>VLOOKUP(A1488&amp;G1488,Lookup!J:N,5,0)</f>
        <v>0</v>
      </c>
      <c r="K1488" s="115"/>
      <c r="L1488" s="54"/>
      <c r="M1488" s="54"/>
      <c r="N1488" s="54"/>
      <c r="O1488" s="112">
        <v>61.7256944444444</v>
      </c>
      <c r="P1488" s="110" t="str">
        <f t="shared" si="95"/>
        <v/>
      </c>
      <c r="Q1488" s="54"/>
      <c r="R1488" s="58"/>
      <c r="S1488" s="87" t="str">
        <f t="shared" si="97"/>
        <v/>
      </c>
      <c r="T1488" s="54"/>
      <c r="U1488" s="54"/>
      <c r="V1488" s="54"/>
      <c r="W1488" s="54"/>
      <c r="X1488" s="69" t="str">
        <f t="shared" si="96"/>
        <v>D</v>
      </c>
    </row>
    <row r="1489" spans="1:24" s="66" customFormat="1" x14ac:dyDescent="0.25">
      <c r="A1489" s="51"/>
      <c r="B1489" s="91" t="str">
        <f>IFERROR(VLOOKUP(A1489,Lookup!A:B,2,0),"")</f>
        <v/>
      </c>
      <c r="C1489" s="92" t="str">
        <f>IFERROR(VLOOKUP(A1489,Lookup!A:C,3,0),"")</f>
        <v/>
      </c>
      <c r="D1489" s="54"/>
      <c r="E1489" s="54"/>
      <c r="F1489" s="54"/>
      <c r="G1489" s="72"/>
      <c r="H1489" s="54"/>
      <c r="I1489" s="54"/>
      <c r="J1489" s="106">
        <f>VLOOKUP(A1489&amp;G1489,Lookup!J:N,5,0)</f>
        <v>0</v>
      </c>
      <c r="K1489" s="115"/>
      <c r="L1489" s="54"/>
      <c r="M1489" s="54"/>
      <c r="N1489" s="54"/>
      <c r="O1489" s="112">
        <v>61.7673611111111</v>
      </c>
      <c r="P1489" s="110" t="str">
        <f t="shared" si="95"/>
        <v/>
      </c>
      <c r="Q1489" s="54"/>
      <c r="R1489" s="58"/>
      <c r="S1489" s="87" t="str">
        <f t="shared" si="97"/>
        <v/>
      </c>
      <c r="T1489" s="54"/>
      <c r="U1489" s="54"/>
      <c r="V1489" s="54"/>
      <c r="W1489" s="54"/>
      <c r="X1489" s="69" t="str">
        <f t="shared" si="96"/>
        <v>D</v>
      </c>
    </row>
    <row r="1490" spans="1:24" s="66" customFormat="1" x14ac:dyDescent="0.25">
      <c r="A1490" s="51"/>
      <c r="B1490" s="91" t="str">
        <f>IFERROR(VLOOKUP(A1490,Lookup!A:B,2,0),"")</f>
        <v/>
      </c>
      <c r="C1490" s="92" t="str">
        <f>IFERROR(VLOOKUP(A1490,Lookup!A:C,3,0),"")</f>
        <v/>
      </c>
      <c r="D1490" s="54"/>
      <c r="E1490" s="54"/>
      <c r="F1490" s="54"/>
      <c r="G1490" s="72"/>
      <c r="H1490" s="54"/>
      <c r="I1490" s="54"/>
      <c r="J1490" s="106">
        <f>VLOOKUP(A1490&amp;G1490,Lookup!J:N,5,0)</f>
        <v>0</v>
      </c>
      <c r="K1490" s="115"/>
      <c r="L1490" s="54"/>
      <c r="M1490" s="54"/>
      <c r="N1490" s="54"/>
      <c r="O1490" s="112">
        <v>61.8090277777778</v>
      </c>
      <c r="P1490" s="110" t="str">
        <f t="shared" si="95"/>
        <v/>
      </c>
      <c r="Q1490" s="54"/>
      <c r="R1490" s="58"/>
      <c r="S1490" s="87" t="str">
        <f t="shared" si="97"/>
        <v/>
      </c>
      <c r="T1490" s="54"/>
      <c r="U1490" s="54"/>
      <c r="V1490" s="54"/>
      <c r="W1490" s="54"/>
      <c r="X1490" s="69" t="str">
        <f t="shared" si="96"/>
        <v>D</v>
      </c>
    </row>
    <row r="1491" spans="1:24" s="66" customFormat="1" x14ac:dyDescent="0.25">
      <c r="A1491" s="51"/>
      <c r="B1491" s="91" t="str">
        <f>IFERROR(VLOOKUP(A1491,Lookup!A:B,2,0),"")</f>
        <v/>
      </c>
      <c r="C1491" s="92" t="str">
        <f>IFERROR(VLOOKUP(A1491,Lookup!A:C,3,0),"")</f>
        <v/>
      </c>
      <c r="D1491" s="54"/>
      <c r="E1491" s="54"/>
      <c r="F1491" s="54"/>
      <c r="G1491" s="72"/>
      <c r="H1491" s="54"/>
      <c r="I1491" s="54"/>
      <c r="J1491" s="106">
        <f>VLOOKUP(A1491&amp;G1491,Lookup!J:N,5,0)</f>
        <v>0</v>
      </c>
      <c r="K1491" s="115"/>
      <c r="L1491" s="54"/>
      <c r="M1491" s="54"/>
      <c r="N1491" s="54"/>
      <c r="O1491" s="112">
        <v>61.8506944444444</v>
      </c>
      <c r="P1491" s="110" t="str">
        <f t="shared" si="95"/>
        <v/>
      </c>
      <c r="Q1491" s="54"/>
      <c r="R1491" s="58"/>
      <c r="S1491" s="87" t="str">
        <f t="shared" si="97"/>
        <v/>
      </c>
      <c r="T1491" s="54"/>
      <c r="U1491" s="54"/>
      <c r="V1491" s="54"/>
      <c r="W1491" s="54"/>
      <c r="X1491" s="69" t="str">
        <f t="shared" si="96"/>
        <v>D</v>
      </c>
    </row>
    <row r="1492" spans="1:24" s="66" customFormat="1" x14ac:dyDescent="0.25">
      <c r="A1492" s="51"/>
      <c r="B1492" s="91" t="str">
        <f>IFERROR(VLOOKUP(A1492,Lookup!A:B,2,0),"")</f>
        <v/>
      </c>
      <c r="C1492" s="92" t="str">
        <f>IFERROR(VLOOKUP(A1492,Lookup!A:C,3,0),"")</f>
        <v/>
      </c>
      <c r="D1492" s="54"/>
      <c r="E1492" s="54"/>
      <c r="F1492" s="54"/>
      <c r="G1492" s="72"/>
      <c r="H1492" s="54"/>
      <c r="I1492" s="54"/>
      <c r="J1492" s="106">
        <f>VLOOKUP(A1492&amp;G1492,Lookup!J:N,5,0)</f>
        <v>0</v>
      </c>
      <c r="K1492" s="115"/>
      <c r="L1492" s="54"/>
      <c r="M1492" s="54"/>
      <c r="N1492" s="54"/>
      <c r="O1492" s="112">
        <v>61.8923611111111</v>
      </c>
      <c r="P1492" s="110" t="str">
        <f t="shared" si="95"/>
        <v/>
      </c>
      <c r="Q1492" s="54"/>
      <c r="R1492" s="58"/>
      <c r="S1492" s="87" t="str">
        <f t="shared" si="97"/>
        <v/>
      </c>
      <c r="T1492" s="54"/>
      <c r="U1492" s="54"/>
      <c r="V1492" s="54"/>
      <c r="W1492" s="54"/>
      <c r="X1492" s="69" t="str">
        <f t="shared" si="96"/>
        <v>D</v>
      </c>
    </row>
    <row r="1493" spans="1:24" s="66" customFormat="1" x14ac:dyDescent="0.25">
      <c r="A1493" s="51"/>
      <c r="B1493" s="91" t="str">
        <f>IFERROR(VLOOKUP(A1493,Lookup!A:B,2,0),"")</f>
        <v/>
      </c>
      <c r="C1493" s="92" t="str">
        <f>IFERROR(VLOOKUP(A1493,Lookup!A:C,3,0),"")</f>
        <v/>
      </c>
      <c r="D1493" s="54"/>
      <c r="E1493" s="54"/>
      <c r="F1493" s="54"/>
      <c r="G1493" s="72"/>
      <c r="H1493" s="54"/>
      <c r="I1493" s="54"/>
      <c r="J1493" s="106">
        <f>VLOOKUP(A1493&amp;G1493,Lookup!J:N,5,0)</f>
        <v>0</v>
      </c>
      <c r="K1493" s="115"/>
      <c r="L1493" s="54"/>
      <c r="M1493" s="54"/>
      <c r="N1493" s="54"/>
      <c r="O1493" s="112">
        <v>61.9340277777778</v>
      </c>
      <c r="P1493" s="110" t="str">
        <f t="shared" si="95"/>
        <v/>
      </c>
      <c r="Q1493" s="54"/>
      <c r="R1493" s="58"/>
      <c r="S1493" s="87" t="str">
        <f t="shared" si="97"/>
        <v/>
      </c>
      <c r="T1493" s="54"/>
      <c r="U1493" s="54"/>
      <c r="V1493" s="54"/>
      <c r="W1493" s="54"/>
      <c r="X1493" s="69" t="str">
        <f t="shared" si="96"/>
        <v>D</v>
      </c>
    </row>
    <row r="1494" spans="1:24" s="66" customFormat="1" x14ac:dyDescent="0.25">
      <c r="A1494" s="51"/>
      <c r="B1494" s="91" t="str">
        <f>IFERROR(VLOOKUP(A1494,Lookup!A:B,2,0),"")</f>
        <v/>
      </c>
      <c r="C1494" s="92" t="str">
        <f>IFERROR(VLOOKUP(A1494,Lookup!A:C,3,0),"")</f>
        <v/>
      </c>
      <c r="D1494" s="54"/>
      <c r="E1494" s="54"/>
      <c r="F1494" s="54"/>
      <c r="G1494" s="72"/>
      <c r="H1494" s="54"/>
      <c r="I1494" s="54"/>
      <c r="J1494" s="106">
        <f>VLOOKUP(A1494&amp;G1494,Lookup!J:N,5,0)</f>
        <v>0</v>
      </c>
      <c r="K1494" s="115"/>
      <c r="L1494" s="54"/>
      <c r="M1494" s="54"/>
      <c r="N1494" s="54"/>
      <c r="O1494" s="112">
        <v>61.9756944444444</v>
      </c>
      <c r="P1494" s="110" t="str">
        <f t="shared" si="95"/>
        <v/>
      </c>
      <c r="Q1494" s="54"/>
      <c r="R1494" s="58"/>
      <c r="S1494" s="87" t="str">
        <f t="shared" si="97"/>
        <v/>
      </c>
      <c r="T1494" s="54"/>
      <c r="U1494" s="54"/>
      <c r="V1494" s="54"/>
      <c r="W1494" s="54"/>
      <c r="X1494" s="69" t="str">
        <f t="shared" si="96"/>
        <v>D</v>
      </c>
    </row>
    <row r="1495" spans="1:24" s="66" customFormat="1" x14ac:dyDescent="0.25">
      <c r="A1495" s="51"/>
      <c r="B1495" s="91" t="str">
        <f>IFERROR(VLOOKUP(A1495,Lookup!A:B,2,0),"")</f>
        <v/>
      </c>
      <c r="C1495" s="92" t="str">
        <f>IFERROR(VLOOKUP(A1495,Lookup!A:C,3,0),"")</f>
        <v/>
      </c>
      <c r="D1495" s="54"/>
      <c r="E1495" s="54"/>
      <c r="F1495" s="54"/>
      <c r="G1495" s="72"/>
      <c r="H1495" s="54"/>
      <c r="I1495" s="54"/>
      <c r="J1495" s="106">
        <f>VLOOKUP(A1495&amp;G1495,Lookup!J:N,5,0)</f>
        <v>0</v>
      </c>
      <c r="K1495" s="115"/>
      <c r="L1495" s="54"/>
      <c r="M1495" s="54"/>
      <c r="N1495" s="54"/>
      <c r="O1495" s="112">
        <v>62.0173611111111</v>
      </c>
      <c r="P1495" s="110" t="str">
        <f t="shared" si="95"/>
        <v/>
      </c>
      <c r="Q1495" s="54"/>
      <c r="R1495" s="58"/>
      <c r="S1495" s="87" t="str">
        <f t="shared" si="97"/>
        <v/>
      </c>
      <c r="T1495" s="54"/>
      <c r="U1495" s="54"/>
      <c r="V1495" s="54"/>
      <c r="W1495" s="54"/>
      <c r="X1495" s="69" t="str">
        <f t="shared" si="96"/>
        <v>D</v>
      </c>
    </row>
    <row r="1496" spans="1:24" s="66" customFormat="1" x14ac:dyDescent="0.25">
      <c r="A1496" s="51"/>
      <c r="B1496" s="91" t="str">
        <f>IFERROR(VLOOKUP(A1496,Lookup!A:B,2,0),"")</f>
        <v/>
      </c>
      <c r="C1496" s="92" t="str">
        <f>IFERROR(VLOOKUP(A1496,Lookup!A:C,3,0),"")</f>
        <v/>
      </c>
      <c r="D1496" s="54"/>
      <c r="E1496" s="54"/>
      <c r="F1496" s="54"/>
      <c r="G1496" s="72"/>
      <c r="H1496" s="54"/>
      <c r="I1496" s="54"/>
      <c r="J1496" s="106">
        <f>VLOOKUP(A1496&amp;G1496,Lookup!J:N,5,0)</f>
        <v>0</v>
      </c>
      <c r="K1496" s="115"/>
      <c r="L1496" s="54"/>
      <c r="M1496" s="54"/>
      <c r="N1496" s="54"/>
      <c r="O1496" s="112">
        <v>62.0590277777778</v>
      </c>
      <c r="P1496" s="110" t="str">
        <f t="shared" si="95"/>
        <v/>
      </c>
      <c r="Q1496" s="54"/>
      <c r="R1496" s="58"/>
      <c r="S1496" s="87" t="str">
        <f t="shared" si="97"/>
        <v/>
      </c>
      <c r="T1496" s="54"/>
      <c r="U1496" s="54"/>
      <c r="V1496" s="54"/>
      <c r="W1496" s="54"/>
      <c r="X1496" s="69" t="str">
        <f t="shared" si="96"/>
        <v>D</v>
      </c>
    </row>
    <row r="1497" spans="1:24" s="66" customFormat="1" x14ac:dyDescent="0.25">
      <c r="A1497" s="51"/>
      <c r="B1497" s="91" t="str">
        <f>IFERROR(VLOOKUP(A1497,Lookup!A:B,2,0),"")</f>
        <v/>
      </c>
      <c r="C1497" s="92" t="str">
        <f>IFERROR(VLOOKUP(A1497,Lookup!A:C,3,0),"")</f>
        <v/>
      </c>
      <c r="D1497" s="54"/>
      <c r="E1497" s="54"/>
      <c r="F1497" s="54"/>
      <c r="G1497" s="72"/>
      <c r="H1497" s="54"/>
      <c r="I1497" s="54"/>
      <c r="J1497" s="106">
        <f>VLOOKUP(A1497&amp;G1497,Lookup!J:N,5,0)</f>
        <v>0</v>
      </c>
      <c r="K1497" s="115"/>
      <c r="L1497" s="54"/>
      <c r="M1497" s="54"/>
      <c r="N1497" s="54"/>
      <c r="O1497" s="112">
        <v>62.1006944444444</v>
      </c>
      <c r="P1497" s="110" t="str">
        <f t="shared" si="95"/>
        <v/>
      </c>
      <c r="Q1497" s="54"/>
      <c r="R1497" s="58"/>
      <c r="S1497" s="87" t="str">
        <f t="shared" si="97"/>
        <v/>
      </c>
      <c r="T1497" s="54"/>
      <c r="U1497" s="54"/>
      <c r="V1497" s="54"/>
      <c r="W1497" s="54"/>
      <c r="X1497" s="69" t="str">
        <f t="shared" si="96"/>
        <v>D</v>
      </c>
    </row>
    <row r="1498" spans="1:24" s="66" customFormat="1" x14ac:dyDescent="0.25">
      <c r="A1498" s="51"/>
      <c r="B1498" s="91" t="str">
        <f>IFERROR(VLOOKUP(A1498,Lookup!A:B,2,0),"")</f>
        <v/>
      </c>
      <c r="C1498" s="92" t="str">
        <f>IFERROR(VLOOKUP(A1498,Lookup!A:C,3,0),"")</f>
        <v/>
      </c>
      <c r="D1498" s="54"/>
      <c r="E1498" s="54"/>
      <c r="F1498" s="54"/>
      <c r="G1498" s="72"/>
      <c r="H1498" s="54"/>
      <c r="I1498" s="54"/>
      <c r="J1498" s="106">
        <f>VLOOKUP(A1498&amp;G1498,Lookup!J:N,5,0)</f>
        <v>0</v>
      </c>
      <c r="K1498" s="115"/>
      <c r="L1498" s="54"/>
      <c r="M1498" s="54"/>
      <c r="N1498" s="54"/>
      <c r="O1498" s="112">
        <v>62.1423611111111</v>
      </c>
      <c r="P1498" s="110" t="str">
        <f t="shared" si="95"/>
        <v/>
      </c>
      <c r="Q1498" s="54"/>
      <c r="R1498" s="58"/>
      <c r="S1498" s="87" t="str">
        <f t="shared" si="97"/>
        <v/>
      </c>
      <c r="T1498" s="54"/>
      <c r="U1498" s="54"/>
      <c r="V1498" s="54"/>
      <c r="W1498" s="54"/>
      <c r="X1498" s="69" t="str">
        <f t="shared" si="96"/>
        <v>D</v>
      </c>
    </row>
    <row r="1499" spans="1:24" s="66" customFormat="1" x14ac:dyDescent="0.25">
      <c r="A1499" s="51"/>
      <c r="B1499" s="91" t="str">
        <f>IFERROR(VLOOKUP(A1499,Lookup!A:B,2,0),"")</f>
        <v/>
      </c>
      <c r="C1499" s="92" t="str">
        <f>IFERROR(VLOOKUP(A1499,Lookup!A:C,3,0),"")</f>
        <v/>
      </c>
      <c r="D1499" s="54"/>
      <c r="E1499" s="54"/>
      <c r="F1499" s="54"/>
      <c r="G1499" s="72"/>
      <c r="H1499" s="54"/>
      <c r="I1499" s="54"/>
      <c r="J1499" s="106">
        <f>VLOOKUP(A1499&amp;G1499,Lookup!J:N,5,0)</f>
        <v>0</v>
      </c>
      <c r="K1499" s="115"/>
      <c r="L1499" s="54"/>
      <c r="M1499" s="54"/>
      <c r="N1499" s="54"/>
      <c r="O1499" s="112">
        <v>62.1840277777778</v>
      </c>
      <c r="P1499" s="110" t="str">
        <f t="shared" si="95"/>
        <v/>
      </c>
      <c r="Q1499" s="54"/>
      <c r="R1499" s="58"/>
      <c r="S1499" s="87" t="str">
        <f t="shared" si="97"/>
        <v/>
      </c>
      <c r="T1499" s="54"/>
      <c r="U1499" s="54"/>
      <c r="V1499" s="54"/>
      <c r="W1499" s="54"/>
      <c r="X1499" s="69" t="str">
        <f t="shared" si="96"/>
        <v>D</v>
      </c>
    </row>
    <row r="1500" spans="1:24" s="66" customFormat="1" x14ac:dyDescent="0.25">
      <c r="A1500" s="51"/>
      <c r="B1500" s="91" t="str">
        <f>IFERROR(VLOOKUP(A1500,Lookup!A:B,2,0),"")</f>
        <v/>
      </c>
      <c r="C1500" s="92" t="str">
        <f>IFERROR(VLOOKUP(A1500,Lookup!A:C,3,0),"")</f>
        <v/>
      </c>
      <c r="D1500" s="54"/>
      <c r="E1500" s="54"/>
      <c r="F1500" s="54"/>
      <c r="G1500" s="72"/>
      <c r="H1500" s="54"/>
      <c r="I1500" s="54"/>
      <c r="J1500" s="106">
        <f>VLOOKUP(A1500&amp;G1500,Lookup!J:N,5,0)</f>
        <v>0</v>
      </c>
      <c r="K1500" s="115"/>
      <c r="L1500" s="54"/>
      <c r="M1500" s="54"/>
      <c r="N1500" s="54"/>
      <c r="O1500" s="112">
        <v>62.2256944444444</v>
      </c>
      <c r="P1500" s="110" t="str">
        <f t="shared" si="95"/>
        <v/>
      </c>
      <c r="Q1500" s="54"/>
      <c r="R1500" s="58"/>
      <c r="S1500" s="87" t="str">
        <f t="shared" si="97"/>
        <v/>
      </c>
      <c r="T1500" s="54"/>
      <c r="U1500" s="54"/>
      <c r="V1500" s="54"/>
      <c r="W1500" s="54"/>
      <c r="X1500" s="69" t="str">
        <f t="shared" si="96"/>
        <v>D</v>
      </c>
    </row>
    <row r="1501" spans="1:24" s="66" customFormat="1" x14ac:dyDescent="0.25">
      <c r="A1501" s="51"/>
      <c r="B1501" s="91" t="str">
        <f>IFERROR(VLOOKUP(A1501,Lookup!A:B,2,0),"")</f>
        <v/>
      </c>
      <c r="C1501" s="92" t="str">
        <f>IFERROR(VLOOKUP(A1501,Lookup!A:C,3,0),"")</f>
        <v/>
      </c>
      <c r="D1501" s="54"/>
      <c r="E1501" s="54"/>
      <c r="F1501" s="54"/>
      <c r="G1501" s="72"/>
      <c r="H1501" s="54"/>
      <c r="I1501" s="54"/>
      <c r="J1501" s="106">
        <f>VLOOKUP(A1501&amp;G1501,Lookup!J:N,5,0)</f>
        <v>0</v>
      </c>
      <c r="K1501" s="115"/>
      <c r="L1501" s="54"/>
      <c r="M1501" s="54"/>
      <c r="N1501" s="54"/>
      <c r="O1501" s="112">
        <v>62.2673611111111</v>
      </c>
      <c r="P1501" s="110" t="str">
        <f t="shared" si="95"/>
        <v/>
      </c>
      <c r="Q1501" s="54"/>
      <c r="R1501" s="58"/>
      <c r="S1501" s="87" t="str">
        <f t="shared" si="97"/>
        <v/>
      </c>
      <c r="T1501" s="54"/>
      <c r="U1501" s="54"/>
      <c r="V1501" s="54"/>
      <c r="W1501" s="54"/>
      <c r="X1501" s="69" t="str">
        <f t="shared" si="96"/>
        <v>D</v>
      </c>
    </row>
    <row r="1502" spans="1:24" s="66" customFormat="1" x14ac:dyDescent="0.25">
      <c r="A1502" s="51"/>
      <c r="B1502" s="91" t="str">
        <f>IFERROR(VLOOKUP(A1502,Lookup!A:B,2,0),"")</f>
        <v/>
      </c>
      <c r="C1502" s="92" t="str">
        <f>IFERROR(VLOOKUP(A1502,Lookup!A:C,3,0),"")</f>
        <v/>
      </c>
      <c r="D1502" s="54"/>
      <c r="E1502" s="54"/>
      <c r="F1502" s="54"/>
      <c r="G1502" s="72"/>
      <c r="H1502" s="54"/>
      <c r="I1502" s="54"/>
      <c r="J1502" s="106">
        <f>VLOOKUP(A1502&amp;G1502,Lookup!J:N,5,0)</f>
        <v>0</v>
      </c>
      <c r="K1502" s="115"/>
      <c r="L1502" s="54"/>
      <c r="M1502" s="54"/>
      <c r="N1502" s="54"/>
      <c r="O1502" s="112">
        <v>62.3090277777778</v>
      </c>
      <c r="P1502" s="110" t="str">
        <f t="shared" si="95"/>
        <v/>
      </c>
      <c r="Q1502" s="54"/>
      <c r="R1502" s="58"/>
      <c r="S1502" s="87" t="str">
        <f t="shared" si="97"/>
        <v/>
      </c>
      <c r="T1502" s="54"/>
      <c r="U1502" s="54"/>
      <c r="V1502" s="54"/>
      <c r="W1502" s="54"/>
      <c r="X1502" s="69" t="str">
        <f t="shared" si="96"/>
        <v>D</v>
      </c>
    </row>
    <row r="1503" spans="1:24" s="66" customFormat="1" x14ac:dyDescent="0.25">
      <c r="A1503" s="51"/>
      <c r="B1503" s="91" t="str">
        <f>IFERROR(VLOOKUP(A1503,Lookup!A:B,2,0),"")</f>
        <v/>
      </c>
      <c r="C1503" s="92" t="str">
        <f>IFERROR(VLOOKUP(A1503,Lookup!A:C,3,0),"")</f>
        <v/>
      </c>
      <c r="D1503" s="54"/>
      <c r="E1503" s="54"/>
      <c r="F1503" s="54"/>
      <c r="G1503" s="72"/>
      <c r="H1503" s="54"/>
      <c r="I1503" s="54"/>
      <c r="J1503" s="106">
        <f>VLOOKUP(A1503&amp;G1503,Lookup!J:N,5,0)</f>
        <v>0</v>
      </c>
      <c r="K1503" s="115"/>
      <c r="L1503" s="54"/>
      <c r="M1503" s="54"/>
      <c r="N1503" s="54"/>
      <c r="O1503" s="112">
        <v>62.3506944444444</v>
      </c>
      <c r="P1503" s="110" t="str">
        <f t="shared" si="95"/>
        <v/>
      </c>
      <c r="Q1503" s="54"/>
      <c r="R1503" s="58"/>
      <c r="S1503" s="87" t="str">
        <f t="shared" si="97"/>
        <v/>
      </c>
      <c r="T1503" s="54"/>
      <c r="U1503" s="54"/>
      <c r="V1503" s="54"/>
      <c r="W1503" s="54"/>
      <c r="X1503" s="69" t="str">
        <f t="shared" si="96"/>
        <v>D</v>
      </c>
    </row>
    <row r="1504" spans="1:24" s="66" customFormat="1" x14ac:dyDescent="0.25">
      <c r="A1504" s="51"/>
      <c r="B1504" s="91" t="str">
        <f>IFERROR(VLOOKUP(A1504,Lookup!A:B,2,0),"")</f>
        <v/>
      </c>
      <c r="C1504" s="92" t="str">
        <f>IFERROR(VLOOKUP(A1504,Lookup!A:C,3,0),"")</f>
        <v/>
      </c>
      <c r="D1504" s="54"/>
      <c r="E1504" s="54"/>
      <c r="F1504" s="54"/>
      <c r="G1504" s="72"/>
      <c r="H1504" s="54"/>
      <c r="I1504" s="54"/>
      <c r="J1504" s="106">
        <f>VLOOKUP(A1504&amp;G1504,Lookup!J:N,5,0)</f>
        <v>0</v>
      </c>
      <c r="K1504" s="115"/>
      <c r="L1504" s="54"/>
      <c r="M1504" s="54"/>
      <c r="N1504" s="54"/>
      <c r="O1504" s="112">
        <v>62.3923611111111</v>
      </c>
      <c r="P1504" s="110" t="str">
        <f t="shared" si="95"/>
        <v/>
      </c>
      <c r="Q1504" s="54"/>
      <c r="R1504" s="58"/>
      <c r="S1504" s="87" t="str">
        <f t="shared" si="97"/>
        <v/>
      </c>
      <c r="T1504" s="54"/>
      <c r="U1504" s="54"/>
      <c r="V1504" s="54"/>
      <c r="W1504" s="54"/>
      <c r="X1504" s="69" t="str">
        <f t="shared" si="96"/>
        <v>D</v>
      </c>
    </row>
    <row r="1505" spans="1:24" s="66" customFormat="1" x14ac:dyDescent="0.25">
      <c r="A1505" s="51"/>
      <c r="B1505" s="91" t="str">
        <f>IFERROR(VLOOKUP(A1505,Lookup!A:B,2,0),"")</f>
        <v/>
      </c>
      <c r="C1505" s="92" t="str">
        <f>IFERROR(VLOOKUP(A1505,Lookup!A:C,3,0),"")</f>
        <v/>
      </c>
      <c r="D1505" s="54"/>
      <c r="E1505" s="54"/>
      <c r="F1505" s="54"/>
      <c r="G1505" s="72"/>
      <c r="H1505" s="54"/>
      <c r="I1505" s="54"/>
      <c r="J1505" s="106">
        <f>VLOOKUP(A1505&amp;G1505,Lookup!J:N,5,0)</f>
        <v>0</v>
      </c>
      <c r="K1505" s="115"/>
      <c r="L1505" s="54"/>
      <c r="M1505" s="54"/>
      <c r="N1505" s="54"/>
      <c r="O1505" s="112">
        <v>62.4340277777778</v>
      </c>
      <c r="P1505" s="110" t="str">
        <f t="shared" si="95"/>
        <v/>
      </c>
      <c r="Q1505" s="54"/>
      <c r="R1505" s="58"/>
      <c r="S1505" s="87" t="str">
        <f t="shared" si="97"/>
        <v/>
      </c>
      <c r="T1505" s="54"/>
      <c r="U1505" s="54"/>
      <c r="V1505" s="54"/>
      <c r="W1505" s="54"/>
      <c r="X1505" s="69" t="str">
        <f t="shared" si="96"/>
        <v>D</v>
      </c>
    </row>
    <row r="1506" spans="1:24" s="66" customFormat="1" x14ac:dyDescent="0.25">
      <c r="A1506" s="51"/>
      <c r="B1506" s="91" t="str">
        <f>IFERROR(VLOOKUP(A1506,Lookup!A:B,2,0),"")</f>
        <v/>
      </c>
      <c r="C1506" s="92" t="str">
        <f>IFERROR(VLOOKUP(A1506,Lookup!A:C,3,0),"")</f>
        <v/>
      </c>
      <c r="D1506" s="54"/>
      <c r="E1506" s="54"/>
      <c r="F1506" s="54"/>
      <c r="G1506" s="72"/>
      <c r="H1506" s="54"/>
      <c r="I1506" s="54"/>
      <c r="J1506" s="106">
        <f>VLOOKUP(A1506&amp;G1506,Lookup!J:N,5,0)</f>
        <v>0</v>
      </c>
      <c r="K1506" s="115"/>
      <c r="L1506" s="54"/>
      <c r="M1506" s="54"/>
      <c r="N1506" s="54"/>
      <c r="O1506" s="112">
        <v>62.4756944444444</v>
      </c>
      <c r="P1506" s="110" t="str">
        <f t="shared" si="95"/>
        <v/>
      </c>
      <c r="Q1506" s="54"/>
      <c r="R1506" s="58"/>
      <c r="S1506" s="87" t="str">
        <f t="shared" si="97"/>
        <v/>
      </c>
      <c r="T1506" s="54"/>
      <c r="U1506" s="54"/>
      <c r="V1506" s="54"/>
      <c r="W1506" s="54"/>
      <c r="X1506" s="69" t="str">
        <f t="shared" si="96"/>
        <v>D</v>
      </c>
    </row>
    <row r="1507" spans="1:24" s="66" customFormat="1" x14ac:dyDescent="0.25">
      <c r="A1507" s="51"/>
      <c r="B1507" s="91" t="str">
        <f>IFERROR(VLOOKUP(A1507,Lookup!A:B,2,0),"")</f>
        <v/>
      </c>
      <c r="C1507" s="92" t="str">
        <f>IFERROR(VLOOKUP(A1507,Lookup!A:C,3,0),"")</f>
        <v/>
      </c>
      <c r="D1507" s="54"/>
      <c r="E1507" s="54"/>
      <c r="F1507" s="54"/>
      <c r="G1507" s="72"/>
      <c r="H1507" s="54"/>
      <c r="I1507" s="54"/>
      <c r="J1507" s="106">
        <f>VLOOKUP(A1507&amp;G1507,Lookup!J:N,5,0)</f>
        <v>0</v>
      </c>
      <c r="K1507" s="115"/>
      <c r="L1507" s="54"/>
      <c r="M1507" s="54"/>
      <c r="N1507" s="54"/>
      <c r="O1507" s="112">
        <v>62.5173611111111</v>
      </c>
      <c r="P1507" s="110" t="str">
        <f t="shared" si="95"/>
        <v/>
      </c>
      <c r="Q1507" s="54"/>
      <c r="R1507" s="58"/>
      <c r="S1507" s="87" t="str">
        <f t="shared" si="97"/>
        <v/>
      </c>
      <c r="T1507" s="54"/>
      <c r="U1507" s="54"/>
      <c r="V1507" s="54"/>
      <c r="W1507" s="54"/>
      <c r="X1507" s="69" t="str">
        <f t="shared" si="96"/>
        <v>D</v>
      </c>
    </row>
    <row r="1508" spans="1:24" s="66" customFormat="1" x14ac:dyDescent="0.25">
      <c r="A1508" s="51"/>
      <c r="B1508" s="91" t="str">
        <f>IFERROR(VLOOKUP(A1508,Lookup!A:B,2,0),"")</f>
        <v/>
      </c>
      <c r="C1508" s="92" t="str">
        <f>IFERROR(VLOOKUP(A1508,Lookup!A:C,3,0),"")</f>
        <v/>
      </c>
      <c r="D1508" s="54"/>
      <c r="E1508" s="54"/>
      <c r="F1508" s="54"/>
      <c r="G1508" s="72"/>
      <c r="H1508" s="54"/>
      <c r="I1508" s="54"/>
      <c r="J1508" s="106">
        <f>VLOOKUP(A1508&amp;G1508,Lookup!J:N,5,0)</f>
        <v>0</v>
      </c>
      <c r="K1508" s="115"/>
      <c r="L1508" s="54"/>
      <c r="M1508" s="54"/>
      <c r="N1508" s="54"/>
      <c r="O1508" s="112">
        <v>62.5590277777778</v>
      </c>
      <c r="P1508" s="110" t="str">
        <f t="shared" si="95"/>
        <v/>
      </c>
      <c r="Q1508" s="54"/>
      <c r="R1508" s="58"/>
      <c r="S1508" s="87" t="str">
        <f t="shared" si="97"/>
        <v/>
      </c>
      <c r="T1508" s="54"/>
      <c r="U1508" s="54"/>
      <c r="V1508" s="54"/>
      <c r="W1508" s="54"/>
      <c r="X1508" s="69" t="str">
        <f t="shared" si="96"/>
        <v>D</v>
      </c>
    </row>
    <row r="1509" spans="1:24" s="66" customFormat="1" x14ac:dyDescent="0.25">
      <c r="A1509" s="51"/>
      <c r="B1509" s="91" t="str">
        <f>IFERROR(VLOOKUP(A1509,Lookup!A:B,2,0),"")</f>
        <v/>
      </c>
      <c r="C1509" s="92" t="str">
        <f>IFERROR(VLOOKUP(A1509,Lookup!A:C,3,0),"")</f>
        <v/>
      </c>
      <c r="D1509" s="54"/>
      <c r="E1509" s="54"/>
      <c r="F1509" s="54"/>
      <c r="G1509" s="72"/>
      <c r="H1509" s="54"/>
      <c r="I1509" s="54"/>
      <c r="J1509" s="106">
        <f>VLOOKUP(A1509&amp;G1509,Lookup!J:N,5,0)</f>
        <v>0</v>
      </c>
      <c r="K1509" s="115"/>
      <c r="L1509" s="54"/>
      <c r="M1509" s="54"/>
      <c r="N1509" s="54"/>
      <c r="O1509" s="112">
        <v>62.6006944444444</v>
      </c>
      <c r="P1509" s="110" t="str">
        <f t="shared" si="95"/>
        <v/>
      </c>
      <c r="Q1509" s="54"/>
      <c r="R1509" s="58"/>
      <c r="S1509" s="87" t="str">
        <f t="shared" si="97"/>
        <v/>
      </c>
      <c r="T1509" s="54"/>
      <c r="U1509" s="54"/>
      <c r="V1509" s="54"/>
      <c r="W1509" s="54"/>
      <c r="X1509" s="69" t="str">
        <f t="shared" si="96"/>
        <v>D</v>
      </c>
    </row>
    <row r="1510" spans="1:24" s="66" customFormat="1" x14ac:dyDescent="0.25">
      <c r="A1510" s="51"/>
      <c r="B1510" s="91" t="str">
        <f>IFERROR(VLOOKUP(A1510,Lookup!A:B,2,0),"")</f>
        <v/>
      </c>
      <c r="C1510" s="92" t="str">
        <f>IFERROR(VLOOKUP(A1510,Lookup!A:C,3,0),"")</f>
        <v/>
      </c>
      <c r="D1510" s="54"/>
      <c r="E1510" s="54"/>
      <c r="F1510" s="54"/>
      <c r="G1510" s="72"/>
      <c r="H1510" s="54"/>
      <c r="I1510" s="54"/>
      <c r="J1510" s="106">
        <f>VLOOKUP(A1510&amp;G1510,Lookup!J:N,5,0)</f>
        <v>0</v>
      </c>
      <c r="K1510" s="115"/>
      <c r="L1510" s="54"/>
      <c r="M1510" s="54"/>
      <c r="N1510" s="54"/>
      <c r="O1510" s="112">
        <v>62.6423611111111</v>
      </c>
      <c r="P1510" s="110" t="str">
        <f t="shared" si="95"/>
        <v/>
      </c>
      <c r="Q1510" s="54"/>
      <c r="R1510" s="58"/>
      <c r="S1510" s="87" t="str">
        <f t="shared" si="97"/>
        <v/>
      </c>
      <c r="T1510" s="54"/>
      <c r="U1510" s="54"/>
      <c r="V1510" s="54"/>
      <c r="W1510" s="54"/>
      <c r="X1510" s="69" t="str">
        <f t="shared" si="96"/>
        <v>D</v>
      </c>
    </row>
    <row r="1511" spans="1:24" s="66" customFormat="1" x14ac:dyDescent="0.25">
      <c r="A1511" s="51"/>
      <c r="B1511" s="91" t="str">
        <f>IFERROR(VLOOKUP(A1511,Lookup!A:B,2,0),"")</f>
        <v/>
      </c>
      <c r="C1511" s="92" t="str">
        <f>IFERROR(VLOOKUP(A1511,Lookup!A:C,3,0),"")</f>
        <v/>
      </c>
      <c r="D1511" s="54"/>
      <c r="E1511" s="54"/>
      <c r="F1511" s="54"/>
      <c r="G1511" s="72"/>
      <c r="H1511" s="54"/>
      <c r="I1511" s="54"/>
      <c r="J1511" s="106">
        <f>VLOOKUP(A1511&amp;G1511,Lookup!J:N,5,0)</f>
        <v>0</v>
      </c>
      <c r="K1511" s="115"/>
      <c r="L1511" s="54"/>
      <c r="M1511" s="54"/>
      <c r="N1511" s="54"/>
      <c r="O1511" s="112">
        <v>62.6840277777778</v>
      </c>
      <c r="P1511" s="110" t="str">
        <f t="shared" si="95"/>
        <v/>
      </c>
      <c r="Q1511" s="54"/>
      <c r="R1511" s="58"/>
      <c r="S1511" s="87" t="str">
        <f t="shared" si="97"/>
        <v/>
      </c>
      <c r="T1511" s="54"/>
      <c r="U1511" s="54"/>
      <c r="V1511" s="54"/>
      <c r="W1511" s="54"/>
      <c r="X1511" s="69" t="str">
        <f t="shared" si="96"/>
        <v>D</v>
      </c>
    </row>
    <row r="1512" spans="1:24" s="66" customFormat="1" x14ac:dyDescent="0.25">
      <c r="A1512" s="51"/>
      <c r="B1512" s="91" t="str">
        <f>IFERROR(VLOOKUP(A1512,Lookup!A:B,2,0),"")</f>
        <v/>
      </c>
      <c r="C1512" s="92" t="str">
        <f>IFERROR(VLOOKUP(A1512,Lookup!A:C,3,0),"")</f>
        <v/>
      </c>
      <c r="D1512" s="54"/>
      <c r="E1512" s="54"/>
      <c r="F1512" s="54"/>
      <c r="G1512" s="72"/>
      <c r="H1512" s="54"/>
      <c r="I1512" s="54"/>
      <c r="J1512" s="106">
        <f>VLOOKUP(A1512&amp;G1512,Lookup!J:N,5,0)</f>
        <v>0</v>
      </c>
      <c r="K1512" s="115"/>
      <c r="L1512" s="54"/>
      <c r="M1512" s="54"/>
      <c r="N1512" s="54"/>
      <c r="O1512" s="112">
        <v>62.7256944444444</v>
      </c>
      <c r="P1512" s="110" t="str">
        <f t="shared" si="95"/>
        <v/>
      </c>
      <c r="Q1512" s="54"/>
      <c r="R1512" s="58"/>
      <c r="S1512" s="87" t="str">
        <f t="shared" si="97"/>
        <v/>
      </c>
      <c r="T1512" s="54"/>
      <c r="U1512" s="54"/>
      <c r="V1512" s="54"/>
      <c r="W1512" s="54"/>
      <c r="X1512" s="69" t="str">
        <f t="shared" si="96"/>
        <v>D</v>
      </c>
    </row>
    <row r="1513" spans="1:24" s="66" customFormat="1" x14ac:dyDescent="0.25">
      <c r="A1513" s="51"/>
      <c r="B1513" s="91" t="str">
        <f>IFERROR(VLOOKUP(A1513,Lookup!A:B,2,0),"")</f>
        <v/>
      </c>
      <c r="C1513" s="92" t="str">
        <f>IFERROR(VLOOKUP(A1513,Lookup!A:C,3,0),"")</f>
        <v/>
      </c>
      <c r="D1513" s="54"/>
      <c r="E1513" s="54"/>
      <c r="F1513" s="54"/>
      <c r="G1513" s="72"/>
      <c r="H1513" s="54"/>
      <c r="I1513" s="54"/>
      <c r="J1513" s="106">
        <f>VLOOKUP(A1513&amp;G1513,Lookup!J:N,5,0)</f>
        <v>0</v>
      </c>
      <c r="K1513" s="115"/>
      <c r="L1513" s="54"/>
      <c r="M1513" s="54"/>
      <c r="N1513" s="54"/>
      <c r="O1513" s="112">
        <v>62.7673611111111</v>
      </c>
      <c r="P1513" s="110" t="str">
        <f t="shared" si="95"/>
        <v/>
      </c>
      <c r="Q1513" s="54"/>
      <c r="R1513" s="58"/>
      <c r="S1513" s="87" t="str">
        <f t="shared" si="97"/>
        <v/>
      </c>
      <c r="T1513" s="54"/>
      <c r="U1513" s="54"/>
      <c r="V1513" s="54"/>
      <c r="W1513" s="54"/>
      <c r="X1513" s="69" t="str">
        <f t="shared" si="96"/>
        <v>D</v>
      </c>
    </row>
    <row r="1514" spans="1:24" s="66" customFormat="1" x14ac:dyDescent="0.25">
      <c r="A1514" s="51"/>
      <c r="B1514" s="91" t="str">
        <f>IFERROR(VLOOKUP(A1514,Lookup!A:B,2,0),"")</f>
        <v/>
      </c>
      <c r="C1514" s="92" t="str">
        <f>IFERROR(VLOOKUP(A1514,Lookup!A:C,3,0),"")</f>
        <v/>
      </c>
      <c r="D1514" s="54"/>
      <c r="E1514" s="54"/>
      <c r="F1514" s="54"/>
      <c r="G1514" s="72"/>
      <c r="H1514" s="54"/>
      <c r="I1514" s="54"/>
      <c r="J1514" s="106">
        <f>VLOOKUP(A1514&amp;G1514,Lookup!J:N,5,0)</f>
        <v>0</v>
      </c>
      <c r="K1514" s="115"/>
      <c r="L1514" s="54"/>
      <c r="M1514" s="54"/>
      <c r="N1514" s="54"/>
      <c r="O1514" s="112">
        <v>62.8090277777778</v>
      </c>
      <c r="P1514" s="110" t="str">
        <f t="shared" si="95"/>
        <v/>
      </c>
      <c r="Q1514" s="54"/>
      <c r="R1514" s="58"/>
      <c r="S1514" s="87" t="str">
        <f t="shared" si="97"/>
        <v/>
      </c>
      <c r="T1514" s="54"/>
      <c r="U1514" s="54"/>
      <c r="V1514" s="54"/>
      <c r="W1514" s="54"/>
      <c r="X1514" s="69" t="str">
        <f t="shared" si="96"/>
        <v>D</v>
      </c>
    </row>
    <row r="1515" spans="1:24" s="66" customFormat="1" x14ac:dyDescent="0.25">
      <c r="A1515" s="51"/>
      <c r="B1515" s="91" t="str">
        <f>IFERROR(VLOOKUP(A1515,Lookup!A:B,2,0),"")</f>
        <v/>
      </c>
      <c r="C1515" s="92" t="str">
        <f>IFERROR(VLOOKUP(A1515,Lookup!A:C,3,0),"")</f>
        <v/>
      </c>
      <c r="D1515" s="54"/>
      <c r="E1515" s="54"/>
      <c r="F1515" s="54"/>
      <c r="G1515" s="72"/>
      <c r="H1515" s="54"/>
      <c r="I1515" s="54"/>
      <c r="J1515" s="106">
        <f>VLOOKUP(A1515&amp;G1515,Lookup!J:N,5,0)</f>
        <v>0</v>
      </c>
      <c r="K1515" s="115"/>
      <c r="L1515" s="54"/>
      <c r="M1515" s="54"/>
      <c r="N1515" s="54"/>
      <c r="O1515" s="112">
        <v>62.8506944444444</v>
      </c>
      <c r="P1515" s="110" t="str">
        <f t="shared" si="95"/>
        <v/>
      </c>
      <c r="Q1515" s="54"/>
      <c r="R1515" s="58"/>
      <c r="S1515" s="87" t="str">
        <f t="shared" si="97"/>
        <v/>
      </c>
      <c r="T1515" s="54"/>
      <c r="U1515" s="54"/>
      <c r="V1515" s="54"/>
      <c r="W1515" s="54"/>
      <c r="X1515" s="69" t="str">
        <f t="shared" si="96"/>
        <v>D</v>
      </c>
    </row>
    <row r="1516" spans="1:24" s="66" customFormat="1" x14ac:dyDescent="0.25">
      <c r="A1516" s="51"/>
      <c r="B1516" s="91" t="str">
        <f>IFERROR(VLOOKUP(A1516,Lookup!A:B,2,0),"")</f>
        <v/>
      </c>
      <c r="C1516" s="92" t="str">
        <f>IFERROR(VLOOKUP(A1516,Lookup!A:C,3,0),"")</f>
        <v/>
      </c>
      <c r="D1516" s="54"/>
      <c r="E1516" s="54"/>
      <c r="F1516" s="54"/>
      <c r="G1516" s="72"/>
      <c r="H1516" s="54"/>
      <c r="I1516" s="54"/>
      <c r="J1516" s="106">
        <f>VLOOKUP(A1516&amp;G1516,Lookup!J:N,5,0)</f>
        <v>0</v>
      </c>
      <c r="K1516" s="115"/>
      <c r="L1516" s="54"/>
      <c r="M1516" s="54"/>
      <c r="N1516" s="54"/>
      <c r="O1516" s="112">
        <v>62.8923611111111</v>
      </c>
      <c r="P1516" s="110" t="str">
        <f t="shared" si="95"/>
        <v/>
      </c>
      <c r="Q1516" s="54"/>
      <c r="R1516" s="58"/>
      <c r="S1516" s="87" t="str">
        <f t="shared" si="97"/>
        <v/>
      </c>
      <c r="T1516" s="54"/>
      <c r="U1516" s="54"/>
      <c r="V1516" s="54"/>
      <c r="W1516" s="54"/>
      <c r="X1516" s="69" t="str">
        <f t="shared" si="96"/>
        <v>D</v>
      </c>
    </row>
    <row r="1517" spans="1:24" s="66" customFormat="1" x14ac:dyDescent="0.25">
      <c r="A1517" s="51"/>
      <c r="B1517" s="91" t="str">
        <f>IFERROR(VLOOKUP(A1517,Lookup!A:B,2,0),"")</f>
        <v/>
      </c>
      <c r="C1517" s="92" t="str">
        <f>IFERROR(VLOOKUP(A1517,Lookup!A:C,3,0),"")</f>
        <v/>
      </c>
      <c r="D1517" s="54"/>
      <c r="E1517" s="54"/>
      <c r="F1517" s="54"/>
      <c r="G1517" s="72"/>
      <c r="H1517" s="54"/>
      <c r="I1517" s="54"/>
      <c r="J1517" s="106">
        <f>VLOOKUP(A1517&amp;G1517,Lookup!J:N,5,0)</f>
        <v>0</v>
      </c>
      <c r="K1517" s="115"/>
      <c r="L1517" s="54"/>
      <c r="M1517" s="54"/>
      <c r="N1517" s="54"/>
      <c r="O1517" s="112">
        <v>62.9340277777778</v>
      </c>
      <c r="P1517" s="110" t="str">
        <f t="shared" si="95"/>
        <v/>
      </c>
      <c r="Q1517" s="54"/>
      <c r="R1517" s="58"/>
      <c r="S1517" s="87" t="str">
        <f t="shared" si="97"/>
        <v/>
      </c>
      <c r="T1517" s="54"/>
      <c r="U1517" s="54"/>
      <c r="V1517" s="54"/>
      <c r="W1517" s="54"/>
      <c r="X1517" s="69" t="str">
        <f t="shared" si="96"/>
        <v>D</v>
      </c>
    </row>
    <row r="1518" spans="1:24" s="66" customFormat="1" x14ac:dyDescent="0.25">
      <c r="A1518" s="51"/>
      <c r="B1518" s="91" t="str">
        <f>IFERROR(VLOOKUP(A1518,Lookup!A:B,2,0),"")</f>
        <v/>
      </c>
      <c r="C1518" s="92" t="str">
        <f>IFERROR(VLOOKUP(A1518,Lookup!A:C,3,0),"")</f>
        <v/>
      </c>
      <c r="D1518" s="54"/>
      <c r="E1518" s="54"/>
      <c r="F1518" s="54"/>
      <c r="G1518" s="72"/>
      <c r="H1518" s="54"/>
      <c r="I1518" s="54"/>
      <c r="J1518" s="106">
        <f>VLOOKUP(A1518&amp;G1518,Lookup!J:N,5,0)</f>
        <v>0</v>
      </c>
      <c r="K1518" s="115"/>
      <c r="L1518" s="54"/>
      <c r="M1518" s="54"/>
      <c r="N1518" s="54"/>
      <c r="O1518" s="112">
        <v>62.9756944444444</v>
      </c>
      <c r="P1518" s="110" t="str">
        <f t="shared" si="95"/>
        <v/>
      </c>
      <c r="Q1518" s="54"/>
      <c r="R1518" s="58"/>
      <c r="S1518" s="87" t="str">
        <f t="shared" si="97"/>
        <v/>
      </c>
      <c r="T1518" s="54"/>
      <c r="U1518" s="54"/>
      <c r="V1518" s="54"/>
      <c r="W1518" s="54"/>
      <c r="X1518" s="69" t="str">
        <f t="shared" si="96"/>
        <v>D</v>
      </c>
    </row>
    <row r="1519" spans="1:24" s="66" customFormat="1" x14ac:dyDescent="0.25">
      <c r="A1519" s="51"/>
      <c r="B1519" s="91" t="str">
        <f>IFERROR(VLOOKUP(A1519,Lookup!A:B,2,0),"")</f>
        <v/>
      </c>
      <c r="C1519" s="92" t="str">
        <f>IFERROR(VLOOKUP(A1519,Lookup!A:C,3,0),"")</f>
        <v/>
      </c>
      <c r="D1519" s="54"/>
      <c r="E1519" s="54"/>
      <c r="F1519" s="54"/>
      <c r="G1519" s="72"/>
      <c r="H1519" s="54"/>
      <c r="I1519" s="54"/>
      <c r="J1519" s="106">
        <f>VLOOKUP(A1519&amp;G1519,Lookup!J:N,5,0)</f>
        <v>0</v>
      </c>
      <c r="K1519" s="115"/>
      <c r="L1519" s="54"/>
      <c r="M1519" s="54"/>
      <c r="N1519" s="54"/>
      <c r="O1519" s="112">
        <v>63.0173611111111</v>
      </c>
      <c r="P1519" s="110" t="str">
        <f t="shared" si="95"/>
        <v/>
      </c>
      <c r="Q1519" s="54"/>
      <c r="R1519" s="58"/>
      <c r="S1519" s="87" t="str">
        <f t="shared" si="97"/>
        <v/>
      </c>
      <c r="T1519" s="54"/>
      <c r="U1519" s="54"/>
      <c r="V1519" s="54"/>
      <c r="W1519" s="54"/>
      <c r="X1519" s="69" t="str">
        <f t="shared" si="96"/>
        <v>D</v>
      </c>
    </row>
    <row r="1520" spans="1:24" s="66" customFormat="1" x14ac:dyDescent="0.25">
      <c r="A1520" s="51"/>
      <c r="B1520" s="91" t="str">
        <f>IFERROR(VLOOKUP(A1520,Lookup!A:B,2,0),"")</f>
        <v/>
      </c>
      <c r="C1520" s="92" t="str">
        <f>IFERROR(VLOOKUP(A1520,Lookup!A:C,3,0),"")</f>
        <v/>
      </c>
      <c r="D1520" s="54"/>
      <c r="E1520" s="54"/>
      <c r="F1520" s="54"/>
      <c r="G1520" s="72"/>
      <c r="H1520" s="54"/>
      <c r="I1520" s="54"/>
      <c r="J1520" s="106">
        <f>VLOOKUP(A1520&amp;G1520,Lookup!J:N,5,0)</f>
        <v>0</v>
      </c>
      <c r="K1520" s="115"/>
      <c r="L1520" s="54"/>
      <c r="M1520" s="54"/>
      <c r="N1520" s="54"/>
      <c r="O1520" s="112">
        <v>63.0590277777778</v>
      </c>
      <c r="P1520" s="110" t="str">
        <f t="shared" si="95"/>
        <v/>
      </c>
      <c r="Q1520" s="54"/>
      <c r="R1520" s="58"/>
      <c r="S1520" s="87" t="str">
        <f t="shared" si="97"/>
        <v/>
      </c>
      <c r="T1520" s="54"/>
      <c r="U1520" s="54"/>
      <c r="V1520" s="54"/>
      <c r="W1520" s="54"/>
      <c r="X1520" s="69" t="str">
        <f t="shared" si="96"/>
        <v>D</v>
      </c>
    </row>
    <row r="1521" spans="1:24" s="66" customFormat="1" x14ac:dyDescent="0.25">
      <c r="A1521" s="51"/>
      <c r="B1521" s="91" t="str">
        <f>IFERROR(VLOOKUP(A1521,Lookup!A:B,2,0),"")</f>
        <v/>
      </c>
      <c r="C1521" s="92" t="str">
        <f>IFERROR(VLOOKUP(A1521,Lookup!A:C,3,0),"")</f>
        <v/>
      </c>
      <c r="D1521" s="54"/>
      <c r="E1521" s="54"/>
      <c r="F1521" s="54"/>
      <c r="G1521" s="72"/>
      <c r="H1521" s="54"/>
      <c r="I1521" s="54"/>
      <c r="J1521" s="106">
        <f>VLOOKUP(A1521&amp;G1521,Lookup!J:N,5,0)</f>
        <v>0</v>
      </c>
      <c r="K1521" s="115"/>
      <c r="L1521" s="54"/>
      <c r="M1521" s="54"/>
      <c r="N1521" s="54"/>
      <c r="O1521" s="112">
        <v>63.1006944444444</v>
      </c>
      <c r="P1521" s="110" t="str">
        <f t="shared" si="95"/>
        <v/>
      </c>
      <c r="Q1521" s="54"/>
      <c r="R1521" s="58"/>
      <c r="S1521" s="87" t="str">
        <f t="shared" si="97"/>
        <v/>
      </c>
      <c r="T1521" s="54"/>
      <c r="U1521" s="54"/>
      <c r="V1521" s="54"/>
      <c r="W1521" s="54"/>
      <c r="X1521" s="69" t="str">
        <f t="shared" si="96"/>
        <v>D</v>
      </c>
    </row>
    <row r="1522" spans="1:24" s="66" customFormat="1" x14ac:dyDescent="0.25">
      <c r="A1522" s="51"/>
      <c r="B1522" s="91" t="str">
        <f>IFERROR(VLOOKUP(A1522,Lookup!A:B,2,0),"")</f>
        <v/>
      </c>
      <c r="C1522" s="92" t="str">
        <f>IFERROR(VLOOKUP(A1522,Lookup!A:C,3,0),"")</f>
        <v/>
      </c>
      <c r="D1522" s="54"/>
      <c r="E1522" s="54"/>
      <c r="F1522" s="54"/>
      <c r="G1522" s="72"/>
      <c r="H1522" s="54"/>
      <c r="I1522" s="54"/>
      <c r="J1522" s="106">
        <f>VLOOKUP(A1522&amp;G1522,Lookup!J:N,5,0)</f>
        <v>0</v>
      </c>
      <c r="K1522" s="115"/>
      <c r="L1522" s="54"/>
      <c r="M1522" s="54"/>
      <c r="N1522" s="54"/>
      <c r="O1522" s="112">
        <v>63.1423611111111</v>
      </c>
      <c r="P1522" s="110" t="str">
        <f t="shared" si="95"/>
        <v/>
      </c>
      <c r="Q1522" s="54"/>
      <c r="R1522" s="58"/>
      <c r="S1522" s="87" t="str">
        <f t="shared" si="97"/>
        <v/>
      </c>
      <c r="T1522" s="54"/>
      <c r="U1522" s="54"/>
      <c r="V1522" s="54"/>
      <c r="W1522" s="54"/>
      <c r="X1522" s="69" t="str">
        <f t="shared" si="96"/>
        <v>D</v>
      </c>
    </row>
    <row r="1523" spans="1:24" s="66" customFormat="1" x14ac:dyDescent="0.25">
      <c r="A1523" s="51"/>
      <c r="B1523" s="91" t="str">
        <f>IFERROR(VLOOKUP(A1523,Lookup!A:B,2,0),"")</f>
        <v/>
      </c>
      <c r="C1523" s="92" t="str">
        <f>IFERROR(VLOOKUP(A1523,Lookup!A:C,3,0),"")</f>
        <v/>
      </c>
      <c r="D1523" s="54"/>
      <c r="E1523" s="54"/>
      <c r="F1523" s="54"/>
      <c r="G1523" s="72"/>
      <c r="H1523" s="54"/>
      <c r="I1523" s="54"/>
      <c r="J1523" s="106">
        <f>VLOOKUP(A1523&amp;G1523,Lookup!J:N,5,0)</f>
        <v>0</v>
      </c>
      <c r="K1523" s="115"/>
      <c r="L1523" s="54"/>
      <c r="M1523" s="54"/>
      <c r="N1523" s="54"/>
      <c r="O1523" s="112">
        <v>63.1840277777778</v>
      </c>
      <c r="P1523" s="110" t="str">
        <f t="shared" si="95"/>
        <v/>
      </c>
      <c r="Q1523" s="54"/>
      <c r="R1523" s="58"/>
      <c r="S1523" s="87" t="str">
        <f t="shared" si="97"/>
        <v/>
      </c>
      <c r="T1523" s="54"/>
      <c r="U1523" s="54"/>
      <c r="V1523" s="54"/>
      <c r="W1523" s="54"/>
      <c r="X1523" s="69" t="str">
        <f t="shared" si="96"/>
        <v>D</v>
      </c>
    </row>
    <row r="1524" spans="1:24" s="66" customFormat="1" x14ac:dyDescent="0.25">
      <c r="A1524" s="51"/>
      <c r="B1524" s="91" t="str">
        <f>IFERROR(VLOOKUP(A1524,Lookup!A:B,2,0),"")</f>
        <v/>
      </c>
      <c r="C1524" s="92" t="str">
        <f>IFERROR(VLOOKUP(A1524,Lookup!A:C,3,0),"")</f>
        <v/>
      </c>
      <c r="D1524" s="54"/>
      <c r="E1524" s="54"/>
      <c r="F1524" s="54"/>
      <c r="G1524" s="72"/>
      <c r="H1524" s="54"/>
      <c r="I1524" s="54"/>
      <c r="J1524" s="106">
        <f>VLOOKUP(A1524&amp;G1524,Lookup!J:N,5,0)</f>
        <v>0</v>
      </c>
      <c r="K1524" s="115"/>
      <c r="L1524" s="54"/>
      <c r="M1524" s="54"/>
      <c r="N1524" s="54"/>
      <c r="O1524" s="112">
        <v>63.2256944444444</v>
      </c>
      <c r="P1524" s="110" t="str">
        <f t="shared" si="95"/>
        <v/>
      </c>
      <c r="Q1524" s="54"/>
      <c r="R1524" s="58"/>
      <c r="S1524" s="87" t="str">
        <f t="shared" si="97"/>
        <v/>
      </c>
      <c r="T1524" s="54"/>
      <c r="U1524" s="54"/>
      <c r="V1524" s="54"/>
      <c r="W1524" s="54"/>
      <c r="X1524" s="69" t="str">
        <f t="shared" si="96"/>
        <v>D</v>
      </c>
    </row>
    <row r="1525" spans="1:24" s="66" customFormat="1" x14ac:dyDescent="0.25">
      <c r="A1525" s="51"/>
      <c r="B1525" s="91" t="str">
        <f>IFERROR(VLOOKUP(A1525,Lookup!A:B,2,0),"")</f>
        <v/>
      </c>
      <c r="C1525" s="92" t="str">
        <f>IFERROR(VLOOKUP(A1525,Lookup!A:C,3,0),"")</f>
        <v/>
      </c>
      <c r="D1525" s="54"/>
      <c r="E1525" s="54"/>
      <c r="F1525" s="54"/>
      <c r="G1525" s="72"/>
      <c r="H1525" s="54"/>
      <c r="I1525" s="54"/>
      <c r="J1525" s="106">
        <f>VLOOKUP(A1525&amp;G1525,Lookup!J:N,5,0)</f>
        <v>0</v>
      </c>
      <c r="K1525" s="115"/>
      <c r="L1525" s="54"/>
      <c r="M1525" s="54"/>
      <c r="N1525" s="54"/>
      <c r="O1525" s="112">
        <v>63.2673611111111</v>
      </c>
      <c r="P1525" s="110" t="str">
        <f t="shared" si="95"/>
        <v/>
      </c>
      <c r="Q1525" s="54"/>
      <c r="R1525" s="58"/>
      <c r="S1525" s="87" t="str">
        <f t="shared" si="97"/>
        <v/>
      </c>
      <c r="T1525" s="54"/>
      <c r="U1525" s="54"/>
      <c r="V1525" s="54"/>
      <c r="W1525" s="54"/>
      <c r="X1525" s="69" t="str">
        <f t="shared" si="96"/>
        <v>D</v>
      </c>
    </row>
    <row r="1526" spans="1:24" s="66" customFormat="1" x14ac:dyDescent="0.25">
      <c r="A1526" s="51"/>
      <c r="B1526" s="91" t="str">
        <f>IFERROR(VLOOKUP(A1526,Lookup!A:B,2,0),"")</f>
        <v/>
      </c>
      <c r="C1526" s="92" t="str">
        <f>IFERROR(VLOOKUP(A1526,Lookup!A:C,3,0),"")</f>
        <v/>
      </c>
      <c r="D1526" s="54"/>
      <c r="E1526" s="54"/>
      <c r="F1526" s="54"/>
      <c r="G1526" s="72"/>
      <c r="H1526" s="54"/>
      <c r="I1526" s="54"/>
      <c r="J1526" s="106">
        <f>VLOOKUP(A1526&amp;G1526,Lookup!J:N,5,0)</f>
        <v>0</v>
      </c>
      <c r="K1526" s="115"/>
      <c r="L1526" s="54"/>
      <c r="M1526" s="54"/>
      <c r="N1526" s="54"/>
      <c r="O1526" s="112">
        <v>63.3090277777778</v>
      </c>
      <c r="P1526" s="110" t="str">
        <f t="shared" si="95"/>
        <v/>
      </c>
      <c r="Q1526" s="54"/>
      <c r="R1526" s="58"/>
      <c r="S1526" s="87" t="str">
        <f t="shared" si="97"/>
        <v/>
      </c>
      <c r="T1526" s="54"/>
      <c r="U1526" s="54"/>
      <c r="V1526" s="54"/>
      <c r="W1526" s="54"/>
      <c r="X1526" s="69" t="str">
        <f t="shared" si="96"/>
        <v>D</v>
      </c>
    </row>
    <row r="1527" spans="1:24" s="66" customFormat="1" x14ac:dyDescent="0.25">
      <c r="A1527" s="51"/>
      <c r="B1527" s="91" t="str">
        <f>IFERROR(VLOOKUP(A1527,Lookup!A:B,2,0),"")</f>
        <v/>
      </c>
      <c r="C1527" s="92" t="str">
        <f>IFERROR(VLOOKUP(A1527,Lookup!A:C,3,0),"")</f>
        <v/>
      </c>
      <c r="D1527" s="54"/>
      <c r="E1527" s="54"/>
      <c r="F1527" s="54"/>
      <c r="G1527" s="72"/>
      <c r="H1527" s="54"/>
      <c r="I1527" s="54"/>
      <c r="J1527" s="106">
        <f>VLOOKUP(A1527&amp;G1527,Lookup!J:N,5,0)</f>
        <v>0</v>
      </c>
      <c r="K1527" s="115"/>
      <c r="L1527" s="54"/>
      <c r="M1527" s="54"/>
      <c r="N1527" s="54"/>
      <c r="O1527" s="112">
        <v>63.3506944444444</v>
      </c>
      <c r="P1527" s="110" t="str">
        <f t="shared" si="95"/>
        <v/>
      </c>
      <c r="Q1527" s="54"/>
      <c r="R1527" s="58"/>
      <c r="S1527" s="87" t="str">
        <f t="shared" si="97"/>
        <v/>
      </c>
      <c r="T1527" s="54"/>
      <c r="U1527" s="54"/>
      <c r="V1527" s="54"/>
      <c r="W1527" s="54"/>
      <c r="X1527" s="69" t="str">
        <f t="shared" si="96"/>
        <v>D</v>
      </c>
    </row>
    <row r="1528" spans="1:24" s="66" customFormat="1" x14ac:dyDescent="0.25">
      <c r="A1528" s="51"/>
      <c r="B1528" s="91" t="str">
        <f>IFERROR(VLOOKUP(A1528,Lookup!A:B,2,0),"")</f>
        <v/>
      </c>
      <c r="C1528" s="92" t="str">
        <f>IFERROR(VLOOKUP(A1528,Lookup!A:C,3,0),"")</f>
        <v/>
      </c>
      <c r="D1528" s="54"/>
      <c r="E1528" s="54"/>
      <c r="F1528" s="54"/>
      <c r="G1528" s="72"/>
      <c r="H1528" s="54"/>
      <c r="I1528" s="54"/>
      <c r="J1528" s="106">
        <f>VLOOKUP(A1528&amp;G1528,Lookup!J:N,5,0)</f>
        <v>0</v>
      </c>
      <c r="K1528" s="115"/>
      <c r="L1528" s="54"/>
      <c r="M1528" s="54"/>
      <c r="N1528" s="54"/>
      <c r="O1528" s="112">
        <v>63.3923611111111</v>
      </c>
      <c r="P1528" s="110" t="str">
        <f t="shared" si="95"/>
        <v/>
      </c>
      <c r="Q1528" s="54"/>
      <c r="R1528" s="58"/>
      <c r="S1528" s="87" t="str">
        <f t="shared" si="97"/>
        <v/>
      </c>
      <c r="T1528" s="54"/>
      <c r="U1528" s="54"/>
      <c r="V1528" s="54"/>
      <c r="W1528" s="54"/>
      <c r="X1528" s="69" t="str">
        <f t="shared" si="96"/>
        <v>D</v>
      </c>
    </row>
    <row r="1529" spans="1:24" s="66" customFormat="1" x14ac:dyDescent="0.25">
      <c r="A1529" s="51"/>
      <c r="B1529" s="91" t="str">
        <f>IFERROR(VLOOKUP(A1529,Lookup!A:B,2,0),"")</f>
        <v/>
      </c>
      <c r="C1529" s="92" t="str">
        <f>IFERROR(VLOOKUP(A1529,Lookup!A:C,3,0),"")</f>
        <v/>
      </c>
      <c r="D1529" s="54"/>
      <c r="E1529" s="54"/>
      <c r="F1529" s="54"/>
      <c r="G1529" s="72"/>
      <c r="H1529" s="54"/>
      <c r="I1529" s="54"/>
      <c r="J1529" s="106">
        <f>VLOOKUP(A1529&amp;G1529,Lookup!J:N,5,0)</f>
        <v>0</v>
      </c>
      <c r="K1529" s="115"/>
      <c r="L1529" s="54"/>
      <c r="M1529" s="54"/>
      <c r="N1529" s="54"/>
      <c r="O1529" s="112">
        <v>63.4340277777778</v>
      </c>
      <c r="P1529" s="110" t="str">
        <f t="shared" si="95"/>
        <v/>
      </c>
      <c r="Q1529" s="54"/>
      <c r="R1529" s="58"/>
      <c r="S1529" s="87" t="str">
        <f t="shared" si="97"/>
        <v/>
      </c>
      <c r="T1529" s="54"/>
      <c r="U1529" s="54"/>
      <c r="V1529" s="54"/>
      <c r="W1529" s="54"/>
      <c r="X1529" s="69" t="str">
        <f t="shared" si="96"/>
        <v>D</v>
      </c>
    </row>
    <row r="1530" spans="1:24" s="66" customFormat="1" x14ac:dyDescent="0.25">
      <c r="A1530" s="51"/>
      <c r="B1530" s="91" t="str">
        <f>IFERROR(VLOOKUP(A1530,Lookup!A:B,2,0),"")</f>
        <v/>
      </c>
      <c r="C1530" s="92" t="str">
        <f>IFERROR(VLOOKUP(A1530,Lookup!A:C,3,0),"")</f>
        <v/>
      </c>
      <c r="D1530" s="54"/>
      <c r="E1530" s="54"/>
      <c r="F1530" s="54"/>
      <c r="G1530" s="72"/>
      <c r="H1530" s="54"/>
      <c r="I1530" s="54"/>
      <c r="J1530" s="106">
        <f>VLOOKUP(A1530&amp;G1530,Lookup!J:N,5,0)</f>
        <v>0</v>
      </c>
      <c r="K1530" s="115"/>
      <c r="L1530" s="54"/>
      <c r="M1530" s="54"/>
      <c r="N1530" s="54"/>
      <c r="O1530" s="112">
        <v>63.4756944444444</v>
      </c>
      <c r="P1530" s="110" t="str">
        <f t="shared" si="95"/>
        <v/>
      </c>
      <c r="Q1530" s="54"/>
      <c r="R1530" s="58"/>
      <c r="S1530" s="87" t="str">
        <f t="shared" si="97"/>
        <v/>
      </c>
      <c r="T1530" s="54"/>
      <c r="U1530" s="54"/>
      <c r="V1530" s="54"/>
      <c r="W1530" s="54"/>
      <c r="X1530" s="69" t="str">
        <f t="shared" si="96"/>
        <v>D</v>
      </c>
    </row>
    <row r="1531" spans="1:24" s="66" customFormat="1" x14ac:dyDescent="0.25">
      <c r="A1531" s="51"/>
      <c r="B1531" s="91" t="str">
        <f>IFERROR(VLOOKUP(A1531,Lookup!A:B,2,0),"")</f>
        <v/>
      </c>
      <c r="C1531" s="92" t="str">
        <f>IFERROR(VLOOKUP(A1531,Lookup!A:C,3,0),"")</f>
        <v/>
      </c>
      <c r="D1531" s="54"/>
      <c r="E1531" s="54"/>
      <c r="F1531" s="54"/>
      <c r="G1531" s="72"/>
      <c r="H1531" s="54"/>
      <c r="I1531" s="54"/>
      <c r="J1531" s="106">
        <f>VLOOKUP(A1531&amp;G1531,Lookup!J:N,5,0)</f>
        <v>0</v>
      </c>
      <c r="K1531" s="115"/>
      <c r="L1531" s="54"/>
      <c r="M1531" s="54"/>
      <c r="N1531" s="54"/>
      <c r="O1531" s="112">
        <v>63.5173611111111</v>
      </c>
      <c r="P1531" s="110" t="str">
        <f t="shared" si="95"/>
        <v/>
      </c>
      <c r="Q1531" s="54"/>
      <c r="R1531" s="58"/>
      <c r="S1531" s="87" t="str">
        <f t="shared" si="97"/>
        <v/>
      </c>
      <c r="T1531" s="54"/>
      <c r="U1531" s="54"/>
      <c r="V1531" s="54"/>
      <c r="W1531" s="54"/>
      <c r="X1531" s="69" t="str">
        <f t="shared" si="96"/>
        <v>D</v>
      </c>
    </row>
    <row r="1532" spans="1:24" s="66" customFormat="1" x14ac:dyDescent="0.25">
      <c r="A1532" s="51"/>
      <c r="B1532" s="91" t="str">
        <f>IFERROR(VLOOKUP(A1532,Lookup!A:B,2,0),"")</f>
        <v/>
      </c>
      <c r="C1532" s="92" t="str">
        <f>IFERROR(VLOOKUP(A1532,Lookup!A:C,3,0),"")</f>
        <v/>
      </c>
      <c r="D1532" s="54"/>
      <c r="E1532" s="54"/>
      <c r="F1532" s="54"/>
      <c r="G1532" s="72"/>
      <c r="H1532" s="54"/>
      <c r="I1532" s="54"/>
      <c r="J1532" s="106">
        <f>VLOOKUP(A1532&amp;G1532,Lookup!J:N,5,0)</f>
        <v>0</v>
      </c>
      <c r="K1532" s="115"/>
      <c r="L1532" s="54"/>
      <c r="M1532" s="54"/>
      <c r="N1532" s="54"/>
      <c r="O1532" s="112">
        <v>63.5590277777778</v>
      </c>
      <c r="P1532" s="110" t="str">
        <f t="shared" si="95"/>
        <v/>
      </c>
      <c r="Q1532" s="54"/>
      <c r="R1532" s="58"/>
      <c r="S1532" s="87" t="str">
        <f t="shared" si="97"/>
        <v/>
      </c>
      <c r="T1532" s="54"/>
      <c r="U1532" s="54"/>
      <c r="V1532" s="54"/>
      <c r="W1532" s="54"/>
      <c r="X1532" s="69" t="str">
        <f t="shared" si="96"/>
        <v>D</v>
      </c>
    </row>
    <row r="1533" spans="1:24" s="66" customFormat="1" x14ac:dyDescent="0.25">
      <c r="A1533" s="51"/>
      <c r="B1533" s="91" t="str">
        <f>IFERROR(VLOOKUP(A1533,Lookup!A:B,2,0),"")</f>
        <v/>
      </c>
      <c r="C1533" s="92" t="str">
        <f>IFERROR(VLOOKUP(A1533,Lookup!A:C,3,0),"")</f>
        <v/>
      </c>
      <c r="D1533" s="54"/>
      <c r="E1533" s="54"/>
      <c r="F1533" s="54"/>
      <c r="G1533" s="72"/>
      <c r="H1533" s="54"/>
      <c r="I1533" s="54"/>
      <c r="J1533" s="106">
        <f>VLOOKUP(A1533&amp;G1533,Lookup!J:N,5,0)</f>
        <v>0</v>
      </c>
      <c r="K1533" s="115"/>
      <c r="L1533" s="54"/>
      <c r="M1533" s="54"/>
      <c r="N1533" s="54"/>
      <c r="O1533" s="112">
        <v>63.6006944444444</v>
      </c>
      <c r="P1533" s="110" t="str">
        <f t="shared" si="95"/>
        <v/>
      </c>
      <c r="Q1533" s="54"/>
      <c r="R1533" s="58"/>
      <c r="S1533" s="87" t="str">
        <f t="shared" si="97"/>
        <v/>
      </c>
      <c r="T1533" s="54"/>
      <c r="U1533" s="54"/>
      <c r="V1533" s="54"/>
      <c r="W1533" s="54"/>
      <c r="X1533" s="69" t="str">
        <f t="shared" si="96"/>
        <v>D</v>
      </c>
    </row>
    <row r="1534" spans="1:24" s="66" customFormat="1" x14ac:dyDescent="0.25">
      <c r="A1534" s="51"/>
      <c r="B1534" s="91" t="str">
        <f>IFERROR(VLOOKUP(A1534,Lookup!A:B,2,0),"")</f>
        <v/>
      </c>
      <c r="C1534" s="92" t="str">
        <f>IFERROR(VLOOKUP(A1534,Lookup!A:C,3,0),"")</f>
        <v/>
      </c>
      <c r="D1534" s="54"/>
      <c r="E1534" s="54"/>
      <c r="F1534" s="54"/>
      <c r="G1534" s="72"/>
      <c r="H1534" s="54"/>
      <c r="I1534" s="54"/>
      <c r="J1534" s="106">
        <f>VLOOKUP(A1534&amp;G1534,Lookup!J:N,5,0)</f>
        <v>0</v>
      </c>
      <c r="K1534" s="115"/>
      <c r="L1534" s="54"/>
      <c r="M1534" s="54"/>
      <c r="N1534" s="54"/>
      <c r="O1534" s="112">
        <v>63.6423611111111</v>
      </c>
      <c r="P1534" s="110" t="str">
        <f t="shared" si="95"/>
        <v/>
      </c>
      <c r="Q1534" s="54"/>
      <c r="R1534" s="58"/>
      <c r="S1534" s="87" t="str">
        <f t="shared" si="97"/>
        <v/>
      </c>
      <c r="T1534" s="54"/>
      <c r="U1534" s="54"/>
      <c r="V1534" s="54"/>
      <c r="W1534" s="54"/>
      <c r="X1534" s="69" t="str">
        <f t="shared" si="96"/>
        <v>D</v>
      </c>
    </row>
    <row r="1535" spans="1:24" s="66" customFormat="1" x14ac:dyDescent="0.25">
      <c r="A1535" s="51"/>
      <c r="B1535" s="91" t="str">
        <f>IFERROR(VLOOKUP(A1535,Lookup!A:B,2,0),"")</f>
        <v/>
      </c>
      <c r="C1535" s="92" t="str">
        <f>IFERROR(VLOOKUP(A1535,Lookup!A:C,3,0),"")</f>
        <v/>
      </c>
      <c r="D1535" s="54"/>
      <c r="E1535" s="54"/>
      <c r="F1535" s="54"/>
      <c r="G1535" s="72"/>
      <c r="H1535" s="54"/>
      <c r="I1535" s="54"/>
      <c r="J1535" s="106">
        <f>VLOOKUP(A1535&amp;G1535,Lookup!J:N,5,0)</f>
        <v>0</v>
      </c>
      <c r="K1535" s="115"/>
      <c r="L1535" s="54"/>
      <c r="M1535" s="54"/>
      <c r="N1535" s="54"/>
      <c r="O1535" s="112">
        <v>63.6840277777778</v>
      </c>
      <c r="P1535" s="110" t="str">
        <f t="shared" si="95"/>
        <v/>
      </c>
      <c r="Q1535" s="54"/>
      <c r="R1535" s="58"/>
      <c r="S1535" s="87" t="str">
        <f t="shared" si="97"/>
        <v/>
      </c>
      <c r="T1535" s="54"/>
      <c r="U1535" s="54"/>
      <c r="V1535" s="54"/>
      <c r="W1535" s="54"/>
      <c r="X1535" s="69" t="str">
        <f t="shared" si="96"/>
        <v>D</v>
      </c>
    </row>
    <row r="1536" spans="1:24" s="66" customFormat="1" x14ac:dyDescent="0.25">
      <c r="A1536" s="51"/>
      <c r="B1536" s="91" t="str">
        <f>IFERROR(VLOOKUP(A1536,Lookup!A:B,2,0),"")</f>
        <v/>
      </c>
      <c r="C1536" s="92" t="str">
        <f>IFERROR(VLOOKUP(A1536,Lookup!A:C,3,0),"")</f>
        <v/>
      </c>
      <c r="D1536" s="54"/>
      <c r="E1536" s="54"/>
      <c r="F1536" s="54"/>
      <c r="G1536" s="72"/>
      <c r="H1536" s="54"/>
      <c r="I1536" s="54"/>
      <c r="J1536" s="106">
        <f>VLOOKUP(A1536&amp;G1536,Lookup!J:N,5,0)</f>
        <v>0</v>
      </c>
      <c r="K1536" s="115"/>
      <c r="L1536" s="54"/>
      <c r="M1536" s="54"/>
      <c r="N1536" s="54"/>
      <c r="O1536" s="112">
        <v>63.7256944444444</v>
      </c>
      <c r="P1536" s="110" t="str">
        <f t="shared" si="95"/>
        <v/>
      </c>
      <c r="Q1536" s="54"/>
      <c r="R1536" s="58"/>
      <c r="S1536" s="87" t="str">
        <f t="shared" si="97"/>
        <v/>
      </c>
      <c r="T1536" s="54"/>
      <c r="U1536" s="54"/>
      <c r="V1536" s="54"/>
      <c r="W1536" s="54"/>
      <c r="X1536" s="69" t="str">
        <f t="shared" si="96"/>
        <v>D</v>
      </c>
    </row>
    <row r="1537" spans="1:24" s="66" customFormat="1" x14ac:dyDescent="0.25">
      <c r="A1537" s="51"/>
      <c r="B1537" s="91" t="str">
        <f>IFERROR(VLOOKUP(A1537,Lookup!A:B,2,0),"")</f>
        <v/>
      </c>
      <c r="C1537" s="92" t="str">
        <f>IFERROR(VLOOKUP(A1537,Lookup!A:C,3,0),"")</f>
        <v/>
      </c>
      <c r="D1537" s="54"/>
      <c r="E1537" s="54"/>
      <c r="F1537" s="54"/>
      <c r="G1537" s="72"/>
      <c r="H1537" s="54"/>
      <c r="I1537" s="54"/>
      <c r="J1537" s="106">
        <f>VLOOKUP(A1537&amp;G1537,Lookup!J:N,5,0)</f>
        <v>0</v>
      </c>
      <c r="K1537" s="115"/>
      <c r="L1537" s="54"/>
      <c r="M1537" s="54"/>
      <c r="N1537" s="54"/>
      <c r="O1537" s="112">
        <v>63.7673611111111</v>
      </c>
      <c r="P1537" s="110" t="str">
        <f t="shared" si="95"/>
        <v/>
      </c>
      <c r="Q1537" s="54"/>
      <c r="R1537" s="58"/>
      <c r="S1537" s="87" t="str">
        <f t="shared" si="97"/>
        <v/>
      </c>
      <c r="T1537" s="54"/>
      <c r="U1537" s="54"/>
      <c r="V1537" s="54"/>
      <c r="W1537" s="54"/>
      <c r="X1537" s="69" t="str">
        <f t="shared" si="96"/>
        <v>D</v>
      </c>
    </row>
    <row r="1538" spans="1:24" s="66" customFormat="1" x14ac:dyDescent="0.25">
      <c r="A1538" s="51"/>
      <c r="B1538" s="91" t="str">
        <f>IFERROR(VLOOKUP(A1538,Lookup!A:B,2,0),"")</f>
        <v/>
      </c>
      <c r="C1538" s="92" t="str">
        <f>IFERROR(VLOOKUP(A1538,Lookup!A:C,3,0),"")</f>
        <v/>
      </c>
      <c r="D1538" s="54"/>
      <c r="E1538" s="54"/>
      <c r="F1538" s="54"/>
      <c r="G1538" s="72"/>
      <c r="H1538" s="54"/>
      <c r="I1538" s="54"/>
      <c r="J1538" s="106">
        <f>VLOOKUP(A1538&amp;G1538,Lookup!J:N,5,0)</f>
        <v>0</v>
      </c>
      <c r="K1538" s="115"/>
      <c r="L1538" s="54"/>
      <c r="M1538" s="54"/>
      <c r="N1538" s="54"/>
      <c r="O1538" s="112">
        <v>63.8090277777778</v>
      </c>
      <c r="P1538" s="110" t="str">
        <f t="shared" si="95"/>
        <v/>
      </c>
      <c r="Q1538" s="54"/>
      <c r="R1538" s="58"/>
      <c r="S1538" s="87" t="str">
        <f t="shared" si="97"/>
        <v/>
      </c>
      <c r="T1538" s="54"/>
      <c r="U1538" s="54"/>
      <c r="V1538" s="54"/>
      <c r="W1538" s="54"/>
      <c r="X1538" s="69" t="str">
        <f t="shared" si="96"/>
        <v>D</v>
      </c>
    </row>
    <row r="1539" spans="1:24" s="66" customFormat="1" x14ac:dyDescent="0.25">
      <c r="A1539" s="51"/>
      <c r="B1539" s="91" t="str">
        <f>IFERROR(VLOOKUP(A1539,Lookup!A:B,2,0),"")</f>
        <v/>
      </c>
      <c r="C1539" s="92" t="str">
        <f>IFERROR(VLOOKUP(A1539,Lookup!A:C,3,0),"")</f>
        <v/>
      </c>
      <c r="D1539" s="54"/>
      <c r="E1539" s="54"/>
      <c r="F1539" s="54"/>
      <c r="G1539" s="72"/>
      <c r="H1539" s="54"/>
      <c r="I1539" s="54"/>
      <c r="J1539" s="106">
        <f>VLOOKUP(A1539&amp;G1539,Lookup!J:N,5,0)</f>
        <v>0</v>
      </c>
      <c r="K1539" s="115"/>
      <c r="L1539" s="54"/>
      <c r="M1539" s="54"/>
      <c r="N1539" s="54"/>
      <c r="O1539" s="112">
        <v>63.8506944444444</v>
      </c>
      <c r="P1539" s="110" t="str">
        <f t="shared" ref="P1539:P1602" si="98">IF(N1539="","",N1539+O1539)</f>
        <v/>
      </c>
      <c r="Q1539" s="54"/>
      <c r="R1539" s="58"/>
      <c r="S1539" s="87" t="str">
        <f t="shared" si="97"/>
        <v/>
      </c>
      <c r="T1539" s="54"/>
      <c r="U1539" s="54"/>
      <c r="V1539" s="54"/>
      <c r="W1539" s="54"/>
      <c r="X1539" s="69" t="str">
        <f t="shared" ref="X1539:X1602" si="99">IF(I1539="SET","A",IF(I1539="FREQ","C",IF(I1539="","D","B")))</f>
        <v>D</v>
      </c>
    </row>
    <row r="1540" spans="1:24" s="66" customFormat="1" x14ac:dyDescent="0.25">
      <c r="A1540" s="51"/>
      <c r="B1540" s="91" t="str">
        <f>IFERROR(VLOOKUP(A1540,Lookup!A:B,2,0),"")</f>
        <v/>
      </c>
      <c r="C1540" s="92" t="str">
        <f>IFERROR(VLOOKUP(A1540,Lookup!A:C,3,0),"")</f>
        <v/>
      </c>
      <c r="D1540" s="54"/>
      <c r="E1540" s="54"/>
      <c r="F1540" s="54"/>
      <c r="G1540" s="72"/>
      <c r="H1540" s="54"/>
      <c r="I1540" s="54"/>
      <c r="J1540" s="106">
        <f>VLOOKUP(A1540&amp;G1540,Lookup!J:N,5,0)</f>
        <v>0</v>
      </c>
      <c r="K1540" s="115"/>
      <c r="L1540" s="54"/>
      <c r="M1540" s="54"/>
      <c r="N1540" s="54"/>
      <c r="O1540" s="112">
        <v>63.8923611111111</v>
      </c>
      <c r="P1540" s="110" t="str">
        <f t="shared" si="98"/>
        <v/>
      </c>
      <c r="Q1540" s="54"/>
      <c r="R1540" s="58"/>
      <c r="S1540" s="87" t="str">
        <f t="shared" si="97"/>
        <v/>
      </c>
      <c r="T1540" s="54"/>
      <c r="U1540" s="54"/>
      <c r="V1540" s="54"/>
      <c r="W1540" s="54"/>
      <c r="X1540" s="69" t="str">
        <f t="shared" si="99"/>
        <v>D</v>
      </c>
    </row>
    <row r="1541" spans="1:24" s="66" customFormat="1" x14ac:dyDescent="0.25">
      <c r="A1541" s="51"/>
      <c r="B1541" s="91" t="str">
        <f>IFERROR(VLOOKUP(A1541,Lookup!A:B,2,0),"")</f>
        <v/>
      </c>
      <c r="C1541" s="92" t="str">
        <f>IFERROR(VLOOKUP(A1541,Lookup!A:C,3,0),"")</f>
        <v/>
      </c>
      <c r="D1541" s="54"/>
      <c r="E1541" s="54"/>
      <c r="F1541" s="54"/>
      <c r="G1541" s="72"/>
      <c r="H1541" s="54"/>
      <c r="I1541" s="54"/>
      <c r="J1541" s="106">
        <f>VLOOKUP(A1541&amp;G1541,Lookup!J:N,5,0)</f>
        <v>0</v>
      </c>
      <c r="K1541" s="115"/>
      <c r="L1541" s="54"/>
      <c r="M1541" s="54"/>
      <c r="N1541" s="54"/>
      <c r="O1541" s="112">
        <v>63.9340277777778</v>
      </c>
      <c r="P1541" s="110" t="str">
        <f t="shared" si="98"/>
        <v/>
      </c>
      <c r="Q1541" s="54"/>
      <c r="R1541" s="58"/>
      <c r="S1541" s="87" t="str">
        <f t="shared" si="97"/>
        <v/>
      </c>
      <c r="T1541" s="54"/>
      <c r="U1541" s="54"/>
      <c r="V1541" s="54"/>
      <c r="W1541" s="54"/>
      <c r="X1541" s="69" t="str">
        <f t="shared" si="99"/>
        <v>D</v>
      </c>
    </row>
    <row r="1542" spans="1:24" s="66" customFormat="1" x14ac:dyDescent="0.25">
      <c r="A1542" s="51"/>
      <c r="B1542" s="91" t="str">
        <f>IFERROR(VLOOKUP(A1542,Lookup!A:B,2,0),"")</f>
        <v/>
      </c>
      <c r="C1542" s="92" t="str">
        <f>IFERROR(VLOOKUP(A1542,Lookup!A:C,3,0),"")</f>
        <v/>
      </c>
      <c r="D1542" s="54"/>
      <c r="E1542" s="54"/>
      <c r="F1542" s="54"/>
      <c r="G1542" s="72"/>
      <c r="H1542" s="54"/>
      <c r="I1542" s="54"/>
      <c r="J1542" s="106">
        <f>VLOOKUP(A1542&amp;G1542,Lookup!J:N,5,0)</f>
        <v>0</v>
      </c>
      <c r="K1542" s="115"/>
      <c r="L1542" s="54"/>
      <c r="M1542" s="54"/>
      <c r="N1542" s="54"/>
      <c r="O1542" s="112">
        <v>63.9756944444444</v>
      </c>
      <c r="P1542" s="110" t="str">
        <f t="shared" si="98"/>
        <v/>
      </c>
      <c r="Q1542" s="54"/>
      <c r="R1542" s="58"/>
      <c r="S1542" s="87" t="str">
        <f t="shared" si="97"/>
        <v/>
      </c>
      <c r="T1542" s="54"/>
      <c r="U1542" s="54"/>
      <c r="V1542" s="54"/>
      <c r="W1542" s="54"/>
      <c r="X1542" s="69" t="str">
        <f t="shared" si="99"/>
        <v>D</v>
      </c>
    </row>
    <row r="1543" spans="1:24" s="66" customFormat="1" x14ac:dyDescent="0.25">
      <c r="A1543" s="51"/>
      <c r="B1543" s="91" t="str">
        <f>IFERROR(VLOOKUP(A1543,Lookup!A:B,2,0),"")</f>
        <v/>
      </c>
      <c r="C1543" s="92" t="str">
        <f>IFERROR(VLOOKUP(A1543,Lookup!A:C,3,0),"")</f>
        <v/>
      </c>
      <c r="D1543" s="54"/>
      <c r="E1543" s="54"/>
      <c r="F1543" s="54"/>
      <c r="G1543" s="72"/>
      <c r="H1543" s="54"/>
      <c r="I1543" s="54"/>
      <c r="J1543" s="106">
        <f>VLOOKUP(A1543&amp;G1543,Lookup!J:N,5,0)</f>
        <v>0</v>
      </c>
      <c r="K1543" s="115"/>
      <c r="L1543" s="54"/>
      <c r="M1543" s="54"/>
      <c r="N1543" s="54"/>
      <c r="O1543" s="112">
        <v>64.0173611111111</v>
      </c>
      <c r="P1543" s="110" t="str">
        <f t="shared" si="98"/>
        <v/>
      </c>
      <c r="Q1543" s="54"/>
      <c r="R1543" s="58"/>
      <c r="S1543" s="87" t="str">
        <f t="shared" ref="S1543:S1606" si="100">IF(OR(EXACT(Q1543,""), EXACT(L1543,"")),"",Q1543-L1543)</f>
        <v/>
      </c>
      <c r="T1543" s="54"/>
      <c r="U1543" s="54"/>
      <c r="V1543" s="54"/>
      <c r="W1543" s="54"/>
      <c r="X1543" s="69" t="str">
        <f t="shared" si="99"/>
        <v>D</v>
      </c>
    </row>
    <row r="1544" spans="1:24" s="66" customFormat="1" x14ac:dyDescent="0.25">
      <c r="A1544" s="51"/>
      <c r="B1544" s="91" t="str">
        <f>IFERROR(VLOOKUP(A1544,Lookup!A:B,2,0),"")</f>
        <v/>
      </c>
      <c r="C1544" s="92" t="str">
        <f>IFERROR(VLOOKUP(A1544,Lookup!A:C,3,0),"")</f>
        <v/>
      </c>
      <c r="D1544" s="54"/>
      <c r="E1544" s="54"/>
      <c r="F1544" s="54"/>
      <c r="G1544" s="72"/>
      <c r="H1544" s="54"/>
      <c r="I1544" s="54"/>
      <c r="J1544" s="106">
        <f>VLOOKUP(A1544&amp;G1544,Lookup!J:N,5,0)</f>
        <v>0</v>
      </c>
      <c r="K1544" s="115"/>
      <c r="L1544" s="54"/>
      <c r="M1544" s="54"/>
      <c r="N1544" s="54"/>
      <c r="O1544" s="112">
        <v>64.0590277777778</v>
      </c>
      <c r="P1544" s="110" t="str">
        <f t="shared" si="98"/>
        <v/>
      </c>
      <c r="Q1544" s="54"/>
      <c r="R1544" s="58"/>
      <c r="S1544" s="87" t="str">
        <f t="shared" si="100"/>
        <v/>
      </c>
      <c r="T1544" s="54"/>
      <c r="U1544" s="54"/>
      <c r="V1544" s="54"/>
      <c r="W1544" s="54"/>
      <c r="X1544" s="69" t="str">
        <f t="shared" si="99"/>
        <v>D</v>
      </c>
    </row>
    <row r="1545" spans="1:24" s="66" customFormat="1" x14ac:dyDescent="0.25">
      <c r="A1545" s="51"/>
      <c r="B1545" s="91" t="str">
        <f>IFERROR(VLOOKUP(A1545,Lookup!A:B,2,0),"")</f>
        <v/>
      </c>
      <c r="C1545" s="92" t="str">
        <f>IFERROR(VLOOKUP(A1545,Lookup!A:C,3,0),"")</f>
        <v/>
      </c>
      <c r="D1545" s="54"/>
      <c r="E1545" s="54"/>
      <c r="F1545" s="54"/>
      <c r="G1545" s="72"/>
      <c r="H1545" s="54"/>
      <c r="I1545" s="54"/>
      <c r="J1545" s="106">
        <f>VLOOKUP(A1545&amp;G1545,Lookup!J:N,5,0)</f>
        <v>0</v>
      </c>
      <c r="K1545" s="115"/>
      <c r="L1545" s="54"/>
      <c r="M1545" s="54"/>
      <c r="N1545" s="54"/>
      <c r="O1545" s="112">
        <v>64.1006944444444</v>
      </c>
      <c r="P1545" s="110" t="str">
        <f t="shared" si="98"/>
        <v/>
      </c>
      <c r="Q1545" s="54"/>
      <c r="R1545" s="58"/>
      <c r="S1545" s="87" t="str">
        <f t="shared" si="100"/>
        <v/>
      </c>
      <c r="T1545" s="54"/>
      <c r="U1545" s="54"/>
      <c r="V1545" s="54"/>
      <c r="W1545" s="54"/>
      <c r="X1545" s="69" t="str">
        <f t="shared" si="99"/>
        <v>D</v>
      </c>
    </row>
    <row r="1546" spans="1:24" s="66" customFormat="1" x14ac:dyDescent="0.25">
      <c r="A1546" s="51"/>
      <c r="B1546" s="91" t="str">
        <f>IFERROR(VLOOKUP(A1546,Lookup!A:B,2,0),"")</f>
        <v/>
      </c>
      <c r="C1546" s="92" t="str">
        <f>IFERROR(VLOOKUP(A1546,Lookup!A:C,3,0),"")</f>
        <v/>
      </c>
      <c r="D1546" s="54"/>
      <c r="E1546" s="54"/>
      <c r="F1546" s="54"/>
      <c r="G1546" s="72"/>
      <c r="H1546" s="54"/>
      <c r="I1546" s="54"/>
      <c r="J1546" s="106">
        <f>VLOOKUP(A1546&amp;G1546,Lookup!J:N,5,0)</f>
        <v>0</v>
      </c>
      <c r="K1546" s="115"/>
      <c r="L1546" s="54"/>
      <c r="M1546" s="54"/>
      <c r="N1546" s="54"/>
      <c r="O1546" s="112">
        <v>64.1423611111111</v>
      </c>
      <c r="P1546" s="110" t="str">
        <f t="shared" si="98"/>
        <v/>
      </c>
      <c r="Q1546" s="54"/>
      <c r="R1546" s="58"/>
      <c r="S1546" s="87" t="str">
        <f t="shared" si="100"/>
        <v/>
      </c>
      <c r="T1546" s="54"/>
      <c r="U1546" s="54"/>
      <c r="V1546" s="54"/>
      <c r="W1546" s="54"/>
      <c r="X1546" s="69" t="str">
        <f t="shared" si="99"/>
        <v>D</v>
      </c>
    </row>
    <row r="1547" spans="1:24" s="66" customFormat="1" x14ac:dyDescent="0.25">
      <c r="A1547" s="51"/>
      <c r="B1547" s="91" t="str">
        <f>IFERROR(VLOOKUP(A1547,Lookup!A:B,2,0),"")</f>
        <v/>
      </c>
      <c r="C1547" s="92" t="str">
        <f>IFERROR(VLOOKUP(A1547,Lookup!A:C,3,0),"")</f>
        <v/>
      </c>
      <c r="D1547" s="54"/>
      <c r="E1547" s="54"/>
      <c r="F1547" s="54"/>
      <c r="G1547" s="72"/>
      <c r="H1547" s="54"/>
      <c r="I1547" s="54"/>
      <c r="J1547" s="106">
        <f>VLOOKUP(A1547&amp;G1547,Lookup!J:N,5,0)</f>
        <v>0</v>
      </c>
      <c r="K1547" s="115"/>
      <c r="L1547" s="54"/>
      <c r="M1547" s="54"/>
      <c r="N1547" s="54"/>
      <c r="O1547" s="112">
        <v>64.1840277777778</v>
      </c>
      <c r="P1547" s="110" t="str">
        <f t="shared" si="98"/>
        <v/>
      </c>
      <c r="Q1547" s="54"/>
      <c r="R1547" s="58"/>
      <c r="S1547" s="87" t="str">
        <f t="shared" si="100"/>
        <v/>
      </c>
      <c r="T1547" s="54"/>
      <c r="U1547" s="54"/>
      <c r="V1547" s="54"/>
      <c r="W1547" s="54"/>
      <c r="X1547" s="69" t="str">
        <f t="shared" si="99"/>
        <v>D</v>
      </c>
    </row>
    <row r="1548" spans="1:24" s="66" customFormat="1" x14ac:dyDescent="0.25">
      <c r="A1548" s="51"/>
      <c r="B1548" s="91" t="str">
        <f>IFERROR(VLOOKUP(A1548,Lookup!A:B,2,0),"")</f>
        <v/>
      </c>
      <c r="C1548" s="92" t="str">
        <f>IFERROR(VLOOKUP(A1548,Lookup!A:C,3,0),"")</f>
        <v/>
      </c>
      <c r="D1548" s="54"/>
      <c r="E1548" s="54"/>
      <c r="F1548" s="54"/>
      <c r="G1548" s="72"/>
      <c r="H1548" s="54"/>
      <c r="I1548" s="54"/>
      <c r="J1548" s="106">
        <f>VLOOKUP(A1548&amp;G1548,Lookup!J:N,5,0)</f>
        <v>0</v>
      </c>
      <c r="K1548" s="115"/>
      <c r="L1548" s="54"/>
      <c r="M1548" s="54"/>
      <c r="N1548" s="54"/>
      <c r="O1548" s="112">
        <v>64.2256944444444</v>
      </c>
      <c r="P1548" s="110" t="str">
        <f t="shared" si="98"/>
        <v/>
      </c>
      <c r="Q1548" s="54"/>
      <c r="R1548" s="58"/>
      <c r="S1548" s="87" t="str">
        <f t="shared" si="100"/>
        <v/>
      </c>
      <c r="T1548" s="54"/>
      <c r="U1548" s="54"/>
      <c r="V1548" s="54"/>
      <c r="W1548" s="54"/>
      <c r="X1548" s="69" t="str">
        <f t="shared" si="99"/>
        <v>D</v>
      </c>
    </row>
    <row r="1549" spans="1:24" s="66" customFormat="1" x14ac:dyDescent="0.25">
      <c r="A1549" s="51"/>
      <c r="B1549" s="91" t="str">
        <f>IFERROR(VLOOKUP(A1549,Lookup!A:B,2,0),"")</f>
        <v/>
      </c>
      <c r="C1549" s="92" t="str">
        <f>IFERROR(VLOOKUP(A1549,Lookup!A:C,3,0),"")</f>
        <v/>
      </c>
      <c r="D1549" s="54"/>
      <c r="E1549" s="54"/>
      <c r="F1549" s="54"/>
      <c r="G1549" s="72"/>
      <c r="H1549" s="54"/>
      <c r="I1549" s="54"/>
      <c r="J1549" s="106">
        <f>VLOOKUP(A1549&amp;G1549,Lookup!J:N,5,0)</f>
        <v>0</v>
      </c>
      <c r="K1549" s="115"/>
      <c r="L1549" s="54"/>
      <c r="M1549" s="54"/>
      <c r="N1549" s="54"/>
      <c r="O1549" s="112">
        <v>64.2673611111111</v>
      </c>
      <c r="P1549" s="110" t="str">
        <f t="shared" si="98"/>
        <v/>
      </c>
      <c r="Q1549" s="54"/>
      <c r="R1549" s="58"/>
      <c r="S1549" s="87" t="str">
        <f t="shared" si="100"/>
        <v/>
      </c>
      <c r="T1549" s="54"/>
      <c r="U1549" s="54"/>
      <c r="V1549" s="54"/>
      <c r="W1549" s="54"/>
      <c r="X1549" s="69" t="str">
        <f t="shared" si="99"/>
        <v>D</v>
      </c>
    </row>
    <row r="1550" spans="1:24" s="66" customFormat="1" x14ac:dyDescent="0.25">
      <c r="A1550" s="51"/>
      <c r="B1550" s="91" t="str">
        <f>IFERROR(VLOOKUP(A1550,Lookup!A:B,2,0),"")</f>
        <v/>
      </c>
      <c r="C1550" s="92" t="str">
        <f>IFERROR(VLOOKUP(A1550,Lookup!A:C,3,0),"")</f>
        <v/>
      </c>
      <c r="D1550" s="54"/>
      <c r="E1550" s="54"/>
      <c r="F1550" s="54"/>
      <c r="G1550" s="72"/>
      <c r="H1550" s="54"/>
      <c r="I1550" s="54"/>
      <c r="J1550" s="106">
        <f>VLOOKUP(A1550&amp;G1550,Lookup!J:N,5,0)</f>
        <v>0</v>
      </c>
      <c r="K1550" s="115"/>
      <c r="L1550" s="54"/>
      <c r="M1550" s="54"/>
      <c r="N1550" s="54"/>
      <c r="O1550" s="112">
        <v>64.3090277777778</v>
      </c>
      <c r="P1550" s="110" t="str">
        <f t="shared" si="98"/>
        <v/>
      </c>
      <c r="Q1550" s="54"/>
      <c r="R1550" s="58"/>
      <c r="S1550" s="87" t="str">
        <f t="shared" si="100"/>
        <v/>
      </c>
      <c r="T1550" s="54"/>
      <c r="U1550" s="54"/>
      <c r="V1550" s="54"/>
      <c r="W1550" s="54"/>
      <c r="X1550" s="69" t="str">
        <f t="shared" si="99"/>
        <v>D</v>
      </c>
    </row>
    <row r="1551" spans="1:24" s="66" customFormat="1" x14ac:dyDescent="0.25">
      <c r="A1551" s="51"/>
      <c r="B1551" s="91" t="str">
        <f>IFERROR(VLOOKUP(A1551,Lookup!A:B,2,0),"")</f>
        <v/>
      </c>
      <c r="C1551" s="92" t="str">
        <f>IFERROR(VLOOKUP(A1551,Lookup!A:C,3,0),"")</f>
        <v/>
      </c>
      <c r="D1551" s="54"/>
      <c r="E1551" s="54"/>
      <c r="F1551" s="54"/>
      <c r="G1551" s="72"/>
      <c r="H1551" s="54"/>
      <c r="I1551" s="54"/>
      <c r="J1551" s="106">
        <f>VLOOKUP(A1551&amp;G1551,Lookup!J:N,5,0)</f>
        <v>0</v>
      </c>
      <c r="K1551" s="115"/>
      <c r="L1551" s="54"/>
      <c r="M1551" s="54"/>
      <c r="N1551" s="54"/>
      <c r="O1551" s="112">
        <v>64.3506944444444</v>
      </c>
      <c r="P1551" s="110" t="str">
        <f t="shared" si="98"/>
        <v/>
      </c>
      <c r="Q1551" s="54"/>
      <c r="R1551" s="58"/>
      <c r="S1551" s="87" t="str">
        <f t="shared" si="100"/>
        <v/>
      </c>
      <c r="T1551" s="54"/>
      <c r="U1551" s="54"/>
      <c r="V1551" s="54"/>
      <c r="W1551" s="54"/>
      <c r="X1551" s="69" t="str">
        <f t="shared" si="99"/>
        <v>D</v>
      </c>
    </row>
    <row r="1552" spans="1:24" s="66" customFormat="1" x14ac:dyDescent="0.25">
      <c r="A1552" s="51"/>
      <c r="B1552" s="91" t="str">
        <f>IFERROR(VLOOKUP(A1552,Lookup!A:B,2,0),"")</f>
        <v/>
      </c>
      <c r="C1552" s="92" t="str">
        <f>IFERROR(VLOOKUP(A1552,Lookup!A:C,3,0),"")</f>
        <v/>
      </c>
      <c r="D1552" s="54"/>
      <c r="E1552" s="54"/>
      <c r="F1552" s="54"/>
      <c r="G1552" s="72"/>
      <c r="H1552" s="54"/>
      <c r="I1552" s="54"/>
      <c r="J1552" s="106">
        <f>VLOOKUP(A1552&amp;G1552,Lookup!J:N,5,0)</f>
        <v>0</v>
      </c>
      <c r="K1552" s="115"/>
      <c r="L1552" s="54"/>
      <c r="M1552" s="54"/>
      <c r="N1552" s="54"/>
      <c r="O1552" s="112">
        <v>64.3923611111111</v>
      </c>
      <c r="P1552" s="110" t="str">
        <f t="shared" si="98"/>
        <v/>
      </c>
      <c r="Q1552" s="54"/>
      <c r="R1552" s="58"/>
      <c r="S1552" s="87" t="str">
        <f t="shared" si="100"/>
        <v/>
      </c>
      <c r="T1552" s="54"/>
      <c r="U1552" s="54"/>
      <c r="V1552" s="54"/>
      <c r="W1552" s="54"/>
      <c r="X1552" s="69" t="str">
        <f t="shared" si="99"/>
        <v>D</v>
      </c>
    </row>
    <row r="1553" spans="1:24" s="66" customFormat="1" x14ac:dyDescent="0.25">
      <c r="A1553" s="51"/>
      <c r="B1553" s="91" t="str">
        <f>IFERROR(VLOOKUP(A1553,Lookup!A:B,2,0),"")</f>
        <v/>
      </c>
      <c r="C1553" s="92" t="str">
        <f>IFERROR(VLOOKUP(A1553,Lookup!A:C,3,0),"")</f>
        <v/>
      </c>
      <c r="D1553" s="54"/>
      <c r="E1553" s="54"/>
      <c r="F1553" s="54"/>
      <c r="G1553" s="72"/>
      <c r="H1553" s="54"/>
      <c r="I1553" s="54"/>
      <c r="J1553" s="106">
        <f>VLOOKUP(A1553&amp;G1553,Lookup!J:N,5,0)</f>
        <v>0</v>
      </c>
      <c r="K1553" s="115"/>
      <c r="L1553" s="54"/>
      <c r="M1553" s="54"/>
      <c r="N1553" s="54"/>
      <c r="O1553" s="112">
        <v>64.4340277777778</v>
      </c>
      <c r="P1553" s="110" t="str">
        <f t="shared" si="98"/>
        <v/>
      </c>
      <c r="Q1553" s="54"/>
      <c r="R1553" s="58"/>
      <c r="S1553" s="87" t="str">
        <f t="shared" si="100"/>
        <v/>
      </c>
      <c r="T1553" s="54"/>
      <c r="U1553" s="54"/>
      <c r="V1553" s="54"/>
      <c r="W1553" s="54"/>
      <c r="X1553" s="69" t="str">
        <f t="shared" si="99"/>
        <v>D</v>
      </c>
    </row>
    <row r="1554" spans="1:24" s="66" customFormat="1" x14ac:dyDescent="0.25">
      <c r="A1554" s="51"/>
      <c r="B1554" s="91" t="str">
        <f>IFERROR(VLOOKUP(A1554,Lookup!A:B,2,0),"")</f>
        <v/>
      </c>
      <c r="C1554" s="92" t="str">
        <f>IFERROR(VLOOKUP(A1554,Lookup!A:C,3,0),"")</f>
        <v/>
      </c>
      <c r="D1554" s="54"/>
      <c r="E1554" s="54"/>
      <c r="F1554" s="54"/>
      <c r="G1554" s="72"/>
      <c r="H1554" s="54"/>
      <c r="I1554" s="54"/>
      <c r="J1554" s="106">
        <f>VLOOKUP(A1554&amp;G1554,Lookup!J:N,5,0)</f>
        <v>0</v>
      </c>
      <c r="K1554" s="115"/>
      <c r="L1554" s="54"/>
      <c r="M1554" s="54"/>
      <c r="N1554" s="54"/>
      <c r="O1554" s="112">
        <v>64.4756944444444</v>
      </c>
      <c r="P1554" s="110" t="str">
        <f t="shared" si="98"/>
        <v/>
      </c>
      <c r="Q1554" s="54"/>
      <c r="R1554" s="58"/>
      <c r="S1554" s="87" t="str">
        <f t="shared" si="100"/>
        <v/>
      </c>
      <c r="T1554" s="54"/>
      <c r="U1554" s="54"/>
      <c r="V1554" s="54"/>
      <c r="W1554" s="54"/>
      <c r="X1554" s="69" t="str">
        <f t="shared" si="99"/>
        <v>D</v>
      </c>
    </row>
    <row r="1555" spans="1:24" s="66" customFormat="1" x14ac:dyDescent="0.25">
      <c r="A1555" s="51"/>
      <c r="B1555" s="91" t="str">
        <f>IFERROR(VLOOKUP(A1555,Lookup!A:B,2,0),"")</f>
        <v/>
      </c>
      <c r="C1555" s="92" t="str">
        <f>IFERROR(VLOOKUP(A1555,Lookup!A:C,3,0),"")</f>
        <v/>
      </c>
      <c r="D1555" s="54"/>
      <c r="E1555" s="54"/>
      <c r="F1555" s="54"/>
      <c r="G1555" s="72"/>
      <c r="H1555" s="54"/>
      <c r="I1555" s="54"/>
      <c r="J1555" s="106">
        <f>VLOOKUP(A1555&amp;G1555,Lookup!J:N,5,0)</f>
        <v>0</v>
      </c>
      <c r="K1555" s="115"/>
      <c r="L1555" s="54"/>
      <c r="M1555" s="54"/>
      <c r="N1555" s="54"/>
      <c r="O1555" s="112">
        <v>64.5173611111111</v>
      </c>
      <c r="P1555" s="110" t="str">
        <f t="shared" si="98"/>
        <v/>
      </c>
      <c r="Q1555" s="54"/>
      <c r="R1555" s="58"/>
      <c r="S1555" s="87" t="str">
        <f t="shared" si="100"/>
        <v/>
      </c>
      <c r="T1555" s="54"/>
      <c r="U1555" s="54"/>
      <c r="V1555" s="54"/>
      <c r="W1555" s="54"/>
      <c r="X1555" s="69" t="str">
        <f t="shared" si="99"/>
        <v>D</v>
      </c>
    </row>
    <row r="1556" spans="1:24" s="66" customFormat="1" x14ac:dyDescent="0.25">
      <c r="A1556" s="51"/>
      <c r="B1556" s="91" t="str">
        <f>IFERROR(VLOOKUP(A1556,Lookup!A:B,2,0),"")</f>
        <v/>
      </c>
      <c r="C1556" s="92" t="str">
        <f>IFERROR(VLOOKUP(A1556,Lookup!A:C,3,0),"")</f>
        <v/>
      </c>
      <c r="D1556" s="54"/>
      <c r="E1556" s="54"/>
      <c r="F1556" s="54"/>
      <c r="G1556" s="72"/>
      <c r="H1556" s="54"/>
      <c r="I1556" s="54"/>
      <c r="J1556" s="106">
        <f>VLOOKUP(A1556&amp;G1556,Lookup!J:N,5,0)</f>
        <v>0</v>
      </c>
      <c r="K1556" s="115"/>
      <c r="L1556" s="54"/>
      <c r="M1556" s="54"/>
      <c r="N1556" s="54"/>
      <c r="O1556" s="112">
        <v>64.5590277777778</v>
      </c>
      <c r="P1556" s="110" t="str">
        <f t="shared" si="98"/>
        <v/>
      </c>
      <c r="Q1556" s="54"/>
      <c r="R1556" s="58"/>
      <c r="S1556" s="87" t="str">
        <f t="shared" si="100"/>
        <v/>
      </c>
      <c r="T1556" s="54"/>
      <c r="U1556" s="54"/>
      <c r="V1556" s="54"/>
      <c r="W1556" s="54"/>
      <c r="X1556" s="69" t="str">
        <f t="shared" si="99"/>
        <v>D</v>
      </c>
    </row>
    <row r="1557" spans="1:24" s="66" customFormat="1" x14ac:dyDescent="0.25">
      <c r="A1557" s="51"/>
      <c r="B1557" s="91" t="str">
        <f>IFERROR(VLOOKUP(A1557,Lookup!A:B,2,0),"")</f>
        <v/>
      </c>
      <c r="C1557" s="92" t="str">
        <f>IFERROR(VLOOKUP(A1557,Lookup!A:C,3,0),"")</f>
        <v/>
      </c>
      <c r="D1557" s="54"/>
      <c r="E1557" s="54"/>
      <c r="F1557" s="54"/>
      <c r="G1557" s="72"/>
      <c r="H1557" s="54"/>
      <c r="I1557" s="54"/>
      <c r="J1557" s="106">
        <f>VLOOKUP(A1557&amp;G1557,Lookup!J:N,5,0)</f>
        <v>0</v>
      </c>
      <c r="K1557" s="115"/>
      <c r="L1557" s="54"/>
      <c r="M1557" s="54"/>
      <c r="N1557" s="54"/>
      <c r="O1557" s="112">
        <v>64.6006944444444</v>
      </c>
      <c r="P1557" s="110" t="str">
        <f t="shared" si="98"/>
        <v/>
      </c>
      <c r="Q1557" s="54"/>
      <c r="R1557" s="58"/>
      <c r="S1557" s="87" t="str">
        <f t="shared" si="100"/>
        <v/>
      </c>
      <c r="T1557" s="54"/>
      <c r="U1557" s="54"/>
      <c r="V1557" s="54"/>
      <c r="W1557" s="54"/>
      <c r="X1557" s="69" t="str">
        <f t="shared" si="99"/>
        <v>D</v>
      </c>
    </row>
    <row r="1558" spans="1:24" s="66" customFormat="1" x14ac:dyDescent="0.25">
      <c r="A1558" s="51"/>
      <c r="B1558" s="91" t="str">
        <f>IFERROR(VLOOKUP(A1558,Lookup!A:B,2,0),"")</f>
        <v/>
      </c>
      <c r="C1558" s="92" t="str">
        <f>IFERROR(VLOOKUP(A1558,Lookup!A:C,3,0),"")</f>
        <v/>
      </c>
      <c r="D1558" s="54"/>
      <c r="E1558" s="54"/>
      <c r="F1558" s="54"/>
      <c r="G1558" s="72"/>
      <c r="H1558" s="54"/>
      <c r="I1558" s="54"/>
      <c r="J1558" s="106">
        <f>VLOOKUP(A1558&amp;G1558,Lookup!J:N,5,0)</f>
        <v>0</v>
      </c>
      <c r="K1558" s="115"/>
      <c r="L1558" s="54"/>
      <c r="M1558" s="54"/>
      <c r="N1558" s="54"/>
      <c r="O1558" s="112">
        <v>64.6423611111111</v>
      </c>
      <c r="P1558" s="110" t="str">
        <f t="shared" si="98"/>
        <v/>
      </c>
      <c r="Q1558" s="54"/>
      <c r="R1558" s="58"/>
      <c r="S1558" s="87" t="str">
        <f t="shared" si="100"/>
        <v/>
      </c>
      <c r="T1558" s="54"/>
      <c r="U1558" s="54"/>
      <c r="V1558" s="54"/>
      <c r="W1558" s="54"/>
      <c r="X1558" s="69" t="str">
        <f t="shared" si="99"/>
        <v>D</v>
      </c>
    </row>
    <row r="1559" spans="1:24" s="66" customFormat="1" x14ac:dyDescent="0.25">
      <c r="A1559" s="51"/>
      <c r="B1559" s="91" t="str">
        <f>IFERROR(VLOOKUP(A1559,Lookup!A:B,2,0),"")</f>
        <v/>
      </c>
      <c r="C1559" s="92" t="str">
        <f>IFERROR(VLOOKUP(A1559,Lookup!A:C,3,0),"")</f>
        <v/>
      </c>
      <c r="D1559" s="54"/>
      <c r="E1559" s="54"/>
      <c r="F1559" s="54"/>
      <c r="G1559" s="72"/>
      <c r="H1559" s="54"/>
      <c r="I1559" s="54"/>
      <c r="J1559" s="106">
        <f>VLOOKUP(A1559&amp;G1559,Lookup!J:N,5,0)</f>
        <v>0</v>
      </c>
      <c r="K1559" s="115"/>
      <c r="L1559" s="54"/>
      <c r="M1559" s="54"/>
      <c r="N1559" s="54"/>
      <c r="O1559" s="112">
        <v>64.6840277777778</v>
      </c>
      <c r="P1559" s="110" t="str">
        <f t="shared" si="98"/>
        <v/>
      </c>
      <c r="Q1559" s="54"/>
      <c r="R1559" s="58"/>
      <c r="S1559" s="87" t="str">
        <f t="shared" si="100"/>
        <v/>
      </c>
      <c r="T1559" s="54"/>
      <c r="U1559" s="54"/>
      <c r="V1559" s="54"/>
      <c r="W1559" s="54"/>
      <c r="X1559" s="69" t="str">
        <f t="shared" si="99"/>
        <v>D</v>
      </c>
    </row>
    <row r="1560" spans="1:24" s="66" customFormat="1" x14ac:dyDescent="0.25">
      <c r="A1560" s="51"/>
      <c r="B1560" s="91" t="str">
        <f>IFERROR(VLOOKUP(A1560,Lookup!A:B,2,0),"")</f>
        <v/>
      </c>
      <c r="C1560" s="92" t="str">
        <f>IFERROR(VLOOKUP(A1560,Lookup!A:C,3,0),"")</f>
        <v/>
      </c>
      <c r="D1560" s="54"/>
      <c r="E1560" s="54"/>
      <c r="F1560" s="54"/>
      <c r="G1560" s="72"/>
      <c r="H1560" s="54"/>
      <c r="I1560" s="54"/>
      <c r="J1560" s="106">
        <f>VLOOKUP(A1560&amp;G1560,Lookup!J:N,5,0)</f>
        <v>0</v>
      </c>
      <c r="K1560" s="115"/>
      <c r="L1560" s="54"/>
      <c r="M1560" s="54"/>
      <c r="N1560" s="54"/>
      <c r="O1560" s="112">
        <v>64.7256944444444</v>
      </c>
      <c r="P1560" s="110" t="str">
        <f t="shared" si="98"/>
        <v/>
      </c>
      <c r="Q1560" s="54"/>
      <c r="R1560" s="58"/>
      <c r="S1560" s="87" t="str">
        <f t="shared" si="100"/>
        <v/>
      </c>
      <c r="T1560" s="54"/>
      <c r="U1560" s="54"/>
      <c r="V1560" s="54"/>
      <c r="W1560" s="54"/>
      <c r="X1560" s="69" t="str">
        <f t="shared" si="99"/>
        <v>D</v>
      </c>
    </row>
    <row r="1561" spans="1:24" s="66" customFormat="1" x14ac:dyDescent="0.25">
      <c r="A1561" s="51"/>
      <c r="B1561" s="91" t="str">
        <f>IFERROR(VLOOKUP(A1561,Lookup!A:B,2,0),"")</f>
        <v/>
      </c>
      <c r="C1561" s="92" t="str">
        <f>IFERROR(VLOOKUP(A1561,Lookup!A:C,3,0),"")</f>
        <v/>
      </c>
      <c r="D1561" s="54"/>
      <c r="E1561" s="54"/>
      <c r="F1561" s="54"/>
      <c r="G1561" s="72"/>
      <c r="H1561" s="54"/>
      <c r="I1561" s="54"/>
      <c r="J1561" s="106">
        <f>VLOOKUP(A1561&amp;G1561,Lookup!J:N,5,0)</f>
        <v>0</v>
      </c>
      <c r="K1561" s="115"/>
      <c r="L1561" s="54"/>
      <c r="M1561" s="54"/>
      <c r="N1561" s="54"/>
      <c r="O1561" s="112">
        <v>64.7673611111111</v>
      </c>
      <c r="P1561" s="110" t="str">
        <f t="shared" si="98"/>
        <v/>
      </c>
      <c r="Q1561" s="54"/>
      <c r="R1561" s="58"/>
      <c r="S1561" s="87" t="str">
        <f t="shared" si="100"/>
        <v/>
      </c>
      <c r="T1561" s="54"/>
      <c r="U1561" s="54"/>
      <c r="V1561" s="54"/>
      <c r="W1561" s="54"/>
      <c r="X1561" s="69" t="str">
        <f t="shared" si="99"/>
        <v>D</v>
      </c>
    </row>
    <row r="1562" spans="1:24" s="66" customFormat="1" x14ac:dyDescent="0.25">
      <c r="A1562" s="51"/>
      <c r="B1562" s="91" t="str">
        <f>IFERROR(VLOOKUP(A1562,Lookup!A:B,2,0),"")</f>
        <v/>
      </c>
      <c r="C1562" s="92" t="str">
        <f>IFERROR(VLOOKUP(A1562,Lookup!A:C,3,0),"")</f>
        <v/>
      </c>
      <c r="D1562" s="54"/>
      <c r="E1562" s="54"/>
      <c r="F1562" s="54"/>
      <c r="G1562" s="72"/>
      <c r="H1562" s="54"/>
      <c r="I1562" s="54"/>
      <c r="J1562" s="106">
        <f>VLOOKUP(A1562&amp;G1562,Lookup!J:N,5,0)</f>
        <v>0</v>
      </c>
      <c r="K1562" s="115"/>
      <c r="L1562" s="54"/>
      <c r="M1562" s="54"/>
      <c r="N1562" s="54"/>
      <c r="O1562" s="112">
        <v>64.8090277777778</v>
      </c>
      <c r="P1562" s="110" t="str">
        <f t="shared" si="98"/>
        <v/>
      </c>
      <c r="Q1562" s="54"/>
      <c r="R1562" s="58"/>
      <c r="S1562" s="87" t="str">
        <f t="shared" si="100"/>
        <v/>
      </c>
      <c r="T1562" s="54"/>
      <c r="U1562" s="54"/>
      <c r="V1562" s="54"/>
      <c r="W1562" s="54"/>
      <c r="X1562" s="69" t="str">
        <f t="shared" si="99"/>
        <v>D</v>
      </c>
    </row>
    <row r="1563" spans="1:24" s="66" customFormat="1" x14ac:dyDescent="0.25">
      <c r="A1563" s="51"/>
      <c r="B1563" s="91" t="str">
        <f>IFERROR(VLOOKUP(A1563,Lookup!A:B,2,0),"")</f>
        <v/>
      </c>
      <c r="C1563" s="92" t="str">
        <f>IFERROR(VLOOKUP(A1563,Lookup!A:C,3,0),"")</f>
        <v/>
      </c>
      <c r="D1563" s="54"/>
      <c r="E1563" s="54"/>
      <c r="F1563" s="54"/>
      <c r="G1563" s="72"/>
      <c r="H1563" s="54"/>
      <c r="I1563" s="54"/>
      <c r="J1563" s="106">
        <f>VLOOKUP(A1563&amp;G1563,Lookup!J:N,5,0)</f>
        <v>0</v>
      </c>
      <c r="K1563" s="115"/>
      <c r="L1563" s="54"/>
      <c r="M1563" s="54"/>
      <c r="N1563" s="54"/>
      <c r="O1563" s="112">
        <v>64.8506944444444</v>
      </c>
      <c r="P1563" s="110" t="str">
        <f t="shared" si="98"/>
        <v/>
      </c>
      <c r="Q1563" s="54"/>
      <c r="R1563" s="58"/>
      <c r="S1563" s="87" t="str">
        <f t="shared" si="100"/>
        <v/>
      </c>
      <c r="T1563" s="54"/>
      <c r="U1563" s="54"/>
      <c r="V1563" s="54"/>
      <c r="W1563" s="54"/>
      <c r="X1563" s="69" t="str">
        <f t="shared" si="99"/>
        <v>D</v>
      </c>
    </row>
    <row r="1564" spans="1:24" s="66" customFormat="1" x14ac:dyDescent="0.25">
      <c r="A1564" s="51"/>
      <c r="B1564" s="91" t="str">
        <f>IFERROR(VLOOKUP(A1564,Lookup!A:B,2,0),"")</f>
        <v/>
      </c>
      <c r="C1564" s="92" t="str">
        <f>IFERROR(VLOOKUP(A1564,Lookup!A:C,3,0),"")</f>
        <v/>
      </c>
      <c r="D1564" s="54"/>
      <c r="E1564" s="54"/>
      <c r="F1564" s="54"/>
      <c r="G1564" s="72"/>
      <c r="H1564" s="54"/>
      <c r="I1564" s="54"/>
      <c r="J1564" s="106">
        <f>VLOOKUP(A1564&amp;G1564,Lookup!J:N,5,0)</f>
        <v>0</v>
      </c>
      <c r="K1564" s="115"/>
      <c r="L1564" s="54"/>
      <c r="M1564" s="54"/>
      <c r="N1564" s="54"/>
      <c r="O1564" s="112">
        <v>64.8923611111111</v>
      </c>
      <c r="P1564" s="110" t="str">
        <f t="shared" si="98"/>
        <v/>
      </c>
      <c r="Q1564" s="54"/>
      <c r="R1564" s="58"/>
      <c r="S1564" s="87" t="str">
        <f t="shared" si="100"/>
        <v/>
      </c>
      <c r="T1564" s="54"/>
      <c r="U1564" s="54"/>
      <c r="V1564" s="54"/>
      <c r="W1564" s="54"/>
      <c r="X1564" s="69" t="str">
        <f t="shared" si="99"/>
        <v>D</v>
      </c>
    </row>
    <row r="1565" spans="1:24" s="66" customFormat="1" x14ac:dyDescent="0.25">
      <c r="A1565" s="51"/>
      <c r="B1565" s="91" t="str">
        <f>IFERROR(VLOOKUP(A1565,Lookup!A:B,2,0),"")</f>
        <v/>
      </c>
      <c r="C1565" s="92" t="str">
        <f>IFERROR(VLOOKUP(A1565,Lookup!A:C,3,0),"")</f>
        <v/>
      </c>
      <c r="D1565" s="54"/>
      <c r="E1565" s="54"/>
      <c r="F1565" s="54"/>
      <c r="G1565" s="72"/>
      <c r="H1565" s="54"/>
      <c r="I1565" s="54"/>
      <c r="J1565" s="106">
        <f>VLOOKUP(A1565&amp;G1565,Lookup!J:N,5,0)</f>
        <v>0</v>
      </c>
      <c r="K1565" s="115"/>
      <c r="L1565" s="54"/>
      <c r="M1565" s="54"/>
      <c r="N1565" s="54"/>
      <c r="O1565" s="112">
        <v>64.9340277777778</v>
      </c>
      <c r="P1565" s="110" t="str">
        <f t="shared" si="98"/>
        <v/>
      </c>
      <c r="Q1565" s="54"/>
      <c r="R1565" s="58"/>
      <c r="S1565" s="87" t="str">
        <f t="shared" si="100"/>
        <v/>
      </c>
      <c r="T1565" s="54"/>
      <c r="U1565" s="54"/>
      <c r="V1565" s="54"/>
      <c r="W1565" s="54"/>
      <c r="X1565" s="69" t="str">
        <f t="shared" si="99"/>
        <v>D</v>
      </c>
    </row>
    <row r="1566" spans="1:24" s="66" customFormat="1" x14ac:dyDescent="0.25">
      <c r="A1566" s="51"/>
      <c r="B1566" s="91" t="str">
        <f>IFERROR(VLOOKUP(A1566,Lookup!A:B,2,0),"")</f>
        <v/>
      </c>
      <c r="C1566" s="92" t="str">
        <f>IFERROR(VLOOKUP(A1566,Lookup!A:C,3,0),"")</f>
        <v/>
      </c>
      <c r="D1566" s="54"/>
      <c r="E1566" s="54"/>
      <c r="F1566" s="54"/>
      <c r="G1566" s="72"/>
      <c r="H1566" s="54"/>
      <c r="I1566" s="54"/>
      <c r="J1566" s="106">
        <f>VLOOKUP(A1566&amp;G1566,Lookup!J:N,5,0)</f>
        <v>0</v>
      </c>
      <c r="K1566" s="115"/>
      <c r="L1566" s="54"/>
      <c r="M1566" s="54"/>
      <c r="N1566" s="54"/>
      <c r="O1566" s="112">
        <v>64.9756944444444</v>
      </c>
      <c r="P1566" s="110" t="str">
        <f t="shared" si="98"/>
        <v/>
      </c>
      <c r="Q1566" s="54"/>
      <c r="R1566" s="58"/>
      <c r="S1566" s="87" t="str">
        <f t="shared" si="100"/>
        <v/>
      </c>
      <c r="T1566" s="54"/>
      <c r="U1566" s="54"/>
      <c r="V1566" s="54"/>
      <c r="W1566" s="54"/>
      <c r="X1566" s="69" t="str">
        <f t="shared" si="99"/>
        <v>D</v>
      </c>
    </row>
    <row r="1567" spans="1:24" s="66" customFormat="1" x14ac:dyDescent="0.25">
      <c r="A1567" s="51"/>
      <c r="B1567" s="91" t="str">
        <f>IFERROR(VLOOKUP(A1567,Lookup!A:B,2,0),"")</f>
        <v/>
      </c>
      <c r="C1567" s="92" t="str">
        <f>IFERROR(VLOOKUP(A1567,Lookup!A:C,3,0),"")</f>
        <v/>
      </c>
      <c r="D1567" s="54"/>
      <c r="E1567" s="54"/>
      <c r="F1567" s="54"/>
      <c r="G1567" s="72"/>
      <c r="H1567" s="54"/>
      <c r="I1567" s="54"/>
      <c r="J1567" s="106">
        <f>VLOOKUP(A1567&amp;G1567,Lookup!J:N,5,0)</f>
        <v>0</v>
      </c>
      <c r="K1567" s="115"/>
      <c r="L1567" s="54"/>
      <c r="M1567" s="54"/>
      <c r="N1567" s="54"/>
      <c r="O1567" s="112">
        <v>65.0173611111111</v>
      </c>
      <c r="P1567" s="110" t="str">
        <f t="shared" si="98"/>
        <v/>
      </c>
      <c r="Q1567" s="54"/>
      <c r="R1567" s="58"/>
      <c r="S1567" s="87" t="str">
        <f t="shared" si="100"/>
        <v/>
      </c>
      <c r="T1567" s="54"/>
      <c r="U1567" s="54"/>
      <c r="V1567" s="54"/>
      <c r="W1567" s="54"/>
      <c r="X1567" s="69" t="str">
        <f t="shared" si="99"/>
        <v>D</v>
      </c>
    </row>
    <row r="1568" spans="1:24" s="66" customFormat="1" x14ac:dyDescent="0.25">
      <c r="A1568" s="51"/>
      <c r="B1568" s="91" t="str">
        <f>IFERROR(VLOOKUP(A1568,Lookup!A:B,2,0),"")</f>
        <v/>
      </c>
      <c r="C1568" s="92" t="str">
        <f>IFERROR(VLOOKUP(A1568,Lookup!A:C,3,0),"")</f>
        <v/>
      </c>
      <c r="D1568" s="54"/>
      <c r="E1568" s="54"/>
      <c r="F1568" s="54"/>
      <c r="G1568" s="72"/>
      <c r="H1568" s="54"/>
      <c r="I1568" s="54"/>
      <c r="J1568" s="106">
        <f>VLOOKUP(A1568&amp;G1568,Lookup!J:N,5,0)</f>
        <v>0</v>
      </c>
      <c r="K1568" s="115"/>
      <c r="L1568" s="54"/>
      <c r="M1568" s="54"/>
      <c r="N1568" s="54"/>
      <c r="O1568" s="112">
        <v>65.0590277777778</v>
      </c>
      <c r="P1568" s="110" t="str">
        <f t="shared" si="98"/>
        <v/>
      </c>
      <c r="Q1568" s="54"/>
      <c r="R1568" s="58"/>
      <c r="S1568" s="87" t="str">
        <f t="shared" si="100"/>
        <v/>
      </c>
      <c r="T1568" s="54"/>
      <c r="U1568" s="54"/>
      <c r="V1568" s="54"/>
      <c r="W1568" s="54"/>
      <c r="X1568" s="69" t="str">
        <f t="shared" si="99"/>
        <v>D</v>
      </c>
    </row>
    <row r="1569" spans="1:24" s="66" customFormat="1" x14ac:dyDescent="0.25">
      <c r="A1569" s="51"/>
      <c r="B1569" s="91" t="str">
        <f>IFERROR(VLOOKUP(A1569,Lookup!A:B,2,0),"")</f>
        <v/>
      </c>
      <c r="C1569" s="92" t="str">
        <f>IFERROR(VLOOKUP(A1569,Lookup!A:C,3,0),"")</f>
        <v/>
      </c>
      <c r="D1569" s="54"/>
      <c r="E1569" s="54"/>
      <c r="F1569" s="54"/>
      <c r="G1569" s="72"/>
      <c r="H1569" s="54"/>
      <c r="I1569" s="54"/>
      <c r="J1569" s="106">
        <f>VLOOKUP(A1569&amp;G1569,Lookup!J:N,5,0)</f>
        <v>0</v>
      </c>
      <c r="K1569" s="115"/>
      <c r="L1569" s="54"/>
      <c r="M1569" s="54"/>
      <c r="N1569" s="54"/>
      <c r="O1569" s="112">
        <v>65.1006944444444</v>
      </c>
      <c r="P1569" s="110" t="str">
        <f t="shared" si="98"/>
        <v/>
      </c>
      <c r="Q1569" s="54"/>
      <c r="R1569" s="58"/>
      <c r="S1569" s="87" t="str">
        <f t="shared" si="100"/>
        <v/>
      </c>
      <c r="T1569" s="54"/>
      <c r="U1569" s="54"/>
      <c r="V1569" s="54"/>
      <c r="W1569" s="54"/>
      <c r="X1569" s="69" t="str">
        <f t="shared" si="99"/>
        <v>D</v>
      </c>
    </row>
    <row r="1570" spans="1:24" s="66" customFormat="1" x14ac:dyDescent="0.25">
      <c r="A1570" s="51"/>
      <c r="B1570" s="91" t="str">
        <f>IFERROR(VLOOKUP(A1570,Lookup!A:B,2,0),"")</f>
        <v/>
      </c>
      <c r="C1570" s="92" t="str">
        <f>IFERROR(VLOOKUP(A1570,Lookup!A:C,3,0),"")</f>
        <v/>
      </c>
      <c r="D1570" s="54"/>
      <c r="E1570" s="54"/>
      <c r="F1570" s="54"/>
      <c r="G1570" s="72"/>
      <c r="H1570" s="54"/>
      <c r="I1570" s="54"/>
      <c r="J1570" s="106">
        <f>VLOOKUP(A1570&amp;G1570,Lookup!J:N,5,0)</f>
        <v>0</v>
      </c>
      <c r="K1570" s="115"/>
      <c r="L1570" s="54"/>
      <c r="M1570" s="54"/>
      <c r="N1570" s="54"/>
      <c r="O1570" s="112">
        <v>65.1423611111111</v>
      </c>
      <c r="P1570" s="110" t="str">
        <f t="shared" si="98"/>
        <v/>
      </c>
      <c r="Q1570" s="54"/>
      <c r="R1570" s="58"/>
      <c r="S1570" s="87" t="str">
        <f t="shared" si="100"/>
        <v/>
      </c>
      <c r="T1570" s="54"/>
      <c r="U1570" s="54"/>
      <c r="V1570" s="54"/>
      <c r="W1570" s="54"/>
      <c r="X1570" s="69" t="str">
        <f t="shared" si="99"/>
        <v>D</v>
      </c>
    </row>
    <row r="1571" spans="1:24" s="66" customFormat="1" x14ac:dyDescent="0.25">
      <c r="A1571" s="51"/>
      <c r="B1571" s="91" t="str">
        <f>IFERROR(VLOOKUP(A1571,Lookup!A:B,2,0),"")</f>
        <v/>
      </c>
      <c r="C1571" s="92" t="str">
        <f>IFERROR(VLOOKUP(A1571,Lookup!A:C,3,0),"")</f>
        <v/>
      </c>
      <c r="D1571" s="54"/>
      <c r="E1571" s="54"/>
      <c r="F1571" s="54"/>
      <c r="G1571" s="72"/>
      <c r="H1571" s="54"/>
      <c r="I1571" s="54"/>
      <c r="J1571" s="106">
        <f>VLOOKUP(A1571&amp;G1571,Lookup!J:N,5,0)</f>
        <v>0</v>
      </c>
      <c r="K1571" s="115"/>
      <c r="L1571" s="54"/>
      <c r="M1571" s="54"/>
      <c r="N1571" s="54"/>
      <c r="O1571" s="112">
        <v>65.1840277777778</v>
      </c>
      <c r="P1571" s="110" t="str">
        <f t="shared" si="98"/>
        <v/>
      </c>
      <c r="Q1571" s="54"/>
      <c r="R1571" s="58"/>
      <c r="S1571" s="87" t="str">
        <f t="shared" si="100"/>
        <v/>
      </c>
      <c r="T1571" s="54"/>
      <c r="U1571" s="54"/>
      <c r="V1571" s="54"/>
      <c r="W1571" s="54"/>
      <c r="X1571" s="69" t="str">
        <f t="shared" si="99"/>
        <v>D</v>
      </c>
    </row>
    <row r="1572" spans="1:24" s="66" customFormat="1" x14ac:dyDescent="0.25">
      <c r="A1572" s="51"/>
      <c r="B1572" s="91" t="str">
        <f>IFERROR(VLOOKUP(A1572,Lookup!A:B,2,0),"")</f>
        <v/>
      </c>
      <c r="C1572" s="92" t="str">
        <f>IFERROR(VLOOKUP(A1572,Lookup!A:C,3,0),"")</f>
        <v/>
      </c>
      <c r="D1572" s="54"/>
      <c r="E1572" s="54"/>
      <c r="F1572" s="54"/>
      <c r="G1572" s="72"/>
      <c r="H1572" s="54"/>
      <c r="I1572" s="54"/>
      <c r="J1572" s="106">
        <f>VLOOKUP(A1572&amp;G1572,Lookup!J:N,5,0)</f>
        <v>0</v>
      </c>
      <c r="K1572" s="115"/>
      <c r="L1572" s="54"/>
      <c r="M1572" s="54"/>
      <c r="N1572" s="54"/>
      <c r="O1572" s="112">
        <v>65.2256944444444</v>
      </c>
      <c r="P1572" s="110" t="str">
        <f t="shared" si="98"/>
        <v/>
      </c>
      <c r="Q1572" s="54"/>
      <c r="R1572" s="58"/>
      <c r="S1572" s="87" t="str">
        <f t="shared" si="100"/>
        <v/>
      </c>
      <c r="T1572" s="54"/>
      <c r="U1572" s="54"/>
      <c r="V1572" s="54"/>
      <c r="W1572" s="54"/>
      <c r="X1572" s="69" t="str">
        <f t="shared" si="99"/>
        <v>D</v>
      </c>
    </row>
    <row r="1573" spans="1:24" s="66" customFormat="1" x14ac:dyDescent="0.25">
      <c r="A1573" s="51"/>
      <c r="B1573" s="91" t="str">
        <f>IFERROR(VLOOKUP(A1573,Lookup!A:B,2,0),"")</f>
        <v/>
      </c>
      <c r="C1573" s="92" t="str">
        <f>IFERROR(VLOOKUP(A1573,Lookup!A:C,3,0),"")</f>
        <v/>
      </c>
      <c r="D1573" s="54"/>
      <c r="E1573" s="54"/>
      <c r="F1573" s="54"/>
      <c r="G1573" s="72"/>
      <c r="H1573" s="54"/>
      <c r="I1573" s="54"/>
      <c r="J1573" s="106">
        <f>VLOOKUP(A1573&amp;G1573,Lookup!J:N,5,0)</f>
        <v>0</v>
      </c>
      <c r="K1573" s="115"/>
      <c r="L1573" s="54"/>
      <c r="M1573" s="54"/>
      <c r="N1573" s="54"/>
      <c r="O1573" s="112">
        <v>65.2673611111111</v>
      </c>
      <c r="P1573" s="110" t="str">
        <f t="shared" si="98"/>
        <v/>
      </c>
      <c r="Q1573" s="54"/>
      <c r="R1573" s="58"/>
      <c r="S1573" s="87" t="str">
        <f t="shared" si="100"/>
        <v/>
      </c>
      <c r="T1573" s="54"/>
      <c r="U1573" s="54"/>
      <c r="V1573" s="54"/>
      <c r="W1573" s="54"/>
      <c r="X1573" s="69" t="str">
        <f t="shared" si="99"/>
        <v>D</v>
      </c>
    </row>
    <row r="1574" spans="1:24" s="66" customFormat="1" x14ac:dyDescent="0.25">
      <c r="A1574" s="51"/>
      <c r="B1574" s="91" t="str">
        <f>IFERROR(VLOOKUP(A1574,Lookup!A:B,2,0),"")</f>
        <v/>
      </c>
      <c r="C1574" s="92" t="str">
        <f>IFERROR(VLOOKUP(A1574,Lookup!A:C,3,0),"")</f>
        <v/>
      </c>
      <c r="D1574" s="54"/>
      <c r="E1574" s="54"/>
      <c r="F1574" s="54"/>
      <c r="G1574" s="72"/>
      <c r="H1574" s="54"/>
      <c r="I1574" s="54"/>
      <c r="J1574" s="106">
        <f>VLOOKUP(A1574&amp;G1574,Lookup!J:N,5,0)</f>
        <v>0</v>
      </c>
      <c r="K1574" s="115"/>
      <c r="L1574" s="54"/>
      <c r="M1574" s="54"/>
      <c r="N1574" s="54"/>
      <c r="O1574" s="112">
        <v>65.3090277777778</v>
      </c>
      <c r="P1574" s="110" t="str">
        <f t="shared" si="98"/>
        <v/>
      </c>
      <c r="Q1574" s="54"/>
      <c r="R1574" s="58"/>
      <c r="S1574" s="87" t="str">
        <f t="shared" si="100"/>
        <v/>
      </c>
      <c r="T1574" s="54"/>
      <c r="U1574" s="54"/>
      <c r="V1574" s="54"/>
      <c r="W1574" s="54"/>
      <c r="X1574" s="69" t="str">
        <f t="shared" si="99"/>
        <v>D</v>
      </c>
    </row>
    <row r="1575" spans="1:24" s="66" customFormat="1" x14ac:dyDescent="0.25">
      <c r="A1575" s="51"/>
      <c r="B1575" s="91" t="str">
        <f>IFERROR(VLOOKUP(A1575,Lookup!A:B,2,0),"")</f>
        <v/>
      </c>
      <c r="C1575" s="92" t="str">
        <f>IFERROR(VLOOKUP(A1575,Lookup!A:C,3,0),"")</f>
        <v/>
      </c>
      <c r="D1575" s="54"/>
      <c r="E1575" s="54"/>
      <c r="F1575" s="54"/>
      <c r="G1575" s="72"/>
      <c r="H1575" s="54"/>
      <c r="I1575" s="54"/>
      <c r="J1575" s="106">
        <f>VLOOKUP(A1575&amp;G1575,Lookup!J:N,5,0)</f>
        <v>0</v>
      </c>
      <c r="K1575" s="115"/>
      <c r="L1575" s="54"/>
      <c r="M1575" s="54"/>
      <c r="N1575" s="54"/>
      <c r="O1575" s="112">
        <v>65.3506944444444</v>
      </c>
      <c r="P1575" s="110" t="str">
        <f t="shared" si="98"/>
        <v/>
      </c>
      <c r="Q1575" s="54"/>
      <c r="R1575" s="58"/>
      <c r="S1575" s="87" t="str">
        <f t="shared" si="100"/>
        <v/>
      </c>
      <c r="T1575" s="54"/>
      <c r="U1575" s="54"/>
      <c r="V1575" s="54"/>
      <c r="W1575" s="54"/>
      <c r="X1575" s="69" t="str">
        <f t="shared" si="99"/>
        <v>D</v>
      </c>
    </row>
    <row r="1576" spans="1:24" s="66" customFormat="1" x14ac:dyDescent="0.25">
      <c r="A1576" s="51"/>
      <c r="B1576" s="91" t="str">
        <f>IFERROR(VLOOKUP(A1576,Lookup!A:B,2,0),"")</f>
        <v/>
      </c>
      <c r="C1576" s="92" t="str">
        <f>IFERROR(VLOOKUP(A1576,Lookup!A:C,3,0),"")</f>
        <v/>
      </c>
      <c r="D1576" s="54"/>
      <c r="E1576" s="54"/>
      <c r="F1576" s="54"/>
      <c r="G1576" s="72"/>
      <c r="H1576" s="54"/>
      <c r="I1576" s="54"/>
      <c r="J1576" s="106">
        <f>VLOOKUP(A1576&amp;G1576,Lookup!J:N,5,0)</f>
        <v>0</v>
      </c>
      <c r="K1576" s="115"/>
      <c r="L1576" s="54"/>
      <c r="M1576" s="54"/>
      <c r="N1576" s="54"/>
      <c r="O1576" s="112">
        <v>65.3923611111111</v>
      </c>
      <c r="P1576" s="110" t="str">
        <f t="shared" si="98"/>
        <v/>
      </c>
      <c r="Q1576" s="54"/>
      <c r="R1576" s="58"/>
      <c r="S1576" s="87" t="str">
        <f t="shared" si="100"/>
        <v/>
      </c>
      <c r="T1576" s="54"/>
      <c r="U1576" s="54"/>
      <c r="V1576" s="54"/>
      <c r="W1576" s="54"/>
      <c r="X1576" s="69" t="str">
        <f t="shared" si="99"/>
        <v>D</v>
      </c>
    </row>
    <row r="1577" spans="1:24" s="66" customFormat="1" x14ac:dyDescent="0.25">
      <c r="A1577" s="51"/>
      <c r="B1577" s="91" t="str">
        <f>IFERROR(VLOOKUP(A1577,Lookup!A:B,2,0),"")</f>
        <v/>
      </c>
      <c r="C1577" s="92" t="str">
        <f>IFERROR(VLOOKUP(A1577,Lookup!A:C,3,0),"")</f>
        <v/>
      </c>
      <c r="D1577" s="54"/>
      <c r="E1577" s="54"/>
      <c r="F1577" s="54"/>
      <c r="G1577" s="72"/>
      <c r="H1577" s="54"/>
      <c r="I1577" s="54"/>
      <c r="J1577" s="106">
        <f>VLOOKUP(A1577&amp;G1577,Lookup!J:N,5,0)</f>
        <v>0</v>
      </c>
      <c r="K1577" s="115"/>
      <c r="L1577" s="54"/>
      <c r="M1577" s="54"/>
      <c r="N1577" s="54"/>
      <c r="O1577" s="112">
        <v>65.4340277777778</v>
      </c>
      <c r="P1577" s="110" t="str">
        <f t="shared" si="98"/>
        <v/>
      </c>
      <c r="Q1577" s="54"/>
      <c r="R1577" s="58"/>
      <c r="S1577" s="87" t="str">
        <f t="shared" si="100"/>
        <v/>
      </c>
      <c r="T1577" s="54"/>
      <c r="U1577" s="54"/>
      <c r="V1577" s="54"/>
      <c r="W1577" s="54"/>
      <c r="X1577" s="69" t="str">
        <f t="shared" si="99"/>
        <v>D</v>
      </c>
    </row>
    <row r="1578" spans="1:24" s="66" customFormat="1" x14ac:dyDescent="0.25">
      <c r="A1578" s="51"/>
      <c r="B1578" s="91" t="str">
        <f>IFERROR(VLOOKUP(A1578,Lookup!A:B,2,0),"")</f>
        <v/>
      </c>
      <c r="C1578" s="92" t="str">
        <f>IFERROR(VLOOKUP(A1578,Lookup!A:C,3,0),"")</f>
        <v/>
      </c>
      <c r="D1578" s="54"/>
      <c r="E1578" s="54"/>
      <c r="F1578" s="54"/>
      <c r="G1578" s="72"/>
      <c r="H1578" s="54"/>
      <c r="I1578" s="54"/>
      <c r="J1578" s="106">
        <f>VLOOKUP(A1578&amp;G1578,Lookup!J:N,5,0)</f>
        <v>0</v>
      </c>
      <c r="K1578" s="115"/>
      <c r="L1578" s="54"/>
      <c r="M1578" s="54"/>
      <c r="N1578" s="54"/>
      <c r="O1578" s="112">
        <v>65.4756944444444</v>
      </c>
      <c r="P1578" s="110" t="str">
        <f t="shared" si="98"/>
        <v/>
      </c>
      <c r="Q1578" s="54"/>
      <c r="R1578" s="58"/>
      <c r="S1578" s="87" t="str">
        <f t="shared" si="100"/>
        <v/>
      </c>
      <c r="T1578" s="54"/>
      <c r="U1578" s="54"/>
      <c r="V1578" s="54"/>
      <c r="W1578" s="54"/>
      <c r="X1578" s="69" t="str">
        <f t="shared" si="99"/>
        <v>D</v>
      </c>
    </row>
    <row r="1579" spans="1:24" s="66" customFormat="1" x14ac:dyDescent="0.25">
      <c r="A1579" s="51"/>
      <c r="B1579" s="91" t="str">
        <f>IFERROR(VLOOKUP(A1579,Lookup!A:B,2,0),"")</f>
        <v/>
      </c>
      <c r="C1579" s="92" t="str">
        <f>IFERROR(VLOOKUP(A1579,Lookup!A:C,3,0),"")</f>
        <v/>
      </c>
      <c r="D1579" s="54"/>
      <c r="E1579" s="54"/>
      <c r="F1579" s="54"/>
      <c r="G1579" s="72"/>
      <c r="H1579" s="54"/>
      <c r="I1579" s="54"/>
      <c r="J1579" s="106">
        <f>VLOOKUP(A1579&amp;G1579,Lookup!J:N,5,0)</f>
        <v>0</v>
      </c>
      <c r="K1579" s="115"/>
      <c r="L1579" s="54"/>
      <c r="M1579" s="54"/>
      <c r="N1579" s="54"/>
      <c r="O1579" s="112">
        <v>65.5173611111111</v>
      </c>
      <c r="P1579" s="110" t="str">
        <f t="shared" si="98"/>
        <v/>
      </c>
      <c r="Q1579" s="54"/>
      <c r="R1579" s="58"/>
      <c r="S1579" s="87" t="str">
        <f t="shared" si="100"/>
        <v/>
      </c>
      <c r="T1579" s="54"/>
      <c r="U1579" s="54"/>
      <c r="V1579" s="54"/>
      <c r="W1579" s="54"/>
      <c r="X1579" s="69" t="str">
        <f t="shared" si="99"/>
        <v>D</v>
      </c>
    </row>
    <row r="1580" spans="1:24" s="66" customFormat="1" x14ac:dyDescent="0.25">
      <c r="A1580" s="51"/>
      <c r="B1580" s="91" t="str">
        <f>IFERROR(VLOOKUP(A1580,Lookup!A:B,2,0),"")</f>
        <v/>
      </c>
      <c r="C1580" s="92" t="str">
        <f>IFERROR(VLOOKUP(A1580,Lookup!A:C,3,0),"")</f>
        <v/>
      </c>
      <c r="D1580" s="54"/>
      <c r="E1580" s="54"/>
      <c r="F1580" s="54"/>
      <c r="G1580" s="72"/>
      <c r="H1580" s="54"/>
      <c r="I1580" s="54"/>
      <c r="J1580" s="106">
        <f>VLOOKUP(A1580&amp;G1580,Lookup!J:N,5,0)</f>
        <v>0</v>
      </c>
      <c r="K1580" s="115"/>
      <c r="L1580" s="54"/>
      <c r="M1580" s="54"/>
      <c r="N1580" s="54"/>
      <c r="O1580" s="112">
        <v>65.5590277777778</v>
      </c>
      <c r="P1580" s="110" t="str">
        <f t="shared" si="98"/>
        <v/>
      </c>
      <c r="Q1580" s="54"/>
      <c r="R1580" s="58"/>
      <c r="S1580" s="87" t="str">
        <f t="shared" si="100"/>
        <v/>
      </c>
      <c r="T1580" s="54"/>
      <c r="U1580" s="54"/>
      <c r="V1580" s="54"/>
      <c r="W1580" s="54"/>
      <c r="X1580" s="69" t="str">
        <f t="shared" si="99"/>
        <v>D</v>
      </c>
    </row>
    <row r="1581" spans="1:24" s="66" customFormat="1" x14ac:dyDescent="0.25">
      <c r="A1581" s="51"/>
      <c r="B1581" s="91" t="str">
        <f>IFERROR(VLOOKUP(A1581,Lookup!A:B,2,0),"")</f>
        <v/>
      </c>
      <c r="C1581" s="92" t="str">
        <f>IFERROR(VLOOKUP(A1581,Lookup!A:C,3,0),"")</f>
        <v/>
      </c>
      <c r="D1581" s="54"/>
      <c r="E1581" s="54"/>
      <c r="F1581" s="54"/>
      <c r="G1581" s="72"/>
      <c r="H1581" s="54"/>
      <c r="I1581" s="54"/>
      <c r="J1581" s="106">
        <f>VLOOKUP(A1581&amp;G1581,Lookup!J:N,5,0)</f>
        <v>0</v>
      </c>
      <c r="K1581" s="115"/>
      <c r="L1581" s="54"/>
      <c r="M1581" s="54"/>
      <c r="N1581" s="54"/>
      <c r="O1581" s="112">
        <v>65.6006944444444</v>
      </c>
      <c r="P1581" s="110" t="str">
        <f t="shared" si="98"/>
        <v/>
      </c>
      <c r="Q1581" s="54"/>
      <c r="R1581" s="58"/>
      <c r="S1581" s="87" t="str">
        <f t="shared" si="100"/>
        <v/>
      </c>
      <c r="T1581" s="54"/>
      <c r="U1581" s="54"/>
      <c r="V1581" s="54"/>
      <c r="W1581" s="54"/>
      <c r="X1581" s="69" t="str">
        <f t="shared" si="99"/>
        <v>D</v>
      </c>
    </row>
    <row r="1582" spans="1:24" s="66" customFormat="1" x14ac:dyDescent="0.25">
      <c r="A1582" s="51"/>
      <c r="B1582" s="91" t="str">
        <f>IFERROR(VLOOKUP(A1582,Lookup!A:B,2,0),"")</f>
        <v/>
      </c>
      <c r="C1582" s="92" t="str">
        <f>IFERROR(VLOOKUP(A1582,Lookup!A:C,3,0),"")</f>
        <v/>
      </c>
      <c r="D1582" s="54"/>
      <c r="E1582" s="54"/>
      <c r="F1582" s="54"/>
      <c r="G1582" s="72"/>
      <c r="H1582" s="54"/>
      <c r="I1582" s="54"/>
      <c r="J1582" s="106">
        <f>VLOOKUP(A1582&amp;G1582,Lookup!J:N,5,0)</f>
        <v>0</v>
      </c>
      <c r="K1582" s="115"/>
      <c r="L1582" s="54"/>
      <c r="M1582" s="54"/>
      <c r="N1582" s="54"/>
      <c r="O1582" s="112">
        <v>65.6423611111111</v>
      </c>
      <c r="P1582" s="110" t="str">
        <f t="shared" si="98"/>
        <v/>
      </c>
      <c r="Q1582" s="54"/>
      <c r="R1582" s="58"/>
      <c r="S1582" s="87" t="str">
        <f t="shared" si="100"/>
        <v/>
      </c>
      <c r="T1582" s="54"/>
      <c r="U1582" s="54"/>
      <c r="V1582" s="54"/>
      <c r="W1582" s="54"/>
      <c r="X1582" s="69" t="str">
        <f t="shared" si="99"/>
        <v>D</v>
      </c>
    </row>
    <row r="1583" spans="1:24" s="66" customFormat="1" x14ac:dyDescent="0.25">
      <c r="A1583" s="51"/>
      <c r="B1583" s="91" t="str">
        <f>IFERROR(VLOOKUP(A1583,Lookup!A:B,2,0),"")</f>
        <v/>
      </c>
      <c r="C1583" s="92" t="str">
        <f>IFERROR(VLOOKUP(A1583,Lookup!A:C,3,0),"")</f>
        <v/>
      </c>
      <c r="D1583" s="54"/>
      <c r="E1583" s="54"/>
      <c r="F1583" s="54"/>
      <c r="G1583" s="72"/>
      <c r="H1583" s="54"/>
      <c r="I1583" s="54"/>
      <c r="J1583" s="106">
        <f>VLOOKUP(A1583&amp;G1583,Lookup!J:N,5,0)</f>
        <v>0</v>
      </c>
      <c r="K1583" s="115"/>
      <c r="L1583" s="54"/>
      <c r="M1583" s="54"/>
      <c r="N1583" s="54"/>
      <c r="O1583" s="112">
        <v>65.6840277777778</v>
      </c>
      <c r="P1583" s="110" t="str">
        <f t="shared" si="98"/>
        <v/>
      </c>
      <c r="Q1583" s="54"/>
      <c r="R1583" s="58"/>
      <c r="S1583" s="87" t="str">
        <f t="shared" si="100"/>
        <v/>
      </c>
      <c r="T1583" s="54"/>
      <c r="U1583" s="54"/>
      <c r="V1583" s="54"/>
      <c r="W1583" s="54"/>
      <c r="X1583" s="69" t="str">
        <f t="shared" si="99"/>
        <v>D</v>
      </c>
    </row>
    <row r="1584" spans="1:24" s="66" customFormat="1" x14ac:dyDescent="0.25">
      <c r="A1584" s="51"/>
      <c r="B1584" s="91" t="str">
        <f>IFERROR(VLOOKUP(A1584,Lookup!A:B,2,0),"")</f>
        <v/>
      </c>
      <c r="C1584" s="92" t="str">
        <f>IFERROR(VLOOKUP(A1584,Lookup!A:C,3,0),"")</f>
        <v/>
      </c>
      <c r="D1584" s="54"/>
      <c r="E1584" s="54"/>
      <c r="F1584" s="54"/>
      <c r="G1584" s="72"/>
      <c r="H1584" s="54"/>
      <c r="I1584" s="54"/>
      <c r="J1584" s="106">
        <f>VLOOKUP(A1584&amp;G1584,Lookup!J:N,5,0)</f>
        <v>0</v>
      </c>
      <c r="K1584" s="115"/>
      <c r="L1584" s="54"/>
      <c r="M1584" s="54"/>
      <c r="N1584" s="54"/>
      <c r="O1584" s="112">
        <v>65.7256944444444</v>
      </c>
      <c r="P1584" s="110" t="str">
        <f t="shared" si="98"/>
        <v/>
      </c>
      <c r="Q1584" s="54"/>
      <c r="R1584" s="58"/>
      <c r="S1584" s="87" t="str">
        <f t="shared" si="100"/>
        <v/>
      </c>
      <c r="T1584" s="54"/>
      <c r="U1584" s="54"/>
      <c r="V1584" s="54"/>
      <c r="W1584" s="54"/>
      <c r="X1584" s="69" t="str">
        <f t="shared" si="99"/>
        <v>D</v>
      </c>
    </row>
    <row r="1585" spans="1:24" s="66" customFormat="1" x14ac:dyDescent="0.25">
      <c r="A1585" s="51"/>
      <c r="B1585" s="91" t="str">
        <f>IFERROR(VLOOKUP(A1585,Lookup!A:B,2,0),"")</f>
        <v/>
      </c>
      <c r="C1585" s="92" t="str">
        <f>IFERROR(VLOOKUP(A1585,Lookup!A:C,3,0),"")</f>
        <v/>
      </c>
      <c r="D1585" s="54"/>
      <c r="E1585" s="54"/>
      <c r="F1585" s="54"/>
      <c r="G1585" s="72"/>
      <c r="H1585" s="54"/>
      <c r="I1585" s="54"/>
      <c r="J1585" s="106">
        <f>VLOOKUP(A1585&amp;G1585,Lookup!J:N,5,0)</f>
        <v>0</v>
      </c>
      <c r="K1585" s="115"/>
      <c r="L1585" s="54"/>
      <c r="M1585" s="54"/>
      <c r="N1585" s="54"/>
      <c r="O1585" s="112">
        <v>65.7673611111111</v>
      </c>
      <c r="P1585" s="110" t="str">
        <f t="shared" si="98"/>
        <v/>
      </c>
      <c r="Q1585" s="54"/>
      <c r="R1585" s="58"/>
      <c r="S1585" s="87" t="str">
        <f t="shared" si="100"/>
        <v/>
      </c>
      <c r="T1585" s="54"/>
      <c r="U1585" s="54"/>
      <c r="V1585" s="54"/>
      <c r="W1585" s="54"/>
      <c r="X1585" s="69" t="str">
        <f t="shared" si="99"/>
        <v>D</v>
      </c>
    </row>
    <row r="1586" spans="1:24" s="66" customFormat="1" x14ac:dyDescent="0.25">
      <c r="A1586" s="51"/>
      <c r="B1586" s="91" t="str">
        <f>IFERROR(VLOOKUP(A1586,Lookup!A:B,2,0),"")</f>
        <v/>
      </c>
      <c r="C1586" s="92" t="str">
        <f>IFERROR(VLOOKUP(A1586,Lookup!A:C,3,0),"")</f>
        <v/>
      </c>
      <c r="D1586" s="54"/>
      <c r="E1586" s="54"/>
      <c r="F1586" s="54"/>
      <c r="G1586" s="72"/>
      <c r="H1586" s="54"/>
      <c r="I1586" s="54"/>
      <c r="J1586" s="106">
        <f>VLOOKUP(A1586&amp;G1586,Lookup!J:N,5,0)</f>
        <v>0</v>
      </c>
      <c r="K1586" s="115"/>
      <c r="L1586" s="54"/>
      <c r="M1586" s="54"/>
      <c r="N1586" s="54"/>
      <c r="O1586" s="112">
        <v>65.8090277777778</v>
      </c>
      <c r="P1586" s="110" t="str">
        <f t="shared" si="98"/>
        <v/>
      </c>
      <c r="Q1586" s="54"/>
      <c r="R1586" s="58"/>
      <c r="S1586" s="87" t="str">
        <f t="shared" si="100"/>
        <v/>
      </c>
      <c r="T1586" s="54"/>
      <c r="U1586" s="54"/>
      <c r="V1586" s="54"/>
      <c r="W1586" s="54"/>
      <c r="X1586" s="69" t="str">
        <f t="shared" si="99"/>
        <v>D</v>
      </c>
    </row>
    <row r="1587" spans="1:24" s="66" customFormat="1" x14ac:dyDescent="0.25">
      <c r="A1587" s="51"/>
      <c r="B1587" s="91" t="str">
        <f>IFERROR(VLOOKUP(A1587,Lookup!A:B,2,0),"")</f>
        <v/>
      </c>
      <c r="C1587" s="92" t="str">
        <f>IFERROR(VLOOKUP(A1587,Lookup!A:C,3,0),"")</f>
        <v/>
      </c>
      <c r="D1587" s="54"/>
      <c r="E1587" s="54"/>
      <c r="F1587" s="54"/>
      <c r="G1587" s="72"/>
      <c r="H1587" s="54"/>
      <c r="I1587" s="54"/>
      <c r="J1587" s="106">
        <f>VLOOKUP(A1587&amp;G1587,Lookup!J:N,5,0)</f>
        <v>0</v>
      </c>
      <c r="K1587" s="115"/>
      <c r="L1587" s="54"/>
      <c r="M1587" s="54"/>
      <c r="N1587" s="54"/>
      <c r="O1587" s="112">
        <v>65.8506944444444</v>
      </c>
      <c r="P1587" s="110" t="str">
        <f t="shared" si="98"/>
        <v/>
      </c>
      <c r="Q1587" s="54"/>
      <c r="R1587" s="58"/>
      <c r="S1587" s="87" t="str">
        <f t="shared" si="100"/>
        <v/>
      </c>
      <c r="T1587" s="54"/>
      <c r="U1587" s="54"/>
      <c r="V1587" s="54"/>
      <c r="W1587" s="54"/>
      <c r="X1587" s="69" t="str">
        <f t="shared" si="99"/>
        <v>D</v>
      </c>
    </row>
    <row r="1588" spans="1:24" s="66" customFormat="1" x14ac:dyDescent="0.25">
      <c r="A1588" s="51"/>
      <c r="B1588" s="91" t="str">
        <f>IFERROR(VLOOKUP(A1588,Lookup!A:B,2,0),"")</f>
        <v/>
      </c>
      <c r="C1588" s="92" t="str">
        <f>IFERROR(VLOOKUP(A1588,Lookup!A:C,3,0),"")</f>
        <v/>
      </c>
      <c r="D1588" s="54"/>
      <c r="E1588" s="54"/>
      <c r="F1588" s="54"/>
      <c r="G1588" s="72"/>
      <c r="H1588" s="54"/>
      <c r="I1588" s="54"/>
      <c r="J1588" s="106">
        <f>VLOOKUP(A1588&amp;G1588,Lookup!J:N,5,0)</f>
        <v>0</v>
      </c>
      <c r="K1588" s="115"/>
      <c r="L1588" s="54"/>
      <c r="M1588" s="54"/>
      <c r="N1588" s="54"/>
      <c r="O1588" s="112">
        <v>65.8923611111111</v>
      </c>
      <c r="P1588" s="110" t="str">
        <f t="shared" si="98"/>
        <v/>
      </c>
      <c r="Q1588" s="54"/>
      <c r="R1588" s="58"/>
      <c r="S1588" s="87" t="str">
        <f t="shared" si="100"/>
        <v/>
      </c>
      <c r="T1588" s="54"/>
      <c r="U1588" s="54"/>
      <c r="V1588" s="54"/>
      <c r="W1588" s="54"/>
      <c r="X1588" s="69" t="str">
        <f t="shared" si="99"/>
        <v>D</v>
      </c>
    </row>
    <row r="1589" spans="1:24" s="66" customFormat="1" x14ac:dyDescent="0.25">
      <c r="A1589" s="51"/>
      <c r="B1589" s="91" t="str">
        <f>IFERROR(VLOOKUP(A1589,Lookup!A:B,2,0),"")</f>
        <v/>
      </c>
      <c r="C1589" s="92" t="str">
        <f>IFERROR(VLOOKUP(A1589,Lookup!A:C,3,0),"")</f>
        <v/>
      </c>
      <c r="D1589" s="54"/>
      <c r="E1589" s="54"/>
      <c r="F1589" s="54"/>
      <c r="G1589" s="72"/>
      <c r="H1589" s="54"/>
      <c r="I1589" s="54"/>
      <c r="J1589" s="106">
        <f>VLOOKUP(A1589&amp;G1589,Lookup!J:N,5,0)</f>
        <v>0</v>
      </c>
      <c r="K1589" s="115"/>
      <c r="L1589" s="54"/>
      <c r="M1589" s="54"/>
      <c r="N1589" s="54"/>
      <c r="O1589" s="112">
        <v>65.9340277777778</v>
      </c>
      <c r="P1589" s="110" t="str">
        <f t="shared" si="98"/>
        <v/>
      </c>
      <c r="Q1589" s="54"/>
      <c r="R1589" s="58"/>
      <c r="S1589" s="87" t="str">
        <f t="shared" si="100"/>
        <v/>
      </c>
      <c r="T1589" s="54"/>
      <c r="U1589" s="54"/>
      <c r="V1589" s="54"/>
      <c r="W1589" s="54"/>
      <c r="X1589" s="69" t="str">
        <f t="shared" si="99"/>
        <v>D</v>
      </c>
    </row>
    <row r="1590" spans="1:24" s="66" customFormat="1" x14ac:dyDescent="0.25">
      <c r="A1590" s="51"/>
      <c r="B1590" s="91" t="str">
        <f>IFERROR(VLOOKUP(A1590,Lookup!A:B,2,0),"")</f>
        <v/>
      </c>
      <c r="C1590" s="92" t="str">
        <f>IFERROR(VLOOKUP(A1590,Lookup!A:C,3,0),"")</f>
        <v/>
      </c>
      <c r="D1590" s="54"/>
      <c r="E1590" s="54"/>
      <c r="F1590" s="54"/>
      <c r="G1590" s="72"/>
      <c r="H1590" s="54"/>
      <c r="I1590" s="54"/>
      <c r="J1590" s="106">
        <f>VLOOKUP(A1590&amp;G1590,Lookup!J:N,5,0)</f>
        <v>0</v>
      </c>
      <c r="K1590" s="115"/>
      <c r="L1590" s="54"/>
      <c r="M1590" s="54"/>
      <c r="N1590" s="54"/>
      <c r="O1590" s="112">
        <v>65.9756944444444</v>
      </c>
      <c r="P1590" s="110" t="str">
        <f t="shared" si="98"/>
        <v/>
      </c>
      <c r="Q1590" s="54"/>
      <c r="R1590" s="58"/>
      <c r="S1590" s="87" t="str">
        <f t="shared" si="100"/>
        <v/>
      </c>
      <c r="T1590" s="54"/>
      <c r="U1590" s="54"/>
      <c r="V1590" s="54"/>
      <c r="W1590" s="54"/>
      <c r="X1590" s="69" t="str">
        <f t="shared" si="99"/>
        <v>D</v>
      </c>
    </row>
    <row r="1591" spans="1:24" s="66" customFormat="1" x14ac:dyDescent="0.25">
      <c r="A1591" s="51"/>
      <c r="B1591" s="91" t="str">
        <f>IFERROR(VLOOKUP(A1591,Lookup!A:B,2,0),"")</f>
        <v/>
      </c>
      <c r="C1591" s="92" t="str">
        <f>IFERROR(VLOOKUP(A1591,Lookup!A:C,3,0),"")</f>
        <v/>
      </c>
      <c r="D1591" s="54"/>
      <c r="E1591" s="54"/>
      <c r="F1591" s="54"/>
      <c r="G1591" s="72"/>
      <c r="H1591" s="54"/>
      <c r="I1591" s="54"/>
      <c r="J1591" s="106">
        <f>VLOOKUP(A1591&amp;G1591,Lookup!J:N,5,0)</f>
        <v>0</v>
      </c>
      <c r="K1591" s="115"/>
      <c r="L1591" s="54"/>
      <c r="M1591" s="54"/>
      <c r="N1591" s="54"/>
      <c r="O1591" s="112">
        <v>66.0173611111111</v>
      </c>
      <c r="P1591" s="110" t="str">
        <f t="shared" si="98"/>
        <v/>
      </c>
      <c r="Q1591" s="54"/>
      <c r="R1591" s="58"/>
      <c r="S1591" s="87" t="str">
        <f t="shared" si="100"/>
        <v/>
      </c>
      <c r="T1591" s="54"/>
      <c r="U1591" s="54"/>
      <c r="V1591" s="54"/>
      <c r="W1591" s="54"/>
      <c r="X1591" s="69" t="str">
        <f t="shared" si="99"/>
        <v>D</v>
      </c>
    </row>
    <row r="1592" spans="1:24" s="66" customFormat="1" x14ac:dyDescent="0.25">
      <c r="A1592" s="51"/>
      <c r="B1592" s="91" t="str">
        <f>IFERROR(VLOOKUP(A1592,Lookup!A:B,2,0),"")</f>
        <v/>
      </c>
      <c r="C1592" s="92" t="str">
        <f>IFERROR(VLOOKUP(A1592,Lookup!A:C,3,0),"")</f>
        <v/>
      </c>
      <c r="D1592" s="54"/>
      <c r="E1592" s="54"/>
      <c r="F1592" s="54"/>
      <c r="G1592" s="72"/>
      <c r="H1592" s="54"/>
      <c r="I1592" s="54"/>
      <c r="J1592" s="106">
        <f>VLOOKUP(A1592&amp;G1592,Lookup!J:N,5,0)</f>
        <v>0</v>
      </c>
      <c r="K1592" s="115"/>
      <c r="L1592" s="54"/>
      <c r="M1592" s="54"/>
      <c r="N1592" s="54"/>
      <c r="O1592" s="112">
        <v>66.0590277777778</v>
      </c>
      <c r="P1592" s="110" t="str">
        <f t="shared" si="98"/>
        <v/>
      </c>
      <c r="Q1592" s="54"/>
      <c r="R1592" s="58"/>
      <c r="S1592" s="87" t="str">
        <f t="shared" si="100"/>
        <v/>
      </c>
      <c r="T1592" s="54"/>
      <c r="U1592" s="54"/>
      <c r="V1592" s="54"/>
      <c r="W1592" s="54"/>
      <c r="X1592" s="69" t="str">
        <f t="shared" si="99"/>
        <v>D</v>
      </c>
    </row>
    <row r="1593" spans="1:24" s="66" customFormat="1" x14ac:dyDescent="0.25">
      <c r="A1593" s="51"/>
      <c r="B1593" s="91" t="str">
        <f>IFERROR(VLOOKUP(A1593,Lookup!A:B,2,0),"")</f>
        <v/>
      </c>
      <c r="C1593" s="92" t="str">
        <f>IFERROR(VLOOKUP(A1593,Lookup!A:C,3,0),"")</f>
        <v/>
      </c>
      <c r="D1593" s="54"/>
      <c r="E1593" s="54"/>
      <c r="F1593" s="54"/>
      <c r="G1593" s="72"/>
      <c r="H1593" s="54"/>
      <c r="I1593" s="54"/>
      <c r="J1593" s="106">
        <f>VLOOKUP(A1593&amp;G1593,Lookup!J:N,5,0)</f>
        <v>0</v>
      </c>
      <c r="K1593" s="115"/>
      <c r="L1593" s="54"/>
      <c r="M1593" s="54"/>
      <c r="N1593" s="54"/>
      <c r="O1593" s="112">
        <v>66.1006944444444</v>
      </c>
      <c r="P1593" s="110" t="str">
        <f t="shared" si="98"/>
        <v/>
      </c>
      <c r="Q1593" s="54"/>
      <c r="R1593" s="58"/>
      <c r="S1593" s="87" t="str">
        <f t="shared" si="100"/>
        <v/>
      </c>
      <c r="T1593" s="54"/>
      <c r="U1593" s="54"/>
      <c r="V1593" s="54"/>
      <c r="W1593" s="54"/>
      <c r="X1593" s="69" t="str">
        <f t="shared" si="99"/>
        <v>D</v>
      </c>
    </row>
    <row r="1594" spans="1:24" s="66" customFormat="1" x14ac:dyDescent="0.25">
      <c r="A1594" s="51"/>
      <c r="B1594" s="91" t="str">
        <f>IFERROR(VLOOKUP(A1594,Lookup!A:B,2,0),"")</f>
        <v/>
      </c>
      <c r="C1594" s="92" t="str">
        <f>IFERROR(VLOOKUP(A1594,Lookup!A:C,3,0),"")</f>
        <v/>
      </c>
      <c r="D1594" s="54"/>
      <c r="E1594" s="54"/>
      <c r="F1594" s="54"/>
      <c r="G1594" s="72"/>
      <c r="H1594" s="54"/>
      <c r="I1594" s="54"/>
      <c r="J1594" s="106">
        <f>VLOOKUP(A1594&amp;G1594,Lookup!J:N,5,0)</f>
        <v>0</v>
      </c>
      <c r="K1594" s="115"/>
      <c r="L1594" s="54"/>
      <c r="M1594" s="54"/>
      <c r="N1594" s="54"/>
      <c r="O1594" s="112">
        <v>66.1423611111111</v>
      </c>
      <c r="P1594" s="110" t="str">
        <f t="shared" si="98"/>
        <v/>
      </c>
      <c r="Q1594" s="54"/>
      <c r="R1594" s="58"/>
      <c r="S1594" s="87" t="str">
        <f t="shared" si="100"/>
        <v/>
      </c>
      <c r="T1594" s="54"/>
      <c r="U1594" s="54"/>
      <c r="V1594" s="54"/>
      <c r="W1594" s="54"/>
      <c r="X1594" s="69" t="str">
        <f t="shared" si="99"/>
        <v>D</v>
      </c>
    </row>
    <row r="1595" spans="1:24" s="66" customFormat="1" x14ac:dyDescent="0.25">
      <c r="A1595" s="51"/>
      <c r="B1595" s="91" t="str">
        <f>IFERROR(VLOOKUP(A1595,Lookup!A:B,2,0),"")</f>
        <v/>
      </c>
      <c r="C1595" s="92" t="str">
        <f>IFERROR(VLOOKUP(A1595,Lookup!A:C,3,0),"")</f>
        <v/>
      </c>
      <c r="D1595" s="54"/>
      <c r="E1595" s="54"/>
      <c r="F1595" s="54"/>
      <c r="G1595" s="72"/>
      <c r="H1595" s="54"/>
      <c r="I1595" s="54"/>
      <c r="J1595" s="106">
        <f>VLOOKUP(A1595&amp;G1595,Lookup!J:N,5,0)</f>
        <v>0</v>
      </c>
      <c r="K1595" s="115"/>
      <c r="L1595" s="54"/>
      <c r="M1595" s="54"/>
      <c r="N1595" s="54"/>
      <c r="O1595" s="112">
        <v>66.1840277777778</v>
      </c>
      <c r="P1595" s="110" t="str">
        <f t="shared" si="98"/>
        <v/>
      </c>
      <c r="Q1595" s="54"/>
      <c r="R1595" s="58"/>
      <c r="S1595" s="87" t="str">
        <f t="shared" si="100"/>
        <v/>
      </c>
      <c r="T1595" s="54"/>
      <c r="U1595" s="54"/>
      <c r="V1595" s="54"/>
      <c r="W1595" s="54"/>
      <c r="X1595" s="69" t="str">
        <f t="shared" si="99"/>
        <v>D</v>
      </c>
    </row>
    <row r="1596" spans="1:24" s="66" customFormat="1" x14ac:dyDescent="0.25">
      <c r="A1596" s="51"/>
      <c r="B1596" s="91" t="str">
        <f>IFERROR(VLOOKUP(A1596,Lookup!A:B,2,0),"")</f>
        <v/>
      </c>
      <c r="C1596" s="92" t="str">
        <f>IFERROR(VLOOKUP(A1596,Lookup!A:C,3,0),"")</f>
        <v/>
      </c>
      <c r="D1596" s="54"/>
      <c r="E1596" s="54"/>
      <c r="F1596" s="54"/>
      <c r="G1596" s="72"/>
      <c r="H1596" s="54"/>
      <c r="I1596" s="54"/>
      <c r="J1596" s="106">
        <f>VLOOKUP(A1596&amp;G1596,Lookup!J:N,5,0)</f>
        <v>0</v>
      </c>
      <c r="K1596" s="115"/>
      <c r="L1596" s="54"/>
      <c r="M1596" s="54"/>
      <c r="N1596" s="54"/>
      <c r="O1596" s="112">
        <v>66.2256944444444</v>
      </c>
      <c r="P1596" s="110" t="str">
        <f t="shared" si="98"/>
        <v/>
      </c>
      <c r="Q1596" s="54"/>
      <c r="R1596" s="58"/>
      <c r="S1596" s="87" t="str">
        <f t="shared" si="100"/>
        <v/>
      </c>
      <c r="T1596" s="54"/>
      <c r="U1596" s="54"/>
      <c r="V1596" s="54"/>
      <c r="W1596" s="54"/>
      <c r="X1596" s="69" t="str">
        <f t="shared" si="99"/>
        <v>D</v>
      </c>
    </row>
    <row r="1597" spans="1:24" s="66" customFormat="1" x14ac:dyDescent="0.25">
      <c r="A1597" s="51"/>
      <c r="B1597" s="91" t="str">
        <f>IFERROR(VLOOKUP(A1597,Lookup!A:B,2,0),"")</f>
        <v/>
      </c>
      <c r="C1597" s="92" t="str">
        <f>IFERROR(VLOOKUP(A1597,Lookup!A:C,3,0),"")</f>
        <v/>
      </c>
      <c r="D1597" s="54"/>
      <c r="E1597" s="54"/>
      <c r="F1597" s="54"/>
      <c r="G1597" s="72"/>
      <c r="H1597" s="54"/>
      <c r="I1597" s="54"/>
      <c r="J1597" s="106">
        <f>VLOOKUP(A1597&amp;G1597,Lookup!J:N,5,0)</f>
        <v>0</v>
      </c>
      <c r="K1597" s="115"/>
      <c r="L1597" s="54"/>
      <c r="M1597" s="54"/>
      <c r="N1597" s="54"/>
      <c r="O1597" s="112">
        <v>66.2673611111111</v>
      </c>
      <c r="P1597" s="110" t="str">
        <f t="shared" si="98"/>
        <v/>
      </c>
      <c r="Q1597" s="54"/>
      <c r="R1597" s="58"/>
      <c r="S1597" s="87" t="str">
        <f t="shared" si="100"/>
        <v/>
      </c>
      <c r="T1597" s="54"/>
      <c r="U1597" s="54"/>
      <c r="V1597" s="54"/>
      <c r="W1597" s="54"/>
      <c r="X1597" s="69" t="str">
        <f t="shared" si="99"/>
        <v>D</v>
      </c>
    </row>
    <row r="1598" spans="1:24" s="66" customFormat="1" x14ac:dyDescent="0.25">
      <c r="A1598" s="51"/>
      <c r="B1598" s="91" t="str">
        <f>IFERROR(VLOOKUP(A1598,Lookup!A:B,2,0),"")</f>
        <v/>
      </c>
      <c r="C1598" s="92" t="str">
        <f>IFERROR(VLOOKUP(A1598,Lookup!A:C,3,0),"")</f>
        <v/>
      </c>
      <c r="D1598" s="54"/>
      <c r="E1598" s="54"/>
      <c r="F1598" s="54"/>
      <c r="G1598" s="72"/>
      <c r="H1598" s="54"/>
      <c r="I1598" s="54"/>
      <c r="J1598" s="106">
        <f>VLOOKUP(A1598&amp;G1598,Lookup!J:N,5,0)</f>
        <v>0</v>
      </c>
      <c r="K1598" s="115"/>
      <c r="L1598" s="54"/>
      <c r="M1598" s="54"/>
      <c r="N1598" s="54"/>
      <c r="O1598" s="112">
        <v>66.3090277777778</v>
      </c>
      <c r="P1598" s="110" t="str">
        <f t="shared" si="98"/>
        <v/>
      </c>
      <c r="Q1598" s="54"/>
      <c r="R1598" s="58"/>
      <c r="S1598" s="87" t="str">
        <f t="shared" si="100"/>
        <v/>
      </c>
      <c r="T1598" s="54"/>
      <c r="U1598" s="54"/>
      <c r="V1598" s="54"/>
      <c r="W1598" s="54"/>
      <c r="X1598" s="69" t="str">
        <f t="shared" si="99"/>
        <v>D</v>
      </c>
    </row>
    <row r="1599" spans="1:24" s="66" customFormat="1" x14ac:dyDescent="0.25">
      <c r="A1599" s="51"/>
      <c r="B1599" s="91" t="str">
        <f>IFERROR(VLOOKUP(A1599,Lookup!A:B,2,0),"")</f>
        <v/>
      </c>
      <c r="C1599" s="92" t="str">
        <f>IFERROR(VLOOKUP(A1599,Lookup!A:C,3,0),"")</f>
        <v/>
      </c>
      <c r="D1599" s="54"/>
      <c r="E1599" s="54"/>
      <c r="F1599" s="54"/>
      <c r="G1599" s="72"/>
      <c r="H1599" s="54"/>
      <c r="I1599" s="54"/>
      <c r="J1599" s="106">
        <f>VLOOKUP(A1599&amp;G1599,Lookup!J:N,5,0)</f>
        <v>0</v>
      </c>
      <c r="K1599" s="115"/>
      <c r="L1599" s="54"/>
      <c r="M1599" s="54"/>
      <c r="N1599" s="54"/>
      <c r="O1599" s="112">
        <v>66.3506944444444</v>
      </c>
      <c r="P1599" s="110" t="str">
        <f t="shared" si="98"/>
        <v/>
      </c>
      <c r="Q1599" s="54"/>
      <c r="R1599" s="58"/>
      <c r="S1599" s="87" t="str">
        <f t="shared" si="100"/>
        <v/>
      </c>
      <c r="T1599" s="54"/>
      <c r="U1599" s="54"/>
      <c r="V1599" s="54"/>
      <c r="W1599" s="54"/>
      <c r="X1599" s="69" t="str">
        <f t="shared" si="99"/>
        <v>D</v>
      </c>
    </row>
    <row r="1600" spans="1:24" s="66" customFormat="1" x14ac:dyDescent="0.25">
      <c r="A1600" s="51"/>
      <c r="B1600" s="91" t="str">
        <f>IFERROR(VLOOKUP(A1600,Lookup!A:B,2,0),"")</f>
        <v/>
      </c>
      <c r="C1600" s="92" t="str">
        <f>IFERROR(VLOOKUP(A1600,Lookup!A:C,3,0),"")</f>
        <v/>
      </c>
      <c r="D1600" s="54"/>
      <c r="E1600" s="54"/>
      <c r="F1600" s="54"/>
      <c r="G1600" s="72"/>
      <c r="H1600" s="54"/>
      <c r="I1600" s="54"/>
      <c r="J1600" s="106">
        <f>VLOOKUP(A1600&amp;G1600,Lookup!J:N,5,0)</f>
        <v>0</v>
      </c>
      <c r="K1600" s="115"/>
      <c r="L1600" s="54"/>
      <c r="M1600" s="54"/>
      <c r="N1600" s="54"/>
      <c r="O1600" s="112">
        <v>66.3923611111111</v>
      </c>
      <c r="P1600" s="110" t="str">
        <f t="shared" si="98"/>
        <v/>
      </c>
      <c r="Q1600" s="54"/>
      <c r="R1600" s="58"/>
      <c r="S1600" s="87" t="str">
        <f t="shared" si="100"/>
        <v/>
      </c>
      <c r="T1600" s="54"/>
      <c r="U1600" s="54"/>
      <c r="V1600" s="54"/>
      <c r="W1600" s="54"/>
      <c r="X1600" s="69" t="str">
        <f t="shared" si="99"/>
        <v>D</v>
      </c>
    </row>
    <row r="1601" spans="1:24" s="66" customFormat="1" x14ac:dyDescent="0.25">
      <c r="A1601" s="51"/>
      <c r="B1601" s="91" t="str">
        <f>IFERROR(VLOOKUP(A1601,Lookup!A:B,2,0),"")</f>
        <v/>
      </c>
      <c r="C1601" s="92" t="str">
        <f>IFERROR(VLOOKUP(A1601,Lookup!A:C,3,0),"")</f>
        <v/>
      </c>
      <c r="D1601" s="54"/>
      <c r="E1601" s="54"/>
      <c r="F1601" s="54"/>
      <c r="G1601" s="72"/>
      <c r="H1601" s="54"/>
      <c r="I1601" s="54"/>
      <c r="J1601" s="106">
        <f>VLOOKUP(A1601&amp;G1601,Lookup!J:N,5,0)</f>
        <v>0</v>
      </c>
      <c r="K1601" s="115"/>
      <c r="L1601" s="54"/>
      <c r="M1601" s="54"/>
      <c r="N1601" s="54"/>
      <c r="O1601" s="112">
        <v>66.4340277777778</v>
      </c>
      <c r="P1601" s="110" t="str">
        <f t="shared" si="98"/>
        <v/>
      </c>
      <c r="Q1601" s="54"/>
      <c r="R1601" s="58"/>
      <c r="S1601" s="87" t="str">
        <f t="shared" si="100"/>
        <v/>
      </c>
      <c r="T1601" s="54"/>
      <c r="U1601" s="54"/>
      <c r="V1601" s="54"/>
      <c r="W1601" s="54"/>
      <c r="X1601" s="69" t="str">
        <f t="shared" si="99"/>
        <v>D</v>
      </c>
    </row>
    <row r="1602" spans="1:24" s="66" customFormat="1" x14ac:dyDescent="0.25">
      <c r="A1602" s="51"/>
      <c r="B1602" s="91" t="str">
        <f>IFERROR(VLOOKUP(A1602,Lookup!A:B,2,0),"")</f>
        <v/>
      </c>
      <c r="C1602" s="92" t="str">
        <f>IFERROR(VLOOKUP(A1602,Lookup!A:C,3,0),"")</f>
        <v/>
      </c>
      <c r="D1602" s="54"/>
      <c r="E1602" s="54"/>
      <c r="F1602" s="54"/>
      <c r="G1602" s="72"/>
      <c r="H1602" s="54"/>
      <c r="I1602" s="54"/>
      <c r="J1602" s="106">
        <f>VLOOKUP(A1602&amp;G1602,Lookup!J:N,5,0)</f>
        <v>0</v>
      </c>
      <c r="K1602" s="115"/>
      <c r="L1602" s="54"/>
      <c r="M1602" s="54"/>
      <c r="N1602" s="54"/>
      <c r="O1602" s="112">
        <v>66.4756944444444</v>
      </c>
      <c r="P1602" s="110" t="str">
        <f t="shared" si="98"/>
        <v/>
      </c>
      <c r="Q1602" s="54"/>
      <c r="R1602" s="58"/>
      <c r="S1602" s="87" t="str">
        <f t="shared" si="100"/>
        <v/>
      </c>
      <c r="T1602" s="54"/>
      <c r="U1602" s="54"/>
      <c r="V1602" s="54"/>
      <c r="W1602" s="54"/>
      <c r="X1602" s="69" t="str">
        <f t="shared" si="99"/>
        <v>D</v>
      </c>
    </row>
    <row r="1603" spans="1:24" s="66" customFormat="1" x14ac:dyDescent="0.25">
      <c r="A1603" s="51"/>
      <c r="B1603" s="91" t="str">
        <f>IFERROR(VLOOKUP(A1603,Lookup!A:B,2,0),"")</f>
        <v/>
      </c>
      <c r="C1603" s="92" t="str">
        <f>IFERROR(VLOOKUP(A1603,Lookup!A:C,3,0),"")</f>
        <v/>
      </c>
      <c r="D1603" s="54"/>
      <c r="E1603" s="54"/>
      <c r="F1603" s="54"/>
      <c r="G1603" s="72"/>
      <c r="H1603" s="54"/>
      <c r="I1603" s="54"/>
      <c r="J1603" s="106">
        <f>VLOOKUP(A1603&amp;G1603,Lookup!J:N,5,0)</f>
        <v>0</v>
      </c>
      <c r="K1603" s="115"/>
      <c r="L1603" s="54"/>
      <c r="M1603" s="54"/>
      <c r="N1603" s="54"/>
      <c r="O1603" s="112">
        <v>66.5173611111111</v>
      </c>
      <c r="P1603" s="110" t="str">
        <f t="shared" ref="P1603:P1666" si="101">IF(N1603="","",N1603+O1603)</f>
        <v/>
      </c>
      <c r="Q1603" s="54"/>
      <c r="R1603" s="58"/>
      <c r="S1603" s="87" t="str">
        <f t="shared" si="100"/>
        <v/>
      </c>
      <c r="T1603" s="54"/>
      <c r="U1603" s="54"/>
      <c r="V1603" s="54"/>
      <c r="W1603" s="54"/>
      <c r="X1603" s="69" t="str">
        <f t="shared" ref="X1603:X1666" si="102">IF(I1603="SET","A",IF(I1603="FREQ","C",IF(I1603="","D","B")))</f>
        <v>D</v>
      </c>
    </row>
    <row r="1604" spans="1:24" s="66" customFormat="1" x14ac:dyDescent="0.25">
      <c r="A1604" s="51"/>
      <c r="B1604" s="91" t="str">
        <f>IFERROR(VLOOKUP(A1604,Lookup!A:B,2,0),"")</f>
        <v/>
      </c>
      <c r="C1604" s="92" t="str">
        <f>IFERROR(VLOOKUP(A1604,Lookup!A:C,3,0),"")</f>
        <v/>
      </c>
      <c r="D1604" s="54"/>
      <c r="E1604" s="54"/>
      <c r="F1604" s="54"/>
      <c r="G1604" s="72"/>
      <c r="H1604" s="54"/>
      <c r="I1604" s="54"/>
      <c r="J1604" s="106">
        <f>VLOOKUP(A1604&amp;G1604,Lookup!J:N,5,0)</f>
        <v>0</v>
      </c>
      <c r="K1604" s="115"/>
      <c r="L1604" s="54"/>
      <c r="M1604" s="54"/>
      <c r="N1604" s="54"/>
      <c r="O1604" s="112">
        <v>66.5590277777778</v>
      </c>
      <c r="P1604" s="110" t="str">
        <f t="shared" si="101"/>
        <v/>
      </c>
      <c r="Q1604" s="54"/>
      <c r="R1604" s="58"/>
      <c r="S1604" s="87" t="str">
        <f t="shared" si="100"/>
        <v/>
      </c>
      <c r="T1604" s="54"/>
      <c r="U1604" s="54"/>
      <c r="V1604" s="54"/>
      <c r="W1604" s="54"/>
      <c r="X1604" s="69" t="str">
        <f t="shared" si="102"/>
        <v>D</v>
      </c>
    </row>
    <row r="1605" spans="1:24" s="66" customFormat="1" x14ac:dyDescent="0.25">
      <c r="A1605" s="51"/>
      <c r="B1605" s="91" t="str">
        <f>IFERROR(VLOOKUP(A1605,Lookup!A:B,2,0),"")</f>
        <v/>
      </c>
      <c r="C1605" s="92" t="str">
        <f>IFERROR(VLOOKUP(A1605,Lookup!A:C,3,0),"")</f>
        <v/>
      </c>
      <c r="D1605" s="54"/>
      <c r="E1605" s="54"/>
      <c r="F1605" s="54"/>
      <c r="G1605" s="72"/>
      <c r="H1605" s="54"/>
      <c r="I1605" s="54"/>
      <c r="J1605" s="106">
        <f>VLOOKUP(A1605&amp;G1605,Lookup!J:N,5,0)</f>
        <v>0</v>
      </c>
      <c r="K1605" s="115"/>
      <c r="L1605" s="54"/>
      <c r="M1605" s="54"/>
      <c r="N1605" s="54"/>
      <c r="O1605" s="112">
        <v>66.6006944444444</v>
      </c>
      <c r="P1605" s="110" t="str">
        <f t="shared" si="101"/>
        <v/>
      </c>
      <c r="Q1605" s="54"/>
      <c r="R1605" s="58"/>
      <c r="S1605" s="87" t="str">
        <f t="shared" si="100"/>
        <v/>
      </c>
      <c r="T1605" s="54"/>
      <c r="U1605" s="54"/>
      <c r="V1605" s="54"/>
      <c r="W1605" s="54"/>
      <c r="X1605" s="69" t="str">
        <f t="shared" si="102"/>
        <v>D</v>
      </c>
    </row>
    <row r="1606" spans="1:24" s="66" customFormat="1" x14ac:dyDescent="0.25">
      <c r="A1606" s="51"/>
      <c r="B1606" s="91" t="str">
        <f>IFERROR(VLOOKUP(A1606,Lookup!A:B,2,0),"")</f>
        <v/>
      </c>
      <c r="C1606" s="92" t="str">
        <f>IFERROR(VLOOKUP(A1606,Lookup!A:C,3,0),"")</f>
        <v/>
      </c>
      <c r="D1606" s="54"/>
      <c r="E1606" s="54"/>
      <c r="F1606" s="54"/>
      <c r="G1606" s="72"/>
      <c r="H1606" s="54"/>
      <c r="I1606" s="54"/>
      <c r="J1606" s="106">
        <f>VLOOKUP(A1606&amp;G1606,Lookup!J:N,5,0)</f>
        <v>0</v>
      </c>
      <c r="K1606" s="115"/>
      <c r="L1606" s="54"/>
      <c r="M1606" s="54"/>
      <c r="N1606" s="54"/>
      <c r="O1606" s="112">
        <v>66.6423611111111</v>
      </c>
      <c r="P1606" s="110" t="str">
        <f t="shared" si="101"/>
        <v/>
      </c>
      <c r="Q1606" s="54"/>
      <c r="R1606" s="58"/>
      <c r="S1606" s="87" t="str">
        <f t="shared" si="100"/>
        <v/>
      </c>
      <c r="T1606" s="54"/>
      <c r="U1606" s="54"/>
      <c r="V1606" s="54"/>
      <c r="W1606" s="54"/>
      <c r="X1606" s="69" t="str">
        <f t="shared" si="102"/>
        <v>D</v>
      </c>
    </row>
    <row r="1607" spans="1:24" s="66" customFormat="1" x14ac:dyDescent="0.25">
      <c r="A1607" s="51"/>
      <c r="B1607" s="91" t="str">
        <f>IFERROR(VLOOKUP(A1607,Lookup!A:B,2,0),"")</f>
        <v/>
      </c>
      <c r="C1607" s="92" t="str">
        <f>IFERROR(VLOOKUP(A1607,Lookup!A:C,3,0),"")</f>
        <v/>
      </c>
      <c r="D1607" s="54"/>
      <c r="E1607" s="54"/>
      <c r="F1607" s="54"/>
      <c r="G1607" s="72"/>
      <c r="H1607" s="54"/>
      <c r="I1607" s="54"/>
      <c r="J1607" s="106">
        <f>VLOOKUP(A1607&amp;G1607,Lookup!J:N,5,0)</f>
        <v>0</v>
      </c>
      <c r="K1607" s="115"/>
      <c r="L1607" s="54"/>
      <c r="M1607" s="54"/>
      <c r="N1607" s="54"/>
      <c r="O1607" s="112">
        <v>66.6840277777778</v>
      </c>
      <c r="P1607" s="110" t="str">
        <f t="shared" si="101"/>
        <v/>
      </c>
      <c r="Q1607" s="54"/>
      <c r="R1607" s="58"/>
      <c r="S1607" s="87" t="str">
        <f t="shared" ref="S1607:S1670" si="103">IF(OR(EXACT(Q1607,""), EXACT(L1607,"")),"",Q1607-L1607)</f>
        <v/>
      </c>
      <c r="T1607" s="54"/>
      <c r="U1607" s="54"/>
      <c r="V1607" s="54"/>
      <c r="W1607" s="54"/>
      <c r="X1607" s="69" t="str">
        <f t="shared" si="102"/>
        <v>D</v>
      </c>
    </row>
    <row r="1608" spans="1:24" s="66" customFormat="1" x14ac:dyDescent="0.25">
      <c r="A1608" s="51"/>
      <c r="B1608" s="91" t="str">
        <f>IFERROR(VLOOKUP(A1608,Lookup!A:B,2,0),"")</f>
        <v/>
      </c>
      <c r="C1608" s="92" t="str">
        <f>IFERROR(VLOOKUP(A1608,Lookup!A:C,3,0),"")</f>
        <v/>
      </c>
      <c r="D1608" s="54"/>
      <c r="E1608" s="54"/>
      <c r="F1608" s="54"/>
      <c r="G1608" s="72"/>
      <c r="H1608" s="54"/>
      <c r="I1608" s="54"/>
      <c r="J1608" s="106">
        <f>VLOOKUP(A1608&amp;G1608,Lookup!J:N,5,0)</f>
        <v>0</v>
      </c>
      <c r="K1608" s="115"/>
      <c r="L1608" s="54"/>
      <c r="M1608" s="54"/>
      <c r="N1608" s="54"/>
      <c r="O1608" s="112">
        <v>66.7256944444444</v>
      </c>
      <c r="P1608" s="110" t="str">
        <f t="shared" si="101"/>
        <v/>
      </c>
      <c r="Q1608" s="54"/>
      <c r="R1608" s="58"/>
      <c r="S1608" s="87" t="str">
        <f t="shared" si="103"/>
        <v/>
      </c>
      <c r="T1608" s="54"/>
      <c r="U1608" s="54"/>
      <c r="V1608" s="54"/>
      <c r="W1608" s="54"/>
      <c r="X1608" s="69" t="str">
        <f t="shared" si="102"/>
        <v>D</v>
      </c>
    </row>
    <row r="1609" spans="1:24" s="66" customFormat="1" x14ac:dyDescent="0.25">
      <c r="A1609" s="51"/>
      <c r="B1609" s="91" t="str">
        <f>IFERROR(VLOOKUP(A1609,Lookup!A:B,2,0),"")</f>
        <v/>
      </c>
      <c r="C1609" s="92" t="str">
        <f>IFERROR(VLOOKUP(A1609,Lookup!A:C,3,0),"")</f>
        <v/>
      </c>
      <c r="D1609" s="54"/>
      <c r="E1609" s="54"/>
      <c r="F1609" s="54"/>
      <c r="G1609" s="72"/>
      <c r="H1609" s="54"/>
      <c r="I1609" s="54"/>
      <c r="J1609" s="106">
        <f>VLOOKUP(A1609&amp;G1609,Lookup!J:N,5,0)</f>
        <v>0</v>
      </c>
      <c r="K1609" s="115"/>
      <c r="L1609" s="54"/>
      <c r="M1609" s="54"/>
      <c r="N1609" s="54"/>
      <c r="O1609" s="112">
        <v>66.7673611111111</v>
      </c>
      <c r="P1609" s="110" t="str">
        <f t="shared" si="101"/>
        <v/>
      </c>
      <c r="Q1609" s="54"/>
      <c r="R1609" s="58"/>
      <c r="S1609" s="87" t="str">
        <f t="shared" si="103"/>
        <v/>
      </c>
      <c r="T1609" s="54"/>
      <c r="U1609" s="54"/>
      <c r="V1609" s="54"/>
      <c r="W1609" s="54"/>
      <c r="X1609" s="69" t="str">
        <f t="shared" si="102"/>
        <v>D</v>
      </c>
    </row>
    <row r="1610" spans="1:24" s="66" customFormat="1" x14ac:dyDescent="0.25">
      <c r="A1610" s="51"/>
      <c r="B1610" s="91" t="str">
        <f>IFERROR(VLOOKUP(A1610,Lookup!A:B,2,0),"")</f>
        <v/>
      </c>
      <c r="C1610" s="92" t="str">
        <f>IFERROR(VLOOKUP(A1610,Lookup!A:C,3,0),"")</f>
        <v/>
      </c>
      <c r="D1610" s="54"/>
      <c r="E1610" s="54"/>
      <c r="F1610" s="54"/>
      <c r="G1610" s="72"/>
      <c r="H1610" s="54"/>
      <c r="I1610" s="54"/>
      <c r="J1610" s="106">
        <f>VLOOKUP(A1610&amp;G1610,Lookup!J:N,5,0)</f>
        <v>0</v>
      </c>
      <c r="K1610" s="115"/>
      <c r="L1610" s="54"/>
      <c r="M1610" s="54"/>
      <c r="N1610" s="54"/>
      <c r="O1610" s="112">
        <v>66.8090277777778</v>
      </c>
      <c r="P1610" s="110" t="str">
        <f t="shared" si="101"/>
        <v/>
      </c>
      <c r="Q1610" s="54"/>
      <c r="R1610" s="58"/>
      <c r="S1610" s="87" t="str">
        <f t="shared" si="103"/>
        <v/>
      </c>
      <c r="T1610" s="54"/>
      <c r="U1610" s="54"/>
      <c r="V1610" s="54"/>
      <c r="W1610" s="54"/>
      <c r="X1610" s="69" t="str">
        <f t="shared" si="102"/>
        <v>D</v>
      </c>
    </row>
    <row r="1611" spans="1:24" s="66" customFormat="1" x14ac:dyDescent="0.25">
      <c r="A1611" s="51"/>
      <c r="B1611" s="91" t="str">
        <f>IFERROR(VLOOKUP(A1611,Lookup!A:B,2,0),"")</f>
        <v/>
      </c>
      <c r="C1611" s="92" t="str">
        <f>IFERROR(VLOOKUP(A1611,Lookup!A:C,3,0),"")</f>
        <v/>
      </c>
      <c r="D1611" s="54"/>
      <c r="E1611" s="54"/>
      <c r="F1611" s="54"/>
      <c r="G1611" s="72"/>
      <c r="H1611" s="54"/>
      <c r="I1611" s="54"/>
      <c r="J1611" s="106">
        <f>VLOOKUP(A1611&amp;G1611,Lookup!J:N,5,0)</f>
        <v>0</v>
      </c>
      <c r="K1611" s="115"/>
      <c r="L1611" s="54"/>
      <c r="M1611" s="54"/>
      <c r="N1611" s="54"/>
      <c r="O1611" s="112">
        <v>66.8506944444444</v>
      </c>
      <c r="P1611" s="110" t="str">
        <f t="shared" si="101"/>
        <v/>
      </c>
      <c r="Q1611" s="54"/>
      <c r="R1611" s="58"/>
      <c r="S1611" s="87" t="str">
        <f t="shared" si="103"/>
        <v/>
      </c>
      <c r="T1611" s="54"/>
      <c r="U1611" s="54"/>
      <c r="V1611" s="54"/>
      <c r="W1611" s="54"/>
      <c r="X1611" s="69" t="str">
        <f t="shared" si="102"/>
        <v>D</v>
      </c>
    </row>
    <row r="1612" spans="1:24" s="66" customFormat="1" x14ac:dyDescent="0.25">
      <c r="A1612" s="51"/>
      <c r="B1612" s="91" t="str">
        <f>IFERROR(VLOOKUP(A1612,Lookup!A:B,2,0),"")</f>
        <v/>
      </c>
      <c r="C1612" s="92" t="str">
        <f>IFERROR(VLOOKUP(A1612,Lookup!A:C,3,0),"")</f>
        <v/>
      </c>
      <c r="D1612" s="54"/>
      <c r="E1612" s="54"/>
      <c r="F1612" s="54"/>
      <c r="G1612" s="72"/>
      <c r="H1612" s="54"/>
      <c r="I1612" s="54"/>
      <c r="J1612" s="106">
        <f>VLOOKUP(A1612&amp;G1612,Lookup!J:N,5,0)</f>
        <v>0</v>
      </c>
      <c r="K1612" s="115"/>
      <c r="L1612" s="54"/>
      <c r="M1612" s="54"/>
      <c r="N1612" s="54"/>
      <c r="O1612" s="112">
        <v>66.8923611111111</v>
      </c>
      <c r="P1612" s="110" t="str">
        <f t="shared" si="101"/>
        <v/>
      </c>
      <c r="Q1612" s="54"/>
      <c r="R1612" s="58"/>
      <c r="S1612" s="87" t="str">
        <f t="shared" si="103"/>
        <v/>
      </c>
      <c r="T1612" s="54"/>
      <c r="U1612" s="54"/>
      <c r="V1612" s="54"/>
      <c r="W1612" s="54"/>
      <c r="X1612" s="69" t="str">
        <f t="shared" si="102"/>
        <v>D</v>
      </c>
    </row>
    <row r="1613" spans="1:24" s="66" customFormat="1" x14ac:dyDescent="0.25">
      <c r="A1613" s="51"/>
      <c r="B1613" s="91" t="str">
        <f>IFERROR(VLOOKUP(A1613,Lookup!A:B,2,0),"")</f>
        <v/>
      </c>
      <c r="C1613" s="92" t="str">
        <f>IFERROR(VLOOKUP(A1613,Lookup!A:C,3,0),"")</f>
        <v/>
      </c>
      <c r="D1613" s="54"/>
      <c r="E1613" s="54"/>
      <c r="F1613" s="54"/>
      <c r="G1613" s="72"/>
      <c r="H1613" s="54"/>
      <c r="I1613" s="54"/>
      <c r="J1613" s="106">
        <f>VLOOKUP(A1613&amp;G1613,Lookup!J:N,5,0)</f>
        <v>0</v>
      </c>
      <c r="K1613" s="115"/>
      <c r="L1613" s="54"/>
      <c r="M1613" s="54"/>
      <c r="N1613" s="54"/>
      <c r="O1613" s="112">
        <v>66.9340277777778</v>
      </c>
      <c r="P1613" s="110" t="str">
        <f t="shared" si="101"/>
        <v/>
      </c>
      <c r="Q1613" s="54"/>
      <c r="R1613" s="58"/>
      <c r="S1613" s="87" t="str">
        <f t="shared" si="103"/>
        <v/>
      </c>
      <c r="T1613" s="54"/>
      <c r="U1613" s="54"/>
      <c r="V1613" s="54"/>
      <c r="W1613" s="54"/>
      <c r="X1613" s="69" t="str">
        <f t="shared" si="102"/>
        <v>D</v>
      </c>
    </row>
    <row r="1614" spans="1:24" s="66" customFormat="1" x14ac:dyDescent="0.25">
      <c r="A1614" s="51"/>
      <c r="B1614" s="91" t="str">
        <f>IFERROR(VLOOKUP(A1614,Lookup!A:B,2,0),"")</f>
        <v/>
      </c>
      <c r="C1614" s="92" t="str">
        <f>IFERROR(VLOOKUP(A1614,Lookup!A:C,3,0),"")</f>
        <v/>
      </c>
      <c r="D1614" s="54"/>
      <c r="E1614" s="54"/>
      <c r="F1614" s="54"/>
      <c r="G1614" s="72"/>
      <c r="H1614" s="54"/>
      <c r="I1614" s="54"/>
      <c r="J1614" s="106">
        <f>VLOOKUP(A1614&amp;G1614,Lookup!J:N,5,0)</f>
        <v>0</v>
      </c>
      <c r="K1614" s="115"/>
      <c r="L1614" s="54"/>
      <c r="M1614" s="54"/>
      <c r="N1614" s="54"/>
      <c r="O1614" s="112">
        <v>66.9756944444444</v>
      </c>
      <c r="P1614" s="110" t="str">
        <f t="shared" si="101"/>
        <v/>
      </c>
      <c r="Q1614" s="54"/>
      <c r="R1614" s="58"/>
      <c r="S1614" s="87" t="str">
        <f t="shared" si="103"/>
        <v/>
      </c>
      <c r="T1614" s="54"/>
      <c r="U1614" s="54"/>
      <c r="V1614" s="54"/>
      <c r="W1614" s="54"/>
      <c r="X1614" s="69" t="str">
        <f t="shared" si="102"/>
        <v>D</v>
      </c>
    </row>
    <row r="1615" spans="1:24" s="66" customFormat="1" x14ac:dyDescent="0.25">
      <c r="A1615" s="51"/>
      <c r="B1615" s="91" t="str">
        <f>IFERROR(VLOOKUP(A1615,Lookup!A:B,2,0),"")</f>
        <v/>
      </c>
      <c r="C1615" s="92" t="str">
        <f>IFERROR(VLOOKUP(A1615,Lookup!A:C,3,0),"")</f>
        <v/>
      </c>
      <c r="D1615" s="54"/>
      <c r="E1615" s="54"/>
      <c r="F1615" s="54"/>
      <c r="G1615" s="72"/>
      <c r="H1615" s="54"/>
      <c r="I1615" s="54"/>
      <c r="J1615" s="106">
        <f>VLOOKUP(A1615&amp;G1615,Lookup!J:N,5,0)</f>
        <v>0</v>
      </c>
      <c r="K1615" s="115"/>
      <c r="L1615" s="54"/>
      <c r="M1615" s="54"/>
      <c r="N1615" s="54"/>
      <c r="O1615" s="112">
        <v>67.0173611111111</v>
      </c>
      <c r="P1615" s="110" t="str">
        <f t="shared" si="101"/>
        <v/>
      </c>
      <c r="Q1615" s="54"/>
      <c r="R1615" s="58"/>
      <c r="S1615" s="87" t="str">
        <f t="shared" si="103"/>
        <v/>
      </c>
      <c r="T1615" s="54"/>
      <c r="U1615" s="54"/>
      <c r="V1615" s="54"/>
      <c r="W1615" s="54"/>
      <c r="X1615" s="69" t="str">
        <f t="shared" si="102"/>
        <v>D</v>
      </c>
    </row>
    <row r="1616" spans="1:24" s="66" customFormat="1" x14ac:dyDescent="0.25">
      <c r="A1616" s="51"/>
      <c r="B1616" s="91" t="str">
        <f>IFERROR(VLOOKUP(A1616,Lookup!A:B,2,0),"")</f>
        <v/>
      </c>
      <c r="C1616" s="92" t="str">
        <f>IFERROR(VLOOKUP(A1616,Lookup!A:C,3,0),"")</f>
        <v/>
      </c>
      <c r="D1616" s="54"/>
      <c r="E1616" s="54"/>
      <c r="F1616" s="54"/>
      <c r="G1616" s="72"/>
      <c r="H1616" s="54"/>
      <c r="I1616" s="54"/>
      <c r="J1616" s="106">
        <f>VLOOKUP(A1616&amp;G1616,Lookup!J:N,5,0)</f>
        <v>0</v>
      </c>
      <c r="K1616" s="115"/>
      <c r="L1616" s="54"/>
      <c r="M1616" s="54"/>
      <c r="N1616" s="54"/>
      <c r="O1616" s="112">
        <v>67.0590277777778</v>
      </c>
      <c r="P1616" s="110" t="str">
        <f t="shared" si="101"/>
        <v/>
      </c>
      <c r="Q1616" s="54"/>
      <c r="R1616" s="58"/>
      <c r="S1616" s="87" t="str">
        <f t="shared" si="103"/>
        <v/>
      </c>
      <c r="T1616" s="54"/>
      <c r="U1616" s="54"/>
      <c r="V1616" s="54"/>
      <c r="W1616" s="54"/>
      <c r="X1616" s="69" t="str">
        <f t="shared" si="102"/>
        <v>D</v>
      </c>
    </row>
    <row r="1617" spans="1:24" s="66" customFormat="1" x14ac:dyDescent="0.25">
      <c r="A1617" s="51"/>
      <c r="B1617" s="91" t="str">
        <f>IFERROR(VLOOKUP(A1617,Lookup!A:B,2,0),"")</f>
        <v/>
      </c>
      <c r="C1617" s="92" t="str">
        <f>IFERROR(VLOOKUP(A1617,Lookup!A:C,3,0),"")</f>
        <v/>
      </c>
      <c r="D1617" s="54"/>
      <c r="E1617" s="54"/>
      <c r="F1617" s="54"/>
      <c r="G1617" s="72"/>
      <c r="H1617" s="54"/>
      <c r="I1617" s="54"/>
      <c r="J1617" s="106">
        <f>VLOOKUP(A1617&amp;G1617,Lookup!J:N,5,0)</f>
        <v>0</v>
      </c>
      <c r="K1617" s="115"/>
      <c r="L1617" s="54"/>
      <c r="M1617" s="54"/>
      <c r="N1617" s="54"/>
      <c r="O1617" s="112">
        <v>67.1006944444444</v>
      </c>
      <c r="P1617" s="110" t="str">
        <f t="shared" si="101"/>
        <v/>
      </c>
      <c r="Q1617" s="54"/>
      <c r="R1617" s="58"/>
      <c r="S1617" s="87" t="str">
        <f t="shared" si="103"/>
        <v/>
      </c>
      <c r="T1617" s="54"/>
      <c r="U1617" s="54"/>
      <c r="V1617" s="54"/>
      <c r="W1617" s="54"/>
      <c r="X1617" s="69" t="str">
        <f t="shared" si="102"/>
        <v>D</v>
      </c>
    </row>
    <row r="1618" spans="1:24" s="66" customFormat="1" x14ac:dyDescent="0.25">
      <c r="A1618" s="51"/>
      <c r="B1618" s="91" t="str">
        <f>IFERROR(VLOOKUP(A1618,Lookup!A:B,2,0),"")</f>
        <v/>
      </c>
      <c r="C1618" s="92" t="str">
        <f>IFERROR(VLOOKUP(A1618,Lookup!A:C,3,0),"")</f>
        <v/>
      </c>
      <c r="D1618" s="54"/>
      <c r="E1618" s="54"/>
      <c r="F1618" s="54"/>
      <c r="G1618" s="72"/>
      <c r="H1618" s="54"/>
      <c r="I1618" s="54"/>
      <c r="J1618" s="106">
        <f>VLOOKUP(A1618&amp;G1618,Lookup!J:N,5,0)</f>
        <v>0</v>
      </c>
      <c r="K1618" s="115"/>
      <c r="L1618" s="54"/>
      <c r="M1618" s="54"/>
      <c r="N1618" s="54"/>
      <c r="O1618" s="112">
        <v>67.1423611111111</v>
      </c>
      <c r="P1618" s="110" t="str">
        <f t="shared" si="101"/>
        <v/>
      </c>
      <c r="Q1618" s="54"/>
      <c r="R1618" s="58"/>
      <c r="S1618" s="87" t="str">
        <f t="shared" si="103"/>
        <v/>
      </c>
      <c r="T1618" s="54"/>
      <c r="U1618" s="54"/>
      <c r="V1618" s="54"/>
      <c r="W1618" s="54"/>
      <c r="X1618" s="69" t="str">
        <f t="shared" si="102"/>
        <v>D</v>
      </c>
    </row>
    <row r="1619" spans="1:24" s="66" customFormat="1" x14ac:dyDescent="0.25">
      <c r="A1619" s="51"/>
      <c r="B1619" s="91" t="str">
        <f>IFERROR(VLOOKUP(A1619,Lookup!A:B,2,0),"")</f>
        <v/>
      </c>
      <c r="C1619" s="92" t="str">
        <f>IFERROR(VLOOKUP(A1619,Lookup!A:C,3,0),"")</f>
        <v/>
      </c>
      <c r="D1619" s="54"/>
      <c r="E1619" s="54"/>
      <c r="F1619" s="54"/>
      <c r="G1619" s="72"/>
      <c r="H1619" s="54"/>
      <c r="I1619" s="54"/>
      <c r="J1619" s="106">
        <f>VLOOKUP(A1619&amp;G1619,Lookup!J:N,5,0)</f>
        <v>0</v>
      </c>
      <c r="K1619" s="115"/>
      <c r="L1619" s="54"/>
      <c r="M1619" s="54"/>
      <c r="N1619" s="54"/>
      <c r="O1619" s="112">
        <v>67.1840277777778</v>
      </c>
      <c r="P1619" s="110" t="str">
        <f t="shared" si="101"/>
        <v/>
      </c>
      <c r="Q1619" s="54"/>
      <c r="R1619" s="58"/>
      <c r="S1619" s="87" t="str">
        <f t="shared" si="103"/>
        <v/>
      </c>
      <c r="T1619" s="54"/>
      <c r="U1619" s="54"/>
      <c r="V1619" s="54"/>
      <c r="W1619" s="54"/>
      <c r="X1619" s="69" t="str">
        <f t="shared" si="102"/>
        <v>D</v>
      </c>
    </row>
    <row r="1620" spans="1:24" s="66" customFormat="1" x14ac:dyDescent="0.25">
      <c r="A1620" s="51"/>
      <c r="B1620" s="91" t="str">
        <f>IFERROR(VLOOKUP(A1620,Lookup!A:B,2,0),"")</f>
        <v/>
      </c>
      <c r="C1620" s="92" t="str">
        <f>IFERROR(VLOOKUP(A1620,Lookup!A:C,3,0),"")</f>
        <v/>
      </c>
      <c r="D1620" s="54"/>
      <c r="E1620" s="54"/>
      <c r="F1620" s="54"/>
      <c r="G1620" s="72"/>
      <c r="H1620" s="54"/>
      <c r="I1620" s="54"/>
      <c r="J1620" s="106">
        <f>VLOOKUP(A1620&amp;G1620,Lookup!J:N,5,0)</f>
        <v>0</v>
      </c>
      <c r="K1620" s="115"/>
      <c r="L1620" s="54"/>
      <c r="M1620" s="54"/>
      <c r="N1620" s="54"/>
      <c r="O1620" s="112">
        <v>67.2256944444444</v>
      </c>
      <c r="P1620" s="110" t="str">
        <f t="shared" si="101"/>
        <v/>
      </c>
      <c r="Q1620" s="54"/>
      <c r="R1620" s="58"/>
      <c r="S1620" s="87" t="str">
        <f t="shared" si="103"/>
        <v/>
      </c>
      <c r="T1620" s="54"/>
      <c r="U1620" s="54"/>
      <c r="V1620" s="54"/>
      <c r="W1620" s="54"/>
      <c r="X1620" s="69" t="str">
        <f t="shared" si="102"/>
        <v>D</v>
      </c>
    </row>
    <row r="1621" spans="1:24" s="66" customFormat="1" x14ac:dyDescent="0.25">
      <c r="A1621" s="51"/>
      <c r="B1621" s="91" t="str">
        <f>IFERROR(VLOOKUP(A1621,Lookup!A:B,2,0),"")</f>
        <v/>
      </c>
      <c r="C1621" s="92" t="str">
        <f>IFERROR(VLOOKUP(A1621,Lookup!A:C,3,0),"")</f>
        <v/>
      </c>
      <c r="D1621" s="54"/>
      <c r="E1621" s="54"/>
      <c r="F1621" s="54"/>
      <c r="G1621" s="72"/>
      <c r="H1621" s="54"/>
      <c r="I1621" s="54"/>
      <c r="J1621" s="106">
        <f>VLOOKUP(A1621&amp;G1621,Lookup!J:N,5,0)</f>
        <v>0</v>
      </c>
      <c r="K1621" s="115"/>
      <c r="L1621" s="54"/>
      <c r="M1621" s="54"/>
      <c r="N1621" s="54"/>
      <c r="O1621" s="112">
        <v>67.2673611111111</v>
      </c>
      <c r="P1621" s="110" t="str">
        <f t="shared" si="101"/>
        <v/>
      </c>
      <c r="Q1621" s="54"/>
      <c r="R1621" s="58"/>
      <c r="S1621" s="87" t="str">
        <f t="shared" si="103"/>
        <v/>
      </c>
      <c r="T1621" s="54"/>
      <c r="U1621" s="54"/>
      <c r="V1621" s="54"/>
      <c r="W1621" s="54"/>
      <c r="X1621" s="69" t="str">
        <f t="shared" si="102"/>
        <v>D</v>
      </c>
    </row>
    <row r="1622" spans="1:24" s="66" customFormat="1" x14ac:dyDescent="0.25">
      <c r="A1622" s="51"/>
      <c r="B1622" s="91" t="str">
        <f>IFERROR(VLOOKUP(A1622,Lookup!A:B,2,0),"")</f>
        <v/>
      </c>
      <c r="C1622" s="92" t="str">
        <f>IFERROR(VLOOKUP(A1622,Lookup!A:C,3,0),"")</f>
        <v/>
      </c>
      <c r="D1622" s="54"/>
      <c r="E1622" s="54"/>
      <c r="F1622" s="54"/>
      <c r="G1622" s="72"/>
      <c r="H1622" s="54"/>
      <c r="I1622" s="54"/>
      <c r="J1622" s="106">
        <f>VLOOKUP(A1622&amp;G1622,Lookup!J:N,5,0)</f>
        <v>0</v>
      </c>
      <c r="K1622" s="115"/>
      <c r="L1622" s="54"/>
      <c r="M1622" s="54"/>
      <c r="N1622" s="54"/>
      <c r="O1622" s="112">
        <v>67.3090277777778</v>
      </c>
      <c r="P1622" s="110" t="str">
        <f t="shared" si="101"/>
        <v/>
      </c>
      <c r="Q1622" s="54"/>
      <c r="R1622" s="58"/>
      <c r="S1622" s="87" t="str">
        <f t="shared" si="103"/>
        <v/>
      </c>
      <c r="T1622" s="54"/>
      <c r="U1622" s="54"/>
      <c r="V1622" s="54"/>
      <c r="W1622" s="54"/>
      <c r="X1622" s="69" t="str">
        <f t="shared" si="102"/>
        <v>D</v>
      </c>
    </row>
    <row r="1623" spans="1:24" s="66" customFormat="1" x14ac:dyDescent="0.25">
      <c r="A1623" s="51"/>
      <c r="B1623" s="91" t="str">
        <f>IFERROR(VLOOKUP(A1623,Lookup!A:B,2,0),"")</f>
        <v/>
      </c>
      <c r="C1623" s="92" t="str">
        <f>IFERROR(VLOOKUP(A1623,Lookup!A:C,3,0),"")</f>
        <v/>
      </c>
      <c r="D1623" s="54"/>
      <c r="E1623" s="54"/>
      <c r="F1623" s="54"/>
      <c r="G1623" s="72"/>
      <c r="H1623" s="54"/>
      <c r="I1623" s="54"/>
      <c r="J1623" s="106">
        <f>VLOOKUP(A1623&amp;G1623,Lookup!J:N,5,0)</f>
        <v>0</v>
      </c>
      <c r="K1623" s="115"/>
      <c r="L1623" s="54"/>
      <c r="M1623" s="54"/>
      <c r="N1623" s="54"/>
      <c r="O1623" s="112">
        <v>67.3506944444444</v>
      </c>
      <c r="P1623" s="110" t="str">
        <f t="shared" si="101"/>
        <v/>
      </c>
      <c r="Q1623" s="54"/>
      <c r="R1623" s="58"/>
      <c r="S1623" s="87" t="str">
        <f t="shared" si="103"/>
        <v/>
      </c>
      <c r="T1623" s="54"/>
      <c r="U1623" s="54"/>
      <c r="V1623" s="54"/>
      <c r="W1623" s="54"/>
      <c r="X1623" s="69" t="str">
        <f t="shared" si="102"/>
        <v>D</v>
      </c>
    </row>
    <row r="1624" spans="1:24" s="66" customFormat="1" x14ac:dyDescent="0.25">
      <c r="A1624" s="51"/>
      <c r="B1624" s="91" t="str">
        <f>IFERROR(VLOOKUP(A1624,Lookup!A:B,2,0),"")</f>
        <v/>
      </c>
      <c r="C1624" s="92" t="str">
        <f>IFERROR(VLOOKUP(A1624,Lookup!A:C,3,0),"")</f>
        <v/>
      </c>
      <c r="D1624" s="54"/>
      <c r="E1624" s="54"/>
      <c r="F1624" s="54"/>
      <c r="G1624" s="72"/>
      <c r="H1624" s="54"/>
      <c r="I1624" s="54"/>
      <c r="J1624" s="106">
        <f>VLOOKUP(A1624&amp;G1624,Lookup!J:N,5,0)</f>
        <v>0</v>
      </c>
      <c r="K1624" s="115"/>
      <c r="L1624" s="54"/>
      <c r="M1624" s="54"/>
      <c r="N1624" s="54"/>
      <c r="O1624" s="112">
        <v>67.3923611111111</v>
      </c>
      <c r="P1624" s="110" t="str">
        <f t="shared" si="101"/>
        <v/>
      </c>
      <c r="Q1624" s="54"/>
      <c r="R1624" s="58"/>
      <c r="S1624" s="87" t="str">
        <f t="shared" si="103"/>
        <v/>
      </c>
      <c r="T1624" s="54"/>
      <c r="U1624" s="54"/>
      <c r="V1624" s="54"/>
      <c r="W1624" s="54"/>
      <c r="X1624" s="69" t="str">
        <f t="shared" si="102"/>
        <v>D</v>
      </c>
    </row>
    <row r="1625" spans="1:24" s="66" customFormat="1" x14ac:dyDescent="0.25">
      <c r="A1625" s="51"/>
      <c r="B1625" s="91" t="str">
        <f>IFERROR(VLOOKUP(A1625,Lookup!A:B,2,0),"")</f>
        <v/>
      </c>
      <c r="C1625" s="92" t="str">
        <f>IFERROR(VLOOKUP(A1625,Lookup!A:C,3,0),"")</f>
        <v/>
      </c>
      <c r="D1625" s="54"/>
      <c r="E1625" s="54"/>
      <c r="F1625" s="54"/>
      <c r="G1625" s="72"/>
      <c r="H1625" s="54"/>
      <c r="I1625" s="54"/>
      <c r="J1625" s="106">
        <f>VLOOKUP(A1625&amp;G1625,Lookup!J:N,5,0)</f>
        <v>0</v>
      </c>
      <c r="K1625" s="115"/>
      <c r="L1625" s="54"/>
      <c r="M1625" s="54"/>
      <c r="N1625" s="54"/>
      <c r="O1625" s="112">
        <v>67.4340277777778</v>
      </c>
      <c r="P1625" s="110" t="str">
        <f t="shared" si="101"/>
        <v/>
      </c>
      <c r="Q1625" s="54"/>
      <c r="R1625" s="58"/>
      <c r="S1625" s="87" t="str">
        <f t="shared" si="103"/>
        <v/>
      </c>
      <c r="T1625" s="54"/>
      <c r="U1625" s="54"/>
      <c r="V1625" s="54"/>
      <c r="W1625" s="54"/>
      <c r="X1625" s="69" t="str">
        <f t="shared" si="102"/>
        <v>D</v>
      </c>
    </row>
    <row r="1626" spans="1:24" s="66" customFormat="1" x14ac:dyDescent="0.25">
      <c r="A1626" s="51"/>
      <c r="B1626" s="91" t="str">
        <f>IFERROR(VLOOKUP(A1626,Lookup!A:B,2,0),"")</f>
        <v/>
      </c>
      <c r="C1626" s="92" t="str">
        <f>IFERROR(VLOOKUP(A1626,Lookup!A:C,3,0),"")</f>
        <v/>
      </c>
      <c r="D1626" s="54"/>
      <c r="E1626" s="54"/>
      <c r="F1626" s="54"/>
      <c r="G1626" s="72"/>
      <c r="H1626" s="54"/>
      <c r="I1626" s="54"/>
      <c r="J1626" s="106">
        <f>VLOOKUP(A1626&amp;G1626,Lookup!J:N,5,0)</f>
        <v>0</v>
      </c>
      <c r="K1626" s="115"/>
      <c r="L1626" s="54"/>
      <c r="M1626" s="54"/>
      <c r="N1626" s="54"/>
      <c r="O1626" s="112">
        <v>67.4756944444444</v>
      </c>
      <c r="P1626" s="110" t="str">
        <f t="shared" si="101"/>
        <v/>
      </c>
      <c r="Q1626" s="54"/>
      <c r="R1626" s="58"/>
      <c r="S1626" s="87" t="str">
        <f t="shared" si="103"/>
        <v/>
      </c>
      <c r="T1626" s="54"/>
      <c r="U1626" s="54"/>
      <c r="V1626" s="54"/>
      <c r="W1626" s="54"/>
      <c r="X1626" s="69" t="str">
        <f t="shared" si="102"/>
        <v>D</v>
      </c>
    </row>
    <row r="1627" spans="1:24" s="66" customFormat="1" x14ac:dyDescent="0.25">
      <c r="A1627" s="51"/>
      <c r="B1627" s="91" t="str">
        <f>IFERROR(VLOOKUP(A1627,Lookup!A:B,2,0),"")</f>
        <v/>
      </c>
      <c r="C1627" s="92" t="str">
        <f>IFERROR(VLOOKUP(A1627,Lookup!A:C,3,0),"")</f>
        <v/>
      </c>
      <c r="D1627" s="54"/>
      <c r="E1627" s="54"/>
      <c r="F1627" s="54"/>
      <c r="G1627" s="72"/>
      <c r="H1627" s="54"/>
      <c r="I1627" s="54"/>
      <c r="J1627" s="106">
        <f>VLOOKUP(A1627&amp;G1627,Lookup!J:N,5,0)</f>
        <v>0</v>
      </c>
      <c r="K1627" s="115"/>
      <c r="L1627" s="54"/>
      <c r="M1627" s="54"/>
      <c r="N1627" s="54"/>
      <c r="O1627" s="112">
        <v>67.5173611111111</v>
      </c>
      <c r="P1627" s="110" t="str">
        <f t="shared" si="101"/>
        <v/>
      </c>
      <c r="Q1627" s="54"/>
      <c r="R1627" s="58"/>
      <c r="S1627" s="87" t="str">
        <f t="shared" si="103"/>
        <v/>
      </c>
      <c r="T1627" s="54"/>
      <c r="U1627" s="54"/>
      <c r="V1627" s="54"/>
      <c r="W1627" s="54"/>
      <c r="X1627" s="69" t="str">
        <f t="shared" si="102"/>
        <v>D</v>
      </c>
    </row>
    <row r="1628" spans="1:24" s="66" customFormat="1" x14ac:dyDescent="0.25">
      <c r="A1628" s="51"/>
      <c r="B1628" s="91" t="str">
        <f>IFERROR(VLOOKUP(A1628,Lookup!A:B,2,0),"")</f>
        <v/>
      </c>
      <c r="C1628" s="92" t="str">
        <f>IFERROR(VLOOKUP(A1628,Lookup!A:C,3,0),"")</f>
        <v/>
      </c>
      <c r="D1628" s="54"/>
      <c r="E1628" s="54"/>
      <c r="F1628" s="54"/>
      <c r="G1628" s="72"/>
      <c r="H1628" s="54"/>
      <c r="I1628" s="54"/>
      <c r="J1628" s="106">
        <f>VLOOKUP(A1628&amp;G1628,Lookup!J:N,5,0)</f>
        <v>0</v>
      </c>
      <c r="K1628" s="115"/>
      <c r="L1628" s="54"/>
      <c r="M1628" s="54"/>
      <c r="N1628" s="54"/>
      <c r="O1628" s="112">
        <v>67.5590277777778</v>
      </c>
      <c r="P1628" s="110" t="str">
        <f t="shared" si="101"/>
        <v/>
      </c>
      <c r="Q1628" s="54"/>
      <c r="R1628" s="58"/>
      <c r="S1628" s="87" t="str">
        <f t="shared" si="103"/>
        <v/>
      </c>
      <c r="T1628" s="54"/>
      <c r="U1628" s="54"/>
      <c r="V1628" s="54"/>
      <c r="W1628" s="54"/>
      <c r="X1628" s="69" t="str">
        <f t="shared" si="102"/>
        <v>D</v>
      </c>
    </row>
    <row r="1629" spans="1:24" s="66" customFormat="1" x14ac:dyDescent="0.25">
      <c r="A1629" s="51"/>
      <c r="B1629" s="91" t="str">
        <f>IFERROR(VLOOKUP(A1629,Lookup!A:B,2,0),"")</f>
        <v/>
      </c>
      <c r="C1629" s="92" t="str">
        <f>IFERROR(VLOOKUP(A1629,Lookup!A:C,3,0),"")</f>
        <v/>
      </c>
      <c r="D1629" s="54"/>
      <c r="E1629" s="54"/>
      <c r="F1629" s="54"/>
      <c r="G1629" s="72"/>
      <c r="H1629" s="54"/>
      <c r="I1629" s="54"/>
      <c r="J1629" s="106">
        <f>VLOOKUP(A1629&amp;G1629,Lookup!J:N,5,0)</f>
        <v>0</v>
      </c>
      <c r="K1629" s="115"/>
      <c r="L1629" s="54"/>
      <c r="M1629" s="54"/>
      <c r="N1629" s="54"/>
      <c r="O1629" s="112">
        <v>67.6006944444444</v>
      </c>
      <c r="P1629" s="110" t="str">
        <f t="shared" si="101"/>
        <v/>
      </c>
      <c r="Q1629" s="54"/>
      <c r="R1629" s="58"/>
      <c r="S1629" s="87" t="str">
        <f t="shared" si="103"/>
        <v/>
      </c>
      <c r="T1629" s="54"/>
      <c r="U1629" s="54"/>
      <c r="V1629" s="54"/>
      <c r="W1629" s="54"/>
      <c r="X1629" s="69" t="str">
        <f t="shared" si="102"/>
        <v>D</v>
      </c>
    </row>
    <row r="1630" spans="1:24" s="66" customFormat="1" x14ac:dyDescent="0.25">
      <c r="A1630" s="51"/>
      <c r="B1630" s="91" t="str">
        <f>IFERROR(VLOOKUP(A1630,Lookup!A:B,2,0),"")</f>
        <v/>
      </c>
      <c r="C1630" s="92" t="str">
        <f>IFERROR(VLOOKUP(A1630,Lookup!A:C,3,0),"")</f>
        <v/>
      </c>
      <c r="D1630" s="54"/>
      <c r="E1630" s="54"/>
      <c r="F1630" s="54"/>
      <c r="G1630" s="72"/>
      <c r="H1630" s="54"/>
      <c r="I1630" s="54"/>
      <c r="J1630" s="106">
        <f>VLOOKUP(A1630&amp;G1630,Lookup!J:N,5,0)</f>
        <v>0</v>
      </c>
      <c r="K1630" s="115"/>
      <c r="L1630" s="54"/>
      <c r="M1630" s="54"/>
      <c r="N1630" s="54"/>
      <c r="O1630" s="112">
        <v>67.6423611111111</v>
      </c>
      <c r="P1630" s="110" t="str">
        <f t="shared" si="101"/>
        <v/>
      </c>
      <c r="Q1630" s="54"/>
      <c r="R1630" s="58"/>
      <c r="S1630" s="87" t="str">
        <f t="shared" si="103"/>
        <v/>
      </c>
      <c r="T1630" s="54"/>
      <c r="U1630" s="54"/>
      <c r="V1630" s="54"/>
      <c r="W1630" s="54"/>
      <c r="X1630" s="69" t="str">
        <f t="shared" si="102"/>
        <v>D</v>
      </c>
    </row>
    <row r="1631" spans="1:24" s="66" customFormat="1" x14ac:dyDescent="0.25">
      <c r="A1631" s="51"/>
      <c r="B1631" s="91" t="str">
        <f>IFERROR(VLOOKUP(A1631,Lookup!A:B,2,0),"")</f>
        <v/>
      </c>
      <c r="C1631" s="92" t="str">
        <f>IFERROR(VLOOKUP(A1631,Lookup!A:C,3,0),"")</f>
        <v/>
      </c>
      <c r="D1631" s="54"/>
      <c r="E1631" s="54"/>
      <c r="F1631" s="54"/>
      <c r="G1631" s="72"/>
      <c r="H1631" s="54"/>
      <c r="I1631" s="54"/>
      <c r="J1631" s="106">
        <f>VLOOKUP(A1631&amp;G1631,Lookup!J:N,5,0)</f>
        <v>0</v>
      </c>
      <c r="K1631" s="115"/>
      <c r="L1631" s="54"/>
      <c r="M1631" s="54"/>
      <c r="N1631" s="54"/>
      <c r="O1631" s="112">
        <v>67.6840277777778</v>
      </c>
      <c r="P1631" s="110" t="str">
        <f t="shared" si="101"/>
        <v/>
      </c>
      <c r="Q1631" s="54"/>
      <c r="R1631" s="58"/>
      <c r="S1631" s="87" t="str">
        <f t="shared" si="103"/>
        <v/>
      </c>
      <c r="T1631" s="54"/>
      <c r="U1631" s="54"/>
      <c r="V1631" s="54"/>
      <c r="W1631" s="54"/>
      <c r="X1631" s="69" t="str">
        <f t="shared" si="102"/>
        <v>D</v>
      </c>
    </row>
    <row r="1632" spans="1:24" s="66" customFormat="1" x14ac:dyDescent="0.25">
      <c r="A1632" s="51"/>
      <c r="B1632" s="91" t="str">
        <f>IFERROR(VLOOKUP(A1632,Lookup!A:B,2,0),"")</f>
        <v/>
      </c>
      <c r="C1632" s="92" t="str">
        <f>IFERROR(VLOOKUP(A1632,Lookup!A:C,3,0),"")</f>
        <v/>
      </c>
      <c r="D1632" s="54"/>
      <c r="E1632" s="54"/>
      <c r="F1632" s="54"/>
      <c r="G1632" s="72"/>
      <c r="H1632" s="54"/>
      <c r="I1632" s="54"/>
      <c r="J1632" s="106">
        <f>VLOOKUP(A1632&amp;G1632,Lookup!J:N,5,0)</f>
        <v>0</v>
      </c>
      <c r="K1632" s="115"/>
      <c r="L1632" s="54"/>
      <c r="M1632" s="54"/>
      <c r="N1632" s="54"/>
      <c r="O1632" s="112">
        <v>67.7256944444444</v>
      </c>
      <c r="P1632" s="110" t="str">
        <f t="shared" si="101"/>
        <v/>
      </c>
      <c r="Q1632" s="54"/>
      <c r="R1632" s="58"/>
      <c r="S1632" s="87" t="str">
        <f t="shared" si="103"/>
        <v/>
      </c>
      <c r="T1632" s="54"/>
      <c r="U1632" s="54"/>
      <c r="V1632" s="54"/>
      <c r="W1632" s="54"/>
      <c r="X1632" s="69" t="str">
        <f t="shared" si="102"/>
        <v>D</v>
      </c>
    </row>
    <row r="1633" spans="1:24" s="66" customFormat="1" x14ac:dyDescent="0.25">
      <c r="A1633" s="51"/>
      <c r="B1633" s="91" t="str">
        <f>IFERROR(VLOOKUP(A1633,Lookup!A:B,2,0),"")</f>
        <v/>
      </c>
      <c r="C1633" s="92" t="str">
        <f>IFERROR(VLOOKUP(A1633,Lookup!A:C,3,0),"")</f>
        <v/>
      </c>
      <c r="D1633" s="54"/>
      <c r="E1633" s="54"/>
      <c r="F1633" s="54"/>
      <c r="G1633" s="72"/>
      <c r="H1633" s="54"/>
      <c r="I1633" s="54"/>
      <c r="J1633" s="106">
        <f>VLOOKUP(A1633&amp;G1633,Lookup!J:N,5,0)</f>
        <v>0</v>
      </c>
      <c r="K1633" s="115"/>
      <c r="L1633" s="54"/>
      <c r="M1633" s="54"/>
      <c r="N1633" s="54"/>
      <c r="O1633" s="112">
        <v>67.7673611111111</v>
      </c>
      <c r="P1633" s="110" t="str">
        <f t="shared" si="101"/>
        <v/>
      </c>
      <c r="Q1633" s="54"/>
      <c r="R1633" s="58"/>
      <c r="S1633" s="87" t="str">
        <f t="shared" si="103"/>
        <v/>
      </c>
      <c r="T1633" s="54"/>
      <c r="U1633" s="54"/>
      <c r="V1633" s="54"/>
      <c r="W1633" s="54"/>
      <c r="X1633" s="69" t="str">
        <f t="shared" si="102"/>
        <v>D</v>
      </c>
    </row>
    <row r="1634" spans="1:24" s="66" customFormat="1" x14ac:dyDescent="0.25">
      <c r="A1634" s="51"/>
      <c r="B1634" s="91" t="str">
        <f>IFERROR(VLOOKUP(A1634,Lookup!A:B,2,0),"")</f>
        <v/>
      </c>
      <c r="C1634" s="92" t="str">
        <f>IFERROR(VLOOKUP(A1634,Lookup!A:C,3,0),"")</f>
        <v/>
      </c>
      <c r="D1634" s="54"/>
      <c r="E1634" s="54"/>
      <c r="F1634" s="54"/>
      <c r="G1634" s="72"/>
      <c r="H1634" s="54"/>
      <c r="I1634" s="54"/>
      <c r="J1634" s="106">
        <f>VLOOKUP(A1634&amp;G1634,Lookup!J:N,5,0)</f>
        <v>0</v>
      </c>
      <c r="K1634" s="115"/>
      <c r="L1634" s="54"/>
      <c r="M1634" s="54"/>
      <c r="N1634" s="54"/>
      <c r="O1634" s="112">
        <v>67.8090277777778</v>
      </c>
      <c r="P1634" s="110" t="str">
        <f t="shared" si="101"/>
        <v/>
      </c>
      <c r="Q1634" s="54"/>
      <c r="R1634" s="58"/>
      <c r="S1634" s="87" t="str">
        <f t="shared" si="103"/>
        <v/>
      </c>
      <c r="T1634" s="54"/>
      <c r="U1634" s="54"/>
      <c r="V1634" s="54"/>
      <c r="W1634" s="54"/>
      <c r="X1634" s="69" t="str">
        <f t="shared" si="102"/>
        <v>D</v>
      </c>
    </row>
    <row r="1635" spans="1:24" s="66" customFormat="1" x14ac:dyDescent="0.25">
      <c r="A1635" s="51"/>
      <c r="B1635" s="91" t="str">
        <f>IFERROR(VLOOKUP(A1635,Lookup!A:B,2,0),"")</f>
        <v/>
      </c>
      <c r="C1635" s="92" t="str">
        <f>IFERROR(VLOOKUP(A1635,Lookup!A:C,3,0),"")</f>
        <v/>
      </c>
      <c r="D1635" s="54"/>
      <c r="E1635" s="54"/>
      <c r="F1635" s="54"/>
      <c r="G1635" s="72"/>
      <c r="H1635" s="54"/>
      <c r="I1635" s="54"/>
      <c r="J1635" s="106">
        <f>VLOOKUP(A1635&amp;G1635,Lookup!J:N,5,0)</f>
        <v>0</v>
      </c>
      <c r="K1635" s="115"/>
      <c r="L1635" s="54"/>
      <c r="M1635" s="54"/>
      <c r="N1635" s="54"/>
      <c r="O1635" s="112">
        <v>67.8506944444444</v>
      </c>
      <c r="P1635" s="110" t="str">
        <f t="shared" si="101"/>
        <v/>
      </c>
      <c r="Q1635" s="54"/>
      <c r="R1635" s="58"/>
      <c r="S1635" s="87" t="str">
        <f t="shared" si="103"/>
        <v/>
      </c>
      <c r="T1635" s="54"/>
      <c r="U1635" s="54"/>
      <c r="V1635" s="54"/>
      <c r="W1635" s="54"/>
      <c r="X1635" s="69" t="str">
        <f t="shared" si="102"/>
        <v>D</v>
      </c>
    </row>
    <row r="1636" spans="1:24" s="66" customFormat="1" x14ac:dyDescent="0.25">
      <c r="A1636" s="51"/>
      <c r="B1636" s="91" t="str">
        <f>IFERROR(VLOOKUP(A1636,Lookup!A:B,2,0),"")</f>
        <v/>
      </c>
      <c r="C1636" s="92" t="str">
        <f>IFERROR(VLOOKUP(A1636,Lookup!A:C,3,0),"")</f>
        <v/>
      </c>
      <c r="D1636" s="54"/>
      <c r="E1636" s="54"/>
      <c r="F1636" s="54"/>
      <c r="G1636" s="72"/>
      <c r="H1636" s="54"/>
      <c r="I1636" s="54"/>
      <c r="J1636" s="106">
        <f>VLOOKUP(A1636&amp;G1636,Lookup!J:N,5,0)</f>
        <v>0</v>
      </c>
      <c r="K1636" s="115"/>
      <c r="L1636" s="54"/>
      <c r="M1636" s="54"/>
      <c r="N1636" s="54"/>
      <c r="O1636" s="112">
        <v>67.8923611111111</v>
      </c>
      <c r="P1636" s="110" t="str">
        <f t="shared" si="101"/>
        <v/>
      </c>
      <c r="Q1636" s="54"/>
      <c r="R1636" s="58"/>
      <c r="S1636" s="87" t="str">
        <f t="shared" si="103"/>
        <v/>
      </c>
      <c r="T1636" s="54"/>
      <c r="U1636" s="54"/>
      <c r="V1636" s="54"/>
      <c r="W1636" s="54"/>
      <c r="X1636" s="69" t="str">
        <f t="shared" si="102"/>
        <v>D</v>
      </c>
    </row>
    <row r="1637" spans="1:24" s="66" customFormat="1" x14ac:dyDescent="0.25">
      <c r="A1637" s="51"/>
      <c r="B1637" s="91" t="str">
        <f>IFERROR(VLOOKUP(A1637,Lookup!A:B,2,0),"")</f>
        <v/>
      </c>
      <c r="C1637" s="92" t="str">
        <f>IFERROR(VLOOKUP(A1637,Lookup!A:C,3,0),"")</f>
        <v/>
      </c>
      <c r="D1637" s="54"/>
      <c r="E1637" s="54"/>
      <c r="F1637" s="54"/>
      <c r="G1637" s="72"/>
      <c r="H1637" s="54"/>
      <c r="I1637" s="54"/>
      <c r="J1637" s="106">
        <f>VLOOKUP(A1637&amp;G1637,Lookup!J:N,5,0)</f>
        <v>0</v>
      </c>
      <c r="K1637" s="115"/>
      <c r="L1637" s="54"/>
      <c r="M1637" s="54"/>
      <c r="N1637" s="54"/>
      <c r="O1637" s="112">
        <v>67.9340277777778</v>
      </c>
      <c r="P1637" s="110" t="str">
        <f t="shared" si="101"/>
        <v/>
      </c>
      <c r="Q1637" s="54"/>
      <c r="R1637" s="58"/>
      <c r="S1637" s="87" t="str">
        <f t="shared" si="103"/>
        <v/>
      </c>
      <c r="T1637" s="54"/>
      <c r="U1637" s="54"/>
      <c r="V1637" s="54"/>
      <c r="W1637" s="54"/>
      <c r="X1637" s="69" t="str">
        <f t="shared" si="102"/>
        <v>D</v>
      </c>
    </row>
    <row r="1638" spans="1:24" s="66" customFormat="1" x14ac:dyDescent="0.25">
      <c r="A1638" s="51"/>
      <c r="B1638" s="91" t="str">
        <f>IFERROR(VLOOKUP(A1638,Lookup!A:B,2,0),"")</f>
        <v/>
      </c>
      <c r="C1638" s="92" t="str">
        <f>IFERROR(VLOOKUP(A1638,Lookup!A:C,3,0),"")</f>
        <v/>
      </c>
      <c r="D1638" s="54"/>
      <c r="E1638" s="54"/>
      <c r="F1638" s="54"/>
      <c r="G1638" s="72"/>
      <c r="H1638" s="54"/>
      <c r="I1638" s="54"/>
      <c r="J1638" s="106">
        <f>VLOOKUP(A1638&amp;G1638,Lookup!J:N,5,0)</f>
        <v>0</v>
      </c>
      <c r="K1638" s="115"/>
      <c r="L1638" s="54"/>
      <c r="M1638" s="54"/>
      <c r="N1638" s="54"/>
      <c r="O1638" s="112">
        <v>67.9756944444444</v>
      </c>
      <c r="P1638" s="110" t="str">
        <f t="shared" si="101"/>
        <v/>
      </c>
      <c r="Q1638" s="54"/>
      <c r="R1638" s="58"/>
      <c r="S1638" s="87" t="str">
        <f t="shared" si="103"/>
        <v/>
      </c>
      <c r="T1638" s="54"/>
      <c r="U1638" s="54"/>
      <c r="V1638" s="54"/>
      <c r="W1638" s="54"/>
      <c r="X1638" s="69" t="str">
        <f t="shared" si="102"/>
        <v>D</v>
      </c>
    </row>
    <row r="1639" spans="1:24" s="66" customFormat="1" x14ac:dyDescent="0.25">
      <c r="A1639" s="51"/>
      <c r="B1639" s="91" t="str">
        <f>IFERROR(VLOOKUP(A1639,Lookup!A:B,2,0),"")</f>
        <v/>
      </c>
      <c r="C1639" s="92" t="str">
        <f>IFERROR(VLOOKUP(A1639,Lookup!A:C,3,0),"")</f>
        <v/>
      </c>
      <c r="D1639" s="54"/>
      <c r="E1639" s="54"/>
      <c r="F1639" s="54"/>
      <c r="G1639" s="72"/>
      <c r="H1639" s="54"/>
      <c r="I1639" s="54"/>
      <c r="J1639" s="106">
        <f>VLOOKUP(A1639&amp;G1639,Lookup!J:N,5,0)</f>
        <v>0</v>
      </c>
      <c r="K1639" s="115"/>
      <c r="L1639" s="54"/>
      <c r="M1639" s="54"/>
      <c r="N1639" s="54"/>
      <c r="O1639" s="112">
        <v>68.0173611111111</v>
      </c>
      <c r="P1639" s="110" t="str">
        <f t="shared" si="101"/>
        <v/>
      </c>
      <c r="Q1639" s="54"/>
      <c r="R1639" s="58"/>
      <c r="S1639" s="87" t="str">
        <f t="shared" si="103"/>
        <v/>
      </c>
      <c r="T1639" s="54"/>
      <c r="U1639" s="54"/>
      <c r="V1639" s="54"/>
      <c r="W1639" s="54"/>
      <c r="X1639" s="69" t="str">
        <f t="shared" si="102"/>
        <v>D</v>
      </c>
    </row>
    <row r="1640" spans="1:24" s="66" customFormat="1" x14ac:dyDescent="0.25">
      <c r="A1640" s="51"/>
      <c r="B1640" s="91" t="str">
        <f>IFERROR(VLOOKUP(A1640,Lookup!A:B,2,0),"")</f>
        <v/>
      </c>
      <c r="C1640" s="92" t="str">
        <f>IFERROR(VLOOKUP(A1640,Lookup!A:C,3,0),"")</f>
        <v/>
      </c>
      <c r="D1640" s="54"/>
      <c r="E1640" s="54"/>
      <c r="F1640" s="54"/>
      <c r="G1640" s="72"/>
      <c r="H1640" s="54"/>
      <c r="I1640" s="54"/>
      <c r="J1640" s="106">
        <f>VLOOKUP(A1640&amp;G1640,Lookup!J:N,5,0)</f>
        <v>0</v>
      </c>
      <c r="K1640" s="115"/>
      <c r="L1640" s="54"/>
      <c r="M1640" s="54"/>
      <c r="N1640" s="54"/>
      <c r="O1640" s="112">
        <v>68.0590277777778</v>
      </c>
      <c r="P1640" s="110" t="str">
        <f t="shared" si="101"/>
        <v/>
      </c>
      <c r="Q1640" s="54"/>
      <c r="R1640" s="58"/>
      <c r="S1640" s="87" t="str">
        <f t="shared" si="103"/>
        <v/>
      </c>
      <c r="T1640" s="54"/>
      <c r="U1640" s="54"/>
      <c r="V1640" s="54"/>
      <c r="W1640" s="54"/>
      <c r="X1640" s="69" t="str">
        <f t="shared" si="102"/>
        <v>D</v>
      </c>
    </row>
    <row r="1641" spans="1:24" s="66" customFormat="1" x14ac:dyDescent="0.25">
      <c r="A1641" s="51"/>
      <c r="B1641" s="91" t="str">
        <f>IFERROR(VLOOKUP(A1641,Lookup!A:B,2,0),"")</f>
        <v/>
      </c>
      <c r="C1641" s="92" t="str">
        <f>IFERROR(VLOOKUP(A1641,Lookup!A:C,3,0),"")</f>
        <v/>
      </c>
      <c r="D1641" s="54"/>
      <c r="E1641" s="54"/>
      <c r="F1641" s="54"/>
      <c r="G1641" s="72"/>
      <c r="H1641" s="54"/>
      <c r="I1641" s="54"/>
      <c r="J1641" s="106">
        <f>VLOOKUP(A1641&amp;G1641,Lookup!J:N,5,0)</f>
        <v>0</v>
      </c>
      <c r="K1641" s="115"/>
      <c r="L1641" s="54"/>
      <c r="M1641" s="54"/>
      <c r="N1641" s="54"/>
      <c r="O1641" s="112">
        <v>68.1006944444444</v>
      </c>
      <c r="P1641" s="110" t="str">
        <f t="shared" si="101"/>
        <v/>
      </c>
      <c r="Q1641" s="54"/>
      <c r="R1641" s="58"/>
      <c r="S1641" s="87" t="str">
        <f t="shared" si="103"/>
        <v/>
      </c>
      <c r="T1641" s="54"/>
      <c r="U1641" s="54"/>
      <c r="V1641" s="54"/>
      <c r="W1641" s="54"/>
      <c r="X1641" s="69" t="str">
        <f t="shared" si="102"/>
        <v>D</v>
      </c>
    </row>
    <row r="1642" spans="1:24" s="66" customFormat="1" x14ac:dyDescent="0.25">
      <c r="A1642" s="51"/>
      <c r="B1642" s="91" t="str">
        <f>IFERROR(VLOOKUP(A1642,Lookup!A:B,2,0),"")</f>
        <v/>
      </c>
      <c r="C1642" s="92" t="str">
        <f>IFERROR(VLOOKUP(A1642,Lookup!A:C,3,0),"")</f>
        <v/>
      </c>
      <c r="D1642" s="54"/>
      <c r="E1642" s="54"/>
      <c r="F1642" s="54"/>
      <c r="G1642" s="72"/>
      <c r="H1642" s="54"/>
      <c r="I1642" s="54"/>
      <c r="J1642" s="106">
        <f>VLOOKUP(A1642&amp;G1642,Lookup!J:N,5,0)</f>
        <v>0</v>
      </c>
      <c r="K1642" s="115"/>
      <c r="L1642" s="54"/>
      <c r="M1642" s="54"/>
      <c r="N1642" s="54"/>
      <c r="O1642" s="112">
        <v>68.1423611111111</v>
      </c>
      <c r="P1642" s="110" t="str">
        <f t="shared" si="101"/>
        <v/>
      </c>
      <c r="Q1642" s="54"/>
      <c r="R1642" s="58"/>
      <c r="S1642" s="87" t="str">
        <f t="shared" si="103"/>
        <v/>
      </c>
      <c r="T1642" s="54"/>
      <c r="U1642" s="54"/>
      <c r="V1642" s="54"/>
      <c r="W1642" s="54"/>
      <c r="X1642" s="69" t="str">
        <f t="shared" si="102"/>
        <v>D</v>
      </c>
    </row>
    <row r="1643" spans="1:24" s="66" customFormat="1" x14ac:dyDescent="0.25">
      <c r="A1643" s="51"/>
      <c r="B1643" s="91" t="str">
        <f>IFERROR(VLOOKUP(A1643,Lookup!A:B,2,0),"")</f>
        <v/>
      </c>
      <c r="C1643" s="92" t="str">
        <f>IFERROR(VLOOKUP(A1643,Lookup!A:C,3,0),"")</f>
        <v/>
      </c>
      <c r="D1643" s="54"/>
      <c r="E1643" s="54"/>
      <c r="F1643" s="54"/>
      <c r="G1643" s="72"/>
      <c r="H1643" s="54"/>
      <c r="I1643" s="54"/>
      <c r="J1643" s="106">
        <f>VLOOKUP(A1643&amp;G1643,Lookup!J:N,5,0)</f>
        <v>0</v>
      </c>
      <c r="K1643" s="115"/>
      <c r="L1643" s="54"/>
      <c r="M1643" s="54"/>
      <c r="N1643" s="54"/>
      <c r="O1643" s="112">
        <v>68.1840277777778</v>
      </c>
      <c r="P1643" s="110" t="str">
        <f t="shared" si="101"/>
        <v/>
      </c>
      <c r="Q1643" s="54"/>
      <c r="R1643" s="58"/>
      <c r="S1643" s="87" t="str">
        <f t="shared" si="103"/>
        <v/>
      </c>
      <c r="T1643" s="54"/>
      <c r="U1643" s="54"/>
      <c r="V1643" s="54"/>
      <c r="W1643" s="54"/>
      <c r="X1643" s="69" t="str">
        <f t="shared" si="102"/>
        <v>D</v>
      </c>
    </row>
    <row r="1644" spans="1:24" s="66" customFormat="1" x14ac:dyDescent="0.25">
      <c r="A1644" s="51"/>
      <c r="B1644" s="91" t="str">
        <f>IFERROR(VLOOKUP(A1644,Lookup!A:B,2,0),"")</f>
        <v/>
      </c>
      <c r="C1644" s="92" t="str">
        <f>IFERROR(VLOOKUP(A1644,Lookup!A:C,3,0),"")</f>
        <v/>
      </c>
      <c r="D1644" s="54"/>
      <c r="E1644" s="54"/>
      <c r="F1644" s="54"/>
      <c r="G1644" s="72"/>
      <c r="H1644" s="54"/>
      <c r="I1644" s="54"/>
      <c r="J1644" s="106">
        <f>VLOOKUP(A1644&amp;G1644,Lookup!J:N,5,0)</f>
        <v>0</v>
      </c>
      <c r="K1644" s="115"/>
      <c r="L1644" s="54"/>
      <c r="M1644" s="54"/>
      <c r="N1644" s="54"/>
      <c r="O1644" s="112">
        <v>68.2256944444444</v>
      </c>
      <c r="P1644" s="110" t="str">
        <f t="shared" si="101"/>
        <v/>
      </c>
      <c r="Q1644" s="54"/>
      <c r="R1644" s="58"/>
      <c r="S1644" s="87" t="str">
        <f t="shared" si="103"/>
        <v/>
      </c>
      <c r="T1644" s="54"/>
      <c r="U1644" s="54"/>
      <c r="V1644" s="54"/>
      <c r="W1644" s="54"/>
      <c r="X1644" s="69" t="str">
        <f t="shared" si="102"/>
        <v>D</v>
      </c>
    </row>
    <row r="1645" spans="1:24" s="66" customFormat="1" x14ac:dyDescent="0.25">
      <c r="A1645" s="51"/>
      <c r="B1645" s="91" t="str">
        <f>IFERROR(VLOOKUP(A1645,Lookup!A:B,2,0),"")</f>
        <v/>
      </c>
      <c r="C1645" s="92" t="str">
        <f>IFERROR(VLOOKUP(A1645,Lookup!A:C,3,0),"")</f>
        <v/>
      </c>
      <c r="D1645" s="54"/>
      <c r="E1645" s="54"/>
      <c r="F1645" s="54"/>
      <c r="G1645" s="72"/>
      <c r="H1645" s="54"/>
      <c r="I1645" s="54"/>
      <c r="J1645" s="106">
        <f>VLOOKUP(A1645&amp;G1645,Lookup!J:N,5,0)</f>
        <v>0</v>
      </c>
      <c r="K1645" s="115"/>
      <c r="L1645" s="54"/>
      <c r="M1645" s="54"/>
      <c r="N1645" s="54"/>
      <c r="O1645" s="112">
        <v>68.2673611111111</v>
      </c>
      <c r="P1645" s="110" t="str">
        <f t="shared" si="101"/>
        <v/>
      </c>
      <c r="Q1645" s="54"/>
      <c r="R1645" s="58"/>
      <c r="S1645" s="87" t="str">
        <f t="shared" si="103"/>
        <v/>
      </c>
      <c r="T1645" s="54"/>
      <c r="U1645" s="54"/>
      <c r="V1645" s="54"/>
      <c r="W1645" s="54"/>
      <c r="X1645" s="69" t="str">
        <f t="shared" si="102"/>
        <v>D</v>
      </c>
    </row>
    <row r="1646" spans="1:24" s="66" customFormat="1" x14ac:dyDescent="0.25">
      <c r="A1646" s="51"/>
      <c r="B1646" s="91" t="str">
        <f>IFERROR(VLOOKUP(A1646,Lookup!A:B,2,0),"")</f>
        <v/>
      </c>
      <c r="C1646" s="92" t="str">
        <f>IFERROR(VLOOKUP(A1646,Lookup!A:C,3,0),"")</f>
        <v/>
      </c>
      <c r="D1646" s="54"/>
      <c r="E1646" s="54"/>
      <c r="F1646" s="54"/>
      <c r="G1646" s="72"/>
      <c r="H1646" s="54"/>
      <c r="I1646" s="54"/>
      <c r="J1646" s="106">
        <f>VLOOKUP(A1646&amp;G1646,Lookup!J:N,5,0)</f>
        <v>0</v>
      </c>
      <c r="K1646" s="115"/>
      <c r="L1646" s="54"/>
      <c r="M1646" s="54"/>
      <c r="N1646" s="54"/>
      <c r="O1646" s="112">
        <v>68.3090277777778</v>
      </c>
      <c r="P1646" s="110" t="str">
        <f t="shared" si="101"/>
        <v/>
      </c>
      <c r="Q1646" s="54"/>
      <c r="R1646" s="58"/>
      <c r="S1646" s="87" t="str">
        <f t="shared" si="103"/>
        <v/>
      </c>
      <c r="T1646" s="54"/>
      <c r="U1646" s="54"/>
      <c r="V1646" s="54"/>
      <c r="W1646" s="54"/>
      <c r="X1646" s="69" t="str">
        <f t="shared" si="102"/>
        <v>D</v>
      </c>
    </row>
    <row r="1647" spans="1:24" s="66" customFormat="1" x14ac:dyDescent="0.25">
      <c r="A1647" s="51"/>
      <c r="B1647" s="91" t="str">
        <f>IFERROR(VLOOKUP(A1647,Lookup!A:B,2,0),"")</f>
        <v/>
      </c>
      <c r="C1647" s="92" t="str">
        <f>IFERROR(VLOOKUP(A1647,Lookup!A:C,3,0),"")</f>
        <v/>
      </c>
      <c r="D1647" s="54"/>
      <c r="E1647" s="54"/>
      <c r="F1647" s="54"/>
      <c r="G1647" s="72"/>
      <c r="H1647" s="54"/>
      <c r="I1647" s="54"/>
      <c r="J1647" s="106">
        <f>VLOOKUP(A1647&amp;G1647,Lookup!J:N,5,0)</f>
        <v>0</v>
      </c>
      <c r="K1647" s="115"/>
      <c r="L1647" s="54"/>
      <c r="M1647" s="54"/>
      <c r="N1647" s="54"/>
      <c r="O1647" s="112">
        <v>68.3506944444444</v>
      </c>
      <c r="P1647" s="110" t="str">
        <f t="shared" si="101"/>
        <v/>
      </c>
      <c r="Q1647" s="54"/>
      <c r="R1647" s="58"/>
      <c r="S1647" s="87" t="str">
        <f t="shared" si="103"/>
        <v/>
      </c>
      <c r="T1647" s="54"/>
      <c r="U1647" s="54"/>
      <c r="V1647" s="54"/>
      <c r="W1647" s="54"/>
      <c r="X1647" s="69" t="str">
        <f t="shared" si="102"/>
        <v>D</v>
      </c>
    </row>
    <row r="1648" spans="1:24" s="66" customFormat="1" x14ac:dyDescent="0.25">
      <c r="A1648" s="51"/>
      <c r="B1648" s="91" t="str">
        <f>IFERROR(VLOOKUP(A1648,Lookup!A:B,2,0),"")</f>
        <v/>
      </c>
      <c r="C1648" s="92" t="str">
        <f>IFERROR(VLOOKUP(A1648,Lookup!A:C,3,0),"")</f>
        <v/>
      </c>
      <c r="D1648" s="54"/>
      <c r="E1648" s="54"/>
      <c r="F1648" s="54"/>
      <c r="G1648" s="72"/>
      <c r="H1648" s="54"/>
      <c r="I1648" s="54"/>
      <c r="J1648" s="106">
        <f>VLOOKUP(A1648&amp;G1648,Lookup!J:N,5,0)</f>
        <v>0</v>
      </c>
      <c r="K1648" s="115"/>
      <c r="L1648" s="54"/>
      <c r="M1648" s="54"/>
      <c r="N1648" s="54"/>
      <c r="O1648" s="112">
        <v>68.3923611111111</v>
      </c>
      <c r="P1648" s="110" t="str">
        <f t="shared" si="101"/>
        <v/>
      </c>
      <c r="Q1648" s="54"/>
      <c r="R1648" s="58"/>
      <c r="S1648" s="87" t="str">
        <f t="shared" si="103"/>
        <v/>
      </c>
      <c r="T1648" s="54"/>
      <c r="U1648" s="54"/>
      <c r="V1648" s="54"/>
      <c r="W1648" s="54"/>
      <c r="X1648" s="69" t="str">
        <f t="shared" si="102"/>
        <v>D</v>
      </c>
    </row>
    <row r="1649" spans="1:24" s="66" customFormat="1" x14ac:dyDescent="0.25">
      <c r="A1649" s="51"/>
      <c r="B1649" s="91" t="str">
        <f>IFERROR(VLOOKUP(A1649,Lookup!A:B,2,0),"")</f>
        <v/>
      </c>
      <c r="C1649" s="92" t="str">
        <f>IFERROR(VLOOKUP(A1649,Lookup!A:C,3,0),"")</f>
        <v/>
      </c>
      <c r="D1649" s="54"/>
      <c r="E1649" s="54"/>
      <c r="F1649" s="54"/>
      <c r="G1649" s="72"/>
      <c r="H1649" s="54"/>
      <c r="I1649" s="54"/>
      <c r="J1649" s="106">
        <f>VLOOKUP(A1649&amp;G1649,Lookup!J:N,5,0)</f>
        <v>0</v>
      </c>
      <c r="K1649" s="115"/>
      <c r="L1649" s="54"/>
      <c r="M1649" s="54"/>
      <c r="N1649" s="54"/>
      <c r="O1649" s="112">
        <v>68.4340277777778</v>
      </c>
      <c r="P1649" s="110" t="str">
        <f t="shared" si="101"/>
        <v/>
      </c>
      <c r="Q1649" s="54"/>
      <c r="R1649" s="58"/>
      <c r="S1649" s="87" t="str">
        <f t="shared" si="103"/>
        <v/>
      </c>
      <c r="T1649" s="54"/>
      <c r="U1649" s="54"/>
      <c r="V1649" s="54"/>
      <c r="W1649" s="54"/>
      <c r="X1649" s="69" t="str">
        <f t="shared" si="102"/>
        <v>D</v>
      </c>
    </row>
    <row r="1650" spans="1:24" s="66" customFormat="1" x14ac:dyDescent="0.25">
      <c r="A1650" s="51"/>
      <c r="B1650" s="91" t="str">
        <f>IFERROR(VLOOKUP(A1650,Lookup!A:B,2,0),"")</f>
        <v/>
      </c>
      <c r="C1650" s="92" t="str">
        <f>IFERROR(VLOOKUP(A1650,Lookup!A:C,3,0),"")</f>
        <v/>
      </c>
      <c r="D1650" s="54"/>
      <c r="E1650" s="54"/>
      <c r="F1650" s="54"/>
      <c r="G1650" s="72"/>
      <c r="H1650" s="54"/>
      <c r="I1650" s="54"/>
      <c r="J1650" s="106">
        <f>VLOOKUP(A1650&amp;G1650,Lookup!J:N,5,0)</f>
        <v>0</v>
      </c>
      <c r="K1650" s="115"/>
      <c r="L1650" s="54"/>
      <c r="M1650" s="54"/>
      <c r="N1650" s="54"/>
      <c r="O1650" s="112">
        <v>68.4756944444444</v>
      </c>
      <c r="P1650" s="110" t="str">
        <f t="shared" si="101"/>
        <v/>
      </c>
      <c r="Q1650" s="54"/>
      <c r="R1650" s="58"/>
      <c r="S1650" s="87" t="str">
        <f t="shared" si="103"/>
        <v/>
      </c>
      <c r="T1650" s="54"/>
      <c r="U1650" s="54"/>
      <c r="V1650" s="54"/>
      <c r="W1650" s="54"/>
      <c r="X1650" s="69" t="str">
        <f t="shared" si="102"/>
        <v>D</v>
      </c>
    </row>
    <row r="1651" spans="1:24" s="66" customFormat="1" x14ac:dyDescent="0.25">
      <c r="A1651" s="51"/>
      <c r="B1651" s="91" t="str">
        <f>IFERROR(VLOOKUP(A1651,Lookup!A:B,2,0),"")</f>
        <v/>
      </c>
      <c r="C1651" s="92" t="str">
        <f>IFERROR(VLOOKUP(A1651,Lookup!A:C,3,0),"")</f>
        <v/>
      </c>
      <c r="D1651" s="54"/>
      <c r="E1651" s="54"/>
      <c r="F1651" s="54"/>
      <c r="G1651" s="72"/>
      <c r="H1651" s="54"/>
      <c r="I1651" s="54"/>
      <c r="J1651" s="106">
        <f>VLOOKUP(A1651&amp;G1651,Lookup!J:N,5,0)</f>
        <v>0</v>
      </c>
      <c r="K1651" s="115"/>
      <c r="L1651" s="54"/>
      <c r="M1651" s="54"/>
      <c r="N1651" s="54"/>
      <c r="O1651" s="112">
        <v>68.5173611111111</v>
      </c>
      <c r="P1651" s="110" t="str">
        <f t="shared" si="101"/>
        <v/>
      </c>
      <c r="Q1651" s="54"/>
      <c r="R1651" s="58"/>
      <c r="S1651" s="87" t="str">
        <f t="shared" si="103"/>
        <v/>
      </c>
      <c r="T1651" s="54"/>
      <c r="U1651" s="54"/>
      <c r="V1651" s="54"/>
      <c r="W1651" s="54"/>
      <c r="X1651" s="69" t="str">
        <f t="shared" si="102"/>
        <v>D</v>
      </c>
    </row>
    <row r="1652" spans="1:24" s="66" customFormat="1" x14ac:dyDescent="0.25">
      <c r="A1652" s="51"/>
      <c r="B1652" s="91" t="str">
        <f>IFERROR(VLOOKUP(A1652,Lookup!A:B,2,0),"")</f>
        <v/>
      </c>
      <c r="C1652" s="92" t="str">
        <f>IFERROR(VLOOKUP(A1652,Lookup!A:C,3,0),"")</f>
        <v/>
      </c>
      <c r="D1652" s="54"/>
      <c r="E1652" s="54"/>
      <c r="F1652" s="54"/>
      <c r="G1652" s="72"/>
      <c r="H1652" s="54"/>
      <c r="I1652" s="54"/>
      <c r="J1652" s="106">
        <f>VLOOKUP(A1652&amp;G1652,Lookup!J:N,5,0)</f>
        <v>0</v>
      </c>
      <c r="K1652" s="115"/>
      <c r="L1652" s="54"/>
      <c r="M1652" s="54"/>
      <c r="N1652" s="54"/>
      <c r="O1652" s="112">
        <v>68.5590277777778</v>
      </c>
      <c r="P1652" s="110" t="str">
        <f t="shared" si="101"/>
        <v/>
      </c>
      <c r="Q1652" s="54"/>
      <c r="R1652" s="58"/>
      <c r="S1652" s="87" t="str">
        <f t="shared" si="103"/>
        <v/>
      </c>
      <c r="T1652" s="54"/>
      <c r="U1652" s="54"/>
      <c r="V1652" s="54"/>
      <c r="W1652" s="54"/>
      <c r="X1652" s="69" t="str">
        <f t="shared" si="102"/>
        <v>D</v>
      </c>
    </row>
    <row r="1653" spans="1:24" s="66" customFormat="1" x14ac:dyDescent="0.25">
      <c r="A1653" s="51"/>
      <c r="B1653" s="91" t="str">
        <f>IFERROR(VLOOKUP(A1653,Lookup!A:B,2,0),"")</f>
        <v/>
      </c>
      <c r="C1653" s="92" t="str">
        <f>IFERROR(VLOOKUP(A1653,Lookup!A:C,3,0),"")</f>
        <v/>
      </c>
      <c r="D1653" s="54"/>
      <c r="E1653" s="54"/>
      <c r="F1653" s="54"/>
      <c r="G1653" s="72"/>
      <c r="H1653" s="54"/>
      <c r="I1653" s="54"/>
      <c r="J1653" s="106">
        <f>VLOOKUP(A1653&amp;G1653,Lookup!J:N,5,0)</f>
        <v>0</v>
      </c>
      <c r="K1653" s="115"/>
      <c r="L1653" s="54"/>
      <c r="M1653" s="54"/>
      <c r="N1653" s="54"/>
      <c r="O1653" s="112">
        <v>68.6006944444444</v>
      </c>
      <c r="P1653" s="110" t="str">
        <f t="shared" si="101"/>
        <v/>
      </c>
      <c r="Q1653" s="54"/>
      <c r="R1653" s="58"/>
      <c r="S1653" s="87" t="str">
        <f t="shared" si="103"/>
        <v/>
      </c>
      <c r="T1653" s="54"/>
      <c r="U1653" s="54"/>
      <c r="V1653" s="54"/>
      <c r="W1653" s="54"/>
      <c r="X1653" s="69" t="str">
        <f t="shared" si="102"/>
        <v>D</v>
      </c>
    </row>
    <row r="1654" spans="1:24" s="66" customFormat="1" x14ac:dyDescent="0.25">
      <c r="A1654" s="51"/>
      <c r="B1654" s="91" t="str">
        <f>IFERROR(VLOOKUP(A1654,Lookup!A:B,2,0),"")</f>
        <v/>
      </c>
      <c r="C1654" s="92" t="str">
        <f>IFERROR(VLOOKUP(A1654,Lookup!A:C,3,0),"")</f>
        <v/>
      </c>
      <c r="D1654" s="54"/>
      <c r="E1654" s="54"/>
      <c r="F1654" s="54"/>
      <c r="G1654" s="72"/>
      <c r="H1654" s="54"/>
      <c r="I1654" s="54"/>
      <c r="J1654" s="106">
        <f>VLOOKUP(A1654&amp;G1654,Lookup!J:N,5,0)</f>
        <v>0</v>
      </c>
      <c r="K1654" s="115"/>
      <c r="L1654" s="54"/>
      <c r="M1654" s="54"/>
      <c r="N1654" s="54"/>
      <c r="O1654" s="112">
        <v>68.6423611111111</v>
      </c>
      <c r="P1654" s="110" t="str">
        <f t="shared" si="101"/>
        <v/>
      </c>
      <c r="Q1654" s="54"/>
      <c r="R1654" s="58"/>
      <c r="S1654" s="87" t="str">
        <f t="shared" si="103"/>
        <v/>
      </c>
      <c r="T1654" s="54"/>
      <c r="U1654" s="54"/>
      <c r="V1654" s="54"/>
      <c r="W1654" s="54"/>
      <c r="X1654" s="69" t="str">
        <f t="shared" si="102"/>
        <v>D</v>
      </c>
    </row>
    <row r="1655" spans="1:24" s="66" customFormat="1" x14ac:dyDescent="0.25">
      <c r="A1655" s="51"/>
      <c r="B1655" s="91" t="str">
        <f>IFERROR(VLOOKUP(A1655,Lookup!A:B,2,0),"")</f>
        <v/>
      </c>
      <c r="C1655" s="92" t="str">
        <f>IFERROR(VLOOKUP(A1655,Lookup!A:C,3,0),"")</f>
        <v/>
      </c>
      <c r="D1655" s="54"/>
      <c r="E1655" s="54"/>
      <c r="F1655" s="54"/>
      <c r="G1655" s="72"/>
      <c r="H1655" s="54"/>
      <c r="I1655" s="54"/>
      <c r="J1655" s="106">
        <f>VLOOKUP(A1655&amp;G1655,Lookup!J:N,5,0)</f>
        <v>0</v>
      </c>
      <c r="K1655" s="115"/>
      <c r="L1655" s="54"/>
      <c r="M1655" s="54"/>
      <c r="N1655" s="54"/>
      <c r="O1655" s="112">
        <v>68.6840277777778</v>
      </c>
      <c r="P1655" s="110" t="str">
        <f t="shared" si="101"/>
        <v/>
      </c>
      <c r="Q1655" s="54"/>
      <c r="R1655" s="58"/>
      <c r="S1655" s="87" t="str">
        <f t="shared" si="103"/>
        <v/>
      </c>
      <c r="T1655" s="54"/>
      <c r="U1655" s="54"/>
      <c r="V1655" s="54"/>
      <c r="W1655" s="54"/>
      <c r="X1655" s="69" t="str">
        <f t="shared" si="102"/>
        <v>D</v>
      </c>
    </row>
    <row r="1656" spans="1:24" s="66" customFormat="1" x14ac:dyDescent="0.25">
      <c r="A1656" s="51"/>
      <c r="B1656" s="91" t="str">
        <f>IFERROR(VLOOKUP(A1656,Lookup!A:B,2,0),"")</f>
        <v/>
      </c>
      <c r="C1656" s="92" t="str">
        <f>IFERROR(VLOOKUP(A1656,Lookup!A:C,3,0),"")</f>
        <v/>
      </c>
      <c r="D1656" s="54"/>
      <c r="E1656" s="54"/>
      <c r="F1656" s="54"/>
      <c r="G1656" s="72"/>
      <c r="H1656" s="54"/>
      <c r="I1656" s="54"/>
      <c r="J1656" s="106">
        <f>VLOOKUP(A1656&amp;G1656,Lookup!J:N,5,0)</f>
        <v>0</v>
      </c>
      <c r="K1656" s="115"/>
      <c r="L1656" s="54"/>
      <c r="M1656" s="54"/>
      <c r="N1656" s="54"/>
      <c r="O1656" s="112">
        <v>68.7256944444444</v>
      </c>
      <c r="P1656" s="110" t="str">
        <f t="shared" si="101"/>
        <v/>
      </c>
      <c r="Q1656" s="54"/>
      <c r="R1656" s="58"/>
      <c r="S1656" s="87" t="str">
        <f t="shared" si="103"/>
        <v/>
      </c>
      <c r="T1656" s="54"/>
      <c r="U1656" s="54"/>
      <c r="V1656" s="54"/>
      <c r="W1656" s="54"/>
      <c r="X1656" s="69" t="str">
        <f t="shared" si="102"/>
        <v>D</v>
      </c>
    </row>
    <row r="1657" spans="1:24" s="66" customFormat="1" x14ac:dyDescent="0.25">
      <c r="A1657" s="51"/>
      <c r="B1657" s="91" t="str">
        <f>IFERROR(VLOOKUP(A1657,Lookup!A:B,2,0),"")</f>
        <v/>
      </c>
      <c r="C1657" s="92" t="str">
        <f>IFERROR(VLOOKUP(A1657,Lookup!A:C,3,0),"")</f>
        <v/>
      </c>
      <c r="D1657" s="54"/>
      <c r="E1657" s="54"/>
      <c r="F1657" s="54"/>
      <c r="G1657" s="72"/>
      <c r="H1657" s="54"/>
      <c r="I1657" s="54"/>
      <c r="J1657" s="106">
        <f>VLOOKUP(A1657&amp;G1657,Lookup!J:N,5,0)</f>
        <v>0</v>
      </c>
      <c r="K1657" s="115"/>
      <c r="L1657" s="54"/>
      <c r="M1657" s="54"/>
      <c r="N1657" s="54"/>
      <c r="O1657" s="112">
        <v>68.7673611111111</v>
      </c>
      <c r="P1657" s="110" t="str">
        <f t="shared" si="101"/>
        <v/>
      </c>
      <c r="Q1657" s="54"/>
      <c r="R1657" s="58"/>
      <c r="S1657" s="87" t="str">
        <f t="shared" si="103"/>
        <v/>
      </c>
      <c r="T1657" s="54"/>
      <c r="U1657" s="54"/>
      <c r="V1657" s="54"/>
      <c r="W1657" s="54"/>
      <c r="X1657" s="69" t="str">
        <f t="shared" si="102"/>
        <v>D</v>
      </c>
    </row>
    <row r="1658" spans="1:24" s="66" customFormat="1" x14ac:dyDescent="0.25">
      <c r="A1658" s="51"/>
      <c r="B1658" s="91" t="str">
        <f>IFERROR(VLOOKUP(A1658,Lookup!A:B,2,0),"")</f>
        <v/>
      </c>
      <c r="C1658" s="92" t="str">
        <f>IFERROR(VLOOKUP(A1658,Lookup!A:C,3,0),"")</f>
        <v/>
      </c>
      <c r="D1658" s="54"/>
      <c r="E1658" s="54"/>
      <c r="F1658" s="54"/>
      <c r="G1658" s="72"/>
      <c r="H1658" s="54"/>
      <c r="I1658" s="54"/>
      <c r="J1658" s="106">
        <f>VLOOKUP(A1658&amp;G1658,Lookup!J:N,5,0)</f>
        <v>0</v>
      </c>
      <c r="K1658" s="115"/>
      <c r="L1658" s="54"/>
      <c r="M1658" s="54"/>
      <c r="N1658" s="54"/>
      <c r="O1658" s="112">
        <v>68.8090277777778</v>
      </c>
      <c r="P1658" s="110" t="str">
        <f t="shared" si="101"/>
        <v/>
      </c>
      <c r="Q1658" s="54"/>
      <c r="R1658" s="58"/>
      <c r="S1658" s="87" t="str">
        <f t="shared" si="103"/>
        <v/>
      </c>
      <c r="T1658" s="54"/>
      <c r="U1658" s="54"/>
      <c r="V1658" s="54"/>
      <c r="W1658" s="54"/>
      <c r="X1658" s="69" t="str">
        <f t="shared" si="102"/>
        <v>D</v>
      </c>
    </row>
    <row r="1659" spans="1:24" s="66" customFormat="1" x14ac:dyDescent="0.25">
      <c r="A1659" s="51"/>
      <c r="B1659" s="91" t="str">
        <f>IFERROR(VLOOKUP(A1659,Lookup!A:B,2,0),"")</f>
        <v/>
      </c>
      <c r="C1659" s="92" t="str">
        <f>IFERROR(VLOOKUP(A1659,Lookup!A:C,3,0),"")</f>
        <v/>
      </c>
      <c r="D1659" s="54"/>
      <c r="E1659" s="54"/>
      <c r="F1659" s="54"/>
      <c r="G1659" s="72"/>
      <c r="H1659" s="54"/>
      <c r="I1659" s="54"/>
      <c r="J1659" s="106">
        <f>VLOOKUP(A1659&amp;G1659,Lookup!J:N,5,0)</f>
        <v>0</v>
      </c>
      <c r="K1659" s="115"/>
      <c r="L1659" s="54"/>
      <c r="M1659" s="54"/>
      <c r="N1659" s="54"/>
      <c r="O1659" s="112">
        <v>68.8506944444444</v>
      </c>
      <c r="P1659" s="110" t="str">
        <f t="shared" si="101"/>
        <v/>
      </c>
      <c r="Q1659" s="54"/>
      <c r="R1659" s="58"/>
      <c r="S1659" s="87" t="str">
        <f t="shared" si="103"/>
        <v/>
      </c>
      <c r="T1659" s="54"/>
      <c r="U1659" s="54"/>
      <c r="V1659" s="54"/>
      <c r="W1659" s="54"/>
      <c r="X1659" s="69" t="str">
        <f t="shared" si="102"/>
        <v>D</v>
      </c>
    </row>
    <row r="1660" spans="1:24" s="66" customFormat="1" x14ac:dyDescent="0.25">
      <c r="A1660" s="51"/>
      <c r="B1660" s="91" t="str">
        <f>IFERROR(VLOOKUP(A1660,Lookup!A:B,2,0),"")</f>
        <v/>
      </c>
      <c r="C1660" s="92" t="str">
        <f>IFERROR(VLOOKUP(A1660,Lookup!A:C,3,0),"")</f>
        <v/>
      </c>
      <c r="D1660" s="54"/>
      <c r="E1660" s="54"/>
      <c r="F1660" s="54"/>
      <c r="G1660" s="72"/>
      <c r="H1660" s="54"/>
      <c r="I1660" s="54"/>
      <c r="J1660" s="106">
        <f>VLOOKUP(A1660&amp;G1660,Lookup!J:N,5,0)</f>
        <v>0</v>
      </c>
      <c r="K1660" s="115"/>
      <c r="L1660" s="54"/>
      <c r="M1660" s="54"/>
      <c r="N1660" s="54"/>
      <c r="O1660" s="112">
        <v>68.8923611111111</v>
      </c>
      <c r="P1660" s="110" t="str">
        <f t="shared" si="101"/>
        <v/>
      </c>
      <c r="Q1660" s="54"/>
      <c r="R1660" s="58"/>
      <c r="S1660" s="87" t="str">
        <f t="shared" si="103"/>
        <v/>
      </c>
      <c r="T1660" s="54"/>
      <c r="U1660" s="54"/>
      <c r="V1660" s="54"/>
      <c r="W1660" s="54"/>
      <c r="X1660" s="69" t="str">
        <f t="shared" si="102"/>
        <v>D</v>
      </c>
    </row>
    <row r="1661" spans="1:24" s="66" customFormat="1" x14ac:dyDescent="0.25">
      <c r="A1661" s="51"/>
      <c r="B1661" s="91" t="str">
        <f>IFERROR(VLOOKUP(A1661,Lookup!A:B,2,0),"")</f>
        <v/>
      </c>
      <c r="C1661" s="92" t="str">
        <f>IFERROR(VLOOKUP(A1661,Lookup!A:C,3,0),"")</f>
        <v/>
      </c>
      <c r="D1661" s="54"/>
      <c r="E1661" s="54"/>
      <c r="F1661" s="54"/>
      <c r="G1661" s="72"/>
      <c r="H1661" s="54"/>
      <c r="I1661" s="54"/>
      <c r="J1661" s="106">
        <f>VLOOKUP(A1661&amp;G1661,Lookup!J:N,5,0)</f>
        <v>0</v>
      </c>
      <c r="K1661" s="115"/>
      <c r="L1661" s="54"/>
      <c r="M1661" s="54"/>
      <c r="N1661" s="54"/>
      <c r="O1661" s="112">
        <v>68.9340277777778</v>
      </c>
      <c r="P1661" s="110" t="str">
        <f t="shared" si="101"/>
        <v/>
      </c>
      <c r="Q1661" s="54"/>
      <c r="R1661" s="58"/>
      <c r="S1661" s="87" t="str">
        <f t="shared" si="103"/>
        <v/>
      </c>
      <c r="T1661" s="54"/>
      <c r="U1661" s="54"/>
      <c r="V1661" s="54"/>
      <c r="W1661" s="54"/>
      <c r="X1661" s="69" t="str">
        <f t="shared" si="102"/>
        <v>D</v>
      </c>
    </row>
    <row r="1662" spans="1:24" s="66" customFormat="1" x14ac:dyDescent="0.25">
      <c r="A1662" s="51"/>
      <c r="B1662" s="91" t="str">
        <f>IFERROR(VLOOKUP(A1662,Lookup!A:B,2,0),"")</f>
        <v/>
      </c>
      <c r="C1662" s="92" t="str">
        <f>IFERROR(VLOOKUP(A1662,Lookup!A:C,3,0),"")</f>
        <v/>
      </c>
      <c r="D1662" s="54"/>
      <c r="E1662" s="54"/>
      <c r="F1662" s="54"/>
      <c r="G1662" s="72"/>
      <c r="H1662" s="54"/>
      <c r="I1662" s="54"/>
      <c r="J1662" s="106">
        <f>VLOOKUP(A1662&amp;G1662,Lookup!J:N,5,0)</f>
        <v>0</v>
      </c>
      <c r="K1662" s="115"/>
      <c r="L1662" s="54"/>
      <c r="M1662" s="54"/>
      <c r="N1662" s="54"/>
      <c r="O1662" s="112">
        <v>68.9756944444444</v>
      </c>
      <c r="P1662" s="110" t="str">
        <f t="shared" si="101"/>
        <v/>
      </c>
      <c r="Q1662" s="54"/>
      <c r="R1662" s="58"/>
      <c r="S1662" s="87" t="str">
        <f t="shared" si="103"/>
        <v/>
      </c>
      <c r="T1662" s="54"/>
      <c r="U1662" s="54"/>
      <c r="V1662" s="54"/>
      <c r="W1662" s="54"/>
      <c r="X1662" s="69" t="str">
        <f t="shared" si="102"/>
        <v>D</v>
      </c>
    </row>
    <row r="1663" spans="1:24" s="66" customFormat="1" x14ac:dyDescent="0.25">
      <c r="A1663" s="51"/>
      <c r="B1663" s="91" t="str">
        <f>IFERROR(VLOOKUP(A1663,Lookup!A:B,2,0),"")</f>
        <v/>
      </c>
      <c r="C1663" s="92" t="str">
        <f>IFERROR(VLOOKUP(A1663,Lookup!A:C,3,0),"")</f>
        <v/>
      </c>
      <c r="D1663" s="54"/>
      <c r="E1663" s="54"/>
      <c r="F1663" s="54"/>
      <c r="G1663" s="72"/>
      <c r="H1663" s="54"/>
      <c r="I1663" s="54"/>
      <c r="J1663" s="106">
        <f>VLOOKUP(A1663&amp;G1663,Lookup!J:N,5,0)</f>
        <v>0</v>
      </c>
      <c r="K1663" s="115"/>
      <c r="L1663" s="54"/>
      <c r="M1663" s="54"/>
      <c r="N1663" s="54"/>
      <c r="O1663" s="112">
        <v>69.0173611111111</v>
      </c>
      <c r="P1663" s="110" t="str">
        <f t="shared" si="101"/>
        <v/>
      </c>
      <c r="Q1663" s="54"/>
      <c r="R1663" s="58"/>
      <c r="S1663" s="87" t="str">
        <f t="shared" si="103"/>
        <v/>
      </c>
      <c r="T1663" s="54"/>
      <c r="U1663" s="54"/>
      <c r="V1663" s="54"/>
      <c r="W1663" s="54"/>
      <c r="X1663" s="69" t="str">
        <f t="shared" si="102"/>
        <v>D</v>
      </c>
    </row>
    <row r="1664" spans="1:24" s="66" customFormat="1" x14ac:dyDescent="0.25">
      <c r="A1664" s="51"/>
      <c r="B1664" s="91" t="str">
        <f>IFERROR(VLOOKUP(A1664,Lookup!A:B,2,0),"")</f>
        <v/>
      </c>
      <c r="C1664" s="92" t="str">
        <f>IFERROR(VLOOKUP(A1664,Lookup!A:C,3,0),"")</f>
        <v/>
      </c>
      <c r="D1664" s="54"/>
      <c r="E1664" s="54"/>
      <c r="F1664" s="54"/>
      <c r="G1664" s="72"/>
      <c r="H1664" s="54"/>
      <c r="I1664" s="54"/>
      <c r="J1664" s="106">
        <f>VLOOKUP(A1664&amp;G1664,Lookup!J:N,5,0)</f>
        <v>0</v>
      </c>
      <c r="K1664" s="115"/>
      <c r="L1664" s="54"/>
      <c r="M1664" s="54"/>
      <c r="N1664" s="54"/>
      <c r="O1664" s="112">
        <v>69.0590277777778</v>
      </c>
      <c r="P1664" s="110" t="str">
        <f t="shared" si="101"/>
        <v/>
      </c>
      <c r="Q1664" s="54"/>
      <c r="R1664" s="58"/>
      <c r="S1664" s="87" t="str">
        <f t="shared" si="103"/>
        <v/>
      </c>
      <c r="T1664" s="54"/>
      <c r="U1664" s="54"/>
      <c r="V1664" s="54"/>
      <c r="W1664" s="54"/>
      <c r="X1664" s="69" t="str">
        <f t="shared" si="102"/>
        <v>D</v>
      </c>
    </row>
    <row r="1665" spans="1:24" s="66" customFormat="1" x14ac:dyDescent="0.25">
      <c r="A1665" s="51"/>
      <c r="B1665" s="91" t="str">
        <f>IFERROR(VLOOKUP(A1665,Lookup!A:B,2,0),"")</f>
        <v/>
      </c>
      <c r="C1665" s="92" t="str">
        <f>IFERROR(VLOOKUP(A1665,Lookup!A:C,3,0),"")</f>
        <v/>
      </c>
      <c r="D1665" s="54"/>
      <c r="E1665" s="54"/>
      <c r="F1665" s="54"/>
      <c r="G1665" s="72"/>
      <c r="H1665" s="54"/>
      <c r="I1665" s="54"/>
      <c r="J1665" s="106">
        <f>VLOOKUP(A1665&amp;G1665,Lookup!J:N,5,0)</f>
        <v>0</v>
      </c>
      <c r="K1665" s="115"/>
      <c r="L1665" s="54"/>
      <c r="M1665" s="54"/>
      <c r="N1665" s="54"/>
      <c r="O1665" s="112">
        <v>69.1006944444444</v>
      </c>
      <c r="P1665" s="110" t="str">
        <f t="shared" si="101"/>
        <v/>
      </c>
      <c r="Q1665" s="54"/>
      <c r="R1665" s="58"/>
      <c r="S1665" s="87" t="str">
        <f t="shared" si="103"/>
        <v/>
      </c>
      <c r="T1665" s="54"/>
      <c r="U1665" s="54"/>
      <c r="V1665" s="54"/>
      <c r="W1665" s="54"/>
      <c r="X1665" s="69" t="str">
        <f t="shared" si="102"/>
        <v>D</v>
      </c>
    </row>
    <row r="1666" spans="1:24" s="66" customFormat="1" x14ac:dyDescent="0.25">
      <c r="A1666" s="51"/>
      <c r="B1666" s="91" t="str">
        <f>IFERROR(VLOOKUP(A1666,Lookup!A:B,2,0),"")</f>
        <v/>
      </c>
      <c r="C1666" s="92" t="str">
        <f>IFERROR(VLOOKUP(A1666,Lookup!A:C,3,0),"")</f>
        <v/>
      </c>
      <c r="D1666" s="54"/>
      <c r="E1666" s="54"/>
      <c r="F1666" s="54"/>
      <c r="G1666" s="72"/>
      <c r="H1666" s="54"/>
      <c r="I1666" s="54"/>
      <c r="J1666" s="106">
        <f>VLOOKUP(A1666&amp;G1666,Lookup!J:N,5,0)</f>
        <v>0</v>
      </c>
      <c r="K1666" s="115"/>
      <c r="L1666" s="54"/>
      <c r="M1666" s="54"/>
      <c r="N1666" s="54"/>
      <c r="O1666" s="112">
        <v>69.1423611111111</v>
      </c>
      <c r="P1666" s="110" t="str">
        <f t="shared" si="101"/>
        <v/>
      </c>
      <c r="Q1666" s="54"/>
      <c r="R1666" s="58"/>
      <c r="S1666" s="87" t="str">
        <f t="shared" si="103"/>
        <v/>
      </c>
      <c r="T1666" s="54"/>
      <c r="U1666" s="54"/>
      <c r="V1666" s="54"/>
      <c r="W1666" s="54"/>
      <c r="X1666" s="69" t="str">
        <f t="shared" si="102"/>
        <v>D</v>
      </c>
    </row>
    <row r="1667" spans="1:24" s="66" customFormat="1" x14ac:dyDescent="0.25">
      <c r="A1667" s="51"/>
      <c r="B1667" s="91" t="str">
        <f>IFERROR(VLOOKUP(A1667,Lookup!A:B,2,0),"")</f>
        <v/>
      </c>
      <c r="C1667" s="92" t="str">
        <f>IFERROR(VLOOKUP(A1667,Lookup!A:C,3,0),"")</f>
        <v/>
      </c>
      <c r="D1667" s="54"/>
      <c r="E1667" s="54"/>
      <c r="F1667" s="54"/>
      <c r="G1667" s="72"/>
      <c r="H1667" s="54"/>
      <c r="I1667" s="54"/>
      <c r="J1667" s="106">
        <f>VLOOKUP(A1667&amp;G1667,Lookup!J:N,5,0)</f>
        <v>0</v>
      </c>
      <c r="K1667" s="115"/>
      <c r="L1667" s="54"/>
      <c r="M1667" s="54"/>
      <c r="N1667" s="54"/>
      <c r="O1667" s="112">
        <v>69.1840277777778</v>
      </c>
      <c r="P1667" s="110" t="str">
        <f t="shared" ref="P1667:P1730" si="104">IF(N1667="","",N1667+O1667)</f>
        <v/>
      </c>
      <c r="Q1667" s="54"/>
      <c r="R1667" s="58"/>
      <c r="S1667" s="87" t="str">
        <f t="shared" si="103"/>
        <v/>
      </c>
      <c r="T1667" s="54"/>
      <c r="U1667" s="54"/>
      <c r="V1667" s="54"/>
      <c r="W1667" s="54"/>
      <c r="X1667" s="69" t="str">
        <f t="shared" ref="X1667:X1730" si="105">IF(I1667="SET","A",IF(I1667="FREQ","C",IF(I1667="","D","B")))</f>
        <v>D</v>
      </c>
    </row>
    <row r="1668" spans="1:24" s="66" customFormat="1" x14ac:dyDescent="0.25">
      <c r="A1668" s="51"/>
      <c r="B1668" s="91" t="str">
        <f>IFERROR(VLOOKUP(A1668,Lookup!A:B,2,0),"")</f>
        <v/>
      </c>
      <c r="C1668" s="92" t="str">
        <f>IFERROR(VLOOKUP(A1668,Lookup!A:C,3,0),"")</f>
        <v/>
      </c>
      <c r="D1668" s="54"/>
      <c r="E1668" s="54"/>
      <c r="F1668" s="54"/>
      <c r="G1668" s="72"/>
      <c r="H1668" s="54"/>
      <c r="I1668" s="54"/>
      <c r="J1668" s="106">
        <f>VLOOKUP(A1668&amp;G1668,Lookup!J:N,5,0)</f>
        <v>0</v>
      </c>
      <c r="K1668" s="115"/>
      <c r="L1668" s="54"/>
      <c r="M1668" s="54"/>
      <c r="N1668" s="54"/>
      <c r="O1668" s="112">
        <v>69.2256944444444</v>
      </c>
      <c r="P1668" s="110" t="str">
        <f t="shared" si="104"/>
        <v/>
      </c>
      <c r="Q1668" s="54"/>
      <c r="R1668" s="58"/>
      <c r="S1668" s="87" t="str">
        <f t="shared" si="103"/>
        <v/>
      </c>
      <c r="T1668" s="54"/>
      <c r="U1668" s="54"/>
      <c r="V1668" s="54"/>
      <c r="W1668" s="54"/>
      <c r="X1668" s="69" t="str">
        <f t="shared" si="105"/>
        <v>D</v>
      </c>
    </row>
    <row r="1669" spans="1:24" s="66" customFormat="1" x14ac:dyDescent="0.25">
      <c r="A1669" s="51"/>
      <c r="B1669" s="91" t="str">
        <f>IFERROR(VLOOKUP(A1669,Lookup!A:B,2,0),"")</f>
        <v/>
      </c>
      <c r="C1669" s="92" t="str">
        <f>IFERROR(VLOOKUP(A1669,Lookup!A:C,3,0),"")</f>
        <v/>
      </c>
      <c r="D1669" s="54"/>
      <c r="E1669" s="54"/>
      <c r="F1669" s="54"/>
      <c r="G1669" s="72"/>
      <c r="H1669" s="54"/>
      <c r="I1669" s="54"/>
      <c r="J1669" s="106">
        <f>VLOOKUP(A1669&amp;G1669,Lookup!J:N,5,0)</f>
        <v>0</v>
      </c>
      <c r="K1669" s="115"/>
      <c r="L1669" s="54"/>
      <c r="M1669" s="54"/>
      <c r="N1669" s="54"/>
      <c r="O1669" s="112">
        <v>69.2673611111111</v>
      </c>
      <c r="P1669" s="110" t="str">
        <f t="shared" si="104"/>
        <v/>
      </c>
      <c r="Q1669" s="54"/>
      <c r="R1669" s="58"/>
      <c r="S1669" s="87" t="str">
        <f t="shared" si="103"/>
        <v/>
      </c>
      <c r="T1669" s="54"/>
      <c r="U1669" s="54"/>
      <c r="V1669" s="54"/>
      <c r="W1669" s="54"/>
      <c r="X1669" s="69" t="str">
        <f t="shared" si="105"/>
        <v>D</v>
      </c>
    </row>
    <row r="1670" spans="1:24" s="66" customFormat="1" x14ac:dyDescent="0.25">
      <c r="A1670" s="51"/>
      <c r="B1670" s="91" t="str">
        <f>IFERROR(VLOOKUP(A1670,Lookup!A:B,2,0),"")</f>
        <v/>
      </c>
      <c r="C1670" s="92" t="str">
        <f>IFERROR(VLOOKUP(A1670,Lookup!A:C,3,0),"")</f>
        <v/>
      </c>
      <c r="D1670" s="54"/>
      <c r="E1670" s="54"/>
      <c r="F1670" s="54"/>
      <c r="G1670" s="72"/>
      <c r="H1670" s="54"/>
      <c r="I1670" s="54"/>
      <c r="J1670" s="106">
        <f>VLOOKUP(A1670&amp;G1670,Lookup!J:N,5,0)</f>
        <v>0</v>
      </c>
      <c r="K1670" s="115"/>
      <c r="L1670" s="54"/>
      <c r="M1670" s="54"/>
      <c r="N1670" s="54"/>
      <c r="O1670" s="112">
        <v>69.3090277777778</v>
      </c>
      <c r="P1670" s="110" t="str">
        <f t="shared" si="104"/>
        <v/>
      </c>
      <c r="Q1670" s="54"/>
      <c r="R1670" s="58"/>
      <c r="S1670" s="87" t="str">
        <f t="shared" si="103"/>
        <v/>
      </c>
      <c r="T1670" s="54"/>
      <c r="U1670" s="54"/>
      <c r="V1670" s="54"/>
      <c r="W1670" s="54"/>
      <c r="X1670" s="69" t="str">
        <f t="shared" si="105"/>
        <v>D</v>
      </c>
    </row>
    <row r="1671" spans="1:24" s="66" customFormat="1" x14ac:dyDescent="0.25">
      <c r="A1671" s="51"/>
      <c r="B1671" s="91" t="str">
        <f>IFERROR(VLOOKUP(A1671,Lookup!A:B,2,0),"")</f>
        <v/>
      </c>
      <c r="C1671" s="92" t="str">
        <f>IFERROR(VLOOKUP(A1671,Lookup!A:C,3,0),"")</f>
        <v/>
      </c>
      <c r="D1671" s="54"/>
      <c r="E1671" s="54"/>
      <c r="F1671" s="54"/>
      <c r="G1671" s="72"/>
      <c r="H1671" s="54"/>
      <c r="I1671" s="54"/>
      <c r="J1671" s="106">
        <f>VLOOKUP(A1671&amp;G1671,Lookup!J:N,5,0)</f>
        <v>0</v>
      </c>
      <c r="K1671" s="115"/>
      <c r="L1671" s="54"/>
      <c r="M1671" s="54"/>
      <c r="N1671" s="54"/>
      <c r="O1671" s="112">
        <v>69.3506944444444</v>
      </c>
      <c r="P1671" s="110" t="str">
        <f t="shared" si="104"/>
        <v/>
      </c>
      <c r="Q1671" s="54"/>
      <c r="R1671" s="58"/>
      <c r="S1671" s="87" t="str">
        <f t="shared" ref="S1671:S1734" si="106">IF(OR(EXACT(Q1671,""), EXACT(L1671,"")),"",Q1671-L1671)</f>
        <v/>
      </c>
      <c r="T1671" s="54"/>
      <c r="U1671" s="54"/>
      <c r="V1671" s="54"/>
      <c r="W1671" s="54"/>
      <c r="X1671" s="69" t="str">
        <f t="shared" si="105"/>
        <v>D</v>
      </c>
    </row>
    <row r="1672" spans="1:24" s="66" customFormat="1" x14ac:dyDescent="0.25">
      <c r="A1672" s="51"/>
      <c r="B1672" s="91" t="str">
        <f>IFERROR(VLOOKUP(A1672,Lookup!A:B,2,0),"")</f>
        <v/>
      </c>
      <c r="C1672" s="92" t="str">
        <f>IFERROR(VLOOKUP(A1672,Lookup!A:C,3,0),"")</f>
        <v/>
      </c>
      <c r="D1672" s="54"/>
      <c r="E1672" s="54"/>
      <c r="F1672" s="54"/>
      <c r="G1672" s="72"/>
      <c r="H1672" s="54"/>
      <c r="I1672" s="54"/>
      <c r="J1672" s="106">
        <f>VLOOKUP(A1672&amp;G1672,Lookup!J:N,5,0)</f>
        <v>0</v>
      </c>
      <c r="K1672" s="115"/>
      <c r="L1672" s="54"/>
      <c r="M1672" s="54"/>
      <c r="N1672" s="54"/>
      <c r="O1672" s="112">
        <v>69.3923611111111</v>
      </c>
      <c r="P1672" s="110" t="str">
        <f t="shared" si="104"/>
        <v/>
      </c>
      <c r="Q1672" s="54"/>
      <c r="R1672" s="58"/>
      <c r="S1672" s="87" t="str">
        <f t="shared" si="106"/>
        <v/>
      </c>
      <c r="T1672" s="54"/>
      <c r="U1672" s="54"/>
      <c r="V1672" s="54"/>
      <c r="W1672" s="54"/>
      <c r="X1672" s="69" t="str">
        <f t="shared" si="105"/>
        <v>D</v>
      </c>
    </row>
    <row r="1673" spans="1:24" s="66" customFormat="1" x14ac:dyDescent="0.25">
      <c r="A1673" s="51"/>
      <c r="B1673" s="91" t="str">
        <f>IFERROR(VLOOKUP(A1673,Lookup!A:B,2,0),"")</f>
        <v/>
      </c>
      <c r="C1673" s="92" t="str">
        <f>IFERROR(VLOOKUP(A1673,Lookup!A:C,3,0),"")</f>
        <v/>
      </c>
      <c r="D1673" s="54"/>
      <c r="E1673" s="54"/>
      <c r="F1673" s="54"/>
      <c r="G1673" s="72"/>
      <c r="H1673" s="54"/>
      <c r="I1673" s="54"/>
      <c r="J1673" s="106">
        <f>VLOOKUP(A1673&amp;G1673,Lookup!J:N,5,0)</f>
        <v>0</v>
      </c>
      <c r="K1673" s="115"/>
      <c r="L1673" s="54"/>
      <c r="M1673" s="54"/>
      <c r="N1673" s="54"/>
      <c r="O1673" s="112">
        <v>69.4340277777778</v>
      </c>
      <c r="P1673" s="110" t="str">
        <f t="shared" si="104"/>
        <v/>
      </c>
      <c r="Q1673" s="54"/>
      <c r="R1673" s="58"/>
      <c r="S1673" s="87" t="str">
        <f t="shared" si="106"/>
        <v/>
      </c>
      <c r="T1673" s="54"/>
      <c r="U1673" s="54"/>
      <c r="V1673" s="54"/>
      <c r="W1673" s="54"/>
      <c r="X1673" s="69" t="str">
        <f t="shared" si="105"/>
        <v>D</v>
      </c>
    </row>
    <row r="1674" spans="1:24" s="66" customFormat="1" x14ac:dyDescent="0.25">
      <c r="A1674" s="51"/>
      <c r="B1674" s="91" t="str">
        <f>IFERROR(VLOOKUP(A1674,Lookup!A:B,2,0),"")</f>
        <v/>
      </c>
      <c r="C1674" s="92" t="str">
        <f>IFERROR(VLOOKUP(A1674,Lookup!A:C,3,0),"")</f>
        <v/>
      </c>
      <c r="D1674" s="54"/>
      <c r="E1674" s="54"/>
      <c r="F1674" s="54"/>
      <c r="G1674" s="72"/>
      <c r="H1674" s="54"/>
      <c r="I1674" s="54"/>
      <c r="J1674" s="106">
        <f>VLOOKUP(A1674&amp;G1674,Lookup!J:N,5,0)</f>
        <v>0</v>
      </c>
      <c r="K1674" s="115"/>
      <c r="L1674" s="54"/>
      <c r="M1674" s="54"/>
      <c r="N1674" s="54"/>
      <c r="O1674" s="112">
        <v>69.4756944444444</v>
      </c>
      <c r="P1674" s="110" t="str">
        <f t="shared" si="104"/>
        <v/>
      </c>
      <c r="Q1674" s="54"/>
      <c r="R1674" s="58"/>
      <c r="S1674" s="87" t="str">
        <f t="shared" si="106"/>
        <v/>
      </c>
      <c r="T1674" s="54"/>
      <c r="U1674" s="54"/>
      <c r="V1674" s="54"/>
      <c r="W1674" s="54"/>
      <c r="X1674" s="69" t="str">
        <f t="shared" si="105"/>
        <v>D</v>
      </c>
    </row>
    <row r="1675" spans="1:24" s="66" customFormat="1" x14ac:dyDescent="0.25">
      <c r="A1675" s="51"/>
      <c r="B1675" s="91" t="str">
        <f>IFERROR(VLOOKUP(A1675,Lookup!A:B,2,0),"")</f>
        <v/>
      </c>
      <c r="C1675" s="92" t="str">
        <f>IFERROR(VLOOKUP(A1675,Lookup!A:C,3,0),"")</f>
        <v/>
      </c>
      <c r="D1675" s="54"/>
      <c r="E1675" s="54"/>
      <c r="F1675" s="54"/>
      <c r="G1675" s="72"/>
      <c r="H1675" s="54"/>
      <c r="I1675" s="54"/>
      <c r="J1675" s="106">
        <f>VLOOKUP(A1675&amp;G1675,Lookup!J:N,5,0)</f>
        <v>0</v>
      </c>
      <c r="K1675" s="115"/>
      <c r="L1675" s="54"/>
      <c r="M1675" s="54"/>
      <c r="N1675" s="54"/>
      <c r="O1675" s="112">
        <v>69.5173611111111</v>
      </c>
      <c r="P1675" s="110" t="str">
        <f t="shared" si="104"/>
        <v/>
      </c>
      <c r="Q1675" s="54"/>
      <c r="R1675" s="58"/>
      <c r="S1675" s="87" t="str">
        <f t="shared" si="106"/>
        <v/>
      </c>
      <c r="T1675" s="54"/>
      <c r="U1675" s="54"/>
      <c r="V1675" s="54"/>
      <c r="W1675" s="54"/>
      <c r="X1675" s="69" t="str">
        <f t="shared" si="105"/>
        <v>D</v>
      </c>
    </row>
    <row r="1676" spans="1:24" s="66" customFormat="1" x14ac:dyDescent="0.25">
      <c r="A1676" s="51"/>
      <c r="B1676" s="91" t="str">
        <f>IFERROR(VLOOKUP(A1676,Lookup!A:B,2,0),"")</f>
        <v/>
      </c>
      <c r="C1676" s="92" t="str">
        <f>IFERROR(VLOOKUP(A1676,Lookup!A:C,3,0),"")</f>
        <v/>
      </c>
      <c r="D1676" s="54"/>
      <c r="E1676" s="54"/>
      <c r="F1676" s="54"/>
      <c r="G1676" s="72"/>
      <c r="H1676" s="54"/>
      <c r="I1676" s="54"/>
      <c r="J1676" s="106">
        <f>VLOOKUP(A1676&amp;G1676,Lookup!J:N,5,0)</f>
        <v>0</v>
      </c>
      <c r="K1676" s="115"/>
      <c r="L1676" s="54"/>
      <c r="M1676" s="54"/>
      <c r="N1676" s="54"/>
      <c r="O1676" s="112">
        <v>69.5590277777778</v>
      </c>
      <c r="P1676" s="110" t="str">
        <f t="shared" si="104"/>
        <v/>
      </c>
      <c r="Q1676" s="54"/>
      <c r="R1676" s="58"/>
      <c r="S1676" s="87" t="str">
        <f t="shared" si="106"/>
        <v/>
      </c>
      <c r="T1676" s="54"/>
      <c r="U1676" s="54"/>
      <c r="V1676" s="54"/>
      <c r="W1676" s="54"/>
      <c r="X1676" s="69" t="str">
        <f t="shared" si="105"/>
        <v>D</v>
      </c>
    </row>
    <row r="1677" spans="1:24" s="66" customFormat="1" x14ac:dyDescent="0.25">
      <c r="A1677" s="51"/>
      <c r="B1677" s="91" t="str">
        <f>IFERROR(VLOOKUP(A1677,Lookup!A:B,2,0),"")</f>
        <v/>
      </c>
      <c r="C1677" s="92" t="str">
        <f>IFERROR(VLOOKUP(A1677,Lookup!A:C,3,0),"")</f>
        <v/>
      </c>
      <c r="D1677" s="54"/>
      <c r="E1677" s="54"/>
      <c r="F1677" s="54"/>
      <c r="G1677" s="72"/>
      <c r="H1677" s="54"/>
      <c r="I1677" s="54"/>
      <c r="J1677" s="106">
        <f>VLOOKUP(A1677&amp;G1677,Lookup!J:N,5,0)</f>
        <v>0</v>
      </c>
      <c r="K1677" s="115"/>
      <c r="L1677" s="54"/>
      <c r="M1677" s="54"/>
      <c r="N1677" s="54"/>
      <c r="O1677" s="112">
        <v>69.6006944444444</v>
      </c>
      <c r="P1677" s="110" t="str">
        <f t="shared" si="104"/>
        <v/>
      </c>
      <c r="Q1677" s="54"/>
      <c r="R1677" s="58"/>
      <c r="S1677" s="87" t="str">
        <f t="shared" si="106"/>
        <v/>
      </c>
      <c r="T1677" s="54"/>
      <c r="U1677" s="54"/>
      <c r="V1677" s="54"/>
      <c r="W1677" s="54"/>
      <c r="X1677" s="69" t="str">
        <f t="shared" si="105"/>
        <v>D</v>
      </c>
    </row>
    <row r="1678" spans="1:24" s="66" customFormat="1" x14ac:dyDescent="0.25">
      <c r="A1678" s="51"/>
      <c r="B1678" s="91" t="str">
        <f>IFERROR(VLOOKUP(A1678,Lookup!A:B,2,0),"")</f>
        <v/>
      </c>
      <c r="C1678" s="92" t="str">
        <f>IFERROR(VLOOKUP(A1678,Lookup!A:C,3,0),"")</f>
        <v/>
      </c>
      <c r="D1678" s="54"/>
      <c r="E1678" s="54"/>
      <c r="F1678" s="54"/>
      <c r="G1678" s="72"/>
      <c r="H1678" s="54"/>
      <c r="I1678" s="54"/>
      <c r="J1678" s="106">
        <f>VLOOKUP(A1678&amp;G1678,Lookup!J:N,5,0)</f>
        <v>0</v>
      </c>
      <c r="K1678" s="115"/>
      <c r="L1678" s="54"/>
      <c r="M1678" s="54"/>
      <c r="N1678" s="54"/>
      <c r="O1678" s="112">
        <v>69.6423611111111</v>
      </c>
      <c r="P1678" s="110" t="str">
        <f t="shared" si="104"/>
        <v/>
      </c>
      <c r="Q1678" s="54"/>
      <c r="R1678" s="58"/>
      <c r="S1678" s="87" t="str">
        <f t="shared" si="106"/>
        <v/>
      </c>
      <c r="T1678" s="54"/>
      <c r="U1678" s="54"/>
      <c r="V1678" s="54"/>
      <c r="W1678" s="54"/>
      <c r="X1678" s="69" t="str">
        <f t="shared" si="105"/>
        <v>D</v>
      </c>
    </row>
    <row r="1679" spans="1:24" s="66" customFormat="1" x14ac:dyDescent="0.25">
      <c r="A1679" s="51"/>
      <c r="B1679" s="91" t="str">
        <f>IFERROR(VLOOKUP(A1679,Lookup!A:B,2,0),"")</f>
        <v/>
      </c>
      <c r="C1679" s="92" t="str">
        <f>IFERROR(VLOOKUP(A1679,Lookup!A:C,3,0),"")</f>
        <v/>
      </c>
      <c r="D1679" s="54"/>
      <c r="E1679" s="54"/>
      <c r="F1679" s="54"/>
      <c r="G1679" s="72"/>
      <c r="H1679" s="54"/>
      <c r="I1679" s="54"/>
      <c r="J1679" s="106">
        <f>VLOOKUP(A1679&amp;G1679,Lookup!J:N,5,0)</f>
        <v>0</v>
      </c>
      <c r="K1679" s="115"/>
      <c r="L1679" s="54"/>
      <c r="M1679" s="54"/>
      <c r="N1679" s="54"/>
      <c r="O1679" s="112">
        <v>69.6840277777778</v>
      </c>
      <c r="P1679" s="110" t="str">
        <f t="shared" si="104"/>
        <v/>
      </c>
      <c r="Q1679" s="54"/>
      <c r="R1679" s="58"/>
      <c r="S1679" s="87" t="str">
        <f t="shared" si="106"/>
        <v/>
      </c>
      <c r="T1679" s="54"/>
      <c r="U1679" s="54"/>
      <c r="V1679" s="54"/>
      <c r="W1679" s="54"/>
      <c r="X1679" s="69" t="str">
        <f t="shared" si="105"/>
        <v>D</v>
      </c>
    </row>
    <row r="1680" spans="1:24" s="66" customFormat="1" x14ac:dyDescent="0.25">
      <c r="A1680" s="51"/>
      <c r="B1680" s="91" t="str">
        <f>IFERROR(VLOOKUP(A1680,Lookup!A:B,2,0),"")</f>
        <v/>
      </c>
      <c r="C1680" s="92" t="str">
        <f>IFERROR(VLOOKUP(A1680,Lookup!A:C,3,0),"")</f>
        <v/>
      </c>
      <c r="D1680" s="54"/>
      <c r="E1680" s="54"/>
      <c r="F1680" s="54"/>
      <c r="G1680" s="72"/>
      <c r="H1680" s="54"/>
      <c r="I1680" s="54"/>
      <c r="J1680" s="106">
        <f>VLOOKUP(A1680&amp;G1680,Lookup!J:N,5,0)</f>
        <v>0</v>
      </c>
      <c r="K1680" s="115"/>
      <c r="L1680" s="54"/>
      <c r="M1680" s="54"/>
      <c r="N1680" s="54"/>
      <c r="O1680" s="112">
        <v>69.7256944444444</v>
      </c>
      <c r="P1680" s="110" t="str">
        <f t="shared" si="104"/>
        <v/>
      </c>
      <c r="Q1680" s="54"/>
      <c r="R1680" s="58"/>
      <c r="S1680" s="87" t="str">
        <f t="shared" si="106"/>
        <v/>
      </c>
      <c r="T1680" s="54"/>
      <c r="U1680" s="54"/>
      <c r="V1680" s="54"/>
      <c r="W1680" s="54"/>
      <c r="X1680" s="69" t="str">
        <f t="shared" si="105"/>
        <v>D</v>
      </c>
    </row>
    <row r="1681" spans="1:24" s="66" customFormat="1" x14ac:dyDescent="0.25">
      <c r="A1681" s="51"/>
      <c r="B1681" s="91" t="str">
        <f>IFERROR(VLOOKUP(A1681,Lookup!A:B,2,0),"")</f>
        <v/>
      </c>
      <c r="C1681" s="92" t="str">
        <f>IFERROR(VLOOKUP(A1681,Lookup!A:C,3,0),"")</f>
        <v/>
      </c>
      <c r="D1681" s="54"/>
      <c r="E1681" s="54"/>
      <c r="F1681" s="54"/>
      <c r="G1681" s="72"/>
      <c r="H1681" s="54"/>
      <c r="I1681" s="54"/>
      <c r="J1681" s="106">
        <f>VLOOKUP(A1681&amp;G1681,Lookup!J:N,5,0)</f>
        <v>0</v>
      </c>
      <c r="K1681" s="115"/>
      <c r="L1681" s="54"/>
      <c r="M1681" s="54"/>
      <c r="N1681" s="54"/>
      <c r="O1681" s="112">
        <v>69.7673611111111</v>
      </c>
      <c r="P1681" s="110" t="str">
        <f t="shared" si="104"/>
        <v/>
      </c>
      <c r="Q1681" s="54"/>
      <c r="R1681" s="58"/>
      <c r="S1681" s="87" t="str">
        <f t="shared" si="106"/>
        <v/>
      </c>
      <c r="T1681" s="54"/>
      <c r="U1681" s="54"/>
      <c r="V1681" s="54"/>
      <c r="W1681" s="54"/>
      <c r="X1681" s="69" t="str">
        <f t="shared" si="105"/>
        <v>D</v>
      </c>
    </row>
    <row r="1682" spans="1:24" s="66" customFormat="1" x14ac:dyDescent="0.25">
      <c r="A1682" s="51"/>
      <c r="B1682" s="91" t="str">
        <f>IFERROR(VLOOKUP(A1682,Lookup!A:B,2,0),"")</f>
        <v/>
      </c>
      <c r="C1682" s="92" t="str">
        <f>IFERROR(VLOOKUP(A1682,Lookup!A:C,3,0),"")</f>
        <v/>
      </c>
      <c r="D1682" s="54"/>
      <c r="E1682" s="54"/>
      <c r="F1682" s="54"/>
      <c r="G1682" s="72"/>
      <c r="H1682" s="54"/>
      <c r="I1682" s="54"/>
      <c r="J1682" s="106">
        <f>VLOOKUP(A1682&amp;G1682,Lookup!J:N,5,0)</f>
        <v>0</v>
      </c>
      <c r="K1682" s="115"/>
      <c r="L1682" s="54"/>
      <c r="M1682" s="54"/>
      <c r="N1682" s="54"/>
      <c r="O1682" s="112">
        <v>69.8090277777778</v>
      </c>
      <c r="P1682" s="110" t="str">
        <f t="shared" si="104"/>
        <v/>
      </c>
      <c r="Q1682" s="54"/>
      <c r="R1682" s="58"/>
      <c r="S1682" s="87" t="str">
        <f t="shared" si="106"/>
        <v/>
      </c>
      <c r="T1682" s="54"/>
      <c r="U1682" s="54"/>
      <c r="V1682" s="54"/>
      <c r="W1682" s="54"/>
      <c r="X1682" s="69" t="str">
        <f t="shared" si="105"/>
        <v>D</v>
      </c>
    </row>
    <row r="1683" spans="1:24" s="66" customFormat="1" x14ac:dyDescent="0.25">
      <c r="A1683" s="51"/>
      <c r="B1683" s="91" t="str">
        <f>IFERROR(VLOOKUP(A1683,Lookup!A:B,2,0),"")</f>
        <v/>
      </c>
      <c r="C1683" s="92" t="str">
        <f>IFERROR(VLOOKUP(A1683,Lookup!A:C,3,0),"")</f>
        <v/>
      </c>
      <c r="D1683" s="54"/>
      <c r="E1683" s="54"/>
      <c r="F1683" s="54"/>
      <c r="G1683" s="72"/>
      <c r="H1683" s="54"/>
      <c r="I1683" s="54"/>
      <c r="J1683" s="106">
        <f>VLOOKUP(A1683&amp;G1683,Lookup!J:N,5,0)</f>
        <v>0</v>
      </c>
      <c r="K1683" s="115"/>
      <c r="L1683" s="54"/>
      <c r="M1683" s="54"/>
      <c r="N1683" s="54"/>
      <c r="O1683" s="112">
        <v>69.8506944444444</v>
      </c>
      <c r="P1683" s="110" t="str">
        <f t="shared" si="104"/>
        <v/>
      </c>
      <c r="Q1683" s="54"/>
      <c r="R1683" s="58"/>
      <c r="S1683" s="87" t="str">
        <f t="shared" si="106"/>
        <v/>
      </c>
      <c r="T1683" s="54"/>
      <c r="U1683" s="54"/>
      <c r="V1683" s="54"/>
      <c r="W1683" s="54"/>
      <c r="X1683" s="69" t="str">
        <f t="shared" si="105"/>
        <v>D</v>
      </c>
    </row>
    <row r="1684" spans="1:24" s="66" customFormat="1" x14ac:dyDescent="0.25">
      <c r="A1684" s="51"/>
      <c r="B1684" s="91" t="str">
        <f>IFERROR(VLOOKUP(A1684,Lookup!A:B,2,0),"")</f>
        <v/>
      </c>
      <c r="C1684" s="92" t="str">
        <f>IFERROR(VLOOKUP(A1684,Lookup!A:C,3,0),"")</f>
        <v/>
      </c>
      <c r="D1684" s="54"/>
      <c r="E1684" s="54"/>
      <c r="F1684" s="54"/>
      <c r="G1684" s="72"/>
      <c r="H1684" s="54"/>
      <c r="I1684" s="54"/>
      <c r="J1684" s="106">
        <f>VLOOKUP(A1684&amp;G1684,Lookup!J:N,5,0)</f>
        <v>0</v>
      </c>
      <c r="K1684" s="115"/>
      <c r="L1684" s="54"/>
      <c r="M1684" s="54"/>
      <c r="N1684" s="54"/>
      <c r="O1684" s="112">
        <v>69.8923611111111</v>
      </c>
      <c r="P1684" s="110" t="str">
        <f t="shared" si="104"/>
        <v/>
      </c>
      <c r="Q1684" s="54"/>
      <c r="R1684" s="58"/>
      <c r="S1684" s="87" t="str">
        <f t="shared" si="106"/>
        <v/>
      </c>
      <c r="T1684" s="54"/>
      <c r="U1684" s="54"/>
      <c r="V1684" s="54"/>
      <c r="W1684" s="54"/>
      <c r="X1684" s="69" t="str">
        <f t="shared" si="105"/>
        <v>D</v>
      </c>
    </row>
    <row r="1685" spans="1:24" s="66" customFormat="1" x14ac:dyDescent="0.25">
      <c r="A1685" s="51"/>
      <c r="B1685" s="91" t="str">
        <f>IFERROR(VLOOKUP(A1685,Lookup!A:B,2,0),"")</f>
        <v/>
      </c>
      <c r="C1685" s="92" t="str">
        <f>IFERROR(VLOOKUP(A1685,Lookup!A:C,3,0),"")</f>
        <v/>
      </c>
      <c r="D1685" s="54"/>
      <c r="E1685" s="54"/>
      <c r="F1685" s="54"/>
      <c r="G1685" s="72"/>
      <c r="H1685" s="54"/>
      <c r="I1685" s="54"/>
      <c r="J1685" s="106">
        <f>VLOOKUP(A1685&amp;G1685,Lookup!J:N,5,0)</f>
        <v>0</v>
      </c>
      <c r="K1685" s="115"/>
      <c r="L1685" s="54"/>
      <c r="M1685" s="54"/>
      <c r="N1685" s="54"/>
      <c r="O1685" s="112">
        <v>69.9340277777778</v>
      </c>
      <c r="P1685" s="110" t="str">
        <f t="shared" si="104"/>
        <v/>
      </c>
      <c r="Q1685" s="54"/>
      <c r="R1685" s="58"/>
      <c r="S1685" s="87" t="str">
        <f t="shared" si="106"/>
        <v/>
      </c>
      <c r="T1685" s="54"/>
      <c r="U1685" s="54"/>
      <c r="V1685" s="54"/>
      <c r="W1685" s="54"/>
      <c r="X1685" s="69" t="str">
        <f t="shared" si="105"/>
        <v>D</v>
      </c>
    </row>
    <row r="1686" spans="1:24" s="66" customFormat="1" x14ac:dyDescent="0.25">
      <c r="A1686" s="51"/>
      <c r="B1686" s="91" t="str">
        <f>IFERROR(VLOOKUP(A1686,Lookup!A:B,2,0),"")</f>
        <v/>
      </c>
      <c r="C1686" s="92" t="str">
        <f>IFERROR(VLOOKUP(A1686,Lookup!A:C,3,0),"")</f>
        <v/>
      </c>
      <c r="D1686" s="54"/>
      <c r="E1686" s="54"/>
      <c r="F1686" s="54"/>
      <c r="G1686" s="72"/>
      <c r="H1686" s="54"/>
      <c r="I1686" s="54"/>
      <c r="J1686" s="106">
        <f>VLOOKUP(A1686&amp;G1686,Lookup!J:N,5,0)</f>
        <v>0</v>
      </c>
      <c r="K1686" s="115"/>
      <c r="L1686" s="54"/>
      <c r="M1686" s="54"/>
      <c r="N1686" s="54"/>
      <c r="O1686" s="112">
        <v>69.9756944444444</v>
      </c>
      <c r="P1686" s="110" t="str">
        <f t="shared" si="104"/>
        <v/>
      </c>
      <c r="Q1686" s="54"/>
      <c r="R1686" s="58"/>
      <c r="S1686" s="87" t="str">
        <f t="shared" si="106"/>
        <v/>
      </c>
      <c r="T1686" s="54"/>
      <c r="U1686" s="54"/>
      <c r="V1686" s="54"/>
      <c r="W1686" s="54"/>
      <c r="X1686" s="69" t="str">
        <f t="shared" si="105"/>
        <v>D</v>
      </c>
    </row>
    <row r="1687" spans="1:24" s="66" customFormat="1" x14ac:dyDescent="0.25">
      <c r="A1687" s="51"/>
      <c r="B1687" s="91" t="str">
        <f>IFERROR(VLOOKUP(A1687,Lookup!A:B,2,0),"")</f>
        <v/>
      </c>
      <c r="C1687" s="92" t="str">
        <f>IFERROR(VLOOKUP(A1687,Lookup!A:C,3,0),"")</f>
        <v/>
      </c>
      <c r="D1687" s="54"/>
      <c r="E1687" s="54"/>
      <c r="F1687" s="54"/>
      <c r="G1687" s="72"/>
      <c r="H1687" s="54"/>
      <c r="I1687" s="54"/>
      <c r="J1687" s="106">
        <f>VLOOKUP(A1687&amp;G1687,Lookup!J:N,5,0)</f>
        <v>0</v>
      </c>
      <c r="K1687" s="115"/>
      <c r="L1687" s="54"/>
      <c r="M1687" s="54"/>
      <c r="N1687" s="54"/>
      <c r="O1687" s="112">
        <v>70.0173611111111</v>
      </c>
      <c r="P1687" s="110" t="str">
        <f t="shared" si="104"/>
        <v/>
      </c>
      <c r="Q1687" s="54"/>
      <c r="R1687" s="58"/>
      <c r="S1687" s="87" t="str">
        <f t="shared" si="106"/>
        <v/>
      </c>
      <c r="T1687" s="54"/>
      <c r="U1687" s="54"/>
      <c r="V1687" s="54"/>
      <c r="W1687" s="54"/>
      <c r="X1687" s="69" t="str">
        <f t="shared" si="105"/>
        <v>D</v>
      </c>
    </row>
    <row r="1688" spans="1:24" s="66" customFormat="1" x14ac:dyDescent="0.25">
      <c r="A1688" s="51"/>
      <c r="B1688" s="91" t="str">
        <f>IFERROR(VLOOKUP(A1688,Lookup!A:B,2,0),"")</f>
        <v/>
      </c>
      <c r="C1688" s="92" t="str">
        <f>IFERROR(VLOOKUP(A1688,Lookup!A:C,3,0),"")</f>
        <v/>
      </c>
      <c r="D1688" s="54"/>
      <c r="E1688" s="54"/>
      <c r="F1688" s="54"/>
      <c r="G1688" s="72"/>
      <c r="H1688" s="54"/>
      <c r="I1688" s="54"/>
      <c r="J1688" s="106">
        <f>VLOOKUP(A1688&amp;G1688,Lookup!J:N,5,0)</f>
        <v>0</v>
      </c>
      <c r="K1688" s="115"/>
      <c r="L1688" s="54"/>
      <c r="M1688" s="54"/>
      <c r="N1688" s="54"/>
      <c r="O1688" s="112">
        <v>70.0590277777778</v>
      </c>
      <c r="P1688" s="110" t="str">
        <f t="shared" si="104"/>
        <v/>
      </c>
      <c r="Q1688" s="54"/>
      <c r="R1688" s="58"/>
      <c r="S1688" s="87" t="str">
        <f t="shared" si="106"/>
        <v/>
      </c>
      <c r="T1688" s="54"/>
      <c r="U1688" s="54"/>
      <c r="V1688" s="54"/>
      <c r="W1688" s="54"/>
      <c r="X1688" s="69" t="str">
        <f t="shared" si="105"/>
        <v>D</v>
      </c>
    </row>
    <row r="1689" spans="1:24" s="66" customFormat="1" x14ac:dyDescent="0.25">
      <c r="A1689" s="51"/>
      <c r="B1689" s="91" t="str">
        <f>IFERROR(VLOOKUP(A1689,Lookup!A:B,2,0),"")</f>
        <v/>
      </c>
      <c r="C1689" s="92" t="str">
        <f>IFERROR(VLOOKUP(A1689,Lookup!A:C,3,0),"")</f>
        <v/>
      </c>
      <c r="D1689" s="54"/>
      <c r="E1689" s="54"/>
      <c r="F1689" s="54"/>
      <c r="G1689" s="72"/>
      <c r="H1689" s="54"/>
      <c r="I1689" s="54"/>
      <c r="J1689" s="106">
        <f>VLOOKUP(A1689&amp;G1689,Lookup!J:N,5,0)</f>
        <v>0</v>
      </c>
      <c r="K1689" s="115"/>
      <c r="L1689" s="54"/>
      <c r="M1689" s="54"/>
      <c r="N1689" s="54"/>
      <c r="O1689" s="112">
        <v>70.1006944444444</v>
      </c>
      <c r="P1689" s="110" t="str">
        <f t="shared" si="104"/>
        <v/>
      </c>
      <c r="Q1689" s="54"/>
      <c r="R1689" s="58"/>
      <c r="S1689" s="87" t="str">
        <f t="shared" si="106"/>
        <v/>
      </c>
      <c r="T1689" s="54"/>
      <c r="U1689" s="54"/>
      <c r="V1689" s="54"/>
      <c r="W1689" s="54"/>
      <c r="X1689" s="69" t="str">
        <f t="shared" si="105"/>
        <v>D</v>
      </c>
    </row>
    <row r="1690" spans="1:24" s="66" customFormat="1" x14ac:dyDescent="0.25">
      <c r="A1690" s="51"/>
      <c r="B1690" s="91" t="str">
        <f>IFERROR(VLOOKUP(A1690,Lookup!A:B,2,0),"")</f>
        <v/>
      </c>
      <c r="C1690" s="92" t="str">
        <f>IFERROR(VLOOKUP(A1690,Lookup!A:C,3,0),"")</f>
        <v/>
      </c>
      <c r="D1690" s="54"/>
      <c r="E1690" s="54"/>
      <c r="F1690" s="54"/>
      <c r="G1690" s="72"/>
      <c r="H1690" s="54"/>
      <c r="I1690" s="54"/>
      <c r="J1690" s="106">
        <f>VLOOKUP(A1690&amp;G1690,Lookup!J:N,5,0)</f>
        <v>0</v>
      </c>
      <c r="K1690" s="115"/>
      <c r="L1690" s="54"/>
      <c r="M1690" s="54"/>
      <c r="N1690" s="54"/>
      <c r="O1690" s="112">
        <v>70.1423611111111</v>
      </c>
      <c r="P1690" s="110" t="str">
        <f t="shared" si="104"/>
        <v/>
      </c>
      <c r="Q1690" s="54"/>
      <c r="R1690" s="58"/>
      <c r="S1690" s="87" t="str">
        <f t="shared" si="106"/>
        <v/>
      </c>
      <c r="T1690" s="54"/>
      <c r="U1690" s="54"/>
      <c r="V1690" s="54"/>
      <c r="W1690" s="54"/>
      <c r="X1690" s="69" t="str">
        <f t="shared" si="105"/>
        <v>D</v>
      </c>
    </row>
    <row r="1691" spans="1:24" s="66" customFormat="1" x14ac:dyDescent="0.25">
      <c r="A1691" s="51"/>
      <c r="B1691" s="91" t="str">
        <f>IFERROR(VLOOKUP(A1691,Lookup!A:B,2,0),"")</f>
        <v/>
      </c>
      <c r="C1691" s="92" t="str">
        <f>IFERROR(VLOOKUP(A1691,Lookup!A:C,3,0),"")</f>
        <v/>
      </c>
      <c r="D1691" s="54"/>
      <c r="E1691" s="54"/>
      <c r="F1691" s="54"/>
      <c r="G1691" s="72"/>
      <c r="H1691" s="54"/>
      <c r="I1691" s="54"/>
      <c r="J1691" s="106">
        <f>VLOOKUP(A1691&amp;G1691,Lookup!J:N,5,0)</f>
        <v>0</v>
      </c>
      <c r="K1691" s="115"/>
      <c r="L1691" s="54"/>
      <c r="M1691" s="54"/>
      <c r="N1691" s="54"/>
      <c r="O1691" s="112">
        <v>70.1840277777778</v>
      </c>
      <c r="P1691" s="110" t="str">
        <f t="shared" si="104"/>
        <v/>
      </c>
      <c r="Q1691" s="54"/>
      <c r="R1691" s="58"/>
      <c r="S1691" s="87" t="str">
        <f t="shared" si="106"/>
        <v/>
      </c>
      <c r="T1691" s="54"/>
      <c r="U1691" s="54"/>
      <c r="V1691" s="54"/>
      <c r="W1691" s="54"/>
      <c r="X1691" s="69" t="str">
        <f t="shared" si="105"/>
        <v>D</v>
      </c>
    </row>
    <row r="1692" spans="1:24" s="66" customFormat="1" x14ac:dyDescent="0.25">
      <c r="A1692" s="51"/>
      <c r="B1692" s="91" t="str">
        <f>IFERROR(VLOOKUP(A1692,Lookup!A:B,2,0),"")</f>
        <v/>
      </c>
      <c r="C1692" s="92" t="str">
        <f>IFERROR(VLOOKUP(A1692,Lookup!A:C,3,0),"")</f>
        <v/>
      </c>
      <c r="D1692" s="54"/>
      <c r="E1692" s="54"/>
      <c r="F1692" s="54"/>
      <c r="G1692" s="72"/>
      <c r="H1692" s="54"/>
      <c r="I1692" s="54"/>
      <c r="J1692" s="106">
        <f>VLOOKUP(A1692&amp;G1692,Lookup!J:N,5,0)</f>
        <v>0</v>
      </c>
      <c r="K1692" s="115"/>
      <c r="L1692" s="54"/>
      <c r="M1692" s="54"/>
      <c r="N1692" s="54"/>
      <c r="O1692" s="112">
        <v>70.2256944444444</v>
      </c>
      <c r="P1692" s="110" t="str">
        <f t="shared" si="104"/>
        <v/>
      </c>
      <c r="Q1692" s="54"/>
      <c r="R1692" s="58"/>
      <c r="S1692" s="87" t="str">
        <f t="shared" si="106"/>
        <v/>
      </c>
      <c r="T1692" s="54"/>
      <c r="U1692" s="54"/>
      <c r="V1692" s="54"/>
      <c r="W1692" s="54"/>
      <c r="X1692" s="69" t="str">
        <f t="shared" si="105"/>
        <v>D</v>
      </c>
    </row>
    <row r="1693" spans="1:24" s="66" customFormat="1" x14ac:dyDescent="0.25">
      <c r="A1693" s="51"/>
      <c r="B1693" s="91" t="str">
        <f>IFERROR(VLOOKUP(A1693,Lookup!A:B,2,0),"")</f>
        <v/>
      </c>
      <c r="C1693" s="92" t="str">
        <f>IFERROR(VLOOKUP(A1693,Lookup!A:C,3,0),"")</f>
        <v/>
      </c>
      <c r="D1693" s="54"/>
      <c r="E1693" s="54"/>
      <c r="F1693" s="54"/>
      <c r="G1693" s="72"/>
      <c r="H1693" s="54"/>
      <c r="I1693" s="54"/>
      <c r="J1693" s="106">
        <f>VLOOKUP(A1693&amp;G1693,Lookup!J:N,5,0)</f>
        <v>0</v>
      </c>
      <c r="K1693" s="115"/>
      <c r="L1693" s="54"/>
      <c r="M1693" s="54"/>
      <c r="N1693" s="54"/>
      <c r="O1693" s="112">
        <v>70.2673611111111</v>
      </c>
      <c r="P1693" s="110" t="str">
        <f t="shared" si="104"/>
        <v/>
      </c>
      <c r="Q1693" s="54"/>
      <c r="R1693" s="58"/>
      <c r="S1693" s="87" t="str">
        <f t="shared" si="106"/>
        <v/>
      </c>
      <c r="T1693" s="54"/>
      <c r="U1693" s="54"/>
      <c r="V1693" s="54"/>
      <c r="W1693" s="54"/>
      <c r="X1693" s="69" t="str">
        <f t="shared" si="105"/>
        <v>D</v>
      </c>
    </row>
    <row r="1694" spans="1:24" s="66" customFormat="1" x14ac:dyDescent="0.25">
      <c r="A1694" s="51"/>
      <c r="B1694" s="91" t="str">
        <f>IFERROR(VLOOKUP(A1694,Lookup!A:B,2,0),"")</f>
        <v/>
      </c>
      <c r="C1694" s="92" t="str">
        <f>IFERROR(VLOOKUP(A1694,Lookup!A:C,3,0),"")</f>
        <v/>
      </c>
      <c r="D1694" s="54"/>
      <c r="E1694" s="54"/>
      <c r="F1694" s="54"/>
      <c r="G1694" s="72"/>
      <c r="H1694" s="54"/>
      <c r="I1694" s="54"/>
      <c r="J1694" s="106">
        <f>VLOOKUP(A1694&amp;G1694,Lookup!J:N,5,0)</f>
        <v>0</v>
      </c>
      <c r="K1694" s="115"/>
      <c r="L1694" s="54"/>
      <c r="M1694" s="54"/>
      <c r="N1694" s="54"/>
      <c r="O1694" s="112">
        <v>70.3090277777778</v>
      </c>
      <c r="P1694" s="110" t="str">
        <f t="shared" si="104"/>
        <v/>
      </c>
      <c r="Q1694" s="54"/>
      <c r="R1694" s="58"/>
      <c r="S1694" s="87" t="str">
        <f t="shared" si="106"/>
        <v/>
      </c>
      <c r="T1694" s="54"/>
      <c r="U1694" s="54"/>
      <c r="V1694" s="54"/>
      <c r="W1694" s="54"/>
      <c r="X1694" s="69" t="str">
        <f t="shared" si="105"/>
        <v>D</v>
      </c>
    </row>
    <row r="1695" spans="1:24" s="66" customFormat="1" x14ac:dyDescent="0.25">
      <c r="A1695" s="51"/>
      <c r="B1695" s="91" t="str">
        <f>IFERROR(VLOOKUP(A1695,Lookup!A:B,2,0),"")</f>
        <v/>
      </c>
      <c r="C1695" s="92" t="str">
        <f>IFERROR(VLOOKUP(A1695,Lookup!A:C,3,0),"")</f>
        <v/>
      </c>
      <c r="D1695" s="54"/>
      <c r="E1695" s="54"/>
      <c r="F1695" s="54"/>
      <c r="G1695" s="72"/>
      <c r="H1695" s="54"/>
      <c r="I1695" s="54"/>
      <c r="J1695" s="106">
        <f>VLOOKUP(A1695&amp;G1695,Lookup!J:N,5,0)</f>
        <v>0</v>
      </c>
      <c r="K1695" s="115"/>
      <c r="L1695" s="54"/>
      <c r="M1695" s="54"/>
      <c r="N1695" s="54"/>
      <c r="O1695" s="112">
        <v>70.3506944444444</v>
      </c>
      <c r="P1695" s="110" t="str">
        <f t="shared" si="104"/>
        <v/>
      </c>
      <c r="Q1695" s="54"/>
      <c r="R1695" s="58"/>
      <c r="S1695" s="87" t="str">
        <f t="shared" si="106"/>
        <v/>
      </c>
      <c r="T1695" s="54"/>
      <c r="U1695" s="54"/>
      <c r="V1695" s="54"/>
      <c r="W1695" s="54"/>
      <c r="X1695" s="69" t="str">
        <f t="shared" si="105"/>
        <v>D</v>
      </c>
    </row>
    <row r="1696" spans="1:24" s="66" customFormat="1" x14ac:dyDescent="0.25">
      <c r="A1696" s="51"/>
      <c r="B1696" s="91" t="str">
        <f>IFERROR(VLOOKUP(A1696,Lookup!A:B,2,0),"")</f>
        <v/>
      </c>
      <c r="C1696" s="92" t="str">
        <f>IFERROR(VLOOKUP(A1696,Lookup!A:C,3,0),"")</f>
        <v/>
      </c>
      <c r="D1696" s="54"/>
      <c r="E1696" s="54"/>
      <c r="F1696" s="54"/>
      <c r="G1696" s="72"/>
      <c r="H1696" s="54"/>
      <c r="I1696" s="54"/>
      <c r="J1696" s="106">
        <f>VLOOKUP(A1696&amp;G1696,Lookup!J:N,5,0)</f>
        <v>0</v>
      </c>
      <c r="K1696" s="115"/>
      <c r="L1696" s="54"/>
      <c r="M1696" s="54"/>
      <c r="N1696" s="54"/>
      <c r="O1696" s="112">
        <v>70.3923611111111</v>
      </c>
      <c r="P1696" s="110" t="str">
        <f t="shared" si="104"/>
        <v/>
      </c>
      <c r="Q1696" s="54"/>
      <c r="R1696" s="58"/>
      <c r="S1696" s="87" t="str">
        <f t="shared" si="106"/>
        <v/>
      </c>
      <c r="T1696" s="54"/>
      <c r="U1696" s="54"/>
      <c r="V1696" s="54"/>
      <c r="W1696" s="54"/>
      <c r="X1696" s="69" t="str">
        <f t="shared" si="105"/>
        <v>D</v>
      </c>
    </row>
    <row r="1697" spans="1:24" s="66" customFormat="1" x14ac:dyDescent="0.25">
      <c r="A1697" s="51"/>
      <c r="B1697" s="91" t="str">
        <f>IFERROR(VLOOKUP(A1697,Lookup!A:B,2,0),"")</f>
        <v/>
      </c>
      <c r="C1697" s="92" t="str">
        <f>IFERROR(VLOOKUP(A1697,Lookup!A:C,3,0),"")</f>
        <v/>
      </c>
      <c r="D1697" s="54"/>
      <c r="E1697" s="54"/>
      <c r="F1697" s="54"/>
      <c r="G1697" s="72"/>
      <c r="H1697" s="54"/>
      <c r="I1697" s="54"/>
      <c r="J1697" s="106">
        <f>VLOOKUP(A1697&amp;G1697,Lookup!J:N,5,0)</f>
        <v>0</v>
      </c>
      <c r="K1697" s="115"/>
      <c r="L1697" s="54"/>
      <c r="M1697" s="54"/>
      <c r="N1697" s="54"/>
      <c r="O1697" s="112">
        <v>70.4340277777778</v>
      </c>
      <c r="P1697" s="110" t="str">
        <f t="shared" si="104"/>
        <v/>
      </c>
      <c r="Q1697" s="54"/>
      <c r="R1697" s="58"/>
      <c r="S1697" s="87" t="str">
        <f t="shared" si="106"/>
        <v/>
      </c>
      <c r="T1697" s="54"/>
      <c r="U1697" s="54"/>
      <c r="V1697" s="54"/>
      <c r="W1697" s="54"/>
      <c r="X1697" s="69" t="str">
        <f t="shared" si="105"/>
        <v>D</v>
      </c>
    </row>
    <row r="1698" spans="1:24" s="66" customFormat="1" x14ac:dyDescent="0.25">
      <c r="A1698" s="51"/>
      <c r="B1698" s="91" t="str">
        <f>IFERROR(VLOOKUP(A1698,Lookup!A:B,2,0),"")</f>
        <v/>
      </c>
      <c r="C1698" s="92" t="str">
        <f>IFERROR(VLOOKUP(A1698,Lookup!A:C,3,0),"")</f>
        <v/>
      </c>
      <c r="D1698" s="54"/>
      <c r="E1698" s="54"/>
      <c r="F1698" s="54"/>
      <c r="G1698" s="72"/>
      <c r="H1698" s="54"/>
      <c r="I1698" s="54"/>
      <c r="J1698" s="106">
        <f>VLOOKUP(A1698&amp;G1698,Lookup!J:N,5,0)</f>
        <v>0</v>
      </c>
      <c r="K1698" s="115"/>
      <c r="L1698" s="54"/>
      <c r="M1698" s="54"/>
      <c r="N1698" s="54"/>
      <c r="O1698" s="112">
        <v>70.4756944444444</v>
      </c>
      <c r="P1698" s="110" t="str">
        <f t="shared" si="104"/>
        <v/>
      </c>
      <c r="Q1698" s="54"/>
      <c r="R1698" s="58"/>
      <c r="S1698" s="87" t="str">
        <f t="shared" si="106"/>
        <v/>
      </c>
      <c r="T1698" s="54"/>
      <c r="U1698" s="54"/>
      <c r="V1698" s="54"/>
      <c r="W1698" s="54"/>
      <c r="X1698" s="69" t="str">
        <f t="shared" si="105"/>
        <v>D</v>
      </c>
    </row>
    <row r="1699" spans="1:24" s="66" customFormat="1" x14ac:dyDescent="0.25">
      <c r="A1699" s="51"/>
      <c r="B1699" s="91" t="str">
        <f>IFERROR(VLOOKUP(A1699,Lookup!A:B,2,0),"")</f>
        <v/>
      </c>
      <c r="C1699" s="92" t="str">
        <f>IFERROR(VLOOKUP(A1699,Lookup!A:C,3,0),"")</f>
        <v/>
      </c>
      <c r="D1699" s="54"/>
      <c r="E1699" s="54"/>
      <c r="F1699" s="54"/>
      <c r="G1699" s="72"/>
      <c r="H1699" s="54"/>
      <c r="I1699" s="54"/>
      <c r="J1699" s="106">
        <f>VLOOKUP(A1699&amp;G1699,Lookup!J:N,5,0)</f>
        <v>0</v>
      </c>
      <c r="K1699" s="115"/>
      <c r="L1699" s="54"/>
      <c r="M1699" s="54"/>
      <c r="N1699" s="54"/>
      <c r="O1699" s="112">
        <v>70.5173611111111</v>
      </c>
      <c r="P1699" s="110" t="str">
        <f t="shared" si="104"/>
        <v/>
      </c>
      <c r="Q1699" s="54"/>
      <c r="R1699" s="58"/>
      <c r="S1699" s="87" t="str">
        <f t="shared" si="106"/>
        <v/>
      </c>
      <c r="T1699" s="54"/>
      <c r="U1699" s="54"/>
      <c r="V1699" s="54"/>
      <c r="W1699" s="54"/>
      <c r="X1699" s="69" t="str">
        <f t="shared" si="105"/>
        <v>D</v>
      </c>
    </row>
    <row r="1700" spans="1:24" s="66" customFormat="1" x14ac:dyDescent="0.25">
      <c r="A1700" s="51"/>
      <c r="B1700" s="91" t="str">
        <f>IFERROR(VLOOKUP(A1700,Lookup!A:B,2,0),"")</f>
        <v/>
      </c>
      <c r="C1700" s="92" t="str">
        <f>IFERROR(VLOOKUP(A1700,Lookup!A:C,3,0),"")</f>
        <v/>
      </c>
      <c r="D1700" s="54"/>
      <c r="E1700" s="54"/>
      <c r="F1700" s="54"/>
      <c r="G1700" s="72"/>
      <c r="H1700" s="54"/>
      <c r="I1700" s="54"/>
      <c r="J1700" s="106">
        <f>VLOOKUP(A1700&amp;G1700,Lookup!J:N,5,0)</f>
        <v>0</v>
      </c>
      <c r="K1700" s="115"/>
      <c r="L1700" s="54"/>
      <c r="M1700" s="54"/>
      <c r="N1700" s="54"/>
      <c r="O1700" s="112">
        <v>70.5590277777778</v>
      </c>
      <c r="P1700" s="110" t="str">
        <f t="shared" si="104"/>
        <v/>
      </c>
      <c r="Q1700" s="54"/>
      <c r="R1700" s="58"/>
      <c r="S1700" s="87" t="str">
        <f t="shared" si="106"/>
        <v/>
      </c>
      <c r="T1700" s="54"/>
      <c r="U1700" s="54"/>
      <c r="V1700" s="54"/>
      <c r="W1700" s="54"/>
      <c r="X1700" s="69" t="str">
        <f t="shared" si="105"/>
        <v>D</v>
      </c>
    </row>
    <row r="1701" spans="1:24" s="66" customFormat="1" x14ac:dyDescent="0.25">
      <c r="A1701" s="51"/>
      <c r="B1701" s="91" t="str">
        <f>IFERROR(VLOOKUP(A1701,Lookup!A:B,2,0),"")</f>
        <v/>
      </c>
      <c r="C1701" s="92" t="str">
        <f>IFERROR(VLOOKUP(A1701,Lookup!A:C,3,0),"")</f>
        <v/>
      </c>
      <c r="D1701" s="54"/>
      <c r="E1701" s="54"/>
      <c r="F1701" s="54"/>
      <c r="G1701" s="72"/>
      <c r="H1701" s="54"/>
      <c r="I1701" s="54"/>
      <c r="J1701" s="106">
        <f>VLOOKUP(A1701&amp;G1701,Lookup!J:N,5,0)</f>
        <v>0</v>
      </c>
      <c r="K1701" s="115"/>
      <c r="L1701" s="54"/>
      <c r="M1701" s="54"/>
      <c r="N1701" s="54"/>
      <c r="O1701" s="112">
        <v>70.6006944444444</v>
      </c>
      <c r="P1701" s="110" t="str">
        <f t="shared" si="104"/>
        <v/>
      </c>
      <c r="Q1701" s="54"/>
      <c r="R1701" s="58"/>
      <c r="S1701" s="87" t="str">
        <f t="shared" si="106"/>
        <v/>
      </c>
      <c r="T1701" s="54"/>
      <c r="U1701" s="54"/>
      <c r="V1701" s="54"/>
      <c r="W1701" s="54"/>
      <c r="X1701" s="69" t="str">
        <f t="shared" si="105"/>
        <v>D</v>
      </c>
    </row>
    <row r="1702" spans="1:24" s="66" customFormat="1" x14ac:dyDescent="0.25">
      <c r="A1702" s="51"/>
      <c r="B1702" s="91" t="str">
        <f>IFERROR(VLOOKUP(A1702,Lookup!A:B,2,0),"")</f>
        <v/>
      </c>
      <c r="C1702" s="92" t="str">
        <f>IFERROR(VLOOKUP(A1702,Lookup!A:C,3,0),"")</f>
        <v/>
      </c>
      <c r="D1702" s="54"/>
      <c r="E1702" s="54"/>
      <c r="F1702" s="54"/>
      <c r="G1702" s="72"/>
      <c r="H1702" s="54"/>
      <c r="I1702" s="54"/>
      <c r="J1702" s="106">
        <f>VLOOKUP(A1702&amp;G1702,Lookup!J:N,5,0)</f>
        <v>0</v>
      </c>
      <c r="K1702" s="115"/>
      <c r="L1702" s="54"/>
      <c r="M1702" s="54"/>
      <c r="N1702" s="54"/>
      <c r="O1702" s="112">
        <v>70.6423611111111</v>
      </c>
      <c r="P1702" s="110" t="str">
        <f t="shared" si="104"/>
        <v/>
      </c>
      <c r="Q1702" s="54"/>
      <c r="R1702" s="58"/>
      <c r="S1702" s="87" t="str">
        <f t="shared" si="106"/>
        <v/>
      </c>
      <c r="T1702" s="54"/>
      <c r="U1702" s="54"/>
      <c r="V1702" s="54"/>
      <c r="W1702" s="54"/>
      <c r="X1702" s="69" t="str">
        <f t="shared" si="105"/>
        <v>D</v>
      </c>
    </row>
    <row r="1703" spans="1:24" s="66" customFormat="1" x14ac:dyDescent="0.25">
      <c r="A1703" s="51"/>
      <c r="B1703" s="91" t="str">
        <f>IFERROR(VLOOKUP(A1703,Lookup!A:B,2,0),"")</f>
        <v/>
      </c>
      <c r="C1703" s="92" t="str">
        <f>IFERROR(VLOOKUP(A1703,Lookup!A:C,3,0),"")</f>
        <v/>
      </c>
      <c r="D1703" s="54"/>
      <c r="E1703" s="54"/>
      <c r="F1703" s="54"/>
      <c r="G1703" s="72"/>
      <c r="H1703" s="54"/>
      <c r="I1703" s="54"/>
      <c r="J1703" s="106">
        <f>VLOOKUP(A1703&amp;G1703,Lookup!J:N,5,0)</f>
        <v>0</v>
      </c>
      <c r="K1703" s="115"/>
      <c r="L1703" s="54"/>
      <c r="M1703" s="54"/>
      <c r="N1703" s="54"/>
      <c r="O1703" s="112">
        <v>70.6840277777778</v>
      </c>
      <c r="P1703" s="110" t="str">
        <f t="shared" si="104"/>
        <v/>
      </c>
      <c r="Q1703" s="54"/>
      <c r="R1703" s="58"/>
      <c r="S1703" s="87" t="str">
        <f t="shared" si="106"/>
        <v/>
      </c>
      <c r="T1703" s="54"/>
      <c r="U1703" s="54"/>
      <c r="V1703" s="54"/>
      <c r="W1703" s="54"/>
      <c r="X1703" s="69" t="str">
        <f t="shared" si="105"/>
        <v>D</v>
      </c>
    </row>
    <row r="1704" spans="1:24" s="66" customFormat="1" x14ac:dyDescent="0.25">
      <c r="A1704" s="51"/>
      <c r="B1704" s="91" t="str">
        <f>IFERROR(VLOOKUP(A1704,Lookup!A:B,2,0),"")</f>
        <v/>
      </c>
      <c r="C1704" s="92" t="str">
        <f>IFERROR(VLOOKUP(A1704,Lookup!A:C,3,0),"")</f>
        <v/>
      </c>
      <c r="D1704" s="54"/>
      <c r="E1704" s="54"/>
      <c r="F1704" s="54"/>
      <c r="G1704" s="72"/>
      <c r="H1704" s="54"/>
      <c r="I1704" s="54"/>
      <c r="J1704" s="106">
        <f>VLOOKUP(A1704&amp;G1704,Lookup!J:N,5,0)</f>
        <v>0</v>
      </c>
      <c r="K1704" s="115"/>
      <c r="L1704" s="54"/>
      <c r="M1704" s="54"/>
      <c r="N1704" s="54"/>
      <c r="O1704" s="112">
        <v>70.7256944444444</v>
      </c>
      <c r="P1704" s="110" t="str">
        <f t="shared" si="104"/>
        <v/>
      </c>
      <c r="Q1704" s="54"/>
      <c r="R1704" s="58"/>
      <c r="S1704" s="87" t="str">
        <f t="shared" si="106"/>
        <v/>
      </c>
      <c r="T1704" s="54"/>
      <c r="U1704" s="54"/>
      <c r="V1704" s="54"/>
      <c r="W1704" s="54"/>
      <c r="X1704" s="69" t="str">
        <f t="shared" si="105"/>
        <v>D</v>
      </c>
    </row>
    <row r="1705" spans="1:24" s="66" customFormat="1" x14ac:dyDescent="0.25">
      <c r="A1705" s="51"/>
      <c r="B1705" s="91" t="str">
        <f>IFERROR(VLOOKUP(A1705,Lookup!A:B,2,0),"")</f>
        <v/>
      </c>
      <c r="C1705" s="92" t="str">
        <f>IFERROR(VLOOKUP(A1705,Lookup!A:C,3,0),"")</f>
        <v/>
      </c>
      <c r="D1705" s="54"/>
      <c r="E1705" s="54"/>
      <c r="F1705" s="54"/>
      <c r="G1705" s="72"/>
      <c r="H1705" s="54"/>
      <c r="I1705" s="54"/>
      <c r="J1705" s="106">
        <f>VLOOKUP(A1705&amp;G1705,Lookup!J:N,5,0)</f>
        <v>0</v>
      </c>
      <c r="K1705" s="115"/>
      <c r="L1705" s="54"/>
      <c r="M1705" s="54"/>
      <c r="N1705" s="54"/>
      <c r="O1705" s="112">
        <v>70.7673611111111</v>
      </c>
      <c r="P1705" s="110" t="str">
        <f t="shared" si="104"/>
        <v/>
      </c>
      <c r="Q1705" s="54"/>
      <c r="R1705" s="58"/>
      <c r="S1705" s="87" t="str">
        <f t="shared" si="106"/>
        <v/>
      </c>
      <c r="T1705" s="54"/>
      <c r="U1705" s="54"/>
      <c r="V1705" s="54"/>
      <c r="W1705" s="54"/>
      <c r="X1705" s="69" t="str">
        <f t="shared" si="105"/>
        <v>D</v>
      </c>
    </row>
    <row r="1706" spans="1:24" s="66" customFormat="1" x14ac:dyDescent="0.25">
      <c r="A1706" s="51"/>
      <c r="B1706" s="91" t="str">
        <f>IFERROR(VLOOKUP(A1706,Lookup!A:B,2,0),"")</f>
        <v/>
      </c>
      <c r="C1706" s="92" t="str">
        <f>IFERROR(VLOOKUP(A1706,Lookup!A:C,3,0),"")</f>
        <v/>
      </c>
      <c r="D1706" s="54"/>
      <c r="E1706" s="54"/>
      <c r="F1706" s="54"/>
      <c r="G1706" s="72"/>
      <c r="H1706" s="54"/>
      <c r="I1706" s="54"/>
      <c r="J1706" s="106">
        <f>VLOOKUP(A1706&amp;G1706,Lookup!J:N,5,0)</f>
        <v>0</v>
      </c>
      <c r="K1706" s="115"/>
      <c r="L1706" s="54"/>
      <c r="M1706" s="54"/>
      <c r="N1706" s="54"/>
      <c r="O1706" s="112">
        <v>70.8090277777778</v>
      </c>
      <c r="P1706" s="110" t="str">
        <f t="shared" si="104"/>
        <v/>
      </c>
      <c r="Q1706" s="54"/>
      <c r="R1706" s="58"/>
      <c r="S1706" s="87" t="str">
        <f t="shared" si="106"/>
        <v/>
      </c>
      <c r="T1706" s="54"/>
      <c r="U1706" s="54"/>
      <c r="V1706" s="54"/>
      <c r="W1706" s="54"/>
      <c r="X1706" s="69" t="str">
        <f t="shared" si="105"/>
        <v>D</v>
      </c>
    </row>
    <row r="1707" spans="1:24" s="66" customFormat="1" x14ac:dyDescent="0.25">
      <c r="A1707" s="51"/>
      <c r="B1707" s="91" t="str">
        <f>IFERROR(VLOOKUP(A1707,Lookup!A:B,2,0),"")</f>
        <v/>
      </c>
      <c r="C1707" s="92" t="str">
        <f>IFERROR(VLOOKUP(A1707,Lookup!A:C,3,0),"")</f>
        <v/>
      </c>
      <c r="D1707" s="54"/>
      <c r="E1707" s="54"/>
      <c r="F1707" s="54"/>
      <c r="G1707" s="72"/>
      <c r="H1707" s="54"/>
      <c r="I1707" s="54"/>
      <c r="J1707" s="106">
        <f>VLOOKUP(A1707&amp;G1707,Lookup!J:N,5,0)</f>
        <v>0</v>
      </c>
      <c r="K1707" s="115"/>
      <c r="L1707" s="54"/>
      <c r="M1707" s="54"/>
      <c r="N1707" s="54"/>
      <c r="O1707" s="112">
        <v>70.8506944444444</v>
      </c>
      <c r="P1707" s="110" t="str">
        <f t="shared" si="104"/>
        <v/>
      </c>
      <c r="Q1707" s="54"/>
      <c r="R1707" s="58"/>
      <c r="S1707" s="87" t="str">
        <f t="shared" si="106"/>
        <v/>
      </c>
      <c r="T1707" s="54"/>
      <c r="U1707" s="54"/>
      <c r="V1707" s="54"/>
      <c r="W1707" s="54"/>
      <c r="X1707" s="69" t="str">
        <f t="shared" si="105"/>
        <v>D</v>
      </c>
    </row>
    <row r="1708" spans="1:24" s="66" customFormat="1" x14ac:dyDescent="0.25">
      <c r="A1708" s="51"/>
      <c r="B1708" s="91" t="str">
        <f>IFERROR(VLOOKUP(A1708,Lookup!A:B,2,0),"")</f>
        <v/>
      </c>
      <c r="C1708" s="92" t="str">
        <f>IFERROR(VLOOKUP(A1708,Lookup!A:C,3,0),"")</f>
        <v/>
      </c>
      <c r="D1708" s="54"/>
      <c r="E1708" s="54"/>
      <c r="F1708" s="54"/>
      <c r="G1708" s="72"/>
      <c r="H1708" s="54"/>
      <c r="I1708" s="54"/>
      <c r="J1708" s="106">
        <f>VLOOKUP(A1708&amp;G1708,Lookup!J:N,5,0)</f>
        <v>0</v>
      </c>
      <c r="K1708" s="115"/>
      <c r="L1708" s="54"/>
      <c r="M1708" s="54"/>
      <c r="N1708" s="54"/>
      <c r="O1708" s="112">
        <v>70.8923611111111</v>
      </c>
      <c r="P1708" s="110" t="str">
        <f t="shared" si="104"/>
        <v/>
      </c>
      <c r="Q1708" s="54"/>
      <c r="R1708" s="58"/>
      <c r="S1708" s="87" t="str">
        <f t="shared" si="106"/>
        <v/>
      </c>
      <c r="T1708" s="54"/>
      <c r="U1708" s="54"/>
      <c r="V1708" s="54"/>
      <c r="W1708" s="54"/>
      <c r="X1708" s="69" t="str">
        <f t="shared" si="105"/>
        <v>D</v>
      </c>
    </row>
    <row r="1709" spans="1:24" s="66" customFormat="1" x14ac:dyDescent="0.25">
      <c r="A1709" s="51"/>
      <c r="B1709" s="91" t="str">
        <f>IFERROR(VLOOKUP(A1709,Lookup!A:B,2,0),"")</f>
        <v/>
      </c>
      <c r="C1709" s="92" t="str">
        <f>IFERROR(VLOOKUP(A1709,Lookup!A:C,3,0),"")</f>
        <v/>
      </c>
      <c r="D1709" s="54"/>
      <c r="E1709" s="54"/>
      <c r="F1709" s="54"/>
      <c r="G1709" s="72"/>
      <c r="H1709" s="54"/>
      <c r="I1709" s="54"/>
      <c r="J1709" s="106">
        <f>VLOOKUP(A1709&amp;G1709,Lookup!J:N,5,0)</f>
        <v>0</v>
      </c>
      <c r="K1709" s="115"/>
      <c r="L1709" s="54"/>
      <c r="M1709" s="54"/>
      <c r="N1709" s="54"/>
      <c r="O1709" s="112">
        <v>70.9340277777778</v>
      </c>
      <c r="P1709" s="110" t="str">
        <f t="shared" si="104"/>
        <v/>
      </c>
      <c r="Q1709" s="54"/>
      <c r="R1709" s="58"/>
      <c r="S1709" s="87" t="str">
        <f t="shared" si="106"/>
        <v/>
      </c>
      <c r="T1709" s="54"/>
      <c r="U1709" s="54"/>
      <c r="V1709" s="54"/>
      <c r="W1709" s="54"/>
      <c r="X1709" s="69" t="str">
        <f t="shared" si="105"/>
        <v>D</v>
      </c>
    </row>
    <row r="1710" spans="1:24" s="66" customFormat="1" x14ac:dyDescent="0.25">
      <c r="A1710" s="51"/>
      <c r="B1710" s="91" t="str">
        <f>IFERROR(VLOOKUP(A1710,Lookup!A:B,2,0),"")</f>
        <v/>
      </c>
      <c r="C1710" s="92" t="str">
        <f>IFERROR(VLOOKUP(A1710,Lookup!A:C,3,0),"")</f>
        <v/>
      </c>
      <c r="D1710" s="54"/>
      <c r="E1710" s="54"/>
      <c r="F1710" s="54"/>
      <c r="G1710" s="72"/>
      <c r="H1710" s="54"/>
      <c r="I1710" s="54"/>
      <c r="J1710" s="106">
        <f>VLOOKUP(A1710&amp;G1710,Lookup!J:N,5,0)</f>
        <v>0</v>
      </c>
      <c r="K1710" s="115"/>
      <c r="L1710" s="54"/>
      <c r="M1710" s="54"/>
      <c r="N1710" s="54"/>
      <c r="O1710" s="112">
        <v>70.9756944444444</v>
      </c>
      <c r="P1710" s="110" t="str">
        <f t="shared" si="104"/>
        <v/>
      </c>
      <c r="Q1710" s="54"/>
      <c r="R1710" s="58"/>
      <c r="S1710" s="87" t="str">
        <f t="shared" si="106"/>
        <v/>
      </c>
      <c r="T1710" s="54"/>
      <c r="U1710" s="54"/>
      <c r="V1710" s="54"/>
      <c r="W1710" s="54"/>
      <c r="X1710" s="69" t="str">
        <f t="shared" si="105"/>
        <v>D</v>
      </c>
    </row>
    <row r="1711" spans="1:24" s="66" customFormat="1" x14ac:dyDescent="0.25">
      <c r="A1711" s="51"/>
      <c r="B1711" s="91" t="str">
        <f>IFERROR(VLOOKUP(A1711,Lookup!A:B,2,0),"")</f>
        <v/>
      </c>
      <c r="C1711" s="92" t="str">
        <f>IFERROR(VLOOKUP(A1711,Lookup!A:C,3,0),"")</f>
        <v/>
      </c>
      <c r="D1711" s="54"/>
      <c r="E1711" s="54"/>
      <c r="F1711" s="54"/>
      <c r="G1711" s="72"/>
      <c r="H1711" s="54"/>
      <c r="I1711" s="54"/>
      <c r="J1711" s="106">
        <f>VLOOKUP(A1711&amp;G1711,Lookup!J:N,5,0)</f>
        <v>0</v>
      </c>
      <c r="K1711" s="115"/>
      <c r="L1711" s="54"/>
      <c r="M1711" s="54"/>
      <c r="N1711" s="54"/>
      <c r="O1711" s="112">
        <v>71.0173611111111</v>
      </c>
      <c r="P1711" s="110" t="str">
        <f t="shared" si="104"/>
        <v/>
      </c>
      <c r="Q1711" s="54"/>
      <c r="R1711" s="58"/>
      <c r="S1711" s="87" t="str">
        <f t="shared" si="106"/>
        <v/>
      </c>
      <c r="T1711" s="54"/>
      <c r="U1711" s="54"/>
      <c r="V1711" s="54"/>
      <c r="W1711" s="54"/>
      <c r="X1711" s="69" t="str">
        <f t="shared" si="105"/>
        <v>D</v>
      </c>
    </row>
    <row r="1712" spans="1:24" s="66" customFormat="1" x14ac:dyDescent="0.25">
      <c r="A1712" s="51"/>
      <c r="B1712" s="91" t="str">
        <f>IFERROR(VLOOKUP(A1712,Lookup!A:B,2,0),"")</f>
        <v/>
      </c>
      <c r="C1712" s="92" t="str">
        <f>IFERROR(VLOOKUP(A1712,Lookup!A:C,3,0),"")</f>
        <v/>
      </c>
      <c r="D1712" s="54"/>
      <c r="E1712" s="54"/>
      <c r="F1712" s="54"/>
      <c r="G1712" s="72"/>
      <c r="H1712" s="54"/>
      <c r="I1712" s="54"/>
      <c r="J1712" s="106">
        <f>VLOOKUP(A1712&amp;G1712,Lookup!J:N,5,0)</f>
        <v>0</v>
      </c>
      <c r="K1712" s="115"/>
      <c r="L1712" s="54"/>
      <c r="M1712" s="54"/>
      <c r="N1712" s="54"/>
      <c r="O1712" s="112">
        <v>71.0590277777778</v>
      </c>
      <c r="P1712" s="110" t="str">
        <f t="shared" si="104"/>
        <v/>
      </c>
      <c r="Q1712" s="54"/>
      <c r="R1712" s="58"/>
      <c r="S1712" s="87" t="str">
        <f t="shared" si="106"/>
        <v/>
      </c>
      <c r="T1712" s="54"/>
      <c r="U1712" s="54"/>
      <c r="V1712" s="54"/>
      <c r="W1712" s="54"/>
      <c r="X1712" s="69" t="str">
        <f t="shared" si="105"/>
        <v>D</v>
      </c>
    </row>
    <row r="1713" spans="1:24" s="66" customFormat="1" x14ac:dyDescent="0.25">
      <c r="A1713" s="51"/>
      <c r="B1713" s="91" t="str">
        <f>IFERROR(VLOOKUP(A1713,Lookup!A:B,2,0),"")</f>
        <v/>
      </c>
      <c r="C1713" s="92" t="str">
        <f>IFERROR(VLOOKUP(A1713,Lookup!A:C,3,0),"")</f>
        <v/>
      </c>
      <c r="D1713" s="54"/>
      <c r="E1713" s="54"/>
      <c r="F1713" s="54"/>
      <c r="G1713" s="72"/>
      <c r="H1713" s="54"/>
      <c r="I1713" s="54"/>
      <c r="J1713" s="106">
        <f>VLOOKUP(A1713&amp;G1713,Lookup!J:N,5,0)</f>
        <v>0</v>
      </c>
      <c r="K1713" s="115"/>
      <c r="L1713" s="54"/>
      <c r="M1713" s="54"/>
      <c r="N1713" s="54"/>
      <c r="O1713" s="112">
        <v>71.1006944444444</v>
      </c>
      <c r="P1713" s="110" t="str">
        <f t="shared" si="104"/>
        <v/>
      </c>
      <c r="Q1713" s="54"/>
      <c r="R1713" s="58"/>
      <c r="S1713" s="87" t="str">
        <f t="shared" si="106"/>
        <v/>
      </c>
      <c r="T1713" s="54"/>
      <c r="U1713" s="54"/>
      <c r="V1713" s="54"/>
      <c r="W1713" s="54"/>
      <c r="X1713" s="69" t="str">
        <f t="shared" si="105"/>
        <v>D</v>
      </c>
    </row>
    <row r="1714" spans="1:24" s="66" customFormat="1" x14ac:dyDescent="0.25">
      <c r="A1714" s="51"/>
      <c r="B1714" s="91" t="str">
        <f>IFERROR(VLOOKUP(A1714,Lookup!A:B,2,0),"")</f>
        <v/>
      </c>
      <c r="C1714" s="92" t="str">
        <f>IFERROR(VLOOKUP(A1714,Lookup!A:C,3,0),"")</f>
        <v/>
      </c>
      <c r="D1714" s="54"/>
      <c r="E1714" s="54"/>
      <c r="F1714" s="54"/>
      <c r="G1714" s="72"/>
      <c r="H1714" s="54"/>
      <c r="I1714" s="54"/>
      <c r="J1714" s="106">
        <f>VLOOKUP(A1714&amp;G1714,Lookup!J:N,5,0)</f>
        <v>0</v>
      </c>
      <c r="K1714" s="115"/>
      <c r="L1714" s="54"/>
      <c r="M1714" s="54"/>
      <c r="N1714" s="54"/>
      <c r="O1714" s="112">
        <v>71.1423611111111</v>
      </c>
      <c r="P1714" s="110" t="str">
        <f t="shared" si="104"/>
        <v/>
      </c>
      <c r="Q1714" s="54"/>
      <c r="R1714" s="58"/>
      <c r="S1714" s="87" t="str">
        <f t="shared" si="106"/>
        <v/>
      </c>
      <c r="T1714" s="54"/>
      <c r="U1714" s="54"/>
      <c r="V1714" s="54"/>
      <c r="W1714" s="54"/>
      <c r="X1714" s="69" t="str">
        <f t="shared" si="105"/>
        <v>D</v>
      </c>
    </row>
    <row r="1715" spans="1:24" s="66" customFormat="1" x14ac:dyDescent="0.25">
      <c r="A1715" s="51"/>
      <c r="B1715" s="91" t="str">
        <f>IFERROR(VLOOKUP(A1715,Lookup!A:B,2,0),"")</f>
        <v/>
      </c>
      <c r="C1715" s="92" t="str">
        <f>IFERROR(VLOOKUP(A1715,Lookup!A:C,3,0),"")</f>
        <v/>
      </c>
      <c r="D1715" s="54"/>
      <c r="E1715" s="54"/>
      <c r="F1715" s="54"/>
      <c r="G1715" s="72"/>
      <c r="H1715" s="54"/>
      <c r="I1715" s="54"/>
      <c r="J1715" s="106">
        <f>VLOOKUP(A1715&amp;G1715,Lookup!J:N,5,0)</f>
        <v>0</v>
      </c>
      <c r="K1715" s="115"/>
      <c r="L1715" s="54"/>
      <c r="M1715" s="54"/>
      <c r="N1715" s="54"/>
      <c r="O1715" s="112">
        <v>71.1840277777778</v>
      </c>
      <c r="P1715" s="110" t="str">
        <f t="shared" si="104"/>
        <v/>
      </c>
      <c r="Q1715" s="54"/>
      <c r="R1715" s="58"/>
      <c r="S1715" s="87" t="str">
        <f t="shared" si="106"/>
        <v/>
      </c>
      <c r="T1715" s="54"/>
      <c r="U1715" s="54"/>
      <c r="V1715" s="54"/>
      <c r="W1715" s="54"/>
      <c r="X1715" s="69" t="str">
        <f t="shared" si="105"/>
        <v>D</v>
      </c>
    </row>
    <row r="1716" spans="1:24" s="66" customFormat="1" x14ac:dyDescent="0.25">
      <c r="A1716" s="51"/>
      <c r="B1716" s="91" t="str">
        <f>IFERROR(VLOOKUP(A1716,Lookup!A:B,2,0),"")</f>
        <v/>
      </c>
      <c r="C1716" s="92" t="str">
        <f>IFERROR(VLOOKUP(A1716,Lookup!A:C,3,0),"")</f>
        <v/>
      </c>
      <c r="D1716" s="54"/>
      <c r="E1716" s="54"/>
      <c r="F1716" s="54"/>
      <c r="G1716" s="72"/>
      <c r="H1716" s="54"/>
      <c r="I1716" s="54"/>
      <c r="J1716" s="106">
        <f>VLOOKUP(A1716&amp;G1716,Lookup!J:N,5,0)</f>
        <v>0</v>
      </c>
      <c r="K1716" s="115"/>
      <c r="L1716" s="54"/>
      <c r="M1716" s="54"/>
      <c r="N1716" s="54"/>
      <c r="O1716" s="112">
        <v>71.2256944444444</v>
      </c>
      <c r="P1716" s="110" t="str">
        <f t="shared" si="104"/>
        <v/>
      </c>
      <c r="Q1716" s="54"/>
      <c r="R1716" s="58"/>
      <c r="S1716" s="87" t="str">
        <f t="shared" si="106"/>
        <v/>
      </c>
      <c r="T1716" s="54"/>
      <c r="U1716" s="54"/>
      <c r="V1716" s="54"/>
      <c r="W1716" s="54"/>
      <c r="X1716" s="69" t="str">
        <f t="shared" si="105"/>
        <v>D</v>
      </c>
    </row>
    <row r="1717" spans="1:24" s="66" customFormat="1" x14ac:dyDescent="0.25">
      <c r="A1717" s="51"/>
      <c r="B1717" s="91" t="str">
        <f>IFERROR(VLOOKUP(A1717,Lookup!A:B,2,0),"")</f>
        <v/>
      </c>
      <c r="C1717" s="92" t="str">
        <f>IFERROR(VLOOKUP(A1717,Lookup!A:C,3,0),"")</f>
        <v/>
      </c>
      <c r="D1717" s="54"/>
      <c r="E1717" s="54"/>
      <c r="F1717" s="54"/>
      <c r="G1717" s="72"/>
      <c r="H1717" s="54"/>
      <c r="I1717" s="54"/>
      <c r="J1717" s="106">
        <f>VLOOKUP(A1717&amp;G1717,Lookup!J:N,5,0)</f>
        <v>0</v>
      </c>
      <c r="K1717" s="115"/>
      <c r="L1717" s="54"/>
      <c r="M1717" s="54"/>
      <c r="N1717" s="54"/>
      <c r="O1717" s="112">
        <v>71.2673611111111</v>
      </c>
      <c r="P1717" s="110" t="str">
        <f t="shared" si="104"/>
        <v/>
      </c>
      <c r="Q1717" s="54"/>
      <c r="R1717" s="58"/>
      <c r="S1717" s="87" t="str">
        <f t="shared" si="106"/>
        <v/>
      </c>
      <c r="T1717" s="54"/>
      <c r="U1717" s="54"/>
      <c r="V1717" s="54"/>
      <c r="W1717" s="54"/>
      <c r="X1717" s="69" t="str">
        <f t="shared" si="105"/>
        <v>D</v>
      </c>
    </row>
    <row r="1718" spans="1:24" s="66" customFormat="1" x14ac:dyDescent="0.25">
      <c r="A1718" s="51"/>
      <c r="B1718" s="91" t="str">
        <f>IFERROR(VLOOKUP(A1718,Lookup!A:B,2,0),"")</f>
        <v/>
      </c>
      <c r="C1718" s="92" t="str">
        <f>IFERROR(VLOOKUP(A1718,Lookup!A:C,3,0),"")</f>
        <v/>
      </c>
      <c r="D1718" s="54"/>
      <c r="E1718" s="54"/>
      <c r="F1718" s="54"/>
      <c r="G1718" s="72"/>
      <c r="H1718" s="54"/>
      <c r="I1718" s="54"/>
      <c r="J1718" s="106">
        <f>VLOOKUP(A1718&amp;G1718,Lookup!J:N,5,0)</f>
        <v>0</v>
      </c>
      <c r="K1718" s="115"/>
      <c r="L1718" s="54"/>
      <c r="M1718" s="54"/>
      <c r="N1718" s="54"/>
      <c r="O1718" s="112">
        <v>71.3090277777778</v>
      </c>
      <c r="P1718" s="110" t="str">
        <f t="shared" si="104"/>
        <v/>
      </c>
      <c r="Q1718" s="54"/>
      <c r="R1718" s="58"/>
      <c r="S1718" s="87" t="str">
        <f t="shared" si="106"/>
        <v/>
      </c>
      <c r="T1718" s="54"/>
      <c r="U1718" s="54"/>
      <c r="V1718" s="54"/>
      <c r="W1718" s="54"/>
      <c r="X1718" s="69" t="str">
        <f t="shared" si="105"/>
        <v>D</v>
      </c>
    </row>
    <row r="1719" spans="1:24" s="66" customFormat="1" x14ac:dyDescent="0.25">
      <c r="A1719" s="51"/>
      <c r="B1719" s="91" t="str">
        <f>IFERROR(VLOOKUP(A1719,Lookup!A:B,2,0),"")</f>
        <v/>
      </c>
      <c r="C1719" s="92" t="str">
        <f>IFERROR(VLOOKUP(A1719,Lookup!A:C,3,0),"")</f>
        <v/>
      </c>
      <c r="D1719" s="54"/>
      <c r="E1719" s="54"/>
      <c r="F1719" s="54"/>
      <c r="G1719" s="72"/>
      <c r="H1719" s="54"/>
      <c r="I1719" s="54"/>
      <c r="J1719" s="106">
        <f>VLOOKUP(A1719&amp;G1719,Lookup!J:N,5,0)</f>
        <v>0</v>
      </c>
      <c r="K1719" s="115"/>
      <c r="L1719" s="54"/>
      <c r="M1719" s="54"/>
      <c r="N1719" s="54"/>
      <c r="O1719" s="112">
        <v>71.3506944444444</v>
      </c>
      <c r="P1719" s="110" t="str">
        <f t="shared" si="104"/>
        <v/>
      </c>
      <c r="Q1719" s="54"/>
      <c r="R1719" s="58"/>
      <c r="S1719" s="87" t="str">
        <f t="shared" si="106"/>
        <v/>
      </c>
      <c r="T1719" s="54"/>
      <c r="U1719" s="54"/>
      <c r="V1719" s="54"/>
      <c r="W1719" s="54"/>
      <c r="X1719" s="69" t="str">
        <f t="shared" si="105"/>
        <v>D</v>
      </c>
    </row>
    <row r="1720" spans="1:24" s="66" customFormat="1" x14ac:dyDescent="0.25">
      <c r="A1720" s="51"/>
      <c r="B1720" s="91" t="str">
        <f>IFERROR(VLOOKUP(A1720,Lookup!A:B,2,0),"")</f>
        <v/>
      </c>
      <c r="C1720" s="92" t="str">
        <f>IFERROR(VLOOKUP(A1720,Lookup!A:C,3,0),"")</f>
        <v/>
      </c>
      <c r="D1720" s="54"/>
      <c r="E1720" s="54"/>
      <c r="F1720" s="54"/>
      <c r="G1720" s="72"/>
      <c r="H1720" s="54"/>
      <c r="I1720" s="54"/>
      <c r="J1720" s="106">
        <f>VLOOKUP(A1720&amp;G1720,Lookup!J:N,5,0)</f>
        <v>0</v>
      </c>
      <c r="K1720" s="115"/>
      <c r="L1720" s="54"/>
      <c r="M1720" s="54"/>
      <c r="N1720" s="54"/>
      <c r="O1720" s="112">
        <v>71.3923611111111</v>
      </c>
      <c r="P1720" s="110" t="str">
        <f t="shared" si="104"/>
        <v/>
      </c>
      <c r="Q1720" s="54"/>
      <c r="R1720" s="58"/>
      <c r="S1720" s="87" t="str">
        <f t="shared" si="106"/>
        <v/>
      </c>
      <c r="T1720" s="54"/>
      <c r="U1720" s="54"/>
      <c r="V1720" s="54"/>
      <c r="W1720" s="54"/>
      <c r="X1720" s="69" t="str">
        <f t="shared" si="105"/>
        <v>D</v>
      </c>
    </row>
    <row r="1721" spans="1:24" s="66" customFormat="1" x14ac:dyDescent="0.25">
      <c r="A1721" s="51"/>
      <c r="B1721" s="91" t="str">
        <f>IFERROR(VLOOKUP(A1721,Lookup!A:B,2,0),"")</f>
        <v/>
      </c>
      <c r="C1721" s="92" t="str">
        <f>IFERROR(VLOOKUP(A1721,Lookup!A:C,3,0),"")</f>
        <v/>
      </c>
      <c r="D1721" s="54"/>
      <c r="E1721" s="54"/>
      <c r="F1721" s="54"/>
      <c r="G1721" s="72"/>
      <c r="H1721" s="54"/>
      <c r="I1721" s="54"/>
      <c r="J1721" s="106">
        <f>VLOOKUP(A1721&amp;G1721,Lookup!J:N,5,0)</f>
        <v>0</v>
      </c>
      <c r="K1721" s="115"/>
      <c r="L1721" s="54"/>
      <c r="M1721" s="54"/>
      <c r="N1721" s="54"/>
      <c r="O1721" s="112">
        <v>71.4340277777778</v>
      </c>
      <c r="P1721" s="110" t="str">
        <f t="shared" si="104"/>
        <v/>
      </c>
      <c r="Q1721" s="54"/>
      <c r="R1721" s="58"/>
      <c r="S1721" s="87" t="str">
        <f t="shared" si="106"/>
        <v/>
      </c>
      <c r="T1721" s="54"/>
      <c r="U1721" s="54"/>
      <c r="V1721" s="54"/>
      <c r="W1721" s="54"/>
      <c r="X1721" s="69" t="str">
        <f t="shared" si="105"/>
        <v>D</v>
      </c>
    </row>
    <row r="1722" spans="1:24" s="66" customFormat="1" x14ac:dyDescent="0.25">
      <c r="A1722" s="51"/>
      <c r="B1722" s="91" t="str">
        <f>IFERROR(VLOOKUP(A1722,Lookup!A:B,2,0),"")</f>
        <v/>
      </c>
      <c r="C1722" s="92" t="str">
        <f>IFERROR(VLOOKUP(A1722,Lookup!A:C,3,0),"")</f>
        <v/>
      </c>
      <c r="D1722" s="54"/>
      <c r="E1722" s="54"/>
      <c r="F1722" s="54"/>
      <c r="G1722" s="72"/>
      <c r="H1722" s="54"/>
      <c r="I1722" s="54"/>
      <c r="J1722" s="106">
        <f>VLOOKUP(A1722&amp;G1722,Lookup!J:N,5,0)</f>
        <v>0</v>
      </c>
      <c r="K1722" s="115"/>
      <c r="L1722" s="54"/>
      <c r="M1722" s="54"/>
      <c r="N1722" s="54"/>
      <c r="O1722" s="112">
        <v>71.4756944444444</v>
      </c>
      <c r="P1722" s="110" t="str">
        <f t="shared" si="104"/>
        <v/>
      </c>
      <c r="Q1722" s="54"/>
      <c r="R1722" s="58"/>
      <c r="S1722" s="87" t="str">
        <f t="shared" si="106"/>
        <v/>
      </c>
      <c r="T1722" s="54"/>
      <c r="U1722" s="54"/>
      <c r="V1722" s="54"/>
      <c r="W1722" s="54"/>
      <c r="X1722" s="69" t="str">
        <f t="shared" si="105"/>
        <v>D</v>
      </c>
    </row>
    <row r="1723" spans="1:24" s="66" customFormat="1" x14ac:dyDescent="0.25">
      <c r="A1723" s="51"/>
      <c r="B1723" s="91" t="str">
        <f>IFERROR(VLOOKUP(A1723,Lookup!A:B,2,0),"")</f>
        <v/>
      </c>
      <c r="C1723" s="92" t="str">
        <f>IFERROR(VLOOKUP(A1723,Lookup!A:C,3,0),"")</f>
        <v/>
      </c>
      <c r="D1723" s="54"/>
      <c r="E1723" s="54"/>
      <c r="F1723" s="54"/>
      <c r="G1723" s="72"/>
      <c r="H1723" s="54"/>
      <c r="I1723" s="54"/>
      <c r="J1723" s="106">
        <f>VLOOKUP(A1723&amp;G1723,Lookup!J:N,5,0)</f>
        <v>0</v>
      </c>
      <c r="K1723" s="115"/>
      <c r="L1723" s="54"/>
      <c r="M1723" s="54"/>
      <c r="N1723" s="54"/>
      <c r="O1723" s="112">
        <v>71.5173611111111</v>
      </c>
      <c r="P1723" s="110" t="str">
        <f t="shared" si="104"/>
        <v/>
      </c>
      <c r="Q1723" s="54"/>
      <c r="R1723" s="58"/>
      <c r="S1723" s="87" t="str">
        <f t="shared" si="106"/>
        <v/>
      </c>
      <c r="T1723" s="54"/>
      <c r="U1723" s="54"/>
      <c r="V1723" s="54"/>
      <c r="W1723" s="54"/>
      <c r="X1723" s="69" t="str">
        <f t="shared" si="105"/>
        <v>D</v>
      </c>
    </row>
    <row r="1724" spans="1:24" s="66" customFormat="1" x14ac:dyDescent="0.25">
      <c r="A1724" s="51"/>
      <c r="B1724" s="91" t="str">
        <f>IFERROR(VLOOKUP(A1724,Lookup!A:B,2,0),"")</f>
        <v/>
      </c>
      <c r="C1724" s="92" t="str">
        <f>IFERROR(VLOOKUP(A1724,Lookup!A:C,3,0),"")</f>
        <v/>
      </c>
      <c r="D1724" s="54"/>
      <c r="E1724" s="54"/>
      <c r="F1724" s="54"/>
      <c r="G1724" s="72"/>
      <c r="H1724" s="54"/>
      <c r="I1724" s="54"/>
      <c r="J1724" s="106">
        <f>VLOOKUP(A1724&amp;G1724,Lookup!J:N,5,0)</f>
        <v>0</v>
      </c>
      <c r="K1724" s="115"/>
      <c r="L1724" s="54"/>
      <c r="M1724" s="54"/>
      <c r="N1724" s="54"/>
      <c r="O1724" s="112">
        <v>71.5590277777778</v>
      </c>
      <c r="P1724" s="110" t="str">
        <f t="shared" si="104"/>
        <v/>
      </c>
      <c r="Q1724" s="54"/>
      <c r="R1724" s="58"/>
      <c r="S1724" s="87" t="str">
        <f t="shared" si="106"/>
        <v/>
      </c>
      <c r="T1724" s="54"/>
      <c r="U1724" s="54"/>
      <c r="V1724" s="54"/>
      <c r="W1724" s="54"/>
      <c r="X1724" s="69" t="str">
        <f t="shared" si="105"/>
        <v>D</v>
      </c>
    </row>
    <row r="1725" spans="1:24" s="66" customFormat="1" x14ac:dyDescent="0.25">
      <c r="A1725" s="51"/>
      <c r="B1725" s="91" t="str">
        <f>IFERROR(VLOOKUP(A1725,Lookup!A:B,2,0),"")</f>
        <v/>
      </c>
      <c r="C1725" s="92" t="str">
        <f>IFERROR(VLOOKUP(A1725,Lookup!A:C,3,0),"")</f>
        <v/>
      </c>
      <c r="D1725" s="54"/>
      <c r="E1725" s="54"/>
      <c r="F1725" s="54"/>
      <c r="G1725" s="72"/>
      <c r="H1725" s="54"/>
      <c r="I1725" s="54"/>
      <c r="J1725" s="106">
        <f>VLOOKUP(A1725&amp;G1725,Lookup!J:N,5,0)</f>
        <v>0</v>
      </c>
      <c r="K1725" s="115"/>
      <c r="L1725" s="54"/>
      <c r="M1725" s="54"/>
      <c r="N1725" s="54"/>
      <c r="O1725" s="112">
        <v>71.6006944444444</v>
      </c>
      <c r="P1725" s="110" t="str">
        <f t="shared" si="104"/>
        <v/>
      </c>
      <c r="Q1725" s="54"/>
      <c r="R1725" s="58"/>
      <c r="S1725" s="87" t="str">
        <f t="shared" si="106"/>
        <v/>
      </c>
      <c r="T1725" s="54"/>
      <c r="U1725" s="54"/>
      <c r="V1725" s="54"/>
      <c r="W1725" s="54"/>
      <c r="X1725" s="69" t="str">
        <f t="shared" si="105"/>
        <v>D</v>
      </c>
    </row>
    <row r="1726" spans="1:24" s="66" customFormat="1" x14ac:dyDescent="0.25">
      <c r="A1726" s="51"/>
      <c r="B1726" s="91" t="str">
        <f>IFERROR(VLOOKUP(A1726,Lookup!A:B,2,0),"")</f>
        <v/>
      </c>
      <c r="C1726" s="92" t="str">
        <f>IFERROR(VLOOKUP(A1726,Lookup!A:C,3,0),"")</f>
        <v/>
      </c>
      <c r="D1726" s="54"/>
      <c r="E1726" s="54"/>
      <c r="F1726" s="54"/>
      <c r="G1726" s="72"/>
      <c r="H1726" s="54"/>
      <c r="I1726" s="54"/>
      <c r="J1726" s="106">
        <f>VLOOKUP(A1726&amp;G1726,Lookup!J:N,5,0)</f>
        <v>0</v>
      </c>
      <c r="K1726" s="115"/>
      <c r="L1726" s="54"/>
      <c r="M1726" s="54"/>
      <c r="N1726" s="54"/>
      <c r="O1726" s="112">
        <v>71.6423611111111</v>
      </c>
      <c r="P1726" s="110" t="str">
        <f t="shared" si="104"/>
        <v/>
      </c>
      <c r="Q1726" s="54"/>
      <c r="R1726" s="58"/>
      <c r="S1726" s="87" t="str">
        <f t="shared" si="106"/>
        <v/>
      </c>
      <c r="T1726" s="54"/>
      <c r="U1726" s="54"/>
      <c r="V1726" s="54"/>
      <c r="W1726" s="54"/>
      <c r="X1726" s="69" t="str">
        <f t="shared" si="105"/>
        <v>D</v>
      </c>
    </row>
    <row r="1727" spans="1:24" s="66" customFormat="1" x14ac:dyDescent="0.25">
      <c r="A1727" s="51"/>
      <c r="B1727" s="91" t="str">
        <f>IFERROR(VLOOKUP(A1727,Lookup!A:B,2,0),"")</f>
        <v/>
      </c>
      <c r="C1727" s="92" t="str">
        <f>IFERROR(VLOOKUP(A1727,Lookup!A:C,3,0),"")</f>
        <v/>
      </c>
      <c r="D1727" s="54"/>
      <c r="E1727" s="54"/>
      <c r="F1727" s="54"/>
      <c r="G1727" s="72"/>
      <c r="H1727" s="54"/>
      <c r="I1727" s="54"/>
      <c r="J1727" s="106">
        <f>VLOOKUP(A1727&amp;G1727,Lookup!J:N,5,0)</f>
        <v>0</v>
      </c>
      <c r="K1727" s="115"/>
      <c r="L1727" s="54"/>
      <c r="M1727" s="54"/>
      <c r="N1727" s="54"/>
      <c r="O1727" s="112">
        <v>71.6840277777778</v>
      </c>
      <c r="P1727" s="110" t="str">
        <f t="shared" si="104"/>
        <v/>
      </c>
      <c r="Q1727" s="54"/>
      <c r="R1727" s="58"/>
      <c r="S1727" s="87" t="str">
        <f t="shared" si="106"/>
        <v/>
      </c>
      <c r="T1727" s="54"/>
      <c r="U1727" s="54"/>
      <c r="V1727" s="54"/>
      <c r="W1727" s="54"/>
      <c r="X1727" s="69" t="str">
        <f t="shared" si="105"/>
        <v>D</v>
      </c>
    </row>
    <row r="1728" spans="1:24" s="66" customFormat="1" x14ac:dyDescent="0.25">
      <c r="A1728" s="51"/>
      <c r="B1728" s="91" t="str">
        <f>IFERROR(VLOOKUP(A1728,Lookup!A:B,2,0),"")</f>
        <v/>
      </c>
      <c r="C1728" s="92" t="str">
        <f>IFERROR(VLOOKUP(A1728,Lookup!A:C,3,0),"")</f>
        <v/>
      </c>
      <c r="D1728" s="54"/>
      <c r="E1728" s="54"/>
      <c r="F1728" s="54"/>
      <c r="G1728" s="72"/>
      <c r="H1728" s="54"/>
      <c r="I1728" s="54"/>
      <c r="J1728" s="106">
        <f>VLOOKUP(A1728&amp;G1728,Lookup!J:N,5,0)</f>
        <v>0</v>
      </c>
      <c r="K1728" s="115"/>
      <c r="L1728" s="54"/>
      <c r="M1728" s="54"/>
      <c r="N1728" s="54"/>
      <c r="O1728" s="112">
        <v>71.7256944444444</v>
      </c>
      <c r="P1728" s="110" t="str">
        <f t="shared" si="104"/>
        <v/>
      </c>
      <c r="Q1728" s="54"/>
      <c r="R1728" s="58"/>
      <c r="S1728" s="87" t="str">
        <f t="shared" si="106"/>
        <v/>
      </c>
      <c r="T1728" s="54"/>
      <c r="U1728" s="54"/>
      <c r="V1728" s="54"/>
      <c r="W1728" s="54"/>
      <c r="X1728" s="69" t="str">
        <f t="shared" si="105"/>
        <v>D</v>
      </c>
    </row>
    <row r="1729" spans="1:24" s="66" customFormat="1" x14ac:dyDescent="0.25">
      <c r="A1729" s="51"/>
      <c r="B1729" s="91" t="str">
        <f>IFERROR(VLOOKUP(A1729,Lookup!A:B,2,0),"")</f>
        <v/>
      </c>
      <c r="C1729" s="92" t="str">
        <f>IFERROR(VLOOKUP(A1729,Lookup!A:C,3,0),"")</f>
        <v/>
      </c>
      <c r="D1729" s="54"/>
      <c r="E1729" s="54"/>
      <c r="F1729" s="54"/>
      <c r="G1729" s="72"/>
      <c r="H1729" s="54"/>
      <c r="I1729" s="54"/>
      <c r="J1729" s="106">
        <f>VLOOKUP(A1729&amp;G1729,Lookup!J:N,5,0)</f>
        <v>0</v>
      </c>
      <c r="K1729" s="115"/>
      <c r="L1729" s="54"/>
      <c r="M1729" s="54"/>
      <c r="N1729" s="54"/>
      <c r="O1729" s="112">
        <v>71.7673611111111</v>
      </c>
      <c r="P1729" s="110" t="str">
        <f t="shared" si="104"/>
        <v/>
      </c>
      <c r="Q1729" s="54"/>
      <c r="R1729" s="58"/>
      <c r="S1729" s="87" t="str">
        <f t="shared" si="106"/>
        <v/>
      </c>
      <c r="T1729" s="54"/>
      <c r="U1729" s="54"/>
      <c r="V1729" s="54"/>
      <c r="W1729" s="54"/>
      <c r="X1729" s="69" t="str">
        <f t="shared" si="105"/>
        <v>D</v>
      </c>
    </row>
    <row r="1730" spans="1:24" s="66" customFormat="1" x14ac:dyDescent="0.25">
      <c r="A1730" s="51"/>
      <c r="B1730" s="91" t="str">
        <f>IFERROR(VLOOKUP(A1730,Lookup!A:B,2,0),"")</f>
        <v/>
      </c>
      <c r="C1730" s="92" t="str">
        <f>IFERROR(VLOOKUP(A1730,Lookup!A:C,3,0),"")</f>
        <v/>
      </c>
      <c r="D1730" s="54"/>
      <c r="E1730" s="54"/>
      <c r="F1730" s="54"/>
      <c r="G1730" s="72"/>
      <c r="H1730" s="54"/>
      <c r="I1730" s="54"/>
      <c r="J1730" s="106">
        <f>VLOOKUP(A1730&amp;G1730,Lookup!J:N,5,0)</f>
        <v>0</v>
      </c>
      <c r="K1730" s="115"/>
      <c r="L1730" s="54"/>
      <c r="M1730" s="54"/>
      <c r="N1730" s="54"/>
      <c r="O1730" s="112">
        <v>71.8090277777778</v>
      </c>
      <c r="P1730" s="110" t="str">
        <f t="shared" si="104"/>
        <v/>
      </c>
      <c r="Q1730" s="54"/>
      <c r="R1730" s="58"/>
      <c r="S1730" s="87" t="str">
        <f t="shared" si="106"/>
        <v/>
      </c>
      <c r="T1730" s="54"/>
      <c r="U1730" s="54"/>
      <c r="V1730" s="54"/>
      <c r="W1730" s="54"/>
      <c r="X1730" s="69" t="str">
        <f t="shared" si="105"/>
        <v>D</v>
      </c>
    </row>
    <row r="1731" spans="1:24" s="66" customFormat="1" x14ac:dyDescent="0.25">
      <c r="A1731" s="51"/>
      <c r="B1731" s="91" t="str">
        <f>IFERROR(VLOOKUP(A1731,Lookup!A:B,2,0),"")</f>
        <v/>
      </c>
      <c r="C1731" s="92" t="str">
        <f>IFERROR(VLOOKUP(A1731,Lookup!A:C,3,0),"")</f>
        <v/>
      </c>
      <c r="D1731" s="54"/>
      <c r="E1731" s="54"/>
      <c r="F1731" s="54"/>
      <c r="G1731" s="72"/>
      <c r="H1731" s="54"/>
      <c r="I1731" s="54"/>
      <c r="J1731" s="106">
        <f>VLOOKUP(A1731&amp;G1731,Lookup!J:N,5,0)</f>
        <v>0</v>
      </c>
      <c r="K1731" s="115"/>
      <c r="L1731" s="54"/>
      <c r="M1731" s="54"/>
      <c r="N1731" s="54"/>
      <c r="O1731" s="112">
        <v>71.8506944444444</v>
      </c>
      <c r="P1731" s="110" t="str">
        <f t="shared" ref="P1731:P1794" si="107">IF(N1731="","",N1731+O1731)</f>
        <v/>
      </c>
      <c r="Q1731" s="54"/>
      <c r="R1731" s="58"/>
      <c r="S1731" s="87" t="str">
        <f t="shared" si="106"/>
        <v/>
      </c>
      <c r="T1731" s="54"/>
      <c r="U1731" s="54"/>
      <c r="V1731" s="54"/>
      <c r="W1731" s="54"/>
      <c r="X1731" s="69" t="str">
        <f t="shared" ref="X1731:X1794" si="108">IF(I1731="SET","A",IF(I1731="FREQ","C",IF(I1731="","D","B")))</f>
        <v>D</v>
      </c>
    </row>
    <row r="1732" spans="1:24" s="66" customFormat="1" x14ac:dyDescent="0.25">
      <c r="A1732" s="51"/>
      <c r="B1732" s="91" t="str">
        <f>IFERROR(VLOOKUP(A1732,Lookup!A:B,2,0),"")</f>
        <v/>
      </c>
      <c r="C1732" s="92" t="str">
        <f>IFERROR(VLOOKUP(A1732,Lookup!A:C,3,0),"")</f>
        <v/>
      </c>
      <c r="D1732" s="54"/>
      <c r="E1732" s="54"/>
      <c r="F1732" s="54"/>
      <c r="G1732" s="72"/>
      <c r="H1732" s="54"/>
      <c r="I1732" s="54"/>
      <c r="J1732" s="106">
        <f>VLOOKUP(A1732&amp;G1732,Lookup!J:N,5,0)</f>
        <v>0</v>
      </c>
      <c r="K1732" s="115"/>
      <c r="L1732" s="54"/>
      <c r="M1732" s="54"/>
      <c r="N1732" s="54"/>
      <c r="O1732" s="112">
        <v>71.8923611111111</v>
      </c>
      <c r="P1732" s="110" t="str">
        <f t="shared" si="107"/>
        <v/>
      </c>
      <c r="Q1732" s="54"/>
      <c r="R1732" s="58"/>
      <c r="S1732" s="87" t="str">
        <f t="shared" si="106"/>
        <v/>
      </c>
      <c r="T1732" s="54"/>
      <c r="U1732" s="54"/>
      <c r="V1732" s="54"/>
      <c r="W1732" s="54"/>
      <c r="X1732" s="69" t="str">
        <f t="shared" si="108"/>
        <v>D</v>
      </c>
    </row>
    <row r="1733" spans="1:24" s="66" customFormat="1" x14ac:dyDescent="0.25">
      <c r="A1733" s="51"/>
      <c r="B1733" s="91" t="str">
        <f>IFERROR(VLOOKUP(A1733,Lookup!A:B,2,0),"")</f>
        <v/>
      </c>
      <c r="C1733" s="92" t="str">
        <f>IFERROR(VLOOKUP(A1733,Lookup!A:C,3,0),"")</f>
        <v/>
      </c>
      <c r="D1733" s="54"/>
      <c r="E1733" s="54"/>
      <c r="F1733" s="54"/>
      <c r="G1733" s="72"/>
      <c r="H1733" s="54"/>
      <c r="I1733" s="54"/>
      <c r="J1733" s="106">
        <f>VLOOKUP(A1733&amp;G1733,Lookup!J:N,5,0)</f>
        <v>0</v>
      </c>
      <c r="K1733" s="115"/>
      <c r="L1733" s="54"/>
      <c r="M1733" s="54"/>
      <c r="N1733" s="54"/>
      <c r="O1733" s="112">
        <v>71.9340277777778</v>
      </c>
      <c r="P1733" s="110" t="str">
        <f t="shared" si="107"/>
        <v/>
      </c>
      <c r="Q1733" s="54"/>
      <c r="R1733" s="58"/>
      <c r="S1733" s="87" t="str">
        <f t="shared" si="106"/>
        <v/>
      </c>
      <c r="T1733" s="54"/>
      <c r="U1733" s="54"/>
      <c r="V1733" s="54"/>
      <c r="W1733" s="54"/>
      <c r="X1733" s="69" t="str">
        <f t="shared" si="108"/>
        <v>D</v>
      </c>
    </row>
    <row r="1734" spans="1:24" s="66" customFormat="1" x14ac:dyDescent="0.25">
      <c r="A1734" s="51"/>
      <c r="B1734" s="91" t="str">
        <f>IFERROR(VLOOKUP(A1734,Lookup!A:B,2,0),"")</f>
        <v/>
      </c>
      <c r="C1734" s="92" t="str">
        <f>IFERROR(VLOOKUP(A1734,Lookup!A:C,3,0),"")</f>
        <v/>
      </c>
      <c r="D1734" s="54"/>
      <c r="E1734" s="54"/>
      <c r="F1734" s="54"/>
      <c r="G1734" s="72"/>
      <c r="H1734" s="54"/>
      <c r="I1734" s="54"/>
      <c r="J1734" s="106">
        <f>VLOOKUP(A1734&amp;G1734,Lookup!J:N,5,0)</f>
        <v>0</v>
      </c>
      <c r="K1734" s="115"/>
      <c r="L1734" s="54"/>
      <c r="M1734" s="54"/>
      <c r="N1734" s="54"/>
      <c r="O1734" s="112">
        <v>71.9756944444444</v>
      </c>
      <c r="P1734" s="110" t="str">
        <f t="shared" si="107"/>
        <v/>
      </c>
      <c r="Q1734" s="54"/>
      <c r="R1734" s="58"/>
      <c r="S1734" s="87" t="str">
        <f t="shared" si="106"/>
        <v/>
      </c>
      <c r="T1734" s="54"/>
      <c r="U1734" s="54"/>
      <c r="V1734" s="54"/>
      <c r="W1734" s="54"/>
      <c r="X1734" s="69" t="str">
        <f t="shared" si="108"/>
        <v>D</v>
      </c>
    </row>
    <row r="1735" spans="1:24" s="66" customFormat="1" x14ac:dyDescent="0.25">
      <c r="A1735" s="51"/>
      <c r="B1735" s="91" t="str">
        <f>IFERROR(VLOOKUP(A1735,Lookup!A:B,2,0),"")</f>
        <v/>
      </c>
      <c r="C1735" s="92" t="str">
        <f>IFERROR(VLOOKUP(A1735,Lookup!A:C,3,0),"")</f>
        <v/>
      </c>
      <c r="D1735" s="54"/>
      <c r="E1735" s="54"/>
      <c r="F1735" s="54"/>
      <c r="G1735" s="72"/>
      <c r="H1735" s="54"/>
      <c r="I1735" s="54"/>
      <c r="J1735" s="106">
        <f>VLOOKUP(A1735&amp;G1735,Lookup!J:N,5,0)</f>
        <v>0</v>
      </c>
      <c r="K1735" s="115"/>
      <c r="L1735" s="54"/>
      <c r="M1735" s="54"/>
      <c r="N1735" s="54"/>
      <c r="O1735" s="112">
        <v>72.0173611111111</v>
      </c>
      <c r="P1735" s="110" t="str">
        <f t="shared" si="107"/>
        <v/>
      </c>
      <c r="Q1735" s="54"/>
      <c r="R1735" s="58"/>
      <c r="S1735" s="87" t="str">
        <f t="shared" ref="S1735:S1798" si="109">IF(OR(EXACT(Q1735,""), EXACT(L1735,"")),"",Q1735-L1735)</f>
        <v/>
      </c>
      <c r="T1735" s="54"/>
      <c r="U1735" s="54"/>
      <c r="V1735" s="54"/>
      <c r="W1735" s="54"/>
      <c r="X1735" s="69" t="str">
        <f t="shared" si="108"/>
        <v>D</v>
      </c>
    </row>
    <row r="1736" spans="1:24" s="66" customFormat="1" x14ac:dyDescent="0.25">
      <c r="A1736" s="51"/>
      <c r="B1736" s="91" t="str">
        <f>IFERROR(VLOOKUP(A1736,Lookup!A:B,2,0),"")</f>
        <v/>
      </c>
      <c r="C1736" s="92" t="str">
        <f>IFERROR(VLOOKUP(A1736,Lookup!A:C,3,0),"")</f>
        <v/>
      </c>
      <c r="D1736" s="54"/>
      <c r="E1736" s="54"/>
      <c r="F1736" s="54"/>
      <c r="G1736" s="72"/>
      <c r="H1736" s="54"/>
      <c r="I1736" s="54"/>
      <c r="J1736" s="106">
        <f>VLOOKUP(A1736&amp;G1736,Lookup!J:N,5,0)</f>
        <v>0</v>
      </c>
      <c r="K1736" s="115"/>
      <c r="L1736" s="54"/>
      <c r="M1736" s="54"/>
      <c r="N1736" s="54"/>
      <c r="O1736" s="112">
        <v>72.0590277777778</v>
      </c>
      <c r="P1736" s="110" t="str">
        <f t="shared" si="107"/>
        <v/>
      </c>
      <c r="Q1736" s="54"/>
      <c r="R1736" s="58"/>
      <c r="S1736" s="87" t="str">
        <f t="shared" si="109"/>
        <v/>
      </c>
      <c r="T1736" s="54"/>
      <c r="U1736" s="54"/>
      <c r="V1736" s="54"/>
      <c r="W1736" s="54"/>
      <c r="X1736" s="69" t="str">
        <f t="shared" si="108"/>
        <v>D</v>
      </c>
    </row>
    <row r="1737" spans="1:24" s="66" customFormat="1" x14ac:dyDescent="0.25">
      <c r="A1737" s="51"/>
      <c r="B1737" s="91" t="str">
        <f>IFERROR(VLOOKUP(A1737,Lookup!A:B,2,0),"")</f>
        <v/>
      </c>
      <c r="C1737" s="92" t="str">
        <f>IFERROR(VLOOKUP(A1737,Lookup!A:C,3,0),"")</f>
        <v/>
      </c>
      <c r="D1737" s="54"/>
      <c r="E1737" s="54"/>
      <c r="F1737" s="54"/>
      <c r="G1737" s="72"/>
      <c r="H1737" s="54"/>
      <c r="I1737" s="54"/>
      <c r="J1737" s="106">
        <f>VLOOKUP(A1737&amp;G1737,Lookup!J:N,5,0)</f>
        <v>0</v>
      </c>
      <c r="K1737" s="115"/>
      <c r="L1737" s="54"/>
      <c r="M1737" s="54"/>
      <c r="N1737" s="54"/>
      <c r="O1737" s="112">
        <v>72.1006944444444</v>
      </c>
      <c r="P1737" s="110" t="str">
        <f t="shared" si="107"/>
        <v/>
      </c>
      <c r="Q1737" s="54"/>
      <c r="R1737" s="58"/>
      <c r="S1737" s="87" t="str">
        <f t="shared" si="109"/>
        <v/>
      </c>
      <c r="T1737" s="54"/>
      <c r="U1737" s="54"/>
      <c r="V1737" s="54"/>
      <c r="W1737" s="54"/>
      <c r="X1737" s="69" t="str">
        <f t="shared" si="108"/>
        <v>D</v>
      </c>
    </row>
    <row r="1738" spans="1:24" s="66" customFormat="1" x14ac:dyDescent="0.25">
      <c r="A1738" s="51"/>
      <c r="B1738" s="91" t="str">
        <f>IFERROR(VLOOKUP(A1738,Lookup!A:B,2,0),"")</f>
        <v/>
      </c>
      <c r="C1738" s="92" t="str">
        <f>IFERROR(VLOOKUP(A1738,Lookup!A:C,3,0),"")</f>
        <v/>
      </c>
      <c r="D1738" s="54"/>
      <c r="E1738" s="54"/>
      <c r="F1738" s="54"/>
      <c r="G1738" s="72"/>
      <c r="H1738" s="54"/>
      <c r="I1738" s="54"/>
      <c r="J1738" s="106">
        <f>VLOOKUP(A1738&amp;G1738,Lookup!J:N,5,0)</f>
        <v>0</v>
      </c>
      <c r="K1738" s="115"/>
      <c r="L1738" s="54"/>
      <c r="M1738" s="54"/>
      <c r="N1738" s="54"/>
      <c r="O1738" s="112">
        <v>72.1423611111111</v>
      </c>
      <c r="P1738" s="110" t="str">
        <f t="shared" si="107"/>
        <v/>
      </c>
      <c r="Q1738" s="54"/>
      <c r="R1738" s="58"/>
      <c r="S1738" s="87" t="str">
        <f t="shared" si="109"/>
        <v/>
      </c>
      <c r="T1738" s="54"/>
      <c r="U1738" s="54"/>
      <c r="V1738" s="54"/>
      <c r="W1738" s="54"/>
      <c r="X1738" s="69" t="str">
        <f t="shared" si="108"/>
        <v>D</v>
      </c>
    </row>
    <row r="1739" spans="1:24" s="66" customFormat="1" x14ac:dyDescent="0.25">
      <c r="A1739" s="51"/>
      <c r="B1739" s="91" t="str">
        <f>IFERROR(VLOOKUP(A1739,Lookup!A:B,2,0),"")</f>
        <v/>
      </c>
      <c r="C1739" s="92" t="str">
        <f>IFERROR(VLOOKUP(A1739,Lookup!A:C,3,0),"")</f>
        <v/>
      </c>
      <c r="D1739" s="54"/>
      <c r="E1739" s="54"/>
      <c r="F1739" s="54"/>
      <c r="G1739" s="72"/>
      <c r="H1739" s="54"/>
      <c r="I1739" s="54"/>
      <c r="J1739" s="106">
        <f>VLOOKUP(A1739&amp;G1739,Lookup!J:N,5,0)</f>
        <v>0</v>
      </c>
      <c r="K1739" s="115"/>
      <c r="L1739" s="54"/>
      <c r="M1739" s="54"/>
      <c r="N1739" s="54"/>
      <c r="O1739" s="112">
        <v>72.1840277777778</v>
      </c>
      <c r="P1739" s="110" t="str">
        <f t="shared" si="107"/>
        <v/>
      </c>
      <c r="Q1739" s="54"/>
      <c r="R1739" s="58"/>
      <c r="S1739" s="87" t="str">
        <f t="shared" si="109"/>
        <v/>
      </c>
      <c r="T1739" s="54"/>
      <c r="U1739" s="54"/>
      <c r="V1739" s="54"/>
      <c r="W1739" s="54"/>
      <c r="X1739" s="69" t="str">
        <f t="shared" si="108"/>
        <v>D</v>
      </c>
    </row>
    <row r="1740" spans="1:24" s="66" customFormat="1" x14ac:dyDescent="0.25">
      <c r="A1740" s="51"/>
      <c r="B1740" s="91" t="str">
        <f>IFERROR(VLOOKUP(A1740,Lookup!A:B,2,0),"")</f>
        <v/>
      </c>
      <c r="C1740" s="92" t="str">
        <f>IFERROR(VLOOKUP(A1740,Lookup!A:C,3,0),"")</f>
        <v/>
      </c>
      <c r="D1740" s="54"/>
      <c r="E1740" s="54"/>
      <c r="F1740" s="54"/>
      <c r="G1740" s="72"/>
      <c r="H1740" s="54"/>
      <c r="I1740" s="54"/>
      <c r="J1740" s="106">
        <f>VLOOKUP(A1740&amp;G1740,Lookup!J:N,5,0)</f>
        <v>0</v>
      </c>
      <c r="K1740" s="115"/>
      <c r="L1740" s="54"/>
      <c r="M1740" s="54"/>
      <c r="N1740" s="54"/>
      <c r="O1740" s="112">
        <v>72.2256944444444</v>
      </c>
      <c r="P1740" s="110" t="str">
        <f t="shared" si="107"/>
        <v/>
      </c>
      <c r="Q1740" s="54"/>
      <c r="R1740" s="58"/>
      <c r="S1740" s="87" t="str">
        <f t="shared" si="109"/>
        <v/>
      </c>
      <c r="T1740" s="54"/>
      <c r="U1740" s="54"/>
      <c r="V1740" s="54"/>
      <c r="W1740" s="54"/>
      <c r="X1740" s="69" t="str">
        <f t="shared" si="108"/>
        <v>D</v>
      </c>
    </row>
    <row r="1741" spans="1:24" s="66" customFormat="1" x14ac:dyDescent="0.25">
      <c r="A1741" s="51"/>
      <c r="B1741" s="91" t="str">
        <f>IFERROR(VLOOKUP(A1741,Lookup!A:B,2,0),"")</f>
        <v/>
      </c>
      <c r="C1741" s="92" t="str">
        <f>IFERROR(VLOOKUP(A1741,Lookup!A:C,3,0),"")</f>
        <v/>
      </c>
      <c r="D1741" s="54"/>
      <c r="E1741" s="54"/>
      <c r="F1741" s="54"/>
      <c r="G1741" s="72"/>
      <c r="H1741" s="54"/>
      <c r="I1741" s="54"/>
      <c r="J1741" s="106">
        <f>VLOOKUP(A1741&amp;G1741,Lookup!J:N,5,0)</f>
        <v>0</v>
      </c>
      <c r="K1741" s="115"/>
      <c r="L1741" s="54"/>
      <c r="M1741" s="54"/>
      <c r="N1741" s="54"/>
      <c r="O1741" s="112">
        <v>72.2673611111111</v>
      </c>
      <c r="P1741" s="110" t="str">
        <f t="shared" si="107"/>
        <v/>
      </c>
      <c r="Q1741" s="54"/>
      <c r="R1741" s="58"/>
      <c r="S1741" s="87" t="str">
        <f t="shared" si="109"/>
        <v/>
      </c>
      <c r="T1741" s="54"/>
      <c r="U1741" s="54"/>
      <c r="V1741" s="54"/>
      <c r="W1741" s="54"/>
      <c r="X1741" s="69" t="str">
        <f t="shared" si="108"/>
        <v>D</v>
      </c>
    </row>
    <row r="1742" spans="1:24" s="66" customFormat="1" x14ac:dyDescent="0.25">
      <c r="A1742" s="51"/>
      <c r="B1742" s="91" t="str">
        <f>IFERROR(VLOOKUP(A1742,Lookup!A:B,2,0),"")</f>
        <v/>
      </c>
      <c r="C1742" s="92" t="str">
        <f>IFERROR(VLOOKUP(A1742,Lookup!A:C,3,0),"")</f>
        <v/>
      </c>
      <c r="D1742" s="54"/>
      <c r="E1742" s="54"/>
      <c r="F1742" s="54"/>
      <c r="G1742" s="72"/>
      <c r="H1742" s="54"/>
      <c r="I1742" s="54"/>
      <c r="J1742" s="106">
        <f>VLOOKUP(A1742&amp;G1742,Lookup!J:N,5,0)</f>
        <v>0</v>
      </c>
      <c r="K1742" s="115"/>
      <c r="L1742" s="54"/>
      <c r="M1742" s="54"/>
      <c r="N1742" s="54"/>
      <c r="O1742" s="112">
        <v>72.3090277777778</v>
      </c>
      <c r="P1742" s="110" t="str">
        <f t="shared" si="107"/>
        <v/>
      </c>
      <c r="Q1742" s="54"/>
      <c r="R1742" s="58"/>
      <c r="S1742" s="87" t="str">
        <f t="shared" si="109"/>
        <v/>
      </c>
      <c r="T1742" s="54"/>
      <c r="U1742" s="54"/>
      <c r="V1742" s="54"/>
      <c r="W1742" s="54"/>
      <c r="X1742" s="69" t="str">
        <f t="shared" si="108"/>
        <v>D</v>
      </c>
    </row>
    <row r="1743" spans="1:24" s="66" customFormat="1" x14ac:dyDescent="0.25">
      <c r="A1743" s="51"/>
      <c r="B1743" s="91" t="str">
        <f>IFERROR(VLOOKUP(A1743,Lookup!A:B,2,0),"")</f>
        <v/>
      </c>
      <c r="C1743" s="92" t="str">
        <f>IFERROR(VLOOKUP(A1743,Lookup!A:C,3,0),"")</f>
        <v/>
      </c>
      <c r="D1743" s="54"/>
      <c r="E1743" s="54"/>
      <c r="F1743" s="54"/>
      <c r="G1743" s="72"/>
      <c r="H1743" s="54"/>
      <c r="I1743" s="54"/>
      <c r="J1743" s="106">
        <f>VLOOKUP(A1743&amp;G1743,Lookup!J:N,5,0)</f>
        <v>0</v>
      </c>
      <c r="K1743" s="115"/>
      <c r="L1743" s="54"/>
      <c r="M1743" s="54"/>
      <c r="N1743" s="54"/>
      <c r="O1743" s="112">
        <v>72.3506944444444</v>
      </c>
      <c r="P1743" s="110" t="str">
        <f t="shared" si="107"/>
        <v/>
      </c>
      <c r="Q1743" s="54"/>
      <c r="R1743" s="58"/>
      <c r="S1743" s="87" t="str">
        <f t="shared" si="109"/>
        <v/>
      </c>
      <c r="T1743" s="54"/>
      <c r="U1743" s="54"/>
      <c r="V1743" s="54"/>
      <c r="W1743" s="54"/>
      <c r="X1743" s="69" t="str">
        <f t="shared" si="108"/>
        <v>D</v>
      </c>
    </row>
    <row r="1744" spans="1:24" s="66" customFormat="1" x14ac:dyDescent="0.25">
      <c r="A1744" s="51"/>
      <c r="B1744" s="91" t="str">
        <f>IFERROR(VLOOKUP(A1744,Lookup!A:B,2,0),"")</f>
        <v/>
      </c>
      <c r="C1744" s="92" t="str">
        <f>IFERROR(VLOOKUP(A1744,Lookup!A:C,3,0),"")</f>
        <v/>
      </c>
      <c r="D1744" s="54"/>
      <c r="E1744" s="54"/>
      <c r="F1744" s="54"/>
      <c r="G1744" s="72"/>
      <c r="H1744" s="54"/>
      <c r="I1744" s="54"/>
      <c r="J1744" s="106">
        <f>VLOOKUP(A1744&amp;G1744,Lookup!J:N,5,0)</f>
        <v>0</v>
      </c>
      <c r="K1744" s="115"/>
      <c r="L1744" s="54"/>
      <c r="M1744" s="54"/>
      <c r="N1744" s="54"/>
      <c r="O1744" s="112">
        <v>72.3923611111111</v>
      </c>
      <c r="P1744" s="110" t="str">
        <f t="shared" si="107"/>
        <v/>
      </c>
      <c r="Q1744" s="54"/>
      <c r="R1744" s="58"/>
      <c r="S1744" s="87" t="str">
        <f t="shared" si="109"/>
        <v/>
      </c>
      <c r="T1744" s="54"/>
      <c r="U1744" s="54"/>
      <c r="V1744" s="54"/>
      <c r="W1744" s="54"/>
      <c r="X1744" s="69" t="str">
        <f t="shared" si="108"/>
        <v>D</v>
      </c>
    </row>
    <row r="1745" spans="1:24" s="66" customFormat="1" x14ac:dyDescent="0.25">
      <c r="A1745" s="51"/>
      <c r="B1745" s="91" t="str">
        <f>IFERROR(VLOOKUP(A1745,Lookup!A:B,2,0),"")</f>
        <v/>
      </c>
      <c r="C1745" s="92" t="str">
        <f>IFERROR(VLOOKUP(A1745,Lookup!A:C,3,0),"")</f>
        <v/>
      </c>
      <c r="D1745" s="54"/>
      <c r="E1745" s="54"/>
      <c r="F1745" s="54"/>
      <c r="G1745" s="72"/>
      <c r="H1745" s="54"/>
      <c r="I1745" s="54"/>
      <c r="J1745" s="106">
        <f>VLOOKUP(A1745&amp;G1745,Lookup!J:N,5,0)</f>
        <v>0</v>
      </c>
      <c r="K1745" s="115"/>
      <c r="L1745" s="54"/>
      <c r="M1745" s="54"/>
      <c r="N1745" s="54"/>
      <c r="O1745" s="112">
        <v>72.4340277777778</v>
      </c>
      <c r="P1745" s="110" t="str">
        <f t="shared" si="107"/>
        <v/>
      </c>
      <c r="Q1745" s="54"/>
      <c r="R1745" s="58"/>
      <c r="S1745" s="87" t="str">
        <f t="shared" si="109"/>
        <v/>
      </c>
      <c r="T1745" s="54"/>
      <c r="U1745" s="54"/>
      <c r="V1745" s="54"/>
      <c r="W1745" s="54"/>
      <c r="X1745" s="69" t="str">
        <f t="shared" si="108"/>
        <v>D</v>
      </c>
    </row>
    <row r="1746" spans="1:24" s="66" customFormat="1" x14ac:dyDescent="0.25">
      <c r="A1746" s="51"/>
      <c r="B1746" s="91" t="str">
        <f>IFERROR(VLOOKUP(A1746,Lookup!A:B,2,0),"")</f>
        <v/>
      </c>
      <c r="C1746" s="92" t="str">
        <f>IFERROR(VLOOKUP(A1746,Lookup!A:C,3,0),"")</f>
        <v/>
      </c>
      <c r="D1746" s="54"/>
      <c r="E1746" s="54"/>
      <c r="F1746" s="54"/>
      <c r="G1746" s="72"/>
      <c r="H1746" s="54"/>
      <c r="I1746" s="54"/>
      <c r="J1746" s="106">
        <f>VLOOKUP(A1746&amp;G1746,Lookup!J:N,5,0)</f>
        <v>0</v>
      </c>
      <c r="K1746" s="115"/>
      <c r="L1746" s="54"/>
      <c r="M1746" s="54"/>
      <c r="N1746" s="54"/>
      <c r="O1746" s="112">
        <v>72.4756944444444</v>
      </c>
      <c r="P1746" s="110" t="str">
        <f t="shared" si="107"/>
        <v/>
      </c>
      <c r="Q1746" s="54"/>
      <c r="R1746" s="58"/>
      <c r="S1746" s="87" t="str">
        <f t="shared" si="109"/>
        <v/>
      </c>
      <c r="T1746" s="54"/>
      <c r="U1746" s="54"/>
      <c r="V1746" s="54"/>
      <c r="W1746" s="54"/>
      <c r="X1746" s="69" t="str">
        <f t="shared" si="108"/>
        <v>D</v>
      </c>
    </row>
    <row r="1747" spans="1:24" s="66" customFormat="1" x14ac:dyDescent="0.25">
      <c r="A1747" s="51"/>
      <c r="B1747" s="91" t="str">
        <f>IFERROR(VLOOKUP(A1747,Lookup!A:B,2,0),"")</f>
        <v/>
      </c>
      <c r="C1747" s="92" t="str">
        <f>IFERROR(VLOOKUP(A1747,Lookup!A:C,3,0),"")</f>
        <v/>
      </c>
      <c r="D1747" s="54"/>
      <c r="E1747" s="54"/>
      <c r="F1747" s="54"/>
      <c r="G1747" s="72"/>
      <c r="H1747" s="54"/>
      <c r="I1747" s="54"/>
      <c r="J1747" s="106">
        <f>VLOOKUP(A1747&amp;G1747,Lookup!J:N,5,0)</f>
        <v>0</v>
      </c>
      <c r="K1747" s="115"/>
      <c r="L1747" s="54"/>
      <c r="M1747" s="54"/>
      <c r="N1747" s="54"/>
      <c r="O1747" s="112">
        <v>72.5173611111111</v>
      </c>
      <c r="P1747" s="110" t="str">
        <f t="shared" si="107"/>
        <v/>
      </c>
      <c r="Q1747" s="54"/>
      <c r="R1747" s="58"/>
      <c r="S1747" s="87" t="str">
        <f t="shared" si="109"/>
        <v/>
      </c>
      <c r="T1747" s="54"/>
      <c r="U1747" s="54"/>
      <c r="V1747" s="54"/>
      <c r="W1747" s="54"/>
      <c r="X1747" s="69" t="str">
        <f t="shared" si="108"/>
        <v>D</v>
      </c>
    </row>
    <row r="1748" spans="1:24" s="66" customFormat="1" x14ac:dyDescent="0.25">
      <c r="A1748" s="51"/>
      <c r="B1748" s="91" t="str">
        <f>IFERROR(VLOOKUP(A1748,Lookup!A:B,2,0),"")</f>
        <v/>
      </c>
      <c r="C1748" s="92" t="str">
        <f>IFERROR(VLOOKUP(A1748,Lookup!A:C,3,0),"")</f>
        <v/>
      </c>
      <c r="D1748" s="54"/>
      <c r="E1748" s="54"/>
      <c r="F1748" s="54"/>
      <c r="G1748" s="72"/>
      <c r="H1748" s="54"/>
      <c r="I1748" s="54"/>
      <c r="J1748" s="106">
        <f>VLOOKUP(A1748&amp;G1748,Lookup!J:N,5,0)</f>
        <v>0</v>
      </c>
      <c r="K1748" s="115"/>
      <c r="L1748" s="54"/>
      <c r="M1748" s="54"/>
      <c r="N1748" s="54"/>
      <c r="O1748" s="112">
        <v>72.5590277777778</v>
      </c>
      <c r="P1748" s="110" t="str">
        <f t="shared" si="107"/>
        <v/>
      </c>
      <c r="Q1748" s="54"/>
      <c r="R1748" s="58"/>
      <c r="S1748" s="87" t="str">
        <f t="shared" si="109"/>
        <v/>
      </c>
      <c r="T1748" s="54"/>
      <c r="U1748" s="54"/>
      <c r="V1748" s="54"/>
      <c r="W1748" s="54"/>
      <c r="X1748" s="69" t="str">
        <f t="shared" si="108"/>
        <v>D</v>
      </c>
    </row>
    <row r="1749" spans="1:24" s="66" customFormat="1" x14ac:dyDescent="0.25">
      <c r="A1749" s="51"/>
      <c r="B1749" s="91" t="str">
        <f>IFERROR(VLOOKUP(A1749,Lookup!A:B,2,0),"")</f>
        <v/>
      </c>
      <c r="C1749" s="92" t="str">
        <f>IFERROR(VLOOKUP(A1749,Lookup!A:C,3,0),"")</f>
        <v/>
      </c>
      <c r="D1749" s="54"/>
      <c r="E1749" s="54"/>
      <c r="F1749" s="54"/>
      <c r="G1749" s="72"/>
      <c r="H1749" s="54"/>
      <c r="I1749" s="54"/>
      <c r="J1749" s="106">
        <f>VLOOKUP(A1749&amp;G1749,Lookup!J:N,5,0)</f>
        <v>0</v>
      </c>
      <c r="K1749" s="115"/>
      <c r="L1749" s="54"/>
      <c r="M1749" s="54"/>
      <c r="N1749" s="54"/>
      <c r="O1749" s="112">
        <v>72.6006944444444</v>
      </c>
      <c r="P1749" s="110" t="str">
        <f t="shared" si="107"/>
        <v/>
      </c>
      <c r="Q1749" s="54"/>
      <c r="R1749" s="58"/>
      <c r="S1749" s="87" t="str">
        <f t="shared" si="109"/>
        <v/>
      </c>
      <c r="T1749" s="54"/>
      <c r="U1749" s="54"/>
      <c r="V1749" s="54"/>
      <c r="W1749" s="54"/>
      <c r="X1749" s="69" t="str">
        <f t="shared" si="108"/>
        <v>D</v>
      </c>
    </row>
    <row r="1750" spans="1:24" s="66" customFormat="1" x14ac:dyDescent="0.25">
      <c r="A1750" s="51"/>
      <c r="B1750" s="91" t="str">
        <f>IFERROR(VLOOKUP(A1750,Lookup!A:B,2,0),"")</f>
        <v/>
      </c>
      <c r="C1750" s="92" t="str">
        <f>IFERROR(VLOOKUP(A1750,Lookup!A:C,3,0),"")</f>
        <v/>
      </c>
      <c r="D1750" s="54"/>
      <c r="E1750" s="54"/>
      <c r="F1750" s="54"/>
      <c r="G1750" s="72"/>
      <c r="H1750" s="54"/>
      <c r="I1750" s="54"/>
      <c r="J1750" s="106">
        <f>VLOOKUP(A1750&amp;G1750,Lookup!J:N,5,0)</f>
        <v>0</v>
      </c>
      <c r="K1750" s="115"/>
      <c r="L1750" s="54"/>
      <c r="M1750" s="54"/>
      <c r="N1750" s="54"/>
      <c r="O1750" s="112">
        <v>72.6423611111111</v>
      </c>
      <c r="P1750" s="110" t="str">
        <f t="shared" si="107"/>
        <v/>
      </c>
      <c r="Q1750" s="54"/>
      <c r="R1750" s="58"/>
      <c r="S1750" s="87" t="str">
        <f t="shared" si="109"/>
        <v/>
      </c>
      <c r="T1750" s="54"/>
      <c r="U1750" s="54"/>
      <c r="V1750" s="54"/>
      <c r="W1750" s="54"/>
      <c r="X1750" s="69" t="str">
        <f t="shared" si="108"/>
        <v>D</v>
      </c>
    </row>
    <row r="1751" spans="1:24" s="66" customFormat="1" x14ac:dyDescent="0.25">
      <c r="A1751" s="51"/>
      <c r="B1751" s="91" t="str">
        <f>IFERROR(VLOOKUP(A1751,Lookup!A:B,2,0),"")</f>
        <v/>
      </c>
      <c r="C1751" s="92" t="str">
        <f>IFERROR(VLOOKUP(A1751,Lookup!A:C,3,0),"")</f>
        <v/>
      </c>
      <c r="D1751" s="54"/>
      <c r="E1751" s="54"/>
      <c r="F1751" s="54"/>
      <c r="G1751" s="72"/>
      <c r="H1751" s="54"/>
      <c r="I1751" s="54"/>
      <c r="J1751" s="106">
        <f>VLOOKUP(A1751&amp;G1751,Lookup!J:N,5,0)</f>
        <v>0</v>
      </c>
      <c r="K1751" s="115"/>
      <c r="L1751" s="54"/>
      <c r="M1751" s="54"/>
      <c r="N1751" s="54"/>
      <c r="O1751" s="112">
        <v>72.6840277777778</v>
      </c>
      <c r="P1751" s="110" t="str">
        <f t="shared" si="107"/>
        <v/>
      </c>
      <c r="Q1751" s="54"/>
      <c r="R1751" s="58"/>
      <c r="S1751" s="87" t="str">
        <f t="shared" si="109"/>
        <v/>
      </c>
      <c r="T1751" s="54"/>
      <c r="U1751" s="54"/>
      <c r="V1751" s="54"/>
      <c r="W1751" s="54"/>
      <c r="X1751" s="69" t="str">
        <f t="shared" si="108"/>
        <v>D</v>
      </c>
    </row>
    <row r="1752" spans="1:24" s="66" customFormat="1" x14ac:dyDescent="0.25">
      <c r="A1752" s="51"/>
      <c r="B1752" s="91" t="str">
        <f>IFERROR(VLOOKUP(A1752,Lookup!A:B,2,0),"")</f>
        <v/>
      </c>
      <c r="C1752" s="92" t="str">
        <f>IFERROR(VLOOKUP(A1752,Lookup!A:C,3,0),"")</f>
        <v/>
      </c>
      <c r="D1752" s="54"/>
      <c r="E1752" s="54"/>
      <c r="F1752" s="54"/>
      <c r="G1752" s="72"/>
      <c r="H1752" s="54"/>
      <c r="I1752" s="54"/>
      <c r="J1752" s="106">
        <f>VLOOKUP(A1752&amp;G1752,Lookup!J:N,5,0)</f>
        <v>0</v>
      </c>
      <c r="K1752" s="115"/>
      <c r="L1752" s="54"/>
      <c r="M1752" s="54"/>
      <c r="N1752" s="54"/>
      <c r="O1752" s="112">
        <v>72.7256944444444</v>
      </c>
      <c r="P1752" s="110" t="str">
        <f t="shared" si="107"/>
        <v/>
      </c>
      <c r="Q1752" s="54"/>
      <c r="R1752" s="58"/>
      <c r="S1752" s="87" t="str">
        <f t="shared" si="109"/>
        <v/>
      </c>
      <c r="T1752" s="54"/>
      <c r="U1752" s="54"/>
      <c r="V1752" s="54"/>
      <c r="W1752" s="54"/>
      <c r="X1752" s="69" t="str">
        <f t="shared" si="108"/>
        <v>D</v>
      </c>
    </row>
    <row r="1753" spans="1:24" s="66" customFormat="1" x14ac:dyDescent="0.25">
      <c r="A1753" s="51"/>
      <c r="B1753" s="91" t="str">
        <f>IFERROR(VLOOKUP(A1753,Lookup!A:B,2,0),"")</f>
        <v/>
      </c>
      <c r="C1753" s="92" t="str">
        <f>IFERROR(VLOOKUP(A1753,Lookup!A:C,3,0),"")</f>
        <v/>
      </c>
      <c r="D1753" s="54"/>
      <c r="E1753" s="54"/>
      <c r="F1753" s="54"/>
      <c r="G1753" s="72"/>
      <c r="H1753" s="54"/>
      <c r="I1753" s="54"/>
      <c r="J1753" s="106">
        <f>VLOOKUP(A1753&amp;G1753,Lookup!J:N,5,0)</f>
        <v>0</v>
      </c>
      <c r="K1753" s="115"/>
      <c r="L1753" s="54"/>
      <c r="M1753" s="54"/>
      <c r="N1753" s="54"/>
      <c r="O1753" s="112">
        <v>72.7673611111111</v>
      </c>
      <c r="P1753" s="110" t="str">
        <f t="shared" si="107"/>
        <v/>
      </c>
      <c r="Q1753" s="54"/>
      <c r="R1753" s="58"/>
      <c r="S1753" s="87" t="str">
        <f t="shared" si="109"/>
        <v/>
      </c>
      <c r="T1753" s="54"/>
      <c r="U1753" s="54"/>
      <c r="V1753" s="54"/>
      <c r="W1753" s="54"/>
      <c r="X1753" s="69" t="str">
        <f t="shared" si="108"/>
        <v>D</v>
      </c>
    </row>
    <row r="1754" spans="1:24" s="66" customFormat="1" x14ac:dyDescent="0.25">
      <c r="A1754" s="51"/>
      <c r="B1754" s="91" t="str">
        <f>IFERROR(VLOOKUP(A1754,Lookup!A:B,2,0),"")</f>
        <v/>
      </c>
      <c r="C1754" s="92" t="str">
        <f>IFERROR(VLOOKUP(A1754,Lookup!A:C,3,0),"")</f>
        <v/>
      </c>
      <c r="D1754" s="54"/>
      <c r="E1754" s="54"/>
      <c r="F1754" s="54"/>
      <c r="G1754" s="72"/>
      <c r="H1754" s="54"/>
      <c r="I1754" s="54"/>
      <c r="J1754" s="106">
        <f>VLOOKUP(A1754&amp;G1754,Lookup!J:N,5,0)</f>
        <v>0</v>
      </c>
      <c r="K1754" s="115"/>
      <c r="L1754" s="54"/>
      <c r="M1754" s="54"/>
      <c r="N1754" s="54"/>
      <c r="O1754" s="112">
        <v>72.8090277777778</v>
      </c>
      <c r="P1754" s="110" t="str">
        <f t="shared" si="107"/>
        <v/>
      </c>
      <c r="Q1754" s="54"/>
      <c r="R1754" s="58"/>
      <c r="S1754" s="87" t="str">
        <f t="shared" si="109"/>
        <v/>
      </c>
      <c r="T1754" s="54"/>
      <c r="U1754" s="54"/>
      <c r="V1754" s="54"/>
      <c r="W1754" s="54"/>
      <c r="X1754" s="69" t="str">
        <f t="shared" si="108"/>
        <v>D</v>
      </c>
    </row>
    <row r="1755" spans="1:24" s="66" customFormat="1" x14ac:dyDescent="0.25">
      <c r="A1755" s="51"/>
      <c r="B1755" s="91" t="str">
        <f>IFERROR(VLOOKUP(A1755,Lookup!A:B,2,0),"")</f>
        <v/>
      </c>
      <c r="C1755" s="92" t="str">
        <f>IFERROR(VLOOKUP(A1755,Lookup!A:C,3,0),"")</f>
        <v/>
      </c>
      <c r="D1755" s="54"/>
      <c r="E1755" s="54"/>
      <c r="F1755" s="54"/>
      <c r="G1755" s="72"/>
      <c r="H1755" s="54"/>
      <c r="I1755" s="54"/>
      <c r="J1755" s="106">
        <f>VLOOKUP(A1755&amp;G1755,Lookup!J:N,5,0)</f>
        <v>0</v>
      </c>
      <c r="K1755" s="115"/>
      <c r="L1755" s="54"/>
      <c r="M1755" s="54"/>
      <c r="N1755" s="54"/>
      <c r="O1755" s="112">
        <v>72.8506944444444</v>
      </c>
      <c r="P1755" s="110" t="str">
        <f t="shared" si="107"/>
        <v/>
      </c>
      <c r="Q1755" s="54"/>
      <c r="R1755" s="58"/>
      <c r="S1755" s="87" t="str">
        <f t="shared" si="109"/>
        <v/>
      </c>
      <c r="T1755" s="54"/>
      <c r="U1755" s="54"/>
      <c r="V1755" s="54"/>
      <c r="W1755" s="54"/>
      <c r="X1755" s="69" t="str">
        <f t="shared" si="108"/>
        <v>D</v>
      </c>
    </row>
    <row r="1756" spans="1:24" s="66" customFormat="1" x14ac:dyDescent="0.25">
      <c r="A1756" s="51"/>
      <c r="B1756" s="91" t="str">
        <f>IFERROR(VLOOKUP(A1756,Lookup!A:B,2,0),"")</f>
        <v/>
      </c>
      <c r="C1756" s="92" t="str">
        <f>IFERROR(VLOOKUP(A1756,Lookup!A:C,3,0),"")</f>
        <v/>
      </c>
      <c r="D1756" s="54"/>
      <c r="E1756" s="54"/>
      <c r="F1756" s="54"/>
      <c r="G1756" s="72"/>
      <c r="H1756" s="54"/>
      <c r="I1756" s="54"/>
      <c r="J1756" s="106">
        <f>VLOOKUP(A1756&amp;G1756,Lookup!J:N,5,0)</f>
        <v>0</v>
      </c>
      <c r="K1756" s="115"/>
      <c r="L1756" s="54"/>
      <c r="M1756" s="54"/>
      <c r="N1756" s="54"/>
      <c r="O1756" s="112">
        <v>72.8923611111111</v>
      </c>
      <c r="P1756" s="110" t="str">
        <f t="shared" si="107"/>
        <v/>
      </c>
      <c r="Q1756" s="54"/>
      <c r="R1756" s="58"/>
      <c r="S1756" s="87" t="str">
        <f t="shared" si="109"/>
        <v/>
      </c>
      <c r="T1756" s="54"/>
      <c r="U1756" s="54"/>
      <c r="V1756" s="54"/>
      <c r="W1756" s="54"/>
      <c r="X1756" s="69" t="str">
        <f t="shared" si="108"/>
        <v>D</v>
      </c>
    </row>
    <row r="1757" spans="1:24" s="66" customFormat="1" x14ac:dyDescent="0.25">
      <c r="A1757" s="51"/>
      <c r="B1757" s="91" t="str">
        <f>IFERROR(VLOOKUP(A1757,Lookup!A:B,2,0),"")</f>
        <v/>
      </c>
      <c r="C1757" s="92" t="str">
        <f>IFERROR(VLOOKUP(A1757,Lookup!A:C,3,0),"")</f>
        <v/>
      </c>
      <c r="D1757" s="54"/>
      <c r="E1757" s="54"/>
      <c r="F1757" s="54"/>
      <c r="G1757" s="72"/>
      <c r="H1757" s="54"/>
      <c r="I1757" s="54"/>
      <c r="J1757" s="106">
        <f>VLOOKUP(A1757&amp;G1757,Lookup!J:N,5,0)</f>
        <v>0</v>
      </c>
      <c r="K1757" s="115"/>
      <c r="L1757" s="54"/>
      <c r="M1757" s="54"/>
      <c r="N1757" s="54"/>
      <c r="O1757" s="112">
        <v>72.9340277777778</v>
      </c>
      <c r="P1757" s="110" t="str">
        <f t="shared" si="107"/>
        <v/>
      </c>
      <c r="Q1757" s="54"/>
      <c r="R1757" s="58"/>
      <c r="S1757" s="87" t="str">
        <f t="shared" si="109"/>
        <v/>
      </c>
      <c r="T1757" s="54"/>
      <c r="U1757" s="54"/>
      <c r="V1757" s="54"/>
      <c r="W1757" s="54"/>
      <c r="X1757" s="69" t="str">
        <f t="shared" si="108"/>
        <v>D</v>
      </c>
    </row>
    <row r="1758" spans="1:24" s="66" customFormat="1" x14ac:dyDescent="0.25">
      <c r="A1758" s="51"/>
      <c r="B1758" s="91" t="str">
        <f>IFERROR(VLOOKUP(A1758,Lookup!A:B,2,0),"")</f>
        <v/>
      </c>
      <c r="C1758" s="92" t="str">
        <f>IFERROR(VLOOKUP(A1758,Lookup!A:C,3,0),"")</f>
        <v/>
      </c>
      <c r="D1758" s="54"/>
      <c r="E1758" s="54"/>
      <c r="F1758" s="54"/>
      <c r="G1758" s="72"/>
      <c r="H1758" s="54"/>
      <c r="I1758" s="54"/>
      <c r="J1758" s="106">
        <f>VLOOKUP(A1758&amp;G1758,Lookup!J:N,5,0)</f>
        <v>0</v>
      </c>
      <c r="K1758" s="115"/>
      <c r="L1758" s="54"/>
      <c r="M1758" s="54"/>
      <c r="N1758" s="54"/>
      <c r="O1758" s="112">
        <v>72.9756944444444</v>
      </c>
      <c r="P1758" s="110" t="str">
        <f t="shared" si="107"/>
        <v/>
      </c>
      <c r="Q1758" s="54"/>
      <c r="R1758" s="58"/>
      <c r="S1758" s="87" t="str">
        <f t="shared" si="109"/>
        <v/>
      </c>
      <c r="T1758" s="54"/>
      <c r="U1758" s="54"/>
      <c r="V1758" s="54"/>
      <c r="W1758" s="54"/>
      <c r="X1758" s="69" t="str">
        <f t="shared" si="108"/>
        <v>D</v>
      </c>
    </row>
    <row r="1759" spans="1:24" s="66" customFormat="1" x14ac:dyDescent="0.25">
      <c r="A1759" s="51"/>
      <c r="B1759" s="91" t="str">
        <f>IFERROR(VLOOKUP(A1759,Lookup!A:B,2,0),"")</f>
        <v/>
      </c>
      <c r="C1759" s="92" t="str">
        <f>IFERROR(VLOOKUP(A1759,Lookup!A:C,3,0),"")</f>
        <v/>
      </c>
      <c r="D1759" s="54"/>
      <c r="E1759" s="54"/>
      <c r="F1759" s="54"/>
      <c r="G1759" s="72"/>
      <c r="H1759" s="54"/>
      <c r="I1759" s="54"/>
      <c r="J1759" s="106">
        <f>VLOOKUP(A1759&amp;G1759,Lookup!J:N,5,0)</f>
        <v>0</v>
      </c>
      <c r="K1759" s="115"/>
      <c r="L1759" s="54"/>
      <c r="M1759" s="54"/>
      <c r="N1759" s="54"/>
      <c r="O1759" s="112">
        <v>73.0173611111111</v>
      </c>
      <c r="P1759" s="110" t="str">
        <f t="shared" si="107"/>
        <v/>
      </c>
      <c r="Q1759" s="54"/>
      <c r="R1759" s="58"/>
      <c r="S1759" s="87" t="str">
        <f t="shared" si="109"/>
        <v/>
      </c>
      <c r="T1759" s="54"/>
      <c r="U1759" s="54"/>
      <c r="V1759" s="54"/>
      <c r="W1759" s="54"/>
      <c r="X1759" s="69" t="str">
        <f t="shared" si="108"/>
        <v>D</v>
      </c>
    </row>
    <row r="1760" spans="1:24" s="66" customFormat="1" x14ac:dyDescent="0.25">
      <c r="A1760" s="51"/>
      <c r="B1760" s="91" t="str">
        <f>IFERROR(VLOOKUP(A1760,Lookup!A:B,2,0),"")</f>
        <v/>
      </c>
      <c r="C1760" s="92" t="str">
        <f>IFERROR(VLOOKUP(A1760,Lookup!A:C,3,0),"")</f>
        <v/>
      </c>
      <c r="D1760" s="54"/>
      <c r="E1760" s="54"/>
      <c r="F1760" s="54"/>
      <c r="G1760" s="72"/>
      <c r="H1760" s="54"/>
      <c r="I1760" s="54"/>
      <c r="J1760" s="106">
        <f>VLOOKUP(A1760&amp;G1760,Lookup!J:N,5,0)</f>
        <v>0</v>
      </c>
      <c r="K1760" s="115"/>
      <c r="L1760" s="54"/>
      <c r="M1760" s="54"/>
      <c r="N1760" s="54"/>
      <c r="O1760" s="112">
        <v>73.0590277777778</v>
      </c>
      <c r="P1760" s="110" t="str">
        <f t="shared" si="107"/>
        <v/>
      </c>
      <c r="Q1760" s="54"/>
      <c r="R1760" s="58"/>
      <c r="S1760" s="87" t="str">
        <f t="shared" si="109"/>
        <v/>
      </c>
      <c r="T1760" s="54"/>
      <c r="U1760" s="54"/>
      <c r="V1760" s="54"/>
      <c r="W1760" s="54"/>
      <c r="X1760" s="69" t="str">
        <f t="shared" si="108"/>
        <v>D</v>
      </c>
    </row>
    <row r="1761" spans="1:24" s="66" customFormat="1" x14ac:dyDescent="0.25">
      <c r="A1761" s="51"/>
      <c r="B1761" s="91" t="str">
        <f>IFERROR(VLOOKUP(A1761,Lookup!A:B,2,0),"")</f>
        <v/>
      </c>
      <c r="C1761" s="92" t="str">
        <f>IFERROR(VLOOKUP(A1761,Lookup!A:C,3,0),"")</f>
        <v/>
      </c>
      <c r="D1761" s="54"/>
      <c r="E1761" s="54"/>
      <c r="F1761" s="54"/>
      <c r="G1761" s="72"/>
      <c r="H1761" s="54"/>
      <c r="I1761" s="54"/>
      <c r="J1761" s="106">
        <f>VLOOKUP(A1761&amp;G1761,Lookup!J:N,5,0)</f>
        <v>0</v>
      </c>
      <c r="K1761" s="115"/>
      <c r="L1761" s="54"/>
      <c r="M1761" s="54"/>
      <c r="N1761" s="54"/>
      <c r="O1761" s="112">
        <v>73.1006944444444</v>
      </c>
      <c r="P1761" s="110" t="str">
        <f t="shared" si="107"/>
        <v/>
      </c>
      <c r="Q1761" s="54"/>
      <c r="R1761" s="58"/>
      <c r="S1761" s="87" t="str">
        <f t="shared" si="109"/>
        <v/>
      </c>
      <c r="T1761" s="54"/>
      <c r="U1761" s="54"/>
      <c r="V1761" s="54"/>
      <c r="W1761" s="54"/>
      <c r="X1761" s="69" t="str">
        <f t="shared" si="108"/>
        <v>D</v>
      </c>
    </row>
    <row r="1762" spans="1:24" s="66" customFormat="1" x14ac:dyDescent="0.25">
      <c r="A1762" s="51"/>
      <c r="B1762" s="91" t="str">
        <f>IFERROR(VLOOKUP(A1762,Lookup!A:B,2,0),"")</f>
        <v/>
      </c>
      <c r="C1762" s="92" t="str">
        <f>IFERROR(VLOOKUP(A1762,Lookup!A:C,3,0),"")</f>
        <v/>
      </c>
      <c r="D1762" s="54"/>
      <c r="E1762" s="54"/>
      <c r="F1762" s="54"/>
      <c r="G1762" s="72"/>
      <c r="H1762" s="54"/>
      <c r="I1762" s="54"/>
      <c r="J1762" s="106">
        <f>VLOOKUP(A1762&amp;G1762,Lookup!J:N,5,0)</f>
        <v>0</v>
      </c>
      <c r="K1762" s="115"/>
      <c r="L1762" s="54"/>
      <c r="M1762" s="54"/>
      <c r="N1762" s="54"/>
      <c r="O1762" s="112">
        <v>73.1423611111111</v>
      </c>
      <c r="P1762" s="110" t="str">
        <f t="shared" si="107"/>
        <v/>
      </c>
      <c r="Q1762" s="54"/>
      <c r="R1762" s="58"/>
      <c r="S1762" s="87" t="str">
        <f t="shared" si="109"/>
        <v/>
      </c>
      <c r="T1762" s="54"/>
      <c r="U1762" s="54"/>
      <c r="V1762" s="54"/>
      <c r="W1762" s="54"/>
      <c r="X1762" s="69" t="str">
        <f t="shared" si="108"/>
        <v>D</v>
      </c>
    </row>
    <row r="1763" spans="1:24" s="66" customFormat="1" x14ac:dyDescent="0.25">
      <c r="A1763" s="51"/>
      <c r="B1763" s="91" t="str">
        <f>IFERROR(VLOOKUP(A1763,Lookup!A:B,2,0),"")</f>
        <v/>
      </c>
      <c r="C1763" s="92" t="str">
        <f>IFERROR(VLOOKUP(A1763,Lookup!A:C,3,0),"")</f>
        <v/>
      </c>
      <c r="D1763" s="54"/>
      <c r="E1763" s="54"/>
      <c r="F1763" s="54"/>
      <c r="G1763" s="72"/>
      <c r="H1763" s="54"/>
      <c r="I1763" s="54"/>
      <c r="J1763" s="106">
        <f>VLOOKUP(A1763&amp;G1763,Lookup!J:N,5,0)</f>
        <v>0</v>
      </c>
      <c r="K1763" s="115"/>
      <c r="L1763" s="54"/>
      <c r="M1763" s="54"/>
      <c r="N1763" s="54"/>
      <c r="O1763" s="112">
        <v>73.1840277777778</v>
      </c>
      <c r="P1763" s="110" t="str">
        <f t="shared" si="107"/>
        <v/>
      </c>
      <c r="Q1763" s="54"/>
      <c r="R1763" s="58"/>
      <c r="S1763" s="87" t="str">
        <f t="shared" si="109"/>
        <v/>
      </c>
      <c r="T1763" s="54"/>
      <c r="U1763" s="54"/>
      <c r="V1763" s="54"/>
      <c r="W1763" s="54"/>
      <c r="X1763" s="69" t="str">
        <f t="shared" si="108"/>
        <v>D</v>
      </c>
    </row>
    <row r="1764" spans="1:24" s="66" customFormat="1" x14ac:dyDescent="0.25">
      <c r="A1764" s="51"/>
      <c r="B1764" s="91" t="str">
        <f>IFERROR(VLOOKUP(A1764,Lookup!A:B,2,0),"")</f>
        <v/>
      </c>
      <c r="C1764" s="92" t="str">
        <f>IFERROR(VLOOKUP(A1764,Lookup!A:C,3,0),"")</f>
        <v/>
      </c>
      <c r="D1764" s="54"/>
      <c r="E1764" s="54"/>
      <c r="F1764" s="54"/>
      <c r="G1764" s="72"/>
      <c r="H1764" s="54"/>
      <c r="I1764" s="54"/>
      <c r="J1764" s="106">
        <f>VLOOKUP(A1764&amp;G1764,Lookup!J:N,5,0)</f>
        <v>0</v>
      </c>
      <c r="K1764" s="115"/>
      <c r="L1764" s="54"/>
      <c r="M1764" s="54"/>
      <c r="N1764" s="54"/>
      <c r="O1764" s="112">
        <v>73.2256944444444</v>
      </c>
      <c r="P1764" s="110" t="str">
        <f t="shared" si="107"/>
        <v/>
      </c>
      <c r="Q1764" s="54"/>
      <c r="R1764" s="58"/>
      <c r="S1764" s="87" t="str">
        <f t="shared" si="109"/>
        <v/>
      </c>
      <c r="T1764" s="54"/>
      <c r="U1764" s="54"/>
      <c r="V1764" s="54"/>
      <c r="W1764" s="54"/>
      <c r="X1764" s="69" t="str">
        <f t="shared" si="108"/>
        <v>D</v>
      </c>
    </row>
    <row r="1765" spans="1:24" s="66" customFormat="1" x14ac:dyDescent="0.25">
      <c r="A1765" s="51"/>
      <c r="B1765" s="91" t="str">
        <f>IFERROR(VLOOKUP(A1765,Lookup!A:B,2,0),"")</f>
        <v/>
      </c>
      <c r="C1765" s="92" t="str">
        <f>IFERROR(VLOOKUP(A1765,Lookup!A:C,3,0),"")</f>
        <v/>
      </c>
      <c r="D1765" s="54"/>
      <c r="E1765" s="54"/>
      <c r="F1765" s="54"/>
      <c r="G1765" s="72"/>
      <c r="H1765" s="54"/>
      <c r="I1765" s="54"/>
      <c r="J1765" s="106">
        <f>VLOOKUP(A1765&amp;G1765,Lookup!J:N,5,0)</f>
        <v>0</v>
      </c>
      <c r="K1765" s="115"/>
      <c r="L1765" s="54"/>
      <c r="M1765" s="54"/>
      <c r="N1765" s="54"/>
      <c r="O1765" s="112">
        <v>73.2673611111111</v>
      </c>
      <c r="P1765" s="110" t="str">
        <f t="shared" si="107"/>
        <v/>
      </c>
      <c r="Q1765" s="54"/>
      <c r="R1765" s="58"/>
      <c r="S1765" s="87" t="str">
        <f t="shared" si="109"/>
        <v/>
      </c>
      <c r="T1765" s="54"/>
      <c r="U1765" s="54"/>
      <c r="V1765" s="54"/>
      <c r="W1765" s="54"/>
      <c r="X1765" s="69" t="str">
        <f t="shared" si="108"/>
        <v>D</v>
      </c>
    </row>
    <row r="1766" spans="1:24" s="66" customFormat="1" x14ac:dyDescent="0.25">
      <c r="A1766" s="51"/>
      <c r="B1766" s="91" t="str">
        <f>IFERROR(VLOOKUP(A1766,Lookup!A:B,2,0),"")</f>
        <v/>
      </c>
      <c r="C1766" s="92" t="str">
        <f>IFERROR(VLOOKUP(A1766,Lookup!A:C,3,0),"")</f>
        <v/>
      </c>
      <c r="D1766" s="54"/>
      <c r="E1766" s="54"/>
      <c r="F1766" s="54"/>
      <c r="G1766" s="72"/>
      <c r="H1766" s="54"/>
      <c r="I1766" s="54"/>
      <c r="J1766" s="106">
        <f>VLOOKUP(A1766&amp;G1766,Lookup!J:N,5,0)</f>
        <v>0</v>
      </c>
      <c r="K1766" s="115"/>
      <c r="L1766" s="54"/>
      <c r="M1766" s="54"/>
      <c r="N1766" s="54"/>
      <c r="O1766" s="112">
        <v>73.3090277777778</v>
      </c>
      <c r="P1766" s="110" t="str">
        <f t="shared" si="107"/>
        <v/>
      </c>
      <c r="Q1766" s="54"/>
      <c r="R1766" s="58"/>
      <c r="S1766" s="87" t="str">
        <f t="shared" si="109"/>
        <v/>
      </c>
      <c r="T1766" s="54"/>
      <c r="U1766" s="54"/>
      <c r="V1766" s="54"/>
      <c r="W1766" s="54"/>
      <c r="X1766" s="69" t="str">
        <f t="shared" si="108"/>
        <v>D</v>
      </c>
    </row>
    <row r="1767" spans="1:24" s="66" customFormat="1" x14ac:dyDescent="0.25">
      <c r="A1767" s="51"/>
      <c r="B1767" s="91" t="str">
        <f>IFERROR(VLOOKUP(A1767,Lookup!A:B,2,0),"")</f>
        <v/>
      </c>
      <c r="C1767" s="92" t="str">
        <f>IFERROR(VLOOKUP(A1767,Lookup!A:C,3,0),"")</f>
        <v/>
      </c>
      <c r="D1767" s="54"/>
      <c r="E1767" s="54"/>
      <c r="F1767" s="54"/>
      <c r="G1767" s="72"/>
      <c r="H1767" s="54"/>
      <c r="I1767" s="54"/>
      <c r="J1767" s="106">
        <f>VLOOKUP(A1767&amp;G1767,Lookup!J:N,5,0)</f>
        <v>0</v>
      </c>
      <c r="K1767" s="115"/>
      <c r="L1767" s="54"/>
      <c r="M1767" s="54"/>
      <c r="N1767" s="54"/>
      <c r="O1767" s="112">
        <v>73.3506944444444</v>
      </c>
      <c r="P1767" s="110" t="str">
        <f t="shared" si="107"/>
        <v/>
      </c>
      <c r="Q1767" s="54"/>
      <c r="R1767" s="58"/>
      <c r="S1767" s="87" t="str">
        <f t="shared" si="109"/>
        <v/>
      </c>
      <c r="T1767" s="54"/>
      <c r="U1767" s="54"/>
      <c r="V1767" s="54"/>
      <c r="W1767" s="54"/>
      <c r="X1767" s="69" t="str">
        <f t="shared" si="108"/>
        <v>D</v>
      </c>
    </row>
    <row r="1768" spans="1:24" s="66" customFormat="1" x14ac:dyDescent="0.25">
      <c r="A1768" s="51"/>
      <c r="B1768" s="91" t="str">
        <f>IFERROR(VLOOKUP(A1768,Lookup!A:B,2,0),"")</f>
        <v/>
      </c>
      <c r="C1768" s="92" t="str">
        <f>IFERROR(VLOOKUP(A1768,Lookup!A:C,3,0),"")</f>
        <v/>
      </c>
      <c r="D1768" s="54"/>
      <c r="E1768" s="54"/>
      <c r="F1768" s="54"/>
      <c r="G1768" s="72"/>
      <c r="H1768" s="54"/>
      <c r="I1768" s="54"/>
      <c r="J1768" s="106">
        <f>VLOOKUP(A1768&amp;G1768,Lookup!J:N,5,0)</f>
        <v>0</v>
      </c>
      <c r="K1768" s="115"/>
      <c r="L1768" s="54"/>
      <c r="M1768" s="54"/>
      <c r="N1768" s="54"/>
      <c r="O1768" s="112">
        <v>73.3923611111111</v>
      </c>
      <c r="P1768" s="110" t="str">
        <f t="shared" si="107"/>
        <v/>
      </c>
      <c r="Q1768" s="54"/>
      <c r="R1768" s="58"/>
      <c r="S1768" s="87" t="str">
        <f t="shared" si="109"/>
        <v/>
      </c>
      <c r="T1768" s="54"/>
      <c r="U1768" s="54"/>
      <c r="V1768" s="54"/>
      <c r="W1768" s="54"/>
      <c r="X1768" s="69" t="str">
        <f t="shared" si="108"/>
        <v>D</v>
      </c>
    </row>
    <row r="1769" spans="1:24" s="66" customFormat="1" x14ac:dyDescent="0.25">
      <c r="A1769" s="51"/>
      <c r="B1769" s="91" t="str">
        <f>IFERROR(VLOOKUP(A1769,Lookup!A:B,2,0),"")</f>
        <v/>
      </c>
      <c r="C1769" s="92" t="str">
        <f>IFERROR(VLOOKUP(A1769,Lookup!A:C,3,0),"")</f>
        <v/>
      </c>
      <c r="D1769" s="54"/>
      <c r="E1769" s="54"/>
      <c r="F1769" s="54"/>
      <c r="G1769" s="72"/>
      <c r="H1769" s="54"/>
      <c r="I1769" s="54"/>
      <c r="J1769" s="106">
        <f>VLOOKUP(A1769&amp;G1769,Lookup!J:N,5,0)</f>
        <v>0</v>
      </c>
      <c r="K1769" s="115"/>
      <c r="L1769" s="54"/>
      <c r="M1769" s="54"/>
      <c r="N1769" s="54"/>
      <c r="O1769" s="112">
        <v>73.4340277777778</v>
      </c>
      <c r="P1769" s="110" t="str">
        <f t="shared" si="107"/>
        <v/>
      </c>
      <c r="Q1769" s="54"/>
      <c r="R1769" s="58"/>
      <c r="S1769" s="87" t="str">
        <f t="shared" si="109"/>
        <v/>
      </c>
      <c r="T1769" s="54"/>
      <c r="U1769" s="54"/>
      <c r="V1769" s="54"/>
      <c r="W1769" s="54"/>
      <c r="X1769" s="69" t="str">
        <f t="shared" si="108"/>
        <v>D</v>
      </c>
    </row>
    <row r="1770" spans="1:24" s="66" customFormat="1" x14ac:dyDescent="0.25">
      <c r="A1770" s="51"/>
      <c r="B1770" s="91" t="str">
        <f>IFERROR(VLOOKUP(A1770,Lookup!A:B,2,0),"")</f>
        <v/>
      </c>
      <c r="C1770" s="92" t="str">
        <f>IFERROR(VLOOKUP(A1770,Lookup!A:C,3,0),"")</f>
        <v/>
      </c>
      <c r="D1770" s="54"/>
      <c r="E1770" s="54"/>
      <c r="F1770" s="54"/>
      <c r="G1770" s="72"/>
      <c r="H1770" s="54"/>
      <c r="I1770" s="54"/>
      <c r="J1770" s="106">
        <f>VLOOKUP(A1770&amp;G1770,Lookup!J:N,5,0)</f>
        <v>0</v>
      </c>
      <c r="K1770" s="115"/>
      <c r="L1770" s="54"/>
      <c r="M1770" s="54"/>
      <c r="N1770" s="54"/>
      <c r="O1770" s="112">
        <v>73.4756944444444</v>
      </c>
      <c r="P1770" s="110" t="str">
        <f t="shared" si="107"/>
        <v/>
      </c>
      <c r="Q1770" s="54"/>
      <c r="R1770" s="58"/>
      <c r="S1770" s="87" t="str">
        <f t="shared" si="109"/>
        <v/>
      </c>
      <c r="T1770" s="54"/>
      <c r="U1770" s="54"/>
      <c r="V1770" s="54"/>
      <c r="W1770" s="54"/>
      <c r="X1770" s="69" t="str">
        <f t="shared" si="108"/>
        <v>D</v>
      </c>
    </row>
    <row r="1771" spans="1:24" s="66" customFormat="1" x14ac:dyDescent="0.25">
      <c r="A1771" s="51"/>
      <c r="B1771" s="91" t="str">
        <f>IFERROR(VLOOKUP(A1771,Lookup!A:B,2,0),"")</f>
        <v/>
      </c>
      <c r="C1771" s="92" t="str">
        <f>IFERROR(VLOOKUP(A1771,Lookup!A:C,3,0),"")</f>
        <v/>
      </c>
      <c r="D1771" s="54"/>
      <c r="E1771" s="54"/>
      <c r="F1771" s="54"/>
      <c r="G1771" s="72"/>
      <c r="H1771" s="54"/>
      <c r="I1771" s="54"/>
      <c r="J1771" s="106">
        <f>VLOOKUP(A1771&amp;G1771,Lookup!J:N,5,0)</f>
        <v>0</v>
      </c>
      <c r="K1771" s="115"/>
      <c r="L1771" s="54"/>
      <c r="M1771" s="54"/>
      <c r="N1771" s="54"/>
      <c r="O1771" s="112">
        <v>73.5173611111111</v>
      </c>
      <c r="P1771" s="110" t="str">
        <f t="shared" si="107"/>
        <v/>
      </c>
      <c r="Q1771" s="54"/>
      <c r="R1771" s="58"/>
      <c r="S1771" s="87" t="str">
        <f t="shared" si="109"/>
        <v/>
      </c>
      <c r="T1771" s="54"/>
      <c r="U1771" s="54"/>
      <c r="V1771" s="54"/>
      <c r="W1771" s="54"/>
      <c r="X1771" s="69" t="str">
        <f t="shared" si="108"/>
        <v>D</v>
      </c>
    </row>
    <row r="1772" spans="1:24" s="66" customFormat="1" x14ac:dyDescent="0.25">
      <c r="A1772" s="51"/>
      <c r="B1772" s="91" t="str">
        <f>IFERROR(VLOOKUP(A1772,Lookup!A:B,2,0),"")</f>
        <v/>
      </c>
      <c r="C1772" s="92" t="str">
        <f>IFERROR(VLOOKUP(A1772,Lookup!A:C,3,0),"")</f>
        <v/>
      </c>
      <c r="D1772" s="54"/>
      <c r="E1772" s="54"/>
      <c r="F1772" s="54"/>
      <c r="G1772" s="72"/>
      <c r="H1772" s="54"/>
      <c r="I1772" s="54"/>
      <c r="J1772" s="106">
        <f>VLOOKUP(A1772&amp;G1772,Lookup!J:N,5,0)</f>
        <v>0</v>
      </c>
      <c r="K1772" s="115"/>
      <c r="L1772" s="54"/>
      <c r="M1772" s="54"/>
      <c r="N1772" s="54"/>
      <c r="O1772" s="112">
        <v>73.5590277777778</v>
      </c>
      <c r="P1772" s="110" t="str">
        <f t="shared" si="107"/>
        <v/>
      </c>
      <c r="Q1772" s="54"/>
      <c r="R1772" s="58"/>
      <c r="S1772" s="87" t="str">
        <f t="shared" si="109"/>
        <v/>
      </c>
      <c r="T1772" s="54"/>
      <c r="U1772" s="54"/>
      <c r="V1772" s="54"/>
      <c r="W1772" s="54"/>
      <c r="X1772" s="69" t="str">
        <f t="shared" si="108"/>
        <v>D</v>
      </c>
    </row>
    <row r="1773" spans="1:24" s="66" customFormat="1" x14ac:dyDescent="0.25">
      <c r="A1773" s="51"/>
      <c r="B1773" s="91" t="str">
        <f>IFERROR(VLOOKUP(A1773,Lookup!A:B,2,0),"")</f>
        <v/>
      </c>
      <c r="C1773" s="92" t="str">
        <f>IFERROR(VLOOKUP(A1773,Lookup!A:C,3,0),"")</f>
        <v/>
      </c>
      <c r="D1773" s="54"/>
      <c r="E1773" s="54"/>
      <c r="F1773" s="54"/>
      <c r="G1773" s="72"/>
      <c r="H1773" s="54"/>
      <c r="I1773" s="54"/>
      <c r="J1773" s="106">
        <f>VLOOKUP(A1773&amp;G1773,Lookup!J:N,5,0)</f>
        <v>0</v>
      </c>
      <c r="K1773" s="115"/>
      <c r="L1773" s="54"/>
      <c r="M1773" s="54"/>
      <c r="N1773" s="54"/>
      <c r="O1773" s="112">
        <v>73.6006944444444</v>
      </c>
      <c r="P1773" s="110" t="str">
        <f t="shared" si="107"/>
        <v/>
      </c>
      <c r="Q1773" s="54"/>
      <c r="R1773" s="58"/>
      <c r="S1773" s="87" t="str">
        <f t="shared" si="109"/>
        <v/>
      </c>
      <c r="T1773" s="54"/>
      <c r="U1773" s="54"/>
      <c r="V1773" s="54"/>
      <c r="W1773" s="54"/>
      <c r="X1773" s="69" t="str">
        <f t="shared" si="108"/>
        <v>D</v>
      </c>
    </row>
    <row r="1774" spans="1:24" s="66" customFormat="1" x14ac:dyDescent="0.25">
      <c r="A1774" s="51"/>
      <c r="B1774" s="91" t="str">
        <f>IFERROR(VLOOKUP(A1774,Lookup!A:B,2,0),"")</f>
        <v/>
      </c>
      <c r="C1774" s="92" t="str">
        <f>IFERROR(VLOOKUP(A1774,Lookup!A:C,3,0),"")</f>
        <v/>
      </c>
      <c r="D1774" s="54"/>
      <c r="E1774" s="54"/>
      <c r="F1774" s="54"/>
      <c r="G1774" s="72"/>
      <c r="H1774" s="54"/>
      <c r="I1774" s="54"/>
      <c r="J1774" s="106">
        <f>VLOOKUP(A1774&amp;G1774,Lookup!J:N,5,0)</f>
        <v>0</v>
      </c>
      <c r="K1774" s="115"/>
      <c r="L1774" s="54"/>
      <c r="M1774" s="54"/>
      <c r="N1774" s="54"/>
      <c r="O1774" s="112">
        <v>73.6423611111111</v>
      </c>
      <c r="P1774" s="110" t="str">
        <f t="shared" si="107"/>
        <v/>
      </c>
      <c r="Q1774" s="54"/>
      <c r="R1774" s="58"/>
      <c r="S1774" s="87" t="str">
        <f t="shared" si="109"/>
        <v/>
      </c>
      <c r="T1774" s="54"/>
      <c r="U1774" s="54"/>
      <c r="V1774" s="54"/>
      <c r="W1774" s="54"/>
      <c r="X1774" s="69" t="str">
        <f t="shared" si="108"/>
        <v>D</v>
      </c>
    </row>
    <row r="1775" spans="1:24" s="66" customFormat="1" x14ac:dyDescent="0.25">
      <c r="A1775" s="51"/>
      <c r="B1775" s="91" t="str">
        <f>IFERROR(VLOOKUP(A1775,Lookup!A:B,2,0),"")</f>
        <v/>
      </c>
      <c r="C1775" s="92" t="str">
        <f>IFERROR(VLOOKUP(A1775,Lookup!A:C,3,0),"")</f>
        <v/>
      </c>
      <c r="D1775" s="54"/>
      <c r="E1775" s="54"/>
      <c r="F1775" s="54"/>
      <c r="G1775" s="72"/>
      <c r="H1775" s="54"/>
      <c r="I1775" s="54"/>
      <c r="J1775" s="106">
        <f>VLOOKUP(A1775&amp;G1775,Lookup!J:N,5,0)</f>
        <v>0</v>
      </c>
      <c r="K1775" s="115"/>
      <c r="L1775" s="54"/>
      <c r="M1775" s="54"/>
      <c r="N1775" s="54"/>
      <c r="O1775" s="112">
        <v>73.6840277777778</v>
      </c>
      <c r="P1775" s="110" t="str">
        <f t="shared" si="107"/>
        <v/>
      </c>
      <c r="Q1775" s="54"/>
      <c r="R1775" s="58"/>
      <c r="S1775" s="87" t="str">
        <f t="shared" si="109"/>
        <v/>
      </c>
      <c r="T1775" s="54"/>
      <c r="U1775" s="54"/>
      <c r="V1775" s="54"/>
      <c r="W1775" s="54"/>
      <c r="X1775" s="69" t="str">
        <f t="shared" si="108"/>
        <v>D</v>
      </c>
    </row>
    <row r="1776" spans="1:24" s="66" customFormat="1" x14ac:dyDescent="0.25">
      <c r="A1776" s="51"/>
      <c r="B1776" s="91" t="str">
        <f>IFERROR(VLOOKUP(A1776,Lookup!A:B,2,0),"")</f>
        <v/>
      </c>
      <c r="C1776" s="92" t="str">
        <f>IFERROR(VLOOKUP(A1776,Lookup!A:C,3,0),"")</f>
        <v/>
      </c>
      <c r="D1776" s="54"/>
      <c r="E1776" s="54"/>
      <c r="F1776" s="54"/>
      <c r="G1776" s="72"/>
      <c r="H1776" s="54"/>
      <c r="I1776" s="54"/>
      <c r="J1776" s="106">
        <f>VLOOKUP(A1776&amp;G1776,Lookup!J:N,5,0)</f>
        <v>0</v>
      </c>
      <c r="K1776" s="115"/>
      <c r="L1776" s="54"/>
      <c r="M1776" s="54"/>
      <c r="N1776" s="54"/>
      <c r="O1776" s="112">
        <v>73.7256944444444</v>
      </c>
      <c r="P1776" s="110" t="str">
        <f t="shared" si="107"/>
        <v/>
      </c>
      <c r="Q1776" s="54"/>
      <c r="R1776" s="58"/>
      <c r="S1776" s="87" t="str">
        <f t="shared" si="109"/>
        <v/>
      </c>
      <c r="T1776" s="54"/>
      <c r="U1776" s="54"/>
      <c r="V1776" s="54"/>
      <c r="W1776" s="54"/>
      <c r="X1776" s="69" t="str">
        <f t="shared" si="108"/>
        <v>D</v>
      </c>
    </row>
    <row r="1777" spans="1:24" s="66" customFormat="1" x14ac:dyDescent="0.25">
      <c r="A1777" s="51"/>
      <c r="B1777" s="91" t="str">
        <f>IFERROR(VLOOKUP(A1777,Lookup!A:B,2,0),"")</f>
        <v/>
      </c>
      <c r="C1777" s="92" t="str">
        <f>IFERROR(VLOOKUP(A1777,Lookup!A:C,3,0),"")</f>
        <v/>
      </c>
      <c r="D1777" s="54"/>
      <c r="E1777" s="54"/>
      <c r="F1777" s="54"/>
      <c r="G1777" s="72"/>
      <c r="H1777" s="54"/>
      <c r="I1777" s="54"/>
      <c r="J1777" s="106">
        <f>VLOOKUP(A1777&amp;G1777,Lookup!J:N,5,0)</f>
        <v>0</v>
      </c>
      <c r="K1777" s="115"/>
      <c r="L1777" s="54"/>
      <c r="M1777" s="54"/>
      <c r="N1777" s="54"/>
      <c r="O1777" s="112">
        <v>73.7673611111111</v>
      </c>
      <c r="P1777" s="110" t="str">
        <f t="shared" si="107"/>
        <v/>
      </c>
      <c r="Q1777" s="54"/>
      <c r="R1777" s="58"/>
      <c r="S1777" s="87" t="str">
        <f t="shared" si="109"/>
        <v/>
      </c>
      <c r="T1777" s="54"/>
      <c r="U1777" s="54"/>
      <c r="V1777" s="54"/>
      <c r="W1777" s="54"/>
      <c r="X1777" s="69" t="str">
        <f t="shared" si="108"/>
        <v>D</v>
      </c>
    </row>
    <row r="1778" spans="1:24" s="66" customFormat="1" x14ac:dyDescent="0.25">
      <c r="A1778" s="51"/>
      <c r="B1778" s="91" t="str">
        <f>IFERROR(VLOOKUP(A1778,Lookup!A:B,2,0),"")</f>
        <v/>
      </c>
      <c r="C1778" s="92" t="str">
        <f>IFERROR(VLOOKUP(A1778,Lookup!A:C,3,0),"")</f>
        <v/>
      </c>
      <c r="D1778" s="54"/>
      <c r="E1778" s="54"/>
      <c r="F1778" s="54"/>
      <c r="G1778" s="72"/>
      <c r="H1778" s="54"/>
      <c r="I1778" s="54"/>
      <c r="J1778" s="106">
        <f>VLOOKUP(A1778&amp;G1778,Lookup!J:N,5,0)</f>
        <v>0</v>
      </c>
      <c r="K1778" s="115"/>
      <c r="L1778" s="54"/>
      <c r="M1778" s="54"/>
      <c r="N1778" s="54"/>
      <c r="O1778" s="112">
        <v>73.8090277777778</v>
      </c>
      <c r="P1778" s="110" t="str">
        <f t="shared" si="107"/>
        <v/>
      </c>
      <c r="Q1778" s="54"/>
      <c r="R1778" s="58"/>
      <c r="S1778" s="87" t="str">
        <f t="shared" si="109"/>
        <v/>
      </c>
      <c r="T1778" s="54"/>
      <c r="U1778" s="54"/>
      <c r="V1778" s="54"/>
      <c r="W1778" s="54"/>
      <c r="X1778" s="69" t="str">
        <f t="shared" si="108"/>
        <v>D</v>
      </c>
    </row>
    <row r="1779" spans="1:24" s="66" customFormat="1" x14ac:dyDescent="0.25">
      <c r="A1779" s="51"/>
      <c r="B1779" s="91" t="str">
        <f>IFERROR(VLOOKUP(A1779,Lookup!A:B,2,0),"")</f>
        <v/>
      </c>
      <c r="C1779" s="92" t="str">
        <f>IFERROR(VLOOKUP(A1779,Lookup!A:C,3,0),"")</f>
        <v/>
      </c>
      <c r="D1779" s="54"/>
      <c r="E1779" s="54"/>
      <c r="F1779" s="54"/>
      <c r="G1779" s="72"/>
      <c r="H1779" s="54"/>
      <c r="I1779" s="54"/>
      <c r="J1779" s="106">
        <f>VLOOKUP(A1779&amp;G1779,Lookup!J:N,5,0)</f>
        <v>0</v>
      </c>
      <c r="K1779" s="115"/>
      <c r="L1779" s="54"/>
      <c r="M1779" s="54"/>
      <c r="N1779" s="54"/>
      <c r="O1779" s="112">
        <v>73.8506944444444</v>
      </c>
      <c r="P1779" s="110" t="str">
        <f t="shared" si="107"/>
        <v/>
      </c>
      <c r="Q1779" s="54"/>
      <c r="R1779" s="58"/>
      <c r="S1779" s="87" t="str">
        <f t="shared" si="109"/>
        <v/>
      </c>
      <c r="T1779" s="54"/>
      <c r="U1779" s="54"/>
      <c r="V1779" s="54"/>
      <c r="W1779" s="54"/>
      <c r="X1779" s="69" t="str">
        <f t="shared" si="108"/>
        <v>D</v>
      </c>
    </row>
    <row r="1780" spans="1:24" s="66" customFormat="1" x14ac:dyDescent="0.25">
      <c r="A1780" s="51"/>
      <c r="B1780" s="91" t="str">
        <f>IFERROR(VLOOKUP(A1780,Lookup!A:B,2,0),"")</f>
        <v/>
      </c>
      <c r="C1780" s="92" t="str">
        <f>IFERROR(VLOOKUP(A1780,Lookup!A:C,3,0),"")</f>
        <v/>
      </c>
      <c r="D1780" s="54"/>
      <c r="E1780" s="54"/>
      <c r="F1780" s="54"/>
      <c r="G1780" s="72"/>
      <c r="H1780" s="54"/>
      <c r="I1780" s="54"/>
      <c r="J1780" s="106">
        <f>VLOOKUP(A1780&amp;G1780,Lookup!J:N,5,0)</f>
        <v>0</v>
      </c>
      <c r="K1780" s="115"/>
      <c r="L1780" s="54"/>
      <c r="M1780" s="54"/>
      <c r="N1780" s="54"/>
      <c r="O1780" s="112">
        <v>73.8923611111111</v>
      </c>
      <c r="P1780" s="110" t="str">
        <f t="shared" si="107"/>
        <v/>
      </c>
      <c r="Q1780" s="54"/>
      <c r="R1780" s="58"/>
      <c r="S1780" s="87" t="str">
        <f t="shared" si="109"/>
        <v/>
      </c>
      <c r="T1780" s="54"/>
      <c r="U1780" s="54"/>
      <c r="V1780" s="54"/>
      <c r="W1780" s="54"/>
      <c r="X1780" s="69" t="str">
        <f t="shared" si="108"/>
        <v>D</v>
      </c>
    </row>
    <row r="1781" spans="1:24" s="66" customFormat="1" x14ac:dyDescent="0.25">
      <c r="A1781" s="51"/>
      <c r="B1781" s="91" t="str">
        <f>IFERROR(VLOOKUP(A1781,Lookup!A:B,2,0),"")</f>
        <v/>
      </c>
      <c r="C1781" s="92" t="str">
        <f>IFERROR(VLOOKUP(A1781,Lookup!A:C,3,0),"")</f>
        <v/>
      </c>
      <c r="D1781" s="54"/>
      <c r="E1781" s="54"/>
      <c r="F1781" s="54"/>
      <c r="G1781" s="72"/>
      <c r="H1781" s="54"/>
      <c r="I1781" s="54"/>
      <c r="J1781" s="106">
        <f>VLOOKUP(A1781&amp;G1781,Lookup!J:N,5,0)</f>
        <v>0</v>
      </c>
      <c r="K1781" s="115"/>
      <c r="L1781" s="54"/>
      <c r="M1781" s="54"/>
      <c r="N1781" s="54"/>
      <c r="O1781" s="112">
        <v>73.9340277777778</v>
      </c>
      <c r="P1781" s="110" t="str">
        <f t="shared" si="107"/>
        <v/>
      </c>
      <c r="Q1781" s="54"/>
      <c r="R1781" s="58"/>
      <c r="S1781" s="87" t="str">
        <f t="shared" si="109"/>
        <v/>
      </c>
      <c r="T1781" s="54"/>
      <c r="U1781" s="54"/>
      <c r="V1781" s="54"/>
      <c r="W1781" s="54"/>
      <c r="X1781" s="69" t="str">
        <f t="shared" si="108"/>
        <v>D</v>
      </c>
    </row>
    <row r="1782" spans="1:24" s="66" customFormat="1" x14ac:dyDescent="0.25">
      <c r="A1782" s="51"/>
      <c r="B1782" s="91" t="str">
        <f>IFERROR(VLOOKUP(A1782,Lookup!A:B,2,0),"")</f>
        <v/>
      </c>
      <c r="C1782" s="92" t="str">
        <f>IFERROR(VLOOKUP(A1782,Lookup!A:C,3,0),"")</f>
        <v/>
      </c>
      <c r="D1782" s="54"/>
      <c r="E1782" s="54"/>
      <c r="F1782" s="54"/>
      <c r="G1782" s="72"/>
      <c r="H1782" s="54"/>
      <c r="I1782" s="54"/>
      <c r="J1782" s="106">
        <f>VLOOKUP(A1782&amp;G1782,Lookup!J:N,5,0)</f>
        <v>0</v>
      </c>
      <c r="K1782" s="115"/>
      <c r="L1782" s="54"/>
      <c r="M1782" s="54"/>
      <c r="N1782" s="54"/>
      <c r="O1782" s="112">
        <v>73.9756944444444</v>
      </c>
      <c r="P1782" s="110" t="str">
        <f t="shared" si="107"/>
        <v/>
      </c>
      <c r="Q1782" s="54"/>
      <c r="R1782" s="58"/>
      <c r="S1782" s="87" t="str">
        <f t="shared" si="109"/>
        <v/>
      </c>
      <c r="T1782" s="54"/>
      <c r="U1782" s="54"/>
      <c r="V1782" s="54"/>
      <c r="W1782" s="54"/>
      <c r="X1782" s="69" t="str">
        <f t="shared" si="108"/>
        <v>D</v>
      </c>
    </row>
    <row r="1783" spans="1:24" s="66" customFormat="1" x14ac:dyDescent="0.25">
      <c r="A1783" s="51"/>
      <c r="B1783" s="91" t="str">
        <f>IFERROR(VLOOKUP(A1783,Lookup!A:B,2,0),"")</f>
        <v/>
      </c>
      <c r="C1783" s="92" t="str">
        <f>IFERROR(VLOOKUP(A1783,Lookup!A:C,3,0),"")</f>
        <v/>
      </c>
      <c r="D1783" s="54"/>
      <c r="E1783" s="54"/>
      <c r="F1783" s="54"/>
      <c r="G1783" s="72"/>
      <c r="H1783" s="54"/>
      <c r="I1783" s="54"/>
      <c r="J1783" s="106">
        <f>VLOOKUP(A1783&amp;G1783,Lookup!J:N,5,0)</f>
        <v>0</v>
      </c>
      <c r="K1783" s="115"/>
      <c r="L1783" s="54"/>
      <c r="M1783" s="54"/>
      <c r="N1783" s="54"/>
      <c r="O1783" s="112">
        <v>74.0173611111111</v>
      </c>
      <c r="P1783" s="110" t="str">
        <f t="shared" si="107"/>
        <v/>
      </c>
      <c r="Q1783" s="54"/>
      <c r="R1783" s="58"/>
      <c r="S1783" s="87" t="str">
        <f t="shared" si="109"/>
        <v/>
      </c>
      <c r="T1783" s="54"/>
      <c r="U1783" s="54"/>
      <c r="V1783" s="54"/>
      <c r="W1783" s="54"/>
      <c r="X1783" s="69" t="str">
        <f t="shared" si="108"/>
        <v>D</v>
      </c>
    </row>
    <row r="1784" spans="1:24" s="66" customFormat="1" x14ac:dyDescent="0.25">
      <c r="A1784" s="51"/>
      <c r="B1784" s="91" t="str">
        <f>IFERROR(VLOOKUP(A1784,Lookup!A:B,2,0),"")</f>
        <v/>
      </c>
      <c r="C1784" s="92" t="str">
        <f>IFERROR(VLOOKUP(A1784,Lookup!A:C,3,0),"")</f>
        <v/>
      </c>
      <c r="D1784" s="54"/>
      <c r="E1784" s="54"/>
      <c r="F1784" s="54"/>
      <c r="G1784" s="72"/>
      <c r="H1784" s="54"/>
      <c r="I1784" s="54"/>
      <c r="J1784" s="106">
        <f>VLOOKUP(A1784&amp;G1784,Lookup!J:N,5,0)</f>
        <v>0</v>
      </c>
      <c r="K1784" s="115"/>
      <c r="L1784" s="54"/>
      <c r="M1784" s="54"/>
      <c r="N1784" s="54"/>
      <c r="O1784" s="112">
        <v>74.0590277777778</v>
      </c>
      <c r="P1784" s="110" t="str">
        <f t="shared" si="107"/>
        <v/>
      </c>
      <c r="Q1784" s="54"/>
      <c r="R1784" s="58"/>
      <c r="S1784" s="87" t="str">
        <f t="shared" si="109"/>
        <v/>
      </c>
      <c r="T1784" s="54"/>
      <c r="U1784" s="54"/>
      <c r="V1784" s="54"/>
      <c r="W1784" s="54"/>
      <c r="X1784" s="69" t="str">
        <f t="shared" si="108"/>
        <v>D</v>
      </c>
    </row>
    <row r="1785" spans="1:24" s="66" customFormat="1" x14ac:dyDescent="0.25">
      <c r="A1785" s="51"/>
      <c r="B1785" s="91" t="str">
        <f>IFERROR(VLOOKUP(A1785,Lookup!A:B,2,0),"")</f>
        <v/>
      </c>
      <c r="C1785" s="92" t="str">
        <f>IFERROR(VLOOKUP(A1785,Lookup!A:C,3,0),"")</f>
        <v/>
      </c>
      <c r="D1785" s="54"/>
      <c r="E1785" s="54"/>
      <c r="F1785" s="54"/>
      <c r="G1785" s="72"/>
      <c r="H1785" s="54"/>
      <c r="I1785" s="54"/>
      <c r="J1785" s="106">
        <f>VLOOKUP(A1785&amp;G1785,Lookup!J:N,5,0)</f>
        <v>0</v>
      </c>
      <c r="K1785" s="115"/>
      <c r="L1785" s="54"/>
      <c r="M1785" s="54"/>
      <c r="N1785" s="54"/>
      <c r="O1785" s="112">
        <v>74.1006944444444</v>
      </c>
      <c r="P1785" s="110" t="str">
        <f t="shared" si="107"/>
        <v/>
      </c>
      <c r="Q1785" s="54"/>
      <c r="R1785" s="58"/>
      <c r="S1785" s="87" t="str">
        <f t="shared" si="109"/>
        <v/>
      </c>
      <c r="T1785" s="54"/>
      <c r="U1785" s="54"/>
      <c r="V1785" s="54"/>
      <c r="W1785" s="54"/>
      <c r="X1785" s="69" t="str">
        <f t="shared" si="108"/>
        <v>D</v>
      </c>
    </row>
    <row r="1786" spans="1:24" s="66" customFormat="1" x14ac:dyDescent="0.25">
      <c r="A1786" s="51"/>
      <c r="B1786" s="91" t="str">
        <f>IFERROR(VLOOKUP(A1786,Lookup!A:B,2,0),"")</f>
        <v/>
      </c>
      <c r="C1786" s="92" t="str">
        <f>IFERROR(VLOOKUP(A1786,Lookup!A:C,3,0),"")</f>
        <v/>
      </c>
      <c r="D1786" s="54"/>
      <c r="E1786" s="54"/>
      <c r="F1786" s="54"/>
      <c r="G1786" s="72"/>
      <c r="H1786" s="54"/>
      <c r="I1786" s="54"/>
      <c r="J1786" s="106">
        <f>VLOOKUP(A1786&amp;G1786,Lookup!J:N,5,0)</f>
        <v>0</v>
      </c>
      <c r="K1786" s="115"/>
      <c r="L1786" s="54"/>
      <c r="M1786" s="54"/>
      <c r="N1786" s="54"/>
      <c r="O1786" s="112">
        <v>74.1423611111111</v>
      </c>
      <c r="P1786" s="110" t="str">
        <f t="shared" si="107"/>
        <v/>
      </c>
      <c r="Q1786" s="54"/>
      <c r="R1786" s="58"/>
      <c r="S1786" s="87" t="str">
        <f t="shared" si="109"/>
        <v/>
      </c>
      <c r="T1786" s="54"/>
      <c r="U1786" s="54"/>
      <c r="V1786" s="54"/>
      <c r="W1786" s="54"/>
      <c r="X1786" s="69" t="str">
        <f t="shared" si="108"/>
        <v>D</v>
      </c>
    </row>
    <row r="1787" spans="1:24" s="66" customFormat="1" x14ac:dyDescent="0.25">
      <c r="A1787" s="51"/>
      <c r="B1787" s="91" t="str">
        <f>IFERROR(VLOOKUP(A1787,Lookup!A:B,2,0),"")</f>
        <v/>
      </c>
      <c r="C1787" s="92" t="str">
        <f>IFERROR(VLOOKUP(A1787,Lookup!A:C,3,0),"")</f>
        <v/>
      </c>
      <c r="D1787" s="54"/>
      <c r="E1787" s="54"/>
      <c r="F1787" s="54"/>
      <c r="G1787" s="72"/>
      <c r="H1787" s="54"/>
      <c r="I1787" s="54"/>
      <c r="J1787" s="106">
        <f>VLOOKUP(A1787&amp;G1787,Lookup!J:N,5,0)</f>
        <v>0</v>
      </c>
      <c r="K1787" s="115"/>
      <c r="L1787" s="54"/>
      <c r="M1787" s="54"/>
      <c r="N1787" s="54"/>
      <c r="O1787" s="112">
        <v>74.1840277777778</v>
      </c>
      <c r="P1787" s="110" t="str">
        <f t="shared" si="107"/>
        <v/>
      </c>
      <c r="Q1787" s="54"/>
      <c r="R1787" s="58"/>
      <c r="S1787" s="87" t="str">
        <f t="shared" si="109"/>
        <v/>
      </c>
      <c r="T1787" s="54"/>
      <c r="U1787" s="54"/>
      <c r="V1787" s="54"/>
      <c r="W1787" s="54"/>
      <c r="X1787" s="69" t="str">
        <f t="shared" si="108"/>
        <v>D</v>
      </c>
    </row>
    <row r="1788" spans="1:24" s="66" customFormat="1" x14ac:dyDescent="0.25">
      <c r="A1788" s="51"/>
      <c r="B1788" s="91" t="str">
        <f>IFERROR(VLOOKUP(A1788,Lookup!A:B,2,0),"")</f>
        <v/>
      </c>
      <c r="C1788" s="92" t="str">
        <f>IFERROR(VLOOKUP(A1788,Lookup!A:C,3,0),"")</f>
        <v/>
      </c>
      <c r="D1788" s="54"/>
      <c r="E1788" s="54"/>
      <c r="F1788" s="54"/>
      <c r="G1788" s="72"/>
      <c r="H1788" s="54"/>
      <c r="I1788" s="54"/>
      <c r="J1788" s="106">
        <f>VLOOKUP(A1788&amp;G1788,Lookup!J:N,5,0)</f>
        <v>0</v>
      </c>
      <c r="K1788" s="115"/>
      <c r="L1788" s="54"/>
      <c r="M1788" s="54"/>
      <c r="N1788" s="54"/>
      <c r="O1788" s="112">
        <v>74.2256944444444</v>
      </c>
      <c r="P1788" s="110" t="str">
        <f t="shared" si="107"/>
        <v/>
      </c>
      <c r="Q1788" s="54"/>
      <c r="R1788" s="58"/>
      <c r="S1788" s="87" t="str">
        <f t="shared" si="109"/>
        <v/>
      </c>
      <c r="T1788" s="54"/>
      <c r="U1788" s="54"/>
      <c r="V1788" s="54"/>
      <c r="W1788" s="54"/>
      <c r="X1788" s="69" t="str">
        <f t="shared" si="108"/>
        <v>D</v>
      </c>
    </row>
    <row r="1789" spans="1:24" s="66" customFormat="1" x14ac:dyDescent="0.25">
      <c r="A1789" s="51"/>
      <c r="B1789" s="91" t="str">
        <f>IFERROR(VLOOKUP(A1789,Lookup!A:B,2,0),"")</f>
        <v/>
      </c>
      <c r="C1789" s="92" t="str">
        <f>IFERROR(VLOOKUP(A1789,Lookup!A:C,3,0),"")</f>
        <v/>
      </c>
      <c r="D1789" s="54"/>
      <c r="E1789" s="54"/>
      <c r="F1789" s="54"/>
      <c r="G1789" s="72"/>
      <c r="H1789" s="54"/>
      <c r="I1789" s="54"/>
      <c r="J1789" s="106">
        <f>VLOOKUP(A1789&amp;G1789,Lookup!J:N,5,0)</f>
        <v>0</v>
      </c>
      <c r="K1789" s="115"/>
      <c r="L1789" s="54"/>
      <c r="M1789" s="54"/>
      <c r="N1789" s="54"/>
      <c r="O1789" s="112">
        <v>74.2673611111111</v>
      </c>
      <c r="P1789" s="110" t="str">
        <f t="shared" si="107"/>
        <v/>
      </c>
      <c r="Q1789" s="54"/>
      <c r="R1789" s="58"/>
      <c r="S1789" s="87" t="str">
        <f t="shared" si="109"/>
        <v/>
      </c>
      <c r="T1789" s="54"/>
      <c r="U1789" s="54"/>
      <c r="V1789" s="54"/>
      <c r="W1789" s="54"/>
      <c r="X1789" s="69" t="str">
        <f t="shared" si="108"/>
        <v>D</v>
      </c>
    </row>
    <row r="1790" spans="1:24" s="66" customFormat="1" x14ac:dyDescent="0.25">
      <c r="A1790" s="51"/>
      <c r="B1790" s="91" t="str">
        <f>IFERROR(VLOOKUP(A1790,Lookup!A:B,2,0),"")</f>
        <v/>
      </c>
      <c r="C1790" s="92" t="str">
        <f>IFERROR(VLOOKUP(A1790,Lookup!A:C,3,0),"")</f>
        <v/>
      </c>
      <c r="D1790" s="54"/>
      <c r="E1790" s="54"/>
      <c r="F1790" s="54"/>
      <c r="G1790" s="72"/>
      <c r="H1790" s="54"/>
      <c r="I1790" s="54"/>
      <c r="J1790" s="106">
        <f>VLOOKUP(A1790&amp;G1790,Lookup!J:N,5,0)</f>
        <v>0</v>
      </c>
      <c r="K1790" s="115"/>
      <c r="L1790" s="54"/>
      <c r="M1790" s="54"/>
      <c r="N1790" s="54"/>
      <c r="O1790" s="112">
        <v>74.3090277777778</v>
      </c>
      <c r="P1790" s="110" t="str">
        <f t="shared" si="107"/>
        <v/>
      </c>
      <c r="Q1790" s="54"/>
      <c r="R1790" s="58"/>
      <c r="S1790" s="87" t="str">
        <f t="shared" si="109"/>
        <v/>
      </c>
      <c r="T1790" s="54"/>
      <c r="U1790" s="54"/>
      <c r="V1790" s="54"/>
      <c r="W1790" s="54"/>
      <c r="X1790" s="69" t="str">
        <f t="shared" si="108"/>
        <v>D</v>
      </c>
    </row>
    <row r="1791" spans="1:24" s="66" customFormat="1" x14ac:dyDescent="0.25">
      <c r="A1791" s="51"/>
      <c r="B1791" s="91" t="str">
        <f>IFERROR(VLOOKUP(A1791,Lookup!A:B,2,0),"")</f>
        <v/>
      </c>
      <c r="C1791" s="92" t="str">
        <f>IFERROR(VLOOKUP(A1791,Lookup!A:C,3,0),"")</f>
        <v/>
      </c>
      <c r="D1791" s="54"/>
      <c r="E1791" s="54"/>
      <c r="F1791" s="54"/>
      <c r="G1791" s="72"/>
      <c r="H1791" s="54"/>
      <c r="I1791" s="54"/>
      <c r="J1791" s="106">
        <f>VLOOKUP(A1791&amp;G1791,Lookup!J:N,5,0)</f>
        <v>0</v>
      </c>
      <c r="K1791" s="115"/>
      <c r="L1791" s="54"/>
      <c r="M1791" s="54"/>
      <c r="N1791" s="54"/>
      <c r="O1791" s="112">
        <v>74.3506944444444</v>
      </c>
      <c r="P1791" s="110" t="str">
        <f t="shared" si="107"/>
        <v/>
      </c>
      <c r="Q1791" s="54"/>
      <c r="R1791" s="58"/>
      <c r="S1791" s="87" t="str">
        <f t="shared" si="109"/>
        <v/>
      </c>
      <c r="T1791" s="54"/>
      <c r="U1791" s="54"/>
      <c r="V1791" s="54"/>
      <c r="W1791" s="54"/>
      <c r="X1791" s="69" t="str">
        <f t="shared" si="108"/>
        <v>D</v>
      </c>
    </row>
    <row r="1792" spans="1:24" s="66" customFormat="1" x14ac:dyDescent="0.25">
      <c r="A1792" s="51"/>
      <c r="B1792" s="91" t="str">
        <f>IFERROR(VLOOKUP(A1792,Lookup!A:B,2,0),"")</f>
        <v/>
      </c>
      <c r="C1792" s="92" t="str">
        <f>IFERROR(VLOOKUP(A1792,Lookup!A:C,3,0),"")</f>
        <v/>
      </c>
      <c r="D1792" s="54"/>
      <c r="E1792" s="54"/>
      <c r="F1792" s="54"/>
      <c r="G1792" s="72"/>
      <c r="H1792" s="54"/>
      <c r="I1792" s="54"/>
      <c r="J1792" s="106">
        <f>VLOOKUP(A1792&amp;G1792,Lookup!J:N,5,0)</f>
        <v>0</v>
      </c>
      <c r="K1792" s="115"/>
      <c r="L1792" s="54"/>
      <c r="M1792" s="54"/>
      <c r="N1792" s="54"/>
      <c r="O1792" s="112">
        <v>74.3923611111111</v>
      </c>
      <c r="P1792" s="110" t="str">
        <f t="shared" si="107"/>
        <v/>
      </c>
      <c r="Q1792" s="54"/>
      <c r="R1792" s="58"/>
      <c r="S1792" s="87" t="str">
        <f t="shared" si="109"/>
        <v/>
      </c>
      <c r="T1792" s="54"/>
      <c r="U1792" s="54"/>
      <c r="V1792" s="54"/>
      <c r="W1792" s="54"/>
      <c r="X1792" s="69" t="str">
        <f t="shared" si="108"/>
        <v>D</v>
      </c>
    </row>
    <row r="1793" spans="1:24" s="66" customFormat="1" x14ac:dyDescent="0.25">
      <c r="A1793" s="51"/>
      <c r="B1793" s="91" t="str">
        <f>IFERROR(VLOOKUP(A1793,Lookup!A:B,2,0),"")</f>
        <v/>
      </c>
      <c r="C1793" s="92" t="str">
        <f>IFERROR(VLOOKUP(A1793,Lookup!A:C,3,0),"")</f>
        <v/>
      </c>
      <c r="D1793" s="54"/>
      <c r="E1793" s="54"/>
      <c r="F1793" s="54"/>
      <c r="G1793" s="72"/>
      <c r="H1793" s="54"/>
      <c r="I1793" s="54"/>
      <c r="J1793" s="106">
        <f>VLOOKUP(A1793&amp;G1793,Lookup!J:N,5,0)</f>
        <v>0</v>
      </c>
      <c r="K1793" s="115"/>
      <c r="L1793" s="54"/>
      <c r="M1793" s="54"/>
      <c r="N1793" s="54"/>
      <c r="O1793" s="112">
        <v>74.4340277777778</v>
      </c>
      <c r="P1793" s="110" t="str">
        <f t="shared" si="107"/>
        <v/>
      </c>
      <c r="Q1793" s="54"/>
      <c r="R1793" s="58"/>
      <c r="S1793" s="87" t="str">
        <f t="shared" si="109"/>
        <v/>
      </c>
      <c r="T1793" s="54"/>
      <c r="U1793" s="54"/>
      <c r="V1793" s="54"/>
      <c r="W1793" s="54"/>
      <c r="X1793" s="69" t="str">
        <f t="shared" si="108"/>
        <v>D</v>
      </c>
    </row>
    <row r="1794" spans="1:24" s="66" customFormat="1" x14ac:dyDescent="0.25">
      <c r="A1794" s="51"/>
      <c r="B1794" s="91" t="str">
        <f>IFERROR(VLOOKUP(A1794,Lookup!A:B,2,0),"")</f>
        <v/>
      </c>
      <c r="C1794" s="92" t="str">
        <f>IFERROR(VLOOKUP(A1794,Lookup!A:C,3,0),"")</f>
        <v/>
      </c>
      <c r="D1794" s="54"/>
      <c r="E1794" s="54"/>
      <c r="F1794" s="54"/>
      <c r="G1794" s="72"/>
      <c r="H1794" s="54"/>
      <c r="I1794" s="54"/>
      <c r="J1794" s="106">
        <f>VLOOKUP(A1794&amp;G1794,Lookup!J:N,5,0)</f>
        <v>0</v>
      </c>
      <c r="K1794" s="115"/>
      <c r="L1794" s="54"/>
      <c r="M1794" s="54"/>
      <c r="N1794" s="54"/>
      <c r="O1794" s="112">
        <v>74.4756944444444</v>
      </c>
      <c r="P1794" s="110" t="str">
        <f t="shared" si="107"/>
        <v/>
      </c>
      <c r="Q1794" s="54"/>
      <c r="R1794" s="58"/>
      <c r="S1794" s="87" t="str">
        <f t="shared" si="109"/>
        <v/>
      </c>
      <c r="T1794" s="54"/>
      <c r="U1794" s="54"/>
      <c r="V1794" s="54"/>
      <c r="W1794" s="54"/>
      <c r="X1794" s="69" t="str">
        <f t="shared" si="108"/>
        <v>D</v>
      </c>
    </row>
    <row r="1795" spans="1:24" s="66" customFormat="1" x14ac:dyDescent="0.25">
      <c r="A1795" s="51"/>
      <c r="B1795" s="91" t="str">
        <f>IFERROR(VLOOKUP(A1795,Lookup!A:B,2,0),"")</f>
        <v/>
      </c>
      <c r="C1795" s="92" t="str">
        <f>IFERROR(VLOOKUP(A1795,Lookup!A:C,3,0),"")</f>
        <v/>
      </c>
      <c r="D1795" s="54"/>
      <c r="E1795" s="54"/>
      <c r="F1795" s="54"/>
      <c r="G1795" s="72"/>
      <c r="H1795" s="54"/>
      <c r="I1795" s="54"/>
      <c r="J1795" s="106">
        <f>VLOOKUP(A1795&amp;G1795,Lookup!J:N,5,0)</f>
        <v>0</v>
      </c>
      <c r="K1795" s="115"/>
      <c r="L1795" s="54"/>
      <c r="M1795" s="54"/>
      <c r="N1795" s="54"/>
      <c r="O1795" s="112">
        <v>74.5173611111111</v>
      </c>
      <c r="P1795" s="110" t="str">
        <f t="shared" ref="P1795:P1858" si="110">IF(N1795="","",N1795+O1795)</f>
        <v/>
      </c>
      <c r="Q1795" s="54"/>
      <c r="R1795" s="58"/>
      <c r="S1795" s="87" t="str">
        <f t="shared" si="109"/>
        <v/>
      </c>
      <c r="T1795" s="54"/>
      <c r="U1795" s="54"/>
      <c r="V1795" s="54"/>
      <c r="W1795" s="54"/>
      <c r="X1795" s="69" t="str">
        <f t="shared" ref="X1795:X1858" si="111">IF(I1795="SET","A",IF(I1795="FREQ","C",IF(I1795="","D","B")))</f>
        <v>D</v>
      </c>
    </row>
    <row r="1796" spans="1:24" s="66" customFormat="1" x14ac:dyDescent="0.25">
      <c r="A1796" s="51"/>
      <c r="B1796" s="91" t="str">
        <f>IFERROR(VLOOKUP(A1796,Lookup!A:B,2,0),"")</f>
        <v/>
      </c>
      <c r="C1796" s="92" t="str">
        <f>IFERROR(VLOOKUP(A1796,Lookup!A:C,3,0),"")</f>
        <v/>
      </c>
      <c r="D1796" s="54"/>
      <c r="E1796" s="54"/>
      <c r="F1796" s="54"/>
      <c r="G1796" s="72"/>
      <c r="H1796" s="54"/>
      <c r="I1796" s="54"/>
      <c r="J1796" s="106">
        <f>VLOOKUP(A1796&amp;G1796,Lookup!J:N,5,0)</f>
        <v>0</v>
      </c>
      <c r="K1796" s="115"/>
      <c r="L1796" s="54"/>
      <c r="M1796" s="54"/>
      <c r="N1796" s="54"/>
      <c r="O1796" s="112">
        <v>74.5590277777778</v>
      </c>
      <c r="P1796" s="110" t="str">
        <f t="shared" si="110"/>
        <v/>
      </c>
      <c r="Q1796" s="54"/>
      <c r="R1796" s="58"/>
      <c r="S1796" s="87" t="str">
        <f t="shared" si="109"/>
        <v/>
      </c>
      <c r="T1796" s="54"/>
      <c r="U1796" s="54"/>
      <c r="V1796" s="54"/>
      <c r="W1796" s="54"/>
      <c r="X1796" s="69" t="str">
        <f t="shared" si="111"/>
        <v>D</v>
      </c>
    </row>
    <row r="1797" spans="1:24" s="66" customFormat="1" x14ac:dyDescent="0.25">
      <c r="A1797" s="51"/>
      <c r="B1797" s="91" t="str">
        <f>IFERROR(VLOOKUP(A1797,Lookup!A:B,2,0),"")</f>
        <v/>
      </c>
      <c r="C1797" s="92" t="str">
        <f>IFERROR(VLOOKUP(A1797,Lookup!A:C,3,0),"")</f>
        <v/>
      </c>
      <c r="D1797" s="54"/>
      <c r="E1797" s="54"/>
      <c r="F1797" s="54"/>
      <c r="G1797" s="72"/>
      <c r="H1797" s="54"/>
      <c r="I1797" s="54"/>
      <c r="J1797" s="106">
        <f>VLOOKUP(A1797&amp;G1797,Lookup!J:N,5,0)</f>
        <v>0</v>
      </c>
      <c r="K1797" s="115"/>
      <c r="L1797" s="54"/>
      <c r="M1797" s="54"/>
      <c r="N1797" s="54"/>
      <c r="O1797" s="112">
        <v>74.6006944444444</v>
      </c>
      <c r="P1797" s="110" t="str">
        <f t="shared" si="110"/>
        <v/>
      </c>
      <c r="Q1797" s="54"/>
      <c r="R1797" s="58"/>
      <c r="S1797" s="87" t="str">
        <f t="shared" si="109"/>
        <v/>
      </c>
      <c r="T1797" s="54"/>
      <c r="U1797" s="54"/>
      <c r="V1797" s="54"/>
      <c r="W1797" s="54"/>
      <c r="X1797" s="69" t="str">
        <f t="shared" si="111"/>
        <v>D</v>
      </c>
    </row>
    <row r="1798" spans="1:24" s="66" customFormat="1" x14ac:dyDescent="0.25">
      <c r="A1798" s="51"/>
      <c r="B1798" s="91" t="str">
        <f>IFERROR(VLOOKUP(A1798,Lookup!A:B,2,0),"")</f>
        <v/>
      </c>
      <c r="C1798" s="92" t="str">
        <f>IFERROR(VLOOKUP(A1798,Lookup!A:C,3,0),"")</f>
        <v/>
      </c>
      <c r="D1798" s="54"/>
      <c r="E1798" s="54"/>
      <c r="F1798" s="54"/>
      <c r="G1798" s="72"/>
      <c r="H1798" s="54"/>
      <c r="I1798" s="54"/>
      <c r="J1798" s="106">
        <f>VLOOKUP(A1798&amp;G1798,Lookup!J:N,5,0)</f>
        <v>0</v>
      </c>
      <c r="K1798" s="115"/>
      <c r="L1798" s="54"/>
      <c r="M1798" s="54"/>
      <c r="N1798" s="54"/>
      <c r="O1798" s="112">
        <v>74.6423611111111</v>
      </c>
      <c r="P1798" s="110" t="str">
        <f t="shared" si="110"/>
        <v/>
      </c>
      <c r="Q1798" s="54"/>
      <c r="R1798" s="58"/>
      <c r="S1798" s="87" t="str">
        <f t="shared" si="109"/>
        <v/>
      </c>
      <c r="T1798" s="54"/>
      <c r="U1798" s="54"/>
      <c r="V1798" s="54"/>
      <c r="W1798" s="54"/>
      <c r="X1798" s="69" t="str">
        <f t="shared" si="111"/>
        <v>D</v>
      </c>
    </row>
    <row r="1799" spans="1:24" s="66" customFormat="1" x14ac:dyDescent="0.25">
      <c r="A1799" s="51"/>
      <c r="B1799" s="91" t="str">
        <f>IFERROR(VLOOKUP(A1799,Lookup!A:B,2,0),"")</f>
        <v/>
      </c>
      <c r="C1799" s="92" t="str">
        <f>IFERROR(VLOOKUP(A1799,Lookup!A:C,3,0),"")</f>
        <v/>
      </c>
      <c r="D1799" s="54"/>
      <c r="E1799" s="54"/>
      <c r="F1799" s="54"/>
      <c r="G1799" s="72"/>
      <c r="H1799" s="54"/>
      <c r="I1799" s="54"/>
      <c r="J1799" s="106">
        <f>VLOOKUP(A1799&amp;G1799,Lookup!J:N,5,0)</f>
        <v>0</v>
      </c>
      <c r="K1799" s="115"/>
      <c r="L1799" s="54"/>
      <c r="M1799" s="54"/>
      <c r="N1799" s="54"/>
      <c r="O1799" s="112">
        <v>74.6840277777778</v>
      </c>
      <c r="P1799" s="110" t="str">
        <f t="shared" si="110"/>
        <v/>
      </c>
      <c r="Q1799" s="54"/>
      <c r="R1799" s="58"/>
      <c r="S1799" s="87" t="str">
        <f t="shared" ref="S1799:S1862" si="112">IF(OR(EXACT(Q1799,""), EXACT(L1799,"")),"",Q1799-L1799)</f>
        <v/>
      </c>
      <c r="T1799" s="54"/>
      <c r="U1799" s="54"/>
      <c r="V1799" s="54"/>
      <c r="W1799" s="54"/>
      <c r="X1799" s="69" t="str">
        <f t="shared" si="111"/>
        <v>D</v>
      </c>
    </row>
    <row r="1800" spans="1:24" s="66" customFormat="1" x14ac:dyDescent="0.25">
      <c r="A1800" s="51"/>
      <c r="B1800" s="91" t="str">
        <f>IFERROR(VLOOKUP(A1800,Lookup!A:B,2,0),"")</f>
        <v/>
      </c>
      <c r="C1800" s="92" t="str">
        <f>IFERROR(VLOOKUP(A1800,Lookup!A:C,3,0),"")</f>
        <v/>
      </c>
      <c r="D1800" s="54"/>
      <c r="E1800" s="54"/>
      <c r="F1800" s="54"/>
      <c r="G1800" s="72"/>
      <c r="H1800" s="54"/>
      <c r="I1800" s="54"/>
      <c r="J1800" s="106">
        <f>VLOOKUP(A1800&amp;G1800,Lookup!J:N,5,0)</f>
        <v>0</v>
      </c>
      <c r="K1800" s="115"/>
      <c r="L1800" s="54"/>
      <c r="M1800" s="54"/>
      <c r="N1800" s="54"/>
      <c r="O1800" s="112">
        <v>74.7256944444444</v>
      </c>
      <c r="P1800" s="110" t="str">
        <f t="shared" si="110"/>
        <v/>
      </c>
      <c r="Q1800" s="54"/>
      <c r="R1800" s="58"/>
      <c r="S1800" s="87" t="str">
        <f t="shared" si="112"/>
        <v/>
      </c>
      <c r="T1800" s="54"/>
      <c r="U1800" s="54"/>
      <c r="V1800" s="54"/>
      <c r="W1800" s="54"/>
      <c r="X1800" s="69" t="str">
        <f t="shared" si="111"/>
        <v>D</v>
      </c>
    </row>
    <row r="1801" spans="1:24" s="66" customFormat="1" x14ac:dyDescent="0.25">
      <c r="A1801" s="51"/>
      <c r="B1801" s="91" t="str">
        <f>IFERROR(VLOOKUP(A1801,Lookup!A:B,2,0),"")</f>
        <v/>
      </c>
      <c r="C1801" s="92" t="str">
        <f>IFERROR(VLOOKUP(A1801,Lookup!A:C,3,0),"")</f>
        <v/>
      </c>
      <c r="D1801" s="54"/>
      <c r="E1801" s="54"/>
      <c r="F1801" s="54"/>
      <c r="G1801" s="72"/>
      <c r="H1801" s="54"/>
      <c r="I1801" s="54"/>
      <c r="J1801" s="106">
        <f>VLOOKUP(A1801&amp;G1801,Lookup!J:N,5,0)</f>
        <v>0</v>
      </c>
      <c r="K1801" s="115"/>
      <c r="L1801" s="54"/>
      <c r="M1801" s="54"/>
      <c r="N1801" s="54"/>
      <c r="O1801" s="112">
        <v>74.7673611111111</v>
      </c>
      <c r="P1801" s="110" t="str">
        <f t="shared" si="110"/>
        <v/>
      </c>
      <c r="Q1801" s="54"/>
      <c r="R1801" s="58"/>
      <c r="S1801" s="87" t="str">
        <f t="shared" si="112"/>
        <v/>
      </c>
      <c r="T1801" s="54"/>
      <c r="U1801" s="54"/>
      <c r="V1801" s="54"/>
      <c r="W1801" s="54"/>
      <c r="X1801" s="69" t="str">
        <f t="shared" si="111"/>
        <v>D</v>
      </c>
    </row>
    <row r="1802" spans="1:24" s="66" customFormat="1" x14ac:dyDescent="0.25">
      <c r="A1802" s="51"/>
      <c r="B1802" s="91" t="str">
        <f>IFERROR(VLOOKUP(A1802,Lookup!A:B,2,0),"")</f>
        <v/>
      </c>
      <c r="C1802" s="92" t="str">
        <f>IFERROR(VLOOKUP(A1802,Lookup!A:C,3,0),"")</f>
        <v/>
      </c>
      <c r="D1802" s="54"/>
      <c r="E1802" s="54"/>
      <c r="F1802" s="54"/>
      <c r="G1802" s="72"/>
      <c r="H1802" s="54"/>
      <c r="I1802" s="54"/>
      <c r="J1802" s="106">
        <f>VLOOKUP(A1802&amp;G1802,Lookup!J:N,5,0)</f>
        <v>0</v>
      </c>
      <c r="K1802" s="115"/>
      <c r="L1802" s="54"/>
      <c r="M1802" s="54"/>
      <c r="N1802" s="54"/>
      <c r="O1802" s="112">
        <v>74.8090277777778</v>
      </c>
      <c r="P1802" s="110" t="str">
        <f t="shared" si="110"/>
        <v/>
      </c>
      <c r="Q1802" s="54"/>
      <c r="R1802" s="58"/>
      <c r="S1802" s="87" t="str">
        <f t="shared" si="112"/>
        <v/>
      </c>
      <c r="T1802" s="54"/>
      <c r="U1802" s="54"/>
      <c r="V1802" s="54"/>
      <c r="W1802" s="54"/>
      <c r="X1802" s="69" t="str">
        <f t="shared" si="111"/>
        <v>D</v>
      </c>
    </row>
    <row r="1803" spans="1:24" s="66" customFormat="1" x14ac:dyDescent="0.25">
      <c r="A1803" s="51"/>
      <c r="B1803" s="91" t="str">
        <f>IFERROR(VLOOKUP(A1803,Lookup!A:B,2,0),"")</f>
        <v/>
      </c>
      <c r="C1803" s="92" t="str">
        <f>IFERROR(VLOOKUP(A1803,Lookup!A:C,3,0),"")</f>
        <v/>
      </c>
      <c r="D1803" s="54"/>
      <c r="E1803" s="54"/>
      <c r="F1803" s="54"/>
      <c r="G1803" s="72"/>
      <c r="H1803" s="54"/>
      <c r="I1803" s="54"/>
      <c r="J1803" s="106">
        <f>VLOOKUP(A1803&amp;G1803,Lookup!J:N,5,0)</f>
        <v>0</v>
      </c>
      <c r="K1803" s="115"/>
      <c r="L1803" s="54"/>
      <c r="M1803" s="54"/>
      <c r="N1803" s="54"/>
      <c r="O1803" s="112">
        <v>74.8506944444444</v>
      </c>
      <c r="P1803" s="110" t="str">
        <f t="shared" si="110"/>
        <v/>
      </c>
      <c r="Q1803" s="54"/>
      <c r="R1803" s="58"/>
      <c r="S1803" s="87" t="str">
        <f t="shared" si="112"/>
        <v/>
      </c>
      <c r="T1803" s="54"/>
      <c r="U1803" s="54"/>
      <c r="V1803" s="54"/>
      <c r="W1803" s="54"/>
      <c r="X1803" s="69" t="str">
        <f t="shared" si="111"/>
        <v>D</v>
      </c>
    </row>
    <row r="1804" spans="1:24" s="66" customFormat="1" x14ac:dyDescent="0.25">
      <c r="A1804" s="51"/>
      <c r="B1804" s="91" t="str">
        <f>IFERROR(VLOOKUP(A1804,Lookup!A:B,2,0),"")</f>
        <v/>
      </c>
      <c r="C1804" s="92" t="str">
        <f>IFERROR(VLOOKUP(A1804,Lookup!A:C,3,0),"")</f>
        <v/>
      </c>
      <c r="D1804" s="54"/>
      <c r="E1804" s="54"/>
      <c r="F1804" s="54"/>
      <c r="G1804" s="72"/>
      <c r="H1804" s="54"/>
      <c r="I1804" s="54"/>
      <c r="J1804" s="106">
        <f>VLOOKUP(A1804&amp;G1804,Lookup!J:N,5,0)</f>
        <v>0</v>
      </c>
      <c r="K1804" s="115"/>
      <c r="L1804" s="54"/>
      <c r="M1804" s="54"/>
      <c r="N1804" s="54"/>
      <c r="O1804" s="112">
        <v>74.8923611111111</v>
      </c>
      <c r="P1804" s="110" t="str">
        <f t="shared" si="110"/>
        <v/>
      </c>
      <c r="Q1804" s="54"/>
      <c r="R1804" s="58"/>
      <c r="S1804" s="87" t="str">
        <f t="shared" si="112"/>
        <v/>
      </c>
      <c r="T1804" s="54"/>
      <c r="U1804" s="54"/>
      <c r="V1804" s="54"/>
      <c r="W1804" s="54"/>
      <c r="X1804" s="69" t="str">
        <f t="shared" si="111"/>
        <v>D</v>
      </c>
    </row>
    <row r="1805" spans="1:24" s="66" customFormat="1" x14ac:dyDescent="0.25">
      <c r="A1805" s="51"/>
      <c r="B1805" s="91" t="str">
        <f>IFERROR(VLOOKUP(A1805,Lookup!A:B,2,0),"")</f>
        <v/>
      </c>
      <c r="C1805" s="92" t="str">
        <f>IFERROR(VLOOKUP(A1805,Lookup!A:C,3,0),"")</f>
        <v/>
      </c>
      <c r="D1805" s="54"/>
      <c r="E1805" s="54"/>
      <c r="F1805" s="54"/>
      <c r="G1805" s="72"/>
      <c r="H1805" s="54"/>
      <c r="I1805" s="54"/>
      <c r="J1805" s="106">
        <f>VLOOKUP(A1805&amp;G1805,Lookup!J:N,5,0)</f>
        <v>0</v>
      </c>
      <c r="K1805" s="115"/>
      <c r="L1805" s="54"/>
      <c r="M1805" s="54"/>
      <c r="N1805" s="54"/>
      <c r="O1805" s="112">
        <v>74.9340277777778</v>
      </c>
      <c r="P1805" s="110" t="str">
        <f t="shared" si="110"/>
        <v/>
      </c>
      <c r="Q1805" s="54"/>
      <c r="R1805" s="58"/>
      <c r="S1805" s="87" t="str">
        <f t="shared" si="112"/>
        <v/>
      </c>
      <c r="T1805" s="54"/>
      <c r="U1805" s="54"/>
      <c r="V1805" s="54"/>
      <c r="W1805" s="54"/>
      <c r="X1805" s="69" t="str">
        <f t="shared" si="111"/>
        <v>D</v>
      </c>
    </row>
    <row r="1806" spans="1:24" s="66" customFormat="1" x14ac:dyDescent="0.25">
      <c r="A1806" s="51"/>
      <c r="B1806" s="91" t="str">
        <f>IFERROR(VLOOKUP(A1806,Lookup!A:B,2,0),"")</f>
        <v/>
      </c>
      <c r="C1806" s="92" t="str">
        <f>IFERROR(VLOOKUP(A1806,Lookup!A:C,3,0),"")</f>
        <v/>
      </c>
      <c r="D1806" s="54"/>
      <c r="E1806" s="54"/>
      <c r="F1806" s="54"/>
      <c r="G1806" s="72"/>
      <c r="H1806" s="54"/>
      <c r="I1806" s="54"/>
      <c r="J1806" s="106">
        <f>VLOOKUP(A1806&amp;G1806,Lookup!J:N,5,0)</f>
        <v>0</v>
      </c>
      <c r="K1806" s="115"/>
      <c r="L1806" s="54"/>
      <c r="M1806" s="54"/>
      <c r="N1806" s="54"/>
      <c r="O1806" s="112">
        <v>74.9756944444444</v>
      </c>
      <c r="P1806" s="110" t="str">
        <f t="shared" si="110"/>
        <v/>
      </c>
      <c r="Q1806" s="54"/>
      <c r="R1806" s="58"/>
      <c r="S1806" s="87" t="str">
        <f t="shared" si="112"/>
        <v/>
      </c>
      <c r="T1806" s="54"/>
      <c r="U1806" s="54"/>
      <c r="V1806" s="54"/>
      <c r="W1806" s="54"/>
      <c r="X1806" s="69" t="str">
        <f t="shared" si="111"/>
        <v>D</v>
      </c>
    </row>
    <row r="1807" spans="1:24" s="66" customFormat="1" x14ac:dyDescent="0.25">
      <c r="A1807" s="51"/>
      <c r="B1807" s="91" t="str">
        <f>IFERROR(VLOOKUP(A1807,Lookup!A:B,2,0),"")</f>
        <v/>
      </c>
      <c r="C1807" s="92" t="str">
        <f>IFERROR(VLOOKUP(A1807,Lookup!A:C,3,0),"")</f>
        <v/>
      </c>
      <c r="D1807" s="54"/>
      <c r="E1807" s="54"/>
      <c r="F1807" s="54"/>
      <c r="G1807" s="72"/>
      <c r="H1807" s="54"/>
      <c r="I1807" s="54"/>
      <c r="J1807" s="106">
        <f>VLOOKUP(A1807&amp;G1807,Lookup!J:N,5,0)</f>
        <v>0</v>
      </c>
      <c r="K1807" s="115"/>
      <c r="L1807" s="54"/>
      <c r="M1807" s="54"/>
      <c r="N1807" s="54"/>
      <c r="O1807" s="112">
        <v>75.0173611111111</v>
      </c>
      <c r="P1807" s="110" t="str">
        <f t="shared" si="110"/>
        <v/>
      </c>
      <c r="Q1807" s="54"/>
      <c r="R1807" s="58"/>
      <c r="S1807" s="87" t="str">
        <f t="shared" si="112"/>
        <v/>
      </c>
      <c r="T1807" s="54"/>
      <c r="U1807" s="54"/>
      <c r="V1807" s="54"/>
      <c r="W1807" s="54"/>
      <c r="X1807" s="69" t="str">
        <f t="shared" si="111"/>
        <v>D</v>
      </c>
    </row>
    <row r="1808" spans="1:24" s="66" customFormat="1" x14ac:dyDescent="0.25">
      <c r="A1808" s="51"/>
      <c r="B1808" s="91" t="str">
        <f>IFERROR(VLOOKUP(A1808,Lookup!A:B,2,0),"")</f>
        <v/>
      </c>
      <c r="C1808" s="92" t="str">
        <f>IFERROR(VLOOKUP(A1808,Lookup!A:C,3,0),"")</f>
        <v/>
      </c>
      <c r="D1808" s="54"/>
      <c r="E1808" s="54"/>
      <c r="F1808" s="54"/>
      <c r="G1808" s="72"/>
      <c r="H1808" s="54"/>
      <c r="I1808" s="54"/>
      <c r="J1808" s="106">
        <f>VLOOKUP(A1808&amp;G1808,Lookup!J:N,5,0)</f>
        <v>0</v>
      </c>
      <c r="K1808" s="115"/>
      <c r="L1808" s="54"/>
      <c r="M1808" s="54"/>
      <c r="N1808" s="54"/>
      <c r="O1808" s="112">
        <v>75.0590277777778</v>
      </c>
      <c r="P1808" s="110" t="str">
        <f t="shared" si="110"/>
        <v/>
      </c>
      <c r="Q1808" s="54"/>
      <c r="R1808" s="58"/>
      <c r="S1808" s="87" t="str">
        <f t="shared" si="112"/>
        <v/>
      </c>
      <c r="T1808" s="54"/>
      <c r="U1808" s="54"/>
      <c r="V1808" s="54"/>
      <c r="W1808" s="54"/>
      <c r="X1808" s="69" t="str">
        <f t="shared" si="111"/>
        <v>D</v>
      </c>
    </row>
    <row r="1809" spans="1:24" s="66" customFormat="1" x14ac:dyDescent="0.25">
      <c r="A1809" s="51"/>
      <c r="B1809" s="91" t="str">
        <f>IFERROR(VLOOKUP(A1809,Lookup!A:B,2,0),"")</f>
        <v/>
      </c>
      <c r="C1809" s="92" t="str">
        <f>IFERROR(VLOOKUP(A1809,Lookup!A:C,3,0),"")</f>
        <v/>
      </c>
      <c r="D1809" s="54"/>
      <c r="E1809" s="54"/>
      <c r="F1809" s="54"/>
      <c r="G1809" s="72"/>
      <c r="H1809" s="54"/>
      <c r="I1809" s="54"/>
      <c r="J1809" s="106">
        <f>VLOOKUP(A1809&amp;G1809,Lookup!J:N,5,0)</f>
        <v>0</v>
      </c>
      <c r="K1809" s="115"/>
      <c r="L1809" s="54"/>
      <c r="M1809" s="54"/>
      <c r="N1809" s="54"/>
      <c r="O1809" s="112">
        <v>75.1006944444444</v>
      </c>
      <c r="P1809" s="110" t="str">
        <f t="shared" si="110"/>
        <v/>
      </c>
      <c r="Q1809" s="54"/>
      <c r="R1809" s="58"/>
      <c r="S1809" s="87" t="str">
        <f t="shared" si="112"/>
        <v/>
      </c>
      <c r="T1809" s="54"/>
      <c r="U1809" s="54"/>
      <c r="V1809" s="54"/>
      <c r="W1809" s="54"/>
      <c r="X1809" s="69" t="str">
        <f t="shared" si="111"/>
        <v>D</v>
      </c>
    </row>
    <row r="1810" spans="1:24" s="66" customFormat="1" x14ac:dyDescent="0.25">
      <c r="A1810" s="51"/>
      <c r="B1810" s="91" t="str">
        <f>IFERROR(VLOOKUP(A1810,Lookup!A:B,2,0),"")</f>
        <v/>
      </c>
      <c r="C1810" s="92" t="str">
        <f>IFERROR(VLOOKUP(A1810,Lookup!A:C,3,0),"")</f>
        <v/>
      </c>
      <c r="D1810" s="54"/>
      <c r="E1810" s="54"/>
      <c r="F1810" s="54"/>
      <c r="G1810" s="72"/>
      <c r="H1810" s="54"/>
      <c r="I1810" s="54"/>
      <c r="J1810" s="106">
        <f>VLOOKUP(A1810&amp;G1810,Lookup!J:N,5,0)</f>
        <v>0</v>
      </c>
      <c r="K1810" s="115"/>
      <c r="L1810" s="54"/>
      <c r="M1810" s="54"/>
      <c r="N1810" s="54"/>
      <c r="O1810" s="112">
        <v>75.1423611111111</v>
      </c>
      <c r="P1810" s="110" t="str">
        <f t="shared" si="110"/>
        <v/>
      </c>
      <c r="Q1810" s="54"/>
      <c r="R1810" s="58"/>
      <c r="S1810" s="87" t="str">
        <f t="shared" si="112"/>
        <v/>
      </c>
      <c r="T1810" s="54"/>
      <c r="U1810" s="54"/>
      <c r="V1810" s="54"/>
      <c r="W1810" s="54"/>
      <c r="X1810" s="69" t="str">
        <f t="shared" si="111"/>
        <v>D</v>
      </c>
    </row>
    <row r="1811" spans="1:24" s="66" customFormat="1" x14ac:dyDescent="0.25">
      <c r="A1811" s="51"/>
      <c r="B1811" s="91" t="str">
        <f>IFERROR(VLOOKUP(A1811,Lookup!A:B,2,0),"")</f>
        <v/>
      </c>
      <c r="C1811" s="92" t="str">
        <f>IFERROR(VLOOKUP(A1811,Lookup!A:C,3,0),"")</f>
        <v/>
      </c>
      <c r="D1811" s="54"/>
      <c r="E1811" s="54"/>
      <c r="F1811" s="54"/>
      <c r="G1811" s="72"/>
      <c r="H1811" s="54"/>
      <c r="I1811" s="54"/>
      <c r="J1811" s="106">
        <f>VLOOKUP(A1811&amp;G1811,Lookup!J:N,5,0)</f>
        <v>0</v>
      </c>
      <c r="K1811" s="115"/>
      <c r="L1811" s="54"/>
      <c r="M1811" s="54"/>
      <c r="N1811" s="54"/>
      <c r="O1811" s="112">
        <v>75.1840277777778</v>
      </c>
      <c r="P1811" s="110" t="str">
        <f t="shared" si="110"/>
        <v/>
      </c>
      <c r="Q1811" s="54"/>
      <c r="R1811" s="58"/>
      <c r="S1811" s="87" t="str">
        <f t="shared" si="112"/>
        <v/>
      </c>
      <c r="T1811" s="54"/>
      <c r="U1811" s="54"/>
      <c r="V1811" s="54"/>
      <c r="W1811" s="54"/>
      <c r="X1811" s="69" t="str">
        <f t="shared" si="111"/>
        <v>D</v>
      </c>
    </row>
    <row r="1812" spans="1:24" s="66" customFormat="1" x14ac:dyDescent="0.25">
      <c r="A1812" s="51"/>
      <c r="B1812" s="91" t="str">
        <f>IFERROR(VLOOKUP(A1812,Lookup!A:B,2,0),"")</f>
        <v/>
      </c>
      <c r="C1812" s="92" t="str">
        <f>IFERROR(VLOOKUP(A1812,Lookup!A:C,3,0),"")</f>
        <v/>
      </c>
      <c r="D1812" s="54"/>
      <c r="E1812" s="54"/>
      <c r="F1812" s="54"/>
      <c r="G1812" s="72"/>
      <c r="H1812" s="54"/>
      <c r="I1812" s="54"/>
      <c r="J1812" s="106">
        <f>VLOOKUP(A1812&amp;G1812,Lookup!J:N,5,0)</f>
        <v>0</v>
      </c>
      <c r="K1812" s="115"/>
      <c r="L1812" s="54"/>
      <c r="M1812" s="54"/>
      <c r="N1812" s="54"/>
      <c r="O1812" s="112">
        <v>75.2256944444444</v>
      </c>
      <c r="P1812" s="110" t="str">
        <f t="shared" si="110"/>
        <v/>
      </c>
      <c r="Q1812" s="54"/>
      <c r="R1812" s="58"/>
      <c r="S1812" s="87" t="str">
        <f t="shared" si="112"/>
        <v/>
      </c>
      <c r="T1812" s="54"/>
      <c r="U1812" s="54"/>
      <c r="V1812" s="54"/>
      <c r="W1812" s="54"/>
      <c r="X1812" s="69" t="str">
        <f t="shared" si="111"/>
        <v>D</v>
      </c>
    </row>
    <row r="1813" spans="1:24" s="66" customFormat="1" x14ac:dyDescent="0.25">
      <c r="A1813" s="51"/>
      <c r="B1813" s="91" t="str">
        <f>IFERROR(VLOOKUP(A1813,Lookup!A:B,2,0),"")</f>
        <v/>
      </c>
      <c r="C1813" s="92" t="str">
        <f>IFERROR(VLOOKUP(A1813,Lookup!A:C,3,0),"")</f>
        <v/>
      </c>
      <c r="D1813" s="54"/>
      <c r="E1813" s="54"/>
      <c r="F1813" s="54"/>
      <c r="G1813" s="72"/>
      <c r="H1813" s="54"/>
      <c r="I1813" s="54"/>
      <c r="J1813" s="106">
        <f>VLOOKUP(A1813&amp;G1813,Lookup!J:N,5,0)</f>
        <v>0</v>
      </c>
      <c r="K1813" s="115"/>
      <c r="L1813" s="54"/>
      <c r="M1813" s="54"/>
      <c r="N1813" s="54"/>
      <c r="O1813" s="112">
        <v>75.2673611111111</v>
      </c>
      <c r="P1813" s="110" t="str">
        <f t="shared" si="110"/>
        <v/>
      </c>
      <c r="Q1813" s="54"/>
      <c r="R1813" s="58"/>
      <c r="S1813" s="87" t="str">
        <f t="shared" si="112"/>
        <v/>
      </c>
      <c r="T1813" s="54"/>
      <c r="U1813" s="54"/>
      <c r="V1813" s="54"/>
      <c r="W1813" s="54"/>
      <c r="X1813" s="69" t="str">
        <f t="shared" si="111"/>
        <v>D</v>
      </c>
    </row>
    <row r="1814" spans="1:24" s="66" customFormat="1" x14ac:dyDescent="0.25">
      <c r="A1814" s="51"/>
      <c r="B1814" s="91" t="str">
        <f>IFERROR(VLOOKUP(A1814,Lookup!A:B,2,0),"")</f>
        <v/>
      </c>
      <c r="C1814" s="92" t="str">
        <f>IFERROR(VLOOKUP(A1814,Lookup!A:C,3,0),"")</f>
        <v/>
      </c>
      <c r="D1814" s="54"/>
      <c r="E1814" s="54"/>
      <c r="F1814" s="54"/>
      <c r="G1814" s="72"/>
      <c r="H1814" s="54"/>
      <c r="I1814" s="54"/>
      <c r="J1814" s="106">
        <f>VLOOKUP(A1814&amp;G1814,Lookup!J:N,5,0)</f>
        <v>0</v>
      </c>
      <c r="K1814" s="115"/>
      <c r="L1814" s="54"/>
      <c r="M1814" s="54"/>
      <c r="N1814" s="54"/>
      <c r="O1814" s="112">
        <v>75.3090277777778</v>
      </c>
      <c r="P1814" s="110" t="str">
        <f t="shared" si="110"/>
        <v/>
      </c>
      <c r="Q1814" s="54"/>
      <c r="R1814" s="58"/>
      <c r="S1814" s="87" t="str">
        <f t="shared" si="112"/>
        <v/>
      </c>
      <c r="T1814" s="54"/>
      <c r="U1814" s="54"/>
      <c r="V1814" s="54"/>
      <c r="W1814" s="54"/>
      <c r="X1814" s="69" t="str">
        <f t="shared" si="111"/>
        <v>D</v>
      </c>
    </row>
    <row r="1815" spans="1:24" s="66" customFormat="1" x14ac:dyDescent="0.25">
      <c r="A1815" s="51"/>
      <c r="B1815" s="91" t="str">
        <f>IFERROR(VLOOKUP(A1815,Lookup!A:B,2,0),"")</f>
        <v/>
      </c>
      <c r="C1815" s="92" t="str">
        <f>IFERROR(VLOOKUP(A1815,Lookup!A:C,3,0),"")</f>
        <v/>
      </c>
      <c r="D1815" s="54"/>
      <c r="E1815" s="54"/>
      <c r="F1815" s="54"/>
      <c r="G1815" s="72"/>
      <c r="H1815" s="54"/>
      <c r="I1815" s="54"/>
      <c r="J1815" s="106">
        <f>VLOOKUP(A1815&amp;G1815,Lookup!J:N,5,0)</f>
        <v>0</v>
      </c>
      <c r="K1815" s="115"/>
      <c r="L1815" s="54"/>
      <c r="M1815" s="54"/>
      <c r="N1815" s="54"/>
      <c r="O1815" s="112">
        <v>75.3506944444444</v>
      </c>
      <c r="P1815" s="110" t="str">
        <f t="shared" si="110"/>
        <v/>
      </c>
      <c r="Q1815" s="54"/>
      <c r="R1815" s="58"/>
      <c r="S1815" s="87" t="str">
        <f t="shared" si="112"/>
        <v/>
      </c>
      <c r="T1815" s="54"/>
      <c r="U1815" s="54"/>
      <c r="V1815" s="54"/>
      <c r="W1815" s="54"/>
      <c r="X1815" s="69" t="str">
        <f t="shared" si="111"/>
        <v>D</v>
      </c>
    </row>
    <row r="1816" spans="1:24" s="66" customFormat="1" x14ac:dyDescent="0.25">
      <c r="A1816" s="51"/>
      <c r="B1816" s="91" t="str">
        <f>IFERROR(VLOOKUP(A1816,Lookup!A:B,2,0),"")</f>
        <v/>
      </c>
      <c r="C1816" s="92" t="str">
        <f>IFERROR(VLOOKUP(A1816,Lookup!A:C,3,0),"")</f>
        <v/>
      </c>
      <c r="D1816" s="54"/>
      <c r="E1816" s="54"/>
      <c r="F1816" s="54"/>
      <c r="G1816" s="72"/>
      <c r="H1816" s="54"/>
      <c r="I1816" s="54"/>
      <c r="J1816" s="106">
        <f>VLOOKUP(A1816&amp;G1816,Lookup!J:N,5,0)</f>
        <v>0</v>
      </c>
      <c r="K1816" s="115"/>
      <c r="L1816" s="54"/>
      <c r="M1816" s="54"/>
      <c r="N1816" s="54"/>
      <c r="O1816" s="112">
        <v>75.3923611111111</v>
      </c>
      <c r="P1816" s="110" t="str">
        <f t="shared" si="110"/>
        <v/>
      </c>
      <c r="Q1816" s="54"/>
      <c r="R1816" s="58"/>
      <c r="S1816" s="87" t="str">
        <f t="shared" si="112"/>
        <v/>
      </c>
      <c r="T1816" s="54"/>
      <c r="U1816" s="54"/>
      <c r="V1816" s="54"/>
      <c r="W1816" s="54"/>
      <c r="X1816" s="69" t="str">
        <f t="shared" si="111"/>
        <v>D</v>
      </c>
    </row>
    <row r="1817" spans="1:24" s="66" customFormat="1" x14ac:dyDescent="0.25">
      <c r="A1817" s="51"/>
      <c r="B1817" s="91" t="str">
        <f>IFERROR(VLOOKUP(A1817,Lookup!A:B,2,0),"")</f>
        <v/>
      </c>
      <c r="C1817" s="92" t="str">
        <f>IFERROR(VLOOKUP(A1817,Lookup!A:C,3,0),"")</f>
        <v/>
      </c>
      <c r="D1817" s="54"/>
      <c r="E1817" s="54"/>
      <c r="F1817" s="54"/>
      <c r="G1817" s="72"/>
      <c r="H1817" s="54"/>
      <c r="I1817" s="54"/>
      <c r="J1817" s="106">
        <f>VLOOKUP(A1817&amp;G1817,Lookup!J:N,5,0)</f>
        <v>0</v>
      </c>
      <c r="K1817" s="115"/>
      <c r="L1817" s="54"/>
      <c r="M1817" s="54"/>
      <c r="N1817" s="54"/>
      <c r="O1817" s="112">
        <v>75.4340277777778</v>
      </c>
      <c r="P1817" s="110" t="str">
        <f t="shared" si="110"/>
        <v/>
      </c>
      <c r="Q1817" s="54"/>
      <c r="R1817" s="58"/>
      <c r="S1817" s="87" t="str">
        <f t="shared" si="112"/>
        <v/>
      </c>
      <c r="T1817" s="54"/>
      <c r="U1817" s="54"/>
      <c r="V1817" s="54"/>
      <c r="W1817" s="54"/>
      <c r="X1817" s="69" t="str">
        <f t="shared" si="111"/>
        <v>D</v>
      </c>
    </row>
    <row r="1818" spans="1:24" s="66" customFormat="1" x14ac:dyDescent="0.25">
      <c r="A1818" s="51"/>
      <c r="B1818" s="91" t="str">
        <f>IFERROR(VLOOKUP(A1818,Lookup!A:B,2,0),"")</f>
        <v/>
      </c>
      <c r="C1818" s="92" t="str">
        <f>IFERROR(VLOOKUP(A1818,Lookup!A:C,3,0),"")</f>
        <v/>
      </c>
      <c r="D1818" s="54"/>
      <c r="E1818" s="54"/>
      <c r="F1818" s="54"/>
      <c r="G1818" s="72"/>
      <c r="H1818" s="54"/>
      <c r="I1818" s="54"/>
      <c r="J1818" s="106">
        <f>VLOOKUP(A1818&amp;G1818,Lookup!J:N,5,0)</f>
        <v>0</v>
      </c>
      <c r="K1818" s="115"/>
      <c r="L1818" s="54"/>
      <c r="M1818" s="54"/>
      <c r="N1818" s="54"/>
      <c r="O1818" s="112">
        <v>75.4756944444444</v>
      </c>
      <c r="P1818" s="110" t="str">
        <f t="shared" si="110"/>
        <v/>
      </c>
      <c r="Q1818" s="54"/>
      <c r="R1818" s="58"/>
      <c r="S1818" s="87" t="str">
        <f t="shared" si="112"/>
        <v/>
      </c>
      <c r="T1818" s="54"/>
      <c r="U1818" s="54"/>
      <c r="V1818" s="54"/>
      <c r="W1818" s="54"/>
      <c r="X1818" s="69" t="str">
        <f t="shared" si="111"/>
        <v>D</v>
      </c>
    </row>
    <row r="1819" spans="1:24" s="66" customFormat="1" x14ac:dyDescent="0.25">
      <c r="A1819" s="51"/>
      <c r="B1819" s="91" t="str">
        <f>IFERROR(VLOOKUP(A1819,Lookup!A:B,2,0),"")</f>
        <v/>
      </c>
      <c r="C1819" s="92" t="str">
        <f>IFERROR(VLOOKUP(A1819,Lookup!A:C,3,0),"")</f>
        <v/>
      </c>
      <c r="D1819" s="54"/>
      <c r="E1819" s="54"/>
      <c r="F1819" s="54"/>
      <c r="G1819" s="72"/>
      <c r="H1819" s="54"/>
      <c r="I1819" s="54"/>
      <c r="J1819" s="106">
        <f>VLOOKUP(A1819&amp;G1819,Lookup!J:N,5,0)</f>
        <v>0</v>
      </c>
      <c r="K1819" s="115"/>
      <c r="L1819" s="54"/>
      <c r="M1819" s="54"/>
      <c r="N1819" s="54"/>
      <c r="O1819" s="112">
        <v>75.5173611111111</v>
      </c>
      <c r="P1819" s="110" t="str">
        <f t="shared" si="110"/>
        <v/>
      </c>
      <c r="Q1819" s="54"/>
      <c r="R1819" s="58"/>
      <c r="S1819" s="87" t="str">
        <f t="shared" si="112"/>
        <v/>
      </c>
      <c r="T1819" s="54"/>
      <c r="U1819" s="54"/>
      <c r="V1819" s="54"/>
      <c r="W1819" s="54"/>
      <c r="X1819" s="69" t="str">
        <f t="shared" si="111"/>
        <v>D</v>
      </c>
    </row>
    <row r="1820" spans="1:24" s="66" customFormat="1" x14ac:dyDescent="0.25">
      <c r="A1820" s="51"/>
      <c r="B1820" s="91" t="str">
        <f>IFERROR(VLOOKUP(A1820,Lookup!A:B,2,0),"")</f>
        <v/>
      </c>
      <c r="C1820" s="92" t="str">
        <f>IFERROR(VLOOKUP(A1820,Lookup!A:C,3,0),"")</f>
        <v/>
      </c>
      <c r="D1820" s="54"/>
      <c r="E1820" s="54"/>
      <c r="F1820" s="54"/>
      <c r="G1820" s="72"/>
      <c r="H1820" s="54"/>
      <c r="I1820" s="54"/>
      <c r="J1820" s="106">
        <f>VLOOKUP(A1820&amp;G1820,Lookup!J:N,5,0)</f>
        <v>0</v>
      </c>
      <c r="K1820" s="115"/>
      <c r="L1820" s="54"/>
      <c r="M1820" s="54"/>
      <c r="N1820" s="54"/>
      <c r="O1820" s="112">
        <v>75.5590277777778</v>
      </c>
      <c r="P1820" s="110" t="str">
        <f t="shared" si="110"/>
        <v/>
      </c>
      <c r="Q1820" s="54"/>
      <c r="R1820" s="58"/>
      <c r="S1820" s="87" t="str">
        <f t="shared" si="112"/>
        <v/>
      </c>
      <c r="T1820" s="54"/>
      <c r="U1820" s="54"/>
      <c r="V1820" s="54"/>
      <c r="W1820" s="54"/>
      <c r="X1820" s="69" t="str">
        <f t="shared" si="111"/>
        <v>D</v>
      </c>
    </row>
    <row r="1821" spans="1:24" s="66" customFormat="1" x14ac:dyDescent="0.25">
      <c r="A1821" s="51"/>
      <c r="B1821" s="91" t="str">
        <f>IFERROR(VLOOKUP(A1821,Lookup!A:B,2,0),"")</f>
        <v/>
      </c>
      <c r="C1821" s="92" t="str">
        <f>IFERROR(VLOOKUP(A1821,Lookup!A:C,3,0),"")</f>
        <v/>
      </c>
      <c r="D1821" s="54"/>
      <c r="E1821" s="54"/>
      <c r="F1821" s="54"/>
      <c r="G1821" s="72"/>
      <c r="H1821" s="54"/>
      <c r="I1821" s="54"/>
      <c r="J1821" s="106">
        <f>VLOOKUP(A1821&amp;G1821,Lookup!J:N,5,0)</f>
        <v>0</v>
      </c>
      <c r="K1821" s="115"/>
      <c r="L1821" s="54"/>
      <c r="M1821" s="54"/>
      <c r="N1821" s="54"/>
      <c r="O1821" s="112">
        <v>75.6006944444444</v>
      </c>
      <c r="P1821" s="110" t="str">
        <f t="shared" si="110"/>
        <v/>
      </c>
      <c r="Q1821" s="54"/>
      <c r="R1821" s="58"/>
      <c r="S1821" s="87" t="str">
        <f t="shared" si="112"/>
        <v/>
      </c>
      <c r="T1821" s="54"/>
      <c r="U1821" s="54"/>
      <c r="V1821" s="54"/>
      <c r="W1821" s="54"/>
      <c r="X1821" s="69" t="str">
        <f t="shared" si="111"/>
        <v>D</v>
      </c>
    </row>
    <row r="1822" spans="1:24" s="66" customFormat="1" x14ac:dyDescent="0.25">
      <c r="A1822" s="51"/>
      <c r="B1822" s="91" t="str">
        <f>IFERROR(VLOOKUP(A1822,Lookup!A:B,2,0),"")</f>
        <v/>
      </c>
      <c r="C1822" s="92" t="str">
        <f>IFERROR(VLOOKUP(A1822,Lookup!A:C,3,0),"")</f>
        <v/>
      </c>
      <c r="D1822" s="54"/>
      <c r="E1822" s="54"/>
      <c r="F1822" s="54"/>
      <c r="G1822" s="72"/>
      <c r="H1822" s="54"/>
      <c r="I1822" s="54"/>
      <c r="J1822" s="106">
        <f>VLOOKUP(A1822&amp;G1822,Lookup!J:N,5,0)</f>
        <v>0</v>
      </c>
      <c r="K1822" s="115"/>
      <c r="L1822" s="54"/>
      <c r="M1822" s="54"/>
      <c r="N1822" s="54"/>
      <c r="O1822" s="112">
        <v>75.6423611111111</v>
      </c>
      <c r="P1822" s="110" t="str">
        <f t="shared" si="110"/>
        <v/>
      </c>
      <c r="Q1822" s="54"/>
      <c r="R1822" s="58"/>
      <c r="S1822" s="87" t="str">
        <f t="shared" si="112"/>
        <v/>
      </c>
      <c r="T1822" s="54"/>
      <c r="U1822" s="54"/>
      <c r="V1822" s="54"/>
      <c r="W1822" s="54"/>
      <c r="X1822" s="69" t="str">
        <f t="shared" si="111"/>
        <v>D</v>
      </c>
    </row>
    <row r="1823" spans="1:24" s="66" customFormat="1" x14ac:dyDescent="0.25">
      <c r="A1823" s="51"/>
      <c r="B1823" s="91" t="str">
        <f>IFERROR(VLOOKUP(A1823,Lookup!A:B,2,0),"")</f>
        <v/>
      </c>
      <c r="C1823" s="92" t="str">
        <f>IFERROR(VLOOKUP(A1823,Lookup!A:C,3,0),"")</f>
        <v/>
      </c>
      <c r="D1823" s="54"/>
      <c r="E1823" s="54"/>
      <c r="F1823" s="54"/>
      <c r="G1823" s="72"/>
      <c r="H1823" s="54"/>
      <c r="I1823" s="54"/>
      <c r="J1823" s="106">
        <f>VLOOKUP(A1823&amp;G1823,Lookup!J:N,5,0)</f>
        <v>0</v>
      </c>
      <c r="K1823" s="115"/>
      <c r="L1823" s="54"/>
      <c r="M1823" s="54"/>
      <c r="N1823" s="54"/>
      <c r="O1823" s="112">
        <v>75.6840277777778</v>
      </c>
      <c r="P1823" s="110" t="str">
        <f t="shared" si="110"/>
        <v/>
      </c>
      <c r="Q1823" s="54"/>
      <c r="R1823" s="58"/>
      <c r="S1823" s="87" t="str">
        <f t="shared" si="112"/>
        <v/>
      </c>
      <c r="T1823" s="54"/>
      <c r="U1823" s="54"/>
      <c r="V1823" s="54"/>
      <c r="W1823" s="54"/>
      <c r="X1823" s="69" t="str">
        <f t="shared" si="111"/>
        <v>D</v>
      </c>
    </row>
    <row r="1824" spans="1:24" s="66" customFormat="1" x14ac:dyDescent="0.25">
      <c r="A1824" s="51"/>
      <c r="B1824" s="91" t="str">
        <f>IFERROR(VLOOKUP(A1824,Lookup!A:B,2,0),"")</f>
        <v/>
      </c>
      <c r="C1824" s="92" t="str">
        <f>IFERROR(VLOOKUP(A1824,Lookup!A:C,3,0),"")</f>
        <v/>
      </c>
      <c r="D1824" s="54"/>
      <c r="E1824" s="54"/>
      <c r="F1824" s="54"/>
      <c r="G1824" s="72"/>
      <c r="H1824" s="54"/>
      <c r="I1824" s="54"/>
      <c r="J1824" s="106">
        <f>VLOOKUP(A1824&amp;G1824,Lookup!J:N,5,0)</f>
        <v>0</v>
      </c>
      <c r="K1824" s="115"/>
      <c r="L1824" s="54"/>
      <c r="M1824" s="54"/>
      <c r="N1824" s="54"/>
      <c r="O1824" s="112">
        <v>75.7256944444444</v>
      </c>
      <c r="P1824" s="110" t="str">
        <f t="shared" si="110"/>
        <v/>
      </c>
      <c r="Q1824" s="54"/>
      <c r="R1824" s="58"/>
      <c r="S1824" s="87" t="str">
        <f t="shared" si="112"/>
        <v/>
      </c>
      <c r="T1824" s="54"/>
      <c r="U1824" s="54"/>
      <c r="V1824" s="54"/>
      <c r="W1824" s="54"/>
      <c r="X1824" s="69" t="str">
        <f t="shared" si="111"/>
        <v>D</v>
      </c>
    </row>
    <row r="1825" spans="1:24" s="66" customFormat="1" x14ac:dyDescent="0.25">
      <c r="A1825" s="51"/>
      <c r="B1825" s="91" t="str">
        <f>IFERROR(VLOOKUP(A1825,Lookup!A:B,2,0),"")</f>
        <v/>
      </c>
      <c r="C1825" s="92" t="str">
        <f>IFERROR(VLOOKUP(A1825,Lookup!A:C,3,0),"")</f>
        <v/>
      </c>
      <c r="D1825" s="54"/>
      <c r="E1825" s="54"/>
      <c r="F1825" s="54"/>
      <c r="G1825" s="72"/>
      <c r="H1825" s="54"/>
      <c r="I1825" s="54"/>
      <c r="J1825" s="106">
        <f>VLOOKUP(A1825&amp;G1825,Lookup!J:N,5,0)</f>
        <v>0</v>
      </c>
      <c r="K1825" s="115"/>
      <c r="L1825" s="54"/>
      <c r="M1825" s="54"/>
      <c r="N1825" s="54"/>
      <c r="O1825" s="112">
        <v>75.7673611111111</v>
      </c>
      <c r="P1825" s="110" t="str">
        <f t="shared" si="110"/>
        <v/>
      </c>
      <c r="Q1825" s="54"/>
      <c r="R1825" s="58"/>
      <c r="S1825" s="87" t="str">
        <f t="shared" si="112"/>
        <v/>
      </c>
      <c r="T1825" s="54"/>
      <c r="U1825" s="54"/>
      <c r="V1825" s="54"/>
      <c r="W1825" s="54"/>
      <c r="X1825" s="69" t="str">
        <f t="shared" si="111"/>
        <v>D</v>
      </c>
    </row>
    <row r="1826" spans="1:24" s="66" customFormat="1" x14ac:dyDescent="0.25">
      <c r="A1826" s="51"/>
      <c r="B1826" s="91" t="str">
        <f>IFERROR(VLOOKUP(A1826,Lookup!A:B,2,0),"")</f>
        <v/>
      </c>
      <c r="C1826" s="92" t="str">
        <f>IFERROR(VLOOKUP(A1826,Lookup!A:C,3,0),"")</f>
        <v/>
      </c>
      <c r="D1826" s="54"/>
      <c r="E1826" s="54"/>
      <c r="F1826" s="54"/>
      <c r="G1826" s="72"/>
      <c r="H1826" s="54"/>
      <c r="I1826" s="54"/>
      <c r="J1826" s="106">
        <f>VLOOKUP(A1826&amp;G1826,Lookup!J:N,5,0)</f>
        <v>0</v>
      </c>
      <c r="K1826" s="115"/>
      <c r="L1826" s="54"/>
      <c r="M1826" s="54"/>
      <c r="N1826" s="54"/>
      <c r="O1826" s="112">
        <v>75.8090277777778</v>
      </c>
      <c r="P1826" s="110" t="str">
        <f t="shared" si="110"/>
        <v/>
      </c>
      <c r="Q1826" s="54"/>
      <c r="R1826" s="58"/>
      <c r="S1826" s="87" t="str">
        <f t="shared" si="112"/>
        <v/>
      </c>
      <c r="T1826" s="54"/>
      <c r="U1826" s="54"/>
      <c r="V1826" s="54"/>
      <c r="W1826" s="54"/>
      <c r="X1826" s="69" t="str">
        <f t="shared" si="111"/>
        <v>D</v>
      </c>
    </row>
    <row r="1827" spans="1:24" s="66" customFormat="1" x14ac:dyDescent="0.25">
      <c r="A1827" s="51"/>
      <c r="B1827" s="91" t="str">
        <f>IFERROR(VLOOKUP(A1827,Lookup!A:B,2,0),"")</f>
        <v/>
      </c>
      <c r="C1827" s="92" t="str">
        <f>IFERROR(VLOOKUP(A1827,Lookup!A:C,3,0),"")</f>
        <v/>
      </c>
      <c r="D1827" s="54"/>
      <c r="E1827" s="54"/>
      <c r="F1827" s="54"/>
      <c r="G1827" s="72"/>
      <c r="H1827" s="54"/>
      <c r="I1827" s="54"/>
      <c r="J1827" s="106">
        <f>VLOOKUP(A1827&amp;G1827,Lookup!J:N,5,0)</f>
        <v>0</v>
      </c>
      <c r="K1827" s="115"/>
      <c r="L1827" s="54"/>
      <c r="M1827" s="54"/>
      <c r="N1827" s="54"/>
      <c r="O1827" s="112">
        <v>75.8506944444444</v>
      </c>
      <c r="P1827" s="110" t="str">
        <f t="shared" si="110"/>
        <v/>
      </c>
      <c r="Q1827" s="54"/>
      <c r="R1827" s="58"/>
      <c r="S1827" s="87" t="str">
        <f t="shared" si="112"/>
        <v/>
      </c>
      <c r="T1827" s="54"/>
      <c r="U1827" s="54"/>
      <c r="V1827" s="54"/>
      <c r="W1827" s="54"/>
      <c r="X1827" s="69" t="str">
        <f t="shared" si="111"/>
        <v>D</v>
      </c>
    </row>
    <row r="1828" spans="1:24" s="66" customFormat="1" x14ac:dyDescent="0.25">
      <c r="A1828" s="51"/>
      <c r="B1828" s="91" t="str">
        <f>IFERROR(VLOOKUP(A1828,Lookup!A:B,2,0),"")</f>
        <v/>
      </c>
      <c r="C1828" s="92" t="str">
        <f>IFERROR(VLOOKUP(A1828,Lookup!A:C,3,0),"")</f>
        <v/>
      </c>
      <c r="D1828" s="54"/>
      <c r="E1828" s="54"/>
      <c r="F1828" s="54"/>
      <c r="G1828" s="72"/>
      <c r="H1828" s="54"/>
      <c r="I1828" s="54"/>
      <c r="J1828" s="106">
        <f>VLOOKUP(A1828&amp;G1828,Lookup!J:N,5,0)</f>
        <v>0</v>
      </c>
      <c r="K1828" s="115"/>
      <c r="L1828" s="54"/>
      <c r="M1828" s="54"/>
      <c r="N1828" s="54"/>
      <c r="O1828" s="112">
        <v>75.8923611111111</v>
      </c>
      <c r="P1828" s="110" t="str">
        <f t="shared" si="110"/>
        <v/>
      </c>
      <c r="Q1828" s="54"/>
      <c r="R1828" s="58"/>
      <c r="S1828" s="87" t="str">
        <f t="shared" si="112"/>
        <v/>
      </c>
      <c r="T1828" s="54"/>
      <c r="U1828" s="54"/>
      <c r="V1828" s="54"/>
      <c r="W1828" s="54"/>
      <c r="X1828" s="69" t="str">
        <f t="shared" si="111"/>
        <v>D</v>
      </c>
    </row>
    <row r="1829" spans="1:24" s="66" customFormat="1" x14ac:dyDescent="0.25">
      <c r="A1829" s="51"/>
      <c r="B1829" s="91" t="str">
        <f>IFERROR(VLOOKUP(A1829,Lookup!A:B,2,0),"")</f>
        <v/>
      </c>
      <c r="C1829" s="92" t="str">
        <f>IFERROR(VLOOKUP(A1829,Lookup!A:C,3,0),"")</f>
        <v/>
      </c>
      <c r="D1829" s="54"/>
      <c r="E1829" s="54"/>
      <c r="F1829" s="54"/>
      <c r="G1829" s="72"/>
      <c r="H1829" s="54"/>
      <c r="I1829" s="54"/>
      <c r="J1829" s="106">
        <f>VLOOKUP(A1829&amp;G1829,Lookup!J:N,5,0)</f>
        <v>0</v>
      </c>
      <c r="K1829" s="115"/>
      <c r="L1829" s="54"/>
      <c r="M1829" s="54"/>
      <c r="N1829" s="54"/>
      <c r="O1829" s="112">
        <v>75.9340277777778</v>
      </c>
      <c r="P1829" s="110" t="str">
        <f t="shared" si="110"/>
        <v/>
      </c>
      <c r="Q1829" s="54"/>
      <c r="R1829" s="58"/>
      <c r="S1829" s="87" t="str">
        <f t="shared" si="112"/>
        <v/>
      </c>
      <c r="T1829" s="54"/>
      <c r="U1829" s="54"/>
      <c r="V1829" s="54"/>
      <c r="W1829" s="54"/>
      <c r="X1829" s="69" t="str">
        <f t="shared" si="111"/>
        <v>D</v>
      </c>
    </row>
    <row r="1830" spans="1:24" s="66" customFormat="1" x14ac:dyDescent="0.25">
      <c r="A1830" s="51"/>
      <c r="B1830" s="91" t="str">
        <f>IFERROR(VLOOKUP(A1830,Lookup!A:B,2,0),"")</f>
        <v/>
      </c>
      <c r="C1830" s="92" t="str">
        <f>IFERROR(VLOOKUP(A1830,Lookup!A:C,3,0),"")</f>
        <v/>
      </c>
      <c r="D1830" s="54"/>
      <c r="E1830" s="54"/>
      <c r="F1830" s="54"/>
      <c r="G1830" s="72"/>
      <c r="H1830" s="54"/>
      <c r="I1830" s="54"/>
      <c r="J1830" s="106">
        <f>VLOOKUP(A1830&amp;G1830,Lookup!J:N,5,0)</f>
        <v>0</v>
      </c>
      <c r="K1830" s="115"/>
      <c r="L1830" s="54"/>
      <c r="M1830" s="54"/>
      <c r="N1830" s="54"/>
      <c r="O1830" s="112">
        <v>75.9756944444444</v>
      </c>
      <c r="P1830" s="110" t="str">
        <f t="shared" si="110"/>
        <v/>
      </c>
      <c r="Q1830" s="54"/>
      <c r="R1830" s="58"/>
      <c r="S1830" s="87" t="str">
        <f t="shared" si="112"/>
        <v/>
      </c>
      <c r="T1830" s="54"/>
      <c r="U1830" s="54"/>
      <c r="V1830" s="54"/>
      <c r="W1830" s="54"/>
      <c r="X1830" s="69" t="str">
        <f t="shared" si="111"/>
        <v>D</v>
      </c>
    </row>
    <row r="1831" spans="1:24" s="66" customFormat="1" x14ac:dyDescent="0.25">
      <c r="A1831" s="51"/>
      <c r="B1831" s="91" t="str">
        <f>IFERROR(VLOOKUP(A1831,Lookup!A:B,2,0),"")</f>
        <v/>
      </c>
      <c r="C1831" s="92" t="str">
        <f>IFERROR(VLOOKUP(A1831,Lookup!A:C,3,0),"")</f>
        <v/>
      </c>
      <c r="D1831" s="54"/>
      <c r="E1831" s="54"/>
      <c r="F1831" s="54"/>
      <c r="G1831" s="72"/>
      <c r="H1831" s="54"/>
      <c r="I1831" s="54"/>
      <c r="J1831" s="106">
        <f>VLOOKUP(A1831&amp;G1831,Lookup!J:N,5,0)</f>
        <v>0</v>
      </c>
      <c r="K1831" s="115"/>
      <c r="L1831" s="54"/>
      <c r="M1831" s="54"/>
      <c r="N1831" s="54"/>
      <c r="O1831" s="112">
        <v>76.0173611111111</v>
      </c>
      <c r="P1831" s="110" t="str">
        <f t="shared" si="110"/>
        <v/>
      </c>
      <c r="Q1831" s="54"/>
      <c r="R1831" s="58"/>
      <c r="S1831" s="87" t="str">
        <f t="shared" si="112"/>
        <v/>
      </c>
      <c r="T1831" s="54"/>
      <c r="U1831" s="54"/>
      <c r="V1831" s="54"/>
      <c r="W1831" s="54"/>
      <c r="X1831" s="69" t="str">
        <f t="shared" si="111"/>
        <v>D</v>
      </c>
    </row>
    <row r="1832" spans="1:24" s="66" customFormat="1" x14ac:dyDescent="0.25">
      <c r="A1832" s="51"/>
      <c r="B1832" s="91" t="str">
        <f>IFERROR(VLOOKUP(A1832,Lookup!A:B,2,0),"")</f>
        <v/>
      </c>
      <c r="C1832" s="92" t="str">
        <f>IFERROR(VLOOKUP(A1832,Lookup!A:C,3,0),"")</f>
        <v/>
      </c>
      <c r="D1832" s="54"/>
      <c r="E1832" s="54"/>
      <c r="F1832" s="54"/>
      <c r="G1832" s="72"/>
      <c r="H1832" s="54"/>
      <c r="I1832" s="54"/>
      <c r="J1832" s="106">
        <f>VLOOKUP(A1832&amp;G1832,Lookup!J:N,5,0)</f>
        <v>0</v>
      </c>
      <c r="K1832" s="115"/>
      <c r="L1832" s="54"/>
      <c r="M1832" s="54"/>
      <c r="N1832" s="54"/>
      <c r="O1832" s="112">
        <v>76.0590277777778</v>
      </c>
      <c r="P1832" s="110" t="str">
        <f t="shared" si="110"/>
        <v/>
      </c>
      <c r="Q1832" s="54"/>
      <c r="R1832" s="58"/>
      <c r="S1832" s="87" t="str">
        <f t="shared" si="112"/>
        <v/>
      </c>
      <c r="T1832" s="54"/>
      <c r="U1832" s="54"/>
      <c r="V1832" s="54"/>
      <c r="W1832" s="54"/>
      <c r="X1832" s="69" t="str">
        <f t="shared" si="111"/>
        <v>D</v>
      </c>
    </row>
    <row r="1833" spans="1:24" s="66" customFormat="1" x14ac:dyDescent="0.25">
      <c r="A1833" s="51"/>
      <c r="B1833" s="91" t="str">
        <f>IFERROR(VLOOKUP(A1833,Lookup!A:B,2,0),"")</f>
        <v/>
      </c>
      <c r="C1833" s="92" t="str">
        <f>IFERROR(VLOOKUP(A1833,Lookup!A:C,3,0),"")</f>
        <v/>
      </c>
      <c r="D1833" s="54"/>
      <c r="E1833" s="54"/>
      <c r="F1833" s="54"/>
      <c r="G1833" s="72"/>
      <c r="H1833" s="54"/>
      <c r="I1833" s="54"/>
      <c r="J1833" s="106">
        <f>VLOOKUP(A1833&amp;G1833,Lookup!J:N,5,0)</f>
        <v>0</v>
      </c>
      <c r="K1833" s="115"/>
      <c r="L1833" s="54"/>
      <c r="M1833" s="54"/>
      <c r="N1833" s="54"/>
      <c r="O1833" s="112">
        <v>76.1006944444444</v>
      </c>
      <c r="P1833" s="110" t="str">
        <f t="shared" si="110"/>
        <v/>
      </c>
      <c r="Q1833" s="54"/>
      <c r="R1833" s="58"/>
      <c r="S1833" s="87" t="str">
        <f t="shared" si="112"/>
        <v/>
      </c>
      <c r="T1833" s="54"/>
      <c r="U1833" s="54"/>
      <c r="V1833" s="54"/>
      <c r="W1833" s="54"/>
      <c r="X1833" s="69" t="str">
        <f t="shared" si="111"/>
        <v>D</v>
      </c>
    </row>
    <row r="1834" spans="1:24" s="66" customFormat="1" x14ac:dyDescent="0.25">
      <c r="A1834" s="51"/>
      <c r="B1834" s="91" t="str">
        <f>IFERROR(VLOOKUP(A1834,Lookup!A:B,2,0),"")</f>
        <v/>
      </c>
      <c r="C1834" s="92" t="str">
        <f>IFERROR(VLOOKUP(A1834,Lookup!A:C,3,0),"")</f>
        <v/>
      </c>
      <c r="D1834" s="54"/>
      <c r="E1834" s="54"/>
      <c r="F1834" s="54"/>
      <c r="G1834" s="72"/>
      <c r="H1834" s="54"/>
      <c r="I1834" s="54"/>
      <c r="J1834" s="106">
        <f>VLOOKUP(A1834&amp;G1834,Lookup!J:N,5,0)</f>
        <v>0</v>
      </c>
      <c r="K1834" s="115"/>
      <c r="L1834" s="54"/>
      <c r="M1834" s="54"/>
      <c r="N1834" s="54"/>
      <c r="O1834" s="112">
        <v>76.1423611111111</v>
      </c>
      <c r="P1834" s="110" t="str">
        <f t="shared" si="110"/>
        <v/>
      </c>
      <c r="Q1834" s="54"/>
      <c r="R1834" s="58"/>
      <c r="S1834" s="87" t="str">
        <f t="shared" si="112"/>
        <v/>
      </c>
      <c r="T1834" s="54"/>
      <c r="U1834" s="54"/>
      <c r="V1834" s="54"/>
      <c r="W1834" s="54"/>
      <c r="X1834" s="69" t="str">
        <f t="shared" si="111"/>
        <v>D</v>
      </c>
    </row>
    <row r="1835" spans="1:24" s="66" customFormat="1" x14ac:dyDescent="0.25">
      <c r="A1835" s="51"/>
      <c r="B1835" s="91" t="str">
        <f>IFERROR(VLOOKUP(A1835,Lookup!A:B,2,0),"")</f>
        <v/>
      </c>
      <c r="C1835" s="92" t="str">
        <f>IFERROR(VLOOKUP(A1835,Lookup!A:C,3,0),"")</f>
        <v/>
      </c>
      <c r="D1835" s="54"/>
      <c r="E1835" s="54"/>
      <c r="F1835" s="54"/>
      <c r="G1835" s="72"/>
      <c r="H1835" s="54"/>
      <c r="I1835" s="54"/>
      <c r="J1835" s="106">
        <f>VLOOKUP(A1835&amp;G1835,Lookup!J:N,5,0)</f>
        <v>0</v>
      </c>
      <c r="K1835" s="115"/>
      <c r="L1835" s="54"/>
      <c r="M1835" s="54"/>
      <c r="N1835" s="54"/>
      <c r="O1835" s="112">
        <v>76.1840277777778</v>
      </c>
      <c r="P1835" s="110" t="str">
        <f t="shared" si="110"/>
        <v/>
      </c>
      <c r="Q1835" s="54"/>
      <c r="R1835" s="58"/>
      <c r="S1835" s="87" t="str">
        <f t="shared" si="112"/>
        <v/>
      </c>
      <c r="T1835" s="54"/>
      <c r="U1835" s="54"/>
      <c r="V1835" s="54"/>
      <c r="W1835" s="54"/>
      <c r="X1835" s="69" t="str">
        <f t="shared" si="111"/>
        <v>D</v>
      </c>
    </row>
    <row r="1836" spans="1:24" s="66" customFormat="1" x14ac:dyDescent="0.25">
      <c r="A1836" s="51"/>
      <c r="B1836" s="91" t="str">
        <f>IFERROR(VLOOKUP(A1836,Lookup!A:B,2,0),"")</f>
        <v/>
      </c>
      <c r="C1836" s="92" t="str">
        <f>IFERROR(VLOOKUP(A1836,Lookup!A:C,3,0),"")</f>
        <v/>
      </c>
      <c r="D1836" s="54"/>
      <c r="E1836" s="54"/>
      <c r="F1836" s="54"/>
      <c r="G1836" s="72"/>
      <c r="H1836" s="54"/>
      <c r="I1836" s="54"/>
      <c r="J1836" s="106">
        <f>VLOOKUP(A1836&amp;G1836,Lookup!J:N,5,0)</f>
        <v>0</v>
      </c>
      <c r="K1836" s="115"/>
      <c r="L1836" s="54"/>
      <c r="M1836" s="54"/>
      <c r="N1836" s="54"/>
      <c r="O1836" s="112">
        <v>76.2256944444444</v>
      </c>
      <c r="P1836" s="110" t="str">
        <f t="shared" si="110"/>
        <v/>
      </c>
      <c r="Q1836" s="54"/>
      <c r="R1836" s="58"/>
      <c r="S1836" s="87" t="str">
        <f t="shared" si="112"/>
        <v/>
      </c>
      <c r="T1836" s="54"/>
      <c r="U1836" s="54"/>
      <c r="V1836" s="54"/>
      <c r="W1836" s="54"/>
      <c r="X1836" s="69" t="str">
        <f t="shared" si="111"/>
        <v>D</v>
      </c>
    </row>
    <row r="1837" spans="1:24" s="66" customFormat="1" x14ac:dyDescent="0.25">
      <c r="A1837" s="51"/>
      <c r="B1837" s="91" t="str">
        <f>IFERROR(VLOOKUP(A1837,Lookup!A:B,2,0),"")</f>
        <v/>
      </c>
      <c r="C1837" s="92" t="str">
        <f>IFERROR(VLOOKUP(A1837,Lookup!A:C,3,0),"")</f>
        <v/>
      </c>
      <c r="D1837" s="54"/>
      <c r="E1837" s="54"/>
      <c r="F1837" s="54"/>
      <c r="G1837" s="72"/>
      <c r="H1837" s="54"/>
      <c r="I1837" s="54"/>
      <c r="J1837" s="106">
        <f>VLOOKUP(A1837&amp;G1837,Lookup!J:N,5,0)</f>
        <v>0</v>
      </c>
      <c r="K1837" s="115"/>
      <c r="L1837" s="54"/>
      <c r="M1837" s="54"/>
      <c r="N1837" s="54"/>
      <c r="O1837" s="112">
        <v>76.2673611111111</v>
      </c>
      <c r="P1837" s="110" t="str">
        <f t="shared" si="110"/>
        <v/>
      </c>
      <c r="Q1837" s="54"/>
      <c r="R1837" s="58"/>
      <c r="S1837" s="87" t="str">
        <f t="shared" si="112"/>
        <v/>
      </c>
      <c r="T1837" s="54"/>
      <c r="U1837" s="54"/>
      <c r="V1837" s="54"/>
      <c r="W1837" s="54"/>
      <c r="X1837" s="69" t="str">
        <f t="shared" si="111"/>
        <v>D</v>
      </c>
    </row>
    <row r="1838" spans="1:24" s="66" customFormat="1" x14ac:dyDescent="0.25">
      <c r="A1838" s="51"/>
      <c r="B1838" s="91" t="str">
        <f>IFERROR(VLOOKUP(A1838,Lookup!A:B,2,0),"")</f>
        <v/>
      </c>
      <c r="C1838" s="92" t="str">
        <f>IFERROR(VLOOKUP(A1838,Lookup!A:C,3,0),"")</f>
        <v/>
      </c>
      <c r="D1838" s="54"/>
      <c r="E1838" s="54"/>
      <c r="F1838" s="54"/>
      <c r="G1838" s="72"/>
      <c r="H1838" s="54"/>
      <c r="I1838" s="54"/>
      <c r="J1838" s="106">
        <f>VLOOKUP(A1838&amp;G1838,Lookup!J:N,5,0)</f>
        <v>0</v>
      </c>
      <c r="K1838" s="115"/>
      <c r="L1838" s="54"/>
      <c r="M1838" s="54"/>
      <c r="N1838" s="54"/>
      <c r="O1838" s="112">
        <v>76.3090277777778</v>
      </c>
      <c r="P1838" s="110" t="str">
        <f t="shared" si="110"/>
        <v/>
      </c>
      <c r="Q1838" s="54"/>
      <c r="R1838" s="58"/>
      <c r="S1838" s="87" t="str">
        <f t="shared" si="112"/>
        <v/>
      </c>
      <c r="T1838" s="54"/>
      <c r="U1838" s="54"/>
      <c r="V1838" s="54"/>
      <c r="W1838" s="54"/>
      <c r="X1838" s="69" t="str">
        <f t="shared" si="111"/>
        <v>D</v>
      </c>
    </row>
    <row r="1839" spans="1:24" s="66" customFormat="1" x14ac:dyDescent="0.25">
      <c r="A1839" s="51"/>
      <c r="B1839" s="91" t="str">
        <f>IFERROR(VLOOKUP(A1839,Lookup!A:B,2,0),"")</f>
        <v/>
      </c>
      <c r="C1839" s="92" t="str">
        <f>IFERROR(VLOOKUP(A1839,Lookup!A:C,3,0),"")</f>
        <v/>
      </c>
      <c r="D1839" s="54"/>
      <c r="E1839" s="54"/>
      <c r="F1839" s="54"/>
      <c r="G1839" s="72"/>
      <c r="H1839" s="54"/>
      <c r="I1839" s="54"/>
      <c r="J1839" s="106">
        <f>VLOOKUP(A1839&amp;G1839,Lookup!J:N,5,0)</f>
        <v>0</v>
      </c>
      <c r="K1839" s="115"/>
      <c r="L1839" s="54"/>
      <c r="M1839" s="54"/>
      <c r="N1839" s="54"/>
      <c r="O1839" s="112">
        <v>76.3506944444444</v>
      </c>
      <c r="P1839" s="110" t="str">
        <f t="shared" si="110"/>
        <v/>
      </c>
      <c r="Q1839" s="54"/>
      <c r="R1839" s="58"/>
      <c r="S1839" s="87" t="str">
        <f t="shared" si="112"/>
        <v/>
      </c>
      <c r="T1839" s="54"/>
      <c r="U1839" s="54"/>
      <c r="V1839" s="54"/>
      <c r="W1839" s="54"/>
      <c r="X1839" s="69" t="str">
        <f t="shared" si="111"/>
        <v>D</v>
      </c>
    </row>
    <row r="1840" spans="1:24" s="66" customFormat="1" x14ac:dyDescent="0.25">
      <c r="A1840" s="51"/>
      <c r="B1840" s="91" t="str">
        <f>IFERROR(VLOOKUP(A1840,Lookup!A:B,2,0),"")</f>
        <v/>
      </c>
      <c r="C1840" s="92" t="str">
        <f>IFERROR(VLOOKUP(A1840,Lookup!A:C,3,0),"")</f>
        <v/>
      </c>
      <c r="D1840" s="54"/>
      <c r="E1840" s="54"/>
      <c r="F1840" s="54"/>
      <c r="G1840" s="72"/>
      <c r="H1840" s="54"/>
      <c r="I1840" s="54"/>
      <c r="J1840" s="106">
        <f>VLOOKUP(A1840&amp;G1840,Lookup!J:N,5,0)</f>
        <v>0</v>
      </c>
      <c r="K1840" s="115"/>
      <c r="L1840" s="54"/>
      <c r="M1840" s="54"/>
      <c r="N1840" s="54"/>
      <c r="O1840" s="112">
        <v>76.3923611111111</v>
      </c>
      <c r="P1840" s="110" t="str">
        <f t="shared" si="110"/>
        <v/>
      </c>
      <c r="Q1840" s="54"/>
      <c r="R1840" s="58"/>
      <c r="S1840" s="87" t="str">
        <f t="shared" si="112"/>
        <v/>
      </c>
      <c r="T1840" s="54"/>
      <c r="U1840" s="54"/>
      <c r="V1840" s="54"/>
      <c r="W1840" s="54"/>
      <c r="X1840" s="69" t="str">
        <f t="shared" si="111"/>
        <v>D</v>
      </c>
    </row>
    <row r="1841" spans="1:24" s="66" customFormat="1" x14ac:dyDescent="0.25">
      <c r="A1841" s="51"/>
      <c r="B1841" s="91" t="str">
        <f>IFERROR(VLOOKUP(A1841,Lookup!A:B,2,0),"")</f>
        <v/>
      </c>
      <c r="C1841" s="92" t="str">
        <f>IFERROR(VLOOKUP(A1841,Lookup!A:C,3,0),"")</f>
        <v/>
      </c>
      <c r="D1841" s="54"/>
      <c r="E1841" s="54"/>
      <c r="F1841" s="54"/>
      <c r="G1841" s="72"/>
      <c r="H1841" s="54"/>
      <c r="I1841" s="54"/>
      <c r="J1841" s="106">
        <f>VLOOKUP(A1841&amp;G1841,Lookup!J:N,5,0)</f>
        <v>0</v>
      </c>
      <c r="K1841" s="115"/>
      <c r="L1841" s="54"/>
      <c r="M1841" s="54"/>
      <c r="N1841" s="54"/>
      <c r="O1841" s="112">
        <v>76.4340277777778</v>
      </c>
      <c r="P1841" s="110" t="str">
        <f t="shared" si="110"/>
        <v/>
      </c>
      <c r="Q1841" s="54"/>
      <c r="R1841" s="58"/>
      <c r="S1841" s="87" t="str">
        <f t="shared" si="112"/>
        <v/>
      </c>
      <c r="T1841" s="54"/>
      <c r="U1841" s="54"/>
      <c r="V1841" s="54"/>
      <c r="W1841" s="54"/>
      <c r="X1841" s="69" t="str">
        <f t="shared" si="111"/>
        <v>D</v>
      </c>
    </row>
    <row r="1842" spans="1:24" s="66" customFormat="1" x14ac:dyDescent="0.25">
      <c r="A1842" s="51"/>
      <c r="B1842" s="91" t="str">
        <f>IFERROR(VLOOKUP(A1842,Lookup!A:B,2,0),"")</f>
        <v/>
      </c>
      <c r="C1842" s="92" t="str">
        <f>IFERROR(VLOOKUP(A1842,Lookup!A:C,3,0),"")</f>
        <v/>
      </c>
      <c r="D1842" s="54"/>
      <c r="E1842" s="54"/>
      <c r="F1842" s="54"/>
      <c r="G1842" s="72"/>
      <c r="H1842" s="54"/>
      <c r="I1842" s="54"/>
      <c r="J1842" s="106">
        <f>VLOOKUP(A1842&amp;G1842,Lookup!J:N,5,0)</f>
        <v>0</v>
      </c>
      <c r="K1842" s="115"/>
      <c r="L1842" s="54"/>
      <c r="M1842" s="54"/>
      <c r="N1842" s="54"/>
      <c r="O1842" s="112">
        <v>76.4756944444444</v>
      </c>
      <c r="P1842" s="110" t="str">
        <f t="shared" si="110"/>
        <v/>
      </c>
      <c r="Q1842" s="54"/>
      <c r="R1842" s="58"/>
      <c r="S1842" s="87" t="str">
        <f t="shared" si="112"/>
        <v/>
      </c>
      <c r="T1842" s="54"/>
      <c r="U1842" s="54"/>
      <c r="V1842" s="54"/>
      <c r="W1842" s="54"/>
      <c r="X1842" s="69" t="str">
        <f t="shared" si="111"/>
        <v>D</v>
      </c>
    </row>
    <row r="1843" spans="1:24" s="66" customFormat="1" x14ac:dyDescent="0.25">
      <c r="A1843" s="51"/>
      <c r="B1843" s="91" t="str">
        <f>IFERROR(VLOOKUP(A1843,Lookup!A:B,2,0),"")</f>
        <v/>
      </c>
      <c r="C1843" s="92" t="str">
        <f>IFERROR(VLOOKUP(A1843,Lookup!A:C,3,0),"")</f>
        <v/>
      </c>
      <c r="D1843" s="54"/>
      <c r="E1843" s="54"/>
      <c r="F1843" s="54"/>
      <c r="G1843" s="72"/>
      <c r="H1843" s="54"/>
      <c r="I1843" s="54"/>
      <c r="J1843" s="106">
        <f>VLOOKUP(A1843&amp;G1843,Lookup!J:N,5,0)</f>
        <v>0</v>
      </c>
      <c r="K1843" s="115"/>
      <c r="L1843" s="54"/>
      <c r="M1843" s="54"/>
      <c r="N1843" s="54"/>
      <c r="O1843" s="112">
        <v>76.5173611111111</v>
      </c>
      <c r="P1843" s="110" t="str">
        <f t="shared" si="110"/>
        <v/>
      </c>
      <c r="Q1843" s="54"/>
      <c r="R1843" s="58"/>
      <c r="S1843" s="87" t="str">
        <f t="shared" si="112"/>
        <v/>
      </c>
      <c r="T1843" s="54"/>
      <c r="U1843" s="54"/>
      <c r="V1843" s="54"/>
      <c r="W1843" s="54"/>
      <c r="X1843" s="69" t="str">
        <f t="shared" si="111"/>
        <v>D</v>
      </c>
    </row>
    <row r="1844" spans="1:24" s="66" customFormat="1" x14ac:dyDescent="0.25">
      <c r="A1844" s="51"/>
      <c r="B1844" s="91" t="str">
        <f>IFERROR(VLOOKUP(A1844,Lookup!A:B,2,0),"")</f>
        <v/>
      </c>
      <c r="C1844" s="92" t="str">
        <f>IFERROR(VLOOKUP(A1844,Lookup!A:C,3,0),"")</f>
        <v/>
      </c>
      <c r="D1844" s="54"/>
      <c r="E1844" s="54"/>
      <c r="F1844" s="54"/>
      <c r="G1844" s="72"/>
      <c r="H1844" s="54"/>
      <c r="I1844" s="54"/>
      <c r="J1844" s="106">
        <f>VLOOKUP(A1844&amp;G1844,Lookup!J:N,5,0)</f>
        <v>0</v>
      </c>
      <c r="K1844" s="115"/>
      <c r="L1844" s="54"/>
      <c r="M1844" s="54"/>
      <c r="N1844" s="54"/>
      <c r="O1844" s="112">
        <v>76.5590277777778</v>
      </c>
      <c r="P1844" s="110" t="str">
        <f t="shared" si="110"/>
        <v/>
      </c>
      <c r="Q1844" s="54"/>
      <c r="R1844" s="58"/>
      <c r="S1844" s="87" t="str">
        <f t="shared" si="112"/>
        <v/>
      </c>
      <c r="T1844" s="54"/>
      <c r="U1844" s="54"/>
      <c r="V1844" s="54"/>
      <c r="W1844" s="54"/>
      <c r="X1844" s="69" t="str">
        <f t="shared" si="111"/>
        <v>D</v>
      </c>
    </row>
    <row r="1845" spans="1:24" s="66" customFormat="1" x14ac:dyDescent="0.25">
      <c r="A1845" s="51"/>
      <c r="B1845" s="91" t="str">
        <f>IFERROR(VLOOKUP(A1845,Lookup!A:B,2,0),"")</f>
        <v/>
      </c>
      <c r="C1845" s="92" t="str">
        <f>IFERROR(VLOOKUP(A1845,Lookup!A:C,3,0),"")</f>
        <v/>
      </c>
      <c r="D1845" s="54"/>
      <c r="E1845" s="54"/>
      <c r="F1845" s="54"/>
      <c r="G1845" s="72"/>
      <c r="H1845" s="54"/>
      <c r="I1845" s="54"/>
      <c r="J1845" s="106">
        <f>VLOOKUP(A1845&amp;G1845,Lookup!J:N,5,0)</f>
        <v>0</v>
      </c>
      <c r="K1845" s="115"/>
      <c r="L1845" s="54"/>
      <c r="M1845" s="54"/>
      <c r="N1845" s="54"/>
      <c r="O1845" s="112">
        <v>76.6006944444444</v>
      </c>
      <c r="P1845" s="110" t="str">
        <f t="shared" si="110"/>
        <v/>
      </c>
      <c r="Q1845" s="54"/>
      <c r="R1845" s="58"/>
      <c r="S1845" s="87" t="str">
        <f t="shared" si="112"/>
        <v/>
      </c>
      <c r="T1845" s="54"/>
      <c r="U1845" s="54"/>
      <c r="V1845" s="54"/>
      <c r="W1845" s="54"/>
      <c r="X1845" s="69" t="str">
        <f t="shared" si="111"/>
        <v>D</v>
      </c>
    </row>
    <row r="1846" spans="1:24" s="66" customFormat="1" x14ac:dyDescent="0.25">
      <c r="A1846" s="51"/>
      <c r="B1846" s="91" t="str">
        <f>IFERROR(VLOOKUP(A1846,Lookup!A:B,2,0),"")</f>
        <v/>
      </c>
      <c r="C1846" s="92" t="str">
        <f>IFERROR(VLOOKUP(A1846,Lookup!A:C,3,0),"")</f>
        <v/>
      </c>
      <c r="D1846" s="54"/>
      <c r="E1846" s="54"/>
      <c r="F1846" s="54"/>
      <c r="G1846" s="72"/>
      <c r="H1846" s="54"/>
      <c r="I1846" s="54"/>
      <c r="J1846" s="106">
        <f>VLOOKUP(A1846&amp;G1846,Lookup!J:N,5,0)</f>
        <v>0</v>
      </c>
      <c r="K1846" s="115"/>
      <c r="L1846" s="54"/>
      <c r="M1846" s="54"/>
      <c r="N1846" s="54"/>
      <c r="O1846" s="112">
        <v>76.6423611111111</v>
      </c>
      <c r="P1846" s="110" t="str">
        <f t="shared" si="110"/>
        <v/>
      </c>
      <c r="Q1846" s="54"/>
      <c r="R1846" s="58"/>
      <c r="S1846" s="87" t="str">
        <f t="shared" si="112"/>
        <v/>
      </c>
      <c r="T1846" s="54"/>
      <c r="U1846" s="54"/>
      <c r="V1846" s="54"/>
      <c r="W1846" s="54"/>
      <c r="X1846" s="69" t="str">
        <f t="shared" si="111"/>
        <v>D</v>
      </c>
    </row>
    <row r="1847" spans="1:24" s="66" customFormat="1" x14ac:dyDescent="0.25">
      <c r="A1847" s="51"/>
      <c r="B1847" s="91" t="str">
        <f>IFERROR(VLOOKUP(A1847,Lookup!A:B,2,0),"")</f>
        <v/>
      </c>
      <c r="C1847" s="92" t="str">
        <f>IFERROR(VLOOKUP(A1847,Lookup!A:C,3,0),"")</f>
        <v/>
      </c>
      <c r="D1847" s="54"/>
      <c r="E1847" s="54"/>
      <c r="F1847" s="54"/>
      <c r="G1847" s="72"/>
      <c r="H1847" s="54"/>
      <c r="I1847" s="54"/>
      <c r="J1847" s="106">
        <f>VLOOKUP(A1847&amp;G1847,Lookup!J:N,5,0)</f>
        <v>0</v>
      </c>
      <c r="K1847" s="115"/>
      <c r="L1847" s="54"/>
      <c r="M1847" s="54"/>
      <c r="N1847" s="54"/>
      <c r="O1847" s="112">
        <v>76.6840277777778</v>
      </c>
      <c r="P1847" s="110" t="str">
        <f t="shared" si="110"/>
        <v/>
      </c>
      <c r="Q1847" s="54"/>
      <c r="R1847" s="58"/>
      <c r="S1847" s="87" t="str">
        <f t="shared" si="112"/>
        <v/>
      </c>
      <c r="T1847" s="54"/>
      <c r="U1847" s="54"/>
      <c r="V1847" s="54"/>
      <c r="W1847" s="54"/>
      <c r="X1847" s="69" t="str">
        <f t="shared" si="111"/>
        <v>D</v>
      </c>
    </row>
    <row r="1848" spans="1:24" s="66" customFormat="1" x14ac:dyDescent="0.25">
      <c r="A1848" s="51"/>
      <c r="B1848" s="91" t="str">
        <f>IFERROR(VLOOKUP(A1848,Lookup!A:B,2,0),"")</f>
        <v/>
      </c>
      <c r="C1848" s="92" t="str">
        <f>IFERROR(VLOOKUP(A1848,Lookup!A:C,3,0),"")</f>
        <v/>
      </c>
      <c r="D1848" s="54"/>
      <c r="E1848" s="54"/>
      <c r="F1848" s="54"/>
      <c r="G1848" s="72"/>
      <c r="H1848" s="54"/>
      <c r="I1848" s="54"/>
      <c r="J1848" s="106">
        <f>VLOOKUP(A1848&amp;G1848,Lookup!J:N,5,0)</f>
        <v>0</v>
      </c>
      <c r="K1848" s="115"/>
      <c r="L1848" s="54"/>
      <c r="M1848" s="54"/>
      <c r="N1848" s="54"/>
      <c r="O1848" s="112">
        <v>76.7256944444444</v>
      </c>
      <c r="P1848" s="110" t="str">
        <f t="shared" si="110"/>
        <v/>
      </c>
      <c r="Q1848" s="54"/>
      <c r="R1848" s="58"/>
      <c r="S1848" s="87" t="str">
        <f t="shared" si="112"/>
        <v/>
      </c>
      <c r="T1848" s="54"/>
      <c r="U1848" s="54"/>
      <c r="V1848" s="54"/>
      <c r="W1848" s="54"/>
      <c r="X1848" s="69" t="str">
        <f t="shared" si="111"/>
        <v>D</v>
      </c>
    </row>
    <row r="1849" spans="1:24" s="66" customFormat="1" x14ac:dyDescent="0.25">
      <c r="A1849" s="51"/>
      <c r="B1849" s="91" t="str">
        <f>IFERROR(VLOOKUP(A1849,Lookup!A:B,2,0),"")</f>
        <v/>
      </c>
      <c r="C1849" s="92" t="str">
        <f>IFERROR(VLOOKUP(A1849,Lookup!A:C,3,0),"")</f>
        <v/>
      </c>
      <c r="D1849" s="54"/>
      <c r="E1849" s="54"/>
      <c r="F1849" s="54"/>
      <c r="G1849" s="72"/>
      <c r="H1849" s="54"/>
      <c r="I1849" s="54"/>
      <c r="J1849" s="106">
        <f>VLOOKUP(A1849&amp;G1849,Lookup!J:N,5,0)</f>
        <v>0</v>
      </c>
      <c r="K1849" s="115"/>
      <c r="L1849" s="54"/>
      <c r="M1849" s="54"/>
      <c r="N1849" s="54"/>
      <c r="O1849" s="112">
        <v>76.7673611111111</v>
      </c>
      <c r="P1849" s="110" t="str">
        <f t="shared" si="110"/>
        <v/>
      </c>
      <c r="Q1849" s="54"/>
      <c r="R1849" s="58"/>
      <c r="S1849" s="87" t="str">
        <f t="shared" si="112"/>
        <v/>
      </c>
      <c r="T1849" s="54"/>
      <c r="U1849" s="54"/>
      <c r="V1849" s="54"/>
      <c r="W1849" s="54"/>
      <c r="X1849" s="69" t="str">
        <f t="shared" si="111"/>
        <v>D</v>
      </c>
    </row>
    <row r="1850" spans="1:24" s="66" customFormat="1" x14ac:dyDescent="0.25">
      <c r="A1850" s="51"/>
      <c r="B1850" s="91" t="str">
        <f>IFERROR(VLOOKUP(A1850,Lookup!A:B,2,0),"")</f>
        <v/>
      </c>
      <c r="C1850" s="92" t="str">
        <f>IFERROR(VLOOKUP(A1850,Lookup!A:C,3,0),"")</f>
        <v/>
      </c>
      <c r="D1850" s="54"/>
      <c r="E1850" s="54"/>
      <c r="F1850" s="54"/>
      <c r="G1850" s="72"/>
      <c r="H1850" s="54"/>
      <c r="I1850" s="54"/>
      <c r="J1850" s="106">
        <f>VLOOKUP(A1850&amp;G1850,Lookup!J:N,5,0)</f>
        <v>0</v>
      </c>
      <c r="K1850" s="115"/>
      <c r="L1850" s="54"/>
      <c r="M1850" s="54"/>
      <c r="N1850" s="54"/>
      <c r="O1850" s="112">
        <v>76.8090277777778</v>
      </c>
      <c r="P1850" s="110" t="str">
        <f t="shared" si="110"/>
        <v/>
      </c>
      <c r="Q1850" s="54"/>
      <c r="R1850" s="58"/>
      <c r="S1850" s="87" t="str">
        <f t="shared" si="112"/>
        <v/>
      </c>
      <c r="T1850" s="54"/>
      <c r="U1850" s="54"/>
      <c r="V1850" s="54"/>
      <c r="W1850" s="54"/>
      <c r="X1850" s="69" t="str">
        <f t="shared" si="111"/>
        <v>D</v>
      </c>
    </row>
    <row r="1851" spans="1:24" s="66" customFormat="1" x14ac:dyDescent="0.25">
      <c r="A1851" s="51"/>
      <c r="B1851" s="91" t="str">
        <f>IFERROR(VLOOKUP(A1851,Lookup!A:B,2,0),"")</f>
        <v/>
      </c>
      <c r="C1851" s="92" t="str">
        <f>IFERROR(VLOOKUP(A1851,Lookup!A:C,3,0),"")</f>
        <v/>
      </c>
      <c r="D1851" s="54"/>
      <c r="E1851" s="54"/>
      <c r="F1851" s="54"/>
      <c r="G1851" s="72"/>
      <c r="H1851" s="54"/>
      <c r="I1851" s="54"/>
      <c r="J1851" s="106">
        <f>VLOOKUP(A1851&amp;G1851,Lookup!J:N,5,0)</f>
        <v>0</v>
      </c>
      <c r="K1851" s="115"/>
      <c r="L1851" s="54"/>
      <c r="M1851" s="54"/>
      <c r="N1851" s="54"/>
      <c r="O1851" s="112">
        <v>76.8506944444444</v>
      </c>
      <c r="P1851" s="110" t="str">
        <f t="shared" si="110"/>
        <v/>
      </c>
      <c r="Q1851" s="54"/>
      <c r="R1851" s="58"/>
      <c r="S1851" s="87" t="str">
        <f t="shared" si="112"/>
        <v/>
      </c>
      <c r="T1851" s="54"/>
      <c r="U1851" s="54"/>
      <c r="V1851" s="54"/>
      <c r="W1851" s="54"/>
      <c r="X1851" s="69" t="str">
        <f t="shared" si="111"/>
        <v>D</v>
      </c>
    </row>
    <row r="1852" spans="1:24" s="66" customFormat="1" x14ac:dyDescent="0.25">
      <c r="A1852" s="51"/>
      <c r="B1852" s="91" t="str">
        <f>IFERROR(VLOOKUP(A1852,Lookup!A:B,2,0),"")</f>
        <v/>
      </c>
      <c r="C1852" s="92" t="str">
        <f>IFERROR(VLOOKUP(A1852,Lookup!A:C,3,0),"")</f>
        <v/>
      </c>
      <c r="D1852" s="54"/>
      <c r="E1852" s="54"/>
      <c r="F1852" s="54"/>
      <c r="G1852" s="72"/>
      <c r="H1852" s="54"/>
      <c r="I1852" s="54"/>
      <c r="J1852" s="106">
        <f>VLOOKUP(A1852&amp;G1852,Lookup!J:N,5,0)</f>
        <v>0</v>
      </c>
      <c r="K1852" s="115"/>
      <c r="L1852" s="54"/>
      <c r="M1852" s="54"/>
      <c r="N1852" s="54"/>
      <c r="O1852" s="112">
        <v>76.8923611111111</v>
      </c>
      <c r="P1852" s="110" t="str">
        <f t="shared" si="110"/>
        <v/>
      </c>
      <c r="Q1852" s="54"/>
      <c r="R1852" s="58"/>
      <c r="S1852" s="87" t="str">
        <f t="shared" si="112"/>
        <v/>
      </c>
      <c r="T1852" s="54"/>
      <c r="U1852" s="54"/>
      <c r="V1852" s="54"/>
      <c r="W1852" s="54"/>
      <c r="X1852" s="69" t="str">
        <f t="shared" si="111"/>
        <v>D</v>
      </c>
    </row>
    <row r="1853" spans="1:24" s="66" customFormat="1" x14ac:dyDescent="0.25">
      <c r="A1853" s="51"/>
      <c r="B1853" s="91" t="str">
        <f>IFERROR(VLOOKUP(A1853,Lookup!A:B,2,0),"")</f>
        <v/>
      </c>
      <c r="C1853" s="92" t="str">
        <f>IFERROR(VLOOKUP(A1853,Lookup!A:C,3,0),"")</f>
        <v/>
      </c>
      <c r="D1853" s="54"/>
      <c r="E1853" s="54"/>
      <c r="F1853" s="54"/>
      <c r="G1853" s="72"/>
      <c r="H1853" s="54"/>
      <c r="I1853" s="54"/>
      <c r="J1853" s="106">
        <f>VLOOKUP(A1853&amp;G1853,Lookup!J:N,5,0)</f>
        <v>0</v>
      </c>
      <c r="K1853" s="115"/>
      <c r="L1853" s="54"/>
      <c r="M1853" s="54"/>
      <c r="N1853" s="54"/>
      <c r="O1853" s="112">
        <v>76.9340277777778</v>
      </c>
      <c r="P1853" s="110" t="str">
        <f t="shared" si="110"/>
        <v/>
      </c>
      <c r="Q1853" s="54"/>
      <c r="R1853" s="58"/>
      <c r="S1853" s="87" t="str">
        <f t="shared" si="112"/>
        <v/>
      </c>
      <c r="T1853" s="54"/>
      <c r="U1853" s="54"/>
      <c r="V1853" s="54"/>
      <c r="W1853" s="54"/>
      <c r="X1853" s="69" t="str">
        <f t="shared" si="111"/>
        <v>D</v>
      </c>
    </row>
    <row r="1854" spans="1:24" s="66" customFormat="1" x14ac:dyDescent="0.25">
      <c r="A1854" s="51"/>
      <c r="B1854" s="91" t="str">
        <f>IFERROR(VLOOKUP(A1854,Lookup!A:B,2,0),"")</f>
        <v/>
      </c>
      <c r="C1854" s="92" t="str">
        <f>IFERROR(VLOOKUP(A1854,Lookup!A:C,3,0),"")</f>
        <v/>
      </c>
      <c r="D1854" s="54"/>
      <c r="E1854" s="54"/>
      <c r="F1854" s="54"/>
      <c r="G1854" s="72"/>
      <c r="H1854" s="54"/>
      <c r="I1854" s="54"/>
      <c r="J1854" s="106">
        <f>VLOOKUP(A1854&amp;G1854,Lookup!J:N,5,0)</f>
        <v>0</v>
      </c>
      <c r="K1854" s="115"/>
      <c r="L1854" s="54"/>
      <c r="M1854" s="54"/>
      <c r="N1854" s="54"/>
      <c r="O1854" s="112">
        <v>76.9756944444444</v>
      </c>
      <c r="P1854" s="110" t="str">
        <f t="shared" si="110"/>
        <v/>
      </c>
      <c r="Q1854" s="54"/>
      <c r="R1854" s="58"/>
      <c r="S1854" s="87" t="str">
        <f t="shared" si="112"/>
        <v/>
      </c>
      <c r="T1854" s="54"/>
      <c r="U1854" s="54"/>
      <c r="V1854" s="54"/>
      <c r="W1854" s="54"/>
      <c r="X1854" s="69" t="str">
        <f t="shared" si="111"/>
        <v>D</v>
      </c>
    </row>
    <row r="1855" spans="1:24" s="66" customFormat="1" x14ac:dyDescent="0.25">
      <c r="A1855" s="51"/>
      <c r="B1855" s="91" t="str">
        <f>IFERROR(VLOOKUP(A1855,Lookup!A:B,2,0),"")</f>
        <v/>
      </c>
      <c r="C1855" s="92" t="str">
        <f>IFERROR(VLOOKUP(A1855,Lookup!A:C,3,0),"")</f>
        <v/>
      </c>
      <c r="D1855" s="54"/>
      <c r="E1855" s="54"/>
      <c r="F1855" s="54"/>
      <c r="G1855" s="72"/>
      <c r="H1855" s="54"/>
      <c r="I1855" s="54"/>
      <c r="J1855" s="106">
        <f>VLOOKUP(A1855&amp;G1855,Lookup!J:N,5,0)</f>
        <v>0</v>
      </c>
      <c r="K1855" s="115"/>
      <c r="L1855" s="54"/>
      <c r="M1855" s="54"/>
      <c r="N1855" s="54"/>
      <c r="O1855" s="112">
        <v>77.0173611111111</v>
      </c>
      <c r="P1855" s="110" t="str">
        <f t="shared" si="110"/>
        <v/>
      </c>
      <c r="Q1855" s="54"/>
      <c r="R1855" s="58"/>
      <c r="S1855" s="87" t="str">
        <f t="shared" si="112"/>
        <v/>
      </c>
      <c r="T1855" s="54"/>
      <c r="U1855" s="54"/>
      <c r="V1855" s="54"/>
      <c r="W1855" s="54"/>
      <c r="X1855" s="69" t="str">
        <f t="shared" si="111"/>
        <v>D</v>
      </c>
    </row>
    <row r="1856" spans="1:24" s="66" customFormat="1" x14ac:dyDescent="0.25">
      <c r="A1856" s="51"/>
      <c r="B1856" s="91" t="str">
        <f>IFERROR(VLOOKUP(A1856,Lookup!A:B,2,0),"")</f>
        <v/>
      </c>
      <c r="C1856" s="92" t="str">
        <f>IFERROR(VLOOKUP(A1856,Lookup!A:C,3,0),"")</f>
        <v/>
      </c>
      <c r="D1856" s="54"/>
      <c r="E1856" s="54"/>
      <c r="F1856" s="54"/>
      <c r="G1856" s="72"/>
      <c r="H1856" s="54"/>
      <c r="I1856" s="54"/>
      <c r="J1856" s="106">
        <f>VLOOKUP(A1856&amp;G1856,Lookup!J:N,5,0)</f>
        <v>0</v>
      </c>
      <c r="K1856" s="115"/>
      <c r="L1856" s="54"/>
      <c r="M1856" s="54"/>
      <c r="N1856" s="54"/>
      <c r="O1856" s="112">
        <v>77.0590277777778</v>
      </c>
      <c r="P1856" s="110" t="str">
        <f t="shared" si="110"/>
        <v/>
      </c>
      <c r="Q1856" s="54"/>
      <c r="R1856" s="58"/>
      <c r="S1856" s="87" t="str">
        <f t="shared" si="112"/>
        <v/>
      </c>
      <c r="T1856" s="54"/>
      <c r="U1856" s="54"/>
      <c r="V1856" s="54"/>
      <c r="W1856" s="54"/>
      <c r="X1856" s="69" t="str">
        <f t="shared" si="111"/>
        <v>D</v>
      </c>
    </row>
    <row r="1857" spans="1:24" s="66" customFormat="1" x14ac:dyDescent="0.25">
      <c r="A1857" s="51"/>
      <c r="B1857" s="91" t="str">
        <f>IFERROR(VLOOKUP(A1857,Lookup!A:B,2,0),"")</f>
        <v/>
      </c>
      <c r="C1857" s="92" t="str">
        <f>IFERROR(VLOOKUP(A1857,Lookup!A:C,3,0),"")</f>
        <v/>
      </c>
      <c r="D1857" s="54"/>
      <c r="E1857" s="54"/>
      <c r="F1857" s="54"/>
      <c r="G1857" s="72"/>
      <c r="H1857" s="54"/>
      <c r="I1857" s="54"/>
      <c r="J1857" s="106">
        <f>VLOOKUP(A1857&amp;G1857,Lookup!J:N,5,0)</f>
        <v>0</v>
      </c>
      <c r="K1857" s="115"/>
      <c r="L1857" s="54"/>
      <c r="M1857" s="54"/>
      <c r="N1857" s="54"/>
      <c r="O1857" s="112">
        <v>77.1006944444444</v>
      </c>
      <c r="P1857" s="110" t="str">
        <f t="shared" si="110"/>
        <v/>
      </c>
      <c r="Q1857" s="54"/>
      <c r="R1857" s="58"/>
      <c r="S1857" s="87" t="str">
        <f t="shared" si="112"/>
        <v/>
      </c>
      <c r="T1857" s="54"/>
      <c r="U1857" s="54"/>
      <c r="V1857" s="54"/>
      <c r="W1857" s="54"/>
      <c r="X1857" s="69" t="str">
        <f t="shared" si="111"/>
        <v>D</v>
      </c>
    </row>
    <row r="1858" spans="1:24" s="66" customFormat="1" x14ac:dyDescent="0.25">
      <c r="A1858" s="51"/>
      <c r="B1858" s="91" t="str">
        <f>IFERROR(VLOOKUP(A1858,Lookup!A:B,2,0),"")</f>
        <v/>
      </c>
      <c r="C1858" s="92" t="str">
        <f>IFERROR(VLOOKUP(A1858,Lookup!A:C,3,0),"")</f>
        <v/>
      </c>
      <c r="D1858" s="54"/>
      <c r="E1858" s="54"/>
      <c r="F1858" s="54"/>
      <c r="G1858" s="72"/>
      <c r="H1858" s="54"/>
      <c r="I1858" s="54"/>
      <c r="J1858" s="106">
        <f>VLOOKUP(A1858&amp;G1858,Lookup!J:N,5,0)</f>
        <v>0</v>
      </c>
      <c r="K1858" s="115"/>
      <c r="L1858" s="54"/>
      <c r="M1858" s="54"/>
      <c r="N1858" s="54"/>
      <c r="O1858" s="112">
        <v>77.1423611111111</v>
      </c>
      <c r="P1858" s="110" t="str">
        <f t="shared" si="110"/>
        <v/>
      </c>
      <c r="Q1858" s="54"/>
      <c r="R1858" s="58"/>
      <c r="S1858" s="87" t="str">
        <f t="shared" si="112"/>
        <v/>
      </c>
      <c r="T1858" s="54"/>
      <c r="U1858" s="54"/>
      <c r="V1858" s="54"/>
      <c r="W1858" s="54"/>
      <c r="X1858" s="69" t="str">
        <f t="shared" si="111"/>
        <v>D</v>
      </c>
    </row>
    <row r="1859" spans="1:24" s="66" customFormat="1" x14ac:dyDescent="0.25">
      <c r="A1859" s="51"/>
      <c r="B1859" s="91" t="str">
        <f>IFERROR(VLOOKUP(A1859,Lookup!A:B,2,0),"")</f>
        <v/>
      </c>
      <c r="C1859" s="92" t="str">
        <f>IFERROR(VLOOKUP(A1859,Lookup!A:C,3,0),"")</f>
        <v/>
      </c>
      <c r="D1859" s="54"/>
      <c r="E1859" s="54"/>
      <c r="F1859" s="54"/>
      <c r="G1859" s="72"/>
      <c r="H1859" s="54"/>
      <c r="I1859" s="54"/>
      <c r="J1859" s="106">
        <f>VLOOKUP(A1859&amp;G1859,Lookup!J:N,5,0)</f>
        <v>0</v>
      </c>
      <c r="K1859" s="115"/>
      <c r="L1859" s="54"/>
      <c r="M1859" s="54"/>
      <c r="N1859" s="54"/>
      <c r="O1859" s="112">
        <v>77.1840277777778</v>
      </c>
      <c r="P1859" s="110" t="str">
        <f t="shared" ref="P1859:P1922" si="113">IF(N1859="","",N1859+O1859)</f>
        <v/>
      </c>
      <c r="Q1859" s="54"/>
      <c r="R1859" s="58"/>
      <c r="S1859" s="87" t="str">
        <f t="shared" si="112"/>
        <v/>
      </c>
      <c r="T1859" s="54"/>
      <c r="U1859" s="54"/>
      <c r="V1859" s="54"/>
      <c r="W1859" s="54"/>
      <c r="X1859" s="69" t="str">
        <f t="shared" ref="X1859:X1922" si="114">IF(I1859="SET","A",IF(I1859="FREQ","C",IF(I1859="","D","B")))</f>
        <v>D</v>
      </c>
    </row>
    <row r="1860" spans="1:24" s="66" customFormat="1" x14ac:dyDescent="0.25">
      <c r="A1860" s="51"/>
      <c r="B1860" s="91" t="str">
        <f>IFERROR(VLOOKUP(A1860,Lookup!A:B,2,0),"")</f>
        <v/>
      </c>
      <c r="C1860" s="92" t="str">
        <f>IFERROR(VLOOKUP(A1860,Lookup!A:C,3,0),"")</f>
        <v/>
      </c>
      <c r="D1860" s="54"/>
      <c r="E1860" s="54"/>
      <c r="F1860" s="54"/>
      <c r="G1860" s="72"/>
      <c r="H1860" s="54"/>
      <c r="I1860" s="54"/>
      <c r="J1860" s="106">
        <f>VLOOKUP(A1860&amp;G1860,Lookup!J:N,5,0)</f>
        <v>0</v>
      </c>
      <c r="K1860" s="115"/>
      <c r="L1860" s="54"/>
      <c r="M1860" s="54"/>
      <c r="N1860" s="54"/>
      <c r="O1860" s="112">
        <v>77.2256944444444</v>
      </c>
      <c r="P1860" s="110" t="str">
        <f t="shared" si="113"/>
        <v/>
      </c>
      <c r="Q1860" s="54"/>
      <c r="R1860" s="58"/>
      <c r="S1860" s="87" t="str">
        <f t="shared" si="112"/>
        <v/>
      </c>
      <c r="T1860" s="54"/>
      <c r="U1860" s="54"/>
      <c r="V1860" s="54"/>
      <c r="W1860" s="54"/>
      <c r="X1860" s="69" t="str">
        <f t="shared" si="114"/>
        <v>D</v>
      </c>
    </row>
    <row r="1861" spans="1:24" s="66" customFormat="1" x14ac:dyDescent="0.25">
      <c r="A1861" s="51"/>
      <c r="B1861" s="91" t="str">
        <f>IFERROR(VLOOKUP(A1861,Lookup!A:B,2,0),"")</f>
        <v/>
      </c>
      <c r="C1861" s="92" t="str">
        <f>IFERROR(VLOOKUP(A1861,Lookup!A:C,3,0),"")</f>
        <v/>
      </c>
      <c r="D1861" s="54"/>
      <c r="E1861" s="54"/>
      <c r="F1861" s="54"/>
      <c r="G1861" s="72"/>
      <c r="H1861" s="54"/>
      <c r="I1861" s="54"/>
      <c r="J1861" s="106">
        <f>VLOOKUP(A1861&amp;G1861,Lookup!J:N,5,0)</f>
        <v>0</v>
      </c>
      <c r="K1861" s="115"/>
      <c r="L1861" s="54"/>
      <c r="M1861" s="54"/>
      <c r="N1861" s="54"/>
      <c r="O1861" s="112">
        <v>77.2673611111111</v>
      </c>
      <c r="P1861" s="110" t="str">
        <f t="shared" si="113"/>
        <v/>
      </c>
      <c r="Q1861" s="54"/>
      <c r="R1861" s="58"/>
      <c r="S1861" s="87" t="str">
        <f t="shared" si="112"/>
        <v/>
      </c>
      <c r="T1861" s="54"/>
      <c r="U1861" s="54"/>
      <c r="V1861" s="54"/>
      <c r="W1861" s="54"/>
      <c r="X1861" s="69" t="str">
        <f t="shared" si="114"/>
        <v>D</v>
      </c>
    </row>
    <row r="1862" spans="1:24" s="66" customFormat="1" x14ac:dyDescent="0.25">
      <c r="A1862" s="51"/>
      <c r="B1862" s="91" t="str">
        <f>IFERROR(VLOOKUP(A1862,Lookup!A:B,2,0),"")</f>
        <v/>
      </c>
      <c r="C1862" s="92" t="str">
        <f>IFERROR(VLOOKUP(A1862,Lookup!A:C,3,0),"")</f>
        <v/>
      </c>
      <c r="D1862" s="54"/>
      <c r="E1862" s="54"/>
      <c r="F1862" s="54"/>
      <c r="G1862" s="72"/>
      <c r="H1862" s="54"/>
      <c r="I1862" s="54"/>
      <c r="J1862" s="106">
        <f>VLOOKUP(A1862&amp;G1862,Lookup!J:N,5,0)</f>
        <v>0</v>
      </c>
      <c r="K1862" s="115"/>
      <c r="L1862" s="54"/>
      <c r="M1862" s="54"/>
      <c r="N1862" s="54"/>
      <c r="O1862" s="112">
        <v>77.3090277777778</v>
      </c>
      <c r="P1862" s="110" t="str">
        <f t="shared" si="113"/>
        <v/>
      </c>
      <c r="Q1862" s="54"/>
      <c r="R1862" s="58"/>
      <c r="S1862" s="87" t="str">
        <f t="shared" si="112"/>
        <v/>
      </c>
      <c r="T1862" s="54"/>
      <c r="U1862" s="54"/>
      <c r="V1862" s="54"/>
      <c r="W1862" s="54"/>
      <c r="X1862" s="69" t="str">
        <f t="shared" si="114"/>
        <v>D</v>
      </c>
    </row>
    <row r="1863" spans="1:24" s="66" customFormat="1" x14ac:dyDescent="0.25">
      <c r="A1863" s="51"/>
      <c r="B1863" s="91" t="str">
        <f>IFERROR(VLOOKUP(A1863,Lookup!A:B,2,0),"")</f>
        <v/>
      </c>
      <c r="C1863" s="92" t="str">
        <f>IFERROR(VLOOKUP(A1863,Lookup!A:C,3,0),"")</f>
        <v/>
      </c>
      <c r="D1863" s="54"/>
      <c r="E1863" s="54"/>
      <c r="F1863" s="54"/>
      <c r="G1863" s="72"/>
      <c r="H1863" s="54"/>
      <c r="I1863" s="54"/>
      <c r="J1863" s="106">
        <f>VLOOKUP(A1863&amp;G1863,Lookup!J:N,5,0)</f>
        <v>0</v>
      </c>
      <c r="K1863" s="115"/>
      <c r="L1863" s="54"/>
      <c r="M1863" s="54"/>
      <c r="N1863" s="54"/>
      <c r="O1863" s="112">
        <v>77.3506944444444</v>
      </c>
      <c r="P1863" s="110" t="str">
        <f t="shared" si="113"/>
        <v/>
      </c>
      <c r="Q1863" s="54"/>
      <c r="R1863" s="58"/>
      <c r="S1863" s="87" t="str">
        <f t="shared" ref="S1863:S1926" si="115">IF(OR(EXACT(Q1863,""), EXACT(L1863,"")),"",Q1863-L1863)</f>
        <v/>
      </c>
      <c r="T1863" s="54"/>
      <c r="U1863" s="54"/>
      <c r="V1863" s="54"/>
      <c r="W1863" s="54"/>
      <c r="X1863" s="69" t="str">
        <f t="shared" si="114"/>
        <v>D</v>
      </c>
    </row>
    <row r="1864" spans="1:24" s="66" customFormat="1" x14ac:dyDescent="0.25">
      <c r="A1864" s="51"/>
      <c r="B1864" s="91" t="str">
        <f>IFERROR(VLOOKUP(A1864,Lookup!A:B,2,0),"")</f>
        <v/>
      </c>
      <c r="C1864" s="92" t="str">
        <f>IFERROR(VLOOKUP(A1864,Lookup!A:C,3,0),"")</f>
        <v/>
      </c>
      <c r="D1864" s="54"/>
      <c r="E1864" s="54"/>
      <c r="F1864" s="54"/>
      <c r="G1864" s="72"/>
      <c r="H1864" s="54"/>
      <c r="I1864" s="54"/>
      <c r="J1864" s="106">
        <f>VLOOKUP(A1864&amp;G1864,Lookup!J:N,5,0)</f>
        <v>0</v>
      </c>
      <c r="K1864" s="115"/>
      <c r="L1864" s="54"/>
      <c r="M1864" s="54"/>
      <c r="N1864" s="54"/>
      <c r="O1864" s="112">
        <v>77.3923611111111</v>
      </c>
      <c r="P1864" s="110" t="str">
        <f t="shared" si="113"/>
        <v/>
      </c>
      <c r="Q1864" s="54"/>
      <c r="R1864" s="58"/>
      <c r="S1864" s="87" t="str">
        <f t="shared" si="115"/>
        <v/>
      </c>
      <c r="T1864" s="54"/>
      <c r="U1864" s="54"/>
      <c r="V1864" s="54"/>
      <c r="W1864" s="54"/>
      <c r="X1864" s="69" t="str">
        <f t="shared" si="114"/>
        <v>D</v>
      </c>
    </row>
    <row r="1865" spans="1:24" s="66" customFormat="1" x14ac:dyDescent="0.25">
      <c r="A1865" s="51"/>
      <c r="B1865" s="91" t="str">
        <f>IFERROR(VLOOKUP(A1865,Lookup!A:B,2,0),"")</f>
        <v/>
      </c>
      <c r="C1865" s="92" t="str">
        <f>IFERROR(VLOOKUP(A1865,Lookup!A:C,3,0),"")</f>
        <v/>
      </c>
      <c r="D1865" s="54"/>
      <c r="E1865" s="54"/>
      <c r="F1865" s="54"/>
      <c r="G1865" s="72"/>
      <c r="H1865" s="54"/>
      <c r="I1865" s="54"/>
      <c r="J1865" s="106">
        <f>VLOOKUP(A1865&amp;G1865,Lookup!J:N,5,0)</f>
        <v>0</v>
      </c>
      <c r="K1865" s="115"/>
      <c r="L1865" s="54"/>
      <c r="M1865" s="54"/>
      <c r="N1865" s="54"/>
      <c r="O1865" s="112">
        <v>77.4340277777778</v>
      </c>
      <c r="P1865" s="110" t="str">
        <f t="shared" si="113"/>
        <v/>
      </c>
      <c r="Q1865" s="54"/>
      <c r="R1865" s="58"/>
      <c r="S1865" s="87" t="str">
        <f t="shared" si="115"/>
        <v/>
      </c>
      <c r="T1865" s="54"/>
      <c r="U1865" s="54"/>
      <c r="V1865" s="54"/>
      <c r="W1865" s="54"/>
      <c r="X1865" s="69" t="str">
        <f t="shared" si="114"/>
        <v>D</v>
      </c>
    </row>
    <row r="1866" spans="1:24" s="66" customFormat="1" x14ac:dyDescent="0.25">
      <c r="A1866" s="51"/>
      <c r="B1866" s="91" t="str">
        <f>IFERROR(VLOOKUP(A1866,Lookup!A:B,2,0),"")</f>
        <v/>
      </c>
      <c r="C1866" s="92" t="str">
        <f>IFERROR(VLOOKUP(A1866,Lookup!A:C,3,0),"")</f>
        <v/>
      </c>
      <c r="D1866" s="54"/>
      <c r="E1866" s="54"/>
      <c r="F1866" s="54"/>
      <c r="G1866" s="72"/>
      <c r="H1866" s="54"/>
      <c r="I1866" s="54"/>
      <c r="J1866" s="106">
        <f>VLOOKUP(A1866&amp;G1866,Lookup!J:N,5,0)</f>
        <v>0</v>
      </c>
      <c r="K1866" s="115"/>
      <c r="L1866" s="54"/>
      <c r="M1866" s="54"/>
      <c r="N1866" s="54"/>
      <c r="O1866" s="112">
        <v>77.4756944444444</v>
      </c>
      <c r="P1866" s="110" t="str">
        <f t="shared" si="113"/>
        <v/>
      </c>
      <c r="Q1866" s="54"/>
      <c r="R1866" s="58"/>
      <c r="S1866" s="87" t="str">
        <f t="shared" si="115"/>
        <v/>
      </c>
      <c r="T1866" s="54"/>
      <c r="U1866" s="54"/>
      <c r="V1866" s="54"/>
      <c r="W1866" s="54"/>
      <c r="X1866" s="69" t="str">
        <f t="shared" si="114"/>
        <v>D</v>
      </c>
    </row>
    <row r="1867" spans="1:24" s="66" customFormat="1" x14ac:dyDescent="0.25">
      <c r="A1867" s="51"/>
      <c r="B1867" s="91" t="str">
        <f>IFERROR(VLOOKUP(A1867,Lookup!A:B,2,0),"")</f>
        <v/>
      </c>
      <c r="C1867" s="92" t="str">
        <f>IFERROR(VLOOKUP(A1867,Lookup!A:C,3,0),"")</f>
        <v/>
      </c>
      <c r="D1867" s="54"/>
      <c r="E1867" s="54"/>
      <c r="F1867" s="54"/>
      <c r="G1867" s="72"/>
      <c r="H1867" s="54"/>
      <c r="I1867" s="54"/>
      <c r="J1867" s="106">
        <f>VLOOKUP(A1867&amp;G1867,Lookup!J:N,5,0)</f>
        <v>0</v>
      </c>
      <c r="K1867" s="115"/>
      <c r="L1867" s="54"/>
      <c r="M1867" s="54"/>
      <c r="N1867" s="54"/>
      <c r="O1867" s="112">
        <v>77.5173611111111</v>
      </c>
      <c r="P1867" s="110" t="str">
        <f t="shared" si="113"/>
        <v/>
      </c>
      <c r="Q1867" s="54"/>
      <c r="R1867" s="58"/>
      <c r="S1867" s="87" t="str">
        <f t="shared" si="115"/>
        <v/>
      </c>
      <c r="T1867" s="54"/>
      <c r="U1867" s="54"/>
      <c r="V1867" s="54"/>
      <c r="W1867" s="54"/>
      <c r="X1867" s="69" t="str">
        <f t="shared" si="114"/>
        <v>D</v>
      </c>
    </row>
    <row r="1868" spans="1:24" s="66" customFormat="1" x14ac:dyDescent="0.25">
      <c r="A1868" s="51"/>
      <c r="B1868" s="91" t="str">
        <f>IFERROR(VLOOKUP(A1868,Lookup!A:B,2,0),"")</f>
        <v/>
      </c>
      <c r="C1868" s="92" t="str">
        <f>IFERROR(VLOOKUP(A1868,Lookup!A:C,3,0),"")</f>
        <v/>
      </c>
      <c r="D1868" s="54"/>
      <c r="E1868" s="54"/>
      <c r="F1868" s="54"/>
      <c r="G1868" s="72"/>
      <c r="H1868" s="54"/>
      <c r="I1868" s="54"/>
      <c r="J1868" s="106">
        <f>VLOOKUP(A1868&amp;G1868,Lookup!J:N,5,0)</f>
        <v>0</v>
      </c>
      <c r="K1868" s="115"/>
      <c r="L1868" s="54"/>
      <c r="M1868" s="54"/>
      <c r="N1868" s="54"/>
      <c r="O1868" s="112">
        <v>77.5590277777778</v>
      </c>
      <c r="P1868" s="110" t="str">
        <f t="shared" si="113"/>
        <v/>
      </c>
      <c r="Q1868" s="54"/>
      <c r="R1868" s="58"/>
      <c r="S1868" s="87" t="str">
        <f t="shared" si="115"/>
        <v/>
      </c>
      <c r="T1868" s="54"/>
      <c r="U1868" s="54"/>
      <c r="V1868" s="54"/>
      <c r="W1868" s="54"/>
      <c r="X1868" s="69" t="str">
        <f t="shared" si="114"/>
        <v>D</v>
      </c>
    </row>
    <row r="1869" spans="1:24" s="66" customFormat="1" x14ac:dyDescent="0.25">
      <c r="A1869" s="51"/>
      <c r="B1869" s="91" t="str">
        <f>IFERROR(VLOOKUP(A1869,Lookup!A:B,2,0),"")</f>
        <v/>
      </c>
      <c r="C1869" s="92" t="str">
        <f>IFERROR(VLOOKUP(A1869,Lookup!A:C,3,0),"")</f>
        <v/>
      </c>
      <c r="D1869" s="54"/>
      <c r="E1869" s="54"/>
      <c r="F1869" s="54"/>
      <c r="G1869" s="72"/>
      <c r="H1869" s="54"/>
      <c r="I1869" s="54"/>
      <c r="J1869" s="106">
        <f>VLOOKUP(A1869&amp;G1869,Lookup!J:N,5,0)</f>
        <v>0</v>
      </c>
      <c r="K1869" s="115"/>
      <c r="L1869" s="54"/>
      <c r="M1869" s="54"/>
      <c r="N1869" s="54"/>
      <c r="O1869" s="112">
        <v>77.6006944444444</v>
      </c>
      <c r="P1869" s="110" t="str">
        <f t="shared" si="113"/>
        <v/>
      </c>
      <c r="Q1869" s="54"/>
      <c r="R1869" s="58"/>
      <c r="S1869" s="87" t="str">
        <f t="shared" si="115"/>
        <v/>
      </c>
      <c r="T1869" s="54"/>
      <c r="U1869" s="54"/>
      <c r="V1869" s="54"/>
      <c r="W1869" s="54"/>
      <c r="X1869" s="69" t="str">
        <f t="shared" si="114"/>
        <v>D</v>
      </c>
    </row>
    <row r="1870" spans="1:24" s="66" customFormat="1" x14ac:dyDescent="0.25">
      <c r="A1870" s="51"/>
      <c r="B1870" s="91" t="str">
        <f>IFERROR(VLOOKUP(A1870,Lookup!A:B,2,0),"")</f>
        <v/>
      </c>
      <c r="C1870" s="92" t="str">
        <f>IFERROR(VLOOKUP(A1870,Lookup!A:C,3,0),"")</f>
        <v/>
      </c>
      <c r="D1870" s="54"/>
      <c r="E1870" s="54"/>
      <c r="F1870" s="54"/>
      <c r="G1870" s="72"/>
      <c r="H1870" s="54"/>
      <c r="I1870" s="54"/>
      <c r="J1870" s="106">
        <f>VLOOKUP(A1870&amp;G1870,Lookup!J:N,5,0)</f>
        <v>0</v>
      </c>
      <c r="K1870" s="115"/>
      <c r="L1870" s="54"/>
      <c r="M1870" s="54"/>
      <c r="N1870" s="54"/>
      <c r="O1870" s="112">
        <v>77.6423611111111</v>
      </c>
      <c r="P1870" s="110" t="str">
        <f t="shared" si="113"/>
        <v/>
      </c>
      <c r="Q1870" s="54"/>
      <c r="R1870" s="58"/>
      <c r="S1870" s="87" t="str">
        <f t="shared" si="115"/>
        <v/>
      </c>
      <c r="T1870" s="54"/>
      <c r="U1870" s="54"/>
      <c r="V1870" s="54"/>
      <c r="W1870" s="54"/>
      <c r="X1870" s="69" t="str">
        <f t="shared" si="114"/>
        <v>D</v>
      </c>
    </row>
    <row r="1871" spans="1:24" s="66" customFormat="1" x14ac:dyDescent="0.25">
      <c r="A1871" s="51"/>
      <c r="B1871" s="91" t="str">
        <f>IFERROR(VLOOKUP(A1871,Lookup!A:B,2,0),"")</f>
        <v/>
      </c>
      <c r="C1871" s="92" t="str">
        <f>IFERROR(VLOOKUP(A1871,Lookup!A:C,3,0),"")</f>
        <v/>
      </c>
      <c r="D1871" s="54"/>
      <c r="E1871" s="54"/>
      <c r="F1871" s="54"/>
      <c r="G1871" s="72"/>
      <c r="H1871" s="54"/>
      <c r="I1871" s="54"/>
      <c r="J1871" s="106">
        <f>VLOOKUP(A1871&amp;G1871,Lookup!J:N,5,0)</f>
        <v>0</v>
      </c>
      <c r="K1871" s="115"/>
      <c r="L1871" s="54"/>
      <c r="M1871" s="54"/>
      <c r="N1871" s="54"/>
      <c r="O1871" s="112">
        <v>77.6840277777778</v>
      </c>
      <c r="P1871" s="110" t="str">
        <f t="shared" si="113"/>
        <v/>
      </c>
      <c r="Q1871" s="54"/>
      <c r="R1871" s="58"/>
      <c r="S1871" s="87" t="str">
        <f t="shared" si="115"/>
        <v/>
      </c>
      <c r="T1871" s="54"/>
      <c r="U1871" s="54"/>
      <c r="V1871" s="54"/>
      <c r="W1871" s="54"/>
      <c r="X1871" s="69" t="str">
        <f t="shared" si="114"/>
        <v>D</v>
      </c>
    </row>
    <row r="1872" spans="1:24" s="66" customFormat="1" x14ac:dyDescent="0.25">
      <c r="A1872" s="51"/>
      <c r="B1872" s="91" t="str">
        <f>IFERROR(VLOOKUP(A1872,Lookup!A:B,2,0),"")</f>
        <v/>
      </c>
      <c r="C1872" s="92" t="str">
        <f>IFERROR(VLOOKUP(A1872,Lookup!A:C,3,0),"")</f>
        <v/>
      </c>
      <c r="D1872" s="54"/>
      <c r="E1872" s="54"/>
      <c r="F1872" s="54"/>
      <c r="G1872" s="72"/>
      <c r="H1872" s="54"/>
      <c r="I1872" s="54"/>
      <c r="J1872" s="106">
        <f>VLOOKUP(A1872&amp;G1872,Lookup!J:N,5,0)</f>
        <v>0</v>
      </c>
      <c r="K1872" s="115"/>
      <c r="L1872" s="54"/>
      <c r="M1872" s="54"/>
      <c r="N1872" s="54"/>
      <c r="O1872" s="112">
        <v>77.7256944444444</v>
      </c>
      <c r="P1872" s="110" t="str">
        <f t="shared" si="113"/>
        <v/>
      </c>
      <c r="Q1872" s="54"/>
      <c r="R1872" s="58"/>
      <c r="S1872" s="87" t="str">
        <f t="shared" si="115"/>
        <v/>
      </c>
      <c r="T1872" s="54"/>
      <c r="U1872" s="54"/>
      <c r="V1872" s="54"/>
      <c r="W1872" s="54"/>
      <c r="X1872" s="69" t="str">
        <f t="shared" si="114"/>
        <v>D</v>
      </c>
    </row>
    <row r="1873" spans="1:24" s="66" customFormat="1" x14ac:dyDescent="0.25">
      <c r="A1873" s="51"/>
      <c r="B1873" s="91" t="str">
        <f>IFERROR(VLOOKUP(A1873,Lookup!A:B,2,0),"")</f>
        <v/>
      </c>
      <c r="C1873" s="92" t="str">
        <f>IFERROR(VLOOKUP(A1873,Lookup!A:C,3,0),"")</f>
        <v/>
      </c>
      <c r="D1873" s="54"/>
      <c r="E1873" s="54"/>
      <c r="F1873" s="54"/>
      <c r="G1873" s="72"/>
      <c r="H1873" s="54"/>
      <c r="I1873" s="54"/>
      <c r="J1873" s="106">
        <f>VLOOKUP(A1873&amp;G1873,Lookup!J:N,5,0)</f>
        <v>0</v>
      </c>
      <c r="K1873" s="115"/>
      <c r="L1873" s="54"/>
      <c r="M1873" s="54"/>
      <c r="N1873" s="54"/>
      <c r="O1873" s="112">
        <v>77.7673611111111</v>
      </c>
      <c r="P1873" s="110" t="str">
        <f t="shared" si="113"/>
        <v/>
      </c>
      <c r="Q1873" s="54"/>
      <c r="R1873" s="58"/>
      <c r="S1873" s="87" t="str">
        <f t="shared" si="115"/>
        <v/>
      </c>
      <c r="T1873" s="54"/>
      <c r="U1873" s="54"/>
      <c r="V1873" s="54"/>
      <c r="W1873" s="54"/>
      <c r="X1873" s="69" t="str">
        <f t="shared" si="114"/>
        <v>D</v>
      </c>
    </row>
    <row r="1874" spans="1:24" s="66" customFormat="1" x14ac:dyDescent="0.25">
      <c r="A1874" s="51"/>
      <c r="B1874" s="91" t="str">
        <f>IFERROR(VLOOKUP(A1874,Lookup!A:B,2,0),"")</f>
        <v/>
      </c>
      <c r="C1874" s="92" t="str">
        <f>IFERROR(VLOOKUP(A1874,Lookup!A:C,3,0),"")</f>
        <v/>
      </c>
      <c r="D1874" s="54"/>
      <c r="E1874" s="54"/>
      <c r="F1874" s="54"/>
      <c r="G1874" s="72"/>
      <c r="H1874" s="54"/>
      <c r="I1874" s="54"/>
      <c r="J1874" s="106">
        <f>VLOOKUP(A1874&amp;G1874,Lookup!J:N,5,0)</f>
        <v>0</v>
      </c>
      <c r="K1874" s="115"/>
      <c r="L1874" s="54"/>
      <c r="M1874" s="54"/>
      <c r="N1874" s="54"/>
      <c r="O1874" s="112">
        <v>77.8090277777778</v>
      </c>
      <c r="P1874" s="110" t="str">
        <f t="shared" si="113"/>
        <v/>
      </c>
      <c r="Q1874" s="54"/>
      <c r="R1874" s="58"/>
      <c r="S1874" s="87" t="str">
        <f t="shared" si="115"/>
        <v/>
      </c>
      <c r="T1874" s="54"/>
      <c r="U1874" s="54"/>
      <c r="V1874" s="54"/>
      <c r="W1874" s="54"/>
      <c r="X1874" s="69" t="str">
        <f t="shared" si="114"/>
        <v>D</v>
      </c>
    </row>
    <row r="1875" spans="1:24" s="66" customFormat="1" x14ac:dyDescent="0.25">
      <c r="A1875" s="51"/>
      <c r="B1875" s="91" t="str">
        <f>IFERROR(VLOOKUP(A1875,Lookup!A:B,2,0),"")</f>
        <v/>
      </c>
      <c r="C1875" s="92" t="str">
        <f>IFERROR(VLOOKUP(A1875,Lookup!A:C,3,0),"")</f>
        <v/>
      </c>
      <c r="D1875" s="54"/>
      <c r="E1875" s="54"/>
      <c r="F1875" s="54"/>
      <c r="G1875" s="72"/>
      <c r="H1875" s="54"/>
      <c r="I1875" s="54"/>
      <c r="J1875" s="106">
        <f>VLOOKUP(A1875&amp;G1875,Lookup!J:N,5,0)</f>
        <v>0</v>
      </c>
      <c r="K1875" s="115"/>
      <c r="L1875" s="54"/>
      <c r="M1875" s="54"/>
      <c r="N1875" s="54"/>
      <c r="O1875" s="112">
        <v>77.8506944444444</v>
      </c>
      <c r="P1875" s="110" t="str">
        <f t="shared" si="113"/>
        <v/>
      </c>
      <c r="Q1875" s="54"/>
      <c r="R1875" s="58"/>
      <c r="S1875" s="87" t="str">
        <f t="shared" si="115"/>
        <v/>
      </c>
      <c r="T1875" s="54"/>
      <c r="U1875" s="54"/>
      <c r="V1875" s="54"/>
      <c r="W1875" s="54"/>
      <c r="X1875" s="69" t="str">
        <f t="shared" si="114"/>
        <v>D</v>
      </c>
    </row>
    <row r="1876" spans="1:24" s="66" customFormat="1" x14ac:dyDescent="0.25">
      <c r="A1876" s="51"/>
      <c r="B1876" s="91" t="str">
        <f>IFERROR(VLOOKUP(A1876,Lookup!A:B,2,0),"")</f>
        <v/>
      </c>
      <c r="C1876" s="92" t="str">
        <f>IFERROR(VLOOKUP(A1876,Lookup!A:C,3,0),"")</f>
        <v/>
      </c>
      <c r="D1876" s="54"/>
      <c r="E1876" s="54"/>
      <c r="F1876" s="54"/>
      <c r="G1876" s="72"/>
      <c r="H1876" s="54"/>
      <c r="I1876" s="54"/>
      <c r="J1876" s="106">
        <f>VLOOKUP(A1876&amp;G1876,Lookup!J:N,5,0)</f>
        <v>0</v>
      </c>
      <c r="K1876" s="115"/>
      <c r="L1876" s="54"/>
      <c r="M1876" s="54"/>
      <c r="N1876" s="54"/>
      <c r="O1876" s="112">
        <v>77.8923611111111</v>
      </c>
      <c r="P1876" s="110" t="str">
        <f t="shared" si="113"/>
        <v/>
      </c>
      <c r="Q1876" s="54"/>
      <c r="R1876" s="58"/>
      <c r="S1876" s="87" t="str">
        <f t="shared" si="115"/>
        <v/>
      </c>
      <c r="T1876" s="54"/>
      <c r="U1876" s="54"/>
      <c r="V1876" s="54"/>
      <c r="W1876" s="54"/>
      <c r="X1876" s="69" t="str">
        <f t="shared" si="114"/>
        <v>D</v>
      </c>
    </row>
    <row r="1877" spans="1:24" s="66" customFormat="1" x14ac:dyDescent="0.25">
      <c r="A1877" s="51"/>
      <c r="B1877" s="91" t="str">
        <f>IFERROR(VLOOKUP(A1877,Lookup!A:B,2,0),"")</f>
        <v/>
      </c>
      <c r="C1877" s="92" t="str">
        <f>IFERROR(VLOOKUP(A1877,Lookup!A:C,3,0),"")</f>
        <v/>
      </c>
      <c r="D1877" s="54"/>
      <c r="E1877" s="54"/>
      <c r="F1877" s="54"/>
      <c r="G1877" s="72"/>
      <c r="H1877" s="54"/>
      <c r="I1877" s="54"/>
      <c r="J1877" s="106">
        <f>VLOOKUP(A1877&amp;G1877,Lookup!J:N,5,0)</f>
        <v>0</v>
      </c>
      <c r="K1877" s="115"/>
      <c r="L1877" s="54"/>
      <c r="M1877" s="54"/>
      <c r="N1877" s="54"/>
      <c r="O1877" s="112">
        <v>77.9340277777778</v>
      </c>
      <c r="P1877" s="110" t="str">
        <f t="shared" si="113"/>
        <v/>
      </c>
      <c r="Q1877" s="54"/>
      <c r="R1877" s="58"/>
      <c r="S1877" s="87" t="str">
        <f t="shared" si="115"/>
        <v/>
      </c>
      <c r="T1877" s="54"/>
      <c r="U1877" s="54"/>
      <c r="V1877" s="54"/>
      <c r="W1877" s="54"/>
      <c r="X1877" s="69" t="str">
        <f t="shared" si="114"/>
        <v>D</v>
      </c>
    </row>
    <row r="1878" spans="1:24" s="66" customFormat="1" x14ac:dyDescent="0.25">
      <c r="A1878" s="51"/>
      <c r="B1878" s="91" t="str">
        <f>IFERROR(VLOOKUP(A1878,Lookup!A:B,2,0),"")</f>
        <v/>
      </c>
      <c r="C1878" s="92" t="str">
        <f>IFERROR(VLOOKUP(A1878,Lookup!A:C,3,0),"")</f>
        <v/>
      </c>
      <c r="D1878" s="54"/>
      <c r="E1878" s="54"/>
      <c r="F1878" s="54"/>
      <c r="G1878" s="72"/>
      <c r="H1878" s="54"/>
      <c r="I1878" s="54"/>
      <c r="J1878" s="106">
        <f>VLOOKUP(A1878&amp;G1878,Lookup!J:N,5,0)</f>
        <v>0</v>
      </c>
      <c r="K1878" s="115"/>
      <c r="L1878" s="54"/>
      <c r="M1878" s="54"/>
      <c r="N1878" s="54"/>
      <c r="O1878" s="112">
        <v>77.9756944444444</v>
      </c>
      <c r="P1878" s="110" t="str">
        <f t="shared" si="113"/>
        <v/>
      </c>
      <c r="Q1878" s="54"/>
      <c r="R1878" s="58"/>
      <c r="S1878" s="87" t="str">
        <f t="shared" si="115"/>
        <v/>
      </c>
      <c r="T1878" s="54"/>
      <c r="U1878" s="54"/>
      <c r="V1878" s="54"/>
      <c r="W1878" s="54"/>
      <c r="X1878" s="69" t="str">
        <f t="shared" si="114"/>
        <v>D</v>
      </c>
    </row>
    <row r="1879" spans="1:24" s="66" customFormat="1" x14ac:dyDescent="0.25">
      <c r="A1879" s="51"/>
      <c r="B1879" s="91" t="str">
        <f>IFERROR(VLOOKUP(A1879,Lookup!A:B,2,0),"")</f>
        <v/>
      </c>
      <c r="C1879" s="92" t="str">
        <f>IFERROR(VLOOKUP(A1879,Lookup!A:C,3,0),"")</f>
        <v/>
      </c>
      <c r="D1879" s="54"/>
      <c r="E1879" s="54"/>
      <c r="F1879" s="54"/>
      <c r="G1879" s="72"/>
      <c r="H1879" s="54"/>
      <c r="I1879" s="54"/>
      <c r="J1879" s="106">
        <f>VLOOKUP(A1879&amp;G1879,Lookup!J:N,5,0)</f>
        <v>0</v>
      </c>
      <c r="K1879" s="115"/>
      <c r="L1879" s="54"/>
      <c r="M1879" s="54"/>
      <c r="N1879" s="54"/>
      <c r="O1879" s="112">
        <v>78.0173611111111</v>
      </c>
      <c r="P1879" s="110" t="str">
        <f t="shared" si="113"/>
        <v/>
      </c>
      <c r="Q1879" s="54"/>
      <c r="R1879" s="58"/>
      <c r="S1879" s="87" t="str">
        <f t="shared" si="115"/>
        <v/>
      </c>
      <c r="T1879" s="54"/>
      <c r="U1879" s="54"/>
      <c r="V1879" s="54"/>
      <c r="W1879" s="54"/>
      <c r="X1879" s="69" t="str">
        <f t="shared" si="114"/>
        <v>D</v>
      </c>
    </row>
    <row r="1880" spans="1:24" s="66" customFormat="1" x14ac:dyDescent="0.25">
      <c r="A1880" s="51"/>
      <c r="B1880" s="91" t="str">
        <f>IFERROR(VLOOKUP(A1880,Lookup!A:B,2,0),"")</f>
        <v/>
      </c>
      <c r="C1880" s="92" t="str">
        <f>IFERROR(VLOOKUP(A1880,Lookup!A:C,3,0),"")</f>
        <v/>
      </c>
      <c r="D1880" s="54"/>
      <c r="E1880" s="54"/>
      <c r="F1880" s="54"/>
      <c r="G1880" s="72"/>
      <c r="H1880" s="54"/>
      <c r="I1880" s="54"/>
      <c r="J1880" s="106">
        <f>VLOOKUP(A1880&amp;G1880,Lookup!J:N,5,0)</f>
        <v>0</v>
      </c>
      <c r="K1880" s="115"/>
      <c r="L1880" s="54"/>
      <c r="M1880" s="54"/>
      <c r="N1880" s="54"/>
      <c r="O1880" s="112">
        <v>78.0590277777778</v>
      </c>
      <c r="P1880" s="110" t="str">
        <f t="shared" si="113"/>
        <v/>
      </c>
      <c r="Q1880" s="54"/>
      <c r="R1880" s="58"/>
      <c r="S1880" s="87" t="str">
        <f t="shared" si="115"/>
        <v/>
      </c>
      <c r="T1880" s="54"/>
      <c r="U1880" s="54"/>
      <c r="V1880" s="54"/>
      <c r="W1880" s="54"/>
      <c r="X1880" s="69" t="str">
        <f t="shared" si="114"/>
        <v>D</v>
      </c>
    </row>
    <row r="1881" spans="1:24" s="66" customFormat="1" x14ac:dyDescent="0.25">
      <c r="A1881" s="51"/>
      <c r="B1881" s="91" t="str">
        <f>IFERROR(VLOOKUP(A1881,Lookup!A:B,2,0),"")</f>
        <v/>
      </c>
      <c r="C1881" s="92" t="str">
        <f>IFERROR(VLOOKUP(A1881,Lookup!A:C,3,0),"")</f>
        <v/>
      </c>
      <c r="D1881" s="54"/>
      <c r="E1881" s="54"/>
      <c r="F1881" s="54"/>
      <c r="G1881" s="72"/>
      <c r="H1881" s="54"/>
      <c r="I1881" s="54"/>
      <c r="J1881" s="106">
        <f>VLOOKUP(A1881&amp;G1881,Lookup!J:N,5,0)</f>
        <v>0</v>
      </c>
      <c r="K1881" s="115"/>
      <c r="L1881" s="54"/>
      <c r="M1881" s="54"/>
      <c r="N1881" s="54"/>
      <c r="O1881" s="112">
        <v>78.1006944444444</v>
      </c>
      <c r="P1881" s="110" t="str">
        <f t="shared" si="113"/>
        <v/>
      </c>
      <c r="Q1881" s="54"/>
      <c r="R1881" s="58"/>
      <c r="S1881" s="87" t="str">
        <f t="shared" si="115"/>
        <v/>
      </c>
      <c r="T1881" s="54"/>
      <c r="U1881" s="54"/>
      <c r="V1881" s="54"/>
      <c r="W1881" s="54"/>
      <c r="X1881" s="69" t="str">
        <f t="shared" si="114"/>
        <v>D</v>
      </c>
    </row>
    <row r="1882" spans="1:24" s="66" customFormat="1" x14ac:dyDescent="0.25">
      <c r="A1882" s="51"/>
      <c r="B1882" s="91" t="str">
        <f>IFERROR(VLOOKUP(A1882,Lookup!A:B,2,0),"")</f>
        <v/>
      </c>
      <c r="C1882" s="92" t="str">
        <f>IFERROR(VLOOKUP(A1882,Lookup!A:C,3,0),"")</f>
        <v/>
      </c>
      <c r="D1882" s="54"/>
      <c r="E1882" s="54"/>
      <c r="F1882" s="54"/>
      <c r="G1882" s="72"/>
      <c r="H1882" s="54"/>
      <c r="I1882" s="54"/>
      <c r="J1882" s="106">
        <f>VLOOKUP(A1882&amp;G1882,Lookup!J:N,5,0)</f>
        <v>0</v>
      </c>
      <c r="K1882" s="115"/>
      <c r="L1882" s="54"/>
      <c r="M1882" s="54"/>
      <c r="N1882" s="54"/>
      <c r="O1882" s="112">
        <v>78.1423611111111</v>
      </c>
      <c r="P1882" s="110" t="str">
        <f t="shared" si="113"/>
        <v/>
      </c>
      <c r="Q1882" s="54"/>
      <c r="R1882" s="58"/>
      <c r="S1882" s="87" t="str">
        <f t="shared" si="115"/>
        <v/>
      </c>
      <c r="T1882" s="54"/>
      <c r="U1882" s="54"/>
      <c r="V1882" s="54"/>
      <c r="W1882" s="54"/>
      <c r="X1882" s="69" t="str">
        <f t="shared" si="114"/>
        <v>D</v>
      </c>
    </row>
    <row r="1883" spans="1:24" s="66" customFormat="1" x14ac:dyDescent="0.25">
      <c r="A1883" s="51"/>
      <c r="B1883" s="91" t="str">
        <f>IFERROR(VLOOKUP(A1883,Lookup!A:B,2,0),"")</f>
        <v/>
      </c>
      <c r="C1883" s="92" t="str">
        <f>IFERROR(VLOOKUP(A1883,Lookup!A:C,3,0),"")</f>
        <v/>
      </c>
      <c r="D1883" s="54"/>
      <c r="E1883" s="54"/>
      <c r="F1883" s="54"/>
      <c r="G1883" s="72"/>
      <c r="H1883" s="54"/>
      <c r="I1883" s="54"/>
      <c r="J1883" s="106">
        <f>VLOOKUP(A1883&amp;G1883,Lookup!J:N,5,0)</f>
        <v>0</v>
      </c>
      <c r="K1883" s="115"/>
      <c r="L1883" s="54"/>
      <c r="M1883" s="54"/>
      <c r="N1883" s="54"/>
      <c r="O1883" s="112">
        <v>78.1840277777778</v>
      </c>
      <c r="P1883" s="110" t="str">
        <f t="shared" si="113"/>
        <v/>
      </c>
      <c r="Q1883" s="54"/>
      <c r="R1883" s="58"/>
      <c r="S1883" s="87" t="str">
        <f t="shared" si="115"/>
        <v/>
      </c>
      <c r="T1883" s="54"/>
      <c r="U1883" s="54"/>
      <c r="V1883" s="54"/>
      <c r="W1883" s="54"/>
      <c r="X1883" s="69" t="str">
        <f t="shared" si="114"/>
        <v>D</v>
      </c>
    </row>
    <row r="1884" spans="1:24" s="66" customFormat="1" x14ac:dyDescent="0.25">
      <c r="A1884" s="51"/>
      <c r="B1884" s="91" t="str">
        <f>IFERROR(VLOOKUP(A1884,Lookup!A:B,2,0),"")</f>
        <v/>
      </c>
      <c r="C1884" s="92" t="str">
        <f>IFERROR(VLOOKUP(A1884,Lookup!A:C,3,0),"")</f>
        <v/>
      </c>
      <c r="D1884" s="54"/>
      <c r="E1884" s="54"/>
      <c r="F1884" s="54"/>
      <c r="G1884" s="72"/>
      <c r="H1884" s="54"/>
      <c r="I1884" s="54"/>
      <c r="J1884" s="106">
        <f>VLOOKUP(A1884&amp;G1884,Lookup!J:N,5,0)</f>
        <v>0</v>
      </c>
      <c r="K1884" s="115"/>
      <c r="L1884" s="54"/>
      <c r="M1884" s="54"/>
      <c r="N1884" s="54"/>
      <c r="O1884" s="112">
        <v>78.2256944444444</v>
      </c>
      <c r="P1884" s="110" t="str">
        <f t="shared" si="113"/>
        <v/>
      </c>
      <c r="Q1884" s="54"/>
      <c r="R1884" s="58"/>
      <c r="S1884" s="87" t="str">
        <f t="shared" si="115"/>
        <v/>
      </c>
      <c r="T1884" s="54"/>
      <c r="U1884" s="54"/>
      <c r="V1884" s="54"/>
      <c r="W1884" s="54"/>
      <c r="X1884" s="69" t="str">
        <f t="shared" si="114"/>
        <v>D</v>
      </c>
    </row>
    <row r="1885" spans="1:24" s="66" customFormat="1" x14ac:dyDescent="0.25">
      <c r="A1885" s="51"/>
      <c r="B1885" s="91" t="str">
        <f>IFERROR(VLOOKUP(A1885,Lookup!A:B,2,0),"")</f>
        <v/>
      </c>
      <c r="C1885" s="92" t="str">
        <f>IFERROR(VLOOKUP(A1885,Lookup!A:C,3,0),"")</f>
        <v/>
      </c>
      <c r="D1885" s="54"/>
      <c r="E1885" s="54"/>
      <c r="F1885" s="54"/>
      <c r="G1885" s="72"/>
      <c r="H1885" s="54"/>
      <c r="I1885" s="54"/>
      <c r="J1885" s="106">
        <f>VLOOKUP(A1885&amp;G1885,Lookup!J:N,5,0)</f>
        <v>0</v>
      </c>
      <c r="K1885" s="115"/>
      <c r="L1885" s="54"/>
      <c r="M1885" s="54"/>
      <c r="N1885" s="54"/>
      <c r="O1885" s="112">
        <v>78.2673611111111</v>
      </c>
      <c r="P1885" s="110" t="str">
        <f t="shared" si="113"/>
        <v/>
      </c>
      <c r="Q1885" s="54"/>
      <c r="R1885" s="58"/>
      <c r="S1885" s="87" t="str">
        <f t="shared" si="115"/>
        <v/>
      </c>
      <c r="T1885" s="54"/>
      <c r="U1885" s="54"/>
      <c r="V1885" s="54"/>
      <c r="W1885" s="54"/>
      <c r="X1885" s="69" t="str">
        <f t="shared" si="114"/>
        <v>D</v>
      </c>
    </row>
    <row r="1886" spans="1:24" s="66" customFormat="1" x14ac:dyDescent="0.25">
      <c r="A1886" s="51"/>
      <c r="B1886" s="91" t="str">
        <f>IFERROR(VLOOKUP(A1886,Lookup!A:B,2,0),"")</f>
        <v/>
      </c>
      <c r="C1886" s="92" t="str">
        <f>IFERROR(VLOOKUP(A1886,Lookup!A:C,3,0),"")</f>
        <v/>
      </c>
      <c r="D1886" s="54"/>
      <c r="E1886" s="54"/>
      <c r="F1886" s="54"/>
      <c r="G1886" s="72"/>
      <c r="H1886" s="54"/>
      <c r="I1886" s="54"/>
      <c r="J1886" s="106">
        <f>VLOOKUP(A1886&amp;G1886,Lookup!J:N,5,0)</f>
        <v>0</v>
      </c>
      <c r="K1886" s="115"/>
      <c r="L1886" s="54"/>
      <c r="M1886" s="54"/>
      <c r="N1886" s="54"/>
      <c r="O1886" s="112">
        <v>78.3090277777778</v>
      </c>
      <c r="P1886" s="110" t="str">
        <f t="shared" si="113"/>
        <v/>
      </c>
      <c r="Q1886" s="54"/>
      <c r="R1886" s="58"/>
      <c r="S1886" s="87" t="str">
        <f t="shared" si="115"/>
        <v/>
      </c>
      <c r="T1886" s="54"/>
      <c r="U1886" s="54"/>
      <c r="V1886" s="54"/>
      <c r="W1886" s="54"/>
      <c r="X1886" s="69" t="str">
        <f t="shared" si="114"/>
        <v>D</v>
      </c>
    </row>
    <row r="1887" spans="1:24" s="66" customFormat="1" x14ac:dyDescent="0.25">
      <c r="A1887" s="51"/>
      <c r="B1887" s="91" t="str">
        <f>IFERROR(VLOOKUP(A1887,Lookup!A:B,2,0),"")</f>
        <v/>
      </c>
      <c r="C1887" s="92" t="str">
        <f>IFERROR(VLOOKUP(A1887,Lookup!A:C,3,0),"")</f>
        <v/>
      </c>
      <c r="D1887" s="54"/>
      <c r="E1887" s="54"/>
      <c r="F1887" s="54"/>
      <c r="G1887" s="72"/>
      <c r="H1887" s="54"/>
      <c r="I1887" s="54"/>
      <c r="J1887" s="106">
        <f>VLOOKUP(A1887&amp;G1887,Lookup!J:N,5,0)</f>
        <v>0</v>
      </c>
      <c r="K1887" s="115"/>
      <c r="L1887" s="54"/>
      <c r="M1887" s="54"/>
      <c r="N1887" s="54"/>
      <c r="O1887" s="112">
        <v>78.3506944444444</v>
      </c>
      <c r="P1887" s="110" t="str">
        <f t="shared" si="113"/>
        <v/>
      </c>
      <c r="Q1887" s="54"/>
      <c r="R1887" s="58"/>
      <c r="S1887" s="87" t="str">
        <f t="shared" si="115"/>
        <v/>
      </c>
      <c r="T1887" s="54"/>
      <c r="U1887" s="54"/>
      <c r="V1887" s="54"/>
      <c r="W1887" s="54"/>
      <c r="X1887" s="69" t="str">
        <f t="shared" si="114"/>
        <v>D</v>
      </c>
    </row>
    <row r="1888" spans="1:24" s="66" customFormat="1" x14ac:dyDescent="0.25">
      <c r="A1888" s="51"/>
      <c r="B1888" s="91" t="str">
        <f>IFERROR(VLOOKUP(A1888,Lookup!A:B,2,0),"")</f>
        <v/>
      </c>
      <c r="C1888" s="92" t="str">
        <f>IFERROR(VLOOKUP(A1888,Lookup!A:C,3,0),"")</f>
        <v/>
      </c>
      <c r="D1888" s="54"/>
      <c r="E1888" s="54"/>
      <c r="F1888" s="54"/>
      <c r="G1888" s="72"/>
      <c r="H1888" s="54"/>
      <c r="I1888" s="54"/>
      <c r="J1888" s="106">
        <f>VLOOKUP(A1888&amp;G1888,Lookup!J:N,5,0)</f>
        <v>0</v>
      </c>
      <c r="K1888" s="115"/>
      <c r="L1888" s="54"/>
      <c r="M1888" s="54"/>
      <c r="N1888" s="54"/>
      <c r="O1888" s="112">
        <v>78.3923611111111</v>
      </c>
      <c r="P1888" s="110" t="str">
        <f t="shared" si="113"/>
        <v/>
      </c>
      <c r="Q1888" s="54"/>
      <c r="R1888" s="58"/>
      <c r="S1888" s="87" t="str">
        <f t="shared" si="115"/>
        <v/>
      </c>
      <c r="T1888" s="54"/>
      <c r="U1888" s="54"/>
      <c r="V1888" s="54"/>
      <c r="W1888" s="54"/>
      <c r="X1888" s="69" t="str">
        <f t="shared" si="114"/>
        <v>D</v>
      </c>
    </row>
    <row r="1889" spans="1:24" s="66" customFormat="1" x14ac:dyDescent="0.25">
      <c r="A1889" s="51"/>
      <c r="B1889" s="91" t="str">
        <f>IFERROR(VLOOKUP(A1889,Lookup!A:B,2,0),"")</f>
        <v/>
      </c>
      <c r="C1889" s="92" t="str">
        <f>IFERROR(VLOOKUP(A1889,Lookup!A:C,3,0),"")</f>
        <v/>
      </c>
      <c r="D1889" s="54"/>
      <c r="E1889" s="54"/>
      <c r="F1889" s="54"/>
      <c r="G1889" s="72"/>
      <c r="H1889" s="54"/>
      <c r="I1889" s="54"/>
      <c r="J1889" s="106">
        <f>VLOOKUP(A1889&amp;G1889,Lookup!J:N,5,0)</f>
        <v>0</v>
      </c>
      <c r="K1889" s="115"/>
      <c r="L1889" s="54"/>
      <c r="M1889" s="54"/>
      <c r="N1889" s="54"/>
      <c r="O1889" s="112">
        <v>78.4340277777778</v>
      </c>
      <c r="P1889" s="110" t="str">
        <f t="shared" si="113"/>
        <v/>
      </c>
      <c r="Q1889" s="54"/>
      <c r="R1889" s="58"/>
      <c r="S1889" s="87" t="str">
        <f t="shared" si="115"/>
        <v/>
      </c>
      <c r="T1889" s="54"/>
      <c r="U1889" s="54"/>
      <c r="V1889" s="54"/>
      <c r="W1889" s="54"/>
      <c r="X1889" s="69" t="str">
        <f t="shared" si="114"/>
        <v>D</v>
      </c>
    </row>
    <row r="1890" spans="1:24" s="66" customFormat="1" x14ac:dyDescent="0.25">
      <c r="A1890" s="51"/>
      <c r="B1890" s="91" t="str">
        <f>IFERROR(VLOOKUP(A1890,Lookup!A:B,2,0),"")</f>
        <v/>
      </c>
      <c r="C1890" s="92" t="str">
        <f>IFERROR(VLOOKUP(A1890,Lookup!A:C,3,0),"")</f>
        <v/>
      </c>
      <c r="D1890" s="54"/>
      <c r="E1890" s="54"/>
      <c r="F1890" s="54"/>
      <c r="G1890" s="72"/>
      <c r="H1890" s="54"/>
      <c r="I1890" s="54"/>
      <c r="J1890" s="106">
        <f>VLOOKUP(A1890&amp;G1890,Lookup!J:N,5,0)</f>
        <v>0</v>
      </c>
      <c r="K1890" s="115"/>
      <c r="L1890" s="54"/>
      <c r="M1890" s="54"/>
      <c r="N1890" s="54"/>
      <c r="O1890" s="112">
        <v>78.4756944444444</v>
      </c>
      <c r="P1890" s="110" t="str">
        <f t="shared" si="113"/>
        <v/>
      </c>
      <c r="Q1890" s="54"/>
      <c r="R1890" s="58"/>
      <c r="S1890" s="87" t="str">
        <f t="shared" si="115"/>
        <v/>
      </c>
      <c r="T1890" s="54"/>
      <c r="U1890" s="54"/>
      <c r="V1890" s="54"/>
      <c r="W1890" s="54"/>
      <c r="X1890" s="69" t="str">
        <f t="shared" si="114"/>
        <v>D</v>
      </c>
    </row>
    <row r="1891" spans="1:24" s="66" customFormat="1" x14ac:dyDescent="0.25">
      <c r="A1891" s="51"/>
      <c r="B1891" s="91" t="str">
        <f>IFERROR(VLOOKUP(A1891,Lookup!A:B,2,0),"")</f>
        <v/>
      </c>
      <c r="C1891" s="92" t="str">
        <f>IFERROR(VLOOKUP(A1891,Lookup!A:C,3,0),"")</f>
        <v/>
      </c>
      <c r="D1891" s="54"/>
      <c r="E1891" s="54"/>
      <c r="F1891" s="54"/>
      <c r="G1891" s="72"/>
      <c r="H1891" s="54"/>
      <c r="I1891" s="54"/>
      <c r="J1891" s="106">
        <f>VLOOKUP(A1891&amp;G1891,Lookup!J:N,5,0)</f>
        <v>0</v>
      </c>
      <c r="K1891" s="115"/>
      <c r="L1891" s="54"/>
      <c r="M1891" s="54"/>
      <c r="N1891" s="54"/>
      <c r="O1891" s="112">
        <v>78.5173611111111</v>
      </c>
      <c r="P1891" s="110" t="str">
        <f t="shared" si="113"/>
        <v/>
      </c>
      <c r="Q1891" s="54"/>
      <c r="R1891" s="58"/>
      <c r="S1891" s="87" t="str">
        <f t="shared" si="115"/>
        <v/>
      </c>
      <c r="T1891" s="54"/>
      <c r="U1891" s="54"/>
      <c r="V1891" s="54"/>
      <c r="W1891" s="54"/>
      <c r="X1891" s="69" t="str">
        <f t="shared" si="114"/>
        <v>D</v>
      </c>
    </row>
    <row r="1892" spans="1:24" s="66" customFormat="1" x14ac:dyDescent="0.25">
      <c r="A1892" s="51"/>
      <c r="B1892" s="91" t="str">
        <f>IFERROR(VLOOKUP(A1892,Lookup!A:B,2,0),"")</f>
        <v/>
      </c>
      <c r="C1892" s="92" t="str">
        <f>IFERROR(VLOOKUP(A1892,Lookup!A:C,3,0),"")</f>
        <v/>
      </c>
      <c r="D1892" s="54"/>
      <c r="E1892" s="54"/>
      <c r="F1892" s="54"/>
      <c r="G1892" s="72"/>
      <c r="H1892" s="54"/>
      <c r="I1892" s="54"/>
      <c r="J1892" s="106">
        <f>VLOOKUP(A1892&amp;G1892,Lookup!J:N,5,0)</f>
        <v>0</v>
      </c>
      <c r="K1892" s="115"/>
      <c r="L1892" s="54"/>
      <c r="M1892" s="54"/>
      <c r="N1892" s="54"/>
      <c r="O1892" s="112">
        <v>78.5590277777778</v>
      </c>
      <c r="P1892" s="110" t="str">
        <f t="shared" si="113"/>
        <v/>
      </c>
      <c r="Q1892" s="54"/>
      <c r="R1892" s="58"/>
      <c r="S1892" s="87" t="str">
        <f t="shared" si="115"/>
        <v/>
      </c>
      <c r="T1892" s="54"/>
      <c r="U1892" s="54"/>
      <c r="V1892" s="54"/>
      <c r="W1892" s="54"/>
      <c r="X1892" s="69" t="str">
        <f t="shared" si="114"/>
        <v>D</v>
      </c>
    </row>
    <row r="1893" spans="1:24" s="66" customFormat="1" x14ac:dyDescent="0.25">
      <c r="A1893" s="51"/>
      <c r="B1893" s="91" t="str">
        <f>IFERROR(VLOOKUP(A1893,Lookup!A:B,2,0),"")</f>
        <v/>
      </c>
      <c r="C1893" s="92" t="str">
        <f>IFERROR(VLOOKUP(A1893,Lookup!A:C,3,0),"")</f>
        <v/>
      </c>
      <c r="D1893" s="54"/>
      <c r="E1893" s="54"/>
      <c r="F1893" s="54"/>
      <c r="G1893" s="72"/>
      <c r="H1893" s="54"/>
      <c r="I1893" s="54"/>
      <c r="J1893" s="106">
        <f>VLOOKUP(A1893&amp;G1893,Lookup!J:N,5,0)</f>
        <v>0</v>
      </c>
      <c r="K1893" s="115"/>
      <c r="L1893" s="54"/>
      <c r="M1893" s="54"/>
      <c r="N1893" s="54"/>
      <c r="O1893" s="112">
        <v>78.6006944444444</v>
      </c>
      <c r="P1893" s="110" t="str">
        <f t="shared" si="113"/>
        <v/>
      </c>
      <c r="Q1893" s="54"/>
      <c r="R1893" s="58"/>
      <c r="S1893" s="87" t="str">
        <f t="shared" si="115"/>
        <v/>
      </c>
      <c r="T1893" s="54"/>
      <c r="U1893" s="54"/>
      <c r="V1893" s="54"/>
      <c r="W1893" s="54"/>
      <c r="X1893" s="69" t="str">
        <f t="shared" si="114"/>
        <v>D</v>
      </c>
    </row>
    <row r="1894" spans="1:24" s="66" customFormat="1" x14ac:dyDescent="0.25">
      <c r="A1894" s="51"/>
      <c r="B1894" s="91" t="str">
        <f>IFERROR(VLOOKUP(A1894,Lookup!A:B,2,0),"")</f>
        <v/>
      </c>
      <c r="C1894" s="92" t="str">
        <f>IFERROR(VLOOKUP(A1894,Lookup!A:C,3,0),"")</f>
        <v/>
      </c>
      <c r="D1894" s="54"/>
      <c r="E1894" s="54"/>
      <c r="F1894" s="54"/>
      <c r="G1894" s="72"/>
      <c r="H1894" s="54"/>
      <c r="I1894" s="54"/>
      <c r="J1894" s="106">
        <f>VLOOKUP(A1894&amp;G1894,Lookup!J:N,5,0)</f>
        <v>0</v>
      </c>
      <c r="K1894" s="115"/>
      <c r="L1894" s="54"/>
      <c r="M1894" s="54"/>
      <c r="N1894" s="54"/>
      <c r="O1894" s="112">
        <v>78.6423611111111</v>
      </c>
      <c r="P1894" s="110" t="str">
        <f t="shared" si="113"/>
        <v/>
      </c>
      <c r="Q1894" s="54"/>
      <c r="R1894" s="58"/>
      <c r="S1894" s="87" t="str">
        <f t="shared" si="115"/>
        <v/>
      </c>
      <c r="T1894" s="54"/>
      <c r="U1894" s="54"/>
      <c r="V1894" s="54"/>
      <c r="W1894" s="54"/>
      <c r="X1894" s="69" t="str">
        <f t="shared" si="114"/>
        <v>D</v>
      </c>
    </row>
    <row r="1895" spans="1:24" s="66" customFormat="1" x14ac:dyDescent="0.25">
      <c r="A1895" s="51"/>
      <c r="B1895" s="91" t="str">
        <f>IFERROR(VLOOKUP(A1895,Lookup!A:B,2,0),"")</f>
        <v/>
      </c>
      <c r="C1895" s="92" t="str">
        <f>IFERROR(VLOOKUP(A1895,Lookup!A:C,3,0),"")</f>
        <v/>
      </c>
      <c r="D1895" s="54"/>
      <c r="E1895" s="54"/>
      <c r="F1895" s="54"/>
      <c r="G1895" s="72"/>
      <c r="H1895" s="54"/>
      <c r="I1895" s="54"/>
      <c r="J1895" s="106">
        <f>VLOOKUP(A1895&amp;G1895,Lookup!J:N,5,0)</f>
        <v>0</v>
      </c>
      <c r="K1895" s="115"/>
      <c r="L1895" s="54"/>
      <c r="M1895" s="54"/>
      <c r="N1895" s="54"/>
      <c r="O1895" s="112">
        <v>78.6840277777778</v>
      </c>
      <c r="P1895" s="110" t="str">
        <f t="shared" si="113"/>
        <v/>
      </c>
      <c r="Q1895" s="54"/>
      <c r="R1895" s="58"/>
      <c r="S1895" s="87" t="str">
        <f t="shared" si="115"/>
        <v/>
      </c>
      <c r="T1895" s="54"/>
      <c r="U1895" s="54"/>
      <c r="V1895" s="54"/>
      <c r="W1895" s="54"/>
      <c r="X1895" s="69" t="str">
        <f t="shared" si="114"/>
        <v>D</v>
      </c>
    </row>
    <row r="1896" spans="1:24" s="66" customFormat="1" x14ac:dyDescent="0.25">
      <c r="A1896" s="51"/>
      <c r="B1896" s="91" t="str">
        <f>IFERROR(VLOOKUP(A1896,Lookup!A:B,2,0),"")</f>
        <v/>
      </c>
      <c r="C1896" s="92" t="str">
        <f>IFERROR(VLOOKUP(A1896,Lookup!A:C,3,0),"")</f>
        <v/>
      </c>
      <c r="D1896" s="54"/>
      <c r="E1896" s="54"/>
      <c r="F1896" s="54"/>
      <c r="G1896" s="72"/>
      <c r="H1896" s="54"/>
      <c r="I1896" s="54"/>
      <c r="J1896" s="106">
        <f>VLOOKUP(A1896&amp;G1896,Lookup!J:N,5,0)</f>
        <v>0</v>
      </c>
      <c r="K1896" s="115"/>
      <c r="L1896" s="54"/>
      <c r="M1896" s="54"/>
      <c r="N1896" s="54"/>
      <c r="O1896" s="112">
        <v>78.7256944444444</v>
      </c>
      <c r="P1896" s="110" t="str">
        <f t="shared" si="113"/>
        <v/>
      </c>
      <c r="Q1896" s="54"/>
      <c r="R1896" s="58"/>
      <c r="S1896" s="87" t="str">
        <f t="shared" si="115"/>
        <v/>
      </c>
      <c r="T1896" s="54"/>
      <c r="U1896" s="54"/>
      <c r="V1896" s="54"/>
      <c r="W1896" s="54"/>
      <c r="X1896" s="69" t="str">
        <f t="shared" si="114"/>
        <v>D</v>
      </c>
    </row>
    <row r="1897" spans="1:24" s="66" customFormat="1" x14ac:dyDescent="0.25">
      <c r="A1897" s="51"/>
      <c r="B1897" s="91" t="str">
        <f>IFERROR(VLOOKUP(A1897,Lookup!A:B,2,0),"")</f>
        <v/>
      </c>
      <c r="C1897" s="92" t="str">
        <f>IFERROR(VLOOKUP(A1897,Lookup!A:C,3,0),"")</f>
        <v/>
      </c>
      <c r="D1897" s="54"/>
      <c r="E1897" s="54"/>
      <c r="F1897" s="54"/>
      <c r="G1897" s="72"/>
      <c r="H1897" s="54"/>
      <c r="I1897" s="54"/>
      <c r="J1897" s="106">
        <f>VLOOKUP(A1897&amp;G1897,Lookup!J:N,5,0)</f>
        <v>0</v>
      </c>
      <c r="K1897" s="115"/>
      <c r="L1897" s="54"/>
      <c r="M1897" s="54"/>
      <c r="N1897" s="54"/>
      <c r="O1897" s="112">
        <v>78.7673611111111</v>
      </c>
      <c r="P1897" s="110" t="str">
        <f t="shared" si="113"/>
        <v/>
      </c>
      <c r="Q1897" s="54"/>
      <c r="R1897" s="58"/>
      <c r="S1897" s="87" t="str">
        <f t="shared" si="115"/>
        <v/>
      </c>
      <c r="T1897" s="54"/>
      <c r="U1897" s="54"/>
      <c r="V1897" s="54"/>
      <c r="W1897" s="54"/>
      <c r="X1897" s="69" t="str">
        <f t="shared" si="114"/>
        <v>D</v>
      </c>
    </row>
    <row r="1898" spans="1:24" s="66" customFormat="1" x14ac:dyDescent="0.25">
      <c r="A1898" s="51"/>
      <c r="B1898" s="91" t="str">
        <f>IFERROR(VLOOKUP(A1898,Lookup!A:B,2,0),"")</f>
        <v/>
      </c>
      <c r="C1898" s="92" t="str">
        <f>IFERROR(VLOOKUP(A1898,Lookup!A:C,3,0),"")</f>
        <v/>
      </c>
      <c r="D1898" s="54"/>
      <c r="E1898" s="54"/>
      <c r="F1898" s="54"/>
      <c r="G1898" s="72"/>
      <c r="H1898" s="54"/>
      <c r="I1898" s="54"/>
      <c r="J1898" s="106">
        <f>VLOOKUP(A1898&amp;G1898,Lookup!J:N,5,0)</f>
        <v>0</v>
      </c>
      <c r="K1898" s="115"/>
      <c r="L1898" s="54"/>
      <c r="M1898" s="54"/>
      <c r="N1898" s="54"/>
      <c r="O1898" s="112">
        <v>78.8090277777778</v>
      </c>
      <c r="P1898" s="110" t="str">
        <f t="shared" si="113"/>
        <v/>
      </c>
      <c r="Q1898" s="54"/>
      <c r="R1898" s="58"/>
      <c r="S1898" s="87" t="str">
        <f t="shared" si="115"/>
        <v/>
      </c>
      <c r="T1898" s="54"/>
      <c r="U1898" s="54"/>
      <c r="V1898" s="54"/>
      <c r="W1898" s="54"/>
      <c r="X1898" s="69" t="str">
        <f t="shared" si="114"/>
        <v>D</v>
      </c>
    </row>
    <row r="1899" spans="1:24" s="66" customFormat="1" x14ac:dyDescent="0.25">
      <c r="A1899" s="51"/>
      <c r="B1899" s="91" t="str">
        <f>IFERROR(VLOOKUP(A1899,Lookup!A:B,2,0),"")</f>
        <v/>
      </c>
      <c r="C1899" s="92" t="str">
        <f>IFERROR(VLOOKUP(A1899,Lookup!A:C,3,0),"")</f>
        <v/>
      </c>
      <c r="D1899" s="54"/>
      <c r="E1899" s="54"/>
      <c r="F1899" s="54"/>
      <c r="G1899" s="72"/>
      <c r="H1899" s="54"/>
      <c r="I1899" s="54"/>
      <c r="J1899" s="106">
        <f>VLOOKUP(A1899&amp;G1899,Lookup!J:N,5,0)</f>
        <v>0</v>
      </c>
      <c r="K1899" s="115"/>
      <c r="L1899" s="54"/>
      <c r="M1899" s="54"/>
      <c r="N1899" s="54"/>
      <c r="O1899" s="112">
        <v>78.8506944444444</v>
      </c>
      <c r="P1899" s="110" t="str">
        <f t="shared" si="113"/>
        <v/>
      </c>
      <c r="Q1899" s="54"/>
      <c r="R1899" s="58"/>
      <c r="S1899" s="87" t="str">
        <f t="shared" si="115"/>
        <v/>
      </c>
      <c r="T1899" s="54"/>
      <c r="U1899" s="54"/>
      <c r="V1899" s="54"/>
      <c r="W1899" s="54"/>
      <c r="X1899" s="69" t="str">
        <f t="shared" si="114"/>
        <v>D</v>
      </c>
    </row>
    <row r="1900" spans="1:24" s="66" customFormat="1" x14ac:dyDescent="0.25">
      <c r="A1900" s="51"/>
      <c r="B1900" s="91" t="str">
        <f>IFERROR(VLOOKUP(A1900,Lookup!A:B,2,0),"")</f>
        <v/>
      </c>
      <c r="C1900" s="92" t="str">
        <f>IFERROR(VLOOKUP(A1900,Lookup!A:C,3,0),"")</f>
        <v/>
      </c>
      <c r="D1900" s="54"/>
      <c r="E1900" s="54"/>
      <c r="F1900" s="54"/>
      <c r="G1900" s="72"/>
      <c r="H1900" s="54"/>
      <c r="I1900" s="54"/>
      <c r="J1900" s="106">
        <f>VLOOKUP(A1900&amp;G1900,Lookup!J:N,5,0)</f>
        <v>0</v>
      </c>
      <c r="K1900" s="115"/>
      <c r="L1900" s="54"/>
      <c r="M1900" s="54"/>
      <c r="N1900" s="54"/>
      <c r="O1900" s="112">
        <v>78.8923611111111</v>
      </c>
      <c r="P1900" s="110" t="str">
        <f t="shared" si="113"/>
        <v/>
      </c>
      <c r="Q1900" s="54"/>
      <c r="R1900" s="58"/>
      <c r="S1900" s="87" t="str">
        <f t="shared" si="115"/>
        <v/>
      </c>
      <c r="T1900" s="54"/>
      <c r="U1900" s="54"/>
      <c r="V1900" s="54"/>
      <c r="W1900" s="54"/>
      <c r="X1900" s="69" t="str">
        <f t="shared" si="114"/>
        <v>D</v>
      </c>
    </row>
    <row r="1901" spans="1:24" s="66" customFormat="1" x14ac:dyDescent="0.25">
      <c r="A1901" s="51"/>
      <c r="B1901" s="91" t="str">
        <f>IFERROR(VLOOKUP(A1901,Lookup!A:B,2,0),"")</f>
        <v/>
      </c>
      <c r="C1901" s="92" t="str">
        <f>IFERROR(VLOOKUP(A1901,Lookup!A:C,3,0),"")</f>
        <v/>
      </c>
      <c r="D1901" s="54"/>
      <c r="E1901" s="54"/>
      <c r="F1901" s="54"/>
      <c r="G1901" s="72"/>
      <c r="H1901" s="54"/>
      <c r="I1901" s="54"/>
      <c r="J1901" s="106">
        <f>VLOOKUP(A1901&amp;G1901,Lookup!J:N,5,0)</f>
        <v>0</v>
      </c>
      <c r="K1901" s="115"/>
      <c r="L1901" s="54"/>
      <c r="M1901" s="54"/>
      <c r="N1901" s="54"/>
      <c r="O1901" s="112">
        <v>78.9340277777778</v>
      </c>
      <c r="P1901" s="110" t="str">
        <f t="shared" si="113"/>
        <v/>
      </c>
      <c r="Q1901" s="54"/>
      <c r="R1901" s="58"/>
      <c r="S1901" s="87" t="str">
        <f t="shared" si="115"/>
        <v/>
      </c>
      <c r="T1901" s="54"/>
      <c r="U1901" s="54"/>
      <c r="V1901" s="54"/>
      <c r="W1901" s="54"/>
      <c r="X1901" s="69" t="str">
        <f t="shared" si="114"/>
        <v>D</v>
      </c>
    </row>
    <row r="1902" spans="1:24" s="66" customFormat="1" x14ac:dyDescent="0.25">
      <c r="A1902" s="51"/>
      <c r="B1902" s="91" t="str">
        <f>IFERROR(VLOOKUP(A1902,Lookup!A:B,2,0),"")</f>
        <v/>
      </c>
      <c r="C1902" s="92" t="str">
        <f>IFERROR(VLOOKUP(A1902,Lookup!A:C,3,0),"")</f>
        <v/>
      </c>
      <c r="D1902" s="54"/>
      <c r="E1902" s="54"/>
      <c r="F1902" s="54"/>
      <c r="G1902" s="72"/>
      <c r="H1902" s="54"/>
      <c r="I1902" s="54"/>
      <c r="J1902" s="106">
        <f>VLOOKUP(A1902&amp;G1902,Lookup!J:N,5,0)</f>
        <v>0</v>
      </c>
      <c r="K1902" s="115"/>
      <c r="L1902" s="54"/>
      <c r="M1902" s="54"/>
      <c r="N1902" s="54"/>
      <c r="O1902" s="112">
        <v>78.9756944444444</v>
      </c>
      <c r="P1902" s="110" t="str">
        <f t="shared" si="113"/>
        <v/>
      </c>
      <c r="Q1902" s="54"/>
      <c r="R1902" s="58"/>
      <c r="S1902" s="87" t="str">
        <f t="shared" si="115"/>
        <v/>
      </c>
      <c r="T1902" s="54"/>
      <c r="U1902" s="54"/>
      <c r="V1902" s="54"/>
      <c r="W1902" s="54"/>
      <c r="X1902" s="69" t="str">
        <f t="shared" si="114"/>
        <v>D</v>
      </c>
    </row>
    <row r="1903" spans="1:24" s="66" customFormat="1" x14ac:dyDescent="0.25">
      <c r="A1903" s="51"/>
      <c r="B1903" s="91" t="str">
        <f>IFERROR(VLOOKUP(A1903,Lookup!A:B,2,0),"")</f>
        <v/>
      </c>
      <c r="C1903" s="92" t="str">
        <f>IFERROR(VLOOKUP(A1903,Lookup!A:C,3,0),"")</f>
        <v/>
      </c>
      <c r="D1903" s="54"/>
      <c r="E1903" s="54"/>
      <c r="F1903" s="54"/>
      <c r="G1903" s="72"/>
      <c r="H1903" s="54"/>
      <c r="I1903" s="54"/>
      <c r="J1903" s="106">
        <f>VLOOKUP(A1903&amp;G1903,Lookup!J:N,5,0)</f>
        <v>0</v>
      </c>
      <c r="K1903" s="115"/>
      <c r="L1903" s="54"/>
      <c r="M1903" s="54"/>
      <c r="N1903" s="54"/>
      <c r="O1903" s="112">
        <v>79.0173611111111</v>
      </c>
      <c r="P1903" s="110" t="str">
        <f t="shared" si="113"/>
        <v/>
      </c>
      <c r="Q1903" s="54"/>
      <c r="R1903" s="58"/>
      <c r="S1903" s="87" t="str">
        <f t="shared" si="115"/>
        <v/>
      </c>
      <c r="T1903" s="54"/>
      <c r="U1903" s="54"/>
      <c r="V1903" s="54"/>
      <c r="W1903" s="54"/>
      <c r="X1903" s="69" t="str">
        <f t="shared" si="114"/>
        <v>D</v>
      </c>
    </row>
    <row r="1904" spans="1:24" s="66" customFormat="1" x14ac:dyDescent="0.25">
      <c r="A1904" s="51"/>
      <c r="B1904" s="91" t="str">
        <f>IFERROR(VLOOKUP(A1904,Lookup!A:B,2,0),"")</f>
        <v/>
      </c>
      <c r="C1904" s="92" t="str">
        <f>IFERROR(VLOOKUP(A1904,Lookup!A:C,3,0),"")</f>
        <v/>
      </c>
      <c r="D1904" s="54"/>
      <c r="E1904" s="54"/>
      <c r="F1904" s="54"/>
      <c r="G1904" s="72"/>
      <c r="H1904" s="54"/>
      <c r="I1904" s="54"/>
      <c r="J1904" s="106">
        <f>VLOOKUP(A1904&amp;G1904,Lookup!J:N,5,0)</f>
        <v>0</v>
      </c>
      <c r="K1904" s="115"/>
      <c r="L1904" s="54"/>
      <c r="M1904" s="54"/>
      <c r="N1904" s="54"/>
      <c r="O1904" s="112">
        <v>79.0590277777778</v>
      </c>
      <c r="P1904" s="110" t="str">
        <f t="shared" si="113"/>
        <v/>
      </c>
      <c r="Q1904" s="54"/>
      <c r="R1904" s="58"/>
      <c r="S1904" s="87" t="str">
        <f t="shared" si="115"/>
        <v/>
      </c>
      <c r="T1904" s="54"/>
      <c r="U1904" s="54"/>
      <c r="V1904" s="54"/>
      <c r="W1904" s="54"/>
      <c r="X1904" s="69" t="str">
        <f t="shared" si="114"/>
        <v>D</v>
      </c>
    </row>
    <row r="1905" spans="1:24" s="66" customFormat="1" x14ac:dyDescent="0.25">
      <c r="A1905" s="51"/>
      <c r="B1905" s="91" t="str">
        <f>IFERROR(VLOOKUP(A1905,Lookup!A:B,2,0),"")</f>
        <v/>
      </c>
      <c r="C1905" s="92" t="str">
        <f>IFERROR(VLOOKUP(A1905,Lookup!A:C,3,0),"")</f>
        <v/>
      </c>
      <c r="D1905" s="54"/>
      <c r="E1905" s="54"/>
      <c r="F1905" s="54"/>
      <c r="G1905" s="72"/>
      <c r="H1905" s="54"/>
      <c r="I1905" s="54"/>
      <c r="J1905" s="106">
        <f>VLOOKUP(A1905&amp;G1905,Lookup!J:N,5,0)</f>
        <v>0</v>
      </c>
      <c r="K1905" s="115"/>
      <c r="L1905" s="54"/>
      <c r="M1905" s="54"/>
      <c r="N1905" s="54"/>
      <c r="O1905" s="112">
        <v>79.1006944444444</v>
      </c>
      <c r="P1905" s="110" t="str">
        <f t="shared" si="113"/>
        <v/>
      </c>
      <c r="Q1905" s="54"/>
      <c r="R1905" s="58"/>
      <c r="S1905" s="87" t="str">
        <f t="shared" si="115"/>
        <v/>
      </c>
      <c r="T1905" s="54"/>
      <c r="U1905" s="54"/>
      <c r="V1905" s="54"/>
      <c r="W1905" s="54"/>
      <c r="X1905" s="69" t="str">
        <f t="shared" si="114"/>
        <v>D</v>
      </c>
    </row>
    <row r="1906" spans="1:24" s="66" customFormat="1" x14ac:dyDescent="0.25">
      <c r="A1906" s="51"/>
      <c r="B1906" s="91" t="str">
        <f>IFERROR(VLOOKUP(A1906,Lookup!A:B,2,0),"")</f>
        <v/>
      </c>
      <c r="C1906" s="92" t="str">
        <f>IFERROR(VLOOKUP(A1906,Lookup!A:C,3,0),"")</f>
        <v/>
      </c>
      <c r="D1906" s="54"/>
      <c r="E1906" s="54"/>
      <c r="F1906" s="54"/>
      <c r="G1906" s="72"/>
      <c r="H1906" s="54"/>
      <c r="I1906" s="54"/>
      <c r="J1906" s="106">
        <f>VLOOKUP(A1906&amp;G1906,Lookup!J:N,5,0)</f>
        <v>0</v>
      </c>
      <c r="K1906" s="115"/>
      <c r="L1906" s="54"/>
      <c r="M1906" s="54"/>
      <c r="N1906" s="54"/>
      <c r="O1906" s="112">
        <v>79.1423611111111</v>
      </c>
      <c r="P1906" s="110" t="str">
        <f t="shared" si="113"/>
        <v/>
      </c>
      <c r="Q1906" s="54"/>
      <c r="R1906" s="58"/>
      <c r="S1906" s="87" t="str">
        <f t="shared" si="115"/>
        <v/>
      </c>
      <c r="T1906" s="54"/>
      <c r="U1906" s="54"/>
      <c r="V1906" s="54"/>
      <c r="W1906" s="54"/>
      <c r="X1906" s="69" t="str">
        <f t="shared" si="114"/>
        <v>D</v>
      </c>
    </row>
    <row r="1907" spans="1:24" s="66" customFormat="1" x14ac:dyDescent="0.25">
      <c r="A1907" s="51"/>
      <c r="B1907" s="91" t="str">
        <f>IFERROR(VLOOKUP(A1907,Lookup!A:B,2,0),"")</f>
        <v/>
      </c>
      <c r="C1907" s="92" t="str">
        <f>IFERROR(VLOOKUP(A1907,Lookup!A:C,3,0),"")</f>
        <v/>
      </c>
      <c r="D1907" s="54"/>
      <c r="E1907" s="54"/>
      <c r="F1907" s="54"/>
      <c r="G1907" s="72"/>
      <c r="H1907" s="54"/>
      <c r="I1907" s="54"/>
      <c r="J1907" s="106">
        <f>VLOOKUP(A1907&amp;G1907,Lookup!J:N,5,0)</f>
        <v>0</v>
      </c>
      <c r="K1907" s="115"/>
      <c r="L1907" s="54"/>
      <c r="M1907" s="54"/>
      <c r="N1907" s="54"/>
      <c r="O1907" s="112">
        <v>79.1840277777778</v>
      </c>
      <c r="P1907" s="110" t="str">
        <f t="shared" si="113"/>
        <v/>
      </c>
      <c r="Q1907" s="54"/>
      <c r="R1907" s="58"/>
      <c r="S1907" s="87" t="str">
        <f t="shared" si="115"/>
        <v/>
      </c>
      <c r="T1907" s="54"/>
      <c r="U1907" s="54"/>
      <c r="V1907" s="54"/>
      <c r="W1907" s="54"/>
      <c r="X1907" s="69" t="str">
        <f t="shared" si="114"/>
        <v>D</v>
      </c>
    </row>
    <row r="1908" spans="1:24" s="66" customFormat="1" x14ac:dyDescent="0.25">
      <c r="A1908" s="51"/>
      <c r="B1908" s="91" t="str">
        <f>IFERROR(VLOOKUP(A1908,Lookup!A:B,2,0),"")</f>
        <v/>
      </c>
      <c r="C1908" s="92" t="str">
        <f>IFERROR(VLOOKUP(A1908,Lookup!A:C,3,0),"")</f>
        <v/>
      </c>
      <c r="D1908" s="54"/>
      <c r="E1908" s="54"/>
      <c r="F1908" s="54"/>
      <c r="G1908" s="72"/>
      <c r="H1908" s="54"/>
      <c r="I1908" s="54"/>
      <c r="J1908" s="106">
        <f>VLOOKUP(A1908&amp;G1908,Lookup!J:N,5,0)</f>
        <v>0</v>
      </c>
      <c r="K1908" s="115"/>
      <c r="L1908" s="54"/>
      <c r="M1908" s="54"/>
      <c r="N1908" s="54"/>
      <c r="O1908" s="112">
        <v>79.2256944444444</v>
      </c>
      <c r="P1908" s="110" t="str">
        <f t="shared" si="113"/>
        <v/>
      </c>
      <c r="Q1908" s="54"/>
      <c r="R1908" s="58"/>
      <c r="S1908" s="87" t="str">
        <f t="shared" si="115"/>
        <v/>
      </c>
      <c r="T1908" s="54"/>
      <c r="U1908" s="54"/>
      <c r="V1908" s="54"/>
      <c r="W1908" s="54"/>
      <c r="X1908" s="69" t="str">
        <f t="shared" si="114"/>
        <v>D</v>
      </c>
    </row>
    <row r="1909" spans="1:24" s="66" customFormat="1" x14ac:dyDescent="0.25">
      <c r="A1909" s="51"/>
      <c r="B1909" s="91" t="str">
        <f>IFERROR(VLOOKUP(A1909,Lookup!A:B,2,0),"")</f>
        <v/>
      </c>
      <c r="C1909" s="92" t="str">
        <f>IFERROR(VLOOKUP(A1909,Lookup!A:C,3,0),"")</f>
        <v/>
      </c>
      <c r="D1909" s="54"/>
      <c r="E1909" s="54"/>
      <c r="F1909" s="54"/>
      <c r="G1909" s="72"/>
      <c r="H1909" s="54"/>
      <c r="I1909" s="54"/>
      <c r="J1909" s="106">
        <f>VLOOKUP(A1909&amp;G1909,Lookup!J:N,5,0)</f>
        <v>0</v>
      </c>
      <c r="K1909" s="115"/>
      <c r="L1909" s="54"/>
      <c r="M1909" s="54"/>
      <c r="N1909" s="54"/>
      <c r="O1909" s="112">
        <v>79.2673611111111</v>
      </c>
      <c r="P1909" s="110" t="str">
        <f t="shared" si="113"/>
        <v/>
      </c>
      <c r="Q1909" s="54"/>
      <c r="R1909" s="58"/>
      <c r="S1909" s="87" t="str">
        <f t="shared" si="115"/>
        <v/>
      </c>
      <c r="T1909" s="54"/>
      <c r="U1909" s="54"/>
      <c r="V1909" s="54"/>
      <c r="W1909" s="54"/>
      <c r="X1909" s="69" t="str">
        <f t="shared" si="114"/>
        <v>D</v>
      </c>
    </row>
    <row r="1910" spans="1:24" s="66" customFormat="1" x14ac:dyDescent="0.25">
      <c r="A1910" s="51"/>
      <c r="B1910" s="91" t="str">
        <f>IFERROR(VLOOKUP(A1910,Lookup!A:B,2,0),"")</f>
        <v/>
      </c>
      <c r="C1910" s="92" t="str">
        <f>IFERROR(VLOOKUP(A1910,Lookup!A:C,3,0),"")</f>
        <v/>
      </c>
      <c r="D1910" s="54"/>
      <c r="E1910" s="54"/>
      <c r="F1910" s="54"/>
      <c r="G1910" s="72"/>
      <c r="H1910" s="54"/>
      <c r="I1910" s="54"/>
      <c r="J1910" s="106">
        <f>VLOOKUP(A1910&amp;G1910,Lookup!J:N,5,0)</f>
        <v>0</v>
      </c>
      <c r="K1910" s="115"/>
      <c r="L1910" s="54"/>
      <c r="M1910" s="54"/>
      <c r="N1910" s="54"/>
      <c r="O1910" s="112">
        <v>79.3090277777778</v>
      </c>
      <c r="P1910" s="110" t="str">
        <f t="shared" si="113"/>
        <v/>
      </c>
      <c r="Q1910" s="54"/>
      <c r="R1910" s="58"/>
      <c r="S1910" s="87" t="str">
        <f t="shared" si="115"/>
        <v/>
      </c>
      <c r="T1910" s="54"/>
      <c r="U1910" s="54"/>
      <c r="V1910" s="54"/>
      <c r="W1910" s="54"/>
      <c r="X1910" s="69" t="str">
        <f t="shared" si="114"/>
        <v>D</v>
      </c>
    </row>
    <row r="1911" spans="1:24" s="66" customFormat="1" x14ac:dyDescent="0.25">
      <c r="A1911" s="51"/>
      <c r="B1911" s="91" t="str">
        <f>IFERROR(VLOOKUP(A1911,Lookup!A:B,2,0),"")</f>
        <v/>
      </c>
      <c r="C1911" s="92" t="str">
        <f>IFERROR(VLOOKUP(A1911,Lookup!A:C,3,0),"")</f>
        <v/>
      </c>
      <c r="D1911" s="54"/>
      <c r="E1911" s="54"/>
      <c r="F1911" s="54"/>
      <c r="G1911" s="72"/>
      <c r="H1911" s="54"/>
      <c r="I1911" s="54"/>
      <c r="J1911" s="106">
        <f>VLOOKUP(A1911&amp;G1911,Lookup!J:N,5,0)</f>
        <v>0</v>
      </c>
      <c r="K1911" s="115"/>
      <c r="L1911" s="54"/>
      <c r="M1911" s="54"/>
      <c r="N1911" s="54"/>
      <c r="O1911" s="112">
        <v>79.3506944444444</v>
      </c>
      <c r="P1911" s="110" t="str">
        <f t="shared" si="113"/>
        <v/>
      </c>
      <c r="Q1911" s="54"/>
      <c r="R1911" s="58"/>
      <c r="S1911" s="87" t="str">
        <f t="shared" si="115"/>
        <v/>
      </c>
      <c r="T1911" s="54"/>
      <c r="U1911" s="54"/>
      <c r="V1911" s="54"/>
      <c r="W1911" s="54"/>
      <c r="X1911" s="69" t="str">
        <f t="shared" si="114"/>
        <v>D</v>
      </c>
    </row>
    <row r="1912" spans="1:24" s="66" customFormat="1" x14ac:dyDescent="0.25">
      <c r="A1912" s="51"/>
      <c r="B1912" s="91" t="str">
        <f>IFERROR(VLOOKUP(A1912,Lookup!A:B,2,0),"")</f>
        <v/>
      </c>
      <c r="C1912" s="92" t="str">
        <f>IFERROR(VLOOKUP(A1912,Lookup!A:C,3,0),"")</f>
        <v/>
      </c>
      <c r="D1912" s="54"/>
      <c r="E1912" s="54"/>
      <c r="F1912" s="54"/>
      <c r="G1912" s="72"/>
      <c r="H1912" s="54"/>
      <c r="I1912" s="54"/>
      <c r="J1912" s="106">
        <f>VLOOKUP(A1912&amp;G1912,Lookup!J:N,5,0)</f>
        <v>0</v>
      </c>
      <c r="K1912" s="115"/>
      <c r="L1912" s="54"/>
      <c r="M1912" s="54"/>
      <c r="N1912" s="54"/>
      <c r="O1912" s="112">
        <v>79.3923611111111</v>
      </c>
      <c r="P1912" s="110" t="str">
        <f t="shared" si="113"/>
        <v/>
      </c>
      <c r="Q1912" s="54"/>
      <c r="R1912" s="58"/>
      <c r="S1912" s="87" t="str">
        <f t="shared" si="115"/>
        <v/>
      </c>
      <c r="T1912" s="54"/>
      <c r="U1912" s="54"/>
      <c r="V1912" s="54"/>
      <c r="W1912" s="54"/>
      <c r="X1912" s="69" t="str">
        <f t="shared" si="114"/>
        <v>D</v>
      </c>
    </row>
    <row r="1913" spans="1:24" s="66" customFormat="1" x14ac:dyDescent="0.25">
      <c r="A1913" s="51"/>
      <c r="B1913" s="91" t="str">
        <f>IFERROR(VLOOKUP(A1913,Lookup!A:B,2,0),"")</f>
        <v/>
      </c>
      <c r="C1913" s="92" t="str">
        <f>IFERROR(VLOOKUP(A1913,Lookup!A:C,3,0),"")</f>
        <v/>
      </c>
      <c r="D1913" s="54"/>
      <c r="E1913" s="54"/>
      <c r="F1913" s="54"/>
      <c r="G1913" s="72"/>
      <c r="H1913" s="54"/>
      <c r="I1913" s="54"/>
      <c r="J1913" s="106">
        <f>VLOOKUP(A1913&amp;G1913,Lookup!J:N,5,0)</f>
        <v>0</v>
      </c>
      <c r="K1913" s="115"/>
      <c r="L1913" s="54"/>
      <c r="M1913" s="54"/>
      <c r="N1913" s="54"/>
      <c r="O1913" s="112">
        <v>79.4340277777778</v>
      </c>
      <c r="P1913" s="110" t="str">
        <f t="shared" si="113"/>
        <v/>
      </c>
      <c r="Q1913" s="54"/>
      <c r="R1913" s="58"/>
      <c r="S1913" s="87" t="str">
        <f t="shared" si="115"/>
        <v/>
      </c>
      <c r="T1913" s="54"/>
      <c r="U1913" s="54"/>
      <c r="V1913" s="54"/>
      <c r="W1913" s="54"/>
      <c r="X1913" s="69" t="str">
        <f t="shared" si="114"/>
        <v>D</v>
      </c>
    </row>
    <row r="1914" spans="1:24" s="66" customFormat="1" x14ac:dyDescent="0.25">
      <c r="A1914" s="51"/>
      <c r="B1914" s="91" t="str">
        <f>IFERROR(VLOOKUP(A1914,Lookup!A:B,2,0),"")</f>
        <v/>
      </c>
      <c r="C1914" s="92" t="str">
        <f>IFERROR(VLOOKUP(A1914,Lookup!A:C,3,0),"")</f>
        <v/>
      </c>
      <c r="D1914" s="54"/>
      <c r="E1914" s="54"/>
      <c r="F1914" s="54"/>
      <c r="G1914" s="72"/>
      <c r="H1914" s="54"/>
      <c r="I1914" s="54"/>
      <c r="J1914" s="106">
        <f>VLOOKUP(A1914&amp;G1914,Lookup!J:N,5,0)</f>
        <v>0</v>
      </c>
      <c r="K1914" s="115"/>
      <c r="L1914" s="54"/>
      <c r="M1914" s="54"/>
      <c r="N1914" s="54"/>
      <c r="O1914" s="112">
        <v>79.4756944444444</v>
      </c>
      <c r="P1914" s="110" t="str">
        <f t="shared" si="113"/>
        <v/>
      </c>
      <c r="Q1914" s="54"/>
      <c r="R1914" s="58"/>
      <c r="S1914" s="87" t="str">
        <f t="shared" si="115"/>
        <v/>
      </c>
      <c r="T1914" s="54"/>
      <c r="U1914" s="54"/>
      <c r="V1914" s="54"/>
      <c r="W1914" s="54"/>
      <c r="X1914" s="69" t="str">
        <f t="shared" si="114"/>
        <v>D</v>
      </c>
    </row>
    <row r="1915" spans="1:24" s="66" customFormat="1" x14ac:dyDescent="0.25">
      <c r="A1915" s="51"/>
      <c r="B1915" s="91" t="str">
        <f>IFERROR(VLOOKUP(A1915,Lookup!A:B,2,0),"")</f>
        <v/>
      </c>
      <c r="C1915" s="92" t="str">
        <f>IFERROR(VLOOKUP(A1915,Lookup!A:C,3,0),"")</f>
        <v/>
      </c>
      <c r="D1915" s="54"/>
      <c r="E1915" s="54"/>
      <c r="F1915" s="54"/>
      <c r="G1915" s="72"/>
      <c r="H1915" s="54"/>
      <c r="I1915" s="54"/>
      <c r="J1915" s="106">
        <f>VLOOKUP(A1915&amp;G1915,Lookup!J:N,5,0)</f>
        <v>0</v>
      </c>
      <c r="K1915" s="115"/>
      <c r="L1915" s="54"/>
      <c r="M1915" s="54"/>
      <c r="N1915" s="54"/>
      <c r="O1915" s="112">
        <v>79.5173611111111</v>
      </c>
      <c r="P1915" s="110" t="str">
        <f t="shared" si="113"/>
        <v/>
      </c>
      <c r="Q1915" s="54"/>
      <c r="R1915" s="58"/>
      <c r="S1915" s="87" t="str">
        <f t="shared" si="115"/>
        <v/>
      </c>
      <c r="T1915" s="54"/>
      <c r="U1915" s="54"/>
      <c r="V1915" s="54"/>
      <c r="W1915" s="54"/>
      <c r="X1915" s="69" t="str">
        <f t="shared" si="114"/>
        <v>D</v>
      </c>
    </row>
    <row r="1916" spans="1:24" s="66" customFormat="1" x14ac:dyDescent="0.25">
      <c r="A1916" s="51"/>
      <c r="B1916" s="91" t="str">
        <f>IFERROR(VLOOKUP(A1916,Lookup!A:B,2,0),"")</f>
        <v/>
      </c>
      <c r="C1916" s="92" t="str">
        <f>IFERROR(VLOOKUP(A1916,Lookup!A:C,3,0),"")</f>
        <v/>
      </c>
      <c r="D1916" s="54"/>
      <c r="E1916" s="54"/>
      <c r="F1916" s="54"/>
      <c r="G1916" s="72"/>
      <c r="H1916" s="54"/>
      <c r="I1916" s="54"/>
      <c r="J1916" s="106">
        <f>VLOOKUP(A1916&amp;G1916,Lookup!J:N,5,0)</f>
        <v>0</v>
      </c>
      <c r="K1916" s="115"/>
      <c r="L1916" s="54"/>
      <c r="M1916" s="54"/>
      <c r="N1916" s="54"/>
      <c r="O1916" s="112">
        <v>79.5590277777778</v>
      </c>
      <c r="P1916" s="110" t="str">
        <f t="shared" si="113"/>
        <v/>
      </c>
      <c r="Q1916" s="54"/>
      <c r="R1916" s="58"/>
      <c r="S1916" s="87" t="str">
        <f t="shared" si="115"/>
        <v/>
      </c>
      <c r="T1916" s="54"/>
      <c r="U1916" s="54"/>
      <c r="V1916" s="54"/>
      <c r="W1916" s="54"/>
      <c r="X1916" s="69" t="str">
        <f t="shared" si="114"/>
        <v>D</v>
      </c>
    </row>
    <row r="1917" spans="1:24" s="66" customFormat="1" x14ac:dyDescent="0.25">
      <c r="A1917" s="51"/>
      <c r="B1917" s="91" t="str">
        <f>IFERROR(VLOOKUP(A1917,Lookup!A:B,2,0),"")</f>
        <v/>
      </c>
      <c r="C1917" s="92" t="str">
        <f>IFERROR(VLOOKUP(A1917,Lookup!A:C,3,0),"")</f>
        <v/>
      </c>
      <c r="D1917" s="54"/>
      <c r="E1917" s="54"/>
      <c r="F1917" s="54"/>
      <c r="G1917" s="72"/>
      <c r="H1917" s="54"/>
      <c r="I1917" s="54"/>
      <c r="J1917" s="106">
        <f>VLOOKUP(A1917&amp;G1917,Lookup!J:N,5,0)</f>
        <v>0</v>
      </c>
      <c r="K1917" s="115"/>
      <c r="L1917" s="54"/>
      <c r="M1917" s="54"/>
      <c r="N1917" s="54"/>
      <c r="O1917" s="112">
        <v>79.6006944444444</v>
      </c>
      <c r="P1917" s="110" t="str">
        <f t="shared" si="113"/>
        <v/>
      </c>
      <c r="Q1917" s="54"/>
      <c r="R1917" s="58"/>
      <c r="S1917" s="87" t="str">
        <f t="shared" si="115"/>
        <v/>
      </c>
      <c r="T1917" s="54"/>
      <c r="U1917" s="54"/>
      <c r="V1917" s="54"/>
      <c r="W1917" s="54"/>
      <c r="X1917" s="69" t="str">
        <f t="shared" si="114"/>
        <v>D</v>
      </c>
    </row>
    <row r="1918" spans="1:24" s="66" customFormat="1" x14ac:dyDescent="0.25">
      <c r="A1918" s="51"/>
      <c r="B1918" s="91" t="str">
        <f>IFERROR(VLOOKUP(A1918,Lookup!A:B,2,0),"")</f>
        <v/>
      </c>
      <c r="C1918" s="92" t="str">
        <f>IFERROR(VLOOKUP(A1918,Lookup!A:C,3,0),"")</f>
        <v/>
      </c>
      <c r="D1918" s="54"/>
      <c r="E1918" s="54"/>
      <c r="F1918" s="54"/>
      <c r="G1918" s="72"/>
      <c r="H1918" s="54"/>
      <c r="I1918" s="54"/>
      <c r="J1918" s="106">
        <f>VLOOKUP(A1918&amp;G1918,Lookup!J:N,5,0)</f>
        <v>0</v>
      </c>
      <c r="K1918" s="115"/>
      <c r="L1918" s="54"/>
      <c r="M1918" s="54"/>
      <c r="N1918" s="54"/>
      <c r="O1918" s="112">
        <v>79.6423611111111</v>
      </c>
      <c r="P1918" s="110" t="str">
        <f t="shared" si="113"/>
        <v/>
      </c>
      <c r="Q1918" s="54"/>
      <c r="R1918" s="58"/>
      <c r="S1918" s="87" t="str">
        <f t="shared" si="115"/>
        <v/>
      </c>
      <c r="T1918" s="54"/>
      <c r="U1918" s="54"/>
      <c r="V1918" s="54"/>
      <c r="W1918" s="54"/>
      <c r="X1918" s="69" t="str">
        <f t="shared" si="114"/>
        <v>D</v>
      </c>
    </row>
    <row r="1919" spans="1:24" s="66" customFormat="1" x14ac:dyDescent="0.25">
      <c r="A1919" s="51"/>
      <c r="B1919" s="91" t="str">
        <f>IFERROR(VLOOKUP(A1919,Lookup!A:B,2,0),"")</f>
        <v/>
      </c>
      <c r="C1919" s="92" t="str">
        <f>IFERROR(VLOOKUP(A1919,Lookup!A:C,3,0),"")</f>
        <v/>
      </c>
      <c r="D1919" s="54"/>
      <c r="E1919" s="54"/>
      <c r="F1919" s="54"/>
      <c r="G1919" s="72"/>
      <c r="H1919" s="54"/>
      <c r="I1919" s="54"/>
      <c r="J1919" s="106">
        <f>VLOOKUP(A1919&amp;G1919,Lookup!J:N,5,0)</f>
        <v>0</v>
      </c>
      <c r="K1919" s="115"/>
      <c r="L1919" s="54"/>
      <c r="M1919" s="54"/>
      <c r="N1919" s="54"/>
      <c r="O1919" s="112">
        <v>79.6840277777778</v>
      </c>
      <c r="P1919" s="110" t="str">
        <f t="shared" si="113"/>
        <v/>
      </c>
      <c r="Q1919" s="54"/>
      <c r="R1919" s="58"/>
      <c r="S1919" s="87" t="str">
        <f t="shared" si="115"/>
        <v/>
      </c>
      <c r="T1919" s="54"/>
      <c r="U1919" s="54"/>
      <c r="V1919" s="54"/>
      <c r="W1919" s="54"/>
      <c r="X1919" s="69" t="str">
        <f t="shared" si="114"/>
        <v>D</v>
      </c>
    </row>
    <row r="1920" spans="1:24" s="66" customFormat="1" x14ac:dyDescent="0.25">
      <c r="A1920" s="51"/>
      <c r="B1920" s="91" t="str">
        <f>IFERROR(VLOOKUP(A1920,Lookup!A:B,2,0),"")</f>
        <v/>
      </c>
      <c r="C1920" s="92" t="str">
        <f>IFERROR(VLOOKUP(A1920,Lookup!A:C,3,0),"")</f>
        <v/>
      </c>
      <c r="D1920" s="54"/>
      <c r="E1920" s="54"/>
      <c r="F1920" s="54"/>
      <c r="G1920" s="72"/>
      <c r="H1920" s="54"/>
      <c r="I1920" s="54"/>
      <c r="J1920" s="106">
        <f>VLOOKUP(A1920&amp;G1920,Lookup!J:N,5,0)</f>
        <v>0</v>
      </c>
      <c r="K1920" s="115"/>
      <c r="L1920" s="54"/>
      <c r="M1920" s="54"/>
      <c r="N1920" s="54"/>
      <c r="O1920" s="112">
        <v>79.7256944444444</v>
      </c>
      <c r="P1920" s="110" t="str">
        <f t="shared" si="113"/>
        <v/>
      </c>
      <c r="Q1920" s="54"/>
      <c r="R1920" s="58"/>
      <c r="S1920" s="87" t="str">
        <f t="shared" si="115"/>
        <v/>
      </c>
      <c r="T1920" s="54"/>
      <c r="U1920" s="54"/>
      <c r="V1920" s="54"/>
      <c r="W1920" s="54"/>
      <c r="X1920" s="69" t="str">
        <f t="shared" si="114"/>
        <v>D</v>
      </c>
    </row>
    <row r="1921" spans="1:24" s="66" customFormat="1" x14ac:dyDescent="0.25">
      <c r="A1921" s="51"/>
      <c r="B1921" s="91" t="str">
        <f>IFERROR(VLOOKUP(A1921,Lookup!A:B,2,0),"")</f>
        <v/>
      </c>
      <c r="C1921" s="92" t="str">
        <f>IFERROR(VLOOKUP(A1921,Lookup!A:C,3,0),"")</f>
        <v/>
      </c>
      <c r="D1921" s="54"/>
      <c r="E1921" s="54"/>
      <c r="F1921" s="54"/>
      <c r="G1921" s="72"/>
      <c r="H1921" s="54"/>
      <c r="I1921" s="54"/>
      <c r="J1921" s="106">
        <f>VLOOKUP(A1921&amp;G1921,Lookup!J:N,5,0)</f>
        <v>0</v>
      </c>
      <c r="K1921" s="115"/>
      <c r="L1921" s="54"/>
      <c r="M1921" s="54"/>
      <c r="N1921" s="54"/>
      <c r="O1921" s="112">
        <v>79.7673611111111</v>
      </c>
      <c r="P1921" s="110" t="str">
        <f t="shared" si="113"/>
        <v/>
      </c>
      <c r="Q1921" s="54"/>
      <c r="R1921" s="58"/>
      <c r="S1921" s="87" t="str">
        <f t="shared" si="115"/>
        <v/>
      </c>
      <c r="T1921" s="54"/>
      <c r="U1921" s="54"/>
      <c r="V1921" s="54"/>
      <c r="W1921" s="54"/>
      <c r="X1921" s="69" t="str">
        <f t="shared" si="114"/>
        <v>D</v>
      </c>
    </row>
    <row r="1922" spans="1:24" s="66" customFormat="1" x14ac:dyDescent="0.25">
      <c r="A1922" s="51"/>
      <c r="B1922" s="91" t="str">
        <f>IFERROR(VLOOKUP(A1922,Lookup!A:B,2,0),"")</f>
        <v/>
      </c>
      <c r="C1922" s="92" t="str">
        <f>IFERROR(VLOOKUP(A1922,Lookup!A:C,3,0),"")</f>
        <v/>
      </c>
      <c r="D1922" s="54"/>
      <c r="E1922" s="54"/>
      <c r="F1922" s="54"/>
      <c r="G1922" s="72"/>
      <c r="H1922" s="54"/>
      <c r="I1922" s="54"/>
      <c r="J1922" s="106">
        <f>VLOOKUP(A1922&amp;G1922,Lookup!J:N,5,0)</f>
        <v>0</v>
      </c>
      <c r="K1922" s="115"/>
      <c r="L1922" s="54"/>
      <c r="M1922" s="54"/>
      <c r="N1922" s="54"/>
      <c r="O1922" s="112">
        <v>79.8090277777778</v>
      </c>
      <c r="P1922" s="110" t="str">
        <f t="shared" si="113"/>
        <v/>
      </c>
      <c r="Q1922" s="54"/>
      <c r="R1922" s="58"/>
      <c r="S1922" s="87" t="str">
        <f t="shared" si="115"/>
        <v/>
      </c>
      <c r="T1922" s="54"/>
      <c r="U1922" s="54"/>
      <c r="V1922" s="54"/>
      <c r="W1922" s="54"/>
      <c r="X1922" s="69" t="str">
        <f t="shared" si="114"/>
        <v>D</v>
      </c>
    </row>
    <row r="1923" spans="1:24" s="66" customFormat="1" x14ac:dyDescent="0.25">
      <c r="A1923" s="51"/>
      <c r="B1923" s="91" t="str">
        <f>IFERROR(VLOOKUP(A1923,Lookup!A:B,2,0),"")</f>
        <v/>
      </c>
      <c r="C1923" s="92" t="str">
        <f>IFERROR(VLOOKUP(A1923,Lookup!A:C,3,0),"")</f>
        <v/>
      </c>
      <c r="D1923" s="54"/>
      <c r="E1923" s="54"/>
      <c r="F1923" s="54"/>
      <c r="G1923" s="72"/>
      <c r="H1923" s="54"/>
      <c r="I1923" s="54"/>
      <c r="J1923" s="106">
        <f>VLOOKUP(A1923&amp;G1923,Lookup!J:N,5,0)</f>
        <v>0</v>
      </c>
      <c r="K1923" s="115"/>
      <c r="L1923" s="54"/>
      <c r="M1923" s="54"/>
      <c r="N1923" s="54"/>
      <c r="O1923" s="112">
        <v>79.8506944444444</v>
      </c>
      <c r="P1923" s="110" t="str">
        <f t="shared" ref="P1923:P1986" si="116">IF(N1923="","",N1923+O1923)</f>
        <v/>
      </c>
      <c r="Q1923" s="54"/>
      <c r="R1923" s="58"/>
      <c r="S1923" s="87" t="str">
        <f t="shared" si="115"/>
        <v/>
      </c>
      <c r="T1923" s="54"/>
      <c r="U1923" s="54"/>
      <c r="V1923" s="54"/>
      <c r="W1923" s="54"/>
      <c r="X1923" s="69" t="str">
        <f t="shared" ref="X1923:X1986" si="117">IF(I1923="SET","A",IF(I1923="FREQ","C",IF(I1923="","D","B")))</f>
        <v>D</v>
      </c>
    </row>
    <row r="1924" spans="1:24" s="66" customFormat="1" x14ac:dyDescent="0.25">
      <c r="A1924" s="51"/>
      <c r="B1924" s="91" t="str">
        <f>IFERROR(VLOOKUP(A1924,Lookup!A:B,2,0),"")</f>
        <v/>
      </c>
      <c r="C1924" s="92" t="str">
        <f>IFERROR(VLOOKUP(A1924,Lookup!A:C,3,0),"")</f>
        <v/>
      </c>
      <c r="D1924" s="54"/>
      <c r="E1924" s="54"/>
      <c r="F1924" s="54"/>
      <c r="G1924" s="72"/>
      <c r="H1924" s="54"/>
      <c r="I1924" s="54"/>
      <c r="J1924" s="106">
        <f>VLOOKUP(A1924&amp;G1924,Lookup!J:N,5,0)</f>
        <v>0</v>
      </c>
      <c r="K1924" s="115"/>
      <c r="L1924" s="54"/>
      <c r="M1924" s="54"/>
      <c r="N1924" s="54"/>
      <c r="O1924" s="112">
        <v>79.8923611111111</v>
      </c>
      <c r="P1924" s="110" t="str">
        <f t="shared" si="116"/>
        <v/>
      </c>
      <c r="Q1924" s="54"/>
      <c r="R1924" s="58"/>
      <c r="S1924" s="87" t="str">
        <f t="shared" si="115"/>
        <v/>
      </c>
      <c r="T1924" s="54"/>
      <c r="U1924" s="54"/>
      <c r="V1924" s="54"/>
      <c r="W1924" s="54"/>
      <c r="X1924" s="69" t="str">
        <f t="shared" si="117"/>
        <v>D</v>
      </c>
    </row>
    <row r="1925" spans="1:24" s="66" customFormat="1" x14ac:dyDescent="0.25">
      <c r="A1925" s="51"/>
      <c r="B1925" s="91" t="str">
        <f>IFERROR(VLOOKUP(A1925,Lookup!A:B,2,0),"")</f>
        <v/>
      </c>
      <c r="C1925" s="92" t="str">
        <f>IFERROR(VLOOKUP(A1925,Lookup!A:C,3,0),"")</f>
        <v/>
      </c>
      <c r="D1925" s="54"/>
      <c r="E1925" s="54"/>
      <c r="F1925" s="54"/>
      <c r="G1925" s="72"/>
      <c r="H1925" s="54"/>
      <c r="I1925" s="54"/>
      <c r="J1925" s="106">
        <f>VLOOKUP(A1925&amp;G1925,Lookup!J:N,5,0)</f>
        <v>0</v>
      </c>
      <c r="K1925" s="115"/>
      <c r="L1925" s="54"/>
      <c r="M1925" s="54"/>
      <c r="N1925" s="54"/>
      <c r="O1925" s="112">
        <v>79.9340277777778</v>
      </c>
      <c r="P1925" s="110" t="str">
        <f t="shared" si="116"/>
        <v/>
      </c>
      <c r="Q1925" s="54"/>
      <c r="R1925" s="58"/>
      <c r="S1925" s="87" t="str">
        <f t="shared" si="115"/>
        <v/>
      </c>
      <c r="T1925" s="54"/>
      <c r="U1925" s="54"/>
      <c r="V1925" s="54"/>
      <c r="W1925" s="54"/>
      <c r="X1925" s="69" t="str">
        <f t="shared" si="117"/>
        <v>D</v>
      </c>
    </row>
    <row r="1926" spans="1:24" s="66" customFormat="1" x14ac:dyDescent="0.25">
      <c r="A1926" s="51"/>
      <c r="B1926" s="91" t="str">
        <f>IFERROR(VLOOKUP(A1926,Lookup!A:B,2,0),"")</f>
        <v/>
      </c>
      <c r="C1926" s="92" t="str">
        <f>IFERROR(VLOOKUP(A1926,Lookup!A:C,3,0),"")</f>
        <v/>
      </c>
      <c r="D1926" s="54"/>
      <c r="E1926" s="54"/>
      <c r="F1926" s="54"/>
      <c r="G1926" s="72"/>
      <c r="H1926" s="54"/>
      <c r="I1926" s="54"/>
      <c r="J1926" s="106">
        <f>VLOOKUP(A1926&amp;G1926,Lookup!J:N,5,0)</f>
        <v>0</v>
      </c>
      <c r="K1926" s="115"/>
      <c r="L1926" s="54"/>
      <c r="M1926" s="54"/>
      <c r="N1926" s="54"/>
      <c r="O1926" s="112">
        <v>79.9756944444444</v>
      </c>
      <c r="P1926" s="110" t="str">
        <f t="shared" si="116"/>
        <v/>
      </c>
      <c r="Q1926" s="54"/>
      <c r="R1926" s="58"/>
      <c r="S1926" s="87" t="str">
        <f t="shared" si="115"/>
        <v/>
      </c>
      <c r="T1926" s="54"/>
      <c r="U1926" s="54"/>
      <c r="V1926" s="54"/>
      <c r="W1926" s="54"/>
      <c r="X1926" s="69" t="str">
        <f t="shared" si="117"/>
        <v>D</v>
      </c>
    </row>
    <row r="1927" spans="1:24" s="66" customFormat="1" x14ac:dyDescent="0.25">
      <c r="A1927" s="51"/>
      <c r="B1927" s="91" t="str">
        <f>IFERROR(VLOOKUP(A1927,Lookup!A:B,2,0),"")</f>
        <v/>
      </c>
      <c r="C1927" s="92" t="str">
        <f>IFERROR(VLOOKUP(A1927,Lookup!A:C,3,0),"")</f>
        <v/>
      </c>
      <c r="D1927" s="54"/>
      <c r="E1927" s="54"/>
      <c r="F1927" s="54"/>
      <c r="G1927" s="72"/>
      <c r="H1927" s="54"/>
      <c r="I1927" s="54"/>
      <c r="J1927" s="106">
        <f>VLOOKUP(A1927&amp;G1927,Lookup!J:N,5,0)</f>
        <v>0</v>
      </c>
      <c r="K1927" s="115"/>
      <c r="L1927" s="54"/>
      <c r="M1927" s="54"/>
      <c r="N1927" s="54"/>
      <c r="O1927" s="112">
        <v>80.0173611111111</v>
      </c>
      <c r="P1927" s="110" t="str">
        <f t="shared" si="116"/>
        <v/>
      </c>
      <c r="Q1927" s="54"/>
      <c r="R1927" s="58"/>
      <c r="S1927" s="87" t="str">
        <f t="shared" ref="S1927:S1990" si="118">IF(OR(EXACT(Q1927,""), EXACT(L1927,"")),"",Q1927-L1927)</f>
        <v/>
      </c>
      <c r="T1927" s="54"/>
      <c r="U1927" s="54"/>
      <c r="V1927" s="54"/>
      <c r="W1927" s="54"/>
      <c r="X1927" s="69" t="str">
        <f t="shared" si="117"/>
        <v>D</v>
      </c>
    </row>
    <row r="1928" spans="1:24" s="66" customFormat="1" x14ac:dyDescent="0.25">
      <c r="A1928" s="51"/>
      <c r="B1928" s="91" t="str">
        <f>IFERROR(VLOOKUP(A1928,Lookup!A:B,2,0),"")</f>
        <v/>
      </c>
      <c r="C1928" s="92" t="str">
        <f>IFERROR(VLOOKUP(A1928,Lookup!A:C,3,0),"")</f>
        <v/>
      </c>
      <c r="D1928" s="54"/>
      <c r="E1928" s="54"/>
      <c r="F1928" s="54"/>
      <c r="G1928" s="72"/>
      <c r="H1928" s="54"/>
      <c r="I1928" s="54"/>
      <c r="J1928" s="106">
        <f>VLOOKUP(A1928&amp;G1928,Lookup!J:N,5,0)</f>
        <v>0</v>
      </c>
      <c r="K1928" s="115"/>
      <c r="L1928" s="54"/>
      <c r="M1928" s="54"/>
      <c r="N1928" s="54"/>
      <c r="O1928" s="112">
        <v>80.0590277777778</v>
      </c>
      <c r="P1928" s="110" t="str">
        <f t="shared" si="116"/>
        <v/>
      </c>
      <c r="Q1928" s="54"/>
      <c r="R1928" s="58"/>
      <c r="S1928" s="87" t="str">
        <f t="shared" si="118"/>
        <v/>
      </c>
      <c r="T1928" s="54"/>
      <c r="U1928" s="54"/>
      <c r="V1928" s="54"/>
      <c r="W1928" s="54"/>
      <c r="X1928" s="69" t="str">
        <f t="shared" si="117"/>
        <v>D</v>
      </c>
    </row>
    <row r="1929" spans="1:24" s="66" customFormat="1" x14ac:dyDescent="0.25">
      <c r="A1929" s="51"/>
      <c r="B1929" s="91" t="str">
        <f>IFERROR(VLOOKUP(A1929,Lookup!A:B,2,0),"")</f>
        <v/>
      </c>
      <c r="C1929" s="92" t="str">
        <f>IFERROR(VLOOKUP(A1929,Lookup!A:C,3,0),"")</f>
        <v/>
      </c>
      <c r="D1929" s="54"/>
      <c r="E1929" s="54"/>
      <c r="F1929" s="54"/>
      <c r="G1929" s="72"/>
      <c r="H1929" s="54"/>
      <c r="I1929" s="54"/>
      <c r="J1929" s="106">
        <f>VLOOKUP(A1929&amp;G1929,Lookup!J:N,5,0)</f>
        <v>0</v>
      </c>
      <c r="K1929" s="115"/>
      <c r="L1929" s="54"/>
      <c r="M1929" s="54"/>
      <c r="N1929" s="54"/>
      <c r="O1929" s="112">
        <v>80.1006944444444</v>
      </c>
      <c r="P1929" s="110" t="str">
        <f t="shared" si="116"/>
        <v/>
      </c>
      <c r="Q1929" s="54"/>
      <c r="R1929" s="58"/>
      <c r="S1929" s="87" t="str">
        <f t="shared" si="118"/>
        <v/>
      </c>
      <c r="T1929" s="54"/>
      <c r="U1929" s="54"/>
      <c r="V1929" s="54"/>
      <c r="W1929" s="54"/>
      <c r="X1929" s="69" t="str">
        <f t="shared" si="117"/>
        <v>D</v>
      </c>
    </row>
    <row r="1930" spans="1:24" s="66" customFormat="1" x14ac:dyDescent="0.25">
      <c r="A1930" s="51"/>
      <c r="B1930" s="91" t="str">
        <f>IFERROR(VLOOKUP(A1930,Lookup!A:B,2,0),"")</f>
        <v/>
      </c>
      <c r="C1930" s="92" t="str">
        <f>IFERROR(VLOOKUP(A1930,Lookup!A:C,3,0),"")</f>
        <v/>
      </c>
      <c r="D1930" s="54"/>
      <c r="E1930" s="54"/>
      <c r="F1930" s="54"/>
      <c r="G1930" s="72"/>
      <c r="H1930" s="54"/>
      <c r="I1930" s="54"/>
      <c r="J1930" s="106">
        <f>VLOOKUP(A1930&amp;G1930,Lookup!J:N,5,0)</f>
        <v>0</v>
      </c>
      <c r="K1930" s="115"/>
      <c r="L1930" s="54"/>
      <c r="M1930" s="54"/>
      <c r="N1930" s="54"/>
      <c r="O1930" s="112">
        <v>80.1423611111111</v>
      </c>
      <c r="P1930" s="110" t="str">
        <f t="shared" si="116"/>
        <v/>
      </c>
      <c r="Q1930" s="54"/>
      <c r="R1930" s="58"/>
      <c r="S1930" s="87" t="str">
        <f t="shared" si="118"/>
        <v/>
      </c>
      <c r="T1930" s="54"/>
      <c r="U1930" s="54"/>
      <c r="V1930" s="54"/>
      <c r="W1930" s="54"/>
      <c r="X1930" s="69" t="str">
        <f t="shared" si="117"/>
        <v>D</v>
      </c>
    </row>
    <row r="1931" spans="1:24" s="66" customFormat="1" x14ac:dyDescent="0.25">
      <c r="A1931" s="51"/>
      <c r="B1931" s="91" t="str">
        <f>IFERROR(VLOOKUP(A1931,Lookup!A:B,2,0),"")</f>
        <v/>
      </c>
      <c r="C1931" s="92" t="str">
        <f>IFERROR(VLOOKUP(A1931,Lookup!A:C,3,0),"")</f>
        <v/>
      </c>
      <c r="D1931" s="54"/>
      <c r="E1931" s="54"/>
      <c r="F1931" s="54"/>
      <c r="G1931" s="72"/>
      <c r="H1931" s="54"/>
      <c r="I1931" s="54"/>
      <c r="J1931" s="106">
        <f>VLOOKUP(A1931&amp;G1931,Lookup!J:N,5,0)</f>
        <v>0</v>
      </c>
      <c r="K1931" s="115"/>
      <c r="L1931" s="54"/>
      <c r="M1931" s="54"/>
      <c r="N1931" s="54"/>
      <c r="O1931" s="112">
        <v>80.1840277777778</v>
      </c>
      <c r="P1931" s="110" t="str">
        <f t="shared" si="116"/>
        <v/>
      </c>
      <c r="Q1931" s="54"/>
      <c r="R1931" s="58"/>
      <c r="S1931" s="87" t="str">
        <f t="shared" si="118"/>
        <v/>
      </c>
      <c r="T1931" s="54"/>
      <c r="U1931" s="54"/>
      <c r="V1931" s="54"/>
      <c r="W1931" s="54"/>
      <c r="X1931" s="69" t="str">
        <f t="shared" si="117"/>
        <v>D</v>
      </c>
    </row>
    <row r="1932" spans="1:24" s="66" customFormat="1" x14ac:dyDescent="0.25">
      <c r="A1932" s="51"/>
      <c r="B1932" s="91" t="str">
        <f>IFERROR(VLOOKUP(A1932,Lookup!A:B,2,0),"")</f>
        <v/>
      </c>
      <c r="C1932" s="92" t="str">
        <f>IFERROR(VLOOKUP(A1932,Lookup!A:C,3,0),"")</f>
        <v/>
      </c>
      <c r="D1932" s="54"/>
      <c r="E1932" s="54"/>
      <c r="F1932" s="54"/>
      <c r="G1932" s="72"/>
      <c r="H1932" s="54"/>
      <c r="I1932" s="54"/>
      <c r="J1932" s="106">
        <f>VLOOKUP(A1932&amp;G1932,Lookup!J:N,5,0)</f>
        <v>0</v>
      </c>
      <c r="K1932" s="115"/>
      <c r="L1932" s="54"/>
      <c r="M1932" s="54"/>
      <c r="N1932" s="54"/>
      <c r="O1932" s="112">
        <v>80.2256944444444</v>
      </c>
      <c r="P1932" s="110" t="str">
        <f t="shared" si="116"/>
        <v/>
      </c>
      <c r="Q1932" s="54"/>
      <c r="R1932" s="58"/>
      <c r="S1932" s="87" t="str">
        <f t="shared" si="118"/>
        <v/>
      </c>
      <c r="T1932" s="54"/>
      <c r="U1932" s="54"/>
      <c r="V1932" s="54"/>
      <c r="W1932" s="54"/>
      <c r="X1932" s="69" t="str">
        <f t="shared" si="117"/>
        <v>D</v>
      </c>
    </row>
    <row r="1933" spans="1:24" s="66" customFormat="1" x14ac:dyDescent="0.25">
      <c r="A1933" s="51"/>
      <c r="B1933" s="91" t="str">
        <f>IFERROR(VLOOKUP(A1933,Lookup!A:B,2,0),"")</f>
        <v/>
      </c>
      <c r="C1933" s="92" t="str">
        <f>IFERROR(VLOOKUP(A1933,Lookup!A:C,3,0),"")</f>
        <v/>
      </c>
      <c r="D1933" s="54"/>
      <c r="E1933" s="54"/>
      <c r="F1933" s="54"/>
      <c r="G1933" s="72"/>
      <c r="H1933" s="54"/>
      <c r="I1933" s="54"/>
      <c r="J1933" s="106">
        <f>VLOOKUP(A1933&amp;G1933,Lookup!J:N,5,0)</f>
        <v>0</v>
      </c>
      <c r="K1933" s="115"/>
      <c r="L1933" s="54"/>
      <c r="M1933" s="54"/>
      <c r="N1933" s="54"/>
      <c r="O1933" s="112">
        <v>80.2673611111111</v>
      </c>
      <c r="P1933" s="110" t="str">
        <f t="shared" si="116"/>
        <v/>
      </c>
      <c r="Q1933" s="54"/>
      <c r="R1933" s="58"/>
      <c r="S1933" s="87" t="str">
        <f t="shared" si="118"/>
        <v/>
      </c>
      <c r="T1933" s="54"/>
      <c r="U1933" s="54"/>
      <c r="V1933" s="54"/>
      <c r="W1933" s="54"/>
      <c r="X1933" s="69" t="str">
        <f t="shared" si="117"/>
        <v>D</v>
      </c>
    </row>
    <row r="1934" spans="1:24" s="66" customFormat="1" x14ac:dyDescent="0.25">
      <c r="A1934" s="51"/>
      <c r="B1934" s="91" t="str">
        <f>IFERROR(VLOOKUP(A1934,Lookup!A:B,2,0),"")</f>
        <v/>
      </c>
      <c r="C1934" s="92" t="str">
        <f>IFERROR(VLOOKUP(A1934,Lookup!A:C,3,0),"")</f>
        <v/>
      </c>
      <c r="D1934" s="54"/>
      <c r="E1934" s="54"/>
      <c r="F1934" s="54"/>
      <c r="G1934" s="72"/>
      <c r="H1934" s="54"/>
      <c r="I1934" s="54"/>
      <c r="J1934" s="106">
        <f>VLOOKUP(A1934&amp;G1934,Lookup!J:N,5,0)</f>
        <v>0</v>
      </c>
      <c r="K1934" s="115"/>
      <c r="L1934" s="54"/>
      <c r="M1934" s="54"/>
      <c r="N1934" s="54"/>
      <c r="O1934" s="112">
        <v>80.3090277777778</v>
      </c>
      <c r="P1934" s="110" t="str">
        <f t="shared" si="116"/>
        <v/>
      </c>
      <c r="Q1934" s="54"/>
      <c r="R1934" s="58"/>
      <c r="S1934" s="87" t="str">
        <f t="shared" si="118"/>
        <v/>
      </c>
      <c r="T1934" s="54"/>
      <c r="U1934" s="54"/>
      <c r="V1934" s="54"/>
      <c r="W1934" s="54"/>
      <c r="X1934" s="69" t="str">
        <f t="shared" si="117"/>
        <v>D</v>
      </c>
    </row>
    <row r="1935" spans="1:24" s="66" customFormat="1" x14ac:dyDescent="0.25">
      <c r="A1935" s="51"/>
      <c r="B1935" s="91" t="str">
        <f>IFERROR(VLOOKUP(A1935,Lookup!A:B,2,0),"")</f>
        <v/>
      </c>
      <c r="C1935" s="92" t="str">
        <f>IFERROR(VLOOKUP(A1935,Lookup!A:C,3,0),"")</f>
        <v/>
      </c>
      <c r="D1935" s="54"/>
      <c r="E1935" s="54"/>
      <c r="F1935" s="54"/>
      <c r="G1935" s="72"/>
      <c r="H1935" s="54"/>
      <c r="I1935" s="54"/>
      <c r="J1935" s="106">
        <f>VLOOKUP(A1935&amp;G1935,Lookup!J:N,5,0)</f>
        <v>0</v>
      </c>
      <c r="K1935" s="115"/>
      <c r="L1935" s="54"/>
      <c r="M1935" s="54"/>
      <c r="N1935" s="54"/>
      <c r="O1935" s="112">
        <v>80.3506944444444</v>
      </c>
      <c r="P1935" s="110" t="str">
        <f t="shared" si="116"/>
        <v/>
      </c>
      <c r="Q1935" s="54"/>
      <c r="R1935" s="58"/>
      <c r="S1935" s="87" t="str">
        <f t="shared" si="118"/>
        <v/>
      </c>
      <c r="T1935" s="54"/>
      <c r="U1935" s="54"/>
      <c r="V1935" s="54"/>
      <c r="W1935" s="54"/>
      <c r="X1935" s="69" t="str">
        <f t="shared" si="117"/>
        <v>D</v>
      </c>
    </row>
    <row r="1936" spans="1:24" s="66" customFormat="1" x14ac:dyDescent="0.25">
      <c r="A1936" s="51"/>
      <c r="B1936" s="91" t="str">
        <f>IFERROR(VLOOKUP(A1936,Lookup!A:B,2,0),"")</f>
        <v/>
      </c>
      <c r="C1936" s="92" t="str">
        <f>IFERROR(VLOOKUP(A1936,Lookup!A:C,3,0),"")</f>
        <v/>
      </c>
      <c r="D1936" s="54"/>
      <c r="E1936" s="54"/>
      <c r="F1936" s="54"/>
      <c r="G1936" s="72"/>
      <c r="H1936" s="54"/>
      <c r="I1936" s="54"/>
      <c r="J1936" s="106">
        <f>VLOOKUP(A1936&amp;G1936,Lookup!J:N,5,0)</f>
        <v>0</v>
      </c>
      <c r="K1936" s="115"/>
      <c r="L1936" s="54"/>
      <c r="M1936" s="54"/>
      <c r="N1936" s="54"/>
      <c r="O1936" s="112">
        <v>80.3923611111111</v>
      </c>
      <c r="P1936" s="110" t="str">
        <f t="shared" si="116"/>
        <v/>
      </c>
      <c r="Q1936" s="54"/>
      <c r="R1936" s="58"/>
      <c r="S1936" s="87" t="str">
        <f t="shared" si="118"/>
        <v/>
      </c>
      <c r="T1936" s="54"/>
      <c r="U1936" s="54"/>
      <c r="V1936" s="54"/>
      <c r="W1936" s="54"/>
      <c r="X1936" s="69" t="str">
        <f t="shared" si="117"/>
        <v>D</v>
      </c>
    </row>
    <row r="1937" spans="1:24" s="66" customFormat="1" x14ac:dyDescent="0.25">
      <c r="A1937" s="51"/>
      <c r="B1937" s="91" t="str">
        <f>IFERROR(VLOOKUP(A1937,Lookup!A:B,2,0),"")</f>
        <v/>
      </c>
      <c r="C1937" s="92" t="str">
        <f>IFERROR(VLOOKUP(A1937,Lookup!A:C,3,0),"")</f>
        <v/>
      </c>
      <c r="D1937" s="54"/>
      <c r="E1937" s="54"/>
      <c r="F1937" s="54"/>
      <c r="G1937" s="72"/>
      <c r="H1937" s="54"/>
      <c r="I1937" s="54"/>
      <c r="J1937" s="106">
        <f>VLOOKUP(A1937&amp;G1937,Lookup!J:N,5,0)</f>
        <v>0</v>
      </c>
      <c r="K1937" s="115"/>
      <c r="L1937" s="54"/>
      <c r="M1937" s="54"/>
      <c r="N1937" s="54"/>
      <c r="O1937" s="112">
        <v>80.4340277777778</v>
      </c>
      <c r="P1937" s="110" t="str">
        <f t="shared" si="116"/>
        <v/>
      </c>
      <c r="Q1937" s="54"/>
      <c r="R1937" s="58"/>
      <c r="S1937" s="87" t="str">
        <f t="shared" si="118"/>
        <v/>
      </c>
      <c r="T1937" s="54"/>
      <c r="U1937" s="54"/>
      <c r="V1937" s="54"/>
      <c r="W1937" s="54"/>
      <c r="X1937" s="69" t="str">
        <f t="shared" si="117"/>
        <v>D</v>
      </c>
    </row>
    <row r="1938" spans="1:24" s="66" customFormat="1" x14ac:dyDescent="0.25">
      <c r="A1938" s="51"/>
      <c r="B1938" s="91" t="str">
        <f>IFERROR(VLOOKUP(A1938,Lookup!A:B,2,0),"")</f>
        <v/>
      </c>
      <c r="C1938" s="92" t="str">
        <f>IFERROR(VLOOKUP(A1938,Lookup!A:C,3,0),"")</f>
        <v/>
      </c>
      <c r="D1938" s="54"/>
      <c r="E1938" s="54"/>
      <c r="F1938" s="54"/>
      <c r="G1938" s="72"/>
      <c r="H1938" s="54"/>
      <c r="I1938" s="54"/>
      <c r="J1938" s="106">
        <f>VLOOKUP(A1938&amp;G1938,Lookup!J:N,5,0)</f>
        <v>0</v>
      </c>
      <c r="K1938" s="115"/>
      <c r="L1938" s="54"/>
      <c r="M1938" s="54"/>
      <c r="N1938" s="54"/>
      <c r="O1938" s="112">
        <v>80.4756944444444</v>
      </c>
      <c r="P1938" s="110" t="str">
        <f t="shared" si="116"/>
        <v/>
      </c>
      <c r="Q1938" s="54"/>
      <c r="R1938" s="58"/>
      <c r="S1938" s="87" t="str">
        <f t="shared" si="118"/>
        <v/>
      </c>
      <c r="T1938" s="54"/>
      <c r="U1938" s="54"/>
      <c r="V1938" s="54"/>
      <c r="W1938" s="54"/>
      <c r="X1938" s="69" t="str">
        <f t="shared" si="117"/>
        <v>D</v>
      </c>
    </row>
    <row r="1939" spans="1:24" s="66" customFormat="1" x14ac:dyDescent="0.25">
      <c r="A1939" s="51"/>
      <c r="B1939" s="91" t="str">
        <f>IFERROR(VLOOKUP(A1939,Lookup!A:B,2,0),"")</f>
        <v/>
      </c>
      <c r="C1939" s="92" t="str">
        <f>IFERROR(VLOOKUP(A1939,Lookup!A:C,3,0),"")</f>
        <v/>
      </c>
      <c r="D1939" s="54"/>
      <c r="E1939" s="54"/>
      <c r="F1939" s="54"/>
      <c r="G1939" s="72"/>
      <c r="H1939" s="54"/>
      <c r="I1939" s="54"/>
      <c r="J1939" s="106">
        <f>VLOOKUP(A1939&amp;G1939,Lookup!J:N,5,0)</f>
        <v>0</v>
      </c>
      <c r="K1939" s="115"/>
      <c r="L1939" s="54"/>
      <c r="M1939" s="54"/>
      <c r="N1939" s="54"/>
      <c r="O1939" s="112">
        <v>80.5173611111111</v>
      </c>
      <c r="P1939" s="110" t="str">
        <f t="shared" si="116"/>
        <v/>
      </c>
      <c r="Q1939" s="54"/>
      <c r="R1939" s="58"/>
      <c r="S1939" s="87" t="str">
        <f t="shared" si="118"/>
        <v/>
      </c>
      <c r="T1939" s="54"/>
      <c r="U1939" s="54"/>
      <c r="V1939" s="54"/>
      <c r="W1939" s="54"/>
      <c r="X1939" s="69" t="str">
        <f t="shared" si="117"/>
        <v>D</v>
      </c>
    </row>
    <row r="1940" spans="1:24" s="66" customFormat="1" x14ac:dyDescent="0.25">
      <c r="A1940" s="51"/>
      <c r="B1940" s="91" t="str">
        <f>IFERROR(VLOOKUP(A1940,Lookup!A:B,2,0),"")</f>
        <v/>
      </c>
      <c r="C1940" s="92" t="str">
        <f>IFERROR(VLOOKUP(A1940,Lookup!A:C,3,0),"")</f>
        <v/>
      </c>
      <c r="D1940" s="54"/>
      <c r="E1940" s="54"/>
      <c r="F1940" s="54"/>
      <c r="G1940" s="72"/>
      <c r="H1940" s="54"/>
      <c r="I1940" s="54"/>
      <c r="J1940" s="106">
        <f>VLOOKUP(A1940&amp;G1940,Lookup!J:N,5,0)</f>
        <v>0</v>
      </c>
      <c r="K1940" s="115"/>
      <c r="L1940" s="54"/>
      <c r="M1940" s="54"/>
      <c r="N1940" s="54"/>
      <c r="O1940" s="112">
        <v>80.5590277777778</v>
      </c>
      <c r="P1940" s="110" t="str">
        <f t="shared" si="116"/>
        <v/>
      </c>
      <c r="Q1940" s="54"/>
      <c r="R1940" s="58"/>
      <c r="S1940" s="87" t="str">
        <f t="shared" si="118"/>
        <v/>
      </c>
      <c r="T1940" s="54"/>
      <c r="U1940" s="54"/>
      <c r="V1940" s="54"/>
      <c r="W1940" s="54"/>
      <c r="X1940" s="69" t="str">
        <f t="shared" si="117"/>
        <v>D</v>
      </c>
    </row>
    <row r="1941" spans="1:24" s="66" customFormat="1" x14ac:dyDescent="0.25">
      <c r="A1941" s="51"/>
      <c r="B1941" s="91" t="str">
        <f>IFERROR(VLOOKUP(A1941,Lookup!A:B,2,0),"")</f>
        <v/>
      </c>
      <c r="C1941" s="92" t="str">
        <f>IFERROR(VLOOKUP(A1941,Lookup!A:C,3,0),"")</f>
        <v/>
      </c>
      <c r="D1941" s="54"/>
      <c r="E1941" s="54"/>
      <c r="F1941" s="54"/>
      <c r="G1941" s="72"/>
      <c r="H1941" s="54"/>
      <c r="I1941" s="54"/>
      <c r="J1941" s="106">
        <f>VLOOKUP(A1941&amp;G1941,Lookup!J:N,5,0)</f>
        <v>0</v>
      </c>
      <c r="K1941" s="115"/>
      <c r="L1941" s="54"/>
      <c r="M1941" s="54"/>
      <c r="N1941" s="54"/>
      <c r="O1941" s="112">
        <v>80.6006944444444</v>
      </c>
      <c r="P1941" s="110" t="str">
        <f t="shared" si="116"/>
        <v/>
      </c>
      <c r="Q1941" s="54"/>
      <c r="R1941" s="58"/>
      <c r="S1941" s="87" t="str">
        <f t="shared" si="118"/>
        <v/>
      </c>
      <c r="T1941" s="54"/>
      <c r="U1941" s="54"/>
      <c r="V1941" s="54"/>
      <c r="W1941" s="54"/>
      <c r="X1941" s="69" t="str">
        <f t="shared" si="117"/>
        <v>D</v>
      </c>
    </row>
    <row r="1942" spans="1:24" s="66" customFormat="1" x14ac:dyDescent="0.25">
      <c r="A1942" s="51"/>
      <c r="B1942" s="91" t="str">
        <f>IFERROR(VLOOKUP(A1942,Lookup!A:B,2,0),"")</f>
        <v/>
      </c>
      <c r="C1942" s="92" t="str">
        <f>IFERROR(VLOOKUP(A1942,Lookup!A:C,3,0),"")</f>
        <v/>
      </c>
      <c r="D1942" s="54"/>
      <c r="E1942" s="54"/>
      <c r="F1942" s="54"/>
      <c r="G1942" s="72"/>
      <c r="H1942" s="54"/>
      <c r="I1942" s="54"/>
      <c r="J1942" s="106">
        <f>VLOOKUP(A1942&amp;G1942,Lookup!J:N,5,0)</f>
        <v>0</v>
      </c>
      <c r="K1942" s="115"/>
      <c r="L1942" s="54"/>
      <c r="M1942" s="54"/>
      <c r="N1942" s="54"/>
      <c r="O1942" s="112">
        <v>80.6423611111111</v>
      </c>
      <c r="P1942" s="110" t="str">
        <f t="shared" si="116"/>
        <v/>
      </c>
      <c r="Q1942" s="54"/>
      <c r="R1942" s="58"/>
      <c r="S1942" s="87" t="str">
        <f t="shared" si="118"/>
        <v/>
      </c>
      <c r="T1942" s="54"/>
      <c r="U1942" s="54"/>
      <c r="V1942" s="54"/>
      <c r="W1942" s="54"/>
      <c r="X1942" s="69" t="str">
        <f t="shared" si="117"/>
        <v>D</v>
      </c>
    </row>
    <row r="1943" spans="1:24" s="66" customFormat="1" x14ac:dyDescent="0.25">
      <c r="A1943" s="51"/>
      <c r="B1943" s="91" t="str">
        <f>IFERROR(VLOOKUP(A1943,Lookup!A:B,2,0),"")</f>
        <v/>
      </c>
      <c r="C1943" s="92" t="str">
        <f>IFERROR(VLOOKUP(A1943,Lookup!A:C,3,0),"")</f>
        <v/>
      </c>
      <c r="D1943" s="54"/>
      <c r="E1943" s="54"/>
      <c r="F1943" s="54"/>
      <c r="G1943" s="72"/>
      <c r="H1943" s="54"/>
      <c r="I1943" s="54"/>
      <c r="J1943" s="106">
        <f>VLOOKUP(A1943&amp;G1943,Lookup!J:N,5,0)</f>
        <v>0</v>
      </c>
      <c r="K1943" s="115"/>
      <c r="L1943" s="54"/>
      <c r="M1943" s="54"/>
      <c r="N1943" s="54"/>
      <c r="O1943" s="112">
        <v>80.6840277777778</v>
      </c>
      <c r="P1943" s="110" t="str">
        <f t="shared" si="116"/>
        <v/>
      </c>
      <c r="Q1943" s="54"/>
      <c r="R1943" s="58"/>
      <c r="S1943" s="87" t="str">
        <f t="shared" si="118"/>
        <v/>
      </c>
      <c r="T1943" s="54"/>
      <c r="U1943" s="54"/>
      <c r="V1943" s="54"/>
      <c r="W1943" s="54"/>
      <c r="X1943" s="69" t="str">
        <f t="shared" si="117"/>
        <v>D</v>
      </c>
    </row>
    <row r="1944" spans="1:24" s="66" customFormat="1" x14ac:dyDescent="0.25">
      <c r="A1944" s="51"/>
      <c r="B1944" s="91" t="str">
        <f>IFERROR(VLOOKUP(A1944,Lookup!A:B,2,0),"")</f>
        <v/>
      </c>
      <c r="C1944" s="92" t="str">
        <f>IFERROR(VLOOKUP(A1944,Lookup!A:C,3,0),"")</f>
        <v/>
      </c>
      <c r="D1944" s="54"/>
      <c r="E1944" s="54"/>
      <c r="F1944" s="54"/>
      <c r="G1944" s="72"/>
      <c r="H1944" s="54"/>
      <c r="I1944" s="54"/>
      <c r="J1944" s="106">
        <f>VLOOKUP(A1944&amp;G1944,Lookup!J:N,5,0)</f>
        <v>0</v>
      </c>
      <c r="K1944" s="115"/>
      <c r="L1944" s="54"/>
      <c r="M1944" s="54"/>
      <c r="N1944" s="54"/>
      <c r="O1944" s="112">
        <v>80.7256944444444</v>
      </c>
      <c r="P1944" s="110" t="str">
        <f t="shared" si="116"/>
        <v/>
      </c>
      <c r="Q1944" s="54"/>
      <c r="R1944" s="58"/>
      <c r="S1944" s="87" t="str">
        <f t="shared" si="118"/>
        <v/>
      </c>
      <c r="T1944" s="54"/>
      <c r="U1944" s="54"/>
      <c r="V1944" s="54"/>
      <c r="W1944" s="54"/>
      <c r="X1944" s="69" t="str">
        <f t="shared" si="117"/>
        <v>D</v>
      </c>
    </row>
    <row r="1945" spans="1:24" s="66" customFormat="1" x14ac:dyDescent="0.25">
      <c r="A1945" s="51"/>
      <c r="B1945" s="91" t="str">
        <f>IFERROR(VLOOKUP(A1945,Lookup!A:B,2,0),"")</f>
        <v/>
      </c>
      <c r="C1945" s="92" t="str">
        <f>IFERROR(VLOOKUP(A1945,Lookup!A:C,3,0),"")</f>
        <v/>
      </c>
      <c r="D1945" s="54"/>
      <c r="E1945" s="54"/>
      <c r="F1945" s="54"/>
      <c r="G1945" s="72"/>
      <c r="H1945" s="54"/>
      <c r="I1945" s="54"/>
      <c r="J1945" s="106">
        <f>VLOOKUP(A1945&amp;G1945,Lookup!J:N,5,0)</f>
        <v>0</v>
      </c>
      <c r="K1945" s="115"/>
      <c r="L1945" s="54"/>
      <c r="M1945" s="54"/>
      <c r="N1945" s="54"/>
      <c r="O1945" s="112">
        <v>80.7673611111111</v>
      </c>
      <c r="P1945" s="110" t="str">
        <f t="shared" si="116"/>
        <v/>
      </c>
      <c r="Q1945" s="54"/>
      <c r="R1945" s="58"/>
      <c r="S1945" s="87" t="str">
        <f t="shared" si="118"/>
        <v/>
      </c>
      <c r="T1945" s="54"/>
      <c r="U1945" s="54"/>
      <c r="V1945" s="54"/>
      <c r="W1945" s="54"/>
      <c r="X1945" s="69" t="str">
        <f t="shared" si="117"/>
        <v>D</v>
      </c>
    </row>
    <row r="1946" spans="1:24" s="66" customFormat="1" x14ac:dyDescent="0.25">
      <c r="A1946" s="51"/>
      <c r="B1946" s="91" t="str">
        <f>IFERROR(VLOOKUP(A1946,Lookup!A:B,2,0),"")</f>
        <v/>
      </c>
      <c r="C1946" s="92" t="str">
        <f>IFERROR(VLOOKUP(A1946,Lookup!A:C,3,0),"")</f>
        <v/>
      </c>
      <c r="D1946" s="54"/>
      <c r="E1946" s="54"/>
      <c r="F1946" s="54"/>
      <c r="G1946" s="72"/>
      <c r="H1946" s="54"/>
      <c r="I1946" s="54"/>
      <c r="J1946" s="106">
        <f>VLOOKUP(A1946&amp;G1946,Lookup!J:N,5,0)</f>
        <v>0</v>
      </c>
      <c r="K1946" s="115"/>
      <c r="L1946" s="54"/>
      <c r="M1946" s="54"/>
      <c r="N1946" s="54"/>
      <c r="O1946" s="112">
        <v>80.8090277777778</v>
      </c>
      <c r="P1946" s="110" t="str">
        <f t="shared" si="116"/>
        <v/>
      </c>
      <c r="Q1946" s="54"/>
      <c r="R1946" s="58"/>
      <c r="S1946" s="87" t="str">
        <f t="shared" si="118"/>
        <v/>
      </c>
      <c r="T1946" s="54"/>
      <c r="U1946" s="54"/>
      <c r="V1946" s="54"/>
      <c r="W1946" s="54"/>
      <c r="X1946" s="69" t="str">
        <f t="shared" si="117"/>
        <v>D</v>
      </c>
    </row>
    <row r="1947" spans="1:24" s="66" customFormat="1" x14ac:dyDescent="0.25">
      <c r="A1947" s="51"/>
      <c r="B1947" s="91" t="str">
        <f>IFERROR(VLOOKUP(A1947,Lookup!A:B,2,0),"")</f>
        <v/>
      </c>
      <c r="C1947" s="92" t="str">
        <f>IFERROR(VLOOKUP(A1947,Lookup!A:C,3,0),"")</f>
        <v/>
      </c>
      <c r="D1947" s="54"/>
      <c r="E1947" s="54"/>
      <c r="F1947" s="54"/>
      <c r="G1947" s="72"/>
      <c r="H1947" s="54"/>
      <c r="I1947" s="54"/>
      <c r="J1947" s="106">
        <f>VLOOKUP(A1947&amp;G1947,Lookup!J:N,5,0)</f>
        <v>0</v>
      </c>
      <c r="K1947" s="115"/>
      <c r="L1947" s="54"/>
      <c r="M1947" s="54"/>
      <c r="N1947" s="54"/>
      <c r="O1947" s="112">
        <v>80.8506944444444</v>
      </c>
      <c r="P1947" s="110" t="str">
        <f t="shared" si="116"/>
        <v/>
      </c>
      <c r="Q1947" s="54"/>
      <c r="R1947" s="58"/>
      <c r="S1947" s="87" t="str">
        <f t="shared" si="118"/>
        <v/>
      </c>
      <c r="T1947" s="54"/>
      <c r="U1947" s="54"/>
      <c r="V1947" s="54"/>
      <c r="W1947" s="54"/>
      <c r="X1947" s="69" t="str">
        <f t="shared" si="117"/>
        <v>D</v>
      </c>
    </row>
    <row r="1948" spans="1:24" s="66" customFormat="1" x14ac:dyDescent="0.25">
      <c r="A1948" s="51"/>
      <c r="B1948" s="91" t="str">
        <f>IFERROR(VLOOKUP(A1948,Lookup!A:B,2,0),"")</f>
        <v/>
      </c>
      <c r="C1948" s="92" t="str">
        <f>IFERROR(VLOOKUP(A1948,Lookup!A:C,3,0),"")</f>
        <v/>
      </c>
      <c r="D1948" s="54"/>
      <c r="E1948" s="54"/>
      <c r="F1948" s="54"/>
      <c r="G1948" s="72"/>
      <c r="H1948" s="54"/>
      <c r="I1948" s="54"/>
      <c r="J1948" s="106">
        <f>VLOOKUP(A1948&amp;G1948,Lookup!J:N,5,0)</f>
        <v>0</v>
      </c>
      <c r="K1948" s="115"/>
      <c r="L1948" s="54"/>
      <c r="M1948" s="54"/>
      <c r="N1948" s="54"/>
      <c r="O1948" s="112">
        <v>80.8923611111111</v>
      </c>
      <c r="P1948" s="110" t="str">
        <f t="shared" si="116"/>
        <v/>
      </c>
      <c r="Q1948" s="54"/>
      <c r="R1948" s="58"/>
      <c r="S1948" s="87" t="str">
        <f t="shared" si="118"/>
        <v/>
      </c>
      <c r="T1948" s="54"/>
      <c r="U1948" s="54"/>
      <c r="V1948" s="54"/>
      <c r="W1948" s="54"/>
      <c r="X1948" s="69" t="str">
        <f t="shared" si="117"/>
        <v>D</v>
      </c>
    </row>
    <row r="1949" spans="1:24" s="66" customFormat="1" x14ac:dyDescent="0.25">
      <c r="A1949" s="51"/>
      <c r="B1949" s="91" t="str">
        <f>IFERROR(VLOOKUP(A1949,Lookup!A:B,2,0),"")</f>
        <v/>
      </c>
      <c r="C1949" s="92" t="str">
        <f>IFERROR(VLOOKUP(A1949,Lookup!A:C,3,0),"")</f>
        <v/>
      </c>
      <c r="D1949" s="54"/>
      <c r="E1949" s="54"/>
      <c r="F1949" s="54"/>
      <c r="G1949" s="72"/>
      <c r="H1949" s="54"/>
      <c r="I1949" s="54"/>
      <c r="J1949" s="106">
        <f>VLOOKUP(A1949&amp;G1949,Lookup!J:N,5,0)</f>
        <v>0</v>
      </c>
      <c r="K1949" s="115"/>
      <c r="L1949" s="54"/>
      <c r="M1949" s="54"/>
      <c r="N1949" s="54"/>
      <c r="O1949" s="112">
        <v>80.9340277777778</v>
      </c>
      <c r="P1949" s="110" t="str">
        <f t="shared" si="116"/>
        <v/>
      </c>
      <c r="Q1949" s="54"/>
      <c r="R1949" s="58"/>
      <c r="S1949" s="87" t="str">
        <f t="shared" si="118"/>
        <v/>
      </c>
      <c r="T1949" s="54"/>
      <c r="U1949" s="54"/>
      <c r="V1949" s="54"/>
      <c r="W1949" s="54"/>
      <c r="X1949" s="69" t="str">
        <f t="shared" si="117"/>
        <v>D</v>
      </c>
    </row>
    <row r="1950" spans="1:24" s="66" customFormat="1" x14ac:dyDescent="0.25">
      <c r="A1950" s="51"/>
      <c r="B1950" s="91" t="str">
        <f>IFERROR(VLOOKUP(A1950,Lookup!A:B,2,0),"")</f>
        <v/>
      </c>
      <c r="C1950" s="92" t="str">
        <f>IFERROR(VLOOKUP(A1950,Lookup!A:C,3,0),"")</f>
        <v/>
      </c>
      <c r="D1950" s="54"/>
      <c r="E1950" s="54"/>
      <c r="F1950" s="54"/>
      <c r="G1950" s="72"/>
      <c r="H1950" s="54"/>
      <c r="I1950" s="54"/>
      <c r="J1950" s="106">
        <f>VLOOKUP(A1950&amp;G1950,Lookup!J:N,5,0)</f>
        <v>0</v>
      </c>
      <c r="K1950" s="115"/>
      <c r="L1950" s="54"/>
      <c r="M1950" s="54"/>
      <c r="N1950" s="54"/>
      <c r="O1950" s="112">
        <v>80.9756944444444</v>
      </c>
      <c r="P1950" s="110" t="str">
        <f t="shared" si="116"/>
        <v/>
      </c>
      <c r="Q1950" s="54"/>
      <c r="R1950" s="58"/>
      <c r="S1950" s="87" t="str">
        <f t="shared" si="118"/>
        <v/>
      </c>
      <c r="T1950" s="54"/>
      <c r="U1950" s="54"/>
      <c r="V1950" s="54"/>
      <c r="W1950" s="54"/>
      <c r="X1950" s="69" t="str">
        <f t="shared" si="117"/>
        <v>D</v>
      </c>
    </row>
    <row r="1951" spans="1:24" s="66" customFormat="1" x14ac:dyDescent="0.25">
      <c r="A1951" s="51"/>
      <c r="B1951" s="91" t="str">
        <f>IFERROR(VLOOKUP(A1951,Lookup!A:B,2,0),"")</f>
        <v/>
      </c>
      <c r="C1951" s="92" t="str">
        <f>IFERROR(VLOOKUP(A1951,Lookup!A:C,3,0),"")</f>
        <v/>
      </c>
      <c r="D1951" s="54"/>
      <c r="E1951" s="54"/>
      <c r="F1951" s="54"/>
      <c r="G1951" s="72"/>
      <c r="H1951" s="54"/>
      <c r="I1951" s="54"/>
      <c r="J1951" s="106">
        <f>VLOOKUP(A1951&amp;G1951,Lookup!J:N,5,0)</f>
        <v>0</v>
      </c>
      <c r="K1951" s="115"/>
      <c r="L1951" s="54"/>
      <c r="M1951" s="54"/>
      <c r="N1951" s="54"/>
      <c r="O1951" s="112">
        <v>81.0173611111111</v>
      </c>
      <c r="P1951" s="110" t="str">
        <f t="shared" si="116"/>
        <v/>
      </c>
      <c r="Q1951" s="54"/>
      <c r="R1951" s="58"/>
      <c r="S1951" s="87" t="str">
        <f t="shared" si="118"/>
        <v/>
      </c>
      <c r="T1951" s="54"/>
      <c r="U1951" s="54"/>
      <c r="V1951" s="54"/>
      <c r="W1951" s="54"/>
      <c r="X1951" s="69" t="str">
        <f t="shared" si="117"/>
        <v>D</v>
      </c>
    </row>
    <row r="1952" spans="1:24" s="66" customFormat="1" x14ac:dyDescent="0.25">
      <c r="A1952" s="51"/>
      <c r="B1952" s="91" t="str">
        <f>IFERROR(VLOOKUP(A1952,Lookup!A:B,2,0),"")</f>
        <v/>
      </c>
      <c r="C1952" s="92" t="str">
        <f>IFERROR(VLOOKUP(A1952,Lookup!A:C,3,0),"")</f>
        <v/>
      </c>
      <c r="D1952" s="54"/>
      <c r="E1952" s="54"/>
      <c r="F1952" s="54"/>
      <c r="G1952" s="72"/>
      <c r="H1952" s="54"/>
      <c r="I1952" s="54"/>
      <c r="J1952" s="106">
        <f>VLOOKUP(A1952&amp;G1952,Lookup!J:N,5,0)</f>
        <v>0</v>
      </c>
      <c r="K1952" s="115"/>
      <c r="L1952" s="54"/>
      <c r="M1952" s="54"/>
      <c r="N1952" s="54"/>
      <c r="O1952" s="112">
        <v>81.0590277777778</v>
      </c>
      <c r="P1952" s="110" t="str">
        <f t="shared" si="116"/>
        <v/>
      </c>
      <c r="Q1952" s="54"/>
      <c r="R1952" s="58"/>
      <c r="S1952" s="87" t="str">
        <f t="shared" si="118"/>
        <v/>
      </c>
      <c r="T1952" s="54"/>
      <c r="U1952" s="54"/>
      <c r="V1952" s="54"/>
      <c r="W1952" s="54"/>
      <c r="X1952" s="69" t="str">
        <f t="shared" si="117"/>
        <v>D</v>
      </c>
    </row>
    <row r="1953" spans="1:24" s="66" customFormat="1" x14ac:dyDescent="0.25">
      <c r="A1953" s="51"/>
      <c r="B1953" s="91" t="str">
        <f>IFERROR(VLOOKUP(A1953,Lookup!A:B,2,0),"")</f>
        <v/>
      </c>
      <c r="C1953" s="92" t="str">
        <f>IFERROR(VLOOKUP(A1953,Lookup!A:C,3,0),"")</f>
        <v/>
      </c>
      <c r="D1953" s="54"/>
      <c r="E1953" s="54"/>
      <c r="F1953" s="54"/>
      <c r="G1953" s="72"/>
      <c r="H1953" s="54"/>
      <c r="I1953" s="54"/>
      <c r="J1953" s="106">
        <f>VLOOKUP(A1953&amp;G1953,Lookup!J:N,5,0)</f>
        <v>0</v>
      </c>
      <c r="K1953" s="115"/>
      <c r="L1953" s="54"/>
      <c r="M1953" s="54"/>
      <c r="N1953" s="54"/>
      <c r="O1953" s="112">
        <v>81.1006944444444</v>
      </c>
      <c r="P1953" s="110" t="str">
        <f t="shared" si="116"/>
        <v/>
      </c>
      <c r="Q1953" s="54"/>
      <c r="R1953" s="58"/>
      <c r="S1953" s="87" t="str">
        <f t="shared" si="118"/>
        <v/>
      </c>
      <c r="T1953" s="54"/>
      <c r="U1953" s="54"/>
      <c r="V1953" s="54"/>
      <c r="W1953" s="54"/>
      <c r="X1953" s="69" t="str">
        <f t="shared" si="117"/>
        <v>D</v>
      </c>
    </row>
    <row r="1954" spans="1:24" s="66" customFormat="1" x14ac:dyDescent="0.25">
      <c r="A1954" s="51"/>
      <c r="B1954" s="91" t="str">
        <f>IFERROR(VLOOKUP(A1954,Lookup!A:B,2,0),"")</f>
        <v/>
      </c>
      <c r="C1954" s="92" t="str">
        <f>IFERROR(VLOOKUP(A1954,Lookup!A:C,3,0),"")</f>
        <v/>
      </c>
      <c r="D1954" s="54"/>
      <c r="E1954" s="54"/>
      <c r="F1954" s="54"/>
      <c r="G1954" s="72"/>
      <c r="H1954" s="54"/>
      <c r="I1954" s="54"/>
      <c r="J1954" s="106">
        <f>VLOOKUP(A1954&amp;G1954,Lookup!J:N,5,0)</f>
        <v>0</v>
      </c>
      <c r="K1954" s="115"/>
      <c r="L1954" s="54"/>
      <c r="M1954" s="54"/>
      <c r="N1954" s="54"/>
      <c r="O1954" s="112">
        <v>81.1423611111111</v>
      </c>
      <c r="P1954" s="110" t="str">
        <f t="shared" si="116"/>
        <v/>
      </c>
      <c r="Q1954" s="54"/>
      <c r="R1954" s="58"/>
      <c r="S1954" s="87" t="str">
        <f t="shared" si="118"/>
        <v/>
      </c>
      <c r="T1954" s="54"/>
      <c r="U1954" s="54"/>
      <c r="V1954" s="54"/>
      <c r="W1954" s="54"/>
      <c r="X1954" s="69" t="str">
        <f t="shared" si="117"/>
        <v>D</v>
      </c>
    </row>
    <row r="1955" spans="1:24" s="66" customFormat="1" x14ac:dyDescent="0.25">
      <c r="A1955" s="51"/>
      <c r="B1955" s="91" t="str">
        <f>IFERROR(VLOOKUP(A1955,Lookup!A:B,2,0),"")</f>
        <v/>
      </c>
      <c r="C1955" s="92" t="str">
        <f>IFERROR(VLOOKUP(A1955,Lookup!A:C,3,0),"")</f>
        <v/>
      </c>
      <c r="D1955" s="54"/>
      <c r="E1955" s="54"/>
      <c r="F1955" s="54"/>
      <c r="G1955" s="72"/>
      <c r="H1955" s="54"/>
      <c r="I1955" s="54"/>
      <c r="J1955" s="106">
        <f>VLOOKUP(A1955&amp;G1955,Lookup!J:N,5,0)</f>
        <v>0</v>
      </c>
      <c r="K1955" s="115"/>
      <c r="L1955" s="54"/>
      <c r="M1955" s="54"/>
      <c r="N1955" s="54"/>
      <c r="O1955" s="112">
        <v>81.1840277777778</v>
      </c>
      <c r="P1955" s="110" t="str">
        <f t="shared" si="116"/>
        <v/>
      </c>
      <c r="Q1955" s="54"/>
      <c r="R1955" s="58"/>
      <c r="S1955" s="87" t="str">
        <f t="shared" si="118"/>
        <v/>
      </c>
      <c r="T1955" s="54"/>
      <c r="U1955" s="54"/>
      <c r="V1955" s="54"/>
      <c r="W1955" s="54"/>
      <c r="X1955" s="69" t="str">
        <f t="shared" si="117"/>
        <v>D</v>
      </c>
    </row>
    <row r="1956" spans="1:24" s="66" customFormat="1" x14ac:dyDescent="0.25">
      <c r="A1956" s="51"/>
      <c r="B1956" s="91" t="str">
        <f>IFERROR(VLOOKUP(A1956,Lookup!A:B,2,0),"")</f>
        <v/>
      </c>
      <c r="C1956" s="92" t="str">
        <f>IFERROR(VLOOKUP(A1956,Lookup!A:C,3,0),"")</f>
        <v/>
      </c>
      <c r="D1956" s="54"/>
      <c r="E1956" s="54"/>
      <c r="F1956" s="54"/>
      <c r="G1956" s="72"/>
      <c r="H1956" s="54"/>
      <c r="I1956" s="54"/>
      <c r="J1956" s="106">
        <f>VLOOKUP(A1956&amp;G1956,Lookup!J:N,5,0)</f>
        <v>0</v>
      </c>
      <c r="K1956" s="115"/>
      <c r="L1956" s="54"/>
      <c r="M1956" s="54"/>
      <c r="N1956" s="54"/>
      <c r="O1956" s="112">
        <v>81.2256944444444</v>
      </c>
      <c r="P1956" s="110" t="str">
        <f t="shared" si="116"/>
        <v/>
      </c>
      <c r="Q1956" s="54"/>
      <c r="R1956" s="58"/>
      <c r="S1956" s="87" t="str">
        <f t="shared" si="118"/>
        <v/>
      </c>
      <c r="T1956" s="54"/>
      <c r="U1956" s="54"/>
      <c r="V1956" s="54"/>
      <c r="W1956" s="54"/>
      <c r="X1956" s="69" t="str">
        <f t="shared" si="117"/>
        <v>D</v>
      </c>
    </row>
    <row r="1957" spans="1:24" s="66" customFormat="1" x14ac:dyDescent="0.25">
      <c r="A1957" s="51"/>
      <c r="B1957" s="91" t="str">
        <f>IFERROR(VLOOKUP(A1957,Lookup!A:B,2,0),"")</f>
        <v/>
      </c>
      <c r="C1957" s="92" t="str">
        <f>IFERROR(VLOOKUP(A1957,Lookup!A:C,3,0),"")</f>
        <v/>
      </c>
      <c r="D1957" s="54"/>
      <c r="E1957" s="54"/>
      <c r="F1957" s="54"/>
      <c r="G1957" s="72"/>
      <c r="H1957" s="54"/>
      <c r="I1957" s="54"/>
      <c r="J1957" s="106">
        <f>VLOOKUP(A1957&amp;G1957,Lookup!J:N,5,0)</f>
        <v>0</v>
      </c>
      <c r="K1957" s="115"/>
      <c r="L1957" s="54"/>
      <c r="M1957" s="54"/>
      <c r="N1957" s="54"/>
      <c r="O1957" s="112">
        <v>81.2673611111111</v>
      </c>
      <c r="P1957" s="110" t="str">
        <f t="shared" si="116"/>
        <v/>
      </c>
      <c r="Q1957" s="54"/>
      <c r="R1957" s="58"/>
      <c r="S1957" s="87" t="str">
        <f t="shared" si="118"/>
        <v/>
      </c>
      <c r="T1957" s="54"/>
      <c r="U1957" s="54"/>
      <c r="V1957" s="54"/>
      <c r="W1957" s="54"/>
      <c r="X1957" s="69" t="str">
        <f t="shared" si="117"/>
        <v>D</v>
      </c>
    </row>
    <row r="1958" spans="1:24" s="66" customFormat="1" x14ac:dyDescent="0.25">
      <c r="A1958" s="51"/>
      <c r="B1958" s="91" t="str">
        <f>IFERROR(VLOOKUP(A1958,Lookup!A:B,2,0),"")</f>
        <v/>
      </c>
      <c r="C1958" s="92" t="str">
        <f>IFERROR(VLOOKUP(A1958,Lookup!A:C,3,0),"")</f>
        <v/>
      </c>
      <c r="D1958" s="54"/>
      <c r="E1958" s="54"/>
      <c r="F1958" s="54"/>
      <c r="G1958" s="72"/>
      <c r="H1958" s="54"/>
      <c r="I1958" s="54"/>
      <c r="J1958" s="106">
        <f>VLOOKUP(A1958&amp;G1958,Lookup!J:N,5,0)</f>
        <v>0</v>
      </c>
      <c r="K1958" s="115"/>
      <c r="L1958" s="54"/>
      <c r="M1958" s="54"/>
      <c r="N1958" s="54"/>
      <c r="O1958" s="112">
        <v>81.3090277777778</v>
      </c>
      <c r="P1958" s="110" t="str">
        <f t="shared" si="116"/>
        <v/>
      </c>
      <c r="Q1958" s="54"/>
      <c r="R1958" s="58"/>
      <c r="S1958" s="87" t="str">
        <f t="shared" si="118"/>
        <v/>
      </c>
      <c r="T1958" s="54"/>
      <c r="U1958" s="54"/>
      <c r="V1958" s="54"/>
      <c r="W1958" s="54"/>
      <c r="X1958" s="69" t="str">
        <f t="shared" si="117"/>
        <v>D</v>
      </c>
    </row>
    <row r="1959" spans="1:24" s="66" customFormat="1" x14ac:dyDescent="0.25">
      <c r="A1959" s="51"/>
      <c r="B1959" s="91" t="str">
        <f>IFERROR(VLOOKUP(A1959,Lookup!A:B,2,0),"")</f>
        <v/>
      </c>
      <c r="C1959" s="92" t="str">
        <f>IFERROR(VLOOKUP(A1959,Lookup!A:C,3,0),"")</f>
        <v/>
      </c>
      <c r="D1959" s="54"/>
      <c r="E1959" s="54"/>
      <c r="F1959" s="54"/>
      <c r="G1959" s="72"/>
      <c r="H1959" s="54"/>
      <c r="I1959" s="54"/>
      <c r="J1959" s="106">
        <f>VLOOKUP(A1959&amp;G1959,Lookup!J:N,5,0)</f>
        <v>0</v>
      </c>
      <c r="K1959" s="115"/>
      <c r="L1959" s="54"/>
      <c r="M1959" s="54"/>
      <c r="N1959" s="54"/>
      <c r="O1959" s="112">
        <v>81.3506944444444</v>
      </c>
      <c r="P1959" s="110" t="str">
        <f t="shared" si="116"/>
        <v/>
      </c>
      <c r="Q1959" s="54"/>
      <c r="R1959" s="58"/>
      <c r="S1959" s="87" t="str">
        <f t="shared" si="118"/>
        <v/>
      </c>
      <c r="T1959" s="54"/>
      <c r="U1959" s="54"/>
      <c r="V1959" s="54"/>
      <c r="W1959" s="54"/>
      <c r="X1959" s="69" t="str">
        <f t="shared" si="117"/>
        <v>D</v>
      </c>
    </row>
    <row r="1960" spans="1:24" s="66" customFormat="1" x14ac:dyDescent="0.25">
      <c r="A1960" s="51"/>
      <c r="B1960" s="91" t="str">
        <f>IFERROR(VLOOKUP(A1960,Lookup!A:B,2,0),"")</f>
        <v/>
      </c>
      <c r="C1960" s="92" t="str">
        <f>IFERROR(VLOOKUP(A1960,Lookup!A:C,3,0),"")</f>
        <v/>
      </c>
      <c r="D1960" s="54"/>
      <c r="E1960" s="54"/>
      <c r="F1960" s="54"/>
      <c r="G1960" s="72"/>
      <c r="H1960" s="54"/>
      <c r="I1960" s="54"/>
      <c r="J1960" s="106">
        <f>VLOOKUP(A1960&amp;G1960,Lookup!J:N,5,0)</f>
        <v>0</v>
      </c>
      <c r="K1960" s="115"/>
      <c r="L1960" s="54"/>
      <c r="M1960" s="54"/>
      <c r="N1960" s="54"/>
      <c r="O1960" s="112">
        <v>81.3923611111111</v>
      </c>
      <c r="P1960" s="110" t="str">
        <f t="shared" si="116"/>
        <v/>
      </c>
      <c r="Q1960" s="54"/>
      <c r="R1960" s="58"/>
      <c r="S1960" s="87" t="str">
        <f t="shared" si="118"/>
        <v/>
      </c>
      <c r="T1960" s="54"/>
      <c r="U1960" s="54"/>
      <c r="V1960" s="54"/>
      <c r="W1960" s="54"/>
      <c r="X1960" s="69" t="str">
        <f t="shared" si="117"/>
        <v>D</v>
      </c>
    </row>
    <row r="1961" spans="1:24" s="66" customFormat="1" x14ac:dyDescent="0.25">
      <c r="A1961" s="51"/>
      <c r="B1961" s="91" t="str">
        <f>IFERROR(VLOOKUP(A1961,Lookup!A:B,2,0),"")</f>
        <v/>
      </c>
      <c r="C1961" s="92" t="str">
        <f>IFERROR(VLOOKUP(A1961,Lookup!A:C,3,0),"")</f>
        <v/>
      </c>
      <c r="D1961" s="54"/>
      <c r="E1961" s="54"/>
      <c r="F1961" s="54"/>
      <c r="G1961" s="72"/>
      <c r="H1961" s="54"/>
      <c r="I1961" s="54"/>
      <c r="J1961" s="106">
        <f>VLOOKUP(A1961&amp;G1961,Lookup!J:N,5,0)</f>
        <v>0</v>
      </c>
      <c r="K1961" s="115"/>
      <c r="L1961" s="54"/>
      <c r="M1961" s="54"/>
      <c r="N1961" s="54"/>
      <c r="O1961" s="112">
        <v>81.4340277777778</v>
      </c>
      <c r="P1961" s="110" t="str">
        <f t="shared" si="116"/>
        <v/>
      </c>
      <c r="Q1961" s="54"/>
      <c r="R1961" s="58"/>
      <c r="S1961" s="87" t="str">
        <f t="shared" si="118"/>
        <v/>
      </c>
      <c r="T1961" s="54"/>
      <c r="U1961" s="54"/>
      <c r="V1961" s="54"/>
      <c r="W1961" s="54"/>
      <c r="X1961" s="69" t="str">
        <f t="shared" si="117"/>
        <v>D</v>
      </c>
    </row>
    <row r="1962" spans="1:24" s="66" customFormat="1" x14ac:dyDescent="0.25">
      <c r="A1962" s="51"/>
      <c r="B1962" s="91" t="str">
        <f>IFERROR(VLOOKUP(A1962,Lookup!A:B,2,0),"")</f>
        <v/>
      </c>
      <c r="C1962" s="92" t="str">
        <f>IFERROR(VLOOKUP(A1962,Lookup!A:C,3,0),"")</f>
        <v/>
      </c>
      <c r="D1962" s="54"/>
      <c r="E1962" s="54"/>
      <c r="F1962" s="54"/>
      <c r="G1962" s="72"/>
      <c r="H1962" s="54"/>
      <c r="I1962" s="54"/>
      <c r="J1962" s="106">
        <f>VLOOKUP(A1962&amp;G1962,Lookup!J:N,5,0)</f>
        <v>0</v>
      </c>
      <c r="K1962" s="115"/>
      <c r="L1962" s="54"/>
      <c r="M1962" s="54"/>
      <c r="N1962" s="54"/>
      <c r="O1962" s="112">
        <v>81.4756944444444</v>
      </c>
      <c r="P1962" s="110" t="str">
        <f t="shared" si="116"/>
        <v/>
      </c>
      <c r="Q1962" s="54"/>
      <c r="R1962" s="58"/>
      <c r="S1962" s="87" t="str">
        <f t="shared" si="118"/>
        <v/>
      </c>
      <c r="T1962" s="54"/>
      <c r="U1962" s="54"/>
      <c r="V1962" s="54"/>
      <c r="W1962" s="54"/>
      <c r="X1962" s="69" t="str">
        <f t="shared" si="117"/>
        <v>D</v>
      </c>
    </row>
    <row r="1963" spans="1:24" s="66" customFormat="1" x14ac:dyDescent="0.25">
      <c r="A1963" s="51"/>
      <c r="B1963" s="91" t="str">
        <f>IFERROR(VLOOKUP(A1963,Lookup!A:B,2,0),"")</f>
        <v/>
      </c>
      <c r="C1963" s="92" t="str">
        <f>IFERROR(VLOOKUP(A1963,Lookup!A:C,3,0),"")</f>
        <v/>
      </c>
      <c r="D1963" s="54"/>
      <c r="E1963" s="54"/>
      <c r="F1963" s="54"/>
      <c r="G1963" s="72"/>
      <c r="H1963" s="54"/>
      <c r="I1963" s="54"/>
      <c r="J1963" s="106">
        <f>VLOOKUP(A1963&amp;G1963,Lookup!J:N,5,0)</f>
        <v>0</v>
      </c>
      <c r="K1963" s="115"/>
      <c r="L1963" s="54"/>
      <c r="M1963" s="54"/>
      <c r="N1963" s="54"/>
      <c r="O1963" s="112">
        <v>81.5173611111111</v>
      </c>
      <c r="P1963" s="110" t="str">
        <f t="shared" si="116"/>
        <v/>
      </c>
      <c r="Q1963" s="54"/>
      <c r="R1963" s="58"/>
      <c r="S1963" s="87" t="str">
        <f t="shared" si="118"/>
        <v/>
      </c>
      <c r="T1963" s="54"/>
      <c r="U1963" s="54"/>
      <c r="V1963" s="54"/>
      <c r="W1963" s="54"/>
      <c r="X1963" s="69" t="str">
        <f t="shared" si="117"/>
        <v>D</v>
      </c>
    </row>
    <row r="1964" spans="1:24" s="66" customFormat="1" x14ac:dyDescent="0.25">
      <c r="A1964" s="51"/>
      <c r="B1964" s="91" t="str">
        <f>IFERROR(VLOOKUP(A1964,Lookup!A:B,2,0),"")</f>
        <v/>
      </c>
      <c r="C1964" s="92" t="str">
        <f>IFERROR(VLOOKUP(A1964,Lookup!A:C,3,0),"")</f>
        <v/>
      </c>
      <c r="D1964" s="54"/>
      <c r="E1964" s="54"/>
      <c r="F1964" s="54"/>
      <c r="G1964" s="72"/>
      <c r="H1964" s="54"/>
      <c r="I1964" s="54"/>
      <c r="J1964" s="106">
        <f>VLOOKUP(A1964&amp;G1964,Lookup!J:N,5,0)</f>
        <v>0</v>
      </c>
      <c r="K1964" s="115"/>
      <c r="L1964" s="54"/>
      <c r="M1964" s="54"/>
      <c r="N1964" s="54"/>
      <c r="O1964" s="112">
        <v>81.5590277777778</v>
      </c>
      <c r="P1964" s="110" t="str">
        <f t="shared" si="116"/>
        <v/>
      </c>
      <c r="Q1964" s="54"/>
      <c r="R1964" s="58"/>
      <c r="S1964" s="87" t="str">
        <f t="shared" si="118"/>
        <v/>
      </c>
      <c r="T1964" s="54"/>
      <c r="U1964" s="54"/>
      <c r="V1964" s="54"/>
      <c r="W1964" s="54"/>
      <c r="X1964" s="69" t="str">
        <f t="shared" si="117"/>
        <v>D</v>
      </c>
    </row>
    <row r="1965" spans="1:24" s="66" customFormat="1" x14ac:dyDescent="0.25">
      <c r="A1965" s="51"/>
      <c r="B1965" s="91" t="str">
        <f>IFERROR(VLOOKUP(A1965,Lookup!A:B,2,0),"")</f>
        <v/>
      </c>
      <c r="C1965" s="92" t="str">
        <f>IFERROR(VLOOKUP(A1965,Lookup!A:C,3,0),"")</f>
        <v/>
      </c>
      <c r="D1965" s="54"/>
      <c r="E1965" s="54"/>
      <c r="F1965" s="54"/>
      <c r="G1965" s="72"/>
      <c r="H1965" s="54"/>
      <c r="I1965" s="54"/>
      <c r="J1965" s="106">
        <f>VLOOKUP(A1965&amp;G1965,Lookup!J:N,5,0)</f>
        <v>0</v>
      </c>
      <c r="K1965" s="115"/>
      <c r="L1965" s="54"/>
      <c r="M1965" s="54"/>
      <c r="N1965" s="54"/>
      <c r="O1965" s="112">
        <v>81.6006944444444</v>
      </c>
      <c r="P1965" s="110" t="str">
        <f t="shared" si="116"/>
        <v/>
      </c>
      <c r="Q1965" s="54"/>
      <c r="R1965" s="58"/>
      <c r="S1965" s="87" t="str">
        <f t="shared" si="118"/>
        <v/>
      </c>
      <c r="T1965" s="54"/>
      <c r="U1965" s="54"/>
      <c r="V1965" s="54"/>
      <c r="W1965" s="54"/>
      <c r="X1965" s="69" t="str">
        <f t="shared" si="117"/>
        <v>D</v>
      </c>
    </row>
    <row r="1966" spans="1:24" s="66" customFormat="1" x14ac:dyDescent="0.25">
      <c r="A1966" s="51"/>
      <c r="B1966" s="91" t="str">
        <f>IFERROR(VLOOKUP(A1966,Lookup!A:B,2,0),"")</f>
        <v/>
      </c>
      <c r="C1966" s="92" t="str">
        <f>IFERROR(VLOOKUP(A1966,Lookup!A:C,3,0),"")</f>
        <v/>
      </c>
      <c r="D1966" s="54"/>
      <c r="E1966" s="54"/>
      <c r="F1966" s="54"/>
      <c r="G1966" s="72"/>
      <c r="H1966" s="54"/>
      <c r="I1966" s="54"/>
      <c r="J1966" s="106">
        <f>VLOOKUP(A1966&amp;G1966,Lookup!J:N,5,0)</f>
        <v>0</v>
      </c>
      <c r="K1966" s="115"/>
      <c r="L1966" s="54"/>
      <c r="M1966" s="54"/>
      <c r="N1966" s="54"/>
      <c r="O1966" s="112">
        <v>81.6423611111111</v>
      </c>
      <c r="P1966" s="110" t="str">
        <f t="shared" si="116"/>
        <v/>
      </c>
      <c r="Q1966" s="54"/>
      <c r="R1966" s="58"/>
      <c r="S1966" s="87" t="str">
        <f t="shared" si="118"/>
        <v/>
      </c>
      <c r="T1966" s="54"/>
      <c r="U1966" s="54"/>
      <c r="V1966" s="54"/>
      <c r="W1966" s="54"/>
      <c r="X1966" s="69" t="str">
        <f t="shared" si="117"/>
        <v>D</v>
      </c>
    </row>
    <row r="1967" spans="1:24" s="66" customFormat="1" x14ac:dyDescent="0.25">
      <c r="A1967" s="51"/>
      <c r="B1967" s="91" t="str">
        <f>IFERROR(VLOOKUP(A1967,Lookup!A:B,2,0),"")</f>
        <v/>
      </c>
      <c r="C1967" s="92" t="str">
        <f>IFERROR(VLOOKUP(A1967,Lookup!A:C,3,0),"")</f>
        <v/>
      </c>
      <c r="D1967" s="54"/>
      <c r="E1967" s="54"/>
      <c r="F1967" s="54"/>
      <c r="G1967" s="72"/>
      <c r="H1967" s="54"/>
      <c r="I1967" s="54"/>
      <c r="J1967" s="106">
        <f>VLOOKUP(A1967&amp;G1967,Lookup!J:N,5,0)</f>
        <v>0</v>
      </c>
      <c r="K1967" s="115"/>
      <c r="L1967" s="54"/>
      <c r="M1967" s="54"/>
      <c r="N1967" s="54"/>
      <c r="O1967" s="112">
        <v>81.6840277777778</v>
      </c>
      <c r="P1967" s="110" t="str">
        <f t="shared" si="116"/>
        <v/>
      </c>
      <c r="Q1967" s="54"/>
      <c r="R1967" s="58"/>
      <c r="S1967" s="87" t="str">
        <f t="shared" si="118"/>
        <v/>
      </c>
      <c r="T1967" s="54"/>
      <c r="U1967" s="54"/>
      <c r="V1967" s="54"/>
      <c r="W1967" s="54"/>
      <c r="X1967" s="69" t="str">
        <f t="shared" si="117"/>
        <v>D</v>
      </c>
    </row>
    <row r="1968" spans="1:24" s="66" customFormat="1" x14ac:dyDescent="0.25">
      <c r="A1968" s="51"/>
      <c r="B1968" s="91" t="str">
        <f>IFERROR(VLOOKUP(A1968,Lookup!A:B,2,0),"")</f>
        <v/>
      </c>
      <c r="C1968" s="92" t="str">
        <f>IFERROR(VLOOKUP(A1968,Lookup!A:C,3,0),"")</f>
        <v/>
      </c>
      <c r="D1968" s="54"/>
      <c r="E1968" s="54"/>
      <c r="F1968" s="54"/>
      <c r="G1968" s="72"/>
      <c r="H1968" s="54"/>
      <c r="I1968" s="54"/>
      <c r="J1968" s="106">
        <f>VLOOKUP(A1968&amp;G1968,Lookup!J:N,5,0)</f>
        <v>0</v>
      </c>
      <c r="K1968" s="115"/>
      <c r="L1968" s="54"/>
      <c r="M1968" s="54"/>
      <c r="N1968" s="54"/>
      <c r="O1968" s="112">
        <v>81.7256944444444</v>
      </c>
      <c r="P1968" s="110" t="str">
        <f t="shared" si="116"/>
        <v/>
      </c>
      <c r="Q1968" s="54"/>
      <c r="R1968" s="58"/>
      <c r="S1968" s="87" t="str">
        <f t="shared" si="118"/>
        <v/>
      </c>
      <c r="T1968" s="54"/>
      <c r="U1968" s="54"/>
      <c r="V1968" s="54"/>
      <c r="W1968" s="54"/>
      <c r="X1968" s="69" t="str">
        <f t="shared" si="117"/>
        <v>D</v>
      </c>
    </row>
    <row r="1969" spans="1:24" s="66" customFormat="1" x14ac:dyDescent="0.25">
      <c r="A1969" s="51"/>
      <c r="B1969" s="91" t="str">
        <f>IFERROR(VLOOKUP(A1969,Lookup!A:B,2,0),"")</f>
        <v/>
      </c>
      <c r="C1969" s="92" t="str">
        <f>IFERROR(VLOOKUP(A1969,Lookup!A:C,3,0),"")</f>
        <v/>
      </c>
      <c r="D1969" s="54"/>
      <c r="E1969" s="54"/>
      <c r="F1969" s="54"/>
      <c r="G1969" s="72"/>
      <c r="H1969" s="54"/>
      <c r="I1969" s="54"/>
      <c r="J1969" s="106">
        <f>VLOOKUP(A1969&amp;G1969,Lookup!J:N,5,0)</f>
        <v>0</v>
      </c>
      <c r="K1969" s="115"/>
      <c r="L1969" s="54"/>
      <c r="M1969" s="54"/>
      <c r="N1969" s="54"/>
      <c r="O1969" s="112">
        <v>81.7673611111111</v>
      </c>
      <c r="P1969" s="110" t="str">
        <f t="shared" si="116"/>
        <v/>
      </c>
      <c r="Q1969" s="54"/>
      <c r="R1969" s="58"/>
      <c r="S1969" s="87" t="str">
        <f t="shared" si="118"/>
        <v/>
      </c>
      <c r="T1969" s="54"/>
      <c r="U1969" s="54"/>
      <c r="V1969" s="54"/>
      <c r="W1969" s="54"/>
      <c r="X1969" s="69" t="str">
        <f t="shared" si="117"/>
        <v>D</v>
      </c>
    </row>
    <row r="1970" spans="1:24" s="66" customFormat="1" x14ac:dyDescent="0.25">
      <c r="A1970" s="51"/>
      <c r="B1970" s="91" t="str">
        <f>IFERROR(VLOOKUP(A1970,Lookup!A:B,2,0),"")</f>
        <v/>
      </c>
      <c r="C1970" s="92" t="str">
        <f>IFERROR(VLOOKUP(A1970,Lookup!A:C,3,0),"")</f>
        <v/>
      </c>
      <c r="D1970" s="54"/>
      <c r="E1970" s="54"/>
      <c r="F1970" s="54"/>
      <c r="G1970" s="72"/>
      <c r="H1970" s="54"/>
      <c r="I1970" s="54"/>
      <c r="J1970" s="106">
        <f>VLOOKUP(A1970&amp;G1970,Lookup!J:N,5,0)</f>
        <v>0</v>
      </c>
      <c r="K1970" s="115"/>
      <c r="L1970" s="54"/>
      <c r="M1970" s="54"/>
      <c r="N1970" s="54"/>
      <c r="O1970" s="112">
        <v>81.8090277777778</v>
      </c>
      <c r="P1970" s="110" t="str">
        <f t="shared" si="116"/>
        <v/>
      </c>
      <c r="Q1970" s="54"/>
      <c r="R1970" s="58"/>
      <c r="S1970" s="87" t="str">
        <f t="shared" si="118"/>
        <v/>
      </c>
      <c r="T1970" s="54"/>
      <c r="U1970" s="54"/>
      <c r="V1970" s="54"/>
      <c r="W1970" s="54"/>
      <c r="X1970" s="69" t="str">
        <f t="shared" si="117"/>
        <v>D</v>
      </c>
    </row>
    <row r="1971" spans="1:24" s="66" customFormat="1" x14ac:dyDescent="0.25">
      <c r="A1971" s="51"/>
      <c r="B1971" s="91" t="str">
        <f>IFERROR(VLOOKUP(A1971,Lookup!A:B,2,0),"")</f>
        <v/>
      </c>
      <c r="C1971" s="92" t="str">
        <f>IFERROR(VLOOKUP(A1971,Lookup!A:C,3,0),"")</f>
        <v/>
      </c>
      <c r="D1971" s="54"/>
      <c r="E1971" s="54"/>
      <c r="F1971" s="54"/>
      <c r="G1971" s="72"/>
      <c r="H1971" s="54"/>
      <c r="I1971" s="54"/>
      <c r="J1971" s="106">
        <f>VLOOKUP(A1971&amp;G1971,Lookup!J:N,5,0)</f>
        <v>0</v>
      </c>
      <c r="K1971" s="115"/>
      <c r="L1971" s="54"/>
      <c r="M1971" s="54"/>
      <c r="N1971" s="54"/>
      <c r="O1971" s="112">
        <v>81.8506944444444</v>
      </c>
      <c r="P1971" s="110" t="str">
        <f t="shared" si="116"/>
        <v/>
      </c>
      <c r="Q1971" s="54"/>
      <c r="R1971" s="58"/>
      <c r="S1971" s="87" t="str">
        <f t="shared" si="118"/>
        <v/>
      </c>
      <c r="T1971" s="54"/>
      <c r="U1971" s="54"/>
      <c r="V1971" s="54"/>
      <c r="W1971" s="54"/>
      <c r="X1971" s="69" t="str">
        <f t="shared" si="117"/>
        <v>D</v>
      </c>
    </row>
    <row r="1972" spans="1:24" s="66" customFormat="1" x14ac:dyDescent="0.25">
      <c r="A1972" s="51"/>
      <c r="B1972" s="91" t="str">
        <f>IFERROR(VLOOKUP(A1972,Lookup!A:B,2,0),"")</f>
        <v/>
      </c>
      <c r="C1972" s="92" t="str">
        <f>IFERROR(VLOOKUP(A1972,Lookup!A:C,3,0),"")</f>
        <v/>
      </c>
      <c r="D1972" s="54"/>
      <c r="E1972" s="54"/>
      <c r="F1972" s="54"/>
      <c r="G1972" s="72"/>
      <c r="H1972" s="54"/>
      <c r="I1972" s="54"/>
      <c r="J1972" s="106">
        <f>VLOOKUP(A1972&amp;G1972,Lookup!J:N,5,0)</f>
        <v>0</v>
      </c>
      <c r="K1972" s="115"/>
      <c r="L1972" s="54"/>
      <c r="M1972" s="54"/>
      <c r="N1972" s="54"/>
      <c r="O1972" s="112">
        <v>81.8923611111111</v>
      </c>
      <c r="P1972" s="110" t="str">
        <f t="shared" si="116"/>
        <v/>
      </c>
      <c r="Q1972" s="54"/>
      <c r="R1972" s="58"/>
      <c r="S1972" s="87" t="str">
        <f t="shared" si="118"/>
        <v/>
      </c>
      <c r="T1972" s="54"/>
      <c r="U1972" s="54"/>
      <c r="V1972" s="54"/>
      <c r="W1972" s="54"/>
      <c r="X1972" s="69" t="str">
        <f t="shared" si="117"/>
        <v>D</v>
      </c>
    </row>
    <row r="1973" spans="1:24" s="66" customFormat="1" x14ac:dyDescent="0.25">
      <c r="A1973" s="51"/>
      <c r="B1973" s="91" t="str">
        <f>IFERROR(VLOOKUP(A1973,Lookup!A:B,2,0),"")</f>
        <v/>
      </c>
      <c r="C1973" s="92" t="str">
        <f>IFERROR(VLOOKUP(A1973,Lookup!A:C,3,0),"")</f>
        <v/>
      </c>
      <c r="D1973" s="54"/>
      <c r="E1973" s="54"/>
      <c r="F1973" s="54"/>
      <c r="G1973" s="72"/>
      <c r="H1973" s="54"/>
      <c r="I1973" s="54"/>
      <c r="J1973" s="106">
        <f>VLOOKUP(A1973&amp;G1973,Lookup!J:N,5,0)</f>
        <v>0</v>
      </c>
      <c r="K1973" s="115"/>
      <c r="L1973" s="54"/>
      <c r="M1973" s="54"/>
      <c r="N1973" s="54"/>
      <c r="O1973" s="112">
        <v>81.9340277777778</v>
      </c>
      <c r="P1973" s="110" t="str">
        <f t="shared" si="116"/>
        <v/>
      </c>
      <c r="Q1973" s="54"/>
      <c r="R1973" s="58"/>
      <c r="S1973" s="87" t="str">
        <f t="shared" si="118"/>
        <v/>
      </c>
      <c r="T1973" s="54"/>
      <c r="U1973" s="54"/>
      <c r="V1973" s="54"/>
      <c r="W1973" s="54"/>
      <c r="X1973" s="69" t="str">
        <f t="shared" si="117"/>
        <v>D</v>
      </c>
    </row>
    <row r="1974" spans="1:24" s="66" customFormat="1" x14ac:dyDescent="0.25">
      <c r="A1974" s="51"/>
      <c r="B1974" s="91" t="str">
        <f>IFERROR(VLOOKUP(A1974,Lookup!A:B,2,0),"")</f>
        <v/>
      </c>
      <c r="C1974" s="92" t="str">
        <f>IFERROR(VLOOKUP(A1974,Lookup!A:C,3,0),"")</f>
        <v/>
      </c>
      <c r="D1974" s="54"/>
      <c r="E1974" s="54"/>
      <c r="F1974" s="54"/>
      <c r="G1974" s="72"/>
      <c r="H1974" s="54"/>
      <c r="I1974" s="54"/>
      <c r="J1974" s="106">
        <f>VLOOKUP(A1974&amp;G1974,Lookup!J:N,5,0)</f>
        <v>0</v>
      </c>
      <c r="K1974" s="115"/>
      <c r="L1974" s="54"/>
      <c r="M1974" s="54"/>
      <c r="N1974" s="54"/>
      <c r="O1974" s="112">
        <v>81.9756944444444</v>
      </c>
      <c r="P1974" s="110" t="str">
        <f t="shared" si="116"/>
        <v/>
      </c>
      <c r="Q1974" s="54"/>
      <c r="R1974" s="58"/>
      <c r="S1974" s="87" t="str">
        <f t="shared" si="118"/>
        <v/>
      </c>
      <c r="T1974" s="54"/>
      <c r="U1974" s="54"/>
      <c r="V1974" s="54"/>
      <c r="W1974" s="54"/>
      <c r="X1974" s="69" t="str">
        <f t="shared" si="117"/>
        <v>D</v>
      </c>
    </row>
    <row r="1975" spans="1:24" s="66" customFormat="1" x14ac:dyDescent="0.25">
      <c r="A1975" s="51"/>
      <c r="B1975" s="91" t="str">
        <f>IFERROR(VLOOKUP(A1975,Lookup!A:B,2,0),"")</f>
        <v/>
      </c>
      <c r="C1975" s="92" t="str">
        <f>IFERROR(VLOOKUP(A1975,Lookup!A:C,3,0),"")</f>
        <v/>
      </c>
      <c r="D1975" s="54"/>
      <c r="E1975" s="54"/>
      <c r="F1975" s="54"/>
      <c r="G1975" s="72"/>
      <c r="H1975" s="54"/>
      <c r="I1975" s="54"/>
      <c r="J1975" s="106">
        <f>VLOOKUP(A1975&amp;G1975,Lookup!J:N,5,0)</f>
        <v>0</v>
      </c>
      <c r="K1975" s="115"/>
      <c r="L1975" s="54"/>
      <c r="M1975" s="54"/>
      <c r="N1975" s="54"/>
      <c r="O1975" s="112">
        <v>82.0173611111111</v>
      </c>
      <c r="P1975" s="110" t="str">
        <f t="shared" si="116"/>
        <v/>
      </c>
      <c r="Q1975" s="54"/>
      <c r="R1975" s="58"/>
      <c r="S1975" s="87" t="str">
        <f t="shared" si="118"/>
        <v/>
      </c>
      <c r="T1975" s="54"/>
      <c r="U1975" s="54"/>
      <c r="V1975" s="54"/>
      <c r="W1975" s="54"/>
      <c r="X1975" s="69" t="str">
        <f t="shared" si="117"/>
        <v>D</v>
      </c>
    </row>
    <row r="1976" spans="1:24" s="66" customFormat="1" x14ac:dyDescent="0.25">
      <c r="A1976" s="51"/>
      <c r="B1976" s="91" t="str">
        <f>IFERROR(VLOOKUP(A1976,Lookup!A:B,2,0),"")</f>
        <v/>
      </c>
      <c r="C1976" s="92" t="str">
        <f>IFERROR(VLOOKUP(A1976,Lookup!A:C,3,0),"")</f>
        <v/>
      </c>
      <c r="D1976" s="54"/>
      <c r="E1976" s="54"/>
      <c r="F1976" s="54"/>
      <c r="G1976" s="72"/>
      <c r="H1976" s="54"/>
      <c r="I1976" s="54"/>
      <c r="J1976" s="106">
        <f>VLOOKUP(A1976&amp;G1976,Lookup!J:N,5,0)</f>
        <v>0</v>
      </c>
      <c r="K1976" s="115"/>
      <c r="L1976" s="54"/>
      <c r="M1976" s="54"/>
      <c r="N1976" s="54"/>
      <c r="O1976" s="112">
        <v>82.0590277777778</v>
      </c>
      <c r="P1976" s="110" t="str">
        <f t="shared" si="116"/>
        <v/>
      </c>
      <c r="Q1976" s="54"/>
      <c r="R1976" s="58"/>
      <c r="S1976" s="87" t="str">
        <f t="shared" si="118"/>
        <v/>
      </c>
      <c r="T1976" s="54"/>
      <c r="U1976" s="54"/>
      <c r="V1976" s="54"/>
      <c r="W1976" s="54"/>
      <c r="X1976" s="69" t="str">
        <f t="shared" si="117"/>
        <v>D</v>
      </c>
    </row>
    <row r="1977" spans="1:24" s="66" customFormat="1" x14ac:dyDescent="0.25">
      <c r="A1977" s="51"/>
      <c r="B1977" s="91" t="str">
        <f>IFERROR(VLOOKUP(A1977,Lookup!A:B,2,0),"")</f>
        <v/>
      </c>
      <c r="C1977" s="92" t="str">
        <f>IFERROR(VLOOKUP(A1977,Lookup!A:C,3,0),"")</f>
        <v/>
      </c>
      <c r="D1977" s="54"/>
      <c r="E1977" s="54"/>
      <c r="F1977" s="54"/>
      <c r="G1977" s="72"/>
      <c r="H1977" s="54"/>
      <c r="I1977" s="54"/>
      <c r="J1977" s="106">
        <f>VLOOKUP(A1977&amp;G1977,Lookup!J:N,5,0)</f>
        <v>0</v>
      </c>
      <c r="K1977" s="115"/>
      <c r="L1977" s="54"/>
      <c r="M1977" s="54"/>
      <c r="N1977" s="54"/>
      <c r="O1977" s="112">
        <v>82.1006944444444</v>
      </c>
      <c r="P1977" s="110" t="str">
        <f t="shared" si="116"/>
        <v/>
      </c>
      <c r="Q1977" s="54"/>
      <c r="R1977" s="58"/>
      <c r="S1977" s="87" t="str">
        <f t="shared" si="118"/>
        <v/>
      </c>
      <c r="T1977" s="54"/>
      <c r="U1977" s="54"/>
      <c r="V1977" s="54"/>
      <c r="W1977" s="54"/>
      <c r="X1977" s="69" t="str">
        <f t="shared" si="117"/>
        <v>D</v>
      </c>
    </row>
    <row r="1978" spans="1:24" s="66" customFormat="1" x14ac:dyDescent="0.25">
      <c r="A1978" s="51"/>
      <c r="B1978" s="91" t="str">
        <f>IFERROR(VLOOKUP(A1978,Lookup!A:B,2,0),"")</f>
        <v/>
      </c>
      <c r="C1978" s="92" t="str">
        <f>IFERROR(VLOOKUP(A1978,Lookup!A:C,3,0),"")</f>
        <v/>
      </c>
      <c r="D1978" s="54"/>
      <c r="E1978" s="54"/>
      <c r="F1978" s="54"/>
      <c r="G1978" s="72"/>
      <c r="H1978" s="54"/>
      <c r="I1978" s="54"/>
      <c r="J1978" s="106">
        <f>VLOOKUP(A1978&amp;G1978,Lookup!J:N,5,0)</f>
        <v>0</v>
      </c>
      <c r="K1978" s="115"/>
      <c r="L1978" s="54"/>
      <c r="M1978" s="54"/>
      <c r="N1978" s="54"/>
      <c r="O1978" s="112">
        <v>82.1423611111111</v>
      </c>
      <c r="P1978" s="110" t="str">
        <f t="shared" si="116"/>
        <v/>
      </c>
      <c r="Q1978" s="54"/>
      <c r="R1978" s="58"/>
      <c r="S1978" s="87" t="str">
        <f t="shared" si="118"/>
        <v/>
      </c>
      <c r="T1978" s="54"/>
      <c r="U1978" s="54"/>
      <c r="V1978" s="54"/>
      <c r="W1978" s="54"/>
      <c r="X1978" s="69" t="str">
        <f t="shared" si="117"/>
        <v>D</v>
      </c>
    </row>
    <row r="1979" spans="1:24" s="66" customFormat="1" x14ac:dyDescent="0.25">
      <c r="A1979" s="51"/>
      <c r="B1979" s="91" t="str">
        <f>IFERROR(VLOOKUP(A1979,Lookup!A:B,2,0),"")</f>
        <v/>
      </c>
      <c r="C1979" s="92" t="str">
        <f>IFERROR(VLOOKUP(A1979,Lookup!A:C,3,0),"")</f>
        <v/>
      </c>
      <c r="D1979" s="54"/>
      <c r="E1979" s="54"/>
      <c r="F1979" s="54"/>
      <c r="G1979" s="72"/>
      <c r="H1979" s="54"/>
      <c r="I1979" s="54"/>
      <c r="J1979" s="106">
        <f>VLOOKUP(A1979&amp;G1979,Lookup!J:N,5,0)</f>
        <v>0</v>
      </c>
      <c r="K1979" s="115"/>
      <c r="L1979" s="54"/>
      <c r="M1979" s="54"/>
      <c r="N1979" s="54"/>
      <c r="O1979" s="112">
        <v>82.1840277777778</v>
      </c>
      <c r="P1979" s="110" t="str">
        <f t="shared" si="116"/>
        <v/>
      </c>
      <c r="Q1979" s="54"/>
      <c r="R1979" s="58"/>
      <c r="S1979" s="87" t="str">
        <f t="shared" si="118"/>
        <v/>
      </c>
      <c r="T1979" s="54"/>
      <c r="U1979" s="54"/>
      <c r="V1979" s="54"/>
      <c r="W1979" s="54"/>
      <c r="X1979" s="69" t="str">
        <f t="shared" si="117"/>
        <v>D</v>
      </c>
    </row>
    <row r="1980" spans="1:24" s="66" customFormat="1" x14ac:dyDescent="0.25">
      <c r="A1980" s="51"/>
      <c r="B1980" s="91" t="str">
        <f>IFERROR(VLOOKUP(A1980,Lookup!A:B,2,0),"")</f>
        <v/>
      </c>
      <c r="C1980" s="92" t="str">
        <f>IFERROR(VLOOKUP(A1980,Lookup!A:C,3,0),"")</f>
        <v/>
      </c>
      <c r="D1980" s="54"/>
      <c r="E1980" s="54"/>
      <c r="F1980" s="54"/>
      <c r="G1980" s="72"/>
      <c r="H1980" s="54"/>
      <c r="I1980" s="54"/>
      <c r="J1980" s="106">
        <f>VLOOKUP(A1980&amp;G1980,Lookup!J:N,5,0)</f>
        <v>0</v>
      </c>
      <c r="K1980" s="115"/>
      <c r="L1980" s="54"/>
      <c r="M1980" s="54"/>
      <c r="N1980" s="54"/>
      <c r="O1980" s="112">
        <v>82.2256944444444</v>
      </c>
      <c r="P1980" s="110" t="str">
        <f t="shared" si="116"/>
        <v/>
      </c>
      <c r="Q1980" s="54"/>
      <c r="R1980" s="58"/>
      <c r="S1980" s="87" t="str">
        <f t="shared" si="118"/>
        <v/>
      </c>
      <c r="T1980" s="54"/>
      <c r="U1980" s="54"/>
      <c r="V1980" s="54"/>
      <c r="W1980" s="54"/>
      <c r="X1980" s="69" t="str">
        <f t="shared" si="117"/>
        <v>D</v>
      </c>
    </row>
    <row r="1981" spans="1:24" s="66" customFormat="1" x14ac:dyDescent="0.25">
      <c r="A1981" s="51"/>
      <c r="B1981" s="91" t="str">
        <f>IFERROR(VLOOKUP(A1981,Lookup!A:B,2,0),"")</f>
        <v/>
      </c>
      <c r="C1981" s="92" t="str">
        <f>IFERROR(VLOOKUP(A1981,Lookup!A:C,3,0),"")</f>
        <v/>
      </c>
      <c r="D1981" s="54"/>
      <c r="E1981" s="54"/>
      <c r="F1981" s="54"/>
      <c r="G1981" s="72"/>
      <c r="H1981" s="54"/>
      <c r="I1981" s="54"/>
      <c r="J1981" s="106">
        <f>VLOOKUP(A1981&amp;G1981,Lookup!J:N,5,0)</f>
        <v>0</v>
      </c>
      <c r="K1981" s="115"/>
      <c r="L1981" s="54"/>
      <c r="M1981" s="54"/>
      <c r="N1981" s="54"/>
      <c r="O1981" s="112">
        <v>82.2673611111111</v>
      </c>
      <c r="P1981" s="110" t="str">
        <f t="shared" si="116"/>
        <v/>
      </c>
      <c r="Q1981" s="54"/>
      <c r="R1981" s="58"/>
      <c r="S1981" s="87" t="str">
        <f t="shared" si="118"/>
        <v/>
      </c>
      <c r="T1981" s="54"/>
      <c r="U1981" s="54"/>
      <c r="V1981" s="54"/>
      <c r="W1981" s="54"/>
      <c r="X1981" s="69" t="str">
        <f t="shared" si="117"/>
        <v>D</v>
      </c>
    </row>
    <row r="1982" spans="1:24" s="66" customFormat="1" x14ac:dyDescent="0.25">
      <c r="A1982" s="51"/>
      <c r="B1982" s="91" t="str">
        <f>IFERROR(VLOOKUP(A1982,Lookup!A:B,2,0),"")</f>
        <v/>
      </c>
      <c r="C1982" s="92" t="str">
        <f>IFERROR(VLOOKUP(A1982,Lookup!A:C,3,0),"")</f>
        <v/>
      </c>
      <c r="D1982" s="54"/>
      <c r="E1982" s="54"/>
      <c r="F1982" s="54"/>
      <c r="G1982" s="72"/>
      <c r="H1982" s="54"/>
      <c r="I1982" s="54"/>
      <c r="J1982" s="106">
        <f>VLOOKUP(A1982&amp;G1982,Lookup!J:N,5,0)</f>
        <v>0</v>
      </c>
      <c r="K1982" s="115"/>
      <c r="L1982" s="54"/>
      <c r="M1982" s="54"/>
      <c r="N1982" s="54"/>
      <c r="O1982" s="112">
        <v>82.3090277777778</v>
      </c>
      <c r="P1982" s="110" t="str">
        <f t="shared" si="116"/>
        <v/>
      </c>
      <c r="Q1982" s="54"/>
      <c r="R1982" s="58"/>
      <c r="S1982" s="87" t="str">
        <f t="shared" si="118"/>
        <v/>
      </c>
      <c r="T1982" s="54"/>
      <c r="U1982" s="54"/>
      <c r="V1982" s="54"/>
      <c r="W1982" s="54"/>
      <c r="X1982" s="69" t="str">
        <f t="shared" si="117"/>
        <v>D</v>
      </c>
    </row>
    <row r="1983" spans="1:24" s="66" customFormat="1" x14ac:dyDescent="0.25">
      <c r="A1983" s="51"/>
      <c r="B1983" s="91" t="str">
        <f>IFERROR(VLOOKUP(A1983,Lookup!A:B,2,0),"")</f>
        <v/>
      </c>
      <c r="C1983" s="92" t="str">
        <f>IFERROR(VLOOKUP(A1983,Lookup!A:C,3,0),"")</f>
        <v/>
      </c>
      <c r="D1983" s="54"/>
      <c r="E1983" s="54"/>
      <c r="F1983" s="54"/>
      <c r="G1983" s="72"/>
      <c r="H1983" s="54"/>
      <c r="I1983" s="54"/>
      <c r="J1983" s="106">
        <f>VLOOKUP(A1983&amp;G1983,Lookup!J:N,5,0)</f>
        <v>0</v>
      </c>
      <c r="K1983" s="115"/>
      <c r="L1983" s="54"/>
      <c r="M1983" s="54"/>
      <c r="N1983" s="54"/>
      <c r="O1983" s="112">
        <v>82.3506944444444</v>
      </c>
      <c r="P1983" s="110" t="str">
        <f t="shared" si="116"/>
        <v/>
      </c>
      <c r="Q1983" s="54"/>
      <c r="R1983" s="58"/>
      <c r="S1983" s="87" t="str">
        <f t="shared" si="118"/>
        <v/>
      </c>
      <c r="T1983" s="54"/>
      <c r="U1983" s="54"/>
      <c r="V1983" s="54"/>
      <c r="W1983" s="54"/>
      <c r="X1983" s="69" t="str">
        <f t="shared" si="117"/>
        <v>D</v>
      </c>
    </row>
    <row r="1984" spans="1:24" s="66" customFormat="1" x14ac:dyDescent="0.25">
      <c r="A1984" s="51"/>
      <c r="B1984" s="91" t="str">
        <f>IFERROR(VLOOKUP(A1984,Lookup!A:B,2,0),"")</f>
        <v/>
      </c>
      <c r="C1984" s="92" t="str">
        <f>IFERROR(VLOOKUP(A1984,Lookup!A:C,3,0),"")</f>
        <v/>
      </c>
      <c r="D1984" s="54"/>
      <c r="E1984" s="54"/>
      <c r="F1984" s="54"/>
      <c r="G1984" s="72"/>
      <c r="H1984" s="54"/>
      <c r="I1984" s="54"/>
      <c r="J1984" s="106">
        <f>VLOOKUP(A1984&amp;G1984,Lookup!J:N,5,0)</f>
        <v>0</v>
      </c>
      <c r="K1984" s="115"/>
      <c r="L1984" s="54"/>
      <c r="M1984" s="54"/>
      <c r="N1984" s="54"/>
      <c r="O1984" s="112">
        <v>82.3923611111111</v>
      </c>
      <c r="P1984" s="110" t="str">
        <f t="shared" si="116"/>
        <v/>
      </c>
      <c r="Q1984" s="54"/>
      <c r="R1984" s="58"/>
      <c r="S1984" s="87" t="str">
        <f t="shared" si="118"/>
        <v/>
      </c>
      <c r="T1984" s="54"/>
      <c r="U1984" s="54"/>
      <c r="V1984" s="54"/>
      <c r="W1984" s="54"/>
      <c r="X1984" s="69" t="str">
        <f t="shared" si="117"/>
        <v>D</v>
      </c>
    </row>
    <row r="1985" spans="1:24" s="66" customFormat="1" x14ac:dyDescent="0.25">
      <c r="A1985" s="51"/>
      <c r="B1985" s="91" t="str">
        <f>IFERROR(VLOOKUP(A1985,Lookup!A:B,2,0),"")</f>
        <v/>
      </c>
      <c r="C1985" s="92" t="str">
        <f>IFERROR(VLOOKUP(A1985,Lookup!A:C,3,0),"")</f>
        <v/>
      </c>
      <c r="D1985" s="54"/>
      <c r="E1985" s="54"/>
      <c r="F1985" s="54"/>
      <c r="G1985" s="72"/>
      <c r="H1985" s="54"/>
      <c r="I1985" s="54"/>
      <c r="J1985" s="106">
        <f>VLOOKUP(A1985&amp;G1985,Lookup!J:N,5,0)</f>
        <v>0</v>
      </c>
      <c r="K1985" s="115"/>
      <c r="L1985" s="54"/>
      <c r="M1985" s="54"/>
      <c r="N1985" s="54"/>
      <c r="O1985" s="112">
        <v>82.4340277777778</v>
      </c>
      <c r="P1985" s="110" t="str">
        <f t="shared" si="116"/>
        <v/>
      </c>
      <c r="Q1985" s="54"/>
      <c r="R1985" s="58"/>
      <c r="S1985" s="87" t="str">
        <f t="shared" si="118"/>
        <v/>
      </c>
      <c r="T1985" s="54"/>
      <c r="U1985" s="54"/>
      <c r="V1985" s="54"/>
      <c r="W1985" s="54"/>
      <c r="X1985" s="69" t="str">
        <f t="shared" si="117"/>
        <v>D</v>
      </c>
    </row>
    <row r="1986" spans="1:24" s="66" customFormat="1" x14ac:dyDescent="0.25">
      <c r="A1986" s="51"/>
      <c r="B1986" s="91" t="str">
        <f>IFERROR(VLOOKUP(A1986,Lookup!A:B,2,0),"")</f>
        <v/>
      </c>
      <c r="C1986" s="92" t="str">
        <f>IFERROR(VLOOKUP(A1986,Lookup!A:C,3,0),"")</f>
        <v/>
      </c>
      <c r="D1986" s="54"/>
      <c r="E1986" s="54"/>
      <c r="F1986" s="54"/>
      <c r="G1986" s="72"/>
      <c r="H1986" s="54"/>
      <c r="I1986" s="54"/>
      <c r="J1986" s="106">
        <f>VLOOKUP(A1986&amp;G1986,Lookup!J:N,5,0)</f>
        <v>0</v>
      </c>
      <c r="K1986" s="115"/>
      <c r="L1986" s="54"/>
      <c r="M1986" s="54"/>
      <c r="N1986" s="54"/>
      <c r="O1986" s="112">
        <v>82.4756944444444</v>
      </c>
      <c r="P1986" s="110" t="str">
        <f t="shared" si="116"/>
        <v/>
      </c>
      <c r="Q1986" s="54"/>
      <c r="R1986" s="58"/>
      <c r="S1986" s="87" t="str">
        <f t="shared" si="118"/>
        <v/>
      </c>
      <c r="T1986" s="54"/>
      <c r="U1986" s="54"/>
      <c r="V1986" s="54"/>
      <c r="W1986" s="54"/>
      <c r="X1986" s="69" t="str">
        <f t="shared" si="117"/>
        <v>D</v>
      </c>
    </row>
    <row r="1987" spans="1:24" s="66" customFormat="1" x14ac:dyDescent="0.25">
      <c r="A1987" s="51"/>
      <c r="B1987" s="91" t="str">
        <f>IFERROR(VLOOKUP(A1987,Lookup!A:B,2,0),"")</f>
        <v/>
      </c>
      <c r="C1987" s="92" t="str">
        <f>IFERROR(VLOOKUP(A1987,Lookup!A:C,3,0),"")</f>
        <v/>
      </c>
      <c r="D1987" s="54"/>
      <c r="E1987" s="54"/>
      <c r="F1987" s="54"/>
      <c r="G1987" s="72"/>
      <c r="H1987" s="54"/>
      <c r="I1987" s="54"/>
      <c r="J1987" s="106">
        <f>VLOOKUP(A1987&amp;G1987,Lookup!J:N,5,0)</f>
        <v>0</v>
      </c>
      <c r="K1987" s="115"/>
      <c r="L1987" s="54"/>
      <c r="M1987" s="54"/>
      <c r="N1987" s="54"/>
      <c r="O1987" s="112">
        <v>82.5173611111111</v>
      </c>
      <c r="P1987" s="110" t="str">
        <f t="shared" ref="P1987:P2050" si="119">IF(N1987="","",N1987+O1987)</f>
        <v/>
      </c>
      <c r="Q1987" s="54"/>
      <c r="R1987" s="58"/>
      <c r="S1987" s="87" t="str">
        <f t="shared" si="118"/>
        <v/>
      </c>
      <c r="T1987" s="54"/>
      <c r="U1987" s="54"/>
      <c r="V1987" s="54"/>
      <c r="W1987" s="54"/>
      <c r="X1987" s="69" t="str">
        <f t="shared" ref="X1987:X2042" si="120">IF(I1987="SET","A",IF(I1987="FREQ","C",IF(I1987="","D","B")))</f>
        <v>D</v>
      </c>
    </row>
    <row r="1988" spans="1:24" s="66" customFormat="1" x14ac:dyDescent="0.25">
      <c r="A1988" s="51"/>
      <c r="B1988" s="91" t="str">
        <f>IFERROR(VLOOKUP(A1988,Lookup!A:B,2,0),"")</f>
        <v/>
      </c>
      <c r="C1988" s="92" t="str">
        <f>IFERROR(VLOOKUP(A1988,Lookup!A:C,3,0),"")</f>
        <v/>
      </c>
      <c r="D1988" s="54"/>
      <c r="E1988" s="54"/>
      <c r="F1988" s="54"/>
      <c r="G1988" s="72"/>
      <c r="H1988" s="54"/>
      <c r="I1988" s="54"/>
      <c r="J1988" s="106">
        <f>VLOOKUP(A1988&amp;G1988,Lookup!J:N,5,0)</f>
        <v>0</v>
      </c>
      <c r="K1988" s="115"/>
      <c r="L1988" s="54"/>
      <c r="M1988" s="54"/>
      <c r="N1988" s="54"/>
      <c r="O1988" s="112">
        <v>82.5590277777778</v>
      </c>
      <c r="P1988" s="110" t="str">
        <f t="shared" si="119"/>
        <v/>
      </c>
      <c r="Q1988" s="54"/>
      <c r="R1988" s="58"/>
      <c r="S1988" s="87" t="str">
        <f t="shared" si="118"/>
        <v/>
      </c>
      <c r="T1988" s="54"/>
      <c r="U1988" s="54"/>
      <c r="V1988" s="54"/>
      <c r="W1988" s="54"/>
      <c r="X1988" s="69" t="str">
        <f t="shared" si="120"/>
        <v>D</v>
      </c>
    </row>
    <row r="1989" spans="1:24" s="66" customFormat="1" x14ac:dyDescent="0.25">
      <c r="A1989" s="51"/>
      <c r="B1989" s="91" t="str">
        <f>IFERROR(VLOOKUP(A1989,Lookup!A:B,2,0),"")</f>
        <v/>
      </c>
      <c r="C1989" s="92" t="str">
        <f>IFERROR(VLOOKUP(A1989,Lookup!A:C,3,0),"")</f>
        <v/>
      </c>
      <c r="D1989" s="54"/>
      <c r="E1989" s="54"/>
      <c r="F1989" s="54"/>
      <c r="G1989" s="72"/>
      <c r="H1989" s="54"/>
      <c r="I1989" s="54"/>
      <c r="J1989" s="106">
        <f>VLOOKUP(A1989&amp;G1989,Lookup!J:N,5,0)</f>
        <v>0</v>
      </c>
      <c r="K1989" s="115"/>
      <c r="L1989" s="54"/>
      <c r="M1989" s="54"/>
      <c r="N1989" s="54"/>
      <c r="O1989" s="112">
        <v>82.6006944444444</v>
      </c>
      <c r="P1989" s="110" t="str">
        <f t="shared" si="119"/>
        <v/>
      </c>
      <c r="Q1989" s="54"/>
      <c r="R1989" s="58"/>
      <c r="S1989" s="87" t="str">
        <f t="shared" si="118"/>
        <v/>
      </c>
      <c r="T1989" s="54"/>
      <c r="U1989" s="54"/>
      <c r="V1989" s="54"/>
      <c r="W1989" s="54"/>
      <c r="X1989" s="69" t="str">
        <f t="shared" si="120"/>
        <v>D</v>
      </c>
    </row>
    <row r="1990" spans="1:24" s="66" customFormat="1" x14ac:dyDescent="0.25">
      <c r="A1990" s="51"/>
      <c r="B1990" s="91" t="str">
        <f>IFERROR(VLOOKUP(A1990,Lookup!A:B,2,0),"")</f>
        <v/>
      </c>
      <c r="C1990" s="92" t="str">
        <f>IFERROR(VLOOKUP(A1990,Lookup!A:C,3,0),"")</f>
        <v/>
      </c>
      <c r="D1990" s="54"/>
      <c r="E1990" s="54"/>
      <c r="F1990" s="54"/>
      <c r="G1990" s="72"/>
      <c r="H1990" s="54"/>
      <c r="I1990" s="54"/>
      <c r="J1990" s="106">
        <f>VLOOKUP(A1990&amp;G1990,Lookup!J:N,5,0)</f>
        <v>0</v>
      </c>
      <c r="K1990" s="115"/>
      <c r="L1990" s="54"/>
      <c r="M1990" s="54"/>
      <c r="N1990" s="54"/>
      <c r="O1990" s="112">
        <v>82.6423611111111</v>
      </c>
      <c r="P1990" s="110" t="str">
        <f t="shared" si="119"/>
        <v/>
      </c>
      <c r="Q1990" s="54"/>
      <c r="R1990" s="58"/>
      <c r="S1990" s="87" t="str">
        <f t="shared" si="118"/>
        <v/>
      </c>
      <c r="T1990" s="54"/>
      <c r="U1990" s="54"/>
      <c r="V1990" s="54"/>
      <c r="W1990" s="54"/>
      <c r="X1990" s="69" t="str">
        <f t="shared" si="120"/>
        <v>D</v>
      </c>
    </row>
    <row r="1991" spans="1:24" s="66" customFormat="1" x14ac:dyDescent="0.25">
      <c r="A1991" s="51"/>
      <c r="B1991" s="91" t="str">
        <f>IFERROR(VLOOKUP(A1991,Lookup!A:B,2,0),"")</f>
        <v/>
      </c>
      <c r="C1991" s="92" t="str">
        <f>IFERROR(VLOOKUP(A1991,Lookup!A:C,3,0),"")</f>
        <v/>
      </c>
      <c r="D1991" s="54"/>
      <c r="E1991" s="54"/>
      <c r="F1991" s="54"/>
      <c r="G1991" s="72"/>
      <c r="H1991" s="54"/>
      <c r="I1991" s="54"/>
      <c r="J1991" s="106">
        <f>VLOOKUP(A1991&amp;G1991,Lookup!J:N,5,0)</f>
        <v>0</v>
      </c>
      <c r="K1991" s="115"/>
      <c r="L1991" s="54"/>
      <c r="M1991" s="54"/>
      <c r="N1991" s="54"/>
      <c r="O1991" s="112">
        <v>82.6840277777778</v>
      </c>
      <c r="P1991" s="110" t="str">
        <f t="shared" si="119"/>
        <v/>
      </c>
      <c r="Q1991" s="54"/>
      <c r="R1991" s="58"/>
      <c r="S1991" s="87" t="str">
        <f t="shared" ref="S1991:S2054" si="121">IF(OR(EXACT(Q1991,""), EXACT(L1991,"")),"",Q1991-L1991)</f>
        <v/>
      </c>
      <c r="T1991" s="54"/>
      <c r="U1991" s="54"/>
      <c r="V1991" s="54"/>
      <c r="W1991" s="54"/>
      <c r="X1991" s="69" t="str">
        <f t="shared" si="120"/>
        <v>D</v>
      </c>
    </row>
    <row r="1992" spans="1:24" s="66" customFormat="1" x14ac:dyDescent="0.25">
      <c r="A1992" s="51"/>
      <c r="B1992" s="91" t="str">
        <f>IFERROR(VLOOKUP(A1992,Lookup!A:B,2,0),"")</f>
        <v/>
      </c>
      <c r="C1992" s="92" t="str">
        <f>IFERROR(VLOOKUP(A1992,Lookup!A:C,3,0),"")</f>
        <v/>
      </c>
      <c r="D1992" s="54"/>
      <c r="E1992" s="54"/>
      <c r="F1992" s="54"/>
      <c r="G1992" s="72"/>
      <c r="H1992" s="54"/>
      <c r="I1992" s="54"/>
      <c r="J1992" s="106">
        <f>VLOOKUP(A1992&amp;G1992,Lookup!J:N,5,0)</f>
        <v>0</v>
      </c>
      <c r="K1992" s="115"/>
      <c r="L1992" s="54"/>
      <c r="M1992" s="54"/>
      <c r="N1992" s="54"/>
      <c r="O1992" s="112">
        <v>82.7256944444444</v>
      </c>
      <c r="P1992" s="110" t="str">
        <f t="shared" si="119"/>
        <v/>
      </c>
      <c r="Q1992" s="54"/>
      <c r="R1992" s="58"/>
      <c r="S1992" s="87" t="str">
        <f t="shared" si="121"/>
        <v/>
      </c>
      <c r="T1992" s="54"/>
      <c r="U1992" s="54"/>
      <c r="V1992" s="54"/>
      <c r="W1992" s="54"/>
      <c r="X1992" s="69" t="str">
        <f t="shared" si="120"/>
        <v>D</v>
      </c>
    </row>
    <row r="1993" spans="1:24" s="66" customFormat="1" x14ac:dyDescent="0.25">
      <c r="A1993" s="51"/>
      <c r="B1993" s="91" t="str">
        <f>IFERROR(VLOOKUP(A1993,Lookup!A:B,2,0),"")</f>
        <v/>
      </c>
      <c r="C1993" s="92" t="str">
        <f>IFERROR(VLOOKUP(A1993,Lookup!A:C,3,0),"")</f>
        <v/>
      </c>
      <c r="D1993" s="54"/>
      <c r="E1993" s="54"/>
      <c r="F1993" s="54"/>
      <c r="G1993" s="72"/>
      <c r="H1993" s="54"/>
      <c r="I1993" s="54"/>
      <c r="J1993" s="106">
        <f>VLOOKUP(A1993&amp;G1993,Lookup!J:N,5,0)</f>
        <v>0</v>
      </c>
      <c r="K1993" s="115"/>
      <c r="L1993" s="54"/>
      <c r="M1993" s="54"/>
      <c r="N1993" s="54"/>
      <c r="O1993" s="112">
        <v>82.7673611111111</v>
      </c>
      <c r="P1993" s="110" t="str">
        <f t="shared" si="119"/>
        <v/>
      </c>
      <c r="Q1993" s="54"/>
      <c r="R1993" s="58"/>
      <c r="S1993" s="87" t="str">
        <f t="shared" si="121"/>
        <v/>
      </c>
      <c r="T1993" s="54"/>
      <c r="U1993" s="54"/>
      <c r="V1993" s="54"/>
      <c r="W1993" s="54"/>
      <c r="X1993" s="69" t="str">
        <f t="shared" si="120"/>
        <v>D</v>
      </c>
    </row>
    <row r="1994" spans="1:24" s="66" customFormat="1" x14ac:dyDescent="0.25">
      <c r="A1994" s="51"/>
      <c r="B1994" s="91" t="str">
        <f>IFERROR(VLOOKUP(A1994,Lookup!A:B,2,0),"")</f>
        <v/>
      </c>
      <c r="C1994" s="92" t="str">
        <f>IFERROR(VLOOKUP(A1994,Lookup!A:C,3,0),"")</f>
        <v/>
      </c>
      <c r="D1994" s="54"/>
      <c r="E1994" s="54"/>
      <c r="F1994" s="54"/>
      <c r="G1994" s="72"/>
      <c r="H1994" s="54"/>
      <c r="I1994" s="54"/>
      <c r="J1994" s="106">
        <f>VLOOKUP(A1994&amp;G1994,Lookup!J:N,5,0)</f>
        <v>0</v>
      </c>
      <c r="K1994" s="115"/>
      <c r="L1994" s="54"/>
      <c r="M1994" s="54"/>
      <c r="N1994" s="54"/>
      <c r="O1994" s="112">
        <v>82.8090277777778</v>
      </c>
      <c r="P1994" s="110" t="str">
        <f t="shared" si="119"/>
        <v/>
      </c>
      <c r="Q1994" s="54"/>
      <c r="R1994" s="58"/>
      <c r="S1994" s="87" t="str">
        <f t="shared" si="121"/>
        <v/>
      </c>
      <c r="T1994" s="54"/>
      <c r="U1994" s="54"/>
      <c r="V1994" s="54"/>
      <c r="W1994" s="54"/>
      <c r="X1994" s="69" t="str">
        <f t="shared" si="120"/>
        <v>D</v>
      </c>
    </row>
    <row r="1995" spans="1:24" s="66" customFormat="1" x14ac:dyDescent="0.25">
      <c r="A1995" s="51"/>
      <c r="B1995" s="91" t="str">
        <f>IFERROR(VLOOKUP(A1995,Lookup!A:B,2,0),"")</f>
        <v/>
      </c>
      <c r="C1995" s="92" t="str">
        <f>IFERROR(VLOOKUP(A1995,Lookup!A:C,3,0),"")</f>
        <v/>
      </c>
      <c r="D1995" s="54"/>
      <c r="E1995" s="54"/>
      <c r="F1995" s="54"/>
      <c r="G1995" s="72"/>
      <c r="H1995" s="54"/>
      <c r="I1995" s="54"/>
      <c r="J1995" s="106">
        <f>VLOOKUP(A1995&amp;G1995,Lookup!J:N,5,0)</f>
        <v>0</v>
      </c>
      <c r="K1995" s="115"/>
      <c r="L1995" s="54"/>
      <c r="M1995" s="54"/>
      <c r="N1995" s="54"/>
      <c r="O1995" s="112">
        <v>82.8506944444444</v>
      </c>
      <c r="P1995" s="110" t="str">
        <f t="shared" si="119"/>
        <v/>
      </c>
      <c r="Q1995" s="54"/>
      <c r="R1995" s="58"/>
      <c r="S1995" s="87" t="str">
        <f t="shared" si="121"/>
        <v/>
      </c>
      <c r="T1995" s="54"/>
      <c r="U1995" s="54"/>
      <c r="V1995" s="54"/>
      <c r="W1995" s="54"/>
      <c r="X1995" s="69" t="str">
        <f t="shared" si="120"/>
        <v>D</v>
      </c>
    </row>
    <row r="1996" spans="1:24" s="66" customFormat="1" x14ac:dyDescent="0.25">
      <c r="A1996" s="51"/>
      <c r="B1996" s="91" t="str">
        <f>IFERROR(VLOOKUP(A1996,Lookup!A:B,2,0),"")</f>
        <v/>
      </c>
      <c r="C1996" s="92" t="str">
        <f>IFERROR(VLOOKUP(A1996,Lookup!A:C,3,0),"")</f>
        <v/>
      </c>
      <c r="D1996" s="54"/>
      <c r="E1996" s="54"/>
      <c r="F1996" s="54"/>
      <c r="G1996" s="72"/>
      <c r="H1996" s="54"/>
      <c r="I1996" s="54"/>
      <c r="J1996" s="106">
        <f>VLOOKUP(A1996&amp;G1996,Lookup!J:N,5,0)</f>
        <v>0</v>
      </c>
      <c r="K1996" s="115"/>
      <c r="L1996" s="54"/>
      <c r="M1996" s="54"/>
      <c r="N1996" s="54"/>
      <c r="O1996" s="112">
        <v>82.8923611111111</v>
      </c>
      <c r="P1996" s="110" t="str">
        <f t="shared" si="119"/>
        <v/>
      </c>
      <c r="Q1996" s="54"/>
      <c r="R1996" s="58"/>
      <c r="S1996" s="87" t="str">
        <f t="shared" si="121"/>
        <v/>
      </c>
      <c r="T1996" s="54"/>
      <c r="U1996" s="54"/>
      <c r="V1996" s="54"/>
      <c r="W1996" s="54"/>
      <c r="X1996" s="69" t="str">
        <f t="shared" si="120"/>
        <v>D</v>
      </c>
    </row>
    <row r="1997" spans="1:24" s="66" customFormat="1" x14ac:dyDescent="0.25">
      <c r="A1997" s="51"/>
      <c r="B1997" s="91" t="str">
        <f>IFERROR(VLOOKUP(A1997,Lookup!A:B,2,0),"")</f>
        <v/>
      </c>
      <c r="C1997" s="92" t="str">
        <f>IFERROR(VLOOKUP(A1997,Lookup!A:C,3,0),"")</f>
        <v/>
      </c>
      <c r="D1997" s="54"/>
      <c r="E1997" s="54"/>
      <c r="F1997" s="54"/>
      <c r="G1997" s="72"/>
      <c r="H1997" s="54"/>
      <c r="I1997" s="54"/>
      <c r="J1997" s="106">
        <f>VLOOKUP(A1997&amp;G1997,Lookup!J:N,5,0)</f>
        <v>0</v>
      </c>
      <c r="K1997" s="115"/>
      <c r="L1997" s="54"/>
      <c r="M1997" s="54"/>
      <c r="N1997" s="54"/>
      <c r="O1997" s="112">
        <v>82.9340277777778</v>
      </c>
      <c r="P1997" s="110" t="str">
        <f t="shared" si="119"/>
        <v/>
      </c>
      <c r="Q1997" s="54"/>
      <c r="R1997" s="58"/>
      <c r="S1997" s="87" t="str">
        <f t="shared" si="121"/>
        <v/>
      </c>
      <c r="T1997" s="54"/>
      <c r="U1997" s="54"/>
      <c r="V1997" s="54"/>
      <c r="W1997" s="54"/>
      <c r="X1997" s="69" t="str">
        <f t="shared" si="120"/>
        <v>D</v>
      </c>
    </row>
    <row r="1998" spans="1:24" s="66" customFormat="1" x14ac:dyDescent="0.25">
      <c r="A1998" s="51"/>
      <c r="B1998" s="91" t="str">
        <f>IFERROR(VLOOKUP(A1998,Lookup!A:B,2,0),"")</f>
        <v/>
      </c>
      <c r="C1998" s="92" t="str">
        <f>IFERROR(VLOOKUP(A1998,Lookup!A:C,3,0),"")</f>
        <v/>
      </c>
      <c r="D1998" s="54"/>
      <c r="E1998" s="54"/>
      <c r="F1998" s="54"/>
      <c r="G1998" s="72"/>
      <c r="H1998" s="54"/>
      <c r="I1998" s="54"/>
      <c r="J1998" s="106">
        <f>VLOOKUP(A1998&amp;G1998,Lookup!J:N,5,0)</f>
        <v>0</v>
      </c>
      <c r="K1998" s="115"/>
      <c r="L1998" s="54"/>
      <c r="M1998" s="54"/>
      <c r="N1998" s="54"/>
      <c r="O1998" s="112">
        <v>82.9756944444444</v>
      </c>
      <c r="P1998" s="110" t="str">
        <f t="shared" si="119"/>
        <v/>
      </c>
      <c r="Q1998" s="54"/>
      <c r="R1998" s="58"/>
      <c r="S1998" s="87" t="str">
        <f t="shared" si="121"/>
        <v/>
      </c>
      <c r="T1998" s="54"/>
      <c r="U1998" s="54"/>
      <c r="V1998" s="54"/>
      <c r="W1998" s="54"/>
      <c r="X1998" s="69" t="str">
        <f t="shared" si="120"/>
        <v>D</v>
      </c>
    </row>
    <row r="1999" spans="1:24" s="66" customFormat="1" x14ac:dyDescent="0.25">
      <c r="A1999" s="51"/>
      <c r="B1999" s="91" t="str">
        <f>IFERROR(VLOOKUP(A1999,Lookup!A:B,2,0),"")</f>
        <v/>
      </c>
      <c r="C1999" s="92" t="str">
        <f>IFERROR(VLOOKUP(A1999,Lookup!A:C,3,0),"")</f>
        <v/>
      </c>
      <c r="D1999" s="54"/>
      <c r="E1999" s="54"/>
      <c r="F1999" s="54"/>
      <c r="G1999" s="72"/>
      <c r="H1999" s="54"/>
      <c r="I1999" s="54"/>
      <c r="J1999" s="106">
        <f>VLOOKUP(A1999&amp;G1999,Lookup!J:N,5,0)</f>
        <v>0</v>
      </c>
      <c r="K1999" s="115"/>
      <c r="L1999" s="54"/>
      <c r="M1999" s="54"/>
      <c r="N1999" s="54"/>
      <c r="O1999" s="112">
        <v>83.0173611111111</v>
      </c>
      <c r="P1999" s="110" t="str">
        <f t="shared" si="119"/>
        <v/>
      </c>
      <c r="Q1999" s="54"/>
      <c r="R1999" s="58"/>
      <c r="S1999" s="87" t="str">
        <f t="shared" si="121"/>
        <v/>
      </c>
      <c r="T1999" s="54"/>
      <c r="U1999" s="54"/>
      <c r="V1999" s="54"/>
      <c r="W1999" s="54"/>
      <c r="X1999" s="69" t="str">
        <f t="shared" si="120"/>
        <v>D</v>
      </c>
    </row>
    <row r="2000" spans="1:24" s="66" customFormat="1" x14ac:dyDescent="0.25">
      <c r="A2000" s="51"/>
      <c r="B2000" s="91" t="str">
        <f>IFERROR(VLOOKUP(A2000,Lookup!A:B,2,0),"")</f>
        <v/>
      </c>
      <c r="C2000" s="92" t="str">
        <f>IFERROR(VLOOKUP(A2000,Lookup!A:C,3,0),"")</f>
        <v/>
      </c>
      <c r="D2000" s="54"/>
      <c r="E2000" s="54"/>
      <c r="F2000" s="54"/>
      <c r="G2000" s="72"/>
      <c r="H2000" s="54"/>
      <c r="I2000" s="54"/>
      <c r="J2000" s="106">
        <f>VLOOKUP(A2000&amp;G2000,Lookup!J:N,5,0)</f>
        <v>0</v>
      </c>
      <c r="K2000" s="115"/>
      <c r="L2000" s="54"/>
      <c r="M2000" s="54"/>
      <c r="N2000" s="54"/>
      <c r="O2000" s="112">
        <v>83.0590277777778</v>
      </c>
      <c r="P2000" s="110" t="str">
        <f t="shared" si="119"/>
        <v/>
      </c>
      <c r="Q2000" s="54"/>
      <c r="R2000" s="58"/>
      <c r="S2000" s="87" t="str">
        <f t="shared" si="121"/>
        <v/>
      </c>
      <c r="T2000" s="54"/>
      <c r="U2000" s="54"/>
      <c r="V2000" s="54"/>
      <c r="W2000" s="54"/>
      <c r="X2000" s="69" t="str">
        <f t="shared" si="120"/>
        <v>D</v>
      </c>
    </row>
    <row r="2001" spans="1:24" s="66" customFormat="1" x14ac:dyDescent="0.25">
      <c r="A2001" s="51"/>
      <c r="B2001" s="91" t="str">
        <f>IFERROR(VLOOKUP(A2001,Lookup!A:B,2,0),"")</f>
        <v/>
      </c>
      <c r="C2001" s="92" t="str">
        <f>IFERROR(VLOOKUP(A2001,Lookup!A:C,3,0),"")</f>
        <v/>
      </c>
      <c r="D2001" s="54"/>
      <c r="E2001" s="54"/>
      <c r="F2001" s="54"/>
      <c r="G2001" s="72"/>
      <c r="H2001" s="54"/>
      <c r="I2001" s="54"/>
      <c r="J2001" s="106">
        <f>VLOOKUP(A2001&amp;G2001,Lookup!J:N,5,0)</f>
        <v>0</v>
      </c>
      <c r="K2001" s="115"/>
      <c r="L2001" s="54"/>
      <c r="M2001" s="54"/>
      <c r="N2001" s="54"/>
      <c r="O2001" s="112">
        <v>83.1006944444444</v>
      </c>
      <c r="P2001" s="110" t="str">
        <f t="shared" si="119"/>
        <v/>
      </c>
      <c r="Q2001" s="54"/>
      <c r="R2001" s="58"/>
      <c r="S2001" s="87" t="str">
        <f t="shared" si="121"/>
        <v/>
      </c>
      <c r="T2001" s="54"/>
      <c r="U2001" s="54"/>
      <c r="V2001" s="54"/>
      <c r="W2001" s="54"/>
      <c r="X2001" s="69" t="str">
        <f t="shared" si="120"/>
        <v>D</v>
      </c>
    </row>
    <row r="2002" spans="1:24" s="66" customFormat="1" x14ac:dyDescent="0.25">
      <c r="A2002" s="51"/>
      <c r="B2002" s="91" t="str">
        <f>IFERROR(VLOOKUP(A2002,Lookup!A:B,2,0),"")</f>
        <v/>
      </c>
      <c r="C2002" s="92" t="str">
        <f>IFERROR(VLOOKUP(A2002,Lookup!A:C,3,0),"")</f>
        <v/>
      </c>
      <c r="D2002" s="54"/>
      <c r="E2002" s="54"/>
      <c r="F2002" s="54"/>
      <c r="G2002" s="72"/>
      <c r="H2002" s="54"/>
      <c r="I2002" s="54"/>
      <c r="J2002" s="106">
        <f>VLOOKUP(A2002&amp;G2002,Lookup!J:N,5,0)</f>
        <v>0</v>
      </c>
      <c r="K2002" s="115"/>
      <c r="L2002" s="54"/>
      <c r="M2002" s="54"/>
      <c r="N2002" s="54"/>
      <c r="O2002" s="112">
        <v>83.1423611111111</v>
      </c>
      <c r="P2002" s="110" t="str">
        <f t="shared" si="119"/>
        <v/>
      </c>
      <c r="Q2002" s="54"/>
      <c r="R2002" s="58"/>
      <c r="S2002" s="87" t="str">
        <f t="shared" si="121"/>
        <v/>
      </c>
      <c r="T2002" s="54"/>
      <c r="U2002" s="54"/>
      <c r="V2002" s="54"/>
      <c r="W2002" s="54"/>
      <c r="X2002" s="69" t="str">
        <f t="shared" si="120"/>
        <v>D</v>
      </c>
    </row>
    <row r="2003" spans="1:24" s="66" customFormat="1" x14ac:dyDescent="0.25">
      <c r="A2003" s="51"/>
      <c r="B2003" s="91" t="str">
        <f>IFERROR(VLOOKUP(A2003,Lookup!A:B,2,0),"")</f>
        <v/>
      </c>
      <c r="C2003" s="92" t="str">
        <f>IFERROR(VLOOKUP(A2003,Lookup!A:C,3,0),"")</f>
        <v/>
      </c>
      <c r="D2003" s="54"/>
      <c r="E2003" s="54"/>
      <c r="F2003" s="54"/>
      <c r="G2003" s="72"/>
      <c r="H2003" s="54"/>
      <c r="I2003" s="54"/>
      <c r="J2003" s="106">
        <f>VLOOKUP(A2003&amp;G2003,Lookup!J:N,5,0)</f>
        <v>0</v>
      </c>
      <c r="K2003" s="115"/>
      <c r="L2003" s="54"/>
      <c r="M2003" s="54"/>
      <c r="N2003" s="54"/>
      <c r="O2003" s="112">
        <v>83.1840277777778</v>
      </c>
      <c r="P2003" s="110" t="str">
        <f t="shared" si="119"/>
        <v/>
      </c>
      <c r="Q2003" s="54"/>
      <c r="R2003" s="58"/>
      <c r="S2003" s="87" t="str">
        <f t="shared" si="121"/>
        <v/>
      </c>
      <c r="T2003" s="54"/>
      <c r="U2003" s="54"/>
      <c r="V2003" s="54"/>
      <c r="W2003" s="54"/>
      <c r="X2003" s="69" t="str">
        <f t="shared" si="120"/>
        <v>D</v>
      </c>
    </row>
    <row r="2004" spans="1:24" s="66" customFormat="1" x14ac:dyDescent="0.25">
      <c r="A2004" s="51"/>
      <c r="B2004" s="91" t="str">
        <f>IFERROR(VLOOKUP(A2004,Lookup!A:B,2,0),"")</f>
        <v/>
      </c>
      <c r="C2004" s="92" t="str">
        <f>IFERROR(VLOOKUP(A2004,Lookup!A:C,3,0),"")</f>
        <v/>
      </c>
      <c r="D2004" s="54"/>
      <c r="E2004" s="54"/>
      <c r="F2004" s="54"/>
      <c r="G2004" s="72"/>
      <c r="H2004" s="54"/>
      <c r="I2004" s="54"/>
      <c r="J2004" s="106">
        <f>VLOOKUP(A2004&amp;G2004,Lookup!J:N,5,0)</f>
        <v>0</v>
      </c>
      <c r="K2004" s="115"/>
      <c r="L2004" s="54"/>
      <c r="M2004" s="54"/>
      <c r="N2004" s="54"/>
      <c r="O2004" s="112">
        <v>83.2256944444444</v>
      </c>
      <c r="P2004" s="110" t="str">
        <f t="shared" si="119"/>
        <v/>
      </c>
      <c r="Q2004" s="54"/>
      <c r="R2004" s="58"/>
      <c r="S2004" s="87" t="str">
        <f t="shared" si="121"/>
        <v/>
      </c>
      <c r="T2004" s="54"/>
      <c r="U2004" s="54"/>
      <c r="V2004" s="54"/>
      <c r="W2004" s="54"/>
      <c r="X2004" s="69" t="str">
        <f t="shared" si="120"/>
        <v>D</v>
      </c>
    </row>
    <row r="2005" spans="1:24" s="66" customFormat="1" x14ac:dyDescent="0.25">
      <c r="A2005" s="51"/>
      <c r="B2005" s="91" t="str">
        <f>IFERROR(VLOOKUP(A2005,Lookup!A:B,2,0),"")</f>
        <v/>
      </c>
      <c r="C2005" s="92" t="str">
        <f>IFERROR(VLOOKUP(A2005,Lookup!A:C,3,0),"")</f>
        <v/>
      </c>
      <c r="D2005" s="54"/>
      <c r="E2005" s="54"/>
      <c r="F2005" s="54"/>
      <c r="G2005" s="72"/>
      <c r="H2005" s="54"/>
      <c r="I2005" s="54"/>
      <c r="J2005" s="106">
        <f>VLOOKUP(A2005&amp;G2005,Lookup!J:N,5,0)</f>
        <v>0</v>
      </c>
      <c r="K2005" s="115"/>
      <c r="L2005" s="54"/>
      <c r="M2005" s="54"/>
      <c r="N2005" s="54"/>
      <c r="O2005" s="112">
        <v>83.2673611111111</v>
      </c>
      <c r="P2005" s="110" t="str">
        <f t="shared" si="119"/>
        <v/>
      </c>
      <c r="Q2005" s="54"/>
      <c r="R2005" s="58"/>
      <c r="S2005" s="87" t="str">
        <f t="shared" si="121"/>
        <v/>
      </c>
      <c r="T2005" s="54"/>
      <c r="U2005" s="54"/>
      <c r="V2005" s="54"/>
      <c r="W2005" s="54"/>
      <c r="X2005" s="69" t="str">
        <f t="shared" si="120"/>
        <v>D</v>
      </c>
    </row>
    <row r="2006" spans="1:24" s="66" customFormat="1" x14ac:dyDescent="0.25">
      <c r="A2006" s="51"/>
      <c r="B2006" s="91" t="str">
        <f>IFERROR(VLOOKUP(A2006,Lookup!A:B,2,0),"")</f>
        <v/>
      </c>
      <c r="C2006" s="92" t="str">
        <f>IFERROR(VLOOKUP(A2006,Lookup!A:C,3,0),"")</f>
        <v/>
      </c>
      <c r="D2006" s="54"/>
      <c r="E2006" s="54"/>
      <c r="F2006" s="54"/>
      <c r="G2006" s="72"/>
      <c r="H2006" s="54"/>
      <c r="I2006" s="54"/>
      <c r="J2006" s="106">
        <f>VLOOKUP(A2006&amp;G2006,Lookup!J:N,5,0)</f>
        <v>0</v>
      </c>
      <c r="K2006" s="115"/>
      <c r="L2006" s="54"/>
      <c r="M2006" s="54"/>
      <c r="N2006" s="54"/>
      <c r="O2006" s="112">
        <v>83.3090277777778</v>
      </c>
      <c r="P2006" s="110" t="str">
        <f t="shared" si="119"/>
        <v/>
      </c>
      <c r="Q2006" s="54"/>
      <c r="R2006" s="58"/>
      <c r="S2006" s="87" t="str">
        <f t="shared" si="121"/>
        <v/>
      </c>
      <c r="T2006" s="54"/>
      <c r="U2006" s="54"/>
      <c r="V2006" s="54"/>
      <c r="W2006" s="54"/>
      <c r="X2006" s="69" t="str">
        <f t="shared" si="120"/>
        <v>D</v>
      </c>
    </row>
    <row r="2007" spans="1:24" s="66" customFormat="1" x14ac:dyDescent="0.25">
      <c r="A2007" s="51"/>
      <c r="B2007" s="91" t="str">
        <f>IFERROR(VLOOKUP(A2007,Lookup!A:B,2,0),"")</f>
        <v/>
      </c>
      <c r="C2007" s="92" t="str">
        <f>IFERROR(VLOOKUP(A2007,Lookup!A:C,3,0),"")</f>
        <v/>
      </c>
      <c r="D2007" s="54"/>
      <c r="E2007" s="54"/>
      <c r="F2007" s="54"/>
      <c r="G2007" s="72"/>
      <c r="H2007" s="54"/>
      <c r="I2007" s="54"/>
      <c r="J2007" s="106">
        <f>VLOOKUP(A2007&amp;G2007,Lookup!J:N,5,0)</f>
        <v>0</v>
      </c>
      <c r="K2007" s="115"/>
      <c r="L2007" s="54"/>
      <c r="M2007" s="54"/>
      <c r="N2007" s="54"/>
      <c r="O2007" s="112">
        <v>83.3506944444444</v>
      </c>
      <c r="P2007" s="110" t="str">
        <f t="shared" si="119"/>
        <v/>
      </c>
      <c r="Q2007" s="54"/>
      <c r="R2007" s="58"/>
      <c r="S2007" s="87" t="str">
        <f t="shared" si="121"/>
        <v/>
      </c>
      <c r="T2007" s="54"/>
      <c r="U2007" s="54"/>
      <c r="V2007" s="54"/>
      <c r="W2007" s="54"/>
      <c r="X2007" s="69" t="str">
        <f t="shared" si="120"/>
        <v>D</v>
      </c>
    </row>
    <row r="2008" spans="1:24" s="66" customFormat="1" x14ac:dyDescent="0.25">
      <c r="A2008" s="51"/>
      <c r="B2008" s="91" t="str">
        <f>IFERROR(VLOOKUP(A2008,Lookup!A:B,2,0),"")</f>
        <v/>
      </c>
      <c r="C2008" s="92" t="str">
        <f>IFERROR(VLOOKUP(A2008,Lookup!A:C,3,0),"")</f>
        <v/>
      </c>
      <c r="D2008" s="54"/>
      <c r="E2008" s="54"/>
      <c r="F2008" s="54"/>
      <c r="G2008" s="72"/>
      <c r="H2008" s="54"/>
      <c r="I2008" s="54"/>
      <c r="J2008" s="106">
        <f>VLOOKUP(A2008&amp;G2008,Lookup!J:N,5,0)</f>
        <v>0</v>
      </c>
      <c r="K2008" s="115"/>
      <c r="L2008" s="54"/>
      <c r="M2008" s="54"/>
      <c r="N2008" s="54"/>
      <c r="O2008" s="112">
        <v>83.3923611111111</v>
      </c>
      <c r="P2008" s="110" t="str">
        <f t="shared" si="119"/>
        <v/>
      </c>
      <c r="Q2008" s="54"/>
      <c r="R2008" s="58"/>
      <c r="S2008" s="87" t="str">
        <f t="shared" si="121"/>
        <v/>
      </c>
      <c r="T2008" s="54"/>
      <c r="U2008" s="54"/>
      <c r="V2008" s="54"/>
      <c r="W2008" s="54"/>
      <c r="X2008" s="69" t="str">
        <f t="shared" si="120"/>
        <v>D</v>
      </c>
    </row>
    <row r="2009" spans="1:24" s="66" customFormat="1" x14ac:dyDescent="0.25">
      <c r="A2009" s="51"/>
      <c r="B2009" s="91" t="str">
        <f>IFERROR(VLOOKUP(A2009,Lookup!A:B,2,0),"")</f>
        <v/>
      </c>
      <c r="C2009" s="92" t="str">
        <f>IFERROR(VLOOKUP(A2009,Lookup!A:C,3,0),"")</f>
        <v/>
      </c>
      <c r="D2009" s="54"/>
      <c r="E2009" s="54"/>
      <c r="F2009" s="54"/>
      <c r="G2009" s="72"/>
      <c r="H2009" s="54"/>
      <c r="I2009" s="54"/>
      <c r="J2009" s="106">
        <f>VLOOKUP(A2009&amp;G2009,Lookup!J:N,5,0)</f>
        <v>0</v>
      </c>
      <c r="K2009" s="115"/>
      <c r="L2009" s="54"/>
      <c r="M2009" s="54"/>
      <c r="N2009" s="54"/>
      <c r="O2009" s="112">
        <v>83.4340277777778</v>
      </c>
      <c r="P2009" s="110" t="str">
        <f t="shared" si="119"/>
        <v/>
      </c>
      <c r="Q2009" s="54"/>
      <c r="R2009" s="58"/>
      <c r="S2009" s="87" t="str">
        <f t="shared" si="121"/>
        <v/>
      </c>
      <c r="T2009" s="54"/>
      <c r="U2009" s="54"/>
      <c r="V2009" s="54"/>
      <c r="W2009" s="54"/>
      <c r="X2009" s="69" t="str">
        <f t="shared" si="120"/>
        <v>D</v>
      </c>
    </row>
    <row r="2010" spans="1:24" s="66" customFormat="1" x14ac:dyDescent="0.25">
      <c r="A2010" s="51"/>
      <c r="B2010" s="91" t="str">
        <f>IFERROR(VLOOKUP(A2010,Lookup!A:B,2,0),"")</f>
        <v/>
      </c>
      <c r="C2010" s="92" t="str">
        <f>IFERROR(VLOOKUP(A2010,Lookup!A:C,3,0),"")</f>
        <v/>
      </c>
      <c r="D2010" s="54"/>
      <c r="E2010" s="54"/>
      <c r="F2010" s="54"/>
      <c r="G2010" s="72"/>
      <c r="H2010" s="54"/>
      <c r="I2010" s="54"/>
      <c r="J2010" s="106">
        <f>VLOOKUP(A2010&amp;G2010,Lookup!J:N,5,0)</f>
        <v>0</v>
      </c>
      <c r="K2010" s="115"/>
      <c r="L2010" s="54"/>
      <c r="M2010" s="54"/>
      <c r="N2010" s="54"/>
      <c r="O2010" s="112">
        <v>83.4756944444444</v>
      </c>
      <c r="P2010" s="110" t="str">
        <f t="shared" si="119"/>
        <v/>
      </c>
      <c r="Q2010" s="54"/>
      <c r="R2010" s="58"/>
      <c r="S2010" s="87" t="str">
        <f t="shared" si="121"/>
        <v/>
      </c>
      <c r="T2010" s="54"/>
      <c r="U2010" s="54"/>
      <c r="V2010" s="54"/>
      <c r="W2010" s="54"/>
      <c r="X2010" s="69" t="str">
        <f t="shared" si="120"/>
        <v>D</v>
      </c>
    </row>
    <row r="2011" spans="1:24" s="66" customFormat="1" x14ac:dyDescent="0.25">
      <c r="A2011" s="51"/>
      <c r="B2011" s="91" t="str">
        <f>IFERROR(VLOOKUP(A2011,Lookup!A:B,2,0),"")</f>
        <v/>
      </c>
      <c r="C2011" s="92" t="str">
        <f>IFERROR(VLOOKUP(A2011,Lookup!A:C,3,0),"")</f>
        <v/>
      </c>
      <c r="D2011" s="54"/>
      <c r="E2011" s="54"/>
      <c r="F2011" s="54"/>
      <c r="G2011" s="72"/>
      <c r="H2011" s="54"/>
      <c r="I2011" s="54"/>
      <c r="J2011" s="106">
        <f>VLOOKUP(A2011&amp;G2011,Lookup!J:N,5,0)</f>
        <v>0</v>
      </c>
      <c r="K2011" s="115"/>
      <c r="L2011" s="54"/>
      <c r="M2011" s="54"/>
      <c r="N2011" s="54"/>
      <c r="O2011" s="112">
        <v>83.5173611111111</v>
      </c>
      <c r="P2011" s="110" t="str">
        <f t="shared" si="119"/>
        <v/>
      </c>
      <c r="Q2011" s="54"/>
      <c r="R2011" s="58"/>
      <c r="S2011" s="87" t="str">
        <f t="shared" si="121"/>
        <v/>
      </c>
      <c r="T2011" s="54"/>
      <c r="U2011" s="54"/>
      <c r="V2011" s="54"/>
      <c r="W2011" s="54"/>
      <c r="X2011" s="69" t="str">
        <f t="shared" si="120"/>
        <v>D</v>
      </c>
    </row>
    <row r="2012" spans="1:24" s="66" customFormat="1" x14ac:dyDescent="0.25">
      <c r="A2012" s="51"/>
      <c r="B2012" s="91" t="str">
        <f>IFERROR(VLOOKUP(A2012,Lookup!A:B,2,0),"")</f>
        <v/>
      </c>
      <c r="C2012" s="92" t="str">
        <f>IFERROR(VLOOKUP(A2012,Lookup!A:C,3,0),"")</f>
        <v/>
      </c>
      <c r="D2012" s="54"/>
      <c r="E2012" s="54"/>
      <c r="F2012" s="54"/>
      <c r="G2012" s="72"/>
      <c r="H2012" s="54"/>
      <c r="I2012" s="54"/>
      <c r="J2012" s="106">
        <f>VLOOKUP(A2012&amp;G2012,Lookup!J:N,5,0)</f>
        <v>0</v>
      </c>
      <c r="K2012" s="115"/>
      <c r="L2012" s="54"/>
      <c r="M2012" s="54"/>
      <c r="N2012" s="54"/>
      <c r="O2012" s="112">
        <v>83.5590277777778</v>
      </c>
      <c r="P2012" s="110" t="str">
        <f t="shared" si="119"/>
        <v/>
      </c>
      <c r="Q2012" s="54"/>
      <c r="R2012" s="58"/>
      <c r="S2012" s="87" t="str">
        <f t="shared" si="121"/>
        <v/>
      </c>
      <c r="T2012" s="54"/>
      <c r="U2012" s="54"/>
      <c r="V2012" s="54"/>
      <c r="W2012" s="54"/>
      <c r="X2012" s="69" t="str">
        <f t="shared" si="120"/>
        <v>D</v>
      </c>
    </row>
    <row r="2013" spans="1:24" s="66" customFormat="1" x14ac:dyDescent="0.25">
      <c r="A2013" s="51"/>
      <c r="B2013" s="91" t="str">
        <f>IFERROR(VLOOKUP(A2013,Lookup!A:B,2,0),"")</f>
        <v/>
      </c>
      <c r="C2013" s="92" t="str">
        <f>IFERROR(VLOOKUP(A2013,Lookup!A:C,3,0),"")</f>
        <v/>
      </c>
      <c r="D2013" s="54"/>
      <c r="E2013" s="54"/>
      <c r="F2013" s="54"/>
      <c r="G2013" s="72"/>
      <c r="H2013" s="54"/>
      <c r="I2013" s="54"/>
      <c r="J2013" s="106">
        <f>VLOOKUP(A2013&amp;G2013,Lookup!J:N,5,0)</f>
        <v>0</v>
      </c>
      <c r="K2013" s="115"/>
      <c r="L2013" s="54"/>
      <c r="M2013" s="54"/>
      <c r="N2013" s="54"/>
      <c r="O2013" s="112">
        <v>83.6006944444444</v>
      </c>
      <c r="P2013" s="110" t="str">
        <f t="shared" si="119"/>
        <v/>
      </c>
      <c r="Q2013" s="54"/>
      <c r="R2013" s="58"/>
      <c r="S2013" s="87" t="str">
        <f t="shared" si="121"/>
        <v/>
      </c>
      <c r="T2013" s="54"/>
      <c r="U2013" s="54"/>
      <c r="V2013" s="54"/>
      <c r="W2013" s="54"/>
      <c r="X2013" s="69" t="str">
        <f t="shared" si="120"/>
        <v>D</v>
      </c>
    </row>
    <row r="2014" spans="1:24" s="66" customFormat="1" x14ac:dyDescent="0.25">
      <c r="A2014" s="51"/>
      <c r="B2014" s="91" t="str">
        <f>IFERROR(VLOOKUP(A2014,Lookup!A:B,2,0),"")</f>
        <v/>
      </c>
      <c r="C2014" s="92" t="str">
        <f>IFERROR(VLOOKUP(A2014,Lookup!A:C,3,0),"")</f>
        <v/>
      </c>
      <c r="D2014" s="54"/>
      <c r="E2014" s="54"/>
      <c r="F2014" s="54"/>
      <c r="G2014" s="72"/>
      <c r="H2014" s="54"/>
      <c r="I2014" s="54"/>
      <c r="J2014" s="106">
        <f>VLOOKUP(A2014&amp;G2014,Lookup!J:N,5,0)</f>
        <v>0</v>
      </c>
      <c r="K2014" s="115"/>
      <c r="L2014" s="54"/>
      <c r="M2014" s="54"/>
      <c r="N2014" s="54"/>
      <c r="O2014" s="112">
        <v>83.6423611111111</v>
      </c>
      <c r="P2014" s="110" t="str">
        <f t="shared" si="119"/>
        <v/>
      </c>
      <c r="Q2014" s="54"/>
      <c r="R2014" s="58"/>
      <c r="S2014" s="87" t="str">
        <f t="shared" si="121"/>
        <v/>
      </c>
      <c r="T2014" s="54"/>
      <c r="U2014" s="54"/>
      <c r="V2014" s="54"/>
      <c r="W2014" s="54"/>
      <c r="X2014" s="69" t="str">
        <f t="shared" si="120"/>
        <v>D</v>
      </c>
    </row>
    <row r="2015" spans="1:24" s="66" customFormat="1" x14ac:dyDescent="0.25">
      <c r="A2015" s="51"/>
      <c r="B2015" s="91" t="str">
        <f>IFERROR(VLOOKUP(A2015,Lookup!A:B,2,0),"")</f>
        <v/>
      </c>
      <c r="C2015" s="92" t="str">
        <f>IFERROR(VLOOKUP(A2015,Lookup!A:C,3,0),"")</f>
        <v/>
      </c>
      <c r="D2015" s="54"/>
      <c r="E2015" s="54"/>
      <c r="F2015" s="54"/>
      <c r="G2015" s="72"/>
      <c r="H2015" s="54"/>
      <c r="I2015" s="54"/>
      <c r="J2015" s="106">
        <f>VLOOKUP(A2015&amp;G2015,Lookup!J:N,5,0)</f>
        <v>0</v>
      </c>
      <c r="K2015" s="115"/>
      <c r="L2015" s="54"/>
      <c r="M2015" s="54"/>
      <c r="N2015" s="54"/>
      <c r="O2015" s="112">
        <v>83.6840277777778</v>
      </c>
      <c r="P2015" s="110" t="str">
        <f t="shared" si="119"/>
        <v/>
      </c>
      <c r="Q2015" s="54"/>
      <c r="R2015" s="58"/>
      <c r="S2015" s="87" t="str">
        <f t="shared" si="121"/>
        <v/>
      </c>
      <c r="T2015" s="54"/>
      <c r="U2015" s="54"/>
      <c r="V2015" s="54"/>
      <c r="W2015" s="54"/>
      <c r="X2015" s="69" t="str">
        <f t="shared" si="120"/>
        <v>D</v>
      </c>
    </row>
    <row r="2016" spans="1:24" s="66" customFormat="1" x14ac:dyDescent="0.25">
      <c r="A2016" s="51"/>
      <c r="B2016" s="91" t="str">
        <f>IFERROR(VLOOKUP(A2016,Lookup!A:B,2,0),"")</f>
        <v/>
      </c>
      <c r="C2016" s="92" t="str">
        <f>IFERROR(VLOOKUP(A2016,Lookup!A:C,3,0),"")</f>
        <v/>
      </c>
      <c r="D2016" s="54"/>
      <c r="E2016" s="54"/>
      <c r="F2016" s="54"/>
      <c r="G2016" s="72"/>
      <c r="H2016" s="54"/>
      <c r="I2016" s="54"/>
      <c r="J2016" s="106">
        <f>VLOOKUP(A2016&amp;G2016,Lookup!J:N,5,0)</f>
        <v>0</v>
      </c>
      <c r="K2016" s="115"/>
      <c r="L2016" s="54"/>
      <c r="M2016" s="54"/>
      <c r="N2016" s="54"/>
      <c r="O2016" s="112">
        <v>83.7256944444444</v>
      </c>
      <c r="P2016" s="110" t="str">
        <f t="shared" si="119"/>
        <v/>
      </c>
      <c r="Q2016" s="54"/>
      <c r="R2016" s="58"/>
      <c r="S2016" s="87" t="str">
        <f t="shared" si="121"/>
        <v/>
      </c>
      <c r="T2016" s="54"/>
      <c r="U2016" s="54"/>
      <c r="V2016" s="54"/>
      <c r="W2016" s="54"/>
      <c r="X2016" s="69" t="str">
        <f t="shared" si="120"/>
        <v>D</v>
      </c>
    </row>
    <row r="2017" spans="1:24" s="66" customFormat="1" x14ac:dyDescent="0.25">
      <c r="A2017" s="51"/>
      <c r="B2017" s="91" t="str">
        <f>IFERROR(VLOOKUP(A2017,Lookup!A:B,2,0),"")</f>
        <v/>
      </c>
      <c r="C2017" s="92" t="str">
        <f>IFERROR(VLOOKUP(A2017,Lookup!A:C,3,0),"")</f>
        <v/>
      </c>
      <c r="D2017" s="54"/>
      <c r="E2017" s="54"/>
      <c r="F2017" s="54"/>
      <c r="G2017" s="72"/>
      <c r="H2017" s="54"/>
      <c r="I2017" s="54"/>
      <c r="J2017" s="106">
        <f>VLOOKUP(A2017&amp;G2017,Lookup!J:N,5,0)</f>
        <v>0</v>
      </c>
      <c r="K2017" s="115"/>
      <c r="L2017" s="54"/>
      <c r="M2017" s="54"/>
      <c r="N2017" s="54"/>
      <c r="O2017" s="112">
        <v>83.7673611111111</v>
      </c>
      <c r="P2017" s="110" t="str">
        <f t="shared" si="119"/>
        <v/>
      </c>
      <c r="Q2017" s="54"/>
      <c r="R2017" s="58"/>
      <c r="S2017" s="87" t="str">
        <f t="shared" si="121"/>
        <v/>
      </c>
      <c r="T2017" s="54"/>
      <c r="U2017" s="54"/>
      <c r="V2017" s="54"/>
      <c r="W2017" s="54"/>
      <c r="X2017" s="69" t="str">
        <f t="shared" si="120"/>
        <v>D</v>
      </c>
    </row>
    <row r="2018" spans="1:24" s="66" customFormat="1" x14ac:dyDescent="0.25">
      <c r="A2018" s="51"/>
      <c r="B2018" s="91" t="str">
        <f>IFERROR(VLOOKUP(A2018,Lookup!A:B,2,0),"")</f>
        <v/>
      </c>
      <c r="C2018" s="92" t="str">
        <f>IFERROR(VLOOKUP(A2018,Lookup!A:C,3,0),"")</f>
        <v/>
      </c>
      <c r="D2018" s="54"/>
      <c r="E2018" s="54"/>
      <c r="F2018" s="54"/>
      <c r="G2018" s="72"/>
      <c r="H2018" s="54"/>
      <c r="I2018" s="54"/>
      <c r="J2018" s="106">
        <f>VLOOKUP(A2018&amp;G2018,Lookup!J:N,5,0)</f>
        <v>0</v>
      </c>
      <c r="K2018" s="115"/>
      <c r="L2018" s="54"/>
      <c r="M2018" s="54"/>
      <c r="N2018" s="54"/>
      <c r="O2018" s="112">
        <v>83.8090277777778</v>
      </c>
      <c r="P2018" s="110" t="str">
        <f t="shared" si="119"/>
        <v/>
      </c>
      <c r="Q2018" s="54"/>
      <c r="R2018" s="58"/>
      <c r="S2018" s="87" t="str">
        <f t="shared" si="121"/>
        <v/>
      </c>
      <c r="T2018" s="54"/>
      <c r="U2018" s="54"/>
      <c r="V2018" s="54"/>
      <c r="W2018" s="54"/>
      <c r="X2018" s="69" t="str">
        <f t="shared" si="120"/>
        <v>D</v>
      </c>
    </row>
    <row r="2019" spans="1:24" s="66" customFormat="1" x14ac:dyDescent="0.25">
      <c r="A2019" s="51"/>
      <c r="B2019" s="91" t="str">
        <f>IFERROR(VLOOKUP(A2019,Lookup!A:B,2,0),"")</f>
        <v/>
      </c>
      <c r="C2019" s="92" t="str">
        <f>IFERROR(VLOOKUP(A2019,Lookup!A:C,3,0),"")</f>
        <v/>
      </c>
      <c r="D2019" s="54"/>
      <c r="E2019" s="54"/>
      <c r="F2019" s="54"/>
      <c r="G2019" s="72"/>
      <c r="H2019" s="54"/>
      <c r="I2019" s="54"/>
      <c r="J2019" s="106">
        <f>VLOOKUP(A2019&amp;G2019,Lookup!J:N,5,0)</f>
        <v>0</v>
      </c>
      <c r="K2019" s="115"/>
      <c r="L2019" s="54"/>
      <c r="M2019" s="54"/>
      <c r="N2019" s="54"/>
      <c r="O2019" s="112">
        <v>83.8506944444444</v>
      </c>
      <c r="P2019" s="110" t="str">
        <f t="shared" si="119"/>
        <v/>
      </c>
      <c r="Q2019" s="54"/>
      <c r="R2019" s="58"/>
      <c r="S2019" s="87" t="str">
        <f t="shared" si="121"/>
        <v/>
      </c>
      <c r="T2019" s="54"/>
      <c r="U2019" s="54"/>
      <c r="V2019" s="54"/>
      <c r="W2019" s="54"/>
      <c r="X2019" s="69" t="str">
        <f t="shared" si="120"/>
        <v>D</v>
      </c>
    </row>
    <row r="2020" spans="1:24" s="66" customFormat="1" x14ac:dyDescent="0.25">
      <c r="A2020" s="51"/>
      <c r="B2020" s="91" t="str">
        <f>IFERROR(VLOOKUP(A2020,Lookup!A:B,2,0),"")</f>
        <v/>
      </c>
      <c r="C2020" s="92" t="str">
        <f>IFERROR(VLOOKUP(A2020,Lookup!A:C,3,0),"")</f>
        <v/>
      </c>
      <c r="D2020" s="54"/>
      <c r="E2020" s="54"/>
      <c r="F2020" s="54"/>
      <c r="G2020" s="72"/>
      <c r="H2020" s="54"/>
      <c r="I2020" s="54"/>
      <c r="J2020" s="106">
        <f>VLOOKUP(A2020&amp;G2020,Lookup!J:N,5,0)</f>
        <v>0</v>
      </c>
      <c r="K2020" s="115"/>
      <c r="L2020" s="54"/>
      <c r="M2020" s="54"/>
      <c r="N2020" s="54"/>
      <c r="O2020" s="112">
        <v>83.8923611111111</v>
      </c>
      <c r="P2020" s="110" t="str">
        <f t="shared" si="119"/>
        <v/>
      </c>
      <c r="Q2020" s="54"/>
      <c r="R2020" s="58"/>
      <c r="S2020" s="87" t="str">
        <f t="shared" si="121"/>
        <v/>
      </c>
      <c r="T2020" s="54"/>
      <c r="U2020" s="54"/>
      <c r="V2020" s="54"/>
      <c r="W2020" s="54"/>
      <c r="X2020" s="69" t="str">
        <f t="shared" si="120"/>
        <v>D</v>
      </c>
    </row>
    <row r="2021" spans="1:24" s="66" customFormat="1" x14ac:dyDescent="0.25">
      <c r="A2021" s="51"/>
      <c r="B2021" s="91" t="str">
        <f>IFERROR(VLOOKUP(A2021,Lookup!A:B,2,0),"")</f>
        <v/>
      </c>
      <c r="C2021" s="92" t="str">
        <f>IFERROR(VLOOKUP(A2021,Lookup!A:C,3,0),"")</f>
        <v/>
      </c>
      <c r="D2021" s="54"/>
      <c r="E2021" s="54"/>
      <c r="F2021" s="54"/>
      <c r="G2021" s="72"/>
      <c r="H2021" s="54"/>
      <c r="I2021" s="54"/>
      <c r="J2021" s="106">
        <f>VLOOKUP(A2021&amp;G2021,Lookup!J:N,5,0)</f>
        <v>0</v>
      </c>
      <c r="K2021" s="115"/>
      <c r="L2021" s="54"/>
      <c r="M2021" s="54"/>
      <c r="N2021" s="54"/>
      <c r="O2021" s="112">
        <v>83.9340277777778</v>
      </c>
      <c r="P2021" s="110" t="str">
        <f t="shared" si="119"/>
        <v/>
      </c>
      <c r="Q2021" s="54"/>
      <c r="R2021" s="58"/>
      <c r="S2021" s="87" t="str">
        <f t="shared" si="121"/>
        <v/>
      </c>
      <c r="T2021" s="54"/>
      <c r="U2021" s="54"/>
      <c r="V2021" s="54"/>
      <c r="W2021" s="54"/>
      <c r="X2021" s="69" t="str">
        <f t="shared" si="120"/>
        <v>D</v>
      </c>
    </row>
    <row r="2022" spans="1:24" s="66" customFormat="1" x14ac:dyDescent="0.25">
      <c r="A2022" s="51"/>
      <c r="B2022" s="91" t="str">
        <f>IFERROR(VLOOKUP(A2022,Lookup!A:B,2,0),"")</f>
        <v/>
      </c>
      <c r="C2022" s="92" t="str">
        <f>IFERROR(VLOOKUP(A2022,Lookup!A:C,3,0),"")</f>
        <v/>
      </c>
      <c r="D2022" s="54"/>
      <c r="E2022" s="54"/>
      <c r="F2022" s="54"/>
      <c r="G2022" s="72"/>
      <c r="H2022" s="54"/>
      <c r="I2022" s="54"/>
      <c r="J2022" s="106">
        <f>VLOOKUP(A2022&amp;G2022,Lookup!J:N,5,0)</f>
        <v>0</v>
      </c>
      <c r="K2022" s="115"/>
      <c r="L2022" s="54"/>
      <c r="M2022" s="54"/>
      <c r="N2022" s="54"/>
      <c r="O2022" s="112">
        <v>83.9756944444444</v>
      </c>
      <c r="P2022" s="110" t="str">
        <f t="shared" si="119"/>
        <v/>
      </c>
      <c r="Q2022" s="54"/>
      <c r="R2022" s="58"/>
      <c r="S2022" s="87" t="str">
        <f t="shared" si="121"/>
        <v/>
      </c>
      <c r="T2022" s="54"/>
      <c r="U2022" s="54"/>
      <c r="V2022" s="54"/>
      <c r="W2022" s="54"/>
      <c r="X2022" s="69" t="str">
        <f t="shared" si="120"/>
        <v>D</v>
      </c>
    </row>
    <row r="2023" spans="1:24" s="66" customFormat="1" x14ac:dyDescent="0.25">
      <c r="A2023" s="51"/>
      <c r="B2023" s="91" t="str">
        <f>IFERROR(VLOOKUP(A2023,Lookup!A:B,2,0),"")</f>
        <v/>
      </c>
      <c r="C2023" s="92" t="str">
        <f>IFERROR(VLOOKUP(A2023,Lookup!A:C,3,0),"")</f>
        <v/>
      </c>
      <c r="D2023" s="54"/>
      <c r="E2023" s="54"/>
      <c r="F2023" s="54"/>
      <c r="G2023" s="72"/>
      <c r="H2023" s="54"/>
      <c r="I2023" s="54"/>
      <c r="J2023" s="106">
        <f>VLOOKUP(A2023&amp;G2023,Lookup!J:N,5,0)</f>
        <v>0</v>
      </c>
      <c r="K2023" s="115"/>
      <c r="L2023" s="54"/>
      <c r="M2023" s="54"/>
      <c r="N2023" s="54"/>
      <c r="O2023" s="112">
        <v>84.0173611111111</v>
      </c>
      <c r="P2023" s="110" t="str">
        <f t="shared" si="119"/>
        <v/>
      </c>
      <c r="Q2023" s="54"/>
      <c r="R2023" s="58"/>
      <c r="S2023" s="87" t="str">
        <f t="shared" si="121"/>
        <v/>
      </c>
      <c r="T2023" s="54"/>
      <c r="U2023" s="54"/>
      <c r="V2023" s="54"/>
      <c r="W2023" s="54"/>
      <c r="X2023" s="69" t="str">
        <f t="shared" si="120"/>
        <v>D</v>
      </c>
    </row>
    <row r="2024" spans="1:24" s="66" customFormat="1" x14ac:dyDescent="0.25">
      <c r="A2024" s="51"/>
      <c r="B2024" s="91" t="str">
        <f>IFERROR(VLOOKUP(A2024,Lookup!A:B,2,0),"")</f>
        <v/>
      </c>
      <c r="C2024" s="92" t="str">
        <f>IFERROR(VLOOKUP(A2024,Lookup!A:C,3,0),"")</f>
        <v/>
      </c>
      <c r="D2024" s="54"/>
      <c r="E2024" s="54"/>
      <c r="F2024" s="54"/>
      <c r="G2024" s="72"/>
      <c r="H2024" s="54"/>
      <c r="I2024" s="54"/>
      <c r="J2024" s="106">
        <f>VLOOKUP(A2024&amp;G2024,Lookup!J:N,5,0)</f>
        <v>0</v>
      </c>
      <c r="K2024" s="115"/>
      <c r="L2024" s="54"/>
      <c r="M2024" s="54"/>
      <c r="N2024" s="54"/>
      <c r="O2024" s="112">
        <v>84.0590277777778</v>
      </c>
      <c r="P2024" s="110" t="str">
        <f t="shared" si="119"/>
        <v/>
      </c>
      <c r="Q2024" s="54"/>
      <c r="R2024" s="58"/>
      <c r="S2024" s="87" t="str">
        <f t="shared" si="121"/>
        <v/>
      </c>
      <c r="T2024" s="54"/>
      <c r="U2024" s="54"/>
      <c r="V2024" s="54"/>
      <c r="W2024" s="54"/>
      <c r="X2024" s="69" t="str">
        <f t="shared" si="120"/>
        <v>D</v>
      </c>
    </row>
    <row r="2025" spans="1:24" s="66" customFormat="1" x14ac:dyDescent="0.25">
      <c r="A2025" s="51"/>
      <c r="B2025" s="91" t="str">
        <f>IFERROR(VLOOKUP(A2025,Lookup!A:B,2,0),"")</f>
        <v/>
      </c>
      <c r="C2025" s="92" t="str">
        <f>IFERROR(VLOOKUP(A2025,Lookup!A:C,3,0),"")</f>
        <v/>
      </c>
      <c r="D2025" s="54"/>
      <c r="E2025" s="54"/>
      <c r="F2025" s="54"/>
      <c r="G2025" s="72"/>
      <c r="H2025" s="54"/>
      <c r="I2025" s="54"/>
      <c r="J2025" s="106">
        <f>VLOOKUP(A2025&amp;G2025,Lookup!J:N,5,0)</f>
        <v>0</v>
      </c>
      <c r="K2025" s="115"/>
      <c r="L2025" s="54"/>
      <c r="M2025" s="54"/>
      <c r="N2025" s="54"/>
      <c r="O2025" s="112">
        <v>84.1006944444444</v>
      </c>
      <c r="P2025" s="110" t="str">
        <f t="shared" si="119"/>
        <v/>
      </c>
      <c r="Q2025" s="54"/>
      <c r="R2025" s="58"/>
      <c r="S2025" s="87" t="str">
        <f t="shared" si="121"/>
        <v/>
      </c>
      <c r="T2025" s="54"/>
      <c r="U2025" s="54"/>
      <c r="V2025" s="54"/>
      <c r="W2025" s="54"/>
      <c r="X2025" s="69" t="str">
        <f t="shared" si="120"/>
        <v>D</v>
      </c>
    </row>
    <row r="2026" spans="1:24" s="66" customFormat="1" x14ac:dyDescent="0.25">
      <c r="A2026" s="51"/>
      <c r="B2026" s="91" t="str">
        <f>IFERROR(VLOOKUP(A2026,Lookup!A:B,2,0),"")</f>
        <v/>
      </c>
      <c r="C2026" s="92" t="str">
        <f>IFERROR(VLOOKUP(A2026,Lookup!A:C,3,0),"")</f>
        <v/>
      </c>
      <c r="D2026" s="54"/>
      <c r="E2026" s="54"/>
      <c r="F2026" s="54"/>
      <c r="G2026" s="72"/>
      <c r="H2026" s="54"/>
      <c r="I2026" s="54"/>
      <c r="J2026" s="106">
        <f>VLOOKUP(A2026&amp;G2026,Lookup!J:N,5,0)</f>
        <v>0</v>
      </c>
      <c r="K2026" s="115"/>
      <c r="L2026" s="54"/>
      <c r="M2026" s="54"/>
      <c r="N2026" s="54"/>
      <c r="O2026" s="112">
        <v>84.1423611111111</v>
      </c>
      <c r="P2026" s="110" t="str">
        <f t="shared" si="119"/>
        <v/>
      </c>
      <c r="Q2026" s="54"/>
      <c r="R2026" s="58"/>
      <c r="S2026" s="87" t="str">
        <f t="shared" si="121"/>
        <v/>
      </c>
      <c r="T2026" s="54"/>
      <c r="U2026" s="54"/>
      <c r="V2026" s="54"/>
      <c r="W2026" s="54"/>
      <c r="X2026" s="69" t="str">
        <f t="shared" si="120"/>
        <v>D</v>
      </c>
    </row>
    <row r="2027" spans="1:24" s="66" customFormat="1" x14ac:dyDescent="0.25">
      <c r="A2027" s="51"/>
      <c r="B2027" s="91" t="str">
        <f>IFERROR(VLOOKUP(A2027,Lookup!A:B,2,0),"")</f>
        <v/>
      </c>
      <c r="C2027" s="92" t="str">
        <f>IFERROR(VLOOKUP(A2027,Lookup!A:C,3,0),"")</f>
        <v/>
      </c>
      <c r="D2027" s="54"/>
      <c r="E2027" s="54"/>
      <c r="F2027" s="54"/>
      <c r="G2027" s="72"/>
      <c r="H2027" s="54"/>
      <c r="I2027" s="54"/>
      <c r="J2027" s="106">
        <f>VLOOKUP(A2027&amp;G2027,Lookup!J:N,5,0)</f>
        <v>0</v>
      </c>
      <c r="K2027" s="115"/>
      <c r="L2027" s="54"/>
      <c r="M2027" s="54"/>
      <c r="N2027" s="54"/>
      <c r="O2027" s="112">
        <v>84.1840277777778</v>
      </c>
      <c r="P2027" s="110" t="str">
        <f t="shared" si="119"/>
        <v/>
      </c>
      <c r="Q2027" s="54"/>
      <c r="R2027" s="58"/>
      <c r="S2027" s="87" t="str">
        <f t="shared" si="121"/>
        <v/>
      </c>
      <c r="T2027" s="54"/>
      <c r="U2027" s="54"/>
      <c r="V2027" s="54"/>
      <c r="W2027" s="54"/>
      <c r="X2027" s="69" t="str">
        <f t="shared" si="120"/>
        <v>D</v>
      </c>
    </row>
    <row r="2028" spans="1:24" s="66" customFormat="1" x14ac:dyDescent="0.25">
      <c r="A2028" s="51"/>
      <c r="B2028" s="91" t="str">
        <f>IFERROR(VLOOKUP(A2028,Lookup!A:B,2,0),"")</f>
        <v/>
      </c>
      <c r="C2028" s="92" t="str">
        <f>IFERROR(VLOOKUP(A2028,Lookup!A:C,3,0),"")</f>
        <v/>
      </c>
      <c r="D2028" s="54"/>
      <c r="E2028" s="54"/>
      <c r="F2028" s="54"/>
      <c r="G2028" s="72"/>
      <c r="H2028" s="54"/>
      <c r="I2028" s="54"/>
      <c r="J2028" s="106">
        <f>VLOOKUP(A2028&amp;G2028,Lookup!J:N,5,0)</f>
        <v>0</v>
      </c>
      <c r="K2028" s="115"/>
      <c r="L2028" s="54"/>
      <c r="M2028" s="54"/>
      <c r="N2028" s="54"/>
      <c r="O2028" s="112">
        <v>84.2256944444444</v>
      </c>
      <c r="P2028" s="110" t="str">
        <f t="shared" si="119"/>
        <v/>
      </c>
      <c r="Q2028" s="54"/>
      <c r="R2028" s="58"/>
      <c r="S2028" s="87" t="str">
        <f t="shared" si="121"/>
        <v/>
      </c>
      <c r="T2028" s="54"/>
      <c r="U2028" s="54"/>
      <c r="V2028" s="54"/>
      <c r="W2028" s="54"/>
      <c r="X2028" s="69" t="str">
        <f t="shared" si="120"/>
        <v>D</v>
      </c>
    </row>
    <row r="2029" spans="1:24" s="66" customFormat="1" x14ac:dyDescent="0.25">
      <c r="A2029" s="51"/>
      <c r="B2029" s="91" t="str">
        <f>IFERROR(VLOOKUP(A2029,Lookup!A:B,2,0),"")</f>
        <v/>
      </c>
      <c r="C2029" s="92" t="str">
        <f>IFERROR(VLOOKUP(A2029,Lookup!A:C,3,0),"")</f>
        <v/>
      </c>
      <c r="D2029" s="54"/>
      <c r="E2029" s="54"/>
      <c r="F2029" s="54"/>
      <c r="G2029" s="72"/>
      <c r="H2029" s="54"/>
      <c r="I2029" s="54"/>
      <c r="J2029" s="106">
        <f>VLOOKUP(A2029&amp;G2029,Lookup!J:N,5,0)</f>
        <v>0</v>
      </c>
      <c r="K2029" s="115"/>
      <c r="L2029" s="54"/>
      <c r="M2029" s="54"/>
      <c r="N2029" s="54"/>
      <c r="O2029" s="112">
        <v>84.2673611111111</v>
      </c>
      <c r="P2029" s="110" t="str">
        <f t="shared" si="119"/>
        <v/>
      </c>
      <c r="Q2029" s="54"/>
      <c r="R2029" s="58"/>
      <c r="S2029" s="87" t="str">
        <f t="shared" si="121"/>
        <v/>
      </c>
      <c r="T2029" s="54"/>
      <c r="U2029" s="54"/>
      <c r="V2029" s="54"/>
      <c r="W2029" s="54"/>
      <c r="X2029" s="69" t="str">
        <f t="shared" si="120"/>
        <v>D</v>
      </c>
    </row>
    <row r="2030" spans="1:24" s="66" customFormat="1" x14ac:dyDescent="0.25">
      <c r="A2030" s="51"/>
      <c r="B2030" s="91" t="str">
        <f>IFERROR(VLOOKUP(A2030,Lookup!A:B,2,0),"")</f>
        <v/>
      </c>
      <c r="C2030" s="92" t="str">
        <f>IFERROR(VLOOKUP(A2030,Lookup!A:C,3,0),"")</f>
        <v/>
      </c>
      <c r="D2030" s="54"/>
      <c r="E2030" s="54"/>
      <c r="F2030" s="54"/>
      <c r="G2030" s="72"/>
      <c r="H2030" s="54"/>
      <c r="I2030" s="54"/>
      <c r="J2030" s="106">
        <f>VLOOKUP(A2030&amp;G2030,Lookup!J:N,5,0)</f>
        <v>0</v>
      </c>
      <c r="K2030" s="115"/>
      <c r="L2030" s="54"/>
      <c r="M2030" s="54"/>
      <c r="N2030" s="54"/>
      <c r="O2030" s="112">
        <v>84.3090277777778</v>
      </c>
      <c r="P2030" s="110" t="str">
        <f t="shared" si="119"/>
        <v/>
      </c>
      <c r="Q2030" s="54"/>
      <c r="R2030" s="58"/>
      <c r="S2030" s="87" t="str">
        <f t="shared" si="121"/>
        <v/>
      </c>
      <c r="T2030" s="54"/>
      <c r="U2030" s="54"/>
      <c r="V2030" s="54"/>
      <c r="W2030" s="54"/>
      <c r="X2030" s="69" t="str">
        <f t="shared" si="120"/>
        <v>D</v>
      </c>
    </row>
    <row r="2031" spans="1:24" s="66" customFormat="1" x14ac:dyDescent="0.25">
      <c r="A2031" s="51"/>
      <c r="B2031" s="91" t="str">
        <f>IFERROR(VLOOKUP(A2031,Lookup!A:B,2,0),"")</f>
        <v/>
      </c>
      <c r="C2031" s="92" t="str">
        <f>IFERROR(VLOOKUP(A2031,Lookup!A:C,3,0),"")</f>
        <v/>
      </c>
      <c r="D2031" s="54"/>
      <c r="E2031" s="54"/>
      <c r="F2031" s="54"/>
      <c r="G2031" s="72"/>
      <c r="H2031" s="54"/>
      <c r="I2031" s="54"/>
      <c r="J2031" s="106">
        <f>VLOOKUP(A2031&amp;G2031,Lookup!J:N,5,0)</f>
        <v>0</v>
      </c>
      <c r="K2031" s="115"/>
      <c r="L2031" s="54"/>
      <c r="M2031" s="54"/>
      <c r="N2031" s="54"/>
      <c r="O2031" s="112">
        <v>84.3506944444444</v>
      </c>
      <c r="P2031" s="110" t="str">
        <f t="shared" si="119"/>
        <v/>
      </c>
      <c r="Q2031" s="54"/>
      <c r="R2031" s="58"/>
      <c r="S2031" s="87" t="str">
        <f t="shared" si="121"/>
        <v/>
      </c>
      <c r="T2031" s="54"/>
      <c r="U2031" s="54"/>
      <c r="V2031" s="54"/>
      <c r="W2031" s="54"/>
      <c r="X2031" s="69" t="str">
        <f t="shared" si="120"/>
        <v>D</v>
      </c>
    </row>
    <row r="2032" spans="1:24" s="66" customFormat="1" x14ac:dyDescent="0.25">
      <c r="A2032" s="51"/>
      <c r="B2032" s="91" t="str">
        <f>IFERROR(VLOOKUP(A2032,Lookup!A:B,2,0),"")</f>
        <v/>
      </c>
      <c r="C2032" s="92" t="str">
        <f>IFERROR(VLOOKUP(A2032,Lookup!A:C,3,0),"")</f>
        <v/>
      </c>
      <c r="D2032" s="54"/>
      <c r="E2032" s="54"/>
      <c r="F2032" s="54"/>
      <c r="G2032" s="72"/>
      <c r="H2032" s="54"/>
      <c r="I2032" s="54"/>
      <c r="J2032" s="106">
        <f>VLOOKUP(A2032&amp;G2032,Lookup!J:N,5,0)</f>
        <v>0</v>
      </c>
      <c r="K2032" s="115"/>
      <c r="L2032" s="54"/>
      <c r="M2032" s="54"/>
      <c r="N2032" s="54"/>
      <c r="O2032" s="112">
        <v>84.3923611111111</v>
      </c>
      <c r="P2032" s="110" t="str">
        <f t="shared" si="119"/>
        <v/>
      </c>
      <c r="Q2032" s="54"/>
      <c r="R2032" s="58"/>
      <c r="S2032" s="87" t="str">
        <f t="shared" si="121"/>
        <v/>
      </c>
      <c r="T2032" s="54"/>
      <c r="U2032" s="54"/>
      <c r="V2032" s="54"/>
      <c r="W2032" s="54"/>
      <c r="X2032" s="69" t="str">
        <f t="shared" si="120"/>
        <v>D</v>
      </c>
    </row>
    <row r="2033" spans="1:24" s="66" customFormat="1" x14ac:dyDescent="0.25">
      <c r="A2033" s="51"/>
      <c r="B2033" s="91" t="str">
        <f>IFERROR(VLOOKUP(A2033,Lookup!A:B,2,0),"")</f>
        <v/>
      </c>
      <c r="C2033" s="92" t="str">
        <f>IFERROR(VLOOKUP(A2033,Lookup!A:C,3,0),"")</f>
        <v/>
      </c>
      <c r="D2033" s="54"/>
      <c r="E2033" s="54"/>
      <c r="F2033" s="54"/>
      <c r="G2033" s="72"/>
      <c r="H2033" s="54"/>
      <c r="I2033" s="54"/>
      <c r="J2033" s="106">
        <f>VLOOKUP(A2033&amp;G2033,Lookup!J:N,5,0)</f>
        <v>0</v>
      </c>
      <c r="K2033" s="115"/>
      <c r="L2033" s="54"/>
      <c r="M2033" s="54"/>
      <c r="N2033" s="54"/>
      <c r="O2033" s="112">
        <v>84.4340277777778</v>
      </c>
      <c r="P2033" s="110" t="str">
        <f t="shared" si="119"/>
        <v/>
      </c>
      <c r="Q2033" s="54"/>
      <c r="R2033" s="58"/>
      <c r="S2033" s="87" t="str">
        <f t="shared" si="121"/>
        <v/>
      </c>
      <c r="T2033" s="54"/>
      <c r="U2033" s="54"/>
      <c r="V2033" s="54"/>
      <c r="W2033" s="54"/>
      <c r="X2033" s="69" t="str">
        <f t="shared" si="120"/>
        <v>D</v>
      </c>
    </row>
    <row r="2034" spans="1:24" s="66" customFormat="1" x14ac:dyDescent="0.25">
      <c r="A2034" s="51"/>
      <c r="B2034" s="91" t="str">
        <f>IFERROR(VLOOKUP(A2034,Lookup!A:B,2,0),"")</f>
        <v/>
      </c>
      <c r="C2034" s="92" t="str">
        <f>IFERROR(VLOOKUP(A2034,Lookup!A:C,3,0),"")</f>
        <v/>
      </c>
      <c r="D2034" s="54"/>
      <c r="E2034" s="54"/>
      <c r="F2034" s="54"/>
      <c r="G2034" s="72"/>
      <c r="H2034" s="54"/>
      <c r="I2034" s="54"/>
      <c r="J2034" s="106">
        <f>VLOOKUP(A2034&amp;G2034,Lookup!J:N,5,0)</f>
        <v>0</v>
      </c>
      <c r="K2034" s="115"/>
      <c r="L2034" s="54"/>
      <c r="M2034" s="54"/>
      <c r="N2034" s="54"/>
      <c r="O2034" s="112">
        <v>84.4756944444444</v>
      </c>
      <c r="P2034" s="110" t="str">
        <f t="shared" si="119"/>
        <v/>
      </c>
      <c r="Q2034" s="54"/>
      <c r="R2034" s="58"/>
      <c r="S2034" s="87" t="str">
        <f t="shared" si="121"/>
        <v/>
      </c>
      <c r="T2034" s="54"/>
      <c r="U2034" s="54"/>
      <c r="V2034" s="54"/>
      <c r="W2034" s="54"/>
      <c r="X2034" s="69" t="str">
        <f t="shared" si="120"/>
        <v>D</v>
      </c>
    </row>
    <row r="2035" spans="1:24" s="66" customFormat="1" x14ac:dyDescent="0.25">
      <c r="A2035" s="51"/>
      <c r="B2035" s="91" t="str">
        <f>IFERROR(VLOOKUP(A2035,Lookup!A:B,2,0),"")</f>
        <v/>
      </c>
      <c r="C2035" s="92" t="str">
        <f>IFERROR(VLOOKUP(A2035,Lookup!A:C,3,0),"")</f>
        <v/>
      </c>
      <c r="D2035" s="54"/>
      <c r="E2035" s="54"/>
      <c r="F2035" s="54"/>
      <c r="G2035" s="72"/>
      <c r="H2035" s="54"/>
      <c r="I2035" s="54"/>
      <c r="J2035" s="106">
        <f>VLOOKUP(A2035&amp;G2035,Lookup!J:N,5,0)</f>
        <v>0</v>
      </c>
      <c r="K2035" s="115"/>
      <c r="L2035" s="54"/>
      <c r="M2035" s="54"/>
      <c r="N2035" s="54"/>
      <c r="O2035" s="112">
        <v>84.5173611111111</v>
      </c>
      <c r="P2035" s="110" t="str">
        <f t="shared" si="119"/>
        <v/>
      </c>
      <c r="Q2035" s="54"/>
      <c r="R2035" s="58"/>
      <c r="S2035" s="87" t="str">
        <f t="shared" si="121"/>
        <v/>
      </c>
      <c r="T2035" s="54"/>
      <c r="U2035" s="54"/>
      <c r="V2035" s="54"/>
      <c r="W2035" s="54"/>
      <c r="X2035" s="69" t="str">
        <f t="shared" si="120"/>
        <v>D</v>
      </c>
    </row>
    <row r="2036" spans="1:24" s="66" customFormat="1" x14ac:dyDescent="0.25">
      <c r="A2036" s="51"/>
      <c r="B2036" s="91" t="str">
        <f>IFERROR(VLOOKUP(A2036,Lookup!A:B,2,0),"")</f>
        <v/>
      </c>
      <c r="C2036" s="92" t="str">
        <f>IFERROR(VLOOKUP(A2036,Lookup!A:C,3,0),"")</f>
        <v/>
      </c>
      <c r="D2036" s="54"/>
      <c r="E2036" s="54"/>
      <c r="F2036" s="54"/>
      <c r="G2036" s="72"/>
      <c r="H2036" s="54"/>
      <c r="I2036" s="54"/>
      <c r="J2036" s="106">
        <f>VLOOKUP(A2036&amp;G2036,Lookup!J:N,5,0)</f>
        <v>0</v>
      </c>
      <c r="K2036" s="115"/>
      <c r="L2036" s="54"/>
      <c r="M2036" s="54"/>
      <c r="N2036" s="54"/>
      <c r="O2036" s="112">
        <v>84.5590277777778</v>
      </c>
      <c r="P2036" s="110" t="str">
        <f t="shared" si="119"/>
        <v/>
      </c>
      <c r="Q2036" s="54"/>
      <c r="R2036" s="58"/>
      <c r="S2036" s="87" t="str">
        <f t="shared" si="121"/>
        <v/>
      </c>
      <c r="T2036" s="54"/>
      <c r="U2036" s="54"/>
      <c r="V2036" s="54"/>
      <c r="W2036" s="54"/>
      <c r="X2036" s="69" t="str">
        <f t="shared" si="120"/>
        <v>D</v>
      </c>
    </row>
    <row r="2037" spans="1:24" s="66" customFormat="1" x14ac:dyDescent="0.25">
      <c r="A2037" s="51"/>
      <c r="B2037" s="91" t="str">
        <f>IFERROR(VLOOKUP(A2037,Lookup!A:B,2,0),"")</f>
        <v/>
      </c>
      <c r="C2037" s="92" t="str">
        <f>IFERROR(VLOOKUP(A2037,Lookup!A:C,3,0),"")</f>
        <v/>
      </c>
      <c r="D2037" s="54"/>
      <c r="E2037" s="54"/>
      <c r="F2037" s="54"/>
      <c r="G2037" s="72"/>
      <c r="H2037" s="54"/>
      <c r="I2037" s="54"/>
      <c r="J2037" s="106">
        <f>VLOOKUP(A2037&amp;G2037,Lookup!J:N,5,0)</f>
        <v>0</v>
      </c>
      <c r="K2037" s="115"/>
      <c r="L2037" s="54"/>
      <c r="M2037" s="54"/>
      <c r="N2037" s="54"/>
      <c r="O2037" s="112">
        <v>84.6006944444444</v>
      </c>
      <c r="P2037" s="110" t="str">
        <f t="shared" si="119"/>
        <v/>
      </c>
      <c r="Q2037" s="54"/>
      <c r="R2037" s="58"/>
      <c r="S2037" s="87" t="str">
        <f t="shared" si="121"/>
        <v/>
      </c>
      <c r="T2037" s="54"/>
      <c r="U2037" s="54"/>
      <c r="V2037" s="54"/>
      <c r="W2037" s="54"/>
      <c r="X2037" s="69" t="str">
        <f t="shared" si="120"/>
        <v>D</v>
      </c>
    </row>
    <row r="2038" spans="1:24" s="66" customFormat="1" x14ac:dyDescent="0.25">
      <c r="A2038" s="51"/>
      <c r="B2038" s="91" t="str">
        <f>IFERROR(VLOOKUP(A2038,Lookup!A:B,2,0),"")</f>
        <v/>
      </c>
      <c r="C2038" s="92" t="str">
        <f>IFERROR(VLOOKUP(A2038,Lookup!A:C,3,0),"")</f>
        <v/>
      </c>
      <c r="D2038" s="54"/>
      <c r="E2038" s="54"/>
      <c r="F2038" s="54"/>
      <c r="G2038" s="72"/>
      <c r="H2038" s="54"/>
      <c r="I2038" s="54"/>
      <c r="J2038" s="106">
        <f>VLOOKUP(A2038&amp;G2038,Lookup!J:N,5,0)</f>
        <v>0</v>
      </c>
      <c r="K2038" s="115"/>
      <c r="L2038" s="54"/>
      <c r="M2038" s="54"/>
      <c r="N2038" s="54"/>
      <c r="O2038" s="112">
        <v>84.6423611111111</v>
      </c>
      <c r="P2038" s="110" t="str">
        <f t="shared" si="119"/>
        <v/>
      </c>
      <c r="Q2038" s="54"/>
      <c r="R2038" s="58"/>
      <c r="S2038" s="87" t="str">
        <f t="shared" si="121"/>
        <v/>
      </c>
      <c r="T2038" s="54"/>
      <c r="U2038" s="54"/>
      <c r="V2038" s="54"/>
      <c r="W2038" s="54"/>
      <c r="X2038" s="69" t="str">
        <f t="shared" si="120"/>
        <v>D</v>
      </c>
    </row>
    <row r="2039" spans="1:24" s="66" customFormat="1" x14ac:dyDescent="0.25">
      <c r="A2039" s="51"/>
      <c r="B2039" s="91" t="str">
        <f>IFERROR(VLOOKUP(A2039,Lookup!A:B,2,0),"")</f>
        <v/>
      </c>
      <c r="C2039" s="92" t="str">
        <f>IFERROR(VLOOKUP(A2039,Lookup!A:C,3,0),"")</f>
        <v/>
      </c>
      <c r="D2039" s="54"/>
      <c r="E2039" s="54"/>
      <c r="F2039" s="54"/>
      <c r="G2039" s="72"/>
      <c r="H2039" s="54"/>
      <c r="I2039" s="54"/>
      <c r="J2039" s="106">
        <f>VLOOKUP(A2039&amp;G2039,Lookup!J:N,5,0)</f>
        <v>0</v>
      </c>
      <c r="K2039" s="115"/>
      <c r="L2039" s="54"/>
      <c r="M2039" s="54"/>
      <c r="N2039" s="54"/>
      <c r="O2039" s="112">
        <v>84.6840277777778</v>
      </c>
      <c r="P2039" s="110" t="str">
        <f t="shared" si="119"/>
        <v/>
      </c>
      <c r="Q2039" s="54"/>
      <c r="R2039" s="58"/>
      <c r="S2039" s="87" t="str">
        <f t="shared" si="121"/>
        <v/>
      </c>
      <c r="T2039" s="54"/>
      <c r="U2039" s="54"/>
      <c r="V2039" s="54"/>
      <c r="W2039" s="54"/>
      <c r="X2039" s="69" t="str">
        <f t="shared" si="120"/>
        <v>D</v>
      </c>
    </row>
    <row r="2040" spans="1:24" s="66" customFormat="1" x14ac:dyDescent="0.25">
      <c r="A2040" s="51"/>
      <c r="B2040" s="91" t="str">
        <f>IFERROR(VLOOKUP(A2040,Lookup!A:B,2,0),"")</f>
        <v/>
      </c>
      <c r="C2040" s="92" t="str">
        <f>IFERROR(VLOOKUP(A2040,Lookup!A:C,3,0),"")</f>
        <v/>
      </c>
      <c r="D2040" s="54"/>
      <c r="E2040" s="54"/>
      <c r="F2040" s="54"/>
      <c r="G2040" s="72"/>
      <c r="H2040" s="54"/>
      <c r="I2040" s="54"/>
      <c r="J2040" s="106">
        <f>VLOOKUP(A2040&amp;G2040,Lookup!J:N,5,0)</f>
        <v>0</v>
      </c>
      <c r="K2040" s="115"/>
      <c r="L2040" s="54"/>
      <c r="M2040" s="54"/>
      <c r="N2040" s="54"/>
      <c r="O2040" s="112">
        <v>84.7256944444444</v>
      </c>
      <c r="P2040" s="110" t="str">
        <f t="shared" si="119"/>
        <v/>
      </c>
      <c r="Q2040" s="54"/>
      <c r="R2040" s="58"/>
      <c r="S2040" s="87" t="str">
        <f t="shared" si="121"/>
        <v/>
      </c>
      <c r="T2040" s="54"/>
      <c r="U2040" s="54"/>
      <c r="V2040" s="54"/>
      <c r="W2040" s="54"/>
      <c r="X2040" s="69" t="str">
        <f t="shared" si="120"/>
        <v>D</v>
      </c>
    </row>
    <row r="2041" spans="1:24" s="66" customFormat="1" x14ac:dyDescent="0.25">
      <c r="A2041" s="51"/>
      <c r="B2041" s="91" t="str">
        <f>IFERROR(VLOOKUP(A2041,Lookup!A:B,2,0),"")</f>
        <v/>
      </c>
      <c r="C2041" s="92" t="str">
        <f>IFERROR(VLOOKUP(A2041,Lookup!A:C,3,0),"")</f>
        <v/>
      </c>
      <c r="D2041" s="54"/>
      <c r="E2041" s="54"/>
      <c r="F2041" s="54"/>
      <c r="G2041" s="72"/>
      <c r="H2041" s="54"/>
      <c r="I2041" s="54"/>
      <c r="J2041" s="106">
        <f>VLOOKUP(A2041&amp;G2041,Lookup!J:N,5,0)</f>
        <v>0</v>
      </c>
      <c r="K2041" s="115"/>
      <c r="L2041" s="54"/>
      <c r="M2041" s="54"/>
      <c r="N2041" s="54"/>
      <c r="O2041" s="112">
        <v>84.7673611111111</v>
      </c>
      <c r="P2041" s="110" t="str">
        <f t="shared" si="119"/>
        <v/>
      </c>
      <c r="Q2041" s="54"/>
      <c r="R2041" s="58"/>
      <c r="S2041" s="87" t="str">
        <f t="shared" si="121"/>
        <v/>
      </c>
      <c r="T2041" s="54"/>
      <c r="U2041" s="54"/>
      <c r="V2041" s="54"/>
      <c r="W2041" s="54"/>
      <c r="X2041" s="69" t="str">
        <f t="shared" si="120"/>
        <v>D</v>
      </c>
    </row>
    <row r="2042" spans="1:24" s="66" customFormat="1" x14ac:dyDescent="0.25">
      <c r="A2042" s="51"/>
      <c r="B2042" s="91" t="str">
        <f>IFERROR(VLOOKUP(A2042,Lookup!A:B,2,0),"")</f>
        <v/>
      </c>
      <c r="C2042" s="92" t="str">
        <f>IFERROR(VLOOKUP(A2042,Lookup!A:C,3,0),"")</f>
        <v/>
      </c>
      <c r="D2042" s="54"/>
      <c r="E2042" s="54"/>
      <c r="F2042" s="54"/>
      <c r="G2042" s="72"/>
      <c r="H2042" s="54"/>
      <c r="I2042" s="54"/>
      <c r="J2042" s="106">
        <f>VLOOKUP(A2042&amp;G2042,Lookup!J:N,5,0)</f>
        <v>0</v>
      </c>
      <c r="K2042" s="115"/>
      <c r="L2042" s="54"/>
      <c r="M2042" s="54"/>
      <c r="N2042" s="54"/>
      <c r="O2042" s="112">
        <v>84.8090277777778</v>
      </c>
      <c r="P2042" s="110" t="str">
        <f t="shared" si="119"/>
        <v/>
      </c>
      <c r="Q2042" s="54"/>
      <c r="R2042" s="58"/>
      <c r="S2042" s="87" t="str">
        <f t="shared" si="121"/>
        <v/>
      </c>
      <c r="T2042" s="54"/>
      <c r="U2042" s="54"/>
      <c r="V2042" s="54"/>
      <c r="W2042" s="54"/>
      <c r="X2042" s="69" t="str">
        <f t="shared" si="120"/>
        <v>D</v>
      </c>
    </row>
    <row r="2043" spans="1:24" s="66" customFormat="1" x14ac:dyDescent="0.25">
      <c r="A2043" s="51"/>
      <c r="B2043" s="91" t="str">
        <f>IFERROR(VLOOKUP(A2043,Lookup!A:B,2,0),"")</f>
        <v/>
      </c>
      <c r="C2043" s="92" t="str">
        <f>IFERROR(VLOOKUP(A2043,Lookup!A:C,3,0),"")</f>
        <v/>
      </c>
      <c r="D2043" s="54"/>
      <c r="E2043" s="54"/>
      <c r="F2043" s="54"/>
      <c r="G2043" s="72"/>
      <c r="H2043" s="54"/>
      <c r="I2043" s="54"/>
      <c r="J2043" s="106">
        <f>VLOOKUP(A2043&amp;G2043,Lookup!J:N,5,0)</f>
        <v>0</v>
      </c>
      <c r="K2043" s="115"/>
      <c r="L2043" s="54"/>
      <c r="M2043" s="54"/>
      <c r="N2043" s="54"/>
      <c r="O2043" s="112">
        <v>84.8506944444444</v>
      </c>
      <c r="P2043" s="110" t="str">
        <f t="shared" si="119"/>
        <v/>
      </c>
      <c r="Q2043" s="54"/>
      <c r="R2043" s="58"/>
      <c r="S2043" s="87" t="str">
        <f t="shared" si="121"/>
        <v/>
      </c>
      <c r="T2043" s="54"/>
      <c r="U2043" s="54"/>
      <c r="V2043" s="54"/>
      <c r="W2043" s="54"/>
      <c r="X2043" s="69"/>
    </row>
    <row r="2044" spans="1:24" s="66" customFormat="1" x14ac:dyDescent="0.25">
      <c r="A2044" s="51"/>
      <c r="B2044" s="91" t="str">
        <f>IFERROR(VLOOKUP(A2044,Lookup!A:B,2,0),"")</f>
        <v/>
      </c>
      <c r="C2044" s="92" t="str">
        <f>IFERROR(VLOOKUP(A2044,Lookup!A:C,3,0),"")</f>
        <v/>
      </c>
      <c r="D2044" s="54"/>
      <c r="E2044" s="54"/>
      <c r="F2044" s="54"/>
      <c r="G2044" s="72"/>
      <c r="H2044" s="54"/>
      <c r="I2044" s="54"/>
      <c r="J2044" s="106">
        <f>VLOOKUP(A2044&amp;G2044,Lookup!J:N,5,0)</f>
        <v>0</v>
      </c>
      <c r="K2044" s="115"/>
      <c r="L2044" s="54"/>
      <c r="M2044" s="54"/>
      <c r="N2044" s="54"/>
      <c r="O2044" s="112">
        <v>84.8923611111111</v>
      </c>
      <c r="P2044" s="110" t="str">
        <f t="shared" si="119"/>
        <v/>
      </c>
      <c r="Q2044" s="54"/>
      <c r="R2044" s="58"/>
      <c r="S2044" s="87" t="str">
        <f t="shared" si="121"/>
        <v/>
      </c>
      <c r="T2044" s="54"/>
      <c r="U2044" s="54"/>
      <c r="V2044" s="54"/>
      <c r="W2044" s="54"/>
      <c r="X2044" s="69"/>
    </row>
    <row r="2045" spans="1:24" s="66" customFormat="1" x14ac:dyDescent="0.25">
      <c r="A2045" s="51"/>
      <c r="B2045" s="91" t="str">
        <f>IFERROR(VLOOKUP(A2045,Lookup!A:B,2,0),"")</f>
        <v/>
      </c>
      <c r="C2045" s="92" t="str">
        <f>IFERROR(VLOOKUP(A2045,Lookup!A:C,3,0),"")</f>
        <v/>
      </c>
      <c r="D2045" s="54"/>
      <c r="E2045" s="54"/>
      <c r="F2045" s="54"/>
      <c r="G2045" s="72"/>
      <c r="H2045" s="54"/>
      <c r="I2045" s="54"/>
      <c r="J2045" s="106">
        <f>VLOOKUP(A2045&amp;G2045,Lookup!J:N,5,0)</f>
        <v>0</v>
      </c>
      <c r="K2045" s="115"/>
      <c r="L2045" s="54"/>
      <c r="M2045" s="54"/>
      <c r="N2045" s="54"/>
      <c r="O2045" s="112">
        <v>84.9340277777778</v>
      </c>
      <c r="P2045" s="110" t="str">
        <f t="shared" si="119"/>
        <v/>
      </c>
      <c r="Q2045" s="54"/>
      <c r="R2045" s="58"/>
      <c r="S2045" s="87" t="str">
        <f t="shared" si="121"/>
        <v/>
      </c>
      <c r="T2045" s="54"/>
      <c r="U2045" s="54"/>
      <c r="V2045" s="54"/>
      <c r="W2045" s="54"/>
      <c r="X2045" s="69"/>
    </row>
    <row r="2046" spans="1:24" s="66" customFormat="1" x14ac:dyDescent="0.25">
      <c r="A2046" s="51"/>
      <c r="B2046" s="91" t="str">
        <f>IFERROR(VLOOKUP(A2046,Lookup!A:B,2,0),"")</f>
        <v/>
      </c>
      <c r="C2046" s="92" t="str">
        <f>IFERROR(VLOOKUP(A2046,Lookup!A:C,3,0),"")</f>
        <v/>
      </c>
      <c r="D2046" s="54"/>
      <c r="E2046" s="54"/>
      <c r="F2046" s="54"/>
      <c r="G2046" s="72"/>
      <c r="H2046" s="54"/>
      <c r="I2046" s="54"/>
      <c r="J2046" s="106">
        <f>VLOOKUP(A2046&amp;G2046,Lookup!J:N,5,0)</f>
        <v>0</v>
      </c>
      <c r="K2046" s="115"/>
      <c r="L2046" s="54"/>
      <c r="M2046" s="54"/>
      <c r="N2046" s="54"/>
      <c r="O2046" s="112">
        <v>84.9756944444444</v>
      </c>
      <c r="P2046" s="110" t="str">
        <f t="shared" si="119"/>
        <v/>
      </c>
      <c r="Q2046" s="54"/>
      <c r="R2046" s="58"/>
      <c r="S2046" s="87" t="str">
        <f t="shared" si="121"/>
        <v/>
      </c>
      <c r="T2046" s="54"/>
      <c r="U2046" s="54"/>
      <c r="V2046" s="54"/>
      <c r="W2046" s="54"/>
      <c r="X2046" s="69"/>
    </row>
    <row r="2047" spans="1:24" s="66" customFormat="1" x14ac:dyDescent="0.25">
      <c r="A2047" s="51"/>
      <c r="B2047" s="91" t="str">
        <f>IFERROR(VLOOKUP(A2047,Lookup!A:B,2,0),"")</f>
        <v/>
      </c>
      <c r="C2047" s="92" t="str">
        <f>IFERROR(VLOOKUP(A2047,Lookup!A:C,3,0),"")</f>
        <v/>
      </c>
      <c r="D2047" s="54"/>
      <c r="E2047" s="54"/>
      <c r="F2047" s="54"/>
      <c r="G2047" s="72"/>
      <c r="H2047" s="54"/>
      <c r="I2047" s="54"/>
      <c r="J2047" s="106">
        <f>VLOOKUP(A2047&amp;G2047,Lookup!J:N,5,0)</f>
        <v>0</v>
      </c>
      <c r="K2047" s="115"/>
      <c r="L2047" s="54"/>
      <c r="M2047" s="54"/>
      <c r="N2047" s="54"/>
      <c r="O2047" s="112">
        <v>85.0173611111111</v>
      </c>
      <c r="P2047" s="110" t="str">
        <f t="shared" si="119"/>
        <v/>
      </c>
      <c r="Q2047" s="54"/>
      <c r="R2047" s="58"/>
      <c r="S2047" s="87" t="str">
        <f t="shared" si="121"/>
        <v/>
      </c>
      <c r="T2047" s="54"/>
      <c r="U2047" s="54"/>
      <c r="V2047" s="54"/>
      <c r="W2047" s="54"/>
      <c r="X2047" s="69"/>
    </row>
    <row r="2048" spans="1:24" s="66" customFormat="1" x14ac:dyDescent="0.25">
      <c r="A2048" s="51"/>
      <c r="B2048" s="91" t="str">
        <f>IFERROR(VLOOKUP(A2048,Lookup!A:B,2,0),"")</f>
        <v/>
      </c>
      <c r="C2048" s="92" t="str">
        <f>IFERROR(VLOOKUP(A2048,Lookup!A:C,3,0),"")</f>
        <v/>
      </c>
      <c r="D2048" s="54"/>
      <c r="E2048" s="54"/>
      <c r="F2048" s="54"/>
      <c r="G2048" s="72"/>
      <c r="H2048" s="54"/>
      <c r="I2048" s="54"/>
      <c r="J2048" s="106">
        <f>VLOOKUP(A2048&amp;G2048,Lookup!J:N,5,0)</f>
        <v>0</v>
      </c>
      <c r="K2048" s="115"/>
      <c r="L2048" s="54"/>
      <c r="M2048" s="54"/>
      <c r="N2048" s="54"/>
      <c r="O2048" s="112">
        <v>85.0590277777778</v>
      </c>
      <c r="P2048" s="110" t="str">
        <f t="shared" si="119"/>
        <v/>
      </c>
      <c r="Q2048" s="54"/>
      <c r="R2048" s="58"/>
      <c r="S2048" s="87" t="str">
        <f t="shared" si="121"/>
        <v/>
      </c>
      <c r="T2048" s="54"/>
      <c r="U2048" s="54"/>
      <c r="V2048" s="54"/>
      <c r="W2048" s="54"/>
      <c r="X2048" s="69"/>
    </row>
    <row r="2049" spans="1:24" s="66" customFormat="1" x14ac:dyDescent="0.25">
      <c r="A2049" s="51"/>
      <c r="B2049" s="91" t="str">
        <f>IFERROR(VLOOKUP(A2049,Lookup!A:B,2,0),"")</f>
        <v/>
      </c>
      <c r="C2049" s="92" t="str">
        <f>IFERROR(VLOOKUP(A2049,Lookup!A:C,3,0),"")</f>
        <v/>
      </c>
      <c r="D2049" s="54"/>
      <c r="E2049" s="54"/>
      <c r="F2049" s="54"/>
      <c r="G2049" s="72"/>
      <c r="H2049" s="54"/>
      <c r="I2049" s="54"/>
      <c r="J2049" s="106">
        <f>VLOOKUP(A2049&amp;G2049,Lookup!J:N,5,0)</f>
        <v>0</v>
      </c>
      <c r="K2049" s="115"/>
      <c r="L2049" s="54"/>
      <c r="M2049" s="54"/>
      <c r="N2049" s="54"/>
      <c r="O2049" s="112">
        <v>85.1006944444444</v>
      </c>
      <c r="P2049" s="110" t="str">
        <f t="shared" si="119"/>
        <v/>
      </c>
      <c r="Q2049" s="54"/>
      <c r="R2049" s="58"/>
      <c r="S2049" s="87" t="str">
        <f t="shared" si="121"/>
        <v/>
      </c>
      <c r="T2049" s="54"/>
      <c r="U2049" s="54"/>
      <c r="V2049" s="54"/>
      <c r="W2049" s="54"/>
      <c r="X2049" s="69"/>
    </row>
    <row r="2050" spans="1:24" s="66" customFormat="1" x14ac:dyDescent="0.25">
      <c r="A2050" s="51"/>
      <c r="B2050" s="91" t="str">
        <f>IFERROR(VLOOKUP(A2050,Lookup!A:B,2,0),"")</f>
        <v/>
      </c>
      <c r="C2050" s="92" t="str">
        <f>IFERROR(VLOOKUP(A2050,Lookup!A:C,3,0),"")</f>
        <v/>
      </c>
      <c r="D2050" s="54"/>
      <c r="E2050" s="54"/>
      <c r="F2050" s="54"/>
      <c r="G2050" s="72"/>
      <c r="H2050" s="54"/>
      <c r="I2050" s="54"/>
      <c r="J2050" s="106">
        <f>VLOOKUP(A2050&amp;G2050,Lookup!J:N,5,0)</f>
        <v>0</v>
      </c>
      <c r="K2050" s="115"/>
      <c r="L2050" s="54"/>
      <c r="M2050" s="54"/>
      <c r="N2050" s="54"/>
      <c r="O2050" s="112">
        <v>85.1423611111111</v>
      </c>
      <c r="P2050" s="110" t="str">
        <f t="shared" si="119"/>
        <v/>
      </c>
      <c r="Q2050" s="54"/>
      <c r="R2050" s="58"/>
      <c r="S2050" s="87" t="str">
        <f t="shared" si="121"/>
        <v/>
      </c>
      <c r="T2050" s="54"/>
      <c r="U2050" s="54"/>
      <c r="V2050" s="54"/>
      <c r="W2050" s="54"/>
      <c r="X2050" s="69"/>
    </row>
    <row r="2051" spans="1:24" s="66" customFormat="1" x14ac:dyDescent="0.25">
      <c r="A2051" s="51"/>
      <c r="B2051" s="91" t="str">
        <f>IFERROR(VLOOKUP(A2051,Lookup!A:B,2,0),"")</f>
        <v/>
      </c>
      <c r="C2051" s="92" t="str">
        <f>IFERROR(VLOOKUP(A2051,Lookup!A:C,3,0),"")</f>
        <v/>
      </c>
      <c r="D2051" s="54"/>
      <c r="E2051" s="54"/>
      <c r="F2051" s="54"/>
      <c r="G2051" s="72"/>
      <c r="H2051" s="54"/>
      <c r="I2051" s="54"/>
      <c r="J2051" s="106">
        <f>VLOOKUP(A2051&amp;G2051,Lookup!J:N,5,0)</f>
        <v>0</v>
      </c>
      <c r="K2051" s="115"/>
      <c r="L2051" s="54"/>
      <c r="M2051" s="54"/>
      <c r="N2051" s="54"/>
      <c r="O2051" s="112">
        <v>85.1840277777778</v>
      </c>
      <c r="P2051" s="110" t="str">
        <f t="shared" ref="P2051:P2114" si="122">IF(N2051="","",N2051+O2051)</f>
        <v/>
      </c>
      <c r="Q2051" s="54"/>
      <c r="R2051" s="58"/>
      <c r="S2051" s="87" t="str">
        <f t="shared" si="121"/>
        <v/>
      </c>
      <c r="T2051" s="54"/>
      <c r="U2051" s="54"/>
      <c r="V2051" s="54"/>
      <c r="W2051" s="54"/>
      <c r="X2051" s="69"/>
    </row>
    <row r="2052" spans="1:24" s="66" customFormat="1" x14ac:dyDescent="0.25">
      <c r="A2052" s="51"/>
      <c r="B2052" s="91" t="str">
        <f>IFERROR(VLOOKUP(A2052,Lookup!A:B,2,0),"")</f>
        <v/>
      </c>
      <c r="C2052" s="92" t="str">
        <f>IFERROR(VLOOKUP(A2052,Lookup!A:C,3,0),"")</f>
        <v/>
      </c>
      <c r="D2052" s="54"/>
      <c r="E2052" s="54"/>
      <c r="F2052" s="54"/>
      <c r="G2052" s="72"/>
      <c r="H2052" s="54"/>
      <c r="I2052" s="54"/>
      <c r="J2052" s="106">
        <f>VLOOKUP(A2052&amp;G2052,Lookup!J:N,5,0)</f>
        <v>0</v>
      </c>
      <c r="K2052" s="115"/>
      <c r="L2052" s="54"/>
      <c r="M2052" s="54"/>
      <c r="N2052" s="54"/>
      <c r="O2052" s="112">
        <v>85.2256944444444</v>
      </c>
      <c r="P2052" s="110" t="str">
        <f t="shared" si="122"/>
        <v/>
      </c>
      <c r="Q2052" s="54"/>
      <c r="R2052" s="58"/>
      <c r="S2052" s="87" t="str">
        <f t="shared" si="121"/>
        <v/>
      </c>
      <c r="T2052" s="54"/>
      <c r="U2052" s="54"/>
      <c r="V2052" s="54"/>
      <c r="W2052" s="54"/>
      <c r="X2052" s="69"/>
    </row>
    <row r="2053" spans="1:24" s="66" customFormat="1" x14ac:dyDescent="0.25">
      <c r="A2053" s="51"/>
      <c r="B2053" s="91" t="str">
        <f>IFERROR(VLOOKUP(A2053,Lookup!A:B,2,0),"")</f>
        <v/>
      </c>
      <c r="C2053" s="92" t="str">
        <f>IFERROR(VLOOKUP(A2053,Lookup!A:C,3,0),"")</f>
        <v/>
      </c>
      <c r="D2053" s="54"/>
      <c r="E2053" s="54"/>
      <c r="F2053" s="54"/>
      <c r="G2053" s="72"/>
      <c r="H2053" s="54"/>
      <c r="I2053" s="54"/>
      <c r="J2053" s="106">
        <f>VLOOKUP(A2053&amp;G2053,Lookup!J:N,5,0)</f>
        <v>0</v>
      </c>
      <c r="K2053" s="115"/>
      <c r="L2053" s="54"/>
      <c r="M2053" s="54"/>
      <c r="N2053" s="54"/>
      <c r="O2053" s="112">
        <v>85.2673611111111</v>
      </c>
      <c r="P2053" s="110" t="str">
        <f t="shared" si="122"/>
        <v/>
      </c>
      <c r="Q2053" s="54"/>
      <c r="R2053" s="58"/>
      <c r="S2053" s="87" t="str">
        <f t="shared" si="121"/>
        <v/>
      </c>
      <c r="T2053" s="54"/>
      <c r="U2053" s="54"/>
      <c r="V2053" s="54"/>
      <c r="W2053" s="54"/>
      <c r="X2053" s="69"/>
    </row>
    <row r="2054" spans="1:24" s="66" customFormat="1" x14ac:dyDescent="0.25">
      <c r="A2054" s="51"/>
      <c r="B2054" s="91" t="str">
        <f>IFERROR(VLOOKUP(A2054,Lookup!A:B,2,0),"")</f>
        <v/>
      </c>
      <c r="C2054" s="92" t="str">
        <f>IFERROR(VLOOKUP(A2054,Lookup!A:C,3,0),"")</f>
        <v/>
      </c>
      <c r="D2054" s="54"/>
      <c r="E2054" s="54"/>
      <c r="F2054" s="54"/>
      <c r="G2054" s="72"/>
      <c r="H2054" s="54"/>
      <c r="I2054" s="54"/>
      <c r="J2054" s="106">
        <f>VLOOKUP(A2054&amp;G2054,Lookup!J:N,5,0)</f>
        <v>0</v>
      </c>
      <c r="K2054" s="115"/>
      <c r="L2054" s="54"/>
      <c r="M2054" s="54"/>
      <c r="N2054" s="54"/>
      <c r="O2054" s="112">
        <v>85.3090277777778</v>
      </c>
      <c r="P2054" s="110" t="str">
        <f t="shared" si="122"/>
        <v/>
      </c>
      <c r="Q2054" s="54"/>
      <c r="R2054" s="58"/>
      <c r="S2054" s="87" t="str">
        <f t="shared" si="121"/>
        <v/>
      </c>
      <c r="T2054" s="54"/>
      <c r="U2054" s="54"/>
      <c r="V2054" s="54"/>
      <c r="W2054" s="54"/>
      <c r="X2054" s="69"/>
    </row>
    <row r="2055" spans="1:24" s="66" customFormat="1" x14ac:dyDescent="0.25">
      <c r="A2055" s="51"/>
      <c r="B2055" s="91" t="str">
        <f>IFERROR(VLOOKUP(A2055,Lookup!A:B,2,0),"")</f>
        <v/>
      </c>
      <c r="C2055" s="92" t="str">
        <f>IFERROR(VLOOKUP(A2055,Lookup!A:C,3,0),"")</f>
        <v/>
      </c>
      <c r="D2055" s="54"/>
      <c r="E2055" s="54"/>
      <c r="F2055" s="54"/>
      <c r="G2055" s="72"/>
      <c r="H2055" s="54"/>
      <c r="I2055" s="54"/>
      <c r="J2055" s="106">
        <f>VLOOKUP(A2055&amp;G2055,Lookup!J:N,5,0)</f>
        <v>0</v>
      </c>
      <c r="K2055" s="115"/>
      <c r="L2055" s="54"/>
      <c r="M2055" s="54"/>
      <c r="N2055" s="54"/>
      <c r="O2055" s="112">
        <v>85.3506944444444</v>
      </c>
      <c r="P2055" s="110" t="str">
        <f t="shared" si="122"/>
        <v/>
      </c>
      <c r="Q2055" s="54"/>
      <c r="R2055" s="58"/>
      <c r="S2055" s="87" t="str">
        <f t="shared" ref="S2055:S2118" si="123">IF(OR(EXACT(Q2055,""), EXACT(L2055,"")),"",Q2055-L2055)</f>
        <v/>
      </c>
      <c r="T2055" s="54"/>
      <c r="U2055" s="54"/>
      <c r="V2055" s="54"/>
      <c r="W2055" s="54"/>
      <c r="X2055" s="69"/>
    </row>
    <row r="2056" spans="1:24" s="66" customFormat="1" x14ac:dyDescent="0.25">
      <c r="A2056" s="51"/>
      <c r="B2056" s="91" t="str">
        <f>IFERROR(VLOOKUP(A2056,Lookup!A:B,2,0),"")</f>
        <v/>
      </c>
      <c r="C2056" s="92" t="str">
        <f>IFERROR(VLOOKUP(A2056,Lookup!A:C,3,0),"")</f>
        <v/>
      </c>
      <c r="D2056" s="54"/>
      <c r="E2056" s="54"/>
      <c r="F2056" s="54"/>
      <c r="G2056" s="72"/>
      <c r="H2056" s="54"/>
      <c r="I2056" s="54"/>
      <c r="J2056" s="106">
        <f>VLOOKUP(A2056&amp;G2056,Lookup!J:N,5,0)</f>
        <v>0</v>
      </c>
      <c r="K2056" s="115"/>
      <c r="L2056" s="54"/>
      <c r="M2056" s="54"/>
      <c r="N2056" s="54"/>
      <c r="O2056" s="112">
        <v>85.3923611111111</v>
      </c>
      <c r="P2056" s="110" t="str">
        <f t="shared" si="122"/>
        <v/>
      </c>
      <c r="Q2056" s="54"/>
      <c r="R2056" s="58"/>
      <c r="S2056" s="87" t="str">
        <f t="shared" si="123"/>
        <v/>
      </c>
      <c r="T2056" s="54"/>
      <c r="U2056" s="54"/>
      <c r="V2056" s="54"/>
      <c r="W2056" s="54"/>
      <c r="X2056" s="69"/>
    </row>
    <row r="2057" spans="1:24" s="66" customFormat="1" x14ac:dyDescent="0.25">
      <c r="A2057" s="51"/>
      <c r="B2057" s="91" t="str">
        <f>IFERROR(VLOOKUP(A2057,Lookup!A:B,2,0),"")</f>
        <v/>
      </c>
      <c r="C2057" s="92" t="str">
        <f>IFERROR(VLOOKUP(A2057,Lookup!A:C,3,0),"")</f>
        <v/>
      </c>
      <c r="D2057" s="54"/>
      <c r="E2057" s="54"/>
      <c r="F2057" s="54"/>
      <c r="G2057" s="72"/>
      <c r="H2057" s="54"/>
      <c r="I2057" s="54"/>
      <c r="J2057" s="106">
        <f>VLOOKUP(A2057&amp;G2057,Lookup!J:N,5,0)</f>
        <v>0</v>
      </c>
      <c r="K2057" s="115"/>
      <c r="L2057" s="54"/>
      <c r="M2057" s="54"/>
      <c r="N2057" s="54"/>
      <c r="O2057" s="112">
        <v>85.4340277777778</v>
      </c>
      <c r="P2057" s="110" t="str">
        <f t="shared" si="122"/>
        <v/>
      </c>
      <c r="Q2057" s="54"/>
      <c r="R2057" s="58"/>
      <c r="S2057" s="87" t="str">
        <f t="shared" si="123"/>
        <v/>
      </c>
      <c r="T2057" s="54"/>
      <c r="U2057" s="54"/>
      <c r="V2057" s="54"/>
      <c r="W2057" s="54"/>
      <c r="X2057" s="69"/>
    </row>
    <row r="2058" spans="1:24" s="66" customFormat="1" x14ac:dyDescent="0.25">
      <c r="A2058" s="51"/>
      <c r="B2058" s="91" t="str">
        <f>IFERROR(VLOOKUP(A2058,Lookup!A:B,2,0),"")</f>
        <v/>
      </c>
      <c r="C2058" s="92" t="str">
        <f>IFERROR(VLOOKUP(A2058,Lookup!A:C,3,0),"")</f>
        <v/>
      </c>
      <c r="D2058" s="54"/>
      <c r="E2058" s="54"/>
      <c r="F2058" s="54"/>
      <c r="G2058" s="72"/>
      <c r="H2058" s="54"/>
      <c r="I2058" s="54"/>
      <c r="J2058" s="106">
        <f>VLOOKUP(A2058&amp;G2058,Lookup!J:N,5,0)</f>
        <v>0</v>
      </c>
      <c r="K2058" s="115"/>
      <c r="L2058" s="54"/>
      <c r="M2058" s="54"/>
      <c r="N2058" s="54"/>
      <c r="O2058" s="112">
        <v>85.4756944444444</v>
      </c>
      <c r="P2058" s="110" t="str">
        <f t="shared" si="122"/>
        <v/>
      </c>
      <c r="Q2058" s="54"/>
      <c r="R2058" s="58"/>
      <c r="S2058" s="87" t="str">
        <f t="shared" si="123"/>
        <v/>
      </c>
      <c r="T2058" s="54"/>
      <c r="U2058" s="54"/>
      <c r="V2058" s="54"/>
      <c r="W2058" s="54"/>
      <c r="X2058" s="69"/>
    </row>
    <row r="2059" spans="1:24" s="66" customFormat="1" x14ac:dyDescent="0.25">
      <c r="A2059" s="51"/>
      <c r="B2059" s="91" t="str">
        <f>IFERROR(VLOOKUP(A2059,Lookup!A:B,2,0),"")</f>
        <v/>
      </c>
      <c r="C2059" s="92" t="str">
        <f>IFERROR(VLOOKUP(A2059,Lookup!A:C,3,0),"")</f>
        <v/>
      </c>
      <c r="D2059" s="54"/>
      <c r="E2059" s="54"/>
      <c r="F2059" s="54"/>
      <c r="G2059" s="72"/>
      <c r="H2059" s="54"/>
      <c r="I2059" s="54"/>
      <c r="J2059" s="106">
        <f>VLOOKUP(A2059&amp;G2059,Lookup!J:N,5,0)</f>
        <v>0</v>
      </c>
      <c r="K2059" s="115"/>
      <c r="L2059" s="54"/>
      <c r="M2059" s="54"/>
      <c r="N2059" s="54"/>
      <c r="O2059" s="112">
        <v>85.5173611111111</v>
      </c>
      <c r="P2059" s="110" t="str">
        <f t="shared" si="122"/>
        <v/>
      </c>
      <c r="Q2059" s="54"/>
      <c r="R2059" s="58"/>
      <c r="S2059" s="87" t="str">
        <f t="shared" si="123"/>
        <v/>
      </c>
      <c r="T2059" s="54"/>
      <c r="U2059" s="54"/>
      <c r="V2059" s="54"/>
      <c r="W2059" s="54"/>
      <c r="X2059" s="69"/>
    </row>
    <row r="2060" spans="1:24" s="66" customFormat="1" x14ac:dyDescent="0.25">
      <c r="A2060" s="51"/>
      <c r="B2060" s="91" t="str">
        <f>IFERROR(VLOOKUP(A2060,Lookup!A:B,2,0),"")</f>
        <v/>
      </c>
      <c r="C2060" s="92" t="str">
        <f>IFERROR(VLOOKUP(A2060,Lookup!A:C,3,0),"")</f>
        <v/>
      </c>
      <c r="D2060" s="54"/>
      <c r="E2060" s="54"/>
      <c r="F2060" s="54"/>
      <c r="G2060" s="72"/>
      <c r="H2060" s="54"/>
      <c r="I2060" s="54"/>
      <c r="J2060" s="106">
        <f>VLOOKUP(A2060&amp;G2060,Lookup!J:N,5,0)</f>
        <v>0</v>
      </c>
      <c r="K2060" s="115"/>
      <c r="L2060" s="54"/>
      <c r="M2060" s="54"/>
      <c r="N2060" s="54"/>
      <c r="O2060" s="112">
        <v>85.5590277777778</v>
      </c>
      <c r="P2060" s="110" t="str">
        <f t="shared" si="122"/>
        <v/>
      </c>
      <c r="Q2060" s="54"/>
      <c r="R2060" s="58"/>
      <c r="S2060" s="87" t="str">
        <f t="shared" si="123"/>
        <v/>
      </c>
      <c r="T2060" s="54"/>
      <c r="U2060" s="54"/>
      <c r="V2060" s="54"/>
      <c r="W2060" s="54"/>
      <c r="X2060" s="69"/>
    </row>
    <row r="2061" spans="1:24" s="66" customFormat="1" x14ac:dyDescent="0.25">
      <c r="A2061" s="51"/>
      <c r="B2061" s="91" t="str">
        <f>IFERROR(VLOOKUP(A2061,Lookup!A:B,2,0),"")</f>
        <v/>
      </c>
      <c r="C2061" s="92" t="str">
        <f>IFERROR(VLOOKUP(A2061,Lookup!A:C,3,0),"")</f>
        <v/>
      </c>
      <c r="D2061" s="54"/>
      <c r="E2061" s="54"/>
      <c r="F2061" s="54"/>
      <c r="G2061" s="72"/>
      <c r="H2061" s="54"/>
      <c r="I2061" s="54"/>
      <c r="J2061" s="106">
        <f>VLOOKUP(A2061&amp;G2061,Lookup!J:N,5,0)</f>
        <v>0</v>
      </c>
      <c r="K2061" s="115"/>
      <c r="L2061" s="54"/>
      <c r="M2061" s="54"/>
      <c r="N2061" s="54"/>
      <c r="O2061" s="112">
        <v>85.6006944444444</v>
      </c>
      <c r="P2061" s="110" t="str">
        <f t="shared" si="122"/>
        <v/>
      </c>
      <c r="Q2061" s="54"/>
      <c r="R2061" s="58"/>
      <c r="S2061" s="87" t="str">
        <f t="shared" si="123"/>
        <v/>
      </c>
      <c r="T2061" s="54"/>
      <c r="U2061" s="54"/>
      <c r="V2061" s="54"/>
      <c r="W2061" s="54"/>
      <c r="X2061" s="69"/>
    </row>
    <row r="2062" spans="1:24" s="66" customFormat="1" x14ac:dyDescent="0.25">
      <c r="A2062" s="51"/>
      <c r="B2062" s="91" t="str">
        <f>IFERROR(VLOOKUP(A2062,Lookup!A:B,2,0),"")</f>
        <v/>
      </c>
      <c r="C2062" s="92" t="str">
        <f>IFERROR(VLOOKUP(A2062,Lookup!A:C,3,0),"")</f>
        <v/>
      </c>
      <c r="D2062" s="54"/>
      <c r="E2062" s="54"/>
      <c r="F2062" s="54"/>
      <c r="G2062" s="72"/>
      <c r="H2062" s="54"/>
      <c r="I2062" s="54"/>
      <c r="J2062" s="106">
        <f>VLOOKUP(A2062&amp;G2062,Lookup!J:N,5,0)</f>
        <v>0</v>
      </c>
      <c r="K2062" s="115"/>
      <c r="L2062" s="54"/>
      <c r="M2062" s="54"/>
      <c r="N2062" s="54"/>
      <c r="O2062" s="112">
        <v>85.6423611111111</v>
      </c>
      <c r="P2062" s="110" t="str">
        <f t="shared" si="122"/>
        <v/>
      </c>
      <c r="Q2062" s="54"/>
      <c r="R2062" s="58"/>
      <c r="S2062" s="87" t="str">
        <f t="shared" si="123"/>
        <v/>
      </c>
      <c r="T2062" s="54"/>
      <c r="U2062" s="54"/>
      <c r="V2062" s="54"/>
      <c r="W2062" s="54"/>
      <c r="X2062" s="69"/>
    </row>
    <row r="2063" spans="1:24" s="66" customFormat="1" x14ac:dyDescent="0.25">
      <c r="A2063" s="51"/>
      <c r="B2063" s="91" t="str">
        <f>IFERROR(VLOOKUP(A2063,Lookup!A:B,2,0),"")</f>
        <v/>
      </c>
      <c r="C2063" s="92" t="str">
        <f>IFERROR(VLOOKUP(A2063,Lookup!A:C,3,0),"")</f>
        <v/>
      </c>
      <c r="D2063" s="54"/>
      <c r="E2063" s="54"/>
      <c r="F2063" s="54"/>
      <c r="G2063" s="72"/>
      <c r="H2063" s="54"/>
      <c r="I2063" s="54"/>
      <c r="J2063" s="106">
        <f>VLOOKUP(A2063&amp;G2063,Lookup!J:N,5,0)</f>
        <v>0</v>
      </c>
      <c r="K2063" s="115"/>
      <c r="L2063" s="54"/>
      <c r="M2063" s="54"/>
      <c r="N2063" s="54"/>
      <c r="O2063" s="112">
        <v>85.6840277777778</v>
      </c>
      <c r="P2063" s="110" t="str">
        <f t="shared" si="122"/>
        <v/>
      </c>
      <c r="Q2063" s="54"/>
      <c r="R2063" s="58"/>
      <c r="S2063" s="87" t="str">
        <f t="shared" si="123"/>
        <v/>
      </c>
      <c r="T2063" s="54"/>
      <c r="U2063" s="54"/>
      <c r="V2063" s="54"/>
      <c r="W2063" s="54"/>
      <c r="X2063" s="69"/>
    </row>
    <row r="2064" spans="1:24" s="66" customFormat="1" x14ac:dyDescent="0.25">
      <c r="A2064" s="51"/>
      <c r="B2064" s="91" t="str">
        <f>IFERROR(VLOOKUP(A2064,Lookup!A:B,2,0),"")</f>
        <v/>
      </c>
      <c r="C2064" s="92" t="str">
        <f>IFERROR(VLOOKUP(A2064,Lookup!A:C,3,0),"")</f>
        <v/>
      </c>
      <c r="D2064" s="54"/>
      <c r="E2064" s="54"/>
      <c r="F2064" s="54"/>
      <c r="G2064" s="72"/>
      <c r="H2064" s="54"/>
      <c r="I2064" s="54"/>
      <c r="J2064" s="106">
        <f>VLOOKUP(A2064&amp;G2064,Lookup!J:N,5,0)</f>
        <v>0</v>
      </c>
      <c r="K2064" s="115"/>
      <c r="L2064" s="54"/>
      <c r="M2064" s="54"/>
      <c r="N2064" s="54"/>
      <c r="O2064" s="112">
        <v>85.7256944444444</v>
      </c>
      <c r="P2064" s="110" t="str">
        <f t="shared" si="122"/>
        <v/>
      </c>
      <c r="Q2064" s="54"/>
      <c r="R2064" s="58"/>
      <c r="S2064" s="87" t="str">
        <f t="shared" si="123"/>
        <v/>
      </c>
      <c r="T2064" s="54"/>
      <c r="U2064" s="54"/>
      <c r="V2064" s="54"/>
      <c r="W2064" s="54"/>
      <c r="X2064" s="69"/>
    </row>
    <row r="2065" spans="1:24" s="66" customFormat="1" x14ac:dyDescent="0.25">
      <c r="A2065" s="51"/>
      <c r="B2065" s="91" t="str">
        <f>IFERROR(VLOOKUP(A2065,Lookup!A:B,2,0),"")</f>
        <v/>
      </c>
      <c r="C2065" s="92" t="str">
        <f>IFERROR(VLOOKUP(A2065,Lookup!A:C,3,0),"")</f>
        <v/>
      </c>
      <c r="D2065" s="54"/>
      <c r="E2065" s="54"/>
      <c r="F2065" s="54"/>
      <c r="G2065" s="72"/>
      <c r="H2065" s="54"/>
      <c r="I2065" s="54"/>
      <c r="J2065" s="106">
        <f>VLOOKUP(A2065&amp;G2065,Lookup!J:N,5,0)</f>
        <v>0</v>
      </c>
      <c r="K2065" s="115"/>
      <c r="L2065" s="54"/>
      <c r="M2065" s="54"/>
      <c r="N2065" s="54"/>
      <c r="O2065" s="112">
        <v>85.7673611111111</v>
      </c>
      <c r="P2065" s="110" t="str">
        <f t="shared" si="122"/>
        <v/>
      </c>
      <c r="Q2065" s="54"/>
      <c r="R2065" s="58"/>
      <c r="S2065" s="87" t="str">
        <f t="shared" si="123"/>
        <v/>
      </c>
      <c r="T2065" s="54"/>
      <c r="U2065" s="54"/>
      <c r="V2065" s="54"/>
      <c r="W2065" s="54"/>
      <c r="X2065" s="69"/>
    </row>
    <row r="2066" spans="1:24" s="66" customFormat="1" x14ac:dyDescent="0.25">
      <c r="A2066" s="51"/>
      <c r="B2066" s="91" t="str">
        <f>IFERROR(VLOOKUP(A2066,Lookup!A:B,2,0),"")</f>
        <v/>
      </c>
      <c r="C2066" s="92" t="str">
        <f>IFERROR(VLOOKUP(A2066,Lookup!A:C,3,0),"")</f>
        <v/>
      </c>
      <c r="D2066" s="54"/>
      <c r="E2066" s="54"/>
      <c r="F2066" s="54"/>
      <c r="G2066" s="72"/>
      <c r="H2066" s="54"/>
      <c r="I2066" s="54"/>
      <c r="J2066" s="106">
        <f>VLOOKUP(A2066&amp;G2066,Lookup!J:N,5,0)</f>
        <v>0</v>
      </c>
      <c r="K2066" s="115"/>
      <c r="L2066" s="54"/>
      <c r="M2066" s="54"/>
      <c r="N2066" s="54"/>
      <c r="O2066" s="112">
        <v>85.8090277777778</v>
      </c>
      <c r="P2066" s="110" t="str">
        <f t="shared" si="122"/>
        <v/>
      </c>
      <c r="Q2066" s="54"/>
      <c r="R2066" s="58"/>
      <c r="S2066" s="87" t="str">
        <f t="shared" si="123"/>
        <v/>
      </c>
      <c r="T2066" s="54"/>
      <c r="U2066" s="54"/>
      <c r="V2066" s="54"/>
      <c r="W2066" s="54"/>
      <c r="X2066" s="69"/>
    </row>
    <row r="2067" spans="1:24" s="66" customFormat="1" x14ac:dyDescent="0.25">
      <c r="A2067" s="51"/>
      <c r="B2067" s="91" t="str">
        <f>IFERROR(VLOOKUP(A2067,Lookup!A:B,2,0),"")</f>
        <v/>
      </c>
      <c r="C2067" s="92" t="str">
        <f>IFERROR(VLOOKUP(A2067,Lookup!A:C,3,0),"")</f>
        <v/>
      </c>
      <c r="D2067" s="54"/>
      <c r="E2067" s="54"/>
      <c r="F2067" s="54"/>
      <c r="G2067" s="72"/>
      <c r="H2067" s="54"/>
      <c r="I2067" s="54"/>
      <c r="J2067" s="106">
        <f>VLOOKUP(A2067&amp;G2067,Lookup!J:N,5,0)</f>
        <v>0</v>
      </c>
      <c r="K2067" s="115"/>
      <c r="L2067" s="54"/>
      <c r="M2067" s="54"/>
      <c r="N2067" s="54"/>
      <c r="O2067" s="112">
        <v>85.8506944444444</v>
      </c>
      <c r="P2067" s="110" t="str">
        <f t="shared" si="122"/>
        <v/>
      </c>
      <c r="Q2067" s="54"/>
      <c r="R2067" s="58"/>
      <c r="S2067" s="87" t="str">
        <f t="shared" si="123"/>
        <v/>
      </c>
      <c r="T2067" s="54"/>
      <c r="U2067" s="54"/>
      <c r="V2067" s="54"/>
      <c r="W2067" s="54"/>
      <c r="X2067" s="69"/>
    </row>
    <row r="2068" spans="1:24" s="66" customFormat="1" x14ac:dyDescent="0.25">
      <c r="A2068" s="51"/>
      <c r="B2068" s="91" t="str">
        <f>IFERROR(VLOOKUP(A2068,Lookup!A:B,2,0),"")</f>
        <v/>
      </c>
      <c r="C2068" s="92" t="str">
        <f>IFERROR(VLOOKUP(A2068,Lookup!A:C,3,0),"")</f>
        <v/>
      </c>
      <c r="D2068" s="54"/>
      <c r="E2068" s="54"/>
      <c r="F2068" s="54"/>
      <c r="G2068" s="72"/>
      <c r="H2068" s="54"/>
      <c r="I2068" s="54"/>
      <c r="J2068" s="106">
        <f>VLOOKUP(A2068&amp;G2068,Lookup!J:N,5,0)</f>
        <v>0</v>
      </c>
      <c r="K2068" s="115"/>
      <c r="L2068" s="54"/>
      <c r="M2068" s="54"/>
      <c r="N2068" s="54"/>
      <c r="O2068" s="112">
        <v>85.8923611111111</v>
      </c>
      <c r="P2068" s="110" t="str">
        <f t="shared" si="122"/>
        <v/>
      </c>
      <c r="Q2068" s="54"/>
      <c r="R2068" s="58"/>
      <c r="S2068" s="87" t="str">
        <f t="shared" si="123"/>
        <v/>
      </c>
      <c r="T2068" s="54"/>
      <c r="U2068" s="54"/>
      <c r="V2068" s="54"/>
      <c r="W2068" s="54"/>
      <c r="X2068" s="69"/>
    </row>
    <row r="2069" spans="1:24" s="66" customFormat="1" x14ac:dyDescent="0.25">
      <c r="A2069" s="51"/>
      <c r="B2069" s="91" t="str">
        <f>IFERROR(VLOOKUP(A2069,Lookup!A:B,2,0),"")</f>
        <v/>
      </c>
      <c r="C2069" s="92" t="str">
        <f>IFERROR(VLOOKUP(A2069,Lookup!A:C,3,0),"")</f>
        <v/>
      </c>
      <c r="D2069" s="54"/>
      <c r="E2069" s="54"/>
      <c r="F2069" s="54"/>
      <c r="G2069" s="72"/>
      <c r="H2069" s="54"/>
      <c r="I2069" s="54"/>
      <c r="J2069" s="106">
        <f>VLOOKUP(A2069&amp;G2069,Lookup!J:N,5,0)</f>
        <v>0</v>
      </c>
      <c r="K2069" s="115"/>
      <c r="L2069" s="54"/>
      <c r="M2069" s="54"/>
      <c r="N2069" s="54"/>
      <c r="O2069" s="112">
        <v>85.9340277777778</v>
      </c>
      <c r="P2069" s="110" t="str">
        <f t="shared" si="122"/>
        <v/>
      </c>
      <c r="Q2069" s="54"/>
      <c r="R2069" s="58"/>
      <c r="S2069" s="87" t="str">
        <f t="shared" si="123"/>
        <v/>
      </c>
      <c r="T2069" s="54"/>
      <c r="U2069" s="54"/>
      <c r="V2069" s="54"/>
      <c r="W2069" s="54"/>
      <c r="X2069" s="69"/>
    </row>
    <row r="2070" spans="1:24" s="66" customFormat="1" x14ac:dyDescent="0.25">
      <c r="A2070" s="51"/>
      <c r="B2070" s="91" t="str">
        <f>IFERROR(VLOOKUP(A2070,Lookup!A:B,2,0),"")</f>
        <v/>
      </c>
      <c r="C2070" s="92" t="str">
        <f>IFERROR(VLOOKUP(A2070,Lookup!A:C,3,0),"")</f>
        <v/>
      </c>
      <c r="D2070" s="54"/>
      <c r="E2070" s="54"/>
      <c r="F2070" s="54"/>
      <c r="G2070" s="72"/>
      <c r="H2070" s="54"/>
      <c r="I2070" s="54"/>
      <c r="J2070" s="106">
        <f>VLOOKUP(A2070&amp;G2070,Lookup!J:N,5,0)</f>
        <v>0</v>
      </c>
      <c r="K2070" s="115"/>
      <c r="L2070" s="54"/>
      <c r="M2070" s="54"/>
      <c r="N2070" s="54"/>
      <c r="O2070" s="112">
        <v>85.9756944444444</v>
      </c>
      <c r="P2070" s="110" t="str">
        <f t="shared" si="122"/>
        <v/>
      </c>
      <c r="Q2070" s="54"/>
      <c r="R2070" s="58"/>
      <c r="S2070" s="87" t="str">
        <f t="shared" si="123"/>
        <v/>
      </c>
      <c r="T2070" s="54"/>
      <c r="U2070" s="54"/>
      <c r="V2070" s="54"/>
      <c r="W2070" s="54"/>
      <c r="X2070" s="69"/>
    </row>
    <row r="2071" spans="1:24" s="66" customFormat="1" x14ac:dyDescent="0.25">
      <c r="A2071" s="51"/>
      <c r="B2071" s="91" t="str">
        <f>IFERROR(VLOOKUP(A2071,Lookup!A:B,2,0),"")</f>
        <v/>
      </c>
      <c r="C2071" s="92" t="str">
        <f>IFERROR(VLOOKUP(A2071,Lookup!A:C,3,0),"")</f>
        <v/>
      </c>
      <c r="D2071" s="54"/>
      <c r="E2071" s="54"/>
      <c r="F2071" s="54"/>
      <c r="G2071" s="72"/>
      <c r="H2071" s="54"/>
      <c r="I2071" s="54"/>
      <c r="J2071" s="106">
        <f>VLOOKUP(A2071&amp;G2071,Lookup!J:N,5,0)</f>
        <v>0</v>
      </c>
      <c r="K2071" s="115"/>
      <c r="L2071" s="54"/>
      <c r="M2071" s="54"/>
      <c r="N2071" s="54"/>
      <c r="O2071" s="112">
        <v>86.0173611111111</v>
      </c>
      <c r="P2071" s="110" t="str">
        <f t="shared" si="122"/>
        <v/>
      </c>
      <c r="Q2071" s="54"/>
      <c r="R2071" s="58"/>
      <c r="S2071" s="87" t="str">
        <f t="shared" si="123"/>
        <v/>
      </c>
      <c r="T2071" s="54"/>
      <c r="U2071" s="54"/>
      <c r="V2071" s="54"/>
      <c r="W2071" s="54"/>
      <c r="X2071" s="69"/>
    </row>
    <row r="2072" spans="1:24" s="66" customFormat="1" x14ac:dyDescent="0.25">
      <c r="A2072" s="51"/>
      <c r="B2072" s="91" t="str">
        <f>IFERROR(VLOOKUP(A2072,Lookup!A:B,2,0),"")</f>
        <v/>
      </c>
      <c r="C2072" s="92" t="str">
        <f>IFERROR(VLOOKUP(A2072,Lookup!A:C,3,0),"")</f>
        <v/>
      </c>
      <c r="D2072" s="54"/>
      <c r="E2072" s="54"/>
      <c r="F2072" s="54"/>
      <c r="G2072" s="72"/>
      <c r="H2072" s="54"/>
      <c r="I2072" s="54"/>
      <c r="J2072" s="106">
        <f>VLOOKUP(A2072&amp;G2072,Lookup!J:N,5,0)</f>
        <v>0</v>
      </c>
      <c r="K2072" s="115"/>
      <c r="L2072" s="54"/>
      <c r="M2072" s="54"/>
      <c r="N2072" s="54"/>
      <c r="O2072" s="112">
        <v>86.0590277777778</v>
      </c>
      <c r="P2072" s="110" t="str">
        <f t="shared" si="122"/>
        <v/>
      </c>
      <c r="Q2072" s="54"/>
      <c r="R2072" s="58"/>
      <c r="S2072" s="87" t="str">
        <f t="shared" si="123"/>
        <v/>
      </c>
      <c r="T2072" s="54"/>
      <c r="U2072" s="54"/>
      <c r="V2072" s="54"/>
      <c r="W2072" s="54"/>
      <c r="X2072" s="69"/>
    </row>
    <row r="2073" spans="1:24" s="66" customFormat="1" x14ac:dyDescent="0.25">
      <c r="A2073" s="51"/>
      <c r="B2073" s="91" t="str">
        <f>IFERROR(VLOOKUP(A2073,Lookup!A:B,2,0),"")</f>
        <v/>
      </c>
      <c r="C2073" s="92" t="str">
        <f>IFERROR(VLOOKUP(A2073,Lookup!A:C,3,0),"")</f>
        <v/>
      </c>
      <c r="D2073" s="54"/>
      <c r="E2073" s="54"/>
      <c r="F2073" s="54"/>
      <c r="G2073" s="72"/>
      <c r="H2073" s="54"/>
      <c r="I2073" s="54"/>
      <c r="J2073" s="106">
        <f>VLOOKUP(A2073&amp;G2073,Lookup!J:N,5,0)</f>
        <v>0</v>
      </c>
      <c r="K2073" s="115"/>
      <c r="L2073" s="54"/>
      <c r="M2073" s="54"/>
      <c r="N2073" s="54"/>
      <c r="O2073" s="112">
        <v>86.1006944444444</v>
      </c>
      <c r="P2073" s="110" t="str">
        <f t="shared" si="122"/>
        <v/>
      </c>
      <c r="Q2073" s="54"/>
      <c r="R2073" s="58"/>
      <c r="S2073" s="87" t="str">
        <f t="shared" si="123"/>
        <v/>
      </c>
      <c r="T2073" s="54"/>
      <c r="U2073" s="54"/>
      <c r="V2073" s="54"/>
      <c r="W2073" s="54"/>
      <c r="X2073" s="69"/>
    </row>
    <row r="2074" spans="1:24" s="66" customFormat="1" x14ac:dyDescent="0.25">
      <c r="A2074" s="51"/>
      <c r="B2074" s="91" t="str">
        <f>IFERROR(VLOOKUP(A2074,Lookup!A:B,2,0),"")</f>
        <v/>
      </c>
      <c r="C2074" s="92" t="str">
        <f>IFERROR(VLOOKUP(A2074,Lookup!A:C,3,0),"")</f>
        <v/>
      </c>
      <c r="D2074" s="54"/>
      <c r="E2074" s="54"/>
      <c r="F2074" s="54"/>
      <c r="G2074" s="72"/>
      <c r="H2074" s="54"/>
      <c r="I2074" s="54"/>
      <c r="J2074" s="106">
        <f>VLOOKUP(A2074&amp;G2074,Lookup!J:N,5,0)</f>
        <v>0</v>
      </c>
      <c r="K2074" s="115"/>
      <c r="L2074" s="54"/>
      <c r="M2074" s="54"/>
      <c r="N2074" s="54"/>
      <c r="O2074" s="112">
        <v>86.1423611111111</v>
      </c>
      <c r="P2074" s="110" t="str">
        <f t="shared" si="122"/>
        <v/>
      </c>
      <c r="Q2074" s="54"/>
      <c r="R2074" s="58"/>
      <c r="S2074" s="87" t="str">
        <f t="shared" si="123"/>
        <v/>
      </c>
      <c r="T2074" s="54"/>
      <c r="U2074" s="54"/>
      <c r="V2074" s="54"/>
      <c r="W2074" s="54"/>
      <c r="X2074" s="69"/>
    </row>
    <row r="2075" spans="1:24" s="66" customFormat="1" x14ac:dyDescent="0.25">
      <c r="A2075" s="51"/>
      <c r="B2075" s="91" t="str">
        <f>IFERROR(VLOOKUP(A2075,Lookup!A:B,2,0),"")</f>
        <v/>
      </c>
      <c r="C2075" s="92" t="str">
        <f>IFERROR(VLOOKUP(A2075,Lookup!A:C,3,0),"")</f>
        <v/>
      </c>
      <c r="D2075" s="54"/>
      <c r="E2075" s="54"/>
      <c r="F2075" s="54"/>
      <c r="G2075" s="72"/>
      <c r="H2075" s="54"/>
      <c r="I2075" s="54"/>
      <c r="J2075" s="106">
        <f>VLOOKUP(A2075&amp;G2075,Lookup!J:N,5,0)</f>
        <v>0</v>
      </c>
      <c r="K2075" s="115"/>
      <c r="L2075" s="54"/>
      <c r="M2075" s="54"/>
      <c r="N2075" s="54"/>
      <c r="O2075" s="112">
        <v>86.1840277777778</v>
      </c>
      <c r="P2075" s="110" t="str">
        <f t="shared" si="122"/>
        <v/>
      </c>
      <c r="Q2075" s="54"/>
      <c r="R2075" s="58"/>
      <c r="S2075" s="87" t="str">
        <f t="shared" si="123"/>
        <v/>
      </c>
      <c r="T2075" s="54"/>
      <c r="U2075" s="54"/>
      <c r="V2075" s="54"/>
      <c r="W2075" s="54"/>
      <c r="X2075" s="69"/>
    </row>
    <row r="2076" spans="1:24" s="66" customFormat="1" x14ac:dyDescent="0.25">
      <c r="A2076" s="51"/>
      <c r="B2076" s="91" t="str">
        <f>IFERROR(VLOOKUP(A2076,Lookup!A:B,2,0),"")</f>
        <v/>
      </c>
      <c r="C2076" s="92" t="str">
        <f>IFERROR(VLOOKUP(A2076,Lookup!A:C,3,0),"")</f>
        <v/>
      </c>
      <c r="D2076" s="54"/>
      <c r="E2076" s="54"/>
      <c r="F2076" s="54"/>
      <c r="G2076" s="72"/>
      <c r="H2076" s="54"/>
      <c r="I2076" s="54"/>
      <c r="J2076" s="106">
        <f>VLOOKUP(A2076&amp;G2076,Lookup!J:N,5,0)</f>
        <v>0</v>
      </c>
      <c r="K2076" s="115"/>
      <c r="L2076" s="54"/>
      <c r="M2076" s="54"/>
      <c r="N2076" s="54"/>
      <c r="O2076" s="112">
        <v>86.2256944444444</v>
      </c>
      <c r="P2076" s="110" t="str">
        <f t="shared" si="122"/>
        <v/>
      </c>
      <c r="Q2076" s="54"/>
      <c r="R2076" s="58"/>
      <c r="S2076" s="87" t="str">
        <f t="shared" si="123"/>
        <v/>
      </c>
      <c r="T2076" s="54"/>
      <c r="U2076" s="54"/>
      <c r="V2076" s="54"/>
      <c r="W2076" s="54"/>
      <c r="X2076" s="69"/>
    </row>
    <row r="2077" spans="1:24" s="66" customFormat="1" x14ac:dyDescent="0.25">
      <c r="A2077" s="51"/>
      <c r="B2077" s="91" t="str">
        <f>IFERROR(VLOOKUP(A2077,Lookup!A:B,2,0),"")</f>
        <v/>
      </c>
      <c r="C2077" s="92" t="str">
        <f>IFERROR(VLOOKUP(A2077,Lookup!A:C,3,0),"")</f>
        <v/>
      </c>
      <c r="D2077" s="54"/>
      <c r="E2077" s="54"/>
      <c r="F2077" s="54"/>
      <c r="G2077" s="72"/>
      <c r="H2077" s="54"/>
      <c r="I2077" s="54"/>
      <c r="J2077" s="106">
        <f>VLOOKUP(A2077&amp;G2077,Lookup!J:N,5,0)</f>
        <v>0</v>
      </c>
      <c r="K2077" s="115"/>
      <c r="L2077" s="54"/>
      <c r="M2077" s="54"/>
      <c r="N2077" s="54"/>
      <c r="O2077" s="112">
        <v>86.2673611111111</v>
      </c>
      <c r="P2077" s="110" t="str">
        <f t="shared" si="122"/>
        <v/>
      </c>
      <c r="Q2077" s="54"/>
      <c r="R2077" s="58"/>
      <c r="S2077" s="87" t="str">
        <f t="shared" si="123"/>
        <v/>
      </c>
      <c r="T2077" s="54"/>
      <c r="U2077" s="54"/>
      <c r="V2077" s="54"/>
      <c r="W2077" s="54"/>
      <c r="X2077" s="69"/>
    </row>
    <row r="2078" spans="1:24" s="66" customFormat="1" x14ac:dyDescent="0.25">
      <c r="A2078" s="51"/>
      <c r="B2078" s="91" t="str">
        <f>IFERROR(VLOOKUP(A2078,Lookup!A:B,2,0),"")</f>
        <v/>
      </c>
      <c r="C2078" s="92" t="str">
        <f>IFERROR(VLOOKUP(A2078,Lookup!A:C,3,0),"")</f>
        <v/>
      </c>
      <c r="D2078" s="54"/>
      <c r="E2078" s="54"/>
      <c r="F2078" s="54"/>
      <c r="G2078" s="72"/>
      <c r="H2078" s="54"/>
      <c r="I2078" s="54"/>
      <c r="J2078" s="106">
        <f>VLOOKUP(A2078&amp;G2078,Lookup!J:N,5,0)</f>
        <v>0</v>
      </c>
      <c r="K2078" s="115"/>
      <c r="L2078" s="54"/>
      <c r="M2078" s="54"/>
      <c r="N2078" s="54"/>
      <c r="O2078" s="112">
        <v>86.3090277777778</v>
      </c>
      <c r="P2078" s="110" t="str">
        <f t="shared" si="122"/>
        <v/>
      </c>
      <c r="Q2078" s="54"/>
      <c r="R2078" s="58"/>
      <c r="S2078" s="87" t="str">
        <f t="shared" si="123"/>
        <v/>
      </c>
      <c r="T2078" s="54"/>
      <c r="U2078" s="54"/>
      <c r="V2078" s="54"/>
      <c r="W2078" s="54"/>
      <c r="X2078" s="69"/>
    </row>
    <row r="2079" spans="1:24" s="66" customFormat="1" x14ac:dyDescent="0.25">
      <c r="A2079" s="51"/>
      <c r="B2079" s="91" t="str">
        <f>IFERROR(VLOOKUP(A2079,Lookup!A:B,2,0),"")</f>
        <v/>
      </c>
      <c r="C2079" s="92" t="str">
        <f>IFERROR(VLOOKUP(A2079,Lookup!A:C,3,0),"")</f>
        <v/>
      </c>
      <c r="D2079" s="54"/>
      <c r="E2079" s="54"/>
      <c r="F2079" s="54"/>
      <c r="G2079" s="72"/>
      <c r="H2079" s="54"/>
      <c r="I2079" s="54"/>
      <c r="J2079" s="106">
        <f>VLOOKUP(A2079&amp;G2079,Lookup!J:N,5,0)</f>
        <v>0</v>
      </c>
      <c r="K2079" s="115"/>
      <c r="L2079" s="54"/>
      <c r="M2079" s="54"/>
      <c r="N2079" s="54"/>
      <c r="O2079" s="112">
        <v>86.3506944444444</v>
      </c>
      <c r="P2079" s="110" t="str">
        <f t="shared" si="122"/>
        <v/>
      </c>
      <c r="Q2079" s="54"/>
      <c r="R2079" s="58"/>
      <c r="S2079" s="87" t="str">
        <f t="shared" si="123"/>
        <v/>
      </c>
      <c r="T2079" s="54"/>
      <c r="U2079" s="54"/>
      <c r="V2079" s="54"/>
      <c r="W2079" s="54"/>
      <c r="X2079" s="69"/>
    </row>
    <row r="2080" spans="1:24" s="66" customFormat="1" x14ac:dyDescent="0.25">
      <c r="A2080" s="51"/>
      <c r="B2080" s="91" t="str">
        <f>IFERROR(VLOOKUP(A2080,Lookup!A:B,2,0),"")</f>
        <v/>
      </c>
      <c r="C2080" s="92" t="str">
        <f>IFERROR(VLOOKUP(A2080,Lookup!A:C,3,0),"")</f>
        <v/>
      </c>
      <c r="D2080" s="54"/>
      <c r="E2080" s="54"/>
      <c r="F2080" s="54"/>
      <c r="G2080" s="72"/>
      <c r="H2080" s="54"/>
      <c r="I2080" s="54"/>
      <c r="J2080" s="106">
        <f>VLOOKUP(A2080&amp;G2080,Lookup!J:N,5,0)</f>
        <v>0</v>
      </c>
      <c r="K2080" s="115"/>
      <c r="L2080" s="54"/>
      <c r="M2080" s="54"/>
      <c r="N2080" s="54"/>
      <c r="O2080" s="112">
        <v>86.3923611111111</v>
      </c>
      <c r="P2080" s="110" t="str">
        <f t="shared" si="122"/>
        <v/>
      </c>
      <c r="Q2080" s="54"/>
      <c r="R2080" s="58"/>
      <c r="S2080" s="87" t="str">
        <f t="shared" si="123"/>
        <v/>
      </c>
      <c r="T2080" s="54"/>
      <c r="U2080" s="54"/>
      <c r="V2080" s="54"/>
      <c r="W2080" s="54"/>
      <c r="X2080" s="69"/>
    </row>
    <row r="2081" spans="1:24" s="66" customFormat="1" x14ac:dyDescent="0.25">
      <c r="A2081" s="51"/>
      <c r="B2081" s="91" t="str">
        <f>IFERROR(VLOOKUP(A2081,Lookup!A:B,2,0),"")</f>
        <v/>
      </c>
      <c r="C2081" s="92" t="str">
        <f>IFERROR(VLOOKUP(A2081,Lookup!A:C,3,0),"")</f>
        <v/>
      </c>
      <c r="D2081" s="54"/>
      <c r="E2081" s="54"/>
      <c r="F2081" s="54"/>
      <c r="G2081" s="72"/>
      <c r="H2081" s="54"/>
      <c r="I2081" s="54"/>
      <c r="J2081" s="106">
        <f>VLOOKUP(A2081&amp;G2081,Lookup!J:N,5,0)</f>
        <v>0</v>
      </c>
      <c r="K2081" s="115"/>
      <c r="L2081" s="54"/>
      <c r="M2081" s="54"/>
      <c r="N2081" s="54"/>
      <c r="O2081" s="112">
        <v>86.4340277777778</v>
      </c>
      <c r="P2081" s="110" t="str">
        <f t="shared" si="122"/>
        <v/>
      </c>
      <c r="Q2081" s="54"/>
      <c r="R2081" s="58"/>
      <c r="S2081" s="87" t="str">
        <f t="shared" si="123"/>
        <v/>
      </c>
      <c r="T2081" s="54"/>
      <c r="U2081" s="54"/>
      <c r="V2081" s="54"/>
      <c r="W2081" s="54"/>
      <c r="X2081" s="69"/>
    </row>
    <row r="2082" spans="1:24" s="66" customFormat="1" x14ac:dyDescent="0.25">
      <c r="A2082" s="51"/>
      <c r="B2082" s="91" t="str">
        <f>IFERROR(VLOOKUP(A2082,Lookup!A:B,2,0),"")</f>
        <v/>
      </c>
      <c r="C2082" s="92" t="str">
        <f>IFERROR(VLOOKUP(A2082,Lookup!A:C,3,0),"")</f>
        <v/>
      </c>
      <c r="D2082" s="54"/>
      <c r="E2082" s="54"/>
      <c r="F2082" s="54"/>
      <c r="G2082" s="72"/>
      <c r="H2082" s="54"/>
      <c r="I2082" s="54"/>
      <c r="J2082" s="106">
        <f>VLOOKUP(A2082&amp;G2082,Lookup!J:N,5,0)</f>
        <v>0</v>
      </c>
      <c r="K2082" s="115"/>
      <c r="L2082" s="54"/>
      <c r="M2082" s="54"/>
      <c r="N2082" s="54"/>
      <c r="O2082" s="112">
        <v>86.4756944444444</v>
      </c>
      <c r="P2082" s="110" t="str">
        <f t="shared" si="122"/>
        <v/>
      </c>
      <c r="Q2082" s="54"/>
      <c r="R2082" s="58"/>
      <c r="S2082" s="87" t="str">
        <f t="shared" si="123"/>
        <v/>
      </c>
      <c r="T2082" s="54"/>
      <c r="U2082" s="54"/>
      <c r="V2082" s="54"/>
      <c r="W2082" s="54"/>
      <c r="X2082" s="69"/>
    </row>
    <row r="2083" spans="1:24" s="66" customFormat="1" x14ac:dyDescent="0.25">
      <c r="A2083" s="51"/>
      <c r="B2083" s="91" t="str">
        <f>IFERROR(VLOOKUP(A2083,Lookup!A:B,2,0),"")</f>
        <v/>
      </c>
      <c r="C2083" s="92" t="str">
        <f>IFERROR(VLOOKUP(A2083,Lookup!A:C,3,0),"")</f>
        <v/>
      </c>
      <c r="D2083" s="54"/>
      <c r="E2083" s="54"/>
      <c r="F2083" s="54"/>
      <c r="G2083" s="72"/>
      <c r="H2083" s="54"/>
      <c r="I2083" s="54"/>
      <c r="J2083" s="106">
        <f>VLOOKUP(A2083&amp;G2083,Lookup!J:N,5,0)</f>
        <v>0</v>
      </c>
      <c r="K2083" s="115"/>
      <c r="L2083" s="54"/>
      <c r="M2083" s="54"/>
      <c r="N2083" s="54"/>
      <c r="O2083" s="112">
        <v>86.5173611111111</v>
      </c>
      <c r="P2083" s="110" t="str">
        <f t="shared" si="122"/>
        <v/>
      </c>
      <c r="Q2083" s="54"/>
      <c r="R2083" s="58"/>
      <c r="S2083" s="87" t="str">
        <f t="shared" si="123"/>
        <v/>
      </c>
      <c r="T2083" s="54"/>
      <c r="U2083" s="54"/>
      <c r="V2083" s="54"/>
      <c r="W2083" s="54"/>
      <c r="X2083" s="69"/>
    </row>
    <row r="2084" spans="1:24" s="66" customFormat="1" x14ac:dyDescent="0.25">
      <c r="A2084" s="51"/>
      <c r="B2084" s="91" t="str">
        <f>IFERROR(VLOOKUP(A2084,Lookup!A:B,2,0),"")</f>
        <v/>
      </c>
      <c r="C2084" s="92" t="str">
        <f>IFERROR(VLOOKUP(A2084,Lookup!A:C,3,0),"")</f>
        <v/>
      </c>
      <c r="D2084" s="54"/>
      <c r="E2084" s="54"/>
      <c r="F2084" s="54"/>
      <c r="G2084" s="72"/>
      <c r="H2084" s="54"/>
      <c r="I2084" s="54"/>
      <c r="J2084" s="106">
        <f>VLOOKUP(A2084&amp;G2084,Lookup!J:N,5,0)</f>
        <v>0</v>
      </c>
      <c r="K2084" s="115"/>
      <c r="L2084" s="54"/>
      <c r="M2084" s="54"/>
      <c r="N2084" s="54"/>
      <c r="O2084" s="112">
        <v>86.5590277777778</v>
      </c>
      <c r="P2084" s="110" t="str">
        <f t="shared" si="122"/>
        <v/>
      </c>
      <c r="Q2084" s="54"/>
      <c r="R2084" s="58"/>
      <c r="S2084" s="87" t="str">
        <f t="shared" si="123"/>
        <v/>
      </c>
      <c r="T2084" s="54"/>
      <c r="U2084" s="54"/>
      <c r="V2084" s="54"/>
      <c r="W2084" s="54"/>
      <c r="X2084" s="69"/>
    </row>
    <row r="2085" spans="1:24" s="66" customFormat="1" x14ac:dyDescent="0.25">
      <c r="A2085" s="51"/>
      <c r="B2085" s="91" t="str">
        <f>IFERROR(VLOOKUP(A2085,Lookup!A:B,2,0),"")</f>
        <v/>
      </c>
      <c r="C2085" s="92" t="str">
        <f>IFERROR(VLOOKUP(A2085,Lookup!A:C,3,0),"")</f>
        <v/>
      </c>
      <c r="D2085" s="54"/>
      <c r="E2085" s="54"/>
      <c r="F2085" s="54"/>
      <c r="G2085" s="72"/>
      <c r="H2085" s="54"/>
      <c r="I2085" s="54"/>
      <c r="J2085" s="106">
        <f>VLOOKUP(A2085&amp;G2085,Lookup!J:N,5,0)</f>
        <v>0</v>
      </c>
      <c r="K2085" s="115"/>
      <c r="L2085" s="54"/>
      <c r="M2085" s="54"/>
      <c r="N2085" s="54"/>
      <c r="O2085" s="112">
        <v>86.6006944444444</v>
      </c>
      <c r="P2085" s="110" t="str">
        <f t="shared" si="122"/>
        <v/>
      </c>
      <c r="Q2085" s="54"/>
      <c r="R2085" s="58"/>
      <c r="S2085" s="87" t="str">
        <f t="shared" si="123"/>
        <v/>
      </c>
      <c r="T2085" s="54"/>
      <c r="U2085" s="54"/>
      <c r="V2085" s="54"/>
      <c r="W2085" s="54"/>
      <c r="X2085" s="69"/>
    </row>
    <row r="2086" spans="1:24" s="66" customFormat="1" x14ac:dyDescent="0.25">
      <c r="A2086" s="51"/>
      <c r="B2086" s="91" t="str">
        <f>IFERROR(VLOOKUP(A2086,Lookup!A:B,2,0),"")</f>
        <v/>
      </c>
      <c r="C2086" s="92" t="str">
        <f>IFERROR(VLOOKUP(A2086,Lookup!A:C,3,0),"")</f>
        <v/>
      </c>
      <c r="D2086" s="54"/>
      <c r="E2086" s="54"/>
      <c r="F2086" s="54"/>
      <c r="G2086" s="72"/>
      <c r="H2086" s="54"/>
      <c r="I2086" s="54"/>
      <c r="J2086" s="106">
        <f>VLOOKUP(A2086&amp;G2086,Lookup!J:N,5,0)</f>
        <v>0</v>
      </c>
      <c r="K2086" s="115"/>
      <c r="L2086" s="54"/>
      <c r="M2086" s="54"/>
      <c r="N2086" s="54"/>
      <c r="O2086" s="112">
        <v>86.6423611111111</v>
      </c>
      <c r="P2086" s="110" t="str">
        <f t="shared" si="122"/>
        <v/>
      </c>
      <c r="Q2086" s="54"/>
      <c r="R2086" s="58"/>
      <c r="S2086" s="87" t="str">
        <f t="shared" si="123"/>
        <v/>
      </c>
      <c r="T2086" s="54"/>
      <c r="U2086" s="54"/>
      <c r="V2086" s="54"/>
      <c r="W2086" s="54"/>
      <c r="X2086" s="69"/>
    </row>
    <row r="2087" spans="1:24" s="66" customFormat="1" x14ac:dyDescent="0.25">
      <c r="A2087" s="51"/>
      <c r="B2087" s="91" t="str">
        <f>IFERROR(VLOOKUP(A2087,Lookup!A:B,2,0),"")</f>
        <v/>
      </c>
      <c r="C2087" s="92" t="str">
        <f>IFERROR(VLOOKUP(A2087,Lookup!A:C,3,0),"")</f>
        <v/>
      </c>
      <c r="D2087" s="54"/>
      <c r="E2087" s="54"/>
      <c r="F2087" s="54"/>
      <c r="G2087" s="72"/>
      <c r="H2087" s="54"/>
      <c r="I2087" s="54"/>
      <c r="J2087" s="106">
        <f>VLOOKUP(A2087&amp;G2087,Lookup!J:N,5,0)</f>
        <v>0</v>
      </c>
      <c r="K2087" s="115"/>
      <c r="L2087" s="54"/>
      <c r="M2087" s="54"/>
      <c r="N2087" s="54"/>
      <c r="O2087" s="112">
        <v>86.6840277777778</v>
      </c>
      <c r="P2087" s="110" t="str">
        <f t="shared" si="122"/>
        <v/>
      </c>
      <c r="Q2087" s="54"/>
      <c r="R2087" s="58"/>
      <c r="S2087" s="87" t="str">
        <f t="shared" si="123"/>
        <v/>
      </c>
      <c r="T2087" s="54"/>
      <c r="U2087" s="54"/>
      <c r="V2087" s="54"/>
      <c r="W2087" s="54"/>
      <c r="X2087" s="69"/>
    </row>
    <row r="2088" spans="1:24" s="66" customFormat="1" x14ac:dyDescent="0.25">
      <c r="A2088" s="51"/>
      <c r="B2088" s="91" t="str">
        <f>IFERROR(VLOOKUP(A2088,Lookup!A:B,2,0),"")</f>
        <v/>
      </c>
      <c r="C2088" s="92" t="str">
        <f>IFERROR(VLOOKUP(A2088,Lookup!A:C,3,0),"")</f>
        <v/>
      </c>
      <c r="D2088" s="54"/>
      <c r="E2088" s="54"/>
      <c r="F2088" s="54"/>
      <c r="G2088" s="72"/>
      <c r="H2088" s="54"/>
      <c r="I2088" s="54"/>
      <c r="J2088" s="106">
        <f>VLOOKUP(A2088&amp;G2088,Lookup!J:N,5,0)</f>
        <v>0</v>
      </c>
      <c r="K2088" s="115"/>
      <c r="L2088" s="54"/>
      <c r="M2088" s="54"/>
      <c r="N2088" s="54"/>
      <c r="O2088" s="112">
        <v>86.7256944444444</v>
      </c>
      <c r="P2088" s="110" t="str">
        <f t="shared" si="122"/>
        <v/>
      </c>
      <c r="Q2088" s="54"/>
      <c r="R2088" s="58"/>
      <c r="S2088" s="87" t="str">
        <f t="shared" si="123"/>
        <v/>
      </c>
      <c r="T2088" s="54"/>
      <c r="U2088" s="54"/>
      <c r="V2088" s="54"/>
      <c r="W2088" s="54"/>
      <c r="X2088" s="69"/>
    </row>
    <row r="2089" spans="1:24" s="66" customFormat="1" x14ac:dyDescent="0.25">
      <c r="A2089" s="51"/>
      <c r="B2089" s="91" t="str">
        <f>IFERROR(VLOOKUP(A2089,Lookup!A:B,2,0),"")</f>
        <v/>
      </c>
      <c r="C2089" s="92" t="str">
        <f>IFERROR(VLOOKUP(A2089,Lookup!A:C,3,0),"")</f>
        <v/>
      </c>
      <c r="D2089" s="54"/>
      <c r="E2089" s="54"/>
      <c r="F2089" s="54"/>
      <c r="G2089" s="72"/>
      <c r="H2089" s="54"/>
      <c r="I2089" s="54"/>
      <c r="J2089" s="106">
        <f>VLOOKUP(A2089&amp;G2089,Lookup!J:N,5,0)</f>
        <v>0</v>
      </c>
      <c r="K2089" s="115"/>
      <c r="L2089" s="54"/>
      <c r="M2089" s="54"/>
      <c r="N2089" s="54"/>
      <c r="O2089" s="112">
        <v>86.7673611111111</v>
      </c>
      <c r="P2089" s="110" t="str">
        <f t="shared" si="122"/>
        <v/>
      </c>
      <c r="Q2089" s="54"/>
      <c r="R2089" s="58"/>
      <c r="S2089" s="87" t="str">
        <f t="shared" si="123"/>
        <v/>
      </c>
      <c r="T2089" s="54"/>
      <c r="U2089" s="54"/>
      <c r="V2089" s="54"/>
      <c r="W2089" s="54"/>
      <c r="X2089" s="69"/>
    </row>
    <row r="2090" spans="1:24" s="66" customFormat="1" x14ac:dyDescent="0.25">
      <c r="A2090" s="51"/>
      <c r="B2090" s="91" t="str">
        <f>IFERROR(VLOOKUP(A2090,Lookup!A:B,2,0),"")</f>
        <v/>
      </c>
      <c r="C2090" s="92" t="str">
        <f>IFERROR(VLOOKUP(A2090,Lookup!A:C,3,0),"")</f>
        <v/>
      </c>
      <c r="D2090" s="54"/>
      <c r="E2090" s="54"/>
      <c r="F2090" s="54"/>
      <c r="G2090" s="72"/>
      <c r="H2090" s="54"/>
      <c r="I2090" s="54"/>
      <c r="J2090" s="106">
        <f>VLOOKUP(A2090&amp;G2090,Lookup!J:N,5,0)</f>
        <v>0</v>
      </c>
      <c r="K2090" s="115"/>
      <c r="L2090" s="54"/>
      <c r="M2090" s="54"/>
      <c r="N2090" s="54"/>
      <c r="O2090" s="112">
        <v>86.8090277777778</v>
      </c>
      <c r="P2090" s="110" t="str">
        <f t="shared" si="122"/>
        <v/>
      </c>
      <c r="Q2090" s="54"/>
      <c r="R2090" s="58"/>
      <c r="S2090" s="87" t="str">
        <f t="shared" si="123"/>
        <v/>
      </c>
      <c r="T2090" s="54"/>
      <c r="U2090" s="54"/>
      <c r="V2090" s="54"/>
      <c r="W2090" s="54"/>
      <c r="X2090" s="69"/>
    </row>
    <row r="2091" spans="1:24" s="66" customFormat="1" x14ac:dyDescent="0.25">
      <c r="A2091" s="51"/>
      <c r="B2091" s="91" t="str">
        <f>IFERROR(VLOOKUP(A2091,Lookup!A:B,2,0),"")</f>
        <v/>
      </c>
      <c r="C2091" s="92" t="str">
        <f>IFERROR(VLOOKUP(A2091,Lookup!A:C,3,0),"")</f>
        <v/>
      </c>
      <c r="D2091" s="54"/>
      <c r="E2091" s="54"/>
      <c r="F2091" s="54"/>
      <c r="G2091" s="72"/>
      <c r="H2091" s="54"/>
      <c r="I2091" s="54"/>
      <c r="J2091" s="106">
        <f>VLOOKUP(A2091&amp;G2091,Lookup!J:N,5,0)</f>
        <v>0</v>
      </c>
      <c r="K2091" s="115"/>
      <c r="L2091" s="54"/>
      <c r="M2091" s="54"/>
      <c r="N2091" s="54"/>
      <c r="O2091" s="112">
        <v>86.8506944444444</v>
      </c>
      <c r="P2091" s="110" t="str">
        <f t="shared" si="122"/>
        <v/>
      </c>
      <c r="Q2091" s="54"/>
      <c r="R2091" s="58"/>
      <c r="S2091" s="87" t="str">
        <f t="shared" si="123"/>
        <v/>
      </c>
      <c r="T2091" s="54"/>
      <c r="U2091" s="54"/>
      <c r="V2091" s="54"/>
      <c r="W2091" s="54"/>
      <c r="X2091" s="69"/>
    </row>
    <row r="2092" spans="1:24" s="66" customFormat="1" x14ac:dyDescent="0.25">
      <c r="A2092" s="51"/>
      <c r="B2092" s="91" t="str">
        <f>IFERROR(VLOOKUP(A2092,Lookup!A:B,2,0),"")</f>
        <v/>
      </c>
      <c r="C2092" s="92" t="str">
        <f>IFERROR(VLOOKUP(A2092,Lookup!A:C,3,0),"")</f>
        <v/>
      </c>
      <c r="D2092" s="54"/>
      <c r="E2092" s="54"/>
      <c r="F2092" s="54"/>
      <c r="G2092" s="72"/>
      <c r="H2092" s="54"/>
      <c r="I2092" s="54"/>
      <c r="J2092" s="106">
        <f>VLOOKUP(A2092&amp;G2092,Lookup!J:N,5,0)</f>
        <v>0</v>
      </c>
      <c r="K2092" s="115"/>
      <c r="L2092" s="54"/>
      <c r="M2092" s="54"/>
      <c r="N2092" s="54"/>
      <c r="O2092" s="112">
        <v>86.8923611111111</v>
      </c>
      <c r="P2092" s="110" t="str">
        <f t="shared" si="122"/>
        <v/>
      </c>
      <c r="Q2092" s="54"/>
      <c r="R2092" s="58"/>
      <c r="S2092" s="87" t="str">
        <f t="shared" si="123"/>
        <v/>
      </c>
      <c r="T2092" s="54"/>
      <c r="U2092" s="54"/>
      <c r="V2092" s="54"/>
      <c r="W2092" s="54"/>
      <c r="X2092" s="69"/>
    </row>
    <row r="2093" spans="1:24" s="66" customFormat="1" x14ac:dyDescent="0.25">
      <c r="A2093" s="51"/>
      <c r="B2093" s="91" t="str">
        <f>IFERROR(VLOOKUP(A2093,Lookup!A:B,2,0),"")</f>
        <v/>
      </c>
      <c r="C2093" s="92" t="str">
        <f>IFERROR(VLOOKUP(A2093,Lookup!A:C,3,0),"")</f>
        <v/>
      </c>
      <c r="D2093" s="54"/>
      <c r="E2093" s="54"/>
      <c r="F2093" s="54"/>
      <c r="G2093" s="72"/>
      <c r="H2093" s="54"/>
      <c r="I2093" s="54"/>
      <c r="J2093" s="106">
        <f>VLOOKUP(A2093&amp;G2093,Lookup!J:N,5,0)</f>
        <v>0</v>
      </c>
      <c r="K2093" s="115"/>
      <c r="L2093" s="54"/>
      <c r="M2093" s="54"/>
      <c r="N2093" s="54"/>
      <c r="O2093" s="112">
        <v>86.9340277777778</v>
      </c>
      <c r="P2093" s="110" t="str">
        <f t="shared" si="122"/>
        <v/>
      </c>
      <c r="Q2093" s="54"/>
      <c r="R2093" s="58"/>
      <c r="S2093" s="87" t="str">
        <f t="shared" si="123"/>
        <v/>
      </c>
      <c r="T2093" s="54"/>
      <c r="U2093" s="54"/>
      <c r="V2093" s="54"/>
      <c r="W2093" s="54"/>
      <c r="X2093" s="69"/>
    </row>
    <row r="2094" spans="1:24" s="66" customFormat="1" x14ac:dyDescent="0.25">
      <c r="A2094" s="51"/>
      <c r="B2094" s="91" t="str">
        <f>IFERROR(VLOOKUP(A2094,Lookup!A:B,2,0),"")</f>
        <v/>
      </c>
      <c r="C2094" s="92" t="str">
        <f>IFERROR(VLOOKUP(A2094,Lookup!A:C,3,0),"")</f>
        <v/>
      </c>
      <c r="D2094" s="54"/>
      <c r="E2094" s="54"/>
      <c r="F2094" s="54"/>
      <c r="G2094" s="72"/>
      <c r="H2094" s="54"/>
      <c r="I2094" s="54"/>
      <c r="J2094" s="106">
        <f>VLOOKUP(A2094&amp;G2094,Lookup!J:N,5,0)</f>
        <v>0</v>
      </c>
      <c r="K2094" s="115"/>
      <c r="L2094" s="54"/>
      <c r="M2094" s="54"/>
      <c r="N2094" s="54"/>
      <c r="O2094" s="112">
        <v>86.9756944444444</v>
      </c>
      <c r="P2094" s="110" t="str">
        <f t="shared" si="122"/>
        <v/>
      </c>
      <c r="Q2094" s="54"/>
      <c r="R2094" s="58"/>
      <c r="S2094" s="87" t="str">
        <f t="shared" si="123"/>
        <v/>
      </c>
      <c r="T2094" s="54"/>
      <c r="U2094" s="54"/>
      <c r="V2094" s="54"/>
      <c r="W2094" s="54"/>
      <c r="X2094" s="69"/>
    </row>
    <row r="2095" spans="1:24" s="66" customFormat="1" x14ac:dyDescent="0.25">
      <c r="A2095" s="51"/>
      <c r="B2095" s="91" t="str">
        <f>IFERROR(VLOOKUP(A2095,Lookup!A:B,2,0),"")</f>
        <v/>
      </c>
      <c r="C2095" s="92" t="str">
        <f>IFERROR(VLOOKUP(A2095,Lookup!A:C,3,0),"")</f>
        <v/>
      </c>
      <c r="D2095" s="54"/>
      <c r="E2095" s="54"/>
      <c r="F2095" s="54"/>
      <c r="G2095" s="72"/>
      <c r="H2095" s="54"/>
      <c r="I2095" s="54"/>
      <c r="J2095" s="106">
        <f>VLOOKUP(A2095&amp;G2095,Lookup!J:N,5,0)</f>
        <v>0</v>
      </c>
      <c r="K2095" s="115"/>
      <c r="L2095" s="54"/>
      <c r="M2095" s="54"/>
      <c r="N2095" s="54"/>
      <c r="O2095" s="112">
        <v>87.0173611111111</v>
      </c>
      <c r="P2095" s="110" t="str">
        <f t="shared" si="122"/>
        <v/>
      </c>
      <c r="Q2095" s="54"/>
      <c r="R2095" s="58"/>
      <c r="S2095" s="87" t="str">
        <f t="shared" si="123"/>
        <v/>
      </c>
      <c r="T2095" s="54"/>
      <c r="U2095" s="54"/>
      <c r="V2095" s="54"/>
      <c r="W2095" s="54"/>
      <c r="X2095" s="69"/>
    </row>
    <row r="2096" spans="1:24" s="66" customFormat="1" x14ac:dyDescent="0.25">
      <c r="A2096" s="51"/>
      <c r="B2096" s="91" t="str">
        <f>IFERROR(VLOOKUP(A2096,Lookup!A:B,2,0),"")</f>
        <v/>
      </c>
      <c r="C2096" s="92" t="str">
        <f>IFERROR(VLOOKUP(A2096,Lookup!A:C,3,0),"")</f>
        <v/>
      </c>
      <c r="D2096" s="54"/>
      <c r="E2096" s="54"/>
      <c r="F2096" s="54"/>
      <c r="G2096" s="72"/>
      <c r="H2096" s="54"/>
      <c r="I2096" s="54"/>
      <c r="J2096" s="106">
        <f>VLOOKUP(A2096&amp;G2096,Lookup!J:N,5,0)</f>
        <v>0</v>
      </c>
      <c r="K2096" s="115"/>
      <c r="L2096" s="54"/>
      <c r="M2096" s="54"/>
      <c r="N2096" s="54"/>
      <c r="O2096" s="112">
        <v>87.0590277777778</v>
      </c>
      <c r="P2096" s="110" t="str">
        <f t="shared" si="122"/>
        <v/>
      </c>
      <c r="Q2096" s="54"/>
      <c r="R2096" s="58"/>
      <c r="S2096" s="87" t="str">
        <f t="shared" si="123"/>
        <v/>
      </c>
      <c r="T2096" s="54"/>
      <c r="U2096" s="54"/>
      <c r="V2096" s="54"/>
      <c r="W2096" s="54"/>
      <c r="X2096" s="69"/>
    </row>
    <row r="2097" spans="1:24" s="66" customFormat="1" x14ac:dyDescent="0.25">
      <c r="A2097" s="51"/>
      <c r="B2097" s="91" t="str">
        <f>IFERROR(VLOOKUP(A2097,Lookup!A:B,2,0),"")</f>
        <v/>
      </c>
      <c r="C2097" s="92" t="str">
        <f>IFERROR(VLOOKUP(A2097,Lookup!A:C,3,0),"")</f>
        <v/>
      </c>
      <c r="D2097" s="54"/>
      <c r="E2097" s="54"/>
      <c r="F2097" s="54"/>
      <c r="G2097" s="72"/>
      <c r="H2097" s="54"/>
      <c r="I2097" s="54"/>
      <c r="J2097" s="106">
        <f>VLOOKUP(A2097&amp;G2097,Lookup!J:N,5,0)</f>
        <v>0</v>
      </c>
      <c r="K2097" s="115"/>
      <c r="L2097" s="54"/>
      <c r="M2097" s="54"/>
      <c r="N2097" s="54"/>
      <c r="O2097" s="112">
        <v>87.1006944444444</v>
      </c>
      <c r="P2097" s="110" t="str">
        <f t="shared" si="122"/>
        <v/>
      </c>
      <c r="Q2097" s="54"/>
      <c r="R2097" s="58"/>
      <c r="S2097" s="87" t="str">
        <f t="shared" si="123"/>
        <v/>
      </c>
      <c r="T2097" s="54"/>
      <c r="U2097" s="54"/>
      <c r="V2097" s="54"/>
      <c r="W2097" s="54"/>
      <c r="X2097" s="69"/>
    </row>
    <row r="2098" spans="1:24" s="66" customFormat="1" x14ac:dyDescent="0.25">
      <c r="A2098" s="51"/>
      <c r="B2098" s="91" t="str">
        <f>IFERROR(VLOOKUP(A2098,Lookup!A:B,2,0),"")</f>
        <v/>
      </c>
      <c r="C2098" s="92" t="str">
        <f>IFERROR(VLOOKUP(A2098,Lookup!A:C,3,0),"")</f>
        <v/>
      </c>
      <c r="D2098" s="54"/>
      <c r="E2098" s="54"/>
      <c r="F2098" s="54"/>
      <c r="G2098" s="72"/>
      <c r="H2098" s="54"/>
      <c r="I2098" s="54"/>
      <c r="J2098" s="106">
        <f>VLOOKUP(A2098&amp;G2098,Lookup!J:N,5,0)</f>
        <v>0</v>
      </c>
      <c r="K2098" s="115"/>
      <c r="L2098" s="54"/>
      <c r="M2098" s="54"/>
      <c r="N2098" s="54"/>
      <c r="O2098" s="112">
        <v>87.1423611111111</v>
      </c>
      <c r="P2098" s="110" t="str">
        <f t="shared" si="122"/>
        <v/>
      </c>
      <c r="Q2098" s="54"/>
      <c r="R2098" s="58"/>
      <c r="S2098" s="87" t="str">
        <f t="shared" si="123"/>
        <v/>
      </c>
      <c r="T2098" s="54"/>
      <c r="U2098" s="54"/>
      <c r="V2098" s="54"/>
      <c r="W2098" s="54"/>
      <c r="X2098" s="69"/>
    </row>
    <row r="2099" spans="1:24" s="66" customFormat="1" x14ac:dyDescent="0.25">
      <c r="A2099" s="51"/>
      <c r="B2099" s="91" t="str">
        <f>IFERROR(VLOOKUP(A2099,Lookup!A:B,2,0),"")</f>
        <v/>
      </c>
      <c r="C2099" s="92" t="str">
        <f>IFERROR(VLOOKUP(A2099,Lookup!A:C,3,0),"")</f>
        <v/>
      </c>
      <c r="D2099" s="54"/>
      <c r="E2099" s="54"/>
      <c r="F2099" s="54"/>
      <c r="G2099" s="72"/>
      <c r="H2099" s="54"/>
      <c r="I2099" s="54"/>
      <c r="J2099" s="106">
        <f>VLOOKUP(A2099&amp;G2099,Lookup!J:N,5,0)</f>
        <v>0</v>
      </c>
      <c r="K2099" s="115"/>
      <c r="L2099" s="54"/>
      <c r="M2099" s="54"/>
      <c r="N2099" s="54"/>
      <c r="O2099" s="112">
        <v>87.1840277777778</v>
      </c>
      <c r="P2099" s="110" t="str">
        <f t="shared" si="122"/>
        <v/>
      </c>
      <c r="Q2099" s="54"/>
      <c r="R2099" s="58"/>
      <c r="S2099" s="87" t="str">
        <f t="shared" si="123"/>
        <v/>
      </c>
      <c r="T2099" s="54"/>
      <c r="U2099" s="54"/>
      <c r="V2099" s="54"/>
      <c r="W2099" s="54"/>
      <c r="X2099" s="69"/>
    </row>
    <row r="2100" spans="1:24" s="66" customFormat="1" x14ac:dyDescent="0.25">
      <c r="A2100" s="51"/>
      <c r="B2100" s="91" t="str">
        <f>IFERROR(VLOOKUP(A2100,Lookup!A:B,2,0),"")</f>
        <v/>
      </c>
      <c r="C2100" s="92" t="str">
        <f>IFERROR(VLOOKUP(A2100,Lookup!A:C,3,0),"")</f>
        <v/>
      </c>
      <c r="D2100" s="54"/>
      <c r="E2100" s="54"/>
      <c r="F2100" s="54"/>
      <c r="G2100" s="72"/>
      <c r="H2100" s="54"/>
      <c r="I2100" s="54"/>
      <c r="J2100" s="106">
        <f>VLOOKUP(A2100&amp;G2100,Lookup!J:N,5,0)</f>
        <v>0</v>
      </c>
      <c r="K2100" s="115"/>
      <c r="L2100" s="54"/>
      <c r="M2100" s="54"/>
      <c r="N2100" s="54"/>
      <c r="O2100" s="112">
        <v>87.2256944444444</v>
      </c>
      <c r="P2100" s="110" t="str">
        <f t="shared" si="122"/>
        <v/>
      </c>
      <c r="Q2100" s="54"/>
      <c r="R2100" s="58"/>
      <c r="S2100" s="87" t="str">
        <f t="shared" si="123"/>
        <v/>
      </c>
      <c r="T2100" s="54"/>
      <c r="U2100" s="54"/>
      <c r="V2100" s="54"/>
      <c r="W2100" s="54"/>
      <c r="X2100" s="69"/>
    </row>
    <row r="2101" spans="1:24" s="66" customFormat="1" x14ac:dyDescent="0.25">
      <c r="A2101" s="51"/>
      <c r="B2101" s="91" t="str">
        <f>IFERROR(VLOOKUP(A2101,Lookup!A:B,2,0),"")</f>
        <v/>
      </c>
      <c r="C2101" s="92" t="str">
        <f>IFERROR(VLOOKUP(A2101,Lookup!A:C,3,0),"")</f>
        <v/>
      </c>
      <c r="D2101" s="54"/>
      <c r="E2101" s="54"/>
      <c r="F2101" s="54"/>
      <c r="G2101" s="72"/>
      <c r="H2101" s="54"/>
      <c r="I2101" s="54"/>
      <c r="J2101" s="106">
        <f>VLOOKUP(A2101&amp;G2101,Lookup!J:N,5,0)</f>
        <v>0</v>
      </c>
      <c r="K2101" s="115"/>
      <c r="L2101" s="54"/>
      <c r="M2101" s="54"/>
      <c r="N2101" s="54"/>
      <c r="O2101" s="112">
        <v>87.2673611111111</v>
      </c>
      <c r="P2101" s="110" t="str">
        <f t="shared" si="122"/>
        <v/>
      </c>
      <c r="Q2101" s="54"/>
      <c r="R2101" s="58"/>
      <c r="S2101" s="87" t="str">
        <f t="shared" si="123"/>
        <v/>
      </c>
      <c r="T2101" s="54"/>
      <c r="U2101" s="54"/>
      <c r="V2101" s="54"/>
      <c r="W2101" s="54"/>
      <c r="X2101" s="69"/>
    </row>
    <row r="2102" spans="1:24" s="66" customFormat="1" x14ac:dyDescent="0.25">
      <c r="A2102" s="51"/>
      <c r="B2102" s="91" t="str">
        <f>IFERROR(VLOOKUP(A2102,Lookup!A:B,2,0),"")</f>
        <v/>
      </c>
      <c r="C2102" s="92" t="str">
        <f>IFERROR(VLOOKUP(A2102,Lookup!A:C,3,0),"")</f>
        <v/>
      </c>
      <c r="D2102" s="54"/>
      <c r="E2102" s="54"/>
      <c r="F2102" s="54"/>
      <c r="G2102" s="72"/>
      <c r="H2102" s="54"/>
      <c r="I2102" s="54"/>
      <c r="J2102" s="106">
        <f>VLOOKUP(A2102&amp;G2102,Lookup!J:N,5,0)</f>
        <v>0</v>
      </c>
      <c r="K2102" s="115"/>
      <c r="L2102" s="54"/>
      <c r="M2102" s="54"/>
      <c r="N2102" s="54"/>
      <c r="O2102" s="112">
        <v>87.3090277777778</v>
      </c>
      <c r="P2102" s="110" t="str">
        <f t="shared" si="122"/>
        <v/>
      </c>
      <c r="Q2102" s="54"/>
      <c r="R2102" s="58"/>
      <c r="S2102" s="87" t="str">
        <f t="shared" si="123"/>
        <v/>
      </c>
      <c r="T2102" s="54"/>
      <c r="U2102" s="54"/>
      <c r="V2102" s="54"/>
      <c r="W2102" s="54"/>
      <c r="X2102" s="69"/>
    </row>
    <row r="2103" spans="1:24" s="66" customFormat="1" x14ac:dyDescent="0.25">
      <c r="A2103" s="51"/>
      <c r="B2103" s="91" t="str">
        <f>IFERROR(VLOOKUP(A2103,Lookup!A:B,2,0),"")</f>
        <v/>
      </c>
      <c r="C2103" s="92" t="str">
        <f>IFERROR(VLOOKUP(A2103,Lookup!A:C,3,0),"")</f>
        <v/>
      </c>
      <c r="D2103" s="54"/>
      <c r="E2103" s="54"/>
      <c r="F2103" s="54"/>
      <c r="G2103" s="72"/>
      <c r="H2103" s="54"/>
      <c r="I2103" s="54"/>
      <c r="J2103" s="106">
        <f>VLOOKUP(A2103&amp;G2103,Lookup!J:N,5,0)</f>
        <v>0</v>
      </c>
      <c r="K2103" s="115"/>
      <c r="L2103" s="54"/>
      <c r="M2103" s="54"/>
      <c r="N2103" s="54"/>
      <c r="O2103" s="112">
        <v>87.3506944444444</v>
      </c>
      <c r="P2103" s="110" t="str">
        <f t="shared" si="122"/>
        <v/>
      </c>
      <c r="Q2103" s="54"/>
      <c r="R2103" s="58"/>
      <c r="S2103" s="87" t="str">
        <f t="shared" si="123"/>
        <v/>
      </c>
      <c r="T2103" s="54"/>
      <c r="U2103" s="54"/>
      <c r="V2103" s="54"/>
      <c r="W2103" s="54"/>
      <c r="X2103" s="69"/>
    </row>
    <row r="2104" spans="1:24" s="66" customFormat="1" x14ac:dyDescent="0.25">
      <c r="A2104" s="51"/>
      <c r="B2104" s="91" t="str">
        <f>IFERROR(VLOOKUP(A2104,Lookup!A:B,2,0),"")</f>
        <v/>
      </c>
      <c r="C2104" s="92" t="str">
        <f>IFERROR(VLOOKUP(A2104,Lookup!A:C,3,0),"")</f>
        <v/>
      </c>
      <c r="D2104" s="54"/>
      <c r="E2104" s="54"/>
      <c r="F2104" s="54"/>
      <c r="G2104" s="72"/>
      <c r="H2104" s="54"/>
      <c r="I2104" s="54"/>
      <c r="J2104" s="106">
        <f>VLOOKUP(A2104&amp;G2104,Lookup!J:N,5,0)</f>
        <v>0</v>
      </c>
      <c r="K2104" s="115"/>
      <c r="L2104" s="54"/>
      <c r="M2104" s="54"/>
      <c r="N2104" s="54"/>
      <c r="O2104" s="112">
        <v>87.3923611111111</v>
      </c>
      <c r="P2104" s="110" t="str">
        <f t="shared" si="122"/>
        <v/>
      </c>
      <c r="Q2104" s="54"/>
      <c r="R2104" s="58"/>
      <c r="S2104" s="87" t="str">
        <f t="shared" si="123"/>
        <v/>
      </c>
      <c r="T2104" s="54"/>
      <c r="U2104" s="54"/>
      <c r="V2104" s="54"/>
      <c r="W2104" s="54"/>
      <c r="X2104" s="69"/>
    </row>
    <row r="2105" spans="1:24" s="66" customFormat="1" x14ac:dyDescent="0.25">
      <c r="A2105" s="51"/>
      <c r="B2105" s="91" t="str">
        <f>IFERROR(VLOOKUP(A2105,Lookup!A:B,2,0),"")</f>
        <v/>
      </c>
      <c r="C2105" s="92" t="str">
        <f>IFERROR(VLOOKUP(A2105,Lookup!A:C,3,0),"")</f>
        <v/>
      </c>
      <c r="D2105" s="54"/>
      <c r="E2105" s="54"/>
      <c r="F2105" s="54"/>
      <c r="G2105" s="72"/>
      <c r="H2105" s="54"/>
      <c r="I2105" s="54"/>
      <c r="J2105" s="106">
        <f>VLOOKUP(A2105&amp;G2105,Lookup!J:N,5,0)</f>
        <v>0</v>
      </c>
      <c r="K2105" s="115"/>
      <c r="L2105" s="54"/>
      <c r="M2105" s="54"/>
      <c r="N2105" s="54"/>
      <c r="O2105" s="112">
        <v>87.4340277777778</v>
      </c>
      <c r="P2105" s="110" t="str">
        <f t="shared" si="122"/>
        <v/>
      </c>
      <c r="Q2105" s="54"/>
      <c r="R2105" s="58"/>
      <c r="S2105" s="87" t="str">
        <f t="shared" si="123"/>
        <v/>
      </c>
      <c r="T2105" s="54"/>
      <c r="U2105" s="54"/>
      <c r="V2105" s="54"/>
      <c r="W2105" s="54"/>
      <c r="X2105" s="69"/>
    </row>
    <row r="2106" spans="1:24" s="66" customFormat="1" x14ac:dyDescent="0.25">
      <c r="A2106" s="51"/>
      <c r="B2106" s="91" t="str">
        <f>IFERROR(VLOOKUP(A2106,Lookup!A:B,2,0),"")</f>
        <v/>
      </c>
      <c r="C2106" s="92" t="str">
        <f>IFERROR(VLOOKUP(A2106,Lookup!A:C,3,0),"")</f>
        <v/>
      </c>
      <c r="D2106" s="54"/>
      <c r="E2106" s="54"/>
      <c r="F2106" s="54"/>
      <c r="G2106" s="72"/>
      <c r="H2106" s="54"/>
      <c r="I2106" s="54"/>
      <c r="J2106" s="106">
        <f>VLOOKUP(A2106&amp;G2106,Lookup!J:N,5,0)</f>
        <v>0</v>
      </c>
      <c r="K2106" s="115"/>
      <c r="L2106" s="54"/>
      <c r="M2106" s="54"/>
      <c r="N2106" s="54"/>
      <c r="O2106" s="112">
        <v>87.4756944444444</v>
      </c>
      <c r="P2106" s="110" t="str">
        <f t="shared" si="122"/>
        <v/>
      </c>
      <c r="Q2106" s="54"/>
      <c r="R2106" s="58"/>
      <c r="S2106" s="87" t="str">
        <f t="shared" si="123"/>
        <v/>
      </c>
      <c r="T2106" s="54"/>
      <c r="U2106" s="54"/>
      <c r="V2106" s="54"/>
      <c r="W2106" s="54"/>
      <c r="X2106" s="69"/>
    </row>
    <row r="2107" spans="1:24" s="66" customFormat="1" x14ac:dyDescent="0.25">
      <c r="A2107" s="51"/>
      <c r="B2107" s="91" t="str">
        <f>IFERROR(VLOOKUP(A2107,Lookup!A:B,2,0),"")</f>
        <v/>
      </c>
      <c r="C2107" s="92" t="str">
        <f>IFERROR(VLOOKUP(A2107,Lookup!A:C,3,0),"")</f>
        <v/>
      </c>
      <c r="D2107" s="54"/>
      <c r="E2107" s="54"/>
      <c r="F2107" s="54"/>
      <c r="G2107" s="72"/>
      <c r="H2107" s="54"/>
      <c r="I2107" s="54"/>
      <c r="J2107" s="106">
        <f>VLOOKUP(A2107&amp;G2107,Lookup!J:N,5,0)</f>
        <v>0</v>
      </c>
      <c r="K2107" s="115"/>
      <c r="L2107" s="54"/>
      <c r="M2107" s="54"/>
      <c r="N2107" s="54"/>
      <c r="O2107" s="112">
        <v>87.5173611111111</v>
      </c>
      <c r="P2107" s="110" t="str">
        <f t="shared" si="122"/>
        <v/>
      </c>
      <c r="Q2107" s="54"/>
      <c r="R2107" s="58"/>
      <c r="S2107" s="87" t="str">
        <f t="shared" si="123"/>
        <v/>
      </c>
      <c r="T2107" s="54"/>
      <c r="U2107" s="54"/>
      <c r="V2107" s="54"/>
      <c r="W2107" s="54"/>
      <c r="X2107" s="69"/>
    </row>
    <row r="2108" spans="1:24" s="66" customFormat="1" x14ac:dyDescent="0.25">
      <c r="A2108" s="51"/>
      <c r="B2108" s="91" t="str">
        <f>IFERROR(VLOOKUP(A2108,Lookup!A:B,2,0),"")</f>
        <v/>
      </c>
      <c r="C2108" s="92" t="str">
        <f>IFERROR(VLOOKUP(A2108,Lookup!A:C,3,0),"")</f>
        <v/>
      </c>
      <c r="D2108" s="54"/>
      <c r="E2108" s="54"/>
      <c r="F2108" s="54"/>
      <c r="G2108" s="72"/>
      <c r="H2108" s="54"/>
      <c r="I2108" s="54"/>
      <c r="J2108" s="107"/>
      <c r="K2108" s="115"/>
      <c r="L2108" s="54"/>
      <c r="M2108" s="54"/>
      <c r="N2108" s="54"/>
      <c r="O2108" s="112">
        <v>87.5590277777778</v>
      </c>
      <c r="P2108" s="110" t="str">
        <f t="shared" si="122"/>
        <v/>
      </c>
      <c r="Q2108" s="54"/>
      <c r="R2108" s="58"/>
      <c r="S2108" s="87" t="str">
        <f t="shared" si="123"/>
        <v/>
      </c>
      <c r="T2108" s="54"/>
      <c r="U2108" s="54"/>
      <c r="V2108" s="54"/>
      <c r="W2108" s="54"/>
      <c r="X2108" s="69"/>
    </row>
    <row r="2109" spans="1:24" s="66" customFormat="1" x14ac:dyDescent="0.25">
      <c r="A2109" s="51"/>
      <c r="B2109" s="91" t="str">
        <f>IFERROR(VLOOKUP(A2109,Lookup!A:B,2,0),"")</f>
        <v/>
      </c>
      <c r="C2109" s="92" t="str">
        <f>IFERROR(VLOOKUP(A2109,Lookup!A:C,3,0),"")</f>
        <v/>
      </c>
      <c r="D2109" s="54"/>
      <c r="E2109" s="54"/>
      <c r="F2109" s="54"/>
      <c r="G2109" s="72"/>
      <c r="H2109" s="54"/>
      <c r="I2109" s="54"/>
      <c r="J2109" s="107"/>
      <c r="K2109" s="115"/>
      <c r="L2109" s="54"/>
      <c r="M2109" s="54"/>
      <c r="N2109" s="54"/>
      <c r="O2109" s="112">
        <v>87.6006944444444</v>
      </c>
      <c r="P2109" s="110" t="str">
        <f t="shared" si="122"/>
        <v/>
      </c>
      <c r="Q2109" s="54"/>
      <c r="R2109" s="58"/>
      <c r="S2109" s="87" t="str">
        <f t="shared" si="123"/>
        <v/>
      </c>
      <c r="T2109" s="54"/>
      <c r="U2109" s="54"/>
      <c r="V2109" s="54"/>
      <c r="W2109" s="54"/>
      <c r="X2109" s="69"/>
    </row>
    <row r="2110" spans="1:24" s="66" customFormat="1" x14ac:dyDescent="0.25">
      <c r="A2110" s="51"/>
      <c r="B2110" s="91" t="str">
        <f>IFERROR(VLOOKUP(A2110,Lookup!A:B,2,0),"")</f>
        <v/>
      </c>
      <c r="C2110" s="92" t="str">
        <f>IFERROR(VLOOKUP(A2110,Lookup!A:C,3,0),"")</f>
        <v/>
      </c>
      <c r="D2110" s="54"/>
      <c r="E2110" s="54"/>
      <c r="F2110" s="54"/>
      <c r="G2110" s="72"/>
      <c r="H2110" s="54"/>
      <c r="I2110" s="54"/>
      <c r="J2110" s="107"/>
      <c r="K2110" s="115"/>
      <c r="L2110" s="54"/>
      <c r="M2110" s="54"/>
      <c r="N2110" s="54"/>
      <c r="O2110" s="112">
        <v>87.6423611111111</v>
      </c>
      <c r="P2110" s="110" t="str">
        <f t="shared" si="122"/>
        <v/>
      </c>
      <c r="Q2110" s="54"/>
      <c r="R2110" s="58"/>
      <c r="S2110" s="87" t="str">
        <f t="shared" si="123"/>
        <v/>
      </c>
      <c r="T2110" s="54"/>
      <c r="U2110" s="54"/>
      <c r="V2110" s="54"/>
      <c r="W2110" s="54"/>
      <c r="X2110" s="69"/>
    </row>
    <row r="2111" spans="1:24" s="66" customFormat="1" x14ac:dyDescent="0.25">
      <c r="A2111" s="51"/>
      <c r="B2111" s="91" t="str">
        <f>IFERROR(VLOOKUP(A2111,Lookup!A:B,2,0),"")</f>
        <v/>
      </c>
      <c r="C2111" s="92" t="str">
        <f>IFERROR(VLOOKUP(A2111,Lookup!A:C,3,0),"")</f>
        <v/>
      </c>
      <c r="D2111" s="54"/>
      <c r="E2111" s="54"/>
      <c r="F2111" s="54"/>
      <c r="G2111" s="72"/>
      <c r="H2111" s="54"/>
      <c r="I2111" s="54"/>
      <c r="J2111" s="107"/>
      <c r="K2111" s="115"/>
      <c r="L2111" s="54"/>
      <c r="M2111" s="54"/>
      <c r="N2111" s="54"/>
      <c r="O2111" s="112">
        <v>87.6840277777778</v>
      </c>
      <c r="P2111" s="110" t="str">
        <f t="shared" si="122"/>
        <v/>
      </c>
      <c r="Q2111" s="54"/>
      <c r="R2111" s="58"/>
      <c r="S2111" s="87" t="str">
        <f t="shared" si="123"/>
        <v/>
      </c>
      <c r="T2111" s="54"/>
      <c r="U2111" s="54"/>
      <c r="V2111" s="54"/>
      <c r="W2111" s="54"/>
      <c r="X2111" s="69"/>
    </row>
    <row r="2112" spans="1:24" s="66" customFormat="1" x14ac:dyDescent="0.25">
      <c r="A2112" s="51"/>
      <c r="B2112" s="91" t="str">
        <f>IFERROR(VLOOKUP(A2112,Lookup!A:B,2,0),"")</f>
        <v/>
      </c>
      <c r="C2112" s="92" t="str">
        <f>IFERROR(VLOOKUP(A2112,Lookup!A:C,3,0),"")</f>
        <v/>
      </c>
      <c r="D2112" s="54"/>
      <c r="E2112" s="54"/>
      <c r="F2112" s="54"/>
      <c r="G2112" s="72"/>
      <c r="H2112" s="54"/>
      <c r="I2112" s="54"/>
      <c r="J2112" s="107"/>
      <c r="K2112" s="115"/>
      <c r="L2112" s="54"/>
      <c r="M2112" s="54"/>
      <c r="N2112" s="54"/>
      <c r="O2112" s="112">
        <v>87.7256944444444</v>
      </c>
      <c r="P2112" s="110" t="str">
        <f t="shared" si="122"/>
        <v/>
      </c>
      <c r="Q2112" s="54"/>
      <c r="R2112" s="58"/>
      <c r="S2112" s="87" t="str">
        <f t="shared" si="123"/>
        <v/>
      </c>
      <c r="T2112" s="54"/>
      <c r="U2112" s="54"/>
      <c r="V2112" s="54"/>
      <c r="W2112" s="54"/>
      <c r="X2112" s="69"/>
    </row>
    <row r="2113" spans="1:24" s="66" customFormat="1" x14ac:dyDescent="0.25">
      <c r="A2113" s="51"/>
      <c r="B2113" s="91" t="str">
        <f>IFERROR(VLOOKUP(A2113,Lookup!A:B,2,0),"")</f>
        <v/>
      </c>
      <c r="C2113" s="92" t="str">
        <f>IFERROR(VLOOKUP(A2113,Lookup!A:C,3,0),"")</f>
        <v/>
      </c>
      <c r="D2113" s="54"/>
      <c r="E2113" s="54"/>
      <c r="F2113" s="54"/>
      <c r="G2113" s="72"/>
      <c r="H2113" s="54"/>
      <c r="I2113" s="54"/>
      <c r="J2113" s="107"/>
      <c r="K2113" s="115"/>
      <c r="L2113" s="54"/>
      <c r="M2113" s="54"/>
      <c r="N2113" s="54"/>
      <c r="O2113" s="112">
        <v>87.7673611111111</v>
      </c>
      <c r="P2113" s="110" t="str">
        <f t="shared" si="122"/>
        <v/>
      </c>
      <c r="Q2113" s="54"/>
      <c r="R2113" s="58"/>
      <c r="S2113" s="87" t="str">
        <f t="shared" si="123"/>
        <v/>
      </c>
      <c r="T2113" s="54"/>
      <c r="U2113" s="54"/>
      <c r="V2113" s="54"/>
      <c r="W2113" s="54"/>
      <c r="X2113" s="69"/>
    </row>
    <row r="2114" spans="1:24" s="66" customFormat="1" x14ac:dyDescent="0.25">
      <c r="A2114" s="51"/>
      <c r="B2114" s="91" t="str">
        <f>IFERROR(VLOOKUP(A2114,Lookup!A:B,2,0),"")</f>
        <v/>
      </c>
      <c r="C2114" s="92" t="str">
        <f>IFERROR(VLOOKUP(A2114,Lookup!A:C,3,0),"")</f>
        <v/>
      </c>
      <c r="D2114" s="54"/>
      <c r="E2114" s="54"/>
      <c r="F2114" s="54"/>
      <c r="G2114" s="72"/>
      <c r="H2114" s="54"/>
      <c r="I2114" s="54"/>
      <c r="J2114" s="107"/>
      <c r="K2114" s="115"/>
      <c r="L2114" s="54"/>
      <c r="M2114" s="54"/>
      <c r="N2114" s="54"/>
      <c r="O2114" s="112">
        <v>87.8090277777778</v>
      </c>
      <c r="P2114" s="110" t="str">
        <f t="shared" si="122"/>
        <v/>
      </c>
      <c r="Q2114" s="54"/>
      <c r="R2114" s="58"/>
      <c r="S2114" s="87" t="str">
        <f t="shared" si="123"/>
        <v/>
      </c>
      <c r="T2114" s="54"/>
      <c r="U2114" s="54"/>
      <c r="V2114" s="54"/>
      <c r="W2114" s="54"/>
      <c r="X2114" s="69"/>
    </row>
    <row r="2115" spans="1:24" s="66" customFormat="1" x14ac:dyDescent="0.25">
      <c r="A2115" s="51"/>
      <c r="B2115" s="91" t="str">
        <f>IFERROR(VLOOKUP(A2115,Lookup!A:B,2,0),"")</f>
        <v/>
      </c>
      <c r="C2115" s="92" t="str">
        <f>IFERROR(VLOOKUP(A2115,Lookup!A:C,3,0),"")</f>
        <v/>
      </c>
      <c r="D2115" s="54"/>
      <c r="E2115" s="54"/>
      <c r="F2115" s="54"/>
      <c r="G2115" s="72"/>
      <c r="H2115" s="54"/>
      <c r="I2115" s="54"/>
      <c r="J2115" s="107"/>
      <c r="K2115" s="115"/>
      <c r="L2115" s="54"/>
      <c r="M2115" s="54"/>
      <c r="N2115" s="54"/>
      <c r="O2115" s="112">
        <v>87.8506944444444</v>
      </c>
      <c r="P2115" s="110" t="str">
        <f t="shared" ref="P2115:P2178" si="124">IF(N2115="","",N2115+O2115)</f>
        <v/>
      </c>
      <c r="Q2115" s="54"/>
      <c r="R2115" s="58"/>
      <c r="S2115" s="87" t="str">
        <f t="shared" si="123"/>
        <v/>
      </c>
      <c r="T2115" s="54"/>
      <c r="U2115" s="54"/>
      <c r="V2115" s="54"/>
      <c r="W2115" s="54"/>
      <c r="X2115" s="69"/>
    </row>
    <row r="2116" spans="1:24" s="66" customFormat="1" x14ac:dyDescent="0.25">
      <c r="A2116" s="51"/>
      <c r="B2116" s="91" t="str">
        <f>IFERROR(VLOOKUP(A2116,Lookup!A:B,2,0),"")</f>
        <v/>
      </c>
      <c r="C2116" s="92" t="str">
        <f>IFERROR(VLOOKUP(A2116,Lookup!A:C,3,0),"")</f>
        <v/>
      </c>
      <c r="D2116" s="54"/>
      <c r="E2116" s="54"/>
      <c r="F2116" s="54"/>
      <c r="G2116" s="72"/>
      <c r="H2116" s="54"/>
      <c r="I2116" s="54"/>
      <c r="J2116" s="107"/>
      <c r="K2116" s="115"/>
      <c r="L2116" s="54"/>
      <c r="M2116" s="54"/>
      <c r="N2116" s="54"/>
      <c r="O2116" s="112">
        <v>87.8923611111111</v>
      </c>
      <c r="P2116" s="110" t="str">
        <f t="shared" si="124"/>
        <v/>
      </c>
      <c r="Q2116" s="54"/>
      <c r="R2116" s="58"/>
      <c r="S2116" s="87" t="str">
        <f t="shared" si="123"/>
        <v/>
      </c>
      <c r="T2116" s="54"/>
      <c r="U2116" s="54"/>
      <c r="V2116" s="54"/>
      <c r="W2116" s="54"/>
      <c r="X2116" s="69"/>
    </row>
    <row r="2117" spans="1:24" s="66" customFormat="1" x14ac:dyDescent="0.25">
      <c r="A2117" s="51"/>
      <c r="B2117" s="91" t="str">
        <f>IFERROR(VLOOKUP(A2117,Lookup!A:B,2,0),"")</f>
        <v/>
      </c>
      <c r="C2117" s="92" t="str">
        <f>IFERROR(VLOOKUP(A2117,Lookup!A:C,3,0),"")</f>
        <v/>
      </c>
      <c r="D2117" s="54"/>
      <c r="E2117" s="54"/>
      <c r="F2117" s="54"/>
      <c r="G2117" s="72"/>
      <c r="H2117" s="54"/>
      <c r="I2117" s="54"/>
      <c r="J2117" s="107"/>
      <c r="K2117" s="115"/>
      <c r="L2117" s="54"/>
      <c r="M2117" s="54"/>
      <c r="N2117" s="54"/>
      <c r="O2117" s="112">
        <v>87.9340277777778</v>
      </c>
      <c r="P2117" s="110" t="str">
        <f t="shared" si="124"/>
        <v/>
      </c>
      <c r="Q2117" s="54"/>
      <c r="R2117" s="58"/>
      <c r="S2117" s="87" t="str">
        <f t="shared" si="123"/>
        <v/>
      </c>
      <c r="T2117" s="54"/>
      <c r="U2117" s="54"/>
      <c r="V2117" s="54"/>
      <c r="W2117" s="54"/>
      <c r="X2117" s="69"/>
    </row>
    <row r="2118" spans="1:24" s="66" customFormat="1" x14ac:dyDescent="0.25">
      <c r="A2118" s="51"/>
      <c r="B2118" s="91" t="str">
        <f>IFERROR(VLOOKUP(A2118,Lookup!A:B,2,0),"")</f>
        <v/>
      </c>
      <c r="C2118" s="92" t="str">
        <f>IFERROR(VLOOKUP(A2118,Lookup!A:C,3,0),"")</f>
        <v/>
      </c>
      <c r="D2118" s="54"/>
      <c r="E2118" s="54"/>
      <c r="F2118" s="54"/>
      <c r="G2118" s="72"/>
      <c r="H2118" s="54"/>
      <c r="I2118" s="54"/>
      <c r="J2118" s="107"/>
      <c r="K2118" s="115"/>
      <c r="L2118" s="54"/>
      <c r="M2118" s="54"/>
      <c r="N2118" s="54"/>
      <c r="O2118" s="112">
        <v>87.9756944444444</v>
      </c>
      <c r="P2118" s="110" t="str">
        <f t="shared" si="124"/>
        <v/>
      </c>
      <c r="Q2118" s="54"/>
      <c r="R2118" s="58"/>
      <c r="S2118" s="87" t="str">
        <f t="shared" si="123"/>
        <v/>
      </c>
      <c r="T2118" s="54"/>
      <c r="U2118" s="54"/>
      <c r="V2118" s="54"/>
      <c r="W2118" s="54"/>
      <c r="X2118" s="69"/>
    </row>
    <row r="2119" spans="1:24" s="66" customFormat="1" x14ac:dyDescent="0.25">
      <c r="A2119" s="51"/>
      <c r="B2119" s="91" t="str">
        <f>IFERROR(VLOOKUP(A2119,Lookup!A:B,2,0),"")</f>
        <v/>
      </c>
      <c r="C2119" s="92" t="str">
        <f>IFERROR(VLOOKUP(A2119,Lookup!A:C,3,0),"")</f>
        <v/>
      </c>
      <c r="D2119" s="54"/>
      <c r="E2119" s="54"/>
      <c r="F2119" s="54"/>
      <c r="G2119" s="72"/>
      <c r="H2119" s="54"/>
      <c r="I2119" s="54"/>
      <c r="J2119" s="107"/>
      <c r="K2119" s="115"/>
      <c r="L2119" s="54"/>
      <c r="M2119" s="54"/>
      <c r="N2119" s="54"/>
      <c r="O2119" s="112">
        <v>88.0173611111111</v>
      </c>
      <c r="P2119" s="110" t="str">
        <f t="shared" si="124"/>
        <v/>
      </c>
      <c r="Q2119" s="54"/>
      <c r="R2119" s="58"/>
      <c r="S2119" s="87" t="str">
        <f t="shared" ref="S2119:S2182" si="125">IF(OR(EXACT(Q2119,""), EXACT(L2119,"")),"",Q2119-L2119)</f>
        <v/>
      </c>
      <c r="T2119" s="54"/>
      <c r="U2119" s="54"/>
      <c r="V2119" s="54"/>
      <c r="W2119" s="54"/>
      <c r="X2119" s="69"/>
    </row>
    <row r="2120" spans="1:24" s="66" customFormat="1" x14ac:dyDescent="0.25">
      <c r="A2120" s="51"/>
      <c r="B2120" s="91" t="str">
        <f>IFERROR(VLOOKUP(A2120,Lookup!A:B,2,0),"")</f>
        <v/>
      </c>
      <c r="C2120" s="92" t="str">
        <f>IFERROR(VLOOKUP(A2120,Lookup!A:C,3,0),"")</f>
        <v/>
      </c>
      <c r="D2120" s="54"/>
      <c r="E2120" s="54"/>
      <c r="F2120" s="54"/>
      <c r="G2120" s="72"/>
      <c r="H2120" s="54"/>
      <c r="I2120" s="54"/>
      <c r="J2120" s="107"/>
      <c r="K2120" s="115"/>
      <c r="L2120" s="54"/>
      <c r="M2120" s="54"/>
      <c r="N2120" s="54"/>
      <c r="O2120" s="112">
        <v>88.0590277777778</v>
      </c>
      <c r="P2120" s="110" t="str">
        <f t="shared" si="124"/>
        <v/>
      </c>
      <c r="Q2120" s="54"/>
      <c r="R2120" s="58"/>
      <c r="S2120" s="87" t="str">
        <f t="shared" si="125"/>
        <v/>
      </c>
      <c r="T2120" s="54"/>
      <c r="U2120" s="54"/>
      <c r="V2120" s="54"/>
      <c r="W2120" s="54"/>
      <c r="X2120" s="69"/>
    </row>
    <row r="2121" spans="1:24" s="66" customFormat="1" x14ac:dyDescent="0.25">
      <c r="A2121" s="51"/>
      <c r="B2121" s="91" t="str">
        <f>IFERROR(VLOOKUP(A2121,Lookup!A:B,2,0),"")</f>
        <v/>
      </c>
      <c r="C2121" s="92" t="str">
        <f>IFERROR(VLOOKUP(A2121,Lookup!A:C,3,0),"")</f>
        <v/>
      </c>
      <c r="D2121" s="54"/>
      <c r="E2121" s="54"/>
      <c r="F2121" s="54"/>
      <c r="G2121" s="72"/>
      <c r="H2121" s="54"/>
      <c r="I2121" s="54"/>
      <c r="J2121" s="107"/>
      <c r="K2121" s="115"/>
      <c r="L2121" s="54"/>
      <c r="M2121" s="54"/>
      <c r="N2121" s="54"/>
      <c r="O2121" s="112">
        <v>88.1006944444444</v>
      </c>
      <c r="P2121" s="110" t="str">
        <f t="shared" si="124"/>
        <v/>
      </c>
      <c r="Q2121" s="54"/>
      <c r="R2121" s="58"/>
      <c r="S2121" s="87" t="str">
        <f t="shared" si="125"/>
        <v/>
      </c>
      <c r="T2121" s="54"/>
      <c r="U2121" s="54"/>
      <c r="V2121" s="54"/>
      <c r="W2121" s="54"/>
      <c r="X2121" s="69"/>
    </row>
    <row r="2122" spans="1:24" s="66" customFormat="1" x14ac:dyDescent="0.25">
      <c r="A2122" s="51"/>
      <c r="B2122" s="91" t="str">
        <f>IFERROR(VLOOKUP(A2122,Lookup!A:B,2,0),"")</f>
        <v/>
      </c>
      <c r="C2122" s="92" t="str">
        <f>IFERROR(VLOOKUP(A2122,Lookup!A:C,3,0),"")</f>
        <v/>
      </c>
      <c r="D2122" s="54"/>
      <c r="E2122" s="54"/>
      <c r="F2122" s="54"/>
      <c r="G2122" s="72"/>
      <c r="H2122" s="54"/>
      <c r="I2122" s="54"/>
      <c r="J2122" s="107"/>
      <c r="K2122" s="115"/>
      <c r="L2122" s="54"/>
      <c r="M2122" s="54"/>
      <c r="N2122" s="54"/>
      <c r="O2122" s="112">
        <v>88.1423611111111</v>
      </c>
      <c r="P2122" s="110" t="str">
        <f t="shared" si="124"/>
        <v/>
      </c>
      <c r="Q2122" s="54"/>
      <c r="R2122" s="58"/>
      <c r="S2122" s="87" t="str">
        <f t="shared" si="125"/>
        <v/>
      </c>
      <c r="T2122" s="54"/>
      <c r="U2122" s="54"/>
      <c r="V2122" s="54"/>
      <c r="W2122" s="54"/>
      <c r="X2122" s="69"/>
    </row>
    <row r="2123" spans="1:24" s="66" customFormat="1" x14ac:dyDescent="0.25">
      <c r="A2123" s="51"/>
      <c r="B2123" s="91" t="str">
        <f>IFERROR(VLOOKUP(A2123,Lookup!A:B,2,0),"")</f>
        <v/>
      </c>
      <c r="C2123" s="92" t="str">
        <f>IFERROR(VLOOKUP(A2123,Lookup!A:C,3,0),"")</f>
        <v/>
      </c>
      <c r="D2123" s="54"/>
      <c r="E2123" s="54"/>
      <c r="F2123" s="54"/>
      <c r="G2123" s="72"/>
      <c r="H2123" s="54"/>
      <c r="I2123" s="54"/>
      <c r="J2123" s="107"/>
      <c r="K2123" s="115"/>
      <c r="L2123" s="54"/>
      <c r="M2123" s="54"/>
      <c r="N2123" s="54"/>
      <c r="O2123" s="112">
        <v>88.1840277777778</v>
      </c>
      <c r="P2123" s="110" t="str">
        <f t="shared" si="124"/>
        <v/>
      </c>
      <c r="Q2123" s="54"/>
      <c r="R2123" s="58"/>
      <c r="S2123" s="87" t="str">
        <f t="shared" si="125"/>
        <v/>
      </c>
      <c r="T2123" s="54"/>
      <c r="U2123" s="54"/>
      <c r="V2123" s="54"/>
      <c r="W2123" s="54"/>
      <c r="X2123" s="69"/>
    </row>
    <row r="2124" spans="1:24" s="66" customFormat="1" x14ac:dyDescent="0.25">
      <c r="A2124" s="51"/>
      <c r="B2124" s="91" t="str">
        <f>IFERROR(VLOOKUP(A2124,Lookup!A:B,2,0),"")</f>
        <v/>
      </c>
      <c r="C2124" s="92" t="str">
        <f>IFERROR(VLOOKUP(A2124,Lookup!A:C,3,0),"")</f>
        <v/>
      </c>
      <c r="D2124" s="54"/>
      <c r="E2124" s="54"/>
      <c r="F2124" s="54"/>
      <c r="G2124" s="72"/>
      <c r="H2124" s="54"/>
      <c r="I2124" s="54"/>
      <c r="J2124" s="107"/>
      <c r="K2124" s="115"/>
      <c r="L2124" s="54"/>
      <c r="M2124" s="54"/>
      <c r="N2124" s="54"/>
      <c r="O2124" s="112">
        <v>88.2256944444444</v>
      </c>
      <c r="P2124" s="110" t="str">
        <f t="shared" si="124"/>
        <v/>
      </c>
      <c r="Q2124" s="54"/>
      <c r="R2124" s="58"/>
      <c r="S2124" s="87" t="str">
        <f t="shared" si="125"/>
        <v/>
      </c>
      <c r="T2124" s="54"/>
      <c r="U2124" s="54"/>
      <c r="V2124" s="54"/>
      <c r="W2124" s="54"/>
      <c r="X2124" s="69"/>
    </row>
    <row r="2125" spans="1:24" s="66" customFormat="1" x14ac:dyDescent="0.25">
      <c r="A2125" s="51"/>
      <c r="B2125" s="91" t="str">
        <f>IFERROR(VLOOKUP(A2125,Lookup!A:B,2,0),"")</f>
        <v/>
      </c>
      <c r="C2125" s="92" t="str">
        <f>IFERROR(VLOOKUP(A2125,Lookup!A:C,3,0),"")</f>
        <v/>
      </c>
      <c r="D2125" s="54"/>
      <c r="E2125" s="54"/>
      <c r="F2125" s="54"/>
      <c r="G2125" s="72"/>
      <c r="H2125" s="54"/>
      <c r="I2125" s="54"/>
      <c r="J2125" s="107"/>
      <c r="K2125" s="115"/>
      <c r="L2125" s="54"/>
      <c r="M2125" s="54"/>
      <c r="N2125" s="54"/>
      <c r="O2125" s="112">
        <v>88.2673611111111</v>
      </c>
      <c r="P2125" s="110" t="str">
        <f t="shared" si="124"/>
        <v/>
      </c>
      <c r="Q2125" s="54"/>
      <c r="R2125" s="58"/>
      <c r="S2125" s="87" t="str">
        <f t="shared" si="125"/>
        <v/>
      </c>
      <c r="T2125" s="54"/>
      <c r="U2125" s="54"/>
      <c r="V2125" s="54"/>
      <c r="W2125" s="54"/>
      <c r="X2125" s="69"/>
    </row>
    <row r="2126" spans="1:24" s="66" customFormat="1" x14ac:dyDescent="0.25">
      <c r="A2126" s="51"/>
      <c r="B2126" s="91" t="str">
        <f>IFERROR(VLOOKUP(A2126,Lookup!A:B,2,0),"")</f>
        <v/>
      </c>
      <c r="C2126" s="92" t="str">
        <f>IFERROR(VLOOKUP(A2126,Lookup!A:C,3,0),"")</f>
        <v/>
      </c>
      <c r="D2126" s="54"/>
      <c r="E2126" s="54"/>
      <c r="F2126" s="54"/>
      <c r="G2126" s="72"/>
      <c r="H2126" s="54"/>
      <c r="I2126" s="54"/>
      <c r="J2126" s="107"/>
      <c r="K2126" s="115"/>
      <c r="L2126" s="54"/>
      <c r="M2126" s="54"/>
      <c r="N2126" s="54"/>
      <c r="O2126" s="112">
        <v>88.3090277777778</v>
      </c>
      <c r="P2126" s="110" t="str">
        <f t="shared" si="124"/>
        <v/>
      </c>
      <c r="Q2126" s="54"/>
      <c r="R2126" s="58"/>
      <c r="S2126" s="87" t="str">
        <f t="shared" si="125"/>
        <v/>
      </c>
      <c r="T2126" s="54"/>
      <c r="U2126" s="54"/>
      <c r="V2126" s="54"/>
      <c r="W2126" s="54"/>
      <c r="X2126" s="69"/>
    </row>
    <row r="2127" spans="1:24" s="66" customFormat="1" x14ac:dyDescent="0.25">
      <c r="A2127" s="51"/>
      <c r="B2127" s="91" t="str">
        <f>IFERROR(VLOOKUP(A2127,Lookup!A:B,2,0),"")</f>
        <v/>
      </c>
      <c r="C2127" s="92" t="str">
        <f>IFERROR(VLOOKUP(A2127,Lookup!A:C,3,0),"")</f>
        <v/>
      </c>
      <c r="D2127" s="54"/>
      <c r="E2127" s="54"/>
      <c r="F2127" s="54"/>
      <c r="G2127" s="72"/>
      <c r="H2127" s="54"/>
      <c r="I2127" s="54"/>
      <c r="J2127" s="107"/>
      <c r="K2127" s="115"/>
      <c r="L2127" s="54"/>
      <c r="M2127" s="54"/>
      <c r="N2127" s="54"/>
      <c r="O2127" s="112">
        <v>88.3506944444444</v>
      </c>
      <c r="P2127" s="110" t="str">
        <f t="shared" si="124"/>
        <v/>
      </c>
      <c r="Q2127" s="54"/>
      <c r="R2127" s="58"/>
      <c r="S2127" s="87" t="str">
        <f t="shared" si="125"/>
        <v/>
      </c>
      <c r="T2127" s="54"/>
      <c r="U2127" s="54"/>
      <c r="V2127" s="54"/>
      <c r="W2127" s="54"/>
      <c r="X2127" s="69"/>
    </row>
    <row r="2128" spans="1:24" s="66" customFormat="1" x14ac:dyDescent="0.25">
      <c r="A2128" s="51"/>
      <c r="B2128" s="91" t="str">
        <f>IFERROR(VLOOKUP(A2128,Lookup!A:B,2,0),"")</f>
        <v/>
      </c>
      <c r="C2128" s="92" t="str">
        <f>IFERROR(VLOOKUP(A2128,Lookup!A:C,3,0),"")</f>
        <v/>
      </c>
      <c r="D2128" s="54"/>
      <c r="E2128" s="54"/>
      <c r="F2128" s="54"/>
      <c r="G2128" s="72"/>
      <c r="H2128" s="54"/>
      <c r="I2128" s="54"/>
      <c r="J2128" s="107"/>
      <c r="K2128" s="115"/>
      <c r="L2128" s="54"/>
      <c r="M2128" s="54"/>
      <c r="N2128" s="54"/>
      <c r="O2128" s="112">
        <v>88.3923611111111</v>
      </c>
      <c r="P2128" s="110" t="str">
        <f t="shared" si="124"/>
        <v/>
      </c>
      <c r="Q2128" s="54"/>
      <c r="R2128" s="58"/>
      <c r="S2128" s="87" t="str">
        <f t="shared" si="125"/>
        <v/>
      </c>
      <c r="T2128" s="54"/>
      <c r="U2128" s="54"/>
      <c r="V2128" s="54"/>
      <c r="W2128" s="54"/>
      <c r="X2128" s="69"/>
    </row>
    <row r="2129" spans="1:24" s="66" customFormat="1" x14ac:dyDescent="0.25">
      <c r="A2129" s="51"/>
      <c r="B2129" s="91" t="str">
        <f>IFERROR(VLOOKUP(A2129,Lookup!A:B,2,0),"")</f>
        <v/>
      </c>
      <c r="C2129" s="92" t="str">
        <f>IFERROR(VLOOKUP(A2129,Lookup!A:C,3,0),"")</f>
        <v/>
      </c>
      <c r="D2129" s="54"/>
      <c r="E2129" s="54"/>
      <c r="F2129" s="54"/>
      <c r="G2129" s="72"/>
      <c r="H2129" s="54"/>
      <c r="I2129" s="54"/>
      <c r="J2129" s="107"/>
      <c r="K2129" s="115"/>
      <c r="L2129" s="54"/>
      <c r="M2129" s="54"/>
      <c r="N2129" s="54"/>
      <c r="O2129" s="112">
        <v>88.4340277777778</v>
      </c>
      <c r="P2129" s="110" t="str">
        <f t="shared" si="124"/>
        <v/>
      </c>
      <c r="Q2129" s="54"/>
      <c r="R2129" s="58"/>
      <c r="S2129" s="87" t="str">
        <f t="shared" si="125"/>
        <v/>
      </c>
      <c r="T2129" s="54"/>
      <c r="U2129" s="54"/>
      <c r="V2129" s="54"/>
      <c r="W2129" s="54"/>
      <c r="X2129" s="69"/>
    </row>
    <row r="2130" spans="1:24" s="66" customFormat="1" x14ac:dyDescent="0.25">
      <c r="A2130" s="51"/>
      <c r="B2130" s="91" t="str">
        <f>IFERROR(VLOOKUP(A2130,Lookup!A:B,2,0),"")</f>
        <v/>
      </c>
      <c r="C2130" s="92" t="str">
        <f>IFERROR(VLOOKUP(A2130,Lookup!A:C,3,0),"")</f>
        <v/>
      </c>
      <c r="D2130" s="54"/>
      <c r="E2130" s="54"/>
      <c r="F2130" s="54"/>
      <c r="G2130" s="72"/>
      <c r="H2130" s="54"/>
      <c r="I2130" s="54"/>
      <c r="J2130" s="107"/>
      <c r="K2130" s="115"/>
      <c r="L2130" s="54"/>
      <c r="M2130" s="54"/>
      <c r="N2130" s="54"/>
      <c r="O2130" s="112">
        <v>88.4756944444444</v>
      </c>
      <c r="P2130" s="110" t="str">
        <f t="shared" si="124"/>
        <v/>
      </c>
      <c r="Q2130" s="54"/>
      <c r="R2130" s="58"/>
      <c r="S2130" s="87" t="str">
        <f t="shared" si="125"/>
        <v/>
      </c>
      <c r="T2130" s="54"/>
      <c r="U2130" s="54"/>
      <c r="V2130" s="54"/>
      <c r="W2130" s="54"/>
      <c r="X2130" s="69"/>
    </row>
    <row r="2131" spans="1:24" s="66" customFormat="1" x14ac:dyDescent="0.25">
      <c r="A2131" s="51"/>
      <c r="B2131" s="91" t="str">
        <f>IFERROR(VLOOKUP(A2131,Lookup!A:B,2,0),"")</f>
        <v/>
      </c>
      <c r="C2131" s="92" t="str">
        <f>IFERROR(VLOOKUP(A2131,Lookup!A:C,3,0),"")</f>
        <v/>
      </c>
      <c r="D2131" s="54"/>
      <c r="E2131" s="54"/>
      <c r="F2131" s="54"/>
      <c r="G2131" s="72"/>
      <c r="H2131" s="54"/>
      <c r="I2131" s="54"/>
      <c r="J2131" s="107"/>
      <c r="K2131" s="115"/>
      <c r="L2131" s="54"/>
      <c r="M2131" s="54"/>
      <c r="N2131" s="54"/>
      <c r="O2131" s="112">
        <v>88.5173611111111</v>
      </c>
      <c r="P2131" s="110" t="str">
        <f t="shared" si="124"/>
        <v/>
      </c>
      <c r="Q2131" s="54"/>
      <c r="R2131" s="58"/>
      <c r="S2131" s="87" t="str">
        <f t="shared" si="125"/>
        <v/>
      </c>
      <c r="T2131" s="54"/>
      <c r="U2131" s="54"/>
      <c r="V2131" s="54"/>
      <c r="W2131" s="54"/>
      <c r="X2131" s="69"/>
    </row>
    <row r="2132" spans="1:24" s="66" customFormat="1" x14ac:dyDescent="0.25">
      <c r="A2132" s="51"/>
      <c r="B2132" s="91" t="str">
        <f>IFERROR(VLOOKUP(A2132,Lookup!A:B,2,0),"")</f>
        <v/>
      </c>
      <c r="C2132" s="92" t="str">
        <f>IFERROR(VLOOKUP(A2132,Lookup!A:C,3,0),"")</f>
        <v/>
      </c>
      <c r="D2132" s="54"/>
      <c r="E2132" s="54"/>
      <c r="F2132" s="54"/>
      <c r="G2132" s="72"/>
      <c r="H2132" s="54"/>
      <c r="I2132" s="54"/>
      <c r="J2132" s="107"/>
      <c r="K2132" s="115"/>
      <c r="L2132" s="54"/>
      <c r="M2132" s="54"/>
      <c r="N2132" s="54"/>
      <c r="O2132" s="112">
        <v>88.5590277777778</v>
      </c>
      <c r="P2132" s="110" t="str">
        <f t="shared" si="124"/>
        <v/>
      </c>
      <c r="Q2132" s="54"/>
      <c r="R2132" s="58"/>
      <c r="S2132" s="87" t="str">
        <f t="shared" si="125"/>
        <v/>
      </c>
      <c r="T2132" s="54"/>
      <c r="U2132" s="54"/>
      <c r="V2132" s="54"/>
      <c r="W2132" s="54"/>
      <c r="X2132" s="69"/>
    </row>
    <row r="2133" spans="1:24" s="66" customFormat="1" x14ac:dyDescent="0.25">
      <c r="A2133" s="51"/>
      <c r="B2133" s="91" t="str">
        <f>IFERROR(VLOOKUP(A2133,Lookup!A:B,2,0),"")</f>
        <v/>
      </c>
      <c r="C2133" s="92" t="str">
        <f>IFERROR(VLOOKUP(A2133,Lookup!A:C,3,0),"")</f>
        <v/>
      </c>
      <c r="D2133" s="54"/>
      <c r="E2133" s="54"/>
      <c r="F2133" s="54"/>
      <c r="G2133" s="72"/>
      <c r="H2133" s="54"/>
      <c r="I2133" s="54"/>
      <c r="J2133" s="107"/>
      <c r="K2133" s="115"/>
      <c r="L2133" s="54"/>
      <c r="M2133" s="54"/>
      <c r="N2133" s="54"/>
      <c r="O2133" s="112">
        <v>88.6006944444444</v>
      </c>
      <c r="P2133" s="110" t="str">
        <f t="shared" si="124"/>
        <v/>
      </c>
      <c r="Q2133" s="54"/>
      <c r="R2133" s="58"/>
      <c r="S2133" s="87" t="str">
        <f t="shared" si="125"/>
        <v/>
      </c>
      <c r="T2133" s="54"/>
      <c r="U2133" s="54"/>
      <c r="V2133" s="54"/>
      <c r="W2133" s="54"/>
      <c r="X2133" s="69"/>
    </row>
    <row r="2134" spans="1:24" s="66" customFormat="1" x14ac:dyDescent="0.25">
      <c r="A2134" s="51"/>
      <c r="B2134" s="91" t="str">
        <f>IFERROR(VLOOKUP(A2134,Lookup!A:B,2,0),"")</f>
        <v/>
      </c>
      <c r="C2134" s="92" t="str">
        <f>IFERROR(VLOOKUP(A2134,Lookup!A:C,3,0),"")</f>
        <v/>
      </c>
      <c r="D2134" s="54"/>
      <c r="E2134" s="54"/>
      <c r="F2134" s="54"/>
      <c r="G2134" s="72"/>
      <c r="H2134" s="54"/>
      <c r="I2134" s="54"/>
      <c r="J2134" s="107"/>
      <c r="K2134" s="115"/>
      <c r="L2134" s="54"/>
      <c r="M2134" s="54"/>
      <c r="N2134" s="54"/>
      <c r="O2134" s="112">
        <v>88.6423611111111</v>
      </c>
      <c r="P2134" s="110" t="str">
        <f t="shared" si="124"/>
        <v/>
      </c>
      <c r="Q2134" s="54"/>
      <c r="R2134" s="58"/>
      <c r="S2134" s="87" t="str">
        <f t="shared" si="125"/>
        <v/>
      </c>
      <c r="T2134" s="54"/>
      <c r="U2134" s="54"/>
      <c r="V2134" s="54"/>
      <c r="W2134" s="54"/>
      <c r="X2134" s="69"/>
    </row>
    <row r="2135" spans="1:24" s="66" customFormat="1" x14ac:dyDescent="0.25">
      <c r="A2135" s="51"/>
      <c r="B2135" s="91" t="str">
        <f>IFERROR(VLOOKUP(A2135,Lookup!A:B,2,0),"")</f>
        <v/>
      </c>
      <c r="C2135" s="92" t="str">
        <f>IFERROR(VLOOKUP(A2135,Lookup!A:C,3,0),"")</f>
        <v/>
      </c>
      <c r="D2135" s="54"/>
      <c r="E2135" s="54"/>
      <c r="F2135" s="54"/>
      <c r="G2135" s="72"/>
      <c r="H2135" s="54"/>
      <c r="I2135" s="54"/>
      <c r="J2135" s="107"/>
      <c r="K2135" s="115"/>
      <c r="L2135" s="54"/>
      <c r="M2135" s="54"/>
      <c r="N2135" s="54"/>
      <c r="O2135" s="112">
        <v>88.6840277777778</v>
      </c>
      <c r="P2135" s="110" t="str">
        <f t="shared" si="124"/>
        <v/>
      </c>
      <c r="Q2135" s="54"/>
      <c r="R2135" s="58"/>
      <c r="S2135" s="87" t="str">
        <f t="shared" si="125"/>
        <v/>
      </c>
      <c r="T2135" s="54"/>
      <c r="U2135" s="54"/>
      <c r="V2135" s="54"/>
      <c r="W2135" s="54"/>
      <c r="X2135" s="69"/>
    </row>
    <row r="2136" spans="1:24" s="66" customFormat="1" x14ac:dyDescent="0.25">
      <c r="A2136" s="51"/>
      <c r="B2136" s="91" t="str">
        <f>IFERROR(VLOOKUP(A2136,Lookup!A:B,2,0),"")</f>
        <v/>
      </c>
      <c r="C2136" s="92" t="str">
        <f>IFERROR(VLOOKUP(A2136,Lookup!A:C,3,0),"")</f>
        <v/>
      </c>
      <c r="D2136" s="54"/>
      <c r="E2136" s="54"/>
      <c r="F2136" s="54"/>
      <c r="G2136" s="72"/>
      <c r="H2136" s="54"/>
      <c r="I2136" s="54"/>
      <c r="J2136" s="107"/>
      <c r="K2136" s="115"/>
      <c r="L2136" s="54"/>
      <c r="M2136" s="54"/>
      <c r="N2136" s="54"/>
      <c r="O2136" s="112">
        <v>88.7256944444444</v>
      </c>
      <c r="P2136" s="110" t="str">
        <f t="shared" si="124"/>
        <v/>
      </c>
      <c r="Q2136" s="54"/>
      <c r="R2136" s="58"/>
      <c r="S2136" s="87" t="str">
        <f t="shared" si="125"/>
        <v/>
      </c>
      <c r="T2136" s="54"/>
      <c r="U2136" s="54"/>
      <c r="V2136" s="54"/>
      <c r="W2136" s="54"/>
      <c r="X2136" s="69"/>
    </row>
    <row r="2137" spans="1:24" s="66" customFormat="1" x14ac:dyDescent="0.25">
      <c r="A2137" s="51"/>
      <c r="B2137" s="91" t="str">
        <f>IFERROR(VLOOKUP(A2137,Lookup!A:B,2,0),"")</f>
        <v/>
      </c>
      <c r="C2137" s="92" t="str">
        <f>IFERROR(VLOOKUP(A2137,Lookup!A:C,3,0),"")</f>
        <v/>
      </c>
      <c r="D2137" s="54"/>
      <c r="E2137" s="54"/>
      <c r="F2137" s="54"/>
      <c r="G2137" s="72"/>
      <c r="H2137" s="54"/>
      <c r="I2137" s="54"/>
      <c r="J2137" s="107"/>
      <c r="K2137" s="115"/>
      <c r="L2137" s="54"/>
      <c r="M2137" s="54"/>
      <c r="N2137" s="54"/>
      <c r="O2137" s="112">
        <v>88.7673611111111</v>
      </c>
      <c r="P2137" s="110" t="str">
        <f t="shared" si="124"/>
        <v/>
      </c>
      <c r="Q2137" s="54"/>
      <c r="R2137" s="58"/>
      <c r="S2137" s="87" t="str">
        <f t="shared" si="125"/>
        <v/>
      </c>
      <c r="T2137" s="54"/>
      <c r="U2137" s="54"/>
      <c r="V2137" s="54"/>
      <c r="W2137" s="54"/>
      <c r="X2137" s="69"/>
    </row>
    <row r="2138" spans="1:24" s="66" customFormat="1" x14ac:dyDescent="0.25">
      <c r="A2138" s="51"/>
      <c r="B2138" s="91" t="str">
        <f>IFERROR(VLOOKUP(A2138,Lookup!A:B,2,0),"")</f>
        <v/>
      </c>
      <c r="C2138" s="92" t="str">
        <f>IFERROR(VLOOKUP(A2138,Lookup!A:C,3,0),"")</f>
        <v/>
      </c>
      <c r="D2138" s="54"/>
      <c r="E2138" s="54"/>
      <c r="F2138" s="54"/>
      <c r="G2138" s="72"/>
      <c r="H2138" s="54"/>
      <c r="I2138" s="54"/>
      <c r="J2138" s="107"/>
      <c r="K2138" s="115"/>
      <c r="L2138" s="54"/>
      <c r="M2138" s="54"/>
      <c r="N2138" s="54"/>
      <c r="O2138" s="112">
        <v>88.8090277777778</v>
      </c>
      <c r="P2138" s="110" t="str">
        <f t="shared" si="124"/>
        <v/>
      </c>
      <c r="Q2138" s="54"/>
      <c r="R2138" s="58"/>
      <c r="S2138" s="87" t="str">
        <f t="shared" si="125"/>
        <v/>
      </c>
      <c r="T2138" s="54"/>
      <c r="U2138" s="54"/>
      <c r="V2138" s="54"/>
      <c r="W2138" s="54"/>
      <c r="X2138" s="69"/>
    </row>
    <row r="2139" spans="1:24" s="66" customFormat="1" x14ac:dyDescent="0.25">
      <c r="A2139" s="51"/>
      <c r="B2139" s="91" t="str">
        <f>IFERROR(VLOOKUP(A2139,Lookup!A:B,2,0),"")</f>
        <v/>
      </c>
      <c r="C2139" s="92" t="str">
        <f>IFERROR(VLOOKUP(A2139,Lookup!A:C,3,0),"")</f>
        <v/>
      </c>
      <c r="D2139" s="54"/>
      <c r="E2139" s="54"/>
      <c r="F2139" s="54"/>
      <c r="G2139" s="72"/>
      <c r="H2139" s="54"/>
      <c r="I2139" s="54"/>
      <c r="J2139" s="107"/>
      <c r="K2139" s="115"/>
      <c r="L2139" s="54"/>
      <c r="M2139" s="54"/>
      <c r="N2139" s="54"/>
      <c r="O2139" s="112">
        <v>88.8506944444444</v>
      </c>
      <c r="P2139" s="110" t="str">
        <f t="shared" si="124"/>
        <v/>
      </c>
      <c r="Q2139" s="54"/>
      <c r="R2139" s="58"/>
      <c r="S2139" s="87" t="str">
        <f t="shared" si="125"/>
        <v/>
      </c>
      <c r="T2139" s="54"/>
      <c r="U2139" s="54"/>
      <c r="V2139" s="54"/>
      <c r="W2139" s="54"/>
      <c r="X2139" s="69"/>
    </row>
    <row r="2140" spans="1:24" s="66" customFormat="1" x14ac:dyDescent="0.25">
      <c r="A2140" s="51"/>
      <c r="B2140" s="91" t="str">
        <f>IFERROR(VLOOKUP(A2140,Lookup!A:B,2,0),"")</f>
        <v/>
      </c>
      <c r="C2140" s="92" t="str">
        <f>IFERROR(VLOOKUP(A2140,Lookup!A:C,3,0),"")</f>
        <v/>
      </c>
      <c r="D2140" s="54"/>
      <c r="E2140" s="54"/>
      <c r="F2140" s="54"/>
      <c r="G2140" s="72"/>
      <c r="H2140" s="54"/>
      <c r="I2140" s="54"/>
      <c r="J2140" s="107"/>
      <c r="K2140" s="115"/>
      <c r="L2140" s="54"/>
      <c r="M2140" s="54"/>
      <c r="N2140" s="54"/>
      <c r="O2140" s="112">
        <v>88.8923611111111</v>
      </c>
      <c r="P2140" s="110" t="str">
        <f t="shared" si="124"/>
        <v/>
      </c>
      <c r="Q2140" s="54"/>
      <c r="R2140" s="58"/>
      <c r="S2140" s="87" t="str">
        <f t="shared" si="125"/>
        <v/>
      </c>
      <c r="T2140" s="54"/>
      <c r="U2140" s="54"/>
      <c r="V2140" s="54"/>
      <c r="W2140" s="54"/>
      <c r="X2140" s="69"/>
    </row>
    <row r="2141" spans="1:24" s="66" customFormat="1" x14ac:dyDescent="0.25">
      <c r="A2141" s="51"/>
      <c r="B2141" s="91" t="str">
        <f>IFERROR(VLOOKUP(A2141,Lookup!A:B,2,0),"")</f>
        <v/>
      </c>
      <c r="C2141" s="92" t="str">
        <f>IFERROR(VLOOKUP(A2141,Lookup!A:C,3,0),"")</f>
        <v/>
      </c>
      <c r="D2141" s="54"/>
      <c r="E2141" s="54"/>
      <c r="F2141" s="54"/>
      <c r="G2141" s="72"/>
      <c r="H2141" s="54"/>
      <c r="I2141" s="54"/>
      <c r="J2141" s="107"/>
      <c r="K2141" s="115"/>
      <c r="L2141" s="54"/>
      <c r="M2141" s="54"/>
      <c r="N2141" s="54"/>
      <c r="O2141" s="68"/>
      <c r="P2141" s="110" t="str">
        <f t="shared" si="124"/>
        <v/>
      </c>
      <c r="Q2141" s="54"/>
      <c r="R2141" s="58"/>
      <c r="S2141" s="87" t="str">
        <f t="shared" si="125"/>
        <v/>
      </c>
      <c r="T2141" s="54"/>
      <c r="U2141" s="54"/>
      <c r="V2141" s="54"/>
      <c r="W2141" s="54"/>
      <c r="X2141" s="69"/>
    </row>
    <row r="2142" spans="1:24" s="66" customFormat="1" x14ac:dyDescent="0.25">
      <c r="A2142" s="51"/>
      <c r="B2142" s="91" t="str">
        <f>IFERROR(VLOOKUP(A2142,Lookup!A:B,2,0),"")</f>
        <v/>
      </c>
      <c r="C2142" s="92" t="str">
        <f>IFERROR(VLOOKUP(A2142,Lookup!A:C,3,0),"")</f>
        <v/>
      </c>
      <c r="D2142" s="54"/>
      <c r="E2142" s="54"/>
      <c r="F2142" s="54"/>
      <c r="G2142" s="72"/>
      <c r="H2142" s="54"/>
      <c r="I2142" s="54"/>
      <c r="J2142" s="107"/>
      <c r="K2142" s="115"/>
      <c r="L2142" s="54"/>
      <c r="M2142" s="54"/>
      <c r="N2142" s="54"/>
      <c r="O2142" s="68"/>
      <c r="P2142" s="110" t="str">
        <f t="shared" si="124"/>
        <v/>
      </c>
      <c r="Q2142" s="54"/>
      <c r="R2142" s="58"/>
      <c r="S2142" s="87" t="str">
        <f t="shared" si="125"/>
        <v/>
      </c>
      <c r="T2142" s="54"/>
      <c r="U2142" s="54"/>
      <c r="V2142" s="54"/>
      <c r="W2142" s="54"/>
      <c r="X2142" s="69"/>
    </row>
    <row r="2143" spans="1:24" s="66" customFormat="1" x14ac:dyDescent="0.25">
      <c r="A2143" s="51"/>
      <c r="B2143" s="91" t="str">
        <f>IFERROR(VLOOKUP(A2143,Lookup!A:B,2,0),"")</f>
        <v/>
      </c>
      <c r="C2143" s="92" t="str">
        <f>IFERROR(VLOOKUP(A2143,Lookup!A:C,3,0),"")</f>
        <v/>
      </c>
      <c r="D2143" s="54"/>
      <c r="E2143" s="54"/>
      <c r="F2143" s="54"/>
      <c r="G2143" s="72"/>
      <c r="H2143" s="54"/>
      <c r="I2143" s="54"/>
      <c r="J2143" s="107"/>
      <c r="K2143" s="115"/>
      <c r="L2143" s="54"/>
      <c r="M2143" s="54"/>
      <c r="N2143" s="54"/>
      <c r="O2143" s="68"/>
      <c r="P2143" s="110" t="str">
        <f t="shared" si="124"/>
        <v/>
      </c>
      <c r="Q2143" s="54"/>
      <c r="R2143" s="58"/>
      <c r="S2143" s="87" t="str">
        <f t="shared" si="125"/>
        <v/>
      </c>
      <c r="T2143" s="54"/>
      <c r="U2143" s="54"/>
      <c r="V2143" s="54"/>
      <c r="W2143" s="54"/>
      <c r="X2143" s="69"/>
    </row>
    <row r="2144" spans="1:24" s="66" customFormat="1" x14ac:dyDescent="0.25">
      <c r="A2144" s="51"/>
      <c r="B2144" s="91" t="str">
        <f>IFERROR(VLOOKUP(A2144,Lookup!A:B,2,0),"")</f>
        <v/>
      </c>
      <c r="C2144" s="92" t="str">
        <f>IFERROR(VLOOKUP(A2144,Lookup!A:C,3,0),"")</f>
        <v/>
      </c>
      <c r="D2144" s="54"/>
      <c r="E2144" s="54"/>
      <c r="F2144" s="54"/>
      <c r="G2144" s="72"/>
      <c r="H2144" s="54"/>
      <c r="I2144" s="54"/>
      <c r="J2144" s="107"/>
      <c r="K2144" s="115"/>
      <c r="L2144" s="54"/>
      <c r="M2144" s="54"/>
      <c r="N2144" s="54"/>
      <c r="O2144" s="68"/>
      <c r="P2144" s="110" t="str">
        <f t="shared" si="124"/>
        <v/>
      </c>
      <c r="Q2144" s="54"/>
      <c r="R2144" s="58"/>
      <c r="S2144" s="87" t="str">
        <f t="shared" si="125"/>
        <v/>
      </c>
      <c r="T2144" s="54"/>
      <c r="U2144" s="54"/>
      <c r="V2144" s="54"/>
      <c r="W2144" s="54"/>
      <c r="X2144" s="69"/>
    </row>
    <row r="2145" spans="1:24" s="66" customFormat="1" x14ac:dyDescent="0.25">
      <c r="A2145" s="51"/>
      <c r="B2145" s="91" t="str">
        <f>IFERROR(VLOOKUP(A2145,Lookup!A:B,2,0),"")</f>
        <v/>
      </c>
      <c r="C2145" s="92" t="str">
        <f>IFERROR(VLOOKUP(A2145,Lookup!A:C,3,0),"")</f>
        <v/>
      </c>
      <c r="D2145" s="54"/>
      <c r="E2145" s="54"/>
      <c r="F2145" s="54"/>
      <c r="G2145" s="72"/>
      <c r="H2145" s="54"/>
      <c r="I2145" s="54"/>
      <c r="J2145" s="107"/>
      <c r="K2145" s="115"/>
      <c r="L2145" s="54"/>
      <c r="M2145" s="54"/>
      <c r="N2145" s="54"/>
      <c r="O2145" s="68"/>
      <c r="P2145" s="110" t="str">
        <f t="shared" si="124"/>
        <v/>
      </c>
      <c r="Q2145" s="54"/>
      <c r="R2145" s="58"/>
      <c r="S2145" s="87" t="str">
        <f t="shared" si="125"/>
        <v/>
      </c>
      <c r="T2145" s="54"/>
      <c r="U2145" s="54"/>
      <c r="V2145" s="54"/>
      <c r="W2145" s="54"/>
      <c r="X2145" s="69"/>
    </row>
    <row r="2146" spans="1:24" s="66" customFormat="1" x14ac:dyDescent="0.25">
      <c r="A2146" s="51"/>
      <c r="B2146" s="91" t="str">
        <f>IFERROR(VLOOKUP(A2146,Lookup!A:B,2,0),"")</f>
        <v/>
      </c>
      <c r="C2146" s="92" t="str">
        <f>IFERROR(VLOOKUP(A2146,Lookup!A:C,3,0),"")</f>
        <v/>
      </c>
      <c r="D2146" s="54"/>
      <c r="E2146" s="54"/>
      <c r="F2146" s="54"/>
      <c r="G2146" s="72"/>
      <c r="H2146" s="54"/>
      <c r="I2146" s="54"/>
      <c r="J2146" s="107"/>
      <c r="K2146" s="115"/>
      <c r="L2146" s="54"/>
      <c r="M2146" s="54"/>
      <c r="N2146" s="54"/>
      <c r="O2146" s="68"/>
      <c r="P2146" s="110" t="str">
        <f t="shared" si="124"/>
        <v/>
      </c>
      <c r="Q2146" s="54"/>
      <c r="R2146" s="58"/>
      <c r="S2146" s="87" t="str">
        <f t="shared" si="125"/>
        <v/>
      </c>
      <c r="T2146" s="54"/>
      <c r="U2146" s="54"/>
      <c r="V2146" s="54"/>
      <c r="W2146" s="54"/>
      <c r="X2146" s="69"/>
    </row>
    <row r="2147" spans="1:24" s="66" customFormat="1" x14ac:dyDescent="0.25">
      <c r="A2147" s="51"/>
      <c r="B2147" s="91" t="str">
        <f>IFERROR(VLOOKUP(A2147,Lookup!A:B,2,0),"")</f>
        <v/>
      </c>
      <c r="C2147" s="92" t="str">
        <f>IFERROR(VLOOKUP(A2147,Lookup!A:C,3,0),"")</f>
        <v/>
      </c>
      <c r="D2147" s="54"/>
      <c r="E2147" s="54"/>
      <c r="F2147" s="54"/>
      <c r="G2147" s="72"/>
      <c r="H2147" s="54"/>
      <c r="I2147" s="54"/>
      <c r="J2147" s="107"/>
      <c r="K2147" s="115"/>
      <c r="L2147" s="54"/>
      <c r="M2147" s="54"/>
      <c r="N2147" s="54"/>
      <c r="O2147" s="68"/>
      <c r="P2147" s="110" t="str">
        <f t="shared" si="124"/>
        <v/>
      </c>
      <c r="Q2147" s="54"/>
      <c r="R2147" s="58"/>
      <c r="S2147" s="87" t="str">
        <f t="shared" si="125"/>
        <v/>
      </c>
      <c r="T2147" s="54"/>
      <c r="U2147" s="54"/>
      <c r="V2147" s="54"/>
      <c r="W2147" s="54"/>
      <c r="X2147" s="69"/>
    </row>
    <row r="2148" spans="1:24" s="66" customFormat="1" x14ac:dyDescent="0.25">
      <c r="A2148" s="51"/>
      <c r="B2148" s="91" t="str">
        <f>IFERROR(VLOOKUP(A2148,Lookup!A:B,2,0),"")</f>
        <v/>
      </c>
      <c r="C2148" s="92" t="str">
        <f>IFERROR(VLOOKUP(A2148,Lookup!A:C,3,0),"")</f>
        <v/>
      </c>
      <c r="D2148" s="54"/>
      <c r="E2148" s="54"/>
      <c r="F2148" s="54"/>
      <c r="G2148" s="72"/>
      <c r="H2148" s="54"/>
      <c r="I2148" s="54"/>
      <c r="J2148" s="107"/>
      <c r="K2148" s="115"/>
      <c r="L2148" s="54"/>
      <c r="M2148" s="54"/>
      <c r="N2148" s="54"/>
      <c r="O2148" s="68"/>
      <c r="P2148" s="110" t="str">
        <f t="shared" si="124"/>
        <v/>
      </c>
      <c r="Q2148" s="54"/>
      <c r="R2148" s="58"/>
      <c r="S2148" s="87" t="str">
        <f t="shared" si="125"/>
        <v/>
      </c>
      <c r="T2148" s="54"/>
      <c r="U2148" s="54"/>
      <c r="V2148" s="54"/>
      <c r="W2148" s="54"/>
      <c r="X2148" s="69"/>
    </row>
    <row r="2149" spans="1:24" s="66" customFormat="1" x14ac:dyDescent="0.25">
      <c r="A2149" s="51"/>
      <c r="B2149" s="91" t="str">
        <f>IFERROR(VLOOKUP(A2149,Lookup!A:B,2,0),"")</f>
        <v/>
      </c>
      <c r="C2149" s="92" t="str">
        <f>IFERROR(VLOOKUP(A2149,Lookup!A:C,3,0),"")</f>
        <v/>
      </c>
      <c r="D2149" s="54"/>
      <c r="E2149" s="54"/>
      <c r="F2149" s="54"/>
      <c r="G2149" s="72"/>
      <c r="H2149" s="54"/>
      <c r="I2149" s="54"/>
      <c r="J2149" s="107"/>
      <c r="K2149" s="115"/>
      <c r="L2149" s="54"/>
      <c r="M2149" s="54"/>
      <c r="N2149" s="54"/>
      <c r="O2149" s="68"/>
      <c r="P2149" s="110" t="str">
        <f t="shared" si="124"/>
        <v/>
      </c>
      <c r="Q2149" s="54"/>
      <c r="R2149" s="58"/>
      <c r="S2149" s="87" t="str">
        <f t="shared" si="125"/>
        <v/>
      </c>
      <c r="T2149" s="54"/>
      <c r="U2149" s="54"/>
      <c r="V2149" s="54"/>
      <c r="W2149" s="54"/>
      <c r="X2149" s="69"/>
    </row>
    <row r="2150" spans="1:24" s="66" customFormat="1" x14ac:dyDescent="0.25">
      <c r="A2150" s="51"/>
      <c r="B2150" s="91" t="str">
        <f>IFERROR(VLOOKUP(A2150,Lookup!A:B,2,0),"")</f>
        <v/>
      </c>
      <c r="C2150" s="92" t="str">
        <f>IFERROR(VLOOKUP(A2150,Lookup!A:C,3,0),"")</f>
        <v/>
      </c>
      <c r="D2150" s="54"/>
      <c r="E2150" s="54"/>
      <c r="F2150" s="54"/>
      <c r="G2150" s="72"/>
      <c r="H2150" s="54"/>
      <c r="I2150" s="54"/>
      <c r="J2150" s="107"/>
      <c r="K2150" s="115"/>
      <c r="L2150" s="54"/>
      <c r="M2150" s="54"/>
      <c r="N2150" s="54"/>
      <c r="O2150" s="68"/>
      <c r="P2150" s="110" t="str">
        <f t="shared" si="124"/>
        <v/>
      </c>
      <c r="Q2150" s="54"/>
      <c r="R2150" s="58"/>
      <c r="S2150" s="87" t="str">
        <f t="shared" si="125"/>
        <v/>
      </c>
      <c r="T2150" s="54"/>
      <c r="U2150" s="54"/>
      <c r="V2150" s="54"/>
      <c r="W2150" s="54"/>
      <c r="X2150" s="69"/>
    </row>
    <row r="2151" spans="1:24" s="66" customFormat="1" x14ac:dyDescent="0.25">
      <c r="A2151" s="51"/>
      <c r="B2151" s="91" t="str">
        <f>IFERROR(VLOOKUP(A2151,Lookup!A:B,2,0),"")</f>
        <v/>
      </c>
      <c r="C2151" s="92" t="str">
        <f>IFERROR(VLOOKUP(A2151,Lookup!A:C,3,0),"")</f>
        <v/>
      </c>
      <c r="D2151" s="54"/>
      <c r="E2151" s="54"/>
      <c r="F2151" s="54"/>
      <c r="G2151" s="72"/>
      <c r="H2151" s="54"/>
      <c r="I2151" s="54"/>
      <c r="J2151" s="107"/>
      <c r="K2151" s="115"/>
      <c r="L2151" s="54"/>
      <c r="M2151" s="54"/>
      <c r="N2151" s="54"/>
      <c r="O2151" s="68"/>
      <c r="P2151" s="110" t="str">
        <f t="shared" si="124"/>
        <v/>
      </c>
      <c r="Q2151" s="54"/>
      <c r="R2151" s="58"/>
      <c r="S2151" s="87" t="str">
        <f t="shared" si="125"/>
        <v/>
      </c>
      <c r="T2151" s="54"/>
      <c r="U2151" s="54"/>
      <c r="V2151" s="54"/>
      <c r="W2151" s="54"/>
      <c r="X2151" s="69"/>
    </row>
    <row r="2152" spans="1:24" s="66" customFormat="1" x14ac:dyDescent="0.25">
      <c r="A2152" s="51"/>
      <c r="B2152" s="91" t="str">
        <f>IFERROR(VLOOKUP(A2152,Lookup!A:B,2,0),"")</f>
        <v/>
      </c>
      <c r="C2152" s="92" t="str">
        <f>IFERROR(VLOOKUP(A2152,Lookup!A:C,3,0),"")</f>
        <v/>
      </c>
      <c r="D2152" s="54"/>
      <c r="E2152" s="54"/>
      <c r="F2152" s="54"/>
      <c r="G2152" s="72"/>
      <c r="H2152" s="54"/>
      <c r="I2152" s="54"/>
      <c r="J2152" s="107"/>
      <c r="K2152" s="115"/>
      <c r="L2152" s="54"/>
      <c r="M2152" s="54"/>
      <c r="N2152" s="54"/>
      <c r="O2152" s="68"/>
      <c r="P2152" s="110" t="str">
        <f t="shared" si="124"/>
        <v/>
      </c>
      <c r="Q2152" s="54"/>
      <c r="R2152" s="58"/>
      <c r="S2152" s="87" t="str">
        <f t="shared" si="125"/>
        <v/>
      </c>
      <c r="T2152" s="54"/>
      <c r="U2152" s="54"/>
      <c r="V2152" s="54"/>
      <c r="W2152" s="54"/>
      <c r="X2152" s="69"/>
    </row>
    <row r="2153" spans="1:24" s="66" customFormat="1" x14ac:dyDescent="0.25">
      <c r="A2153" s="51"/>
      <c r="B2153" s="91" t="str">
        <f>IFERROR(VLOOKUP(A2153,Lookup!A:B,2,0),"")</f>
        <v/>
      </c>
      <c r="C2153" s="92" t="str">
        <f>IFERROR(VLOOKUP(A2153,Lookup!A:C,3,0),"")</f>
        <v/>
      </c>
      <c r="D2153" s="54"/>
      <c r="E2153" s="54"/>
      <c r="F2153" s="54"/>
      <c r="G2153" s="72"/>
      <c r="H2153" s="54"/>
      <c r="I2153" s="54"/>
      <c r="J2153" s="107"/>
      <c r="K2153" s="115"/>
      <c r="L2153" s="54"/>
      <c r="M2153" s="54"/>
      <c r="N2153" s="54"/>
      <c r="O2153" s="68"/>
      <c r="P2153" s="110" t="str">
        <f t="shared" si="124"/>
        <v/>
      </c>
      <c r="Q2153" s="54"/>
      <c r="R2153" s="58"/>
      <c r="S2153" s="87" t="str">
        <f t="shared" si="125"/>
        <v/>
      </c>
      <c r="T2153" s="54"/>
      <c r="U2153" s="54"/>
      <c r="V2153" s="54"/>
      <c r="W2153" s="54"/>
      <c r="X2153" s="69"/>
    </row>
    <row r="2154" spans="1:24" s="66" customFormat="1" x14ac:dyDescent="0.25">
      <c r="A2154" s="51"/>
      <c r="B2154" s="91" t="str">
        <f>IFERROR(VLOOKUP(A2154,Lookup!A:B,2,0),"")</f>
        <v/>
      </c>
      <c r="C2154" s="92" t="str">
        <f>IFERROR(VLOOKUP(A2154,Lookup!A:C,3,0),"")</f>
        <v/>
      </c>
      <c r="D2154" s="54"/>
      <c r="E2154" s="54"/>
      <c r="F2154" s="54"/>
      <c r="G2154" s="72"/>
      <c r="H2154" s="54"/>
      <c r="I2154" s="54"/>
      <c r="J2154" s="107"/>
      <c r="K2154" s="115"/>
      <c r="L2154" s="54"/>
      <c r="M2154" s="54"/>
      <c r="N2154" s="54"/>
      <c r="O2154" s="68"/>
      <c r="P2154" s="110" t="str">
        <f t="shared" si="124"/>
        <v/>
      </c>
      <c r="Q2154" s="54"/>
      <c r="R2154" s="58"/>
      <c r="S2154" s="87" t="str">
        <f t="shared" si="125"/>
        <v/>
      </c>
      <c r="T2154" s="54"/>
      <c r="U2154" s="54"/>
      <c r="V2154" s="54"/>
      <c r="W2154" s="54"/>
      <c r="X2154" s="69"/>
    </row>
    <row r="2155" spans="1:24" s="66" customFormat="1" x14ac:dyDescent="0.25">
      <c r="A2155" s="51"/>
      <c r="B2155" s="91" t="str">
        <f>IFERROR(VLOOKUP(A2155,Lookup!A:B,2,0),"")</f>
        <v/>
      </c>
      <c r="C2155" s="92" t="str">
        <f>IFERROR(VLOOKUP(A2155,Lookup!A:C,3,0),"")</f>
        <v/>
      </c>
      <c r="D2155" s="54"/>
      <c r="E2155" s="54"/>
      <c r="F2155" s="54"/>
      <c r="G2155" s="72"/>
      <c r="H2155" s="54"/>
      <c r="I2155" s="54"/>
      <c r="J2155" s="107"/>
      <c r="K2155" s="115"/>
      <c r="L2155" s="54"/>
      <c r="M2155" s="54"/>
      <c r="N2155" s="54"/>
      <c r="O2155" s="68"/>
      <c r="P2155" s="110" t="str">
        <f t="shared" si="124"/>
        <v/>
      </c>
      <c r="Q2155" s="54"/>
      <c r="R2155" s="58"/>
      <c r="S2155" s="87" t="str">
        <f t="shared" si="125"/>
        <v/>
      </c>
      <c r="T2155" s="54"/>
      <c r="U2155" s="54"/>
      <c r="V2155" s="54"/>
      <c r="W2155" s="54"/>
      <c r="X2155" s="69"/>
    </row>
    <row r="2156" spans="1:24" s="66" customFormat="1" x14ac:dyDescent="0.25">
      <c r="A2156" s="51"/>
      <c r="B2156" s="91" t="str">
        <f>IFERROR(VLOOKUP(A2156,Lookup!A:B,2,0),"")</f>
        <v/>
      </c>
      <c r="C2156" s="92" t="str">
        <f>IFERROR(VLOOKUP(A2156,Lookup!A:C,3,0),"")</f>
        <v/>
      </c>
      <c r="D2156" s="54"/>
      <c r="E2156" s="54"/>
      <c r="F2156" s="54"/>
      <c r="G2156" s="72"/>
      <c r="H2156" s="54"/>
      <c r="I2156" s="54"/>
      <c r="J2156" s="107"/>
      <c r="K2156" s="115"/>
      <c r="L2156" s="54"/>
      <c r="M2156" s="54"/>
      <c r="N2156" s="54"/>
      <c r="O2156" s="68"/>
      <c r="P2156" s="110" t="str">
        <f t="shared" si="124"/>
        <v/>
      </c>
      <c r="Q2156" s="54"/>
      <c r="R2156" s="58"/>
      <c r="S2156" s="87" t="str">
        <f t="shared" si="125"/>
        <v/>
      </c>
      <c r="T2156" s="54"/>
      <c r="U2156" s="54"/>
      <c r="V2156" s="54"/>
      <c r="W2156" s="54"/>
      <c r="X2156" s="69"/>
    </row>
    <row r="2157" spans="1:24" s="66" customFormat="1" x14ac:dyDescent="0.25">
      <c r="A2157" s="51"/>
      <c r="B2157" s="91" t="str">
        <f>IFERROR(VLOOKUP(A2157,Lookup!A:B,2,0),"")</f>
        <v/>
      </c>
      <c r="C2157" s="92" t="str">
        <f>IFERROR(VLOOKUP(A2157,Lookup!A:C,3,0),"")</f>
        <v/>
      </c>
      <c r="D2157" s="54"/>
      <c r="E2157" s="54"/>
      <c r="F2157" s="54"/>
      <c r="G2157" s="72"/>
      <c r="H2157" s="54"/>
      <c r="I2157" s="54"/>
      <c r="J2157" s="107"/>
      <c r="K2157" s="115"/>
      <c r="L2157" s="54"/>
      <c r="M2157" s="54"/>
      <c r="N2157" s="54"/>
      <c r="O2157" s="68"/>
      <c r="P2157" s="110" t="str">
        <f t="shared" si="124"/>
        <v/>
      </c>
      <c r="Q2157" s="54"/>
      <c r="R2157" s="58"/>
      <c r="S2157" s="87" t="str">
        <f t="shared" si="125"/>
        <v/>
      </c>
      <c r="T2157" s="54"/>
      <c r="U2157" s="54"/>
      <c r="V2157" s="54"/>
      <c r="W2157" s="54"/>
      <c r="X2157" s="69"/>
    </row>
    <row r="2158" spans="1:24" s="66" customFormat="1" x14ac:dyDescent="0.25">
      <c r="A2158" s="51"/>
      <c r="B2158" s="91" t="str">
        <f>IFERROR(VLOOKUP(A2158,Lookup!A:B,2,0),"")</f>
        <v/>
      </c>
      <c r="C2158" s="92" t="str">
        <f>IFERROR(VLOOKUP(A2158,Lookup!A:C,3,0),"")</f>
        <v/>
      </c>
      <c r="D2158" s="54"/>
      <c r="E2158" s="54"/>
      <c r="F2158" s="54"/>
      <c r="G2158" s="72"/>
      <c r="H2158" s="54"/>
      <c r="I2158" s="54"/>
      <c r="J2158" s="107"/>
      <c r="K2158" s="115"/>
      <c r="L2158" s="54"/>
      <c r="M2158" s="54"/>
      <c r="N2158" s="54"/>
      <c r="O2158" s="68"/>
      <c r="P2158" s="110" t="str">
        <f t="shared" si="124"/>
        <v/>
      </c>
      <c r="Q2158" s="54"/>
      <c r="R2158" s="58"/>
      <c r="S2158" s="87" t="str">
        <f t="shared" si="125"/>
        <v/>
      </c>
      <c r="T2158" s="54"/>
      <c r="U2158" s="54"/>
      <c r="V2158" s="54"/>
      <c r="W2158" s="54"/>
      <c r="X2158" s="69"/>
    </row>
    <row r="2159" spans="1:24" s="66" customFormat="1" x14ac:dyDescent="0.25">
      <c r="A2159" s="51"/>
      <c r="B2159" s="91" t="str">
        <f>IFERROR(VLOOKUP(A2159,Lookup!A:B,2,0),"")</f>
        <v/>
      </c>
      <c r="C2159" s="92" t="str">
        <f>IFERROR(VLOOKUP(A2159,Lookup!A:C,3,0),"")</f>
        <v/>
      </c>
      <c r="D2159" s="54"/>
      <c r="E2159" s="54"/>
      <c r="F2159" s="54"/>
      <c r="G2159" s="72"/>
      <c r="H2159" s="54"/>
      <c r="I2159" s="54"/>
      <c r="J2159" s="107"/>
      <c r="K2159" s="115"/>
      <c r="L2159" s="54"/>
      <c r="M2159" s="54"/>
      <c r="N2159" s="54"/>
      <c r="O2159" s="68"/>
      <c r="P2159" s="110" t="str">
        <f t="shared" si="124"/>
        <v/>
      </c>
      <c r="Q2159" s="54"/>
      <c r="R2159" s="58"/>
      <c r="S2159" s="87" t="str">
        <f t="shared" si="125"/>
        <v/>
      </c>
      <c r="T2159" s="54"/>
      <c r="U2159" s="54"/>
      <c r="V2159" s="54"/>
      <c r="W2159" s="54"/>
      <c r="X2159" s="69"/>
    </row>
    <row r="2160" spans="1:24" s="66" customFormat="1" x14ac:dyDescent="0.25">
      <c r="A2160" s="51"/>
      <c r="B2160" s="91" t="str">
        <f>IFERROR(VLOOKUP(A2160,Lookup!A:B,2,0),"")</f>
        <v/>
      </c>
      <c r="C2160" s="92" t="str">
        <f>IFERROR(VLOOKUP(A2160,Lookup!A:C,3,0),"")</f>
        <v/>
      </c>
      <c r="D2160" s="54"/>
      <c r="E2160" s="54"/>
      <c r="F2160" s="54"/>
      <c r="G2160" s="72"/>
      <c r="H2160" s="54"/>
      <c r="I2160" s="54"/>
      <c r="J2160" s="107"/>
      <c r="K2160" s="115"/>
      <c r="L2160" s="54"/>
      <c r="M2160" s="54"/>
      <c r="N2160" s="54"/>
      <c r="O2160" s="68"/>
      <c r="P2160" s="110" t="str">
        <f t="shared" si="124"/>
        <v/>
      </c>
      <c r="Q2160" s="54"/>
      <c r="R2160" s="58"/>
      <c r="S2160" s="87" t="str">
        <f t="shared" si="125"/>
        <v/>
      </c>
      <c r="T2160" s="54"/>
      <c r="U2160" s="54"/>
      <c r="V2160" s="54"/>
      <c r="W2160" s="54"/>
      <c r="X2160" s="69"/>
    </row>
    <row r="2161" spans="1:24" s="66" customFormat="1" x14ac:dyDescent="0.25">
      <c r="A2161" s="51"/>
      <c r="B2161" s="91" t="str">
        <f>IFERROR(VLOOKUP(A2161,Lookup!A:B,2,0),"")</f>
        <v/>
      </c>
      <c r="C2161" s="92" t="str">
        <f>IFERROR(VLOOKUP(A2161,Lookup!A:C,3,0),"")</f>
        <v/>
      </c>
      <c r="D2161" s="54"/>
      <c r="E2161" s="54"/>
      <c r="F2161" s="54"/>
      <c r="G2161" s="72"/>
      <c r="H2161" s="54"/>
      <c r="I2161" s="54"/>
      <c r="J2161" s="107"/>
      <c r="K2161" s="115"/>
      <c r="L2161" s="54"/>
      <c r="M2161" s="54"/>
      <c r="N2161" s="54"/>
      <c r="O2161" s="68"/>
      <c r="P2161" s="110" t="str">
        <f t="shared" si="124"/>
        <v/>
      </c>
      <c r="Q2161" s="54"/>
      <c r="R2161" s="58"/>
      <c r="S2161" s="87" t="str">
        <f t="shared" si="125"/>
        <v/>
      </c>
      <c r="T2161" s="54"/>
      <c r="U2161" s="54"/>
      <c r="V2161" s="54"/>
      <c r="W2161" s="54"/>
      <c r="X2161" s="69"/>
    </row>
    <row r="2162" spans="1:24" s="66" customFormat="1" x14ac:dyDescent="0.25">
      <c r="A2162" s="51"/>
      <c r="B2162" s="91" t="str">
        <f>IFERROR(VLOOKUP(A2162,Lookup!A:B,2,0),"")</f>
        <v/>
      </c>
      <c r="C2162" s="92" t="str">
        <f>IFERROR(VLOOKUP(A2162,Lookup!A:C,3,0),"")</f>
        <v/>
      </c>
      <c r="D2162" s="54"/>
      <c r="E2162" s="54"/>
      <c r="F2162" s="54"/>
      <c r="G2162" s="72"/>
      <c r="H2162" s="54"/>
      <c r="I2162" s="54"/>
      <c r="J2162" s="107"/>
      <c r="K2162" s="115"/>
      <c r="L2162" s="54"/>
      <c r="M2162" s="54"/>
      <c r="N2162" s="54"/>
      <c r="O2162" s="68"/>
      <c r="P2162" s="110" t="str">
        <f t="shared" si="124"/>
        <v/>
      </c>
      <c r="Q2162" s="54"/>
      <c r="R2162" s="58"/>
      <c r="S2162" s="87" t="str">
        <f t="shared" si="125"/>
        <v/>
      </c>
      <c r="T2162" s="54"/>
      <c r="U2162" s="54"/>
      <c r="V2162" s="54"/>
      <c r="W2162" s="54"/>
      <c r="X2162" s="69"/>
    </row>
    <row r="2163" spans="1:24" s="66" customFormat="1" x14ac:dyDescent="0.25">
      <c r="A2163" s="51"/>
      <c r="B2163" s="91" t="str">
        <f>IFERROR(VLOOKUP(A2163,Lookup!A:B,2,0),"")</f>
        <v/>
      </c>
      <c r="C2163" s="92" t="str">
        <f>IFERROR(VLOOKUP(A2163,Lookup!A:C,3,0),"")</f>
        <v/>
      </c>
      <c r="D2163" s="54"/>
      <c r="E2163" s="54"/>
      <c r="F2163" s="54"/>
      <c r="G2163" s="72"/>
      <c r="H2163" s="54"/>
      <c r="I2163" s="54"/>
      <c r="J2163" s="107"/>
      <c r="K2163" s="115"/>
      <c r="L2163" s="54"/>
      <c r="M2163" s="54"/>
      <c r="N2163" s="54"/>
      <c r="O2163" s="68"/>
      <c r="P2163" s="110" t="str">
        <f t="shared" si="124"/>
        <v/>
      </c>
      <c r="Q2163" s="54"/>
      <c r="R2163" s="58"/>
      <c r="S2163" s="87" t="str">
        <f t="shared" si="125"/>
        <v/>
      </c>
      <c r="T2163" s="54"/>
      <c r="U2163" s="54"/>
      <c r="V2163" s="54"/>
      <c r="W2163" s="54"/>
      <c r="X2163" s="69"/>
    </row>
    <row r="2164" spans="1:24" s="66" customFormat="1" x14ac:dyDescent="0.25">
      <c r="A2164" s="51"/>
      <c r="B2164" s="91" t="str">
        <f>IFERROR(VLOOKUP(A2164,Lookup!A:B,2,0),"")</f>
        <v/>
      </c>
      <c r="C2164" s="92" t="str">
        <f>IFERROR(VLOOKUP(A2164,Lookup!A:C,3,0),"")</f>
        <v/>
      </c>
      <c r="D2164" s="54"/>
      <c r="E2164" s="54"/>
      <c r="F2164" s="54"/>
      <c r="G2164" s="72"/>
      <c r="H2164" s="54"/>
      <c r="I2164" s="54"/>
      <c r="J2164" s="107"/>
      <c r="K2164" s="115"/>
      <c r="L2164" s="54"/>
      <c r="M2164" s="54"/>
      <c r="N2164" s="54"/>
      <c r="O2164" s="68"/>
      <c r="P2164" s="110" t="str">
        <f t="shared" si="124"/>
        <v/>
      </c>
      <c r="Q2164" s="54"/>
      <c r="R2164" s="58"/>
      <c r="S2164" s="87" t="str">
        <f t="shared" si="125"/>
        <v/>
      </c>
      <c r="T2164" s="54"/>
      <c r="U2164" s="54"/>
      <c r="V2164" s="54"/>
      <c r="W2164" s="54"/>
      <c r="X2164" s="69"/>
    </row>
    <row r="2165" spans="1:24" s="66" customFormat="1" x14ac:dyDescent="0.25">
      <c r="A2165" s="51"/>
      <c r="B2165" s="91" t="str">
        <f>IFERROR(VLOOKUP(A2165,Lookup!A:B,2,0),"")</f>
        <v/>
      </c>
      <c r="C2165" s="92" t="str">
        <f>IFERROR(VLOOKUP(A2165,Lookup!A:C,3,0),"")</f>
        <v/>
      </c>
      <c r="D2165" s="54"/>
      <c r="E2165" s="54"/>
      <c r="F2165" s="54"/>
      <c r="G2165" s="72"/>
      <c r="H2165" s="54"/>
      <c r="I2165" s="54"/>
      <c r="J2165" s="107"/>
      <c r="K2165" s="115"/>
      <c r="L2165" s="54"/>
      <c r="M2165" s="54"/>
      <c r="N2165" s="54"/>
      <c r="O2165" s="68"/>
      <c r="P2165" s="110" t="str">
        <f t="shared" si="124"/>
        <v/>
      </c>
      <c r="Q2165" s="54"/>
      <c r="R2165" s="58"/>
      <c r="S2165" s="87" t="str">
        <f t="shared" si="125"/>
        <v/>
      </c>
      <c r="T2165" s="54"/>
      <c r="U2165" s="54"/>
      <c r="V2165" s="54"/>
      <c r="W2165" s="54"/>
      <c r="X2165" s="69"/>
    </row>
    <row r="2166" spans="1:24" s="66" customFormat="1" x14ac:dyDescent="0.25">
      <c r="A2166" s="51"/>
      <c r="B2166" s="91" t="str">
        <f>IFERROR(VLOOKUP(A2166,Lookup!A:B,2,0),"")</f>
        <v/>
      </c>
      <c r="C2166" s="92" t="str">
        <f>IFERROR(VLOOKUP(A2166,Lookup!A:C,3,0),"")</f>
        <v/>
      </c>
      <c r="D2166" s="54"/>
      <c r="E2166" s="54"/>
      <c r="F2166" s="54"/>
      <c r="G2166" s="72"/>
      <c r="H2166" s="54"/>
      <c r="I2166" s="54"/>
      <c r="J2166" s="107"/>
      <c r="K2166" s="115"/>
      <c r="L2166" s="54"/>
      <c r="M2166" s="54"/>
      <c r="N2166" s="54"/>
      <c r="O2166" s="68"/>
      <c r="P2166" s="110" t="str">
        <f t="shared" si="124"/>
        <v/>
      </c>
      <c r="Q2166" s="54"/>
      <c r="R2166" s="58"/>
      <c r="S2166" s="87" t="str">
        <f t="shared" si="125"/>
        <v/>
      </c>
      <c r="T2166" s="54"/>
      <c r="U2166" s="54"/>
      <c r="V2166" s="54"/>
      <c r="W2166" s="54"/>
      <c r="X2166" s="69"/>
    </row>
    <row r="2167" spans="1:24" s="66" customFormat="1" x14ac:dyDescent="0.25">
      <c r="A2167" s="51"/>
      <c r="B2167" s="91" t="str">
        <f>IFERROR(VLOOKUP(A2167,Lookup!A:B,2,0),"")</f>
        <v/>
      </c>
      <c r="C2167" s="92" t="str">
        <f>IFERROR(VLOOKUP(A2167,Lookup!A:C,3,0),"")</f>
        <v/>
      </c>
      <c r="D2167" s="54"/>
      <c r="E2167" s="54"/>
      <c r="F2167" s="54"/>
      <c r="G2167" s="72"/>
      <c r="H2167" s="54"/>
      <c r="I2167" s="54"/>
      <c r="J2167" s="107"/>
      <c r="K2167" s="115"/>
      <c r="L2167" s="54"/>
      <c r="M2167" s="54"/>
      <c r="N2167" s="54"/>
      <c r="O2167" s="68"/>
      <c r="P2167" s="110" t="str">
        <f t="shared" si="124"/>
        <v/>
      </c>
      <c r="Q2167" s="54"/>
      <c r="R2167" s="58"/>
      <c r="S2167" s="87" t="str">
        <f t="shared" si="125"/>
        <v/>
      </c>
      <c r="T2167" s="54"/>
      <c r="U2167" s="54"/>
      <c r="V2167" s="54"/>
      <c r="W2167" s="54"/>
      <c r="X2167" s="69"/>
    </row>
    <row r="2168" spans="1:24" s="66" customFormat="1" x14ac:dyDescent="0.25">
      <c r="A2168" s="51"/>
      <c r="B2168" s="91" t="str">
        <f>IFERROR(VLOOKUP(A2168,Lookup!A:B,2,0),"")</f>
        <v/>
      </c>
      <c r="C2168" s="92" t="str">
        <f>IFERROR(VLOOKUP(A2168,Lookup!A:C,3,0),"")</f>
        <v/>
      </c>
      <c r="D2168" s="54"/>
      <c r="E2168" s="54"/>
      <c r="F2168" s="54"/>
      <c r="G2168" s="72"/>
      <c r="H2168" s="54"/>
      <c r="I2168" s="54"/>
      <c r="J2168" s="107"/>
      <c r="K2168" s="115"/>
      <c r="L2168" s="54"/>
      <c r="M2168" s="54"/>
      <c r="N2168" s="54"/>
      <c r="O2168" s="68"/>
      <c r="P2168" s="110" t="str">
        <f t="shared" si="124"/>
        <v/>
      </c>
      <c r="Q2168" s="54"/>
      <c r="R2168" s="58"/>
      <c r="S2168" s="87" t="str">
        <f t="shared" si="125"/>
        <v/>
      </c>
      <c r="T2168" s="54"/>
      <c r="U2168" s="54"/>
      <c r="V2168" s="54"/>
      <c r="W2168" s="54"/>
      <c r="X2168" s="69"/>
    </row>
    <row r="2169" spans="1:24" s="66" customFormat="1" x14ac:dyDescent="0.25">
      <c r="A2169" s="51"/>
      <c r="B2169" s="91" t="str">
        <f>IFERROR(VLOOKUP(A2169,Lookup!A:B,2,0),"")</f>
        <v/>
      </c>
      <c r="C2169" s="92" t="str">
        <f>IFERROR(VLOOKUP(A2169,Lookup!A:C,3,0),"")</f>
        <v/>
      </c>
      <c r="D2169" s="54"/>
      <c r="E2169" s="54"/>
      <c r="F2169" s="54"/>
      <c r="G2169" s="72"/>
      <c r="H2169" s="54"/>
      <c r="I2169" s="54"/>
      <c r="J2169" s="107"/>
      <c r="K2169" s="115"/>
      <c r="L2169" s="54"/>
      <c r="M2169" s="54"/>
      <c r="N2169" s="54"/>
      <c r="O2169" s="68"/>
      <c r="P2169" s="110" t="str">
        <f t="shared" si="124"/>
        <v/>
      </c>
      <c r="Q2169" s="54"/>
      <c r="R2169" s="58"/>
      <c r="S2169" s="87" t="str">
        <f t="shared" si="125"/>
        <v/>
      </c>
      <c r="T2169" s="54"/>
      <c r="U2169" s="54"/>
      <c r="V2169" s="54"/>
      <c r="W2169" s="54"/>
      <c r="X2169" s="69"/>
    </row>
    <row r="2170" spans="1:24" s="66" customFormat="1" x14ac:dyDescent="0.25">
      <c r="A2170" s="51"/>
      <c r="B2170" s="91" t="str">
        <f>IFERROR(VLOOKUP(A2170,Lookup!A:B,2,0),"")</f>
        <v/>
      </c>
      <c r="C2170" s="92" t="str">
        <f>IFERROR(VLOOKUP(A2170,Lookup!A:C,3,0),"")</f>
        <v/>
      </c>
      <c r="D2170" s="54"/>
      <c r="E2170" s="54"/>
      <c r="F2170" s="54"/>
      <c r="G2170" s="72"/>
      <c r="H2170" s="54"/>
      <c r="I2170" s="54"/>
      <c r="J2170" s="107"/>
      <c r="K2170" s="115"/>
      <c r="L2170" s="54"/>
      <c r="M2170" s="54"/>
      <c r="N2170" s="54"/>
      <c r="O2170" s="68"/>
      <c r="P2170" s="110" t="str">
        <f t="shared" si="124"/>
        <v/>
      </c>
      <c r="Q2170" s="54"/>
      <c r="R2170" s="58"/>
      <c r="S2170" s="87" t="str">
        <f t="shared" si="125"/>
        <v/>
      </c>
      <c r="T2170" s="54"/>
      <c r="U2170" s="54"/>
      <c r="V2170" s="54"/>
      <c r="W2170" s="54"/>
      <c r="X2170" s="69"/>
    </row>
    <row r="2171" spans="1:24" s="66" customFormat="1" x14ac:dyDescent="0.25">
      <c r="A2171" s="51"/>
      <c r="B2171" s="91" t="str">
        <f>IFERROR(VLOOKUP(A2171,Lookup!A:B,2,0),"")</f>
        <v/>
      </c>
      <c r="C2171" s="92" t="str">
        <f>IFERROR(VLOOKUP(A2171,Lookup!A:C,3,0),"")</f>
        <v/>
      </c>
      <c r="D2171" s="54"/>
      <c r="E2171" s="54"/>
      <c r="F2171" s="54"/>
      <c r="G2171" s="72"/>
      <c r="H2171" s="54"/>
      <c r="I2171" s="54"/>
      <c r="J2171" s="107"/>
      <c r="K2171" s="115"/>
      <c r="L2171" s="54"/>
      <c r="M2171" s="54"/>
      <c r="N2171" s="54"/>
      <c r="O2171" s="68"/>
      <c r="P2171" s="110" t="str">
        <f t="shared" si="124"/>
        <v/>
      </c>
      <c r="Q2171" s="54"/>
      <c r="R2171" s="58"/>
      <c r="S2171" s="87" t="str">
        <f t="shared" si="125"/>
        <v/>
      </c>
      <c r="T2171" s="54"/>
      <c r="U2171" s="54"/>
      <c r="V2171" s="54"/>
      <c r="W2171" s="54"/>
      <c r="X2171" s="69"/>
    </row>
    <row r="2172" spans="1:24" s="66" customFormat="1" x14ac:dyDescent="0.25">
      <c r="A2172" s="51"/>
      <c r="B2172" s="91" t="str">
        <f>IFERROR(VLOOKUP(A2172,Lookup!A:B,2,0),"")</f>
        <v/>
      </c>
      <c r="C2172" s="92" t="str">
        <f>IFERROR(VLOOKUP(A2172,Lookup!A:C,3,0),"")</f>
        <v/>
      </c>
      <c r="D2172" s="54"/>
      <c r="E2172" s="54"/>
      <c r="F2172" s="54"/>
      <c r="G2172" s="72"/>
      <c r="H2172" s="54"/>
      <c r="I2172" s="54"/>
      <c r="J2172" s="107"/>
      <c r="K2172" s="115"/>
      <c r="L2172" s="54"/>
      <c r="M2172" s="54"/>
      <c r="N2172" s="54"/>
      <c r="O2172" s="68"/>
      <c r="P2172" s="110" t="str">
        <f t="shared" si="124"/>
        <v/>
      </c>
      <c r="Q2172" s="54"/>
      <c r="R2172" s="58"/>
      <c r="S2172" s="87" t="str">
        <f t="shared" si="125"/>
        <v/>
      </c>
      <c r="T2172" s="54"/>
      <c r="U2172" s="54"/>
      <c r="V2172" s="54"/>
      <c r="W2172" s="54"/>
      <c r="X2172" s="69"/>
    </row>
    <row r="2173" spans="1:24" s="66" customFormat="1" x14ac:dyDescent="0.25">
      <c r="A2173" s="51"/>
      <c r="B2173" s="91" t="str">
        <f>IFERROR(VLOOKUP(A2173,Lookup!A:B,2,0),"")</f>
        <v/>
      </c>
      <c r="C2173" s="92" t="str">
        <f>IFERROR(VLOOKUP(A2173,Lookup!A:C,3,0),"")</f>
        <v/>
      </c>
      <c r="D2173" s="54"/>
      <c r="E2173" s="54"/>
      <c r="F2173" s="54"/>
      <c r="G2173" s="72"/>
      <c r="H2173" s="54"/>
      <c r="I2173" s="54"/>
      <c r="J2173" s="107"/>
      <c r="K2173" s="115"/>
      <c r="L2173" s="54"/>
      <c r="M2173" s="54"/>
      <c r="N2173" s="54"/>
      <c r="O2173" s="68"/>
      <c r="P2173" s="110" t="str">
        <f t="shared" si="124"/>
        <v/>
      </c>
      <c r="Q2173" s="54"/>
      <c r="R2173" s="58"/>
      <c r="S2173" s="87" t="str">
        <f t="shared" si="125"/>
        <v/>
      </c>
      <c r="T2173" s="54"/>
      <c r="U2173" s="54"/>
      <c r="V2173" s="54"/>
      <c r="W2173" s="54"/>
      <c r="X2173" s="69"/>
    </row>
    <row r="2174" spans="1:24" s="66" customFormat="1" x14ac:dyDescent="0.25">
      <c r="A2174" s="51"/>
      <c r="B2174" s="91" t="str">
        <f>IFERROR(VLOOKUP(A2174,Lookup!A:B,2,0),"")</f>
        <v/>
      </c>
      <c r="C2174" s="92" t="str">
        <f>IFERROR(VLOOKUP(A2174,Lookup!A:C,3,0),"")</f>
        <v/>
      </c>
      <c r="D2174" s="54"/>
      <c r="E2174" s="54"/>
      <c r="F2174" s="54"/>
      <c r="G2174" s="72"/>
      <c r="H2174" s="54"/>
      <c r="I2174" s="54"/>
      <c r="J2174" s="107"/>
      <c r="K2174" s="115"/>
      <c r="L2174" s="54"/>
      <c r="M2174" s="54"/>
      <c r="N2174" s="54"/>
      <c r="O2174" s="68"/>
      <c r="P2174" s="110" t="str">
        <f t="shared" si="124"/>
        <v/>
      </c>
      <c r="Q2174" s="54"/>
      <c r="R2174" s="58"/>
      <c r="S2174" s="87" t="str">
        <f t="shared" si="125"/>
        <v/>
      </c>
      <c r="T2174" s="54"/>
      <c r="U2174" s="54"/>
      <c r="V2174" s="54"/>
      <c r="W2174" s="54"/>
      <c r="X2174" s="69"/>
    </row>
    <row r="2175" spans="1:24" s="66" customFormat="1" x14ac:dyDescent="0.25">
      <c r="A2175" s="51"/>
      <c r="B2175" s="91" t="str">
        <f>IFERROR(VLOOKUP(A2175,Lookup!A:B,2,0),"")</f>
        <v/>
      </c>
      <c r="C2175" s="92" t="str">
        <f>IFERROR(VLOOKUP(A2175,Lookup!A:C,3,0),"")</f>
        <v/>
      </c>
      <c r="D2175" s="54"/>
      <c r="E2175" s="54"/>
      <c r="F2175" s="54"/>
      <c r="G2175" s="72"/>
      <c r="H2175" s="54"/>
      <c r="I2175" s="54"/>
      <c r="J2175" s="107"/>
      <c r="K2175" s="115"/>
      <c r="L2175" s="54"/>
      <c r="M2175" s="54"/>
      <c r="N2175" s="54"/>
      <c r="O2175" s="68"/>
      <c r="P2175" s="110" t="str">
        <f t="shared" si="124"/>
        <v/>
      </c>
      <c r="Q2175" s="54"/>
      <c r="R2175" s="58"/>
      <c r="S2175" s="87" t="str">
        <f t="shared" si="125"/>
        <v/>
      </c>
      <c r="T2175" s="54"/>
      <c r="U2175" s="54"/>
      <c r="V2175" s="54"/>
      <c r="W2175" s="54"/>
      <c r="X2175" s="69"/>
    </row>
    <row r="2176" spans="1:24" s="66" customFormat="1" x14ac:dyDescent="0.25">
      <c r="A2176" s="51"/>
      <c r="B2176" s="91" t="str">
        <f>IFERROR(VLOOKUP(A2176,Lookup!A:B,2,0),"")</f>
        <v/>
      </c>
      <c r="C2176" s="92" t="str">
        <f>IFERROR(VLOOKUP(A2176,Lookup!A:C,3,0),"")</f>
        <v/>
      </c>
      <c r="D2176" s="54"/>
      <c r="E2176" s="54"/>
      <c r="F2176" s="54"/>
      <c r="G2176" s="72"/>
      <c r="H2176" s="54"/>
      <c r="I2176" s="54"/>
      <c r="J2176" s="107"/>
      <c r="K2176" s="115"/>
      <c r="L2176" s="54"/>
      <c r="M2176" s="54"/>
      <c r="N2176" s="54"/>
      <c r="O2176" s="68"/>
      <c r="P2176" s="110" t="str">
        <f t="shared" si="124"/>
        <v/>
      </c>
      <c r="Q2176" s="54"/>
      <c r="R2176" s="58"/>
      <c r="S2176" s="87" t="str">
        <f t="shared" si="125"/>
        <v/>
      </c>
      <c r="T2176" s="54"/>
      <c r="U2176" s="54"/>
      <c r="V2176" s="54"/>
      <c r="W2176" s="54"/>
      <c r="X2176" s="69"/>
    </row>
    <row r="2177" spans="1:24" s="66" customFormat="1" x14ac:dyDescent="0.25">
      <c r="A2177" s="51"/>
      <c r="B2177" s="91" t="str">
        <f>IFERROR(VLOOKUP(A2177,Lookup!A:B,2,0),"")</f>
        <v/>
      </c>
      <c r="C2177" s="92" t="str">
        <f>IFERROR(VLOOKUP(A2177,Lookup!A:C,3,0),"")</f>
        <v/>
      </c>
      <c r="D2177" s="54"/>
      <c r="E2177" s="54"/>
      <c r="F2177" s="54"/>
      <c r="G2177" s="72"/>
      <c r="H2177" s="54"/>
      <c r="I2177" s="54"/>
      <c r="J2177" s="107"/>
      <c r="K2177" s="115"/>
      <c r="L2177" s="54"/>
      <c r="M2177" s="54"/>
      <c r="N2177" s="54"/>
      <c r="O2177" s="68"/>
      <c r="P2177" s="110" t="str">
        <f t="shared" si="124"/>
        <v/>
      </c>
      <c r="Q2177" s="54"/>
      <c r="R2177" s="58"/>
      <c r="S2177" s="87" t="str">
        <f t="shared" si="125"/>
        <v/>
      </c>
      <c r="T2177" s="54"/>
      <c r="U2177" s="54"/>
      <c r="V2177" s="54"/>
      <c r="W2177" s="54"/>
      <c r="X2177" s="69"/>
    </row>
    <row r="2178" spans="1:24" s="66" customFormat="1" x14ac:dyDescent="0.25">
      <c r="A2178" s="51"/>
      <c r="B2178" s="91" t="str">
        <f>IFERROR(VLOOKUP(A2178,Lookup!A:B,2,0),"")</f>
        <v/>
      </c>
      <c r="C2178" s="92" t="str">
        <f>IFERROR(VLOOKUP(A2178,Lookup!A:C,3,0),"")</f>
        <v/>
      </c>
      <c r="D2178" s="54"/>
      <c r="E2178" s="54"/>
      <c r="F2178" s="54"/>
      <c r="G2178" s="72"/>
      <c r="H2178" s="54"/>
      <c r="I2178" s="54"/>
      <c r="J2178" s="107"/>
      <c r="K2178" s="115"/>
      <c r="L2178" s="54"/>
      <c r="M2178" s="54"/>
      <c r="N2178" s="54"/>
      <c r="O2178" s="68"/>
      <c r="P2178" s="110" t="str">
        <f t="shared" si="124"/>
        <v/>
      </c>
      <c r="Q2178" s="54"/>
      <c r="R2178" s="58"/>
      <c r="S2178" s="87" t="str">
        <f t="shared" si="125"/>
        <v/>
      </c>
      <c r="T2178" s="54"/>
      <c r="U2178" s="54"/>
      <c r="V2178" s="54"/>
      <c r="W2178" s="54"/>
      <c r="X2178" s="69"/>
    </row>
    <row r="2179" spans="1:24" s="66" customFormat="1" x14ac:dyDescent="0.25">
      <c r="A2179" s="51"/>
      <c r="B2179" s="91" t="str">
        <f>IFERROR(VLOOKUP(A2179,Lookup!A:B,2,0),"")</f>
        <v/>
      </c>
      <c r="C2179" s="92" t="str">
        <f>IFERROR(VLOOKUP(A2179,Lookup!A:C,3,0),"")</f>
        <v/>
      </c>
      <c r="D2179" s="54"/>
      <c r="E2179" s="54"/>
      <c r="F2179" s="54"/>
      <c r="G2179" s="72"/>
      <c r="H2179" s="54"/>
      <c r="I2179" s="54"/>
      <c r="J2179" s="107"/>
      <c r="K2179" s="115"/>
      <c r="L2179" s="54"/>
      <c r="M2179" s="54"/>
      <c r="N2179" s="54"/>
      <c r="O2179" s="68"/>
      <c r="P2179" s="110" t="str">
        <f t="shared" ref="P2179:P2242" si="126">IF(N2179="","",N2179+O2179)</f>
        <v/>
      </c>
      <c r="Q2179" s="54"/>
      <c r="R2179" s="58"/>
      <c r="S2179" s="87" t="str">
        <f t="shared" si="125"/>
        <v/>
      </c>
      <c r="T2179" s="54"/>
      <c r="U2179" s="54"/>
      <c r="V2179" s="54"/>
      <c r="W2179" s="54"/>
      <c r="X2179" s="69"/>
    </row>
    <row r="2180" spans="1:24" s="66" customFormat="1" x14ac:dyDescent="0.25">
      <c r="A2180" s="51"/>
      <c r="B2180" s="91" t="str">
        <f>IFERROR(VLOOKUP(A2180,Lookup!A:B,2,0),"")</f>
        <v/>
      </c>
      <c r="C2180" s="92" t="str">
        <f>IFERROR(VLOOKUP(A2180,Lookup!A:C,3,0),"")</f>
        <v/>
      </c>
      <c r="D2180" s="54"/>
      <c r="E2180" s="54"/>
      <c r="F2180" s="54"/>
      <c r="G2180" s="72"/>
      <c r="H2180" s="54"/>
      <c r="I2180" s="54"/>
      <c r="J2180" s="107"/>
      <c r="K2180" s="115"/>
      <c r="L2180" s="54"/>
      <c r="M2180" s="54"/>
      <c r="N2180" s="54"/>
      <c r="O2180" s="68"/>
      <c r="P2180" s="110" t="str">
        <f t="shared" si="126"/>
        <v/>
      </c>
      <c r="Q2180" s="54"/>
      <c r="R2180" s="58"/>
      <c r="S2180" s="87" t="str">
        <f t="shared" si="125"/>
        <v/>
      </c>
      <c r="T2180" s="54"/>
      <c r="U2180" s="54"/>
      <c r="V2180" s="54"/>
      <c r="W2180" s="54"/>
      <c r="X2180" s="69"/>
    </row>
    <row r="2181" spans="1:24" s="66" customFormat="1" x14ac:dyDescent="0.25">
      <c r="A2181" s="51"/>
      <c r="B2181" s="91" t="str">
        <f>IFERROR(VLOOKUP(A2181,Lookup!A:B,2,0),"")</f>
        <v/>
      </c>
      <c r="C2181" s="92" t="str">
        <f>IFERROR(VLOOKUP(A2181,Lookup!A:C,3,0),"")</f>
        <v/>
      </c>
      <c r="D2181" s="54"/>
      <c r="E2181" s="54"/>
      <c r="F2181" s="54"/>
      <c r="G2181" s="72"/>
      <c r="H2181" s="54"/>
      <c r="I2181" s="54"/>
      <c r="J2181" s="107"/>
      <c r="K2181" s="115"/>
      <c r="L2181" s="54"/>
      <c r="M2181" s="54"/>
      <c r="N2181" s="54"/>
      <c r="O2181" s="68"/>
      <c r="P2181" s="110" t="str">
        <f t="shared" si="126"/>
        <v/>
      </c>
      <c r="Q2181" s="54"/>
      <c r="R2181" s="58"/>
      <c r="S2181" s="87" t="str">
        <f t="shared" si="125"/>
        <v/>
      </c>
      <c r="T2181" s="54"/>
      <c r="U2181" s="54"/>
      <c r="V2181" s="54"/>
      <c r="W2181" s="54"/>
      <c r="X2181" s="69"/>
    </row>
    <row r="2182" spans="1:24" s="66" customFormat="1" x14ac:dyDescent="0.25">
      <c r="A2182" s="51"/>
      <c r="B2182" s="91" t="str">
        <f>IFERROR(VLOOKUP(A2182,Lookup!A:B,2,0),"")</f>
        <v/>
      </c>
      <c r="C2182" s="92" t="str">
        <f>IFERROR(VLOOKUP(A2182,Lookup!A:C,3,0),"")</f>
        <v/>
      </c>
      <c r="D2182" s="54"/>
      <c r="E2182" s="54"/>
      <c r="F2182" s="54"/>
      <c r="G2182" s="72"/>
      <c r="H2182" s="54"/>
      <c r="I2182" s="54"/>
      <c r="J2182" s="107"/>
      <c r="K2182" s="115"/>
      <c r="L2182" s="54"/>
      <c r="M2182" s="54"/>
      <c r="N2182" s="54"/>
      <c r="O2182" s="68"/>
      <c r="P2182" s="110" t="str">
        <f t="shared" si="126"/>
        <v/>
      </c>
      <c r="Q2182" s="54"/>
      <c r="R2182" s="58"/>
      <c r="S2182" s="87" t="str">
        <f t="shared" si="125"/>
        <v/>
      </c>
      <c r="T2182" s="54"/>
      <c r="U2182" s="54"/>
      <c r="V2182" s="54"/>
      <c r="W2182" s="54"/>
      <c r="X2182" s="69"/>
    </row>
    <row r="2183" spans="1:24" s="66" customFormat="1" x14ac:dyDescent="0.25">
      <c r="A2183" s="51"/>
      <c r="B2183" s="91" t="str">
        <f>IFERROR(VLOOKUP(A2183,Lookup!A:B,2,0),"")</f>
        <v/>
      </c>
      <c r="C2183" s="92" t="str">
        <f>IFERROR(VLOOKUP(A2183,Lookup!A:C,3,0),"")</f>
        <v/>
      </c>
      <c r="D2183" s="54"/>
      <c r="E2183" s="54"/>
      <c r="F2183" s="54"/>
      <c r="G2183" s="72"/>
      <c r="H2183" s="54"/>
      <c r="I2183" s="54"/>
      <c r="J2183" s="107"/>
      <c r="K2183" s="115"/>
      <c r="L2183" s="54"/>
      <c r="M2183" s="54"/>
      <c r="N2183" s="54"/>
      <c r="O2183" s="68"/>
      <c r="P2183" s="110" t="str">
        <f t="shared" si="126"/>
        <v/>
      </c>
      <c r="Q2183" s="54"/>
      <c r="R2183" s="58"/>
      <c r="S2183" s="87" t="str">
        <f t="shared" ref="S2183:S2246" si="127">IF(OR(EXACT(Q2183,""), EXACT(L2183,"")),"",Q2183-L2183)</f>
        <v/>
      </c>
      <c r="T2183" s="54"/>
      <c r="U2183" s="54"/>
      <c r="V2183" s="54"/>
      <c r="W2183" s="54"/>
      <c r="X2183" s="69"/>
    </row>
    <row r="2184" spans="1:24" s="66" customFormat="1" x14ac:dyDescent="0.25">
      <c r="A2184" s="51"/>
      <c r="B2184" s="91" t="str">
        <f>IFERROR(VLOOKUP(A2184,Lookup!A:B,2,0),"")</f>
        <v/>
      </c>
      <c r="C2184" s="92" t="str">
        <f>IFERROR(VLOOKUP(A2184,Lookup!A:C,3,0),"")</f>
        <v/>
      </c>
      <c r="D2184" s="54"/>
      <c r="E2184" s="54"/>
      <c r="F2184" s="54"/>
      <c r="G2184" s="72"/>
      <c r="H2184" s="54"/>
      <c r="I2184" s="54"/>
      <c r="J2184" s="107"/>
      <c r="K2184" s="115"/>
      <c r="L2184" s="54"/>
      <c r="M2184" s="54"/>
      <c r="N2184" s="54"/>
      <c r="O2184" s="68"/>
      <c r="P2184" s="110" t="str">
        <f t="shared" si="126"/>
        <v/>
      </c>
      <c r="Q2184" s="54"/>
      <c r="R2184" s="58"/>
      <c r="S2184" s="87" t="str">
        <f t="shared" si="127"/>
        <v/>
      </c>
      <c r="T2184" s="54"/>
      <c r="U2184" s="54"/>
      <c r="V2184" s="54"/>
      <c r="W2184" s="54"/>
      <c r="X2184" s="69"/>
    </row>
    <row r="2185" spans="1:24" s="66" customFormat="1" x14ac:dyDescent="0.25">
      <c r="A2185" s="51"/>
      <c r="B2185" s="91" t="str">
        <f>IFERROR(VLOOKUP(A2185,Lookup!A:B,2,0),"")</f>
        <v/>
      </c>
      <c r="C2185" s="92" t="str">
        <f>IFERROR(VLOOKUP(A2185,Lookup!A:C,3,0),"")</f>
        <v/>
      </c>
      <c r="D2185" s="54"/>
      <c r="E2185" s="54"/>
      <c r="F2185" s="54"/>
      <c r="G2185" s="72"/>
      <c r="H2185" s="54"/>
      <c r="I2185" s="54"/>
      <c r="J2185" s="107"/>
      <c r="K2185" s="115"/>
      <c r="L2185" s="54"/>
      <c r="M2185" s="54"/>
      <c r="N2185" s="54"/>
      <c r="O2185" s="68"/>
      <c r="P2185" s="110" t="str">
        <f t="shared" si="126"/>
        <v/>
      </c>
      <c r="Q2185" s="54"/>
      <c r="R2185" s="58"/>
      <c r="S2185" s="87" t="str">
        <f t="shared" si="127"/>
        <v/>
      </c>
      <c r="T2185" s="54"/>
      <c r="U2185" s="54"/>
      <c r="V2185" s="54"/>
      <c r="W2185" s="54"/>
      <c r="X2185" s="69"/>
    </row>
    <row r="2186" spans="1:24" s="66" customFormat="1" x14ac:dyDescent="0.25">
      <c r="A2186" s="51"/>
      <c r="B2186" s="91" t="str">
        <f>IFERROR(VLOOKUP(A2186,Lookup!A:B,2,0),"")</f>
        <v/>
      </c>
      <c r="C2186" s="92" t="str">
        <f>IFERROR(VLOOKUP(A2186,Lookup!A:C,3,0),"")</f>
        <v/>
      </c>
      <c r="D2186" s="54"/>
      <c r="E2186" s="54"/>
      <c r="F2186" s="54"/>
      <c r="G2186" s="72"/>
      <c r="H2186" s="54"/>
      <c r="I2186" s="54"/>
      <c r="J2186" s="107"/>
      <c r="K2186" s="115"/>
      <c r="L2186" s="54"/>
      <c r="M2186" s="54"/>
      <c r="N2186" s="54"/>
      <c r="O2186" s="68"/>
      <c r="P2186" s="110" t="str">
        <f t="shared" si="126"/>
        <v/>
      </c>
      <c r="Q2186" s="54"/>
      <c r="R2186" s="58"/>
      <c r="S2186" s="87" t="str">
        <f t="shared" si="127"/>
        <v/>
      </c>
      <c r="T2186" s="54"/>
      <c r="U2186" s="54"/>
      <c r="V2186" s="54"/>
      <c r="W2186" s="54"/>
      <c r="X2186" s="69"/>
    </row>
    <row r="2187" spans="1:24" s="66" customFormat="1" x14ac:dyDescent="0.25">
      <c r="A2187" s="51"/>
      <c r="B2187" s="91" t="str">
        <f>IFERROR(VLOOKUP(A2187,Lookup!A:B,2,0),"")</f>
        <v/>
      </c>
      <c r="C2187" s="92" t="str">
        <f>IFERROR(VLOOKUP(A2187,Lookup!A:C,3,0),"")</f>
        <v/>
      </c>
      <c r="D2187" s="54"/>
      <c r="E2187" s="54"/>
      <c r="F2187" s="54"/>
      <c r="G2187" s="72"/>
      <c r="H2187" s="54"/>
      <c r="I2187" s="54"/>
      <c r="J2187" s="107"/>
      <c r="K2187" s="115"/>
      <c r="L2187" s="54"/>
      <c r="M2187" s="54"/>
      <c r="N2187" s="54"/>
      <c r="O2187" s="68"/>
      <c r="P2187" s="110" t="str">
        <f t="shared" si="126"/>
        <v/>
      </c>
      <c r="Q2187" s="54"/>
      <c r="R2187" s="58"/>
      <c r="S2187" s="87" t="str">
        <f t="shared" si="127"/>
        <v/>
      </c>
      <c r="T2187" s="54"/>
      <c r="U2187" s="54"/>
      <c r="V2187" s="54"/>
      <c r="W2187" s="54"/>
      <c r="X2187" s="69"/>
    </row>
    <row r="2188" spans="1:24" s="66" customFormat="1" x14ac:dyDescent="0.25">
      <c r="A2188" s="51"/>
      <c r="B2188" s="91" t="str">
        <f>IFERROR(VLOOKUP(A2188,Lookup!A:B,2,0),"")</f>
        <v/>
      </c>
      <c r="C2188" s="92" t="str">
        <f>IFERROR(VLOOKUP(A2188,Lookup!A:C,3,0),"")</f>
        <v/>
      </c>
      <c r="D2188" s="54"/>
      <c r="E2188" s="54"/>
      <c r="F2188" s="54"/>
      <c r="G2188" s="72"/>
      <c r="H2188" s="54"/>
      <c r="I2188" s="54"/>
      <c r="J2188" s="107"/>
      <c r="K2188" s="115"/>
      <c r="L2188" s="54"/>
      <c r="M2188" s="54"/>
      <c r="N2188" s="54"/>
      <c r="O2188" s="68"/>
      <c r="P2188" s="110" t="str">
        <f t="shared" si="126"/>
        <v/>
      </c>
      <c r="Q2188" s="54"/>
      <c r="R2188" s="58"/>
      <c r="S2188" s="87" t="str">
        <f t="shared" si="127"/>
        <v/>
      </c>
      <c r="T2188" s="54"/>
      <c r="U2188" s="54"/>
      <c r="V2188" s="54"/>
      <c r="W2188" s="54"/>
      <c r="X2188" s="69"/>
    </row>
    <row r="2189" spans="1:24" s="66" customFormat="1" x14ac:dyDescent="0.25">
      <c r="A2189" s="51"/>
      <c r="B2189" s="91" t="str">
        <f>IFERROR(VLOOKUP(A2189,Lookup!A:B,2,0),"")</f>
        <v/>
      </c>
      <c r="C2189" s="92" t="str">
        <f>IFERROR(VLOOKUP(A2189,Lookup!A:C,3,0),"")</f>
        <v/>
      </c>
      <c r="D2189" s="54"/>
      <c r="E2189" s="54"/>
      <c r="F2189" s="54"/>
      <c r="G2189" s="72"/>
      <c r="H2189" s="54"/>
      <c r="I2189" s="54"/>
      <c r="J2189" s="107"/>
      <c r="K2189" s="115"/>
      <c r="L2189" s="54"/>
      <c r="M2189" s="54"/>
      <c r="N2189" s="54"/>
      <c r="O2189" s="68"/>
      <c r="P2189" s="110" t="str">
        <f t="shared" si="126"/>
        <v/>
      </c>
      <c r="Q2189" s="54"/>
      <c r="R2189" s="58"/>
      <c r="S2189" s="87" t="str">
        <f t="shared" si="127"/>
        <v/>
      </c>
      <c r="T2189" s="54"/>
      <c r="U2189" s="54"/>
      <c r="V2189" s="54"/>
      <c r="W2189" s="54"/>
      <c r="X2189" s="69"/>
    </row>
    <row r="2190" spans="1:24" s="66" customFormat="1" x14ac:dyDescent="0.25">
      <c r="A2190" s="51"/>
      <c r="B2190" s="91" t="str">
        <f>IFERROR(VLOOKUP(A2190,Lookup!A:B,2,0),"")</f>
        <v/>
      </c>
      <c r="C2190" s="92" t="str">
        <f>IFERROR(VLOOKUP(A2190,Lookup!A:C,3,0),"")</f>
        <v/>
      </c>
      <c r="D2190" s="54"/>
      <c r="E2190" s="54"/>
      <c r="F2190" s="54"/>
      <c r="G2190" s="72"/>
      <c r="H2190" s="54"/>
      <c r="I2190" s="54"/>
      <c r="J2190" s="107"/>
      <c r="K2190" s="115"/>
      <c r="L2190" s="54"/>
      <c r="M2190" s="54"/>
      <c r="N2190" s="54"/>
      <c r="O2190" s="68"/>
      <c r="P2190" s="110" t="str">
        <f t="shared" si="126"/>
        <v/>
      </c>
      <c r="Q2190" s="54"/>
      <c r="R2190" s="58"/>
      <c r="S2190" s="87" t="str">
        <f t="shared" si="127"/>
        <v/>
      </c>
      <c r="T2190" s="54"/>
      <c r="U2190" s="54"/>
      <c r="V2190" s="54"/>
      <c r="W2190" s="54"/>
      <c r="X2190" s="69"/>
    </row>
    <row r="2191" spans="1:24" s="66" customFormat="1" x14ac:dyDescent="0.25">
      <c r="A2191" s="51"/>
      <c r="B2191" s="91" t="str">
        <f>IFERROR(VLOOKUP(A2191,Lookup!A:B,2,0),"")</f>
        <v/>
      </c>
      <c r="C2191" s="92" t="str">
        <f>IFERROR(VLOOKUP(A2191,Lookup!A:C,3,0),"")</f>
        <v/>
      </c>
      <c r="D2191" s="54"/>
      <c r="E2191" s="54"/>
      <c r="F2191" s="54"/>
      <c r="G2191" s="72"/>
      <c r="H2191" s="54"/>
      <c r="I2191" s="54"/>
      <c r="J2191" s="107"/>
      <c r="K2191" s="115"/>
      <c r="L2191" s="54"/>
      <c r="M2191" s="54"/>
      <c r="N2191" s="54"/>
      <c r="O2191" s="68"/>
      <c r="P2191" s="110" t="str">
        <f t="shared" si="126"/>
        <v/>
      </c>
      <c r="Q2191" s="54"/>
      <c r="R2191" s="58"/>
      <c r="S2191" s="87" t="str">
        <f t="shared" si="127"/>
        <v/>
      </c>
      <c r="T2191" s="54"/>
      <c r="U2191" s="54"/>
      <c r="V2191" s="54"/>
      <c r="W2191" s="54"/>
      <c r="X2191" s="69"/>
    </row>
    <row r="2192" spans="1:24" s="66" customFormat="1" x14ac:dyDescent="0.25">
      <c r="A2192" s="51"/>
      <c r="B2192" s="91" t="str">
        <f>IFERROR(VLOOKUP(A2192,Lookup!A:B,2,0),"")</f>
        <v/>
      </c>
      <c r="C2192" s="92" t="str">
        <f>IFERROR(VLOOKUP(A2192,Lookup!A:C,3,0),"")</f>
        <v/>
      </c>
      <c r="D2192" s="54"/>
      <c r="E2192" s="54"/>
      <c r="F2192" s="54"/>
      <c r="G2192" s="72"/>
      <c r="H2192" s="54"/>
      <c r="I2192" s="54"/>
      <c r="J2192" s="107"/>
      <c r="K2192" s="115"/>
      <c r="L2192" s="54"/>
      <c r="M2192" s="54"/>
      <c r="N2192" s="54"/>
      <c r="O2192" s="68"/>
      <c r="P2192" s="110" t="str">
        <f t="shared" si="126"/>
        <v/>
      </c>
      <c r="Q2192" s="54"/>
      <c r="R2192" s="58"/>
      <c r="S2192" s="87" t="str">
        <f t="shared" si="127"/>
        <v/>
      </c>
      <c r="T2192" s="54"/>
      <c r="U2192" s="54"/>
      <c r="V2192" s="54"/>
      <c r="W2192" s="54"/>
      <c r="X2192" s="69"/>
    </row>
    <row r="2193" spans="1:24" s="66" customFormat="1" x14ac:dyDescent="0.25">
      <c r="A2193" s="51"/>
      <c r="B2193" s="91" t="str">
        <f>IFERROR(VLOOKUP(A2193,Lookup!A:B,2,0),"")</f>
        <v/>
      </c>
      <c r="C2193" s="92" t="str">
        <f>IFERROR(VLOOKUP(A2193,Lookup!A:C,3,0),"")</f>
        <v/>
      </c>
      <c r="D2193" s="54"/>
      <c r="E2193" s="54"/>
      <c r="F2193" s="54"/>
      <c r="G2193" s="72"/>
      <c r="H2193" s="54"/>
      <c r="I2193" s="54"/>
      <c r="J2193" s="107"/>
      <c r="K2193" s="115"/>
      <c r="L2193" s="54"/>
      <c r="M2193" s="54"/>
      <c r="N2193" s="54"/>
      <c r="O2193" s="68"/>
      <c r="P2193" s="110" t="str">
        <f t="shared" si="126"/>
        <v/>
      </c>
      <c r="Q2193" s="54"/>
      <c r="R2193" s="58"/>
      <c r="S2193" s="87" t="str">
        <f t="shared" si="127"/>
        <v/>
      </c>
      <c r="T2193" s="54"/>
      <c r="U2193" s="54"/>
      <c r="V2193" s="54"/>
      <c r="W2193" s="54"/>
      <c r="X2193" s="69"/>
    </row>
    <row r="2194" spans="1:24" s="66" customFormat="1" x14ac:dyDescent="0.25">
      <c r="A2194" s="51"/>
      <c r="B2194" s="91" t="str">
        <f>IFERROR(VLOOKUP(A2194,Lookup!A:B,2,0),"")</f>
        <v/>
      </c>
      <c r="C2194" s="92" t="str">
        <f>IFERROR(VLOOKUP(A2194,Lookup!A:C,3,0),"")</f>
        <v/>
      </c>
      <c r="D2194" s="54"/>
      <c r="E2194" s="54"/>
      <c r="F2194" s="54"/>
      <c r="G2194" s="72"/>
      <c r="H2194" s="54"/>
      <c r="I2194" s="54"/>
      <c r="J2194" s="107"/>
      <c r="K2194" s="115"/>
      <c r="L2194" s="54"/>
      <c r="M2194" s="54"/>
      <c r="N2194" s="54"/>
      <c r="O2194" s="68"/>
      <c r="P2194" s="110" t="str">
        <f t="shared" si="126"/>
        <v/>
      </c>
      <c r="Q2194" s="54"/>
      <c r="R2194" s="58"/>
      <c r="S2194" s="87" t="str">
        <f t="shared" si="127"/>
        <v/>
      </c>
      <c r="T2194" s="54"/>
      <c r="U2194" s="54"/>
      <c r="V2194" s="54"/>
      <c r="W2194" s="54"/>
      <c r="X2194" s="69"/>
    </row>
    <row r="2195" spans="1:24" s="66" customFormat="1" x14ac:dyDescent="0.25">
      <c r="A2195" s="51"/>
      <c r="B2195" s="91" t="str">
        <f>IFERROR(VLOOKUP(A2195,Lookup!A:B,2,0),"")</f>
        <v/>
      </c>
      <c r="C2195" s="92" t="str">
        <f>IFERROR(VLOOKUP(A2195,Lookup!A:C,3,0),"")</f>
        <v/>
      </c>
      <c r="D2195" s="54"/>
      <c r="E2195" s="54"/>
      <c r="F2195" s="54"/>
      <c r="G2195" s="72"/>
      <c r="H2195" s="54"/>
      <c r="I2195" s="54"/>
      <c r="J2195" s="107"/>
      <c r="K2195" s="115"/>
      <c r="L2195" s="54"/>
      <c r="M2195" s="54"/>
      <c r="N2195" s="54"/>
      <c r="O2195" s="68"/>
      <c r="P2195" s="110" t="str">
        <f t="shared" si="126"/>
        <v/>
      </c>
      <c r="Q2195" s="54"/>
      <c r="R2195" s="58"/>
      <c r="S2195" s="87" t="str">
        <f t="shared" si="127"/>
        <v/>
      </c>
      <c r="T2195" s="54"/>
      <c r="U2195" s="54"/>
      <c r="V2195" s="54"/>
      <c r="W2195" s="54"/>
      <c r="X2195" s="69"/>
    </row>
    <row r="2196" spans="1:24" s="66" customFormat="1" x14ac:dyDescent="0.25">
      <c r="A2196" s="51"/>
      <c r="B2196" s="91" t="str">
        <f>IFERROR(VLOOKUP(A2196,Lookup!A:B,2,0),"")</f>
        <v/>
      </c>
      <c r="C2196" s="92" t="str">
        <f>IFERROR(VLOOKUP(A2196,Lookup!A:C,3,0),"")</f>
        <v/>
      </c>
      <c r="D2196" s="54"/>
      <c r="E2196" s="54"/>
      <c r="F2196" s="54"/>
      <c r="G2196" s="72"/>
      <c r="H2196" s="54"/>
      <c r="I2196" s="54"/>
      <c r="J2196" s="107"/>
      <c r="K2196" s="115"/>
      <c r="L2196" s="54"/>
      <c r="M2196" s="54"/>
      <c r="N2196" s="54"/>
      <c r="O2196" s="68"/>
      <c r="P2196" s="110" t="str">
        <f t="shared" si="126"/>
        <v/>
      </c>
      <c r="Q2196" s="54"/>
      <c r="R2196" s="58"/>
      <c r="S2196" s="87" t="str">
        <f t="shared" si="127"/>
        <v/>
      </c>
      <c r="T2196" s="54"/>
      <c r="U2196" s="54"/>
      <c r="V2196" s="54"/>
      <c r="W2196" s="54"/>
      <c r="X2196" s="69"/>
    </row>
    <row r="2197" spans="1:24" s="66" customFormat="1" x14ac:dyDescent="0.25">
      <c r="A2197" s="51"/>
      <c r="B2197" s="91" t="str">
        <f>IFERROR(VLOOKUP(A2197,Lookup!A:B,2,0),"")</f>
        <v/>
      </c>
      <c r="C2197" s="92" t="str">
        <f>IFERROR(VLOOKUP(A2197,Lookup!A:C,3,0),"")</f>
        <v/>
      </c>
      <c r="D2197" s="54"/>
      <c r="E2197" s="54"/>
      <c r="F2197" s="54"/>
      <c r="G2197" s="72"/>
      <c r="H2197" s="54"/>
      <c r="I2197" s="54"/>
      <c r="J2197" s="107"/>
      <c r="K2197" s="115"/>
      <c r="L2197" s="54"/>
      <c r="M2197" s="54"/>
      <c r="N2197" s="54"/>
      <c r="O2197" s="68"/>
      <c r="P2197" s="110" t="str">
        <f t="shared" si="126"/>
        <v/>
      </c>
      <c r="Q2197" s="54"/>
      <c r="R2197" s="58"/>
      <c r="S2197" s="87" t="str">
        <f t="shared" si="127"/>
        <v/>
      </c>
      <c r="T2197" s="54"/>
      <c r="U2197" s="54"/>
      <c r="V2197" s="54"/>
      <c r="W2197" s="54"/>
      <c r="X2197" s="69"/>
    </row>
    <row r="2198" spans="1:24" s="66" customFormat="1" x14ac:dyDescent="0.25">
      <c r="A2198" s="51"/>
      <c r="B2198" s="91" t="str">
        <f>IFERROR(VLOOKUP(A2198,Lookup!A:B,2,0),"")</f>
        <v/>
      </c>
      <c r="C2198" s="92" t="str">
        <f>IFERROR(VLOOKUP(A2198,Lookup!A:C,3,0),"")</f>
        <v/>
      </c>
      <c r="D2198" s="54"/>
      <c r="E2198" s="54"/>
      <c r="F2198" s="54"/>
      <c r="G2198" s="72"/>
      <c r="H2198" s="54"/>
      <c r="I2198" s="54"/>
      <c r="J2198" s="107"/>
      <c r="K2198" s="115"/>
      <c r="L2198" s="54"/>
      <c r="M2198" s="54"/>
      <c r="N2198" s="54"/>
      <c r="O2198" s="68"/>
      <c r="P2198" s="110" t="str">
        <f t="shared" si="126"/>
        <v/>
      </c>
      <c r="Q2198" s="54"/>
      <c r="R2198" s="58"/>
      <c r="S2198" s="87" t="str">
        <f t="shared" si="127"/>
        <v/>
      </c>
      <c r="T2198" s="54"/>
      <c r="U2198" s="54"/>
      <c r="V2198" s="54"/>
      <c r="W2198" s="54"/>
      <c r="X2198" s="69"/>
    </row>
    <row r="2199" spans="1:24" s="66" customFormat="1" x14ac:dyDescent="0.25">
      <c r="A2199" s="51"/>
      <c r="B2199" s="91" t="str">
        <f>IFERROR(VLOOKUP(A2199,Lookup!A:B,2,0),"")</f>
        <v/>
      </c>
      <c r="C2199" s="92" t="str">
        <f>IFERROR(VLOOKUP(A2199,Lookup!A:C,3,0),"")</f>
        <v/>
      </c>
      <c r="D2199" s="54"/>
      <c r="E2199" s="54"/>
      <c r="F2199" s="54"/>
      <c r="G2199" s="72"/>
      <c r="H2199" s="54"/>
      <c r="I2199" s="54"/>
      <c r="J2199" s="107"/>
      <c r="K2199" s="115"/>
      <c r="L2199" s="54"/>
      <c r="M2199" s="54"/>
      <c r="N2199" s="54"/>
      <c r="O2199" s="68"/>
      <c r="P2199" s="110" t="str">
        <f t="shared" si="126"/>
        <v/>
      </c>
      <c r="Q2199" s="54"/>
      <c r="R2199" s="58"/>
      <c r="S2199" s="87" t="str">
        <f t="shared" si="127"/>
        <v/>
      </c>
      <c r="T2199" s="54"/>
      <c r="U2199" s="54"/>
      <c r="V2199" s="54"/>
      <c r="W2199" s="54"/>
      <c r="X2199" s="69"/>
    </row>
    <row r="2200" spans="1:24" s="66" customFormat="1" x14ac:dyDescent="0.25">
      <c r="A2200" s="51"/>
      <c r="B2200" s="91" t="str">
        <f>IFERROR(VLOOKUP(A2200,Lookup!A:B,2,0),"")</f>
        <v/>
      </c>
      <c r="C2200" s="92" t="str">
        <f>IFERROR(VLOOKUP(A2200,Lookup!A:C,3,0),"")</f>
        <v/>
      </c>
      <c r="D2200" s="54"/>
      <c r="E2200" s="54"/>
      <c r="F2200" s="54"/>
      <c r="G2200" s="72"/>
      <c r="H2200" s="54"/>
      <c r="I2200" s="54"/>
      <c r="J2200" s="107"/>
      <c r="K2200" s="115"/>
      <c r="L2200" s="54"/>
      <c r="M2200" s="54"/>
      <c r="N2200" s="54"/>
      <c r="O2200" s="68"/>
      <c r="P2200" s="110" t="str">
        <f t="shared" si="126"/>
        <v/>
      </c>
      <c r="Q2200" s="54"/>
      <c r="R2200" s="58"/>
      <c r="S2200" s="87" t="str">
        <f t="shared" si="127"/>
        <v/>
      </c>
      <c r="T2200" s="54"/>
      <c r="U2200" s="54"/>
      <c r="V2200" s="54"/>
      <c r="W2200" s="54"/>
      <c r="X2200" s="69"/>
    </row>
    <row r="2201" spans="1:24" s="66" customFormat="1" x14ac:dyDescent="0.25">
      <c r="A2201" s="51"/>
      <c r="B2201" s="91" t="str">
        <f>IFERROR(VLOOKUP(A2201,Lookup!A:B,2,0),"")</f>
        <v/>
      </c>
      <c r="C2201" s="92" t="str">
        <f>IFERROR(VLOOKUP(A2201,Lookup!A:C,3,0),"")</f>
        <v/>
      </c>
      <c r="D2201" s="54"/>
      <c r="E2201" s="54"/>
      <c r="F2201" s="54"/>
      <c r="G2201" s="72"/>
      <c r="H2201" s="54"/>
      <c r="I2201" s="54"/>
      <c r="J2201" s="107"/>
      <c r="K2201" s="115"/>
      <c r="L2201" s="54"/>
      <c r="M2201" s="54"/>
      <c r="N2201" s="54"/>
      <c r="O2201" s="68"/>
      <c r="P2201" s="110" t="str">
        <f t="shared" si="126"/>
        <v/>
      </c>
      <c r="Q2201" s="54"/>
      <c r="R2201" s="58"/>
      <c r="S2201" s="87" t="str">
        <f t="shared" si="127"/>
        <v/>
      </c>
      <c r="T2201" s="54"/>
      <c r="U2201" s="54"/>
      <c r="V2201" s="54"/>
      <c r="W2201" s="54"/>
      <c r="X2201" s="69"/>
    </row>
    <row r="2202" spans="1:24" s="66" customFormat="1" x14ac:dyDescent="0.25">
      <c r="A2202" s="51"/>
      <c r="B2202" s="91" t="str">
        <f>IFERROR(VLOOKUP(A2202,Lookup!A:B,2,0),"")</f>
        <v/>
      </c>
      <c r="C2202" s="92" t="str">
        <f>IFERROR(VLOOKUP(A2202,Lookup!A:C,3,0),"")</f>
        <v/>
      </c>
      <c r="D2202" s="54"/>
      <c r="E2202" s="54"/>
      <c r="F2202" s="54"/>
      <c r="G2202" s="72"/>
      <c r="H2202" s="54"/>
      <c r="I2202" s="54"/>
      <c r="J2202" s="107"/>
      <c r="K2202" s="115"/>
      <c r="L2202" s="54"/>
      <c r="M2202" s="54"/>
      <c r="N2202" s="54"/>
      <c r="O2202" s="68"/>
      <c r="P2202" s="110" t="str">
        <f t="shared" si="126"/>
        <v/>
      </c>
      <c r="Q2202" s="54"/>
      <c r="R2202" s="58"/>
      <c r="S2202" s="87" t="str">
        <f t="shared" si="127"/>
        <v/>
      </c>
      <c r="T2202" s="54"/>
      <c r="U2202" s="54"/>
      <c r="V2202" s="54"/>
      <c r="W2202" s="54"/>
      <c r="X2202" s="69"/>
    </row>
    <row r="2203" spans="1:24" s="66" customFormat="1" x14ac:dyDescent="0.25">
      <c r="A2203" s="51"/>
      <c r="B2203" s="91" t="str">
        <f>IFERROR(VLOOKUP(A2203,Lookup!A:B,2,0),"")</f>
        <v/>
      </c>
      <c r="C2203" s="92" t="str">
        <f>IFERROR(VLOOKUP(A2203,Lookup!A:C,3,0),"")</f>
        <v/>
      </c>
      <c r="D2203" s="54"/>
      <c r="E2203" s="54"/>
      <c r="F2203" s="54"/>
      <c r="G2203" s="72"/>
      <c r="H2203" s="54"/>
      <c r="I2203" s="54"/>
      <c r="J2203" s="107"/>
      <c r="K2203" s="115"/>
      <c r="L2203" s="54"/>
      <c r="M2203" s="54"/>
      <c r="N2203" s="54"/>
      <c r="O2203" s="68"/>
      <c r="P2203" s="110" t="str">
        <f t="shared" si="126"/>
        <v/>
      </c>
      <c r="Q2203" s="54"/>
      <c r="R2203" s="58"/>
      <c r="S2203" s="87" t="str">
        <f t="shared" si="127"/>
        <v/>
      </c>
      <c r="T2203" s="54"/>
      <c r="U2203" s="54"/>
      <c r="V2203" s="54"/>
      <c r="W2203" s="54"/>
      <c r="X2203" s="69"/>
    </row>
    <row r="2204" spans="1:24" s="66" customFormat="1" x14ac:dyDescent="0.25">
      <c r="A2204" s="51"/>
      <c r="B2204" s="91" t="str">
        <f>IFERROR(VLOOKUP(A2204,Lookup!A:B,2,0),"")</f>
        <v/>
      </c>
      <c r="C2204" s="92" t="str">
        <f>IFERROR(VLOOKUP(A2204,Lookup!A:C,3,0),"")</f>
        <v/>
      </c>
      <c r="D2204" s="54"/>
      <c r="E2204" s="54"/>
      <c r="F2204" s="54"/>
      <c r="G2204" s="72"/>
      <c r="H2204" s="54"/>
      <c r="I2204" s="54"/>
      <c r="J2204" s="107"/>
      <c r="K2204" s="115"/>
      <c r="L2204" s="54"/>
      <c r="M2204" s="54"/>
      <c r="N2204" s="54"/>
      <c r="O2204" s="68"/>
      <c r="P2204" s="110" t="str">
        <f t="shared" si="126"/>
        <v/>
      </c>
      <c r="Q2204" s="54"/>
      <c r="R2204" s="58"/>
      <c r="S2204" s="87" t="str">
        <f t="shared" si="127"/>
        <v/>
      </c>
      <c r="T2204" s="54"/>
      <c r="U2204" s="54"/>
      <c r="V2204" s="54"/>
      <c r="W2204" s="54"/>
      <c r="X2204" s="69"/>
    </row>
    <row r="2205" spans="1:24" s="66" customFormat="1" x14ac:dyDescent="0.25">
      <c r="A2205" s="51"/>
      <c r="B2205" s="91" t="str">
        <f>IFERROR(VLOOKUP(A2205,Lookup!A:B,2,0),"")</f>
        <v/>
      </c>
      <c r="C2205" s="92" t="str">
        <f>IFERROR(VLOOKUP(A2205,Lookup!A:C,3,0),"")</f>
        <v/>
      </c>
      <c r="D2205" s="54"/>
      <c r="E2205" s="54"/>
      <c r="F2205" s="54"/>
      <c r="G2205" s="72"/>
      <c r="H2205" s="54"/>
      <c r="I2205" s="54"/>
      <c r="J2205" s="107"/>
      <c r="K2205" s="115"/>
      <c r="L2205" s="54"/>
      <c r="M2205" s="54"/>
      <c r="N2205" s="54"/>
      <c r="O2205" s="68"/>
      <c r="P2205" s="110" t="str">
        <f t="shared" si="126"/>
        <v/>
      </c>
      <c r="Q2205" s="54"/>
      <c r="R2205" s="58"/>
      <c r="S2205" s="87" t="str">
        <f t="shared" si="127"/>
        <v/>
      </c>
      <c r="T2205" s="54"/>
      <c r="U2205" s="54"/>
      <c r="V2205" s="54"/>
      <c r="W2205" s="54"/>
      <c r="X2205" s="69"/>
    </row>
    <row r="2206" spans="1:24" s="66" customFormat="1" x14ac:dyDescent="0.25">
      <c r="A2206" s="51"/>
      <c r="B2206" s="91" t="str">
        <f>IFERROR(VLOOKUP(A2206,Lookup!A:B,2,0),"")</f>
        <v/>
      </c>
      <c r="C2206" s="92" t="str">
        <f>IFERROR(VLOOKUP(A2206,Lookup!A:C,3,0),"")</f>
        <v/>
      </c>
      <c r="D2206" s="54"/>
      <c r="E2206" s="54"/>
      <c r="F2206" s="54"/>
      <c r="G2206" s="72"/>
      <c r="H2206" s="54"/>
      <c r="I2206" s="54"/>
      <c r="J2206" s="107"/>
      <c r="K2206" s="115"/>
      <c r="L2206" s="54"/>
      <c r="M2206" s="54"/>
      <c r="N2206" s="54"/>
      <c r="O2206" s="68"/>
      <c r="P2206" s="110" t="str">
        <f t="shared" si="126"/>
        <v/>
      </c>
      <c r="Q2206" s="54"/>
      <c r="R2206" s="58"/>
      <c r="S2206" s="87" t="str">
        <f t="shared" si="127"/>
        <v/>
      </c>
      <c r="T2206" s="54"/>
      <c r="U2206" s="54"/>
      <c r="V2206" s="54"/>
      <c r="W2206" s="54"/>
      <c r="X2206" s="69"/>
    </row>
    <row r="2207" spans="1:24" s="66" customFormat="1" x14ac:dyDescent="0.25">
      <c r="A2207" s="51"/>
      <c r="B2207" s="91" t="str">
        <f>IFERROR(VLOOKUP(A2207,Lookup!A:B,2,0),"")</f>
        <v/>
      </c>
      <c r="C2207" s="92" t="str">
        <f>IFERROR(VLOOKUP(A2207,Lookup!A:C,3,0),"")</f>
        <v/>
      </c>
      <c r="D2207" s="54"/>
      <c r="E2207" s="54"/>
      <c r="F2207" s="54"/>
      <c r="G2207" s="72"/>
      <c r="H2207" s="54"/>
      <c r="I2207" s="54"/>
      <c r="J2207" s="107"/>
      <c r="K2207" s="115"/>
      <c r="L2207" s="54"/>
      <c r="M2207" s="54"/>
      <c r="N2207" s="54"/>
      <c r="O2207" s="68"/>
      <c r="P2207" s="110" t="str">
        <f t="shared" si="126"/>
        <v/>
      </c>
      <c r="Q2207" s="54"/>
      <c r="R2207" s="58"/>
      <c r="S2207" s="87" t="str">
        <f t="shared" si="127"/>
        <v/>
      </c>
      <c r="T2207" s="54"/>
      <c r="U2207" s="54"/>
      <c r="V2207" s="54"/>
      <c r="W2207" s="54"/>
      <c r="X2207" s="69"/>
    </row>
    <row r="2208" spans="1:24" s="66" customFormat="1" x14ac:dyDescent="0.25">
      <c r="A2208" s="51"/>
      <c r="B2208" s="91" t="str">
        <f>IFERROR(VLOOKUP(A2208,Lookup!A:B,2,0),"")</f>
        <v/>
      </c>
      <c r="C2208" s="92" t="str">
        <f>IFERROR(VLOOKUP(A2208,Lookup!A:C,3,0),"")</f>
        <v/>
      </c>
      <c r="D2208" s="54"/>
      <c r="E2208" s="54"/>
      <c r="F2208" s="54"/>
      <c r="G2208" s="72"/>
      <c r="H2208" s="54"/>
      <c r="I2208" s="54"/>
      <c r="J2208" s="107"/>
      <c r="K2208" s="115"/>
      <c r="L2208" s="54"/>
      <c r="M2208" s="54"/>
      <c r="N2208" s="54"/>
      <c r="O2208" s="68"/>
      <c r="P2208" s="110" t="str">
        <f t="shared" si="126"/>
        <v/>
      </c>
      <c r="Q2208" s="54"/>
      <c r="R2208" s="58"/>
      <c r="S2208" s="87" t="str">
        <f t="shared" si="127"/>
        <v/>
      </c>
      <c r="T2208" s="54"/>
      <c r="U2208" s="54"/>
      <c r="V2208" s="54"/>
      <c r="W2208" s="54"/>
      <c r="X2208" s="69"/>
    </row>
    <row r="2209" spans="1:24" s="66" customFormat="1" x14ac:dyDescent="0.25">
      <c r="A2209" s="51"/>
      <c r="B2209" s="91" t="str">
        <f>IFERROR(VLOOKUP(A2209,Lookup!A:B,2,0),"")</f>
        <v/>
      </c>
      <c r="C2209" s="92" t="str">
        <f>IFERROR(VLOOKUP(A2209,Lookup!A:C,3,0),"")</f>
        <v/>
      </c>
      <c r="D2209" s="54"/>
      <c r="E2209" s="54"/>
      <c r="F2209" s="54"/>
      <c r="G2209" s="72"/>
      <c r="H2209" s="54"/>
      <c r="I2209" s="54"/>
      <c r="J2209" s="107"/>
      <c r="K2209" s="115"/>
      <c r="L2209" s="54"/>
      <c r="M2209" s="54"/>
      <c r="N2209" s="54"/>
      <c r="O2209" s="68"/>
      <c r="P2209" s="110" t="str">
        <f t="shared" si="126"/>
        <v/>
      </c>
      <c r="Q2209" s="54"/>
      <c r="R2209" s="58"/>
      <c r="S2209" s="87" t="str">
        <f t="shared" si="127"/>
        <v/>
      </c>
      <c r="T2209" s="54"/>
      <c r="U2209" s="54"/>
      <c r="V2209" s="54"/>
      <c r="W2209" s="54"/>
      <c r="X2209" s="69"/>
    </row>
    <row r="2210" spans="1:24" s="66" customFormat="1" x14ac:dyDescent="0.25">
      <c r="A2210" s="51"/>
      <c r="B2210" s="91" t="str">
        <f>IFERROR(VLOOKUP(A2210,Lookup!A:B,2,0),"")</f>
        <v/>
      </c>
      <c r="C2210" s="92" t="str">
        <f>IFERROR(VLOOKUP(A2210,Lookup!A:C,3,0),"")</f>
        <v/>
      </c>
      <c r="D2210" s="54"/>
      <c r="E2210" s="54"/>
      <c r="F2210" s="54"/>
      <c r="G2210" s="72"/>
      <c r="H2210" s="54"/>
      <c r="I2210" s="54"/>
      <c r="J2210" s="107"/>
      <c r="K2210" s="115"/>
      <c r="L2210" s="54"/>
      <c r="M2210" s="54"/>
      <c r="N2210" s="54"/>
      <c r="O2210" s="68"/>
      <c r="P2210" s="110" t="str">
        <f t="shared" si="126"/>
        <v/>
      </c>
      <c r="Q2210" s="54"/>
      <c r="R2210" s="58"/>
      <c r="S2210" s="87" t="str">
        <f t="shared" si="127"/>
        <v/>
      </c>
      <c r="T2210" s="54"/>
      <c r="U2210" s="54"/>
      <c r="V2210" s="54"/>
      <c r="W2210" s="54"/>
      <c r="X2210" s="69"/>
    </row>
    <row r="2211" spans="1:24" s="66" customFormat="1" x14ac:dyDescent="0.25">
      <c r="A2211" s="51"/>
      <c r="B2211" s="91" t="str">
        <f>IFERROR(VLOOKUP(A2211,Lookup!A:B,2,0),"")</f>
        <v/>
      </c>
      <c r="C2211" s="92" t="str">
        <f>IFERROR(VLOOKUP(A2211,Lookup!A:C,3,0),"")</f>
        <v/>
      </c>
      <c r="D2211" s="54"/>
      <c r="E2211" s="54"/>
      <c r="F2211" s="54"/>
      <c r="G2211" s="72"/>
      <c r="H2211" s="54"/>
      <c r="I2211" s="54"/>
      <c r="J2211" s="107"/>
      <c r="K2211" s="115"/>
      <c r="L2211" s="54"/>
      <c r="M2211" s="54"/>
      <c r="N2211" s="54"/>
      <c r="O2211" s="68"/>
      <c r="P2211" s="110" t="str">
        <f t="shared" si="126"/>
        <v/>
      </c>
      <c r="Q2211" s="54"/>
      <c r="R2211" s="58"/>
      <c r="S2211" s="87" t="str">
        <f t="shared" si="127"/>
        <v/>
      </c>
      <c r="T2211" s="54"/>
      <c r="U2211" s="54"/>
      <c r="V2211" s="54"/>
      <c r="W2211" s="54"/>
      <c r="X2211" s="69"/>
    </row>
    <row r="2212" spans="1:24" s="66" customFormat="1" x14ac:dyDescent="0.25">
      <c r="A2212" s="51"/>
      <c r="B2212" s="91" t="str">
        <f>IFERROR(VLOOKUP(A2212,Lookup!A:B,2,0),"")</f>
        <v/>
      </c>
      <c r="C2212" s="92" t="str">
        <f>IFERROR(VLOOKUP(A2212,Lookup!A:C,3,0),"")</f>
        <v/>
      </c>
      <c r="D2212" s="54"/>
      <c r="E2212" s="54"/>
      <c r="F2212" s="54"/>
      <c r="G2212" s="72"/>
      <c r="H2212" s="54"/>
      <c r="I2212" s="54"/>
      <c r="J2212" s="107"/>
      <c r="K2212" s="115"/>
      <c r="L2212" s="54"/>
      <c r="M2212" s="54"/>
      <c r="N2212" s="54"/>
      <c r="O2212" s="68"/>
      <c r="P2212" s="110" t="str">
        <f t="shared" si="126"/>
        <v/>
      </c>
      <c r="Q2212" s="54"/>
      <c r="R2212" s="58"/>
      <c r="S2212" s="87" t="str">
        <f t="shared" si="127"/>
        <v/>
      </c>
      <c r="T2212" s="54"/>
      <c r="U2212" s="54"/>
      <c r="V2212" s="54"/>
      <c r="W2212" s="54"/>
      <c r="X2212" s="69"/>
    </row>
    <row r="2213" spans="1:24" s="66" customFormat="1" x14ac:dyDescent="0.25">
      <c r="A2213" s="51"/>
      <c r="B2213" s="91" t="str">
        <f>IFERROR(VLOOKUP(A2213,Lookup!A:B,2,0),"")</f>
        <v/>
      </c>
      <c r="C2213" s="92" t="str">
        <f>IFERROR(VLOOKUP(A2213,Lookup!A:C,3,0),"")</f>
        <v/>
      </c>
      <c r="D2213" s="54"/>
      <c r="E2213" s="54"/>
      <c r="F2213" s="54"/>
      <c r="G2213" s="72"/>
      <c r="H2213" s="54"/>
      <c r="I2213" s="54"/>
      <c r="J2213" s="107"/>
      <c r="K2213" s="115"/>
      <c r="L2213" s="54"/>
      <c r="M2213" s="54"/>
      <c r="N2213" s="54"/>
      <c r="O2213" s="68"/>
      <c r="P2213" s="110" t="str">
        <f t="shared" si="126"/>
        <v/>
      </c>
      <c r="Q2213" s="54"/>
      <c r="R2213" s="58"/>
      <c r="S2213" s="87" t="str">
        <f t="shared" si="127"/>
        <v/>
      </c>
      <c r="T2213" s="54"/>
      <c r="U2213" s="54"/>
      <c r="V2213" s="54"/>
      <c r="W2213" s="54"/>
      <c r="X2213" s="69"/>
    </row>
    <row r="2214" spans="1:24" s="66" customFormat="1" x14ac:dyDescent="0.25">
      <c r="A2214" s="51"/>
      <c r="B2214" s="91" t="str">
        <f>IFERROR(VLOOKUP(A2214,Lookup!A:B,2,0),"")</f>
        <v/>
      </c>
      <c r="C2214" s="92" t="str">
        <f>IFERROR(VLOOKUP(A2214,Lookup!A:C,3,0),"")</f>
        <v/>
      </c>
      <c r="D2214" s="54"/>
      <c r="E2214" s="54"/>
      <c r="F2214" s="54"/>
      <c r="G2214" s="72"/>
      <c r="H2214" s="54"/>
      <c r="I2214" s="54"/>
      <c r="J2214" s="107"/>
      <c r="K2214" s="115"/>
      <c r="L2214" s="54"/>
      <c r="M2214" s="54"/>
      <c r="N2214" s="54"/>
      <c r="O2214" s="68"/>
      <c r="P2214" s="110" t="str">
        <f t="shared" si="126"/>
        <v/>
      </c>
      <c r="Q2214" s="54"/>
      <c r="R2214" s="58"/>
      <c r="S2214" s="87" t="str">
        <f t="shared" si="127"/>
        <v/>
      </c>
      <c r="T2214" s="54"/>
      <c r="U2214" s="54"/>
      <c r="V2214" s="54"/>
      <c r="W2214" s="54"/>
      <c r="X2214" s="69"/>
    </row>
    <row r="2215" spans="1:24" s="66" customFormat="1" x14ac:dyDescent="0.25">
      <c r="A2215" s="51"/>
      <c r="B2215" s="91" t="str">
        <f>IFERROR(VLOOKUP(A2215,Lookup!A:B,2,0),"")</f>
        <v/>
      </c>
      <c r="C2215" s="92" t="str">
        <f>IFERROR(VLOOKUP(A2215,Lookup!A:C,3,0),"")</f>
        <v/>
      </c>
      <c r="D2215" s="54"/>
      <c r="E2215" s="54"/>
      <c r="F2215" s="54"/>
      <c r="G2215" s="72"/>
      <c r="H2215" s="54"/>
      <c r="I2215" s="54"/>
      <c r="J2215" s="107"/>
      <c r="K2215" s="115"/>
      <c r="L2215" s="54"/>
      <c r="M2215" s="54"/>
      <c r="N2215" s="54"/>
      <c r="O2215" s="68"/>
      <c r="P2215" s="110" t="str">
        <f t="shared" si="126"/>
        <v/>
      </c>
      <c r="Q2215" s="54"/>
      <c r="R2215" s="58"/>
      <c r="S2215" s="87" t="str">
        <f t="shared" si="127"/>
        <v/>
      </c>
      <c r="T2215" s="54"/>
      <c r="U2215" s="54"/>
      <c r="V2215" s="54"/>
      <c r="W2215" s="54"/>
      <c r="X2215" s="69"/>
    </row>
    <row r="2216" spans="1:24" s="66" customFormat="1" x14ac:dyDescent="0.25">
      <c r="A2216" s="51"/>
      <c r="B2216" s="91" t="str">
        <f>IFERROR(VLOOKUP(A2216,Lookup!A:B,2,0),"")</f>
        <v/>
      </c>
      <c r="C2216" s="92" t="str">
        <f>IFERROR(VLOOKUP(A2216,Lookup!A:C,3,0),"")</f>
        <v/>
      </c>
      <c r="D2216" s="54"/>
      <c r="E2216" s="54"/>
      <c r="F2216" s="54"/>
      <c r="G2216" s="72"/>
      <c r="H2216" s="54"/>
      <c r="I2216" s="54"/>
      <c r="J2216" s="107"/>
      <c r="K2216" s="115"/>
      <c r="L2216" s="54"/>
      <c r="M2216" s="54"/>
      <c r="N2216" s="54"/>
      <c r="O2216" s="68"/>
      <c r="P2216" s="110" t="str">
        <f t="shared" si="126"/>
        <v/>
      </c>
      <c r="Q2216" s="54"/>
      <c r="R2216" s="58"/>
      <c r="S2216" s="87" t="str">
        <f t="shared" si="127"/>
        <v/>
      </c>
      <c r="T2216" s="54"/>
      <c r="U2216" s="54"/>
      <c r="V2216" s="54"/>
      <c r="W2216" s="54"/>
      <c r="X2216" s="69"/>
    </row>
    <row r="2217" spans="1:24" s="66" customFormat="1" x14ac:dyDescent="0.25">
      <c r="A2217" s="51"/>
      <c r="B2217" s="91" t="str">
        <f>IFERROR(VLOOKUP(A2217,Lookup!A:B,2,0),"")</f>
        <v/>
      </c>
      <c r="C2217" s="92" t="str">
        <f>IFERROR(VLOOKUP(A2217,Lookup!A:C,3,0),"")</f>
        <v/>
      </c>
      <c r="D2217" s="54"/>
      <c r="E2217" s="54"/>
      <c r="F2217" s="54"/>
      <c r="G2217" s="72"/>
      <c r="H2217" s="54"/>
      <c r="I2217" s="54"/>
      <c r="J2217" s="107"/>
      <c r="K2217" s="115"/>
      <c r="L2217" s="54"/>
      <c r="M2217" s="54"/>
      <c r="N2217" s="54"/>
      <c r="O2217" s="68"/>
      <c r="P2217" s="110" t="str">
        <f t="shared" si="126"/>
        <v/>
      </c>
      <c r="Q2217" s="54"/>
      <c r="R2217" s="58"/>
      <c r="S2217" s="87" t="str">
        <f t="shared" si="127"/>
        <v/>
      </c>
      <c r="T2217" s="54"/>
      <c r="U2217" s="54"/>
      <c r="V2217" s="54"/>
      <c r="W2217" s="54"/>
      <c r="X2217" s="69"/>
    </row>
    <row r="2218" spans="1:24" s="66" customFormat="1" x14ac:dyDescent="0.25">
      <c r="A2218" s="51"/>
      <c r="B2218" s="91" t="str">
        <f>IFERROR(VLOOKUP(A2218,Lookup!A:B,2,0),"")</f>
        <v/>
      </c>
      <c r="C2218" s="92" t="str">
        <f>IFERROR(VLOOKUP(A2218,Lookup!A:C,3,0),"")</f>
        <v/>
      </c>
      <c r="D2218" s="54"/>
      <c r="E2218" s="54"/>
      <c r="F2218" s="54"/>
      <c r="G2218" s="72"/>
      <c r="H2218" s="54"/>
      <c r="I2218" s="54"/>
      <c r="J2218" s="107"/>
      <c r="K2218" s="115"/>
      <c r="L2218" s="54"/>
      <c r="M2218" s="54"/>
      <c r="N2218" s="54"/>
      <c r="O2218" s="68"/>
      <c r="P2218" s="110" t="str">
        <f t="shared" si="126"/>
        <v/>
      </c>
      <c r="Q2218" s="54"/>
      <c r="R2218" s="58"/>
      <c r="S2218" s="87" t="str">
        <f t="shared" si="127"/>
        <v/>
      </c>
      <c r="T2218" s="54"/>
      <c r="U2218" s="54"/>
      <c r="V2218" s="54"/>
      <c r="W2218" s="54"/>
      <c r="X2218" s="69"/>
    </row>
    <row r="2219" spans="1:24" s="66" customFormat="1" x14ac:dyDescent="0.25">
      <c r="A2219" s="51"/>
      <c r="B2219" s="91" t="str">
        <f>IFERROR(VLOOKUP(A2219,Lookup!A:B,2,0),"")</f>
        <v/>
      </c>
      <c r="C2219" s="92" t="str">
        <f>IFERROR(VLOOKUP(A2219,Lookup!A:C,3,0),"")</f>
        <v/>
      </c>
      <c r="D2219" s="54"/>
      <c r="E2219" s="54"/>
      <c r="F2219" s="54"/>
      <c r="G2219" s="72"/>
      <c r="H2219" s="54"/>
      <c r="I2219" s="54"/>
      <c r="J2219" s="107"/>
      <c r="K2219" s="115"/>
      <c r="L2219" s="54"/>
      <c r="M2219" s="54"/>
      <c r="N2219" s="54"/>
      <c r="O2219" s="68"/>
      <c r="P2219" s="110" t="str">
        <f t="shared" si="126"/>
        <v/>
      </c>
      <c r="Q2219" s="54"/>
      <c r="R2219" s="58"/>
      <c r="S2219" s="87" t="str">
        <f t="shared" si="127"/>
        <v/>
      </c>
      <c r="T2219" s="54"/>
      <c r="U2219" s="54"/>
      <c r="V2219" s="54"/>
      <c r="W2219" s="54"/>
      <c r="X2219" s="69"/>
    </row>
    <row r="2220" spans="1:24" s="66" customFormat="1" x14ac:dyDescent="0.25">
      <c r="A2220" s="51"/>
      <c r="B2220" s="91" t="str">
        <f>IFERROR(VLOOKUP(A2220,Lookup!A:B,2,0),"")</f>
        <v/>
      </c>
      <c r="C2220" s="92" t="str">
        <f>IFERROR(VLOOKUP(A2220,Lookup!A:C,3,0),"")</f>
        <v/>
      </c>
      <c r="D2220" s="54"/>
      <c r="E2220" s="54"/>
      <c r="F2220" s="54"/>
      <c r="G2220" s="72"/>
      <c r="H2220" s="54"/>
      <c r="I2220" s="54"/>
      <c r="J2220" s="107"/>
      <c r="K2220" s="115"/>
      <c r="L2220" s="54"/>
      <c r="M2220" s="54"/>
      <c r="N2220" s="54"/>
      <c r="O2220" s="68"/>
      <c r="P2220" s="110" t="str">
        <f t="shared" si="126"/>
        <v/>
      </c>
      <c r="Q2220" s="54"/>
      <c r="R2220" s="58"/>
      <c r="S2220" s="87" t="str">
        <f t="shared" si="127"/>
        <v/>
      </c>
      <c r="T2220" s="54"/>
      <c r="U2220" s="54"/>
      <c r="V2220" s="54"/>
      <c r="W2220" s="54"/>
      <c r="X2220" s="69"/>
    </row>
    <row r="2221" spans="1:24" s="66" customFormat="1" x14ac:dyDescent="0.25">
      <c r="A2221" s="51"/>
      <c r="B2221" s="91" t="str">
        <f>IFERROR(VLOOKUP(A2221,Lookup!A:B,2,0),"")</f>
        <v/>
      </c>
      <c r="C2221" s="92" t="str">
        <f>IFERROR(VLOOKUP(A2221,Lookup!A:C,3,0),"")</f>
        <v/>
      </c>
      <c r="D2221" s="54"/>
      <c r="E2221" s="54"/>
      <c r="F2221" s="54"/>
      <c r="G2221" s="72"/>
      <c r="H2221" s="54"/>
      <c r="I2221" s="54"/>
      <c r="J2221" s="107"/>
      <c r="K2221" s="115"/>
      <c r="L2221" s="54"/>
      <c r="M2221" s="54"/>
      <c r="N2221" s="54"/>
      <c r="O2221" s="68"/>
      <c r="P2221" s="110" t="str">
        <f t="shared" si="126"/>
        <v/>
      </c>
      <c r="Q2221" s="54"/>
      <c r="R2221" s="58"/>
      <c r="S2221" s="87" t="str">
        <f t="shared" si="127"/>
        <v/>
      </c>
      <c r="T2221" s="54"/>
      <c r="U2221" s="54"/>
      <c r="V2221" s="54"/>
      <c r="W2221" s="54"/>
      <c r="X2221" s="69"/>
    </row>
    <row r="2222" spans="1:24" s="66" customFormat="1" x14ac:dyDescent="0.25">
      <c r="A2222" s="51"/>
      <c r="B2222" s="91" t="str">
        <f>IFERROR(VLOOKUP(A2222,Lookup!A:B,2,0),"")</f>
        <v/>
      </c>
      <c r="C2222" s="92" t="str">
        <f>IFERROR(VLOOKUP(A2222,Lookup!A:C,3,0),"")</f>
        <v/>
      </c>
      <c r="D2222" s="54"/>
      <c r="E2222" s="54"/>
      <c r="F2222" s="54"/>
      <c r="G2222" s="72"/>
      <c r="H2222" s="54"/>
      <c r="I2222" s="54"/>
      <c r="J2222" s="107"/>
      <c r="K2222" s="115"/>
      <c r="L2222" s="54"/>
      <c r="M2222" s="54"/>
      <c r="N2222" s="54"/>
      <c r="O2222" s="68"/>
      <c r="P2222" s="110" t="str">
        <f t="shared" si="126"/>
        <v/>
      </c>
      <c r="Q2222" s="54"/>
      <c r="R2222" s="58"/>
      <c r="S2222" s="87" t="str">
        <f t="shared" si="127"/>
        <v/>
      </c>
      <c r="T2222" s="54"/>
      <c r="U2222" s="54"/>
      <c r="V2222" s="54"/>
      <c r="W2222" s="54"/>
      <c r="X2222" s="69"/>
    </row>
    <row r="2223" spans="1:24" s="66" customFormat="1" x14ac:dyDescent="0.25">
      <c r="A2223" s="51"/>
      <c r="B2223" s="91" t="str">
        <f>IFERROR(VLOOKUP(A2223,Lookup!A:B,2,0),"")</f>
        <v/>
      </c>
      <c r="C2223" s="92" t="str">
        <f>IFERROR(VLOOKUP(A2223,Lookup!A:C,3,0),"")</f>
        <v/>
      </c>
      <c r="D2223" s="54"/>
      <c r="E2223" s="54"/>
      <c r="F2223" s="54"/>
      <c r="G2223" s="72"/>
      <c r="H2223" s="54"/>
      <c r="I2223" s="54"/>
      <c r="J2223" s="107"/>
      <c r="K2223" s="115"/>
      <c r="L2223" s="54"/>
      <c r="M2223" s="54"/>
      <c r="N2223" s="54"/>
      <c r="O2223" s="68"/>
      <c r="P2223" s="110" t="str">
        <f t="shared" si="126"/>
        <v/>
      </c>
      <c r="Q2223" s="54"/>
      <c r="R2223" s="58"/>
      <c r="S2223" s="87" t="str">
        <f t="shared" si="127"/>
        <v/>
      </c>
      <c r="T2223" s="54"/>
      <c r="U2223" s="54"/>
      <c r="V2223" s="54"/>
      <c r="W2223" s="54"/>
      <c r="X2223" s="69"/>
    </row>
    <row r="2224" spans="1:24" s="66" customFormat="1" x14ac:dyDescent="0.25">
      <c r="A2224" s="51"/>
      <c r="B2224" s="91" t="str">
        <f>IFERROR(VLOOKUP(A2224,Lookup!A:B,2,0),"")</f>
        <v/>
      </c>
      <c r="C2224" s="92" t="str">
        <f>IFERROR(VLOOKUP(A2224,Lookup!A:C,3,0),"")</f>
        <v/>
      </c>
      <c r="D2224" s="54"/>
      <c r="E2224" s="54"/>
      <c r="F2224" s="54"/>
      <c r="G2224" s="72"/>
      <c r="H2224" s="54"/>
      <c r="I2224" s="54"/>
      <c r="J2224" s="107"/>
      <c r="K2224" s="115"/>
      <c r="L2224" s="54"/>
      <c r="M2224" s="54"/>
      <c r="N2224" s="54"/>
      <c r="O2224" s="68"/>
      <c r="P2224" s="110" t="str">
        <f t="shared" si="126"/>
        <v/>
      </c>
      <c r="Q2224" s="54"/>
      <c r="R2224" s="58"/>
      <c r="S2224" s="87" t="str">
        <f t="shared" si="127"/>
        <v/>
      </c>
      <c r="T2224" s="54"/>
      <c r="U2224" s="54"/>
      <c r="V2224" s="54"/>
      <c r="W2224" s="54"/>
      <c r="X2224" s="69"/>
    </row>
    <row r="2225" spans="1:24" s="66" customFormat="1" x14ac:dyDescent="0.25">
      <c r="A2225" s="51"/>
      <c r="B2225" s="91" t="str">
        <f>IFERROR(VLOOKUP(A2225,Lookup!A:B,2,0),"")</f>
        <v/>
      </c>
      <c r="C2225" s="92" t="str">
        <f>IFERROR(VLOOKUP(A2225,Lookup!A:C,3,0),"")</f>
        <v/>
      </c>
      <c r="D2225" s="54"/>
      <c r="E2225" s="54"/>
      <c r="F2225" s="54"/>
      <c r="G2225" s="72"/>
      <c r="H2225" s="54"/>
      <c r="I2225" s="54"/>
      <c r="J2225" s="107"/>
      <c r="K2225" s="115"/>
      <c r="L2225" s="54"/>
      <c r="M2225" s="54"/>
      <c r="N2225" s="54"/>
      <c r="O2225" s="68"/>
      <c r="P2225" s="110" t="str">
        <f t="shared" si="126"/>
        <v/>
      </c>
      <c r="Q2225" s="54"/>
      <c r="R2225" s="58"/>
      <c r="S2225" s="87" t="str">
        <f t="shared" si="127"/>
        <v/>
      </c>
      <c r="T2225" s="54"/>
      <c r="U2225" s="54"/>
      <c r="V2225" s="54"/>
      <c r="W2225" s="54"/>
      <c r="X2225" s="69"/>
    </row>
    <row r="2226" spans="1:24" s="66" customFormat="1" x14ac:dyDescent="0.25">
      <c r="A2226" s="51"/>
      <c r="B2226" s="91" t="str">
        <f>IFERROR(VLOOKUP(A2226,Lookup!A:B,2,0),"")</f>
        <v/>
      </c>
      <c r="C2226" s="92" t="str">
        <f>IFERROR(VLOOKUP(A2226,Lookup!A:C,3,0),"")</f>
        <v/>
      </c>
      <c r="D2226" s="54"/>
      <c r="E2226" s="54"/>
      <c r="F2226" s="54"/>
      <c r="G2226" s="72"/>
      <c r="H2226" s="54"/>
      <c r="I2226" s="54"/>
      <c r="J2226" s="107"/>
      <c r="K2226" s="115"/>
      <c r="L2226" s="54"/>
      <c r="M2226" s="54"/>
      <c r="N2226" s="54"/>
      <c r="O2226" s="68"/>
      <c r="P2226" s="110" t="str">
        <f t="shared" si="126"/>
        <v/>
      </c>
      <c r="Q2226" s="54"/>
      <c r="R2226" s="58"/>
      <c r="S2226" s="87" t="str">
        <f t="shared" si="127"/>
        <v/>
      </c>
      <c r="T2226" s="54"/>
      <c r="U2226" s="54"/>
      <c r="V2226" s="54"/>
      <c r="W2226" s="54"/>
      <c r="X2226" s="69"/>
    </row>
    <row r="2227" spans="1:24" s="66" customFormat="1" x14ac:dyDescent="0.25">
      <c r="A2227" s="51"/>
      <c r="B2227" s="91" t="str">
        <f>IFERROR(VLOOKUP(A2227,Lookup!A:B,2,0),"")</f>
        <v/>
      </c>
      <c r="C2227" s="92" t="str">
        <f>IFERROR(VLOOKUP(A2227,Lookup!A:C,3,0),"")</f>
        <v/>
      </c>
      <c r="D2227" s="54"/>
      <c r="E2227" s="54"/>
      <c r="F2227" s="54"/>
      <c r="G2227" s="72"/>
      <c r="H2227" s="54"/>
      <c r="I2227" s="54"/>
      <c r="J2227" s="107"/>
      <c r="K2227" s="115"/>
      <c r="L2227" s="54"/>
      <c r="M2227" s="54"/>
      <c r="N2227" s="54"/>
      <c r="O2227" s="68"/>
      <c r="P2227" s="110" t="str">
        <f t="shared" si="126"/>
        <v/>
      </c>
      <c r="Q2227" s="54"/>
      <c r="R2227" s="58"/>
      <c r="S2227" s="87" t="str">
        <f t="shared" si="127"/>
        <v/>
      </c>
      <c r="T2227" s="54"/>
      <c r="U2227" s="54"/>
      <c r="V2227" s="54"/>
      <c r="W2227" s="54"/>
      <c r="X2227" s="69"/>
    </row>
    <row r="2228" spans="1:24" s="66" customFormat="1" x14ac:dyDescent="0.25">
      <c r="A2228" s="51"/>
      <c r="B2228" s="91" t="str">
        <f>IFERROR(VLOOKUP(A2228,Lookup!A:B,2,0),"")</f>
        <v/>
      </c>
      <c r="C2228" s="92" t="str">
        <f>IFERROR(VLOOKUP(A2228,Lookup!A:C,3,0),"")</f>
        <v/>
      </c>
      <c r="D2228" s="54"/>
      <c r="E2228" s="54"/>
      <c r="F2228" s="54"/>
      <c r="G2228" s="72"/>
      <c r="H2228" s="54"/>
      <c r="I2228" s="54"/>
      <c r="J2228" s="107"/>
      <c r="K2228" s="115"/>
      <c r="L2228" s="54"/>
      <c r="M2228" s="54"/>
      <c r="N2228" s="54"/>
      <c r="O2228" s="68"/>
      <c r="P2228" s="110" t="str">
        <f t="shared" si="126"/>
        <v/>
      </c>
      <c r="Q2228" s="54"/>
      <c r="R2228" s="58"/>
      <c r="S2228" s="87" t="str">
        <f t="shared" si="127"/>
        <v/>
      </c>
      <c r="T2228" s="54"/>
      <c r="U2228" s="54"/>
      <c r="V2228" s="54"/>
      <c r="W2228" s="54"/>
      <c r="X2228" s="69"/>
    </row>
    <row r="2229" spans="1:24" s="66" customFormat="1" x14ac:dyDescent="0.25">
      <c r="A2229" s="51"/>
      <c r="B2229" s="91" t="str">
        <f>IFERROR(VLOOKUP(A2229,Lookup!A:B,2,0),"")</f>
        <v/>
      </c>
      <c r="C2229" s="92" t="str">
        <f>IFERROR(VLOOKUP(A2229,Lookup!A:C,3,0),"")</f>
        <v/>
      </c>
      <c r="D2229" s="54"/>
      <c r="E2229" s="54"/>
      <c r="F2229" s="54"/>
      <c r="G2229" s="72"/>
      <c r="H2229" s="54"/>
      <c r="I2229" s="54"/>
      <c r="J2229" s="107"/>
      <c r="K2229" s="115"/>
      <c r="L2229" s="54"/>
      <c r="M2229" s="54"/>
      <c r="N2229" s="54"/>
      <c r="O2229" s="68"/>
      <c r="P2229" s="110" t="str">
        <f t="shared" si="126"/>
        <v/>
      </c>
      <c r="Q2229" s="54"/>
      <c r="R2229" s="58"/>
      <c r="S2229" s="87" t="str">
        <f t="shared" si="127"/>
        <v/>
      </c>
      <c r="T2229" s="54"/>
      <c r="U2229" s="54"/>
      <c r="V2229" s="54"/>
      <c r="W2229" s="54"/>
      <c r="X2229" s="69"/>
    </row>
    <row r="2230" spans="1:24" s="66" customFormat="1" x14ac:dyDescent="0.25">
      <c r="A2230" s="51"/>
      <c r="B2230" s="91" t="str">
        <f>IFERROR(VLOOKUP(A2230,Lookup!A:B,2,0),"")</f>
        <v/>
      </c>
      <c r="C2230" s="92" t="str">
        <f>IFERROR(VLOOKUP(A2230,Lookup!A:C,3,0),"")</f>
        <v/>
      </c>
      <c r="D2230" s="54"/>
      <c r="E2230" s="54"/>
      <c r="F2230" s="54"/>
      <c r="G2230" s="72"/>
      <c r="H2230" s="54"/>
      <c r="I2230" s="54"/>
      <c r="J2230" s="107"/>
      <c r="K2230" s="115"/>
      <c r="L2230" s="54"/>
      <c r="M2230" s="54"/>
      <c r="N2230" s="54"/>
      <c r="O2230" s="68"/>
      <c r="P2230" s="110" t="str">
        <f t="shared" si="126"/>
        <v/>
      </c>
      <c r="Q2230" s="54"/>
      <c r="R2230" s="58"/>
      <c r="S2230" s="87" t="str">
        <f t="shared" si="127"/>
        <v/>
      </c>
      <c r="T2230" s="54"/>
      <c r="U2230" s="54"/>
      <c r="V2230" s="54"/>
      <c r="W2230" s="54"/>
      <c r="X2230" s="69"/>
    </row>
    <row r="2231" spans="1:24" s="66" customFormat="1" x14ac:dyDescent="0.25">
      <c r="A2231" s="51"/>
      <c r="B2231" s="91" t="str">
        <f>IFERROR(VLOOKUP(A2231,Lookup!A:B,2,0),"")</f>
        <v/>
      </c>
      <c r="C2231" s="92" t="str">
        <f>IFERROR(VLOOKUP(A2231,Lookup!A:C,3,0),"")</f>
        <v/>
      </c>
      <c r="D2231" s="54"/>
      <c r="E2231" s="54"/>
      <c r="F2231" s="54"/>
      <c r="G2231" s="72"/>
      <c r="H2231" s="54"/>
      <c r="I2231" s="54"/>
      <c r="J2231" s="107"/>
      <c r="K2231" s="115"/>
      <c r="L2231" s="54"/>
      <c r="M2231" s="54"/>
      <c r="N2231" s="54"/>
      <c r="O2231" s="68"/>
      <c r="P2231" s="110" t="str">
        <f t="shared" si="126"/>
        <v/>
      </c>
      <c r="Q2231" s="54"/>
      <c r="R2231" s="58"/>
      <c r="S2231" s="87" t="str">
        <f t="shared" si="127"/>
        <v/>
      </c>
      <c r="T2231" s="54"/>
      <c r="U2231" s="54"/>
      <c r="V2231" s="54"/>
      <c r="W2231" s="54"/>
      <c r="X2231" s="69"/>
    </row>
    <row r="2232" spans="1:24" s="66" customFormat="1" x14ac:dyDescent="0.25">
      <c r="A2232" s="51"/>
      <c r="B2232" s="91" t="str">
        <f>IFERROR(VLOOKUP(A2232,Lookup!A:B,2,0),"")</f>
        <v/>
      </c>
      <c r="C2232" s="92" t="str">
        <f>IFERROR(VLOOKUP(A2232,Lookup!A:C,3,0),"")</f>
        <v/>
      </c>
      <c r="D2232" s="54"/>
      <c r="E2232" s="54"/>
      <c r="F2232" s="54"/>
      <c r="G2232" s="72"/>
      <c r="H2232" s="54"/>
      <c r="I2232" s="54"/>
      <c r="J2232" s="107"/>
      <c r="K2232" s="115"/>
      <c r="L2232" s="54"/>
      <c r="M2232" s="54"/>
      <c r="N2232" s="54"/>
      <c r="O2232" s="68"/>
      <c r="P2232" s="110" t="str">
        <f t="shared" si="126"/>
        <v/>
      </c>
      <c r="Q2232" s="54"/>
      <c r="R2232" s="58"/>
      <c r="S2232" s="87" t="str">
        <f t="shared" si="127"/>
        <v/>
      </c>
      <c r="T2232" s="54"/>
      <c r="U2232" s="54"/>
      <c r="V2232" s="54"/>
      <c r="W2232" s="54"/>
      <c r="X2232" s="69"/>
    </row>
    <row r="2233" spans="1:24" s="66" customFormat="1" x14ac:dyDescent="0.25">
      <c r="A2233" s="51"/>
      <c r="B2233" s="91" t="str">
        <f>IFERROR(VLOOKUP(A2233,Lookup!A:B,2,0),"")</f>
        <v/>
      </c>
      <c r="C2233" s="92" t="str">
        <f>IFERROR(VLOOKUP(A2233,Lookup!A:C,3,0),"")</f>
        <v/>
      </c>
      <c r="D2233" s="54"/>
      <c r="E2233" s="54"/>
      <c r="F2233" s="54"/>
      <c r="G2233" s="72"/>
      <c r="H2233" s="54"/>
      <c r="I2233" s="54"/>
      <c r="J2233" s="107"/>
      <c r="K2233" s="115"/>
      <c r="L2233" s="54"/>
      <c r="M2233" s="54"/>
      <c r="N2233" s="54"/>
      <c r="O2233" s="68"/>
      <c r="P2233" s="110" t="str">
        <f t="shared" si="126"/>
        <v/>
      </c>
      <c r="Q2233" s="54"/>
      <c r="R2233" s="58"/>
      <c r="S2233" s="87" t="str">
        <f t="shared" si="127"/>
        <v/>
      </c>
      <c r="T2233" s="54"/>
      <c r="U2233" s="54"/>
      <c r="V2233" s="54"/>
      <c r="W2233" s="54"/>
      <c r="X2233" s="69"/>
    </row>
    <row r="2234" spans="1:24" s="66" customFormat="1" x14ac:dyDescent="0.25">
      <c r="A2234" s="51"/>
      <c r="B2234" s="91" t="str">
        <f>IFERROR(VLOOKUP(A2234,Lookup!A:B,2,0),"")</f>
        <v/>
      </c>
      <c r="C2234" s="92" t="str">
        <f>IFERROR(VLOOKUP(A2234,Lookup!A:C,3,0),"")</f>
        <v/>
      </c>
      <c r="D2234" s="54"/>
      <c r="E2234" s="54"/>
      <c r="F2234" s="54"/>
      <c r="G2234" s="72"/>
      <c r="H2234" s="54"/>
      <c r="I2234" s="54"/>
      <c r="J2234" s="107"/>
      <c r="K2234" s="115"/>
      <c r="L2234" s="54"/>
      <c r="M2234" s="54"/>
      <c r="N2234" s="54"/>
      <c r="O2234" s="68"/>
      <c r="P2234" s="110" t="str">
        <f t="shared" si="126"/>
        <v/>
      </c>
      <c r="Q2234" s="54"/>
      <c r="R2234" s="58"/>
      <c r="S2234" s="87" t="str">
        <f t="shared" si="127"/>
        <v/>
      </c>
      <c r="T2234" s="54"/>
      <c r="U2234" s="54"/>
      <c r="V2234" s="54"/>
      <c r="W2234" s="54"/>
      <c r="X2234" s="69"/>
    </row>
    <row r="2235" spans="1:24" s="66" customFormat="1" x14ac:dyDescent="0.25">
      <c r="A2235" s="51"/>
      <c r="B2235" s="91" t="str">
        <f>IFERROR(VLOOKUP(A2235,Lookup!A:B,2,0),"")</f>
        <v/>
      </c>
      <c r="C2235" s="92" t="str">
        <f>IFERROR(VLOOKUP(A2235,Lookup!A:C,3,0),"")</f>
        <v/>
      </c>
      <c r="D2235" s="54"/>
      <c r="E2235" s="54"/>
      <c r="F2235" s="54"/>
      <c r="G2235" s="72"/>
      <c r="H2235" s="54"/>
      <c r="I2235" s="54"/>
      <c r="J2235" s="107"/>
      <c r="K2235" s="115"/>
      <c r="L2235" s="54"/>
      <c r="M2235" s="54"/>
      <c r="N2235" s="54"/>
      <c r="O2235" s="68"/>
      <c r="P2235" s="110" t="str">
        <f t="shared" si="126"/>
        <v/>
      </c>
      <c r="Q2235" s="54"/>
      <c r="R2235" s="58"/>
      <c r="S2235" s="87" t="str">
        <f t="shared" si="127"/>
        <v/>
      </c>
      <c r="T2235" s="54"/>
      <c r="U2235" s="54"/>
      <c r="V2235" s="54"/>
      <c r="W2235" s="54"/>
      <c r="X2235" s="69"/>
    </row>
    <row r="2236" spans="1:24" s="66" customFormat="1" x14ac:dyDescent="0.25">
      <c r="A2236" s="51"/>
      <c r="B2236" s="91" t="str">
        <f>IFERROR(VLOOKUP(A2236,Lookup!A:B,2,0),"")</f>
        <v/>
      </c>
      <c r="C2236" s="92" t="str">
        <f>IFERROR(VLOOKUP(A2236,Lookup!A:C,3,0),"")</f>
        <v/>
      </c>
      <c r="D2236" s="54"/>
      <c r="E2236" s="54"/>
      <c r="F2236" s="54"/>
      <c r="G2236" s="72"/>
      <c r="H2236" s="54"/>
      <c r="I2236" s="54"/>
      <c r="J2236" s="107"/>
      <c r="K2236" s="115"/>
      <c r="L2236" s="54"/>
      <c r="M2236" s="54"/>
      <c r="N2236" s="54"/>
      <c r="O2236" s="68"/>
      <c r="P2236" s="110" t="str">
        <f t="shared" si="126"/>
        <v/>
      </c>
      <c r="Q2236" s="54"/>
      <c r="R2236" s="58"/>
      <c r="S2236" s="87" t="str">
        <f t="shared" si="127"/>
        <v/>
      </c>
      <c r="T2236" s="54"/>
      <c r="U2236" s="54"/>
      <c r="V2236" s="54"/>
      <c r="W2236" s="54"/>
      <c r="X2236" s="69"/>
    </row>
    <row r="2237" spans="1:24" s="66" customFormat="1" x14ac:dyDescent="0.25">
      <c r="A2237" s="51"/>
      <c r="B2237" s="91" t="str">
        <f>IFERROR(VLOOKUP(A2237,Lookup!A:B,2,0),"")</f>
        <v/>
      </c>
      <c r="C2237" s="92" t="str">
        <f>IFERROR(VLOOKUP(A2237,Lookup!A:C,3,0),"")</f>
        <v/>
      </c>
      <c r="D2237" s="54"/>
      <c r="E2237" s="54"/>
      <c r="F2237" s="54"/>
      <c r="G2237" s="72"/>
      <c r="H2237" s="54"/>
      <c r="I2237" s="54"/>
      <c r="J2237" s="107"/>
      <c r="K2237" s="115"/>
      <c r="L2237" s="54"/>
      <c r="M2237" s="54"/>
      <c r="N2237" s="54"/>
      <c r="O2237" s="68"/>
      <c r="P2237" s="110" t="str">
        <f t="shared" si="126"/>
        <v/>
      </c>
      <c r="Q2237" s="54"/>
      <c r="R2237" s="58"/>
      <c r="S2237" s="87" t="str">
        <f t="shared" si="127"/>
        <v/>
      </c>
      <c r="T2237" s="54"/>
      <c r="U2237" s="54"/>
      <c r="V2237" s="54"/>
      <c r="W2237" s="54"/>
      <c r="X2237" s="69"/>
    </row>
    <row r="2238" spans="1:24" s="66" customFormat="1" x14ac:dyDescent="0.25">
      <c r="A2238" s="51"/>
      <c r="B2238" s="91" t="str">
        <f>IFERROR(VLOOKUP(A2238,Lookup!A:B,2,0),"")</f>
        <v/>
      </c>
      <c r="C2238" s="92" t="str">
        <f>IFERROR(VLOOKUP(A2238,Lookup!A:C,3,0),"")</f>
        <v/>
      </c>
      <c r="D2238" s="54"/>
      <c r="E2238" s="54"/>
      <c r="F2238" s="54"/>
      <c r="G2238" s="72"/>
      <c r="H2238" s="54"/>
      <c r="I2238" s="54"/>
      <c r="J2238" s="107"/>
      <c r="K2238" s="115"/>
      <c r="L2238" s="54"/>
      <c r="M2238" s="54"/>
      <c r="N2238" s="54"/>
      <c r="O2238" s="68"/>
      <c r="P2238" s="110" t="str">
        <f t="shared" si="126"/>
        <v/>
      </c>
      <c r="Q2238" s="54"/>
      <c r="R2238" s="58"/>
      <c r="S2238" s="87" t="str">
        <f t="shared" si="127"/>
        <v/>
      </c>
      <c r="T2238" s="54"/>
      <c r="U2238" s="54"/>
      <c r="V2238" s="54"/>
      <c r="W2238" s="54"/>
      <c r="X2238" s="69"/>
    </row>
    <row r="2239" spans="1:24" s="66" customFormat="1" x14ac:dyDescent="0.25">
      <c r="A2239" s="51"/>
      <c r="B2239" s="91" t="str">
        <f>IFERROR(VLOOKUP(A2239,Lookup!A:B,2,0),"")</f>
        <v/>
      </c>
      <c r="C2239" s="92" t="str">
        <f>IFERROR(VLOOKUP(A2239,Lookup!A:C,3,0),"")</f>
        <v/>
      </c>
      <c r="D2239" s="54"/>
      <c r="E2239" s="54"/>
      <c r="F2239" s="54"/>
      <c r="G2239" s="72"/>
      <c r="H2239" s="54"/>
      <c r="I2239" s="54"/>
      <c r="J2239" s="107"/>
      <c r="K2239" s="115"/>
      <c r="L2239" s="54"/>
      <c r="M2239" s="54"/>
      <c r="N2239" s="54"/>
      <c r="O2239" s="68"/>
      <c r="P2239" s="110" t="str">
        <f t="shared" si="126"/>
        <v/>
      </c>
      <c r="Q2239" s="54"/>
      <c r="R2239" s="58"/>
      <c r="S2239" s="87" t="str">
        <f t="shared" si="127"/>
        <v/>
      </c>
      <c r="T2239" s="54"/>
      <c r="U2239" s="54"/>
      <c r="V2239" s="54"/>
      <c r="W2239" s="54"/>
      <c r="X2239" s="69"/>
    </row>
    <row r="2240" spans="1:24" s="66" customFormat="1" x14ac:dyDescent="0.25">
      <c r="A2240" s="51"/>
      <c r="B2240" s="91" t="str">
        <f>IFERROR(VLOOKUP(A2240,Lookup!A:B,2,0),"")</f>
        <v/>
      </c>
      <c r="C2240" s="92" t="str">
        <f>IFERROR(VLOOKUP(A2240,Lookup!A:C,3,0),"")</f>
        <v/>
      </c>
      <c r="D2240" s="54"/>
      <c r="E2240" s="54"/>
      <c r="F2240" s="54"/>
      <c r="G2240" s="72"/>
      <c r="H2240" s="54"/>
      <c r="I2240" s="54"/>
      <c r="J2240" s="107"/>
      <c r="K2240" s="115"/>
      <c r="L2240" s="54"/>
      <c r="M2240" s="54"/>
      <c r="N2240" s="54"/>
      <c r="O2240" s="68"/>
      <c r="P2240" s="110" t="str">
        <f t="shared" si="126"/>
        <v/>
      </c>
      <c r="Q2240" s="54"/>
      <c r="R2240" s="58"/>
      <c r="S2240" s="87" t="str">
        <f t="shared" si="127"/>
        <v/>
      </c>
      <c r="T2240" s="54"/>
      <c r="U2240" s="54"/>
      <c r="V2240" s="54"/>
      <c r="W2240" s="54"/>
      <c r="X2240" s="69"/>
    </row>
    <row r="2241" spans="1:24" s="66" customFormat="1" x14ac:dyDescent="0.25">
      <c r="A2241" s="51"/>
      <c r="B2241" s="91" t="str">
        <f>IFERROR(VLOOKUP(A2241,Lookup!A:B,2,0),"")</f>
        <v/>
      </c>
      <c r="C2241" s="92" t="str">
        <f>IFERROR(VLOOKUP(A2241,Lookup!A:C,3,0),"")</f>
        <v/>
      </c>
      <c r="D2241" s="54"/>
      <c r="E2241" s="54"/>
      <c r="F2241" s="54"/>
      <c r="G2241" s="72"/>
      <c r="H2241" s="54"/>
      <c r="I2241" s="54"/>
      <c r="J2241" s="107"/>
      <c r="K2241" s="115"/>
      <c r="L2241" s="54"/>
      <c r="M2241" s="54"/>
      <c r="N2241" s="54"/>
      <c r="O2241" s="68"/>
      <c r="P2241" s="110" t="str">
        <f t="shared" si="126"/>
        <v/>
      </c>
      <c r="Q2241" s="54"/>
      <c r="R2241" s="58"/>
      <c r="S2241" s="87" t="str">
        <f t="shared" si="127"/>
        <v/>
      </c>
      <c r="T2241" s="54"/>
      <c r="U2241" s="54"/>
      <c r="V2241" s="54"/>
      <c r="W2241" s="54"/>
      <c r="X2241" s="69"/>
    </row>
    <row r="2242" spans="1:24" s="66" customFormat="1" x14ac:dyDescent="0.25">
      <c r="A2242" s="51"/>
      <c r="B2242" s="91" t="str">
        <f>IFERROR(VLOOKUP(A2242,Lookup!A:B,2,0),"")</f>
        <v/>
      </c>
      <c r="C2242" s="92" t="str">
        <f>IFERROR(VLOOKUP(A2242,Lookup!A:C,3,0),"")</f>
        <v/>
      </c>
      <c r="D2242" s="54"/>
      <c r="E2242" s="54"/>
      <c r="F2242" s="54"/>
      <c r="G2242" s="72"/>
      <c r="H2242" s="54"/>
      <c r="I2242" s="54"/>
      <c r="J2242" s="107"/>
      <c r="K2242" s="115"/>
      <c r="L2242" s="54"/>
      <c r="M2242" s="54"/>
      <c r="N2242" s="54"/>
      <c r="O2242" s="68"/>
      <c r="P2242" s="110" t="str">
        <f t="shared" si="126"/>
        <v/>
      </c>
      <c r="Q2242" s="54"/>
      <c r="R2242" s="58"/>
      <c r="S2242" s="87" t="str">
        <f t="shared" si="127"/>
        <v/>
      </c>
      <c r="T2242" s="54"/>
      <c r="U2242" s="54"/>
      <c r="V2242" s="54"/>
      <c r="W2242" s="54"/>
      <c r="X2242" s="69"/>
    </row>
    <row r="2243" spans="1:24" s="66" customFormat="1" x14ac:dyDescent="0.25">
      <c r="A2243" s="51"/>
      <c r="B2243" s="91" t="str">
        <f>IFERROR(VLOOKUP(A2243,Lookup!A:B,2,0),"")</f>
        <v/>
      </c>
      <c r="C2243" s="92" t="str">
        <f>IFERROR(VLOOKUP(A2243,Lookup!A:C,3,0),"")</f>
        <v/>
      </c>
      <c r="D2243" s="54"/>
      <c r="E2243" s="54"/>
      <c r="F2243" s="54"/>
      <c r="G2243" s="72"/>
      <c r="H2243" s="54"/>
      <c r="I2243" s="54"/>
      <c r="J2243" s="107"/>
      <c r="K2243" s="115"/>
      <c r="L2243" s="54"/>
      <c r="M2243" s="54"/>
      <c r="N2243" s="54"/>
      <c r="O2243" s="68"/>
      <c r="P2243" s="110" t="str">
        <f t="shared" ref="P2243:P2306" si="128">IF(N2243="","",N2243+O2243)</f>
        <v/>
      </c>
      <c r="Q2243" s="54"/>
      <c r="R2243" s="58"/>
      <c r="S2243" s="87" t="str">
        <f t="shared" si="127"/>
        <v/>
      </c>
      <c r="T2243" s="54"/>
      <c r="U2243" s="54"/>
      <c r="V2243" s="54"/>
      <c r="W2243" s="54"/>
      <c r="X2243" s="69"/>
    </row>
    <row r="2244" spans="1:24" s="66" customFormat="1" x14ac:dyDescent="0.25">
      <c r="A2244" s="51"/>
      <c r="B2244" s="91" t="str">
        <f>IFERROR(VLOOKUP(A2244,Lookup!A:B,2,0),"")</f>
        <v/>
      </c>
      <c r="C2244" s="92" t="str">
        <f>IFERROR(VLOOKUP(A2244,Lookup!A:C,3,0),"")</f>
        <v/>
      </c>
      <c r="D2244" s="54"/>
      <c r="E2244" s="54"/>
      <c r="F2244" s="54"/>
      <c r="G2244" s="72"/>
      <c r="H2244" s="54"/>
      <c r="I2244" s="54"/>
      <c r="J2244" s="107"/>
      <c r="K2244" s="115"/>
      <c r="L2244" s="54"/>
      <c r="M2244" s="54"/>
      <c r="N2244" s="54"/>
      <c r="O2244" s="68"/>
      <c r="P2244" s="110" t="str">
        <f t="shared" si="128"/>
        <v/>
      </c>
      <c r="Q2244" s="54"/>
      <c r="R2244" s="58"/>
      <c r="S2244" s="87" t="str">
        <f t="shared" si="127"/>
        <v/>
      </c>
      <c r="T2244" s="54"/>
      <c r="U2244" s="54"/>
      <c r="V2244" s="54"/>
      <c r="W2244" s="54"/>
      <c r="X2244" s="69"/>
    </row>
    <row r="2245" spans="1:24" s="66" customFormat="1" x14ac:dyDescent="0.25">
      <c r="A2245" s="51"/>
      <c r="B2245" s="91" t="str">
        <f>IFERROR(VLOOKUP(A2245,Lookup!A:B,2,0),"")</f>
        <v/>
      </c>
      <c r="C2245" s="92" t="str">
        <f>IFERROR(VLOOKUP(A2245,Lookup!A:C,3,0),"")</f>
        <v/>
      </c>
      <c r="D2245" s="54"/>
      <c r="E2245" s="54"/>
      <c r="F2245" s="54"/>
      <c r="G2245" s="72"/>
      <c r="H2245" s="54"/>
      <c r="I2245" s="54"/>
      <c r="J2245" s="107"/>
      <c r="K2245" s="115"/>
      <c r="L2245" s="54"/>
      <c r="M2245" s="54"/>
      <c r="N2245" s="54"/>
      <c r="O2245" s="68"/>
      <c r="P2245" s="110" t="str">
        <f t="shared" si="128"/>
        <v/>
      </c>
      <c r="Q2245" s="54"/>
      <c r="R2245" s="58"/>
      <c r="S2245" s="87" t="str">
        <f t="shared" si="127"/>
        <v/>
      </c>
      <c r="T2245" s="54"/>
      <c r="U2245" s="54"/>
      <c r="V2245" s="54"/>
      <c r="W2245" s="54"/>
      <c r="X2245" s="69"/>
    </row>
    <row r="2246" spans="1:24" s="66" customFormat="1" x14ac:dyDescent="0.25">
      <c r="A2246" s="51"/>
      <c r="B2246" s="91" t="str">
        <f>IFERROR(VLOOKUP(A2246,Lookup!A:B,2,0),"")</f>
        <v/>
      </c>
      <c r="C2246" s="92" t="str">
        <f>IFERROR(VLOOKUP(A2246,Lookup!A:C,3,0),"")</f>
        <v/>
      </c>
      <c r="D2246" s="54"/>
      <c r="E2246" s="54"/>
      <c r="F2246" s="54"/>
      <c r="G2246" s="72"/>
      <c r="H2246" s="54"/>
      <c r="I2246" s="54"/>
      <c r="J2246" s="107"/>
      <c r="K2246" s="115"/>
      <c r="L2246" s="54"/>
      <c r="M2246" s="54"/>
      <c r="N2246" s="54"/>
      <c r="O2246" s="68"/>
      <c r="P2246" s="110" t="str">
        <f t="shared" si="128"/>
        <v/>
      </c>
      <c r="Q2246" s="54"/>
      <c r="R2246" s="58"/>
      <c r="S2246" s="87" t="str">
        <f t="shared" si="127"/>
        <v/>
      </c>
      <c r="T2246" s="54"/>
      <c r="U2246" s="54"/>
      <c r="V2246" s="54"/>
      <c r="W2246" s="54"/>
      <c r="X2246" s="69"/>
    </row>
    <row r="2247" spans="1:24" s="66" customFormat="1" x14ac:dyDescent="0.25">
      <c r="A2247" s="51"/>
      <c r="B2247" s="91" t="str">
        <f>IFERROR(VLOOKUP(A2247,Lookup!A:B,2,0),"")</f>
        <v/>
      </c>
      <c r="C2247" s="92" t="str">
        <f>IFERROR(VLOOKUP(A2247,Lookup!A:C,3,0),"")</f>
        <v/>
      </c>
      <c r="D2247" s="54"/>
      <c r="E2247" s="54"/>
      <c r="F2247" s="54"/>
      <c r="G2247" s="72"/>
      <c r="H2247" s="54"/>
      <c r="I2247" s="54"/>
      <c r="J2247" s="107"/>
      <c r="K2247" s="115"/>
      <c r="L2247" s="54"/>
      <c r="M2247" s="54"/>
      <c r="N2247" s="54"/>
      <c r="O2247" s="68"/>
      <c r="P2247" s="110" t="str">
        <f t="shared" si="128"/>
        <v/>
      </c>
      <c r="Q2247" s="54"/>
      <c r="R2247" s="58"/>
      <c r="S2247" s="87" t="str">
        <f t="shared" ref="S2247:S2310" si="129">IF(OR(EXACT(Q2247,""), EXACT(L2247,"")),"",Q2247-L2247)</f>
        <v/>
      </c>
      <c r="T2247" s="54"/>
      <c r="U2247" s="54"/>
      <c r="V2247" s="54"/>
      <c r="W2247" s="54"/>
      <c r="X2247" s="69"/>
    </row>
    <row r="2248" spans="1:24" s="66" customFormat="1" x14ac:dyDescent="0.25">
      <c r="A2248" s="51"/>
      <c r="B2248" s="91" t="str">
        <f>IFERROR(VLOOKUP(A2248,Lookup!A:B,2,0),"")</f>
        <v/>
      </c>
      <c r="C2248" s="92" t="str">
        <f>IFERROR(VLOOKUP(A2248,Lookup!A:C,3,0),"")</f>
        <v/>
      </c>
      <c r="D2248" s="54"/>
      <c r="E2248" s="54"/>
      <c r="F2248" s="54"/>
      <c r="G2248" s="72"/>
      <c r="H2248" s="54"/>
      <c r="I2248" s="54"/>
      <c r="J2248" s="107"/>
      <c r="K2248" s="115"/>
      <c r="L2248" s="54"/>
      <c r="M2248" s="54"/>
      <c r="N2248" s="54"/>
      <c r="O2248" s="68"/>
      <c r="P2248" s="110" t="str">
        <f t="shared" si="128"/>
        <v/>
      </c>
      <c r="Q2248" s="54"/>
      <c r="R2248" s="58"/>
      <c r="S2248" s="87" t="str">
        <f t="shared" si="129"/>
        <v/>
      </c>
      <c r="T2248" s="54"/>
      <c r="U2248" s="54"/>
      <c r="V2248" s="54"/>
      <c r="W2248" s="54"/>
      <c r="X2248" s="69"/>
    </row>
    <row r="2249" spans="1:24" s="66" customFormat="1" x14ac:dyDescent="0.25">
      <c r="A2249" s="51"/>
      <c r="B2249" s="91" t="str">
        <f>IFERROR(VLOOKUP(A2249,Lookup!A:B,2,0),"")</f>
        <v/>
      </c>
      <c r="C2249" s="92" t="str">
        <f>IFERROR(VLOOKUP(A2249,Lookup!A:C,3,0),"")</f>
        <v/>
      </c>
      <c r="D2249" s="54"/>
      <c r="E2249" s="54"/>
      <c r="F2249" s="54"/>
      <c r="G2249" s="72"/>
      <c r="H2249" s="54"/>
      <c r="I2249" s="54"/>
      <c r="J2249" s="107"/>
      <c r="K2249" s="115"/>
      <c r="L2249" s="54"/>
      <c r="M2249" s="54"/>
      <c r="N2249" s="54"/>
      <c r="O2249" s="68"/>
      <c r="P2249" s="110" t="str">
        <f t="shared" si="128"/>
        <v/>
      </c>
      <c r="Q2249" s="54"/>
      <c r="R2249" s="58"/>
      <c r="S2249" s="87" t="str">
        <f t="shared" si="129"/>
        <v/>
      </c>
      <c r="T2249" s="54"/>
      <c r="U2249" s="54"/>
      <c r="V2249" s="54"/>
      <c r="W2249" s="54"/>
      <c r="X2249" s="69"/>
    </row>
    <row r="2250" spans="1:24" s="66" customFormat="1" x14ac:dyDescent="0.25">
      <c r="A2250" s="51"/>
      <c r="B2250" s="91" t="str">
        <f>IFERROR(VLOOKUP(A2250,Lookup!A:B,2,0),"")</f>
        <v/>
      </c>
      <c r="C2250" s="92" t="str">
        <f>IFERROR(VLOOKUP(A2250,Lookup!A:C,3,0),"")</f>
        <v/>
      </c>
      <c r="D2250" s="54"/>
      <c r="E2250" s="54"/>
      <c r="F2250" s="54"/>
      <c r="G2250" s="72"/>
      <c r="H2250" s="54"/>
      <c r="I2250" s="54"/>
      <c r="J2250" s="107"/>
      <c r="K2250" s="115"/>
      <c r="L2250" s="54"/>
      <c r="M2250" s="54"/>
      <c r="N2250" s="54"/>
      <c r="O2250" s="68"/>
      <c r="P2250" s="110" t="str">
        <f t="shared" si="128"/>
        <v/>
      </c>
      <c r="Q2250" s="54"/>
      <c r="R2250" s="58"/>
      <c r="S2250" s="87" t="str">
        <f t="shared" si="129"/>
        <v/>
      </c>
      <c r="T2250" s="54"/>
      <c r="U2250" s="54"/>
      <c r="V2250" s="54"/>
      <c r="W2250" s="54"/>
      <c r="X2250" s="69"/>
    </row>
    <row r="2251" spans="1:24" s="66" customFormat="1" x14ac:dyDescent="0.25">
      <c r="A2251" s="51"/>
      <c r="B2251" s="91" t="str">
        <f>IFERROR(VLOOKUP(A2251,Lookup!A:B,2,0),"")</f>
        <v/>
      </c>
      <c r="C2251" s="92" t="str">
        <f>IFERROR(VLOOKUP(A2251,Lookup!A:C,3,0),"")</f>
        <v/>
      </c>
      <c r="D2251" s="54"/>
      <c r="E2251" s="54"/>
      <c r="F2251" s="54"/>
      <c r="G2251" s="72"/>
      <c r="H2251" s="54"/>
      <c r="I2251" s="54"/>
      <c r="J2251" s="107"/>
      <c r="K2251" s="115"/>
      <c r="L2251" s="54"/>
      <c r="M2251" s="54"/>
      <c r="N2251" s="54"/>
      <c r="O2251" s="68"/>
      <c r="P2251" s="110" t="str">
        <f t="shared" si="128"/>
        <v/>
      </c>
      <c r="Q2251" s="54"/>
      <c r="R2251" s="58"/>
      <c r="S2251" s="87" t="str">
        <f t="shared" si="129"/>
        <v/>
      </c>
      <c r="T2251" s="54"/>
      <c r="U2251" s="54"/>
      <c r="V2251" s="54"/>
      <c r="W2251" s="54"/>
      <c r="X2251" s="69"/>
    </row>
    <row r="2252" spans="1:24" s="66" customFormat="1" x14ac:dyDescent="0.25">
      <c r="A2252" s="51"/>
      <c r="B2252" s="91" t="str">
        <f>IFERROR(VLOOKUP(A2252,Lookup!A:B,2,0),"")</f>
        <v/>
      </c>
      <c r="C2252" s="92" t="str">
        <f>IFERROR(VLOOKUP(A2252,Lookup!A:C,3,0),"")</f>
        <v/>
      </c>
      <c r="D2252" s="54"/>
      <c r="E2252" s="54"/>
      <c r="F2252" s="54"/>
      <c r="G2252" s="72"/>
      <c r="H2252" s="54"/>
      <c r="I2252" s="54"/>
      <c r="J2252" s="107"/>
      <c r="K2252" s="115"/>
      <c r="L2252" s="54"/>
      <c r="M2252" s="54"/>
      <c r="N2252" s="54"/>
      <c r="O2252" s="68"/>
      <c r="P2252" s="110" t="str">
        <f t="shared" si="128"/>
        <v/>
      </c>
      <c r="Q2252" s="54"/>
      <c r="R2252" s="58"/>
      <c r="S2252" s="87" t="str">
        <f t="shared" si="129"/>
        <v/>
      </c>
      <c r="T2252" s="54"/>
      <c r="U2252" s="54"/>
      <c r="V2252" s="54"/>
      <c r="W2252" s="54"/>
      <c r="X2252" s="69"/>
    </row>
    <row r="2253" spans="1:24" s="66" customFormat="1" x14ac:dyDescent="0.25">
      <c r="A2253" s="51"/>
      <c r="B2253" s="91" t="str">
        <f>IFERROR(VLOOKUP(A2253,Lookup!A:B,2,0),"")</f>
        <v/>
      </c>
      <c r="C2253" s="92" t="str">
        <f>IFERROR(VLOOKUP(A2253,Lookup!A:C,3,0),"")</f>
        <v/>
      </c>
      <c r="D2253" s="54"/>
      <c r="E2253" s="54"/>
      <c r="F2253" s="54"/>
      <c r="G2253" s="72"/>
      <c r="H2253" s="54"/>
      <c r="I2253" s="54"/>
      <c r="J2253" s="107"/>
      <c r="K2253" s="115"/>
      <c r="L2253" s="54"/>
      <c r="M2253" s="54"/>
      <c r="N2253" s="54"/>
      <c r="O2253" s="68"/>
      <c r="P2253" s="110" t="str">
        <f t="shared" si="128"/>
        <v/>
      </c>
      <c r="Q2253" s="54"/>
      <c r="R2253" s="58"/>
      <c r="S2253" s="87" t="str">
        <f t="shared" si="129"/>
        <v/>
      </c>
      <c r="T2253" s="54"/>
      <c r="U2253" s="54"/>
      <c r="V2253" s="54"/>
      <c r="W2253" s="54"/>
      <c r="X2253" s="69"/>
    </row>
    <row r="2254" spans="1:24" s="66" customFormat="1" x14ac:dyDescent="0.25">
      <c r="A2254" s="51"/>
      <c r="B2254" s="91" t="str">
        <f>IFERROR(VLOOKUP(A2254,Lookup!A:B,2,0),"")</f>
        <v/>
      </c>
      <c r="C2254" s="92" t="str">
        <f>IFERROR(VLOOKUP(A2254,Lookup!A:C,3,0),"")</f>
        <v/>
      </c>
      <c r="D2254" s="54"/>
      <c r="E2254" s="54"/>
      <c r="F2254" s="54"/>
      <c r="G2254" s="72"/>
      <c r="H2254" s="54"/>
      <c r="I2254" s="54"/>
      <c r="J2254" s="107"/>
      <c r="K2254" s="115"/>
      <c r="L2254" s="54"/>
      <c r="M2254" s="54"/>
      <c r="N2254" s="54"/>
      <c r="O2254" s="68"/>
      <c r="P2254" s="110" t="str">
        <f t="shared" si="128"/>
        <v/>
      </c>
      <c r="Q2254" s="54"/>
      <c r="R2254" s="58"/>
      <c r="S2254" s="87" t="str">
        <f t="shared" si="129"/>
        <v/>
      </c>
      <c r="T2254" s="54"/>
      <c r="U2254" s="54"/>
      <c r="V2254" s="54"/>
      <c r="W2254" s="54"/>
      <c r="X2254" s="69"/>
    </row>
    <row r="2255" spans="1:24" s="66" customFormat="1" x14ac:dyDescent="0.25">
      <c r="A2255" s="51"/>
      <c r="B2255" s="91" t="str">
        <f>IFERROR(VLOOKUP(A2255,Lookup!A:B,2,0),"")</f>
        <v/>
      </c>
      <c r="C2255" s="92" t="str">
        <f>IFERROR(VLOOKUP(A2255,Lookup!A:C,3,0),"")</f>
        <v/>
      </c>
      <c r="D2255" s="54"/>
      <c r="E2255" s="54"/>
      <c r="F2255" s="54"/>
      <c r="G2255" s="72"/>
      <c r="H2255" s="54"/>
      <c r="I2255" s="54"/>
      <c r="J2255" s="107"/>
      <c r="K2255" s="115"/>
      <c r="L2255" s="54"/>
      <c r="M2255" s="54"/>
      <c r="N2255" s="54"/>
      <c r="O2255" s="68"/>
      <c r="P2255" s="110" t="str">
        <f t="shared" si="128"/>
        <v/>
      </c>
      <c r="Q2255" s="54"/>
      <c r="R2255" s="58"/>
      <c r="S2255" s="87" t="str">
        <f t="shared" si="129"/>
        <v/>
      </c>
      <c r="T2255" s="54"/>
      <c r="U2255" s="54"/>
      <c r="V2255" s="54"/>
      <c r="W2255" s="54"/>
      <c r="X2255" s="69"/>
    </row>
    <row r="2256" spans="1:24" s="66" customFormat="1" x14ac:dyDescent="0.25">
      <c r="A2256" s="51"/>
      <c r="B2256" s="91" t="str">
        <f>IFERROR(VLOOKUP(A2256,Lookup!A:B,2,0),"")</f>
        <v/>
      </c>
      <c r="C2256" s="92" t="str">
        <f>IFERROR(VLOOKUP(A2256,Lookup!A:C,3,0),"")</f>
        <v/>
      </c>
      <c r="D2256" s="54"/>
      <c r="E2256" s="54"/>
      <c r="F2256" s="54"/>
      <c r="G2256" s="72"/>
      <c r="H2256" s="54"/>
      <c r="I2256" s="54"/>
      <c r="J2256" s="107"/>
      <c r="K2256" s="115"/>
      <c r="L2256" s="54"/>
      <c r="M2256" s="54"/>
      <c r="N2256" s="54"/>
      <c r="O2256" s="68"/>
      <c r="P2256" s="110" t="str">
        <f t="shared" si="128"/>
        <v/>
      </c>
      <c r="Q2256" s="54"/>
      <c r="R2256" s="58"/>
      <c r="S2256" s="87" t="str">
        <f t="shared" si="129"/>
        <v/>
      </c>
      <c r="T2256" s="54"/>
      <c r="U2256" s="54"/>
      <c r="V2256" s="54"/>
      <c r="W2256" s="54"/>
      <c r="X2256" s="69"/>
    </row>
    <row r="2257" spans="1:24" s="66" customFormat="1" x14ac:dyDescent="0.25">
      <c r="A2257" s="51"/>
      <c r="B2257" s="91" t="str">
        <f>IFERROR(VLOOKUP(A2257,Lookup!A:B,2,0),"")</f>
        <v/>
      </c>
      <c r="C2257" s="92" t="str">
        <f>IFERROR(VLOOKUP(A2257,Lookup!A:C,3,0),"")</f>
        <v/>
      </c>
      <c r="D2257" s="54"/>
      <c r="E2257" s="54"/>
      <c r="F2257" s="54"/>
      <c r="G2257" s="72"/>
      <c r="H2257" s="54"/>
      <c r="I2257" s="54"/>
      <c r="J2257" s="107"/>
      <c r="K2257" s="115"/>
      <c r="L2257" s="54"/>
      <c r="M2257" s="54"/>
      <c r="N2257" s="54"/>
      <c r="O2257" s="68"/>
      <c r="P2257" s="110" t="str">
        <f t="shared" si="128"/>
        <v/>
      </c>
      <c r="Q2257" s="54"/>
      <c r="R2257" s="58"/>
      <c r="S2257" s="87" t="str">
        <f t="shared" si="129"/>
        <v/>
      </c>
      <c r="T2257" s="54"/>
      <c r="U2257" s="54"/>
      <c r="V2257" s="54"/>
      <c r="W2257" s="54"/>
      <c r="X2257" s="69"/>
    </row>
    <row r="2258" spans="1:24" s="66" customFormat="1" x14ac:dyDescent="0.25">
      <c r="A2258" s="51"/>
      <c r="B2258" s="91" t="str">
        <f>IFERROR(VLOOKUP(A2258,Lookup!A:B,2,0),"")</f>
        <v/>
      </c>
      <c r="C2258" s="92" t="str">
        <f>IFERROR(VLOOKUP(A2258,Lookup!A:C,3,0),"")</f>
        <v/>
      </c>
      <c r="D2258" s="54"/>
      <c r="E2258" s="54"/>
      <c r="F2258" s="54"/>
      <c r="G2258" s="72"/>
      <c r="H2258" s="54"/>
      <c r="I2258" s="54"/>
      <c r="J2258" s="107"/>
      <c r="K2258" s="115"/>
      <c r="L2258" s="54"/>
      <c r="M2258" s="54"/>
      <c r="N2258" s="54"/>
      <c r="O2258" s="68"/>
      <c r="P2258" s="110" t="str">
        <f t="shared" si="128"/>
        <v/>
      </c>
      <c r="Q2258" s="54"/>
      <c r="R2258" s="58"/>
      <c r="S2258" s="87" t="str">
        <f t="shared" si="129"/>
        <v/>
      </c>
      <c r="T2258" s="54"/>
      <c r="U2258" s="54"/>
      <c r="V2258" s="54"/>
      <c r="W2258" s="54"/>
      <c r="X2258" s="69"/>
    </row>
    <row r="2259" spans="1:24" s="66" customFormat="1" x14ac:dyDescent="0.25">
      <c r="A2259" s="51"/>
      <c r="B2259" s="91" t="str">
        <f>IFERROR(VLOOKUP(A2259,Lookup!A:B,2,0),"")</f>
        <v/>
      </c>
      <c r="C2259" s="92" t="str">
        <f>IFERROR(VLOOKUP(A2259,Lookup!A:C,3,0),"")</f>
        <v/>
      </c>
      <c r="D2259" s="54"/>
      <c r="E2259" s="54"/>
      <c r="F2259" s="54"/>
      <c r="G2259" s="72"/>
      <c r="H2259" s="54"/>
      <c r="I2259" s="54"/>
      <c r="J2259" s="107"/>
      <c r="K2259" s="115"/>
      <c r="L2259" s="54"/>
      <c r="M2259" s="54"/>
      <c r="N2259" s="54"/>
      <c r="O2259" s="68"/>
      <c r="P2259" s="110" t="str">
        <f t="shared" si="128"/>
        <v/>
      </c>
      <c r="Q2259" s="54"/>
      <c r="R2259" s="58"/>
      <c r="S2259" s="87" t="str">
        <f t="shared" si="129"/>
        <v/>
      </c>
      <c r="T2259" s="54"/>
      <c r="U2259" s="54"/>
      <c r="V2259" s="54"/>
      <c r="W2259" s="54"/>
      <c r="X2259" s="69"/>
    </row>
    <row r="2260" spans="1:24" s="66" customFormat="1" x14ac:dyDescent="0.25">
      <c r="A2260" s="51"/>
      <c r="B2260" s="91" t="str">
        <f>IFERROR(VLOOKUP(A2260,Lookup!A:B,2,0),"")</f>
        <v/>
      </c>
      <c r="C2260" s="92" t="str">
        <f>IFERROR(VLOOKUP(A2260,Lookup!A:C,3,0),"")</f>
        <v/>
      </c>
      <c r="D2260" s="54"/>
      <c r="E2260" s="54"/>
      <c r="F2260" s="54"/>
      <c r="G2260" s="72"/>
      <c r="H2260" s="54"/>
      <c r="I2260" s="54"/>
      <c r="J2260" s="107"/>
      <c r="K2260" s="115"/>
      <c r="L2260" s="54"/>
      <c r="M2260" s="54"/>
      <c r="N2260" s="54"/>
      <c r="O2260" s="68"/>
      <c r="P2260" s="110" t="str">
        <f t="shared" si="128"/>
        <v/>
      </c>
      <c r="Q2260" s="54"/>
      <c r="R2260" s="58"/>
      <c r="S2260" s="87" t="str">
        <f t="shared" si="129"/>
        <v/>
      </c>
      <c r="T2260" s="54"/>
      <c r="U2260" s="54"/>
      <c r="V2260" s="54"/>
      <c r="W2260" s="54"/>
      <c r="X2260" s="69"/>
    </row>
    <row r="2261" spans="1:24" s="66" customFormat="1" x14ac:dyDescent="0.25">
      <c r="A2261" s="51"/>
      <c r="B2261" s="91" t="str">
        <f>IFERROR(VLOOKUP(A2261,Lookup!A:B,2,0),"")</f>
        <v/>
      </c>
      <c r="C2261" s="92" t="str">
        <f>IFERROR(VLOOKUP(A2261,Lookup!A:C,3,0),"")</f>
        <v/>
      </c>
      <c r="D2261" s="54"/>
      <c r="E2261" s="54"/>
      <c r="F2261" s="54"/>
      <c r="G2261" s="72"/>
      <c r="H2261" s="54"/>
      <c r="I2261" s="54"/>
      <c r="J2261" s="107"/>
      <c r="K2261" s="115"/>
      <c r="L2261" s="54"/>
      <c r="M2261" s="54"/>
      <c r="N2261" s="54"/>
      <c r="O2261" s="68"/>
      <c r="P2261" s="110" t="str">
        <f t="shared" si="128"/>
        <v/>
      </c>
      <c r="Q2261" s="54"/>
      <c r="R2261" s="58"/>
      <c r="S2261" s="87" t="str">
        <f t="shared" si="129"/>
        <v/>
      </c>
      <c r="T2261" s="54"/>
      <c r="U2261" s="54"/>
      <c r="V2261" s="54"/>
      <c r="W2261" s="54"/>
      <c r="X2261" s="69"/>
    </row>
    <row r="2262" spans="1:24" s="66" customFormat="1" x14ac:dyDescent="0.25">
      <c r="A2262" s="51"/>
      <c r="B2262" s="91" t="str">
        <f>IFERROR(VLOOKUP(A2262,Lookup!A:B,2,0),"")</f>
        <v/>
      </c>
      <c r="C2262" s="92" t="str">
        <f>IFERROR(VLOOKUP(A2262,Lookup!A:C,3,0),"")</f>
        <v/>
      </c>
      <c r="D2262" s="54"/>
      <c r="E2262" s="54"/>
      <c r="F2262" s="54"/>
      <c r="G2262" s="72"/>
      <c r="H2262" s="54"/>
      <c r="I2262" s="54"/>
      <c r="J2262" s="107"/>
      <c r="K2262" s="115"/>
      <c r="L2262" s="54"/>
      <c r="M2262" s="54"/>
      <c r="N2262" s="54"/>
      <c r="O2262" s="68"/>
      <c r="P2262" s="110" t="str">
        <f t="shared" si="128"/>
        <v/>
      </c>
      <c r="Q2262" s="54"/>
      <c r="R2262" s="58"/>
      <c r="S2262" s="87" t="str">
        <f t="shared" si="129"/>
        <v/>
      </c>
      <c r="T2262" s="54"/>
      <c r="U2262" s="54"/>
      <c r="V2262" s="54"/>
      <c r="W2262" s="54"/>
      <c r="X2262" s="69"/>
    </row>
    <row r="2263" spans="1:24" s="66" customFormat="1" x14ac:dyDescent="0.25">
      <c r="A2263" s="51"/>
      <c r="B2263" s="91" t="str">
        <f>IFERROR(VLOOKUP(A2263,Lookup!A:B,2,0),"")</f>
        <v/>
      </c>
      <c r="C2263" s="92" t="str">
        <f>IFERROR(VLOOKUP(A2263,Lookup!A:C,3,0),"")</f>
        <v/>
      </c>
      <c r="D2263" s="54"/>
      <c r="E2263" s="54"/>
      <c r="F2263" s="54"/>
      <c r="G2263" s="72"/>
      <c r="H2263" s="54"/>
      <c r="I2263" s="54"/>
      <c r="J2263" s="107"/>
      <c r="K2263" s="115"/>
      <c r="L2263" s="54"/>
      <c r="M2263" s="54"/>
      <c r="N2263" s="54"/>
      <c r="O2263" s="68"/>
      <c r="P2263" s="110" t="str">
        <f t="shared" si="128"/>
        <v/>
      </c>
      <c r="Q2263" s="54"/>
      <c r="R2263" s="58"/>
      <c r="S2263" s="87" t="str">
        <f t="shared" si="129"/>
        <v/>
      </c>
      <c r="T2263" s="54"/>
      <c r="U2263" s="54"/>
      <c r="V2263" s="54"/>
      <c r="W2263" s="54"/>
      <c r="X2263" s="69"/>
    </row>
    <row r="2264" spans="1:24" s="66" customFormat="1" x14ac:dyDescent="0.25">
      <c r="A2264" s="51"/>
      <c r="B2264" s="91" t="str">
        <f>IFERROR(VLOOKUP(A2264,Lookup!A:B,2,0),"")</f>
        <v/>
      </c>
      <c r="C2264" s="92" t="str">
        <f>IFERROR(VLOOKUP(A2264,Lookup!A:C,3,0),"")</f>
        <v/>
      </c>
      <c r="D2264" s="54"/>
      <c r="E2264" s="54"/>
      <c r="F2264" s="54"/>
      <c r="G2264" s="72"/>
      <c r="H2264" s="54"/>
      <c r="I2264" s="54"/>
      <c r="J2264" s="107"/>
      <c r="K2264" s="115"/>
      <c r="L2264" s="54"/>
      <c r="M2264" s="54"/>
      <c r="N2264" s="54"/>
      <c r="O2264" s="68"/>
      <c r="P2264" s="110" t="str">
        <f t="shared" si="128"/>
        <v/>
      </c>
      <c r="Q2264" s="54"/>
      <c r="R2264" s="58"/>
      <c r="S2264" s="87" t="str">
        <f t="shared" si="129"/>
        <v/>
      </c>
      <c r="T2264" s="54"/>
      <c r="U2264" s="54"/>
      <c r="V2264" s="54"/>
      <c r="W2264" s="54"/>
      <c r="X2264" s="69"/>
    </row>
    <row r="2265" spans="1:24" s="66" customFormat="1" x14ac:dyDescent="0.25">
      <c r="A2265" s="51"/>
      <c r="B2265" s="91" t="str">
        <f>IFERROR(VLOOKUP(A2265,Lookup!A:B,2,0),"")</f>
        <v/>
      </c>
      <c r="C2265" s="92" t="str">
        <f>IFERROR(VLOOKUP(A2265,Lookup!A:C,3,0),"")</f>
        <v/>
      </c>
      <c r="D2265" s="54"/>
      <c r="E2265" s="54"/>
      <c r="F2265" s="54"/>
      <c r="G2265" s="72"/>
      <c r="H2265" s="54"/>
      <c r="I2265" s="54"/>
      <c r="J2265" s="107"/>
      <c r="K2265" s="115"/>
      <c r="L2265" s="54"/>
      <c r="M2265" s="54"/>
      <c r="N2265" s="54"/>
      <c r="O2265" s="68"/>
      <c r="P2265" s="110" t="str">
        <f t="shared" si="128"/>
        <v/>
      </c>
      <c r="Q2265" s="54"/>
      <c r="R2265" s="58"/>
      <c r="S2265" s="87" t="str">
        <f t="shared" si="129"/>
        <v/>
      </c>
      <c r="T2265" s="54"/>
      <c r="U2265" s="54"/>
      <c r="V2265" s="54"/>
      <c r="W2265" s="54"/>
      <c r="X2265" s="69"/>
    </row>
    <row r="2266" spans="1:24" s="66" customFormat="1" x14ac:dyDescent="0.25">
      <c r="A2266" s="51"/>
      <c r="B2266" s="91" t="str">
        <f>IFERROR(VLOOKUP(A2266,Lookup!A:B,2,0),"")</f>
        <v/>
      </c>
      <c r="C2266" s="92" t="str">
        <f>IFERROR(VLOOKUP(A2266,Lookup!A:C,3,0),"")</f>
        <v/>
      </c>
      <c r="D2266" s="54"/>
      <c r="E2266" s="54"/>
      <c r="F2266" s="54"/>
      <c r="G2266" s="72"/>
      <c r="H2266" s="54"/>
      <c r="I2266" s="54"/>
      <c r="J2266" s="107"/>
      <c r="K2266" s="115"/>
      <c r="L2266" s="54"/>
      <c r="M2266" s="54"/>
      <c r="N2266" s="54"/>
      <c r="O2266" s="68"/>
      <c r="P2266" s="110" t="str">
        <f t="shared" si="128"/>
        <v/>
      </c>
      <c r="Q2266" s="54"/>
      <c r="R2266" s="58"/>
      <c r="S2266" s="87" t="str">
        <f t="shared" si="129"/>
        <v/>
      </c>
      <c r="T2266" s="54"/>
      <c r="U2266" s="54"/>
      <c r="V2266" s="54"/>
      <c r="W2266" s="54"/>
      <c r="X2266" s="69"/>
    </row>
    <row r="2267" spans="1:24" s="66" customFormat="1" x14ac:dyDescent="0.25">
      <c r="A2267" s="51"/>
      <c r="B2267" s="91" t="str">
        <f>IFERROR(VLOOKUP(A2267,Lookup!A:B,2,0),"")</f>
        <v/>
      </c>
      <c r="C2267" s="92" t="str">
        <f>IFERROR(VLOOKUP(A2267,Lookup!A:C,3,0),"")</f>
        <v/>
      </c>
      <c r="D2267" s="54"/>
      <c r="E2267" s="54"/>
      <c r="F2267" s="54"/>
      <c r="G2267" s="72"/>
      <c r="H2267" s="54"/>
      <c r="I2267" s="54"/>
      <c r="J2267" s="107"/>
      <c r="K2267" s="115"/>
      <c r="L2267" s="54"/>
      <c r="M2267" s="54"/>
      <c r="N2267" s="54"/>
      <c r="O2267" s="68"/>
      <c r="P2267" s="110" t="str">
        <f t="shared" si="128"/>
        <v/>
      </c>
      <c r="Q2267" s="54"/>
      <c r="R2267" s="58"/>
      <c r="S2267" s="87" t="str">
        <f t="shared" si="129"/>
        <v/>
      </c>
      <c r="T2267" s="54"/>
      <c r="U2267" s="54"/>
      <c r="V2267" s="54"/>
      <c r="W2267" s="54"/>
      <c r="X2267" s="69"/>
    </row>
    <row r="2268" spans="1:24" s="66" customFormat="1" x14ac:dyDescent="0.25">
      <c r="A2268" s="51"/>
      <c r="B2268" s="91" t="str">
        <f>IFERROR(VLOOKUP(A2268,Lookup!A:B,2,0),"")</f>
        <v/>
      </c>
      <c r="C2268" s="92" t="str">
        <f>IFERROR(VLOOKUP(A2268,Lookup!A:C,3,0),"")</f>
        <v/>
      </c>
      <c r="D2268" s="54"/>
      <c r="E2268" s="54"/>
      <c r="F2268" s="54"/>
      <c r="G2268" s="72"/>
      <c r="H2268" s="54"/>
      <c r="I2268" s="54"/>
      <c r="J2268" s="107"/>
      <c r="K2268" s="115"/>
      <c r="L2268" s="54"/>
      <c r="M2268" s="54"/>
      <c r="N2268" s="54"/>
      <c r="O2268" s="68"/>
      <c r="P2268" s="110" t="str">
        <f t="shared" si="128"/>
        <v/>
      </c>
      <c r="Q2268" s="54"/>
      <c r="R2268" s="58"/>
      <c r="S2268" s="87" t="str">
        <f t="shared" si="129"/>
        <v/>
      </c>
      <c r="T2268" s="54"/>
      <c r="U2268" s="54"/>
      <c r="V2268" s="54"/>
      <c r="W2268" s="54"/>
      <c r="X2268" s="69"/>
    </row>
    <row r="2269" spans="1:24" s="66" customFormat="1" x14ac:dyDescent="0.25">
      <c r="A2269" s="51"/>
      <c r="B2269" s="91" t="str">
        <f>IFERROR(VLOOKUP(A2269,Lookup!A:B,2,0),"")</f>
        <v/>
      </c>
      <c r="C2269" s="92" t="str">
        <f>IFERROR(VLOOKUP(A2269,Lookup!A:C,3,0),"")</f>
        <v/>
      </c>
      <c r="D2269" s="54"/>
      <c r="E2269" s="54"/>
      <c r="F2269" s="54"/>
      <c r="G2269" s="72"/>
      <c r="H2269" s="54"/>
      <c r="I2269" s="54"/>
      <c r="J2269" s="107"/>
      <c r="K2269" s="115"/>
      <c r="L2269" s="54"/>
      <c r="M2269" s="54"/>
      <c r="N2269" s="54"/>
      <c r="O2269" s="68"/>
      <c r="P2269" s="110" t="str">
        <f t="shared" si="128"/>
        <v/>
      </c>
      <c r="Q2269" s="54"/>
      <c r="R2269" s="58"/>
      <c r="S2269" s="87" t="str">
        <f t="shared" si="129"/>
        <v/>
      </c>
      <c r="T2269" s="54"/>
      <c r="U2269" s="54"/>
      <c r="V2269" s="54"/>
      <c r="W2269" s="54"/>
      <c r="X2269" s="69"/>
    </row>
    <row r="2270" spans="1:24" s="66" customFormat="1" x14ac:dyDescent="0.25">
      <c r="A2270" s="51"/>
      <c r="B2270" s="91" t="str">
        <f>IFERROR(VLOOKUP(A2270,Lookup!A:B,2,0),"")</f>
        <v/>
      </c>
      <c r="C2270" s="92" t="str">
        <f>IFERROR(VLOOKUP(A2270,Lookup!A:C,3,0),"")</f>
        <v/>
      </c>
      <c r="D2270" s="54"/>
      <c r="E2270" s="54"/>
      <c r="F2270" s="54"/>
      <c r="G2270" s="72"/>
      <c r="H2270" s="54"/>
      <c r="I2270" s="54"/>
      <c r="J2270" s="107"/>
      <c r="K2270" s="115"/>
      <c r="L2270" s="54"/>
      <c r="M2270" s="54"/>
      <c r="N2270" s="54"/>
      <c r="O2270" s="68"/>
      <c r="P2270" s="110" t="str">
        <f t="shared" si="128"/>
        <v/>
      </c>
      <c r="Q2270" s="54"/>
      <c r="R2270" s="58"/>
      <c r="S2270" s="87" t="str">
        <f t="shared" si="129"/>
        <v/>
      </c>
      <c r="T2270" s="54"/>
      <c r="U2270" s="54"/>
      <c r="V2270" s="54"/>
      <c r="W2270" s="54"/>
      <c r="X2270" s="69"/>
    </row>
    <row r="2271" spans="1:24" s="66" customFormat="1" x14ac:dyDescent="0.25">
      <c r="A2271" s="51"/>
      <c r="B2271" s="91" t="str">
        <f>IFERROR(VLOOKUP(A2271,Lookup!A:B,2,0),"")</f>
        <v/>
      </c>
      <c r="C2271" s="92" t="str">
        <f>IFERROR(VLOOKUP(A2271,Lookup!A:C,3,0),"")</f>
        <v/>
      </c>
      <c r="D2271" s="54"/>
      <c r="E2271" s="54"/>
      <c r="F2271" s="54"/>
      <c r="G2271" s="72"/>
      <c r="H2271" s="54"/>
      <c r="I2271" s="54"/>
      <c r="J2271" s="107"/>
      <c r="K2271" s="115"/>
      <c r="L2271" s="54"/>
      <c r="M2271" s="54"/>
      <c r="N2271" s="54"/>
      <c r="O2271" s="68"/>
      <c r="P2271" s="110" t="str">
        <f t="shared" si="128"/>
        <v/>
      </c>
      <c r="Q2271" s="54"/>
      <c r="R2271" s="58"/>
      <c r="S2271" s="87" t="str">
        <f t="shared" si="129"/>
        <v/>
      </c>
      <c r="T2271" s="54"/>
      <c r="U2271" s="54"/>
      <c r="V2271" s="54"/>
      <c r="W2271" s="54"/>
      <c r="X2271" s="69"/>
    </row>
    <row r="2272" spans="1:24" s="66" customFormat="1" x14ac:dyDescent="0.25">
      <c r="A2272" s="51"/>
      <c r="B2272" s="91" t="str">
        <f>IFERROR(VLOOKUP(A2272,Lookup!A:B,2,0),"")</f>
        <v/>
      </c>
      <c r="C2272" s="92" t="str">
        <f>IFERROR(VLOOKUP(A2272,Lookup!A:C,3,0),"")</f>
        <v/>
      </c>
      <c r="D2272" s="54"/>
      <c r="E2272" s="54"/>
      <c r="F2272" s="54"/>
      <c r="G2272" s="72"/>
      <c r="H2272" s="54"/>
      <c r="I2272" s="54"/>
      <c r="J2272" s="107"/>
      <c r="K2272" s="115"/>
      <c r="L2272" s="54"/>
      <c r="M2272" s="54"/>
      <c r="N2272" s="54"/>
      <c r="O2272" s="68"/>
      <c r="P2272" s="110" t="str">
        <f t="shared" si="128"/>
        <v/>
      </c>
      <c r="Q2272" s="54"/>
      <c r="R2272" s="58"/>
      <c r="S2272" s="87" t="str">
        <f t="shared" si="129"/>
        <v/>
      </c>
      <c r="T2272" s="54"/>
      <c r="U2272" s="54"/>
      <c r="V2272" s="54"/>
      <c r="W2272" s="54"/>
      <c r="X2272" s="69"/>
    </row>
    <row r="2273" spans="1:24" s="66" customFormat="1" x14ac:dyDescent="0.25">
      <c r="A2273" s="51"/>
      <c r="B2273" s="91" t="str">
        <f>IFERROR(VLOOKUP(A2273,Lookup!A:B,2,0),"")</f>
        <v/>
      </c>
      <c r="C2273" s="92" t="str">
        <f>IFERROR(VLOOKUP(A2273,Lookup!A:C,3,0),"")</f>
        <v/>
      </c>
      <c r="D2273" s="54"/>
      <c r="E2273" s="54"/>
      <c r="F2273" s="54"/>
      <c r="G2273" s="72"/>
      <c r="H2273" s="54"/>
      <c r="I2273" s="54"/>
      <c r="J2273" s="107"/>
      <c r="K2273" s="115"/>
      <c r="L2273" s="54"/>
      <c r="M2273" s="54"/>
      <c r="N2273" s="54"/>
      <c r="O2273" s="68"/>
      <c r="P2273" s="110" t="str">
        <f t="shared" si="128"/>
        <v/>
      </c>
      <c r="Q2273" s="54"/>
      <c r="R2273" s="58"/>
      <c r="S2273" s="87" t="str">
        <f t="shared" si="129"/>
        <v/>
      </c>
      <c r="T2273" s="54"/>
      <c r="U2273" s="54"/>
      <c r="V2273" s="54"/>
      <c r="W2273" s="54"/>
      <c r="X2273" s="69"/>
    </row>
    <row r="2274" spans="1:24" s="66" customFormat="1" x14ac:dyDescent="0.25">
      <c r="A2274" s="51"/>
      <c r="B2274" s="91" t="str">
        <f>IFERROR(VLOOKUP(A2274,Lookup!A:B,2,0),"")</f>
        <v/>
      </c>
      <c r="C2274" s="92" t="str">
        <f>IFERROR(VLOOKUP(A2274,Lookup!A:C,3,0),"")</f>
        <v/>
      </c>
      <c r="D2274" s="54"/>
      <c r="E2274" s="54"/>
      <c r="F2274" s="54"/>
      <c r="G2274" s="72"/>
      <c r="H2274" s="54"/>
      <c r="I2274" s="54"/>
      <c r="J2274" s="107"/>
      <c r="K2274" s="115"/>
      <c r="L2274" s="54"/>
      <c r="M2274" s="54"/>
      <c r="N2274" s="54"/>
      <c r="O2274" s="68"/>
      <c r="P2274" s="110" t="str">
        <f t="shared" si="128"/>
        <v/>
      </c>
      <c r="Q2274" s="54"/>
      <c r="R2274" s="58"/>
      <c r="S2274" s="87" t="str">
        <f t="shared" si="129"/>
        <v/>
      </c>
      <c r="T2274" s="54"/>
      <c r="U2274" s="54"/>
      <c r="V2274" s="54"/>
      <c r="W2274" s="54"/>
      <c r="X2274" s="69"/>
    </row>
    <row r="2275" spans="1:24" s="66" customFormat="1" x14ac:dyDescent="0.25">
      <c r="A2275" s="51"/>
      <c r="B2275" s="91" t="str">
        <f>IFERROR(VLOOKUP(A2275,Lookup!A:B,2,0),"")</f>
        <v/>
      </c>
      <c r="C2275" s="92" t="str">
        <f>IFERROR(VLOOKUP(A2275,Lookup!A:C,3,0),"")</f>
        <v/>
      </c>
      <c r="D2275" s="54"/>
      <c r="E2275" s="54"/>
      <c r="F2275" s="54"/>
      <c r="G2275" s="72"/>
      <c r="H2275" s="54"/>
      <c r="I2275" s="54"/>
      <c r="J2275" s="107"/>
      <c r="K2275" s="115"/>
      <c r="L2275" s="54"/>
      <c r="M2275" s="54"/>
      <c r="N2275" s="54"/>
      <c r="O2275" s="68"/>
      <c r="P2275" s="110" t="str">
        <f t="shared" si="128"/>
        <v/>
      </c>
      <c r="Q2275" s="54"/>
      <c r="R2275" s="58"/>
      <c r="S2275" s="87" t="str">
        <f t="shared" si="129"/>
        <v/>
      </c>
      <c r="T2275" s="54"/>
      <c r="U2275" s="54"/>
      <c r="V2275" s="54"/>
      <c r="W2275" s="54"/>
      <c r="X2275" s="69"/>
    </row>
    <row r="2276" spans="1:24" s="66" customFormat="1" x14ac:dyDescent="0.25">
      <c r="A2276" s="51"/>
      <c r="B2276" s="91" t="str">
        <f>IFERROR(VLOOKUP(A2276,Lookup!A:B,2,0),"")</f>
        <v/>
      </c>
      <c r="C2276" s="92" t="str">
        <f>IFERROR(VLOOKUP(A2276,Lookup!A:C,3,0),"")</f>
        <v/>
      </c>
      <c r="D2276" s="54"/>
      <c r="E2276" s="54"/>
      <c r="F2276" s="54"/>
      <c r="G2276" s="72"/>
      <c r="H2276" s="54"/>
      <c r="I2276" s="54"/>
      <c r="J2276" s="107"/>
      <c r="K2276" s="115"/>
      <c r="L2276" s="54"/>
      <c r="M2276" s="54"/>
      <c r="N2276" s="54"/>
      <c r="O2276" s="68"/>
      <c r="P2276" s="110" t="str">
        <f t="shared" si="128"/>
        <v/>
      </c>
      <c r="Q2276" s="54"/>
      <c r="R2276" s="58"/>
      <c r="S2276" s="87" t="str">
        <f t="shared" si="129"/>
        <v/>
      </c>
      <c r="T2276" s="54"/>
      <c r="U2276" s="54"/>
      <c r="V2276" s="54"/>
      <c r="W2276" s="54"/>
      <c r="X2276" s="69"/>
    </row>
    <row r="2277" spans="1:24" s="66" customFormat="1" x14ac:dyDescent="0.25">
      <c r="A2277" s="51"/>
      <c r="B2277" s="91" t="str">
        <f>IFERROR(VLOOKUP(A2277,Lookup!A:B,2,0),"")</f>
        <v/>
      </c>
      <c r="C2277" s="92" t="str">
        <f>IFERROR(VLOOKUP(A2277,Lookup!A:C,3,0),"")</f>
        <v/>
      </c>
      <c r="D2277" s="54"/>
      <c r="E2277" s="54"/>
      <c r="F2277" s="54"/>
      <c r="G2277" s="72"/>
      <c r="H2277" s="54"/>
      <c r="I2277" s="54"/>
      <c r="J2277" s="107"/>
      <c r="K2277" s="115"/>
      <c r="L2277" s="54"/>
      <c r="M2277" s="54"/>
      <c r="N2277" s="54"/>
      <c r="O2277" s="68"/>
      <c r="P2277" s="110" t="str">
        <f t="shared" si="128"/>
        <v/>
      </c>
      <c r="Q2277" s="54"/>
      <c r="R2277" s="58"/>
      <c r="S2277" s="87" t="str">
        <f t="shared" si="129"/>
        <v/>
      </c>
      <c r="T2277" s="54"/>
      <c r="U2277" s="54"/>
      <c r="V2277" s="54"/>
      <c r="W2277" s="54"/>
      <c r="X2277" s="69"/>
    </row>
    <row r="2278" spans="1:24" s="66" customFormat="1" x14ac:dyDescent="0.25">
      <c r="A2278" s="51"/>
      <c r="B2278" s="91" t="str">
        <f>IFERROR(VLOOKUP(A2278,Lookup!A:B,2,0),"")</f>
        <v/>
      </c>
      <c r="C2278" s="92" t="str">
        <f>IFERROR(VLOOKUP(A2278,Lookup!A:C,3,0),"")</f>
        <v/>
      </c>
      <c r="D2278" s="54"/>
      <c r="E2278" s="54"/>
      <c r="F2278" s="54"/>
      <c r="G2278" s="72"/>
      <c r="H2278" s="54"/>
      <c r="I2278" s="54"/>
      <c r="J2278" s="107"/>
      <c r="K2278" s="115"/>
      <c r="L2278" s="54"/>
      <c r="M2278" s="54"/>
      <c r="N2278" s="54"/>
      <c r="O2278" s="68"/>
      <c r="P2278" s="110" t="str">
        <f t="shared" si="128"/>
        <v/>
      </c>
      <c r="Q2278" s="54"/>
      <c r="R2278" s="58"/>
      <c r="S2278" s="87" t="str">
        <f t="shared" si="129"/>
        <v/>
      </c>
      <c r="T2278" s="54"/>
      <c r="U2278" s="54"/>
      <c r="V2278" s="54"/>
      <c r="W2278" s="54"/>
      <c r="X2278" s="69"/>
    </row>
    <row r="2279" spans="1:24" s="66" customFormat="1" x14ac:dyDescent="0.25">
      <c r="A2279" s="51"/>
      <c r="B2279" s="91" t="str">
        <f>IFERROR(VLOOKUP(A2279,Lookup!A:B,2,0),"")</f>
        <v/>
      </c>
      <c r="C2279" s="92" t="str">
        <f>IFERROR(VLOOKUP(A2279,Lookup!A:C,3,0),"")</f>
        <v/>
      </c>
      <c r="D2279" s="54"/>
      <c r="E2279" s="54"/>
      <c r="F2279" s="54"/>
      <c r="G2279" s="72"/>
      <c r="H2279" s="54"/>
      <c r="I2279" s="54"/>
      <c r="J2279" s="107"/>
      <c r="K2279" s="115"/>
      <c r="L2279" s="54"/>
      <c r="M2279" s="54"/>
      <c r="N2279" s="54"/>
      <c r="O2279" s="68"/>
      <c r="P2279" s="110" t="str">
        <f t="shared" si="128"/>
        <v/>
      </c>
      <c r="Q2279" s="54"/>
      <c r="R2279" s="58"/>
      <c r="S2279" s="87" t="str">
        <f t="shared" si="129"/>
        <v/>
      </c>
      <c r="T2279" s="54"/>
      <c r="U2279" s="54"/>
      <c r="V2279" s="54"/>
      <c r="W2279" s="54"/>
      <c r="X2279" s="69"/>
    </row>
    <row r="2280" spans="1:24" s="66" customFormat="1" x14ac:dyDescent="0.25">
      <c r="A2280" s="51"/>
      <c r="B2280" s="91" t="str">
        <f>IFERROR(VLOOKUP(A2280,Lookup!A:B,2,0),"")</f>
        <v/>
      </c>
      <c r="C2280" s="92" t="str">
        <f>IFERROR(VLOOKUP(A2280,Lookup!A:C,3,0),"")</f>
        <v/>
      </c>
      <c r="D2280" s="54"/>
      <c r="E2280" s="54"/>
      <c r="F2280" s="54"/>
      <c r="G2280" s="72"/>
      <c r="H2280" s="54"/>
      <c r="I2280" s="54"/>
      <c r="J2280" s="107"/>
      <c r="K2280" s="115"/>
      <c r="L2280" s="54"/>
      <c r="M2280" s="54"/>
      <c r="N2280" s="54"/>
      <c r="O2280" s="68"/>
      <c r="P2280" s="110" t="str">
        <f t="shared" si="128"/>
        <v/>
      </c>
      <c r="Q2280" s="54"/>
      <c r="R2280" s="58"/>
      <c r="S2280" s="87" t="str">
        <f t="shared" si="129"/>
        <v/>
      </c>
      <c r="T2280" s="54"/>
      <c r="U2280" s="54"/>
      <c r="V2280" s="54"/>
      <c r="W2280" s="54"/>
      <c r="X2280" s="69"/>
    </row>
    <row r="2281" spans="1:24" s="66" customFormat="1" x14ac:dyDescent="0.25">
      <c r="A2281" s="51"/>
      <c r="B2281" s="91" t="str">
        <f>IFERROR(VLOOKUP(A2281,Lookup!A:B,2,0),"")</f>
        <v/>
      </c>
      <c r="C2281" s="92" t="str">
        <f>IFERROR(VLOOKUP(A2281,Lookup!A:C,3,0),"")</f>
        <v/>
      </c>
      <c r="D2281" s="54"/>
      <c r="E2281" s="54"/>
      <c r="F2281" s="54"/>
      <c r="G2281" s="72"/>
      <c r="H2281" s="54"/>
      <c r="I2281" s="54"/>
      <c r="J2281" s="107"/>
      <c r="K2281" s="115"/>
      <c r="L2281" s="54"/>
      <c r="M2281" s="54"/>
      <c r="N2281" s="54"/>
      <c r="O2281" s="68"/>
      <c r="P2281" s="110" t="str">
        <f t="shared" si="128"/>
        <v/>
      </c>
      <c r="Q2281" s="54"/>
      <c r="R2281" s="58"/>
      <c r="S2281" s="87" t="str">
        <f t="shared" si="129"/>
        <v/>
      </c>
      <c r="T2281" s="54"/>
      <c r="U2281" s="54"/>
      <c r="V2281" s="54"/>
      <c r="W2281" s="54"/>
      <c r="X2281" s="69"/>
    </row>
    <row r="2282" spans="1:24" s="66" customFormat="1" x14ac:dyDescent="0.25">
      <c r="A2282" s="51"/>
      <c r="B2282" s="91" t="str">
        <f>IFERROR(VLOOKUP(A2282,Lookup!A:B,2,0),"")</f>
        <v/>
      </c>
      <c r="C2282" s="92" t="str">
        <f>IFERROR(VLOOKUP(A2282,Lookup!A:C,3,0),"")</f>
        <v/>
      </c>
      <c r="D2282" s="54"/>
      <c r="E2282" s="54"/>
      <c r="F2282" s="54"/>
      <c r="G2282" s="72"/>
      <c r="H2282" s="54"/>
      <c r="I2282" s="54"/>
      <c r="J2282" s="107"/>
      <c r="K2282" s="115"/>
      <c r="L2282" s="54"/>
      <c r="M2282" s="54"/>
      <c r="N2282" s="54"/>
      <c r="O2282" s="68"/>
      <c r="P2282" s="110" t="str">
        <f t="shared" si="128"/>
        <v/>
      </c>
      <c r="Q2282" s="54"/>
      <c r="R2282" s="58"/>
      <c r="S2282" s="87" t="str">
        <f t="shared" si="129"/>
        <v/>
      </c>
      <c r="T2282" s="54"/>
      <c r="U2282" s="54"/>
      <c r="V2282" s="54"/>
      <c r="W2282" s="54"/>
      <c r="X2282" s="69"/>
    </row>
    <row r="2283" spans="1:24" s="66" customFormat="1" x14ac:dyDescent="0.25">
      <c r="A2283" s="51"/>
      <c r="B2283" s="91" t="str">
        <f>IFERROR(VLOOKUP(A2283,Lookup!A:B,2,0),"")</f>
        <v/>
      </c>
      <c r="C2283" s="92" t="str">
        <f>IFERROR(VLOOKUP(A2283,Lookup!A:C,3,0),"")</f>
        <v/>
      </c>
      <c r="D2283" s="54"/>
      <c r="E2283" s="54"/>
      <c r="F2283" s="54"/>
      <c r="G2283" s="72"/>
      <c r="H2283" s="54"/>
      <c r="I2283" s="54"/>
      <c r="J2283" s="107"/>
      <c r="K2283" s="115"/>
      <c r="L2283" s="54"/>
      <c r="M2283" s="54"/>
      <c r="N2283" s="54"/>
      <c r="O2283" s="68"/>
      <c r="P2283" s="110" t="str">
        <f t="shared" si="128"/>
        <v/>
      </c>
      <c r="Q2283" s="54"/>
      <c r="R2283" s="58"/>
      <c r="S2283" s="87" t="str">
        <f t="shared" si="129"/>
        <v/>
      </c>
      <c r="T2283" s="54"/>
      <c r="U2283" s="54"/>
      <c r="V2283" s="54"/>
      <c r="W2283" s="54"/>
      <c r="X2283" s="69"/>
    </row>
    <row r="2284" spans="1:24" s="66" customFormat="1" x14ac:dyDescent="0.25">
      <c r="A2284" s="51"/>
      <c r="B2284" s="91" t="str">
        <f>IFERROR(VLOOKUP(A2284,Lookup!A:B,2,0),"")</f>
        <v/>
      </c>
      <c r="C2284" s="92" t="str">
        <f>IFERROR(VLOOKUP(A2284,Lookup!A:C,3,0),"")</f>
        <v/>
      </c>
      <c r="D2284" s="54"/>
      <c r="E2284" s="54"/>
      <c r="F2284" s="54"/>
      <c r="G2284" s="72"/>
      <c r="H2284" s="54"/>
      <c r="I2284" s="54"/>
      <c r="J2284" s="107"/>
      <c r="K2284" s="115"/>
      <c r="L2284" s="54"/>
      <c r="M2284" s="54"/>
      <c r="N2284" s="54"/>
      <c r="O2284" s="68"/>
      <c r="P2284" s="110" t="str">
        <f t="shared" si="128"/>
        <v/>
      </c>
      <c r="Q2284" s="54"/>
      <c r="R2284" s="58"/>
      <c r="S2284" s="87" t="str">
        <f t="shared" si="129"/>
        <v/>
      </c>
      <c r="T2284" s="54"/>
      <c r="U2284" s="54"/>
      <c r="V2284" s="54"/>
      <c r="W2284" s="54"/>
      <c r="X2284" s="69"/>
    </row>
    <row r="2285" spans="1:24" s="66" customFormat="1" x14ac:dyDescent="0.25">
      <c r="A2285" s="51"/>
      <c r="B2285" s="91" t="str">
        <f>IFERROR(VLOOKUP(A2285,Lookup!A:B,2,0),"")</f>
        <v/>
      </c>
      <c r="C2285" s="92" t="str">
        <f>IFERROR(VLOOKUP(A2285,Lookup!A:C,3,0),"")</f>
        <v/>
      </c>
      <c r="D2285" s="54"/>
      <c r="E2285" s="54"/>
      <c r="F2285" s="54"/>
      <c r="G2285" s="72"/>
      <c r="H2285" s="54"/>
      <c r="I2285" s="54"/>
      <c r="J2285" s="107"/>
      <c r="K2285" s="115"/>
      <c r="L2285" s="54"/>
      <c r="M2285" s="54"/>
      <c r="N2285" s="54"/>
      <c r="O2285" s="68"/>
      <c r="P2285" s="110" t="str">
        <f t="shared" si="128"/>
        <v/>
      </c>
      <c r="Q2285" s="54"/>
      <c r="R2285" s="58"/>
      <c r="S2285" s="87" t="str">
        <f t="shared" si="129"/>
        <v/>
      </c>
      <c r="T2285" s="54"/>
      <c r="U2285" s="54"/>
      <c r="V2285" s="54"/>
      <c r="W2285" s="54"/>
      <c r="X2285" s="69"/>
    </row>
    <row r="2286" spans="1:24" x14ac:dyDescent="0.25">
      <c r="C2286" s="92" t="str">
        <f>IFERROR(VLOOKUP(A2286,Lookup!A:C,3,0),"")</f>
        <v/>
      </c>
      <c r="P2286" s="110" t="str">
        <f t="shared" si="128"/>
        <v/>
      </c>
      <c r="S2286" s="87" t="str">
        <f t="shared" si="129"/>
        <v/>
      </c>
    </row>
    <row r="2287" spans="1:24" x14ac:dyDescent="0.25">
      <c r="C2287" s="92" t="str">
        <f>IFERROR(VLOOKUP(A2287,Lookup!A:C,3,0),"")</f>
        <v/>
      </c>
      <c r="P2287" s="110" t="str">
        <f t="shared" si="128"/>
        <v/>
      </c>
      <c r="S2287" s="87" t="str">
        <f t="shared" si="129"/>
        <v/>
      </c>
    </row>
    <row r="2288" spans="1:24" x14ac:dyDescent="0.25">
      <c r="C2288" s="92" t="str">
        <f>IFERROR(VLOOKUP(A2288,Lookup!A:C,3,0),"")</f>
        <v/>
      </c>
      <c r="P2288" s="110" t="str">
        <f t="shared" si="128"/>
        <v/>
      </c>
      <c r="S2288" s="87" t="str">
        <f t="shared" si="129"/>
        <v/>
      </c>
    </row>
    <row r="2289" spans="3:19" x14ac:dyDescent="0.25">
      <c r="C2289" s="92" t="str">
        <f>IFERROR(VLOOKUP(A2289,Lookup!A:C,3,0),"")</f>
        <v/>
      </c>
      <c r="P2289" s="110" t="str">
        <f t="shared" si="128"/>
        <v/>
      </c>
      <c r="S2289" s="87" t="str">
        <f t="shared" si="129"/>
        <v/>
      </c>
    </row>
    <row r="2290" spans="3:19" x14ac:dyDescent="0.25">
      <c r="C2290" s="92" t="str">
        <f>IFERROR(VLOOKUP(A2290,Lookup!A:C,3,0),"")</f>
        <v/>
      </c>
      <c r="P2290" s="110" t="str">
        <f t="shared" si="128"/>
        <v/>
      </c>
      <c r="S2290" s="87" t="str">
        <f t="shared" si="129"/>
        <v/>
      </c>
    </row>
    <row r="2291" spans="3:19" x14ac:dyDescent="0.25">
      <c r="C2291" s="92" t="str">
        <f>IFERROR(VLOOKUP(A2291,Lookup!A:C,3,0),"")</f>
        <v/>
      </c>
      <c r="P2291" s="110" t="str">
        <f t="shared" si="128"/>
        <v/>
      </c>
      <c r="S2291" s="87" t="str">
        <f t="shared" si="129"/>
        <v/>
      </c>
    </row>
    <row r="2292" spans="3:19" x14ac:dyDescent="0.25">
      <c r="C2292" s="92" t="str">
        <f>IFERROR(VLOOKUP(A2292,Lookup!A:C,3,0),"")</f>
        <v/>
      </c>
      <c r="P2292" s="110" t="str">
        <f t="shared" si="128"/>
        <v/>
      </c>
      <c r="S2292" s="87" t="str">
        <f t="shared" si="129"/>
        <v/>
      </c>
    </row>
    <row r="2293" spans="3:19" x14ac:dyDescent="0.25">
      <c r="C2293" s="92" t="str">
        <f>IFERROR(VLOOKUP(A2293,Lookup!A:C,3,0),"")</f>
        <v/>
      </c>
      <c r="P2293" s="110" t="str">
        <f t="shared" si="128"/>
        <v/>
      </c>
      <c r="S2293" s="87" t="str">
        <f t="shared" si="129"/>
        <v/>
      </c>
    </row>
    <row r="2294" spans="3:19" x14ac:dyDescent="0.25">
      <c r="C2294" s="92" t="str">
        <f>IFERROR(VLOOKUP(A2294,Lookup!A:C,3,0),"")</f>
        <v/>
      </c>
      <c r="P2294" s="110" t="str">
        <f t="shared" si="128"/>
        <v/>
      </c>
      <c r="S2294" s="87" t="str">
        <f t="shared" si="129"/>
        <v/>
      </c>
    </row>
    <row r="2295" spans="3:19" x14ac:dyDescent="0.25">
      <c r="C2295" s="92" t="str">
        <f>IFERROR(VLOOKUP(A2295,Lookup!A:C,3,0),"")</f>
        <v/>
      </c>
      <c r="P2295" s="110" t="str">
        <f t="shared" si="128"/>
        <v/>
      </c>
      <c r="S2295" s="87" t="str">
        <f t="shared" si="129"/>
        <v/>
      </c>
    </row>
    <row r="2296" spans="3:19" x14ac:dyDescent="0.25">
      <c r="C2296" s="92" t="str">
        <f>IFERROR(VLOOKUP(A2296,Lookup!A:C,3,0),"")</f>
        <v/>
      </c>
      <c r="P2296" s="110" t="str">
        <f t="shared" si="128"/>
        <v/>
      </c>
      <c r="S2296" s="87" t="str">
        <f t="shared" si="129"/>
        <v/>
      </c>
    </row>
    <row r="2297" spans="3:19" x14ac:dyDescent="0.25">
      <c r="C2297" s="92" t="str">
        <f>IFERROR(VLOOKUP(A2297,Lookup!A:C,3,0),"")</f>
        <v/>
      </c>
      <c r="P2297" s="110" t="str">
        <f t="shared" si="128"/>
        <v/>
      </c>
      <c r="S2297" s="87" t="str">
        <f t="shared" si="129"/>
        <v/>
      </c>
    </row>
    <row r="2298" spans="3:19" x14ac:dyDescent="0.25">
      <c r="C2298" s="92" t="str">
        <f>IFERROR(VLOOKUP(A2298,Lookup!A:C,3,0),"")</f>
        <v/>
      </c>
      <c r="P2298" s="110" t="str">
        <f t="shared" si="128"/>
        <v/>
      </c>
      <c r="S2298" s="87" t="str">
        <f t="shared" si="129"/>
        <v/>
      </c>
    </row>
    <row r="2299" spans="3:19" x14ac:dyDescent="0.25">
      <c r="C2299" s="92" t="str">
        <f>IFERROR(VLOOKUP(A2299,Lookup!A:C,3,0),"")</f>
        <v/>
      </c>
      <c r="P2299" s="110" t="str">
        <f t="shared" si="128"/>
        <v/>
      </c>
      <c r="S2299" s="87" t="str">
        <f t="shared" si="129"/>
        <v/>
      </c>
    </row>
    <row r="2300" spans="3:19" x14ac:dyDescent="0.25">
      <c r="C2300" s="92" t="str">
        <f>IFERROR(VLOOKUP(A2300,Lookup!A:C,3,0),"")</f>
        <v/>
      </c>
      <c r="P2300" s="110" t="str">
        <f t="shared" si="128"/>
        <v/>
      </c>
      <c r="S2300" s="87" t="str">
        <f t="shared" si="129"/>
        <v/>
      </c>
    </row>
    <row r="2301" spans="3:19" x14ac:dyDescent="0.25">
      <c r="C2301" s="92" t="str">
        <f>IFERROR(VLOOKUP(A2301,Lookup!A:C,3,0),"")</f>
        <v/>
      </c>
      <c r="P2301" s="110" t="str">
        <f t="shared" si="128"/>
        <v/>
      </c>
      <c r="S2301" s="87" t="str">
        <f t="shared" si="129"/>
        <v/>
      </c>
    </row>
    <row r="2302" spans="3:19" x14ac:dyDescent="0.25">
      <c r="C2302" s="92" t="str">
        <f>IFERROR(VLOOKUP(A2302,Lookup!A:C,3,0),"")</f>
        <v/>
      </c>
      <c r="P2302" s="110" t="str">
        <f t="shared" si="128"/>
        <v/>
      </c>
      <c r="S2302" s="87" t="str">
        <f t="shared" si="129"/>
        <v/>
      </c>
    </row>
    <row r="2303" spans="3:19" x14ac:dyDescent="0.25">
      <c r="C2303" s="92" t="str">
        <f>IFERROR(VLOOKUP(A2303,Lookup!A:C,3,0),"")</f>
        <v/>
      </c>
      <c r="P2303" s="110" t="str">
        <f t="shared" si="128"/>
        <v/>
      </c>
      <c r="S2303" s="87" t="str">
        <f t="shared" si="129"/>
        <v/>
      </c>
    </row>
    <row r="2304" spans="3:19" x14ac:dyDescent="0.25">
      <c r="C2304" s="92" t="str">
        <f>IFERROR(VLOOKUP(A2304,Lookup!A:C,3,0),"")</f>
        <v/>
      </c>
      <c r="P2304" s="110" t="str">
        <f t="shared" si="128"/>
        <v/>
      </c>
      <c r="S2304" s="87" t="str">
        <f t="shared" si="129"/>
        <v/>
      </c>
    </row>
    <row r="2305" spans="3:19" x14ac:dyDescent="0.25">
      <c r="C2305" s="92" t="str">
        <f>IFERROR(VLOOKUP(A2305,Lookup!A:C,3,0),"")</f>
        <v/>
      </c>
      <c r="P2305" s="110" t="str">
        <f t="shared" si="128"/>
        <v/>
      </c>
      <c r="S2305" s="87" t="str">
        <f t="shared" si="129"/>
        <v/>
      </c>
    </row>
    <row r="2306" spans="3:19" x14ac:dyDescent="0.25">
      <c r="C2306" s="92" t="str">
        <f>IFERROR(VLOOKUP(A2306,Lookup!A:C,3,0),"")</f>
        <v/>
      </c>
      <c r="P2306" s="110" t="str">
        <f t="shared" si="128"/>
        <v/>
      </c>
      <c r="S2306" s="87" t="str">
        <f t="shared" si="129"/>
        <v/>
      </c>
    </row>
    <row r="2307" spans="3:19" x14ac:dyDescent="0.25">
      <c r="C2307" s="92" t="str">
        <f>IFERROR(VLOOKUP(A2307,Lookup!A:C,3,0),"")</f>
        <v/>
      </c>
      <c r="P2307" s="110" t="str">
        <f t="shared" ref="P2307:P2321" si="130">IF(N2307="","",N2307+O2307)</f>
        <v/>
      </c>
      <c r="S2307" s="87" t="str">
        <f t="shared" si="129"/>
        <v/>
      </c>
    </row>
    <row r="2308" spans="3:19" x14ac:dyDescent="0.25">
      <c r="C2308" s="92" t="str">
        <f>IFERROR(VLOOKUP(A2308,Lookup!A:C,3,0),"")</f>
        <v/>
      </c>
      <c r="P2308" s="110" t="str">
        <f t="shared" si="130"/>
        <v/>
      </c>
      <c r="S2308" s="87" t="str">
        <f t="shared" si="129"/>
        <v/>
      </c>
    </row>
    <row r="2309" spans="3:19" x14ac:dyDescent="0.25">
      <c r="C2309" s="92" t="str">
        <f>IFERROR(VLOOKUP(A2309,Lookup!A:C,3,0),"")</f>
        <v/>
      </c>
      <c r="P2309" s="110" t="str">
        <f t="shared" si="130"/>
        <v/>
      </c>
      <c r="S2309" s="87" t="str">
        <f t="shared" si="129"/>
        <v/>
      </c>
    </row>
    <row r="2310" spans="3:19" x14ac:dyDescent="0.25">
      <c r="C2310" s="92" t="str">
        <f>IFERROR(VLOOKUP(A2310,Lookup!A:C,3,0),"")</f>
        <v/>
      </c>
      <c r="P2310" s="110" t="str">
        <f t="shared" si="130"/>
        <v/>
      </c>
      <c r="S2310" s="87" t="str">
        <f t="shared" si="129"/>
        <v/>
      </c>
    </row>
    <row r="2311" spans="3:19" x14ac:dyDescent="0.25">
      <c r="C2311" s="92" t="str">
        <f>IFERROR(VLOOKUP(A2311,Lookup!A:C,3,0),"")</f>
        <v/>
      </c>
      <c r="P2311" s="110" t="str">
        <f t="shared" si="130"/>
        <v/>
      </c>
      <c r="S2311" s="87" t="str">
        <f t="shared" ref="S2311:S2315" si="131">IF(OR(EXACT(Q2311,""), EXACT(L2311,"")),"",Q2311-L2311)</f>
        <v/>
      </c>
    </row>
    <row r="2312" spans="3:19" x14ac:dyDescent="0.25">
      <c r="C2312" s="92" t="str">
        <f>IFERROR(VLOOKUP(A2312,Lookup!A:C,3,0),"")</f>
        <v/>
      </c>
      <c r="P2312" s="110" t="str">
        <f t="shared" si="130"/>
        <v/>
      </c>
      <c r="S2312" s="87" t="str">
        <f t="shared" si="131"/>
        <v/>
      </c>
    </row>
    <row r="2313" spans="3:19" x14ac:dyDescent="0.25">
      <c r="C2313" s="92" t="str">
        <f>IFERROR(VLOOKUP(A2313,Lookup!A:C,3,0),"")</f>
        <v/>
      </c>
      <c r="P2313" s="110" t="str">
        <f t="shared" si="130"/>
        <v/>
      </c>
      <c r="S2313" s="87" t="str">
        <f t="shared" si="131"/>
        <v/>
      </c>
    </row>
    <row r="2314" spans="3:19" x14ac:dyDescent="0.25">
      <c r="C2314" s="92" t="str">
        <f>IFERROR(VLOOKUP(A2314,Lookup!A:C,3,0),"")</f>
        <v/>
      </c>
      <c r="P2314" s="110" t="str">
        <f t="shared" si="130"/>
        <v/>
      </c>
      <c r="S2314" s="87" t="str">
        <f t="shared" si="131"/>
        <v/>
      </c>
    </row>
    <row r="2315" spans="3:19" x14ac:dyDescent="0.25">
      <c r="C2315" s="92" t="str">
        <f>IFERROR(VLOOKUP(A2315,Lookup!A:C,3,0),"")</f>
        <v/>
      </c>
      <c r="P2315" s="110" t="str">
        <f t="shared" si="130"/>
        <v/>
      </c>
      <c r="S2315" s="87" t="str">
        <f t="shared" si="131"/>
        <v/>
      </c>
    </row>
    <row r="2316" spans="3:19" x14ac:dyDescent="0.25">
      <c r="C2316" s="92" t="str">
        <f>IFERROR(VLOOKUP(A2316,Lookup!A:C,3,0),"")</f>
        <v/>
      </c>
      <c r="P2316" s="110" t="str">
        <f t="shared" si="130"/>
        <v/>
      </c>
    </row>
    <row r="2317" spans="3:19" x14ac:dyDescent="0.25">
      <c r="C2317" s="92" t="str">
        <f>IFERROR(VLOOKUP(A2317,Lookup!A:C,3,0),"")</f>
        <v/>
      </c>
      <c r="P2317" s="110" t="str">
        <f t="shared" si="130"/>
        <v/>
      </c>
    </row>
    <row r="2318" spans="3:19" x14ac:dyDescent="0.25">
      <c r="C2318" s="92" t="str">
        <f>IFERROR(VLOOKUP(A2318,Lookup!A:C,3,0),"")</f>
        <v/>
      </c>
      <c r="P2318" s="110" t="str">
        <f t="shared" si="130"/>
        <v/>
      </c>
    </row>
    <row r="2319" spans="3:19" x14ac:dyDescent="0.25">
      <c r="C2319" s="92" t="str">
        <f>IFERROR(VLOOKUP(A2319,Lookup!A:C,3,0),"")</f>
        <v/>
      </c>
      <c r="P2319" s="110" t="str">
        <f t="shared" si="130"/>
        <v/>
      </c>
    </row>
    <row r="2320" spans="3:19" x14ac:dyDescent="0.25">
      <c r="C2320" s="92" t="str">
        <f>IFERROR(VLOOKUP(A2320,Lookup!A:C,3,0),"")</f>
        <v/>
      </c>
      <c r="P2320" s="110" t="str">
        <f t="shared" si="130"/>
        <v/>
      </c>
    </row>
    <row r="2321" spans="3:16" x14ac:dyDescent="0.25">
      <c r="C2321" s="92" t="str">
        <f>IFERROR(VLOOKUP(A2321,Lookup!A:C,3,0),"")</f>
        <v/>
      </c>
      <c r="P2321" s="110" t="str">
        <f t="shared" si="130"/>
        <v/>
      </c>
    </row>
  </sheetData>
  <sortState ref="A4:X100">
    <sortCondition ref="X3"/>
  </sortState>
  <mergeCells count="4">
    <mergeCell ref="A1:B2"/>
    <mergeCell ref="Q1:Q2"/>
    <mergeCell ref="R1:X2"/>
    <mergeCell ref="D1:N2"/>
  </mergeCells>
  <conditionalFormatting sqref="V4:V1048576">
    <cfRule type="cellIs" dxfId="4" priority="1" operator="equal">
      <formula>"OK"</formula>
    </cfRule>
    <cfRule type="cellIs" dxfId="3" priority="2" operator="equal">
      <formula>"NOT OK"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15</xdr:col>
                <xdr:colOff>171450</xdr:colOff>
                <xdr:row>0</xdr:row>
                <xdr:rowOff>66675</xdr:rowOff>
              </from>
              <to>
                <xdr:col>15</xdr:col>
                <xdr:colOff>1485900</xdr:colOff>
                <xdr:row>0</xdr:row>
                <xdr:rowOff>381000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4" r:id="rId6" name="CommandButton2">
          <controlPr defaultSize="0" autoLine="0" r:id="rId7">
            <anchor moveWithCells="1">
              <from>
                <xdr:col>15</xdr:col>
                <xdr:colOff>190500</xdr:colOff>
                <xdr:row>1</xdr:row>
                <xdr:rowOff>361950</xdr:rowOff>
              </from>
              <to>
                <xdr:col>15</xdr:col>
                <xdr:colOff>1495425</xdr:colOff>
                <xdr:row>1</xdr:row>
                <xdr:rowOff>666750</xdr:rowOff>
              </to>
            </anchor>
          </controlPr>
        </control>
      </mc:Choice>
      <mc:Fallback>
        <control shapeId="3074" r:id="rId6" name="CommandButton2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15</xdr:col>
                <xdr:colOff>190500</xdr:colOff>
                <xdr:row>0</xdr:row>
                <xdr:rowOff>438150</xdr:rowOff>
              </from>
              <to>
                <xdr:col>15</xdr:col>
                <xdr:colOff>1485900</xdr:colOff>
                <xdr:row>1</xdr:row>
                <xdr:rowOff>257175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6" r:id="rId10" name="CommandButton4">
          <controlPr defaultSize="0" autoLine="0" r:id="rId11">
            <anchor moveWithCells="1">
              <from>
                <xdr:col>2</xdr:col>
                <xdr:colOff>457200</xdr:colOff>
                <xdr:row>0</xdr:row>
                <xdr:rowOff>314325</xdr:rowOff>
              </from>
              <to>
                <xdr:col>3</xdr:col>
                <xdr:colOff>209550</xdr:colOff>
                <xdr:row>1</xdr:row>
                <xdr:rowOff>476250</xdr:rowOff>
              </to>
            </anchor>
          </controlPr>
        </control>
      </mc:Choice>
      <mc:Fallback>
        <control shapeId="3076" r:id="rId10" name="CommandButton4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65"/>
  <dimension ref="A1:XFC2178"/>
  <sheetViews>
    <sheetView showGridLines="0" workbookViewId="0">
      <selection activeCell="B10" sqref="B10"/>
    </sheetView>
  </sheetViews>
  <sheetFormatPr defaultColWidth="0" defaultRowHeight="15" x14ac:dyDescent="0.25"/>
  <cols>
    <col min="1" max="1" width="16" style="51" customWidth="1"/>
    <col min="2" max="2" width="9.42578125" style="61" customWidth="1"/>
    <col min="3" max="3" width="10.28515625" style="51" bestFit="1" customWidth="1"/>
    <col min="4" max="4" width="13.28515625" style="51" customWidth="1"/>
    <col min="5" max="5" width="11.5703125" style="51" bestFit="1" customWidth="1"/>
    <col min="6" max="6" width="11.5703125" style="51" customWidth="1"/>
    <col min="7" max="7" width="12.42578125" style="71" bestFit="1" customWidth="1"/>
    <col min="8" max="8" width="8.7109375" style="51" customWidth="1"/>
    <col min="9" max="9" width="12.28515625" style="51" customWidth="1"/>
    <col min="10" max="10" width="12.28515625" style="108" hidden="1" customWidth="1"/>
    <col min="11" max="11" width="32.85546875" style="116" customWidth="1"/>
    <col min="12" max="12" width="24" style="116" customWidth="1"/>
    <col min="13" max="13" width="22.140625" style="116" customWidth="1"/>
    <col min="14" max="14" width="18.85546875" style="116" customWidth="1"/>
    <col min="15" max="15" width="13.28515625" style="64" hidden="1" customWidth="1"/>
    <col min="16" max="16" width="17" style="116" customWidth="1"/>
    <col min="17" max="17" width="21.5703125" style="116" customWidth="1"/>
    <col min="18" max="18" width="16.28515625" style="52" customWidth="1"/>
    <col min="19" max="19" width="19.140625" style="52" customWidth="1"/>
    <col min="20" max="20" width="8.140625" style="51" customWidth="1"/>
    <col min="21" max="21" width="9.5703125" style="51" customWidth="1"/>
    <col min="22" max="22" width="13.140625" style="51" customWidth="1"/>
    <col min="23" max="23" width="27.7109375" style="51" bestFit="1" customWidth="1"/>
    <col min="24" max="24" width="9.140625" style="65" hidden="1" customWidth="1"/>
    <col min="25" max="16383" width="9.140625" style="61" hidden="1"/>
    <col min="16384" max="16384" width="2.42578125" style="61" hidden="1"/>
  </cols>
  <sheetData>
    <row r="1" spans="1:24" ht="42.75" customHeight="1" x14ac:dyDescent="0.25">
      <c r="A1" s="134"/>
      <c r="B1" s="135"/>
      <c r="C1" s="82"/>
      <c r="D1" s="148" t="s">
        <v>114</v>
      </c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83"/>
      <c r="P1" s="122"/>
      <c r="Q1" s="151"/>
      <c r="R1" s="146"/>
      <c r="S1" s="147"/>
      <c r="T1" s="147"/>
      <c r="U1" s="147"/>
      <c r="V1" s="147"/>
      <c r="W1" s="147"/>
      <c r="X1" s="147"/>
    </row>
    <row r="2" spans="1:24" s="70" customFormat="1" ht="52.5" customHeight="1" x14ac:dyDescent="0.25">
      <c r="A2" s="136"/>
      <c r="B2" s="137"/>
      <c r="C2" s="73"/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73"/>
      <c r="P2" s="123"/>
      <c r="Q2" s="152"/>
      <c r="R2" s="146"/>
      <c r="S2" s="147"/>
      <c r="T2" s="147"/>
      <c r="U2" s="147"/>
      <c r="V2" s="147"/>
      <c r="W2" s="147"/>
      <c r="X2" s="147"/>
    </row>
    <row r="3" spans="1:24" s="50" customFormat="1" ht="62.25" customHeight="1" x14ac:dyDescent="0.3">
      <c r="A3" s="76" t="s">
        <v>89</v>
      </c>
      <c r="B3" s="76" t="s">
        <v>3</v>
      </c>
      <c r="C3" s="76" t="s">
        <v>0</v>
      </c>
      <c r="D3" s="76" t="s">
        <v>4</v>
      </c>
      <c r="E3" s="76" t="s">
        <v>6</v>
      </c>
      <c r="F3" s="76" t="s">
        <v>91</v>
      </c>
      <c r="G3" s="76" t="s">
        <v>108</v>
      </c>
      <c r="H3" s="76" t="s">
        <v>117</v>
      </c>
      <c r="I3" s="76" t="s">
        <v>5</v>
      </c>
      <c r="J3" s="104" t="s">
        <v>121</v>
      </c>
      <c r="K3" s="114" t="s">
        <v>122</v>
      </c>
      <c r="L3" s="114" t="s">
        <v>7</v>
      </c>
      <c r="M3" s="114" t="s">
        <v>8</v>
      </c>
      <c r="N3" s="114" t="s">
        <v>9</v>
      </c>
      <c r="O3" s="76" t="s">
        <v>2</v>
      </c>
      <c r="P3" s="114" t="s">
        <v>10</v>
      </c>
      <c r="Q3" s="114" t="s">
        <v>11</v>
      </c>
      <c r="R3" s="76" t="s">
        <v>14</v>
      </c>
      <c r="S3" s="76" t="s">
        <v>113</v>
      </c>
      <c r="T3" s="76" t="s">
        <v>12</v>
      </c>
      <c r="U3" s="76" t="s">
        <v>150</v>
      </c>
      <c r="V3" s="76" t="s">
        <v>13</v>
      </c>
      <c r="W3" s="76" t="s">
        <v>111</v>
      </c>
      <c r="X3" s="76" t="s">
        <v>109</v>
      </c>
    </row>
    <row r="4" spans="1:24" ht="14.45" x14ac:dyDescent="0.3">
      <c r="A4" s="53">
        <v>4178306014</v>
      </c>
      <c r="B4" s="91" t="str">
        <f>IFERROR(VLOOKUP(A4,Lookup!A:B,2,0),"")</f>
        <v/>
      </c>
      <c r="C4" s="59" t="str">
        <f>IFERROR(VLOOKUP(A4,Lookup!A:C,3,0),"")</f>
        <v/>
      </c>
      <c r="D4" s="59" t="s">
        <v>139</v>
      </c>
      <c r="E4" s="59" t="s">
        <v>138</v>
      </c>
      <c r="F4" s="59">
        <v>20544116</v>
      </c>
      <c r="G4" s="94" t="s">
        <v>140</v>
      </c>
      <c r="H4" s="59"/>
      <c r="I4" s="59"/>
      <c r="J4" s="106" t="e">
        <f>VLOOKUP(A4&amp;G4,Lookup!J:N,5,0)</f>
        <v>#N/A</v>
      </c>
      <c r="K4" s="110"/>
      <c r="L4" s="110"/>
      <c r="M4" s="110"/>
      <c r="N4" s="110"/>
      <c r="O4" s="90" t="str">
        <f>IFERROR(VLOOKUP(A4&amp;G4,Lookup!J:K,2,0),"")</f>
        <v/>
      </c>
      <c r="P4" s="110" t="str">
        <f t="shared" ref="P4:P35" si="0">IF(N4="","",N4+O4)</f>
        <v/>
      </c>
      <c r="Q4" s="110"/>
      <c r="R4" s="87" t="str">
        <f t="shared" ref="R4:R35" si="1">IF(OR(EXACT(N4,""), EXACT(L4,"")),"",N4-L4)</f>
        <v/>
      </c>
      <c r="S4" s="87" t="str">
        <f t="shared" ref="S4:S35" si="2">IF(OR(EXACT(Q4,""), EXACT(L4,"")),"",Q4-L4)</f>
        <v/>
      </c>
      <c r="T4" s="59" t="e">
        <f t="shared" ref="T4:T31" si="3">IF(Q4-P4&gt;0,"YES",(IF(OR(EXACT(Q4,""), EXACT(P4,"")),"","NO")))</f>
        <v>#VALUE!</v>
      </c>
      <c r="U4" s="59"/>
      <c r="V4" s="59"/>
      <c r="W4" s="59"/>
      <c r="X4" s="93" t="str">
        <f t="shared" ref="X4:X35" si="4">IF(I4="SET","A",IF(I4="FREQ","C",IF(I4="","D","B")))</f>
        <v>D</v>
      </c>
    </row>
    <row r="5" spans="1:24" ht="14.45" x14ac:dyDescent="0.3">
      <c r="A5" s="53" t="s">
        <v>39</v>
      </c>
      <c r="B5" s="91" t="str">
        <f>IFERROR(VLOOKUP(A5,Lookup!A:B,2,0),"")</f>
        <v>EH811</v>
      </c>
      <c r="C5" s="59" t="str">
        <f>IFERROR(VLOOKUP(A5,Lookup!A:C,3,0),"")</f>
        <v>IMF</v>
      </c>
      <c r="D5" s="59" t="s">
        <v>143</v>
      </c>
      <c r="E5" s="59" t="s">
        <v>135</v>
      </c>
      <c r="F5" s="59">
        <v>20523756</v>
      </c>
      <c r="G5" s="94" t="s">
        <v>141</v>
      </c>
      <c r="H5" s="59"/>
      <c r="I5" s="59"/>
      <c r="J5" s="106" t="e">
        <f>VLOOKUP(A5&amp;G5,Lookup!J:N,5,0)</f>
        <v>#N/A</v>
      </c>
      <c r="K5" s="110"/>
      <c r="L5" s="110"/>
      <c r="M5" s="110"/>
      <c r="N5" s="110"/>
      <c r="O5" s="90" t="str">
        <f>IFERROR(VLOOKUP(A5&amp;G5,Lookup!J:K,2,0),"")</f>
        <v/>
      </c>
      <c r="P5" s="110" t="str">
        <f t="shared" si="0"/>
        <v/>
      </c>
      <c r="Q5" s="110"/>
      <c r="R5" s="87" t="str">
        <f t="shared" si="1"/>
        <v/>
      </c>
      <c r="S5" s="87" t="str">
        <f t="shared" si="2"/>
        <v/>
      </c>
      <c r="T5" s="59" t="e">
        <f t="shared" si="3"/>
        <v>#VALUE!</v>
      </c>
      <c r="U5" s="59"/>
      <c r="V5" s="59"/>
      <c r="W5" s="59" t="s">
        <v>142</v>
      </c>
      <c r="X5" s="93" t="str">
        <f t="shared" si="4"/>
        <v>D</v>
      </c>
    </row>
    <row r="6" spans="1:24" ht="14.45" x14ac:dyDescent="0.3">
      <c r="A6" s="53"/>
      <c r="B6" s="91" t="str">
        <f>IFERROR(VLOOKUP(A6,Lookup!A:B,2,0),"")</f>
        <v/>
      </c>
      <c r="C6" s="59" t="str">
        <f>IFERROR(VLOOKUP(A6,Lookup!A:C,3,0),"")</f>
        <v/>
      </c>
      <c r="D6" s="59"/>
      <c r="E6" s="59"/>
      <c r="F6" s="59"/>
      <c r="G6" s="94"/>
      <c r="H6" s="59"/>
      <c r="I6" s="59"/>
      <c r="J6" s="106">
        <f>VLOOKUP(A6&amp;G6,Lookup!J:N,5,0)</f>
        <v>0</v>
      </c>
      <c r="K6" s="110"/>
      <c r="L6" s="110"/>
      <c r="M6" s="110"/>
      <c r="N6" s="110"/>
      <c r="O6" s="90">
        <f>IFERROR(VLOOKUP(A6&amp;G6,Lookup!J:K,2,0),"")</f>
        <v>0</v>
      </c>
      <c r="P6" s="110" t="str">
        <f t="shared" si="0"/>
        <v/>
      </c>
      <c r="Q6" s="110"/>
      <c r="R6" s="87" t="str">
        <f t="shared" si="1"/>
        <v/>
      </c>
      <c r="S6" s="87" t="str">
        <f t="shared" si="2"/>
        <v/>
      </c>
      <c r="T6" s="59" t="e">
        <f t="shared" si="3"/>
        <v>#VALUE!</v>
      </c>
      <c r="U6" s="59"/>
      <c r="V6" s="59"/>
      <c r="W6" s="59"/>
      <c r="X6" s="93" t="str">
        <f t="shared" si="4"/>
        <v>D</v>
      </c>
    </row>
    <row r="7" spans="1:24" ht="14.45" x14ac:dyDescent="0.3">
      <c r="A7" s="53"/>
      <c r="B7" s="91" t="str">
        <f>IFERROR(VLOOKUP(A7,Lookup!A:B,2,0),"")</f>
        <v/>
      </c>
      <c r="C7" s="59" t="str">
        <f>IFERROR(VLOOKUP(A7,Lookup!A:C,3,0),"")</f>
        <v/>
      </c>
      <c r="D7" s="59"/>
      <c r="E7" s="59"/>
      <c r="F7" s="59"/>
      <c r="G7" s="94"/>
      <c r="H7" s="59"/>
      <c r="I7" s="59"/>
      <c r="J7" s="106">
        <f>VLOOKUP(A7&amp;G7,Lookup!J:N,5,0)</f>
        <v>0</v>
      </c>
      <c r="K7" s="110"/>
      <c r="L7" s="110"/>
      <c r="M7" s="110"/>
      <c r="N7" s="110"/>
      <c r="O7" s="90">
        <f>IFERROR(VLOOKUP(A7&amp;G7,Lookup!J:K,2,0),"")</f>
        <v>0</v>
      </c>
      <c r="P7" s="110" t="str">
        <f t="shared" si="0"/>
        <v/>
      </c>
      <c r="Q7" s="110"/>
      <c r="R7" s="87" t="str">
        <f t="shared" si="1"/>
        <v/>
      </c>
      <c r="S7" s="87" t="str">
        <f t="shared" si="2"/>
        <v/>
      </c>
      <c r="T7" s="59" t="e">
        <f t="shared" si="3"/>
        <v>#VALUE!</v>
      </c>
      <c r="U7" s="59"/>
      <c r="V7" s="59"/>
      <c r="W7" s="59"/>
      <c r="X7" s="93" t="str">
        <f t="shared" si="4"/>
        <v>D</v>
      </c>
    </row>
    <row r="8" spans="1:24" ht="14.45" x14ac:dyDescent="0.3">
      <c r="A8" s="53"/>
      <c r="B8" s="91" t="str">
        <f>IFERROR(VLOOKUP(A8,Lookup!A:B,2,0),"")</f>
        <v/>
      </c>
      <c r="C8" s="59" t="str">
        <f>IFERROR(VLOOKUP(A8,Lookup!A:C,3,0),"")</f>
        <v/>
      </c>
      <c r="D8" s="59"/>
      <c r="E8" s="59"/>
      <c r="F8" s="59"/>
      <c r="G8" s="94"/>
      <c r="H8" s="59"/>
      <c r="I8" s="59"/>
      <c r="J8" s="106">
        <f>VLOOKUP(A8&amp;G8,Lookup!J:N,5,0)</f>
        <v>0</v>
      </c>
      <c r="K8" s="110"/>
      <c r="L8" s="110"/>
      <c r="M8" s="110"/>
      <c r="N8" s="110"/>
      <c r="O8" s="90">
        <f>IFERROR(VLOOKUP(A8&amp;G8,Lookup!J:K,2,0),"")</f>
        <v>0</v>
      </c>
      <c r="P8" s="110" t="str">
        <f t="shared" si="0"/>
        <v/>
      </c>
      <c r="Q8" s="110"/>
      <c r="R8" s="87" t="str">
        <f t="shared" si="1"/>
        <v/>
      </c>
      <c r="S8" s="87" t="str">
        <f t="shared" si="2"/>
        <v/>
      </c>
      <c r="T8" s="59" t="e">
        <f t="shared" si="3"/>
        <v>#VALUE!</v>
      </c>
      <c r="U8" s="59"/>
      <c r="V8" s="59"/>
      <c r="W8" s="59"/>
      <c r="X8" s="93" t="str">
        <f t="shared" si="4"/>
        <v>D</v>
      </c>
    </row>
    <row r="9" spans="1:24" ht="14.45" x14ac:dyDescent="0.3">
      <c r="A9" s="53"/>
      <c r="B9" s="91" t="str">
        <f>IFERROR(VLOOKUP(A9,Lookup!A:B,2,0),"")</f>
        <v/>
      </c>
      <c r="C9" s="59" t="str">
        <f>IFERROR(VLOOKUP(A9,Lookup!A:C,3,0),"")</f>
        <v/>
      </c>
      <c r="D9" s="59"/>
      <c r="E9" s="59"/>
      <c r="F9" s="59"/>
      <c r="G9" s="94"/>
      <c r="H9" s="59"/>
      <c r="I9" s="59"/>
      <c r="J9" s="106">
        <f>VLOOKUP(A9&amp;G9,Lookup!J:N,5,0)</f>
        <v>0</v>
      </c>
      <c r="K9" s="110"/>
      <c r="L9" s="110"/>
      <c r="M9" s="110"/>
      <c r="N9" s="110"/>
      <c r="O9" s="90">
        <f>IFERROR(VLOOKUP(A9&amp;G9,Lookup!J:K,2,0),"")</f>
        <v>0</v>
      </c>
      <c r="P9" s="110" t="str">
        <f t="shared" si="0"/>
        <v/>
      </c>
      <c r="Q9" s="110"/>
      <c r="R9" s="87" t="str">
        <f t="shared" si="1"/>
        <v/>
      </c>
      <c r="S9" s="87" t="str">
        <f t="shared" si="2"/>
        <v/>
      </c>
      <c r="T9" s="59" t="e">
        <f t="shared" si="3"/>
        <v>#VALUE!</v>
      </c>
      <c r="U9" s="59"/>
      <c r="V9" s="59"/>
      <c r="W9" s="59"/>
      <c r="X9" s="93" t="str">
        <f t="shared" si="4"/>
        <v>D</v>
      </c>
    </row>
    <row r="10" spans="1:24" ht="14.45" x14ac:dyDescent="0.3">
      <c r="A10" s="53"/>
      <c r="B10" s="91" t="str">
        <f>IFERROR(VLOOKUP(A10,Lookup!A:B,2,0),"")</f>
        <v/>
      </c>
      <c r="C10" s="59" t="str">
        <f>IFERROR(VLOOKUP(A10,Lookup!A:C,3,0),"")</f>
        <v/>
      </c>
      <c r="D10" s="59"/>
      <c r="E10" s="59"/>
      <c r="F10" s="59"/>
      <c r="G10" s="94"/>
      <c r="H10" s="59"/>
      <c r="I10" s="59"/>
      <c r="J10" s="106">
        <f>VLOOKUP(A10&amp;G10,Lookup!J:N,5,0)</f>
        <v>0</v>
      </c>
      <c r="K10" s="110"/>
      <c r="L10" s="110"/>
      <c r="M10" s="110"/>
      <c r="N10" s="110"/>
      <c r="O10" s="90">
        <f>IFERROR(VLOOKUP(A10&amp;G10,Lookup!J:K,2,0),"")</f>
        <v>0</v>
      </c>
      <c r="P10" s="110" t="str">
        <f t="shared" si="0"/>
        <v/>
      </c>
      <c r="Q10" s="110"/>
      <c r="R10" s="87" t="str">
        <f t="shared" si="1"/>
        <v/>
      </c>
      <c r="S10" s="87" t="str">
        <f t="shared" si="2"/>
        <v/>
      </c>
      <c r="T10" s="59" t="e">
        <f t="shared" si="3"/>
        <v>#VALUE!</v>
      </c>
      <c r="U10" s="59"/>
      <c r="V10" s="59"/>
      <c r="W10" s="59"/>
      <c r="X10" s="93" t="str">
        <f t="shared" si="4"/>
        <v>D</v>
      </c>
    </row>
    <row r="11" spans="1:24" ht="14.45" x14ac:dyDescent="0.3">
      <c r="A11" s="53"/>
      <c r="B11" s="91" t="str">
        <f>IFERROR(VLOOKUP(A11,Lookup!A:B,2,0),"")</f>
        <v/>
      </c>
      <c r="C11" s="59" t="str">
        <f>IFERROR(VLOOKUP(A11,Lookup!A:C,3,0),"")</f>
        <v/>
      </c>
      <c r="D11" s="59"/>
      <c r="E11" s="59"/>
      <c r="F11" s="59"/>
      <c r="G11" s="94"/>
      <c r="H11" s="59"/>
      <c r="I11" s="59"/>
      <c r="J11" s="106">
        <f>VLOOKUP(A11&amp;G11,Lookup!J:N,5,0)</f>
        <v>0</v>
      </c>
      <c r="K11" s="110"/>
      <c r="L11" s="110"/>
      <c r="M11" s="110"/>
      <c r="N11" s="110"/>
      <c r="O11" s="90">
        <f>IFERROR(VLOOKUP(A11&amp;G11,Lookup!J:K,2,0),"")</f>
        <v>0</v>
      </c>
      <c r="P11" s="110" t="str">
        <f t="shared" si="0"/>
        <v/>
      </c>
      <c r="Q11" s="110"/>
      <c r="R11" s="87" t="str">
        <f t="shared" si="1"/>
        <v/>
      </c>
      <c r="S11" s="87" t="str">
        <f t="shared" si="2"/>
        <v/>
      </c>
      <c r="T11" s="59" t="e">
        <f t="shared" si="3"/>
        <v>#VALUE!</v>
      </c>
      <c r="U11" s="59"/>
      <c r="V11" s="59"/>
      <c r="W11" s="59"/>
      <c r="X11" s="93" t="str">
        <f t="shared" si="4"/>
        <v>D</v>
      </c>
    </row>
    <row r="12" spans="1:24" ht="14.45" x14ac:dyDescent="0.3">
      <c r="A12" s="53"/>
      <c r="B12" s="91" t="str">
        <f>IFERROR(VLOOKUP(A12,Lookup!A:B,2,0),"")</f>
        <v/>
      </c>
      <c r="C12" s="59" t="str">
        <f>IFERROR(VLOOKUP(A12,Lookup!A:C,3,0),"")</f>
        <v/>
      </c>
      <c r="D12" s="95"/>
      <c r="E12" s="59"/>
      <c r="F12" s="59"/>
      <c r="G12" s="94"/>
      <c r="H12" s="59"/>
      <c r="I12" s="59"/>
      <c r="J12" s="106">
        <f>VLOOKUP(A12&amp;G12,Lookup!J:N,5,0)</f>
        <v>0</v>
      </c>
      <c r="K12" s="110"/>
      <c r="L12" s="110"/>
      <c r="M12" s="110"/>
      <c r="N12" s="110"/>
      <c r="O12" s="90">
        <f>IFERROR(VLOOKUP(A12&amp;G12,Lookup!J:K,2,0),"")</f>
        <v>0</v>
      </c>
      <c r="P12" s="110" t="str">
        <f t="shared" si="0"/>
        <v/>
      </c>
      <c r="Q12" s="110"/>
      <c r="R12" s="87" t="str">
        <f t="shared" si="1"/>
        <v/>
      </c>
      <c r="S12" s="87" t="str">
        <f t="shared" si="2"/>
        <v/>
      </c>
      <c r="T12" s="59" t="e">
        <f t="shared" si="3"/>
        <v>#VALUE!</v>
      </c>
      <c r="U12" s="59"/>
      <c r="V12" s="59"/>
      <c r="W12" s="59"/>
      <c r="X12" s="93" t="str">
        <f t="shared" si="4"/>
        <v>D</v>
      </c>
    </row>
    <row r="13" spans="1:24" ht="14.45" x14ac:dyDescent="0.3">
      <c r="A13" s="53"/>
      <c r="B13" s="91" t="str">
        <f>IFERROR(VLOOKUP(A13,Lookup!A:B,2,0),"")</f>
        <v/>
      </c>
      <c r="C13" s="59" t="str">
        <f>IFERROR(VLOOKUP(A13,Lookup!A:C,3,0),"")</f>
        <v/>
      </c>
      <c r="D13" s="59"/>
      <c r="E13" s="59"/>
      <c r="F13" s="59"/>
      <c r="G13" s="94"/>
      <c r="H13" s="59"/>
      <c r="I13" s="59"/>
      <c r="J13" s="106">
        <f>VLOOKUP(A13&amp;G13,Lookup!J:N,5,0)</f>
        <v>0</v>
      </c>
      <c r="K13" s="110"/>
      <c r="L13" s="110"/>
      <c r="M13" s="110"/>
      <c r="N13" s="110"/>
      <c r="O13" s="90">
        <f>IFERROR(VLOOKUP(A13&amp;G13,Lookup!J:K,2,0),"")</f>
        <v>0</v>
      </c>
      <c r="P13" s="110" t="str">
        <f t="shared" si="0"/>
        <v/>
      </c>
      <c r="Q13" s="110"/>
      <c r="R13" s="87" t="str">
        <f t="shared" si="1"/>
        <v/>
      </c>
      <c r="S13" s="87" t="str">
        <f t="shared" si="2"/>
        <v/>
      </c>
      <c r="T13" s="59" t="e">
        <f t="shared" si="3"/>
        <v>#VALUE!</v>
      </c>
      <c r="U13" s="59"/>
      <c r="V13" s="59"/>
      <c r="W13" s="59"/>
      <c r="X13" s="93" t="str">
        <f t="shared" si="4"/>
        <v>D</v>
      </c>
    </row>
    <row r="14" spans="1:24" ht="14.45" x14ac:dyDescent="0.3">
      <c r="A14" s="53"/>
      <c r="B14" s="91" t="str">
        <f>IFERROR(VLOOKUP(A14,Lookup!A:B,2,0),"")</f>
        <v/>
      </c>
      <c r="C14" s="59" t="str">
        <f>IFERROR(VLOOKUP(A14,Lookup!A:C,3,0),"")</f>
        <v/>
      </c>
      <c r="D14" s="59"/>
      <c r="E14" s="59"/>
      <c r="F14" s="59"/>
      <c r="G14" s="94"/>
      <c r="H14" s="59"/>
      <c r="I14" s="59"/>
      <c r="J14" s="106">
        <f>VLOOKUP(A14&amp;G14,Lookup!J:N,5,0)</f>
        <v>0</v>
      </c>
      <c r="K14" s="110"/>
      <c r="L14" s="110"/>
      <c r="M14" s="110"/>
      <c r="N14" s="110"/>
      <c r="O14" s="90">
        <f>IFERROR(VLOOKUP(A14&amp;G14,Lookup!J:K,2,0),"")</f>
        <v>0</v>
      </c>
      <c r="P14" s="110" t="str">
        <f t="shared" si="0"/>
        <v/>
      </c>
      <c r="Q14" s="110"/>
      <c r="R14" s="87" t="str">
        <f t="shared" si="1"/>
        <v/>
      </c>
      <c r="S14" s="87" t="str">
        <f t="shared" si="2"/>
        <v/>
      </c>
      <c r="T14" s="59" t="e">
        <f t="shared" si="3"/>
        <v>#VALUE!</v>
      </c>
      <c r="U14" s="59"/>
      <c r="V14" s="59"/>
      <c r="W14" s="59"/>
      <c r="X14" s="93" t="str">
        <f t="shared" si="4"/>
        <v>D</v>
      </c>
    </row>
    <row r="15" spans="1:24" ht="14.45" x14ac:dyDescent="0.3">
      <c r="A15" s="53"/>
      <c r="B15" s="91" t="str">
        <f>IFERROR(VLOOKUP(A15,Lookup!A:B,2,0),"")</f>
        <v/>
      </c>
      <c r="C15" s="59" t="str">
        <f>IFERROR(VLOOKUP(A15,Lookup!A:C,3,0),"")</f>
        <v/>
      </c>
      <c r="D15" s="59"/>
      <c r="E15" s="59"/>
      <c r="F15" s="59"/>
      <c r="G15" s="94"/>
      <c r="H15" s="59"/>
      <c r="I15" s="59"/>
      <c r="J15" s="106">
        <f>VLOOKUP(A15&amp;G15,Lookup!J:N,5,0)</f>
        <v>0</v>
      </c>
      <c r="K15" s="110"/>
      <c r="L15" s="110"/>
      <c r="M15" s="110"/>
      <c r="N15" s="110"/>
      <c r="O15" s="90">
        <f>IFERROR(VLOOKUP(A15&amp;G15,Lookup!J:K,2,0),"")</f>
        <v>0</v>
      </c>
      <c r="P15" s="110" t="str">
        <f t="shared" si="0"/>
        <v/>
      </c>
      <c r="Q15" s="110"/>
      <c r="R15" s="87" t="str">
        <f t="shared" si="1"/>
        <v/>
      </c>
      <c r="S15" s="87" t="str">
        <f t="shared" si="2"/>
        <v/>
      </c>
      <c r="T15" s="59" t="e">
        <f t="shared" si="3"/>
        <v>#VALUE!</v>
      </c>
      <c r="U15" s="59"/>
      <c r="V15" s="59"/>
      <c r="W15" s="59"/>
      <c r="X15" s="93" t="str">
        <f t="shared" si="4"/>
        <v>D</v>
      </c>
    </row>
    <row r="16" spans="1:24" ht="14.45" x14ac:dyDescent="0.3">
      <c r="A16" s="53"/>
      <c r="B16" s="91" t="str">
        <f>IFERROR(VLOOKUP(A16,Lookup!A:B,2,0),"")</f>
        <v/>
      </c>
      <c r="C16" s="59" t="str">
        <f>IFERROR(VLOOKUP(A16,Lookup!A:C,3,0),"")</f>
        <v/>
      </c>
      <c r="D16" s="59"/>
      <c r="E16" s="59"/>
      <c r="F16" s="59"/>
      <c r="G16" s="94"/>
      <c r="H16" s="59"/>
      <c r="I16" s="59"/>
      <c r="J16" s="106">
        <f>VLOOKUP(A16&amp;G16,Lookup!J:N,5,0)</f>
        <v>0</v>
      </c>
      <c r="K16" s="110"/>
      <c r="L16" s="110"/>
      <c r="M16" s="110"/>
      <c r="N16" s="110"/>
      <c r="O16" s="90">
        <f>IFERROR(VLOOKUP(A16&amp;G16,Lookup!J:K,2,0),"")</f>
        <v>0</v>
      </c>
      <c r="P16" s="110" t="str">
        <f t="shared" si="0"/>
        <v/>
      </c>
      <c r="Q16" s="110"/>
      <c r="R16" s="87" t="str">
        <f t="shared" si="1"/>
        <v/>
      </c>
      <c r="S16" s="87" t="str">
        <f t="shared" si="2"/>
        <v/>
      </c>
      <c r="T16" s="59" t="e">
        <f t="shared" si="3"/>
        <v>#VALUE!</v>
      </c>
      <c r="U16" s="59"/>
      <c r="V16" s="59"/>
      <c r="W16" s="59"/>
      <c r="X16" s="93" t="str">
        <f t="shared" si="4"/>
        <v>D</v>
      </c>
    </row>
    <row r="17" spans="1:24" x14ac:dyDescent="0.25">
      <c r="A17" s="53"/>
      <c r="B17" s="91" t="str">
        <f>IFERROR(VLOOKUP(A17,Lookup!A:B,2,0),"")</f>
        <v/>
      </c>
      <c r="C17" s="59" t="str">
        <f>IFERROR(VLOOKUP(A17,Lookup!A:C,3,0),"")</f>
        <v/>
      </c>
      <c r="D17" s="59"/>
      <c r="E17" s="59"/>
      <c r="F17" s="59"/>
      <c r="G17" s="94"/>
      <c r="H17" s="59"/>
      <c r="I17" s="59"/>
      <c r="J17" s="106">
        <f>VLOOKUP(A17&amp;G17,Lookup!J:N,5,0)</f>
        <v>0</v>
      </c>
      <c r="K17" s="110"/>
      <c r="L17" s="110"/>
      <c r="M17" s="110"/>
      <c r="N17" s="110"/>
      <c r="O17" s="90">
        <f>IFERROR(VLOOKUP(A17&amp;G17,Lookup!J:K,2,0),"")</f>
        <v>0</v>
      </c>
      <c r="P17" s="110" t="str">
        <f t="shared" si="0"/>
        <v/>
      </c>
      <c r="Q17" s="110"/>
      <c r="R17" s="87" t="str">
        <f t="shared" si="1"/>
        <v/>
      </c>
      <c r="S17" s="87" t="str">
        <f t="shared" si="2"/>
        <v/>
      </c>
      <c r="T17" s="59" t="e">
        <f t="shared" si="3"/>
        <v>#VALUE!</v>
      </c>
      <c r="U17" s="59"/>
      <c r="V17" s="59"/>
      <c r="W17" s="59"/>
      <c r="X17" s="93" t="str">
        <f t="shared" si="4"/>
        <v>D</v>
      </c>
    </row>
    <row r="18" spans="1:24" x14ac:dyDescent="0.25">
      <c r="A18" s="53"/>
      <c r="B18" s="91" t="str">
        <f>IFERROR(VLOOKUP(A18,Lookup!A:B,2,0),"")</f>
        <v/>
      </c>
      <c r="C18" s="59" t="str">
        <f>IFERROR(VLOOKUP(A18,Lookup!A:C,3,0),"")</f>
        <v/>
      </c>
      <c r="D18" s="59"/>
      <c r="E18" s="59"/>
      <c r="F18" s="59"/>
      <c r="G18" s="94"/>
      <c r="H18" s="59"/>
      <c r="I18" s="59"/>
      <c r="J18" s="106">
        <f>VLOOKUP(A18&amp;G18,Lookup!J:N,5,0)</f>
        <v>0</v>
      </c>
      <c r="K18" s="110"/>
      <c r="L18" s="110"/>
      <c r="M18" s="110"/>
      <c r="N18" s="110"/>
      <c r="O18" s="90">
        <f>IFERROR(VLOOKUP(A18&amp;G18,Lookup!J:K,2,0),"")</f>
        <v>0</v>
      </c>
      <c r="P18" s="110" t="str">
        <f t="shared" si="0"/>
        <v/>
      </c>
      <c r="Q18" s="110"/>
      <c r="R18" s="87" t="str">
        <f t="shared" si="1"/>
        <v/>
      </c>
      <c r="S18" s="87" t="str">
        <f t="shared" si="2"/>
        <v/>
      </c>
      <c r="T18" s="59" t="e">
        <f t="shared" si="3"/>
        <v>#VALUE!</v>
      </c>
      <c r="U18" s="59"/>
      <c r="V18" s="59"/>
      <c r="W18" s="59"/>
      <c r="X18" s="93" t="str">
        <f t="shared" si="4"/>
        <v>D</v>
      </c>
    </row>
    <row r="19" spans="1:24" x14ac:dyDescent="0.25">
      <c r="A19" s="53"/>
      <c r="B19" s="91" t="str">
        <f>IFERROR(VLOOKUP(A19,Lookup!A:B,2,0),"")</f>
        <v/>
      </c>
      <c r="C19" s="59" t="str">
        <f>IFERROR(VLOOKUP(A19,Lookup!A:C,3,0),"")</f>
        <v/>
      </c>
      <c r="D19" s="59"/>
      <c r="E19" s="59"/>
      <c r="F19" s="59"/>
      <c r="G19" s="94"/>
      <c r="H19" s="59"/>
      <c r="I19" s="59"/>
      <c r="J19" s="106">
        <f>VLOOKUP(A19&amp;G19,Lookup!J:N,5,0)</f>
        <v>0</v>
      </c>
      <c r="K19" s="110"/>
      <c r="L19" s="110"/>
      <c r="M19" s="110"/>
      <c r="N19" s="110"/>
      <c r="O19" s="90">
        <f>IFERROR(VLOOKUP(A19&amp;G19,Lookup!J:K,2,0),"")</f>
        <v>0</v>
      </c>
      <c r="P19" s="110" t="str">
        <f t="shared" si="0"/>
        <v/>
      </c>
      <c r="Q19" s="110"/>
      <c r="R19" s="87" t="str">
        <f t="shared" si="1"/>
        <v/>
      </c>
      <c r="S19" s="87" t="str">
        <f t="shared" si="2"/>
        <v/>
      </c>
      <c r="T19" s="59" t="e">
        <f t="shared" si="3"/>
        <v>#VALUE!</v>
      </c>
      <c r="U19" s="59"/>
      <c r="V19" s="59"/>
      <c r="W19" s="59"/>
      <c r="X19" s="93" t="str">
        <f t="shared" si="4"/>
        <v>D</v>
      </c>
    </row>
    <row r="20" spans="1:24" x14ac:dyDescent="0.25">
      <c r="A20" s="53"/>
      <c r="B20" s="91" t="str">
        <f>IFERROR(VLOOKUP(A20,Lookup!A:B,2,0),"")</f>
        <v/>
      </c>
      <c r="C20" s="59" t="str">
        <f>IFERROR(VLOOKUP(A20,Lookup!A:C,3,0),"")</f>
        <v/>
      </c>
      <c r="D20" s="59"/>
      <c r="E20" s="59"/>
      <c r="F20" s="59"/>
      <c r="G20" s="94"/>
      <c r="H20" s="59"/>
      <c r="I20" s="59"/>
      <c r="J20" s="106">
        <f>VLOOKUP(A20&amp;G20,Lookup!J:N,5,0)</f>
        <v>0</v>
      </c>
      <c r="K20" s="110"/>
      <c r="L20" s="110"/>
      <c r="M20" s="110"/>
      <c r="N20" s="110"/>
      <c r="O20" s="90">
        <f>IFERROR(VLOOKUP(A20&amp;G20,Lookup!J:K,2,0),"")</f>
        <v>0</v>
      </c>
      <c r="P20" s="110" t="str">
        <f t="shared" si="0"/>
        <v/>
      </c>
      <c r="Q20" s="110"/>
      <c r="R20" s="87" t="str">
        <f t="shared" si="1"/>
        <v/>
      </c>
      <c r="S20" s="87" t="str">
        <f t="shared" si="2"/>
        <v/>
      </c>
      <c r="T20" s="59" t="e">
        <f t="shared" si="3"/>
        <v>#VALUE!</v>
      </c>
      <c r="U20" s="59"/>
      <c r="V20" s="59"/>
      <c r="W20" s="59"/>
      <c r="X20" s="93" t="str">
        <f t="shared" si="4"/>
        <v>D</v>
      </c>
    </row>
    <row r="21" spans="1:24" x14ac:dyDescent="0.25">
      <c r="A21" s="53"/>
      <c r="B21" s="91" t="str">
        <f>IFERROR(VLOOKUP(A21,Lookup!A:B,2,0),"")</f>
        <v/>
      </c>
      <c r="C21" s="59" t="str">
        <f>IFERROR(VLOOKUP(A21,Lookup!A:C,3,0),"")</f>
        <v/>
      </c>
      <c r="D21" s="59"/>
      <c r="E21" s="59"/>
      <c r="F21" s="59"/>
      <c r="G21" s="94"/>
      <c r="H21" s="59"/>
      <c r="I21" s="59"/>
      <c r="J21" s="106">
        <f>VLOOKUP(A21&amp;G21,Lookup!J:N,5,0)</f>
        <v>0</v>
      </c>
      <c r="K21" s="110"/>
      <c r="L21" s="110"/>
      <c r="M21" s="110"/>
      <c r="N21" s="110"/>
      <c r="O21" s="90">
        <f>IFERROR(VLOOKUP(A21&amp;G21,Lookup!J:K,2,0),"")</f>
        <v>0</v>
      </c>
      <c r="P21" s="110" t="str">
        <f t="shared" si="0"/>
        <v/>
      </c>
      <c r="Q21" s="110"/>
      <c r="R21" s="87" t="str">
        <f t="shared" si="1"/>
        <v/>
      </c>
      <c r="S21" s="87" t="str">
        <f t="shared" si="2"/>
        <v/>
      </c>
      <c r="T21" s="59" t="e">
        <f t="shared" si="3"/>
        <v>#VALUE!</v>
      </c>
      <c r="U21" s="59"/>
      <c r="V21" s="59"/>
      <c r="W21" s="59"/>
      <c r="X21" s="93" t="str">
        <f t="shared" si="4"/>
        <v>D</v>
      </c>
    </row>
    <row r="22" spans="1:24" x14ac:dyDescent="0.25">
      <c r="A22" s="53"/>
      <c r="B22" s="91" t="str">
        <f>IFERROR(VLOOKUP(A22,Lookup!A:B,2,0),"")</f>
        <v/>
      </c>
      <c r="C22" s="59" t="str">
        <f>IFERROR(VLOOKUP(A22,Lookup!A:C,3,0),"")</f>
        <v/>
      </c>
      <c r="D22" s="59"/>
      <c r="E22" s="59"/>
      <c r="F22" s="59"/>
      <c r="G22" s="94"/>
      <c r="H22" s="59"/>
      <c r="I22" s="59"/>
      <c r="J22" s="106">
        <f>VLOOKUP(A22&amp;G22,Lookup!J:N,5,0)</f>
        <v>0</v>
      </c>
      <c r="K22" s="110"/>
      <c r="L22" s="110"/>
      <c r="M22" s="110"/>
      <c r="N22" s="110"/>
      <c r="O22" s="90">
        <f>IFERROR(VLOOKUP(A22&amp;G22,Lookup!J:K,2,0),"")</f>
        <v>0</v>
      </c>
      <c r="P22" s="110" t="str">
        <f t="shared" si="0"/>
        <v/>
      </c>
      <c r="Q22" s="110"/>
      <c r="R22" s="87" t="str">
        <f t="shared" si="1"/>
        <v/>
      </c>
      <c r="S22" s="87" t="str">
        <f t="shared" si="2"/>
        <v/>
      </c>
      <c r="T22" s="59" t="e">
        <f t="shared" si="3"/>
        <v>#VALUE!</v>
      </c>
      <c r="U22" s="59"/>
      <c r="V22" s="59"/>
      <c r="W22" s="59"/>
      <c r="X22" s="93" t="str">
        <f t="shared" si="4"/>
        <v>D</v>
      </c>
    </row>
    <row r="23" spans="1:24" x14ac:dyDescent="0.25">
      <c r="A23" s="53"/>
      <c r="B23" s="91" t="str">
        <f>IFERROR(VLOOKUP(A23,Lookup!A:B,2,0),"")</f>
        <v/>
      </c>
      <c r="C23" s="59" t="str">
        <f>IFERROR(VLOOKUP(A23,Lookup!A:C,3,0),"")</f>
        <v/>
      </c>
      <c r="D23" s="59"/>
      <c r="E23" s="59"/>
      <c r="F23" s="59"/>
      <c r="G23" s="94"/>
      <c r="H23" s="59"/>
      <c r="I23" s="59"/>
      <c r="J23" s="106">
        <f>VLOOKUP(A23&amp;G23,Lookup!J:N,5,0)</f>
        <v>0</v>
      </c>
      <c r="K23" s="110"/>
      <c r="L23" s="110"/>
      <c r="M23" s="110"/>
      <c r="N23" s="110"/>
      <c r="O23" s="90">
        <f>IFERROR(VLOOKUP(A23&amp;G23,Lookup!J:K,2,0),"")</f>
        <v>0</v>
      </c>
      <c r="P23" s="110" t="str">
        <f t="shared" si="0"/>
        <v/>
      </c>
      <c r="Q23" s="110"/>
      <c r="R23" s="87" t="str">
        <f t="shared" si="1"/>
        <v/>
      </c>
      <c r="S23" s="87" t="str">
        <f t="shared" si="2"/>
        <v/>
      </c>
      <c r="T23" s="59" t="e">
        <f t="shared" si="3"/>
        <v>#VALUE!</v>
      </c>
      <c r="U23" s="59"/>
      <c r="V23" s="59"/>
      <c r="W23" s="59"/>
      <c r="X23" s="93" t="str">
        <f t="shared" si="4"/>
        <v>D</v>
      </c>
    </row>
    <row r="24" spans="1:24" x14ac:dyDescent="0.25">
      <c r="A24" s="53"/>
      <c r="B24" s="91" t="str">
        <f>IFERROR(VLOOKUP(A24,Lookup!A:B,2,0),"")</f>
        <v/>
      </c>
      <c r="C24" s="59" t="str">
        <f>IFERROR(VLOOKUP(A24,Lookup!A:C,3,0),"")</f>
        <v/>
      </c>
      <c r="D24" s="59"/>
      <c r="E24" s="59"/>
      <c r="F24" s="59"/>
      <c r="G24" s="94"/>
      <c r="H24" s="59"/>
      <c r="I24" s="59"/>
      <c r="J24" s="106">
        <f>VLOOKUP(A24&amp;G24,Lookup!J:N,5,0)</f>
        <v>0</v>
      </c>
      <c r="K24" s="110"/>
      <c r="L24" s="110"/>
      <c r="M24" s="110"/>
      <c r="N24" s="110"/>
      <c r="O24" s="90">
        <f>IFERROR(VLOOKUP(A24&amp;G24,Lookup!J:K,2,0),"")</f>
        <v>0</v>
      </c>
      <c r="P24" s="110" t="str">
        <f t="shared" si="0"/>
        <v/>
      </c>
      <c r="Q24" s="110"/>
      <c r="R24" s="87" t="str">
        <f t="shared" si="1"/>
        <v/>
      </c>
      <c r="S24" s="87" t="str">
        <f t="shared" si="2"/>
        <v/>
      </c>
      <c r="T24" s="59" t="e">
        <f t="shared" si="3"/>
        <v>#VALUE!</v>
      </c>
      <c r="U24" s="59"/>
      <c r="V24" s="59"/>
      <c r="W24" s="59"/>
      <c r="X24" s="93" t="str">
        <f t="shared" si="4"/>
        <v>D</v>
      </c>
    </row>
    <row r="25" spans="1:24" x14ac:dyDescent="0.25">
      <c r="A25" s="53"/>
      <c r="B25" s="91" t="str">
        <f>IFERROR(VLOOKUP(A25,Lookup!A:B,2,0),"")</f>
        <v/>
      </c>
      <c r="C25" s="59" t="str">
        <f>IFERROR(VLOOKUP(A25,Lookup!A:C,3,0),"")</f>
        <v/>
      </c>
      <c r="D25" s="59"/>
      <c r="E25" s="59"/>
      <c r="F25" s="59"/>
      <c r="G25" s="94"/>
      <c r="H25" s="59"/>
      <c r="I25" s="59"/>
      <c r="J25" s="106">
        <f>VLOOKUP(A25&amp;G25,Lookup!J:N,5,0)</f>
        <v>0</v>
      </c>
      <c r="K25" s="110"/>
      <c r="L25" s="110"/>
      <c r="M25" s="110"/>
      <c r="N25" s="110"/>
      <c r="O25" s="90">
        <f>IFERROR(VLOOKUP(A25&amp;G25,Lookup!J:K,2,0),"")</f>
        <v>0</v>
      </c>
      <c r="P25" s="110" t="str">
        <f t="shared" si="0"/>
        <v/>
      </c>
      <c r="Q25" s="110"/>
      <c r="R25" s="87" t="str">
        <f t="shared" si="1"/>
        <v/>
      </c>
      <c r="S25" s="87" t="str">
        <f t="shared" si="2"/>
        <v/>
      </c>
      <c r="T25" s="59" t="e">
        <f t="shared" si="3"/>
        <v>#VALUE!</v>
      </c>
      <c r="U25" s="59"/>
      <c r="V25" s="59"/>
      <c r="W25" s="59"/>
      <c r="X25" s="93" t="str">
        <f t="shared" si="4"/>
        <v>D</v>
      </c>
    </row>
    <row r="26" spans="1:24" x14ac:dyDescent="0.25">
      <c r="A26" s="53"/>
      <c r="B26" s="91" t="str">
        <f>IFERROR(VLOOKUP(A26,Lookup!A:B,2,0),"")</f>
        <v/>
      </c>
      <c r="C26" s="59" t="str">
        <f>IFERROR(VLOOKUP(A26,Lookup!A:C,3,0),"")</f>
        <v/>
      </c>
      <c r="D26" s="59"/>
      <c r="E26" s="59"/>
      <c r="F26" s="59"/>
      <c r="G26" s="94"/>
      <c r="H26" s="59"/>
      <c r="I26" s="59"/>
      <c r="J26" s="106">
        <f>VLOOKUP(A26&amp;G26,Lookup!J:N,5,0)</f>
        <v>0</v>
      </c>
      <c r="K26" s="110"/>
      <c r="L26" s="110"/>
      <c r="M26" s="110"/>
      <c r="N26" s="110"/>
      <c r="O26" s="90">
        <f>IFERROR(VLOOKUP(A26&amp;G26,Lookup!J:K,2,0),"")</f>
        <v>0</v>
      </c>
      <c r="P26" s="110" t="str">
        <f t="shared" si="0"/>
        <v/>
      </c>
      <c r="Q26" s="110"/>
      <c r="R26" s="87" t="str">
        <f t="shared" si="1"/>
        <v/>
      </c>
      <c r="S26" s="87" t="str">
        <f t="shared" si="2"/>
        <v/>
      </c>
      <c r="T26" s="59" t="e">
        <f t="shared" si="3"/>
        <v>#VALUE!</v>
      </c>
      <c r="U26" s="59"/>
      <c r="V26" s="59"/>
      <c r="W26" s="59"/>
      <c r="X26" s="93" t="str">
        <f t="shared" si="4"/>
        <v>D</v>
      </c>
    </row>
    <row r="27" spans="1:24" x14ac:dyDescent="0.25">
      <c r="A27" s="53"/>
      <c r="B27" s="91" t="str">
        <f>IFERROR(VLOOKUP(A27,Lookup!A:B,2,0),"")</f>
        <v/>
      </c>
      <c r="C27" s="59" t="str">
        <f>IFERROR(VLOOKUP(A27,Lookup!A:C,3,0),"")</f>
        <v/>
      </c>
      <c r="D27" s="59"/>
      <c r="E27" s="59"/>
      <c r="F27" s="59"/>
      <c r="G27" s="94"/>
      <c r="H27" s="59"/>
      <c r="I27" s="59"/>
      <c r="J27" s="106">
        <f>VLOOKUP(A27&amp;G27,Lookup!J:N,5,0)</f>
        <v>0</v>
      </c>
      <c r="K27" s="110"/>
      <c r="L27" s="110"/>
      <c r="M27" s="110"/>
      <c r="N27" s="110"/>
      <c r="O27" s="90">
        <f>IFERROR(VLOOKUP(A27&amp;G27,Lookup!J:K,2,0),"")</f>
        <v>0</v>
      </c>
      <c r="P27" s="110" t="str">
        <f t="shared" si="0"/>
        <v/>
      </c>
      <c r="Q27" s="110"/>
      <c r="R27" s="87" t="str">
        <f t="shared" si="1"/>
        <v/>
      </c>
      <c r="S27" s="87" t="str">
        <f t="shared" si="2"/>
        <v/>
      </c>
      <c r="T27" s="59" t="e">
        <f t="shared" si="3"/>
        <v>#VALUE!</v>
      </c>
      <c r="U27" s="59"/>
      <c r="V27" s="59"/>
      <c r="W27" s="59"/>
      <c r="X27" s="93" t="str">
        <f t="shared" si="4"/>
        <v>D</v>
      </c>
    </row>
    <row r="28" spans="1:24" x14ac:dyDescent="0.25">
      <c r="A28" s="53"/>
      <c r="B28" s="91" t="str">
        <f>IFERROR(VLOOKUP(A28,Lookup!A:B,2,0),"")</f>
        <v/>
      </c>
      <c r="C28" s="59" t="str">
        <f>IFERROR(VLOOKUP(A28,Lookup!A:C,3,0),"")</f>
        <v/>
      </c>
      <c r="D28" s="59"/>
      <c r="E28" s="59"/>
      <c r="F28" s="59"/>
      <c r="G28" s="94"/>
      <c r="H28" s="59"/>
      <c r="I28" s="59"/>
      <c r="J28" s="106">
        <f>VLOOKUP(A28&amp;G28,Lookup!J:N,5,0)</f>
        <v>0</v>
      </c>
      <c r="K28" s="110"/>
      <c r="L28" s="110"/>
      <c r="M28" s="110"/>
      <c r="N28" s="110"/>
      <c r="O28" s="90">
        <f>IFERROR(VLOOKUP(A28&amp;G28,Lookup!J:K,2,0),"")</f>
        <v>0</v>
      </c>
      <c r="P28" s="110" t="str">
        <f t="shared" si="0"/>
        <v/>
      </c>
      <c r="Q28" s="110"/>
      <c r="R28" s="87" t="str">
        <f t="shared" si="1"/>
        <v/>
      </c>
      <c r="S28" s="87" t="str">
        <f t="shared" si="2"/>
        <v/>
      </c>
      <c r="T28" s="59" t="e">
        <f t="shared" si="3"/>
        <v>#VALUE!</v>
      </c>
      <c r="U28" s="59"/>
      <c r="V28" s="59"/>
      <c r="W28" s="59"/>
      <c r="X28" s="93" t="str">
        <f t="shared" si="4"/>
        <v>D</v>
      </c>
    </row>
    <row r="29" spans="1:24" x14ac:dyDescent="0.25">
      <c r="A29" s="53"/>
      <c r="B29" s="91" t="str">
        <f>IFERROR(VLOOKUP(A29,Lookup!A:B,2,0),"")</f>
        <v/>
      </c>
      <c r="C29" s="59" t="str">
        <f>IFERROR(VLOOKUP(A29,Lookup!A:C,3,0),"")</f>
        <v/>
      </c>
      <c r="D29" s="59"/>
      <c r="E29" s="59"/>
      <c r="F29" s="59"/>
      <c r="G29" s="94"/>
      <c r="H29" s="59"/>
      <c r="I29" s="59"/>
      <c r="J29" s="106">
        <f>VLOOKUP(A29&amp;G29,Lookup!J:N,5,0)</f>
        <v>0</v>
      </c>
      <c r="K29" s="110"/>
      <c r="L29" s="110"/>
      <c r="M29" s="110"/>
      <c r="N29" s="110"/>
      <c r="O29" s="90">
        <f>IFERROR(VLOOKUP(A29&amp;G29,Lookup!J:K,2,0),"")</f>
        <v>0</v>
      </c>
      <c r="P29" s="110" t="str">
        <f t="shared" si="0"/>
        <v/>
      </c>
      <c r="Q29" s="110"/>
      <c r="R29" s="87" t="str">
        <f t="shared" si="1"/>
        <v/>
      </c>
      <c r="S29" s="87" t="str">
        <f t="shared" si="2"/>
        <v/>
      </c>
      <c r="T29" s="59" t="e">
        <f t="shared" si="3"/>
        <v>#VALUE!</v>
      </c>
      <c r="U29" s="59"/>
      <c r="V29" s="59"/>
      <c r="W29" s="59"/>
      <c r="X29" s="93" t="str">
        <f t="shared" si="4"/>
        <v>D</v>
      </c>
    </row>
    <row r="30" spans="1:24" x14ac:dyDescent="0.25">
      <c r="A30" s="53"/>
      <c r="B30" s="91" t="str">
        <f>IFERROR(VLOOKUP(A30,Lookup!A:B,2,0),"")</f>
        <v/>
      </c>
      <c r="C30" s="59" t="str">
        <f>IFERROR(VLOOKUP(A30,Lookup!A:C,3,0),"")</f>
        <v/>
      </c>
      <c r="D30" s="59"/>
      <c r="E30" s="59"/>
      <c r="F30" s="59"/>
      <c r="G30" s="94"/>
      <c r="H30" s="59"/>
      <c r="I30" s="59"/>
      <c r="J30" s="106">
        <f>VLOOKUP(A30&amp;G30,Lookup!J:N,5,0)</f>
        <v>0</v>
      </c>
      <c r="K30" s="110"/>
      <c r="L30" s="110"/>
      <c r="M30" s="110"/>
      <c r="N30" s="110"/>
      <c r="O30" s="90">
        <f>IFERROR(VLOOKUP(A30&amp;G30,Lookup!J:K,2,0),"")</f>
        <v>0</v>
      </c>
      <c r="P30" s="110" t="str">
        <f t="shared" si="0"/>
        <v/>
      </c>
      <c r="Q30" s="110"/>
      <c r="R30" s="87" t="str">
        <f t="shared" si="1"/>
        <v/>
      </c>
      <c r="S30" s="87" t="str">
        <f t="shared" si="2"/>
        <v/>
      </c>
      <c r="T30" s="59" t="e">
        <f t="shared" si="3"/>
        <v>#VALUE!</v>
      </c>
      <c r="U30" s="59"/>
      <c r="V30" s="59"/>
      <c r="W30" s="59"/>
      <c r="X30" s="93" t="str">
        <f t="shared" si="4"/>
        <v>D</v>
      </c>
    </row>
    <row r="31" spans="1:24" x14ac:dyDescent="0.25">
      <c r="A31" s="53"/>
      <c r="B31" s="91" t="str">
        <f>IFERROR(VLOOKUP(A31,Lookup!A:B,2,0),"")</f>
        <v/>
      </c>
      <c r="C31" s="59" t="str">
        <f>IFERROR(VLOOKUP(A31,Lookup!A:C,3,0),"")</f>
        <v/>
      </c>
      <c r="D31" s="59"/>
      <c r="E31" s="59"/>
      <c r="F31" s="59"/>
      <c r="G31" s="94"/>
      <c r="H31" s="59"/>
      <c r="I31" s="59"/>
      <c r="J31" s="106">
        <f>VLOOKUP(A31&amp;G31,Lookup!J:N,5,0)</f>
        <v>0</v>
      </c>
      <c r="K31" s="110"/>
      <c r="L31" s="110"/>
      <c r="M31" s="110"/>
      <c r="N31" s="110"/>
      <c r="O31" s="90">
        <f>IFERROR(VLOOKUP(A31&amp;G31,Lookup!J:K,2,0),"")</f>
        <v>0</v>
      </c>
      <c r="P31" s="110" t="str">
        <f t="shared" si="0"/>
        <v/>
      </c>
      <c r="Q31" s="110"/>
      <c r="R31" s="87" t="str">
        <f t="shared" si="1"/>
        <v/>
      </c>
      <c r="S31" s="87" t="str">
        <f t="shared" si="2"/>
        <v/>
      </c>
      <c r="T31" s="59" t="e">
        <f t="shared" si="3"/>
        <v>#VALUE!</v>
      </c>
      <c r="U31" s="59"/>
      <c r="V31" s="59"/>
      <c r="W31" s="59"/>
      <c r="X31" s="93" t="str">
        <f t="shared" si="4"/>
        <v>D</v>
      </c>
    </row>
    <row r="32" spans="1:24" x14ac:dyDescent="0.25">
      <c r="A32" s="53"/>
      <c r="B32" s="91" t="str">
        <f>IFERROR(VLOOKUP(A32,Lookup!A:B,2,0),"")</f>
        <v/>
      </c>
      <c r="C32" s="59" t="str">
        <f>IFERROR(VLOOKUP(A32,Lookup!A:C,3,0),"")</f>
        <v/>
      </c>
      <c r="D32" s="59"/>
      <c r="E32" s="59"/>
      <c r="F32" s="59"/>
      <c r="G32" s="94"/>
      <c r="H32" s="59"/>
      <c r="I32" s="59"/>
      <c r="J32" s="106">
        <f>VLOOKUP(A32&amp;G32,Lookup!J:N,5,0)</f>
        <v>0</v>
      </c>
      <c r="K32" s="110"/>
      <c r="L32" s="110"/>
      <c r="M32" s="110"/>
      <c r="N32" s="110"/>
      <c r="O32" s="90">
        <f>IFERROR(VLOOKUP(A32&amp;G32,Lookup!J:K,2,0),"")</f>
        <v>0</v>
      </c>
      <c r="P32" s="110" t="str">
        <f t="shared" si="0"/>
        <v/>
      </c>
      <c r="Q32" s="110"/>
      <c r="R32" s="87" t="str">
        <f t="shared" si="1"/>
        <v/>
      </c>
      <c r="S32" s="87" t="str">
        <f t="shared" si="2"/>
        <v/>
      </c>
      <c r="T32" s="59"/>
      <c r="U32" s="59"/>
      <c r="V32" s="59"/>
      <c r="W32" s="59"/>
      <c r="X32" s="93" t="str">
        <f t="shared" si="4"/>
        <v>D</v>
      </c>
    </row>
    <row r="33" spans="1:24" x14ac:dyDescent="0.25">
      <c r="A33" s="53"/>
      <c r="B33" s="91" t="str">
        <f>IFERROR(VLOOKUP(A33,Lookup!A:B,2,0),"")</f>
        <v/>
      </c>
      <c r="C33" s="59" t="str">
        <f>IFERROR(VLOOKUP(A33,Lookup!A:C,3,0),"")</f>
        <v/>
      </c>
      <c r="D33" s="59"/>
      <c r="E33" s="59"/>
      <c r="F33" s="59"/>
      <c r="G33" s="94"/>
      <c r="H33" s="59"/>
      <c r="I33" s="59"/>
      <c r="J33" s="106">
        <f>VLOOKUP(A33&amp;G33,Lookup!J:N,5,0)</f>
        <v>0</v>
      </c>
      <c r="K33" s="110"/>
      <c r="L33" s="110"/>
      <c r="M33" s="110"/>
      <c r="N33" s="110"/>
      <c r="O33" s="90">
        <f>IFERROR(VLOOKUP(A33&amp;G33,Lookup!J:K,2,0),"")</f>
        <v>0</v>
      </c>
      <c r="P33" s="110" t="str">
        <f t="shared" si="0"/>
        <v/>
      </c>
      <c r="Q33" s="110"/>
      <c r="R33" s="87" t="str">
        <f t="shared" si="1"/>
        <v/>
      </c>
      <c r="S33" s="87" t="str">
        <f t="shared" si="2"/>
        <v/>
      </c>
      <c r="T33" s="59"/>
      <c r="U33" s="59"/>
      <c r="V33" s="59"/>
      <c r="W33" s="59"/>
      <c r="X33" s="93" t="str">
        <f t="shared" si="4"/>
        <v>D</v>
      </c>
    </row>
    <row r="34" spans="1:24" x14ac:dyDescent="0.25">
      <c r="A34" s="53"/>
      <c r="B34" s="91" t="str">
        <f>IFERROR(VLOOKUP(A34,Lookup!A:B,2,0),"")</f>
        <v/>
      </c>
      <c r="C34" s="59" t="str">
        <f>IFERROR(VLOOKUP(A34,Lookup!A:C,3,0),"")</f>
        <v/>
      </c>
      <c r="D34" s="59"/>
      <c r="E34" s="59"/>
      <c r="F34" s="59"/>
      <c r="G34" s="94"/>
      <c r="H34" s="59"/>
      <c r="I34" s="59"/>
      <c r="J34" s="106">
        <f>VLOOKUP(A34&amp;G34,Lookup!J:N,5,0)</f>
        <v>0</v>
      </c>
      <c r="K34" s="110"/>
      <c r="L34" s="110"/>
      <c r="M34" s="110"/>
      <c r="N34" s="110"/>
      <c r="O34" s="90">
        <f>IFERROR(VLOOKUP(A34&amp;G34,Lookup!J:K,2,0),"")</f>
        <v>0</v>
      </c>
      <c r="P34" s="110" t="str">
        <f t="shared" si="0"/>
        <v/>
      </c>
      <c r="Q34" s="110"/>
      <c r="R34" s="87" t="str">
        <f t="shared" si="1"/>
        <v/>
      </c>
      <c r="S34" s="87" t="str">
        <f t="shared" si="2"/>
        <v/>
      </c>
      <c r="T34" s="59"/>
      <c r="U34" s="59"/>
      <c r="V34" s="59"/>
      <c r="W34" s="59"/>
      <c r="X34" s="93" t="str">
        <f t="shared" si="4"/>
        <v>D</v>
      </c>
    </row>
    <row r="35" spans="1:24" x14ac:dyDescent="0.25">
      <c r="A35" s="53"/>
      <c r="B35" s="91" t="str">
        <f>IFERROR(VLOOKUP(A35,Lookup!A:B,2,0),"")</f>
        <v/>
      </c>
      <c r="C35" s="59" t="str">
        <f>IFERROR(VLOOKUP(A35,Lookup!A:C,3,0),"")</f>
        <v/>
      </c>
      <c r="D35" s="59"/>
      <c r="E35" s="59"/>
      <c r="F35" s="59"/>
      <c r="G35" s="94"/>
      <c r="H35" s="59"/>
      <c r="I35" s="59"/>
      <c r="J35" s="106">
        <f>VLOOKUP(A35&amp;G35,Lookup!J:N,5,0)</f>
        <v>0</v>
      </c>
      <c r="K35" s="110"/>
      <c r="L35" s="110"/>
      <c r="M35" s="110"/>
      <c r="N35" s="110"/>
      <c r="O35" s="90">
        <f>IFERROR(VLOOKUP(A35&amp;G35,Lookup!J:K,2,0),"")</f>
        <v>0</v>
      </c>
      <c r="P35" s="110" t="str">
        <f t="shared" si="0"/>
        <v/>
      </c>
      <c r="Q35" s="110"/>
      <c r="R35" s="87" t="str">
        <f t="shared" si="1"/>
        <v/>
      </c>
      <c r="S35" s="87" t="str">
        <f t="shared" si="2"/>
        <v/>
      </c>
      <c r="T35" s="59"/>
      <c r="U35" s="59"/>
      <c r="V35" s="59"/>
      <c r="W35" s="59"/>
      <c r="X35" s="93" t="str">
        <f t="shared" si="4"/>
        <v>D</v>
      </c>
    </row>
    <row r="36" spans="1:24" x14ac:dyDescent="0.25">
      <c r="A36" s="53"/>
      <c r="B36" s="91" t="str">
        <f>IFERROR(VLOOKUP(A36,Lookup!A:B,2,0),"")</f>
        <v/>
      </c>
      <c r="C36" s="59" t="str">
        <f>IFERROR(VLOOKUP(A36,Lookup!A:C,3,0),"")</f>
        <v/>
      </c>
      <c r="D36" s="59"/>
      <c r="E36" s="59"/>
      <c r="F36" s="59"/>
      <c r="G36" s="94"/>
      <c r="H36" s="59"/>
      <c r="I36" s="59"/>
      <c r="J36" s="106">
        <f>VLOOKUP(A36&amp;G36,Lookup!J:N,5,0)</f>
        <v>0</v>
      </c>
      <c r="K36" s="110"/>
      <c r="L36" s="110"/>
      <c r="M36" s="110"/>
      <c r="N36" s="110"/>
      <c r="O36" s="90">
        <f>IFERROR(VLOOKUP(A36&amp;G36,Lookup!J:K,2,0),"")</f>
        <v>0</v>
      </c>
      <c r="P36" s="110" t="str">
        <f t="shared" ref="P36:P67" si="5">IF(N36="","",N36+O36)</f>
        <v/>
      </c>
      <c r="Q36" s="110"/>
      <c r="R36" s="87" t="str">
        <f t="shared" ref="R36:R67" si="6">IF(OR(EXACT(N36,""), EXACT(L36,"")),"",N36-L36)</f>
        <v/>
      </c>
      <c r="S36" s="87" t="str">
        <f t="shared" ref="S36:S67" si="7">IF(OR(EXACT(Q36,""), EXACT(L36,"")),"",Q36-L36)</f>
        <v/>
      </c>
      <c r="T36" s="59"/>
      <c r="U36" s="59"/>
      <c r="V36" s="59"/>
      <c r="W36" s="59"/>
      <c r="X36" s="93" t="str">
        <f t="shared" ref="X36:X67" si="8">IF(I36="SET","A",IF(I36="FREQ","C",IF(I36="","D","B")))</f>
        <v>D</v>
      </c>
    </row>
    <row r="37" spans="1:24" x14ac:dyDescent="0.25">
      <c r="A37" s="53"/>
      <c r="B37" s="91" t="str">
        <f>IFERROR(VLOOKUP(A37,Lookup!A:B,2,0),"")</f>
        <v/>
      </c>
      <c r="C37" s="59" t="str">
        <f>IFERROR(VLOOKUP(A37,Lookup!A:C,3,0),"")</f>
        <v/>
      </c>
      <c r="D37" s="59"/>
      <c r="E37" s="59"/>
      <c r="F37" s="59"/>
      <c r="G37" s="94"/>
      <c r="H37" s="59"/>
      <c r="I37" s="59"/>
      <c r="J37" s="106">
        <f>VLOOKUP(A37&amp;G37,Lookup!J:N,5,0)</f>
        <v>0</v>
      </c>
      <c r="K37" s="110"/>
      <c r="L37" s="110"/>
      <c r="M37" s="110"/>
      <c r="N37" s="110"/>
      <c r="O37" s="90">
        <f>IFERROR(VLOOKUP(A37&amp;G37,Lookup!J:K,2,0),"")</f>
        <v>0</v>
      </c>
      <c r="P37" s="110" t="str">
        <f t="shared" si="5"/>
        <v/>
      </c>
      <c r="Q37" s="110"/>
      <c r="R37" s="87" t="str">
        <f t="shared" si="6"/>
        <v/>
      </c>
      <c r="S37" s="87" t="str">
        <f t="shared" si="7"/>
        <v/>
      </c>
      <c r="T37" s="59"/>
      <c r="U37" s="59"/>
      <c r="V37" s="59"/>
      <c r="W37" s="59"/>
      <c r="X37" s="93" t="str">
        <f t="shared" si="8"/>
        <v>D</v>
      </c>
    </row>
    <row r="38" spans="1:24" x14ac:dyDescent="0.25">
      <c r="A38" s="53"/>
      <c r="B38" s="91" t="str">
        <f>IFERROR(VLOOKUP(A38,Lookup!A:B,2,0),"")</f>
        <v/>
      </c>
      <c r="C38" s="59" t="str">
        <f>IFERROR(VLOOKUP(A38,Lookup!A:C,3,0),"")</f>
        <v/>
      </c>
      <c r="D38" s="59"/>
      <c r="E38" s="59"/>
      <c r="F38" s="59"/>
      <c r="G38" s="94"/>
      <c r="H38" s="59"/>
      <c r="I38" s="59"/>
      <c r="J38" s="106">
        <f>VLOOKUP(A38&amp;G38,Lookup!J:N,5,0)</f>
        <v>0</v>
      </c>
      <c r="K38" s="110"/>
      <c r="L38" s="110"/>
      <c r="M38" s="110"/>
      <c r="N38" s="110"/>
      <c r="O38" s="90">
        <f>IFERROR(VLOOKUP(A38&amp;G38,Lookup!J:K,2,0),"")</f>
        <v>0</v>
      </c>
      <c r="P38" s="110" t="str">
        <f t="shared" si="5"/>
        <v/>
      </c>
      <c r="Q38" s="110"/>
      <c r="R38" s="87" t="str">
        <f t="shared" si="6"/>
        <v/>
      </c>
      <c r="S38" s="87" t="str">
        <f t="shared" si="7"/>
        <v/>
      </c>
      <c r="T38" s="59"/>
      <c r="U38" s="59"/>
      <c r="V38" s="59"/>
      <c r="W38" s="59"/>
      <c r="X38" s="93" t="str">
        <f t="shared" si="8"/>
        <v>D</v>
      </c>
    </row>
    <row r="39" spans="1:24" x14ac:dyDescent="0.25">
      <c r="A39" s="53"/>
      <c r="B39" s="91" t="str">
        <f>IFERROR(VLOOKUP(A39,Lookup!A:B,2,0),"")</f>
        <v/>
      </c>
      <c r="C39" s="59" t="str">
        <f>IFERROR(VLOOKUP(A39,Lookup!A:C,3,0),"")</f>
        <v/>
      </c>
      <c r="D39" s="59"/>
      <c r="E39" s="59"/>
      <c r="F39" s="59"/>
      <c r="G39" s="94"/>
      <c r="H39" s="59"/>
      <c r="I39" s="59"/>
      <c r="J39" s="106">
        <f>VLOOKUP(A39&amp;G39,Lookup!J:N,5,0)</f>
        <v>0</v>
      </c>
      <c r="K39" s="110"/>
      <c r="L39" s="110"/>
      <c r="M39" s="110"/>
      <c r="N39" s="110"/>
      <c r="O39" s="90">
        <f>IFERROR(VLOOKUP(A39&amp;G39,Lookup!J:K,2,0),"")</f>
        <v>0</v>
      </c>
      <c r="P39" s="110" t="str">
        <f t="shared" si="5"/>
        <v/>
      </c>
      <c r="Q39" s="110"/>
      <c r="R39" s="87" t="str">
        <f t="shared" si="6"/>
        <v/>
      </c>
      <c r="S39" s="87" t="str">
        <f t="shared" si="7"/>
        <v/>
      </c>
      <c r="T39" s="59"/>
      <c r="U39" s="59"/>
      <c r="V39" s="59"/>
      <c r="W39" s="59"/>
      <c r="X39" s="93" t="str">
        <f t="shared" si="8"/>
        <v>D</v>
      </c>
    </row>
    <row r="40" spans="1:24" x14ac:dyDescent="0.25">
      <c r="A40" s="53"/>
      <c r="B40" s="91" t="str">
        <f>IFERROR(VLOOKUP(A40,Lookup!A:B,2,0),"")</f>
        <v/>
      </c>
      <c r="C40" s="59" t="str">
        <f>IFERROR(VLOOKUP(A40,Lookup!A:C,3,0),"")</f>
        <v/>
      </c>
      <c r="D40" s="59"/>
      <c r="E40" s="59"/>
      <c r="F40" s="59"/>
      <c r="G40" s="94"/>
      <c r="H40" s="59"/>
      <c r="I40" s="59"/>
      <c r="J40" s="106">
        <f>VLOOKUP(A40&amp;G40,Lookup!J:N,5,0)</f>
        <v>0</v>
      </c>
      <c r="K40" s="110"/>
      <c r="L40" s="110"/>
      <c r="M40" s="110"/>
      <c r="N40" s="110"/>
      <c r="O40" s="90">
        <f>IFERROR(VLOOKUP(A40&amp;G40,Lookup!J:K,2,0),"")</f>
        <v>0</v>
      </c>
      <c r="P40" s="110" t="str">
        <f t="shared" si="5"/>
        <v/>
      </c>
      <c r="Q40" s="110"/>
      <c r="R40" s="87" t="str">
        <f t="shared" si="6"/>
        <v/>
      </c>
      <c r="S40" s="87" t="str">
        <f t="shared" si="7"/>
        <v/>
      </c>
      <c r="T40" s="59"/>
      <c r="U40" s="59"/>
      <c r="V40" s="59"/>
      <c r="W40" s="59"/>
      <c r="X40" s="93" t="str">
        <f t="shared" si="8"/>
        <v>D</v>
      </c>
    </row>
    <row r="41" spans="1:24" x14ac:dyDescent="0.25">
      <c r="A41" s="53"/>
      <c r="B41" s="91" t="str">
        <f>IFERROR(VLOOKUP(A41,Lookup!A:B,2,0),"")</f>
        <v/>
      </c>
      <c r="C41" s="59" t="str">
        <f>IFERROR(VLOOKUP(A41,Lookup!A:C,3,0),"")</f>
        <v/>
      </c>
      <c r="D41" s="59"/>
      <c r="E41" s="59"/>
      <c r="F41" s="59"/>
      <c r="G41" s="94"/>
      <c r="H41" s="59"/>
      <c r="I41" s="59"/>
      <c r="J41" s="106">
        <f>VLOOKUP(A41&amp;G41,Lookup!J:N,5,0)</f>
        <v>0</v>
      </c>
      <c r="K41" s="110"/>
      <c r="L41" s="110"/>
      <c r="M41" s="110"/>
      <c r="N41" s="110"/>
      <c r="O41" s="90">
        <f>IFERROR(VLOOKUP(A41&amp;G41,Lookup!J:K,2,0),"")</f>
        <v>0</v>
      </c>
      <c r="P41" s="110" t="str">
        <f t="shared" si="5"/>
        <v/>
      </c>
      <c r="Q41" s="110"/>
      <c r="R41" s="87" t="str">
        <f t="shared" si="6"/>
        <v/>
      </c>
      <c r="S41" s="87" t="str">
        <f t="shared" si="7"/>
        <v/>
      </c>
      <c r="T41" s="59"/>
      <c r="U41" s="59"/>
      <c r="V41" s="59"/>
      <c r="W41" s="59"/>
      <c r="X41" s="93" t="str">
        <f t="shared" si="8"/>
        <v>D</v>
      </c>
    </row>
    <row r="42" spans="1:24" x14ac:dyDescent="0.25">
      <c r="A42" s="53"/>
      <c r="B42" s="91" t="str">
        <f>IFERROR(VLOOKUP(A42,Lookup!A:B,2,0),"")</f>
        <v/>
      </c>
      <c r="C42" s="59" t="str">
        <f>IFERROR(VLOOKUP(A42,Lookup!A:C,3,0),"")</f>
        <v/>
      </c>
      <c r="D42" s="59"/>
      <c r="E42" s="59"/>
      <c r="F42" s="59"/>
      <c r="G42" s="94"/>
      <c r="H42" s="59"/>
      <c r="I42" s="59"/>
      <c r="J42" s="106">
        <f>VLOOKUP(A42&amp;G42,Lookup!J:N,5,0)</f>
        <v>0</v>
      </c>
      <c r="K42" s="110"/>
      <c r="L42" s="110"/>
      <c r="M42" s="110"/>
      <c r="N42" s="110"/>
      <c r="O42" s="90">
        <f>IFERROR(VLOOKUP(A42&amp;G42,Lookup!J:K,2,0),"")</f>
        <v>0</v>
      </c>
      <c r="P42" s="110" t="str">
        <f t="shared" si="5"/>
        <v/>
      </c>
      <c r="Q42" s="110"/>
      <c r="R42" s="87" t="str">
        <f t="shared" si="6"/>
        <v/>
      </c>
      <c r="S42" s="87" t="str">
        <f t="shared" si="7"/>
        <v/>
      </c>
      <c r="T42" s="59"/>
      <c r="U42" s="59"/>
      <c r="V42" s="59"/>
      <c r="W42" s="59"/>
      <c r="X42" s="93" t="str">
        <f t="shared" si="8"/>
        <v>D</v>
      </c>
    </row>
    <row r="43" spans="1:24" x14ac:dyDescent="0.25">
      <c r="A43" s="53"/>
      <c r="B43" s="91" t="str">
        <f>IFERROR(VLOOKUP(A43,Lookup!A:B,2,0),"")</f>
        <v/>
      </c>
      <c r="C43" s="59" t="str">
        <f>IFERROR(VLOOKUP(A43,Lookup!A:C,3,0),"")</f>
        <v/>
      </c>
      <c r="D43" s="59"/>
      <c r="E43" s="59"/>
      <c r="F43" s="59"/>
      <c r="G43" s="94"/>
      <c r="H43" s="59"/>
      <c r="I43" s="59"/>
      <c r="J43" s="106">
        <f>VLOOKUP(A43&amp;G43,Lookup!J:N,5,0)</f>
        <v>0</v>
      </c>
      <c r="K43" s="110"/>
      <c r="L43" s="110"/>
      <c r="M43" s="110"/>
      <c r="N43" s="110"/>
      <c r="O43" s="90">
        <f>IFERROR(VLOOKUP(A43&amp;G43,Lookup!J:K,2,0),"")</f>
        <v>0</v>
      </c>
      <c r="P43" s="110" t="str">
        <f t="shared" si="5"/>
        <v/>
      </c>
      <c r="Q43" s="110"/>
      <c r="R43" s="87" t="str">
        <f t="shared" si="6"/>
        <v/>
      </c>
      <c r="S43" s="87" t="str">
        <f t="shared" si="7"/>
        <v/>
      </c>
      <c r="T43" s="59"/>
      <c r="U43" s="59"/>
      <c r="V43" s="59"/>
      <c r="W43" s="59"/>
      <c r="X43" s="93" t="str">
        <f t="shared" si="8"/>
        <v>D</v>
      </c>
    </row>
    <row r="44" spans="1:24" x14ac:dyDescent="0.25">
      <c r="A44" s="53"/>
      <c r="B44" s="91" t="str">
        <f>IFERROR(VLOOKUP(A44,Lookup!A:B,2,0),"")</f>
        <v/>
      </c>
      <c r="C44" s="59" t="str">
        <f>IFERROR(VLOOKUP(A44,Lookup!A:C,3,0),"")</f>
        <v/>
      </c>
      <c r="D44" s="59"/>
      <c r="E44" s="59"/>
      <c r="F44" s="59"/>
      <c r="G44" s="94"/>
      <c r="H44" s="59"/>
      <c r="I44" s="59"/>
      <c r="J44" s="106">
        <f>VLOOKUP(A44&amp;G44,Lookup!J:N,5,0)</f>
        <v>0</v>
      </c>
      <c r="K44" s="110"/>
      <c r="L44" s="110"/>
      <c r="M44" s="110"/>
      <c r="N44" s="110"/>
      <c r="O44" s="90">
        <f>IFERROR(VLOOKUP(A44&amp;G44,Lookup!J:K,2,0),"")</f>
        <v>0</v>
      </c>
      <c r="P44" s="110" t="str">
        <f t="shared" si="5"/>
        <v/>
      </c>
      <c r="Q44" s="110"/>
      <c r="R44" s="87" t="str">
        <f t="shared" si="6"/>
        <v/>
      </c>
      <c r="S44" s="87" t="str">
        <f t="shared" si="7"/>
        <v/>
      </c>
      <c r="T44" s="59"/>
      <c r="U44" s="59"/>
      <c r="V44" s="59"/>
      <c r="W44" s="59"/>
      <c r="X44" s="93" t="str">
        <f t="shared" si="8"/>
        <v>D</v>
      </c>
    </row>
    <row r="45" spans="1:24" x14ac:dyDescent="0.25">
      <c r="A45" s="53"/>
      <c r="B45" s="91" t="str">
        <f>IFERROR(VLOOKUP(A45,Lookup!A:B,2,0),"")</f>
        <v/>
      </c>
      <c r="C45" s="59" t="str">
        <f>IFERROR(VLOOKUP(A45,Lookup!A:C,3,0),"")</f>
        <v/>
      </c>
      <c r="D45" s="59"/>
      <c r="E45" s="59"/>
      <c r="F45" s="59"/>
      <c r="G45" s="94"/>
      <c r="H45" s="59"/>
      <c r="I45" s="59"/>
      <c r="J45" s="106">
        <f>VLOOKUP(A45&amp;G45,Lookup!J:N,5,0)</f>
        <v>0</v>
      </c>
      <c r="K45" s="110"/>
      <c r="L45" s="110"/>
      <c r="M45" s="110"/>
      <c r="N45" s="110"/>
      <c r="O45" s="90">
        <f>IFERROR(VLOOKUP(A45&amp;G45,Lookup!J:K,2,0),"")</f>
        <v>0</v>
      </c>
      <c r="P45" s="110" t="str">
        <f t="shared" si="5"/>
        <v/>
      </c>
      <c r="Q45" s="110"/>
      <c r="R45" s="87" t="str">
        <f t="shared" si="6"/>
        <v/>
      </c>
      <c r="S45" s="87" t="str">
        <f t="shared" si="7"/>
        <v/>
      </c>
      <c r="T45" s="59"/>
      <c r="U45" s="59"/>
      <c r="V45" s="59"/>
      <c r="W45" s="59"/>
      <c r="X45" s="93" t="str">
        <f t="shared" si="8"/>
        <v>D</v>
      </c>
    </row>
    <row r="46" spans="1:24" x14ac:dyDescent="0.25">
      <c r="A46" s="53"/>
      <c r="B46" s="91" t="str">
        <f>IFERROR(VLOOKUP(A46,Lookup!A:B,2,0),"")</f>
        <v/>
      </c>
      <c r="C46" s="59" t="str">
        <f>IFERROR(VLOOKUP(A46,Lookup!A:C,3,0),"")</f>
        <v/>
      </c>
      <c r="D46" s="59"/>
      <c r="E46" s="59"/>
      <c r="F46" s="59"/>
      <c r="G46" s="94"/>
      <c r="H46" s="59"/>
      <c r="I46" s="59"/>
      <c r="J46" s="106">
        <f>VLOOKUP(A46&amp;G46,Lookup!J:N,5,0)</f>
        <v>0</v>
      </c>
      <c r="K46" s="110"/>
      <c r="L46" s="110"/>
      <c r="M46" s="110"/>
      <c r="N46" s="110"/>
      <c r="O46" s="90">
        <f>IFERROR(VLOOKUP(A46&amp;G46,Lookup!J:K,2,0),"")</f>
        <v>0</v>
      </c>
      <c r="P46" s="110" t="str">
        <f t="shared" si="5"/>
        <v/>
      </c>
      <c r="Q46" s="110"/>
      <c r="R46" s="87" t="str">
        <f t="shared" si="6"/>
        <v/>
      </c>
      <c r="S46" s="87" t="str">
        <f t="shared" si="7"/>
        <v/>
      </c>
      <c r="T46" s="59"/>
      <c r="U46" s="59"/>
      <c r="V46" s="59"/>
      <c r="W46" s="59"/>
      <c r="X46" s="93" t="str">
        <f t="shared" si="8"/>
        <v>D</v>
      </c>
    </row>
    <row r="47" spans="1:24" x14ac:dyDescent="0.25">
      <c r="A47" s="53"/>
      <c r="B47" s="91" t="str">
        <f>IFERROR(VLOOKUP(A47,Lookup!A:B,2,0),"")</f>
        <v/>
      </c>
      <c r="C47" s="59" t="str">
        <f>IFERROR(VLOOKUP(A47,Lookup!A:C,3,0),"")</f>
        <v/>
      </c>
      <c r="D47" s="59"/>
      <c r="E47" s="59"/>
      <c r="F47" s="59"/>
      <c r="G47" s="94"/>
      <c r="H47" s="59"/>
      <c r="I47" s="59"/>
      <c r="J47" s="106">
        <f>VLOOKUP(A47&amp;G47,Lookup!J:N,5,0)</f>
        <v>0</v>
      </c>
      <c r="K47" s="110"/>
      <c r="L47" s="110"/>
      <c r="M47" s="110"/>
      <c r="N47" s="110"/>
      <c r="O47" s="90">
        <f>IFERROR(VLOOKUP(A47&amp;G47,Lookup!J:K,2,0),"")</f>
        <v>0</v>
      </c>
      <c r="P47" s="110" t="str">
        <f t="shared" si="5"/>
        <v/>
      </c>
      <c r="Q47" s="110"/>
      <c r="R47" s="87" t="str">
        <f t="shared" si="6"/>
        <v/>
      </c>
      <c r="S47" s="87" t="str">
        <f t="shared" si="7"/>
        <v/>
      </c>
      <c r="T47" s="59"/>
      <c r="U47" s="59"/>
      <c r="V47" s="59"/>
      <c r="W47" s="59"/>
      <c r="X47" s="93" t="str">
        <f t="shared" si="8"/>
        <v>D</v>
      </c>
    </row>
    <row r="48" spans="1:24" x14ac:dyDescent="0.25">
      <c r="A48" s="53"/>
      <c r="B48" s="91" t="str">
        <f>IFERROR(VLOOKUP(A48,Lookup!A:B,2,0),"")</f>
        <v/>
      </c>
      <c r="C48" s="59" t="str">
        <f>IFERROR(VLOOKUP(A48,Lookup!A:C,3,0),"")</f>
        <v/>
      </c>
      <c r="D48" s="59"/>
      <c r="E48" s="59"/>
      <c r="F48" s="59"/>
      <c r="G48" s="94"/>
      <c r="H48" s="59"/>
      <c r="I48" s="59"/>
      <c r="J48" s="106">
        <f>VLOOKUP(A48&amp;G48,Lookup!J:N,5,0)</f>
        <v>0</v>
      </c>
      <c r="K48" s="110"/>
      <c r="L48" s="110"/>
      <c r="M48" s="110"/>
      <c r="N48" s="110"/>
      <c r="O48" s="90">
        <f>IFERROR(VLOOKUP(A48&amp;G48,Lookup!J:K,2,0),"")</f>
        <v>0</v>
      </c>
      <c r="P48" s="110" t="str">
        <f t="shared" si="5"/>
        <v/>
      </c>
      <c r="Q48" s="110"/>
      <c r="R48" s="87" t="str">
        <f t="shared" si="6"/>
        <v/>
      </c>
      <c r="S48" s="87" t="str">
        <f t="shared" si="7"/>
        <v/>
      </c>
      <c r="T48" s="59"/>
      <c r="U48" s="59"/>
      <c r="V48" s="59"/>
      <c r="W48" s="59"/>
      <c r="X48" s="93" t="str">
        <f t="shared" si="8"/>
        <v>D</v>
      </c>
    </row>
    <row r="49" spans="1:24" x14ac:dyDescent="0.25">
      <c r="A49" s="53"/>
      <c r="B49" s="91" t="str">
        <f>IFERROR(VLOOKUP(A49,Lookup!A:B,2,0),"")</f>
        <v/>
      </c>
      <c r="C49" s="59" t="str">
        <f>IFERROR(VLOOKUP(A49,Lookup!A:C,3,0),"")</f>
        <v/>
      </c>
      <c r="D49" s="59"/>
      <c r="E49" s="59"/>
      <c r="F49" s="59"/>
      <c r="G49" s="94"/>
      <c r="H49" s="59"/>
      <c r="I49" s="59"/>
      <c r="J49" s="106">
        <f>VLOOKUP(A49&amp;G49,Lookup!J:N,5,0)</f>
        <v>0</v>
      </c>
      <c r="K49" s="110"/>
      <c r="L49" s="110"/>
      <c r="M49" s="110"/>
      <c r="N49" s="110"/>
      <c r="O49" s="90">
        <f>IFERROR(VLOOKUP(A49&amp;G49,Lookup!J:K,2,0),"")</f>
        <v>0</v>
      </c>
      <c r="P49" s="110" t="str">
        <f t="shared" si="5"/>
        <v/>
      </c>
      <c r="Q49" s="110"/>
      <c r="R49" s="87" t="str">
        <f t="shared" si="6"/>
        <v/>
      </c>
      <c r="S49" s="87" t="str">
        <f t="shared" si="7"/>
        <v/>
      </c>
      <c r="T49" s="59"/>
      <c r="U49" s="59"/>
      <c r="V49" s="59"/>
      <c r="W49" s="59"/>
      <c r="X49" s="93" t="str">
        <f t="shared" si="8"/>
        <v>D</v>
      </c>
    </row>
    <row r="50" spans="1:24" x14ac:dyDescent="0.25">
      <c r="A50" s="53"/>
      <c r="B50" s="91" t="str">
        <f>IFERROR(VLOOKUP(A50,Lookup!A:B,2,0),"")</f>
        <v/>
      </c>
      <c r="C50" s="59" t="str">
        <f>IFERROR(VLOOKUP(A50,Lookup!A:C,3,0),"")</f>
        <v/>
      </c>
      <c r="D50" s="59"/>
      <c r="E50" s="59"/>
      <c r="F50" s="59"/>
      <c r="G50" s="94"/>
      <c r="H50" s="59"/>
      <c r="I50" s="59"/>
      <c r="J50" s="106">
        <f>VLOOKUP(A50&amp;G50,Lookup!J:N,5,0)</f>
        <v>0</v>
      </c>
      <c r="K50" s="110"/>
      <c r="L50" s="110"/>
      <c r="M50" s="110"/>
      <c r="N50" s="110"/>
      <c r="O50" s="90">
        <f>IFERROR(VLOOKUP(A50&amp;G50,Lookup!J:K,2,0),"")</f>
        <v>0</v>
      </c>
      <c r="P50" s="110" t="str">
        <f t="shared" si="5"/>
        <v/>
      </c>
      <c r="Q50" s="110"/>
      <c r="R50" s="87" t="str">
        <f t="shared" si="6"/>
        <v/>
      </c>
      <c r="S50" s="87" t="str">
        <f t="shared" si="7"/>
        <v/>
      </c>
      <c r="T50" s="59"/>
      <c r="U50" s="59"/>
      <c r="V50" s="59"/>
      <c r="W50" s="59"/>
      <c r="X50" s="93" t="str">
        <f t="shared" si="8"/>
        <v>D</v>
      </c>
    </row>
    <row r="51" spans="1:24" x14ac:dyDescent="0.25">
      <c r="A51" s="53"/>
      <c r="B51" s="91" t="str">
        <f>IFERROR(VLOOKUP(A51,Lookup!A:B,2,0),"")</f>
        <v/>
      </c>
      <c r="C51" s="59" t="str">
        <f>IFERROR(VLOOKUP(A51,Lookup!A:C,3,0),"")</f>
        <v/>
      </c>
      <c r="D51" s="59"/>
      <c r="E51" s="59"/>
      <c r="F51" s="59"/>
      <c r="G51" s="94"/>
      <c r="H51" s="59"/>
      <c r="I51" s="59"/>
      <c r="J51" s="106">
        <f>VLOOKUP(A51&amp;G51,Lookup!J:N,5,0)</f>
        <v>0</v>
      </c>
      <c r="K51" s="110"/>
      <c r="L51" s="110"/>
      <c r="M51" s="110"/>
      <c r="N51" s="110"/>
      <c r="O51" s="90">
        <f>IFERROR(VLOOKUP(A51&amp;G51,Lookup!J:K,2,0),"")</f>
        <v>0</v>
      </c>
      <c r="P51" s="110" t="str">
        <f t="shared" si="5"/>
        <v/>
      </c>
      <c r="Q51" s="110"/>
      <c r="R51" s="87" t="str">
        <f t="shared" si="6"/>
        <v/>
      </c>
      <c r="S51" s="87" t="str">
        <f t="shared" si="7"/>
        <v/>
      </c>
      <c r="T51" s="59"/>
      <c r="U51" s="59"/>
      <c r="V51" s="59"/>
      <c r="W51" s="59"/>
      <c r="X51" s="93" t="str">
        <f t="shared" si="8"/>
        <v>D</v>
      </c>
    </row>
    <row r="52" spans="1:24" x14ac:dyDescent="0.25">
      <c r="A52" s="53"/>
      <c r="B52" s="91" t="str">
        <f>IFERROR(VLOOKUP(A52,Lookup!A:B,2,0),"")</f>
        <v/>
      </c>
      <c r="C52" s="59" t="str">
        <f>IFERROR(VLOOKUP(A52,Lookup!A:C,3,0),"")</f>
        <v/>
      </c>
      <c r="D52" s="59"/>
      <c r="E52" s="59"/>
      <c r="F52" s="59"/>
      <c r="G52" s="94"/>
      <c r="H52" s="59"/>
      <c r="I52" s="59"/>
      <c r="J52" s="106">
        <f>VLOOKUP(A52&amp;G52,Lookup!J:N,5,0)</f>
        <v>0</v>
      </c>
      <c r="K52" s="110"/>
      <c r="L52" s="110"/>
      <c r="M52" s="110"/>
      <c r="N52" s="110"/>
      <c r="O52" s="90">
        <f>IFERROR(VLOOKUP(A52&amp;G52,Lookup!J:K,2,0),"")</f>
        <v>0</v>
      </c>
      <c r="P52" s="110" t="str">
        <f t="shared" si="5"/>
        <v/>
      </c>
      <c r="Q52" s="110"/>
      <c r="R52" s="87" t="str">
        <f t="shared" si="6"/>
        <v/>
      </c>
      <c r="S52" s="87" t="str">
        <f t="shared" si="7"/>
        <v/>
      </c>
      <c r="T52" s="59"/>
      <c r="U52" s="59"/>
      <c r="V52" s="59"/>
      <c r="W52" s="59"/>
      <c r="X52" s="93" t="str">
        <f t="shared" si="8"/>
        <v>D</v>
      </c>
    </row>
    <row r="53" spans="1:24" x14ac:dyDescent="0.25">
      <c r="A53" s="53"/>
      <c r="B53" s="91" t="str">
        <f>IFERROR(VLOOKUP(A53,Lookup!A:B,2,0),"")</f>
        <v/>
      </c>
      <c r="C53" s="59" t="str">
        <f>IFERROR(VLOOKUP(A53,Lookup!A:C,3,0),"")</f>
        <v/>
      </c>
      <c r="D53" s="59"/>
      <c r="E53" s="59"/>
      <c r="F53" s="59"/>
      <c r="G53" s="94"/>
      <c r="H53" s="59"/>
      <c r="I53" s="59"/>
      <c r="J53" s="106">
        <f>VLOOKUP(A53&amp;G53,Lookup!J:N,5,0)</f>
        <v>0</v>
      </c>
      <c r="K53" s="110"/>
      <c r="L53" s="110"/>
      <c r="M53" s="110"/>
      <c r="N53" s="110"/>
      <c r="O53" s="90">
        <f>IFERROR(VLOOKUP(A53&amp;G53,Lookup!J:K,2,0),"")</f>
        <v>0</v>
      </c>
      <c r="P53" s="110" t="str">
        <f t="shared" si="5"/>
        <v/>
      </c>
      <c r="Q53" s="110"/>
      <c r="R53" s="87" t="str">
        <f t="shared" si="6"/>
        <v/>
      </c>
      <c r="S53" s="87" t="str">
        <f t="shared" si="7"/>
        <v/>
      </c>
      <c r="T53" s="59"/>
      <c r="U53" s="59"/>
      <c r="V53" s="59"/>
      <c r="W53" s="59"/>
      <c r="X53" s="93" t="str">
        <f t="shared" si="8"/>
        <v>D</v>
      </c>
    </row>
    <row r="54" spans="1:24" x14ac:dyDescent="0.25">
      <c r="A54" s="53"/>
      <c r="B54" s="91" t="str">
        <f>IFERROR(VLOOKUP(A54,Lookup!A:B,2,0),"")</f>
        <v/>
      </c>
      <c r="C54" s="59" t="str">
        <f>IFERROR(VLOOKUP(A54,Lookup!A:C,3,0),"")</f>
        <v/>
      </c>
      <c r="D54" s="59"/>
      <c r="E54" s="59"/>
      <c r="F54" s="59"/>
      <c r="G54" s="94"/>
      <c r="H54" s="59"/>
      <c r="I54" s="59"/>
      <c r="J54" s="106">
        <f>VLOOKUP(A54&amp;G54,Lookup!J:N,5,0)</f>
        <v>0</v>
      </c>
      <c r="K54" s="110"/>
      <c r="L54" s="110"/>
      <c r="M54" s="110"/>
      <c r="N54" s="110"/>
      <c r="O54" s="90">
        <f>IFERROR(VLOOKUP(A54&amp;G54,Lookup!J:K,2,0),"")</f>
        <v>0</v>
      </c>
      <c r="P54" s="110" t="str">
        <f t="shared" si="5"/>
        <v/>
      </c>
      <c r="Q54" s="110"/>
      <c r="R54" s="87" t="str">
        <f t="shared" si="6"/>
        <v/>
      </c>
      <c r="S54" s="87" t="str">
        <f t="shared" si="7"/>
        <v/>
      </c>
      <c r="T54" s="59"/>
      <c r="U54" s="59"/>
      <c r="V54" s="59"/>
      <c r="W54" s="59"/>
      <c r="X54" s="93" t="str">
        <f t="shared" si="8"/>
        <v>D</v>
      </c>
    </row>
    <row r="55" spans="1:24" x14ac:dyDescent="0.25">
      <c r="A55" s="53"/>
      <c r="B55" s="91" t="str">
        <f>IFERROR(VLOOKUP(A55,Lookup!A:B,2,0),"")</f>
        <v/>
      </c>
      <c r="C55" s="59" t="str">
        <f>IFERROR(VLOOKUP(A55,Lookup!A:C,3,0),"")</f>
        <v/>
      </c>
      <c r="D55" s="59"/>
      <c r="E55" s="59"/>
      <c r="F55" s="59"/>
      <c r="G55" s="94"/>
      <c r="H55" s="59"/>
      <c r="I55" s="59"/>
      <c r="J55" s="106">
        <f>VLOOKUP(A55&amp;G55,Lookup!J:N,5,0)</f>
        <v>0</v>
      </c>
      <c r="K55" s="110"/>
      <c r="L55" s="110"/>
      <c r="M55" s="110"/>
      <c r="N55" s="110"/>
      <c r="O55" s="90">
        <f>IFERROR(VLOOKUP(A55&amp;G55,Lookup!J:K,2,0),"")</f>
        <v>0</v>
      </c>
      <c r="P55" s="110" t="str">
        <f t="shared" si="5"/>
        <v/>
      </c>
      <c r="Q55" s="110"/>
      <c r="R55" s="87" t="str">
        <f t="shared" si="6"/>
        <v/>
      </c>
      <c r="S55" s="87" t="str">
        <f t="shared" si="7"/>
        <v/>
      </c>
      <c r="T55" s="59"/>
      <c r="U55" s="59"/>
      <c r="V55" s="59"/>
      <c r="W55" s="59"/>
      <c r="X55" s="93" t="str">
        <f t="shared" si="8"/>
        <v>D</v>
      </c>
    </row>
    <row r="56" spans="1:24" x14ac:dyDescent="0.25">
      <c r="A56" s="53"/>
      <c r="B56" s="91" t="str">
        <f>IFERROR(VLOOKUP(A56,Lookup!A:B,2,0),"")</f>
        <v/>
      </c>
      <c r="C56" s="59" t="str">
        <f>IFERROR(VLOOKUP(A56,Lookup!A:C,3,0),"")</f>
        <v/>
      </c>
      <c r="D56" s="59"/>
      <c r="E56" s="59"/>
      <c r="F56" s="59"/>
      <c r="G56" s="94"/>
      <c r="H56" s="59"/>
      <c r="I56" s="59"/>
      <c r="J56" s="106">
        <f>VLOOKUP(A56&amp;G56,Lookup!J:N,5,0)</f>
        <v>0</v>
      </c>
      <c r="K56" s="110"/>
      <c r="L56" s="110"/>
      <c r="M56" s="110"/>
      <c r="N56" s="110"/>
      <c r="O56" s="90">
        <f>IFERROR(VLOOKUP(A56&amp;G56,Lookup!J:K,2,0),"")</f>
        <v>0</v>
      </c>
      <c r="P56" s="110" t="str">
        <f t="shared" si="5"/>
        <v/>
      </c>
      <c r="Q56" s="110"/>
      <c r="R56" s="87" t="str">
        <f t="shared" si="6"/>
        <v/>
      </c>
      <c r="S56" s="87" t="str">
        <f t="shared" si="7"/>
        <v/>
      </c>
      <c r="T56" s="59"/>
      <c r="U56" s="59"/>
      <c r="V56" s="59"/>
      <c r="W56" s="59"/>
      <c r="X56" s="93" t="str">
        <f t="shared" si="8"/>
        <v>D</v>
      </c>
    </row>
    <row r="57" spans="1:24" x14ac:dyDescent="0.25">
      <c r="A57" s="53"/>
      <c r="B57" s="91" t="str">
        <f>IFERROR(VLOOKUP(A57,Lookup!A:B,2,0),"")</f>
        <v/>
      </c>
      <c r="C57" s="59" t="str">
        <f>IFERROR(VLOOKUP(A57,Lookup!A:C,3,0),"")</f>
        <v/>
      </c>
      <c r="D57" s="59"/>
      <c r="E57" s="59"/>
      <c r="F57" s="59"/>
      <c r="G57" s="94"/>
      <c r="H57" s="59"/>
      <c r="I57" s="59"/>
      <c r="J57" s="106">
        <f>VLOOKUP(A57&amp;G57,Lookup!J:N,5,0)</f>
        <v>0</v>
      </c>
      <c r="K57" s="110"/>
      <c r="L57" s="110"/>
      <c r="M57" s="110"/>
      <c r="N57" s="110"/>
      <c r="O57" s="90">
        <f>IFERROR(VLOOKUP(A57&amp;G57,Lookup!J:K,2,0),"")</f>
        <v>0</v>
      </c>
      <c r="P57" s="110" t="str">
        <f t="shared" si="5"/>
        <v/>
      </c>
      <c r="Q57" s="110"/>
      <c r="R57" s="87" t="str">
        <f t="shared" si="6"/>
        <v/>
      </c>
      <c r="S57" s="87" t="str">
        <f t="shared" si="7"/>
        <v/>
      </c>
      <c r="T57" s="59"/>
      <c r="U57" s="59"/>
      <c r="V57" s="59"/>
      <c r="W57" s="59"/>
      <c r="X57" s="93" t="str">
        <f t="shared" si="8"/>
        <v>D</v>
      </c>
    </row>
    <row r="58" spans="1:24" x14ac:dyDescent="0.25">
      <c r="A58" s="53"/>
      <c r="B58" s="91" t="str">
        <f>IFERROR(VLOOKUP(A58,Lookup!A:B,2,0),"")</f>
        <v/>
      </c>
      <c r="C58" s="59" t="str">
        <f>IFERROR(VLOOKUP(A58,Lookup!A:C,3,0),"")</f>
        <v/>
      </c>
      <c r="D58" s="59"/>
      <c r="E58" s="59"/>
      <c r="F58" s="59"/>
      <c r="G58" s="94"/>
      <c r="H58" s="59"/>
      <c r="I58" s="59"/>
      <c r="J58" s="106">
        <f>VLOOKUP(A58&amp;G58,Lookup!J:N,5,0)</f>
        <v>0</v>
      </c>
      <c r="K58" s="110"/>
      <c r="L58" s="110"/>
      <c r="M58" s="110"/>
      <c r="N58" s="110"/>
      <c r="O58" s="90">
        <f>IFERROR(VLOOKUP(A58&amp;G58,Lookup!J:K,2,0),"")</f>
        <v>0</v>
      </c>
      <c r="P58" s="110" t="str">
        <f t="shared" si="5"/>
        <v/>
      </c>
      <c r="Q58" s="110"/>
      <c r="R58" s="87" t="str">
        <f t="shared" si="6"/>
        <v/>
      </c>
      <c r="S58" s="87" t="str">
        <f t="shared" si="7"/>
        <v/>
      </c>
      <c r="T58" s="59"/>
      <c r="U58" s="59"/>
      <c r="V58" s="59"/>
      <c r="W58" s="59"/>
      <c r="X58" s="93" t="str">
        <f t="shared" si="8"/>
        <v>D</v>
      </c>
    </row>
    <row r="59" spans="1:24" x14ac:dyDescent="0.25">
      <c r="A59" s="53"/>
      <c r="B59" s="91" t="str">
        <f>IFERROR(VLOOKUP(A59,Lookup!A:B,2,0),"")</f>
        <v/>
      </c>
      <c r="C59" s="59" t="str">
        <f>IFERROR(VLOOKUP(A59,Lookup!A:C,3,0),"")</f>
        <v/>
      </c>
      <c r="D59" s="59"/>
      <c r="E59" s="59"/>
      <c r="F59" s="59"/>
      <c r="G59" s="94"/>
      <c r="H59" s="59"/>
      <c r="I59" s="59"/>
      <c r="J59" s="106">
        <f>VLOOKUP(A59&amp;G59,Lookup!J:N,5,0)</f>
        <v>0</v>
      </c>
      <c r="K59" s="110"/>
      <c r="L59" s="110"/>
      <c r="M59" s="110"/>
      <c r="N59" s="110"/>
      <c r="O59" s="90">
        <f>IFERROR(VLOOKUP(A59&amp;G59,Lookup!J:K,2,0),"")</f>
        <v>0</v>
      </c>
      <c r="P59" s="110" t="str">
        <f t="shared" si="5"/>
        <v/>
      </c>
      <c r="Q59" s="110"/>
      <c r="R59" s="87" t="str">
        <f t="shared" si="6"/>
        <v/>
      </c>
      <c r="S59" s="87" t="str">
        <f t="shared" si="7"/>
        <v/>
      </c>
      <c r="T59" s="59"/>
      <c r="U59" s="59"/>
      <c r="V59" s="59"/>
      <c r="W59" s="59"/>
      <c r="X59" s="93" t="str">
        <f t="shared" si="8"/>
        <v>D</v>
      </c>
    </row>
    <row r="60" spans="1:24" x14ac:dyDescent="0.25">
      <c r="A60" s="53"/>
      <c r="B60" s="91" t="str">
        <f>IFERROR(VLOOKUP(A60,Lookup!A:B,2,0),"")</f>
        <v/>
      </c>
      <c r="C60" s="59" t="str">
        <f>IFERROR(VLOOKUP(A60,Lookup!A:C,3,0),"")</f>
        <v/>
      </c>
      <c r="D60" s="59"/>
      <c r="E60" s="59"/>
      <c r="F60" s="59"/>
      <c r="G60" s="94"/>
      <c r="H60" s="59"/>
      <c r="I60" s="59"/>
      <c r="J60" s="106">
        <f>VLOOKUP(A60&amp;G60,Lookup!J:N,5,0)</f>
        <v>0</v>
      </c>
      <c r="K60" s="110"/>
      <c r="L60" s="110"/>
      <c r="M60" s="110"/>
      <c r="N60" s="110"/>
      <c r="O60" s="90">
        <f>IFERROR(VLOOKUP(A60&amp;G60,Lookup!J:K,2,0),"")</f>
        <v>0</v>
      </c>
      <c r="P60" s="110" t="str">
        <f t="shared" si="5"/>
        <v/>
      </c>
      <c r="Q60" s="110"/>
      <c r="R60" s="87" t="str">
        <f t="shared" si="6"/>
        <v/>
      </c>
      <c r="S60" s="87" t="str">
        <f t="shared" si="7"/>
        <v/>
      </c>
      <c r="T60" s="59"/>
      <c r="U60" s="59"/>
      <c r="V60" s="59"/>
      <c r="W60" s="59"/>
      <c r="X60" s="93" t="str">
        <f t="shared" si="8"/>
        <v>D</v>
      </c>
    </row>
    <row r="61" spans="1:24" x14ac:dyDescent="0.25">
      <c r="A61" s="53"/>
      <c r="B61" s="91" t="str">
        <f>IFERROR(VLOOKUP(A61,Lookup!A:B,2,0),"")</f>
        <v/>
      </c>
      <c r="C61" s="59" t="str">
        <f>IFERROR(VLOOKUP(A61,Lookup!A:C,3,0),"")</f>
        <v/>
      </c>
      <c r="D61" s="59"/>
      <c r="E61" s="59"/>
      <c r="F61" s="59"/>
      <c r="G61" s="94"/>
      <c r="H61" s="59"/>
      <c r="I61" s="59"/>
      <c r="J61" s="106">
        <f>VLOOKUP(A61&amp;G61,Lookup!J:N,5,0)</f>
        <v>0</v>
      </c>
      <c r="K61" s="110"/>
      <c r="L61" s="110"/>
      <c r="M61" s="110"/>
      <c r="N61" s="110"/>
      <c r="O61" s="90">
        <f>IFERROR(VLOOKUP(A61&amp;G61,Lookup!J:K,2,0),"")</f>
        <v>0</v>
      </c>
      <c r="P61" s="110" t="str">
        <f t="shared" si="5"/>
        <v/>
      </c>
      <c r="Q61" s="110"/>
      <c r="R61" s="87" t="str">
        <f t="shared" si="6"/>
        <v/>
      </c>
      <c r="S61" s="87" t="str">
        <f t="shared" si="7"/>
        <v/>
      </c>
      <c r="T61" s="59"/>
      <c r="U61" s="59"/>
      <c r="V61" s="59"/>
      <c r="W61" s="59"/>
      <c r="X61" s="93" t="str">
        <f t="shared" si="8"/>
        <v>D</v>
      </c>
    </row>
    <row r="62" spans="1:24" x14ac:dyDescent="0.25">
      <c r="A62" s="53"/>
      <c r="B62" s="91" t="str">
        <f>IFERROR(VLOOKUP(A62,Lookup!A:B,2,0),"")</f>
        <v/>
      </c>
      <c r="C62" s="59" t="str">
        <f>IFERROR(VLOOKUP(A62,Lookup!A:C,3,0),"")</f>
        <v/>
      </c>
      <c r="D62" s="59"/>
      <c r="E62" s="59"/>
      <c r="F62" s="59"/>
      <c r="G62" s="94"/>
      <c r="H62" s="59"/>
      <c r="I62" s="59"/>
      <c r="J62" s="106">
        <f>VLOOKUP(A62&amp;G62,Lookup!J:N,5,0)</f>
        <v>0</v>
      </c>
      <c r="K62" s="110"/>
      <c r="L62" s="110"/>
      <c r="M62" s="110"/>
      <c r="N62" s="110"/>
      <c r="O62" s="90">
        <f>IFERROR(VLOOKUP(A62&amp;G62,Lookup!J:K,2,0),"")</f>
        <v>0</v>
      </c>
      <c r="P62" s="110" t="str">
        <f t="shared" si="5"/>
        <v/>
      </c>
      <c r="Q62" s="110"/>
      <c r="R62" s="87" t="str">
        <f t="shared" si="6"/>
        <v/>
      </c>
      <c r="S62" s="87" t="str">
        <f t="shared" si="7"/>
        <v/>
      </c>
      <c r="T62" s="59"/>
      <c r="U62" s="59"/>
      <c r="V62" s="59"/>
      <c r="W62" s="59"/>
      <c r="X62" s="93" t="str">
        <f t="shared" si="8"/>
        <v>D</v>
      </c>
    </row>
    <row r="63" spans="1:24" x14ac:dyDescent="0.25">
      <c r="A63" s="53"/>
      <c r="B63" s="91" t="str">
        <f>IFERROR(VLOOKUP(A63,Lookup!A:B,2,0),"")</f>
        <v/>
      </c>
      <c r="C63" s="59" t="str">
        <f>IFERROR(VLOOKUP(A63,Lookup!A:C,3,0),"")</f>
        <v/>
      </c>
      <c r="D63" s="59"/>
      <c r="E63" s="59"/>
      <c r="F63" s="59"/>
      <c r="G63" s="94"/>
      <c r="H63" s="59"/>
      <c r="I63" s="59"/>
      <c r="J63" s="106">
        <f>VLOOKUP(A63&amp;G63,Lookup!J:N,5,0)</f>
        <v>0</v>
      </c>
      <c r="K63" s="110"/>
      <c r="L63" s="110"/>
      <c r="M63" s="110"/>
      <c r="N63" s="110"/>
      <c r="O63" s="90">
        <f>IFERROR(VLOOKUP(A63&amp;G63,Lookup!J:K,2,0),"")</f>
        <v>0</v>
      </c>
      <c r="P63" s="110" t="str">
        <f t="shared" si="5"/>
        <v/>
      </c>
      <c r="Q63" s="110"/>
      <c r="R63" s="87" t="str">
        <f t="shared" si="6"/>
        <v/>
      </c>
      <c r="S63" s="87" t="str">
        <f t="shared" si="7"/>
        <v/>
      </c>
      <c r="T63" s="59"/>
      <c r="U63" s="59"/>
      <c r="V63" s="59"/>
      <c r="W63" s="59"/>
      <c r="X63" s="93" t="str">
        <f t="shared" si="8"/>
        <v>D</v>
      </c>
    </row>
    <row r="64" spans="1:24" x14ac:dyDescent="0.25">
      <c r="A64" s="53"/>
      <c r="B64" s="91" t="str">
        <f>IFERROR(VLOOKUP(A64,Lookup!A:B,2,0),"")</f>
        <v/>
      </c>
      <c r="C64" s="59" t="str">
        <f>IFERROR(VLOOKUP(A64,Lookup!A:C,3,0),"")</f>
        <v/>
      </c>
      <c r="D64" s="59"/>
      <c r="E64" s="59"/>
      <c r="F64" s="59"/>
      <c r="G64" s="94"/>
      <c r="H64" s="59"/>
      <c r="I64" s="59"/>
      <c r="J64" s="106">
        <f>VLOOKUP(A64&amp;G64,Lookup!J:N,5,0)</f>
        <v>0</v>
      </c>
      <c r="K64" s="110"/>
      <c r="L64" s="110"/>
      <c r="M64" s="110"/>
      <c r="N64" s="110"/>
      <c r="O64" s="90">
        <f>IFERROR(VLOOKUP(A64&amp;G64,Lookup!J:K,2,0),"")</f>
        <v>0</v>
      </c>
      <c r="P64" s="110" t="str">
        <f t="shared" si="5"/>
        <v/>
      </c>
      <c r="Q64" s="110"/>
      <c r="R64" s="87" t="str">
        <f t="shared" si="6"/>
        <v/>
      </c>
      <c r="S64" s="87" t="str">
        <f t="shared" si="7"/>
        <v/>
      </c>
      <c r="T64" s="59"/>
      <c r="U64" s="59"/>
      <c r="V64" s="59"/>
      <c r="W64" s="59"/>
      <c r="X64" s="93" t="str">
        <f t="shared" si="8"/>
        <v>D</v>
      </c>
    </row>
    <row r="65" spans="1:24" x14ac:dyDescent="0.25">
      <c r="A65" s="53"/>
      <c r="B65" s="91" t="str">
        <f>IFERROR(VLOOKUP(A65,Lookup!A:B,2,0),"")</f>
        <v/>
      </c>
      <c r="C65" s="59" t="str">
        <f>IFERROR(VLOOKUP(A65,Lookup!A:C,3,0),"")</f>
        <v/>
      </c>
      <c r="D65" s="59"/>
      <c r="E65" s="59"/>
      <c r="F65" s="59"/>
      <c r="G65" s="94"/>
      <c r="H65" s="59"/>
      <c r="I65" s="59"/>
      <c r="J65" s="106">
        <f>VLOOKUP(A65&amp;G65,Lookup!J:N,5,0)</f>
        <v>0</v>
      </c>
      <c r="K65" s="110"/>
      <c r="L65" s="110"/>
      <c r="M65" s="110"/>
      <c r="N65" s="110"/>
      <c r="O65" s="90">
        <f>IFERROR(VLOOKUP(A65&amp;G65,Lookup!J:K,2,0),"")</f>
        <v>0</v>
      </c>
      <c r="P65" s="110" t="str">
        <f t="shared" si="5"/>
        <v/>
      </c>
      <c r="Q65" s="110"/>
      <c r="R65" s="87" t="str">
        <f t="shared" si="6"/>
        <v/>
      </c>
      <c r="S65" s="87" t="str">
        <f t="shared" si="7"/>
        <v/>
      </c>
      <c r="T65" s="59"/>
      <c r="U65" s="59"/>
      <c r="V65" s="59"/>
      <c r="W65" s="59"/>
      <c r="X65" s="93" t="str">
        <f t="shared" si="8"/>
        <v>D</v>
      </c>
    </row>
    <row r="66" spans="1:24" x14ac:dyDescent="0.25">
      <c r="A66" s="53"/>
      <c r="B66" s="91" t="str">
        <f>IFERROR(VLOOKUP(A66,Lookup!A:B,2,0),"")</f>
        <v/>
      </c>
      <c r="C66" s="59" t="str">
        <f>IFERROR(VLOOKUP(A66,Lookup!A:C,3,0),"")</f>
        <v/>
      </c>
      <c r="D66" s="59"/>
      <c r="E66" s="59"/>
      <c r="F66" s="59"/>
      <c r="G66" s="94"/>
      <c r="H66" s="59"/>
      <c r="I66" s="59"/>
      <c r="J66" s="106">
        <f>VLOOKUP(A66&amp;G66,Lookup!J:N,5,0)</f>
        <v>0</v>
      </c>
      <c r="K66" s="110"/>
      <c r="L66" s="110"/>
      <c r="M66" s="110"/>
      <c r="N66" s="110"/>
      <c r="O66" s="90">
        <f>IFERROR(VLOOKUP(A66&amp;G66,Lookup!J:K,2,0),"")</f>
        <v>0</v>
      </c>
      <c r="P66" s="110" t="str">
        <f t="shared" si="5"/>
        <v/>
      </c>
      <c r="Q66" s="110"/>
      <c r="R66" s="87" t="str">
        <f t="shared" si="6"/>
        <v/>
      </c>
      <c r="S66" s="87" t="str">
        <f t="shared" si="7"/>
        <v/>
      </c>
      <c r="T66" s="59"/>
      <c r="U66" s="59"/>
      <c r="V66" s="59"/>
      <c r="W66" s="59"/>
      <c r="X66" s="93" t="str">
        <f t="shared" si="8"/>
        <v>D</v>
      </c>
    </row>
    <row r="67" spans="1:24" x14ac:dyDescent="0.25">
      <c r="A67" s="53"/>
      <c r="B67" s="91" t="str">
        <f>IFERROR(VLOOKUP(A67,Lookup!A:B,2,0),"")</f>
        <v/>
      </c>
      <c r="C67" s="59" t="str">
        <f>IFERROR(VLOOKUP(A67,Lookup!A:C,3,0),"")</f>
        <v/>
      </c>
      <c r="D67" s="59"/>
      <c r="E67" s="59"/>
      <c r="F67" s="59"/>
      <c r="G67" s="94"/>
      <c r="H67" s="59"/>
      <c r="I67" s="59"/>
      <c r="J67" s="106">
        <f>VLOOKUP(A67&amp;G67,Lookup!J:N,5,0)</f>
        <v>0</v>
      </c>
      <c r="K67" s="110"/>
      <c r="L67" s="110"/>
      <c r="M67" s="110"/>
      <c r="N67" s="110"/>
      <c r="O67" s="90">
        <f>IFERROR(VLOOKUP(A67&amp;G67,Lookup!J:K,2,0),"")</f>
        <v>0</v>
      </c>
      <c r="P67" s="110" t="str">
        <f t="shared" si="5"/>
        <v/>
      </c>
      <c r="Q67" s="110"/>
      <c r="R67" s="87" t="str">
        <f t="shared" si="6"/>
        <v/>
      </c>
      <c r="S67" s="87" t="str">
        <f t="shared" si="7"/>
        <v/>
      </c>
      <c r="T67" s="59"/>
      <c r="U67" s="59"/>
      <c r="V67" s="59"/>
      <c r="W67" s="59"/>
      <c r="X67" s="93" t="str">
        <f t="shared" si="8"/>
        <v>D</v>
      </c>
    </row>
    <row r="68" spans="1:24" x14ac:dyDescent="0.25">
      <c r="A68" s="53"/>
      <c r="B68" s="91" t="str">
        <f>IFERROR(VLOOKUP(A68,Lookup!A:B,2,0),"")</f>
        <v/>
      </c>
      <c r="C68" s="59" t="str">
        <f>IFERROR(VLOOKUP(A68,Lookup!A:C,3,0),"")</f>
        <v/>
      </c>
      <c r="D68" s="59"/>
      <c r="E68" s="59"/>
      <c r="F68" s="59"/>
      <c r="G68" s="94"/>
      <c r="H68" s="59"/>
      <c r="I68" s="59"/>
      <c r="J68" s="106">
        <f>VLOOKUP(A68&amp;G68,Lookup!J:N,5,0)</f>
        <v>0</v>
      </c>
      <c r="K68" s="110"/>
      <c r="L68" s="110"/>
      <c r="M68" s="110"/>
      <c r="N68" s="110"/>
      <c r="O68" s="90">
        <f>IFERROR(VLOOKUP(A68&amp;G68,Lookup!J:K,2,0),"")</f>
        <v>0</v>
      </c>
      <c r="P68" s="110" t="str">
        <f t="shared" ref="P68:P99" si="9">IF(N68="","",N68+O68)</f>
        <v/>
      </c>
      <c r="Q68" s="110"/>
      <c r="R68" s="87" t="str">
        <f t="shared" ref="R68:R100" si="10">IF(OR(EXACT(N68,""), EXACT(L68,"")),"",N68-L68)</f>
        <v/>
      </c>
      <c r="S68" s="87" t="str">
        <f t="shared" ref="S68:S100" si="11">IF(OR(EXACT(Q68,""), EXACT(L68,"")),"",Q68-L68)</f>
        <v/>
      </c>
      <c r="T68" s="59"/>
      <c r="U68" s="59"/>
      <c r="V68" s="59"/>
      <c r="W68" s="59"/>
      <c r="X68" s="93" t="str">
        <f t="shared" ref="X68:X100" si="12">IF(I68="SET","A",IF(I68="FREQ","C",IF(I68="","D","B")))</f>
        <v>D</v>
      </c>
    </row>
    <row r="69" spans="1:24" x14ac:dyDescent="0.25">
      <c r="A69" s="53"/>
      <c r="B69" s="91" t="str">
        <f>IFERROR(VLOOKUP(A69,Lookup!A:B,2,0),"")</f>
        <v/>
      </c>
      <c r="C69" s="59" t="str">
        <f>IFERROR(VLOOKUP(A69,Lookup!A:C,3,0),"")</f>
        <v/>
      </c>
      <c r="D69" s="59"/>
      <c r="E69" s="59"/>
      <c r="F69" s="59"/>
      <c r="G69" s="94"/>
      <c r="H69" s="59"/>
      <c r="I69" s="59"/>
      <c r="J69" s="106">
        <f>VLOOKUP(A69&amp;G69,Lookup!J:N,5,0)</f>
        <v>0</v>
      </c>
      <c r="K69" s="110"/>
      <c r="L69" s="110"/>
      <c r="M69" s="110"/>
      <c r="N69" s="110"/>
      <c r="O69" s="90">
        <f>IFERROR(VLOOKUP(A69&amp;G69,Lookup!J:K,2,0),"")</f>
        <v>0</v>
      </c>
      <c r="P69" s="110" t="str">
        <f t="shared" si="9"/>
        <v/>
      </c>
      <c r="Q69" s="110"/>
      <c r="R69" s="87" t="str">
        <f t="shared" si="10"/>
        <v/>
      </c>
      <c r="S69" s="87" t="str">
        <f t="shared" si="11"/>
        <v/>
      </c>
      <c r="T69" s="59"/>
      <c r="U69" s="59"/>
      <c r="V69" s="59"/>
      <c r="W69" s="59"/>
      <c r="X69" s="93" t="str">
        <f t="shared" si="12"/>
        <v>D</v>
      </c>
    </row>
    <row r="70" spans="1:24" x14ac:dyDescent="0.25">
      <c r="A70" s="53"/>
      <c r="B70" s="91" t="str">
        <f>IFERROR(VLOOKUP(A70,Lookup!A:B,2,0),"")</f>
        <v/>
      </c>
      <c r="C70" s="59" t="str">
        <f>IFERROR(VLOOKUP(A70,Lookup!A:C,3,0),"")</f>
        <v/>
      </c>
      <c r="D70" s="59"/>
      <c r="E70" s="59"/>
      <c r="F70" s="59"/>
      <c r="G70" s="94"/>
      <c r="H70" s="59"/>
      <c r="I70" s="59"/>
      <c r="J70" s="106">
        <f>VLOOKUP(A70&amp;G70,Lookup!J:N,5,0)</f>
        <v>0</v>
      </c>
      <c r="K70" s="110"/>
      <c r="L70" s="110"/>
      <c r="M70" s="110"/>
      <c r="N70" s="110"/>
      <c r="O70" s="90">
        <f>IFERROR(VLOOKUP(A70&amp;G70,Lookup!J:K,2,0),"")</f>
        <v>0</v>
      </c>
      <c r="P70" s="110" t="str">
        <f t="shared" si="9"/>
        <v/>
      </c>
      <c r="Q70" s="110"/>
      <c r="R70" s="87" t="str">
        <f t="shared" si="10"/>
        <v/>
      </c>
      <c r="S70" s="87" t="str">
        <f t="shared" si="11"/>
        <v/>
      </c>
      <c r="T70" s="59"/>
      <c r="U70" s="59"/>
      <c r="V70" s="59"/>
      <c r="W70" s="59"/>
      <c r="X70" s="93" t="str">
        <f t="shared" si="12"/>
        <v>D</v>
      </c>
    </row>
    <row r="71" spans="1:24" x14ac:dyDescent="0.25">
      <c r="A71" s="53"/>
      <c r="B71" s="91" t="str">
        <f>IFERROR(VLOOKUP(A71,Lookup!A:B,2,0),"")</f>
        <v/>
      </c>
      <c r="C71" s="59" t="str">
        <f>IFERROR(VLOOKUP(A71,Lookup!A:C,3,0),"")</f>
        <v/>
      </c>
      <c r="D71" s="59"/>
      <c r="E71" s="59"/>
      <c r="F71" s="59"/>
      <c r="G71" s="94"/>
      <c r="H71" s="59"/>
      <c r="I71" s="59"/>
      <c r="J71" s="106">
        <f>VLOOKUP(A71&amp;G71,Lookup!J:N,5,0)</f>
        <v>0</v>
      </c>
      <c r="K71" s="110"/>
      <c r="L71" s="110"/>
      <c r="M71" s="110"/>
      <c r="N71" s="110"/>
      <c r="O71" s="90">
        <f>IFERROR(VLOOKUP(A71&amp;G71,Lookup!J:K,2,0),"")</f>
        <v>0</v>
      </c>
      <c r="P71" s="110" t="str">
        <f t="shared" si="9"/>
        <v/>
      </c>
      <c r="Q71" s="110"/>
      <c r="R71" s="87" t="str">
        <f t="shared" si="10"/>
        <v/>
      </c>
      <c r="S71" s="87" t="str">
        <f t="shared" si="11"/>
        <v/>
      </c>
      <c r="T71" s="59"/>
      <c r="U71" s="59"/>
      <c r="V71" s="59"/>
      <c r="W71" s="59"/>
      <c r="X71" s="93" t="str">
        <f t="shared" si="12"/>
        <v>D</v>
      </c>
    </row>
    <row r="72" spans="1:24" x14ac:dyDescent="0.25">
      <c r="A72" s="53"/>
      <c r="B72" s="91" t="str">
        <f>IFERROR(VLOOKUP(A72,Lookup!A:B,2,0),"")</f>
        <v/>
      </c>
      <c r="C72" s="59" t="str">
        <f>IFERROR(VLOOKUP(A72,Lookup!A:C,3,0),"")</f>
        <v/>
      </c>
      <c r="D72" s="59"/>
      <c r="E72" s="59"/>
      <c r="F72" s="59"/>
      <c r="G72" s="94"/>
      <c r="H72" s="59"/>
      <c r="I72" s="59"/>
      <c r="J72" s="106">
        <f>VLOOKUP(A72&amp;G72,Lookup!J:N,5,0)</f>
        <v>0</v>
      </c>
      <c r="K72" s="110"/>
      <c r="L72" s="110"/>
      <c r="M72" s="110"/>
      <c r="N72" s="110"/>
      <c r="O72" s="90">
        <f>IFERROR(VLOOKUP(A72&amp;G72,Lookup!J:K,2,0),"")</f>
        <v>0</v>
      </c>
      <c r="P72" s="110" t="str">
        <f t="shared" si="9"/>
        <v/>
      </c>
      <c r="Q72" s="110"/>
      <c r="R72" s="87" t="str">
        <f t="shared" si="10"/>
        <v/>
      </c>
      <c r="S72" s="87" t="str">
        <f t="shared" si="11"/>
        <v/>
      </c>
      <c r="T72" s="59"/>
      <c r="U72" s="59"/>
      <c r="V72" s="59"/>
      <c r="W72" s="59"/>
      <c r="X72" s="93" t="str">
        <f t="shared" si="12"/>
        <v>D</v>
      </c>
    </row>
    <row r="73" spans="1:24" x14ac:dyDescent="0.25">
      <c r="A73" s="53"/>
      <c r="B73" s="91" t="str">
        <f>IFERROR(VLOOKUP(A73,Lookup!A:B,2,0),"")</f>
        <v/>
      </c>
      <c r="C73" s="59" t="str">
        <f>IFERROR(VLOOKUP(A73,Lookup!A:C,3,0),"")</f>
        <v/>
      </c>
      <c r="D73" s="59"/>
      <c r="E73" s="59"/>
      <c r="F73" s="59"/>
      <c r="G73" s="94"/>
      <c r="H73" s="59"/>
      <c r="I73" s="59"/>
      <c r="J73" s="106">
        <f>VLOOKUP(A73&amp;G73,Lookup!J:N,5,0)</f>
        <v>0</v>
      </c>
      <c r="K73" s="110"/>
      <c r="L73" s="110"/>
      <c r="M73" s="110"/>
      <c r="N73" s="110"/>
      <c r="O73" s="90">
        <f>IFERROR(VLOOKUP(A73&amp;G73,Lookup!J:K,2,0),"")</f>
        <v>0</v>
      </c>
      <c r="P73" s="110" t="str">
        <f t="shared" si="9"/>
        <v/>
      </c>
      <c r="Q73" s="110"/>
      <c r="R73" s="87" t="str">
        <f t="shared" si="10"/>
        <v/>
      </c>
      <c r="S73" s="87" t="str">
        <f t="shared" si="11"/>
        <v/>
      </c>
      <c r="T73" s="59"/>
      <c r="U73" s="59"/>
      <c r="V73" s="59"/>
      <c r="W73" s="59"/>
      <c r="X73" s="93" t="str">
        <f t="shared" si="12"/>
        <v>D</v>
      </c>
    </row>
    <row r="74" spans="1:24" x14ac:dyDescent="0.25">
      <c r="A74" s="53"/>
      <c r="B74" s="91" t="str">
        <f>IFERROR(VLOOKUP(A74,Lookup!A:B,2,0),"")</f>
        <v/>
      </c>
      <c r="C74" s="59" t="str">
        <f>IFERROR(VLOOKUP(A74,Lookup!A:C,3,0),"")</f>
        <v/>
      </c>
      <c r="D74" s="59"/>
      <c r="E74" s="59"/>
      <c r="F74" s="59"/>
      <c r="G74" s="94"/>
      <c r="H74" s="59"/>
      <c r="I74" s="59"/>
      <c r="J74" s="106">
        <f>VLOOKUP(A74&amp;G74,Lookup!J:N,5,0)</f>
        <v>0</v>
      </c>
      <c r="K74" s="110"/>
      <c r="L74" s="110"/>
      <c r="M74" s="110"/>
      <c r="N74" s="110"/>
      <c r="O74" s="90">
        <f>IFERROR(VLOOKUP(A74&amp;G74,Lookup!J:K,2,0),"")</f>
        <v>0</v>
      </c>
      <c r="P74" s="110" t="str">
        <f t="shared" si="9"/>
        <v/>
      </c>
      <c r="Q74" s="110"/>
      <c r="R74" s="87" t="str">
        <f t="shared" si="10"/>
        <v/>
      </c>
      <c r="S74" s="87" t="str">
        <f t="shared" si="11"/>
        <v/>
      </c>
      <c r="T74" s="59"/>
      <c r="U74" s="59"/>
      <c r="V74" s="59"/>
      <c r="W74" s="59"/>
      <c r="X74" s="93" t="str">
        <f t="shared" si="12"/>
        <v>D</v>
      </c>
    </row>
    <row r="75" spans="1:24" x14ac:dyDescent="0.25">
      <c r="A75" s="53"/>
      <c r="B75" s="91" t="str">
        <f>IFERROR(VLOOKUP(A75,Lookup!A:B,2,0),"")</f>
        <v/>
      </c>
      <c r="C75" s="59" t="str">
        <f>IFERROR(VLOOKUP(A75,Lookup!A:C,3,0),"")</f>
        <v/>
      </c>
      <c r="D75" s="59"/>
      <c r="E75" s="59"/>
      <c r="F75" s="59"/>
      <c r="G75" s="94"/>
      <c r="H75" s="59"/>
      <c r="I75" s="59"/>
      <c r="J75" s="106">
        <f>VLOOKUP(A75&amp;G75,Lookup!J:N,5,0)</f>
        <v>0</v>
      </c>
      <c r="K75" s="110"/>
      <c r="L75" s="110"/>
      <c r="M75" s="110"/>
      <c r="N75" s="110"/>
      <c r="O75" s="90">
        <f>IFERROR(VLOOKUP(A75&amp;G75,Lookup!J:K,2,0),"")</f>
        <v>0</v>
      </c>
      <c r="P75" s="110" t="str">
        <f t="shared" si="9"/>
        <v/>
      </c>
      <c r="Q75" s="110"/>
      <c r="R75" s="87" t="str">
        <f t="shared" si="10"/>
        <v/>
      </c>
      <c r="S75" s="87" t="str">
        <f t="shared" si="11"/>
        <v/>
      </c>
      <c r="T75" s="59"/>
      <c r="U75" s="59"/>
      <c r="V75" s="59"/>
      <c r="W75" s="59"/>
      <c r="X75" s="93" t="str">
        <f t="shared" si="12"/>
        <v>D</v>
      </c>
    </row>
    <row r="76" spans="1:24" x14ac:dyDescent="0.25">
      <c r="A76" s="53"/>
      <c r="B76" s="91" t="str">
        <f>IFERROR(VLOOKUP(A76,Lookup!A:B,2,0),"")</f>
        <v/>
      </c>
      <c r="C76" s="59" t="str">
        <f>IFERROR(VLOOKUP(A76,Lookup!A:C,3,0),"")</f>
        <v/>
      </c>
      <c r="D76" s="59"/>
      <c r="E76" s="59"/>
      <c r="F76" s="59"/>
      <c r="G76" s="94"/>
      <c r="H76" s="59"/>
      <c r="I76" s="59"/>
      <c r="J76" s="106">
        <f>VLOOKUP(A76&amp;G76,Lookup!J:N,5,0)</f>
        <v>0</v>
      </c>
      <c r="K76" s="110"/>
      <c r="L76" s="110"/>
      <c r="M76" s="110"/>
      <c r="N76" s="110"/>
      <c r="O76" s="90">
        <f>IFERROR(VLOOKUP(A76&amp;G76,Lookup!J:K,2,0),"")</f>
        <v>0</v>
      </c>
      <c r="P76" s="110" t="str">
        <f t="shared" si="9"/>
        <v/>
      </c>
      <c r="Q76" s="110"/>
      <c r="R76" s="87" t="str">
        <f t="shared" si="10"/>
        <v/>
      </c>
      <c r="S76" s="87" t="str">
        <f t="shared" si="11"/>
        <v/>
      </c>
      <c r="T76" s="59"/>
      <c r="U76" s="59"/>
      <c r="V76" s="59"/>
      <c r="W76" s="59"/>
      <c r="X76" s="93" t="str">
        <f t="shared" si="12"/>
        <v>D</v>
      </c>
    </row>
    <row r="77" spans="1:24" x14ac:dyDescent="0.25">
      <c r="A77" s="53"/>
      <c r="B77" s="91" t="str">
        <f>IFERROR(VLOOKUP(A77,Lookup!A:B,2,0),"")</f>
        <v/>
      </c>
      <c r="C77" s="59" t="str">
        <f>IFERROR(VLOOKUP(A77,Lookup!A:C,3,0),"")</f>
        <v/>
      </c>
      <c r="D77" s="59"/>
      <c r="E77" s="59"/>
      <c r="F77" s="59"/>
      <c r="G77" s="94"/>
      <c r="H77" s="59"/>
      <c r="I77" s="59"/>
      <c r="J77" s="106">
        <f>VLOOKUP(A77&amp;G77,Lookup!J:N,5,0)</f>
        <v>0</v>
      </c>
      <c r="K77" s="110"/>
      <c r="L77" s="110"/>
      <c r="M77" s="110"/>
      <c r="N77" s="110"/>
      <c r="O77" s="90">
        <f>IFERROR(VLOOKUP(A77&amp;G77,Lookup!J:K,2,0),"")</f>
        <v>0</v>
      </c>
      <c r="P77" s="110" t="str">
        <f t="shared" si="9"/>
        <v/>
      </c>
      <c r="Q77" s="110"/>
      <c r="R77" s="87" t="str">
        <f t="shared" si="10"/>
        <v/>
      </c>
      <c r="S77" s="87" t="str">
        <f t="shared" si="11"/>
        <v/>
      </c>
      <c r="T77" s="59"/>
      <c r="U77" s="59"/>
      <c r="V77" s="59"/>
      <c r="W77" s="59"/>
      <c r="X77" s="93" t="str">
        <f t="shared" si="12"/>
        <v>D</v>
      </c>
    </row>
    <row r="78" spans="1:24" x14ac:dyDescent="0.25">
      <c r="A78" s="53"/>
      <c r="B78" s="91" t="str">
        <f>IFERROR(VLOOKUP(A78,Lookup!A:B,2,0),"")</f>
        <v/>
      </c>
      <c r="C78" s="59" t="str">
        <f>IFERROR(VLOOKUP(A78,Lookup!A:C,3,0),"")</f>
        <v/>
      </c>
      <c r="D78" s="59"/>
      <c r="E78" s="59"/>
      <c r="F78" s="59"/>
      <c r="G78" s="94"/>
      <c r="H78" s="59"/>
      <c r="I78" s="59"/>
      <c r="J78" s="106">
        <f>VLOOKUP(A78&amp;G78,Lookup!J:N,5,0)</f>
        <v>0</v>
      </c>
      <c r="K78" s="110"/>
      <c r="L78" s="110"/>
      <c r="M78" s="110"/>
      <c r="N78" s="110"/>
      <c r="O78" s="90">
        <f>IFERROR(VLOOKUP(A78&amp;G78,Lookup!J:K,2,0),"")</f>
        <v>0</v>
      </c>
      <c r="P78" s="110" t="str">
        <f t="shared" si="9"/>
        <v/>
      </c>
      <c r="Q78" s="110"/>
      <c r="R78" s="87" t="str">
        <f t="shared" si="10"/>
        <v/>
      </c>
      <c r="S78" s="87" t="str">
        <f t="shared" si="11"/>
        <v/>
      </c>
      <c r="T78" s="59"/>
      <c r="U78" s="59"/>
      <c r="V78" s="59"/>
      <c r="W78" s="59"/>
      <c r="X78" s="93" t="str">
        <f t="shared" si="12"/>
        <v>D</v>
      </c>
    </row>
    <row r="79" spans="1:24" x14ac:dyDescent="0.25">
      <c r="A79" s="53"/>
      <c r="B79" s="91" t="str">
        <f>IFERROR(VLOOKUP(A79,Lookup!A:B,2,0),"")</f>
        <v/>
      </c>
      <c r="C79" s="59" t="str">
        <f>IFERROR(VLOOKUP(A79,Lookup!A:C,3,0),"")</f>
        <v/>
      </c>
      <c r="D79" s="59"/>
      <c r="E79" s="59"/>
      <c r="F79" s="59"/>
      <c r="G79" s="94"/>
      <c r="H79" s="59"/>
      <c r="I79" s="59"/>
      <c r="J79" s="106">
        <f>VLOOKUP(A79&amp;G79,Lookup!J:N,5,0)</f>
        <v>0</v>
      </c>
      <c r="K79" s="110"/>
      <c r="L79" s="110"/>
      <c r="M79" s="110"/>
      <c r="N79" s="110"/>
      <c r="O79" s="90">
        <f>IFERROR(VLOOKUP(A79&amp;G79,Lookup!J:K,2,0),"")</f>
        <v>0</v>
      </c>
      <c r="P79" s="110" t="str">
        <f t="shared" si="9"/>
        <v/>
      </c>
      <c r="Q79" s="110"/>
      <c r="R79" s="87" t="str">
        <f t="shared" si="10"/>
        <v/>
      </c>
      <c r="S79" s="87" t="str">
        <f t="shared" si="11"/>
        <v/>
      </c>
      <c r="T79" s="59"/>
      <c r="U79" s="59"/>
      <c r="V79" s="59"/>
      <c r="W79" s="59"/>
      <c r="X79" s="93" t="str">
        <f t="shared" si="12"/>
        <v>D</v>
      </c>
    </row>
    <row r="80" spans="1:24" x14ac:dyDescent="0.25">
      <c r="A80" s="53"/>
      <c r="B80" s="91" t="str">
        <f>IFERROR(VLOOKUP(A80,Lookup!A:B,2,0),"")</f>
        <v/>
      </c>
      <c r="C80" s="59" t="str">
        <f>IFERROR(VLOOKUP(A80,Lookup!A:C,3,0),"")</f>
        <v/>
      </c>
      <c r="D80" s="59"/>
      <c r="E80" s="59"/>
      <c r="F80" s="59"/>
      <c r="G80" s="94"/>
      <c r="H80" s="59"/>
      <c r="I80" s="59"/>
      <c r="J80" s="106">
        <f>VLOOKUP(A80&amp;G80,Lookup!J:N,5,0)</f>
        <v>0</v>
      </c>
      <c r="K80" s="110"/>
      <c r="L80" s="110"/>
      <c r="M80" s="110"/>
      <c r="N80" s="110"/>
      <c r="O80" s="90">
        <f>IFERROR(VLOOKUP(A80&amp;G80,Lookup!J:K,2,0),"")</f>
        <v>0</v>
      </c>
      <c r="P80" s="110" t="str">
        <f t="shared" si="9"/>
        <v/>
      </c>
      <c r="Q80" s="110"/>
      <c r="R80" s="87" t="str">
        <f t="shared" si="10"/>
        <v/>
      </c>
      <c r="S80" s="87" t="str">
        <f t="shared" si="11"/>
        <v/>
      </c>
      <c r="T80" s="59"/>
      <c r="U80" s="59"/>
      <c r="V80" s="59"/>
      <c r="W80" s="59"/>
      <c r="X80" s="93" t="str">
        <f t="shared" si="12"/>
        <v>D</v>
      </c>
    </row>
    <row r="81" spans="1:24" x14ac:dyDescent="0.25">
      <c r="A81" s="53"/>
      <c r="B81" s="91" t="str">
        <f>IFERROR(VLOOKUP(A81,Lookup!A:B,2,0),"")</f>
        <v/>
      </c>
      <c r="C81" s="59" t="str">
        <f>IFERROR(VLOOKUP(A81,Lookup!A:C,3,0),"")</f>
        <v/>
      </c>
      <c r="D81" s="59"/>
      <c r="E81" s="59"/>
      <c r="F81" s="59"/>
      <c r="G81" s="94"/>
      <c r="H81" s="59"/>
      <c r="I81" s="59"/>
      <c r="J81" s="106">
        <f>VLOOKUP(A81&amp;G81,Lookup!J:N,5,0)</f>
        <v>0</v>
      </c>
      <c r="K81" s="110"/>
      <c r="L81" s="110"/>
      <c r="M81" s="110"/>
      <c r="N81" s="110"/>
      <c r="O81" s="90">
        <f>IFERROR(VLOOKUP(A81&amp;G81,Lookup!J:K,2,0),"")</f>
        <v>0</v>
      </c>
      <c r="P81" s="110" t="str">
        <f t="shared" si="9"/>
        <v/>
      </c>
      <c r="Q81" s="110"/>
      <c r="R81" s="87" t="str">
        <f t="shared" si="10"/>
        <v/>
      </c>
      <c r="S81" s="87" t="str">
        <f t="shared" si="11"/>
        <v/>
      </c>
      <c r="T81" s="59"/>
      <c r="U81" s="59"/>
      <c r="V81" s="59"/>
      <c r="W81" s="59"/>
      <c r="X81" s="93" t="str">
        <f t="shared" si="12"/>
        <v>D</v>
      </c>
    </row>
    <row r="82" spans="1:24" x14ac:dyDescent="0.25">
      <c r="A82" s="53"/>
      <c r="B82" s="91" t="str">
        <f>IFERROR(VLOOKUP(A82,Lookup!A:B,2,0),"")</f>
        <v/>
      </c>
      <c r="C82" s="59" t="str">
        <f>IFERROR(VLOOKUP(A82,Lookup!A:C,3,0),"")</f>
        <v/>
      </c>
      <c r="D82" s="59"/>
      <c r="E82" s="59"/>
      <c r="F82" s="59"/>
      <c r="G82" s="94"/>
      <c r="H82" s="59"/>
      <c r="I82" s="59"/>
      <c r="J82" s="106">
        <f>VLOOKUP(A82&amp;G82,Lookup!J:N,5,0)</f>
        <v>0</v>
      </c>
      <c r="K82" s="110"/>
      <c r="L82" s="110"/>
      <c r="M82" s="110"/>
      <c r="N82" s="110"/>
      <c r="O82" s="90">
        <f>IFERROR(VLOOKUP(A82&amp;G82,Lookup!J:K,2,0),"")</f>
        <v>0</v>
      </c>
      <c r="P82" s="110" t="str">
        <f t="shared" si="9"/>
        <v/>
      </c>
      <c r="Q82" s="110"/>
      <c r="R82" s="87" t="str">
        <f t="shared" si="10"/>
        <v/>
      </c>
      <c r="S82" s="87" t="str">
        <f t="shared" si="11"/>
        <v/>
      </c>
      <c r="T82" s="59"/>
      <c r="U82" s="59"/>
      <c r="V82" s="59"/>
      <c r="W82" s="59"/>
      <c r="X82" s="93" t="str">
        <f t="shared" si="12"/>
        <v>D</v>
      </c>
    </row>
    <row r="83" spans="1:24" x14ac:dyDescent="0.25">
      <c r="A83" s="53"/>
      <c r="B83" s="91" t="str">
        <f>IFERROR(VLOOKUP(A83,Lookup!A:B,2,0),"")</f>
        <v/>
      </c>
      <c r="C83" s="59" t="str">
        <f>IFERROR(VLOOKUP(A83,Lookup!A:C,3,0),"")</f>
        <v/>
      </c>
      <c r="D83" s="59"/>
      <c r="E83" s="59"/>
      <c r="F83" s="59"/>
      <c r="G83" s="94"/>
      <c r="H83" s="59"/>
      <c r="I83" s="59"/>
      <c r="J83" s="106">
        <f>VLOOKUP(A83&amp;G83,Lookup!J:N,5,0)</f>
        <v>0</v>
      </c>
      <c r="K83" s="110"/>
      <c r="L83" s="110"/>
      <c r="M83" s="110"/>
      <c r="N83" s="110"/>
      <c r="O83" s="90">
        <f>IFERROR(VLOOKUP(A83&amp;G83,Lookup!J:K,2,0),"")</f>
        <v>0</v>
      </c>
      <c r="P83" s="110" t="str">
        <f t="shared" si="9"/>
        <v/>
      </c>
      <c r="Q83" s="110"/>
      <c r="R83" s="87" t="str">
        <f t="shared" si="10"/>
        <v/>
      </c>
      <c r="S83" s="87" t="str">
        <f t="shared" si="11"/>
        <v/>
      </c>
      <c r="T83" s="59"/>
      <c r="U83" s="59"/>
      <c r="V83" s="59"/>
      <c r="W83" s="59"/>
      <c r="X83" s="93" t="str">
        <f t="shared" si="12"/>
        <v>D</v>
      </c>
    </row>
    <row r="84" spans="1:24" x14ac:dyDescent="0.25">
      <c r="A84" s="53"/>
      <c r="B84" s="91" t="str">
        <f>IFERROR(VLOOKUP(A84,Lookup!A:B,2,0),"")</f>
        <v/>
      </c>
      <c r="C84" s="59" t="str">
        <f>IFERROR(VLOOKUP(A84,Lookup!A:C,3,0),"")</f>
        <v/>
      </c>
      <c r="D84" s="59"/>
      <c r="E84" s="59"/>
      <c r="F84" s="59"/>
      <c r="G84" s="94"/>
      <c r="H84" s="59"/>
      <c r="I84" s="59"/>
      <c r="J84" s="106">
        <f>VLOOKUP(A84&amp;G84,Lookup!J:N,5,0)</f>
        <v>0</v>
      </c>
      <c r="K84" s="110"/>
      <c r="L84" s="110"/>
      <c r="M84" s="110"/>
      <c r="N84" s="110"/>
      <c r="O84" s="90">
        <f>IFERROR(VLOOKUP(A84&amp;G84,Lookup!J:K,2,0),"")</f>
        <v>0</v>
      </c>
      <c r="P84" s="110" t="str">
        <f t="shared" si="9"/>
        <v/>
      </c>
      <c r="Q84" s="110"/>
      <c r="R84" s="87" t="str">
        <f t="shared" si="10"/>
        <v/>
      </c>
      <c r="S84" s="87" t="str">
        <f t="shared" si="11"/>
        <v/>
      </c>
      <c r="T84" s="59"/>
      <c r="U84" s="59"/>
      <c r="V84" s="59"/>
      <c r="W84" s="59"/>
      <c r="X84" s="93" t="str">
        <f t="shared" si="12"/>
        <v>D</v>
      </c>
    </row>
    <row r="85" spans="1:24" x14ac:dyDescent="0.25">
      <c r="A85" s="53"/>
      <c r="B85" s="91" t="str">
        <f>IFERROR(VLOOKUP(A85,Lookup!A:B,2,0),"")</f>
        <v/>
      </c>
      <c r="C85" s="59" t="str">
        <f>IFERROR(VLOOKUP(A85,Lookup!A:C,3,0),"")</f>
        <v/>
      </c>
      <c r="D85" s="59"/>
      <c r="E85" s="59"/>
      <c r="F85" s="59"/>
      <c r="G85" s="94"/>
      <c r="H85" s="59"/>
      <c r="I85" s="59"/>
      <c r="J85" s="106">
        <f>VLOOKUP(A85&amp;G85,Lookup!J:N,5,0)</f>
        <v>0</v>
      </c>
      <c r="K85" s="110"/>
      <c r="L85" s="110"/>
      <c r="M85" s="110"/>
      <c r="N85" s="110"/>
      <c r="O85" s="90">
        <f>IFERROR(VLOOKUP(A85&amp;G85,Lookup!J:K,2,0),"")</f>
        <v>0</v>
      </c>
      <c r="P85" s="110" t="str">
        <f t="shared" si="9"/>
        <v/>
      </c>
      <c r="Q85" s="110"/>
      <c r="R85" s="87" t="str">
        <f t="shared" si="10"/>
        <v/>
      </c>
      <c r="S85" s="87" t="str">
        <f t="shared" si="11"/>
        <v/>
      </c>
      <c r="T85" s="59"/>
      <c r="U85" s="59"/>
      <c r="V85" s="59"/>
      <c r="W85" s="59"/>
      <c r="X85" s="93" t="str">
        <f t="shared" si="12"/>
        <v>D</v>
      </c>
    </row>
    <row r="86" spans="1:24" x14ac:dyDescent="0.25">
      <c r="A86" s="53"/>
      <c r="B86" s="91" t="str">
        <f>IFERROR(VLOOKUP(A86,Lookup!A:B,2,0),"")</f>
        <v/>
      </c>
      <c r="C86" s="59" t="str">
        <f>IFERROR(VLOOKUP(A86,Lookup!A:C,3,0),"")</f>
        <v/>
      </c>
      <c r="D86" s="59"/>
      <c r="E86" s="59"/>
      <c r="F86" s="59"/>
      <c r="G86" s="94"/>
      <c r="H86" s="59"/>
      <c r="I86" s="59"/>
      <c r="J86" s="106">
        <f>VLOOKUP(A86&amp;G86,Lookup!J:N,5,0)</f>
        <v>0</v>
      </c>
      <c r="K86" s="110"/>
      <c r="L86" s="110"/>
      <c r="M86" s="110"/>
      <c r="N86" s="110"/>
      <c r="O86" s="90">
        <f>IFERROR(VLOOKUP(A86&amp;G86,Lookup!J:K,2,0),"")</f>
        <v>0</v>
      </c>
      <c r="P86" s="110" t="str">
        <f t="shared" si="9"/>
        <v/>
      </c>
      <c r="Q86" s="110"/>
      <c r="R86" s="87" t="str">
        <f t="shared" si="10"/>
        <v/>
      </c>
      <c r="S86" s="87" t="str">
        <f t="shared" si="11"/>
        <v/>
      </c>
      <c r="T86" s="59"/>
      <c r="U86" s="59"/>
      <c r="V86" s="59"/>
      <c r="W86" s="59"/>
      <c r="X86" s="93" t="str">
        <f t="shared" si="12"/>
        <v>D</v>
      </c>
    </row>
    <row r="87" spans="1:24" x14ac:dyDescent="0.25">
      <c r="A87" s="53"/>
      <c r="B87" s="91" t="str">
        <f>IFERROR(VLOOKUP(A87,Lookup!A:B,2,0),"")</f>
        <v/>
      </c>
      <c r="C87" s="59" t="str">
        <f>IFERROR(VLOOKUP(A87,Lookup!A:C,3,0),"")</f>
        <v/>
      </c>
      <c r="D87" s="59"/>
      <c r="E87" s="59"/>
      <c r="F87" s="59"/>
      <c r="G87" s="94"/>
      <c r="H87" s="59"/>
      <c r="I87" s="59"/>
      <c r="J87" s="106">
        <f>VLOOKUP(A87&amp;G87,Lookup!J:N,5,0)</f>
        <v>0</v>
      </c>
      <c r="K87" s="110"/>
      <c r="L87" s="110"/>
      <c r="M87" s="110"/>
      <c r="N87" s="110"/>
      <c r="O87" s="90">
        <f>IFERROR(VLOOKUP(A87&amp;G87,Lookup!J:K,2,0),"")</f>
        <v>0</v>
      </c>
      <c r="P87" s="110" t="str">
        <f t="shared" si="9"/>
        <v/>
      </c>
      <c r="Q87" s="110"/>
      <c r="R87" s="87" t="str">
        <f t="shared" si="10"/>
        <v/>
      </c>
      <c r="S87" s="87" t="str">
        <f t="shared" si="11"/>
        <v/>
      </c>
      <c r="T87" s="59"/>
      <c r="U87" s="59"/>
      <c r="V87" s="59"/>
      <c r="W87" s="59"/>
      <c r="X87" s="93" t="str">
        <f t="shared" si="12"/>
        <v>D</v>
      </c>
    </row>
    <row r="88" spans="1:24" x14ac:dyDescent="0.25">
      <c r="A88" s="53"/>
      <c r="B88" s="91" t="str">
        <f>IFERROR(VLOOKUP(A88,Lookup!A:B,2,0),"")</f>
        <v/>
      </c>
      <c r="C88" s="59" t="str">
        <f>IFERROR(VLOOKUP(A88,Lookup!A:C,3,0),"")</f>
        <v/>
      </c>
      <c r="D88" s="59"/>
      <c r="E88" s="59"/>
      <c r="F88" s="59"/>
      <c r="G88" s="94"/>
      <c r="H88" s="59"/>
      <c r="I88" s="59"/>
      <c r="J88" s="106">
        <f>VLOOKUP(A88&amp;G88,Lookup!J:N,5,0)</f>
        <v>0</v>
      </c>
      <c r="K88" s="110"/>
      <c r="L88" s="110"/>
      <c r="M88" s="110"/>
      <c r="N88" s="110"/>
      <c r="O88" s="90">
        <f>IFERROR(VLOOKUP(A88&amp;G88,Lookup!J:K,2,0),"")</f>
        <v>0</v>
      </c>
      <c r="P88" s="110" t="str">
        <f t="shared" si="9"/>
        <v/>
      </c>
      <c r="Q88" s="110"/>
      <c r="R88" s="87" t="str">
        <f t="shared" si="10"/>
        <v/>
      </c>
      <c r="S88" s="87" t="str">
        <f t="shared" si="11"/>
        <v/>
      </c>
      <c r="T88" s="59"/>
      <c r="U88" s="59"/>
      <c r="V88" s="59"/>
      <c r="W88" s="59"/>
      <c r="X88" s="93" t="str">
        <f t="shared" si="12"/>
        <v>D</v>
      </c>
    </row>
    <row r="89" spans="1:24" x14ac:dyDescent="0.25">
      <c r="A89" s="53"/>
      <c r="B89" s="91" t="str">
        <f>IFERROR(VLOOKUP(A89,Lookup!A:B,2,0),"")</f>
        <v/>
      </c>
      <c r="C89" s="59" t="str">
        <f>IFERROR(VLOOKUP(A89,Lookup!A:C,3,0),"")</f>
        <v/>
      </c>
      <c r="D89" s="59"/>
      <c r="E89" s="59"/>
      <c r="F89" s="59"/>
      <c r="G89" s="94"/>
      <c r="H89" s="59"/>
      <c r="I89" s="59"/>
      <c r="J89" s="106">
        <f>VLOOKUP(A89&amp;G89,Lookup!J:N,5,0)</f>
        <v>0</v>
      </c>
      <c r="K89" s="110"/>
      <c r="L89" s="110"/>
      <c r="M89" s="110"/>
      <c r="N89" s="110"/>
      <c r="O89" s="90">
        <f>IFERROR(VLOOKUP(A89&amp;G89,Lookup!J:K,2,0),"")</f>
        <v>0</v>
      </c>
      <c r="P89" s="110" t="str">
        <f t="shared" si="9"/>
        <v/>
      </c>
      <c r="Q89" s="110"/>
      <c r="R89" s="87" t="str">
        <f t="shared" si="10"/>
        <v/>
      </c>
      <c r="S89" s="87" t="str">
        <f t="shared" si="11"/>
        <v/>
      </c>
      <c r="T89" s="59"/>
      <c r="U89" s="59"/>
      <c r="V89" s="59"/>
      <c r="W89" s="59"/>
      <c r="X89" s="93" t="str">
        <f t="shared" si="12"/>
        <v>D</v>
      </c>
    </row>
    <row r="90" spans="1:24" x14ac:dyDescent="0.25">
      <c r="A90" s="53"/>
      <c r="B90" s="91" t="str">
        <f>IFERROR(VLOOKUP(A90,Lookup!A:B,2,0),"")</f>
        <v/>
      </c>
      <c r="C90" s="59" t="str">
        <f>IFERROR(VLOOKUP(A90,Lookup!A:C,3,0),"")</f>
        <v/>
      </c>
      <c r="D90" s="59"/>
      <c r="E90" s="59"/>
      <c r="F90" s="59"/>
      <c r="G90" s="94"/>
      <c r="H90" s="59"/>
      <c r="I90" s="59"/>
      <c r="J90" s="106">
        <f>VLOOKUP(A90&amp;G90,Lookup!J:N,5,0)</f>
        <v>0</v>
      </c>
      <c r="K90" s="110"/>
      <c r="L90" s="110"/>
      <c r="M90" s="110"/>
      <c r="N90" s="110"/>
      <c r="O90" s="90">
        <f>IFERROR(VLOOKUP(A90&amp;G90,Lookup!J:K,2,0),"")</f>
        <v>0</v>
      </c>
      <c r="P90" s="110" t="str">
        <f t="shared" si="9"/>
        <v/>
      </c>
      <c r="Q90" s="110"/>
      <c r="R90" s="87" t="str">
        <f t="shared" si="10"/>
        <v/>
      </c>
      <c r="S90" s="87" t="str">
        <f t="shared" si="11"/>
        <v/>
      </c>
      <c r="T90" s="59"/>
      <c r="U90" s="59"/>
      <c r="V90" s="59"/>
      <c r="W90" s="59"/>
      <c r="X90" s="93" t="str">
        <f t="shared" si="12"/>
        <v>D</v>
      </c>
    </row>
    <row r="91" spans="1:24" x14ac:dyDescent="0.25">
      <c r="A91" s="53"/>
      <c r="B91" s="91" t="str">
        <f>IFERROR(VLOOKUP(A91,Lookup!A:B,2,0),"")</f>
        <v/>
      </c>
      <c r="C91" s="59" t="str">
        <f>IFERROR(VLOOKUP(A91,Lookup!A:C,3,0),"")</f>
        <v/>
      </c>
      <c r="D91" s="59"/>
      <c r="E91" s="59"/>
      <c r="F91" s="59"/>
      <c r="G91" s="94"/>
      <c r="H91" s="59"/>
      <c r="I91" s="59"/>
      <c r="J91" s="106">
        <f>VLOOKUP(A91&amp;G91,Lookup!J:N,5,0)</f>
        <v>0</v>
      </c>
      <c r="K91" s="110"/>
      <c r="L91" s="110"/>
      <c r="M91" s="110"/>
      <c r="N91" s="110"/>
      <c r="O91" s="90">
        <f>IFERROR(VLOOKUP(A91&amp;G91,Lookup!J:K,2,0),"")</f>
        <v>0</v>
      </c>
      <c r="P91" s="110" t="str">
        <f t="shared" si="9"/>
        <v/>
      </c>
      <c r="Q91" s="110"/>
      <c r="R91" s="87" t="str">
        <f t="shared" si="10"/>
        <v/>
      </c>
      <c r="S91" s="87" t="str">
        <f t="shared" si="11"/>
        <v/>
      </c>
      <c r="T91" s="59"/>
      <c r="U91" s="59"/>
      <c r="V91" s="59"/>
      <c r="W91" s="59"/>
      <c r="X91" s="93" t="str">
        <f t="shared" si="12"/>
        <v>D</v>
      </c>
    </row>
    <row r="92" spans="1:24" x14ac:dyDescent="0.25">
      <c r="A92" s="53"/>
      <c r="B92" s="91" t="str">
        <f>IFERROR(VLOOKUP(A92,Lookup!A:B,2,0),"")</f>
        <v/>
      </c>
      <c r="C92" s="59" t="str">
        <f>IFERROR(VLOOKUP(A92,Lookup!A:C,3,0),"")</f>
        <v/>
      </c>
      <c r="D92" s="59"/>
      <c r="E92" s="59"/>
      <c r="F92" s="59"/>
      <c r="G92" s="94"/>
      <c r="H92" s="59"/>
      <c r="I92" s="59"/>
      <c r="J92" s="106">
        <f>VLOOKUP(A92&amp;G92,Lookup!J:N,5,0)</f>
        <v>0</v>
      </c>
      <c r="K92" s="110"/>
      <c r="L92" s="110"/>
      <c r="M92" s="110"/>
      <c r="N92" s="110"/>
      <c r="O92" s="90">
        <f>IFERROR(VLOOKUP(A92&amp;G92,Lookup!J:K,2,0),"")</f>
        <v>0</v>
      </c>
      <c r="P92" s="110" t="str">
        <f t="shared" si="9"/>
        <v/>
      </c>
      <c r="Q92" s="110"/>
      <c r="R92" s="87" t="str">
        <f t="shared" si="10"/>
        <v/>
      </c>
      <c r="S92" s="87" t="str">
        <f t="shared" si="11"/>
        <v/>
      </c>
      <c r="T92" s="59"/>
      <c r="U92" s="59"/>
      <c r="V92" s="59"/>
      <c r="W92" s="59"/>
      <c r="X92" s="93" t="str">
        <f t="shared" si="12"/>
        <v>D</v>
      </c>
    </row>
    <row r="93" spans="1:24" x14ac:dyDescent="0.25">
      <c r="A93" s="53"/>
      <c r="B93" s="91" t="str">
        <f>IFERROR(VLOOKUP(A93,Lookup!A:B,2,0),"")</f>
        <v/>
      </c>
      <c r="C93" s="59" t="str">
        <f>IFERROR(VLOOKUP(A93,Lookup!A:C,3,0),"")</f>
        <v/>
      </c>
      <c r="D93" s="59"/>
      <c r="E93" s="59"/>
      <c r="F93" s="59"/>
      <c r="G93" s="94"/>
      <c r="H93" s="59"/>
      <c r="I93" s="59"/>
      <c r="J93" s="106">
        <f>VLOOKUP(A93&amp;G93,Lookup!J:N,5,0)</f>
        <v>0</v>
      </c>
      <c r="K93" s="110"/>
      <c r="L93" s="110"/>
      <c r="M93" s="110"/>
      <c r="N93" s="110"/>
      <c r="O93" s="90">
        <f>IFERROR(VLOOKUP(A93&amp;G93,Lookup!J:K,2,0),"")</f>
        <v>0</v>
      </c>
      <c r="P93" s="110" t="str">
        <f t="shared" si="9"/>
        <v/>
      </c>
      <c r="Q93" s="110"/>
      <c r="R93" s="87" t="str">
        <f t="shared" si="10"/>
        <v/>
      </c>
      <c r="S93" s="87" t="str">
        <f t="shared" si="11"/>
        <v/>
      </c>
      <c r="T93" s="59"/>
      <c r="U93" s="59"/>
      <c r="V93" s="59"/>
      <c r="W93" s="59"/>
      <c r="X93" s="93" t="str">
        <f t="shared" si="12"/>
        <v>D</v>
      </c>
    </row>
    <row r="94" spans="1:24" x14ac:dyDescent="0.25">
      <c r="A94" s="53"/>
      <c r="B94" s="91" t="str">
        <f>IFERROR(VLOOKUP(A94,Lookup!A:B,2,0),"")</f>
        <v/>
      </c>
      <c r="C94" s="59" t="str">
        <f>IFERROR(VLOOKUP(A94,Lookup!A:C,3,0),"")</f>
        <v/>
      </c>
      <c r="D94" s="59"/>
      <c r="E94" s="59"/>
      <c r="F94" s="59"/>
      <c r="G94" s="94"/>
      <c r="H94" s="59"/>
      <c r="I94" s="59"/>
      <c r="J94" s="106">
        <f>VLOOKUP(A94&amp;G94,Lookup!J:N,5,0)</f>
        <v>0</v>
      </c>
      <c r="K94" s="110"/>
      <c r="L94" s="110"/>
      <c r="M94" s="110"/>
      <c r="N94" s="110"/>
      <c r="O94" s="90">
        <f>IFERROR(VLOOKUP(A94&amp;G94,Lookup!J:K,2,0),"")</f>
        <v>0</v>
      </c>
      <c r="P94" s="110" t="str">
        <f t="shared" si="9"/>
        <v/>
      </c>
      <c r="Q94" s="110"/>
      <c r="R94" s="87" t="str">
        <f t="shared" si="10"/>
        <v/>
      </c>
      <c r="S94" s="87" t="str">
        <f t="shared" si="11"/>
        <v/>
      </c>
      <c r="T94" s="59"/>
      <c r="U94" s="59"/>
      <c r="V94" s="59"/>
      <c r="W94" s="59"/>
      <c r="X94" s="93" t="str">
        <f t="shared" si="12"/>
        <v>D</v>
      </c>
    </row>
    <row r="95" spans="1:24" x14ac:dyDescent="0.25">
      <c r="A95" s="53"/>
      <c r="B95" s="91" t="str">
        <f>IFERROR(VLOOKUP(A95,Lookup!A:B,2,0),"")</f>
        <v/>
      </c>
      <c r="C95" s="59" t="str">
        <f>IFERROR(VLOOKUP(A95,Lookup!A:C,3,0),"")</f>
        <v/>
      </c>
      <c r="D95" s="59"/>
      <c r="E95" s="59"/>
      <c r="F95" s="59"/>
      <c r="G95" s="94"/>
      <c r="H95" s="59"/>
      <c r="I95" s="59"/>
      <c r="J95" s="106">
        <f>VLOOKUP(A95&amp;G95,Lookup!J:N,5,0)</f>
        <v>0</v>
      </c>
      <c r="K95" s="110"/>
      <c r="L95" s="110"/>
      <c r="M95" s="110"/>
      <c r="N95" s="110"/>
      <c r="O95" s="90">
        <f>IFERROR(VLOOKUP(A95&amp;G95,Lookup!J:K,2,0),"")</f>
        <v>0</v>
      </c>
      <c r="P95" s="110" t="str">
        <f t="shared" si="9"/>
        <v/>
      </c>
      <c r="Q95" s="110"/>
      <c r="R95" s="87" t="str">
        <f t="shared" si="10"/>
        <v/>
      </c>
      <c r="S95" s="87" t="str">
        <f t="shared" si="11"/>
        <v/>
      </c>
      <c r="T95" s="59"/>
      <c r="U95" s="59"/>
      <c r="V95" s="59"/>
      <c r="W95" s="59"/>
      <c r="X95" s="93" t="str">
        <f t="shared" si="12"/>
        <v>D</v>
      </c>
    </row>
    <row r="96" spans="1:24" x14ac:dyDescent="0.25">
      <c r="A96" s="53"/>
      <c r="B96" s="91" t="str">
        <f>IFERROR(VLOOKUP(A96,Lookup!A:B,2,0),"")</f>
        <v/>
      </c>
      <c r="C96" s="59" t="str">
        <f>IFERROR(VLOOKUP(A96,Lookup!A:C,3,0),"")</f>
        <v/>
      </c>
      <c r="D96" s="59"/>
      <c r="E96" s="59"/>
      <c r="F96" s="59"/>
      <c r="G96" s="94"/>
      <c r="H96" s="59"/>
      <c r="I96" s="59"/>
      <c r="J96" s="106">
        <f>VLOOKUP(A96&amp;G96,Lookup!J:N,5,0)</f>
        <v>0</v>
      </c>
      <c r="K96" s="110"/>
      <c r="L96" s="110"/>
      <c r="M96" s="110"/>
      <c r="N96" s="110"/>
      <c r="O96" s="90">
        <f>IFERROR(VLOOKUP(A96&amp;G96,Lookup!J:K,2,0),"")</f>
        <v>0</v>
      </c>
      <c r="P96" s="110" t="str">
        <f t="shared" si="9"/>
        <v/>
      </c>
      <c r="Q96" s="110"/>
      <c r="R96" s="87" t="str">
        <f t="shared" si="10"/>
        <v/>
      </c>
      <c r="S96" s="87" t="str">
        <f t="shared" si="11"/>
        <v/>
      </c>
      <c r="T96" s="59"/>
      <c r="U96" s="59"/>
      <c r="V96" s="59"/>
      <c r="W96" s="59"/>
      <c r="X96" s="93" t="str">
        <f t="shared" si="12"/>
        <v>D</v>
      </c>
    </row>
    <row r="97" spans="1:24" x14ac:dyDescent="0.25">
      <c r="A97" s="53"/>
      <c r="B97" s="91" t="str">
        <f>IFERROR(VLOOKUP(A97,Lookup!A:B,2,0),"")</f>
        <v/>
      </c>
      <c r="C97" s="59" t="str">
        <f>IFERROR(VLOOKUP(A97,Lookup!A:C,3,0),"")</f>
        <v/>
      </c>
      <c r="D97" s="59"/>
      <c r="E97" s="59"/>
      <c r="F97" s="59"/>
      <c r="G97" s="94"/>
      <c r="H97" s="59"/>
      <c r="I97" s="59"/>
      <c r="J97" s="106">
        <f>VLOOKUP(A97&amp;G97,Lookup!J:N,5,0)</f>
        <v>0</v>
      </c>
      <c r="K97" s="110"/>
      <c r="L97" s="110"/>
      <c r="M97" s="110"/>
      <c r="N97" s="110"/>
      <c r="O97" s="90">
        <f>IFERROR(VLOOKUP(A97&amp;G97,Lookup!J:K,2,0),"")</f>
        <v>0</v>
      </c>
      <c r="P97" s="110" t="str">
        <f t="shared" si="9"/>
        <v/>
      </c>
      <c r="Q97" s="110"/>
      <c r="R97" s="87" t="str">
        <f t="shared" si="10"/>
        <v/>
      </c>
      <c r="S97" s="87" t="str">
        <f t="shared" si="11"/>
        <v/>
      </c>
      <c r="T97" s="59"/>
      <c r="U97" s="59"/>
      <c r="V97" s="59"/>
      <c r="W97" s="59"/>
      <c r="X97" s="93" t="str">
        <f t="shared" si="12"/>
        <v>D</v>
      </c>
    </row>
    <row r="98" spans="1:24" x14ac:dyDescent="0.25">
      <c r="A98" s="53"/>
      <c r="B98" s="91" t="str">
        <f>IFERROR(VLOOKUP(A98,Lookup!A:B,2,0),"")</f>
        <v/>
      </c>
      <c r="C98" s="59" t="str">
        <f>IFERROR(VLOOKUP(A98,Lookup!A:C,3,0),"")</f>
        <v/>
      </c>
      <c r="D98" s="59"/>
      <c r="E98" s="59"/>
      <c r="F98" s="59"/>
      <c r="G98" s="94"/>
      <c r="H98" s="59"/>
      <c r="I98" s="59"/>
      <c r="J98" s="106">
        <f>VLOOKUP(A98&amp;G98,Lookup!J:N,5,0)</f>
        <v>0</v>
      </c>
      <c r="K98" s="110"/>
      <c r="L98" s="110"/>
      <c r="M98" s="110"/>
      <c r="N98" s="110"/>
      <c r="O98" s="90">
        <f>IFERROR(VLOOKUP(A98&amp;G98,Lookup!J:K,2,0),"")</f>
        <v>0</v>
      </c>
      <c r="P98" s="110" t="str">
        <f t="shared" si="9"/>
        <v/>
      </c>
      <c r="Q98" s="110"/>
      <c r="R98" s="87" t="str">
        <f t="shared" si="10"/>
        <v/>
      </c>
      <c r="S98" s="87" t="str">
        <f t="shared" si="11"/>
        <v/>
      </c>
      <c r="T98" s="59"/>
      <c r="U98" s="59"/>
      <c r="V98" s="59"/>
      <c r="W98" s="59"/>
      <c r="X98" s="93" t="str">
        <f t="shared" si="12"/>
        <v>D</v>
      </c>
    </row>
    <row r="99" spans="1:24" x14ac:dyDescent="0.25">
      <c r="A99" s="53"/>
      <c r="B99" s="91" t="str">
        <f>IFERROR(VLOOKUP(A99,Lookup!A:B,2,0),"")</f>
        <v/>
      </c>
      <c r="C99" s="59" t="str">
        <f>IFERROR(VLOOKUP(A99,Lookup!A:C,3,0),"")</f>
        <v/>
      </c>
      <c r="D99" s="59"/>
      <c r="E99" s="59"/>
      <c r="F99" s="59"/>
      <c r="G99" s="94"/>
      <c r="H99" s="59"/>
      <c r="I99" s="59"/>
      <c r="J99" s="106">
        <f>VLOOKUP(A99&amp;G99,Lookup!J:N,5,0)</f>
        <v>0</v>
      </c>
      <c r="K99" s="110"/>
      <c r="L99" s="110"/>
      <c r="M99" s="110"/>
      <c r="N99" s="110"/>
      <c r="O99" s="90">
        <f>IFERROR(VLOOKUP(A99&amp;G99,Lookup!J:K,2,0),"")</f>
        <v>0</v>
      </c>
      <c r="P99" s="110" t="str">
        <f t="shared" si="9"/>
        <v/>
      </c>
      <c r="Q99" s="110"/>
      <c r="R99" s="87" t="str">
        <f t="shared" si="10"/>
        <v/>
      </c>
      <c r="S99" s="87" t="str">
        <f t="shared" si="11"/>
        <v/>
      </c>
      <c r="T99" s="59"/>
      <c r="U99" s="59"/>
      <c r="V99" s="59"/>
      <c r="W99" s="59"/>
      <c r="X99" s="93" t="str">
        <f t="shared" si="12"/>
        <v>D</v>
      </c>
    </row>
    <row r="100" spans="1:24" x14ac:dyDescent="0.25">
      <c r="A100" s="53"/>
      <c r="B100" s="91" t="str">
        <f>IFERROR(VLOOKUP(A100,Lookup!A:B,2,0),"")</f>
        <v/>
      </c>
      <c r="C100" s="59" t="str">
        <f>IFERROR(VLOOKUP(A100,Lookup!A:C,3,0),"")</f>
        <v/>
      </c>
      <c r="D100" s="59"/>
      <c r="E100" s="59"/>
      <c r="F100" s="59"/>
      <c r="G100" s="94"/>
      <c r="H100" s="59"/>
      <c r="I100" s="59"/>
      <c r="J100" s="106">
        <f>VLOOKUP(A100&amp;G100,Lookup!J:N,5,0)</f>
        <v>0</v>
      </c>
      <c r="K100" s="110"/>
      <c r="L100" s="110"/>
      <c r="M100" s="110"/>
      <c r="N100" s="110"/>
      <c r="O100" s="90">
        <f>IFERROR(VLOOKUP(A100&amp;G100,Lookup!J:K,2,0),"")</f>
        <v>0</v>
      </c>
      <c r="P100" s="110" t="str">
        <f t="shared" ref="P100" si="13">IF(N100="","",N100+O100)</f>
        <v/>
      </c>
      <c r="Q100" s="110"/>
      <c r="R100" s="87" t="str">
        <f t="shared" si="10"/>
        <v/>
      </c>
      <c r="S100" s="87" t="str">
        <f t="shared" si="11"/>
        <v/>
      </c>
      <c r="T100" s="59"/>
      <c r="U100" s="59"/>
      <c r="V100" s="59"/>
      <c r="W100" s="59"/>
      <c r="X100" s="93" t="str">
        <f t="shared" si="12"/>
        <v>D</v>
      </c>
    </row>
    <row r="101" spans="1:24" x14ac:dyDescent="0.25">
      <c r="A101" s="53"/>
      <c r="B101" s="91" t="str">
        <f>IFERROR(VLOOKUP(A101,Lookup!A:B,2,0),"")</f>
        <v/>
      </c>
      <c r="C101" s="59" t="str">
        <f>IFERROR(VLOOKUP(A101,Lookup!A:C,3,0),"")</f>
        <v/>
      </c>
      <c r="D101" s="59"/>
      <c r="E101" s="59"/>
      <c r="F101" s="59"/>
      <c r="G101" s="94"/>
      <c r="H101" s="59"/>
      <c r="I101" s="59"/>
      <c r="J101" s="106">
        <f>VLOOKUP(A101&amp;G101,Lookup!J:N,5,0)</f>
        <v>0</v>
      </c>
      <c r="K101" s="110"/>
      <c r="L101" s="110"/>
      <c r="M101" s="110"/>
      <c r="N101" s="110"/>
      <c r="O101" s="90">
        <f>IFERROR(VLOOKUP(A101&amp;G101,Lookup!J:K,2,0),"")</f>
        <v>0</v>
      </c>
      <c r="P101" s="110" t="str">
        <f t="shared" ref="P101:P129" si="14">IF(N101="","",N101+O101)</f>
        <v/>
      </c>
      <c r="Q101" s="110"/>
      <c r="R101" s="87" t="str">
        <f t="shared" ref="R101:R130" si="15">IF(OR(EXACT(N101,""), EXACT(L101,"")),"",N101-L101)</f>
        <v/>
      </c>
      <c r="S101" s="87" t="str">
        <f t="shared" ref="S101:S131" si="16">IF(OR(EXACT(Q101,""), EXACT(L101,"")),"",Q101-L101)</f>
        <v/>
      </c>
      <c r="T101" s="59"/>
      <c r="U101" s="59"/>
      <c r="V101" s="59"/>
      <c r="W101" s="59"/>
      <c r="X101" s="93" t="str">
        <f t="shared" ref="X101:X128" si="17">IF(I101="SET","A",IF(I101="FREQ","C",IF(I101="","D","B")))</f>
        <v>D</v>
      </c>
    </row>
    <row r="102" spans="1:24" x14ac:dyDescent="0.25">
      <c r="A102" s="53"/>
      <c r="B102" s="91" t="str">
        <f>IFERROR(VLOOKUP(A102,Lookup!A:B,2,0),"")</f>
        <v/>
      </c>
      <c r="C102" s="59" t="str">
        <f>IFERROR(VLOOKUP(A102,Lookup!A:C,3,0),"")</f>
        <v/>
      </c>
      <c r="D102" s="59"/>
      <c r="E102" s="59"/>
      <c r="F102" s="59"/>
      <c r="G102" s="94"/>
      <c r="H102" s="59"/>
      <c r="I102" s="59"/>
      <c r="J102" s="106">
        <f>VLOOKUP(A102&amp;G102,Lookup!J:N,5,0)</f>
        <v>0</v>
      </c>
      <c r="K102" s="110"/>
      <c r="L102" s="110"/>
      <c r="M102" s="110"/>
      <c r="N102" s="110"/>
      <c r="O102" s="90">
        <f>IFERROR(VLOOKUP(A102&amp;G102,Lookup!J:K,2,0),"")</f>
        <v>0</v>
      </c>
      <c r="P102" s="110" t="str">
        <f t="shared" si="14"/>
        <v/>
      </c>
      <c r="Q102" s="110"/>
      <c r="R102" s="87" t="str">
        <f t="shared" si="15"/>
        <v/>
      </c>
      <c r="S102" s="87" t="str">
        <f t="shared" si="16"/>
        <v/>
      </c>
      <c r="T102" s="59"/>
      <c r="U102" s="59"/>
      <c r="V102" s="59"/>
      <c r="W102" s="59"/>
      <c r="X102" s="93" t="str">
        <f t="shared" si="17"/>
        <v>D</v>
      </c>
    </row>
    <row r="103" spans="1:24" x14ac:dyDescent="0.25">
      <c r="A103" s="53"/>
      <c r="B103" s="91" t="str">
        <f>IFERROR(VLOOKUP(A103,Lookup!A:B,2,0),"")</f>
        <v/>
      </c>
      <c r="C103" s="59" t="str">
        <f>IFERROR(VLOOKUP(A103,Lookup!A:C,3,0),"")</f>
        <v/>
      </c>
      <c r="D103" s="59"/>
      <c r="E103" s="59"/>
      <c r="F103" s="59"/>
      <c r="G103" s="94"/>
      <c r="H103" s="59"/>
      <c r="I103" s="59"/>
      <c r="J103" s="106">
        <f>VLOOKUP(A103&amp;G103,Lookup!J:N,5,0)</f>
        <v>0</v>
      </c>
      <c r="K103" s="110"/>
      <c r="L103" s="110"/>
      <c r="M103" s="110"/>
      <c r="N103" s="110"/>
      <c r="O103" s="90">
        <f>IFERROR(VLOOKUP(A103&amp;G103,Lookup!J:K,2,0),"")</f>
        <v>0</v>
      </c>
      <c r="P103" s="110" t="str">
        <f t="shared" si="14"/>
        <v/>
      </c>
      <c r="Q103" s="110"/>
      <c r="R103" s="87" t="str">
        <f t="shared" si="15"/>
        <v/>
      </c>
      <c r="S103" s="87" t="str">
        <f t="shared" si="16"/>
        <v/>
      </c>
      <c r="T103" s="59"/>
      <c r="U103" s="59"/>
      <c r="V103" s="59"/>
      <c r="W103" s="59"/>
      <c r="X103" s="93" t="str">
        <f t="shared" si="17"/>
        <v>D</v>
      </c>
    </row>
    <row r="104" spans="1:24" x14ac:dyDescent="0.25">
      <c r="A104" s="53"/>
      <c r="B104" s="91" t="str">
        <f>IFERROR(VLOOKUP(A104,Lookup!A:B,2,0),"")</f>
        <v/>
      </c>
      <c r="C104" s="59" t="str">
        <f>IFERROR(VLOOKUP(A104,Lookup!A:C,3,0),"")</f>
        <v/>
      </c>
      <c r="D104" s="59"/>
      <c r="E104" s="59"/>
      <c r="F104" s="59"/>
      <c r="G104" s="94"/>
      <c r="H104" s="59"/>
      <c r="I104" s="59"/>
      <c r="J104" s="106">
        <f>VLOOKUP(A104&amp;G104,Lookup!J:N,5,0)</f>
        <v>0</v>
      </c>
      <c r="K104" s="110"/>
      <c r="L104" s="110"/>
      <c r="M104" s="110"/>
      <c r="N104" s="110"/>
      <c r="O104" s="90">
        <f>IFERROR(VLOOKUP(A104&amp;G104,Lookup!J:K,2,0),"")</f>
        <v>0</v>
      </c>
      <c r="P104" s="110" t="str">
        <f t="shared" si="14"/>
        <v/>
      </c>
      <c r="Q104" s="110"/>
      <c r="R104" s="87" t="str">
        <f t="shared" si="15"/>
        <v/>
      </c>
      <c r="S104" s="87" t="str">
        <f t="shared" si="16"/>
        <v/>
      </c>
      <c r="T104" s="59"/>
      <c r="U104" s="59"/>
      <c r="V104" s="59"/>
      <c r="W104" s="59"/>
      <c r="X104" s="93" t="str">
        <f t="shared" si="17"/>
        <v>D</v>
      </c>
    </row>
    <row r="105" spans="1:24" x14ac:dyDescent="0.25">
      <c r="A105" s="53"/>
      <c r="B105" s="91" t="str">
        <f>IFERROR(VLOOKUP(A105,Lookup!A:B,2,0),"")</f>
        <v/>
      </c>
      <c r="C105" s="59" t="str">
        <f>IFERROR(VLOOKUP(A105,Lookup!A:C,3,0),"")</f>
        <v/>
      </c>
      <c r="D105" s="59"/>
      <c r="E105" s="59"/>
      <c r="F105" s="59"/>
      <c r="G105" s="94"/>
      <c r="H105" s="59"/>
      <c r="I105" s="59"/>
      <c r="J105" s="106">
        <f>VLOOKUP(A105&amp;G105,Lookup!J:N,5,0)</f>
        <v>0</v>
      </c>
      <c r="K105" s="110"/>
      <c r="L105" s="110"/>
      <c r="M105" s="110"/>
      <c r="N105" s="110"/>
      <c r="O105" s="90">
        <f>IFERROR(VLOOKUP(A105&amp;G105,Lookup!J:K,2,0),"")</f>
        <v>0</v>
      </c>
      <c r="P105" s="110" t="str">
        <f t="shared" si="14"/>
        <v/>
      </c>
      <c r="Q105" s="110"/>
      <c r="R105" s="87" t="str">
        <f t="shared" si="15"/>
        <v/>
      </c>
      <c r="S105" s="87" t="str">
        <f t="shared" si="16"/>
        <v/>
      </c>
      <c r="T105" s="59"/>
      <c r="U105" s="59"/>
      <c r="V105" s="59"/>
      <c r="W105" s="59"/>
      <c r="X105" s="93" t="str">
        <f t="shared" si="17"/>
        <v>D</v>
      </c>
    </row>
    <row r="106" spans="1:24" x14ac:dyDescent="0.25">
      <c r="A106" s="53"/>
      <c r="B106" s="91" t="str">
        <f>IFERROR(VLOOKUP(A106,Lookup!A:B,2,0),"")</f>
        <v/>
      </c>
      <c r="C106" s="59" t="str">
        <f>IFERROR(VLOOKUP(A106,Lookup!A:C,3,0),"")</f>
        <v/>
      </c>
      <c r="D106" s="59"/>
      <c r="E106" s="59"/>
      <c r="F106" s="59"/>
      <c r="G106" s="94"/>
      <c r="H106" s="59"/>
      <c r="I106" s="59"/>
      <c r="J106" s="106">
        <f>VLOOKUP(A106&amp;G106,Lookup!J:N,5,0)</f>
        <v>0</v>
      </c>
      <c r="K106" s="110"/>
      <c r="L106" s="110"/>
      <c r="M106" s="110"/>
      <c r="N106" s="110"/>
      <c r="O106" s="90">
        <f>IFERROR(VLOOKUP(A106&amp;G106,Lookup!J:K,2,0),"")</f>
        <v>0</v>
      </c>
      <c r="P106" s="110" t="str">
        <f t="shared" si="14"/>
        <v/>
      </c>
      <c r="Q106" s="110"/>
      <c r="R106" s="87" t="str">
        <f t="shared" si="15"/>
        <v/>
      </c>
      <c r="S106" s="87" t="str">
        <f t="shared" si="16"/>
        <v/>
      </c>
      <c r="T106" s="59"/>
      <c r="U106" s="59"/>
      <c r="V106" s="59"/>
      <c r="W106" s="59"/>
      <c r="X106" s="93" t="str">
        <f t="shared" si="17"/>
        <v>D</v>
      </c>
    </row>
    <row r="107" spans="1:24" x14ac:dyDescent="0.25">
      <c r="A107" s="53"/>
      <c r="B107" s="91" t="str">
        <f>IFERROR(VLOOKUP(A107,Lookup!A:B,2,0),"")</f>
        <v/>
      </c>
      <c r="C107" s="59" t="str">
        <f>IFERROR(VLOOKUP(A107,Lookup!A:C,3,0),"")</f>
        <v/>
      </c>
      <c r="D107" s="59"/>
      <c r="E107" s="59"/>
      <c r="F107" s="59"/>
      <c r="G107" s="94"/>
      <c r="H107" s="59"/>
      <c r="I107" s="59"/>
      <c r="J107" s="106">
        <f>VLOOKUP(A107&amp;G107,Lookup!J:N,5,0)</f>
        <v>0</v>
      </c>
      <c r="K107" s="110"/>
      <c r="L107" s="110"/>
      <c r="M107" s="110"/>
      <c r="N107" s="110"/>
      <c r="O107" s="90">
        <f>IFERROR(VLOOKUP(A107&amp;G107,Lookup!J:K,2,0),"")</f>
        <v>0</v>
      </c>
      <c r="P107" s="110" t="str">
        <f t="shared" si="14"/>
        <v/>
      </c>
      <c r="Q107" s="110"/>
      <c r="R107" s="87" t="str">
        <f t="shared" si="15"/>
        <v/>
      </c>
      <c r="S107" s="87" t="str">
        <f t="shared" si="16"/>
        <v/>
      </c>
      <c r="T107" s="59"/>
      <c r="U107" s="59"/>
      <c r="V107" s="59"/>
      <c r="W107" s="59"/>
      <c r="X107" s="93" t="str">
        <f t="shared" si="17"/>
        <v>D</v>
      </c>
    </row>
    <row r="108" spans="1:24" x14ac:dyDescent="0.25">
      <c r="A108" s="53"/>
      <c r="B108" s="91" t="str">
        <f>IFERROR(VLOOKUP(A108,Lookup!A:B,2,0),"")</f>
        <v/>
      </c>
      <c r="C108" s="59" t="str">
        <f>IFERROR(VLOOKUP(A108,Lookup!A:C,3,0),"")</f>
        <v/>
      </c>
      <c r="D108" s="59"/>
      <c r="E108" s="59"/>
      <c r="F108" s="59"/>
      <c r="G108" s="94"/>
      <c r="H108" s="59"/>
      <c r="I108" s="59"/>
      <c r="J108" s="106">
        <f>VLOOKUP(A108&amp;G108,Lookup!J:N,5,0)</f>
        <v>0</v>
      </c>
      <c r="K108" s="110"/>
      <c r="L108" s="110"/>
      <c r="M108" s="110"/>
      <c r="N108" s="110"/>
      <c r="O108" s="90">
        <f>IFERROR(VLOOKUP(A108&amp;G108,Lookup!J:K,2,0),"")</f>
        <v>0</v>
      </c>
      <c r="P108" s="110" t="str">
        <f t="shared" si="14"/>
        <v/>
      </c>
      <c r="Q108" s="110"/>
      <c r="R108" s="87" t="str">
        <f t="shared" si="15"/>
        <v/>
      </c>
      <c r="S108" s="87" t="str">
        <f t="shared" si="16"/>
        <v/>
      </c>
      <c r="T108" s="59"/>
      <c r="U108" s="59"/>
      <c r="V108" s="59"/>
      <c r="W108" s="59"/>
      <c r="X108" s="93" t="str">
        <f t="shared" si="17"/>
        <v>D</v>
      </c>
    </row>
    <row r="109" spans="1:24" x14ac:dyDescent="0.25">
      <c r="A109" s="53"/>
      <c r="B109" s="91" t="str">
        <f>IFERROR(VLOOKUP(A109,Lookup!A:B,2,0),"")</f>
        <v/>
      </c>
      <c r="C109" s="59" t="str">
        <f>IFERROR(VLOOKUP(A109,Lookup!A:C,3,0),"")</f>
        <v/>
      </c>
      <c r="D109" s="59"/>
      <c r="E109" s="59"/>
      <c r="F109" s="59"/>
      <c r="G109" s="94"/>
      <c r="H109" s="59"/>
      <c r="I109" s="59"/>
      <c r="J109" s="106">
        <f>VLOOKUP(A109&amp;G109,Lookup!J:N,5,0)</f>
        <v>0</v>
      </c>
      <c r="K109" s="110"/>
      <c r="L109" s="110"/>
      <c r="M109" s="110"/>
      <c r="N109" s="110"/>
      <c r="O109" s="90">
        <f>IFERROR(VLOOKUP(A109&amp;G109,Lookup!J:K,2,0),"")</f>
        <v>0</v>
      </c>
      <c r="P109" s="110" t="str">
        <f t="shared" si="14"/>
        <v/>
      </c>
      <c r="Q109" s="110"/>
      <c r="R109" s="87" t="str">
        <f t="shared" si="15"/>
        <v/>
      </c>
      <c r="S109" s="87" t="str">
        <f t="shared" si="16"/>
        <v/>
      </c>
      <c r="T109" s="59"/>
      <c r="U109" s="59"/>
      <c r="V109" s="59"/>
      <c r="W109" s="59"/>
      <c r="X109" s="93" t="str">
        <f t="shared" si="17"/>
        <v>D</v>
      </c>
    </row>
    <row r="110" spans="1:24" x14ac:dyDescent="0.25">
      <c r="A110" s="53"/>
      <c r="B110" s="91" t="str">
        <f>IFERROR(VLOOKUP(A110,Lookup!A:B,2,0),"")</f>
        <v/>
      </c>
      <c r="C110" s="59" t="str">
        <f>IFERROR(VLOOKUP(A110,Lookup!A:C,3,0),"")</f>
        <v/>
      </c>
      <c r="D110" s="59"/>
      <c r="E110" s="59"/>
      <c r="F110" s="59"/>
      <c r="G110" s="94"/>
      <c r="H110" s="59"/>
      <c r="I110" s="59"/>
      <c r="J110" s="106">
        <f>VLOOKUP(A110&amp;G110,Lookup!J:N,5,0)</f>
        <v>0</v>
      </c>
      <c r="K110" s="110"/>
      <c r="L110" s="110"/>
      <c r="M110" s="110"/>
      <c r="N110" s="110"/>
      <c r="O110" s="90">
        <f>IFERROR(VLOOKUP(A110&amp;G110,Lookup!J:K,2,0),"")</f>
        <v>0</v>
      </c>
      <c r="P110" s="110" t="str">
        <f t="shared" si="14"/>
        <v/>
      </c>
      <c r="Q110" s="110"/>
      <c r="R110" s="87" t="str">
        <f t="shared" si="15"/>
        <v/>
      </c>
      <c r="S110" s="87" t="str">
        <f t="shared" si="16"/>
        <v/>
      </c>
      <c r="T110" s="59"/>
      <c r="U110" s="59"/>
      <c r="V110" s="59"/>
      <c r="W110" s="59"/>
      <c r="X110" s="93" t="str">
        <f t="shared" si="17"/>
        <v>D</v>
      </c>
    </row>
    <row r="111" spans="1:24" x14ac:dyDescent="0.25">
      <c r="A111" s="53"/>
      <c r="B111" s="91" t="str">
        <f>IFERROR(VLOOKUP(A111,Lookup!A:B,2,0),"")</f>
        <v/>
      </c>
      <c r="C111" s="59" t="str">
        <f>IFERROR(VLOOKUP(A111,Lookup!A:C,3,0),"")</f>
        <v/>
      </c>
      <c r="D111" s="59"/>
      <c r="E111" s="59"/>
      <c r="F111" s="59"/>
      <c r="G111" s="94"/>
      <c r="H111" s="59"/>
      <c r="I111" s="59"/>
      <c r="J111" s="106">
        <f>VLOOKUP(A111&amp;G111,Lookup!J:N,5,0)</f>
        <v>0</v>
      </c>
      <c r="K111" s="110"/>
      <c r="L111" s="110"/>
      <c r="M111" s="110"/>
      <c r="N111" s="110"/>
      <c r="O111" s="90">
        <f>IFERROR(VLOOKUP(A111&amp;G111,Lookup!J:K,2,0),"")</f>
        <v>0</v>
      </c>
      <c r="P111" s="110" t="str">
        <f t="shared" si="14"/>
        <v/>
      </c>
      <c r="Q111" s="110"/>
      <c r="R111" s="87" t="str">
        <f t="shared" si="15"/>
        <v/>
      </c>
      <c r="S111" s="87" t="str">
        <f t="shared" si="16"/>
        <v/>
      </c>
      <c r="T111" s="59"/>
      <c r="U111" s="59"/>
      <c r="V111" s="59"/>
      <c r="W111" s="59"/>
      <c r="X111" s="93" t="str">
        <f t="shared" si="17"/>
        <v>D</v>
      </c>
    </row>
    <row r="112" spans="1:24" x14ac:dyDescent="0.25">
      <c r="A112" s="53"/>
      <c r="B112" s="91" t="str">
        <f>IFERROR(VLOOKUP(A112,Lookup!A:B,2,0),"")</f>
        <v/>
      </c>
      <c r="C112" s="59" t="str">
        <f>IFERROR(VLOOKUP(A112,Lookup!A:C,3,0),"")</f>
        <v/>
      </c>
      <c r="D112" s="59"/>
      <c r="E112" s="59"/>
      <c r="F112" s="59"/>
      <c r="G112" s="94"/>
      <c r="H112" s="59"/>
      <c r="I112" s="59"/>
      <c r="J112" s="106">
        <f>VLOOKUP(A112&amp;G112,Lookup!J:N,5,0)</f>
        <v>0</v>
      </c>
      <c r="K112" s="110"/>
      <c r="L112" s="110"/>
      <c r="M112" s="110"/>
      <c r="N112" s="110"/>
      <c r="O112" s="90">
        <f>IFERROR(VLOOKUP(A112&amp;G112,Lookup!J:K,2,0),"")</f>
        <v>0</v>
      </c>
      <c r="P112" s="110" t="str">
        <f t="shared" si="14"/>
        <v/>
      </c>
      <c r="Q112" s="110"/>
      <c r="R112" s="87" t="str">
        <f t="shared" si="15"/>
        <v/>
      </c>
      <c r="S112" s="87" t="str">
        <f t="shared" si="16"/>
        <v/>
      </c>
      <c r="T112" s="59"/>
      <c r="U112" s="59"/>
      <c r="V112" s="59"/>
      <c r="W112" s="59"/>
      <c r="X112" s="93" t="str">
        <f t="shared" si="17"/>
        <v>D</v>
      </c>
    </row>
    <row r="113" spans="1:24" x14ac:dyDescent="0.25">
      <c r="A113" s="53"/>
      <c r="B113" s="91" t="str">
        <f>IFERROR(VLOOKUP(A113,Lookup!A:B,2,0),"")</f>
        <v/>
      </c>
      <c r="C113" s="59" t="str">
        <f>IFERROR(VLOOKUP(A113,Lookup!A:C,3,0),"")</f>
        <v/>
      </c>
      <c r="D113" s="59"/>
      <c r="E113" s="59"/>
      <c r="F113" s="59"/>
      <c r="G113" s="94"/>
      <c r="H113" s="59"/>
      <c r="I113" s="59"/>
      <c r="J113" s="106">
        <f>VLOOKUP(A113&amp;G113,Lookup!J:N,5,0)</f>
        <v>0</v>
      </c>
      <c r="K113" s="110"/>
      <c r="L113" s="110"/>
      <c r="M113" s="110"/>
      <c r="N113" s="110"/>
      <c r="O113" s="90">
        <f>IFERROR(VLOOKUP(A113&amp;G113,Lookup!J:K,2,0),"")</f>
        <v>0</v>
      </c>
      <c r="P113" s="110" t="str">
        <f t="shared" si="14"/>
        <v/>
      </c>
      <c r="Q113" s="110"/>
      <c r="R113" s="87" t="str">
        <f t="shared" si="15"/>
        <v/>
      </c>
      <c r="S113" s="87" t="str">
        <f t="shared" si="16"/>
        <v/>
      </c>
      <c r="T113" s="59"/>
      <c r="U113" s="59"/>
      <c r="V113" s="59"/>
      <c r="W113" s="59"/>
      <c r="X113" s="93" t="str">
        <f t="shared" si="17"/>
        <v>D</v>
      </c>
    </row>
    <row r="114" spans="1:24" x14ac:dyDescent="0.25">
      <c r="A114" s="53"/>
      <c r="B114" s="91" t="str">
        <f>IFERROR(VLOOKUP(A114,Lookup!A:B,2,0),"")</f>
        <v/>
      </c>
      <c r="C114" s="59" t="str">
        <f>IFERROR(VLOOKUP(A114,Lookup!A:C,3,0),"")</f>
        <v/>
      </c>
      <c r="D114" s="59"/>
      <c r="E114" s="59"/>
      <c r="F114" s="59"/>
      <c r="G114" s="94"/>
      <c r="H114" s="59"/>
      <c r="I114" s="59"/>
      <c r="J114" s="106">
        <f>VLOOKUP(A114&amp;G114,Lookup!J:N,5,0)</f>
        <v>0</v>
      </c>
      <c r="K114" s="110"/>
      <c r="L114" s="110"/>
      <c r="M114" s="110"/>
      <c r="N114" s="110"/>
      <c r="O114" s="90">
        <f>IFERROR(VLOOKUP(A114&amp;G114,Lookup!J:K,2,0),"")</f>
        <v>0</v>
      </c>
      <c r="P114" s="110" t="str">
        <f t="shared" si="14"/>
        <v/>
      </c>
      <c r="Q114" s="110"/>
      <c r="R114" s="87" t="str">
        <f t="shared" si="15"/>
        <v/>
      </c>
      <c r="S114" s="87" t="str">
        <f t="shared" si="16"/>
        <v/>
      </c>
      <c r="T114" s="59"/>
      <c r="U114" s="59"/>
      <c r="V114" s="59"/>
      <c r="W114" s="59"/>
      <c r="X114" s="93" t="str">
        <f t="shared" si="17"/>
        <v>D</v>
      </c>
    </row>
    <row r="115" spans="1:24" x14ac:dyDescent="0.25">
      <c r="A115" s="53"/>
      <c r="B115" s="91" t="str">
        <f>IFERROR(VLOOKUP(A115,Lookup!A:B,2,0),"")</f>
        <v/>
      </c>
      <c r="C115" s="59" t="str">
        <f>IFERROR(VLOOKUP(A115,Lookup!A:C,3,0),"")</f>
        <v/>
      </c>
      <c r="D115" s="59"/>
      <c r="E115" s="59"/>
      <c r="F115" s="59"/>
      <c r="G115" s="94"/>
      <c r="H115" s="59"/>
      <c r="I115" s="59"/>
      <c r="J115" s="106">
        <f>VLOOKUP(A115&amp;G115,Lookup!J:N,5,0)</f>
        <v>0</v>
      </c>
      <c r="K115" s="110"/>
      <c r="L115" s="110"/>
      <c r="M115" s="110"/>
      <c r="N115" s="110"/>
      <c r="O115" s="90">
        <f>IFERROR(VLOOKUP(A115&amp;G115,Lookup!J:K,2,0),"")</f>
        <v>0</v>
      </c>
      <c r="P115" s="110" t="str">
        <f t="shared" si="14"/>
        <v/>
      </c>
      <c r="Q115" s="110"/>
      <c r="R115" s="87" t="str">
        <f t="shared" si="15"/>
        <v/>
      </c>
      <c r="S115" s="87" t="str">
        <f t="shared" si="16"/>
        <v/>
      </c>
      <c r="T115" s="59"/>
      <c r="U115" s="59"/>
      <c r="V115" s="59"/>
      <c r="W115" s="59"/>
      <c r="X115" s="93" t="str">
        <f t="shared" si="17"/>
        <v>D</v>
      </c>
    </row>
    <row r="116" spans="1:24" x14ac:dyDescent="0.25">
      <c r="A116" s="53"/>
      <c r="B116" s="91" t="str">
        <f>IFERROR(VLOOKUP(A116,Lookup!A:B,2,0),"")</f>
        <v/>
      </c>
      <c r="C116" s="59" t="str">
        <f>IFERROR(VLOOKUP(A116,Lookup!A:C,3,0),"")</f>
        <v/>
      </c>
      <c r="D116" s="59"/>
      <c r="E116" s="59"/>
      <c r="F116" s="59"/>
      <c r="G116" s="94"/>
      <c r="H116" s="59"/>
      <c r="I116" s="59"/>
      <c r="J116" s="106">
        <f>VLOOKUP(A116&amp;G116,Lookup!J:N,5,0)</f>
        <v>0</v>
      </c>
      <c r="K116" s="110"/>
      <c r="L116" s="110"/>
      <c r="M116" s="110"/>
      <c r="N116" s="110"/>
      <c r="O116" s="90">
        <f>IFERROR(VLOOKUP(A116&amp;G116,Lookup!J:K,2,0),"")</f>
        <v>0</v>
      </c>
      <c r="P116" s="110" t="str">
        <f t="shared" si="14"/>
        <v/>
      </c>
      <c r="Q116" s="110"/>
      <c r="R116" s="87" t="str">
        <f t="shared" si="15"/>
        <v/>
      </c>
      <c r="S116" s="87" t="str">
        <f t="shared" si="16"/>
        <v/>
      </c>
      <c r="T116" s="59"/>
      <c r="U116" s="59"/>
      <c r="V116" s="59"/>
      <c r="W116" s="59"/>
      <c r="X116" s="93" t="str">
        <f t="shared" si="17"/>
        <v>D</v>
      </c>
    </row>
    <row r="117" spans="1:24" x14ac:dyDescent="0.25">
      <c r="A117" s="53"/>
      <c r="B117" s="91" t="str">
        <f>IFERROR(VLOOKUP(A117,Lookup!A:B,2,0),"")</f>
        <v/>
      </c>
      <c r="C117" s="59" t="str">
        <f>IFERROR(VLOOKUP(A117,Lookup!A:C,3,0),"")</f>
        <v/>
      </c>
      <c r="D117" s="59"/>
      <c r="E117" s="59"/>
      <c r="F117" s="59"/>
      <c r="G117" s="94"/>
      <c r="H117" s="59"/>
      <c r="I117" s="59"/>
      <c r="J117" s="106">
        <f>VLOOKUP(A117&amp;G117,Lookup!J:N,5,0)</f>
        <v>0</v>
      </c>
      <c r="K117" s="110"/>
      <c r="L117" s="110"/>
      <c r="M117" s="110"/>
      <c r="N117" s="110"/>
      <c r="O117" s="90">
        <f>IFERROR(VLOOKUP(A117&amp;G117,Lookup!J:K,2,0),"")</f>
        <v>0</v>
      </c>
      <c r="P117" s="110" t="str">
        <f t="shared" si="14"/>
        <v/>
      </c>
      <c r="Q117" s="110"/>
      <c r="R117" s="87" t="str">
        <f t="shared" si="15"/>
        <v/>
      </c>
      <c r="S117" s="87" t="str">
        <f t="shared" si="16"/>
        <v/>
      </c>
      <c r="T117" s="59"/>
      <c r="U117" s="59"/>
      <c r="V117" s="59"/>
      <c r="W117" s="59"/>
      <c r="X117" s="93" t="str">
        <f t="shared" si="17"/>
        <v>D</v>
      </c>
    </row>
    <row r="118" spans="1:24" x14ac:dyDescent="0.25">
      <c r="A118" s="53"/>
      <c r="B118" s="91" t="str">
        <f>IFERROR(VLOOKUP(A118,Lookup!A:B,2,0),"")</f>
        <v/>
      </c>
      <c r="C118" s="59" t="str">
        <f>IFERROR(VLOOKUP(A118,Lookup!A:C,3,0),"")</f>
        <v/>
      </c>
      <c r="D118" s="59"/>
      <c r="E118" s="59"/>
      <c r="F118" s="59"/>
      <c r="G118" s="94"/>
      <c r="H118" s="59"/>
      <c r="I118" s="59"/>
      <c r="J118" s="106">
        <f>VLOOKUP(A118&amp;G118,Lookup!J:N,5,0)</f>
        <v>0</v>
      </c>
      <c r="K118" s="110"/>
      <c r="L118" s="110"/>
      <c r="M118" s="110"/>
      <c r="N118" s="110"/>
      <c r="O118" s="90">
        <f>IFERROR(VLOOKUP(A118&amp;G118,Lookup!J:K,2,0),"")</f>
        <v>0</v>
      </c>
      <c r="P118" s="110" t="str">
        <f t="shared" si="14"/>
        <v/>
      </c>
      <c r="Q118" s="110"/>
      <c r="R118" s="87" t="str">
        <f t="shared" si="15"/>
        <v/>
      </c>
      <c r="S118" s="87" t="str">
        <f t="shared" si="16"/>
        <v/>
      </c>
      <c r="T118" s="59"/>
      <c r="U118" s="59"/>
      <c r="V118" s="59"/>
      <c r="W118" s="59"/>
      <c r="X118" s="93" t="str">
        <f t="shared" si="17"/>
        <v>D</v>
      </c>
    </row>
    <row r="119" spans="1:24" x14ac:dyDescent="0.25">
      <c r="A119" s="53"/>
      <c r="B119" s="91" t="str">
        <f>IFERROR(VLOOKUP(A119,Lookup!A:B,2,0),"")</f>
        <v/>
      </c>
      <c r="C119" s="59" t="str">
        <f>IFERROR(VLOOKUP(A119,Lookup!A:C,3,0),"")</f>
        <v/>
      </c>
      <c r="D119" s="59"/>
      <c r="E119" s="59"/>
      <c r="F119" s="59"/>
      <c r="G119" s="94"/>
      <c r="H119" s="59"/>
      <c r="I119" s="59"/>
      <c r="J119" s="106">
        <f>VLOOKUP(A119&amp;G119,Lookup!J:N,5,0)</f>
        <v>0</v>
      </c>
      <c r="K119" s="110"/>
      <c r="L119" s="110"/>
      <c r="M119" s="110"/>
      <c r="N119" s="110"/>
      <c r="O119" s="90">
        <f>IFERROR(VLOOKUP(A119&amp;G119,Lookup!J:K,2,0),"")</f>
        <v>0</v>
      </c>
      <c r="P119" s="110" t="str">
        <f t="shared" si="14"/>
        <v/>
      </c>
      <c r="Q119" s="110"/>
      <c r="R119" s="87" t="str">
        <f t="shared" si="15"/>
        <v/>
      </c>
      <c r="S119" s="87" t="str">
        <f t="shared" si="16"/>
        <v/>
      </c>
      <c r="T119" s="59"/>
      <c r="U119" s="59"/>
      <c r="V119" s="59"/>
      <c r="W119" s="59"/>
      <c r="X119" s="93" t="str">
        <f t="shared" si="17"/>
        <v>D</v>
      </c>
    </row>
    <row r="120" spans="1:24" x14ac:dyDescent="0.25">
      <c r="A120" s="53"/>
      <c r="B120" s="91" t="str">
        <f>IFERROR(VLOOKUP(A120,Lookup!A:B,2,0),"")</f>
        <v/>
      </c>
      <c r="C120" s="59" t="str">
        <f>IFERROR(VLOOKUP(A120,Lookup!A:C,3,0),"")</f>
        <v/>
      </c>
      <c r="D120" s="59"/>
      <c r="E120" s="59"/>
      <c r="F120" s="59"/>
      <c r="G120" s="94"/>
      <c r="H120" s="59"/>
      <c r="I120" s="59"/>
      <c r="J120" s="106">
        <f>VLOOKUP(A120&amp;G120,Lookup!J:N,5,0)</f>
        <v>0</v>
      </c>
      <c r="K120" s="110"/>
      <c r="L120" s="110"/>
      <c r="M120" s="110"/>
      <c r="N120" s="110"/>
      <c r="O120" s="90">
        <f>IFERROR(VLOOKUP(A120&amp;G120,Lookup!J:K,2,0),"")</f>
        <v>0</v>
      </c>
      <c r="P120" s="110" t="str">
        <f t="shared" si="14"/>
        <v/>
      </c>
      <c r="Q120" s="110"/>
      <c r="R120" s="87" t="str">
        <f t="shared" si="15"/>
        <v/>
      </c>
      <c r="S120" s="87" t="str">
        <f t="shared" si="16"/>
        <v/>
      </c>
      <c r="T120" s="59"/>
      <c r="U120" s="59"/>
      <c r="V120" s="59"/>
      <c r="W120" s="59"/>
      <c r="X120" s="93" t="str">
        <f t="shared" si="17"/>
        <v>D</v>
      </c>
    </row>
    <row r="121" spans="1:24" x14ac:dyDescent="0.25">
      <c r="A121" s="53"/>
      <c r="B121" s="91" t="str">
        <f>IFERROR(VLOOKUP(A121,Lookup!A:B,2,0),"")</f>
        <v/>
      </c>
      <c r="C121" s="59" t="str">
        <f>IFERROR(VLOOKUP(A121,Lookup!A:C,3,0),"")</f>
        <v/>
      </c>
      <c r="D121" s="59"/>
      <c r="E121" s="59"/>
      <c r="F121" s="59"/>
      <c r="G121" s="94"/>
      <c r="H121" s="59"/>
      <c r="I121" s="59"/>
      <c r="J121" s="106">
        <f>VLOOKUP(A121&amp;G121,Lookup!J:N,5,0)</f>
        <v>0</v>
      </c>
      <c r="K121" s="110"/>
      <c r="L121" s="110"/>
      <c r="M121" s="110"/>
      <c r="N121" s="110"/>
      <c r="O121" s="90">
        <f>IFERROR(VLOOKUP(A121&amp;G121,Lookup!J:K,2,0),"")</f>
        <v>0</v>
      </c>
      <c r="P121" s="110" t="str">
        <f t="shared" si="14"/>
        <v/>
      </c>
      <c r="Q121" s="110"/>
      <c r="R121" s="87" t="str">
        <f t="shared" si="15"/>
        <v/>
      </c>
      <c r="S121" s="87" t="str">
        <f t="shared" si="16"/>
        <v/>
      </c>
      <c r="T121" s="59"/>
      <c r="U121" s="59"/>
      <c r="V121" s="59"/>
      <c r="W121" s="59"/>
      <c r="X121" s="93" t="str">
        <f t="shared" si="17"/>
        <v>D</v>
      </c>
    </row>
    <row r="122" spans="1:24" x14ac:dyDescent="0.25">
      <c r="A122" s="53"/>
      <c r="B122" s="91" t="str">
        <f>IFERROR(VLOOKUP(A122,Lookup!A:B,2,0),"")</f>
        <v/>
      </c>
      <c r="C122" s="59" t="str">
        <f>IFERROR(VLOOKUP(A122,Lookup!A:C,3,0),"")</f>
        <v/>
      </c>
      <c r="D122" s="59"/>
      <c r="E122" s="59"/>
      <c r="F122" s="59"/>
      <c r="G122" s="94"/>
      <c r="H122" s="59"/>
      <c r="I122" s="59"/>
      <c r="J122" s="106">
        <f>VLOOKUP(A122&amp;G122,Lookup!J:N,5,0)</f>
        <v>0</v>
      </c>
      <c r="K122" s="110"/>
      <c r="L122" s="110"/>
      <c r="M122" s="110"/>
      <c r="N122" s="110"/>
      <c r="O122" s="90">
        <f>IFERROR(VLOOKUP(A122&amp;G122,Lookup!J:K,2,0),"")</f>
        <v>0</v>
      </c>
      <c r="P122" s="110" t="str">
        <f t="shared" si="14"/>
        <v/>
      </c>
      <c r="Q122" s="110"/>
      <c r="R122" s="87" t="str">
        <f t="shared" si="15"/>
        <v/>
      </c>
      <c r="S122" s="87" t="str">
        <f t="shared" si="16"/>
        <v/>
      </c>
      <c r="T122" s="59"/>
      <c r="U122" s="59"/>
      <c r="V122" s="59"/>
      <c r="W122" s="59"/>
      <c r="X122" s="93" t="str">
        <f t="shared" si="17"/>
        <v>D</v>
      </c>
    </row>
    <row r="123" spans="1:24" x14ac:dyDescent="0.25">
      <c r="A123" s="53"/>
      <c r="B123" s="91" t="str">
        <f>IFERROR(VLOOKUP(A123,Lookup!A:B,2,0),"")</f>
        <v/>
      </c>
      <c r="C123" s="59" t="str">
        <f>IFERROR(VLOOKUP(A123,Lookup!A:C,3,0),"")</f>
        <v/>
      </c>
      <c r="D123" s="59"/>
      <c r="E123" s="59"/>
      <c r="F123" s="59"/>
      <c r="G123" s="94"/>
      <c r="H123" s="59"/>
      <c r="I123" s="59"/>
      <c r="J123" s="106">
        <f>VLOOKUP(A123&amp;G123,Lookup!J:N,5,0)</f>
        <v>0</v>
      </c>
      <c r="K123" s="110"/>
      <c r="L123" s="110"/>
      <c r="M123" s="110"/>
      <c r="N123" s="110"/>
      <c r="O123" s="90">
        <f>IFERROR(VLOOKUP(A123&amp;G123,Lookup!J:K,2,0),"")</f>
        <v>0</v>
      </c>
      <c r="P123" s="110" t="str">
        <f t="shared" si="14"/>
        <v/>
      </c>
      <c r="Q123" s="110"/>
      <c r="R123" s="87" t="str">
        <f t="shared" si="15"/>
        <v/>
      </c>
      <c r="S123" s="87" t="str">
        <f t="shared" si="16"/>
        <v/>
      </c>
      <c r="T123" s="59"/>
      <c r="U123" s="59"/>
      <c r="V123" s="59"/>
      <c r="W123" s="59"/>
      <c r="X123" s="93" t="str">
        <f t="shared" si="17"/>
        <v>D</v>
      </c>
    </row>
    <row r="124" spans="1:24" x14ac:dyDescent="0.25">
      <c r="A124" s="53"/>
      <c r="B124" s="91" t="str">
        <f>IFERROR(VLOOKUP(A124,Lookup!A:B,2,0),"")</f>
        <v/>
      </c>
      <c r="C124" s="59" t="str">
        <f>IFERROR(VLOOKUP(A124,Lookup!A:C,3,0),"")</f>
        <v/>
      </c>
      <c r="D124" s="59"/>
      <c r="E124" s="59"/>
      <c r="F124" s="59"/>
      <c r="G124" s="94"/>
      <c r="H124" s="59"/>
      <c r="I124" s="59"/>
      <c r="J124" s="106">
        <f>VLOOKUP(A124&amp;G124,Lookup!J:N,5,0)</f>
        <v>0</v>
      </c>
      <c r="K124" s="110"/>
      <c r="L124" s="110"/>
      <c r="M124" s="110"/>
      <c r="N124" s="110"/>
      <c r="O124" s="90">
        <f>IFERROR(VLOOKUP(A124&amp;G124,Lookup!J:K,2,0),"")</f>
        <v>0</v>
      </c>
      <c r="P124" s="110" t="str">
        <f t="shared" si="14"/>
        <v/>
      </c>
      <c r="Q124" s="110"/>
      <c r="R124" s="87" t="str">
        <f t="shared" si="15"/>
        <v/>
      </c>
      <c r="S124" s="87" t="str">
        <f t="shared" si="16"/>
        <v/>
      </c>
      <c r="T124" s="59"/>
      <c r="U124" s="59"/>
      <c r="V124" s="59"/>
      <c r="W124" s="59"/>
      <c r="X124" s="93" t="str">
        <f t="shared" si="17"/>
        <v>D</v>
      </c>
    </row>
    <row r="125" spans="1:24" x14ac:dyDescent="0.25">
      <c r="A125" s="53"/>
      <c r="B125" s="91" t="str">
        <f>IFERROR(VLOOKUP(A125,Lookup!A:B,2,0),"")</f>
        <v/>
      </c>
      <c r="C125" s="59" t="str">
        <f>IFERROR(VLOOKUP(A125,Lookup!A:C,3,0),"")</f>
        <v/>
      </c>
      <c r="D125" s="59"/>
      <c r="E125" s="59"/>
      <c r="F125" s="59"/>
      <c r="G125" s="94"/>
      <c r="H125" s="59"/>
      <c r="I125" s="59"/>
      <c r="J125" s="106">
        <f>VLOOKUP(A125&amp;G125,Lookup!J:N,5,0)</f>
        <v>0</v>
      </c>
      <c r="K125" s="110"/>
      <c r="L125" s="110"/>
      <c r="M125" s="110"/>
      <c r="N125" s="110"/>
      <c r="O125" s="90">
        <f>IFERROR(VLOOKUP(A125&amp;G125,Lookup!J:K,2,0),"")</f>
        <v>0</v>
      </c>
      <c r="P125" s="110" t="str">
        <f t="shared" si="14"/>
        <v/>
      </c>
      <c r="Q125" s="110"/>
      <c r="R125" s="87" t="str">
        <f t="shared" si="15"/>
        <v/>
      </c>
      <c r="S125" s="87" t="str">
        <f t="shared" si="16"/>
        <v/>
      </c>
      <c r="T125" s="59"/>
      <c r="U125" s="59"/>
      <c r="V125" s="59"/>
      <c r="W125" s="59"/>
      <c r="X125" s="93" t="str">
        <f t="shared" si="17"/>
        <v>D</v>
      </c>
    </row>
    <row r="126" spans="1:24" x14ac:dyDescent="0.25">
      <c r="A126" s="53"/>
      <c r="B126" s="91" t="str">
        <f>IFERROR(VLOOKUP(A126,Lookup!A:B,2,0),"")</f>
        <v/>
      </c>
      <c r="C126" s="59" t="str">
        <f>IFERROR(VLOOKUP(A126,Lookup!A:C,3,0),"")</f>
        <v/>
      </c>
      <c r="D126" s="59"/>
      <c r="E126" s="59"/>
      <c r="F126" s="59"/>
      <c r="G126" s="94"/>
      <c r="H126" s="59"/>
      <c r="I126" s="59"/>
      <c r="J126" s="106">
        <f>VLOOKUP(A126&amp;G126,Lookup!J:N,5,0)</f>
        <v>0</v>
      </c>
      <c r="K126" s="110"/>
      <c r="L126" s="110"/>
      <c r="M126" s="110"/>
      <c r="N126" s="110"/>
      <c r="O126" s="90">
        <f>IFERROR(VLOOKUP(A126&amp;G126,Lookup!J:K,2,0),"")</f>
        <v>0</v>
      </c>
      <c r="P126" s="110" t="str">
        <f t="shared" si="14"/>
        <v/>
      </c>
      <c r="Q126" s="110"/>
      <c r="R126" s="87" t="str">
        <f t="shared" si="15"/>
        <v/>
      </c>
      <c r="S126" s="87" t="str">
        <f t="shared" si="16"/>
        <v/>
      </c>
      <c r="T126" s="59"/>
      <c r="U126" s="59"/>
      <c r="V126" s="59"/>
      <c r="W126" s="59"/>
      <c r="X126" s="93" t="str">
        <f t="shared" si="17"/>
        <v>D</v>
      </c>
    </row>
    <row r="127" spans="1:24" x14ac:dyDescent="0.25">
      <c r="A127" s="53"/>
      <c r="B127" s="91" t="str">
        <f>IFERROR(VLOOKUP(A127,Lookup!A:B,2,0),"")</f>
        <v/>
      </c>
      <c r="C127" s="59" t="str">
        <f>IFERROR(VLOOKUP(A127,Lookup!A:C,3,0),"")</f>
        <v/>
      </c>
      <c r="D127" s="59"/>
      <c r="E127" s="59"/>
      <c r="F127" s="59"/>
      <c r="G127" s="94"/>
      <c r="H127" s="59"/>
      <c r="I127" s="59"/>
      <c r="J127" s="106">
        <f>VLOOKUP(A127&amp;G127,Lookup!J:N,5,0)</f>
        <v>0</v>
      </c>
      <c r="K127" s="110"/>
      <c r="L127" s="110"/>
      <c r="M127" s="110"/>
      <c r="N127" s="110"/>
      <c r="O127" s="90">
        <f>IFERROR(VLOOKUP(A127&amp;G127,Lookup!J:K,2,0),"")</f>
        <v>0</v>
      </c>
      <c r="P127" s="110" t="str">
        <f t="shared" si="14"/>
        <v/>
      </c>
      <c r="Q127" s="110"/>
      <c r="R127" s="87" t="str">
        <f t="shared" si="15"/>
        <v/>
      </c>
      <c r="S127" s="87" t="str">
        <f t="shared" si="16"/>
        <v/>
      </c>
      <c r="T127" s="59"/>
      <c r="U127" s="59"/>
      <c r="V127" s="59"/>
      <c r="W127" s="59"/>
      <c r="X127" s="93" t="str">
        <f t="shared" si="17"/>
        <v>D</v>
      </c>
    </row>
    <row r="128" spans="1:24" x14ac:dyDescent="0.25">
      <c r="A128" s="53"/>
      <c r="B128" s="91" t="str">
        <f>IFERROR(VLOOKUP(A128,Lookup!A:B,2,0),"")</f>
        <v/>
      </c>
      <c r="C128" s="59" t="str">
        <f>IFERROR(VLOOKUP(A128,Lookup!A:C,3,0),"")</f>
        <v/>
      </c>
      <c r="D128" s="59"/>
      <c r="E128" s="59"/>
      <c r="F128" s="59"/>
      <c r="G128" s="94"/>
      <c r="H128" s="59"/>
      <c r="I128" s="59"/>
      <c r="J128" s="106">
        <f>VLOOKUP(A128&amp;G128,Lookup!J:N,5,0)</f>
        <v>0</v>
      </c>
      <c r="K128" s="110"/>
      <c r="L128" s="110"/>
      <c r="M128" s="110"/>
      <c r="N128" s="110"/>
      <c r="O128" s="90">
        <f>IFERROR(VLOOKUP(A128&amp;G128,Lookup!J:K,2,0),"")</f>
        <v>0</v>
      </c>
      <c r="P128" s="110" t="str">
        <f t="shared" si="14"/>
        <v/>
      </c>
      <c r="Q128" s="110"/>
      <c r="R128" s="87" t="str">
        <f t="shared" si="15"/>
        <v/>
      </c>
      <c r="S128" s="87" t="str">
        <f t="shared" si="16"/>
        <v/>
      </c>
      <c r="T128" s="59"/>
      <c r="U128" s="59"/>
      <c r="V128" s="59"/>
      <c r="W128" s="59"/>
      <c r="X128" s="93" t="str">
        <f t="shared" si="17"/>
        <v>D</v>
      </c>
    </row>
    <row r="129" spans="1:24" x14ac:dyDescent="0.25">
      <c r="A129" s="53"/>
      <c r="B129" s="91" t="str">
        <f>IFERROR(VLOOKUP(A129,Lookup!A:B,2,0),"")</f>
        <v/>
      </c>
      <c r="C129" s="59" t="str">
        <f>IFERROR(VLOOKUP(A129,Lookup!A:C,3,0),"")</f>
        <v/>
      </c>
      <c r="D129" s="59"/>
      <c r="E129" s="59"/>
      <c r="F129" s="59"/>
      <c r="G129" s="94"/>
      <c r="H129" s="59"/>
      <c r="I129" s="59"/>
      <c r="J129" s="106">
        <f>VLOOKUP(A129&amp;G129,Lookup!J:N,5,0)</f>
        <v>0</v>
      </c>
      <c r="K129" s="110"/>
      <c r="L129" s="110"/>
      <c r="M129" s="110"/>
      <c r="N129" s="110"/>
      <c r="O129" s="90">
        <f>IFERROR(VLOOKUP(A129&amp;G129,Lookup!J:K,2,0),"")</f>
        <v>0</v>
      </c>
      <c r="P129" s="110" t="str">
        <f t="shared" si="14"/>
        <v/>
      </c>
      <c r="Q129" s="110"/>
      <c r="R129" s="87" t="str">
        <f t="shared" si="15"/>
        <v/>
      </c>
      <c r="S129" s="87" t="str">
        <f t="shared" si="16"/>
        <v/>
      </c>
      <c r="T129" s="59"/>
      <c r="U129" s="59"/>
      <c r="V129" s="59"/>
      <c r="W129" s="59"/>
      <c r="X129" s="93" t="str">
        <f t="shared" ref="X129:X192" si="18">IF(I129="SET","A",IF(I129="FREQ","C",IF(I129="","D","B")))</f>
        <v>D</v>
      </c>
    </row>
    <row r="130" spans="1:24" x14ac:dyDescent="0.25">
      <c r="A130" s="53"/>
      <c r="B130" s="91" t="str">
        <f>IFERROR(VLOOKUP(A130,Lookup!A:B,2,0),"")</f>
        <v/>
      </c>
      <c r="C130" s="59" t="str">
        <f>IFERROR(VLOOKUP(A130,Lookup!A:C,3,0),"")</f>
        <v/>
      </c>
      <c r="D130" s="59"/>
      <c r="E130" s="59"/>
      <c r="F130" s="59"/>
      <c r="G130" s="94"/>
      <c r="H130" s="59"/>
      <c r="I130" s="59"/>
      <c r="J130" s="106">
        <f>VLOOKUP(A130&amp;G130,Lookup!J:N,5,0)</f>
        <v>0</v>
      </c>
      <c r="K130" s="110"/>
      <c r="L130" s="110"/>
      <c r="M130" s="110"/>
      <c r="N130" s="110"/>
      <c r="O130" s="90">
        <f>IFERROR(VLOOKUP(A130&amp;G130,Lookup!J:K,2,0),"")</f>
        <v>0</v>
      </c>
      <c r="P130" s="110" t="str">
        <f t="shared" ref="P130:P193" si="19">IF(N130="","",N130+O130)</f>
        <v/>
      </c>
      <c r="Q130" s="110"/>
      <c r="R130" s="87" t="str">
        <f t="shared" si="15"/>
        <v/>
      </c>
      <c r="S130" s="87" t="str">
        <f t="shared" si="16"/>
        <v/>
      </c>
      <c r="T130" s="59"/>
      <c r="U130" s="59"/>
      <c r="V130" s="59"/>
      <c r="W130" s="59"/>
      <c r="X130" s="93" t="str">
        <f t="shared" si="18"/>
        <v>D</v>
      </c>
    </row>
    <row r="131" spans="1:24" x14ac:dyDescent="0.25">
      <c r="A131" s="53"/>
      <c r="B131" s="91" t="str">
        <f>IFERROR(VLOOKUP(A131,Lookup!A:B,2,0),"")</f>
        <v/>
      </c>
      <c r="C131" s="59" t="str">
        <f>IFERROR(VLOOKUP(A131,Lookup!A:C,3,0),"")</f>
        <v/>
      </c>
      <c r="D131" s="59"/>
      <c r="E131" s="59"/>
      <c r="F131" s="59"/>
      <c r="G131" s="94"/>
      <c r="H131" s="59"/>
      <c r="I131" s="59"/>
      <c r="J131" s="106">
        <f>VLOOKUP(A131&amp;G131,Lookup!J:N,5,0)</f>
        <v>0</v>
      </c>
      <c r="K131" s="110"/>
      <c r="L131" s="110"/>
      <c r="M131" s="110"/>
      <c r="N131" s="110"/>
      <c r="O131" s="90">
        <f>IFERROR(VLOOKUP(A131&amp;G131,Lookup!J:K,2,0),"")</f>
        <v>0</v>
      </c>
      <c r="P131" s="110" t="str">
        <f t="shared" si="19"/>
        <v/>
      </c>
      <c r="Q131" s="110"/>
      <c r="R131" s="87" t="str">
        <f t="shared" ref="R131:R194" si="20">IF(OR(EXACT(N131,""), EXACT(L131,"")),"",N131-L131)</f>
        <v/>
      </c>
      <c r="S131" s="87" t="str">
        <f t="shared" si="16"/>
        <v/>
      </c>
      <c r="T131" s="59"/>
      <c r="U131" s="59"/>
      <c r="V131" s="59"/>
      <c r="W131" s="59"/>
      <c r="X131" s="93" t="str">
        <f t="shared" si="18"/>
        <v>D</v>
      </c>
    </row>
    <row r="132" spans="1:24" x14ac:dyDescent="0.25">
      <c r="A132" s="53"/>
      <c r="B132" s="91" t="str">
        <f>IFERROR(VLOOKUP(A132,Lookup!A:B,2,0),"")</f>
        <v/>
      </c>
      <c r="C132" s="59" t="str">
        <f>IFERROR(VLOOKUP(A132,Lookup!A:C,3,0),"")</f>
        <v/>
      </c>
      <c r="D132" s="59"/>
      <c r="E132" s="59"/>
      <c r="F132" s="59"/>
      <c r="G132" s="94"/>
      <c r="H132" s="59"/>
      <c r="I132" s="59"/>
      <c r="J132" s="106">
        <f>VLOOKUP(A132&amp;G132,Lookup!J:N,5,0)</f>
        <v>0</v>
      </c>
      <c r="K132" s="110"/>
      <c r="L132" s="110"/>
      <c r="M132" s="110"/>
      <c r="N132" s="110"/>
      <c r="O132" s="90">
        <f>IFERROR(VLOOKUP(A132&amp;G132,Lookup!J:K,2,0),"")</f>
        <v>0</v>
      </c>
      <c r="P132" s="110" t="str">
        <f t="shared" si="19"/>
        <v/>
      </c>
      <c r="Q132" s="110"/>
      <c r="R132" s="87" t="str">
        <f t="shared" si="20"/>
        <v/>
      </c>
      <c r="S132" s="87" t="str">
        <f t="shared" ref="S132:S195" si="21">IF(OR(EXACT(Q132,""), EXACT(L132,"")),"",Q132-L132)</f>
        <v/>
      </c>
      <c r="T132" s="59"/>
      <c r="U132" s="59"/>
      <c r="V132" s="59"/>
      <c r="W132" s="59"/>
      <c r="X132" s="93" t="str">
        <f t="shared" si="18"/>
        <v>D</v>
      </c>
    </row>
    <row r="133" spans="1:24" x14ac:dyDescent="0.25">
      <c r="A133" s="53"/>
      <c r="B133" s="91" t="str">
        <f>IFERROR(VLOOKUP(A133,Lookup!A:B,2,0),"")</f>
        <v/>
      </c>
      <c r="C133" s="59" t="str">
        <f>IFERROR(VLOOKUP(A133,Lookup!A:C,3,0),"")</f>
        <v/>
      </c>
      <c r="D133" s="59"/>
      <c r="E133" s="59"/>
      <c r="F133" s="59"/>
      <c r="G133" s="94"/>
      <c r="H133" s="59"/>
      <c r="I133" s="59"/>
      <c r="J133" s="106">
        <f>VLOOKUP(A133&amp;G133,Lookup!J:N,5,0)</f>
        <v>0</v>
      </c>
      <c r="K133" s="110"/>
      <c r="L133" s="110"/>
      <c r="M133" s="110"/>
      <c r="N133" s="110"/>
      <c r="O133" s="90">
        <f>IFERROR(VLOOKUP(A133&amp;G133,Lookup!J:K,2,0),"")</f>
        <v>0</v>
      </c>
      <c r="P133" s="110" t="str">
        <f t="shared" si="19"/>
        <v/>
      </c>
      <c r="Q133" s="110"/>
      <c r="R133" s="87" t="str">
        <f t="shared" si="20"/>
        <v/>
      </c>
      <c r="S133" s="87" t="str">
        <f t="shared" si="21"/>
        <v/>
      </c>
      <c r="T133" s="59"/>
      <c r="U133" s="59"/>
      <c r="V133" s="59"/>
      <c r="W133" s="59"/>
      <c r="X133" s="93" t="str">
        <f t="shared" si="18"/>
        <v>D</v>
      </c>
    </row>
    <row r="134" spans="1:24" x14ac:dyDescent="0.25">
      <c r="A134" s="53"/>
      <c r="B134" s="91" t="str">
        <f>IFERROR(VLOOKUP(A134,Lookup!A:B,2,0),"")</f>
        <v/>
      </c>
      <c r="C134" s="59" t="str">
        <f>IFERROR(VLOOKUP(A134,Lookup!A:C,3,0),"")</f>
        <v/>
      </c>
      <c r="D134" s="59"/>
      <c r="E134" s="59"/>
      <c r="F134" s="59"/>
      <c r="G134" s="94"/>
      <c r="H134" s="59"/>
      <c r="I134" s="59"/>
      <c r="J134" s="106">
        <f>VLOOKUP(A134&amp;G134,Lookup!J:N,5,0)</f>
        <v>0</v>
      </c>
      <c r="K134" s="110"/>
      <c r="L134" s="110"/>
      <c r="M134" s="110"/>
      <c r="N134" s="110"/>
      <c r="O134" s="90">
        <f>IFERROR(VLOOKUP(A134&amp;G134,Lookup!J:K,2,0),"")</f>
        <v>0</v>
      </c>
      <c r="P134" s="110" t="str">
        <f t="shared" si="19"/>
        <v/>
      </c>
      <c r="Q134" s="110"/>
      <c r="R134" s="87" t="str">
        <f t="shared" si="20"/>
        <v/>
      </c>
      <c r="S134" s="87" t="str">
        <f t="shared" si="21"/>
        <v/>
      </c>
      <c r="T134" s="59"/>
      <c r="U134" s="59"/>
      <c r="V134" s="59"/>
      <c r="W134" s="59"/>
      <c r="X134" s="93" t="str">
        <f t="shared" si="18"/>
        <v>D</v>
      </c>
    </row>
    <row r="135" spans="1:24" x14ac:dyDescent="0.25">
      <c r="A135" s="53"/>
      <c r="B135" s="91" t="str">
        <f>IFERROR(VLOOKUP(A135,Lookup!A:B,2,0),"")</f>
        <v/>
      </c>
      <c r="C135" s="59" t="str">
        <f>IFERROR(VLOOKUP(A135,Lookup!A:C,3,0),"")</f>
        <v/>
      </c>
      <c r="D135" s="59"/>
      <c r="E135" s="59"/>
      <c r="F135" s="59"/>
      <c r="G135" s="94"/>
      <c r="H135" s="59"/>
      <c r="I135" s="59"/>
      <c r="J135" s="106">
        <f>VLOOKUP(A135&amp;G135,Lookup!J:N,5,0)</f>
        <v>0</v>
      </c>
      <c r="K135" s="110"/>
      <c r="L135" s="110"/>
      <c r="M135" s="110"/>
      <c r="N135" s="110"/>
      <c r="O135" s="90">
        <f>IFERROR(VLOOKUP(A135&amp;G135,Lookup!J:K,2,0),"")</f>
        <v>0</v>
      </c>
      <c r="P135" s="110" t="str">
        <f t="shared" si="19"/>
        <v/>
      </c>
      <c r="Q135" s="110"/>
      <c r="R135" s="87" t="str">
        <f t="shared" si="20"/>
        <v/>
      </c>
      <c r="S135" s="87" t="str">
        <f t="shared" si="21"/>
        <v/>
      </c>
      <c r="T135" s="59"/>
      <c r="U135" s="59"/>
      <c r="V135" s="59"/>
      <c r="W135" s="59"/>
      <c r="X135" s="93" t="str">
        <f t="shared" si="18"/>
        <v>D</v>
      </c>
    </row>
    <row r="136" spans="1:24" x14ac:dyDescent="0.25">
      <c r="A136" s="53"/>
      <c r="B136" s="91" t="str">
        <f>IFERROR(VLOOKUP(A136,Lookup!A:B,2,0),"")</f>
        <v/>
      </c>
      <c r="C136" s="59" t="str">
        <f>IFERROR(VLOOKUP(A136,Lookup!A:C,3,0),"")</f>
        <v/>
      </c>
      <c r="D136" s="59"/>
      <c r="E136" s="59"/>
      <c r="F136" s="59"/>
      <c r="G136" s="94"/>
      <c r="H136" s="59"/>
      <c r="I136" s="59"/>
      <c r="J136" s="106">
        <f>VLOOKUP(A136&amp;G136,Lookup!J:N,5,0)</f>
        <v>0</v>
      </c>
      <c r="K136" s="110"/>
      <c r="L136" s="110"/>
      <c r="M136" s="110"/>
      <c r="N136" s="110"/>
      <c r="O136" s="90">
        <f>IFERROR(VLOOKUP(A136&amp;G136,Lookup!J:K,2,0),"")</f>
        <v>0</v>
      </c>
      <c r="P136" s="110" t="str">
        <f t="shared" si="19"/>
        <v/>
      </c>
      <c r="Q136" s="110"/>
      <c r="R136" s="87" t="str">
        <f t="shared" si="20"/>
        <v/>
      </c>
      <c r="S136" s="87" t="str">
        <f t="shared" si="21"/>
        <v/>
      </c>
      <c r="T136" s="59"/>
      <c r="U136" s="59"/>
      <c r="V136" s="59"/>
      <c r="W136" s="59"/>
      <c r="X136" s="93" t="str">
        <f t="shared" si="18"/>
        <v>D</v>
      </c>
    </row>
    <row r="137" spans="1:24" x14ac:dyDescent="0.25">
      <c r="A137" s="53"/>
      <c r="B137" s="91" t="str">
        <f>IFERROR(VLOOKUP(A137,Lookup!A:B,2,0),"")</f>
        <v/>
      </c>
      <c r="C137" s="59" t="str">
        <f>IFERROR(VLOOKUP(A137,Lookup!A:C,3,0),"")</f>
        <v/>
      </c>
      <c r="D137" s="59"/>
      <c r="E137" s="59"/>
      <c r="F137" s="59"/>
      <c r="G137" s="94"/>
      <c r="H137" s="59"/>
      <c r="I137" s="59"/>
      <c r="J137" s="106">
        <f>VLOOKUP(A137&amp;G137,Lookup!J:N,5,0)</f>
        <v>0</v>
      </c>
      <c r="K137" s="110"/>
      <c r="L137" s="110"/>
      <c r="M137" s="110"/>
      <c r="N137" s="110"/>
      <c r="O137" s="90">
        <f>IFERROR(VLOOKUP(A137&amp;G137,Lookup!J:K,2,0),"")</f>
        <v>0</v>
      </c>
      <c r="P137" s="110" t="str">
        <f t="shared" si="19"/>
        <v/>
      </c>
      <c r="Q137" s="110"/>
      <c r="R137" s="87" t="str">
        <f t="shared" si="20"/>
        <v/>
      </c>
      <c r="S137" s="87" t="str">
        <f t="shared" si="21"/>
        <v/>
      </c>
      <c r="T137" s="59"/>
      <c r="U137" s="59"/>
      <c r="V137" s="59"/>
      <c r="W137" s="59"/>
      <c r="X137" s="93" t="str">
        <f t="shared" si="18"/>
        <v>D</v>
      </c>
    </row>
    <row r="138" spans="1:24" x14ac:dyDescent="0.25">
      <c r="A138" s="53"/>
      <c r="B138" s="91" t="str">
        <f>IFERROR(VLOOKUP(A138,Lookup!A:B,2,0),"")</f>
        <v/>
      </c>
      <c r="C138" s="59" t="str">
        <f>IFERROR(VLOOKUP(A138,Lookup!A:C,3,0),"")</f>
        <v/>
      </c>
      <c r="D138" s="59"/>
      <c r="E138" s="59"/>
      <c r="F138" s="59"/>
      <c r="G138" s="94"/>
      <c r="H138" s="59"/>
      <c r="I138" s="59"/>
      <c r="J138" s="106">
        <f>VLOOKUP(A138&amp;G138,Lookup!J:N,5,0)</f>
        <v>0</v>
      </c>
      <c r="K138" s="110"/>
      <c r="L138" s="110"/>
      <c r="M138" s="110"/>
      <c r="N138" s="110"/>
      <c r="O138" s="90">
        <f>IFERROR(VLOOKUP(A138&amp;G138,Lookup!J:K,2,0),"")</f>
        <v>0</v>
      </c>
      <c r="P138" s="110" t="str">
        <f t="shared" si="19"/>
        <v/>
      </c>
      <c r="Q138" s="110"/>
      <c r="R138" s="87" t="str">
        <f t="shared" si="20"/>
        <v/>
      </c>
      <c r="S138" s="87" t="str">
        <f t="shared" si="21"/>
        <v/>
      </c>
      <c r="T138" s="59"/>
      <c r="U138" s="59"/>
      <c r="V138" s="59"/>
      <c r="W138" s="59"/>
      <c r="X138" s="93" t="str">
        <f t="shared" si="18"/>
        <v>D</v>
      </c>
    </row>
    <row r="139" spans="1:24" x14ac:dyDescent="0.25">
      <c r="A139" s="53"/>
      <c r="B139" s="91" t="str">
        <f>IFERROR(VLOOKUP(A139,Lookup!A:B,2,0),"")</f>
        <v/>
      </c>
      <c r="C139" s="59" t="str">
        <f>IFERROR(VLOOKUP(A139,Lookup!A:C,3,0),"")</f>
        <v/>
      </c>
      <c r="D139" s="59"/>
      <c r="E139" s="59"/>
      <c r="F139" s="59"/>
      <c r="G139" s="94"/>
      <c r="H139" s="59"/>
      <c r="I139" s="59"/>
      <c r="J139" s="106">
        <f>VLOOKUP(A139&amp;G139,Lookup!J:N,5,0)</f>
        <v>0</v>
      </c>
      <c r="K139" s="110"/>
      <c r="L139" s="110"/>
      <c r="M139" s="110"/>
      <c r="N139" s="110"/>
      <c r="O139" s="90">
        <f>IFERROR(VLOOKUP(A139&amp;G139,Lookup!J:K,2,0),"")</f>
        <v>0</v>
      </c>
      <c r="P139" s="110" t="str">
        <f t="shared" si="19"/>
        <v/>
      </c>
      <c r="Q139" s="110"/>
      <c r="R139" s="87" t="str">
        <f t="shared" si="20"/>
        <v/>
      </c>
      <c r="S139" s="87" t="str">
        <f t="shared" si="21"/>
        <v/>
      </c>
      <c r="T139" s="59"/>
      <c r="U139" s="59"/>
      <c r="V139" s="59"/>
      <c r="W139" s="59"/>
      <c r="X139" s="93" t="str">
        <f t="shared" si="18"/>
        <v>D</v>
      </c>
    </row>
    <row r="140" spans="1:24" x14ac:dyDescent="0.25">
      <c r="A140" s="53"/>
      <c r="B140" s="91" t="str">
        <f>IFERROR(VLOOKUP(A140,Lookup!A:B,2,0),"")</f>
        <v/>
      </c>
      <c r="C140" s="59" t="str">
        <f>IFERROR(VLOOKUP(A140,Lookup!A:C,3,0),"")</f>
        <v/>
      </c>
      <c r="D140" s="59"/>
      <c r="E140" s="59"/>
      <c r="F140" s="59"/>
      <c r="G140" s="94"/>
      <c r="H140" s="59"/>
      <c r="I140" s="59"/>
      <c r="J140" s="106">
        <f>VLOOKUP(A140&amp;G140,Lookup!J:N,5,0)</f>
        <v>0</v>
      </c>
      <c r="K140" s="110"/>
      <c r="L140" s="110"/>
      <c r="M140" s="110"/>
      <c r="N140" s="110"/>
      <c r="O140" s="90">
        <f>IFERROR(VLOOKUP(A140&amp;G140,Lookup!J:K,2,0),"")</f>
        <v>0</v>
      </c>
      <c r="P140" s="110" t="str">
        <f t="shared" si="19"/>
        <v/>
      </c>
      <c r="Q140" s="110"/>
      <c r="R140" s="87" t="str">
        <f t="shared" si="20"/>
        <v/>
      </c>
      <c r="S140" s="87" t="str">
        <f t="shared" si="21"/>
        <v/>
      </c>
      <c r="T140" s="59"/>
      <c r="U140" s="59"/>
      <c r="V140" s="59"/>
      <c r="W140" s="59"/>
      <c r="X140" s="93" t="str">
        <f t="shared" si="18"/>
        <v>D</v>
      </c>
    </row>
    <row r="141" spans="1:24" x14ac:dyDescent="0.25">
      <c r="A141" s="53"/>
      <c r="B141" s="91" t="str">
        <f>IFERROR(VLOOKUP(A141,Lookup!A:B,2,0),"")</f>
        <v/>
      </c>
      <c r="C141" s="59" t="str">
        <f>IFERROR(VLOOKUP(A141,Lookup!A:C,3,0),"")</f>
        <v/>
      </c>
      <c r="D141" s="59"/>
      <c r="E141" s="59"/>
      <c r="F141" s="59"/>
      <c r="G141" s="94"/>
      <c r="H141" s="59"/>
      <c r="I141" s="59"/>
      <c r="J141" s="106">
        <f>VLOOKUP(A141&amp;G141,Lookup!J:N,5,0)</f>
        <v>0</v>
      </c>
      <c r="K141" s="110"/>
      <c r="L141" s="110"/>
      <c r="M141" s="110"/>
      <c r="N141" s="110"/>
      <c r="O141" s="90">
        <f>IFERROR(VLOOKUP(A141&amp;G141,Lookup!J:K,2,0),"")</f>
        <v>0</v>
      </c>
      <c r="P141" s="110" t="str">
        <f t="shared" si="19"/>
        <v/>
      </c>
      <c r="Q141" s="110"/>
      <c r="R141" s="87" t="str">
        <f t="shared" si="20"/>
        <v/>
      </c>
      <c r="S141" s="87" t="str">
        <f t="shared" si="21"/>
        <v/>
      </c>
      <c r="T141" s="59"/>
      <c r="U141" s="59"/>
      <c r="V141" s="59"/>
      <c r="W141" s="59"/>
      <c r="X141" s="93" t="str">
        <f t="shared" si="18"/>
        <v>D</v>
      </c>
    </row>
    <row r="142" spans="1:24" x14ac:dyDescent="0.25">
      <c r="A142" s="53"/>
      <c r="B142" s="91" t="str">
        <f>IFERROR(VLOOKUP(A142,Lookup!A:B,2,0),"")</f>
        <v/>
      </c>
      <c r="C142" s="59" t="str">
        <f>IFERROR(VLOOKUP(A142,Lookup!A:C,3,0),"")</f>
        <v/>
      </c>
      <c r="D142" s="59"/>
      <c r="E142" s="59"/>
      <c r="F142" s="59"/>
      <c r="G142" s="94"/>
      <c r="H142" s="59"/>
      <c r="I142" s="59"/>
      <c r="J142" s="106">
        <f>VLOOKUP(A142&amp;G142,Lookup!J:N,5,0)</f>
        <v>0</v>
      </c>
      <c r="K142" s="110"/>
      <c r="L142" s="110"/>
      <c r="M142" s="110"/>
      <c r="N142" s="110"/>
      <c r="O142" s="90">
        <f>IFERROR(VLOOKUP(A142&amp;G142,Lookup!J:K,2,0),"")</f>
        <v>0</v>
      </c>
      <c r="P142" s="110" t="str">
        <f t="shared" si="19"/>
        <v/>
      </c>
      <c r="Q142" s="110"/>
      <c r="R142" s="87" t="str">
        <f t="shared" si="20"/>
        <v/>
      </c>
      <c r="S142" s="87" t="str">
        <f t="shared" si="21"/>
        <v/>
      </c>
      <c r="T142" s="59"/>
      <c r="U142" s="59"/>
      <c r="V142" s="59"/>
      <c r="W142" s="59"/>
      <c r="X142" s="93" t="str">
        <f t="shared" si="18"/>
        <v>D</v>
      </c>
    </row>
    <row r="143" spans="1:24" x14ac:dyDescent="0.25">
      <c r="A143" s="53"/>
      <c r="B143" s="91" t="str">
        <f>IFERROR(VLOOKUP(A143,Lookup!A:B,2,0),"")</f>
        <v/>
      </c>
      <c r="C143" s="59" t="str">
        <f>IFERROR(VLOOKUP(A143,Lookup!A:C,3,0),"")</f>
        <v/>
      </c>
      <c r="D143" s="59"/>
      <c r="E143" s="59"/>
      <c r="F143" s="59"/>
      <c r="G143" s="94"/>
      <c r="H143" s="59"/>
      <c r="I143" s="59"/>
      <c r="J143" s="106">
        <f>VLOOKUP(A143&amp;G143,Lookup!J:N,5,0)</f>
        <v>0</v>
      </c>
      <c r="K143" s="110"/>
      <c r="L143" s="110"/>
      <c r="M143" s="110"/>
      <c r="N143" s="110"/>
      <c r="O143" s="90">
        <f>IFERROR(VLOOKUP(A143&amp;G143,Lookup!J:K,2,0),"")</f>
        <v>0</v>
      </c>
      <c r="P143" s="110" t="str">
        <f t="shared" si="19"/>
        <v/>
      </c>
      <c r="Q143" s="110"/>
      <c r="R143" s="87" t="str">
        <f t="shared" si="20"/>
        <v/>
      </c>
      <c r="S143" s="87" t="str">
        <f t="shared" si="21"/>
        <v/>
      </c>
      <c r="T143" s="59"/>
      <c r="U143" s="59"/>
      <c r="V143" s="59"/>
      <c r="W143" s="59"/>
      <c r="X143" s="93" t="str">
        <f t="shared" si="18"/>
        <v>D</v>
      </c>
    </row>
    <row r="144" spans="1:24" x14ac:dyDescent="0.25">
      <c r="A144" s="53"/>
      <c r="B144" s="91" t="str">
        <f>IFERROR(VLOOKUP(A144,Lookup!A:B,2,0),"")</f>
        <v/>
      </c>
      <c r="C144" s="59" t="str">
        <f>IFERROR(VLOOKUP(A144,Lookup!A:C,3,0),"")</f>
        <v/>
      </c>
      <c r="D144" s="59"/>
      <c r="E144" s="59"/>
      <c r="F144" s="59"/>
      <c r="G144" s="94"/>
      <c r="H144" s="59"/>
      <c r="I144" s="59"/>
      <c r="J144" s="106">
        <f>VLOOKUP(A144&amp;G144,Lookup!J:N,5,0)</f>
        <v>0</v>
      </c>
      <c r="K144" s="110"/>
      <c r="L144" s="110"/>
      <c r="M144" s="110"/>
      <c r="N144" s="110"/>
      <c r="O144" s="90">
        <f>IFERROR(VLOOKUP(A144&amp;G144,Lookup!J:K,2,0),"")</f>
        <v>0</v>
      </c>
      <c r="P144" s="110" t="str">
        <f t="shared" si="19"/>
        <v/>
      </c>
      <c r="Q144" s="110"/>
      <c r="R144" s="87" t="str">
        <f t="shared" si="20"/>
        <v/>
      </c>
      <c r="S144" s="87" t="str">
        <f t="shared" si="21"/>
        <v/>
      </c>
      <c r="T144" s="59"/>
      <c r="U144" s="59"/>
      <c r="V144" s="59"/>
      <c r="W144" s="59"/>
      <c r="X144" s="93" t="str">
        <f t="shared" si="18"/>
        <v>D</v>
      </c>
    </row>
    <row r="145" spans="1:24" x14ac:dyDescent="0.25">
      <c r="A145" s="53"/>
      <c r="B145" s="91" t="str">
        <f>IFERROR(VLOOKUP(A145,Lookup!A:B,2,0),"")</f>
        <v/>
      </c>
      <c r="C145" s="59" t="str">
        <f>IFERROR(VLOOKUP(A145,Lookup!A:C,3,0),"")</f>
        <v/>
      </c>
      <c r="D145" s="59"/>
      <c r="E145" s="59"/>
      <c r="F145" s="59"/>
      <c r="G145" s="94"/>
      <c r="H145" s="59"/>
      <c r="I145" s="59"/>
      <c r="J145" s="106">
        <f>VLOOKUP(A145&amp;G145,Lookup!J:N,5,0)</f>
        <v>0</v>
      </c>
      <c r="K145" s="110"/>
      <c r="L145" s="110"/>
      <c r="M145" s="110"/>
      <c r="N145" s="110"/>
      <c r="O145" s="90">
        <f>IFERROR(VLOOKUP(A145&amp;G145,Lookup!J:K,2,0),"")</f>
        <v>0</v>
      </c>
      <c r="P145" s="110" t="str">
        <f t="shared" si="19"/>
        <v/>
      </c>
      <c r="Q145" s="110"/>
      <c r="R145" s="87" t="str">
        <f t="shared" si="20"/>
        <v/>
      </c>
      <c r="S145" s="87" t="str">
        <f t="shared" si="21"/>
        <v/>
      </c>
      <c r="T145" s="59"/>
      <c r="U145" s="59"/>
      <c r="V145" s="59"/>
      <c r="W145" s="59"/>
      <c r="X145" s="93" t="str">
        <f t="shared" si="18"/>
        <v>D</v>
      </c>
    </row>
    <row r="146" spans="1:24" x14ac:dyDescent="0.25">
      <c r="A146" s="53"/>
      <c r="B146" s="91" t="str">
        <f>IFERROR(VLOOKUP(A146,Lookup!A:B,2,0),"")</f>
        <v/>
      </c>
      <c r="C146" s="59" t="str">
        <f>IFERROR(VLOOKUP(A146,Lookup!A:C,3,0),"")</f>
        <v/>
      </c>
      <c r="D146" s="59"/>
      <c r="E146" s="59"/>
      <c r="F146" s="59"/>
      <c r="G146" s="94"/>
      <c r="H146" s="59"/>
      <c r="I146" s="59"/>
      <c r="J146" s="106">
        <f>VLOOKUP(A146&amp;G146,Lookup!J:N,5,0)</f>
        <v>0</v>
      </c>
      <c r="K146" s="110"/>
      <c r="L146" s="110"/>
      <c r="M146" s="110"/>
      <c r="N146" s="110"/>
      <c r="O146" s="90">
        <f>IFERROR(VLOOKUP(A146&amp;G146,Lookup!J:K,2,0),"")</f>
        <v>0</v>
      </c>
      <c r="P146" s="110" t="str">
        <f t="shared" si="19"/>
        <v/>
      </c>
      <c r="Q146" s="110"/>
      <c r="R146" s="87" t="str">
        <f t="shared" si="20"/>
        <v/>
      </c>
      <c r="S146" s="87" t="str">
        <f t="shared" si="21"/>
        <v/>
      </c>
      <c r="T146" s="59"/>
      <c r="U146" s="59"/>
      <c r="V146" s="59"/>
      <c r="W146" s="59"/>
      <c r="X146" s="93" t="str">
        <f t="shared" si="18"/>
        <v>D</v>
      </c>
    </row>
    <row r="147" spans="1:24" x14ac:dyDescent="0.25">
      <c r="A147" s="53"/>
      <c r="B147" s="91" t="str">
        <f>IFERROR(VLOOKUP(A147,Lookup!A:B,2,0),"")</f>
        <v/>
      </c>
      <c r="C147" s="59" t="str">
        <f>IFERROR(VLOOKUP(A147,Lookup!A:C,3,0),"")</f>
        <v/>
      </c>
      <c r="D147" s="59"/>
      <c r="E147" s="59"/>
      <c r="F147" s="59"/>
      <c r="G147" s="94"/>
      <c r="H147" s="59"/>
      <c r="I147" s="59"/>
      <c r="J147" s="106">
        <f>VLOOKUP(A147&amp;G147,Lookup!J:N,5,0)</f>
        <v>0</v>
      </c>
      <c r="K147" s="110"/>
      <c r="L147" s="110"/>
      <c r="M147" s="110"/>
      <c r="N147" s="110"/>
      <c r="O147" s="90">
        <f>IFERROR(VLOOKUP(A147&amp;G147,Lookup!J:K,2,0),"")</f>
        <v>0</v>
      </c>
      <c r="P147" s="110" t="str">
        <f t="shared" si="19"/>
        <v/>
      </c>
      <c r="Q147" s="110"/>
      <c r="R147" s="87" t="str">
        <f t="shared" si="20"/>
        <v/>
      </c>
      <c r="S147" s="87" t="str">
        <f t="shared" si="21"/>
        <v/>
      </c>
      <c r="T147" s="59"/>
      <c r="U147" s="59"/>
      <c r="V147" s="59"/>
      <c r="W147" s="59"/>
      <c r="X147" s="93" t="str">
        <f t="shared" si="18"/>
        <v>D</v>
      </c>
    </row>
    <row r="148" spans="1:24" x14ac:dyDescent="0.25">
      <c r="A148" s="53"/>
      <c r="B148" s="91" t="str">
        <f>IFERROR(VLOOKUP(A148,Lookup!A:B,2,0),"")</f>
        <v/>
      </c>
      <c r="C148" s="59" t="str">
        <f>IFERROR(VLOOKUP(A148,Lookup!A:C,3,0),"")</f>
        <v/>
      </c>
      <c r="D148" s="59"/>
      <c r="E148" s="59"/>
      <c r="F148" s="59"/>
      <c r="G148" s="94"/>
      <c r="H148" s="59"/>
      <c r="I148" s="59"/>
      <c r="J148" s="106">
        <f>VLOOKUP(A148&amp;G148,Lookup!J:N,5,0)</f>
        <v>0</v>
      </c>
      <c r="K148" s="110"/>
      <c r="L148" s="110"/>
      <c r="M148" s="110"/>
      <c r="N148" s="110"/>
      <c r="O148" s="90">
        <f>IFERROR(VLOOKUP(A148&amp;G148,Lookup!J:K,2,0),"")</f>
        <v>0</v>
      </c>
      <c r="P148" s="110" t="str">
        <f t="shared" si="19"/>
        <v/>
      </c>
      <c r="Q148" s="110"/>
      <c r="R148" s="87" t="str">
        <f t="shared" si="20"/>
        <v/>
      </c>
      <c r="S148" s="87" t="str">
        <f t="shared" si="21"/>
        <v/>
      </c>
      <c r="T148" s="59"/>
      <c r="U148" s="59"/>
      <c r="V148" s="59"/>
      <c r="W148" s="59"/>
      <c r="X148" s="93" t="str">
        <f t="shared" si="18"/>
        <v>D</v>
      </c>
    </row>
    <row r="149" spans="1:24" x14ac:dyDescent="0.25">
      <c r="A149" s="53"/>
      <c r="B149" s="91" t="str">
        <f>IFERROR(VLOOKUP(A149,Lookup!A:B,2,0),"")</f>
        <v/>
      </c>
      <c r="C149" s="59" t="str">
        <f>IFERROR(VLOOKUP(A149,Lookup!A:C,3,0),"")</f>
        <v/>
      </c>
      <c r="D149" s="59"/>
      <c r="E149" s="59"/>
      <c r="F149" s="59"/>
      <c r="G149" s="94"/>
      <c r="H149" s="59"/>
      <c r="I149" s="59"/>
      <c r="J149" s="106">
        <f>VLOOKUP(A149&amp;G149,Lookup!J:N,5,0)</f>
        <v>0</v>
      </c>
      <c r="K149" s="110"/>
      <c r="L149" s="110"/>
      <c r="M149" s="110"/>
      <c r="N149" s="110"/>
      <c r="O149" s="90">
        <f>IFERROR(VLOOKUP(A149&amp;G149,Lookup!J:K,2,0),"")</f>
        <v>0</v>
      </c>
      <c r="P149" s="110" t="str">
        <f t="shared" si="19"/>
        <v/>
      </c>
      <c r="Q149" s="110"/>
      <c r="R149" s="87" t="str">
        <f t="shared" si="20"/>
        <v/>
      </c>
      <c r="S149" s="87" t="str">
        <f t="shared" si="21"/>
        <v/>
      </c>
      <c r="T149" s="59"/>
      <c r="U149" s="59"/>
      <c r="V149" s="59"/>
      <c r="W149" s="59"/>
      <c r="X149" s="93" t="str">
        <f t="shared" si="18"/>
        <v>D</v>
      </c>
    </row>
    <row r="150" spans="1:24" x14ac:dyDescent="0.25">
      <c r="A150" s="53"/>
      <c r="B150" s="91" t="str">
        <f>IFERROR(VLOOKUP(A150,Lookup!A:B,2,0),"")</f>
        <v/>
      </c>
      <c r="C150" s="59" t="str">
        <f>IFERROR(VLOOKUP(A150,Lookup!A:C,3,0),"")</f>
        <v/>
      </c>
      <c r="D150" s="59"/>
      <c r="E150" s="59"/>
      <c r="F150" s="59"/>
      <c r="G150" s="94"/>
      <c r="H150" s="59"/>
      <c r="I150" s="59"/>
      <c r="J150" s="106">
        <f>VLOOKUP(A150&amp;G150,Lookup!J:N,5,0)</f>
        <v>0</v>
      </c>
      <c r="K150" s="110"/>
      <c r="L150" s="110"/>
      <c r="M150" s="110"/>
      <c r="N150" s="110"/>
      <c r="O150" s="90">
        <f>IFERROR(VLOOKUP(A150&amp;G150,Lookup!J:K,2,0),"")</f>
        <v>0</v>
      </c>
      <c r="P150" s="110" t="str">
        <f t="shared" si="19"/>
        <v/>
      </c>
      <c r="Q150" s="110"/>
      <c r="R150" s="87" t="str">
        <f t="shared" si="20"/>
        <v/>
      </c>
      <c r="S150" s="87" t="str">
        <f t="shared" si="21"/>
        <v/>
      </c>
      <c r="T150" s="59"/>
      <c r="U150" s="59"/>
      <c r="V150" s="59"/>
      <c r="W150" s="59"/>
      <c r="X150" s="93" t="str">
        <f t="shared" si="18"/>
        <v>D</v>
      </c>
    </row>
    <row r="151" spans="1:24" x14ac:dyDescent="0.25">
      <c r="A151" s="53"/>
      <c r="B151" s="91" t="str">
        <f>IFERROR(VLOOKUP(A151,Lookup!A:B,2,0),"")</f>
        <v/>
      </c>
      <c r="C151" s="59" t="str">
        <f>IFERROR(VLOOKUP(A151,Lookup!A:C,3,0),"")</f>
        <v/>
      </c>
      <c r="D151" s="59"/>
      <c r="E151" s="59"/>
      <c r="F151" s="59"/>
      <c r="G151" s="94"/>
      <c r="H151" s="59"/>
      <c r="I151" s="59"/>
      <c r="J151" s="106">
        <f>VLOOKUP(A151&amp;G151,Lookup!J:N,5,0)</f>
        <v>0</v>
      </c>
      <c r="K151" s="110"/>
      <c r="L151" s="110"/>
      <c r="M151" s="110"/>
      <c r="N151" s="110"/>
      <c r="O151" s="90">
        <f>IFERROR(VLOOKUP(A151&amp;G151,Lookup!J:K,2,0),"")</f>
        <v>0</v>
      </c>
      <c r="P151" s="110" t="str">
        <f t="shared" si="19"/>
        <v/>
      </c>
      <c r="Q151" s="110"/>
      <c r="R151" s="87" t="str">
        <f t="shared" si="20"/>
        <v/>
      </c>
      <c r="S151" s="87" t="str">
        <f t="shared" si="21"/>
        <v/>
      </c>
      <c r="T151" s="59"/>
      <c r="U151" s="59"/>
      <c r="V151" s="59"/>
      <c r="W151" s="59"/>
      <c r="X151" s="93" t="str">
        <f t="shared" si="18"/>
        <v>D</v>
      </c>
    </row>
    <row r="152" spans="1:24" x14ac:dyDescent="0.25">
      <c r="A152" s="53"/>
      <c r="B152" s="91" t="str">
        <f>IFERROR(VLOOKUP(A152,Lookup!A:B,2,0),"")</f>
        <v/>
      </c>
      <c r="C152" s="59" t="str">
        <f>IFERROR(VLOOKUP(A152,Lookup!A:C,3,0),"")</f>
        <v/>
      </c>
      <c r="D152" s="59"/>
      <c r="E152" s="59"/>
      <c r="F152" s="59"/>
      <c r="G152" s="94"/>
      <c r="H152" s="59"/>
      <c r="I152" s="59"/>
      <c r="J152" s="106">
        <f>VLOOKUP(A152&amp;G152,Lookup!J:N,5,0)</f>
        <v>0</v>
      </c>
      <c r="K152" s="110"/>
      <c r="L152" s="110"/>
      <c r="M152" s="110"/>
      <c r="N152" s="110"/>
      <c r="O152" s="90">
        <f>IFERROR(VLOOKUP(A152&amp;G152,Lookup!J:K,2,0),"")</f>
        <v>0</v>
      </c>
      <c r="P152" s="110" t="str">
        <f t="shared" si="19"/>
        <v/>
      </c>
      <c r="Q152" s="110"/>
      <c r="R152" s="87" t="str">
        <f t="shared" si="20"/>
        <v/>
      </c>
      <c r="S152" s="87" t="str">
        <f t="shared" si="21"/>
        <v/>
      </c>
      <c r="T152" s="59"/>
      <c r="U152" s="59"/>
      <c r="V152" s="59"/>
      <c r="W152" s="59"/>
      <c r="X152" s="93" t="str">
        <f t="shared" si="18"/>
        <v>D</v>
      </c>
    </row>
    <row r="153" spans="1:24" x14ac:dyDescent="0.25">
      <c r="A153" s="53"/>
      <c r="B153" s="91" t="str">
        <f>IFERROR(VLOOKUP(A153,Lookup!A:B,2,0),"")</f>
        <v/>
      </c>
      <c r="C153" s="59" t="str">
        <f>IFERROR(VLOOKUP(A153,Lookup!A:C,3,0),"")</f>
        <v/>
      </c>
      <c r="D153" s="59"/>
      <c r="E153" s="59"/>
      <c r="F153" s="59"/>
      <c r="G153" s="94"/>
      <c r="H153" s="59"/>
      <c r="I153" s="59"/>
      <c r="J153" s="106">
        <f>VLOOKUP(A153&amp;G153,Lookup!J:N,5,0)</f>
        <v>0</v>
      </c>
      <c r="K153" s="110"/>
      <c r="L153" s="110"/>
      <c r="M153" s="110"/>
      <c r="N153" s="110"/>
      <c r="O153" s="90">
        <f>IFERROR(VLOOKUP(A153&amp;G153,Lookup!J:K,2,0),"")</f>
        <v>0</v>
      </c>
      <c r="P153" s="110" t="str">
        <f t="shared" si="19"/>
        <v/>
      </c>
      <c r="Q153" s="110"/>
      <c r="R153" s="87" t="str">
        <f t="shared" si="20"/>
        <v/>
      </c>
      <c r="S153" s="87" t="str">
        <f t="shared" si="21"/>
        <v/>
      </c>
      <c r="T153" s="59"/>
      <c r="U153" s="59"/>
      <c r="V153" s="59"/>
      <c r="W153" s="59"/>
      <c r="X153" s="93" t="str">
        <f t="shared" si="18"/>
        <v>D</v>
      </c>
    </row>
    <row r="154" spans="1:24" x14ac:dyDescent="0.25">
      <c r="A154" s="53"/>
      <c r="B154" s="91" t="str">
        <f>IFERROR(VLOOKUP(A154,Lookup!A:B,2,0),"")</f>
        <v/>
      </c>
      <c r="C154" s="59" t="str">
        <f>IFERROR(VLOOKUP(A154,Lookup!A:C,3,0),"")</f>
        <v/>
      </c>
      <c r="D154" s="59"/>
      <c r="E154" s="59"/>
      <c r="F154" s="59"/>
      <c r="G154" s="94"/>
      <c r="H154" s="59"/>
      <c r="I154" s="59"/>
      <c r="J154" s="106">
        <f>VLOOKUP(A154&amp;G154,Lookup!J:N,5,0)</f>
        <v>0</v>
      </c>
      <c r="K154" s="110"/>
      <c r="L154" s="110"/>
      <c r="M154" s="110"/>
      <c r="N154" s="110"/>
      <c r="O154" s="90">
        <f>IFERROR(VLOOKUP(A154&amp;G154,Lookup!J:K,2,0),"")</f>
        <v>0</v>
      </c>
      <c r="P154" s="110" t="str">
        <f t="shared" si="19"/>
        <v/>
      </c>
      <c r="Q154" s="110"/>
      <c r="R154" s="87" t="str">
        <f t="shared" si="20"/>
        <v/>
      </c>
      <c r="S154" s="87" t="str">
        <f t="shared" si="21"/>
        <v/>
      </c>
      <c r="T154" s="59"/>
      <c r="U154" s="59"/>
      <c r="V154" s="59"/>
      <c r="W154" s="59"/>
      <c r="X154" s="93" t="str">
        <f t="shared" si="18"/>
        <v>D</v>
      </c>
    </row>
    <row r="155" spans="1:24" x14ac:dyDescent="0.25">
      <c r="A155" s="53"/>
      <c r="B155" s="91" t="str">
        <f>IFERROR(VLOOKUP(A155,Lookup!A:B,2,0),"")</f>
        <v/>
      </c>
      <c r="C155" s="59" t="str">
        <f>IFERROR(VLOOKUP(A155,Lookup!A:C,3,0),"")</f>
        <v/>
      </c>
      <c r="D155" s="59"/>
      <c r="E155" s="59"/>
      <c r="F155" s="59"/>
      <c r="G155" s="94"/>
      <c r="H155" s="59"/>
      <c r="I155" s="59"/>
      <c r="J155" s="106">
        <f>VLOOKUP(A155&amp;G155,Lookup!J:N,5,0)</f>
        <v>0</v>
      </c>
      <c r="K155" s="110"/>
      <c r="L155" s="110"/>
      <c r="M155" s="110"/>
      <c r="N155" s="110"/>
      <c r="O155" s="90">
        <f>IFERROR(VLOOKUP(A155&amp;G155,Lookup!J:K,2,0),"")</f>
        <v>0</v>
      </c>
      <c r="P155" s="110" t="str">
        <f t="shared" si="19"/>
        <v/>
      </c>
      <c r="Q155" s="110"/>
      <c r="R155" s="87" t="str">
        <f t="shared" si="20"/>
        <v/>
      </c>
      <c r="S155" s="87" t="str">
        <f t="shared" si="21"/>
        <v/>
      </c>
      <c r="T155" s="59"/>
      <c r="U155" s="59"/>
      <c r="V155" s="59"/>
      <c r="W155" s="59"/>
      <c r="X155" s="93" t="str">
        <f t="shared" si="18"/>
        <v>D</v>
      </c>
    </row>
    <row r="156" spans="1:24" x14ac:dyDescent="0.25">
      <c r="A156" s="53"/>
      <c r="B156" s="91" t="str">
        <f>IFERROR(VLOOKUP(A156,Lookup!A:B,2,0),"")</f>
        <v/>
      </c>
      <c r="C156" s="59" t="str">
        <f>IFERROR(VLOOKUP(A156,Lookup!A:C,3,0),"")</f>
        <v/>
      </c>
      <c r="D156" s="59"/>
      <c r="E156" s="59"/>
      <c r="F156" s="59"/>
      <c r="G156" s="94"/>
      <c r="H156" s="59"/>
      <c r="I156" s="59"/>
      <c r="J156" s="106">
        <f>VLOOKUP(A156&amp;G156,Lookup!J:N,5,0)</f>
        <v>0</v>
      </c>
      <c r="K156" s="110"/>
      <c r="L156" s="110"/>
      <c r="M156" s="110"/>
      <c r="N156" s="110"/>
      <c r="O156" s="90">
        <f>IFERROR(VLOOKUP(A156&amp;G156,Lookup!J:K,2,0),"")</f>
        <v>0</v>
      </c>
      <c r="P156" s="110" t="str">
        <f t="shared" si="19"/>
        <v/>
      </c>
      <c r="Q156" s="110"/>
      <c r="R156" s="87" t="str">
        <f t="shared" si="20"/>
        <v/>
      </c>
      <c r="S156" s="87" t="str">
        <f t="shared" si="21"/>
        <v/>
      </c>
      <c r="T156" s="59"/>
      <c r="U156" s="59"/>
      <c r="V156" s="59"/>
      <c r="W156" s="59"/>
      <c r="X156" s="93" t="str">
        <f t="shared" si="18"/>
        <v>D</v>
      </c>
    </row>
    <row r="157" spans="1:24" x14ac:dyDescent="0.25">
      <c r="A157" s="53"/>
      <c r="B157" s="91" t="str">
        <f>IFERROR(VLOOKUP(A157,Lookup!A:B,2,0),"")</f>
        <v/>
      </c>
      <c r="C157" s="59" t="str">
        <f>IFERROR(VLOOKUP(A157,Lookup!A:C,3,0),"")</f>
        <v/>
      </c>
      <c r="D157" s="59"/>
      <c r="E157" s="59"/>
      <c r="F157" s="59"/>
      <c r="G157" s="94"/>
      <c r="H157" s="59"/>
      <c r="I157" s="59"/>
      <c r="J157" s="106">
        <f>VLOOKUP(A157&amp;G157,Lookup!J:N,5,0)</f>
        <v>0</v>
      </c>
      <c r="K157" s="110"/>
      <c r="L157" s="110"/>
      <c r="M157" s="110"/>
      <c r="N157" s="110"/>
      <c r="O157" s="90">
        <f>IFERROR(VLOOKUP(A157&amp;G157,Lookup!J:K,2,0),"")</f>
        <v>0</v>
      </c>
      <c r="P157" s="110" t="str">
        <f t="shared" si="19"/>
        <v/>
      </c>
      <c r="Q157" s="110"/>
      <c r="R157" s="87" t="str">
        <f t="shared" si="20"/>
        <v/>
      </c>
      <c r="S157" s="87" t="str">
        <f t="shared" si="21"/>
        <v/>
      </c>
      <c r="T157" s="59"/>
      <c r="U157" s="59"/>
      <c r="V157" s="59"/>
      <c r="W157" s="59"/>
      <c r="X157" s="93" t="str">
        <f t="shared" si="18"/>
        <v>D</v>
      </c>
    </row>
    <row r="158" spans="1:24" x14ac:dyDescent="0.25">
      <c r="A158" s="53"/>
      <c r="B158" s="91" t="str">
        <f>IFERROR(VLOOKUP(A158,Lookup!A:B,2,0),"")</f>
        <v/>
      </c>
      <c r="C158" s="59" t="str">
        <f>IFERROR(VLOOKUP(A158,Lookup!A:C,3,0),"")</f>
        <v/>
      </c>
      <c r="D158" s="59"/>
      <c r="E158" s="59"/>
      <c r="F158" s="59"/>
      <c r="G158" s="94"/>
      <c r="H158" s="59"/>
      <c r="I158" s="59"/>
      <c r="J158" s="106">
        <f>VLOOKUP(A158&amp;G158,Lookup!J:N,5,0)</f>
        <v>0</v>
      </c>
      <c r="K158" s="110"/>
      <c r="L158" s="110"/>
      <c r="M158" s="110"/>
      <c r="N158" s="110"/>
      <c r="O158" s="90">
        <f>IFERROR(VLOOKUP(A158&amp;G158,Lookup!J:K,2,0),"")</f>
        <v>0</v>
      </c>
      <c r="P158" s="110" t="str">
        <f t="shared" si="19"/>
        <v/>
      </c>
      <c r="Q158" s="110"/>
      <c r="R158" s="87" t="str">
        <f t="shared" si="20"/>
        <v/>
      </c>
      <c r="S158" s="87" t="str">
        <f t="shared" si="21"/>
        <v/>
      </c>
      <c r="T158" s="59"/>
      <c r="U158" s="59"/>
      <c r="V158" s="59"/>
      <c r="W158" s="59"/>
      <c r="X158" s="93" t="str">
        <f t="shared" si="18"/>
        <v>D</v>
      </c>
    </row>
    <row r="159" spans="1:24" x14ac:dyDescent="0.25">
      <c r="A159" s="53"/>
      <c r="B159" s="91" t="str">
        <f>IFERROR(VLOOKUP(A159,Lookup!A:B,2,0),"")</f>
        <v/>
      </c>
      <c r="C159" s="59" t="str">
        <f>IFERROR(VLOOKUP(A159,Lookup!A:C,3,0),"")</f>
        <v/>
      </c>
      <c r="D159" s="59"/>
      <c r="E159" s="59"/>
      <c r="F159" s="59"/>
      <c r="G159" s="94"/>
      <c r="H159" s="59"/>
      <c r="I159" s="59"/>
      <c r="J159" s="106">
        <f>VLOOKUP(A159&amp;G159,Lookup!J:N,5,0)</f>
        <v>0</v>
      </c>
      <c r="K159" s="110"/>
      <c r="L159" s="110"/>
      <c r="M159" s="110"/>
      <c r="N159" s="110"/>
      <c r="O159" s="90">
        <f>IFERROR(VLOOKUP(A159&amp;G159,Lookup!J:K,2,0),"")</f>
        <v>0</v>
      </c>
      <c r="P159" s="110" t="str">
        <f t="shared" si="19"/>
        <v/>
      </c>
      <c r="Q159" s="110"/>
      <c r="R159" s="87" t="str">
        <f t="shared" si="20"/>
        <v/>
      </c>
      <c r="S159" s="87" t="str">
        <f t="shared" si="21"/>
        <v/>
      </c>
      <c r="T159" s="59"/>
      <c r="U159" s="59"/>
      <c r="V159" s="59"/>
      <c r="W159" s="59"/>
      <c r="X159" s="93" t="str">
        <f t="shared" si="18"/>
        <v>D</v>
      </c>
    </row>
    <row r="160" spans="1:24" x14ac:dyDescent="0.25">
      <c r="A160" s="53"/>
      <c r="B160" s="91" t="str">
        <f>IFERROR(VLOOKUP(A160,Lookup!A:B,2,0),"")</f>
        <v/>
      </c>
      <c r="C160" s="59" t="str">
        <f>IFERROR(VLOOKUP(A160,Lookup!A:C,3,0),"")</f>
        <v/>
      </c>
      <c r="D160" s="59"/>
      <c r="E160" s="59"/>
      <c r="F160" s="59"/>
      <c r="G160" s="94"/>
      <c r="H160" s="59"/>
      <c r="I160" s="59"/>
      <c r="J160" s="106">
        <f>VLOOKUP(A160&amp;G160,Lookup!J:N,5,0)</f>
        <v>0</v>
      </c>
      <c r="K160" s="110"/>
      <c r="L160" s="110"/>
      <c r="M160" s="110"/>
      <c r="N160" s="110"/>
      <c r="O160" s="90">
        <f>IFERROR(VLOOKUP(A160&amp;G160,Lookup!J:K,2,0),"")</f>
        <v>0</v>
      </c>
      <c r="P160" s="110" t="str">
        <f t="shared" si="19"/>
        <v/>
      </c>
      <c r="Q160" s="110"/>
      <c r="R160" s="87" t="str">
        <f t="shared" si="20"/>
        <v/>
      </c>
      <c r="S160" s="87" t="str">
        <f t="shared" si="21"/>
        <v/>
      </c>
      <c r="T160" s="59"/>
      <c r="U160" s="59"/>
      <c r="V160" s="59"/>
      <c r="W160" s="59"/>
      <c r="X160" s="93" t="str">
        <f t="shared" si="18"/>
        <v>D</v>
      </c>
    </row>
    <row r="161" spans="1:24" x14ac:dyDescent="0.25">
      <c r="A161" s="53"/>
      <c r="B161" s="91" t="str">
        <f>IFERROR(VLOOKUP(A161,Lookup!A:B,2,0),"")</f>
        <v/>
      </c>
      <c r="C161" s="59" t="str">
        <f>IFERROR(VLOOKUP(A161,Lookup!A:C,3,0),"")</f>
        <v/>
      </c>
      <c r="D161" s="59"/>
      <c r="E161" s="59"/>
      <c r="F161" s="59"/>
      <c r="G161" s="94"/>
      <c r="H161" s="59"/>
      <c r="I161" s="59"/>
      <c r="J161" s="106">
        <f>VLOOKUP(A161&amp;G161,Lookup!J:N,5,0)</f>
        <v>0</v>
      </c>
      <c r="K161" s="110"/>
      <c r="L161" s="110"/>
      <c r="M161" s="110"/>
      <c r="N161" s="110"/>
      <c r="O161" s="90">
        <f>IFERROR(VLOOKUP(A161&amp;G161,Lookup!J:K,2,0),"")</f>
        <v>0</v>
      </c>
      <c r="P161" s="110" t="str">
        <f t="shared" si="19"/>
        <v/>
      </c>
      <c r="Q161" s="110"/>
      <c r="R161" s="87" t="str">
        <f t="shared" si="20"/>
        <v/>
      </c>
      <c r="S161" s="87" t="str">
        <f t="shared" si="21"/>
        <v/>
      </c>
      <c r="T161" s="59"/>
      <c r="U161" s="59"/>
      <c r="V161" s="59"/>
      <c r="W161" s="59"/>
      <c r="X161" s="93" t="str">
        <f t="shared" si="18"/>
        <v>D</v>
      </c>
    </row>
    <row r="162" spans="1:24" x14ac:dyDescent="0.25">
      <c r="A162" s="53"/>
      <c r="B162" s="91" t="str">
        <f>IFERROR(VLOOKUP(A162,Lookup!A:B,2,0),"")</f>
        <v/>
      </c>
      <c r="C162" s="59" t="str">
        <f>IFERROR(VLOOKUP(A162,Lookup!A:C,3,0),"")</f>
        <v/>
      </c>
      <c r="D162" s="59"/>
      <c r="E162" s="59"/>
      <c r="F162" s="59"/>
      <c r="G162" s="94"/>
      <c r="H162" s="59"/>
      <c r="I162" s="59"/>
      <c r="J162" s="106">
        <f>VLOOKUP(A162&amp;G162,Lookup!J:N,5,0)</f>
        <v>0</v>
      </c>
      <c r="K162" s="110"/>
      <c r="L162" s="110"/>
      <c r="M162" s="110"/>
      <c r="N162" s="110"/>
      <c r="O162" s="90">
        <f>IFERROR(VLOOKUP(A162&amp;G162,Lookup!J:K,2,0),"")</f>
        <v>0</v>
      </c>
      <c r="P162" s="110" t="str">
        <f t="shared" si="19"/>
        <v/>
      </c>
      <c r="Q162" s="110"/>
      <c r="R162" s="87" t="str">
        <f t="shared" si="20"/>
        <v/>
      </c>
      <c r="S162" s="87" t="str">
        <f t="shared" si="21"/>
        <v/>
      </c>
      <c r="T162" s="59"/>
      <c r="U162" s="59"/>
      <c r="V162" s="59"/>
      <c r="W162" s="59"/>
      <c r="X162" s="93" t="str">
        <f t="shared" si="18"/>
        <v>D</v>
      </c>
    </row>
    <row r="163" spans="1:24" x14ac:dyDescent="0.25">
      <c r="A163" s="53"/>
      <c r="B163" s="91" t="str">
        <f>IFERROR(VLOOKUP(A163,Lookup!A:B,2,0),"")</f>
        <v/>
      </c>
      <c r="C163" s="59" t="str">
        <f>IFERROR(VLOOKUP(A163,Lookup!A:C,3,0),"")</f>
        <v/>
      </c>
      <c r="D163" s="59"/>
      <c r="E163" s="59"/>
      <c r="F163" s="59"/>
      <c r="G163" s="94"/>
      <c r="H163" s="59"/>
      <c r="I163" s="59"/>
      <c r="J163" s="106">
        <f>VLOOKUP(A163&amp;G163,Lookup!J:N,5,0)</f>
        <v>0</v>
      </c>
      <c r="K163" s="110"/>
      <c r="L163" s="110"/>
      <c r="M163" s="110"/>
      <c r="N163" s="110"/>
      <c r="O163" s="90">
        <f>IFERROR(VLOOKUP(A163&amp;G163,Lookup!J:K,2,0),"")</f>
        <v>0</v>
      </c>
      <c r="P163" s="110" t="str">
        <f t="shared" si="19"/>
        <v/>
      </c>
      <c r="Q163" s="110"/>
      <c r="R163" s="87" t="str">
        <f t="shared" si="20"/>
        <v/>
      </c>
      <c r="S163" s="87" t="str">
        <f t="shared" si="21"/>
        <v/>
      </c>
      <c r="T163" s="59"/>
      <c r="U163" s="59"/>
      <c r="V163" s="59"/>
      <c r="W163" s="59"/>
      <c r="X163" s="93" t="str">
        <f t="shared" si="18"/>
        <v>D</v>
      </c>
    </row>
    <row r="164" spans="1:24" x14ac:dyDescent="0.25">
      <c r="A164" s="53"/>
      <c r="B164" s="91" t="str">
        <f>IFERROR(VLOOKUP(A164,Lookup!A:B,2,0),"")</f>
        <v/>
      </c>
      <c r="C164" s="59" t="str">
        <f>IFERROR(VLOOKUP(A164,Lookup!A:C,3,0),"")</f>
        <v/>
      </c>
      <c r="D164" s="59"/>
      <c r="E164" s="59"/>
      <c r="F164" s="59"/>
      <c r="G164" s="94"/>
      <c r="H164" s="59"/>
      <c r="I164" s="59"/>
      <c r="J164" s="106">
        <f>VLOOKUP(A164&amp;G164,Lookup!J:N,5,0)</f>
        <v>0</v>
      </c>
      <c r="K164" s="110"/>
      <c r="L164" s="110"/>
      <c r="M164" s="110"/>
      <c r="N164" s="110"/>
      <c r="O164" s="90">
        <f>IFERROR(VLOOKUP(A164&amp;G164,Lookup!J:K,2,0),"")</f>
        <v>0</v>
      </c>
      <c r="P164" s="110" t="str">
        <f t="shared" si="19"/>
        <v/>
      </c>
      <c r="Q164" s="110"/>
      <c r="R164" s="87" t="str">
        <f t="shared" si="20"/>
        <v/>
      </c>
      <c r="S164" s="87" t="str">
        <f t="shared" si="21"/>
        <v/>
      </c>
      <c r="T164" s="59"/>
      <c r="U164" s="59"/>
      <c r="V164" s="59"/>
      <c r="W164" s="59"/>
      <c r="X164" s="93" t="str">
        <f t="shared" si="18"/>
        <v>D</v>
      </c>
    </row>
    <row r="165" spans="1:24" x14ac:dyDescent="0.25">
      <c r="A165" s="53"/>
      <c r="B165" s="91" t="str">
        <f>IFERROR(VLOOKUP(A165,Lookup!A:B,2,0),"")</f>
        <v/>
      </c>
      <c r="C165" s="59" t="str">
        <f>IFERROR(VLOOKUP(A165,Lookup!A:C,3,0),"")</f>
        <v/>
      </c>
      <c r="D165" s="59"/>
      <c r="E165" s="59"/>
      <c r="F165" s="59"/>
      <c r="G165" s="94"/>
      <c r="H165" s="59"/>
      <c r="I165" s="59"/>
      <c r="J165" s="106">
        <f>VLOOKUP(A165&amp;G165,Lookup!J:N,5,0)</f>
        <v>0</v>
      </c>
      <c r="K165" s="110"/>
      <c r="L165" s="110"/>
      <c r="M165" s="110"/>
      <c r="N165" s="110"/>
      <c r="O165" s="90">
        <f>IFERROR(VLOOKUP(A165&amp;G165,Lookup!J:K,2,0),"")</f>
        <v>0</v>
      </c>
      <c r="P165" s="110" t="str">
        <f t="shared" si="19"/>
        <v/>
      </c>
      <c r="Q165" s="110"/>
      <c r="R165" s="87" t="str">
        <f t="shared" si="20"/>
        <v/>
      </c>
      <c r="S165" s="87" t="str">
        <f t="shared" si="21"/>
        <v/>
      </c>
      <c r="T165" s="59"/>
      <c r="U165" s="59"/>
      <c r="V165" s="59"/>
      <c r="W165" s="59"/>
      <c r="X165" s="93" t="str">
        <f t="shared" si="18"/>
        <v>D</v>
      </c>
    </row>
    <row r="166" spans="1:24" x14ac:dyDescent="0.25">
      <c r="A166" s="53"/>
      <c r="B166" s="91" t="str">
        <f>IFERROR(VLOOKUP(A166,Lookup!A:B,2,0),"")</f>
        <v/>
      </c>
      <c r="C166" s="59" t="str">
        <f>IFERROR(VLOOKUP(A166,Lookup!A:C,3,0),"")</f>
        <v/>
      </c>
      <c r="D166" s="59"/>
      <c r="E166" s="59"/>
      <c r="F166" s="59"/>
      <c r="G166" s="94"/>
      <c r="H166" s="59"/>
      <c r="I166" s="59"/>
      <c r="J166" s="106">
        <f>VLOOKUP(A166&amp;G166,Lookup!J:N,5,0)</f>
        <v>0</v>
      </c>
      <c r="K166" s="110"/>
      <c r="L166" s="110"/>
      <c r="M166" s="110"/>
      <c r="N166" s="110"/>
      <c r="O166" s="90">
        <f>IFERROR(VLOOKUP(A166&amp;G166,Lookup!J:K,2,0),"")</f>
        <v>0</v>
      </c>
      <c r="P166" s="110" t="str">
        <f t="shared" si="19"/>
        <v/>
      </c>
      <c r="Q166" s="110"/>
      <c r="R166" s="87" t="str">
        <f t="shared" si="20"/>
        <v/>
      </c>
      <c r="S166" s="87" t="str">
        <f t="shared" si="21"/>
        <v/>
      </c>
      <c r="T166" s="59"/>
      <c r="U166" s="59"/>
      <c r="V166" s="59"/>
      <c r="W166" s="59"/>
      <c r="X166" s="93" t="str">
        <f t="shared" si="18"/>
        <v>D</v>
      </c>
    </row>
    <row r="167" spans="1:24" x14ac:dyDescent="0.25">
      <c r="A167" s="53"/>
      <c r="B167" s="91" t="str">
        <f>IFERROR(VLOOKUP(A167,Lookup!A:B,2,0),"")</f>
        <v/>
      </c>
      <c r="C167" s="59" t="str">
        <f>IFERROR(VLOOKUP(A167,Lookup!A:C,3,0),"")</f>
        <v/>
      </c>
      <c r="D167" s="59"/>
      <c r="E167" s="59"/>
      <c r="F167" s="59"/>
      <c r="G167" s="94"/>
      <c r="H167" s="59"/>
      <c r="I167" s="59"/>
      <c r="J167" s="106">
        <f>VLOOKUP(A167&amp;G167,Lookup!J:N,5,0)</f>
        <v>0</v>
      </c>
      <c r="K167" s="110"/>
      <c r="L167" s="110"/>
      <c r="M167" s="110"/>
      <c r="N167" s="110"/>
      <c r="O167" s="90">
        <f>IFERROR(VLOOKUP(A167&amp;G167,Lookup!J:K,2,0),"")</f>
        <v>0</v>
      </c>
      <c r="P167" s="110" t="str">
        <f t="shared" si="19"/>
        <v/>
      </c>
      <c r="Q167" s="110"/>
      <c r="R167" s="87" t="str">
        <f t="shared" si="20"/>
        <v/>
      </c>
      <c r="S167" s="87" t="str">
        <f t="shared" si="21"/>
        <v/>
      </c>
      <c r="T167" s="59"/>
      <c r="U167" s="59"/>
      <c r="V167" s="59"/>
      <c r="W167" s="59"/>
      <c r="X167" s="93" t="str">
        <f t="shared" si="18"/>
        <v>D</v>
      </c>
    </row>
    <row r="168" spans="1:24" x14ac:dyDescent="0.25">
      <c r="A168" s="53"/>
      <c r="B168" s="91" t="str">
        <f>IFERROR(VLOOKUP(A168,Lookup!A:B,2,0),"")</f>
        <v/>
      </c>
      <c r="C168" s="59" t="str">
        <f>IFERROR(VLOOKUP(A168,Lookup!A:C,3,0),"")</f>
        <v/>
      </c>
      <c r="D168" s="59"/>
      <c r="E168" s="59"/>
      <c r="F168" s="59"/>
      <c r="G168" s="94"/>
      <c r="H168" s="59"/>
      <c r="I168" s="59"/>
      <c r="J168" s="106">
        <f>VLOOKUP(A168&amp;G168,Lookup!J:N,5,0)</f>
        <v>0</v>
      </c>
      <c r="K168" s="110"/>
      <c r="L168" s="110"/>
      <c r="M168" s="110"/>
      <c r="N168" s="110"/>
      <c r="O168" s="90">
        <f>IFERROR(VLOOKUP(A168&amp;G168,Lookup!J:K,2,0),"")</f>
        <v>0</v>
      </c>
      <c r="P168" s="110" t="str">
        <f t="shared" si="19"/>
        <v/>
      </c>
      <c r="Q168" s="110"/>
      <c r="R168" s="87" t="str">
        <f t="shared" si="20"/>
        <v/>
      </c>
      <c r="S168" s="87" t="str">
        <f t="shared" si="21"/>
        <v/>
      </c>
      <c r="T168" s="59"/>
      <c r="U168" s="59"/>
      <c r="V168" s="59"/>
      <c r="W168" s="59"/>
      <c r="X168" s="93" t="str">
        <f t="shared" si="18"/>
        <v>D</v>
      </c>
    </row>
    <row r="169" spans="1:24" x14ac:dyDescent="0.25">
      <c r="A169" s="53"/>
      <c r="B169" s="91" t="str">
        <f>IFERROR(VLOOKUP(A169,Lookup!A:B,2,0),"")</f>
        <v/>
      </c>
      <c r="C169" s="59" t="str">
        <f>IFERROR(VLOOKUP(A169,Lookup!A:C,3,0),"")</f>
        <v/>
      </c>
      <c r="D169" s="59"/>
      <c r="E169" s="59"/>
      <c r="F169" s="59"/>
      <c r="G169" s="94"/>
      <c r="H169" s="59"/>
      <c r="I169" s="59"/>
      <c r="J169" s="106">
        <f>VLOOKUP(A169&amp;G169,Lookup!J:N,5,0)</f>
        <v>0</v>
      </c>
      <c r="K169" s="110"/>
      <c r="L169" s="110"/>
      <c r="M169" s="110"/>
      <c r="N169" s="110"/>
      <c r="O169" s="90">
        <f>IFERROR(VLOOKUP(A169&amp;G169,Lookup!J:K,2,0),"")</f>
        <v>0</v>
      </c>
      <c r="P169" s="110" t="str">
        <f t="shared" si="19"/>
        <v/>
      </c>
      <c r="Q169" s="110"/>
      <c r="R169" s="87" t="str">
        <f t="shared" si="20"/>
        <v/>
      </c>
      <c r="S169" s="87" t="str">
        <f t="shared" si="21"/>
        <v/>
      </c>
      <c r="T169" s="59"/>
      <c r="U169" s="59"/>
      <c r="V169" s="59"/>
      <c r="W169" s="59"/>
      <c r="X169" s="93" t="str">
        <f t="shared" si="18"/>
        <v>D</v>
      </c>
    </row>
    <row r="170" spans="1:24" x14ac:dyDescent="0.25">
      <c r="A170" s="53"/>
      <c r="B170" s="91" t="str">
        <f>IFERROR(VLOOKUP(A170,Lookup!A:B,2,0),"")</f>
        <v/>
      </c>
      <c r="C170" s="59" t="str">
        <f>IFERROR(VLOOKUP(A170,Lookup!A:C,3,0),"")</f>
        <v/>
      </c>
      <c r="D170" s="59"/>
      <c r="E170" s="59"/>
      <c r="F170" s="59"/>
      <c r="G170" s="94"/>
      <c r="H170" s="59"/>
      <c r="I170" s="59"/>
      <c r="J170" s="106">
        <f>VLOOKUP(A170&amp;G170,Lookup!J:N,5,0)</f>
        <v>0</v>
      </c>
      <c r="K170" s="110"/>
      <c r="L170" s="110"/>
      <c r="M170" s="110"/>
      <c r="N170" s="110"/>
      <c r="O170" s="90">
        <f>IFERROR(VLOOKUP(A170&amp;G170,Lookup!J:K,2,0),"")</f>
        <v>0</v>
      </c>
      <c r="P170" s="110" t="str">
        <f t="shared" si="19"/>
        <v/>
      </c>
      <c r="Q170" s="110"/>
      <c r="R170" s="87" t="str">
        <f t="shared" si="20"/>
        <v/>
      </c>
      <c r="S170" s="87" t="str">
        <f t="shared" si="21"/>
        <v/>
      </c>
      <c r="T170" s="59"/>
      <c r="U170" s="59"/>
      <c r="V170" s="59"/>
      <c r="W170" s="59"/>
      <c r="X170" s="93" t="str">
        <f t="shared" si="18"/>
        <v>D</v>
      </c>
    </row>
    <row r="171" spans="1:24" x14ac:dyDescent="0.25">
      <c r="A171" s="53"/>
      <c r="B171" s="91" t="str">
        <f>IFERROR(VLOOKUP(A171,Lookup!A:B,2,0),"")</f>
        <v/>
      </c>
      <c r="C171" s="59" t="str">
        <f>IFERROR(VLOOKUP(A171,Lookup!A:C,3,0),"")</f>
        <v/>
      </c>
      <c r="D171" s="59"/>
      <c r="E171" s="59"/>
      <c r="F171" s="59"/>
      <c r="G171" s="94"/>
      <c r="H171" s="59"/>
      <c r="I171" s="59"/>
      <c r="J171" s="106">
        <f>VLOOKUP(A171&amp;G171,Lookup!J:N,5,0)</f>
        <v>0</v>
      </c>
      <c r="K171" s="110"/>
      <c r="L171" s="110"/>
      <c r="M171" s="110"/>
      <c r="N171" s="110"/>
      <c r="O171" s="90">
        <f>IFERROR(VLOOKUP(A171&amp;G171,Lookup!J:K,2,0),"")</f>
        <v>0</v>
      </c>
      <c r="P171" s="110" t="str">
        <f t="shared" si="19"/>
        <v/>
      </c>
      <c r="Q171" s="110"/>
      <c r="R171" s="87" t="str">
        <f t="shared" si="20"/>
        <v/>
      </c>
      <c r="S171" s="87" t="str">
        <f t="shared" si="21"/>
        <v/>
      </c>
      <c r="T171" s="59"/>
      <c r="U171" s="59"/>
      <c r="V171" s="59"/>
      <c r="W171" s="59"/>
      <c r="X171" s="93" t="str">
        <f t="shared" si="18"/>
        <v>D</v>
      </c>
    </row>
    <row r="172" spans="1:24" x14ac:dyDescent="0.25">
      <c r="A172" s="53"/>
      <c r="B172" s="91" t="str">
        <f>IFERROR(VLOOKUP(A172,Lookup!A:B,2,0),"")</f>
        <v/>
      </c>
      <c r="C172" s="59" t="str">
        <f>IFERROR(VLOOKUP(A172,Lookup!A:C,3,0),"")</f>
        <v/>
      </c>
      <c r="D172" s="59"/>
      <c r="E172" s="59"/>
      <c r="F172" s="59"/>
      <c r="G172" s="94"/>
      <c r="H172" s="59"/>
      <c r="I172" s="59"/>
      <c r="J172" s="106">
        <f>VLOOKUP(A172&amp;G172,Lookup!J:N,5,0)</f>
        <v>0</v>
      </c>
      <c r="K172" s="110"/>
      <c r="L172" s="110"/>
      <c r="M172" s="110"/>
      <c r="N172" s="110"/>
      <c r="O172" s="90">
        <f>IFERROR(VLOOKUP(A172&amp;G172,Lookup!J:K,2,0),"")</f>
        <v>0</v>
      </c>
      <c r="P172" s="110" t="str">
        <f t="shared" si="19"/>
        <v/>
      </c>
      <c r="Q172" s="110"/>
      <c r="R172" s="87" t="str">
        <f t="shared" si="20"/>
        <v/>
      </c>
      <c r="S172" s="87" t="str">
        <f t="shared" si="21"/>
        <v/>
      </c>
      <c r="T172" s="59"/>
      <c r="U172" s="59"/>
      <c r="V172" s="59"/>
      <c r="W172" s="59"/>
      <c r="X172" s="93" t="str">
        <f t="shared" si="18"/>
        <v>D</v>
      </c>
    </row>
    <row r="173" spans="1:24" x14ac:dyDescent="0.25">
      <c r="A173" s="53"/>
      <c r="B173" s="91" t="str">
        <f>IFERROR(VLOOKUP(A173,Lookup!A:B,2,0),"")</f>
        <v/>
      </c>
      <c r="C173" s="59" t="str">
        <f>IFERROR(VLOOKUP(A173,Lookup!A:C,3,0),"")</f>
        <v/>
      </c>
      <c r="D173" s="59"/>
      <c r="E173" s="59"/>
      <c r="F173" s="59"/>
      <c r="G173" s="94"/>
      <c r="H173" s="59"/>
      <c r="I173" s="59"/>
      <c r="J173" s="106">
        <f>VLOOKUP(A173&amp;G173,Lookup!J:N,5,0)</f>
        <v>0</v>
      </c>
      <c r="K173" s="110"/>
      <c r="L173" s="110"/>
      <c r="M173" s="110"/>
      <c r="N173" s="110"/>
      <c r="O173" s="90">
        <f>IFERROR(VLOOKUP(A173&amp;G173,Lookup!J:K,2,0),"")</f>
        <v>0</v>
      </c>
      <c r="P173" s="110" t="str">
        <f t="shared" si="19"/>
        <v/>
      </c>
      <c r="Q173" s="110"/>
      <c r="R173" s="87" t="str">
        <f t="shared" si="20"/>
        <v/>
      </c>
      <c r="S173" s="87" t="str">
        <f t="shared" si="21"/>
        <v/>
      </c>
      <c r="T173" s="59"/>
      <c r="U173" s="59"/>
      <c r="V173" s="59"/>
      <c r="W173" s="59"/>
      <c r="X173" s="93" t="str">
        <f t="shared" si="18"/>
        <v>D</v>
      </c>
    </row>
    <row r="174" spans="1:24" x14ac:dyDescent="0.25">
      <c r="A174" s="53"/>
      <c r="B174" s="91" t="str">
        <f>IFERROR(VLOOKUP(A174,Lookup!A:B,2,0),"")</f>
        <v/>
      </c>
      <c r="C174" s="59" t="str">
        <f>IFERROR(VLOOKUP(A174,Lookup!A:C,3,0),"")</f>
        <v/>
      </c>
      <c r="D174" s="59"/>
      <c r="E174" s="59"/>
      <c r="F174" s="59"/>
      <c r="G174" s="94"/>
      <c r="H174" s="59"/>
      <c r="I174" s="59"/>
      <c r="J174" s="106">
        <f>VLOOKUP(A174&amp;G174,Lookup!J:N,5,0)</f>
        <v>0</v>
      </c>
      <c r="K174" s="110"/>
      <c r="L174" s="110"/>
      <c r="M174" s="110"/>
      <c r="N174" s="110"/>
      <c r="O174" s="90">
        <f>IFERROR(VLOOKUP(A174&amp;G174,Lookup!J:K,2,0),"")</f>
        <v>0</v>
      </c>
      <c r="P174" s="110" t="str">
        <f t="shared" si="19"/>
        <v/>
      </c>
      <c r="Q174" s="110"/>
      <c r="R174" s="87" t="str">
        <f t="shared" si="20"/>
        <v/>
      </c>
      <c r="S174" s="87" t="str">
        <f t="shared" si="21"/>
        <v/>
      </c>
      <c r="T174" s="59"/>
      <c r="U174" s="59"/>
      <c r="V174" s="59"/>
      <c r="W174" s="59"/>
      <c r="X174" s="93" t="str">
        <f t="shared" si="18"/>
        <v>D</v>
      </c>
    </row>
    <row r="175" spans="1:24" x14ac:dyDescent="0.25">
      <c r="A175" s="53"/>
      <c r="B175" s="91" t="str">
        <f>IFERROR(VLOOKUP(A175,Lookup!A:B,2,0),"")</f>
        <v/>
      </c>
      <c r="C175" s="59" t="str">
        <f>IFERROR(VLOOKUP(A175,Lookup!A:C,3,0),"")</f>
        <v/>
      </c>
      <c r="D175" s="59"/>
      <c r="E175" s="59"/>
      <c r="F175" s="59"/>
      <c r="G175" s="94"/>
      <c r="H175" s="59"/>
      <c r="I175" s="59"/>
      <c r="J175" s="106">
        <f>VLOOKUP(A175&amp;G175,Lookup!J:N,5,0)</f>
        <v>0</v>
      </c>
      <c r="K175" s="110"/>
      <c r="L175" s="110"/>
      <c r="M175" s="110"/>
      <c r="N175" s="110"/>
      <c r="O175" s="90">
        <f>IFERROR(VLOOKUP(A175&amp;G175,Lookup!J:K,2,0),"")</f>
        <v>0</v>
      </c>
      <c r="P175" s="110" t="str">
        <f t="shared" si="19"/>
        <v/>
      </c>
      <c r="Q175" s="110"/>
      <c r="R175" s="87" t="str">
        <f t="shared" si="20"/>
        <v/>
      </c>
      <c r="S175" s="87" t="str">
        <f t="shared" si="21"/>
        <v/>
      </c>
      <c r="T175" s="59"/>
      <c r="U175" s="59"/>
      <c r="V175" s="59"/>
      <c r="W175" s="59"/>
      <c r="X175" s="93" t="str">
        <f t="shared" si="18"/>
        <v>D</v>
      </c>
    </row>
    <row r="176" spans="1:24" x14ac:dyDescent="0.25">
      <c r="A176" s="53"/>
      <c r="B176" s="91" t="str">
        <f>IFERROR(VLOOKUP(A176,Lookup!A:B,2,0),"")</f>
        <v/>
      </c>
      <c r="C176" s="59" t="str">
        <f>IFERROR(VLOOKUP(A176,Lookup!A:C,3,0),"")</f>
        <v/>
      </c>
      <c r="D176" s="59"/>
      <c r="E176" s="59"/>
      <c r="F176" s="59"/>
      <c r="G176" s="94"/>
      <c r="H176" s="59"/>
      <c r="I176" s="59"/>
      <c r="J176" s="106">
        <f>VLOOKUP(A176&amp;G176,Lookup!J:N,5,0)</f>
        <v>0</v>
      </c>
      <c r="K176" s="110"/>
      <c r="L176" s="110"/>
      <c r="M176" s="110"/>
      <c r="N176" s="110"/>
      <c r="O176" s="90">
        <f>IFERROR(VLOOKUP(A176&amp;G176,Lookup!J:K,2,0),"")</f>
        <v>0</v>
      </c>
      <c r="P176" s="110" t="str">
        <f t="shared" si="19"/>
        <v/>
      </c>
      <c r="Q176" s="110"/>
      <c r="R176" s="87" t="str">
        <f t="shared" si="20"/>
        <v/>
      </c>
      <c r="S176" s="87" t="str">
        <f t="shared" si="21"/>
        <v/>
      </c>
      <c r="T176" s="59"/>
      <c r="U176" s="59"/>
      <c r="V176" s="59"/>
      <c r="W176" s="59"/>
      <c r="X176" s="93" t="str">
        <f t="shared" si="18"/>
        <v>D</v>
      </c>
    </row>
    <row r="177" spans="1:24" x14ac:dyDescent="0.25">
      <c r="A177" s="53"/>
      <c r="B177" s="91" t="str">
        <f>IFERROR(VLOOKUP(A177,Lookup!A:B,2,0),"")</f>
        <v/>
      </c>
      <c r="C177" s="59" t="str">
        <f>IFERROR(VLOOKUP(A177,Lookup!A:C,3,0),"")</f>
        <v/>
      </c>
      <c r="D177" s="59"/>
      <c r="E177" s="59"/>
      <c r="F177" s="59"/>
      <c r="G177" s="94"/>
      <c r="H177" s="59"/>
      <c r="I177" s="59"/>
      <c r="J177" s="106">
        <f>VLOOKUP(A177&amp;G177,Lookup!J:N,5,0)</f>
        <v>0</v>
      </c>
      <c r="K177" s="110"/>
      <c r="L177" s="110"/>
      <c r="M177" s="110"/>
      <c r="N177" s="110"/>
      <c r="O177" s="90">
        <f>IFERROR(VLOOKUP(A177&amp;G177,Lookup!J:K,2,0),"")</f>
        <v>0</v>
      </c>
      <c r="P177" s="110" t="str">
        <f t="shared" si="19"/>
        <v/>
      </c>
      <c r="Q177" s="110"/>
      <c r="R177" s="87" t="str">
        <f t="shared" si="20"/>
        <v/>
      </c>
      <c r="S177" s="87" t="str">
        <f t="shared" si="21"/>
        <v/>
      </c>
      <c r="T177" s="59"/>
      <c r="U177" s="59"/>
      <c r="V177" s="59"/>
      <c r="W177" s="59"/>
      <c r="X177" s="93" t="str">
        <f t="shared" si="18"/>
        <v>D</v>
      </c>
    </row>
    <row r="178" spans="1:24" x14ac:dyDescent="0.25">
      <c r="A178" s="53"/>
      <c r="B178" s="91" t="str">
        <f>IFERROR(VLOOKUP(A178,Lookup!A:B,2,0),"")</f>
        <v/>
      </c>
      <c r="C178" s="59" t="str">
        <f>IFERROR(VLOOKUP(A178,Lookup!A:C,3,0),"")</f>
        <v/>
      </c>
      <c r="D178" s="59"/>
      <c r="E178" s="59"/>
      <c r="F178" s="59"/>
      <c r="G178" s="94"/>
      <c r="H178" s="59"/>
      <c r="I178" s="59"/>
      <c r="J178" s="106">
        <f>VLOOKUP(A178&amp;G178,Lookup!J:N,5,0)</f>
        <v>0</v>
      </c>
      <c r="K178" s="110"/>
      <c r="L178" s="110"/>
      <c r="M178" s="110"/>
      <c r="N178" s="110"/>
      <c r="O178" s="90">
        <f>IFERROR(VLOOKUP(A178&amp;G178,Lookup!J:K,2,0),"")</f>
        <v>0</v>
      </c>
      <c r="P178" s="110" t="str">
        <f t="shared" si="19"/>
        <v/>
      </c>
      <c r="Q178" s="110"/>
      <c r="R178" s="87" t="str">
        <f t="shared" si="20"/>
        <v/>
      </c>
      <c r="S178" s="87" t="str">
        <f t="shared" si="21"/>
        <v/>
      </c>
      <c r="T178" s="59"/>
      <c r="U178" s="59"/>
      <c r="V178" s="59"/>
      <c r="W178" s="59"/>
      <c r="X178" s="93" t="str">
        <f t="shared" si="18"/>
        <v>D</v>
      </c>
    </row>
    <row r="179" spans="1:24" x14ac:dyDescent="0.25">
      <c r="A179" s="53"/>
      <c r="B179" s="91" t="str">
        <f>IFERROR(VLOOKUP(A179,Lookup!A:B,2,0),"")</f>
        <v/>
      </c>
      <c r="C179" s="59" t="str">
        <f>IFERROR(VLOOKUP(A179,Lookup!A:C,3,0),"")</f>
        <v/>
      </c>
      <c r="D179" s="59"/>
      <c r="E179" s="59"/>
      <c r="F179" s="59"/>
      <c r="G179" s="94"/>
      <c r="H179" s="59"/>
      <c r="I179" s="59"/>
      <c r="J179" s="106">
        <f>VLOOKUP(A179&amp;G179,Lookup!J:N,5,0)</f>
        <v>0</v>
      </c>
      <c r="K179" s="110"/>
      <c r="L179" s="110"/>
      <c r="M179" s="110"/>
      <c r="N179" s="110"/>
      <c r="O179" s="90">
        <f>IFERROR(VLOOKUP(A179&amp;G179,Lookup!J:K,2,0),"")</f>
        <v>0</v>
      </c>
      <c r="P179" s="110" t="str">
        <f t="shared" si="19"/>
        <v/>
      </c>
      <c r="Q179" s="110"/>
      <c r="R179" s="87" t="str">
        <f t="shared" si="20"/>
        <v/>
      </c>
      <c r="S179" s="87" t="str">
        <f t="shared" si="21"/>
        <v/>
      </c>
      <c r="T179" s="59"/>
      <c r="U179" s="59"/>
      <c r="V179" s="59"/>
      <c r="W179" s="59"/>
      <c r="X179" s="93" t="str">
        <f t="shared" si="18"/>
        <v>D</v>
      </c>
    </row>
    <row r="180" spans="1:24" x14ac:dyDescent="0.25">
      <c r="A180" s="53"/>
      <c r="B180" s="91" t="str">
        <f>IFERROR(VLOOKUP(A180,Lookup!A:B,2,0),"")</f>
        <v/>
      </c>
      <c r="C180" s="59" t="str">
        <f>IFERROR(VLOOKUP(A180,Lookup!A:C,3,0),"")</f>
        <v/>
      </c>
      <c r="D180" s="59"/>
      <c r="E180" s="59"/>
      <c r="F180" s="59"/>
      <c r="G180" s="94"/>
      <c r="H180" s="59"/>
      <c r="I180" s="59"/>
      <c r="J180" s="106">
        <f>VLOOKUP(A180&amp;G180,Lookup!J:N,5,0)</f>
        <v>0</v>
      </c>
      <c r="K180" s="110"/>
      <c r="L180" s="110"/>
      <c r="M180" s="110"/>
      <c r="N180" s="110"/>
      <c r="O180" s="90">
        <f>IFERROR(VLOOKUP(A180&amp;G180,Lookup!J:K,2,0),"")</f>
        <v>0</v>
      </c>
      <c r="P180" s="110" t="str">
        <f t="shared" si="19"/>
        <v/>
      </c>
      <c r="Q180" s="110"/>
      <c r="R180" s="87" t="str">
        <f t="shared" si="20"/>
        <v/>
      </c>
      <c r="S180" s="87" t="str">
        <f t="shared" si="21"/>
        <v/>
      </c>
      <c r="T180" s="59"/>
      <c r="U180" s="59"/>
      <c r="V180" s="59"/>
      <c r="W180" s="59"/>
      <c r="X180" s="93" t="str">
        <f t="shared" si="18"/>
        <v>D</v>
      </c>
    </row>
    <row r="181" spans="1:24" x14ac:dyDescent="0.25">
      <c r="A181" s="53"/>
      <c r="B181" s="91" t="str">
        <f>IFERROR(VLOOKUP(A181,Lookup!A:B,2,0),"")</f>
        <v/>
      </c>
      <c r="C181" s="59" t="str">
        <f>IFERROR(VLOOKUP(A181,Lookup!A:C,3,0),"")</f>
        <v/>
      </c>
      <c r="D181" s="59"/>
      <c r="E181" s="59"/>
      <c r="F181" s="59"/>
      <c r="G181" s="94"/>
      <c r="H181" s="59"/>
      <c r="I181" s="59"/>
      <c r="J181" s="106">
        <f>VLOOKUP(A181&amp;G181,Lookup!J:N,5,0)</f>
        <v>0</v>
      </c>
      <c r="K181" s="110"/>
      <c r="L181" s="110"/>
      <c r="M181" s="110"/>
      <c r="N181" s="110"/>
      <c r="O181" s="90">
        <f>IFERROR(VLOOKUP(A181&amp;G181,Lookup!J:K,2,0),"")</f>
        <v>0</v>
      </c>
      <c r="P181" s="110" t="str">
        <f t="shared" si="19"/>
        <v/>
      </c>
      <c r="Q181" s="110"/>
      <c r="R181" s="87" t="str">
        <f t="shared" si="20"/>
        <v/>
      </c>
      <c r="S181" s="87" t="str">
        <f t="shared" si="21"/>
        <v/>
      </c>
      <c r="T181" s="59"/>
      <c r="U181" s="59"/>
      <c r="V181" s="59"/>
      <c r="W181" s="59"/>
      <c r="X181" s="93" t="str">
        <f t="shared" si="18"/>
        <v>D</v>
      </c>
    </row>
    <row r="182" spans="1:24" x14ac:dyDescent="0.25">
      <c r="A182" s="53"/>
      <c r="B182" s="91" t="str">
        <f>IFERROR(VLOOKUP(A182,Lookup!A:B,2,0),"")</f>
        <v/>
      </c>
      <c r="C182" s="59" t="str">
        <f>IFERROR(VLOOKUP(A182,Lookup!A:C,3,0),"")</f>
        <v/>
      </c>
      <c r="D182" s="59"/>
      <c r="E182" s="59"/>
      <c r="F182" s="59"/>
      <c r="G182" s="94"/>
      <c r="H182" s="59"/>
      <c r="I182" s="59"/>
      <c r="J182" s="106">
        <f>VLOOKUP(A182&amp;G182,Lookup!J:N,5,0)</f>
        <v>0</v>
      </c>
      <c r="K182" s="110"/>
      <c r="L182" s="110"/>
      <c r="M182" s="110"/>
      <c r="N182" s="110"/>
      <c r="O182" s="90">
        <f>IFERROR(VLOOKUP(A182&amp;G182,Lookup!J:K,2,0),"")</f>
        <v>0</v>
      </c>
      <c r="P182" s="110" t="str">
        <f t="shared" si="19"/>
        <v/>
      </c>
      <c r="Q182" s="110"/>
      <c r="R182" s="87" t="str">
        <f t="shared" si="20"/>
        <v/>
      </c>
      <c r="S182" s="87" t="str">
        <f t="shared" si="21"/>
        <v/>
      </c>
      <c r="T182" s="59"/>
      <c r="U182" s="59"/>
      <c r="V182" s="59"/>
      <c r="W182" s="59"/>
      <c r="X182" s="93" t="str">
        <f t="shared" si="18"/>
        <v>D</v>
      </c>
    </row>
    <row r="183" spans="1:24" x14ac:dyDescent="0.25">
      <c r="A183" s="53"/>
      <c r="B183" s="91" t="str">
        <f>IFERROR(VLOOKUP(A183,Lookup!A:B,2,0),"")</f>
        <v/>
      </c>
      <c r="C183" s="59" t="str">
        <f>IFERROR(VLOOKUP(A183,Lookup!A:C,3,0),"")</f>
        <v/>
      </c>
      <c r="D183" s="59"/>
      <c r="E183" s="59"/>
      <c r="F183" s="59"/>
      <c r="G183" s="94"/>
      <c r="H183" s="59"/>
      <c r="I183" s="59"/>
      <c r="J183" s="106">
        <f>VLOOKUP(A183&amp;G183,Lookup!J:N,5,0)</f>
        <v>0</v>
      </c>
      <c r="K183" s="110"/>
      <c r="L183" s="110"/>
      <c r="M183" s="110"/>
      <c r="N183" s="110"/>
      <c r="O183" s="90">
        <f>IFERROR(VLOOKUP(A183&amp;G183,Lookup!J:K,2,0),"")</f>
        <v>0</v>
      </c>
      <c r="P183" s="110" t="str">
        <f t="shared" si="19"/>
        <v/>
      </c>
      <c r="Q183" s="110"/>
      <c r="R183" s="87" t="str">
        <f t="shared" si="20"/>
        <v/>
      </c>
      <c r="S183" s="87" t="str">
        <f t="shared" si="21"/>
        <v/>
      </c>
      <c r="T183" s="59"/>
      <c r="U183" s="59"/>
      <c r="V183" s="59"/>
      <c r="W183" s="59"/>
      <c r="X183" s="93" t="str">
        <f t="shared" si="18"/>
        <v>D</v>
      </c>
    </row>
    <row r="184" spans="1:24" x14ac:dyDescent="0.25">
      <c r="A184" s="53"/>
      <c r="B184" s="91" t="str">
        <f>IFERROR(VLOOKUP(A184,Lookup!A:B,2,0),"")</f>
        <v/>
      </c>
      <c r="C184" s="59" t="str">
        <f>IFERROR(VLOOKUP(A184,Lookup!A:C,3,0),"")</f>
        <v/>
      </c>
      <c r="D184" s="59"/>
      <c r="E184" s="59"/>
      <c r="F184" s="59"/>
      <c r="G184" s="94"/>
      <c r="H184" s="59"/>
      <c r="I184" s="59"/>
      <c r="J184" s="106">
        <f>VLOOKUP(A184&amp;G184,Lookup!J:N,5,0)</f>
        <v>0</v>
      </c>
      <c r="K184" s="110"/>
      <c r="L184" s="110"/>
      <c r="M184" s="110"/>
      <c r="N184" s="110"/>
      <c r="O184" s="90">
        <f>IFERROR(VLOOKUP(A184&amp;G184,Lookup!J:K,2,0),"")</f>
        <v>0</v>
      </c>
      <c r="P184" s="110" t="str">
        <f t="shared" si="19"/>
        <v/>
      </c>
      <c r="Q184" s="110"/>
      <c r="R184" s="87" t="str">
        <f t="shared" si="20"/>
        <v/>
      </c>
      <c r="S184" s="87" t="str">
        <f t="shared" si="21"/>
        <v/>
      </c>
      <c r="T184" s="59"/>
      <c r="U184" s="59"/>
      <c r="V184" s="59"/>
      <c r="W184" s="59"/>
      <c r="X184" s="93" t="str">
        <f t="shared" si="18"/>
        <v>D</v>
      </c>
    </row>
    <row r="185" spans="1:24" x14ac:dyDescent="0.25">
      <c r="A185" s="53"/>
      <c r="B185" s="91" t="str">
        <f>IFERROR(VLOOKUP(A185,Lookup!A:B,2,0),"")</f>
        <v/>
      </c>
      <c r="C185" s="59" t="str">
        <f>IFERROR(VLOOKUP(A185,Lookup!A:C,3,0),"")</f>
        <v/>
      </c>
      <c r="D185" s="59"/>
      <c r="E185" s="59"/>
      <c r="F185" s="59"/>
      <c r="G185" s="94"/>
      <c r="H185" s="59"/>
      <c r="I185" s="59"/>
      <c r="J185" s="106">
        <f>VLOOKUP(A185&amp;G185,Lookup!J:N,5,0)</f>
        <v>0</v>
      </c>
      <c r="K185" s="110"/>
      <c r="L185" s="110"/>
      <c r="M185" s="110"/>
      <c r="N185" s="110"/>
      <c r="O185" s="90">
        <f>IFERROR(VLOOKUP(A185&amp;G185,Lookup!J:K,2,0),"")</f>
        <v>0</v>
      </c>
      <c r="P185" s="110" t="str">
        <f t="shared" si="19"/>
        <v/>
      </c>
      <c r="Q185" s="110"/>
      <c r="R185" s="87" t="str">
        <f t="shared" si="20"/>
        <v/>
      </c>
      <c r="S185" s="87" t="str">
        <f t="shared" si="21"/>
        <v/>
      </c>
      <c r="T185" s="59"/>
      <c r="U185" s="59"/>
      <c r="V185" s="59"/>
      <c r="W185" s="59"/>
      <c r="X185" s="93" t="str">
        <f t="shared" si="18"/>
        <v>D</v>
      </c>
    </row>
    <row r="186" spans="1:24" x14ac:dyDescent="0.25">
      <c r="A186" s="53"/>
      <c r="B186" s="91" t="str">
        <f>IFERROR(VLOOKUP(A186,Lookup!A:B,2,0),"")</f>
        <v/>
      </c>
      <c r="C186" s="59" t="str">
        <f>IFERROR(VLOOKUP(A186,Lookup!A:C,3,0),"")</f>
        <v/>
      </c>
      <c r="D186" s="59"/>
      <c r="E186" s="59"/>
      <c r="F186" s="59"/>
      <c r="G186" s="94"/>
      <c r="H186" s="59"/>
      <c r="I186" s="59"/>
      <c r="J186" s="106">
        <f>VLOOKUP(A186&amp;G186,Lookup!J:N,5,0)</f>
        <v>0</v>
      </c>
      <c r="K186" s="110"/>
      <c r="L186" s="110"/>
      <c r="M186" s="110"/>
      <c r="N186" s="110"/>
      <c r="O186" s="90">
        <f>IFERROR(VLOOKUP(A186&amp;G186,Lookup!J:K,2,0),"")</f>
        <v>0</v>
      </c>
      <c r="P186" s="110" t="str">
        <f t="shared" si="19"/>
        <v/>
      </c>
      <c r="Q186" s="110"/>
      <c r="R186" s="87" t="str">
        <f t="shared" si="20"/>
        <v/>
      </c>
      <c r="S186" s="87" t="str">
        <f t="shared" si="21"/>
        <v/>
      </c>
      <c r="T186" s="59"/>
      <c r="U186" s="59"/>
      <c r="V186" s="59"/>
      <c r="W186" s="59"/>
      <c r="X186" s="93" t="str">
        <f t="shared" si="18"/>
        <v>D</v>
      </c>
    </row>
    <row r="187" spans="1:24" x14ac:dyDescent="0.25">
      <c r="A187" s="53"/>
      <c r="B187" s="91" t="str">
        <f>IFERROR(VLOOKUP(A187,Lookup!A:B,2,0),"")</f>
        <v/>
      </c>
      <c r="C187" s="59" t="str">
        <f>IFERROR(VLOOKUP(A187,Lookup!A:C,3,0),"")</f>
        <v/>
      </c>
      <c r="D187" s="59"/>
      <c r="E187" s="59"/>
      <c r="F187" s="59"/>
      <c r="G187" s="94"/>
      <c r="H187" s="59"/>
      <c r="I187" s="59"/>
      <c r="J187" s="106">
        <f>VLOOKUP(A187&amp;G187,Lookup!J:N,5,0)</f>
        <v>0</v>
      </c>
      <c r="K187" s="110"/>
      <c r="L187" s="110"/>
      <c r="M187" s="110"/>
      <c r="N187" s="110"/>
      <c r="O187" s="90">
        <f>IFERROR(VLOOKUP(A187&amp;G187,Lookup!J:K,2,0),"")</f>
        <v>0</v>
      </c>
      <c r="P187" s="110" t="str">
        <f t="shared" si="19"/>
        <v/>
      </c>
      <c r="Q187" s="110"/>
      <c r="R187" s="87" t="str">
        <f t="shared" si="20"/>
        <v/>
      </c>
      <c r="S187" s="87" t="str">
        <f t="shared" si="21"/>
        <v/>
      </c>
      <c r="T187" s="59"/>
      <c r="U187" s="59"/>
      <c r="V187" s="59"/>
      <c r="W187" s="59"/>
      <c r="X187" s="93" t="str">
        <f t="shared" si="18"/>
        <v>D</v>
      </c>
    </row>
    <row r="188" spans="1:24" x14ac:dyDescent="0.25">
      <c r="A188" s="53"/>
      <c r="B188" s="91" t="str">
        <f>IFERROR(VLOOKUP(A188,Lookup!A:B,2,0),"")</f>
        <v/>
      </c>
      <c r="C188" s="59" t="str">
        <f>IFERROR(VLOOKUP(A188,Lookup!A:C,3,0),"")</f>
        <v/>
      </c>
      <c r="D188" s="59"/>
      <c r="E188" s="59"/>
      <c r="F188" s="59"/>
      <c r="G188" s="94"/>
      <c r="H188" s="59"/>
      <c r="I188" s="59"/>
      <c r="J188" s="106">
        <f>VLOOKUP(A188&amp;G188,Lookup!J:N,5,0)</f>
        <v>0</v>
      </c>
      <c r="K188" s="110"/>
      <c r="L188" s="110"/>
      <c r="M188" s="110"/>
      <c r="N188" s="110"/>
      <c r="O188" s="90">
        <f>IFERROR(VLOOKUP(A188&amp;G188,Lookup!J:K,2,0),"")</f>
        <v>0</v>
      </c>
      <c r="P188" s="110" t="str">
        <f t="shared" si="19"/>
        <v/>
      </c>
      <c r="Q188" s="110"/>
      <c r="R188" s="87" t="str">
        <f t="shared" si="20"/>
        <v/>
      </c>
      <c r="S188" s="87" t="str">
        <f t="shared" si="21"/>
        <v/>
      </c>
      <c r="T188" s="59"/>
      <c r="U188" s="59"/>
      <c r="V188" s="59"/>
      <c r="W188" s="59"/>
      <c r="X188" s="93" t="str">
        <f t="shared" si="18"/>
        <v>D</v>
      </c>
    </row>
    <row r="189" spans="1:24" x14ac:dyDescent="0.25">
      <c r="A189" s="53"/>
      <c r="B189" s="91" t="str">
        <f>IFERROR(VLOOKUP(A189,Lookup!A:B,2,0),"")</f>
        <v/>
      </c>
      <c r="C189" s="59" t="str">
        <f>IFERROR(VLOOKUP(A189,Lookup!A:C,3,0),"")</f>
        <v/>
      </c>
      <c r="D189" s="59"/>
      <c r="E189" s="59"/>
      <c r="F189" s="59"/>
      <c r="G189" s="94"/>
      <c r="H189" s="59"/>
      <c r="I189" s="59"/>
      <c r="J189" s="106">
        <f>VLOOKUP(A189&amp;G189,Lookup!J:N,5,0)</f>
        <v>0</v>
      </c>
      <c r="K189" s="110"/>
      <c r="L189" s="110"/>
      <c r="M189" s="110"/>
      <c r="N189" s="110"/>
      <c r="O189" s="90">
        <f>IFERROR(VLOOKUP(A189&amp;G189,Lookup!J:K,2,0),"")</f>
        <v>0</v>
      </c>
      <c r="P189" s="110" t="str">
        <f t="shared" si="19"/>
        <v/>
      </c>
      <c r="Q189" s="110"/>
      <c r="R189" s="87" t="str">
        <f t="shared" si="20"/>
        <v/>
      </c>
      <c r="S189" s="87" t="str">
        <f t="shared" si="21"/>
        <v/>
      </c>
      <c r="T189" s="59"/>
      <c r="U189" s="59"/>
      <c r="V189" s="59"/>
      <c r="W189" s="59"/>
      <c r="X189" s="93" t="str">
        <f t="shared" si="18"/>
        <v>D</v>
      </c>
    </row>
    <row r="190" spans="1:24" x14ac:dyDescent="0.25">
      <c r="A190" s="53"/>
      <c r="B190" s="91" t="str">
        <f>IFERROR(VLOOKUP(A190,Lookup!A:B,2,0),"")</f>
        <v/>
      </c>
      <c r="C190" s="59" t="str">
        <f>IFERROR(VLOOKUP(A190,Lookup!A:C,3,0),"")</f>
        <v/>
      </c>
      <c r="D190" s="59"/>
      <c r="E190" s="59"/>
      <c r="F190" s="59"/>
      <c r="G190" s="94"/>
      <c r="H190" s="59"/>
      <c r="I190" s="59"/>
      <c r="J190" s="106">
        <f>VLOOKUP(A190&amp;G190,Lookup!J:N,5,0)</f>
        <v>0</v>
      </c>
      <c r="K190" s="110"/>
      <c r="L190" s="110"/>
      <c r="M190" s="110"/>
      <c r="N190" s="110"/>
      <c r="O190" s="90">
        <f>IFERROR(VLOOKUP(A190&amp;G190,Lookup!J:K,2,0),"")</f>
        <v>0</v>
      </c>
      <c r="P190" s="110" t="str">
        <f t="shared" si="19"/>
        <v/>
      </c>
      <c r="Q190" s="110"/>
      <c r="R190" s="87" t="str">
        <f t="shared" si="20"/>
        <v/>
      </c>
      <c r="S190" s="87" t="str">
        <f t="shared" si="21"/>
        <v/>
      </c>
      <c r="T190" s="59"/>
      <c r="U190" s="59"/>
      <c r="V190" s="59"/>
      <c r="W190" s="59"/>
      <c r="X190" s="93" t="str">
        <f t="shared" si="18"/>
        <v>D</v>
      </c>
    </row>
    <row r="191" spans="1:24" x14ac:dyDescent="0.25">
      <c r="A191" s="53"/>
      <c r="B191" s="91" t="str">
        <f>IFERROR(VLOOKUP(A191,Lookup!A:B,2,0),"")</f>
        <v/>
      </c>
      <c r="C191" s="59" t="str">
        <f>IFERROR(VLOOKUP(A191,Lookup!A:C,3,0),"")</f>
        <v/>
      </c>
      <c r="D191" s="59"/>
      <c r="E191" s="59"/>
      <c r="F191" s="59"/>
      <c r="G191" s="94"/>
      <c r="H191" s="59"/>
      <c r="I191" s="59"/>
      <c r="J191" s="106">
        <f>VLOOKUP(A191&amp;G191,Lookup!J:N,5,0)</f>
        <v>0</v>
      </c>
      <c r="K191" s="110"/>
      <c r="L191" s="110"/>
      <c r="M191" s="110"/>
      <c r="N191" s="110"/>
      <c r="O191" s="90">
        <f>IFERROR(VLOOKUP(A191&amp;G191,Lookup!J:K,2,0),"")</f>
        <v>0</v>
      </c>
      <c r="P191" s="110" t="str">
        <f t="shared" si="19"/>
        <v/>
      </c>
      <c r="Q191" s="110"/>
      <c r="R191" s="87" t="str">
        <f t="shared" si="20"/>
        <v/>
      </c>
      <c r="S191" s="87" t="str">
        <f t="shared" si="21"/>
        <v/>
      </c>
      <c r="T191" s="59"/>
      <c r="U191" s="59"/>
      <c r="V191" s="59"/>
      <c r="W191" s="59"/>
      <c r="X191" s="93" t="str">
        <f t="shared" si="18"/>
        <v>D</v>
      </c>
    </row>
    <row r="192" spans="1:24" x14ac:dyDescent="0.25">
      <c r="A192" s="53"/>
      <c r="B192" s="91" t="str">
        <f>IFERROR(VLOOKUP(A192,Lookup!A:B,2,0),"")</f>
        <v/>
      </c>
      <c r="C192" s="59" t="str">
        <f>IFERROR(VLOOKUP(A192,Lookup!A:C,3,0),"")</f>
        <v/>
      </c>
      <c r="D192" s="59"/>
      <c r="E192" s="59"/>
      <c r="F192" s="59"/>
      <c r="G192" s="94"/>
      <c r="H192" s="59"/>
      <c r="I192" s="59"/>
      <c r="J192" s="106">
        <f>VLOOKUP(A192&amp;G192,Lookup!J:N,5,0)</f>
        <v>0</v>
      </c>
      <c r="K192" s="110"/>
      <c r="L192" s="110"/>
      <c r="M192" s="110"/>
      <c r="N192" s="110"/>
      <c r="O192" s="90">
        <f>IFERROR(VLOOKUP(A192&amp;G192,Lookup!J:K,2,0),"")</f>
        <v>0</v>
      </c>
      <c r="P192" s="110" t="str">
        <f t="shared" si="19"/>
        <v/>
      </c>
      <c r="Q192" s="110"/>
      <c r="R192" s="87" t="str">
        <f t="shared" si="20"/>
        <v/>
      </c>
      <c r="S192" s="87" t="str">
        <f t="shared" si="21"/>
        <v/>
      </c>
      <c r="T192" s="59"/>
      <c r="U192" s="59"/>
      <c r="V192" s="59"/>
      <c r="W192" s="59"/>
      <c r="X192" s="93" t="str">
        <f t="shared" si="18"/>
        <v>D</v>
      </c>
    </row>
    <row r="193" spans="1:24" x14ac:dyDescent="0.25">
      <c r="A193" s="53"/>
      <c r="B193" s="91" t="str">
        <f>IFERROR(VLOOKUP(A193,Lookup!A:B,2,0),"")</f>
        <v/>
      </c>
      <c r="C193" s="59" t="str">
        <f>IFERROR(VLOOKUP(A193,Lookup!A:C,3,0),"")</f>
        <v/>
      </c>
      <c r="D193" s="59"/>
      <c r="E193" s="59"/>
      <c r="F193" s="59"/>
      <c r="G193" s="94"/>
      <c r="H193" s="59"/>
      <c r="I193" s="59"/>
      <c r="J193" s="106">
        <f>VLOOKUP(A193&amp;G193,Lookup!J:N,5,0)</f>
        <v>0</v>
      </c>
      <c r="K193" s="110"/>
      <c r="L193" s="110"/>
      <c r="M193" s="110"/>
      <c r="N193" s="110"/>
      <c r="O193" s="90">
        <f>IFERROR(VLOOKUP(A193&amp;G193,Lookup!J:K,2,0),"")</f>
        <v>0</v>
      </c>
      <c r="P193" s="110" t="str">
        <f t="shared" si="19"/>
        <v/>
      </c>
      <c r="Q193" s="110"/>
      <c r="R193" s="87" t="str">
        <f t="shared" si="20"/>
        <v/>
      </c>
      <c r="S193" s="87" t="str">
        <f t="shared" si="21"/>
        <v/>
      </c>
      <c r="T193" s="59"/>
      <c r="U193" s="59"/>
      <c r="V193" s="59"/>
      <c r="W193" s="59"/>
      <c r="X193" s="93" t="str">
        <f t="shared" ref="X193:X256" si="22">IF(I193="SET","A",IF(I193="FREQ","C",IF(I193="","D","B")))</f>
        <v>D</v>
      </c>
    </row>
    <row r="194" spans="1:24" x14ac:dyDescent="0.25">
      <c r="A194" s="53"/>
      <c r="B194" s="91" t="str">
        <f>IFERROR(VLOOKUP(A194,Lookup!A:B,2,0),"")</f>
        <v/>
      </c>
      <c r="C194" s="59" t="str">
        <f>IFERROR(VLOOKUP(A194,Lookup!A:C,3,0),"")</f>
        <v/>
      </c>
      <c r="D194" s="59"/>
      <c r="E194" s="59"/>
      <c r="F194" s="59"/>
      <c r="G194" s="94"/>
      <c r="H194" s="59"/>
      <c r="I194" s="59"/>
      <c r="J194" s="106">
        <f>VLOOKUP(A194&amp;G194,Lookup!J:N,5,0)</f>
        <v>0</v>
      </c>
      <c r="K194" s="110"/>
      <c r="L194" s="110"/>
      <c r="M194" s="110"/>
      <c r="N194" s="110"/>
      <c r="O194" s="90">
        <f>IFERROR(VLOOKUP(A194&amp;G194,Lookup!J:K,2,0),"")</f>
        <v>0</v>
      </c>
      <c r="P194" s="110" t="str">
        <f t="shared" ref="P194:P257" si="23">IF(N194="","",N194+O194)</f>
        <v/>
      </c>
      <c r="Q194" s="110"/>
      <c r="R194" s="87" t="str">
        <f t="shared" si="20"/>
        <v/>
      </c>
      <c r="S194" s="87" t="str">
        <f t="shared" si="21"/>
        <v/>
      </c>
      <c r="T194" s="59"/>
      <c r="U194" s="59"/>
      <c r="V194" s="59"/>
      <c r="W194" s="59"/>
      <c r="X194" s="93" t="str">
        <f t="shared" si="22"/>
        <v>D</v>
      </c>
    </row>
    <row r="195" spans="1:24" x14ac:dyDescent="0.25">
      <c r="A195" s="53"/>
      <c r="B195" s="91" t="str">
        <f>IFERROR(VLOOKUP(A195,Lookup!A:B,2,0),"")</f>
        <v/>
      </c>
      <c r="C195" s="59" t="str">
        <f>IFERROR(VLOOKUP(A195,Lookup!A:C,3,0),"")</f>
        <v/>
      </c>
      <c r="D195" s="59"/>
      <c r="E195" s="59"/>
      <c r="F195" s="59"/>
      <c r="G195" s="94"/>
      <c r="H195" s="59"/>
      <c r="I195" s="59"/>
      <c r="J195" s="106">
        <f>VLOOKUP(A195&amp;G195,Lookup!J:N,5,0)</f>
        <v>0</v>
      </c>
      <c r="K195" s="110"/>
      <c r="L195" s="110"/>
      <c r="M195" s="110"/>
      <c r="N195" s="110"/>
      <c r="O195" s="90">
        <f>IFERROR(VLOOKUP(A195&amp;G195,Lookup!J:K,2,0),"")</f>
        <v>0</v>
      </c>
      <c r="P195" s="110" t="str">
        <f t="shared" si="23"/>
        <v/>
      </c>
      <c r="Q195" s="110"/>
      <c r="R195" s="87" t="str">
        <f t="shared" ref="R195:R258" si="24">IF(OR(EXACT(N195,""), EXACT(L195,"")),"",N195-L195)</f>
        <v/>
      </c>
      <c r="S195" s="87" t="str">
        <f t="shared" si="21"/>
        <v/>
      </c>
      <c r="T195" s="59"/>
      <c r="U195" s="59"/>
      <c r="V195" s="59"/>
      <c r="W195" s="59"/>
      <c r="X195" s="93" t="str">
        <f t="shared" si="22"/>
        <v>D</v>
      </c>
    </row>
    <row r="196" spans="1:24" x14ac:dyDescent="0.25">
      <c r="A196" s="53"/>
      <c r="B196" s="91" t="str">
        <f>IFERROR(VLOOKUP(A196,Lookup!A:B,2,0),"")</f>
        <v/>
      </c>
      <c r="C196" s="59" t="str">
        <f>IFERROR(VLOOKUP(A196,Lookup!A:C,3,0),"")</f>
        <v/>
      </c>
      <c r="D196" s="59"/>
      <c r="E196" s="59"/>
      <c r="F196" s="59"/>
      <c r="G196" s="94"/>
      <c r="H196" s="59"/>
      <c r="I196" s="59"/>
      <c r="J196" s="106">
        <f>VLOOKUP(A196&amp;G196,Lookup!J:N,5,0)</f>
        <v>0</v>
      </c>
      <c r="K196" s="110"/>
      <c r="L196" s="110"/>
      <c r="M196" s="110"/>
      <c r="N196" s="110"/>
      <c r="O196" s="90">
        <f>IFERROR(VLOOKUP(A196&amp;G196,Lookup!J:K,2,0),"")</f>
        <v>0</v>
      </c>
      <c r="P196" s="110" t="str">
        <f t="shared" si="23"/>
        <v/>
      </c>
      <c r="Q196" s="110"/>
      <c r="R196" s="87" t="str">
        <f t="shared" si="24"/>
        <v/>
      </c>
      <c r="S196" s="87" t="str">
        <f t="shared" ref="S196:S259" si="25">IF(OR(EXACT(Q196,""), EXACT(L196,"")),"",Q196-L196)</f>
        <v/>
      </c>
      <c r="T196" s="59"/>
      <c r="U196" s="59"/>
      <c r="V196" s="59"/>
      <c r="W196" s="59"/>
      <c r="X196" s="93" t="str">
        <f t="shared" si="22"/>
        <v>D</v>
      </c>
    </row>
    <row r="197" spans="1:24" x14ac:dyDescent="0.25">
      <c r="A197" s="53"/>
      <c r="B197" s="91" t="str">
        <f>IFERROR(VLOOKUP(A197,Lookup!A:B,2,0),"")</f>
        <v/>
      </c>
      <c r="C197" s="59" t="str">
        <f>IFERROR(VLOOKUP(A197,Lookup!A:C,3,0),"")</f>
        <v/>
      </c>
      <c r="D197" s="59"/>
      <c r="E197" s="59"/>
      <c r="F197" s="59"/>
      <c r="G197" s="94"/>
      <c r="H197" s="59"/>
      <c r="I197" s="59"/>
      <c r="J197" s="106">
        <f>VLOOKUP(A197&amp;G197,Lookup!J:N,5,0)</f>
        <v>0</v>
      </c>
      <c r="K197" s="110"/>
      <c r="L197" s="110"/>
      <c r="M197" s="110"/>
      <c r="N197" s="110"/>
      <c r="O197" s="90">
        <f>IFERROR(VLOOKUP(A197&amp;G197,Lookup!J:K,2,0),"")</f>
        <v>0</v>
      </c>
      <c r="P197" s="110" t="str">
        <f t="shared" si="23"/>
        <v/>
      </c>
      <c r="Q197" s="110"/>
      <c r="R197" s="87" t="str">
        <f t="shared" si="24"/>
        <v/>
      </c>
      <c r="S197" s="87" t="str">
        <f t="shared" si="25"/>
        <v/>
      </c>
      <c r="T197" s="59"/>
      <c r="U197" s="59"/>
      <c r="V197" s="59"/>
      <c r="W197" s="59"/>
      <c r="X197" s="93" t="str">
        <f t="shared" si="22"/>
        <v>D</v>
      </c>
    </row>
    <row r="198" spans="1:24" x14ac:dyDescent="0.25">
      <c r="A198" s="53"/>
      <c r="B198" s="91" t="str">
        <f>IFERROR(VLOOKUP(A198,Lookup!A:B,2,0),"")</f>
        <v/>
      </c>
      <c r="C198" s="59" t="str">
        <f>IFERROR(VLOOKUP(A198,Lookup!A:C,3,0),"")</f>
        <v/>
      </c>
      <c r="D198" s="59"/>
      <c r="E198" s="59"/>
      <c r="F198" s="59"/>
      <c r="G198" s="94"/>
      <c r="H198" s="59"/>
      <c r="I198" s="59"/>
      <c r="J198" s="106">
        <f>VLOOKUP(A198&amp;G198,Lookup!J:N,5,0)</f>
        <v>0</v>
      </c>
      <c r="K198" s="110"/>
      <c r="L198" s="110"/>
      <c r="M198" s="110"/>
      <c r="N198" s="110"/>
      <c r="O198" s="90">
        <f>IFERROR(VLOOKUP(A198&amp;G198,Lookup!J:K,2,0),"")</f>
        <v>0</v>
      </c>
      <c r="P198" s="110" t="str">
        <f t="shared" si="23"/>
        <v/>
      </c>
      <c r="Q198" s="110"/>
      <c r="R198" s="87" t="str">
        <f t="shared" si="24"/>
        <v/>
      </c>
      <c r="S198" s="87" t="str">
        <f t="shared" si="25"/>
        <v/>
      </c>
      <c r="T198" s="59"/>
      <c r="U198" s="59"/>
      <c r="V198" s="59"/>
      <c r="W198" s="59"/>
      <c r="X198" s="93" t="str">
        <f t="shared" si="22"/>
        <v>D</v>
      </c>
    </row>
    <row r="199" spans="1:24" x14ac:dyDescent="0.25">
      <c r="A199" s="53"/>
      <c r="B199" s="91" t="str">
        <f>IFERROR(VLOOKUP(A199,Lookup!A:B,2,0),"")</f>
        <v/>
      </c>
      <c r="C199" s="59" t="str">
        <f>IFERROR(VLOOKUP(A199,Lookup!A:C,3,0),"")</f>
        <v/>
      </c>
      <c r="D199" s="59"/>
      <c r="E199" s="59"/>
      <c r="F199" s="59"/>
      <c r="G199" s="94"/>
      <c r="H199" s="59"/>
      <c r="I199" s="59"/>
      <c r="J199" s="106">
        <f>VLOOKUP(A199&amp;G199,Lookup!J:N,5,0)</f>
        <v>0</v>
      </c>
      <c r="K199" s="110"/>
      <c r="L199" s="110"/>
      <c r="M199" s="110"/>
      <c r="N199" s="110"/>
      <c r="O199" s="90">
        <f>IFERROR(VLOOKUP(A199&amp;G199,Lookup!J:K,2,0),"")</f>
        <v>0</v>
      </c>
      <c r="P199" s="110" t="str">
        <f t="shared" si="23"/>
        <v/>
      </c>
      <c r="Q199" s="110"/>
      <c r="R199" s="87" t="str">
        <f t="shared" si="24"/>
        <v/>
      </c>
      <c r="S199" s="87" t="str">
        <f t="shared" si="25"/>
        <v/>
      </c>
      <c r="T199" s="59"/>
      <c r="U199" s="59"/>
      <c r="V199" s="59"/>
      <c r="W199" s="59"/>
      <c r="X199" s="93" t="str">
        <f t="shared" si="22"/>
        <v>D</v>
      </c>
    </row>
    <row r="200" spans="1:24" x14ac:dyDescent="0.25">
      <c r="A200" s="53"/>
      <c r="B200" s="91" t="str">
        <f>IFERROR(VLOOKUP(A200,Lookup!A:B,2,0),"")</f>
        <v/>
      </c>
      <c r="C200" s="59" t="str">
        <f>IFERROR(VLOOKUP(A200,Lookup!A:C,3,0),"")</f>
        <v/>
      </c>
      <c r="D200" s="59"/>
      <c r="E200" s="59"/>
      <c r="F200" s="59"/>
      <c r="G200" s="94"/>
      <c r="H200" s="59"/>
      <c r="I200" s="59"/>
      <c r="J200" s="106">
        <f>VLOOKUP(A200&amp;G200,Lookup!J:N,5,0)</f>
        <v>0</v>
      </c>
      <c r="K200" s="110"/>
      <c r="L200" s="110"/>
      <c r="M200" s="110"/>
      <c r="N200" s="110"/>
      <c r="O200" s="90">
        <f>IFERROR(VLOOKUP(A200&amp;G200,Lookup!J:K,2,0),"")</f>
        <v>0</v>
      </c>
      <c r="P200" s="110" t="str">
        <f t="shared" si="23"/>
        <v/>
      </c>
      <c r="Q200" s="110"/>
      <c r="R200" s="87" t="str">
        <f t="shared" si="24"/>
        <v/>
      </c>
      <c r="S200" s="87" t="str">
        <f t="shared" si="25"/>
        <v/>
      </c>
      <c r="T200" s="59"/>
      <c r="U200" s="59"/>
      <c r="V200" s="59"/>
      <c r="W200" s="59"/>
      <c r="X200" s="93" t="str">
        <f t="shared" si="22"/>
        <v>D</v>
      </c>
    </row>
    <row r="201" spans="1:24" x14ac:dyDescent="0.25">
      <c r="A201" s="53"/>
      <c r="B201" s="91" t="str">
        <f>IFERROR(VLOOKUP(A201,Lookup!A:B,2,0),"")</f>
        <v/>
      </c>
      <c r="C201" s="59" t="str">
        <f>IFERROR(VLOOKUP(A201,Lookup!A:C,3,0),"")</f>
        <v/>
      </c>
      <c r="D201" s="59"/>
      <c r="E201" s="59"/>
      <c r="F201" s="59"/>
      <c r="G201" s="94"/>
      <c r="H201" s="59"/>
      <c r="I201" s="59"/>
      <c r="J201" s="106">
        <f>VLOOKUP(A201&amp;G201,Lookup!J:N,5,0)</f>
        <v>0</v>
      </c>
      <c r="K201" s="110"/>
      <c r="L201" s="110"/>
      <c r="M201" s="110"/>
      <c r="N201" s="110"/>
      <c r="O201" s="90">
        <f>IFERROR(VLOOKUP(A201&amp;G201,Lookup!J:K,2,0),"")</f>
        <v>0</v>
      </c>
      <c r="P201" s="110" t="str">
        <f t="shared" si="23"/>
        <v/>
      </c>
      <c r="Q201" s="110"/>
      <c r="R201" s="87" t="str">
        <f t="shared" si="24"/>
        <v/>
      </c>
      <c r="S201" s="87" t="str">
        <f t="shared" si="25"/>
        <v/>
      </c>
      <c r="T201" s="59"/>
      <c r="U201" s="59"/>
      <c r="V201" s="59"/>
      <c r="W201" s="59"/>
      <c r="X201" s="93" t="str">
        <f t="shared" si="22"/>
        <v>D</v>
      </c>
    </row>
    <row r="202" spans="1:24" x14ac:dyDescent="0.25">
      <c r="A202" s="53"/>
      <c r="B202" s="91" t="str">
        <f>IFERROR(VLOOKUP(A202,Lookup!A:B,2,0),"")</f>
        <v/>
      </c>
      <c r="C202" s="59" t="str">
        <f>IFERROR(VLOOKUP(A202,Lookup!A:C,3,0),"")</f>
        <v/>
      </c>
      <c r="D202" s="59"/>
      <c r="E202" s="59"/>
      <c r="F202" s="59"/>
      <c r="G202" s="94"/>
      <c r="H202" s="59"/>
      <c r="I202" s="59"/>
      <c r="J202" s="106">
        <f>VLOOKUP(A202&amp;G202,Lookup!J:N,5,0)</f>
        <v>0</v>
      </c>
      <c r="K202" s="110"/>
      <c r="L202" s="110"/>
      <c r="M202" s="110"/>
      <c r="N202" s="110"/>
      <c r="O202" s="90">
        <f>IFERROR(VLOOKUP(A202&amp;G202,Lookup!J:K,2,0),"")</f>
        <v>0</v>
      </c>
      <c r="P202" s="110" t="str">
        <f t="shared" si="23"/>
        <v/>
      </c>
      <c r="Q202" s="110"/>
      <c r="R202" s="87" t="str">
        <f t="shared" si="24"/>
        <v/>
      </c>
      <c r="S202" s="87" t="str">
        <f t="shared" si="25"/>
        <v/>
      </c>
      <c r="T202" s="59"/>
      <c r="U202" s="59"/>
      <c r="V202" s="59"/>
      <c r="W202" s="59"/>
      <c r="X202" s="93" t="str">
        <f t="shared" si="22"/>
        <v>D</v>
      </c>
    </row>
    <row r="203" spans="1:24" x14ac:dyDescent="0.25">
      <c r="A203" s="53"/>
      <c r="B203" s="91" t="str">
        <f>IFERROR(VLOOKUP(A203,Lookup!A:B,2,0),"")</f>
        <v/>
      </c>
      <c r="C203" s="59" t="str">
        <f>IFERROR(VLOOKUP(A203,Lookup!A:C,3,0),"")</f>
        <v/>
      </c>
      <c r="D203" s="59"/>
      <c r="E203" s="59"/>
      <c r="F203" s="59"/>
      <c r="G203" s="94"/>
      <c r="H203" s="59"/>
      <c r="I203" s="59"/>
      <c r="J203" s="106">
        <f>VLOOKUP(A203&amp;G203,Lookup!J:N,5,0)</f>
        <v>0</v>
      </c>
      <c r="K203" s="110"/>
      <c r="L203" s="110"/>
      <c r="M203" s="110"/>
      <c r="N203" s="110"/>
      <c r="O203" s="90">
        <f>IFERROR(VLOOKUP(A203&amp;G203,Lookup!J:K,2,0),"")</f>
        <v>0</v>
      </c>
      <c r="P203" s="110" t="str">
        <f t="shared" si="23"/>
        <v/>
      </c>
      <c r="Q203" s="110"/>
      <c r="R203" s="87" t="str">
        <f t="shared" si="24"/>
        <v/>
      </c>
      <c r="S203" s="87" t="str">
        <f t="shared" si="25"/>
        <v/>
      </c>
      <c r="T203" s="59"/>
      <c r="U203" s="59"/>
      <c r="V203" s="59"/>
      <c r="W203" s="59"/>
      <c r="X203" s="93" t="str">
        <f t="shared" si="22"/>
        <v>D</v>
      </c>
    </row>
    <row r="204" spans="1:24" x14ac:dyDescent="0.25">
      <c r="A204" s="53"/>
      <c r="B204" s="91" t="str">
        <f>IFERROR(VLOOKUP(A204,Lookup!A:B,2,0),"")</f>
        <v/>
      </c>
      <c r="C204" s="59" t="str">
        <f>IFERROR(VLOOKUP(A204,Lookup!A:C,3,0),"")</f>
        <v/>
      </c>
      <c r="D204" s="59"/>
      <c r="E204" s="59"/>
      <c r="F204" s="59"/>
      <c r="G204" s="94"/>
      <c r="H204" s="59"/>
      <c r="I204" s="59"/>
      <c r="J204" s="106">
        <f>VLOOKUP(A204&amp;G204,Lookup!J:N,5,0)</f>
        <v>0</v>
      </c>
      <c r="K204" s="110"/>
      <c r="L204" s="110"/>
      <c r="M204" s="110"/>
      <c r="N204" s="110"/>
      <c r="O204" s="90">
        <f>IFERROR(VLOOKUP(A204&amp;G204,Lookup!J:K,2,0),"")</f>
        <v>0</v>
      </c>
      <c r="P204" s="110" t="str">
        <f t="shared" si="23"/>
        <v/>
      </c>
      <c r="Q204" s="110"/>
      <c r="R204" s="87" t="str">
        <f t="shared" si="24"/>
        <v/>
      </c>
      <c r="S204" s="87" t="str">
        <f t="shared" si="25"/>
        <v/>
      </c>
      <c r="T204" s="59"/>
      <c r="U204" s="59"/>
      <c r="V204" s="59"/>
      <c r="W204" s="59"/>
      <c r="X204" s="93" t="str">
        <f t="shared" si="22"/>
        <v>D</v>
      </c>
    </row>
    <row r="205" spans="1:24" x14ac:dyDescent="0.25">
      <c r="A205" s="53"/>
      <c r="B205" s="91" t="str">
        <f>IFERROR(VLOOKUP(A205,Lookup!A:B,2,0),"")</f>
        <v/>
      </c>
      <c r="C205" s="59" t="str">
        <f>IFERROR(VLOOKUP(A205,Lookup!A:C,3,0),"")</f>
        <v/>
      </c>
      <c r="D205" s="59"/>
      <c r="E205" s="59"/>
      <c r="F205" s="59"/>
      <c r="G205" s="94"/>
      <c r="H205" s="59"/>
      <c r="I205" s="59"/>
      <c r="J205" s="106">
        <f>VLOOKUP(A205&amp;G205,Lookup!J:N,5,0)</f>
        <v>0</v>
      </c>
      <c r="K205" s="110"/>
      <c r="L205" s="110"/>
      <c r="M205" s="110"/>
      <c r="N205" s="110"/>
      <c r="O205" s="90">
        <f>IFERROR(VLOOKUP(A205&amp;G205,Lookup!J:K,2,0),"")</f>
        <v>0</v>
      </c>
      <c r="P205" s="110" t="str">
        <f t="shared" si="23"/>
        <v/>
      </c>
      <c r="Q205" s="110"/>
      <c r="R205" s="87" t="str">
        <f t="shared" si="24"/>
        <v/>
      </c>
      <c r="S205" s="87" t="str">
        <f t="shared" si="25"/>
        <v/>
      </c>
      <c r="T205" s="59"/>
      <c r="U205" s="59"/>
      <c r="V205" s="59"/>
      <c r="W205" s="59"/>
      <c r="X205" s="93" t="str">
        <f t="shared" si="22"/>
        <v>D</v>
      </c>
    </row>
    <row r="206" spans="1:24" x14ac:dyDescent="0.25">
      <c r="A206" s="53"/>
      <c r="B206" s="91" t="str">
        <f>IFERROR(VLOOKUP(A206,Lookup!A:B,2,0),"")</f>
        <v/>
      </c>
      <c r="C206" s="59" t="str">
        <f>IFERROR(VLOOKUP(A206,Lookup!A:C,3,0),"")</f>
        <v/>
      </c>
      <c r="D206" s="59"/>
      <c r="E206" s="59"/>
      <c r="F206" s="59"/>
      <c r="G206" s="94"/>
      <c r="H206" s="59"/>
      <c r="I206" s="59"/>
      <c r="J206" s="106">
        <f>VLOOKUP(A206&amp;G206,Lookup!J:N,5,0)</f>
        <v>0</v>
      </c>
      <c r="K206" s="110"/>
      <c r="L206" s="110"/>
      <c r="M206" s="110"/>
      <c r="N206" s="110"/>
      <c r="O206" s="90">
        <f>IFERROR(VLOOKUP(A206&amp;G206,Lookup!J:K,2,0),"")</f>
        <v>0</v>
      </c>
      <c r="P206" s="110" t="str">
        <f t="shared" si="23"/>
        <v/>
      </c>
      <c r="Q206" s="110"/>
      <c r="R206" s="87" t="str">
        <f t="shared" si="24"/>
        <v/>
      </c>
      <c r="S206" s="87" t="str">
        <f t="shared" si="25"/>
        <v/>
      </c>
      <c r="T206" s="59"/>
      <c r="U206" s="59"/>
      <c r="V206" s="59"/>
      <c r="W206" s="59"/>
      <c r="X206" s="93" t="str">
        <f t="shared" si="22"/>
        <v>D</v>
      </c>
    </row>
    <row r="207" spans="1:24" x14ac:dyDescent="0.25">
      <c r="A207" s="53"/>
      <c r="B207" s="91" t="str">
        <f>IFERROR(VLOOKUP(A207,Lookup!A:B,2,0),"")</f>
        <v/>
      </c>
      <c r="C207" s="59" t="str">
        <f>IFERROR(VLOOKUP(A207,Lookup!A:C,3,0),"")</f>
        <v/>
      </c>
      <c r="D207" s="59"/>
      <c r="E207" s="59"/>
      <c r="F207" s="59"/>
      <c r="G207" s="94"/>
      <c r="H207" s="59"/>
      <c r="I207" s="59"/>
      <c r="J207" s="106">
        <f>VLOOKUP(A207&amp;G207,Lookup!J:N,5,0)</f>
        <v>0</v>
      </c>
      <c r="K207" s="110"/>
      <c r="L207" s="110"/>
      <c r="M207" s="110"/>
      <c r="N207" s="110"/>
      <c r="O207" s="90">
        <f>IFERROR(VLOOKUP(A207&amp;G207,Lookup!J:K,2,0),"")</f>
        <v>0</v>
      </c>
      <c r="P207" s="110" t="str">
        <f t="shared" si="23"/>
        <v/>
      </c>
      <c r="Q207" s="110"/>
      <c r="R207" s="87" t="str">
        <f t="shared" si="24"/>
        <v/>
      </c>
      <c r="S207" s="87" t="str">
        <f t="shared" si="25"/>
        <v/>
      </c>
      <c r="T207" s="59"/>
      <c r="U207" s="59"/>
      <c r="V207" s="59"/>
      <c r="W207" s="59"/>
      <c r="X207" s="93" t="str">
        <f t="shared" si="22"/>
        <v>D</v>
      </c>
    </row>
    <row r="208" spans="1:24" x14ac:dyDescent="0.25">
      <c r="A208" s="53"/>
      <c r="B208" s="91" t="str">
        <f>IFERROR(VLOOKUP(A208,Lookup!A:B,2,0),"")</f>
        <v/>
      </c>
      <c r="C208" s="59" t="str">
        <f>IFERROR(VLOOKUP(A208,Lookup!A:C,3,0),"")</f>
        <v/>
      </c>
      <c r="D208" s="59"/>
      <c r="E208" s="59"/>
      <c r="F208" s="59"/>
      <c r="G208" s="94"/>
      <c r="H208" s="59"/>
      <c r="I208" s="59"/>
      <c r="J208" s="106">
        <f>VLOOKUP(A208&amp;G208,Lookup!J:N,5,0)</f>
        <v>0</v>
      </c>
      <c r="K208" s="110"/>
      <c r="L208" s="110"/>
      <c r="M208" s="110"/>
      <c r="N208" s="110"/>
      <c r="O208" s="90">
        <f>IFERROR(VLOOKUP(A208&amp;G208,Lookup!J:K,2,0),"")</f>
        <v>0</v>
      </c>
      <c r="P208" s="110" t="str">
        <f t="shared" si="23"/>
        <v/>
      </c>
      <c r="Q208" s="110"/>
      <c r="R208" s="87" t="str">
        <f t="shared" si="24"/>
        <v/>
      </c>
      <c r="S208" s="87" t="str">
        <f t="shared" si="25"/>
        <v/>
      </c>
      <c r="T208" s="59"/>
      <c r="U208" s="59"/>
      <c r="V208" s="59"/>
      <c r="W208" s="59"/>
      <c r="X208" s="93" t="str">
        <f t="shared" si="22"/>
        <v>D</v>
      </c>
    </row>
    <row r="209" spans="1:24" x14ac:dyDescent="0.25">
      <c r="A209" s="53"/>
      <c r="B209" s="91" t="str">
        <f>IFERROR(VLOOKUP(A209,Lookup!A:B,2,0),"")</f>
        <v/>
      </c>
      <c r="C209" s="59" t="str">
        <f>IFERROR(VLOOKUP(A209,Lookup!A:C,3,0),"")</f>
        <v/>
      </c>
      <c r="D209" s="59"/>
      <c r="E209" s="59"/>
      <c r="F209" s="59"/>
      <c r="G209" s="94"/>
      <c r="H209" s="59"/>
      <c r="I209" s="59"/>
      <c r="J209" s="106">
        <f>VLOOKUP(A209&amp;G209,Lookup!J:N,5,0)</f>
        <v>0</v>
      </c>
      <c r="K209" s="110"/>
      <c r="L209" s="110"/>
      <c r="M209" s="110"/>
      <c r="N209" s="110"/>
      <c r="O209" s="90">
        <f>IFERROR(VLOOKUP(A209&amp;G209,Lookup!J:K,2,0),"")</f>
        <v>0</v>
      </c>
      <c r="P209" s="110" t="str">
        <f t="shared" si="23"/>
        <v/>
      </c>
      <c r="Q209" s="110"/>
      <c r="R209" s="87" t="str">
        <f t="shared" si="24"/>
        <v/>
      </c>
      <c r="S209" s="87" t="str">
        <f t="shared" si="25"/>
        <v/>
      </c>
      <c r="T209" s="59"/>
      <c r="U209" s="59"/>
      <c r="V209" s="59"/>
      <c r="W209" s="59"/>
      <c r="X209" s="93" t="str">
        <f t="shared" si="22"/>
        <v>D</v>
      </c>
    </row>
    <row r="210" spans="1:24" x14ac:dyDescent="0.25">
      <c r="A210" s="53"/>
      <c r="B210" s="91" t="str">
        <f>IFERROR(VLOOKUP(A210,Lookup!A:B,2,0),"")</f>
        <v/>
      </c>
      <c r="C210" s="59" t="str">
        <f>IFERROR(VLOOKUP(A210,Lookup!A:C,3,0),"")</f>
        <v/>
      </c>
      <c r="D210" s="59"/>
      <c r="E210" s="59"/>
      <c r="F210" s="59"/>
      <c r="G210" s="94"/>
      <c r="H210" s="59"/>
      <c r="I210" s="59"/>
      <c r="J210" s="106">
        <f>VLOOKUP(A210&amp;G210,Lookup!J:N,5,0)</f>
        <v>0</v>
      </c>
      <c r="K210" s="110"/>
      <c r="L210" s="110"/>
      <c r="M210" s="110"/>
      <c r="N210" s="110"/>
      <c r="O210" s="90">
        <f>IFERROR(VLOOKUP(A210&amp;G210,Lookup!J:K,2,0),"")</f>
        <v>0</v>
      </c>
      <c r="P210" s="110" t="str">
        <f t="shared" si="23"/>
        <v/>
      </c>
      <c r="Q210" s="110"/>
      <c r="R210" s="87" t="str">
        <f t="shared" si="24"/>
        <v/>
      </c>
      <c r="S210" s="87" t="str">
        <f t="shared" si="25"/>
        <v/>
      </c>
      <c r="T210" s="59"/>
      <c r="U210" s="59"/>
      <c r="V210" s="59"/>
      <c r="W210" s="59"/>
      <c r="X210" s="93" t="str">
        <f t="shared" si="22"/>
        <v>D</v>
      </c>
    </row>
    <row r="211" spans="1:24" x14ac:dyDescent="0.25">
      <c r="A211" s="53"/>
      <c r="B211" s="91" t="str">
        <f>IFERROR(VLOOKUP(A211,Lookup!A:B,2,0),"")</f>
        <v/>
      </c>
      <c r="C211" s="59" t="str">
        <f>IFERROR(VLOOKUP(A211,Lookup!A:C,3,0),"")</f>
        <v/>
      </c>
      <c r="D211" s="59"/>
      <c r="E211" s="59"/>
      <c r="F211" s="59"/>
      <c r="G211" s="94"/>
      <c r="H211" s="59"/>
      <c r="I211" s="59"/>
      <c r="J211" s="106">
        <f>VLOOKUP(A211&amp;G211,Lookup!J:N,5,0)</f>
        <v>0</v>
      </c>
      <c r="K211" s="110"/>
      <c r="L211" s="110"/>
      <c r="M211" s="110"/>
      <c r="N211" s="110"/>
      <c r="O211" s="90">
        <f>IFERROR(VLOOKUP(A211&amp;G211,Lookup!J:K,2,0),"")</f>
        <v>0</v>
      </c>
      <c r="P211" s="110" t="str">
        <f t="shared" si="23"/>
        <v/>
      </c>
      <c r="Q211" s="110"/>
      <c r="R211" s="87" t="str">
        <f t="shared" si="24"/>
        <v/>
      </c>
      <c r="S211" s="87" t="str">
        <f t="shared" si="25"/>
        <v/>
      </c>
      <c r="T211" s="59"/>
      <c r="U211" s="59"/>
      <c r="V211" s="59"/>
      <c r="W211" s="59"/>
      <c r="X211" s="93" t="str">
        <f t="shared" si="22"/>
        <v>D</v>
      </c>
    </row>
    <row r="212" spans="1:24" x14ac:dyDescent="0.25">
      <c r="A212" s="53"/>
      <c r="B212" s="91" t="str">
        <f>IFERROR(VLOOKUP(A212,Lookup!A:B,2,0),"")</f>
        <v/>
      </c>
      <c r="C212" s="59" t="str">
        <f>IFERROR(VLOOKUP(A212,Lookup!A:C,3,0),"")</f>
        <v/>
      </c>
      <c r="D212" s="59"/>
      <c r="E212" s="59"/>
      <c r="F212" s="59"/>
      <c r="G212" s="94"/>
      <c r="H212" s="59"/>
      <c r="I212" s="59"/>
      <c r="J212" s="106">
        <f>VLOOKUP(A212&amp;G212,Lookup!J:N,5,0)</f>
        <v>0</v>
      </c>
      <c r="K212" s="110"/>
      <c r="L212" s="110"/>
      <c r="M212" s="110"/>
      <c r="N212" s="110"/>
      <c r="O212" s="90">
        <f>IFERROR(VLOOKUP(A212&amp;G212,Lookup!J:K,2,0),"")</f>
        <v>0</v>
      </c>
      <c r="P212" s="110" t="str">
        <f t="shared" si="23"/>
        <v/>
      </c>
      <c r="Q212" s="110"/>
      <c r="R212" s="87" t="str">
        <f t="shared" si="24"/>
        <v/>
      </c>
      <c r="S212" s="87" t="str">
        <f t="shared" si="25"/>
        <v/>
      </c>
      <c r="T212" s="59"/>
      <c r="U212" s="59"/>
      <c r="V212" s="59"/>
      <c r="W212" s="59"/>
      <c r="X212" s="93" t="str">
        <f t="shared" si="22"/>
        <v>D</v>
      </c>
    </row>
    <row r="213" spans="1:24" x14ac:dyDescent="0.25">
      <c r="A213" s="53"/>
      <c r="B213" s="91" t="str">
        <f>IFERROR(VLOOKUP(A213,Lookup!A:B,2,0),"")</f>
        <v/>
      </c>
      <c r="C213" s="59" t="str">
        <f>IFERROR(VLOOKUP(A213,Lookup!A:C,3,0),"")</f>
        <v/>
      </c>
      <c r="D213" s="59"/>
      <c r="E213" s="59"/>
      <c r="F213" s="59"/>
      <c r="G213" s="94"/>
      <c r="H213" s="59"/>
      <c r="I213" s="59"/>
      <c r="J213" s="106">
        <f>VLOOKUP(A213&amp;G213,Lookup!J:N,5,0)</f>
        <v>0</v>
      </c>
      <c r="K213" s="110"/>
      <c r="L213" s="110"/>
      <c r="M213" s="110"/>
      <c r="N213" s="110"/>
      <c r="O213" s="90">
        <f>IFERROR(VLOOKUP(A213&amp;G213,Lookup!J:K,2,0),"")</f>
        <v>0</v>
      </c>
      <c r="P213" s="110" t="str">
        <f t="shared" si="23"/>
        <v/>
      </c>
      <c r="Q213" s="110"/>
      <c r="R213" s="87" t="str">
        <f t="shared" si="24"/>
        <v/>
      </c>
      <c r="S213" s="87" t="str">
        <f t="shared" si="25"/>
        <v/>
      </c>
      <c r="T213" s="59"/>
      <c r="U213" s="59"/>
      <c r="V213" s="59"/>
      <c r="W213" s="59"/>
      <c r="X213" s="93" t="str">
        <f t="shared" si="22"/>
        <v>D</v>
      </c>
    </row>
    <row r="214" spans="1:24" x14ac:dyDescent="0.25">
      <c r="A214" s="53"/>
      <c r="B214" s="91" t="str">
        <f>IFERROR(VLOOKUP(A214,Lookup!A:B,2,0),"")</f>
        <v/>
      </c>
      <c r="C214" s="59" t="str">
        <f>IFERROR(VLOOKUP(A214,Lookup!A:C,3,0),"")</f>
        <v/>
      </c>
      <c r="D214" s="59"/>
      <c r="E214" s="59"/>
      <c r="F214" s="59"/>
      <c r="G214" s="94"/>
      <c r="H214" s="59"/>
      <c r="I214" s="59"/>
      <c r="J214" s="106">
        <f>VLOOKUP(A214&amp;G214,Lookup!J:N,5,0)</f>
        <v>0</v>
      </c>
      <c r="K214" s="110"/>
      <c r="L214" s="110"/>
      <c r="M214" s="110"/>
      <c r="N214" s="110"/>
      <c r="O214" s="90">
        <f>IFERROR(VLOOKUP(A214&amp;G214,Lookup!J:K,2,0),"")</f>
        <v>0</v>
      </c>
      <c r="P214" s="110" t="str">
        <f t="shared" si="23"/>
        <v/>
      </c>
      <c r="Q214" s="110"/>
      <c r="R214" s="87" t="str">
        <f t="shared" si="24"/>
        <v/>
      </c>
      <c r="S214" s="87" t="str">
        <f t="shared" si="25"/>
        <v/>
      </c>
      <c r="T214" s="59"/>
      <c r="U214" s="59"/>
      <c r="V214" s="59"/>
      <c r="W214" s="59"/>
      <c r="X214" s="93" t="str">
        <f t="shared" si="22"/>
        <v>D</v>
      </c>
    </row>
    <row r="215" spans="1:24" x14ac:dyDescent="0.25">
      <c r="A215" s="53"/>
      <c r="B215" s="91" t="str">
        <f>IFERROR(VLOOKUP(A215,Lookup!A:B,2,0),"")</f>
        <v/>
      </c>
      <c r="C215" s="59" t="str">
        <f>IFERROR(VLOOKUP(A215,Lookup!A:C,3,0),"")</f>
        <v/>
      </c>
      <c r="D215" s="59"/>
      <c r="E215" s="59"/>
      <c r="F215" s="59"/>
      <c r="G215" s="94"/>
      <c r="H215" s="59"/>
      <c r="I215" s="59"/>
      <c r="J215" s="106">
        <f>VLOOKUP(A215&amp;G215,Lookup!J:N,5,0)</f>
        <v>0</v>
      </c>
      <c r="K215" s="110"/>
      <c r="L215" s="110"/>
      <c r="M215" s="110"/>
      <c r="N215" s="110"/>
      <c r="O215" s="90">
        <f>IFERROR(VLOOKUP(A215&amp;G215,Lookup!J:K,2,0),"")</f>
        <v>0</v>
      </c>
      <c r="P215" s="110" t="str">
        <f t="shared" si="23"/>
        <v/>
      </c>
      <c r="Q215" s="110"/>
      <c r="R215" s="87" t="str">
        <f t="shared" si="24"/>
        <v/>
      </c>
      <c r="S215" s="87" t="str">
        <f t="shared" si="25"/>
        <v/>
      </c>
      <c r="T215" s="59"/>
      <c r="U215" s="59"/>
      <c r="V215" s="59"/>
      <c r="W215" s="59"/>
      <c r="X215" s="93" t="str">
        <f t="shared" si="22"/>
        <v>D</v>
      </c>
    </row>
    <row r="216" spans="1:24" x14ac:dyDescent="0.25">
      <c r="A216" s="53"/>
      <c r="B216" s="91" t="str">
        <f>IFERROR(VLOOKUP(A216,Lookup!A:B,2,0),"")</f>
        <v/>
      </c>
      <c r="C216" s="59" t="str">
        <f>IFERROR(VLOOKUP(A216,Lookup!A:C,3,0),"")</f>
        <v/>
      </c>
      <c r="D216" s="59"/>
      <c r="E216" s="59"/>
      <c r="F216" s="59"/>
      <c r="G216" s="94"/>
      <c r="H216" s="59"/>
      <c r="I216" s="59"/>
      <c r="J216" s="106">
        <f>VLOOKUP(A216&amp;G216,Lookup!J:N,5,0)</f>
        <v>0</v>
      </c>
      <c r="K216" s="110"/>
      <c r="L216" s="110"/>
      <c r="M216" s="110"/>
      <c r="N216" s="110"/>
      <c r="O216" s="90">
        <f>IFERROR(VLOOKUP(A216&amp;G216,Lookup!J:K,2,0),"")</f>
        <v>0</v>
      </c>
      <c r="P216" s="110" t="str">
        <f t="shared" si="23"/>
        <v/>
      </c>
      <c r="Q216" s="110"/>
      <c r="R216" s="87" t="str">
        <f t="shared" si="24"/>
        <v/>
      </c>
      <c r="S216" s="87" t="str">
        <f t="shared" si="25"/>
        <v/>
      </c>
      <c r="T216" s="59"/>
      <c r="U216" s="59"/>
      <c r="V216" s="59"/>
      <c r="W216" s="59"/>
      <c r="X216" s="93" t="str">
        <f t="shared" si="22"/>
        <v>D</v>
      </c>
    </row>
    <row r="217" spans="1:24" x14ac:dyDescent="0.25">
      <c r="A217" s="53"/>
      <c r="B217" s="91" t="str">
        <f>IFERROR(VLOOKUP(A217,Lookup!A:B,2,0),"")</f>
        <v/>
      </c>
      <c r="C217" s="59" t="str">
        <f>IFERROR(VLOOKUP(A217,Lookup!A:C,3,0),"")</f>
        <v/>
      </c>
      <c r="D217" s="59"/>
      <c r="E217" s="59"/>
      <c r="F217" s="59"/>
      <c r="G217" s="94"/>
      <c r="H217" s="59"/>
      <c r="I217" s="59"/>
      <c r="J217" s="106">
        <f>VLOOKUP(A217&amp;G217,Lookup!J:N,5,0)</f>
        <v>0</v>
      </c>
      <c r="K217" s="110"/>
      <c r="L217" s="110"/>
      <c r="M217" s="110"/>
      <c r="N217" s="110"/>
      <c r="O217" s="90">
        <f>IFERROR(VLOOKUP(A217&amp;G217,Lookup!J:K,2,0),"")</f>
        <v>0</v>
      </c>
      <c r="P217" s="110" t="str">
        <f t="shared" si="23"/>
        <v/>
      </c>
      <c r="Q217" s="110"/>
      <c r="R217" s="87" t="str">
        <f t="shared" si="24"/>
        <v/>
      </c>
      <c r="S217" s="87" t="str">
        <f t="shared" si="25"/>
        <v/>
      </c>
      <c r="T217" s="59"/>
      <c r="U217" s="59"/>
      <c r="V217" s="59"/>
      <c r="W217" s="59"/>
      <c r="X217" s="93" t="str">
        <f t="shared" si="22"/>
        <v>D</v>
      </c>
    </row>
    <row r="218" spans="1:24" x14ac:dyDescent="0.25">
      <c r="A218" s="53"/>
      <c r="B218" s="91" t="str">
        <f>IFERROR(VLOOKUP(A218,Lookup!A:B,2,0),"")</f>
        <v/>
      </c>
      <c r="C218" s="59" t="str">
        <f>IFERROR(VLOOKUP(A218,Lookup!A:C,3,0),"")</f>
        <v/>
      </c>
      <c r="D218" s="59"/>
      <c r="E218" s="59"/>
      <c r="F218" s="59"/>
      <c r="G218" s="94"/>
      <c r="H218" s="59"/>
      <c r="I218" s="59"/>
      <c r="J218" s="106">
        <f>VLOOKUP(A218&amp;G218,Lookup!J:N,5,0)</f>
        <v>0</v>
      </c>
      <c r="K218" s="110"/>
      <c r="L218" s="110"/>
      <c r="M218" s="110"/>
      <c r="N218" s="110"/>
      <c r="O218" s="90">
        <f>IFERROR(VLOOKUP(A218&amp;G218,Lookup!J:K,2,0),"")</f>
        <v>0</v>
      </c>
      <c r="P218" s="110" t="str">
        <f t="shared" si="23"/>
        <v/>
      </c>
      <c r="Q218" s="110"/>
      <c r="R218" s="87" t="str">
        <f t="shared" si="24"/>
        <v/>
      </c>
      <c r="S218" s="87" t="str">
        <f t="shared" si="25"/>
        <v/>
      </c>
      <c r="T218" s="59"/>
      <c r="U218" s="59"/>
      <c r="V218" s="59"/>
      <c r="W218" s="59"/>
      <c r="X218" s="93" t="str">
        <f t="shared" si="22"/>
        <v>D</v>
      </c>
    </row>
    <row r="219" spans="1:24" x14ac:dyDescent="0.25">
      <c r="A219" s="53"/>
      <c r="B219" s="91" t="str">
        <f>IFERROR(VLOOKUP(A219,Lookup!A:B,2,0),"")</f>
        <v/>
      </c>
      <c r="C219" s="59" t="str">
        <f>IFERROR(VLOOKUP(A219,Lookup!A:C,3,0),"")</f>
        <v/>
      </c>
      <c r="D219" s="59"/>
      <c r="E219" s="59"/>
      <c r="F219" s="59"/>
      <c r="G219" s="94"/>
      <c r="H219" s="59"/>
      <c r="I219" s="59"/>
      <c r="J219" s="106">
        <f>VLOOKUP(A219&amp;G219,Lookup!J:N,5,0)</f>
        <v>0</v>
      </c>
      <c r="K219" s="110"/>
      <c r="L219" s="110"/>
      <c r="M219" s="110"/>
      <c r="N219" s="110"/>
      <c r="O219" s="90">
        <f>IFERROR(VLOOKUP(A219&amp;G219,Lookup!J:K,2,0),"")</f>
        <v>0</v>
      </c>
      <c r="P219" s="110" t="str">
        <f t="shared" si="23"/>
        <v/>
      </c>
      <c r="Q219" s="110"/>
      <c r="R219" s="87" t="str">
        <f t="shared" si="24"/>
        <v/>
      </c>
      <c r="S219" s="87" t="str">
        <f t="shared" si="25"/>
        <v/>
      </c>
      <c r="T219" s="59"/>
      <c r="U219" s="59"/>
      <c r="V219" s="59"/>
      <c r="W219" s="59"/>
      <c r="X219" s="93" t="str">
        <f t="shared" si="22"/>
        <v>D</v>
      </c>
    </row>
    <row r="220" spans="1:24" x14ac:dyDescent="0.25">
      <c r="A220" s="53"/>
      <c r="B220" s="91" t="str">
        <f>IFERROR(VLOOKUP(A220,Lookup!A:B,2,0),"")</f>
        <v/>
      </c>
      <c r="C220" s="59" t="str">
        <f>IFERROR(VLOOKUP(A220,Lookup!A:C,3,0),"")</f>
        <v/>
      </c>
      <c r="D220" s="59"/>
      <c r="E220" s="59"/>
      <c r="F220" s="59"/>
      <c r="G220" s="94"/>
      <c r="H220" s="59"/>
      <c r="I220" s="59"/>
      <c r="J220" s="106">
        <f>VLOOKUP(A220&amp;G220,Lookup!J:N,5,0)</f>
        <v>0</v>
      </c>
      <c r="K220" s="110"/>
      <c r="L220" s="110"/>
      <c r="M220" s="110"/>
      <c r="N220" s="110"/>
      <c r="O220" s="90">
        <f>IFERROR(VLOOKUP(A220&amp;G220,Lookup!J:K,2,0),"")</f>
        <v>0</v>
      </c>
      <c r="P220" s="110" t="str">
        <f t="shared" si="23"/>
        <v/>
      </c>
      <c r="Q220" s="110"/>
      <c r="R220" s="87" t="str">
        <f t="shared" si="24"/>
        <v/>
      </c>
      <c r="S220" s="87" t="str">
        <f t="shared" si="25"/>
        <v/>
      </c>
      <c r="T220" s="59"/>
      <c r="U220" s="59"/>
      <c r="V220" s="59"/>
      <c r="W220" s="59"/>
      <c r="X220" s="93" t="str">
        <f t="shared" si="22"/>
        <v>D</v>
      </c>
    </row>
    <row r="221" spans="1:24" x14ac:dyDescent="0.25">
      <c r="A221" s="53"/>
      <c r="B221" s="91" t="str">
        <f>IFERROR(VLOOKUP(A221,Lookup!A:B,2,0),"")</f>
        <v/>
      </c>
      <c r="C221" s="59" t="str">
        <f>IFERROR(VLOOKUP(A221,Lookup!A:C,3,0),"")</f>
        <v/>
      </c>
      <c r="D221" s="59"/>
      <c r="E221" s="59"/>
      <c r="F221" s="59"/>
      <c r="G221" s="94"/>
      <c r="H221" s="59"/>
      <c r="I221" s="59"/>
      <c r="J221" s="106">
        <f>VLOOKUP(A221&amp;G221,Lookup!J:N,5,0)</f>
        <v>0</v>
      </c>
      <c r="K221" s="110"/>
      <c r="L221" s="110"/>
      <c r="M221" s="110"/>
      <c r="N221" s="110"/>
      <c r="O221" s="90">
        <f>IFERROR(VLOOKUP(A221&amp;G221,Lookup!J:K,2,0),"")</f>
        <v>0</v>
      </c>
      <c r="P221" s="110" t="str">
        <f t="shared" si="23"/>
        <v/>
      </c>
      <c r="Q221" s="110"/>
      <c r="R221" s="87" t="str">
        <f t="shared" si="24"/>
        <v/>
      </c>
      <c r="S221" s="87" t="str">
        <f t="shared" si="25"/>
        <v/>
      </c>
      <c r="T221" s="59"/>
      <c r="U221" s="59"/>
      <c r="V221" s="59"/>
      <c r="W221" s="59"/>
      <c r="X221" s="93" t="str">
        <f t="shared" si="22"/>
        <v>D</v>
      </c>
    </row>
    <row r="222" spans="1:24" x14ac:dyDescent="0.25">
      <c r="A222" s="53"/>
      <c r="B222" s="91" t="str">
        <f>IFERROR(VLOOKUP(A222,Lookup!A:B,2,0),"")</f>
        <v/>
      </c>
      <c r="C222" s="59" t="str">
        <f>IFERROR(VLOOKUP(A222,Lookup!A:C,3,0),"")</f>
        <v/>
      </c>
      <c r="D222" s="59"/>
      <c r="E222" s="59"/>
      <c r="F222" s="59"/>
      <c r="G222" s="94"/>
      <c r="H222" s="59"/>
      <c r="I222" s="59"/>
      <c r="J222" s="106">
        <f>VLOOKUP(A222&amp;G222,Lookup!J:N,5,0)</f>
        <v>0</v>
      </c>
      <c r="K222" s="110"/>
      <c r="L222" s="110"/>
      <c r="M222" s="110"/>
      <c r="N222" s="110"/>
      <c r="O222" s="90">
        <f>IFERROR(VLOOKUP(A222&amp;G222,Lookup!J:K,2,0),"")</f>
        <v>0</v>
      </c>
      <c r="P222" s="110" t="str">
        <f t="shared" si="23"/>
        <v/>
      </c>
      <c r="Q222" s="110"/>
      <c r="R222" s="87" t="str">
        <f t="shared" si="24"/>
        <v/>
      </c>
      <c r="S222" s="87" t="str">
        <f t="shared" si="25"/>
        <v/>
      </c>
      <c r="T222" s="59"/>
      <c r="U222" s="59"/>
      <c r="V222" s="59"/>
      <c r="W222" s="59"/>
      <c r="X222" s="93" t="str">
        <f t="shared" si="22"/>
        <v>D</v>
      </c>
    </row>
    <row r="223" spans="1:24" x14ac:dyDescent="0.25">
      <c r="A223" s="53"/>
      <c r="B223" s="91" t="str">
        <f>IFERROR(VLOOKUP(A223,Lookup!A:B,2,0),"")</f>
        <v/>
      </c>
      <c r="C223" s="59" t="str">
        <f>IFERROR(VLOOKUP(A223,Lookup!A:C,3,0),"")</f>
        <v/>
      </c>
      <c r="D223" s="59"/>
      <c r="E223" s="59"/>
      <c r="F223" s="59"/>
      <c r="G223" s="94"/>
      <c r="H223" s="59"/>
      <c r="I223" s="59"/>
      <c r="J223" s="106">
        <f>VLOOKUP(A223&amp;G223,Lookup!J:N,5,0)</f>
        <v>0</v>
      </c>
      <c r="K223" s="110"/>
      <c r="L223" s="110"/>
      <c r="M223" s="110"/>
      <c r="N223" s="110"/>
      <c r="O223" s="90">
        <f>IFERROR(VLOOKUP(A223&amp;G223,Lookup!J:K,2,0),"")</f>
        <v>0</v>
      </c>
      <c r="P223" s="110" t="str">
        <f t="shared" si="23"/>
        <v/>
      </c>
      <c r="Q223" s="110"/>
      <c r="R223" s="87" t="str">
        <f t="shared" si="24"/>
        <v/>
      </c>
      <c r="S223" s="87" t="str">
        <f t="shared" si="25"/>
        <v/>
      </c>
      <c r="T223" s="59"/>
      <c r="U223" s="59"/>
      <c r="V223" s="59"/>
      <c r="W223" s="59"/>
      <c r="X223" s="93" t="str">
        <f t="shared" si="22"/>
        <v>D</v>
      </c>
    </row>
    <row r="224" spans="1:24" x14ac:dyDescent="0.25">
      <c r="A224" s="53"/>
      <c r="B224" s="91" t="str">
        <f>IFERROR(VLOOKUP(A224,Lookup!A:B,2,0),"")</f>
        <v/>
      </c>
      <c r="C224" s="59" t="str">
        <f>IFERROR(VLOOKUP(A224,Lookup!A:C,3,0),"")</f>
        <v/>
      </c>
      <c r="D224" s="59"/>
      <c r="E224" s="59"/>
      <c r="F224" s="59"/>
      <c r="G224" s="94"/>
      <c r="H224" s="59"/>
      <c r="I224" s="59"/>
      <c r="J224" s="106">
        <f>VLOOKUP(A224&amp;G224,Lookup!J:N,5,0)</f>
        <v>0</v>
      </c>
      <c r="K224" s="110"/>
      <c r="L224" s="110"/>
      <c r="M224" s="110"/>
      <c r="N224" s="110"/>
      <c r="O224" s="90">
        <f>IFERROR(VLOOKUP(A224&amp;G224,Lookup!J:K,2,0),"")</f>
        <v>0</v>
      </c>
      <c r="P224" s="110" t="str">
        <f t="shared" si="23"/>
        <v/>
      </c>
      <c r="Q224" s="110"/>
      <c r="R224" s="87" t="str">
        <f t="shared" si="24"/>
        <v/>
      </c>
      <c r="S224" s="87" t="str">
        <f t="shared" si="25"/>
        <v/>
      </c>
      <c r="T224" s="59"/>
      <c r="U224" s="59"/>
      <c r="V224" s="59"/>
      <c r="W224" s="59"/>
      <c r="X224" s="93" t="str">
        <f t="shared" si="22"/>
        <v>D</v>
      </c>
    </row>
    <row r="225" spans="1:24" x14ac:dyDescent="0.25">
      <c r="A225" s="53"/>
      <c r="B225" s="91" t="str">
        <f>IFERROR(VLOOKUP(A225,Lookup!A:B,2,0),"")</f>
        <v/>
      </c>
      <c r="C225" s="59" t="str">
        <f>IFERROR(VLOOKUP(A225,Lookup!A:C,3,0),"")</f>
        <v/>
      </c>
      <c r="D225" s="59"/>
      <c r="E225" s="59"/>
      <c r="F225" s="59"/>
      <c r="G225" s="94"/>
      <c r="H225" s="59"/>
      <c r="I225" s="59"/>
      <c r="J225" s="106">
        <f>VLOOKUP(A225&amp;G225,Lookup!J:N,5,0)</f>
        <v>0</v>
      </c>
      <c r="K225" s="110"/>
      <c r="L225" s="110"/>
      <c r="M225" s="110"/>
      <c r="N225" s="110"/>
      <c r="O225" s="90">
        <f>IFERROR(VLOOKUP(A225&amp;G225,Lookup!J:K,2,0),"")</f>
        <v>0</v>
      </c>
      <c r="P225" s="110" t="str">
        <f t="shared" si="23"/>
        <v/>
      </c>
      <c r="Q225" s="110"/>
      <c r="R225" s="87" t="str">
        <f t="shared" si="24"/>
        <v/>
      </c>
      <c r="S225" s="87" t="str">
        <f t="shared" si="25"/>
        <v/>
      </c>
      <c r="T225" s="59"/>
      <c r="U225" s="59"/>
      <c r="V225" s="59"/>
      <c r="W225" s="59"/>
      <c r="X225" s="93" t="str">
        <f t="shared" si="22"/>
        <v>D</v>
      </c>
    </row>
    <row r="226" spans="1:24" x14ac:dyDescent="0.25">
      <c r="A226" s="53"/>
      <c r="B226" s="91" t="str">
        <f>IFERROR(VLOOKUP(A226,Lookup!A:B,2,0),"")</f>
        <v/>
      </c>
      <c r="C226" s="59" t="str">
        <f>IFERROR(VLOOKUP(A226,Lookup!A:C,3,0),"")</f>
        <v/>
      </c>
      <c r="D226" s="59"/>
      <c r="E226" s="59"/>
      <c r="F226" s="59"/>
      <c r="G226" s="94"/>
      <c r="H226" s="59"/>
      <c r="I226" s="59"/>
      <c r="J226" s="106">
        <f>VLOOKUP(A226&amp;G226,Lookup!J:N,5,0)</f>
        <v>0</v>
      </c>
      <c r="K226" s="110"/>
      <c r="L226" s="110"/>
      <c r="M226" s="110"/>
      <c r="N226" s="110"/>
      <c r="O226" s="90">
        <f>IFERROR(VLOOKUP(A226&amp;G226,Lookup!J:K,2,0),"")</f>
        <v>0</v>
      </c>
      <c r="P226" s="110" t="str">
        <f t="shared" si="23"/>
        <v/>
      </c>
      <c r="Q226" s="110"/>
      <c r="R226" s="87" t="str">
        <f t="shared" si="24"/>
        <v/>
      </c>
      <c r="S226" s="87" t="str">
        <f t="shared" si="25"/>
        <v/>
      </c>
      <c r="T226" s="59"/>
      <c r="U226" s="59"/>
      <c r="V226" s="59"/>
      <c r="W226" s="59"/>
      <c r="X226" s="93" t="str">
        <f t="shared" si="22"/>
        <v>D</v>
      </c>
    </row>
    <row r="227" spans="1:24" x14ac:dyDescent="0.25">
      <c r="A227" s="53"/>
      <c r="B227" s="91" t="str">
        <f>IFERROR(VLOOKUP(A227,Lookup!A:B,2,0),"")</f>
        <v/>
      </c>
      <c r="C227" s="59" t="str">
        <f>IFERROR(VLOOKUP(A227,Lookup!A:C,3,0),"")</f>
        <v/>
      </c>
      <c r="D227" s="59"/>
      <c r="E227" s="59"/>
      <c r="F227" s="59"/>
      <c r="G227" s="94"/>
      <c r="H227" s="59"/>
      <c r="I227" s="59"/>
      <c r="J227" s="106">
        <f>VLOOKUP(A227&amp;G227,Lookup!J:N,5,0)</f>
        <v>0</v>
      </c>
      <c r="K227" s="110"/>
      <c r="L227" s="110"/>
      <c r="M227" s="110"/>
      <c r="N227" s="110"/>
      <c r="O227" s="90">
        <f>IFERROR(VLOOKUP(A227&amp;G227,Lookup!J:K,2,0),"")</f>
        <v>0</v>
      </c>
      <c r="P227" s="110" t="str">
        <f t="shared" si="23"/>
        <v/>
      </c>
      <c r="Q227" s="110"/>
      <c r="R227" s="87" t="str">
        <f t="shared" si="24"/>
        <v/>
      </c>
      <c r="S227" s="87" t="str">
        <f t="shared" si="25"/>
        <v/>
      </c>
      <c r="T227" s="59"/>
      <c r="U227" s="59"/>
      <c r="V227" s="59"/>
      <c r="W227" s="59"/>
      <c r="X227" s="93" t="str">
        <f t="shared" si="22"/>
        <v>D</v>
      </c>
    </row>
    <row r="228" spans="1:24" x14ac:dyDescent="0.25">
      <c r="A228" s="53"/>
      <c r="B228" s="91" t="str">
        <f>IFERROR(VLOOKUP(A228,Lookup!A:B,2,0),"")</f>
        <v/>
      </c>
      <c r="C228" s="59" t="str">
        <f>IFERROR(VLOOKUP(A228,Lookup!A:C,3,0),"")</f>
        <v/>
      </c>
      <c r="D228" s="59"/>
      <c r="E228" s="59"/>
      <c r="F228" s="59"/>
      <c r="G228" s="94"/>
      <c r="H228" s="59"/>
      <c r="I228" s="59"/>
      <c r="J228" s="106">
        <f>VLOOKUP(A228&amp;G228,Lookup!J:N,5,0)</f>
        <v>0</v>
      </c>
      <c r="K228" s="110"/>
      <c r="L228" s="110"/>
      <c r="M228" s="110"/>
      <c r="N228" s="110"/>
      <c r="O228" s="90">
        <f>IFERROR(VLOOKUP(A228&amp;G228,Lookup!J:K,2,0),"")</f>
        <v>0</v>
      </c>
      <c r="P228" s="110" t="str">
        <f t="shared" si="23"/>
        <v/>
      </c>
      <c r="Q228" s="110"/>
      <c r="R228" s="87" t="str">
        <f t="shared" si="24"/>
        <v/>
      </c>
      <c r="S228" s="87" t="str">
        <f t="shared" si="25"/>
        <v/>
      </c>
      <c r="T228" s="59"/>
      <c r="U228" s="59"/>
      <c r="V228" s="59"/>
      <c r="W228" s="59"/>
      <c r="X228" s="93" t="str">
        <f t="shared" si="22"/>
        <v>D</v>
      </c>
    </row>
    <row r="229" spans="1:24" x14ac:dyDescent="0.25">
      <c r="A229" s="53"/>
      <c r="B229" s="91" t="str">
        <f>IFERROR(VLOOKUP(A229,Lookup!A:B,2,0),"")</f>
        <v/>
      </c>
      <c r="C229" s="59" t="str">
        <f>IFERROR(VLOOKUP(A229,Lookup!A:C,3,0),"")</f>
        <v/>
      </c>
      <c r="D229" s="59"/>
      <c r="E229" s="59"/>
      <c r="F229" s="59"/>
      <c r="G229" s="94"/>
      <c r="H229" s="59"/>
      <c r="I229" s="59"/>
      <c r="J229" s="106">
        <f>VLOOKUP(A229&amp;G229,Lookup!J:N,5,0)</f>
        <v>0</v>
      </c>
      <c r="K229" s="110"/>
      <c r="L229" s="110"/>
      <c r="M229" s="110"/>
      <c r="N229" s="110"/>
      <c r="O229" s="90">
        <f>IFERROR(VLOOKUP(A229&amp;G229,Lookup!J:K,2,0),"")</f>
        <v>0</v>
      </c>
      <c r="P229" s="110" t="str">
        <f t="shared" si="23"/>
        <v/>
      </c>
      <c r="Q229" s="110"/>
      <c r="R229" s="87" t="str">
        <f t="shared" si="24"/>
        <v/>
      </c>
      <c r="S229" s="87" t="str">
        <f t="shared" si="25"/>
        <v/>
      </c>
      <c r="T229" s="59"/>
      <c r="U229" s="59"/>
      <c r="V229" s="59"/>
      <c r="W229" s="59"/>
      <c r="X229" s="93" t="str">
        <f t="shared" si="22"/>
        <v>D</v>
      </c>
    </row>
    <row r="230" spans="1:24" x14ac:dyDescent="0.25">
      <c r="A230" s="53"/>
      <c r="B230" s="91" t="str">
        <f>IFERROR(VLOOKUP(A230,Lookup!A:B,2,0),"")</f>
        <v/>
      </c>
      <c r="C230" s="59" t="str">
        <f>IFERROR(VLOOKUP(A230,Lookup!A:C,3,0),"")</f>
        <v/>
      </c>
      <c r="D230" s="59"/>
      <c r="E230" s="59"/>
      <c r="F230" s="59"/>
      <c r="G230" s="94"/>
      <c r="H230" s="59"/>
      <c r="I230" s="59"/>
      <c r="J230" s="106">
        <f>VLOOKUP(A230&amp;G230,Lookup!J:N,5,0)</f>
        <v>0</v>
      </c>
      <c r="K230" s="110"/>
      <c r="L230" s="110"/>
      <c r="M230" s="110"/>
      <c r="N230" s="110"/>
      <c r="O230" s="90">
        <f>IFERROR(VLOOKUP(A230&amp;G230,Lookup!J:K,2,0),"")</f>
        <v>0</v>
      </c>
      <c r="P230" s="110" t="str">
        <f t="shared" si="23"/>
        <v/>
      </c>
      <c r="Q230" s="110"/>
      <c r="R230" s="87" t="str">
        <f t="shared" si="24"/>
        <v/>
      </c>
      <c r="S230" s="87" t="str">
        <f t="shared" si="25"/>
        <v/>
      </c>
      <c r="T230" s="59"/>
      <c r="U230" s="59"/>
      <c r="V230" s="59"/>
      <c r="W230" s="59"/>
      <c r="X230" s="93" t="str">
        <f t="shared" si="22"/>
        <v>D</v>
      </c>
    </row>
    <row r="231" spans="1:24" x14ac:dyDescent="0.25">
      <c r="A231" s="53"/>
      <c r="B231" s="91" t="str">
        <f>IFERROR(VLOOKUP(A231,Lookup!A:B,2,0),"")</f>
        <v/>
      </c>
      <c r="C231" s="59" t="str">
        <f>IFERROR(VLOOKUP(A231,Lookup!A:C,3,0),"")</f>
        <v/>
      </c>
      <c r="D231" s="59"/>
      <c r="E231" s="59"/>
      <c r="F231" s="59"/>
      <c r="G231" s="94"/>
      <c r="H231" s="59"/>
      <c r="I231" s="59"/>
      <c r="J231" s="106">
        <f>VLOOKUP(A231&amp;G231,Lookup!J:N,5,0)</f>
        <v>0</v>
      </c>
      <c r="K231" s="110"/>
      <c r="L231" s="110"/>
      <c r="M231" s="110"/>
      <c r="N231" s="110"/>
      <c r="O231" s="90">
        <f>IFERROR(VLOOKUP(A231&amp;G231,Lookup!J:K,2,0),"")</f>
        <v>0</v>
      </c>
      <c r="P231" s="110" t="str">
        <f t="shared" si="23"/>
        <v/>
      </c>
      <c r="Q231" s="110"/>
      <c r="R231" s="87" t="str">
        <f t="shared" si="24"/>
        <v/>
      </c>
      <c r="S231" s="87" t="str">
        <f t="shared" si="25"/>
        <v/>
      </c>
      <c r="T231" s="59"/>
      <c r="U231" s="59"/>
      <c r="V231" s="59"/>
      <c r="W231" s="59"/>
      <c r="X231" s="93" t="str">
        <f t="shared" si="22"/>
        <v>D</v>
      </c>
    </row>
    <row r="232" spans="1:24" x14ac:dyDescent="0.25">
      <c r="A232" s="53"/>
      <c r="B232" s="91" t="str">
        <f>IFERROR(VLOOKUP(A232,Lookup!A:B,2,0),"")</f>
        <v/>
      </c>
      <c r="C232" s="59" t="str">
        <f>IFERROR(VLOOKUP(A232,Lookup!A:C,3,0),"")</f>
        <v/>
      </c>
      <c r="D232" s="59"/>
      <c r="E232" s="59"/>
      <c r="F232" s="59"/>
      <c r="G232" s="94"/>
      <c r="H232" s="59"/>
      <c r="I232" s="59"/>
      <c r="J232" s="106">
        <f>VLOOKUP(A232&amp;G232,Lookup!J:N,5,0)</f>
        <v>0</v>
      </c>
      <c r="K232" s="110"/>
      <c r="L232" s="110"/>
      <c r="M232" s="110"/>
      <c r="N232" s="110"/>
      <c r="O232" s="90">
        <f>IFERROR(VLOOKUP(A232&amp;G232,Lookup!J:K,2,0),"")</f>
        <v>0</v>
      </c>
      <c r="P232" s="110" t="str">
        <f t="shared" si="23"/>
        <v/>
      </c>
      <c r="Q232" s="110"/>
      <c r="R232" s="87" t="str">
        <f t="shared" si="24"/>
        <v/>
      </c>
      <c r="S232" s="87" t="str">
        <f t="shared" si="25"/>
        <v/>
      </c>
      <c r="T232" s="59"/>
      <c r="U232" s="59"/>
      <c r="V232" s="59"/>
      <c r="W232" s="59"/>
      <c r="X232" s="93" t="str">
        <f t="shared" si="22"/>
        <v>D</v>
      </c>
    </row>
    <row r="233" spans="1:24" x14ac:dyDescent="0.25">
      <c r="A233" s="53"/>
      <c r="B233" s="91" t="str">
        <f>IFERROR(VLOOKUP(A233,Lookup!A:B,2,0),"")</f>
        <v/>
      </c>
      <c r="C233" s="59" t="str">
        <f>IFERROR(VLOOKUP(A233,Lookup!A:C,3,0),"")</f>
        <v/>
      </c>
      <c r="D233" s="59"/>
      <c r="E233" s="59"/>
      <c r="F233" s="59"/>
      <c r="G233" s="94"/>
      <c r="H233" s="59"/>
      <c r="I233" s="59"/>
      <c r="J233" s="106">
        <f>VLOOKUP(A233&amp;G233,Lookup!J:N,5,0)</f>
        <v>0</v>
      </c>
      <c r="K233" s="110"/>
      <c r="L233" s="110"/>
      <c r="M233" s="110"/>
      <c r="N233" s="110"/>
      <c r="O233" s="90">
        <f>IFERROR(VLOOKUP(A233&amp;G233,Lookup!J:K,2,0),"")</f>
        <v>0</v>
      </c>
      <c r="P233" s="110" t="str">
        <f t="shared" si="23"/>
        <v/>
      </c>
      <c r="Q233" s="110"/>
      <c r="R233" s="87" t="str">
        <f t="shared" si="24"/>
        <v/>
      </c>
      <c r="S233" s="87" t="str">
        <f t="shared" si="25"/>
        <v/>
      </c>
      <c r="T233" s="59"/>
      <c r="U233" s="59"/>
      <c r="V233" s="59"/>
      <c r="W233" s="59"/>
      <c r="X233" s="93" t="str">
        <f t="shared" si="22"/>
        <v>D</v>
      </c>
    </row>
    <row r="234" spans="1:24" x14ac:dyDescent="0.25">
      <c r="A234" s="53"/>
      <c r="B234" s="91" t="str">
        <f>IFERROR(VLOOKUP(A234,Lookup!A:B,2,0),"")</f>
        <v/>
      </c>
      <c r="C234" s="59" t="str">
        <f>IFERROR(VLOOKUP(A234,Lookup!A:C,3,0),"")</f>
        <v/>
      </c>
      <c r="D234" s="59"/>
      <c r="E234" s="59"/>
      <c r="F234" s="59"/>
      <c r="G234" s="94"/>
      <c r="H234" s="59"/>
      <c r="I234" s="59"/>
      <c r="J234" s="106">
        <f>VLOOKUP(A234&amp;G234,Lookup!J:N,5,0)</f>
        <v>0</v>
      </c>
      <c r="K234" s="110"/>
      <c r="L234" s="110"/>
      <c r="M234" s="110"/>
      <c r="N234" s="110"/>
      <c r="O234" s="90">
        <f>IFERROR(VLOOKUP(A234&amp;G234,Lookup!J:K,2,0),"")</f>
        <v>0</v>
      </c>
      <c r="P234" s="110" t="str">
        <f t="shared" si="23"/>
        <v/>
      </c>
      <c r="Q234" s="110"/>
      <c r="R234" s="87" t="str">
        <f t="shared" si="24"/>
        <v/>
      </c>
      <c r="S234" s="87" t="str">
        <f t="shared" si="25"/>
        <v/>
      </c>
      <c r="T234" s="59"/>
      <c r="U234" s="59"/>
      <c r="V234" s="59"/>
      <c r="W234" s="59"/>
      <c r="X234" s="93" t="str">
        <f t="shared" si="22"/>
        <v>D</v>
      </c>
    </row>
    <row r="235" spans="1:24" x14ac:dyDescent="0.25">
      <c r="A235" s="53"/>
      <c r="B235" s="91" t="str">
        <f>IFERROR(VLOOKUP(A235,Lookup!A:B,2,0),"")</f>
        <v/>
      </c>
      <c r="C235" s="59" t="str">
        <f>IFERROR(VLOOKUP(A235,Lookup!A:C,3,0),"")</f>
        <v/>
      </c>
      <c r="D235" s="59"/>
      <c r="E235" s="59"/>
      <c r="F235" s="59"/>
      <c r="G235" s="94"/>
      <c r="H235" s="59"/>
      <c r="I235" s="59"/>
      <c r="J235" s="106">
        <f>VLOOKUP(A235&amp;G235,Lookup!J:N,5,0)</f>
        <v>0</v>
      </c>
      <c r="K235" s="110"/>
      <c r="L235" s="110"/>
      <c r="M235" s="110"/>
      <c r="N235" s="110"/>
      <c r="O235" s="90">
        <f>IFERROR(VLOOKUP(A235&amp;G235,Lookup!J:K,2,0),"")</f>
        <v>0</v>
      </c>
      <c r="P235" s="110" t="str">
        <f t="shared" si="23"/>
        <v/>
      </c>
      <c r="Q235" s="110"/>
      <c r="R235" s="87" t="str">
        <f t="shared" si="24"/>
        <v/>
      </c>
      <c r="S235" s="87" t="str">
        <f t="shared" si="25"/>
        <v/>
      </c>
      <c r="T235" s="59"/>
      <c r="U235" s="59"/>
      <c r="V235" s="59"/>
      <c r="W235" s="59"/>
      <c r="X235" s="93" t="str">
        <f t="shared" si="22"/>
        <v>D</v>
      </c>
    </row>
    <row r="236" spans="1:24" x14ac:dyDescent="0.25">
      <c r="A236" s="53"/>
      <c r="B236" s="91" t="str">
        <f>IFERROR(VLOOKUP(A236,Lookup!A:B,2,0),"")</f>
        <v/>
      </c>
      <c r="C236" s="59" t="str">
        <f>IFERROR(VLOOKUP(A236,Lookup!A:C,3,0),"")</f>
        <v/>
      </c>
      <c r="D236" s="59"/>
      <c r="E236" s="59"/>
      <c r="F236" s="59"/>
      <c r="G236" s="94"/>
      <c r="H236" s="59"/>
      <c r="I236" s="59"/>
      <c r="J236" s="106">
        <f>VLOOKUP(A236&amp;G236,Lookup!J:N,5,0)</f>
        <v>0</v>
      </c>
      <c r="K236" s="110"/>
      <c r="L236" s="110"/>
      <c r="M236" s="110"/>
      <c r="N236" s="110"/>
      <c r="O236" s="90">
        <f>IFERROR(VLOOKUP(A236&amp;G236,Lookup!J:K,2,0),"")</f>
        <v>0</v>
      </c>
      <c r="P236" s="110" t="str">
        <f t="shared" si="23"/>
        <v/>
      </c>
      <c r="Q236" s="110"/>
      <c r="R236" s="87" t="str">
        <f t="shared" si="24"/>
        <v/>
      </c>
      <c r="S236" s="87" t="str">
        <f t="shared" si="25"/>
        <v/>
      </c>
      <c r="T236" s="59"/>
      <c r="U236" s="59"/>
      <c r="V236" s="59"/>
      <c r="W236" s="59"/>
      <c r="X236" s="93" t="str">
        <f t="shared" si="22"/>
        <v>D</v>
      </c>
    </row>
    <row r="237" spans="1:24" x14ac:dyDescent="0.25">
      <c r="A237" s="53"/>
      <c r="B237" s="91" t="str">
        <f>IFERROR(VLOOKUP(A237,Lookup!A:B,2,0),"")</f>
        <v/>
      </c>
      <c r="C237" s="59" t="str">
        <f>IFERROR(VLOOKUP(A237,Lookup!A:C,3,0),"")</f>
        <v/>
      </c>
      <c r="D237" s="59"/>
      <c r="E237" s="59"/>
      <c r="F237" s="59"/>
      <c r="G237" s="94"/>
      <c r="H237" s="59"/>
      <c r="I237" s="59"/>
      <c r="J237" s="106">
        <f>VLOOKUP(A237&amp;G237,Lookup!J:N,5,0)</f>
        <v>0</v>
      </c>
      <c r="K237" s="110"/>
      <c r="L237" s="110"/>
      <c r="M237" s="110"/>
      <c r="N237" s="110"/>
      <c r="O237" s="90">
        <f>IFERROR(VLOOKUP(A237&amp;G237,Lookup!J:K,2,0),"")</f>
        <v>0</v>
      </c>
      <c r="P237" s="110" t="str">
        <f t="shared" si="23"/>
        <v/>
      </c>
      <c r="Q237" s="110"/>
      <c r="R237" s="87" t="str">
        <f t="shared" si="24"/>
        <v/>
      </c>
      <c r="S237" s="87" t="str">
        <f t="shared" si="25"/>
        <v/>
      </c>
      <c r="T237" s="59"/>
      <c r="U237" s="59"/>
      <c r="V237" s="59"/>
      <c r="W237" s="59"/>
      <c r="X237" s="93" t="str">
        <f t="shared" si="22"/>
        <v>D</v>
      </c>
    </row>
    <row r="238" spans="1:24" x14ac:dyDescent="0.25">
      <c r="A238" s="53"/>
      <c r="B238" s="91" t="str">
        <f>IFERROR(VLOOKUP(A238,Lookup!A:B,2,0),"")</f>
        <v/>
      </c>
      <c r="C238" s="59" t="str">
        <f>IFERROR(VLOOKUP(A238,Lookup!A:C,3,0),"")</f>
        <v/>
      </c>
      <c r="D238" s="59"/>
      <c r="E238" s="59"/>
      <c r="F238" s="59"/>
      <c r="G238" s="94"/>
      <c r="H238" s="59"/>
      <c r="I238" s="59"/>
      <c r="J238" s="106">
        <f>VLOOKUP(A238&amp;G238,Lookup!J:N,5,0)</f>
        <v>0</v>
      </c>
      <c r="K238" s="110"/>
      <c r="L238" s="110"/>
      <c r="M238" s="110"/>
      <c r="N238" s="110"/>
      <c r="O238" s="90">
        <f>IFERROR(VLOOKUP(A238&amp;G238,Lookup!J:K,2,0),"")</f>
        <v>0</v>
      </c>
      <c r="P238" s="110" t="str">
        <f t="shared" si="23"/>
        <v/>
      </c>
      <c r="Q238" s="110"/>
      <c r="R238" s="87" t="str">
        <f t="shared" si="24"/>
        <v/>
      </c>
      <c r="S238" s="87" t="str">
        <f t="shared" si="25"/>
        <v/>
      </c>
      <c r="T238" s="59"/>
      <c r="U238" s="59"/>
      <c r="V238" s="59"/>
      <c r="W238" s="59"/>
      <c r="X238" s="93" t="str">
        <f t="shared" si="22"/>
        <v>D</v>
      </c>
    </row>
    <row r="239" spans="1:24" x14ac:dyDescent="0.25">
      <c r="A239" s="53"/>
      <c r="B239" s="91" t="str">
        <f>IFERROR(VLOOKUP(A239,Lookup!A:B,2,0),"")</f>
        <v/>
      </c>
      <c r="C239" s="59" t="str">
        <f>IFERROR(VLOOKUP(A239,Lookup!A:C,3,0),"")</f>
        <v/>
      </c>
      <c r="D239" s="59"/>
      <c r="E239" s="59"/>
      <c r="F239" s="59"/>
      <c r="G239" s="94"/>
      <c r="H239" s="59"/>
      <c r="I239" s="59"/>
      <c r="J239" s="106">
        <f>VLOOKUP(A239&amp;G239,Lookup!J:N,5,0)</f>
        <v>0</v>
      </c>
      <c r="K239" s="110"/>
      <c r="L239" s="110"/>
      <c r="M239" s="110"/>
      <c r="N239" s="110"/>
      <c r="O239" s="90">
        <f>IFERROR(VLOOKUP(A239&amp;G239,Lookup!J:K,2,0),"")</f>
        <v>0</v>
      </c>
      <c r="P239" s="110" t="str">
        <f t="shared" si="23"/>
        <v/>
      </c>
      <c r="Q239" s="110"/>
      <c r="R239" s="87" t="str">
        <f t="shared" si="24"/>
        <v/>
      </c>
      <c r="S239" s="87" t="str">
        <f t="shared" si="25"/>
        <v/>
      </c>
      <c r="T239" s="59"/>
      <c r="U239" s="59"/>
      <c r="V239" s="59"/>
      <c r="W239" s="59"/>
      <c r="X239" s="93" t="str">
        <f t="shared" si="22"/>
        <v>D</v>
      </c>
    </row>
    <row r="240" spans="1:24" x14ac:dyDescent="0.25">
      <c r="A240" s="53"/>
      <c r="B240" s="91" t="str">
        <f>IFERROR(VLOOKUP(A240,Lookup!A:B,2,0),"")</f>
        <v/>
      </c>
      <c r="C240" s="59" t="str">
        <f>IFERROR(VLOOKUP(A240,Lookup!A:C,3,0),"")</f>
        <v/>
      </c>
      <c r="D240" s="59"/>
      <c r="E240" s="59"/>
      <c r="F240" s="59"/>
      <c r="G240" s="94"/>
      <c r="H240" s="59"/>
      <c r="I240" s="59"/>
      <c r="J240" s="106">
        <f>VLOOKUP(A240&amp;G240,Lookup!J:N,5,0)</f>
        <v>0</v>
      </c>
      <c r="K240" s="110"/>
      <c r="L240" s="110"/>
      <c r="M240" s="110"/>
      <c r="N240" s="110"/>
      <c r="O240" s="90">
        <f>IFERROR(VLOOKUP(A240&amp;G240,Lookup!J:K,2,0),"")</f>
        <v>0</v>
      </c>
      <c r="P240" s="110" t="str">
        <f t="shared" si="23"/>
        <v/>
      </c>
      <c r="Q240" s="110"/>
      <c r="R240" s="87" t="str">
        <f t="shared" si="24"/>
        <v/>
      </c>
      <c r="S240" s="87" t="str">
        <f t="shared" si="25"/>
        <v/>
      </c>
      <c r="T240" s="59"/>
      <c r="U240" s="59"/>
      <c r="V240" s="59"/>
      <c r="W240" s="59"/>
      <c r="X240" s="93" t="str">
        <f t="shared" si="22"/>
        <v>D</v>
      </c>
    </row>
    <row r="241" spans="1:24" x14ac:dyDescent="0.25">
      <c r="A241" s="53"/>
      <c r="B241" s="91" t="str">
        <f>IFERROR(VLOOKUP(A241,Lookup!A:B,2,0),"")</f>
        <v/>
      </c>
      <c r="C241" s="59" t="str">
        <f>IFERROR(VLOOKUP(A241,Lookup!A:C,3,0),"")</f>
        <v/>
      </c>
      <c r="D241" s="59"/>
      <c r="E241" s="59"/>
      <c r="F241" s="59"/>
      <c r="G241" s="94"/>
      <c r="H241" s="59"/>
      <c r="I241" s="59"/>
      <c r="J241" s="106">
        <f>VLOOKUP(A241&amp;G241,Lookup!J:N,5,0)</f>
        <v>0</v>
      </c>
      <c r="K241" s="110"/>
      <c r="L241" s="110"/>
      <c r="M241" s="110"/>
      <c r="N241" s="110"/>
      <c r="O241" s="90">
        <f>IFERROR(VLOOKUP(A241&amp;G241,Lookup!J:K,2,0),"")</f>
        <v>0</v>
      </c>
      <c r="P241" s="110" t="str">
        <f t="shared" si="23"/>
        <v/>
      </c>
      <c r="Q241" s="110"/>
      <c r="R241" s="87" t="str">
        <f t="shared" si="24"/>
        <v/>
      </c>
      <c r="S241" s="87" t="str">
        <f t="shared" si="25"/>
        <v/>
      </c>
      <c r="T241" s="59"/>
      <c r="U241" s="59"/>
      <c r="V241" s="59"/>
      <c r="W241" s="59"/>
      <c r="X241" s="93" t="str">
        <f t="shared" si="22"/>
        <v>D</v>
      </c>
    </row>
    <row r="242" spans="1:24" x14ac:dyDescent="0.25">
      <c r="A242" s="53"/>
      <c r="B242" s="91" t="str">
        <f>IFERROR(VLOOKUP(A242,Lookup!A:B,2,0),"")</f>
        <v/>
      </c>
      <c r="C242" s="59" t="str">
        <f>IFERROR(VLOOKUP(A242,Lookup!A:C,3,0),"")</f>
        <v/>
      </c>
      <c r="D242" s="59"/>
      <c r="E242" s="59"/>
      <c r="F242" s="59"/>
      <c r="G242" s="94"/>
      <c r="H242" s="59"/>
      <c r="I242" s="59"/>
      <c r="J242" s="106">
        <f>VLOOKUP(A242&amp;G242,Lookup!J:N,5,0)</f>
        <v>0</v>
      </c>
      <c r="K242" s="110"/>
      <c r="L242" s="110"/>
      <c r="M242" s="110"/>
      <c r="N242" s="110"/>
      <c r="O242" s="90">
        <f>IFERROR(VLOOKUP(A242&amp;G242,Lookup!J:K,2,0),"")</f>
        <v>0</v>
      </c>
      <c r="P242" s="110" t="str">
        <f t="shared" si="23"/>
        <v/>
      </c>
      <c r="Q242" s="110"/>
      <c r="R242" s="87" t="str">
        <f t="shared" si="24"/>
        <v/>
      </c>
      <c r="S242" s="87" t="str">
        <f t="shared" si="25"/>
        <v/>
      </c>
      <c r="T242" s="59"/>
      <c r="U242" s="59"/>
      <c r="V242" s="59"/>
      <c r="W242" s="59"/>
      <c r="X242" s="93" t="str">
        <f t="shared" si="22"/>
        <v>D</v>
      </c>
    </row>
    <row r="243" spans="1:24" x14ac:dyDescent="0.25">
      <c r="A243" s="53"/>
      <c r="B243" s="91" t="str">
        <f>IFERROR(VLOOKUP(A243,Lookup!A:B,2,0),"")</f>
        <v/>
      </c>
      <c r="C243" s="59" t="str">
        <f>IFERROR(VLOOKUP(A243,Lookup!A:C,3,0),"")</f>
        <v/>
      </c>
      <c r="D243" s="59"/>
      <c r="E243" s="59"/>
      <c r="F243" s="59"/>
      <c r="G243" s="94"/>
      <c r="H243" s="59"/>
      <c r="I243" s="59"/>
      <c r="J243" s="106">
        <f>VLOOKUP(A243&amp;G243,Lookup!J:N,5,0)</f>
        <v>0</v>
      </c>
      <c r="K243" s="110"/>
      <c r="L243" s="110"/>
      <c r="M243" s="110"/>
      <c r="N243" s="110"/>
      <c r="O243" s="90">
        <f>IFERROR(VLOOKUP(A243&amp;G243,Lookup!J:K,2,0),"")</f>
        <v>0</v>
      </c>
      <c r="P243" s="110" t="str">
        <f t="shared" si="23"/>
        <v/>
      </c>
      <c r="Q243" s="110"/>
      <c r="R243" s="87" t="str">
        <f t="shared" si="24"/>
        <v/>
      </c>
      <c r="S243" s="87" t="str">
        <f t="shared" si="25"/>
        <v/>
      </c>
      <c r="T243" s="59"/>
      <c r="U243" s="59"/>
      <c r="V243" s="59"/>
      <c r="W243" s="59"/>
      <c r="X243" s="93" t="str">
        <f t="shared" si="22"/>
        <v>D</v>
      </c>
    </row>
    <row r="244" spans="1:24" x14ac:dyDescent="0.25">
      <c r="A244" s="53"/>
      <c r="B244" s="91" t="str">
        <f>IFERROR(VLOOKUP(A244,Lookup!A:B,2,0),"")</f>
        <v/>
      </c>
      <c r="C244" s="59" t="str">
        <f>IFERROR(VLOOKUP(A244,Lookup!A:C,3,0),"")</f>
        <v/>
      </c>
      <c r="D244" s="59"/>
      <c r="E244" s="59"/>
      <c r="F244" s="59"/>
      <c r="G244" s="94"/>
      <c r="H244" s="59"/>
      <c r="I244" s="59"/>
      <c r="J244" s="106">
        <f>VLOOKUP(A244&amp;G244,Lookup!J:N,5,0)</f>
        <v>0</v>
      </c>
      <c r="K244" s="110"/>
      <c r="L244" s="110"/>
      <c r="M244" s="110"/>
      <c r="N244" s="110"/>
      <c r="O244" s="90">
        <f>IFERROR(VLOOKUP(A244&amp;G244,Lookup!J:K,2,0),"")</f>
        <v>0</v>
      </c>
      <c r="P244" s="110" t="str">
        <f t="shared" si="23"/>
        <v/>
      </c>
      <c r="Q244" s="110"/>
      <c r="R244" s="87" t="str">
        <f t="shared" si="24"/>
        <v/>
      </c>
      <c r="S244" s="87" t="str">
        <f t="shared" si="25"/>
        <v/>
      </c>
      <c r="T244" s="59"/>
      <c r="U244" s="59"/>
      <c r="V244" s="59"/>
      <c r="W244" s="59"/>
      <c r="X244" s="93" t="str">
        <f t="shared" si="22"/>
        <v>D</v>
      </c>
    </row>
    <row r="245" spans="1:24" x14ac:dyDescent="0.25">
      <c r="A245" s="53"/>
      <c r="B245" s="91" t="str">
        <f>IFERROR(VLOOKUP(A245,Lookup!A:B,2,0),"")</f>
        <v/>
      </c>
      <c r="C245" s="59" t="str">
        <f>IFERROR(VLOOKUP(A245,Lookup!A:C,3,0),"")</f>
        <v/>
      </c>
      <c r="D245" s="59"/>
      <c r="E245" s="59"/>
      <c r="F245" s="59"/>
      <c r="G245" s="94"/>
      <c r="H245" s="59"/>
      <c r="I245" s="59"/>
      <c r="J245" s="106">
        <f>VLOOKUP(A245&amp;G245,Lookup!J:N,5,0)</f>
        <v>0</v>
      </c>
      <c r="K245" s="110"/>
      <c r="L245" s="110"/>
      <c r="M245" s="110"/>
      <c r="N245" s="110"/>
      <c r="O245" s="90">
        <f>IFERROR(VLOOKUP(A245&amp;G245,Lookup!J:K,2,0),"")</f>
        <v>0</v>
      </c>
      <c r="P245" s="110" t="str">
        <f t="shared" si="23"/>
        <v/>
      </c>
      <c r="Q245" s="110"/>
      <c r="R245" s="87" t="str">
        <f t="shared" si="24"/>
        <v/>
      </c>
      <c r="S245" s="87" t="str">
        <f t="shared" si="25"/>
        <v/>
      </c>
      <c r="T245" s="59"/>
      <c r="U245" s="59"/>
      <c r="V245" s="59"/>
      <c r="W245" s="59"/>
      <c r="X245" s="93" t="str">
        <f t="shared" si="22"/>
        <v>D</v>
      </c>
    </row>
    <row r="246" spans="1:24" x14ac:dyDescent="0.25">
      <c r="A246" s="53"/>
      <c r="B246" s="91" t="str">
        <f>IFERROR(VLOOKUP(A246,Lookup!A:B,2,0),"")</f>
        <v/>
      </c>
      <c r="C246" s="59" t="str">
        <f>IFERROR(VLOOKUP(A246,Lookup!A:C,3,0),"")</f>
        <v/>
      </c>
      <c r="D246" s="59"/>
      <c r="E246" s="59"/>
      <c r="F246" s="59"/>
      <c r="G246" s="94"/>
      <c r="H246" s="59"/>
      <c r="I246" s="59"/>
      <c r="J246" s="106">
        <f>VLOOKUP(A246&amp;G246,Lookup!J:N,5,0)</f>
        <v>0</v>
      </c>
      <c r="K246" s="110"/>
      <c r="L246" s="110"/>
      <c r="M246" s="110"/>
      <c r="N246" s="110"/>
      <c r="O246" s="90">
        <f>IFERROR(VLOOKUP(A246&amp;G246,Lookup!J:K,2,0),"")</f>
        <v>0</v>
      </c>
      <c r="P246" s="110" t="str">
        <f t="shared" si="23"/>
        <v/>
      </c>
      <c r="Q246" s="110"/>
      <c r="R246" s="87" t="str">
        <f t="shared" si="24"/>
        <v/>
      </c>
      <c r="S246" s="87" t="str">
        <f t="shared" si="25"/>
        <v/>
      </c>
      <c r="T246" s="59"/>
      <c r="U246" s="59"/>
      <c r="V246" s="59"/>
      <c r="W246" s="59"/>
      <c r="X246" s="93" t="str">
        <f t="shared" si="22"/>
        <v>D</v>
      </c>
    </row>
    <row r="247" spans="1:24" x14ac:dyDescent="0.25">
      <c r="A247" s="53"/>
      <c r="B247" s="91" t="str">
        <f>IFERROR(VLOOKUP(A247,Lookup!A:B,2,0),"")</f>
        <v/>
      </c>
      <c r="C247" s="59" t="str">
        <f>IFERROR(VLOOKUP(A247,Lookup!A:C,3,0),"")</f>
        <v/>
      </c>
      <c r="D247" s="59"/>
      <c r="E247" s="59"/>
      <c r="F247" s="59"/>
      <c r="G247" s="94"/>
      <c r="H247" s="59"/>
      <c r="I247" s="59"/>
      <c r="J247" s="106">
        <f>VLOOKUP(A247&amp;G247,Lookup!J:N,5,0)</f>
        <v>0</v>
      </c>
      <c r="K247" s="110"/>
      <c r="L247" s="110"/>
      <c r="M247" s="110"/>
      <c r="N247" s="110"/>
      <c r="O247" s="90">
        <f>IFERROR(VLOOKUP(A247&amp;G247,Lookup!J:K,2,0),"")</f>
        <v>0</v>
      </c>
      <c r="P247" s="110" t="str">
        <f t="shared" si="23"/>
        <v/>
      </c>
      <c r="Q247" s="110"/>
      <c r="R247" s="87" t="str">
        <f t="shared" si="24"/>
        <v/>
      </c>
      <c r="S247" s="87" t="str">
        <f t="shared" si="25"/>
        <v/>
      </c>
      <c r="T247" s="59"/>
      <c r="U247" s="59"/>
      <c r="V247" s="59"/>
      <c r="W247" s="59"/>
      <c r="X247" s="93" t="str">
        <f t="shared" si="22"/>
        <v>D</v>
      </c>
    </row>
    <row r="248" spans="1:24" x14ac:dyDescent="0.25">
      <c r="A248" s="53"/>
      <c r="B248" s="91" t="str">
        <f>IFERROR(VLOOKUP(A248,Lookup!A:B,2,0),"")</f>
        <v/>
      </c>
      <c r="C248" s="59" t="str">
        <f>IFERROR(VLOOKUP(A248,Lookup!A:C,3,0),"")</f>
        <v/>
      </c>
      <c r="D248" s="59"/>
      <c r="E248" s="59"/>
      <c r="F248" s="59"/>
      <c r="G248" s="94"/>
      <c r="H248" s="59"/>
      <c r="I248" s="59"/>
      <c r="J248" s="106">
        <f>VLOOKUP(A248&amp;G248,Lookup!J:N,5,0)</f>
        <v>0</v>
      </c>
      <c r="K248" s="110"/>
      <c r="L248" s="110"/>
      <c r="M248" s="110"/>
      <c r="N248" s="110"/>
      <c r="O248" s="90">
        <f>IFERROR(VLOOKUP(A248&amp;G248,Lookup!J:K,2,0),"")</f>
        <v>0</v>
      </c>
      <c r="P248" s="110" t="str">
        <f t="shared" si="23"/>
        <v/>
      </c>
      <c r="Q248" s="110"/>
      <c r="R248" s="87" t="str">
        <f t="shared" si="24"/>
        <v/>
      </c>
      <c r="S248" s="87" t="str">
        <f t="shared" si="25"/>
        <v/>
      </c>
      <c r="T248" s="59"/>
      <c r="U248" s="59"/>
      <c r="V248" s="59"/>
      <c r="W248" s="59"/>
      <c r="X248" s="93" t="str">
        <f t="shared" si="22"/>
        <v>D</v>
      </c>
    </row>
    <row r="249" spans="1:24" x14ac:dyDescent="0.25">
      <c r="A249" s="53"/>
      <c r="B249" s="91" t="str">
        <f>IFERROR(VLOOKUP(A249,Lookup!A:B,2,0),"")</f>
        <v/>
      </c>
      <c r="C249" s="59" t="str">
        <f>IFERROR(VLOOKUP(A249,Lookup!A:C,3,0),"")</f>
        <v/>
      </c>
      <c r="D249" s="59"/>
      <c r="E249" s="59"/>
      <c r="F249" s="59"/>
      <c r="G249" s="94"/>
      <c r="H249" s="59"/>
      <c r="I249" s="59"/>
      <c r="J249" s="106">
        <f>VLOOKUP(A249&amp;G249,Lookup!J:N,5,0)</f>
        <v>0</v>
      </c>
      <c r="K249" s="110"/>
      <c r="L249" s="110"/>
      <c r="M249" s="110"/>
      <c r="N249" s="110"/>
      <c r="O249" s="90">
        <f>IFERROR(VLOOKUP(A249&amp;G249,Lookup!J:K,2,0),"")</f>
        <v>0</v>
      </c>
      <c r="P249" s="110" t="str">
        <f t="shared" si="23"/>
        <v/>
      </c>
      <c r="Q249" s="110"/>
      <c r="R249" s="87" t="str">
        <f t="shared" si="24"/>
        <v/>
      </c>
      <c r="S249" s="87" t="str">
        <f t="shared" si="25"/>
        <v/>
      </c>
      <c r="T249" s="59"/>
      <c r="U249" s="59"/>
      <c r="V249" s="59"/>
      <c r="W249" s="59"/>
      <c r="X249" s="93" t="str">
        <f t="shared" si="22"/>
        <v>D</v>
      </c>
    </row>
    <row r="250" spans="1:24" x14ac:dyDescent="0.25">
      <c r="A250" s="53"/>
      <c r="B250" s="91" t="str">
        <f>IFERROR(VLOOKUP(A250,Lookup!A:B,2,0),"")</f>
        <v/>
      </c>
      <c r="C250" s="59" t="str">
        <f>IFERROR(VLOOKUP(A250,Lookup!A:C,3,0),"")</f>
        <v/>
      </c>
      <c r="D250" s="59"/>
      <c r="E250" s="59"/>
      <c r="F250" s="59"/>
      <c r="G250" s="94"/>
      <c r="H250" s="59"/>
      <c r="I250" s="59"/>
      <c r="J250" s="106">
        <f>VLOOKUP(A250&amp;G250,Lookup!J:N,5,0)</f>
        <v>0</v>
      </c>
      <c r="K250" s="110"/>
      <c r="L250" s="110"/>
      <c r="M250" s="110"/>
      <c r="N250" s="110"/>
      <c r="O250" s="90">
        <f>IFERROR(VLOOKUP(A250&amp;G250,Lookup!J:K,2,0),"")</f>
        <v>0</v>
      </c>
      <c r="P250" s="110" t="str">
        <f t="shared" si="23"/>
        <v/>
      </c>
      <c r="Q250" s="110"/>
      <c r="R250" s="87" t="str">
        <f t="shared" si="24"/>
        <v/>
      </c>
      <c r="S250" s="87" t="str">
        <f t="shared" si="25"/>
        <v/>
      </c>
      <c r="T250" s="59"/>
      <c r="U250" s="59"/>
      <c r="V250" s="59"/>
      <c r="W250" s="59"/>
      <c r="X250" s="93" t="str">
        <f t="shared" si="22"/>
        <v>D</v>
      </c>
    </row>
    <row r="251" spans="1:24" x14ac:dyDescent="0.25">
      <c r="A251" s="53"/>
      <c r="B251" s="91" t="str">
        <f>IFERROR(VLOOKUP(A251,Lookup!A:B,2,0),"")</f>
        <v/>
      </c>
      <c r="C251" s="59" t="str">
        <f>IFERROR(VLOOKUP(A251,Lookup!A:C,3,0),"")</f>
        <v/>
      </c>
      <c r="D251" s="59"/>
      <c r="E251" s="59"/>
      <c r="F251" s="59"/>
      <c r="G251" s="94"/>
      <c r="H251" s="59"/>
      <c r="I251" s="59"/>
      <c r="J251" s="106">
        <f>VLOOKUP(A251&amp;G251,Lookup!J:N,5,0)</f>
        <v>0</v>
      </c>
      <c r="K251" s="110"/>
      <c r="L251" s="110"/>
      <c r="M251" s="110"/>
      <c r="N251" s="110"/>
      <c r="O251" s="90">
        <f>IFERROR(VLOOKUP(A251&amp;G251,Lookup!J:K,2,0),"")</f>
        <v>0</v>
      </c>
      <c r="P251" s="110" t="str">
        <f t="shared" si="23"/>
        <v/>
      </c>
      <c r="Q251" s="110"/>
      <c r="R251" s="87" t="str">
        <f t="shared" si="24"/>
        <v/>
      </c>
      <c r="S251" s="87" t="str">
        <f t="shared" si="25"/>
        <v/>
      </c>
      <c r="T251" s="59"/>
      <c r="U251" s="59"/>
      <c r="V251" s="59"/>
      <c r="W251" s="59"/>
      <c r="X251" s="93" t="str">
        <f t="shared" si="22"/>
        <v>D</v>
      </c>
    </row>
    <row r="252" spans="1:24" x14ac:dyDescent="0.25">
      <c r="A252" s="53"/>
      <c r="B252" s="91" t="str">
        <f>IFERROR(VLOOKUP(A252,Lookup!A:B,2,0),"")</f>
        <v/>
      </c>
      <c r="C252" s="59" t="str">
        <f>IFERROR(VLOOKUP(A252,Lookup!A:C,3,0),"")</f>
        <v/>
      </c>
      <c r="D252" s="59"/>
      <c r="E252" s="59"/>
      <c r="F252" s="59"/>
      <c r="G252" s="94"/>
      <c r="H252" s="59"/>
      <c r="I252" s="59"/>
      <c r="J252" s="106">
        <f>VLOOKUP(A252&amp;G252,Lookup!J:N,5,0)</f>
        <v>0</v>
      </c>
      <c r="K252" s="110"/>
      <c r="L252" s="110"/>
      <c r="M252" s="110"/>
      <c r="N252" s="110"/>
      <c r="O252" s="90">
        <f>IFERROR(VLOOKUP(A252&amp;G252,Lookup!J:K,2,0),"")</f>
        <v>0</v>
      </c>
      <c r="P252" s="110" t="str">
        <f t="shared" si="23"/>
        <v/>
      </c>
      <c r="Q252" s="110"/>
      <c r="R252" s="87" t="str">
        <f t="shared" si="24"/>
        <v/>
      </c>
      <c r="S252" s="87" t="str">
        <f t="shared" si="25"/>
        <v/>
      </c>
      <c r="T252" s="59"/>
      <c r="U252" s="59"/>
      <c r="V252" s="59"/>
      <c r="W252" s="59"/>
      <c r="X252" s="93" t="str">
        <f t="shared" si="22"/>
        <v>D</v>
      </c>
    </row>
    <row r="253" spans="1:24" x14ac:dyDescent="0.25">
      <c r="A253" s="53"/>
      <c r="B253" s="91" t="str">
        <f>IFERROR(VLOOKUP(A253,Lookup!A:B,2,0),"")</f>
        <v/>
      </c>
      <c r="C253" s="59" t="str">
        <f>IFERROR(VLOOKUP(A253,Lookup!A:C,3,0),"")</f>
        <v/>
      </c>
      <c r="D253" s="59"/>
      <c r="E253" s="59"/>
      <c r="F253" s="59"/>
      <c r="G253" s="94"/>
      <c r="H253" s="59"/>
      <c r="I253" s="59"/>
      <c r="J253" s="106">
        <f>VLOOKUP(A253&amp;G253,Lookup!J:N,5,0)</f>
        <v>0</v>
      </c>
      <c r="K253" s="110"/>
      <c r="L253" s="110"/>
      <c r="M253" s="110"/>
      <c r="N253" s="110"/>
      <c r="O253" s="90">
        <f>IFERROR(VLOOKUP(A253&amp;G253,Lookup!J:K,2,0),"")</f>
        <v>0</v>
      </c>
      <c r="P253" s="110" t="str">
        <f t="shared" si="23"/>
        <v/>
      </c>
      <c r="Q253" s="110"/>
      <c r="R253" s="87" t="str">
        <f t="shared" si="24"/>
        <v/>
      </c>
      <c r="S253" s="87" t="str">
        <f t="shared" si="25"/>
        <v/>
      </c>
      <c r="T253" s="59"/>
      <c r="U253" s="59"/>
      <c r="V253" s="59"/>
      <c r="W253" s="59"/>
      <c r="X253" s="93" t="str">
        <f t="shared" si="22"/>
        <v>D</v>
      </c>
    </row>
    <row r="254" spans="1:24" x14ac:dyDescent="0.25">
      <c r="A254" s="53"/>
      <c r="B254" s="91" t="str">
        <f>IFERROR(VLOOKUP(A254,Lookup!A:B,2,0),"")</f>
        <v/>
      </c>
      <c r="C254" s="59" t="str">
        <f>IFERROR(VLOOKUP(A254,Lookup!A:C,3,0),"")</f>
        <v/>
      </c>
      <c r="D254" s="59"/>
      <c r="E254" s="59"/>
      <c r="F254" s="59"/>
      <c r="G254" s="94"/>
      <c r="H254" s="59"/>
      <c r="I254" s="59"/>
      <c r="J254" s="106">
        <f>VLOOKUP(A254&amp;G254,Lookup!J:N,5,0)</f>
        <v>0</v>
      </c>
      <c r="K254" s="110"/>
      <c r="L254" s="110"/>
      <c r="M254" s="110"/>
      <c r="N254" s="110"/>
      <c r="O254" s="90">
        <f>IFERROR(VLOOKUP(A254&amp;G254,Lookup!J:K,2,0),"")</f>
        <v>0</v>
      </c>
      <c r="P254" s="110" t="str">
        <f t="shared" si="23"/>
        <v/>
      </c>
      <c r="Q254" s="110"/>
      <c r="R254" s="87" t="str">
        <f t="shared" si="24"/>
        <v/>
      </c>
      <c r="S254" s="87" t="str">
        <f t="shared" si="25"/>
        <v/>
      </c>
      <c r="T254" s="59"/>
      <c r="U254" s="59"/>
      <c r="V254" s="59"/>
      <c r="W254" s="59"/>
      <c r="X254" s="93" t="str">
        <f t="shared" si="22"/>
        <v>D</v>
      </c>
    </row>
    <row r="255" spans="1:24" x14ac:dyDescent="0.25">
      <c r="A255" s="53"/>
      <c r="B255" s="91" t="str">
        <f>IFERROR(VLOOKUP(A255,Lookup!A:B,2,0),"")</f>
        <v/>
      </c>
      <c r="C255" s="59" t="str">
        <f>IFERROR(VLOOKUP(A255,Lookup!A:C,3,0),"")</f>
        <v/>
      </c>
      <c r="D255" s="59"/>
      <c r="E255" s="59"/>
      <c r="F255" s="59"/>
      <c r="G255" s="94"/>
      <c r="H255" s="59"/>
      <c r="I255" s="59"/>
      <c r="J255" s="106">
        <f>VLOOKUP(A255&amp;G255,Lookup!J:N,5,0)</f>
        <v>0</v>
      </c>
      <c r="K255" s="110"/>
      <c r="L255" s="110"/>
      <c r="M255" s="110"/>
      <c r="N255" s="110"/>
      <c r="O255" s="90">
        <f>IFERROR(VLOOKUP(A255&amp;G255,Lookup!J:K,2,0),"")</f>
        <v>0</v>
      </c>
      <c r="P255" s="110" t="str">
        <f t="shared" si="23"/>
        <v/>
      </c>
      <c r="Q255" s="110"/>
      <c r="R255" s="87" t="str">
        <f t="shared" si="24"/>
        <v/>
      </c>
      <c r="S255" s="87" t="str">
        <f t="shared" si="25"/>
        <v/>
      </c>
      <c r="T255" s="59"/>
      <c r="U255" s="59"/>
      <c r="V255" s="59"/>
      <c r="W255" s="59"/>
      <c r="X255" s="93" t="str">
        <f t="shared" si="22"/>
        <v>D</v>
      </c>
    </row>
    <row r="256" spans="1:24" x14ac:dyDescent="0.25">
      <c r="A256" s="53"/>
      <c r="B256" s="91" t="str">
        <f>IFERROR(VLOOKUP(A256,Lookup!A:B,2,0),"")</f>
        <v/>
      </c>
      <c r="C256" s="59" t="str">
        <f>IFERROR(VLOOKUP(A256,Lookup!A:C,3,0),"")</f>
        <v/>
      </c>
      <c r="D256" s="59"/>
      <c r="E256" s="59"/>
      <c r="F256" s="59"/>
      <c r="G256" s="94"/>
      <c r="H256" s="59"/>
      <c r="I256" s="59"/>
      <c r="J256" s="106">
        <f>VLOOKUP(A256&amp;G256,Lookup!J:N,5,0)</f>
        <v>0</v>
      </c>
      <c r="K256" s="110"/>
      <c r="L256" s="110"/>
      <c r="M256" s="110"/>
      <c r="N256" s="110"/>
      <c r="O256" s="90">
        <f>IFERROR(VLOOKUP(A256&amp;G256,Lookup!J:K,2,0),"")</f>
        <v>0</v>
      </c>
      <c r="P256" s="110" t="str">
        <f t="shared" si="23"/>
        <v/>
      </c>
      <c r="Q256" s="110"/>
      <c r="R256" s="87" t="str">
        <f t="shared" si="24"/>
        <v/>
      </c>
      <c r="S256" s="87" t="str">
        <f t="shared" si="25"/>
        <v/>
      </c>
      <c r="T256" s="59"/>
      <c r="U256" s="59"/>
      <c r="V256" s="59"/>
      <c r="W256" s="59"/>
      <c r="X256" s="93" t="str">
        <f t="shared" si="22"/>
        <v>D</v>
      </c>
    </row>
    <row r="257" spans="1:24" x14ac:dyDescent="0.25">
      <c r="A257" s="53"/>
      <c r="B257" s="91" t="str">
        <f>IFERROR(VLOOKUP(A257,Lookup!A:B,2,0),"")</f>
        <v/>
      </c>
      <c r="C257" s="59" t="str">
        <f>IFERROR(VLOOKUP(A257,Lookup!A:C,3,0),"")</f>
        <v/>
      </c>
      <c r="D257" s="59"/>
      <c r="E257" s="59"/>
      <c r="F257" s="59"/>
      <c r="G257" s="94"/>
      <c r="H257" s="59"/>
      <c r="I257" s="59"/>
      <c r="J257" s="106">
        <f>VLOOKUP(A257&amp;G257,Lookup!J:N,5,0)</f>
        <v>0</v>
      </c>
      <c r="K257" s="110"/>
      <c r="L257" s="110"/>
      <c r="M257" s="110"/>
      <c r="N257" s="110"/>
      <c r="O257" s="90">
        <f>IFERROR(VLOOKUP(A257&amp;G257,Lookup!J:K,2,0),"")</f>
        <v>0</v>
      </c>
      <c r="P257" s="110" t="str">
        <f t="shared" si="23"/>
        <v/>
      </c>
      <c r="Q257" s="110"/>
      <c r="R257" s="87" t="str">
        <f t="shared" si="24"/>
        <v/>
      </c>
      <c r="S257" s="87" t="str">
        <f t="shared" si="25"/>
        <v/>
      </c>
      <c r="T257" s="59"/>
      <c r="U257" s="59"/>
      <c r="V257" s="59"/>
      <c r="W257" s="59"/>
      <c r="X257" s="93" t="str">
        <f t="shared" ref="X257:X320" si="26">IF(I257="SET","A",IF(I257="FREQ","C",IF(I257="","D","B")))</f>
        <v>D</v>
      </c>
    </row>
    <row r="258" spans="1:24" x14ac:dyDescent="0.25">
      <c r="A258" s="53"/>
      <c r="B258" s="91" t="str">
        <f>IFERROR(VLOOKUP(A258,Lookup!A:B,2,0),"")</f>
        <v/>
      </c>
      <c r="C258" s="59" t="str">
        <f>IFERROR(VLOOKUP(A258,Lookup!A:C,3,0),"")</f>
        <v/>
      </c>
      <c r="D258" s="59"/>
      <c r="E258" s="59"/>
      <c r="F258" s="59"/>
      <c r="G258" s="94"/>
      <c r="H258" s="59"/>
      <c r="I258" s="59"/>
      <c r="J258" s="106">
        <f>VLOOKUP(A258&amp;G258,Lookup!J:N,5,0)</f>
        <v>0</v>
      </c>
      <c r="K258" s="110"/>
      <c r="L258" s="110"/>
      <c r="M258" s="110"/>
      <c r="N258" s="110"/>
      <c r="O258" s="90">
        <f>IFERROR(VLOOKUP(A258&amp;G258,Lookup!J:K,2,0),"")</f>
        <v>0</v>
      </c>
      <c r="P258" s="110" t="str">
        <f t="shared" ref="P258:P321" si="27">IF(N258="","",N258+O258)</f>
        <v/>
      </c>
      <c r="Q258" s="110"/>
      <c r="R258" s="87" t="str">
        <f t="shared" si="24"/>
        <v/>
      </c>
      <c r="S258" s="87" t="str">
        <f t="shared" si="25"/>
        <v/>
      </c>
      <c r="T258" s="59"/>
      <c r="U258" s="59"/>
      <c r="V258" s="59"/>
      <c r="W258" s="59"/>
      <c r="X258" s="93" t="str">
        <f t="shared" si="26"/>
        <v>D</v>
      </c>
    </row>
    <row r="259" spans="1:24" x14ac:dyDescent="0.25">
      <c r="A259" s="53"/>
      <c r="B259" s="91" t="str">
        <f>IFERROR(VLOOKUP(A259,Lookup!A:B,2,0),"")</f>
        <v/>
      </c>
      <c r="C259" s="59" t="str">
        <f>IFERROR(VLOOKUP(A259,Lookup!A:C,3,0),"")</f>
        <v/>
      </c>
      <c r="D259" s="59"/>
      <c r="E259" s="59"/>
      <c r="F259" s="59"/>
      <c r="G259" s="94"/>
      <c r="H259" s="59"/>
      <c r="I259" s="59"/>
      <c r="J259" s="106">
        <f>VLOOKUP(A259&amp;G259,Lookup!J:N,5,0)</f>
        <v>0</v>
      </c>
      <c r="K259" s="110"/>
      <c r="L259" s="110"/>
      <c r="M259" s="110"/>
      <c r="N259" s="110"/>
      <c r="O259" s="90">
        <f>IFERROR(VLOOKUP(A259&amp;G259,Lookup!J:K,2,0),"")</f>
        <v>0</v>
      </c>
      <c r="P259" s="110" t="str">
        <f t="shared" si="27"/>
        <v/>
      </c>
      <c r="Q259" s="110"/>
      <c r="R259" s="87" t="str">
        <f t="shared" ref="R259:R322" si="28">IF(OR(EXACT(N259,""), EXACT(L259,"")),"",N259-L259)</f>
        <v/>
      </c>
      <c r="S259" s="87" t="str">
        <f t="shared" si="25"/>
        <v/>
      </c>
      <c r="T259" s="59"/>
      <c r="U259" s="59"/>
      <c r="V259" s="59"/>
      <c r="W259" s="59"/>
      <c r="X259" s="93" t="str">
        <f t="shared" si="26"/>
        <v>D</v>
      </c>
    </row>
    <row r="260" spans="1:24" x14ac:dyDescent="0.25">
      <c r="A260" s="53"/>
      <c r="B260" s="91" t="str">
        <f>IFERROR(VLOOKUP(A260,Lookup!A:B,2,0),"")</f>
        <v/>
      </c>
      <c r="C260" s="59" t="str">
        <f>IFERROR(VLOOKUP(A260,Lookup!A:C,3,0),"")</f>
        <v/>
      </c>
      <c r="D260" s="59"/>
      <c r="E260" s="59"/>
      <c r="F260" s="59"/>
      <c r="G260" s="94"/>
      <c r="H260" s="59"/>
      <c r="I260" s="59"/>
      <c r="J260" s="106">
        <f>VLOOKUP(A260&amp;G260,Lookup!J:N,5,0)</f>
        <v>0</v>
      </c>
      <c r="K260" s="110"/>
      <c r="L260" s="110"/>
      <c r="M260" s="110"/>
      <c r="N260" s="110"/>
      <c r="O260" s="90">
        <f>IFERROR(VLOOKUP(A260&amp;G260,Lookup!J:K,2,0),"")</f>
        <v>0</v>
      </c>
      <c r="P260" s="110" t="str">
        <f t="shared" si="27"/>
        <v/>
      </c>
      <c r="Q260" s="110"/>
      <c r="R260" s="87" t="str">
        <f t="shared" si="28"/>
        <v/>
      </c>
      <c r="S260" s="87" t="str">
        <f t="shared" ref="S260:S323" si="29">IF(OR(EXACT(Q260,""), EXACT(L260,"")),"",Q260-L260)</f>
        <v/>
      </c>
      <c r="T260" s="59"/>
      <c r="U260" s="59"/>
      <c r="V260" s="59"/>
      <c r="W260" s="59"/>
      <c r="X260" s="93" t="str">
        <f t="shared" si="26"/>
        <v>D</v>
      </c>
    </row>
    <row r="261" spans="1:24" x14ac:dyDescent="0.25">
      <c r="A261" s="53"/>
      <c r="B261" s="91" t="str">
        <f>IFERROR(VLOOKUP(A261,Lookup!A:B,2,0),"")</f>
        <v/>
      </c>
      <c r="C261" s="59" t="str">
        <f>IFERROR(VLOOKUP(A261,Lookup!A:C,3,0),"")</f>
        <v/>
      </c>
      <c r="D261" s="59"/>
      <c r="E261" s="59"/>
      <c r="F261" s="59"/>
      <c r="G261" s="94"/>
      <c r="H261" s="59"/>
      <c r="I261" s="59"/>
      <c r="J261" s="106">
        <f>VLOOKUP(A261&amp;G261,Lookup!J:N,5,0)</f>
        <v>0</v>
      </c>
      <c r="K261" s="110"/>
      <c r="L261" s="110"/>
      <c r="M261" s="110"/>
      <c r="N261" s="110"/>
      <c r="O261" s="90">
        <f>IFERROR(VLOOKUP(A261&amp;G261,Lookup!J:K,2,0),"")</f>
        <v>0</v>
      </c>
      <c r="P261" s="110" t="str">
        <f t="shared" si="27"/>
        <v/>
      </c>
      <c r="Q261" s="110"/>
      <c r="R261" s="87" t="str">
        <f t="shared" si="28"/>
        <v/>
      </c>
      <c r="S261" s="87" t="str">
        <f t="shared" si="29"/>
        <v/>
      </c>
      <c r="T261" s="59"/>
      <c r="U261" s="59"/>
      <c r="V261" s="59"/>
      <c r="W261" s="59"/>
      <c r="X261" s="93" t="str">
        <f t="shared" si="26"/>
        <v>D</v>
      </c>
    </row>
    <row r="262" spans="1:24" x14ac:dyDescent="0.25">
      <c r="A262" s="53"/>
      <c r="B262" s="91" t="str">
        <f>IFERROR(VLOOKUP(A262,Lookup!A:B,2,0),"")</f>
        <v/>
      </c>
      <c r="C262" s="59" t="str">
        <f>IFERROR(VLOOKUP(A262,Lookup!A:C,3,0),"")</f>
        <v/>
      </c>
      <c r="D262" s="59"/>
      <c r="E262" s="59"/>
      <c r="F262" s="59"/>
      <c r="G262" s="94"/>
      <c r="H262" s="59"/>
      <c r="I262" s="59"/>
      <c r="J262" s="106">
        <f>VLOOKUP(A262&amp;G262,Lookup!J:N,5,0)</f>
        <v>0</v>
      </c>
      <c r="K262" s="110"/>
      <c r="L262" s="110"/>
      <c r="M262" s="110"/>
      <c r="N262" s="110"/>
      <c r="O262" s="90">
        <f>IFERROR(VLOOKUP(A262&amp;G262,Lookup!J:K,2,0),"")</f>
        <v>0</v>
      </c>
      <c r="P262" s="110" t="str">
        <f t="shared" si="27"/>
        <v/>
      </c>
      <c r="Q262" s="110"/>
      <c r="R262" s="87" t="str">
        <f t="shared" si="28"/>
        <v/>
      </c>
      <c r="S262" s="87" t="str">
        <f t="shared" si="29"/>
        <v/>
      </c>
      <c r="T262" s="59"/>
      <c r="U262" s="59"/>
      <c r="V262" s="59"/>
      <c r="W262" s="59"/>
      <c r="X262" s="93" t="str">
        <f t="shared" si="26"/>
        <v>D</v>
      </c>
    </row>
    <row r="263" spans="1:24" x14ac:dyDescent="0.25">
      <c r="A263" s="53"/>
      <c r="B263" s="91" t="str">
        <f>IFERROR(VLOOKUP(A263,Lookup!A:B,2,0),"")</f>
        <v/>
      </c>
      <c r="C263" s="59" t="str">
        <f>IFERROR(VLOOKUP(A263,Lookup!A:C,3,0),"")</f>
        <v/>
      </c>
      <c r="D263" s="59"/>
      <c r="E263" s="59"/>
      <c r="F263" s="59"/>
      <c r="G263" s="94"/>
      <c r="H263" s="59"/>
      <c r="I263" s="59"/>
      <c r="J263" s="106">
        <f>VLOOKUP(A263&amp;G263,Lookup!J:N,5,0)</f>
        <v>0</v>
      </c>
      <c r="K263" s="110"/>
      <c r="L263" s="110"/>
      <c r="M263" s="110"/>
      <c r="N263" s="110"/>
      <c r="O263" s="90">
        <f>IFERROR(VLOOKUP(A263&amp;G263,Lookup!J:K,2,0),"")</f>
        <v>0</v>
      </c>
      <c r="P263" s="110" t="str">
        <f t="shared" si="27"/>
        <v/>
      </c>
      <c r="Q263" s="110"/>
      <c r="R263" s="87" t="str">
        <f t="shared" si="28"/>
        <v/>
      </c>
      <c r="S263" s="87" t="str">
        <f t="shared" si="29"/>
        <v/>
      </c>
      <c r="T263" s="59"/>
      <c r="U263" s="59"/>
      <c r="V263" s="59"/>
      <c r="W263" s="59"/>
      <c r="X263" s="93" t="str">
        <f t="shared" si="26"/>
        <v>D</v>
      </c>
    </row>
    <row r="264" spans="1:24" x14ac:dyDescent="0.25">
      <c r="A264" s="53"/>
      <c r="B264" s="91" t="str">
        <f>IFERROR(VLOOKUP(A264,Lookup!A:B,2,0),"")</f>
        <v/>
      </c>
      <c r="C264" s="59" t="str">
        <f>IFERROR(VLOOKUP(A264,Lookup!A:C,3,0),"")</f>
        <v/>
      </c>
      <c r="D264" s="59"/>
      <c r="E264" s="59"/>
      <c r="F264" s="59"/>
      <c r="G264" s="94"/>
      <c r="H264" s="59"/>
      <c r="I264" s="59"/>
      <c r="J264" s="106">
        <f>VLOOKUP(A264&amp;G264,Lookup!J:N,5,0)</f>
        <v>0</v>
      </c>
      <c r="K264" s="110"/>
      <c r="L264" s="110"/>
      <c r="M264" s="110"/>
      <c r="N264" s="110"/>
      <c r="O264" s="90">
        <f>IFERROR(VLOOKUP(A264&amp;G264,Lookup!J:K,2,0),"")</f>
        <v>0</v>
      </c>
      <c r="P264" s="110" t="str">
        <f t="shared" si="27"/>
        <v/>
      </c>
      <c r="Q264" s="110"/>
      <c r="R264" s="87" t="str">
        <f t="shared" si="28"/>
        <v/>
      </c>
      <c r="S264" s="87" t="str">
        <f t="shared" si="29"/>
        <v/>
      </c>
      <c r="T264" s="59"/>
      <c r="U264" s="59"/>
      <c r="V264" s="59"/>
      <c r="W264" s="59"/>
      <c r="X264" s="93" t="str">
        <f t="shared" si="26"/>
        <v>D</v>
      </c>
    </row>
    <row r="265" spans="1:24" x14ac:dyDescent="0.25">
      <c r="A265" s="53"/>
      <c r="B265" s="91" t="str">
        <f>IFERROR(VLOOKUP(A265,Lookup!A:B,2,0),"")</f>
        <v/>
      </c>
      <c r="C265" s="59" t="str">
        <f>IFERROR(VLOOKUP(A265,Lookup!A:C,3,0),"")</f>
        <v/>
      </c>
      <c r="D265" s="59"/>
      <c r="E265" s="59"/>
      <c r="F265" s="59"/>
      <c r="G265" s="94"/>
      <c r="H265" s="59"/>
      <c r="I265" s="59"/>
      <c r="J265" s="106">
        <f>VLOOKUP(A265&amp;G265,Lookup!J:N,5,0)</f>
        <v>0</v>
      </c>
      <c r="K265" s="110"/>
      <c r="L265" s="110"/>
      <c r="M265" s="110"/>
      <c r="N265" s="110"/>
      <c r="O265" s="90">
        <f>IFERROR(VLOOKUP(A265&amp;G265,Lookup!J:K,2,0),"")</f>
        <v>0</v>
      </c>
      <c r="P265" s="110" t="str">
        <f t="shared" si="27"/>
        <v/>
      </c>
      <c r="Q265" s="110"/>
      <c r="R265" s="87" t="str">
        <f t="shared" si="28"/>
        <v/>
      </c>
      <c r="S265" s="87" t="str">
        <f t="shared" si="29"/>
        <v/>
      </c>
      <c r="T265" s="59"/>
      <c r="U265" s="59"/>
      <c r="V265" s="59"/>
      <c r="W265" s="59"/>
      <c r="X265" s="93" t="str">
        <f t="shared" si="26"/>
        <v>D</v>
      </c>
    </row>
    <row r="266" spans="1:24" x14ac:dyDescent="0.25">
      <c r="A266" s="53"/>
      <c r="B266" s="91" t="str">
        <f>IFERROR(VLOOKUP(A266,Lookup!A:B,2,0),"")</f>
        <v/>
      </c>
      <c r="C266" s="59" t="str">
        <f>IFERROR(VLOOKUP(A266,Lookup!A:C,3,0),"")</f>
        <v/>
      </c>
      <c r="D266" s="59"/>
      <c r="E266" s="59"/>
      <c r="F266" s="59"/>
      <c r="G266" s="94"/>
      <c r="H266" s="59"/>
      <c r="I266" s="59"/>
      <c r="J266" s="106">
        <f>VLOOKUP(A266&amp;G266,Lookup!J:N,5,0)</f>
        <v>0</v>
      </c>
      <c r="K266" s="110"/>
      <c r="L266" s="110"/>
      <c r="M266" s="110"/>
      <c r="N266" s="110"/>
      <c r="O266" s="90">
        <f>IFERROR(VLOOKUP(A266&amp;G266,Lookup!J:K,2,0),"")</f>
        <v>0</v>
      </c>
      <c r="P266" s="110" t="str">
        <f t="shared" si="27"/>
        <v/>
      </c>
      <c r="Q266" s="110"/>
      <c r="R266" s="87" t="str">
        <f t="shared" si="28"/>
        <v/>
      </c>
      <c r="S266" s="87" t="str">
        <f t="shared" si="29"/>
        <v/>
      </c>
      <c r="T266" s="59"/>
      <c r="U266" s="59"/>
      <c r="V266" s="59"/>
      <c r="W266" s="59"/>
      <c r="X266" s="93" t="str">
        <f t="shared" si="26"/>
        <v>D</v>
      </c>
    </row>
    <row r="267" spans="1:24" x14ac:dyDescent="0.25">
      <c r="A267" s="53"/>
      <c r="B267" s="91" t="str">
        <f>IFERROR(VLOOKUP(A267,Lookup!A:B,2,0),"")</f>
        <v/>
      </c>
      <c r="C267" s="59" t="str">
        <f>IFERROR(VLOOKUP(A267,Lookup!A:C,3,0),"")</f>
        <v/>
      </c>
      <c r="D267" s="59"/>
      <c r="E267" s="59"/>
      <c r="F267" s="59"/>
      <c r="G267" s="94"/>
      <c r="H267" s="59"/>
      <c r="I267" s="59"/>
      <c r="J267" s="106">
        <f>VLOOKUP(A267&amp;G267,Lookup!J:N,5,0)</f>
        <v>0</v>
      </c>
      <c r="K267" s="110"/>
      <c r="L267" s="110"/>
      <c r="M267" s="110"/>
      <c r="N267" s="110"/>
      <c r="O267" s="90">
        <f>IFERROR(VLOOKUP(A267&amp;G267,Lookup!J:K,2,0),"")</f>
        <v>0</v>
      </c>
      <c r="P267" s="110" t="str">
        <f t="shared" si="27"/>
        <v/>
      </c>
      <c r="Q267" s="110"/>
      <c r="R267" s="87" t="str">
        <f t="shared" si="28"/>
        <v/>
      </c>
      <c r="S267" s="87" t="str">
        <f t="shared" si="29"/>
        <v/>
      </c>
      <c r="T267" s="59"/>
      <c r="U267" s="59"/>
      <c r="V267" s="59"/>
      <c r="W267" s="59"/>
      <c r="X267" s="93" t="str">
        <f t="shared" si="26"/>
        <v>D</v>
      </c>
    </row>
    <row r="268" spans="1:24" x14ac:dyDescent="0.25">
      <c r="A268" s="53"/>
      <c r="B268" s="91" t="str">
        <f>IFERROR(VLOOKUP(A268,Lookup!A:B,2,0),"")</f>
        <v/>
      </c>
      <c r="C268" s="59" t="str">
        <f>IFERROR(VLOOKUP(A268,Lookup!A:C,3,0),"")</f>
        <v/>
      </c>
      <c r="D268" s="59"/>
      <c r="E268" s="59"/>
      <c r="F268" s="59"/>
      <c r="G268" s="94"/>
      <c r="H268" s="59"/>
      <c r="I268" s="59"/>
      <c r="J268" s="106">
        <f>VLOOKUP(A268&amp;G268,Lookup!J:N,5,0)</f>
        <v>0</v>
      </c>
      <c r="K268" s="110"/>
      <c r="L268" s="110"/>
      <c r="M268" s="110"/>
      <c r="N268" s="110"/>
      <c r="O268" s="90">
        <f>IFERROR(VLOOKUP(A268&amp;G268,Lookup!J:K,2,0),"")</f>
        <v>0</v>
      </c>
      <c r="P268" s="110" t="str">
        <f t="shared" si="27"/>
        <v/>
      </c>
      <c r="Q268" s="110"/>
      <c r="R268" s="87" t="str">
        <f t="shared" si="28"/>
        <v/>
      </c>
      <c r="S268" s="87" t="str">
        <f t="shared" si="29"/>
        <v/>
      </c>
      <c r="T268" s="59"/>
      <c r="U268" s="59"/>
      <c r="V268" s="59"/>
      <c r="W268" s="59"/>
      <c r="X268" s="93" t="str">
        <f t="shared" si="26"/>
        <v>D</v>
      </c>
    </row>
    <row r="269" spans="1:24" x14ac:dyDescent="0.25">
      <c r="A269" s="53"/>
      <c r="B269" s="91" t="str">
        <f>IFERROR(VLOOKUP(A269,Lookup!A:B,2,0),"")</f>
        <v/>
      </c>
      <c r="C269" s="59" t="str">
        <f>IFERROR(VLOOKUP(A269,Lookup!A:C,3,0),"")</f>
        <v/>
      </c>
      <c r="D269" s="59"/>
      <c r="E269" s="59"/>
      <c r="F269" s="59"/>
      <c r="G269" s="94"/>
      <c r="H269" s="59"/>
      <c r="I269" s="59"/>
      <c r="J269" s="106">
        <f>VLOOKUP(A269&amp;G269,Lookup!J:N,5,0)</f>
        <v>0</v>
      </c>
      <c r="K269" s="110"/>
      <c r="L269" s="110"/>
      <c r="M269" s="110"/>
      <c r="N269" s="110"/>
      <c r="O269" s="90">
        <f>IFERROR(VLOOKUP(A269&amp;G269,Lookup!J:K,2,0),"")</f>
        <v>0</v>
      </c>
      <c r="P269" s="110" t="str">
        <f t="shared" si="27"/>
        <v/>
      </c>
      <c r="Q269" s="110"/>
      <c r="R269" s="87" t="str">
        <f t="shared" si="28"/>
        <v/>
      </c>
      <c r="S269" s="87" t="str">
        <f t="shared" si="29"/>
        <v/>
      </c>
      <c r="T269" s="59"/>
      <c r="U269" s="59"/>
      <c r="V269" s="59"/>
      <c r="W269" s="59"/>
      <c r="X269" s="93" t="str">
        <f t="shared" si="26"/>
        <v>D</v>
      </c>
    </row>
    <row r="270" spans="1:24" x14ac:dyDescent="0.25">
      <c r="A270" s="53"/>
      <c r="B270" s="91" t="str">
        <f>IFERROR(VLOOKUP(A270,Lookup!A:B,2,0),"")</f>
        <v/>
      </c>
      <c r="C270" s="59" t="str">
        <f>IFERROR(VLOOKUP(A270,Lookup!A:C,3,0),"")</f>
        <v/>
      </c>
      <c r="D270" s="59"/>
      <c r="E270" s="59"/>
      <c r="F270" s="59"/>
      <c r="G270" s="94"/>
      <c r="H270" s="59"/>
      <c r="I270" s="59"/>
      <c r="J270" s="106">
        <f>VLOOKUP(A270&amp;G270,Lookup!J:N,5,0)</f>
        <v>0</v>
      </c>
      <c r="K270" s="110"/>
      <c r="L270" s="110"/>
      <c r="M270" s="110"/>
      <c r="N270" s="110"/>
      <c r="O270" s="90">
        <f>IFERROR(VLOOKUP(A270&amp;G270,Lookup!J:K,2,0),"")</f>
        <v>0</v>
      </c>
      <c r="P270" s="110" t="str">
        <f t="shared" si="27"/>
        <v/>
      </c>
      <c r="Q270" s="110"/>
      <c r="R270" s="87" t="str">
        <f t="shared" si="28"/>
        <v/>
      </c>
      <c r="S270" s="87" t="str">
        <f t="shared" si="29"/>
        <v/>
      </c>
      <c r="T270" s="59"/>
      <c r="U270" s="59"/>
      <c r="V270" s="59"/>
      <c r="W270" s="59"/>
      <c r="X270" s="93" t="str">
        <f t="shared" si="26"/>
        <v>D</v>
      </c>
    </row>
    <row r="271" spans="1:24" x14ac:dyDescent="0.25">
      <c r="A271" s="53"/>
      <c r="B271" s="91" t="str">
        <f>IFERROR(VLOOKUP(A271,Lookup!A:B,2,0),"")</f>
        <v/>
      </c>
      <c r="C271" s="59" t="str">
        <f>IFERROR(VLOOKUP(A271,Lookup!A:C,3,0),"")</f>
        <v/>
      </c>
      <c r="D271" s="59"/>
      <c r="E271" s="59"/>
      <c r="F271" s="59"/>
      <c r="G271" s="94"/>
      <c r="H271" s="59"/>
      <c r="I271" s="59"/>
      <c r="J271" s="106">
        <f>VLOOKUP(A271&amp;G271,Lookup!J:N,5,0)</f>
        <v>0</v>
      </c>
      <c r="K271" s="110"/>
      <c r="L271" s="110"/>
      <c r="M271" s="110"/>
      <c r="N271" s="110"/>
      <c r="O271" s="90">
        <f>IFERROR(VLOOKUP(A271&amp;G271,Lookup!J:K,2,0),"")</f>
        <v>0</v>
      </c>
      <c r="P271" s="110" t="str">
        <f t="shared" si="27"/>
        <v/>
      </c>
      <c r="Q271" s="110"/>
      <c r="R271" s="87" t="str">
        <f t="shared" si="28"/>
        <v/>
      </c>
      <c r="S271" s="87" t="str">
        <f t="shared" si="29"/>
        <v/>
      </c>
      <c r="T271" s="59"/>
      <c r="U271" s="59"/>
      <c r="V271" s="59"/>
      <c r="W271" s="59"/>
      <c r="X271" s="93" t="str">
        <f t="shared" si="26"/>
        <v>D</v>
      </c>
    </row>
    <row r="272" spans="1:24" x14ac:dyDescent="0.25">
      <c r="A272" s="53"/>
      <c r="B272" s="91" t="str">
        <f>IFERROR(VLOOKUP(A272,Lookup!A:B,2,0),"")</f>
        <v/>
      </c>
      <c r="C272" s="59" t="str">
        <f>IFERROR(VLOOKUP(A272,Lookup!A:C,3,0),"")</f>
        <v/>
      </c>
      <c r="D272" s="59"/>
      <c r="E272" s="59"/>
      <c r="F272" s="59"/>
      <c r="G272" s="94"/>
      <c r="H272" s="59"/>
      <c r="I272" s="59"/>
      <c r="J272" s="106">
        <f>VLOOKUP(A272&amp;G272,Lookup!J:N,5,0)</f>
        <v>0</v>
      </c>
      <c r="K272" s="110"/>
      <c r="L272" s="110"/>
      <c r="M272" s="110"/>
      <c r="N272" s="110"/>
      <c r="O272" s="90">
        <f>IFERROR(VLOOKUP(A272&amp;G272,Lookup!J:K,2,0),"")</f>
        <v>0</v>
      </c>
      <c r="P272" s="110" t="str">
        <f t="shared" si="27"/>
        <v/>
      </c>
      <c r="Q272" s="110"/>
      <c r="R272" s="87" t="str">
        <f t="shared" si="28"/>
        <v/>
      </c>
      <c r="S272" s="87" t="str">
        <f t="shared" si="29"/>
        <v/>
      </c>
      <c r="T272" s="59"/>
      <c r="U272" s="59"/>
      <c r="V272" s="59"/>
      <c r="W272" s="59"/>
      <c r="X272" s="93" t="str">
        <f t="shared" si="26"/>
        <v>D</v>
      </c>
    </row>
    <row r="273" spans="1:24" x14ac:dyDescent="0.25">
      <c r="A273" s="53"/>
      <c r="B273" s="91" t="str">
        <f>IFERROR(VLOOKUP(A273,Lookup!A:B,2,0),"")</f>
        <v/>
      </c>
      <c r="C273" s="59" t="str">
        <f>IFERROR(VLOOKUP(A273,Lookup!A:C,3,0),"")</f>
        <v/>
      </c>
      <c r="D273" s="59"/>
      <c r="E273" s="59"/>
      <c r="F273" s="59"/>
      <c r="G273" s="94"/>
      <c r="H273" s="59"/>
      <c r="I273" s="59"/>
      <c r="J273" s="106">
        <f>VLOOKUP(A273&amp;G273,Lookup!J:N,5,0)</f>
        <v>0</v>
      </c>
      <c r="K273" s="110"/>
      <c r="L273" s="110"/>
      <c r="M273" s="110"/>
      <c r="N273" s="110"/>
      <c r="O273" s="90">
        <f>IFERROR(VLOOKUP(A273&amp;G273,Lookup!J:K,2,0),"")</f>
        <v>0</v>
      </c>
      <c r="P273" s="110" t="str">
        <f t="shared" si="27"/>
        <v/>
      </c>
      <c r="Q273" s="110"/>
      <c r="R273" s="87" t="str">
        <f t="shared" si="28"/>
        <v/>
      </c>
      <c r="S273" s="87" t="str">
        <f t="shared" si="29"/>
        <v/>
      </c>
      <c r="T273" s="59"/>
      <c r="U273" s="59"/>
      <c r="V273" s="59"/>
      <c r="W273" s="59"/>
      <c r="X273" s="93" t="str">
        <f t="shared" si="26"/>
        <v>D</v>
      </c>
    </row>
    <row r="274" spans="1:24" x14ac:dyDescent="0.25">
      <c r="A274" s="53"/>
      <c r="B274" s="91" t="str">
        <f>IFERROR(VLOOKUP(A274,Lookup!A:B,2,0),"")</f>
        <v/>
      </c>
      <c r="C274" s="59" t="str">
        <f>IFERROR(VLOOKUP(A274,Lookup!A:C,3,0),"")</f>
        <v/>
      </c>
      <c r="D274" s="59"/>
      <c r="E274" s="59"/>
      <c r="F274" s="59"/>
      <c r="G274" s="94"/>
      <c r="H274" s="59"/>
      <c r="I274" s="59"/>
      <c r="J274" s="106">
        <f>VLOOKUP(A274&amp;G274,Lookup!J:N,5,0)</f>
        <v>0</v>
      </c>
      <c r="K274" s="110"/>
      <c r="L274" s="110"/>
      <c r="M274" s="110"/>
      <c r="N274" s="110"/>
      <c r="O274" s="90">
        <f>IFERROR(VLOOKUP(A274&amp;G274,Lookup!J:K,2,0),"")</f>
        <v>0</v>
      </c>
      <c r="P274" s="110" t="str">
        <f t="shared" si="27"/>
        <v/>
      </c>
      <c r="Q274" s="110"/>
      <c r="R274" s="87" t="str">
        <f t="shared" si="28"/>
        <v/>
      </c>
      <c r="S274" s="87" t="str">
        <f t="shared" si="29"/>
        <v/>
      </c>
      <c r="T274" s="59"/>
      <c r="U274" s="59"/>
      <c r="V274" s="59"/>
      <c r="W274" s="59"/>
      <c r="X274" s="93" t="str">
        <f t="shared" si="26"/>
        <v>D</v>
      </c>
    </row>
    <row r="275" spans="1:24" x14ac:dyDescent="0.25">
      <c r="A275" s="53"/>
      <c r="B275" s="91" t="str">
        <f>IFERROR(VLOOKUP(A275,Lookup!A:B,2,0),"")</f>
        <v/>
      </c>
      <c r="C275" s="59" t="str">
        <f>IFERROR(VLOOKUP(A275,Lookup!A:C,3,0),"")</f>
        <v/>
      </c>
      <c r="D275" s="59"/>
      <c r="E275" s="59"/>
      <c r="F275" s="59"/>
      <c r="G275" s="94"/>
      <c r="H275" s="59"/>
      <c r="I275" s="59"/>
      <c r="J275" s="106">
        <f>VLOOKUP(A275&amp;G275,Lookup!J:N,5,0)</f>
        <v>0</v>
      </c>
      <c r="K275" s="110"/>
      <c r="L275" s="110"/>
      <c r="M275" s="110"/>
      <c r="N275" s="110"/>
      <c r="O275" s="90">
        <f>IFERROR(VLOOKUP(A275&amp;G275,Lookup!J:K,2,0),"")</f>
        <v>0</v>
      </c>
      <c r="P275" s="110" t="str">
        <f t="shared" si="27"/>
        <v/>
      </c>
      <c r="Q275" s="110"/>
      <c r="R275" s="87" t="str">
        <f t="shared" si="28"/>
        <v/>
      </c>
      <c r="S275" s="87" t="str">
        <f t="shared" si="29"/>
        <v/>
      </c>
      <c r="T275" s="59"/>
      <c r="U275" s="59"/>
      <c r="V275" s="59"/>
      <c r="W275" s="59"/>
      <c r="X275" s="93" t="str">
        <f t="shared" si="26"/>
        <v>D</v>
      </c>
    </row>
    <row r="276" spans="1:24" x14ac:dyDescent="0.25">
      <c r="A276" s="53"/>
      <c r="B276" s="91" t="str">
        <f>IFERROR(VLOOKUP(A276,Lookup!A:B,2,0),"")</f>
        <v/>
      </c>
      <c r="C276" s="59" t="str">
        <f>IFERROR(VLOOKUP(A276,Lookup!A:C,3,0),"")</f>
        <v/>
      </c>
      <c r="D276" s="59"/>
      <c r="E276" s="59"/>
      <c r="F276" s="59"/>
      <c r="G276" s="94"/>
      <c r="H276" s="59"/>
      <c r="I276" s="59"/>
      <c r="J276" s="106">
        <f>VLOOKUP(A276&amp;G276,Lookup!J:N,5,0)</f>
        <v>0</v>
      </c>
      <c r="K276" s="110"/>
      <c r="L276" s="110"/>
      <c r="M276" s="110"/>
      <c r="N276" s="110"/>
      <c r="O276" s="90">
        <f>IFERROR(VLOOKUP(A276&amp;G276,Lookup!J:K,2,0),"")</f>
        <v>0</v>
      </c>
      <c r="P276" s="110" t="str">
        <f t="shared" si="27"/>
        <v/>
      </c>
      <c r="Q276" s="110"/>
      <c r="R276" s="87" t="str">
        <f t="shared" si="28"/>
        <v/>
      </c>
      <c r="S276" s="87" t="str">
        <f t="shared" si="29"/>
        <v/>
      </c>
      <c r="T276" s="59"/>
      <c r="U276" s="59"/>
      <c r="V276" s="59"/>
      <c r="W276" s="59"/>
      <c r="X276" s="93" t="str">
        <f t="shared" si="26"/>
        <v>D</v>
      </c>
    </row>
    <row r="277" spans="1:24" x14ac:dyDescent="0.25">
      <c r="A277" s="53"/>
      <c r="B277" s="91" t="str">
        <f>IFERROR(VLOOKUP(A277,Lookup!A:B,2,0),"")</f>
        <v/>
      </c>
      <c r="C277" s="59" t="str">
        <f>IFERROR(VLOOKUP(A277,Lookup!A:C,3,0),"")</f>
        <v/>
      </c>
      <c r="D277" s="59"/>
      <c r="E277" s="59"/>
      <c r="F277" s="59"/>
      <c r="G277" s="94"/>
      <c r="H277" s="59"/>
      <c r="I277" s="59"/>
      <c r="J277" s="106">
        <f>VLOOKUP(A277&amp;G277,Lookup!J:N,5,0)</f>
        <v>0</v>
      </c>
      <c r="K277" s="110"/>
      <c r="L277" s="110"/>
      <c r="M277" s="110"/>
      <c r="N277" s="110"/>
      <c r="O277" s="90">
        <f>IFERROR(VLOOKUP(A277&amp;G277,Lookup!J:K,2,0),"")</f>
        <v>0</v>
      </c>
      <c r="P277" s="110" t="str">
        <f t="shared" si="27"/>
        <v/>
      </c>
      <c r="Q277" s="110"/>
      <c r="R277" s="87" t="str">
        <f t="shared" si="28"/>
        <v/>
      </c>
      <c r="S277" s="87" t="str">
        <f t="shared" si="29"/>
        <v/>
      </c>
      <c r="T277" s="59"/>
      <c r="U277" s="59"/>
      <c r="V277" s="59"/>
      <c r="W277" s="59"/>
      <c r="X277" s="93" t="str">
        <f t="shared" si="26"/>
        <v>D</v>
      </c>
    </row>
    <row r="278" spans="1:24" x14ac:dyDescent="0.25">
      <c r="A278" s="53"/>
      <c r="B278" s="91" t="str">
        <f>IFERROR(VLOOKUP(A278,Lookup!A:B,2,0),"")</f>
        <v/>
      </c>
      <c r="C278" s="59" t="str">
        <f>IFERROR(VLOOKUP(A278,Lookup!A:C,3,0),"")</f>
        <v/>
      </c>
      <c r="D278" s="59"/>
      <c r="E278" s="59"/>
      <c r="F278" s="59"/>
      <c r="G278" s="94"/>
      <c r="H278" s="59"/>
      <c r="I278" s="59"/>
      <c r="J278" s="106">
        <f>VLOOKUP(A278&amp;G278,Lookup!J:N,5,0)</f>
        <v>0</v>
      </c>
      <c r="K278" s="110"/>
      <c r="L278" s="110"/>
      <c r="M278" s="110"/>
      <c r="N278" s="110"/>
      <c r="O278" s="90">
        <f>IFERROR(VLOOKUP(A278&amp;G278,Lookup!J:K,2,0),"")</f>
        <v>0</v>
      </c>
      <c r="P278" s="110" t="str">
        <f t="shared" si="27"/>
        <v/>
      </c>
      <c r="Q278" s="110"/>
      <c r="R278" s="87" t="str">
        <f t="shared" si="28"/>
        <v/>
      </c>
      <c r="S278" s="87" t="str">
        <f t="shared" si="29"/>
        <v/>
      </c>
      <c r="T278" s="59"/>
      <c r="U278" s="59"/>
      <c r="V278" s="59"/>
      <c r="W278" s="59"/>
      <c r="X278" s="93" t="str">
        <f t="shared" si="26"/>
        <v>D</v>
      </c>
    </row>
    <row r="279" spans="1:24" x14ac:dyDescent="0.25">
      <c r="A279" s="53"/>
      <c r="B279" s="91" t="str">
        <f>IFERROR(VLOOKUP(A279,Lookup!A:B,2,0),"")</f>
        <v/>
      </c>
      <c r="C279" s="59" t="str">
        <f>IFERROR(VLOOKUP(A279,Lookup!A:C,3,0),"")</f>
        <v/>
      </c>
      <c r="D279" s="59"/>
      <c r="E279" s="59"/>
      <c r="F279" s="59"/>
      <c r="G279" s="94"/>
      <c r="H279" s="59"/>
      <c r="I279" s="59"/>
      <c r="J279" s="106">
        <f>VLOOKUP(A279&amp;G279,Lookup!J:N,5,0)</f>
        <v>0</v>
      </c>
      <c r="K279" s="110"/>
      <c r="L279" s="110"/>
      <c r="M279" s="110"/>
      <c r="N279" s="110"/>
      <c r="O279" s="90">
        <f>IFERROR(VLOOKUP(A279&amp;G279,Lookup!J:K,2,0),"")</f>
        <v>0</v>
      </c>
      <c r="P279" s="110" t="str">
        <f t="shared" si="27"/>
        <v/>
      </c>
      <c r="Q279" s="110"/>
      <c r="R279" s="87" t="str">
        <f t="shared" si="28"/>
        <v/>
      </c>
      <c r="S279" s="87" t="str">
        <f t="shared" si="29"/>
        <v/>
      </c>
      <c r="T279" s="59"/>
      <c r="U279" s="59"/>
      <c r="V279" s="59"/>
      <c r="W279" s="59"/>
      <c r="X279" s="93" t="str">
        <f t="shared" si="26"/>
        <v>D</v>
      </c>
    </row>
    <row r="280" spans="1:24" x14ac:dyDescent="0.25">
      <c r="A280" s="53"/>
      <c r="B280" s="91" t="str">
        <f>IFERROR(VLOOKUP(A280,Lookup!A:B,2,0),"")</f>
        <v/>
      </c>
      <c r="C280" s="59" t="str">
        <f>IFERROR(VLOOKUP(A280,Lookup!A:C,3,0),"")</f>
        <v/>
      </c>
      <c r="D280" s="59"/>
      <c r="E280" s="59"/>
      <c r="F280" s="59"/>
      <c r="G280" s="94"/>
      <c r="H280" s="59"/>
      <c r="I280" s="59"/>
      <c r="J280" s="106">
        <f>VLOOKUP(A280&amp;G280,Lookup!J:N,5,0)</f>
        <v>0</v>
      </c>
      <c r="K280" s="110"/>
      <c r="L280" s="110"/>
      <c r="M280" s="110"/>
      <c r="N280" s="110"/>
      <c r="O280" s="90">
        <f>IFERROR(VLOOKUP(A280&amp;G280,Lookup!J:K,2,0),"")</f>
        <v>0</v>
      </c>
      <c r="P280" s="110" t="str">
        <f t="shared" si="27"/>
        <v/>
      </c>
      <c r="Q280" s="110"/>
      <c r="R280" s="87" t="str">
        <f t="shared" si="28"/>
        <v/>
      </c>
      <c r="S280" s="87" t="str">
        <f t="shared" si="29"/>
        <v/>
      </c>
      <c r="T280" s="59"/>
      <c r="U280" s="59"/>
      <c r="V280" s="59"/>
      <c r="W280" s="59"/>
      <c r="X280" s="93" t="str">
        <f t="shared" si="26"/>
        <v>D</v>
      </c>
    </row>
    <row r="281" spans="1:24" x14ac:dyDescent="0.25">
      <c r="A281" s="53"/>
      <c r="B281" s="91" t="str">
        <f>IFERROR(VLOOKUP(A281,Lookup!A:B,2,0),"")</f>
        <v/>
      </c>
      <c r="C281" s="59" t="str">
        <f>IFERROR(VLOOKUP(A281,Lookup!A:C,3,0),"")</f>
        <v/>
      </c>
      <c r="D281" s="59"/>
      <c r="E281" s="59"/>
      <c r="F281" s="59"/>
      <c r="G281" s="94"/>
      <c r="H281" s="59"/>
      <c r="I281" s="59"/>
      <c r="J281" s="106">
        <f>VLOOKUP(A281&amp;G281,Lookup!J:N,5,0)</f>
        <v>0</v>
      </c>
      <c r="K281" s="110"/>
      <c r="L281" s="110"/>
      <c r="M281" s="110"/>
      <c r="N281" s="110"/>
      <c r="O281" s="90">
        <f>IFERROR(VLOOKUP(A281&amp;G281,Lookup!J:K,2,0),"")</f>
        <v>0</v>
      </c>
      <c r="P281" s="110" t="str">
        <f t="shared" si="27"/>
        <v/>
      </c>
      <c r="Q281" s="110"/>
      <c r="R281" s="87" t="str">
        <f t="shared" si="28"/>
        <v/>
      </c>
      <c r="S281" s="87" t="str">
        <f t="shared" si="29"/>
        <v/>
      </c>
      <c r="T281" s="59"/>
      <c r="U281" s="59"/>
      <c r="V281" s="59"/>
      <c r="W281" s="59"/>
      <c r="X281" s="93" t="str">
        <f t="shared" si="26"/>
        <v>D</v>
      </c>
    </row>
    <row r="282" spans="1:24" x14ac:dyDescent="0.25">
      <c r="A282" s="53"/>
      <c r="B282" s="91" t="str">
        <f>IFERROR(VLOOKUP(A282,Lookup!A:B,2,0),"")</f>
        <v/>
      </c>
      <c r="C282" s="59" t="str">
        <f>IFERROR(VLOOKUP(A282,Lookup!A:C,3,0),"")</f>
        <v/>
      </c>
      <c r="D282" s="59"/>
      <c r="E282" s="59"/>
      <c r="F282" s="59"/>
      <c r="G282" s="94"/>
      <c r="H282" s="59"/>
      <c r="I282" s="59"/>
      <c r="J282" s="106">
        <f>VLOOKUP(A282&amp;G282,Lookup!J:N,5,0)</f>
        <v>0</v>
      </c>
      <c r="K282" s="110"/>
      <c r="L282" s="110"/>
      <c r="M282" s="110"/>
      <c r="N282" s="110"/>
      <c r="O282" s="90">
        <f>IFERROR(VLOOKUP(A282&amp;G282,Lookup!J:K,2,0),"")</f>
        <v>0</v>
      </c>
      <c r="P282" s="110" t="str">
        <f t="shared" si="27"/>
        <v/>
      </c>
      <c r="Q282" s="110"/>
      <c r="R282" s="87" t="str">
        <f t="shared" si="28"/>
        <v/>
      </c>
      <c r="S282" s="87" t="str">
        <f t="shared" si="29"/>
        <v/>
      </c>
      <c r="T282" s="59"/>
      <c r="U282" s="59"/>
      <c r="V282" s="59"/>
      <c r="W282" s="59"/>
      <c r="X282" s="93" t="str">
        <f t="shared" si="26"/>
        <v>D</v>
      </c>
    </row>
    <row r="283" spans="1:24" x14ac:dyDescent="0.25">
      <c r="A283" s="53"/>
      <c r="B283" s="91" t="str">
        <f>IFERROR(VLOOKUP(A283,Lookup!A:B,2,0),"")</f>
        <v/>
      </c>
      <c r="C283" s="59" t="str">
        <f>IFERROR(VLOOKUP(A283,Lookup!A:C,3,0),"")</f>
        <v/>
      </c>
      <c r="D283" s="59"/>
      <c r="E283" s="59"/>
      <c r="F283" s="59"/>
      <c r="G283" s="94"/>
      <c r="H283" s="59"/>
      <c r="I283" s="59"/>
      <c r="J283" s="106">
        <f>VLOOKUP(A283&amp;G283,Lookup!J:N,5,0)</f>
        <v>0</v>
      </c>
      <c r="K283" s="110"/>
      <c r="L283" s="110"/>
      <c r="M283" s="110"/>
      <c r="N283" s="110"/>
      <c r="O283" s="90">
        <f>IFERROR(VLOOKUP(A283&amp;G283,Lookup!J:K,2,0),"")</f>
        <v>0</v>
      </c>
      <c r="P283" s="110" t="str">
        <f t="shared" si="27"/>
        <v/>
      </c>
      <c r="Q283" s="110"/>
      <c r="R283" s="87" t="str">
        <f t="shared" si="28"/>
        <v/>
      </c>
      <c r="S283" s="87" t="str">
        <f t="shared" si="29"/>
        <v/>
      </c>
      <c r="T283" s="59"/>
      <c r="U283" s="59"/>
      <c r="V283" s="59"/>
      <c r="W283" s="59"/>
      <c r="X283" s="93" t="str">
        <f t="shared" si="26"/>
        <v>D</v>
      </c>
    </row>
    <row r="284" spans="1:24" x14ac:dyDescent="0.25">
      <c r="A284" s="53"/>
      <c r="B284" s="91" t="str">
        <f>IFERROR(VLOOKUP(A284,Lookup!A:B,2,0),"")</f>
        <v/>
      </c>
      <c r="C284" s="59" t="str">
        <f>IFERROR(VLOOKUP(A284,Lookup!A:C,3,0),"")</f>
        <v/>
      </c>
      <c r="D284" s="59"/>
      <c r="E284" s="59"/>
      <c r="F284" s="59"/>
      <c r="G284" s="94"/>
      <c r="H284" s="59"/>
      <c r="I284" s="59"/>
      <c r="J284" s="106">
        <f>VLOOKUP(A284&amp;G284,Lookup!J:N,5,0)</f>
        <v>0</v>
      </c>
      <c r="K284" s="110"/>
      <c r="L284" s="110"/>
      <c r="M284" s="110"/>
      <c r="N284" s="110"/>
      <c r="O284" s="90">
        <f>IFERROR(VLOOKUP(A284&amp;G284,Lookup!J:K,2,0),"")</f>
        <v>0</v>
      </c>
      <c r="P284" s="110" t="str">
        <f t="shared" si="27"/>
        <v/>
      </c>
      <c r="Q284" s="110"/>
      <c r="R284" s="87" t="str">
        <f t="shared" si="28"/>
        <v/>
      </c>
      <c r="S284" s="87" t="str">
        <f t="shared" si="29"/>
        <v/>
      </c>
      <c r="T284" s="59"/>
      <c r="U284" s="59"/>
      <c r="V284" s="59"/>
      <c r="W284" s="59"/>
      <c r="X284" s="93" t="str">
        <f t="shared" si="26"/>
        <v>D</v>
      </c>
    </row>
    <row r="285" spans="1:24" x14ac:dyDescent="0.25">
      <c r="A285" s="53"/>
      <c r="B285" s="91" t="str">
        <f>IFERROR(VLOOKUP(A285,Lookup!A:B,2,0),"")</f>
        <v/>
      </c>
      <c r="C285" s="59" t="str">
        <f>IFERROR(VLOOKUP(A285,Lookup!A:C,3,0),"")</f>
        <v/>
      </c>
      <c r="D285" s="59"/>
      <c r="E285" s="59"/>
      <c r="F285" s="59"/>
      <c r="G285" s="94"/>
      <c r="H285" s="59"/>
      <c r="I285" s="59"/>
      <c r="J285" s="106">
        <f>VLOOKUP(A285&amp;G285,Lookup!J:N,5,0)</f>
        <v>0</v>
      </c>
      <c r="K285" s="110"/>
      <c r="L285" s="110"/>
      <c r="M285" s="110"/>
      <c r="N285" s="110"/>
      <c r="O285" s="90">
        <f>IFERROR(VLOOKUP(A285&amp;G285,Lookup!J:K,2,0),"")</f>
        <v>0</v>
      </c>
      <c r="P285" s="110" t="str">
        <f t="shared" si="27"/>
        <v/>
      </c>
      <c r="Q285" s="110"/>
      <c r="R285" s="87" t="str">
        <f t="shared" si="28"/>
        <v/>
      </c>
      <c r="S285" s="87" t="str">
        <f t="shared" si="29"/>
        <v/>
      </c>
      <c r="T285" s="59"/>
      <c r="U285" s="59"/>
      <c r="V285" s="59"/>
      <c r="W285" s="59"/>
      <c r="X285" s="93" t="str">
        <f t="shared" si="26"/>
        <v>D</v>
      </c>
    </row>
    <row r="286" spans="1:24" x14ac:dyDescent="0.25">
      <c r="A286" s="53"/>
      <c r="B286" s="91" t="str">
        <f>IFERROR(VLOOKUP(A286,Lookup!A:B,2,0),"")</f>
        <v/>
      </c>
      <c r="C286" s="59" t="str">
        <f>IFERROR(VLOOKUP(A286,Lookup!A:C,3,0),"")</f>
        <v/>
      </c>
      <c r="D286" s="59"/>
      <c r="E286" s="59"/>
      <c r="F286" s="59"/>
      <c r="G286" s="94"/>
      <c r="H286" s="59"/>
      <c r="I286" s="59"/>
      <c r="J286" s="106">
        <f>VLOOKUP(A286&amp;G286,Lookup!J:N,5,0)</f>
        <v>0</v>
      </c>
      <c r="K286" s="110"/>
      <c r="L286" s="110"/>
      <c r="M286" s="110"/>
      <c r="N286" s="110"/>
      <c r="O286" s="90">
        <f>IFERROR(VLOOKUP(A286&amp;G286,Lookup!J:K,2,0),"")</f>
        <v>0</v>
      </c>
      <c r="P286" s="110" t="str">
        <f t="shared" si="27"/>
        <v/>
      </c>
      <c r="Q286" s="110"/>
      <c r="R286" s="87" t="str">
        <f t="shared" si="28"/>
        <v/>
      </c>
      <c r="S286" s="87" t="str">
        <f t="shared" si="29"/>
        <v/>
      </c>
      <c r="T286" s="59"/>
      <c r="U286" s="59"/>
      <c r="V286" s="59"/>
      <c r="W286" s="59"/>
      <c r="X286" s="93" t="str">
        <f t="shared" si="26"/>
        <v>D</v>
      </c>
    </row>
    <row r="287" spans="1:24" x14ac:dyDescent="0.25">
      <c r="A287" s="53"/>
      <c r="B287" s="91" t="str">
        <f>IFERROR(VLOOKUP(A287,Lookup!A:B,2,0),"")</f>
        <v/>
      </c>
      <c r="C287" s="59" t="str">
        <f>IFERROR(VLOOKUP(A287,Lookup!A:C,3,0),"")</f>
        <v/>
      </c>
      <c r="D287" s="59"/>
      <c r="E287" s="59"/>
      <c r="F287" s="59"/>
      <c r="G287" s="94"/>
      <c r="H287" s="59"/>
      <c r="I287" s="59"/>
      <c r="J287" s="106">
        <f>VLOOKUP(A287&amp;G287,Lookup!J:N,5,0)</f>
        <v>0</v>
      </c>
      <c r="K287" s="110"/>
      <c r="L287" s="110"/>
      <c r="M287" s="110"/>
      <c r="N287" s="110"/>
      <c r="O287" s="90">
        <f>IFERROR(VLOOKUP(A287&amp;G287,Lookup!J:K,2,0),"")</f>
        <v>0</v>
      </c>
      <c r="P287" s="110" t="str">
        <f t="shared" si="27"/>
        <v/>
      </c>
      <c r="Q287" s="110"/>
      <c r="R287" s="87" t="str">
        <f t="shared" si="28"/>
        <v/>
      </c>
      <c r="S287" s="87" t="str">
        <f t="shared" si="29"/>
        <v/>
      </c>
      <c r="T287" s="59"/>
      <c r="U287" s="59"/>
      <c r="V287" s="59"/>
      <c r="W287" s="59"/>
      <c r="X287" s="93" t="str">
        <f t="shared" si="26"/>
        <v>D</v>
      </c>
    </row>
    <row r="288" spans="1:24" x14ac:dyDescent="0.25">
      <c r="A288" s="53"/>
      <c r="B288" s="91" t="str">
        <f>IFERROR(VLOOKUP(A288,Lookup!A:B,2,0),"")</f>
        <v/>
      </c>
      <c r="C288" s="59" t="str">
        <f>IFERROR(VLOOKUP(A288,Lookup!A:C,3,0),"")</f>
        <v/>
      </c>
      <c r="D288" s="59"/>
      <c r="E288" s="59"/>
      <c r="F288" s="59"/>
      <c r="G288" s="94"/>
      <c r="H288" s="59"/>
      <c r="I288" s="59"/>
      <c r="J288" s="106">
        <f>VLOOKUP(A288&amp;G288,Lookup!J:N,5,0)</f>
        <v>0</v>
      </c>
      <c r="K288" s="110"/>
      <c r="L288" s="110"/>
      <c r="M288" s="110"/>
      <c r="N288" s="110"/>
      <c r="O288" s="90">
        <f>IFERROR(VLOOKUP(A288&amp;G288,Lookup!J:K,2,0),"")</f>
        <v>0</v>
      </c>
      <c r="P288" s="110" t="str">
        <f t="shared" si="27"/>
        <v/>
      </c>
      <c r="Q288" s="110"/>
      <c r="R288" s="87" t="str">
        <f t="shared" si="28"/>
        <v/>
      </c>
      <c r="S288" s="87" t="str">
        <f t="shared" si="29"/>
        <v/>
      </c>
      <c r="T288" s="59"/>
      <c r="U288" s="59"/>
      <c r="V288" s="59"/>
      <c r="W288" s="59"/>
      <c r="X288" s="93" t="str">
        <f t="shared" si="26"/>
        <v>D</v>
      </c>
    </row>
    <row r="289" spans="1:24" x14ac:dyDescent="0.25">
      <c r="A289" s="53"/>
      <c r="B289" s="91" t="str">
        <f>IFERROR(VLOOKUP(A289,Lookup!A:B,2,0),"")</f>
        <v/>
      </c>
      <c r="C289" s="59" t="str">
        <f>IFERROR(VLOOKUP(A289,Lookup!A:C,3,0),"")</f>
        <v/>
      </c>
      <c r="D289" s="59"/>
      <c r="E289" s="59"/>
      <c r="F289" s="59"/>
      <c r="G289" s="94"/>
      <c r="H289" s="59"/>
      <c r="I289" s="59"/>
      <c r="J289" s="106">
        <f>VLOOKUP(A289&amp;G289,Lookup!J:N,5,0)</f>
        <v>0</v>
      </c>
      <c r="K289" s="110"/>
      <c r="L289" s="110"/>
      <c r="M289" s="110"/>
      <c r="N289" s="110"/>
      <c r="O289" s="90">
        <f>IFERROR(VLOOKUP(A289&amp;G289,Lookup!J:K,2,0),"")</f>
        <v>0</v>
      </c>
      <c r="P289" s="110" t="str">
        <f t="shared" si="27"/>
        <v/>
      </c>
      <c r="Q289" s="110"/>
      <c r="R289" s="87" t="str">
        <f t="shared" si="28"/>
        <v/>
      </c>
      <c r="S289" s="87" t="str">
        <f t="shared" si="29"/>
        <v/>
      </c>
      <c r="T289" s="59"/>
      <c r="U289" s="59"/>
      <c r="V289" s="59"/>
      <c r="W289" s="59"/>
      <c r="X289" s="93" t="str">
        <f t="shared" si="26"/>
        <v>D</v>
      </c>
    </row>
    <row r="290" spans="1:24" x14ac:dyDescent="0.25">
      <c r="A290" s="53"/>
      <c r="B290" s="91" t="str">
        <f>IFERROR(VLOOKUP(A290,Lookup!A:B,2,0),"")</f>
        <v/>
      </c>
      <c r="C290" s="59" t="str">
        <f>IFERROR(VLOOKUP(A290,Lookup!A:C,3,0),"")</f>
        <v/>
      </c>
      <c r="D290" s="59"/>
      <c r="E290" s="59"/>
      <c r="F290" s="59"/>
      <c r="G290" s="94"/>
      <c r="H290" s="59"/>
      <c r="I290" s="59"/>
      <c r="J290" s="106">
        <f>VLOOKUP(A290&amp;G290,Lookup!J:N,5,0)</f>
        <v>0</v>
      </c>
      <c r="K290" s="110"/>
      <c r="L290" s="110"/>
      <c r="M290" s="110"/>
      <c r="N290" s="110"/>
      <c r="O290" s="90">
        <f>IFERROR(VLOOKUP(A290&amp;G290,Lookup!J:K,2,0),"")</f>
        <v>0</v>
      </c>
      <c r="P290" s="110" t="str">
        <f t="shared" si="27"/>
        <v/>
      </c>
      <c r="Q290" s="110"/>
      <c r="R290" s="87" t="str">
        <f t="shared" si="28"/>
        <v/>
      </c>
      <c r="S290" s="87" t="str">
        <f t="shared" si="29"/>
        <v/>
      </c>
      <c r="T290" s="59"/>
      <c r="U290" s="59"/>
      <c r="V290" s="59"/>
      <c r="W290" s="59"/>
      <c r="X290" s="93" t="str">
        <f t="shared" si="26"/>
        <v>D</v>
      </c>
    </row>
    <row r="291" spans="1:24" x14ac:dyDescent="0.25">
      <c r="A291" s="53"/>
      <c r="B291" s="91" t="str">
        <f>IFERROR(VLOOKUP(A291,Lookup!A:B,2,0),"")</f>
        <v/>
      </c>
      <c r="C291" s="59" t="str">
        <f>IFERROR(VLOOKUP(A291,Lookup!A:C,3,0),"")</f>
        <v/>
      </c>
      <c r="D291" s="59"/>
      <c r="E291" s="59"/>
      <c r="F291" s="59"/>
      <c r="G291" s="94"/>
      <c r="H291" s="59"/>
      <c r="I291" s="59"/>
      <c r="J291" s="106">
        <f>VLOOKUP(A291&amp;G291,Lookup!J:N,5,0)</f>
        <v>0</v>
      </c>
      <c r="K291" s="110"/>
      <c r="L291" s="110"/>
      <c r="M291" s="110"/>
      <c r="N291" s="110"/>
      <c r="O291" s="90">
        <f>IFERROR(VLOOKUP(A291&amp;G291,Lookup!J:K,2,0),"")</f>
        <v>0</v>
      </c>
      <c r="P291" s="110" t="str">
        <f t="shared" si="27"/>
        <v/>
      </c>
      <c r="Q291" s="110"/>
      <c r="R291" s="87" t="str">
        <f t="shared" si="28"/>
        <v/>
      </c>
      <c r="S291" s="87" t="str">
        <f t="shared" si="29"/>
        <v/>
      </c>
      <c r="T291" s="59"/>
      <c r="U291" s="59"/>
      <c r="V291" s="59"/>
      <c r="W291" s="59"/>
      <c r="X291" s="93" t="str">
        <f t="shared" si="26"/>
        <v>D</v>
      </c>
    </row>
    <row r="292" spans="1:24" x14ac:dyDescent="0.25">
      <c r="A292" s="53"/>
      <c r="B292" s="91" t="str">
        <f>IFERROR(VLOOKUP(A292,Lookup!A:B,2,0),"")</f>
        <v/>
      </c>
      <c r="C292" s="59" t="str">
        <f>IFERROR(VLOOKUP(A292,Lookup!A:C,3,0),"")</f>
        <v/>
      </c>
      <c r="D292" s="59"/>
      <c r="E292" s="59"/>
      <c r="F292" s="59"/>
      <c r="G292" s="94"/>
      <c r="H292" s="59"/>
      <c r="I292" s="59"/>
      <c r="J292" s="106">
        <f>VLOOKUP(A292&amp;G292,Lookup!J:N,5,0)</f>
        <v>0</v>
      </c>
      <c r="K292" s="110"/>
      <c r="L292" s="110"/>
      <c r="M292" s="110"/>
      <c r="N292" s="110"/>
      <c r="O292" s="90">
        <f>IFERROR(VLOOKUP(A292&amp;G292,Lookup!J:K,2,0),"")</f>
        <v>0</v>
      </c>
      <c r="P292" s="110" t="str">
        <f t="shared" si="27"/>
        <v/>
      </c>
      <c r="Q292" s="110"/>
      <c r="R292" s="87" t="str">
        <f t="shared" si="28"/>
        <v/>
      </c>
      <c r="S292" s="87" t="str">
        <f t="shared" si="29"/>
        <v/>
      </c>
      <c r="T292" s="59"/>
      <c r="U292" s="59"/>
      <c r="V292" s="59"/>
      <c r="W292" s="59"/>
      <c r="X292" s="93" t="str">
        <f t="shared" si="26"/>
        <v>D</v>
      </c>
    </row>
    <row r="293" spans="1:24" x14ac:dyDescent="0.25">
      <c r="A293" s="53"/>
      <c r="B293" s="91" t="str">
        <f>IFERROR(VLOOKUP(A293,Lookup!A:B,2,0),"")</f>
        <v/>
      </c>
      <c r="C293" s="59" t="str">
        <f>IFERROR(VLOOKUP(A293,Lookup!A:C,3,0),"")</f>
        <v/>
      </c>
      <c r="D293" s="59"/>
      <c r="E293" s="59"/>
      <c r="F293" s="59"/>
      <c r="G293" s="94"/>
      <c r="H293" s="59"/>
      <c r="I293" s="59"/>
      <c r="J293" s="106">
        <f>VLOOKUP(A293&amp;G293,Lookup!J:N,5,0)</f>
        <v>0</v>
      </c>
      <c r="K293" s="110"/>
      <c r="L293" s="110"/>
      <c r="M293" s="110"/>
      <c r="N293" s="110"/>
      <c r="O293" s="90">
        <f>IFERROR(VLOOKUP(A293&amp;G293,Lookup!J:K,2,0),"")</f>
        <v>0</v>
      </c>
      <c r="P293" s="110" t="str">
        <f t="shared" si="27"/>
        <v/>
      </c>
      <c r="Q293" s="110"/>
      <c r="R293" s="87" t="str">
        <f t="shared" si="28"/>
        <v/>
      </c>
      <c r="S293" s="87" t="str">
        <f t="shared" si="29"/>
        <v/>
      </c>
      <c r="T293" s="59"/>
      <c r="U293" s="59"/>
      <c r="V293" s="59"/>
      <c r="W293" s="59"/>
      <c r="X293" s="93" t="str">
        <f t="shared" si="26"/>
        <v>D</v>
      </c>
    </row>
    <row r="294" spans="1:24" x14ac:dyDescent="0.25">
      <c r="A294" s="53"/>
      <c r="B294" s="91" t="str">
        <f>IFERROR(VLOOKUP(A294,Lookup!A:B,2,0),"")</f>
        <v/>
      </c>
      <c r="C294" s="59" t="str">
        <f>IFERROR(VLOOKUP(A294,Lookup!A:C,3,0),"")</f>
        <v/>
      </c>
      <c r="D294" s="59"/>
      <c r="E294" s="59"/>
      <c r="F294" s="59"/>
      <c r="G294" s="94"/>
      <c r="H294" s="59"/>
      <c r="I294" s="59"/>
      <c r="J294" s="106">
        <f>VLOOKUP(A294&amp;G294,Lookup!J:N,5,0)</f>
        <v>0</v>
      </c>
      <c r="K294" s="110"/>
      <c r="L294" s="110"/>
      <c r="M294" s="110"/>
      <c r="N294" s="110"/>
      <c r="O294" s="90">
        <f>IFERROR(VLOOKUP(A294&amp;G294,Lookup!J:K,2,0),"")</f>
        <v>0</v>
      </c>
      <c r="P294" s="110" t="str">
        <f t="shared" si="27"/>
        <v/>
      </c>
      <c r="Q294" s="110"/>
      <c r="R294" s="87" t="str">
        <f t="shared" si="28"/>
        <v/>
      </c>
      <c r="S294" s="87" t="str">
        <f t="shared" si="29"/>
        <v/>
      </c>
      <c r="T294" s="59"/>
      <c r="U294" s="59"/>
      <c r="V294" s="59"/>
      <c r="W294" s="59"/>
      <c r="X294" s="93" t="str">
        <f t="shared" si="26"/>
        <v>D</v>
      </c>
    </row>
    <row r="295" spans="1:24" x14ac:dyDescent="0.25">
      <c r="A295" s="53"/>
      <c r="B295" s="91" t="str">
        <f>IFERROR(VLOOKUP(A295,Lookup!A:B,2,0),"")</f>
        <v/>
      </c>
      <c r="C295" s="59" t="str">
        <f>IFERROR(VLOOKUP(A295,Lookup!A:C,3,0),"")</f>
        <v/>
      </c>
      <c r="D295" s="59"/>
      <c r="E295" s="59"/>
      <c r="F295" s="59"/>
      <c r="G295" s="94"/>
      <c r="H295" s="59"/>
      <c r="I295" s="59"/>
      <c r="J295" s="106">
        <f>VLOOKUP(A295&amp;G295,Lookup!J:N,5,0)</f>
        <v>0</v>
      </c>
      <c r="K295" s="110"/>
      <c r="L295" s="110"/>
      <c r="M295" s="110"/>
      <c r="N295" s="110"/>
      <c r="O295" s="90">
        <f>IFERROR(VLOOKUP(A295&amp;G295,Lookup!J:K,2,0),"")</f>
        <v>0</v>
      </c>
      <c r="P295" s="110" t="str">
        <f t="shared" si="27"/>
        <v/>
      </c>
      <c r="Q295" s="110"/>
      <c r="R295" s="87" t="str">
        <f t="shared" si="28"/>
        <v/>
      </c>
      <c r="S295" s="87" t="str">
        <f t="shared" si="29"/>
        <v/>
      </c>
      <c r="T295" s="59"/>
      <c r="U295" s="59"/>
      <c r="V295" s="59"/>
      <c r="W295" s="59"/>
      <c r="X295" s="93" t="str">
        <f t="shared" si="26"/>
        <v>D</v>
      </c>
    </row>
    <row r="296" spans="1:24" x14ac:dyDescent="0.25">
      <c r="A296" s="53"/>
      <c r="B296" s="91" t="str">
        <f>IFERROR(VLOOKUP(A296,Lookup!A:B,2,0),"")</f>
        <v/>
      </c>
      <c r="C296" s="59" t="str">
        <f>IFERROR(VLOOKUP(A296,Lookup!A:C,3,0),"")</f>
        <v/>
      </c>
      <c r="D296" s="59"/>
      <c r="E296" s="59"/>
      <c r="F296" s="59"/>
      <c r="G296" s="94"/>
      <c r="H296" s="59"/>
      <c r="I296" s="59"/>
      <c r="J296" s="106">
        <f>VLOOKUP(A296&amp;G296,Lookup!J:N,5,0)</f>
        <v>0</v>
      </c>
      <c r="K296" s="110"/>
      <c r="L296" s="110"/>
      <c r="M296" s="110"/>
      <c r="N296" s="110"/>
      <c r="O296" s="90">
        <f>IFERROR(VLOOKUP(A296&amp;G296,Lookup!J:K,2,0),"")</f>
        <v>0</v>
      </c>
      <c r="P296" s="110" t="str">
        <f t="shared" si="27"/>
        <v/>
      </c>
      <c r="Q296" s="110"/>
      <c r="R296" s="87" t="str">
        <f t="shared" si="28"/>
        <v/>
      </c>
      <c r="S296" s="87" t="str">
        <f t="shared" si="29"/>
        <v/>
      </c>
      <c r="T296" s="59"/>
      <c r="U296" s="59"/>
      <c r="V296" s="59"/>
      <c r="W296" s="59"/>
      <c r="X296" s="93" t="str">
        <f t="shared" si="26"/>
        <v>D</v>
      </c>
    </row>
    <row r="297" spans="1:24" x14ac:dyDescent="0.25">
      <c r="A297" s="53"/>
      <c r="B297" s="91" t="str">
        <f>IFERROR(VLOOKUP(A297,Lookup!A:B,2,0),"")</f>
        <v/>
      </c>
      <c r="C297" s="59" t="str">
        <f>IFERROR(VLOOKUP(A297,Lookup!A:C,3,0),"")</f>
        <v/>
      </c>
      <c r="D297" s="59"/>
      <c r="E297" s="59"/>
      <c r="F297" s="59"/>
      <c r="G297" s="94"/>
      <c r="H297" s="59"/>
      <c r="I297" s="59"/>
      <c r="J297" s="106">
        <f>VLOOKUP(A297&amp;G297,Lookup!J:N,5,0)</f>
        <v>0</v>
      </c>
      <c r="K297" s="110"/>
      <c r="L297" s="110"/>
      <c r="M297" s="110"/>
      <c r="N297" s="110"/>
      <c r="O297" s="90">
        <f>IFERROR(VLOOKUP(A297&amp;G297,Lookup!J:K,2,0),"")</f>
        <v>0</v>
      </c>
      <c r="P297" s="110" t="str">
        <f t="shared" si="27"/>
        <v/>
      </c>
      <c r="Q297" s="110"/>
      <c r="R297" s="87" t="str">
        <f t="shared" si="28"/>
        <v/>
      </c>
      <c r="S297" s="87" t="str">
        <f t="shared" si="29"/>
        <v/>
      </c>
      <c r="T297" s="59"/>
      <c r="U297" s="59"/>
      <c r="V297" s="59"/>
      <c r="W297" s="59"/>
      <c r="X297" s="93" t="str">
        <f t="shared" si="26"/>
        <v>D</v>
      </c>
    </row>
    <row r="298" spans="1:24" x14ac:dyDescent="0.25">
      <c r="A298" s="53"/>
      <c r="B298" s="91" t="str">
        <f>IFERROR(VLOOKUP(A298,Lookup!A:B,2,0),"")</f>
        <v/>
      </c>
      <c r="C298" s="59" t="str">
        <f>IFERROR(VLOOKUP(A298,Lookup!A:C,3,0),"")</f>
        <v/>
      </c>
      <c r="D298" s="59"/>
      <c r="E298" s="59"/>
      <c r="F298" s="59"/>
      <c r="G298" s="94"/>
      <c r="H298" s="59"/>
      <c r="I298" s="59"/>
      <c r="J298" s="106">
        <f>VLOOKUP(A298&amp;G298,Lookup!J:N,5,0)</f>
        <v>0</v>
      </c>
      <c r="K298" s="110"/>
      <c r="L298" s="110"/>
      <c r="M298" s="110"/>
      <c r="N298" s="110"/>
      <c r="O298" s="90">
        <f>IFERROR(VLOOKUP(A298&amp;G298,Lookup!J:K,2,0),"")</f>
        <v>0</v>
      </c>
      <c r="P298" s="110" t="str">
        <f t="shared" si="27"/>
        <v/>
      </c>
      <c r="Q298" s="110"/>
      <c r="R298" s="87" t="str">
        <f t="shared" si="28"/>
        <v/>
      </c>
      <c r="S298" s="87" t="str">
        <f t="shared" si="29"/>
        <v/>
      </c>
      <c r="T298" s="59"/>
      <c r="U298" s="59"/>
      <c r="V298" s="59"/>
      <c r="W298" s="59"/>
      <c r="X298" s="93" t="str">
        <f t="shared" si="26"/>
        <v>D</v>
      </c>
    </row>
    <row r="299" spans="1:24" x14ac:dyDescent="0.25">
      <c r="A299" s="53"/>
      <c r="B299" s="91" t="str">
        <f>IFERROR(VLOOKUP(A299,Lookup!A:B,2,0),"")</f>
        <v/>
      </c>
      <c r="C299" s="59" t="str">
        <f>IFERROR(VLOOKUP(A299,Lookup!A:C,3,0),"")</f>
        <v/>
      </c>
      <c r="D299" s="59"/>
      <c r="E299" s="59"/>
      <c r="F299" s="59"/>
      <c r="G299" s="94"/>
      <c r="H299" s="59"/>
      <c r="I299" s="59"/>
      <c r="J299" s="106">
        <f>VLOOKUP(A299&amp;G299,Lookup!J:N,5,0)</f>
        <v>0</v>
      </c>
      <c r="K299" s="110"/>
      <c r="L299" s="110"/>
      <c r="M299" s="110"/>
      <c r="N299" s="110"/>
      <c r="O299" s="90">
        <f>IFERROR(VLOOKUP(A299&amp;G299,Lookup!J:K,2,0),"")</f>
        <v>0</v>
      </c>
      <c r="P299" s="110" t="str">
        <f t="shared" si="27"/>
        <v/>
      </c>
      <c r="Q299" s="110"/>
      <c r="R299" s="87" t="str">
        <f t="shared" si="28"/>
        <v/>
      </c>
      <c r="S299" s="87" t="str">
        <f t="shared" si="29"/>
        <v/>
      </c>
      <c r="T299" s="59"/>
      <c r="U299" s="59"/>
      <c r="V299" s="59"/>
      <c r="W299" s="59"/>
      <c r="X299" s="93" t="str">
        <f t="shared" si="26"/>
        <v>D</v>
      </c>
    </row>
    <row r="300" spans="1:24" x14ac:dyDescent="0.25">
      <c r="A300" s="53"/>
      <c r="B300" s="91" t="str">
        <f>IFERROR(VLOOKUP(A300,Lookup!A:B,2,0),"")</f>
        <v/>
      </c>
      <c r="C300" s="59" t="str">
        <f>IFERROR(VLOOKUP(A300,Lookup!A:C,3,0),"")</f>
        <v/>
      </c>
      <c r="D300" s="59"/>
      <c r="E300" s="59"/>
      <c r="F300" s="59"/>
      <c r="G300" s="94"/>
      <c r="H300" s="59"/>
      <c r="I300" s="59"/>
      <c r="J300" s="106">
        <f>VLOOKUP(A300&amp;G300,Lookup!J:N,5,0)</f>
        <v>0</v>
      </c>
      <c r="K300" s="110"/>
      <c r="L300" s="110"/>
      <c r="M300" s="110"/>
      <c r="N300" s="110"/>
      <c r="O300" s="90">
        <f>IFERROR(VLOOKUP(A300&amp;G300,Lookup!J:K,2,0),"")</f>
        <v>0</v>
      </c>
      <c r="P300" s="110" t="str">
        <f t="shared" si="27"/>
        <v/>
      </c>
      <c r="Q300" s="110"/>
      <c r="R300" s="87" t="str">
        <f t="shared" si="28"/>
        <v/>
      </c>
      <c r="S300" s="87" t="str">
        <f t="shared" si="29"/>
        <v/>
      </c>
      <c r="T300" s="59"/>
      <c r="U300" s="59"/>
      <c r="V300" s="59"/>
      <c r="W300" s="59"/>
      <c r="X300" s="93" t="str">
        <f t="shared" si="26"/>
        <v>D</v>
      </c>
    </row>
    <row r="301" spans="1:24" x14ac:dyDescent="0.25">
      <c r="A301" s="53"/>
      <c r="B301" s="91" t="str">
        <f>IFERROR(VLOOKUP(A301,Lookup!A:B,2,0),"")</f>
        <v/>
      </c>
      <c r="C301" s="59" t="str">
        <f>IFERROR(VLOOKUP(A301,Lookup!A:C,3,0),"")</f>
        <v/>
      </c>
      <c r="D301" s="59"/>
      <c r="E301" s="59"/>
      <c r="F301" s="59"/>
      <c r="G301" s="94"/>
      <c r="H301" s="59"/>
      <c r="I301" s="59"/>
      <c r="J301" s="106">
        <f>VLOOKUP(A301&amp;G301,Lookup!J:N,5,0)</f>
        <v>0</v>
      </c>
      <c r="K301" s="110"/>
      <c r="L301" s="110"/>
      <c r="M301" s="110"/>
      <c r="N301" s="110"/>
      <c r="O301" s="90">
        <f>IFERROR(VLOOKUP(A301&amp;G301,Lookup!J:K,2,0),"")</f>
        <v>0</v>
      </c>
      <c r="P301" s="110" t="str">
        <f t="shared" si="27"/>
        <v/>
      </c>
      <c r="Q301" s="110"/>
      <c r="R301" s="87" t="str">
        <f t="shared" si="28"/>
        <v/>
      </c>
      <c r="S301" s="87" t="str">
        <f t="shared" si="29"/>
        <v/>
      </c>
      <c r="T301" s="59"/>
      <c r="U301" s="59"/>
      <c r="V301" s="59"/>
      <c r="W301" s="59"/>
      <c r="X301" s="93" t="str">
        <f t="shared" si="26"/>
        <v>D</v>
      </c>
    </row>
    <row r="302" spans="1:24" x14ac:dyDescent="0.25">
      <c r="A302" s="53"/>
      <c r="B302" s="91" t="str">
        <f>IFERROR(VLOOKUP(A302,Lookup!A:B,2,0),"")</f>
        <v/>
      </c>
      <c r="C302" s="59" t="str">
        <f>IFERROR(VLOOKUP(A302,Lookup!A:C,3,0),"")</f>
        <v/>
      </c>
      <c r="D302" s="59"/>
      <c r="E302" s="59"/>
      <c r="F302" s="59"/>
      <c r="G302" s="94"/>
      <c r="H302" s="59"/>
      <c r="I302" s="59"/>
      <c r="J302" s="106">
        <f>VLOOKUP(A302&amp;G302,Lookup!J:N,5,0)</f>
        <v>0</v>
      </c>
      <c r="K302" s="110"/>
      <c r="L302" s="110"/>
      <c r="M302" s="110"/>
      <c r="N302" s="110"/>
      <c r="O302" s="90">
        <f>IFERROR(VLOOKUP(A302&amp;G302,Lookup!J:K,2,0),"")</f>
        <v>0</v>
      </c>
      <c r="P302" s="110" t="str">
        <f t="shared" si="27"/>
        <v/>
      </c>
      <c r="Q302" s="110"/>
      <c r="R302" s="87" t="str">
        <f t="shared" si="28"/>
        <v/>
      </c>
      <c r="S302" s="87" t="str">
        <f t="shared" si="29"/>
        <v/>
      </c>
      <c r="T302" s="59"/>
      <c r="U302" s="59"/>
      <c r="V302" s="59"/>
      <c r="W302" s="59"/>
      <c r="X302" s="93" t="str">
        <f t="shared" si="26"/>
        <v>D</v>
      </c>
    </row>
    <row r="303" spans="1:24" x14ac:dyDescent="0.25">
      <c r="A303" s="53"/>
      <c r="B303" s="91" t="str">
        <f>IFERROR(VLOOKUP(A303,Lookup!A:B,2,0),"")</f>
        <v/>
      </c>
      <c r="C303" s="59" t="str">
        <f>IFERROR(VLOOKUP(A303,Lookup!A:C,3,0),"")</f>
        <v/>
      </c>
      <c r="D303" s="59"/>
      <c r="E303" s="59"/>
      <c r="F303" s="59"/>
      <c r="G303" s="94"/>
      <c r="H303" s="59"/>
      <c r="I303" s="59"/>
      <c r="J303" s="106">
        <f>VLOOKUP(A303&amp;G303,Lookup!J:N,5,0)</f>
        <v>0</v>
      </c>
      <c r="K303" s="110"/>
      <c r="L303" s="110"/>
      <c r="M303" s="110"/>
      <c r="N303" s="110"/>
      <c r="O303" s="90">
        <f>IFERROR(VLOOKUP(A303&amp;G303,Lookup!J:K,2,0),"")</f>
        <v>0</v>
      </c>
      <c r="P303" s="110" t="str">
        <f t="shared" si="27"/>
        <v/>
      </c>
      <c r="Q303" s="110"/>
      <c r="R303" s="87" t="str">
        <f t="shared" si="28"/>
        <v/>
      </c>
      <c r="S303" s="87" t="str">
        <f t="shared" si="29"/>
        <v/>
      </c>
      <c r="T303" s="59"/>
      <c r="U303" s="59"/>
      <c r="V303" s="59"/>
      <c r="W303" s="59"/>
      <c r="X303" s="93" t="str">
        <f t="shared" si="26"/>
        <v>D</v>
      </c>
    </row>
    <row r="304" spans="1:24" x14ac:dyDescent="0.25">
      <c r="A304" s="53"/>
      <c r="B304" s="91" t="str">
        <f>IFERROR(VLOOKUP(A304,Lookup!A:B,2,0),"")</f>
        <v/>
      </c>
      <c r="C304" s="59" t="str">
        <f>IFERROR(VLOOKUP(A304,Lookup!A:C,3,0),"")</f>
        <v/>
      </c>
      <c r="D304" s="59"/>
      <c r="E304" s="59"/>
      <c r="F304" s="59"/>
      <c r="G304" s="94"/>
      <c r="H304" s="59"/>
      <c r="I304" s="59"/>
      <c r="J304" s="106">
        <f>VLOOKUP(A304&amp;G304,Lookup!J:N,5,0)</f>
        <v>0</v>
      </c>
      <c r="K304" s="110"/>
      <c r="L304" s="110"/>
      <c r="M304" s="110"/>
      <c r="N304" s="110"/>
      <c r="O304" s="90">
        <f>IFERROR(VLOOKUP(A304&amp;G304,Lookup!J:K,2,0),"")</f>
        <v>0</v>
      </c>
      <c r="P304" s="110" t="str">
        <f t="shared" si="27"/>
        <v/>
      </c>
      <c r="Q304" s="110"/>
      <c r="R304" s="87" t="str">
        <f t="shared" si="28"/>
        <v/>
      </c>
      <c r="S304" s="87" t="str">
        <f t="shared" si="29"/>
        <v/>
      </c>
      <c r="T304" s="59"/>
      <c r="U304" s="59"/>
      <c r="V304" s="59"/>
      <c r="W304" s="59"/>
      <c r="X304" s="93" t="str">
        <f t="shared" si="26"/>
        <v>D</v>
      </c>
    </row>
    <row r="305" spans="1:24" x14ac:dyDescent="0.25">
      <c r="A305" s="53"/>
      <c r="B305" s="91" t="str">
        <f>IFERROR(VLOOKUP(A305,Lookup!A:B,2,0),"")</f>
        <v/>
      </c>
      <c r="C305" s="59" t="str">
        <f>IFERROR(VLOOKUP(A305,Lookup!A:C,3,0),"")</f>
        <v/>
      </c>
      <c r="D305" s="59"/>
      <c r="E305" s="59"/>
      <c r="F305" s="59"/>
      <c r="G305" s="94"/>
      <c r="H305" s="59"/>
      <c r="I305" s="59"/>
      <c r="J305" s="106">
        <f>VLOOKUP(A305&amp;G305,Lookup!J:N,5,0)</f>
        <v>0</v>
      </c>
      <c r="K305" s="110"/>
      <c r="L305" s="110"/>
      <c r="M305" s="110"/>
      <c r="N305" s="110"/>
      <c r="O305" s="90">
        <f>IFERROR(VLOOKUP(A305&amp;G305,Lookup!J:K,2,0),"")</f>
        <v>0</v>
      </c>
      <c r="P305" s="110" t="str">
        <f t="shared" si="27"/>
        <v/>
      </c>
      <c r="Q305" s="110"/>
      <c r="R305" s="87" t="str">
        <f t="shared" si="28"/>
        <v/>
      </c>
      <c r="S305" s="87" t="str">
        <f t="shared" si="29"/>
        <v/>
      </c>
      <c r="T305" s="59"/>
      <c r="U305" s="59"/>
      <c r="V305" s="59"/>
      <c r="W305" s="59"/>
      <c r="X305" s="93" t="str">
        <f t="shared" si="26"/>
        <v>D</v>
      </c>
    </row>
    <row r="306" spans="1:24" x14ac:dyDescent="0.25">
      <c r="A306" s="53"/>
      <c r="B306" s="91" t="str">
        <f>IFERROR(VLOOKUP(A306,Lookup!A:B,2,0),"")</f>
        <v/>
      </c>
      <c r="C306" s="59" t="str">
        <f>IFERROR(VLOOKUP(A306,Lookup!A:C,3,0),"")</f>
        <v/>
      </c>
      <c r="D306" s="59"/>
      <c r="E306" s="59"/>
      <c r="F306" s="59"/>
      <c r="G306" s="94"/>
      <c r="H306" s="59"/>
      <c r="I306" s="59"/>
      <c r="J306" s="106">
        <f>VLOOKUP(A306&amp;G306,Lookup!J:N,5,0)</f>
        <v>0</v>
      </c>
      <c r="K306" s="110"/>
      <c r="L306" s="110"/>
      <c r="M306" s="110"/>
      <c r="N306" s="110"/>
      <c r="O306" s="90">
        <f>IFERROR(VLOOKUP(A306&amp;G306,Lookup!J:K,2,0),"")</f>
        <v>0</v>
      </c>
      <c r="P306" s="110" t="str">
        <f t="shared" si="27"/>
        <v/>
      </c>
      <c r="Q306" s="110"/>
      <c r="R306" s="87" t="str">
        <f t="shared" si="28"/>
        <v/>
      </c>
      <c r="S306" s="87" t="str">
        <f t="shared" si="29"/>
        <v/>
      </c>
      <c r="T306" s="59"/>
      <c r="U306" s="59"/>
      <c r="V306" s="59"/>
      <c r="W306" s="59"/>
      <c r="X306" s="93" t="str">
        <f t="shared" si="26"/>
        <v>D</v>
      </c>
    </row>
    <row r="307" spans="1:24" x14ac:dyDescent="0.25">
      <c r="A307" s="53"/>
      <c r="B307" s="91" t="str">
        <f>IFERROR(VLOOKUP(A307,Lookup!A:B,2,0),"")</f>
        <v/>
      </c>
      <c r="C307" s="59" t="str">
        <f>IFERROR(VLOOKUP(A307,Lookup!A:C,3,0),"")</f>
        <v/>
      </c>
      <c r="D307" s="59"/>
      <c r="E307" s="59"/>
      <c r="F307" s="59"/>
      <c r="G307" s="94"/>
      <c r="H307" s="59"/>
      <c r="I307" s="59"/>
      <c r="J307" s="106">
        <f>VLOOKUP(A307&amp;G307,Lookup!J:N,5,0)</f>
        <v>0</v>
      </c>
      <c r="K307" s="110"/>
      <c r="L307" s="110"/>
      <c r="M307" s="110"/>
      <c r="N307" s="110"/>
      <c r="O307" s="90">
        <f>IFERROR(VLOOKUP(A307&amp;G307,Lookup!J:K,2,0),"")</f>
        <v>0</v>
      </c>
      <c r="P307" s="110" t="str">
        <f t="shared" si="27"/>
        <v/>
      </c>
      <c r="Q307" s="110"/>
      <c r="R307" s="87" t="str">
        <f t="shared" si="28"/>
        <v/>
      </c>
      <c r="S307" s="87" t="str">
        <f t="shared" si="29"/>
        <v/>
      </c>
      <c r="T307" s="59"/>
      <c r="U307" s="59"/>
      <c r="V307" s="59"/>
      <c r="W307" s="59"/>
      <c r="X307" s="93" t="str">
        <f t="shared" si="26"/>
        <v>D</v>
      </c>
    </row>
    <row r="308" spans="1:24" x14ac:dyDescent="0.25">
      <c r="A308" s="53"/>
      <c r="B308" s="91" t="str">
        <f>IFERROR(VLOOKUP(A308,Lookup!A:B,2,0),"")</f>
        <v/>
      </c>
      <c r="C308" s="59" t="str">
        <f>IFERROR(VLOOKUP(A308,Lookup!A:C,3,0),"")</f>
        <v/>
      </c>
      <c r="D308" s="59"/>
      <c r="E308" s="59"/>
      <c r="F308" s="59"/>
      <c r="G308" s="94"/>
      <c r="H308" s="59"/>
      <c r="I308" s="59"/>
      <c r="J308" s="106">
        <f>VLOOKUP(A308&amp;G308,Lookup!J:N,5,0)</f>
        <v>0</v>
      </c>
      <c r="K308" s="110"/>
      <c r="L308" s="110"/>
      <c r="M308" s="110"/>
      <c r="N308" s="110"/>
      <c r="O308" s="90">
        <f>IFERROR(VLOOKUP(A308&amp;G308,Lookup!J:K,2,0),"")</f>
        <v>0</v>
      </c>
      <c r="P308" s="110" t="str">
        <f t="shared" si="27"/>
        <v/>
      </c>
      <c r="Q308" s="110"/>
      <c r="R308" s="87" t="str">
        <f t="shared" si="28"/>
        <v/>
      </c>
      <c r="S308" s="87" t="str">
        <f t="shared" si="29"/>
        <v/>
      </c>
      <c r="T308" s="59"/>
      <c r="U308" s="59"/>
      <c r="V308" s="59"/>
      <c r="W308" s="59"/>
      <c r="X308" s="93" t="str">
        <f t="shared" si="26"/>
        <v>D</v>
      </c>
    </row>
    <row r="309" spans="1:24" x14ac:dyDescent="0.25">
      <c r="A309" s="53"/>
      <c r="B309" s="91" t="str">
        <f>IFERROR(VLOOKUP(A309,Lookup!A:B,2,0),"")</f>
        <v/>
      </c>
      <c r="C309" s="59" t="str">
        <f>IFERROR(VLOOKUP(A309,Lookup!A:C,3,0),"")</f>
        <v/>
      </c>
      <c r="D309" s="59"/>
      <c r="E309" s="59"/>
      <c r="F309" s="59"/>
      <c r="G309" s="94"/>
      <c r="H309" s="59"/>
      <c r="I309" s="59"/>
      <c r="J309" s="106">
        <f>VLOOKUP(A309&amp;G309,Lookup!J:N,5,0)</f>
        <v>0</v>
      </c>
      <c r="K309" s="110"/>
      <c r="L309" s="110"/>
      <c r="M309" s="110"/>
      <c r="N309" s="110"/>
      <c r="O309" s="90">
        <f>IFERROR(VLOOKUP(A309&amp;G309,Lookup!J:K,2,0),"")</f>
        <v>0</v>
      </c>
      <c r="P309" s="110" t="str">
        <f t="shared" si="27"/>
        <v/>
      </c>
      <c r="Q309" s="110"/>
      <c r="R309" s="87" t="str">
        <f t="shared" si="28"/>
        <v/>
      </c>
      <c r="S309" s="87" t="str">
        <f t="shared" si="29"/>
        <v/>
      </c>
      <c r="T309" s="59"/>
      <c r="U309" s="59"/>
      <c r="V309" s="59"/>
      <c r="W309" s="59"/>
      <c r="X309" s="93" t="str">
        <f t="shared" si="26"/>
        <v>D</v>
      </c>
    </row>
    <row r="310" spans="1:24" x14ac:dyDescent="0.25">
      <c r="A310" s="53"/>
      <c r="B310" s="91" t="str">
        <f>IFERROR(VLOOKUP(A310,Lookup!A:B,2,0),"")</f>
        <v/>
      </c>
      <c r="C310" s="59" t="str">
        <f>IFERROR(VLOOKUP(A310,Lookup!A:C,3,0),"")</f>
        <v/>
      </c>
      <c r="D310" s="59"/>
      <c r="E310" s="59"/>
      <c r="F310" s="59"/>
      <c r="G310" s="94"/>
      <c r="H310" s="59"/>
      <c r="I310" s="59"/>
      <c r="J310" s="106">
        <f>VLOOKUP(A310&amp;G310,Lookup!J:N,5,0)</f>
        <v>0</v>
      </c>
      <c r="K310" s="110"/>
      <c r="L310" s="110"/>
      <c r="M310" s="110"/>
      <c r="N310" s="110"/>
      <c r="O310" s="90">
        <f>IFERROR(VLOOKUP(A310&amp;G310,Lookup!J:K,2,0),"")</f>
        <v>0</v>
      </c>
      <c r="P310" s="110" t="str">
        <f t="shared" si="27"/>
        <v/>
      </c>
      <c r="Q310" s="110"/>
      <c r="R310" s="87" t="str">
        <f t="shared" si="28"/>
        <v/>
      </c>
      <c r="S310" s="87" t="str">
        <f t="shared" si="29"/>
        <v/>
      </c>
      <c r="T310" s="59"/>
      <c r="U310" s="59"/>
      <c r="V310" s="59"/>
      <c r="W310" s="59"/>
      <c r="X310" s="93" t="str">
        <f t="shared" si="26"/>
        <v>D</v>
      </c>
    </row>
    <row r="311" spans="1:24" x14ac:dyDescent="0.25">
      <c r="A311" s="53"/>
      <c r="B311" s="91" t="str">
        <f>IFERROR(VLOOKUP(A311,Lookup!A:B,2,0),"")</f>
        <v/>
      </c>
      <c r="C311" s="59" t="str">
        <f>IFERROR(VLOOKUP(A311,Lookup!A:C,3,0),"")</f>
        <v/>
      </c>
      <c r="D311" s="59"/>
      <c r="E311" s="59"/>
      <c r="F311" s="59"/>
      <c r="G311" s="94"/>
      <c r="H311" s="59"/>
      <c r="I311" s="59"/>
      <c r="J311" s="106">
        <f>VLOOKUP(A311&amp;G311,Lookup!J:N,5,0)</f>
        <v>0</v>
      </c>
      <c r="K311" s="110"/>
      <c r="L311" s="110"/>
      <c r="M311" s="110"/>
      <c r="N311" s="110"/>
      <c r="O311" s="90">
        <f>IFERROR(VLOOKUP(A311&amp;G311,Lookup!J:K,2,0),"")</f>
        <v>0</v>
      </c>
      <c r="P311" s="110" t="str">
        <f t="shared" si="27"/>
        <v/>
      </c>
      <c r="Q311" s="110"/>
      <c r="R311" s="87" t="str">
        <f t="shared" si="28"/>
        <v/>
      </c>
      <c r="S311" s="87" t="str">
        <f t="shared" si="29"/>
        <v/>
      </c>
      <c r="T311" s="59"/>
      <c r="U311" s="59"/>
      <c r="V311" s="59"/>
      <c r="W311" s="59"/>
      <c r="X311" s="93" t="str">
        <f t="shared" si="26"/>
        <v>D</v>
      </c>
    </row>
    <row r="312" spans="1:24" x14ac:dyDescent="0.25">
      <c r="A312" s="53"/>
      <c r="B312" s="91" t="str">
        <f>IFERROR(VLOOKUP(A312,Lookup!A:B,2,0),"")</f>
        <v/>
      </c>
      <c r="C312" s="59" t="str">
        <f>IFERROR(VLOOKUP(A312,Lookup!A:C,3,0),"")</f>
        <v/>
      </c>
      <c r="D312" s="59"/>
      <c r="E312" s="59"/>
      <c r="F312" s="59"/>
      <c r="G312" s="94"/>
      <c r="H312" s="59"/>
      <c r="I312" s="59"/>
      <c r="J312" s="106">
        <f>VLOOKUP(A312&amp;G312,Lookup!J:N,5,0)</f>
        <v>0</v>
      </c>
      <c r="K312" s="110"/>
      <c r="L312" s="110"/>
      <c r="M312" s="110"/>
      <c r="N312" s="110"/>
      <c r="O312" s="90">
        <f>IFERROR(VLOOKUP(A312&amp;G312,Lookup!J:K,2,0),"")</f>
        <v>0</v>
      </c>
      <c r="P312" s="110" t="str">
        <f t="shared" si="27"/>
        <v/>
      </c>
      <c r="Q312" s="110"/>
      <c r="R312" s="87" t="str">
        <f t="shared" si="28"/>
        <v/>
      </c>
      <c r="S312" s="87" t="str">
        <f t="shared" si="29"/>
        <v/>
      </c>
      <c r="T312" s="59"/>
      <c r="U312" s="59"/>
      <c r="V312" s="59"/>
      <c r="W312" s="59"/>
      <c r="X312" s="93" t="str">
        <f t="shared" si="26"/>
        <v>D</v>
      </c>
    </row>
    <row r="313" spans="1:24" x14ac:dyDescent="0.25">
      <c r="A313" s="53"/>
      <c r="B313" s="91" t="str">
        <f>IFERROR(VLOOKUP(A313,Lookup!A:B,2,0),"")</f>
        <v/>
      </c>
      <c r="C313" s="59" t="str">
        <f>IFERROR(VLOOKUP(A313,Lookup!A:C,3,0),"")</f>
        <v/>
      </c>
      <c r="D313" s="59"/>
      <c r="E313" s="59"/>
      <c r="F313" s="59"/>
      <c r="G313" s="94"/>
      <c r="H313" s="59"/>
      <c r="I313" s="59"/>
      <c r="J313" s="106">
        <f>VLOOKUP(A313&amp;G313,Lookup!J:N,5,0)</f>
        <v>0</v>
      </c>
      <c r="K313" s="110"/>
      <c r="L313" s="110"/>
      <c r="M313" s="110"/>
      <c r="N313" s="110"/>
      <c r="O313" s="90">
        <f>IFERROR(VLOOKUP(A313&amp;G313,Lookup!J:K,2,0),"")</f>
        <v>0</v>
      </c>
      <c r="P313" s="110" t="str">
        <f t="shared" si="27"/>
        <v/>
      </c>
      <c r="Q313" s="110"/>
      <c r="R313" s="87" t="str">
        <f t="shared" si="28"/>
        <v/>
      </c>
      <c r="S313" s="87" t="str">
        <f t="shared" si="29"/>
        <v/>
      </c>
      <c r="T313" s="59"/>
      <c r="U313" s="59"/>
      <c r="V313" s="59"/>
      <c r="W313" s="59"/>
      <c r="X313" s="93" t="str">
        <f t="shared" si="26"/>
        <v>D</v>
      </c>
    </row>
    <row r="314" spans="1:24" x14ac:dyDescent="0.25">
      <c r="A314" s="53"/>
      <c r="B314" s="91" t="str">
        <f>IFERROR(VLOOKUP(A314,Lookup!A:B,2,0),"")</f>
        <v/>
      </c>
      <c r="C314" s="59" t="str">
        <f>IFERROR(VLOOKUP(A314,Lookup!A:C,3,0),"")</f>
        <v/>
      </c>
      <c r="D314" s="59"/>
      <c r="E314" s="59"/>
      <c r="F314" s="59"/>
      <c r="G314" s="94"/>
      <c r="H314" s="59"/>
      <c r="I314" s="59"/>
      <c r="J314" s="106">
        <f>VLOOKUP(A314&amp;G314,Lookup!J:N,5,0)</f>
        <v>0</v>
      </c>
      <c r="K314" s="110"/>
      <c r="L314" s="110"/>
      <c r="M314" s="110"/>
      <c r="N314" s="110"/>
      <c r="O314" s="90">
        <f>IFERROR(VLOOKUP(A314&amp;G314,Lookup!J:K,2,0),"")</f>
        <v>0</v>
      </c>
      <c r="P314" s="110" t="str">
        <f t="shared" si="27"/>
        <v/>
      </c>
      <c r="Q314" s="110"/>
      <c r="R314" s="87" t="str">
        <f t="shared" si="28"/>
        <v/>
      </c>
      <c r="S314" s="87" t="str">
        <f t="shared" si="29"/>
        <v/>
      </c>
      <c r="T314" s="59"/>
      <c r="U314" s="59"/>
      <c r="V314" s="59"/>
      <c r="W314" s="59"/>
      <c r="X314" s="93" t="str">
        <f t="shared" si="26"/>
        <v>D</v>
      </c>
    </row>
    <row r="315" spans="1:24" x14ac:dyDescent="0.25">
      <c r="A315" s="53"/>
      <c r="B315" s="91" t="str">
        <f>IFERROR(VLOOKUP(A315,Lookup!A:B,2,0),"")</f>
        <v/>
      </c>
      <c r="C315" s="59" t="str">
        <f>IFERROR(VLOOKUP(A315,Lookup!A:C,3,0),"")</f>
        <v/>
      </c>
      <c r="D315" s="59"/>
      <c r="E315" s="59"/>
      <c r="F315" s="59"/>
      <c r="G315" s="94"/>
      <c r="H315" s="59"/>
      <c r="I315" s="59"/>
      <c r="J315" s="106">
        <f>VLOOKUP(A315&amp;G315,Lookup!J:N,5,0)</f>
        <v>0</v>
      </c>
      <c r="K315" s="110"/>
      <c r="L315" s="110"/>
      <c r="M315" s="110"/>
      <c r="N315" s="110"/>
      <c r="O315" s="90">
        <f>IFERROR(VLOOKUP(A315&amp;G315,Lookup!J:K,2,0),"")</f>
        <v>0</v>
      </c>
      <c r="P315" s="110" t="str">
        <f t="shared" si="27"/>
        <v/>
      </c>
      <c r="Q315" s="110"/>
      <c r="R315" s="87" t="str">
        <f t="shared" si="28"/>
        <v/>
      </c>
      <c r="S315" s="87" t="str">
        <f t="shared" si="29"/>
        <v/>
      </c>
      <c r="T315" s="59"/>
      <c r="U315" s="59"/>
      <c r="V315" s="59"/>
      <c r="W315" s="59"/>
      <c r="X315" s="93" t="str">
        <f t="shared" si="26"/>
        <v>D</v>
      </c>
    </row>
    <row r="316" spans="1:24" x14ac:dyDescent="0.25">
      <c r="A316" s="53"/>
      <c r="B316" s="91" t="str">
        <f>IFERROR(VLOOKUP(A316,Lookup!A:B,2,0),"")</f>
        <v/>
      </c>
      <c r="C316" s="59" t="str">
        <f>IFERROR(VLOOKUP(A316,Lookup!A:C,3,0),"")</f>
        <v/>
      </c>
      <c r="D316" s="59"/>
      <c r="E316" s="59"/>
      <c r="F316" s="59"/>
      <c r="G316" s="94"/>
      <c r="H316" s="59"/>
      <c r="I316" s="59"/>
      <c r="J316" s="106">
        <f>VLOOKUP(A316&amp;G316,Lookup!J:N,5,0)</f>
        <v>0</v>
      </c>
      <c r="K316" s="110"/>
      <c r="L316" s="110"/>
      <c r="M316" s="110"/>
      <c r="N316" s="110"/>
      <c r="O316" s="90">
        <f>IFERROR(VLOOKUP(A316&amp;G316,Lookup!J:K,2,0),"")</f>
        <v>0</v>
      </c>
      <c r="P316" s="110" t="str">
        <f t="shared" si="27"/>
        <v/>
      </c>
      <c r="Q316" s="110"/>
      <c r="R316" s="87" t="str">
        <f t="shared" si="28"/>
        <v/>
      </c>
      <c r="S316" s="87" t="str">
        <f t="shared" si="29"/>
        <v/>
      </c>
      <c r="T316" s="59"/>
      <c r="U316" s="59"/>
      <c r="V316" s="59"/>
      <c r="W316" s="59"/>
      <c r="X316" s="93" t="str">
        <f t="shared" si="26"/>
        <v>D</v>
      </c>
    </row>
    <row r="317" spans="1:24" x14ac:dyDescent="0.25">
      <c r="A317" s="53"/>
      <c r="B317" s="91" t="str">
        <f>IFERROR(VLOOKUP(A317,Lookup!A:B,2,0),"")</f>
        <v/>
      </c>
      <c r="C317" s="59" t="str">
        <f>IFERROR(VLOOKUP(A317,Lookup!A:C,3,0),"")</f>
        <v/>
      </c>
      <c r="D317" s="59"/>
      <c r="E317" s="59"/>
      <c r="F317" s="59"/>
      <c r="G317" s="94"/>
      <c r="H317" s="59"/>
      <c r="I317" s="59"/>
      <c r="J317" s="106">
        <f>VLOOKUP(A317&amp;G317,Lookup!J:N,5,0)</f>
        <v>0</v>
      </c>
      <c r="K317" s="110"/>
      <c r="L317" s="110"/>
      <c r="M317" s="110"/>
      <c r="N317" s="110"/>
      <c r="O317" s="90">
        <f>IFERROR(VLOOKUP(A317&amp;G317,Lookup!J:K,2,0),"")</f>
        <v>0</v>
      </c>
      <c r="P317" s="110" t="str">
        <f t="shared" si="27"/>
        <v/>
      </c>
      <c r="Q317" s="110"/>
      <c r="R317" s="87" t="str">
        <f t="shared" si="28"/>
        <v/>
      </c>
      <c r="S317" s="87" t="str">
        <f t="shared" si="29"/>
        <v/>
      </c>
      <c r="T317" s="59"/>
      <c r="U317" s="59"/>
      <c r="V317" s="59"/>
      <c r="W317" s="59"/>
      <c r="X317" s="93" t="str">
        <f t="shared" si="26"/>
        <v>D</v>
      </c>
    </row>
    <row r="318" spans="1:24" x14ac:dyDescent="0.25">
      <c r="A318" s="53"/>
      <c r="B318" s="91" t="str">
        <f>IFERROR(VLOOKUP(A318,Lookup!A:B,2,0),"")</f>
        <v/>
      </c>
      <c r="C318" s="59" t="str">
        <f>IFERROR(VLOOKUP(A318,Lookup!A:C,3,0),"")</f>
        <v/>
      </c>
      <c r="D318" s="59"/>
      <c r="E318" s="59"/>
      <c r="F318" s="59"/>
      <c r="G318" s="94"/>
      <c r="H318" s="59"/>
      <c r="I318" s="59"/>
      <c r="J318" s="106">
        <f>VLOOKUP(A318&amp;G318,Lookup!J:N,5,0)</f>
        <v>0</v>
      </c>
      <c r="K318" s="110"/>
      <c r="L318" s="110"/>
      <c r="M318" s="110"/>
      <c r="N318" s="110"/>
      <c r="O318" s="90">
        <f>IFERROR(VLOOKUP(A318&amp;G318,Lookup!J:K,2,0),"")</f>
        <v>0</v>
      </c>
      <c r="P318" s="110" t="str">
        <f t="shared" si="27"/>
        <v/>
      </c>
      <c r="Q318" s="110"/>
      <c r="R318" s="87" t="str">
        <f t="shared" si="28"/>
        <v/>
      </c>
      <c r="S318" s="87" t="str">
        <f t="shared" si="29"/>
        <v/>
      </c>
      <c r="T318" s="59"/>
      <c r="U318" s="59"/>
      <c r="V318" s="59"/>
      <c r="W318" s="59"/>
      <c r="X318" s="93" t="str">
        <f t="shared" si="26"/>
        <v>D</v>
      </c>
    </row>
    <row r="319" spans="1:24" x14ac:dyDescent="0.25">
      <c r="A319" s="53"/>
      <c r="B319" s="91" t="str">
        <f>IFERROR(VLOOKUP(A319,Lookup!A:B,2,0),"")</f>
        <v/>
      </c>
      <c r="C319" s="59" t="str">
        <f>IFERROR(VLOOKUP(A319,Lookup!A:C,3,0),"")</f>
        <v/>
      </c>
      <c r="D319" s="59"/>
      <c r="E319" s="59"/>
      <c r="F319" s="59"/>
      <c r="G319" s="94"/>
      <c r="H319" s="59"/>
      <c r="I319" s="59"/>
      <c r="J319" s="106">
        <f>VLOOKUP(A319&amp;G319,Lookup!J:N,5,0)</f>
        <v>0</v>
      </c>
      <c r="K319" s="110"/>
      <c r="L319" s="110"/>
      <c r="M319" s="110"/>
      <c r="N319" s="110"/>
      <c r="O319" s="90">
        <f>IFERROR(VLOOKUP(A319&amp;G319,Lookup!J:K,2,0),"")</f>
        <v>0</v>
      </c>
      <c r="P319" s="110" t="str">
        <f t="shared" si="27"/>
        <v/>
      </c>
      <c r="Q319" s="110"/>
      <c r="R319" s="87" t="str">
        <f t="shared" si="28"/>
        <v/>
      </c>
      <c r="S319" s="87" t="str">
        <f t="shared" si="29"/>
        <v/>
      </c>
      <c r="T319" s="59"/>
      <c r="U319" s="59"/>
      <c r="V319" s="59"/>
      <c r="W319" s="59"/>
      <c r="X319" s="93" t="str">
        <f t="shared" si="26"/>
        <v>D</v>
      </c>
    </row>
    <row r="320" spans="1:24" x14ac:dyDescent="0.25">
      <c r="A320" s="53"/>
      <c r="B320" s="91" t="str">
        <f>IFERROR(VLOOKUP(A320,Lookup!A:B,2,0),"")</f>
        <v/>
      </c>
      <c r="C320" s="59" t="str">
        <f>IFERROR(VLOOKUP(A320,Lookup!A:C,3,0),"")</f>
        <v/>
      </c>
      <c r="D320" s="59"/>
      <c r="E320" s="59"/>
      <c r="F320" s="59"/>
      <c r="G320" s="94"/>
      <c r="H320" s="59"/>
      <c r="I320" s="59"/>
      <c r="J320" s="106">
        <f>VLOOKUP(A320&amp;G320,Lookup!J:N,5,0)</f>
        <v>0</v>
      </c>
      <c r="K320" s="110"/>
      <c r="L320" s="110"/>
      <c r="M320" s="110"/>
      <c r="N320" s="110"/>
      <c r="O320" s="90">
        <f>IFERROR(VLOOKUP(A320&amp;G320,Lookup!J:K,2,0),"")</f>
        <v>0</v>
      </c>
      <c r="P320" s="110" t="str">
        <f t="shared" si="27"/>
        <v/>
      </c>
      <c r="Q320" s="110"/>
      <c r="R320" s="87" t="str">
        <f t="shared" si="28"/>
        <v/>
      </c>
      <c r="S320" s="87" t="str">
        <f t="shared" si="29"/>
        <v/>
      </c>
      <c r="T320" s="59"/>
      <c r="U320" s="59"/>
      <c r="V320" s="59"/>
      <c r="W320" s="59"/>
      <c r="X320" s="93" t="str">
        <f t="shared" si="26"/>
        <v>D</v>
      </c>
    </row>
    <row r="321" spans="1:24" x14ac:dyDescent="0.25">
      <c r="A321" s="53"/>
      <c r="B321" s="91" t="str">
        <f>IFERROR(VLOOKUP(A321,Lookup!A:B,2,0),"")</f>
        <v/>
      </c>
      <c r="C321" s="59" t="str">
        <f>IFERROR(VLOOKUP(A321,Lookup!A:C,3,0),"")</f>
        <v/>
      </c>
      <c r="D321" s="59"/>
      <c r="E321" s="59"/>
      <c r="F321" s="59"/>
      <c r="G321" s="94"/>
      <c r="H321" s="59"/>
      <c r="I321" s="59"/>
      <c r="J321" s="106">
        <f>VLOOKUP(A321&amp;G321,Lookup!J:N,5,0)</f>
        <v>0</v>
      </c>
      <c r="K321" s="110"/>
      <c r="L321" s="110"/>
      <c r="M321" s="110"/>
      <c r="N321" s="110"/>
      <c r="O321" s="90">
        <f>IFERROR(VLOOKUP(A321&amp;G321,Lookup!J:K,2,0),"")</f>
        <v>0</v>
      </c>
      <c r="P321" s="110" t="str">
        <f t="shared" si="27"/>
        <v/>
      </c>
      <c r="Q321" s="110"/>
      <c r="R321" s="87" t="str">
        <f t="shared" si="28"/>
        <v/>
      </c>
      <c r="S321" s="87" t="str">
        <f t="shared" si="29"/>
        <v/>
      </c>
      <c r="T321" s="59"/>
      <c r="U321" s="59"/>
      <c r="V321" s="59"/>
      <c r="W321" s="59"/>
      <c r="X321" s="93" t="str">
        <f t="shared" ref="X321:X384" si="30">IF(I321="SET","A",IF(I321="FREQ","C",IF(I321="","D","B")))</f>
        <v>D</v>
      </c>
    </row>
    <row r="322" spans="1:24" x14ac:dyDescent="0.25">
      <c r="A322" s="53"/>
      <c r="B322" s="91" t="str">
        <f>IFERROR(VLOOKUP(A322,Lookup!A:B,2,0),"")</f>
        <v/>
      </c>
      <c r="C322" s="59" t="str">
        <f>IFERROR(VLOOKUP(A322,Lookup!A:C,3,0),"")</f>
        <v/>
      </c>
      <c r="D322" s="59"/>
      <c r="E322" s="59"/>
      <c r="F322" s="59"/>
      <c r="G322" s="94"/>
      <c r="H322" s="59"/>
      <c r="I322" s="59"/>
      <c r="J322" s="106">
        <f>VLOOKUP(A322&amp;G322,Lookup!J:N,5,0)</f>
        <v>0</v>
      </c>
      <c r="K322" s="110"/>
      <c r="L322" s="110"/>
      <c r="M322" s="110"/>
      <c r="N322" s="110"/>
      <c r="O322" s="90">
        <f>IFERROR(VLOOKUP(A322&amp;G322,Lookup!J:K,2,0),"")</f>
        <v>0</v>
      </c>
      <c r="P322" s="110" t="str">
        <f t="shared" ref="P322:P385" si="31">IF(N322="","",N322+O322)</f>
        <v/>
      </c>
      <c r="Q322" s="110"/>
      <c r="R322" s="87" t="str">
        <f t="shared" si="28"/>
        <v/>
      </c>
      <c r="S322" s="87" t="str">
        <f t="shared" si="29"/>
        <v/>
      </c>
      <c r="T322" s="59"/>
      <c r="U322" s="59"/>
      <c r="V322" s="59"/>
      <c r="W322" s="59"/>
      <c r="X322" s="93" t="str">
        <f t="shared" si="30"/>
        <v>D</v>
      </c>
    </row>
    <row r="323" spans="1:24" x14ac:dyDescent="0.25">
      <c r="A323" s="53"/>
      <c r="B323" s="91" t="str">
        <f>IFERROR(VLOOKUP(A323,Lookup!A:B,2,0),"")</f>
        <v/>
      </c>
      <c r="C323" s="59" t="str">
        <f>IFERROR(VLOOKUP(A323,Lookup!A:C,3,0),"")</f>
        <v/>
      </c>
      <c r="D323" s="59"/>
      <c r="E323" s="59"/>
      <c r="F323" s="59"/>
      <c r="G323" s="94"/>
      <c r="H323" s="59"/>
      <c r="I323" s="59"/>
      <c r="J323" s="106">
        <f>VLOOKUP(A323&amp;G323,Lookup!J:N,5,0)</f>
        <v>0</v>
      </c>
      <c r="K323" s="110"/>
      <c r="L323" s="110"/>
      <c r="M323" s="110"/>
      <c r="N323" s="110"/>
      <c r="O323" s="90">
        <f>IFERROR(VLOOKUP(A323&amp;G323,Lookup!J:K,2,0),"")</f>
        <v>0</v>
      </c>
      <c r="P323" s="110" t="str">
        <f t="shared" si="31"/>
        <v/>
      </c>
      <c r="Q323" s="110"/>
      <c r="R323" s="87" t="str">
        <f t="shared" ref="R323:R386" si="32">IF(OR(EXACT(N323,""), EXACT(L323,"")),"",N323-L323)</f>
        <v/>
      </c>
      <c r="S323" s="87" t="str">
        <f t="shared" si="29"/>
        <v/>
      </c>
      <c r="T323" s="59"/>
      <c r="U323" s="59"/>
      <c r="V323" s="59"/>
      <c r="W323" s="59"/>
      <c r="X323" s="93" t="str">
        <f t="shared" si="30"/>
        <v>D</v>
      </c>
    </row>
    <row r="324" spans="1:24" x14ac:dyDescent="0.25">
      <c r="A324" s="53"/>
      <c r="B324" s="91" t="str">
        <f>IFERROR(VLOOKUP(A324,Lookup!A:B,2,0),"")</f>
        <v/>
      </c>
      <c r="C324" s="59" t="str">
        <f>IFERROR(VLOOKUP(A324,Lookup!A:C,3,0),"")</f>
        <v/>
      </c>
      <c r="D324" s="59"/>
      <c r="E324" s="59"/>
      <c r="F324" s="59"/>
      <c r="G324" s="94"/>
      <c r="H324" s="59"/>
      <c r="I324" s="59"/>
      <c r="J324" s="106">
        <f>VLOOKUP(A324&amp;G324,Lookup!J:N,5,0)</f>
        <v>0</v>
      </c>
      <c r="K324" s="110"/>
      <c r="L324" s="110"/>
      <c r="M324" s="110"/>
      <c r="N324" s="110"/>
      <c r="O324" s="90">
        <f>IFERROR(VLOOKUP(A324&amp;G324,Lookup!J:K,2,0),"")</f>
        <v>0</v>
      </c>
      <c r="P324" s="110" t="str">
        <f t="shared" si="31"/>
        <v/>
      </c>
      <c r="Q324" s="110"/>
      <c r="R324" s="87" t="str">
        <f t="shared" si="32"/>
        <v/>
      </c>
      <c r="S324" s="87" t="str">
        <f t="shared" ref="S324:S387" si="33">IF(OR(EXACT(Q324,""), EXACT(L324,"")),"",Q324-L324)</f>
        <v/>
      </c>
      <c r="T324" s="59"/>
      <c r="U324" s="59"/>
      <c r="V324" s="59"/>
      <c r="W324" s="59"/>
      <c r="X324" s="93" t="str">
        <f t="shared" si="30"/>
        <v>D</v>
      </c>
    </row>
    <row r="325" spans="1:24" x14ac:dyDescent="0.25">
      <c r="A325" s="53"/>
      <c r="B325" s="91" t="str">
        <f>IFERROR(VLOOKUP(A325,Lookup!A:B,2,0),"")</f>
        <v/>
      </c>
      <c r="C325" s="59" t="str">
        <f>IFERROR(VLOOKUP(A325,Lookup!A:C,3,0),"")</f>
        <v/>
      </c>
      <c r="D325" s="59"/>
      <c r="E325" s="59"/>
      <c r="F325" s="59"/>
      <c r="G325" s="94"/>
      <c r="H325" s="59"/>
      <c r="I325" s="59"/>
      <c r="J325" s="106">
        <f>VLOOKUP(A325&amp;G325,Lookup!J:N,5,0)</f>
        <v>0</v>
      </c>
      <c r="K325" s="110"/>
      <c r="L325" s="110"/>
      <c r="M325" s="110"/>
      <c r="N325" s="110"/>
      <c r="O325" s="90">
        <f>IFERROR(VLOOKUP(A325&amp;G325,Lookup!J:K,2,0),"")</f>
        <v>0</v>
      </c>
      <c r="P325" s="110" t="str">
        <f t="shared" si="31"/>
        <v/>
      </c>
      <c r="Q325" s="110"/>
      <c r="R325" s="87" t="str">
        <f t="shared" si="32"/>
        <v/>
      </c>
      <c r="S325" s="87" t="str">
        <f t="shared" si="33"/>
        <v/>
      </c>
      <c r="T325" s="59"/>
      <c r="U325" s="59"/>
      <c r="V325" s="59"/>
      <c r="W325" s="59"/>
      <c r="X325" s="93" t="str">
        <f t="shared" si="30"/>
        <v>D</v>
      </c>
    </row>
    <row r="326" spans="1:24" x14ac:dyDescent="0.25">
      <c r="A326" s="53"/>
      <c r="B326" s="91" t="str">
        <f>IFERROR(VLOOKUP(A326,Lookup!A:B,2,0),"")</f>
        <v/>
      </c>
      <c r="C326" s="59" t="str">
        <f>IFERROR(VLOOKUP(A326,Lookup!A:C,3,0),"")</f>
        <v/>
      </c>
      <c r="D326" s="59"/>
      <c r="E326" s="59"/>
      <c r="F326" s="59"/>
      <c r="G326" s="94"/>
      <c r="H326" s="59"/>
      <c r="I326" s="59"/>
      <c r="J326" s="106">
        <f>VLOOKUP(A326&amp;G326,Lookup!J:N,5,0)</f>
        <v>0</v>
      </c>
      <c r="K326" s="110"/>
      <c r="L326" s="110"/>
      <c r="M326" s="110"/>
      <c r="N326" s="110"/>
      <c r="O326" s="90">
        <f>IFERROR(VLOOKUP(A326&amp;G326,Lookup!J:K,2,0),"")</f>
        <v>0</v>
      </c>
      <c r="P326" s="110" t="str">
        <f t="shared" si="31"/>
        <v/>
      </c>
      <c r="Q326" s="110"/>
      <c r="R326" s="87" t="str">
        <f t="shared" si="32"/>
        <v/>
      </c>
      <c r="S326" s="87" t="str">
        <f t="shared" si="33"/>
        <v/>
      </c>
      <c r="T326" s="59"/>
      <c r="U326" s="59"/>
      <c r="V326" s="59"/>
      <c r="W326" s="59"/>
      <c r="X326" s="93" t="str">
        <f t="shared" si="30"/>
        <v>D</v>
      </c>
    </row>
    <row r="327" spans="1:24" x14ac:dyDescent="0.25">
      <c r="A327" s="53"/>
      <c r="B327" s="91" t="str">
        <f>IFERROR(VLOOKUP(A327,Lookup!A:B,2,0),"")</f>
        <v/>
      </c>
      <c r="C327" s="59" t="str">
        <f>IFERROR(VLOOKUP(A327,Lookup!A:C,3,0),"")</f>
        <v/>
      </c>
      <c r="D327" s="59"/>
      <c r="E327" s="59"/>
      <c r="F327" s="59"/>
      <c r="G327" s="94"/>
      <c r="H327" s="59"/>
      <c r="I327" s="59"/>
      <c r="J327" s="106">
        <f>VLOOKUP(A327&amp;G327,Lookup!J:N,5,0)</f>
        <v>0</v>
      </c>
      <c r="K327" s="110"/>
      <c r="L327" s="110"/>
      <c r="M327" s="110"/>
      <c r="N327" s="110"/>
      <c r="O327" s="90">
        <f>IFERROR(VLOOKUP(A327&amp;G327,Lookup!J:K,2,0),"")</f>
        <v>0</v>
      </c>
      <c r="P327" s="110" t="str">
        <f t="shared" si="31"/>
        <v/>
      </c>
      <c r="Q327" s="110"/>
      <c r="R327" s="87" t="str">
        <f t="shared" si="32"/>
        <v/>
      </c>
      <c r="S327" s="87" t="str">
        <f t="shared" si="33"/>
        <v/>
      </c>
      <c r="T327" s="59"/>
      <c r="U327" s="59"/>
      <c r="V327" s="59"/>
      <c r="W327" s="59"/>
      <c r="X327" s="93" t="str">
        <f t="shared" si="30"/>
        <v>D</v>
      </c>
    </row>
    <row r="328" spans="1:24" x14ac:dyDescent="0.25">
      <c r="A328" s="53"/>
      <c r="B328" s="91" t="str">
        <f>IFERROR(VLOOKUP(A328,Lookup!A:B,2,0),"")</f>
        <v/>
      </c>
      <c r="C328" s="59" t="str">
        <f>IFERROR(VLOOKUP(A328,Lookup!A:C,3,0),"")</f>
        <v/>
      </c>
      <c r="D328" s="59"/>
      <c r="E328" s="59"/>
      <c r="F328" s="59"/>
      <c r="G328" s="94"/>
      <c r="H328" s="59"/>
      <c r="I328" s="59"/>
      <c r="J328" s="106">
        <f>VLOOKUP(A328&amp;G328,Lookup!J:N,5,0)</f>
        <v>0</v>
      </c>
      <c r="K328" s="110"/>
      <c r="L328" s="110"/>
      <c r="M328" s="110"/>
      <c r="N328" s="110"/>
      <c r="O328" s="90">
        <f>IFERROR(VLOOKUP(A328&amp;G328,Lookup!J:K,2,0),"")</f>
        <v>0</v>
      </c>
      <c r="P328" s="110" t="str">
        <f t="shared" si="31"/>
        <v/>
      </c>
      <c r="Q328" s="110"/>
      <c r="R328" s="87" t="str">
        <f t="shared" si="32"/>
        <v/>
      </c>
      <c r="S328" s="87" t="str">
        <f t="shared" si="33"/>
        <v/>
      </c>
      <c r="T328" s="59"/>
      <c r="U328" s="59"/>
      <c r="V328" s="59"/>
      <c r="W328" s="59"/>
      <c r="X328" s="93" t="str">
        <f t="shared" si="30"/>
        <v>D</v>
      </c>
    </row>
    <row r="329" spans="1:24" x14ac:dyDescent="0.25">
      <c r="A329" s="53"/>
      <c r="B329" s="91" t="str">
        <f>IFERROR(VLOOKUP(A329,Lookup!A:B,2,0),"")</f>
        <v/>
      </c>
      <c r="C329" s="59" t="str">
        <f>IFERROR(VLOOKUP(A329,Lookup!A:C,3,0),"")</f>
        <v/>
      </c>
      <c r="D329" s="59"/>
      <c r="E329" s="59"/>
      <c r="F329" s="59"/>
      <c r="G329" s="94"/>
      <c r="H329" s="59"/>
      <c r="I329" s="59"/>
      <c r="J329" s="106">
        <f>VLOOKUP(A329&amp;G329,Lookup!J:N,5,0)</f>
        <v>0</v>
      </c>
      <c r="K329" s="110"/>
      <c r="L329" s="110"/>
      <c r="M329" s="110"/>
      <c r="N329" s="110"/>
      <c r="O329" s="90">
        <f>IFERROR(VLOOKUP(A329&amp;G329,Lookup!J:K,2,0),"")</f>
        <v>0</v>
      </c>
      <c r="P329" s="110" t="str">
        <f t="shared" si="31"/>
        <v/>
      </c>
      <c r="Q329" s="110"/>
      <c r="R329" s="87" t="str">
        <f t="shared" si="32"/>
        <v/>
      </c>
      <c r="S329" s="87" t="str">
        <f t="shared" si="33"/>
        <v/>
      </c>
      <c r="T329" s="59"/>
      <c r="U329" s="59"/>
      <c r="V329" s="59"/>
      <c r="W329" s="59"/>
      <c r="X329" s="93" t="str">
        <f t="shared" si="30"/>
        <v>D</v>
      </c>
    </row>
    <row r="330" spans="1:24" x14ac:dyDescent="0.25">
      <c r="A330" s="53"/>
      <c r="B330" s="91" t="str">
        <f>IFERROR(VLOOKUP(A330,Lookup!A:B,2,0),"")</f>
        <v/>
      </c>
      <c r="C330" s="59" t="str">
        <f>IFERROR(VLOOKUP(A330,Lookup!A:C,3,0),"")</f>
        <v/>
      </c>
      <c r="D330" s="59"/>
      <c r="E330" s="59"/>
      <c r="F330" s="59"/>
      <c r="G330" s="94"/>
      <c r="H330" s="59"/>
      <c r="I330" s="59"/>
      <c r="J330" s="106">
        <f>VLOOKUP(A330&amp;G330,Lookup!J:N,5,0)</f>
        <v>0</v>
      </c>
      <c r="K330" s="110"/>
      <c r="L330" s="110"/>
      <c r="M330" s="110"/>
      <c r="N330" s="110"/>
      <c r="O330" s="90">
        <f>IFERROR(VLOOKUP(A330&amp;G330,Lookup!J:K,2,0),"")</f>
        <v>0</v>
      </c>
      <c r="P330" s="110" t="str">
        <f t="shared" si="31"/>
        <v/>
      </c>
      <c r="Q330" s="110"/>
      <c r="R330" s="87" t="str">
        <f t="shared" si="32"/>
        <v/>
      </c>
      <c r="S330" s="87" t="str">
        <f t="shared" si="33"/>
        <v/>
      </c>
      <c r="T330" s="59"/>
      <c r="U330" s="59"/>
      <c r="V330" s="59"/>
      <c r="W330" s="59"/>
      <c r="X330" s="93" t="str">
        <f t="shared" si="30"/>
        <v>D</v>
      </c>
    </row>
    <row r="331" spans="1:24" x14ac:dyDescent="0.25">
      <c r="A331" s="53"/>
      <c r="B331" s="91" t="str">
        <f>IFERROR(VLOOKUP(A331,Lookup!A:B,2,0),"")</f>
        <v/>
      </c>
      <c r="C331" s="59" t="str">
        <f>IFERROR(VLOOKUP(A331,Lookup!A:C,3,0),"")</f>
        <v/>
      </c>
      <c r="D331" s="59"/>
      <c r="E331" s="59"/>
      <c r="F331" s="59"/>
      <c r="G331" s="94"/>
      <c r="H331" s="59"/>
      <c r="I331" s="59"/>
      <c r="J331" s="106">
        <f>VLOOKUP(A331&amp;G331,Lookup!J:N,5,0)</f>
        <v>0</v>
      </c>
      <c r="K331" s="110"/>
      <c r="L331" s="110"/>
      <c r="M331" s="110"/>
      <c r="N331" s="110"/>
      <c r="O331" s="90">
        <f>IFERROR(VLOOKUP(A331&amp;G331,Lookup!J:K,2,0),"")</f>
        <v>0</v>
      </c>
      <c r="P331" s="110" t="str">
        <f t="shared" si="31"/>
        <v/>
      </c>
      <c r="Q331" s="110"/>
      <c r="R331" s="87" t="str">
        <f t="shared" si="32"/>
        <v/>
      </c>
      <c r="S331" s="87" t="str">
        <f t="shared" si="33"/>
        <v/>
      </c>
      <c r="T331" s="59"/>
      <c r="U331" s="59"/>
      <c r="V331" s="59"/>
      <c r="W331" s="59"/>
      <c r="X331" s="93" t="str">
        <f t="shared" si="30"/>
        <v>D</v>
      </c>
    </row>
    <row r="332" spans="1:24" x14ac:dyDescent="0.25">
      <c r="A332" s="53"/>
      <c r="B332" s="91" t="str">
        <f>IFERROR(VLOOKUP(A332,Lookup!A:B,2,0),"")</f>
        <v/>
      </c>
      <c r="C332" s="59" t="str">
        <f>IFERROR(VLOOKUP(A332,Lookup!A:C,3,0),"")</f>
        <v/>
      </c>
      <c r="D332" s="59"/>
      <c r="E332" s="59"/>
      <c r="F332" s="59"/>
      <c r="G332" s="94"/>
      <c r="H332" s="59"/>
      <c r="I332" s="59"/>
      <c r="J332" s="106">
        <f>VLOOKUP(A332&amp;G332,Lookup!J:N,5,0)</f>
        <v>0</v>
      </c>
      <c r="K332" s="110"/>
      <c r="L332" s="110"/>
      <c r="M332" s="110"/>
      <c r="N332" s="110"/>
      <c r="O332" s="90">
        <f>IFERROR(VLOOKUP(A332&amp;G332,Lookup!J:K,2,0),"")</f>
        <v>0</v>
      </c>
      <c r="P332" s="110" t="str">
        <f t="shared" si="31"/>
        <v/>
      </c>
      <c r="Q332" s="110"/>
      <c r="R332" s="87" t="str">
        <f t="shared" si="32"/>
        <v/>
      </c>
      <c r="S332" s="87" t="str">
        <f t="shared" si="33"/>
        <v/>
      </c>
      <c r="T332" s="59"/>
      <c r="U332" s="59"/>
      <c r="V332" s="59"/>
      <c r="W332" s="59"/>
      <c r="X332" s="93" t="str">
        <f t="shared" si="30"/>
        <v>D</v>
      </c>
    </row>
    <row r="333" spans="1:24" x14ac:dyDescent="0.25">
      <c r="A333" s="53"/>
      <c r="B333" s="91" t="str">
        <f>IFERROR(VLOOKUP(A333,Lookup!A:B,2,0),"")</f>
        <v/>
      </c>
      <c r="C333" s="59" t="str">
        <f>IFERROR(VLOOKUP(A333,Lookup!A:C,3,0),"")</f>
        <v/>
      </c>
      <c r="D333" s="59"/>
      <c r="E333" s="59"/>
      <c r="F333" s="59"/>
      <c r="G333" s="94"/>
      <c r="H333" s="59"/>
      <c r="I333" s="59"/>
      <c r="J333" s="106">
        <f>VLOOKUP(A333&amp;G333,Lookup!J:N,5,0)</f>
        <v>0</v>
      </c>
      <c r="K333" s="110"/>
      <c r="L333" s="110"/>
      <c r="M333" s="110"/>
      <c r="N333" s="110"/>
      <c r="O333" s="90">
        <f>IFERROR(VLOOKUP(A333&amp;G333,Lookup!J:K,2,0),"")</f>
        <v>0</v>
      </c>
      <c r="P333" s="110" t="str">
        <f t="shared" si="31"/>
        <v/>
      </c>
      <c r="Q333" s="110"/>
      <c r="R333" s="87" t="str">
        <f t="shared" si="32"/>
        <v/>
      </c>
      <c r="S333" s="87" t="str">
        <f t="shared" si="33"/>
        <v/>
      </c>
      <c r="T333" s="59"/>
      <c r="U333" s="59"/>
      <c r="V333" s="59"/>
      <c r="W333" s="59"/>
      <c r="X333" s="93" t="str">
        <f t="shared" si="30"/>
        <v>D</v>
      </c>
    </row>
    <row r="334" spans="1:24" x14ac:dyDescent="0.25">
      <c r="A334" s="53"/>
      <c r="B334" s="91" t="str">
        <f>IFERROR(VLOOKUP(A334,Lookup!A:B,2,0),"")</f>
        <v/>
      </c>
      <c r="C334" s="59" t="str">
        <f>IFERROR(VLOOKUP(A334,Lookup!A:C,3,0),"")</f>
        <v/>
      </c>
      <c r="D334" s="59"/>
      <c r="E334" s="59"/>
      <c r="F334" s="59"/>
      <c r="G334" s="94"/>
      <c r="H334" s="59"/>
      <c r="I334" s="59"/>
      <c r="J334" s="106">
        <f>VLOOKUP(A334&amp;G334,Lookup!J:N,5,0)</f>
        <v>0</v>
      </c>
      <c r="K334" s="110"/>
      <c r="L334" s="110"/>
      <c r="M334" s="110"/>
      <c r="N334" s="110"/>
      <c r="O334" s="90">
        <f>IFERROR(VLOOKUP(A334&amp;G334,Lookup!J:K,2,0),"")</f>
        <v>0</v>
      </c>
      <c r="P334" s="110" t="str">
        <f t="shared" si="31"/>
        <v/>
      </c>
      <c r="Q334" s="110"/>
      <c r="R334" s="87" t="str">
        <f t="shared" si="32"/>
        <v/>
      </c>
      <c r="S334" s="87" t="str">
        <f t="shared" si="33"/>
        <v/>
      </c>
      <c r="T334" s="59"/>
      <c r="U334" s="59"/>
      <c r="V334" s="59"/>
      <c r="W334" s="59"/>
      <c r="X334" s="93" t="str">
        <f t="shared" si="30"/>
        <v>D</v>
      </c>
    </row>
    <row r="335" spans="1:24" x14ac:dyDescent="0.25">
      <c r="A335" s="53"/>
      <c r="B335" s="91" t="str">
        <f>IFERROR(VLOOKUP(A335,Lookup!A:B,2,0),"")</f>
        <v/>
      </c>
      <c r="C335" s="59" t="str">
        <f>IFERROR(VLOOKUP(A335,Lookup!A:C,3,0),"")</f>
        <v/>
      </c>
      <c r="D335" s="59"/>
      <c r="E335" s="59"/>
      <c r="F335" s="59"/>
      <c r="G335" s="94"/>
      <c r="H335" s="59"/>
      <c r="I335" s="59"/>
      <c r="J335" s="106">
        <f>VLOOKUP(A335&amp;G335,Lookup!J:N,5,0)</f>
        <v>0</v>
      </c>
      <c r="K335" s="110"/>
      <c r="L335" s="110"/>
      <c r="M335" s="110"/>
      <c r="N335" s="110"/>
      <c r="O335" s="90">
        <f>IFERROR(VLOOKUP(A335&amp;G335,Lookup!J:K,2,0),"")</f>
        <v>0</v>
      </c>
      <c r="P335" s="110" t="str">
        <f t="shared" si="31"/>
        <v/>
      </c>
      <c r="Q335" s="110"/>
      <c r="R335" s="87" t="str">
        <f t="shared" si="32"/>
        <v/>
      </c>
      <c r="S335" s="87" t="str">
        <f t="shared" si="33"/>
        <v/>
      </c>
      <c r="T335" s="59"/>
      <c r="U335" s="59"/>
      <c r="V335" s="59"/>
      <c r="W335" s="59"/>
      <c r="X335" s="93" t="str">
        <f t="shared" si="30"/>
        <v>D</v>
      </c>
    </row>
    <row r="336" spans="1:24" x14ac:dyDescent="0.25">
      <c r="A336" s="53"/>
      <c r="B336" s="91" t="str">
        <f>IFERROR(VLOOKUP(A336,Lookup!A:B,2,0),"")</f>
        <v/>
      </c>
      <c r="C336" s="59" t="str">
        <f>IFERROR(VLOOKUP(A336,Lookup!A:C,3,0),"")</f>
        <v/>
      </c>
      <c r="D336" s="59"/>
      <c r="E336" s="59"/>
      <c r="F336" s="59"/>
      <c r="G336" s="94"/>
      <c r="H336" s="59"/>
      <c r="I336" s="59"/>
      <c r="J336" s="106">
        <f>VLOOKUP(A336&amp;G336,Lookup!J:N,5,0)</f>
        <v>0</v>
      </c>
      <c r="K336" s="110"/>
      <c r="L336" s="110"/>
      <c r="M336" s="110"/>
      <c r="N336" s="110"/>
      <c r="O336" s="90">
        <f>IFERROR(VLOOKUP(A336&amp;G336,Lookup!J:K,2,0),"")</f>
        <v>0</v>
      </c>
      <c r="P336" s="110" t="str">
        <f t="shared" si="31"/>
        <v/>
      </c>
      <c r="Q336" s="110"/>
      <c r="R336" s="87" t="str">
        <f t="shared" si="32"/>
        <v/>
      </c>
      <c r="S336" s="87" t="str">
        <f t="shared" si="33"/>
        <v/>
      </c>
      <c r="T336" s="59"/>
      <c r="U336" s="59"/>
      <c r="V336" s="59"/>
      <c r="W336" s="59"/>
      <c r="X336" s="93" t="str">
        <f t="shared" si="30"/>
        <v>D</v>
      </c>
    </row>
    <row r="337" spans="1:24" x14ac:dyDescent="0.25">
      <c r="A337" s="53"/>
      <c r="B337" s="91" t="str">
        <f>IFERROR(VLOOKUP(A337,Lookup!A:B,2,0),"")</f>
        <v/>
      </c>
      <c r="C337" s="59" t="str">
        <f>IFERROR(VLOOKUP(A337,Lookup!A:C,3,0),"")</f>
        <v/>
      </c>
      <c r="D337" s="59"/>
      <c r="E337" s="59"/>
      <c r="F337" s="59"/>
      <c r="G337" s="94"/>
      <c r="H337" s="59"/>
      <c r="I337" s="59"/>
      <c r="J337" s="106">
        <f>VLOOKUP(A337&amp;G337,Lookup!J:N,5,0)</f>
        <v>0</v>
      </c>
      <c r="K337" s="110"/>
      <c r="L337" s="110"/>
      <c r="M337" s="110"/>
      <c r="N337" s="110"/>
      <c r="O337" s="90">
        <f>IFERROR(VLOOKUP(A337&amp;G337,Lookup!J:K,2,0),"")</f>
        <v>0</v>
      </c>
      <c r="P337" s="110" t="str">
        <f t="shared" si="31"/>
        <v/>
      </c>
      <c r="Q337" s="110"/>
      <c r="R337" s="87" t="str">
        <f t="shared" si="32"/>
        <v/>
      </c>
      <c r="S337" s="87" t="str">
        <f t="shared" si="33"/>
        <v/>
      </c>
      <c r="T337" s="59"/>
      <c r="U337" s="59"/>
      <c r="V337" s="59"/>
      <c r="W337" s="59"/>
      <c r="X337" s="93" t="str">
        <f t="shared" si="30"/>
        <v>D</v>
      </c>
    </row>
    <row r="338" spans="1:24" x14ac:dyDescent="0.25">
      <c r="A338" s="53"/>
      <c r="B338" s="91" t="str">
        <f>IFERROR(VLOOKUP(A338,Lookup!A:B,2,0),"")</f>
        <v/>
      </c>
      <c r="C338" s="59" t="str">
        <f>IFERROR(VLOOKUP(A338,Lookup!A:C,3,0),"")</f>
        <v/>
      </c>
      <c r="D338" s="59"/>
      <c r="E338" s="59"/>
      <c r="F338" s="59"/>
      <c r="G338" s="94"/>
      <c r="H338" s="59"/>
      <c r="I338" s="59"/>
      <c r="J338" s="106">
        <f>VLOOKUP(A338&amp;G338,Lookup!J:N,5,0)</f>
        <v>0</v>
      </c>
      <c r="K338" s="110"/>
      <c r="L338" s="110"/>
      <c r="M338" s="110"/>
      <c r="N338" s="110"/>
      <c r="O338" s="90">
        <f>IFERROR(VLOOKUP(A338&amp;G338,Lookup!J:K,2,0),"")</f>
        <v>0</v>
      </c>
      <c r="P338" s="110" t="str">
        <f t="shared" si="31"/>
        <v/>
      </c>
      <c r="Q338" s="110"/>
      <c r="R338" s="87" t="str">
        <f t="shared" si="32"/>
        <v/>
      </c>
      <c r="S338" s="87" t="str">
        <f t="shared" si="33"/>
        <v/>
      </c>
      <c r="T338" s="59"/>
      <c r="U338" s="59"/>
      <c r="V338" s="59"/>
      <c r="W338" s="59"/>
      <c r="X338" s="93" t="str">
        <f t="shared" si="30"/>
        <v>D</v>
      </c>
    </row>
    <row r="339" spans="1:24" x14ac:dyDescent="0.25">
      <c r="A339" s="53"/>
      <c r="B339" s="91" t="str">
        <f>IFERROR(VLOOKUP(A339,Lookup!A:B,2,0),"")</f>
        <v/>
      </c>
      <c r="C339" s="59" t="str">
        <f>IFERROR(VLOOKUP(A339,Lookup!A:C,3,0),"")</f>
        <v/>
      </c>
      <c r="D339" s="59"/>
      <c r="E339" s="59"/>
      <c r="F339" s="59"/>
      <c r="G339" s="94"/>
      <c r="H339" s="59"/>
      <c r="I339" s="59"/>
      <c r="J339" s="106">
        <f>VLOOKUP(A339&amp;G339,Lookup!J:N,5,0)</f>
        <v>0</v>
      </c>
      <c r="K339" s="110"/>
      <c r="L339" s="110"/>
      <c r="M339" s="110"/>
      <c r="N339" s="110"/>
      <c r="O339" s="90">
        <f>IFERROR(VLOOKUP(A339&amp;G339,Lookup!J:K,2,0),"")</f>
        <v>0</v>
      </c>
      <c r="P339" s="110" t="str">
        <f t="shared" si="31"/>
        <v/>
      </c>
      <c r="Q339" s="110"/>
      <c r="R339" s="87" t="str">
        <f t="shared" si="32"/>
        <v/>
      </c>
      <c r="S339" s="87" t="str">
        <f t="shared" si="33"/>
        <v/>
      </c>
      <c r="T339" s="59"/>
      <c r="U339" s="59"/>
      <c r="V339" s="59"/>
      <c r="W339" s="59"/>
      <c r="X339" s="93" t="str">
        <f t="shared" si="30"/>
        <v>D</v>
      </c>
    </row>
    <row r="340" spans="1:24" x14ac:dyDescent="0.25">
      <c r="A340" s="53"/>
      <c r="B340" s="91" t="str">
        <f>IFERROR(VLOOKUP(A340,Lookup!A:B,2,0),"")</f>
        <v/>
      </c>
      <c r="C340" s="59" t="str">
        <f>IFERROR(VLOOKUP(A340,Lookup!A:C,3,0),"")</f>
        <v/>
      </c>
      <c r="D340" s="59"/>
      <c r="E340" s="59"/>
      <c r="F340" s="59"/>
      <c r="G340" s="94"/>
      <c r="H340" s="59"/>
      <c r="I340" s="59"/>
      <c r="J340" s="106">
        <f>VLOOKUP(A340&amp;G340,Lookup!J:N,5,0)</f>
        <v>0</v>
      </c>
      <c r="K340" s="110"/>
      <c r="L340" s="110"/>
      <c r="M340" s="110"/>
      <c r="N340" s="110"/>
      <c r="O340" s="90">
        <f>IFERROR(VLOOKUP(A340&amp;G340,Lookup!J:K,2,0),"")</f>
        <v>0</v>
      </c>
      <c r="P340" s="110" t="str">
        <f t="shared" si="31"/>
        <v/>
      </c>
      <c r="Q340" s="110"/>
      <c r="R340" s="87" t="str">
        <f t="shared" si="32"/>
        <v/>
      </c>
      <c r="S340" s="87" t="str">
        <f t="shared" si="33"/>
        <v/>
      </c>
      <c r="T340" s="59"/>
      <c r="U340" s="59"/>
      <c r="V340" s="59"/>
      <c r="W340" s="59"/>
      <c r="X340" s="93" t="str">
        <f t="shared" si="30"/>
        <v>D</v>
      </c>
    </row>
    <row r="341" spans="1:24" x14ac:dyDescent="0.25">
      <c r="A341" s="53"/>
      <c r="B341" s="91" t="str">
        <f>IFERROR(VLOOKUP(A341,Lookup!A:B,2,0),"")</f>
        <v/>
      </c>
      <c r="C341" s="59" t="str">
        <f>IFERROR(VLOOKUP(A341,Lookup!A:C,3,0),"")</f>
        <v/>
      </c>
      <c r="D341" s="59"/>
      <c r="E341" s="59"/>
      <c r="F341" s="59"/>
      <c r="G341" s="94"/>
      <c r="H341" s="59"/>
      <c r="I341" s="59"/>
      <c r="J341" s="106">
        <f>VLOOKUP(A341&amp;G341,Lookup!J:N,5,0)</f>
        <v>0</v>
      </c>
      <c r="K341" s="110"/>
      <c r="L341" s="110"/>
      <c r="M341" s="110"/>
      <c r="N341" s="110"/>
      <c r="O341" s="90">
        <f>IFERROR(VLOOKUP(A341&amp;G341,Lookup!J:K,2,0),"")</f>
        <v>0</v>
      </c>
      <c r="P341" s="110" t="str">
        <f t="shared" si="31"/>
        <v/>
      </c>
      <c r="Q341" s="110"/>
      <c r="R341" s="87" t="str">
        <f t="shared" si="32"/>
        <v/>
      </c>
      <c r="S341" s="87" t="str">
        <f t="shared" si="33"/>
        <v/>
      </c>
      <c r="T341" s="59"/>
      <c r="U341" s="59"/>
      <c r="V341" s="59"/>
      <c r="W341" s="59"/>
      <c r="X341" s="93" t="str">
        <f t="shared" si="30"/>
        <v>D</v>
      </c>
    </row>
    <row r="342" spans="1:24" x14ac:dyDescent="0.25">
      <c r="A342" s="53"/>
      <c r="B342" s="91" t="str">
        <f>IFERROR(VLOOKUP(A342,Lookup!A:B,2,0),"")</f>
        <v/>
      </c>
      <c r="C342" s="59" t="str">
        <f>IFERROR(VLOOKUP(A342,Lookup!A:C,3,0),"")</f>
        <v/>
      </c>
      <c r="D342" s="59"/>
      <c r="E342" s="59"/>
      <c r="F342" s="59"/>
      <c r="G342" s="94"/>
      <c r="H342" s="59"/>
      <c r="I342" s="59"/>
      <c r="J342" s="106">
        <f>VLOOKUP(A342&amp;G342,Lookup!J:N,5,0)</f>
        <v>0</v>
      </c>
      <c r="K342" s="110"/>
      <c r="L342" s="110"/>
      <c r="M342" s="110"/>
      <c r="N342" s="110"/>
      <c r="O342" s="90">
        <f>IFERROR(VLOOKUP(A342&amp;G342,Lookup!J:K,2,0),"")</f>
        <v>0</v>
      </c>
      <c r="P342" s="110" t="str">
        <f t="shared" si="31"/>
        <v/>
      </c>
      <c r="Q342" s="110"/>
      <c r="R342" s="87" t="str">
        <f t="shared" si="32"/>
        <v/>
      </c>
      <c r="S342" s="87" t="str">
        <f t="shared" si="33"/>
        <v/>
      </c>
      <c r="T342" s="59"/>
      <c r="U342" s="59"/>
      <c r="V342" s="59"/>
      <c r="W342" s="59"/>
      <c r="X342" s="93" t="str">
        <f t="shared" si="30"/>
        <v>D</v>
      </c>
    </row>
    <row r="343" spans="1:24" x14ac:dyDescent="0.25">
      <c r="A343" s="53"/>
      <c r="B343" s="91" t="str">
        <f>IFERROR(VLOOKUP(A343,Lookup!A:B,2,0),"")</f>
        <v/>
      </c>
      <c r="C343" s="59" t="str">
        <f>IFERROR(VLOOKUP(A343,Lookup!A:C,3,0),"")</f>
        <v/>
      </c>
      <c r="D343" s="59"/>
      <c r="E343" s="59"/>
      <c r="F343" s="59"/>
      <c r="G343" s="94"/>
      <c r="H343" s="59"/>
      <c r="I343" s="59"/>
      <c r="J343" s="106">
        <f>VLOOKUP(A343&amp;G343,Lookup!J:N,5,0)</f>
        <v>0</v>
      </c>
      <c r="K343" s="110"/>
      <c r="L343" s="110"/>
      <c r="M343" s="110"/>
      <c r="N343" s="110"/>
      <c r="O343" s="90">
        <f>IFERROR(VLOOKUP(A343&amp;G343,Lookup!J:K,2,0),"")</f>
        <v>0</v>
      </c>
      <c r="P343" s="110" t="str">
        <f t="shared" si="31"/>
        <v/>
      </c>
      <c r="Q343" s="110"/>
      <c r="R343" s="87" t="str">
        <f t="shared" si="32"/>
        <v/>
      </c>
      <c r="S343" s="87" t="str">
        <f t="shared" si="33"/>
        <v/>
      </c>
      <c r="T343" s="59"/>
      <c r="U343" s="59"/>
      <c r="V343" s="59"/>
      <c r="W343" s="59"/>
      <c r="X343" s="93" t="str">
        <f t="shared" si="30"/>
        <v>D</v>
      </c>
    </row>
    <row r="344" spans="1:24" x14ac:dyDescent="0.25">
      <c r="A344" s="53"/>
      <c r="B344" s="91" t="str">
        <f>IFERROR(VLOOKUP(A344,Lookup!A:B,2,0),"")</f>
        <v/>
      </c>
      <c r="C344" s="59" t="str">
        <f>IFERROR(VLOOKUP(A344,Lookup!A:C,3,0),"")</f>
        <v/>
      </c>
      <c r="D344" s="59"/>
      <c r="E344" s="59"/>
      <c r="F344" s="59"/>
      <c r="G344" s="94"/>
      <c r="H344" s="59"/>
      <c r="I344" s="59"/>
      <c r="J344" s="106">
        <f>VLOOKUP(A344&amp;G344,Lookup!J:N,5,0)</f>
        <v>0</v>
      </c>
      <c r="K344" s="110"/>
      <c r="L344" s="110"/>
      <c r="M344" s="110"/>
      <c r="N344" s="110"/>
      <c r="O344" s="90">
        <f>IFERROR(VLOOKUP(A344&amp;G344,Lookup!J:K,2,0),"")</f>
        <v>0</v>
      </c>
      <c r="P344" s="110" t="str">
        <f t="shared" si="31"/>
        <v/>
      </c>
      <c r="Q344" s="110"/>
      <c r="R344" s="87" t="str">
        <f t="shared" si="32"/>
        <v/>
      </c>
      <c r="S344" s="87" t="str">
        <f t="shared" si="33"/>
        <v/>
      </c>
      <c r="T344" s="59"/>
      <c r="U344" s="59"/>
      <c r="V344" s="59"/>
      <c r="W344" s="59"/>
      <c r="X344" s="93" t="str">
        <f t="shared" si="30"/>
        <v>D</v>
      </c>
    </row>
    <row r="345" spans="1:24" x14ac:dyDescent="0.25">
      <c r="A345" s="53"/>
      <c r="B345" s="91" t="str">
        <f>IFERROR(VLOOKUP(A345,Lookup!A:B,2,0),"")</f>
        <v/>
      </c>
      <c r="C345" s="59" t="str">
        <f>IFERROR(VLOOKUP(A345,Lookup!A:C,3,0),"")</f>
        <v/>
      </c>
      <c r="D345" s="59"/>
      <c r="E345" s="59"/>
      <c r="F345" s="59"/>
      <c r="G345" s="94"/>
      <c r="H345" s="59"/>
      <c r="I345" s="59"/>
      <c r="J345" s="106">
        <f>VLOOKUP(A345&amp;G345,Lookup!J:N,5,0)</f>
        <v>0</v>
      </c>
      <c r="K345" s="110"/>
      <c r="L345" s="110"/>
      <c r="M345" s="110"/>
      <c r="N345" s="110"/>
      <c r="O345" s="90">
        <f>IFERROR(VLOOKUP(A345&amp;G345,Lookup!J:K,2,0),"")</f>
        <v>0</v>
      </c>
      <c r="P345" s="110" t="str">
        <f t="shared" si="31"/>
        <v/>
      </c>
      <c r="Q345" s="110"/>
      <c r="R345" s="87" t="str">
        <f t="shared" si="32"/>
        <v/>
      </c>
      <c r="S345" s="87" t="str">
        <f t="shared" si="33"/>
        <v/>
      </c>
      <c r="T345" s="59"/>
      <c r="U345" s="59"/>
      <c r="V345" s="59"/>
      <c r="W345" s="59"/>
      <c r="X345" s="93" t="str">
        <f t="shared" si="30"/>
        <v>D</v>
      </c>
    </row>
    <row r="346" spans="1:24" x14ac:dyDescent="0.25">
      <c r="A346" s="53"/>
      <c r="B346" s="91" t="str">
        <f>IFERROR(VLOOKUP(A346,Lookup!A:B,2,0),"")</f>
        <v/>
      </c>
      <c r="C346" s="59" t="str">
        <f>IFERROR(VLOOKUP(A346,Lookup!A:C,3,0),"")</f>
        <v/>
      </c>
      <c r="D346" s="59"/>
      <c r="E346" s="59"/>
      <c r="F346" s="59"/>
      <c r="G346" s="94"/>
      <c r="H346" s="59"/>
      <c r="I346" s="59"/>
      <c r="J346" s="106">
        <f>VLOOKUP(A346&amp;G346,Lookup!J:N,5,0)</f>
        <v>0</v>
      </c>
      <c r="K346" s="110"/>
      <c r="L346" s="110"/>
      <c r="M346" s="110"/>
      <c r="N346" s="110"/>
      <c r="O346" s="90">
        <f>IFERROR(VLOOKUP(A346&amp;G346,Lookup!J:K,2,0),"")</f>
        <v>0</v>
      </c>
      <c r="P346" s="110" t="str">
        <f t="shared" si="31"/>
        <v/>
      </c>
      <c r="Q346" s="110"/>
      <c r="R346" s="87" t="str">
        <f t="shared" si="32"/>
        <v/>
      </c>
      <c r="S346" s="87" t="str">
        <f t="shared" si="33"/>
        <v/>
      </c>
      <c r="T346" s="59"/>
      <c r="U346" s="59"/>
      <c r="V346" s="59"/>
      <c r="W346" s="59"/>
      <c r="X346" s="93" t="str">
        <f t="shared" si="30"/>
        <v>D</v>
      </c>
    </row>
    <row r="347" spans="1:24" x14ac:dyDescent="0.25">
      <c r="A347" s="53"/>
      <c r="B347" s="91" t="str">
        <f>IFERROR(VLOOKUP(A347,Lookup!A:B,2,0),"")</f>
        <v/>
      </c>
      <c r="C347" s="59" t="str">
        <f>IFERROR(VLOOKUP(A347,Lookup!A:C,3,0),"")</f>
        <v/>
      </c>
      <c r="D347" s="59"/>
      <c r="E347" s="59"/>
      <c r="F347" s="59"/>
      <c r="G347" s="94"/>
      <c r="H347" s="59"/>
      <c r="I347" s="59"/>
      <c r="J347" s="106">
        <f>VLOOKUP(A347&amp;G347,Lookup!J:N,5,0)</f>
        <v>0</v>
      </c>
      <c r="K347" s="110"/>
      <c r="L347" s="110"/>
      <c r="M347" s="110"/>
      <c r="N347" s="110"/>
      <c r="O347" s="90">
        <f>IFERROR(VLOOKUP(A347&amp;G347,Lookup!J:K,2,0),"")</f>
        <v>0</v>
      </c>
      <c r="P347" s="110" t="str">
        <f t="shared" si="31"/>
        <v/>
      </c>
      <c r="Q347" s="110"/>
      <c r="R347" s="87" t="str">
        <f t="shared" si="32"/>
        <v/>
      </c>
      <c r="S347" s="87" t="str">
        <f t="shared" si="33"/>
        <v/>
      </c>
      <c r="T347" s="59"/>
      <c r="U347" s="59"/>
      <c r="V347" s="59"/>
      <c r="W347" s="59"/>
      <c r="X347" s="93" t="str">
        <f t="shared" si="30"/>
        <v>D</v>
      </c>
    </row>
    <row r="348" spans="1:24" x14ac:dyDescent="0.25">
      <c r="A348" s="53"/>
      <c r="B348" s="91" t="str">
        <f>IFERROR(VLOOKUP(A348,Lookup!A:B,2,0),"")</f>
        <v/>
      </c>
      <c r="C348" s="59" t="str">
        <f>IFERROR(VLOOKUP(A348,Lookup!A:C,3,0),"")</f>
        <v/>
      </c>
      <c r="D348" s="59"/>
      <c r="E348" s="59"/>
      <c r="F348" s="59"/>
      <c r="G348" s="94"/>
      <c r="H348" s="59"/>
      <c r="I348" s="59"/>
      <c r="J348" s="106">
        <f>VLOOKUP(A348&amp;G348,Lookup!J:N,5,0)</f>
        <v>0</v>
      </c>
      <c r="K348" s="110"/>
      <c r="L348" s="110"/>
      <c r="M348" s="110"/>
      <c r="N348" s="110"/>
      <c r="O348" s="90">
        <f>IFERROR(VLOOKUP(A348&amp;G348,Lookup!J:K,2,0),"")</f>
        <v>0</v>
      </c>
      <c r="P348" s="110" t="str">
        <f t="shared" si="31"/>
        <v/>
      </c>
      <c r="Q348" s="110"/>
      <c r="R348" s="87" t="str">
        <f t="shared" si="32"/>
        <v/>
      </c>
      <c r="S348" s="87" t="str">
        <f t="shared" si="33"/>
        <v/>
      </c>
      <c r="T348" s="59"/>
      <c r="U348" s="59"/>
      <c r="V348" s="59"/>
      <c r="W348" s="59"/>
      <c r="X348" s="93" t="str">
        <f t="shared" si="30"/>
        <v>D</v>
      </c>
    </row>
    <row r="349" spans="1:24" x14ac:dyDescent="0.25">
      <c r="A349" s="53"/>
      <c r="B349" s="91" t="str">
        <f>IFERROR(VLOOKUP(A349,Lookup!A:B,2,0),"")</f>
        <v/>
      </c>
      <c r="C349" s="59" t="str">
        <f>IFERROR(VLOOKUP(A349,Lookup!A:C,3,0),"")</f>
        <v/>
      </c>
      <c r="D349" s="59"/>
      <c r="E349" s="59"/>
      <c r="F349" s="59"/>
      <c r="G349" s="94"/>
      <c r="H349" s="59"/>
      <c r="I349" s="59"/>
      <c r="J349" s="106">
        <f>VLOOKUP(A349&amp;G349,Lookup!J:N,5,0)</f>
        <v>0</v>
      </c>
      <c r="K349" s="110"/>
      <c r="L349" s="110"/>
      <c r="M349" s="110"/>
      <c r="N349" s="110"/>
      <c r="O349" s="90">
        <f>IFERROR(VLOOKUP(A349&amp;G349,Lookup!J:K,2,0),"")</f>
        <v>0</v>
      </c>
      <c r="P349" s="110" t="str">
        <f t="shared" si="31"/>
        <v/>
      </c>
      <c r="Q349" s="110"/>
      <c r="R349" s="87" t="str">
        <f t="shared" si="32"/>
        <v/>
      </c>
      <c r="S349" s="87" t="str">
        <f t="shared" si="33"/>
        <v/>
      </c>
      <c r="T349" s="59"/>
      <c r="U349" s="59"/>
      <c r="V349" s="59"/>
      <c r="W349" s="59"/>
      <c r="X349" s="93" t="str">
        <f t="shared" si="30"/>
        <v>D</v>
      </c>
    </row>
    <row r="350" spans="1:24" x14ac:dyDescent="0.25">
      <c r="A350" s="53"/>
      <c r="B350" s="91" t="str">
        <f>IFERROR(VLOOKUP(A350,Lookup!A:B,2,0),"")</f>
        <v/>
      </c>
      <c r="C350" s="59" t="str">
        <f>IFERROR(VLOOKUP(A350,Lookup!A:C,3,0),"")</f>
        <v/>
      </c>
      <c r="D350" s="59"/>
      <c r="E350" s="59"/>
      <c r="F350" s="59"/>
      <c r="G350" s="94"/>
      <c r="H350" s="59"/>
      <c r="I350" s="59"/>
      <c r="J350" s="106">
        <f>VLOOKUP(A350&amp;G350,Lookup!J:N,5,0)</f>
        <v>0</v>
      </c>
      <c r="K350" s="110"/>
      <c r="L350" s="110"/>
      <c r="M350" s="110"/>
      <c r="N350" s="110"/>
      <c r="O350" s="90">
        <f>IFERROR(VLOOKUP(A350&amp;G350,Lookup!J:K,2,0),"")</f>
        <v>0</v>
      </c>
      <c r="P350" s="110" t="str">
        <f t="shared" si="31"/>
        <v/>
      </c>
      <c r="Q350" s="110"/>
      <c r="R350" s="87" t="str">
        <f t="shared" si="32"/>
        <v/>
      </c>
      <c r="S350" s="87" t="str">
        <f t="shared" si="33"/>
        <v/>
      </c>
      <c r="T350" s="59"/>
      <c r="U350" s="59"/>
      <c r="V350" s="59"/>
      <c r="W350" s="59"/>
      <c r="X350" s="93" t="str">
        <f t="shared" si="30"/>
        <v>D</v>
      </c>
    </row>
    <row r="351" spans="1:24" x14ac:dyDescent="0.25">
      <c r="A351" s="53"/>
      <c r="B351" s="91" t="str">
        <f>IFERROR(VLOOKUP(A351,Lookup!A:B,2,0),"")</f>
        <v/>
      </c>
      <c r="C351" s="59" t="str">
        <f>IFERROR(VLOOKUP(A351,Lookup!A:C,3,0),"")</f>
        <v/>
      </c>
      <c r="D351" s="59"/>
      <c r="E351" s="59"/>
      <c r="F351" s="59"/>
      <c r="G351" s="94"/>
      <c r="H351" s="59"/>
      <c r="I351" s="59"/>
      <c r="J351" s="106">
        <f>VLOOKUP(A351&amp;G351,Lookup!J:N,5,0)</f>
        <v>0</v>
      </c>
      <c r="K351" s="110"/>
      <c r="L351" s="110"/>
      <c r="M351" s="110"/>
      <c r="N351" s="110"/>
      <c r="O351" s="90">
        <f>IFERROR(VLOOKUP(A351&amp;G351,Lookup!J:K,2,0),"")</f>
        <v>0</v>
      </c>
      <c r="P351" s="110" t="str">
        <f t="shared" si="31"/>
        <v/>
      </c>
      <c r="Q351" s="110"/>
      <c r="R351" s="87" t="str">
        <f t="shared" si="32"/>
        <v/>
      </c>
      <c r="S351" s="87" t="str">
        <f t="shared" si="33"/>
        <v/>
      </c>
      <c r="T351" s="59"/>
      <c r="U351" s="59"/>
      <c r="V351" s="59"/>
      <c r="W351" s="59"/>
      <c r="X351" s="93" t="str">
        <f t="shared" si="30"/>
        <v>D</v>
      </c>
    </row>
    <row r="352" spans="1:24" x14ac:dyDescent="0.25">
      <c r="A352" s="53"/>
      <c r="B352" s="91" t="str">
        <f>IFERROR(VLOOKUP(A352,Lookup!A:B,2,0),"")</f>
        <v/>
      </c>
      <c r="C352" s="59" t="str">
        <f>IFERROR(VLOOKUP(A352,Lookup!A:C,3,0),"")</f>
        <v/>
      </c>
      <c r="D352" s="59"/>
      <c r="E352" s="59"/>
      <c r="F352" s="59"/>
      <c r="G352" s="94"/>
      <c r="H352" s="59"/>
      <c r="I352" s="59"/>
      <c r="J352" s="106">
        <f>VLOOKUP(A352&amp;G352,Lookup!J:N,5,0)</f>
        <v>0</v>
      </c>
      <c r="K352" s="110"/>
      <c r="L352" s="110"/>
      <c r="M352" s="110"/>
      <c r="N352" s="110"/>
      <c r="O352" s="90">
        <f>IFERROR(VLOOKUP(A352&amp;G352,Lookup!J:K,2,0),"")</f>
        <v>0</v>
      </c>
      <c r="P352" s="110" t="str">
        <f t="shared" si="31"/>
        <v/>
      </c>
      <c r="Q352" s="110"/>
      <c r="R352" s="87" t="str">
        <f t="shared" si="32"/>
        <v/>
      </c>
      <c r="S352" s="87" t="str">
        <f t="shared" si="33"/>
        <v/>
      </c>
      <c r="T352" s="59"/>
      <c r="U352" s="59"/>
      <c r="V352" s="59"/>
      <c r="W352" s="59"/>
      <c r="X352" s="93" t="str">
        <f t="shared" si="30"/>
        <v>D</v>
      </c>
    </row>
    <row r="353" spans="1:24" x14ac:dyDescent="0.25">
      <c r="A353" s="53"/>
      <c r="B353" s="91" t="str">
        <f>IFERROR(VLOOKUP(A353,Lookup!A:B,2,0),"")</f>
        <v/>
      </c>
      <c r="C353" s="59" t="str">
        <f>IFERROR(VLOOKUP(A353,Lookup!A:C,3,0),"")</f>
        <v/>
      </c>
      <c r="D353" s="59"/>
      <c r="E353" s="59"/>
      <c r="F353" s="59"/>
      <c r="G353" s="94"/>
      <c r="H353" s="59"/>
      <c r="I353" s="59"/>
      <c r="J353" s="106">
        <f>VLOOKUP(A353&amp;G353,Lookup!J:N,5,0)</f>
        <v>0</v>
      </c>
      <c r="K353" s="110"/>
      <c r="L353" s="110"/>
      <c r="M353" s="110"/>
      <c r="N353" s="110"/>
      <c r="O353" s="90">
        <f>IFERROR(VLOOKUP(A353&amp;G353,Lookup!J:K,2,0),"")</f>
        <v>0</v>
      </c>
      <c r="P353" s="110" t="str">
        <f t="shared" si="31"/>
        <v/>
      </c>
      <c r="Q353" s="110"/>
      <c r="R353" s="87" t="str">
        <f t="shared" si="32"/>
        <v/>
      </c>
      <c r="S353" s="87" t="str">
        <f t="shared" si="33"/>
        <v/>
      </c>
      <c r="T353" s="59"/>
      <c r="U353" s="59"/>
      <c r="V353" s="59"/>
      <c r="W353" s="59"/>
      <c r="X353" s="93" t="str">
        <f t="shared" si="30"/>
        <v>D</v>
      </c>
    </row>
    <row r="354" spans="1:24" x14ac:dyDescent="0.25">
      <c r="A354" s="53"/>
      <c r="B354" s="91" t="str">
        <f>IFERROR(VLOOKUP(A354,Lookup!A:B,2,0),"")</f>
        <v/>
      </c>
      <c r="C354" s="59" t="str">
        <f>IFERROR(VLOOKUP(A354,Lookup!A:C,3,0),"")</f>
        <v/>
      </c>
      <c r="D354" s="59"/>
      <c r="E354" s="59"/>
      <c r="F354" s="59"/>
      <c r="G354" s="94"/>
      <c r="H354" s="59"/>
      <c r="I354" s="59"/>
      <c r="J354" s="106">
        <f>VLOOKUP(A354&amp;G354,Lookup!J:N,5,0)</f>
        <v>0</v>
      </c>
      <c r="K354" s="110"/>
      <c r="L354" s="110"/>
      <c r="M354" s="110"/>
      <c r="N354" s="110"/>
      <c r="O354" s="90">
        <f>IFERROR(VLOOKUP(A354&amp;G354,Lookup!J:K,2,0),"")</f>
        <v>0</v>
      </c>
      <c r="P354" s="110" t="str">
        <f t="shared" si="31"/>
        <v/>
      </c>
      <c r="Q354" s="110"/>
      <c r="R354" s="87" t="str">
        <f t="shared" si="32"/>
        <v/>
      </c>
      <c r="S354" s="87" t="str">
        <f t="shared" si="33"/>
        <v/>
      </c>
      <c r="T354" s="59"/>
      <c r="U354" s="59"/>
      <c r="V354" s="59"/>
      <c r="W354" s="59"/>
      <c r="X354" s="93" t="str">
        <f t="shared" si="30"/>
        <v>D</v>
      </c>
    </row>
    <row r="355" spans="1:24" x14ac:dyDescent="0.25">
      <c r="A355" s="53"/>
      <c r="B355" s="91" t="str">
        <f>IFERROR(VLOOKUP(A355,Lookup!A:B,2,0),"")</f>
        <v/>
      </c>
      <c r="C355" s="59" t="str">
        <f>IFERROR(VLOOKUP(A355,Lookup!A:C,3,0),"")</f>
        <v/>
      </c>
      <c r="D355" s="59"/>
      <c r="E355" s="59"/>
      <c r="F355" s="59"/>
      <c r="G355" s="94"/>
      <c r="H355" s="59"/>
      <c r="I355" s="59"/>
      <c r="J355" s="106">
        <f>VLOOKUP(A355&amp;G355,Lookup!J:N,5,0)</f>
        <v>0</v>
      </c>
      <c r="K355" s="110"/>
      <c r="L355" s="110"/>
      <c r="M355" s="110"/>
      <c r="N355" s="110"/>
      <c r="O355" s="90">
        <f>IFERROR(VLOOKUP(A355&amp;G355,Lookup!J:K,2,0),"")</f>
        <v>0</v>
      </c>
      <c r="P355" s="110" t="str">
        <f t="shared" si="31"/>
        <v/>
      </c>
      <c r="Q355" s="110"/>
      <c r="R355" s="87" t="str">
        <f t="shared" si="32"/>
        <v/>
      </c>
      <c r="S355" s="87" t="str">
        <f t="shared" si="33"/>
        <v/>
      </c>
      <c r="T355" s="59"/>
      <c r="U355" s="59"/>
      <c r="V355" s="59"/>
      <c r="W355" s="59"/>
      <c r="X355" s="93" t="str">
        <f t="shared" si="30"/>
        <v>D</v>
      </c>
    </row>
    <row r="356" spans="1:24" x14ac:dyDescent="0.25">
      <c r="A356" s="53"/>
      <c r="B356" s="91" t="str">
        <f>IFERROR(VLOOKUP(A356,Lookup!A:B,2,0),"")</f>
        <v/>
      </c>
      <c r="C356" s="59" t="str">
        <f>IFERROR(VLOOKUP(A356,Lookup!A:C,3,0),"")</f>
        <v/>
      </c>
      <c r="D356" s="59"/>
      <c r="E356" s="59"/>
      <c r="F356" s="59"/>
      <c r="G356" s="94"/>
      <c r="H356" s="59"/>
      <c r="I356" s="59"/>
      <c r="J356" s="106">
        <f>VLOOKUP(A356&amp;G356,Lookup!J:N,5,0)</f>
        <v>0</v>
      </c>
      <c r="K356" s="110"/>
      <c r="L356" s="110"/>
      <c r="M356" s="110"/>
      <c r="N356" s="110"/>
      <c r="O356" s="90">
        <f>IFERROR(VLOOKUP(A356&amp;G356,Lookup!J:K,2,0),"")</f>
        <v>0</v>
      </c>
      <c r="P356" s="110" t="str">
        <f t="shared" si="31"/>
        <v/>
      </c>
      <c r="Q356" s="110"/>
      <c r="R356" s="87" t="str">
        <f t="shared" si="32"/>
        <v/>
      </c>
      <c r="S356" s="87" t="str">
        <f t="shared" si="33"/>
        <v/>
      </c>
      <c r="T356" s="59"/>
      <c r="U356" s="59"/>
      <c r="V356" s="59"/>
      <c r="W356" s="59"/>
      <c r="X356" s="93" t="str">
        <f t="shared" si="30"/>
        <v>D</v>
      </c>
    </row>
    <row r="357" spans="1:24" x14ac:dyDescent="0.25">
      <c r="A357" s="53"/>
      <c r="B357" s="91" t="str">
        <f>IFERROR(VLOOKUP(A357,Lookup!A:B,2,0),"")</f>
        <v/>
      </c>
      <c r="C357" s="59" t="str">
        <f>IFERROR(VLOOKUP(A357,Lookup!A:C,3,0),"")</f>
        <v/>
      </c>
      <c r="D357" s="59"/>
      <c r="E357" s="59"/>
      <c r="F357" s="59"/>
      <c r="G357" s="94"/>
      <c r="H357" s="59"/>
      <c r="I357" s="59"/>
      <c r="J357" s="106">
        <f>VLOOKUP(A357&amp;G357,Lookup!J:N,5,0)</f>
        <v>0</v>
      </c>
      <c r="K357" s="110"/>
      <c r="L357" s="110"/>
      <c r="M357" s="110"/>
      <c r="N357" s="110"/>
      <c r="O357" s="90">
        <f>IFERROR(VLOOKUP(A357&amp;G357,Lookup!J:K,2,0),"")</f>
        <v>0</v>
      </c>
      <c r="P357" s="110" t="str">
        <f t="shared" si="31"/>
        <v/>
      </c>
      <c r="Q357" s="110"/>
      <c r="R357" s="87" t="str">
        <f t="shared" si="32"/>
        <v/>
      </c>
      <c r="S357" s="87" t="str">
        <f t="shared" si="33"/>
        <v/>
      </c>
      <c r="T357" s="59"/>
      <c r="U357" s="59"/>
      <c r="V357" s="59"/>
      <c r="W357" s="59"/>
      <c r="X357" s="93" t="str">
        <f t="shared" si="30"/>
        <v>D</v>
      </c>
    </row>
    <row r="358" spans="1:24" x14ac:dyDescent="0.25">
      <c r="A358" s="53"/>
      <c r="B358" s="91" t="str">
        <f>IFERROR(VLOOKUP(A358,Lookup!A:B,2,0),"")</f>
        <v/>
      </c>
      <c r="C358" s="59" t="str">
        <f>IFERROR(VLOOKUP(A358,Lookup!A:C,3,0),"")</f>
        <v/>
      </c>
      <c r="D358" s="59"/>
      <c r="E358" s="59"/>
      <c r="F358" s="59"/>
      <c r="G358" s="94"/>
      <c r="H358" s="59"/>
      <c r="I358" s="59"/>
      <c r="J358" s="106">
        <f>VLOOKUP(A358&amp;G358,Lookup!J:N,5,0)</f>
        <v>0</v>
      </c>
      <c r="K358" s="110"/>
      <c r="L358" s="110"/>
      <c r="M358" s="110"/>
      <c r="N358" s="110"/>
      <c r="O358" s="90">
        <f>IFERROR(VLOOKUP(A358&amp;G358,Lookup!J:K,2,0),"")</f>
        <v>0</v>
      </c>
      <c r="P358" s="110" t="str">
        <f t="shared" si="31"/>
        <v/>
      </c>
      <c r="Q358" s="110"/>
      <c r="R358" s="87" t="str">
        <f t="shared" si="32"/>
        <v/>
      </c>
      <c r="S358" s="87" t="str">
        <f t="shared" si="33"/>
        <v/>
      </c>
      <c r="T358" s="59"/>
      <c r="U358" s="59"/>
      <c r="V358" s="59"/>
      <c r="W358" s="59"/>
      <c r="X358" s="93" t="str">
        <f t="shared" si="30"/>
        <v>D</v>
      </c>
    </row>
    <row r="359" spans="1:24" x14ac:dyDescent="0.25">
      <c r="A359" s="53"/>
      <c r="B359" s="91" t="str">
        <f>IFERROR(VLOOKUP(A359,Lookup!A:B,2,0),"")</f>
        <v/>
      </c>
      <c r="C359" s="59" t="str">
        <f>IFERROR(VLOOKUP(A359,Lookup!A:C,3,0),"")</f>
        <v/>
      </c>
      <c r="D359" s="59"/>
      <c r="E359" s="59"/>
      <c r="F359" s="59"/>
      <c r="G359" s="94"/>
      <c r="H359" s="59"/>
      <c r="I359" s="59"/>
      <c r="J359" s="106">
        <f>VLOOKUP(A359&amp;G359,Lookup!J:N,5,0)</f>
        <v>0</v>
      </c>
      <c r="K359" s="110"/>
      <c r="L359" s="110"/>
      <c r="M359" s="110"/>
      <c r="N359" s="110"/>
      <c r="O359" s="90">
        <f>IFERROR(VLOOKUP(A359&amp;G359,Lookup!J:K,2,0),"")</f>
        <v>0</v>
      </c>
      <c r="P359" s="110" t="str">
        <f t="shared" si="31"/>
        <v/>
      </c>
      <c r="Q359" s="110"/>
      <c r="R359" s="87" t="str">
        <f t="shared" si="32"/>
        <v/>
      </c>
      <c r="S359" s="87" t="str">
        <f t="shared" si="33"/>
        <v/>
      </c>
      <c r="T359" s="59"/>
      <c r="U359" s="59"/>
      <c r="V359" s="59"/>
      <c r="W359" s="59"/>
      <c r="X359" s="93" t="str">
        <f t="shared" si="30"/>
        <v>D</v>
      </c>
    </row>
    <row r="360" spans="1:24" x14ac:dyDescent="0.25">
      <c r="A360" s="53"/>
      <c r="B360" s="91" t="str">
        <f>IFERROR(VLOOKUP(A360,Lookup!A:B,2,0),"")</f>
        <v/>
      </c>
      <c r="C360" s="59" t="str">
        <f>IFERROR(VLOOKUP(A360,Lookup!A:C,3,0),"")</f>
        <v/>
      </c>
      <c r="D360" s="59"/>
      <c r="E360" s="59"/>
      <c r="F360" s="59"/>
      <c r="G360" s="94"/>
      <c r="H360" s="59"/>
      <c r="I360" s="59"/>
      <c r="J360" s="106">
        <f>VLOOKUP(A360&amp;G360,Lookup!J:N,5,0)</f>
        <v>0</v>
      </c>
      <c r="K360" s="110"/>
      <c r="L360" s="110"/>
      <c r="M360" s="110"/>
      <c r="N360" s="110"/>
      <c r="O360" s="90">
        <f>IFERROR(VLOOKUP(A360&amp;G360,Lookup!J:K,2,0),"")</f>
        <v>0</v>
      </c>
      <c r="P360" s="110" t="str">
        <f t="shared" si="31"/>
        <v/>
      </c>
      <c r="Q360" s="110"/>
      <c r="R360" s="87" t="str">
        <f t="shared" si="32"/>
        <v/>
      </c>
      <c r="S360" s="87" t="str">
        <f t="shared" si="33"/>
        <v/>
      </c>
      <c r="T360" s="59"/>
      <c r="U360" s="59"/>
      <c r="V360" s="59"/>
      <c r="W360" s="59"/>
      <c r="X360" s="93" t="str">
        <f t="shared" si="30"/>
        <v>D</v>
      </c>
    </row>
    <row r="361" spans="1:24" x14ac:dyDescent="0.25">
      <c r="A361" s="53"/>
      <c r="B361" s="91" t="str">
        <f>IFERROR(VLOOKUP(A361,Lookup!A:B,2,0),"")</f>
        <v/>
      </c>
      <c r="C361" s="59" t="str">
        <f>IFERROR(VLOOKUP(A361,Lookup!A:C,3,0),"")</f>
        <v/>
      </c>
      <c r="D361" s="59"/>
      <c r="E361" s="59"/>
      <c r="F361" s="59"/>
      <c r="G361" s="94"/>
      <c r="H361" s="59"/>
      <c r="I361" s="59"/>
      <c r="J361" s="106">
        <f>VLOOKUP(A361&amp;G361,Lookup!J:N,5,0)</f>
        <v>0</v>
      </c>
      <c r="K361" s="110"/>
      <c r="L361" s="110"/>
      <c r="M361" s="110"/>
      <c r="N361" s="110"/>
      <c r="O361" s="90">
        <f>IFERROR(VLOOKUP(A361&amp;G361,Lookup!J:K,2,0),"")</f>
        <v>0</v>
      </c>
      <c r="P361" s="110" t="str">
        <f t="shared" si="31"/>
        <v/>
      </c>
      <c r="Q361" s="110"/>
      <c r="R361" s="87" t="str">
        <f t="shared" si="32"/>
        <v/>
      </c>
      <c r="S361" s="87" t="str">
        <f t="shared" si="33"/>
        <v/>
      </c>
      <c r="T361" s="59"/>
      <c r="U361" s="59"/>
      <c r="V361" s="59"/>
      <c r="W361" s="59"/>
      <c r="X361" s="93" t="str">
        <f t="shared" si="30"/>
        <v>D</v>
      </c>
    </row>
    <row r="362" spans="1:24" x14ac:dyDescent="0.25">
      <c r="A362" s="53"/>
      <c r="B362" s="91" t="str">
        <f>IFERROR(VLOOKUP(A362,Lookup!A:B,2,0),"")</f>
        <v/>
      </c>
      <c r="C362" s="59" t="str">
        <f>IFERROR(VLOOKUP(A362,Lookup!A:C,3,0),"")</f>
        <v/>
      </c>
      <c r="D362" s="59"/>
      <c r="E362" s="59"/>
      <c r="F362" s="59"/>
      <c r="G362" s="94"/>
      <c r="H362" s="59"/>
      <c r="I362" s="59"/>
      <c r="J362" s="106">
        <f>VLOOKUP(A362&amp;G362,Lookup!J:N,5,0)</f>
        <v>0</v>
      </c>
      <c r="K362" s="110"/>
      <c r="L362" s="110"/>
      <c r="M362" s="110"/>
      <c r="N362" s="110"/>
      <c r="O362" s="90">
        <f>IFERROR(VLOOKUP(A362&amp;G362,Lookup!J:K,2,0),"")</f>
        <v>0</v>
      </c>
      <c r="P362" s="110" t="str">
        <f t="shared" si="31"/>
        <v/>
      </c>
      <c r="Q362" s="110"/>
      <c r="R362" s="87" t="str">
        <f t="shared" si="32"/>
        <v/>
      </c>
      <c r="S362" s="87" t="str">
        <f t="shared" si="33"/>
        <v/>
      </c>
      <c r="T362" s="59"/>
      <c r="U362" s="59"/>
      <c r="V362" s="59"/>
      <c r="W362" s="59"/>
      <c r="X362" s="93" t="str">
        <f t="shared" si="30"/>
        <v>D</v>
      </c>
    </row>
    <row r="363" spans="1:24" x14ac:dyDescent="0.25">
      <c r="A363" s="53"/>
      <c r="B363" s="91" t="str">
        <f>IFERROR(VLOOKUP(A363,Lookup!A:B,2,0),"")</f>
        <v/>
      </c>
      <c r="C363" s="59" t="str">
        <f>IFERROR(VLOOKUP(A363,Lookup!A:C,3,0),"")</f>
        <v/>
      </c>
      <c r="D363" s="59"/>
      <c r="E363" s="59"/>
      <c r="F363" s="59"/>
      <c r="G363" s="94"/>
      <c r="H363" s="59"/>
      <c r="I363" s="59"/>
      <c r="J363" s="106">
        <f>VLOOKUP(A363&amp;G363,Lookup!J:N,5,0)</f>
        <v>0</v>
      </c>
      <c r="K363" s="110"/>
      <c r="L363" s="110"/>
      <c r="M363" s="110"/>
      <c r="N363" s="110"/>
      <c r="O363" s="90">
        <f>IFERROR(VLOOKUP(A363&amp;G363,Lookup!J:K,2,0),"")</f>
        <v>0</v>
      </c>
      <c r="P363" s="110" t="str">
        <f t="shared" si="31"/>
        <v/>
      </c>
      <c r="Q363" s="110"/>
      <c r="R363" s="87" t="str">
        <f t="shared" si="32"/>
        <v/>
      </c>
      <c r="S363" s="87" t="str">
        <f t="shared" si="33"/>
        <v/>
      </c>
      <c r="T363" s="59"/>
      <c r="U363" s="59"/>
      <c r="V363" s="59"/>
      <c r="W363" s="59"/>
      <c r="X363" s="93" t="str">
        <f t="shared" si="30"/>
        <v>D</v>
      </c>
    </row>
    <row r="364" spans="1:24" x14ac:dyDescent="0.25">
      <c r="B364" s="91" t="str">
        <f>IFERROR(VLOOKUP(A364,Lookup!A:B,2,0),"")</f>
        <v/>
      </c>
      <c r="C364" s="59" t="str">
        <f>IFERROR(VLOOKUP(A364,Lookup!A:C,3,0),"")</f>
        <v/>
      </c>
      <c r="D364" s="54"/>
      <c r="E364" s="54"/>
      <c r="F364" s="54"/>
      <c r="G364" s="72"/>
      <c r="H364" s="54"/>
      <c r="I364" s="54"/>
      <c r="J364" s="106">
        <f>VLOOKUP(A364&amp;G364,Lookup!J:N,5,0)</f>
        <v>0</v>
      </c>
      <c r="K364" s="115"/>
      <c r="L364" s="115"/>
      <c r="M364" s="115"/>
      <c r="N364" s="115"/>
      <c r="O364" s="90">
        <f>IFERROR(VLOOKUP(A364&amp;G364,Lookup!J:K,2,0),"")</f>
        <v>0</v>
      </c>
      <c r="P364" s="110" t="str">
        <f t="shared" si="31"/>
        <v/>
      </c>
      <c r="Q364" s="115"/>
      <c r="R364" s="87" t="str">
        <f t="shared" si="32"/>
        <v/>
      </c>
      <c r="S364" s="87" t="str">
        <f t="shared" si="33"/>
        <v/>
      </c>
      <c r="T364" s="54"/>
      <c r="U364" s="54"/>
      <c r="V364" s="54"/>
      <c r="W364" s="54"/>
      <c r="X364" s="69" t="str">
        <f t="shared" si="30"/>
        <v>D</v>
      </c>
    </row>
    <row r="365" spans="1:24" x14ac:dyDescent="0.25">
      <c r="B365" s="91" t="str">
        <f>IFERROR(VLOOKUP(A365,Lookup!A:B,2,0),"")</f>
        <v/>
      </c>
      <c r="C365" s="59" t="str">
        <f>IFERROR(VLOOKUP(A365,Lookup!A:C,3,0),"")</f>
        <v/>
      </c>
      <c r="D365" s="54"/>
      <c r="E365" s="54"/>
      <c r="F365" s="54"/>
      <c r="G365" s="72"/>
      <c r="H365" s="54"/>
      <c r="I365" s="54"/>
      <c r="J365" s="106">
        <f>VLOOKUP(A365&amp;G365,Lookup!J:N,5,0)</f>
        <v>0</v>
      </c>
      <c r="K365" s="115"/>
      <c r="L365" s="115"/>
      <c r="M365" s="115"/>
      <c r="N365" s="115"/>
      <c r="O365" s="90">
        <f>IFERROR(VLOOKUP(A365&amp;G365,Lookup!J:K,2,0),"")</f>
        <v>0</v>
      </c>
      <c r="P365" s="110" t="str">
        <f t="shared" si="31"/>
        <v/>
      </c>
      <c r="Q365" s="115"/>
      <c r="R365" s="87" t="str">
        <f t="shared" si="32"/>
        <v/>
      </c>
      <c r="S365" s="87" t="str">
        <f t="shared" si="33"/>
        <v/>
      </c>
      <c r="T365" s="54"/>
      <c r="U365" s="54"/>
      <c r="V365" s="54"/>
      <c r="W365" s="54"/>
      <c r="X365" s="69" t="str">
        <f t="shared" si="30"/>
        <v>D</v>
      </c>
    </row>
    <row r="366" spans="1:24" x14ac:dyDescent="0.25">
      <c r="B366" s="91" t="str">
        <f>IFERROR(VLOOKUP(A366,Lookup!A:B,2,0),"")</f>
        <v/>
      </c>
      <c r="C366" s="59" t="str">
        <f>IFERROR(VLOOKUP(A366,Lookup!A:C,3,0),"")</f>
        <v/>
      </c>
      <c r="D366" s="54"/>
      <c r="E366" s="54"/>
      <c r="F366" s="54"/>
      <c r="G366" s="72"/>
      <c r="H366" s="54"/>
      <c r="I366" s="54"/>
      <c r="J366" s="106">
        <f>VLOOKUP(A366&amp;G366,Lookup!J:N,5,0)</f>
        <v>0</v>
      </c>
      <c r="K366" s="115"/>
      <c r="L366" s="115"/>
      <c r="M366" s="115"/>
      <c r="N366" s="115"/>
      <c r="O366" s="90">
        <f>IFERROR(VLOOKUP(A366&amp;G366,Lookup!J:K,2,0),"")</f>
        <v>0</v>
      </c>
      <c r="P366" s="110" t="str">
        <f t="shared" si="31"/>
        <v/>
      </c>
      <c r="Q366" s="115"/>
      <c r="R366" s="87" t="str">
        <f t="shared" si="32"/>
        <v/>
      </c>
      <c r="S366" s="87" t="str">
        <f t="shared" si="33"/>
        <v/>
      </c>
      <c r="T366" s="54"/>
      <c r="U366" s="54"/>
      <c r="V366" s="54"/>
      <c r="W366" s="54"/>
      <c r="X366" s="69" t="str">
        <f t="shared" si="30"/>
        <v>D</v>
      </c>
    </row>
    <row r="367" spans="1:24" x14ac:dyDescent="0.25">
      <c r="B367" s="91" t="str">
        <f>IFERROR(VLOOKUP(A367,Lookup!A:B,2,0),"")</f>
        <v/>
      </c>
      <c r="C367" s="59" t="str">
        <f>IFERROR(VLOOKUP(A367,Lookup!A:C,3,0),"")</f>
        <v/>
      </c>
      <c r="D367" s="54"/>
      <c r="E367" s="54"/>
      <c r="F367" s="54"/>
      <c r="G367" s="72"/>
      <c r="H367" s="54"/>
      <c r="I367" s="54"/>
      <c r="J367" s="106">
        <f>VLOOKUP(A367&amp;G367,Lookup!J:N,5,0)</f>
        <v>0</v>
      </c>
      <c r="K367" s="115"/>
      <c r="L367" s="115"/>
      <c r="M367" s="115"/>
      <c r="N367" s="115"/>
      <c r="O367" s="90">
        <f>IFERROR(VLOOKUP(A367&amp;G367,Lookup!J:K,2,0),"")</f>
        <v>0</v>
      </c>
      <c r="P367" s="110" t="str">
        <f t="shared" si="31"/>
        <v/>
      </c>
      <c r="Q367" s="115"/>
      <c r="R367" s="87" t="str">
        <f t="shared" si="32"/>
        <v/>
      </c>
      <c r="S367" s="87" t="str">
        <f t="shared" si="33"/>
        <v/>
      </c>
      <c r="T367" s="54"/>
      <c r="U367" s="54"/>
      <c r="V367" s="54"/>
      <c r="W367" s="54"/>
      <c r="X367" s="69" t="str">
        <f t="shared" si="30"/>
        <v>D</v>
      </c>
    </row>
    <row r="368" spans="1:24" x14ac:dyDescent="0.25">
      <c r="B368" s="91" t="str">
        <f>IFERROR(VLOOKUP(A368,Lookup!A:B,2,0),"")</f>
        <v/>
      </c>
      <c r="C368" s="59" t="str">
        <f>IFERROR(VLOOKUP(A368,Lookup!A:C,3,0),"")</f>
        <v/>
      </c>
      <c r="D368" s="54"/>
      <c r="E368" s="54"/>
      <c r="F368" s="54"/>
      <c r="G368" s="72"/>
      <c r="H368" s="54"/>
      <c r="I368" s="54"/>
      <c r="J368" s="106">
        <f>VLOOKUP(A368&amp;G368,Lookup!J:N,5,0)</f>
        <v>0</v>
      </c>
      <c r="K368" s="115"/>
      <c r="L368" s="115"/>
      <c r="M368" s="115"/>
      <c r="N368" s="115"/>
      <c r="O368" s="90">
        <f>IFERROR(VLOOKUP(A368&amp;G368,Lookup!J:K,2,0),"")</f>
        <v>0</v>
      </c>
      <c r="P368" s="110" t="str">
        <f t="shared" si="31"/>
        <v/>
      </c>
      <c r="Q368" s="115"/>
      <c r="R368" s="87" t="str">
        <f t="shared" si="32"/>
        <v/>
      </c>
      <c r="S368" s="87" t="str">
        <f t="shared" si="33"/>
        <v/>
      </c>
      <c r="T368" s="54"/>
      <c r="U368" s="54"/>
      <c r="V368" s="54"/>
      <c r="W368" s="54"/>
      <c r="X368" s="69" t="str">
        <f t="shared" si="30"/>
        <v>D</v>
      </c>
    </row>
    <row r="369" spans="2:24" x14ac:dyDescent="0.25">
      <c r="B369" s="91" t="str">
        <f>IFERROR(VLOOKUP(A369,Lookup!A:B,2,0),"")</f>
        <v/>
      </c>
      <c r="C369" s="59" t="str">
        <f>IFERROR(VLOOKUP(A369,Lookup!A:C,3,0),"")</f>
        <v/>
      </c>
      <c r="D369" s="54"/>
      <c r="E369" s="54"/>
      <c r="F369" s="54"/>
      <c r="G369" s="72"/>
      <c r="H369" s="54"/>
      <c r="I369" s="54"/>
      <c r="J369" s="106">
        <f>VLOOKUP(A369&amp;G369,Lookup!J:N,5,0)</f>
        <v>0</v>
      </c>
      <c r="K369" s="115"/>
      <c r="L369" s="115"/>
      <c r="M369" s="115"/>
      <c r="N369" s="115"/>
      <c r="O369" s="90">
        <f>IFERROR(VLOOKUP(A369&amp;G369,Lookup!J:K,2,0),"")</f>
        <v>0</v>
      </c>
      <c r="P369" s="110" t="str">
        <f t="shared" si="31"/>
        <v/>
      </c>
      <c r="Q369" s="115"/>
      <c r="R369" s="87" t="str">
        <f t="shared" si="32"/>
        <v/>
      </c>
      <c r="S369" s="87" t="str">
        <f t="shared" si="33"/>
        <v/>
      </c>
      <c r="T369" s="54"/>
      <c r="U369" s="54"/>
      <c r="V369" s="54"/>
      <c r="W369" s="54"/>
      <c r="X369" s="69" t="str">
        <f t="shared" si="30"/>
        <v>D</v>
      </c>
    </row>
    <row r="370" spans="2:24" x14ac:dyDescent="0.25">
      <c r="B370" s="91" t="str">
        <f>IFERROR(VLOOKUP(A370,Lookup!A:B,2,0),"")</f>
        <v/>
      </c>
      <c r="C370" s="59" t="str">
        <f>IFERROR(VLOOKUP(A370,Lookup!A:C,3,0),"")</f>
        <v/>
      </c>
      <c r="D370" s="54"/>
      <c r="E370" s="54"/>
      <c r="F370" s="54"/>
      <c r="G370" s="72"/>
      <c r="H370" s="54"/>
      <c r="I370" s="54"/>
      <c r="J370" s="106">
        <f>VLOOKUP(A370&amp;G370,Lookup!J:N,5,0)</f>
        <v>0</v>
      </c>
      <c r="K370" s="115"/>
      <c r="L370" s="115"/>
      <c r="M370" s="115"/>
      <c r="N370" s="115"/>
      <c r="O370" s="90">
        <f>IFERROR(VLOOKUP(A370&amp;G370,Lookup!J:K,2,0),"")</f>
        <v>0</v>
      </c>
      <c r="P370" s="110" t="str">
        <f t="shared" si="31"/>
        <v/>
      </c>
      <c r="Q370" s="115"/>
      <c r="R370" s="87" t="str">
        <f t="shared" si="32"/>
        <v/>
      </c>
      <c r="S370" s="87" t="str">
        <f t="shared" si="33"/>
        <v/>
      </c>
      <c r="T370" s="54"/>
      <c r="U370" s="54"/>
      <c r="V370" s="54"/>
      <c r="W370" s="54"/>
      <c r="X370" s="69" t="str">
        <f t="shared" si="30"/>
        <v>D</v>
      </c>
    </row>
    <row r="371" spans="2:24" x14ac:dyDescent="0.25">
      <c r="B371" s="91" t="str">
        <f>IFERROR(VLOOKUP(A371,Lookup!A:B,2,0),"")</f>
        <v/>
      </c>
      <c r="C371" s="59" t="str">
        <f>IFERROR(VLOOKUP(A371,Lookup!A:C,3,0),"")</f>
        <v/>
      </c>
      <c r="D371" s="54"/>
      <c r="E371" s="54"/>
      <c r="F371" s="54"/>
      <c r="G371" s="72"/>
      <c r="H371" s="54"/>
      <c r="I371" s="54"/>
      <c r="J371" s="106">
        <f>VLOOKUP(A371&amp;G371,Lookup!J:N,5,0)</f>
        <v>0</v>
      </c>
      <c r="K371" s="115"/>
      <c r="L371" s="115"/>
      <c r="M371" s="115"/>
      <c r="N371" s="115"/>
      <c r="O371" s="90">
        <f>IFERROR(VLOOKUP(A371&amp;G371,Lookup!J:K,2,0),"")</f>
        <v>0</v>
      </c>
      <c r="P371" s="110" t="str">
        <f t="shared" si="31"/>
        <v/>
      </c>
      <c r="Q371" s="115"/>
      <c r="R371" s="87" t="str">
        <f t="shared" si="32"/>
        <v/>
      </c>
      <c r="S371" s="87" t="str">
        <f t="shared" si="33"/>
        <v/>
      </c>
      <c r="T371" s="54"/>
      <c r="U371" s="54"/>
      <c r="V371" s="54"/>
      <c r="W371" s="54"/>
      <c r="X371" s="69" t="str">
        <f t="shared" si="30"/>
        <v>D</v>
      </c>
    </row>
    <row r="372" spans="2:24" x14ac:dyDescent="0.25">
      <c r="B372" s="91" t="str">
        <f>IFERROR(VLOOKUP(A372,Lookup!A:B,2,0),"")</f>
        <v/>
      </c>
      <c r="C372" s="59" t="str">
        <f>IFERROR(VLOOKUP(A372,Lookup!A:C,3,0),"")</f>
        <v/>
      </c>
      <c r="D372" s="54"/>
      <c r="E372" s="54"/>
      <c r="F372" s="54"/>
      <c r="G372" s="72"/>
      <c r="H372" s="54"/>
      <c r="I372" s="54"/>
      <c r="J372" s="106">
        <f>VLOOKUP(A372&amp;G372,Lookup!J:N,5,0)</f>
        <v>0</v>
      </c>
      <c r="K372" s="115"/>
      <c r="L372" s="115"/>
      <c r="M372" s="115"/>
      <c r="N372" s="115"/>
      <c r="O372" s="90">
        <f>IFERROR(VLOOKUP(A372&amp;G372,Lookup!J:K,2,0),"")</f>
        <v>0</v>
      </c>
      <c r="P372" s="110" t="str">
        <f t="shared" si="31"/>
        <v/>
      </c>
      <c r="Q372" s="115"/>
      <c r="R372" s="87" t="str">
        <f t="shared" si="32"/>
        <v/>
      </c>
      <c r="S372" s="87" t="str">
        <f t="shared" si="33"/>
        <v/>
      </c>
      <c r="T372" s="54"/>
      <c r="U372" s="54"/>
      <c r="V372" s="54"/>
      <c r="W372" s="54"/>
      <c r="X372" s="69" t="str">
        <f t="shared" si="30"/>
        <v>D</v>
      </c>
    </row>
    <row r="373" spans="2:24" x14ac:dyDescent="0.25">
      <c r="B373" s="91" t="str">
        <f>IFERROR(VLOOKUP(A373,Lookup!A:B,2,0),"")</f>
        <v/>
      </c>
      <c r="C373" s="59" t="str">
        <f>IFERROR(VLOOKUP(A373,Lookup!A:C,3,0),"")</f>
        <v/>
      </c>
      <c r="D373" s="54"/>
      <c r="E373" s="54"/>
      <c r="F373" s="54"/>
      <c r="G373" s="72"/>
      <c r="H373" s="54"/>
      <c r="I373" s="54"/>
      <c r="J373" s="106">
        <f>VLOOKUP(A373&amp;G373,Lookup!J:N,5,0)</f>
        <v>0</v>
      </c>
      <c r="K373" s="115"/>
      <c r="L373" s="115"/>
      <c r="M373" s="115"/>
      <c r="N373" s="115"/>
      <c r="O373" s="90">
        <f>IFERROR(VLOOKUP(A373&amp;G373,Lookup!J:K,2,0),"")</f>
        <v>0</v>
      </c>
      <c r="P373" s="110" t="str">
        <f t="shared" si="31"/>
        <v/>
      </c>
      <c r="Q373" s="115"/>
      <c r="R373" s="87" t="str">
        <f t="shared" si="32"/>
        <v/>
      </c>
      <c r="S373" s="87" t="str">
        <f t="shared" si="33"/>
        <v/>
      </c>
      <c r="T373" s="54"/>
      <c r="U373" s="54"/>
      <c r="V373" s="54"/>
      <c r="W373" s="54"/>
      <c r="X373" s="69" t="str">
        <f t="shared" si="30"/>
        <v>D</v>
      </c>
    </row>
    <row r="374" spans="2:24" x14ac:dyDescent="0.25">
      <c r="B374" s="91" t="str">
        <f>IFERROR(VLOOKUP(A374,Lookup!A:B,2,0),"")</f>
        <v/>
      </c>
      <c r="C374" s="59" t="str">
        <f>IFERROR(VLOOKUP(A374,Lookup!A:C,3,0),"")</f>
        <v/>
      </c>
      <c r="D374" s="54"/>
      <c r="E374" s="54"/>
      <c r="F374" s="54"/>
      <c r="G374" s="72"/>
      <c r="H374" s="54"/>
      <c r="I374" s="54"/>
      <c r="J374" s="106">
        <f>VLOOKUP(A374&amp;G374,Lookup!J:N,5,0)</f>
        <v>0</v>
      </c>
      <c r="K374" s="115"/>
      <c r="L374" s="115"/>
      <c r="M374" s="115"/>
      <c r="N374" s="115"/>
      <c r="O374" s="90">
        <f>IFERROR(VLOOKUP(A374&amp;G374,Lookup!J:K,2,0),"")</f>
        <v>0</v>
      </c>
      <c r="P374" s="110" t="str">
        <f t="shared" si="31"/>
        <v/>
      </c>
      <c r="Q374" s="115"/>
      <c r="R374" s="87" t="str">
        <f t="shared" si="32"/>
        <v/>
      </c>
      <c r="S374" s="87" t="str">
        <f t="shared" si="33"/>
        <v/>
      </c>
      <c r="T374" s="54"/>
      <c r="U374" s="54"/>
      <c r="V374" s="54"/>
      <c r="W374" s="54"/>
      <c r="X374" s="69" t="str">
        <f t="shared" si="30"/>
        <v>D</v>
      </c>
    </row>
    <row r="375" spans="2:24" x14ac:dyDescent="0.25">
      <c r="B375" s="91" t="str">
        <f>IFERROR(VLOOKUP(A375,Lookup!A:B,2,0),"")</f>
        <v/>
      </c>
      <c r="C375" s="59" t="str">
        <f>IFERROR(VLOOKUP(A375,Lookup!A:C,3,0),"")</f>
        <v/>
      </c>
      <c r="D375" s="54"/>
      <c r="E375" s="54"/>
      <c r="F375" s="54"/>
      <c r="G375" s="72"/>
      <c r="H375" s="54"/>
      <c r="I375" s="54"/>
      <c r="J375" s="106">
        <f>VLOOKUP(A375&amp;G375,Lookup!J:N,5,0)</f>
        <v>0</v>
      </c>
      <c r="K375" s="115"/>
      <c r="L375" s="115"/>
      <c r="M375" s="115"/>
      <c r="N375" s="115"/>
      <c r="O375" s="90">
        <f>IFERROR(VLOOKUP(A375&amp;G375,Lookup!J:K,2,0),"")</f>
        <v>0</v>
      </c>
      <c r="P375" s="110" t="str">
        <f t="shared" si="31"/>
        <v/>
      </c>
      <c r="Q375" s="115"/>
      <c r="R375" s="87" t="str">
        <f t="shared" si="32"/>
        <v/>
      </c>
      <c r="S375" s="87" t="str">
        <f t="shared" si="33"/>
        <v/>
      </c>
      <c r="T375" s="54"/>
      <c r="U375" s="54"/>
      <c r="V375" s="54"/>
      <c r="W375" s="54"/>
      <c r="X375" s="69" t="str">
        <f t="shared" si="30"/>
        <v>D</v>
      </c>
    </row>
    <row r="376" spans="2:24" x14ac:dyDescent="0.25">
      <c r="B376" s="91" t="str">
        <f>IFERROR(VLOOKUP(A376,Lookup!A:B,2,0),"")</f>
        <v/>
      </c>
      <c r="C376" s="59" t="str">
        <f>IFERROR(VLOOKUP(A376,Lookup!A:C,3,0),"")</f>
        <v/>
      </c>
      <c r="D376" s="54"/>
      <c r="E376" s="54"/>
      <c r="F376" s="54"/>
      <c r="G376" s="72"/>
      <c r="H376" s="54"/>
      <c r="I376" s="54"/>
      <c r="J376" s="106">
        <f>VLOOKUP(A376&amp;G376,Lookup!J:N,5,0)</f>
        <v>0</v>
      </c>
      <c r="K376" s="115"/>
      <c r="L376" s="115"/>
      <c r="M376" s="115"/>
      <c r="N376" s="115"/>
      <c r="O376" s="90">
        <f>IFERROR(VLOOKUP(A376&amp;G376,Lookup!J:K,2,0),"")</f>
        <v>0</v>
      </c>
      <c r="P376" s="110" t="str">
        <f t="shared" si="31"/>
        <v/>
      </c>
      <c r="Q376" s="115"/>
      <c r="R376" s="87" t="str">
        <f t="shared" si="32"/>
        <v/>
      </c>
      <c r="S376" s="87" t="str">
        <f t="shared" si="33"/>
        <v/>
      </c>
      <c r="T376" s="54"/>
      <c r="U376" s="54"/>
      <c r="V376" s="54"/>
      <c r="W376" s="54"/>
      <c r="X376" s="69" t="str">
        <f t="shared" si="30"/>
        <v>D</v>
      </c>
    </row>
    <row r="377" spans="2:24" x14ac:dyDescent="0.25">
      <c r="B377" s="91" t="str">
        <f>IFERROR(VLOOKUP(A377,Lookup!A:B,2,0),"")</f>
        <v/>
      </c>
      <c r="C377" s="59" t="str">
        <f>IFERROR(VLOOKUP(A377,Lookup!A:C,3,0),"")</f>
        <v/>
      </c>
      <c r="D377" s="54"/>
      <c r="E377" s="54"/>
      <c r="F377" s="54"/>
      <c r="G377" s="72"/>
      <c r="H377" s="54"/>
      <c r="I377" s="54"/>
      <c r="J377" s="106">
        <f>VLOOKUP(A377&amp;G377,Lookup!J:N,5,0)</f>
        <v>0</v>
      </c>
      <c r="K377" s="115"/>
      <c r="L377" s="115"/>
      <c r="M377" s="115"/>
      <c r="N377" s="115"/>
      <c r="O377" s="90">
        <f>IFERROR(VLOOKUP(A377&amp;G377,Lookup!J:K,2,0),"")</f>
        <v>0</v>
      </c>
      <c r="P377" s="110" t="str">
        <f t="shared" si="31"/>
        <v/>
      </c>
      <c r="Q377" s="115"/>
      <c r="R377" s="87" t="str">
        <f t="shared" si="32"/>
        <v/>
      </c>
      <c r="S377" s="87" t="str">
        <f t="shared" si="33"/>
        <v/>
      </c>
      <c r="T377" s="54"/>
      <c r="U377" s="54"/>
      <c r="V377" s="54"/>
      <c r="W377" s="54"/>
      <c r="X377" s="69" t="str">
        <f t="shared" si="30"/>
        <v>D</v>
      </c>
    </row>
    <row r="378" spans="2:24" x14ac:dyDescent="0.25">
      <c r="B378" s="91" t="str">
        <f>IFERROR(VLOOKUP(A378,Lookup!A:B,2,0),"")</f>
        <v/>
      </c>
      <c r="C378" s="59" t="str">
        <f>IFERROR(VLOOKUP(A378,Lookup!A:C,3,0),"")</f>
        <v/>
      </c>
      <c r="D378" s="54"/>
      <c r="E378" s="54"/>
      <c r="F378" s="54"/>
      <c r="G378" s="72"/>
      <c r="H378" s="54"/>
      <c r="I378" s="54"/>
      <c r="J378" s="106">
        <f>VLOOKUP(A378&amp;G378,Lookup!J:N,5,0)</f>
        <v>0</v>
      </c>
      <c r="K378" s="115"/>
      <c r="L378" s="115"/>
      <c r="M378" s="115"/>
      <c r="N378" s="115"/>
      <c r="O378" s="90">
        <f>IFERROR(VLOOKUP(A378&amp;G378,Lookup!J:K,2,0),"")</f>
        <v>0</v>
      </c>
      <c r="P378" s="110" t="str">
        <f t="shared" si="31"/>
        <v/>
      </c>
      <c r="Q378" s="115"/>
      <c r="R378" s="87" t="str">
        <f t="shared" si="32"/>
        <v/>
      </c>
      <c r="S378" s="87" t="str">
        <f t="shared" si="33"/>
        <v/>
      </c>
      <c r="T378" s="54"/>
      <c r="U378" s="54"/>
      <c r="V378" s="54"/>
      <c r="W378" s="54"/>
      <c r="X378" s="69" t="str">
        <f t="shared" si="30"/>
        <v>D</v>
      </c>
    </row>
    <row r="379" spans="2:24" x14ac:dyDescent="0.25">
      <c r="B379" s="91" t="str">
        <f>IFERROR(VLOOKUP(A379,Lookup!A:B,2,0),"")</f>
        <v/>
      </c>
      <c r="C379" s="59" t="str">
        <f>IFERROR(VLOOKUP(A379,Lookup!A:C,3,0),"")</f>
        <v/>
      </c>
      <c r="D379" s="54"/>
      <c r="E379" s="54"/>
      <c r="F379" s="54"/>
      <c r="G379" s="72"/>
      <c r="H379" s="54"/>
      <c r="I379" s="54"/>
      <c r="J379" s="106">
        <f>VLOOKUP(A379&amp;G379,Lookup!J:N,5,0)</f>
        <v>0</v>
      </c>
      <c r="K379" s="115"/>
      <c r="L379" s="115"/>
      <c r="M379" s="115"/>
      <c r="N379" s="115"/>
      <c r="O379" s="90">
        <f>IFERROR(VLOOKUP(A379&amp;G379,Lookup!J:K,2,0),"")</f>
        <v>0</v>
      </c>
      <c r="P379" s="110" t="str">
        <f t="shared" si="31"/>
        <v/>
      </c>
      <c r="Q379" s="115"/>
      <c r="R379" s="87" t="str">
        <f t="shared" si="32"/>
        <v/>
      </c>
      <c r="S379" s="87" t="str">
        <f t="shared" si="33"/>
        <v/>
      </c>
      <c r="T379" s="54"/>
      <c r="U379" s="54"/>
      <c r="V379" s="54"/>
      <c r="W379" s="54"/>
      <c r="X379" s="69" t="str">
        <f t="shared" si="30"/>
        <v>D</v>
      </c>
    </row>
    <row r="380" spans="2:24" x14ac:dyDescent="0.25">
      <c r="B380" s="91" t="str">
        <f>IFERROR(VLOOKUP(A380,Lookup!A:B,2,0),"")</f>
        <v/>
      </c>
      <c r="C380" s="59" t="str">
        <f>IFERROR(VLOOKUP(A380,Lookup!A:C,3,0),"")</f>
        <v/>
      </c>
      <c r="D380" s="54"/>
      <c r="E380" s="54"/>
      <c r="F380" s="54"/>
      <c r="G380" s="72"/>
      <c r="H380" s="54"/>
      <c r="I380" s="54"/>
      <c r="J380" s="106">
        <f>VLOOKUP(A380&amp;G380,Lookup!J:N,5,0)</f>
        <v>0</v>
      </c>
      <c r="K380" s="115"/>
      <c r="L380" s="115"/>
      <c r="M380" s="115"/>
      <c r="N380" s="115"/>
      <c r="O380" s="90">
        <f>IFERROR(VLOOKUP(A380&amp;G380,Lookup!J:K,2,0),"")</f>
        <v>0</v>
      </c>
      <c r="P380" s="110" t="str">
        <f t="shared" si="31"/>
        <v/>
      </c>
      <c r="Q380" s="115"/>
      <c r="R380" s="87" t="str">
        <f t="shared" si="32"/>
        <v/>
      </c>
      <c r="S380" s="87" t="str">
        <f t="shared" si="33"/>
        <v/>
      </c>
      <c r="T380" s="54"/>
      <c r="U380" s="54"/>
      <c r="V380" s="54"/>
      <c r="W380" s="54"/>
      <c r="X380" s="69" t="str">
        <f t="shared" si="30"/>
        <v>D</v>
      </c>
    </row>
    <row r="381" spans="2:24" x14ac:dyDescent="0.25">
      <c r="B381" s="91" t="str">
        <f>IFERROR(VLOOKUP(A381,Lookup!A:B,2,0),"")</f>
        <v/>
      </c>
      <c r="C381" s="59" t="str">
        <f>IFERROR(VLOOKUP(A381,Lookup!A:C,3,0),"")</f>
        <v/>
      </c>
      <c r="D381" s="54"/>
      <c r="E381" s="54"/>
      <c r="F381" s="54"/>
      <c r="G381" s="72"/>
      <c r="H381" s="54"/>
      <c r="I381" s="54"/>
      <c r="J381" s="106">
        <f>VLOOKUP(A381&amp;G381,Lookup!J:N,5,0)</f>
        <v>0</v>
      </c>
      <c r="K381" s="115"/>
      <c r="L381" s="115"/>
      <c r="M381" s="115"/>
      <c r="N381" s="115"/>
      <c r="O381" s="90">
        <f>IFERROR(VLOOKUP(A381&amp;G381,Lookup!J:K,2,0),"")</f>
        <v>0</v>
      </c>
      <c r="P381" s="110" t="str">
        <f t="shared" si="31"/>
        <v/>
      </c>
      <c r="Q381" s="115"/>
      <c r="R381" s="87" t="str">
        <f t="shared" si="32"/>
        <v/>
      </c>
      <c r="S381" s="87" t="str">
        <f t="shared" si="33"/>
        <v/>
      </c>
      <c r="T381" s="54"/>
      <c r="U381" s="54"/>
      <c r="V381" s="54"/>
      <c r="W381" s="54"/>
      <c r="X381" s="69" t="str">
        <f t="shared" si="30"/>
        <v>D</v>
      </c>
    </row>
    <row r="382" spans="2:24" x14ac:dyDescent="0.25">
      <c r="B382" s="91" t="str">
        <f>IFERROR(VLOOKUP(A382,Lookup!A:B,2,0),"")</f>
        <v/>
      </c>
      <c r="C382" s="59" t="str">
        <f>IFERROR(VLOOKUP(A382,Lookup!A:C,3,0),"")</f>
        <v/>
      </c>
      <c r="D382" s="54"/>
      <c r="E382" s="54"/>
      <c r="F382" s="54"/>
      <c r="G382" s="72"/>
      <c r="H382" s="54"/>
      <c r="I382" s="54"/>
      <c r="J382" s="106">
        <f>VLOOKUP(A382&amp;G382,Lookup!J:N,5,0)</f>
        <v>0</v>
      </c>
      <c r="K382" s="115"/>
      <c r="L382" s="115"/>
      <c r="M382" s="115"/>
      <c r="N382" s="115"/>
      <c r="O382" s="90">
        <f>IFERROR(VLOOKUP(A382&amp;G382,Lookup!J:K,2,0),"")</f>
        <v>0</v>
      </c>
      <c r="P382" s="110" t="str">
        <f t="shared" si="31"/>
        <v/>
      </c>
      <c r="Q382" s="115"/>
      <c r="R382" s="87" t="str">
        <f t="shared" si="32"/>
        <v/>
      </c>
      <c r="S382" s="87" t="str">
        <f t="shared" si="33"/>
        <v/>
      </c>
      <c r="T382" s="54"/>
      <c r="U382" s="54"/>
      <c r="V382" s="54"/>
      <c r="W382" s="54"/>
      <c r="X382" s="69" t="str">
        <f t="shared" si="30"/>
        <v>D</v>
      </c>
    </row>
    <row r="383" spans="2:24" x14ac:dyDescent="0.25">
      <c r="B383" s="91" t="str">
        <f>IFERROR(VLOOKUP(A383,Lookup!A:B,2,0),"")</f>
        <v/>
      </c>
      <c r="C383" s="59" t="str">
        <f>IFERROR(VLOOKUP(A383,Lookup!A:C,3,0),"")</f>
        <v/>
      </c>
      <c r="D383" s="54"/>
      <c r="E383" s="54"/>
      <c r="F383" s="54"/>
      <c r="G383" s="72"/>
      <c r="H383" s="54"/>
      <c r="I383" s="54"/>
      <c r="J383" s="106">
        <f>VLOOKUP(A383&amp;G383,Lookup!J:N,5,0)</f>
        <v>0</v>
      </c>
      <c r="K383" s="115"/>
      <c r="L383" s="115"/>
      <c r="M383" s="115"/>
      <c r="N383" s="115"/>
      <c r="O383" s="90">
        <f>IFERROR(VLOOKUP(A383&amp;G383,Lookup!J:K,2,0),"")</f>
        <v>0</v>
      </c>
      <c r="P383" s="110" t="str">
        <f t="shared" si="31"/>
        <v/>
      </c>
      <c r="Q383" s="115"/>
      <c r="R383" s="87" t="str">
        <f t="shared" si="32"/>
        <v/>
      </c>
      <c r="S383" s="87" t="str">
        <f t="shared" si="33"/>
        <v/>
      </c>
      <c r="T383" s="54"/>
      <c r="U383" s="54"/>
      <c r="V383" s="54"/>
      <c r="W383" s="54"/>
      <c r="X383" s="69" t="str">
        <f t="shared" si="30"/>
        <v>D</v>
      </c>
    </row>
    <row r="384" spans="2:24" x14ac:dyDescent="0.25">
      <c r="B384" s="91" t="str">
        <f>IFERROR(VLOOKUP(A384,Lookup!A:B,2,0),"")</f>
        <v/>
      </c>
      <c r="C384" s="59" t="str">
        <f>IFERROR(VLOOKUP(A384,Lookup!A:C,3,0),"")</f>
        <v/>
      </c>
      <c r="D384" s="54"/>
      <c r="E384" s="54"/>
      <c r="F384" s="54"/>
      <c r="G384" s="72"/>
      <c r="H384" s="54"/>
      <c r="I384" s="54"/>
      <c r="J384" s="106">
        <f>VLOOKUP(A384&amp;G384,Lookup!J:N,5,0)</f>
        <v>0</v>
      </c>
      <c r="K384" s="115"/>
      <c r="L384" s="115"/>
      <c r="M384" s="115"/>
      <c r="N384" s="115"/>
      <c r="O384" s="90">
        <f>IFERROR(VLOOKUP(A384&amp;G384,Lookup!J:K,2,0),"")</f>
        <v>0</v>
      </c>
      <c r="P384" s="110" t="str">
        <f t="shared" si="31"/>
        <v/>
      </c>
      <c r="Q384" s="115"/>
      <c r="R384" s="87" t="str">
        <f t="shared" si="32"/>
        <v/>
      </c>
      <c r="S384" s="87" t="str">
        <f t="shared" si="33"/>
        <v/>
      </c>
      <c r="T384" s="54"/>
      <c r="U384" s="54"/>
      <c r="V384" s="54"/>
      <c r="W384" s="54"/>
      <c r="X384" s="69" t="str">
        <f t="shared" si="30"/>
        <v>D</v>
      </c>
    </row>
    <row r="385" spans="2:24" x14ac:dyDescent="0.25">
      <c r="B385" s="91" t="str">
        <f>IFERROR(VLOOKUP(A385,Lookup!A:B,2,0),"")</f>
        <v/>
      </c>
      <c r="C385" s="59" t="str">
        <f>IFERROR(VLOOKUP(A385,Lookup!A:C,3,0),"")</f>
        <v/>
      </c>
      <c r="D385" s="54"/>
      <c r="E385" s="54"/>
      <c r="F385" s="54"/>
      <c r="G385" s="72"/>
      <c r="H385" s="54"/>
      <c r="I385" s="54"/>
      <c r="J385" s="106">
        <f>VLOOKUP(A385&amp;G385,Lookup!J:N,5,0)</f>
        <v>0</v>
      </c>
      <c r="K385" s="115"/>
      <c r="L385" s="115"/>
      <c r="M385" s="115"/>
      <c r="N385" s="115"/>
      <c r="O385" s="90">
        <f>IFERROR(VLOOKUP(A385&amp;G385,Lookup!J:K,2,0),"")</f>
        <v>0</v>
      </c>
      <c r="P385" s="110" t="str">
        <f t="shared" si="31"/>
        <v/>
      </c>
      <c r="Q385" s="115"/>
      <c r="R385" s="87" t="str">
        <f t="shared" si="32"/>
        <v/>
      </c>
      <c r="S385" s="87" t="str">
        <f t="shared" si="33"/>
        <v/>
      </c>
      <c r="T385" s="54"/>
      <c r="U385" s="54"/>
      <c r="V385" s="54"/>
      <c r="W385" s="54"/>
      <c r="X385" s="69" t="str">
        <f t="shared" ref="X385:X448" si="34">IF(I385="SET","A",IF(I385="FREQ","C",IF(I385="","D","B")))</f>
        <v>D</v>
      </c>
    </row>
    <row r="386" spans="2:24" x14ac:dyDescent="0.25">
      <c r="B386" s="91" t="str">
        <f>IFERROR(VLOOKUP(A386,Lookup!A:B,2,0),"")</f>
        <v/>
      </c>
      <c r="C386" s="59" t="str">
        <f>IFERROR(VLOOKUP(A386,Lookup!A:C,3,0),"")</f>
        <v/>
      </c>
      <c r="D386" s="54"/>
      <c r="E386" s="54"/>
      <c r="F386" s="54"/>
      <c r="G386" s="72"/>
      <c r="H386" s="54"/>
      <c r="I386" s="54"/>
      <c r="J386" s="106">
        <f>VLOOKUP(A386&amp;G386,Lookup!J:N,5,0)</f>
        <v>0</v>
      </c>
      <c r="K386" s="115"/>
      <c r="L386" s="115"/>
      <c r="M386" s="115"/>
      <c r="N386" s="115"/>
      <c r="O386" s="90">
        <f>IFERROR(VLOOKUP(A386&amp;G386,Lookup!J:K,2,0),"")</f>
        <v>0</v>
      </c>
      <c r="P386" s="110" t="str">
        <f t="shared" ref="P386:P449" si="35">IF(N386="","",N386+O386)</f>
        <v/>
      </c>
      <c r="Q386" s="115"/>
      <c r="R386" s="87" t="str">
        <f t="shared" si="32"/>
        <v/>
      </c>
      <c r="S386" s="87" t="str">
        <f t="shared" si="33"/>
        <v/>
      </c>
      <c r="T386" s="54"/>
      <c r="U386" s="54"/>
      <c r="V386" s="54"/>
      <c r="W386" s="54"/>
      <c r="X386" s="69" t="str">
        <f t="shared" si="34"/>
        <v>D</v>
      </c>
    </row>
    <row r="387" spans="2:24" x14ac:dyDescent="0.25">
      <c r="B387" s="91" t="str">
        <f>IFERROR(VLOOKUP(A387,Lookup!A:B,2,0),"")</f>
        <v/>
      </c>
      <c r="C387" s="59" t="str">
        <f>IFERROR(VLOOKUP(A387,Lookup!A:C,3,0),"")</f>
        <v/>
      </c>
      <c r="D387" s="54"/>
      <c r="E387" s="54"/>
      <c r="F387" s="54"/>
      <c r="G387" s="72"/>
      <c r="H387" s="54"/>
      <c r="I387" s="54"/>
      <c r="J387" s="106">
        <f>VLOOKUP(A387&amp;G387,Lookup!J:N,5,0)</f>
        <v>0</v>
      </c>
      <c r="K387" s="115"/>
      <c r="L387" s="115"/>
      <c r="M387" s="115"/>
      <c r="N387" s="115"/>
      <c r="O387" s="90">
        <f>IFERROR(VLOOKUP(A387&amp;G387,Lookup!J:K,2,0),"")</f>
        <v>0</v>
      </c>
      <c r="P387" s="110" t="str">
        <f t="shared" si="35"/>
        <v/>
      </c>
      <c r="Q387" s="115"/>
      <c r="R387" s="87" t="str">
        <f t="shared" ref="R387:R450" si="36">IF(OR(EXACT(N387,""), EXACT(L387,"")),"",N387-L387)</f>
        <v/>
      </c>
      <c r="S387" s="87" t="str">
        <f t="shared" si="33"/>
        <v/>
      </c>
      <c r="T387" s="54"/>
      <c r="U387" s="54"/>
      <c r="V387" s="54"/>
      <c r="W387" s="54"/>
      <c r="X387" s="69" t="str">
        <f t="shared" si="34"/>
        <v>D</v>
      </c>
    </row>
    <row r="388" spans="2:24" x14ac:dyDescent="0.25">
      <c r="B388" s="91" t="str">
        <f>IFERROR(VLOOKUP(A388,Lookup!A:B,2,0),"")</f>
        <v/>
      </c>
      <c r="C388" s="59" t="str">
        <f>IFERROR(VLOOKUP(A388,Lookup!A:C,3,0),"")</f>
        <v/>
      </c>
      <c r="D388" s="54"/>
      <c r="E388" s="54"/>
      <c r="F388" s="54"/>
      <c r="G388" s="72"/>
      <c r="H388" s="54"/>
      <c r="I388" s="54"/>
      <c r="J388" s="106">
        <f>VLOOKUP(A388&amp;G388,Lookup!J:N,5,0)</f>
        <v>0</v>
      </c>
      <c r="K388" s="115"/>
      <c r="L388" s="115"/>
      <c r="M388" s="115"/>
      <c r="N388" s="115"/>
      <c r="O388" s="90">
        <f>IFERROR(VLOOKUP(A388&amp;G388,Lookup!J:K,2,0),"")</f>
        <v>0</v>
      </c>
      <c r="P388" s="110" t="str">
        <f t="shared" si="35"/>
        <v/>
      </c>
      <c r="Q388" s="115"/>
      <c r="R388" s="87" t="str">
        <f t="shared" si="36"/>
        <v/>
      </c>
      <c r="S388" s="87" t="str">
        <f t="shared" ref="S388:S451" si="37">IF(OR(EXACT(Q388,""), EXACT(L388,"")),"",Q388-L388)</f>
        <v/>
      </c>
      <c r="T388" s="54"/>
      <c r="U388" s="54"/>
      <c r="V388" s="54"/>
      <c r="W388" s="54"/>
      <c r="X388" s="69" t="str">
        <f t="shared" si="34"/>
        <v>D</v>
      </c>
    </row>
    <row r="389" spans="2:24" x14ac:dyDescent="0.25">
      <c r="B389" s="91" t="str">
        <f>IFERROR(VLOOKUP(A389,Lookup!A:B,2,0),"")</f>
        <v/>
      </c>
      <c r="C389" s="59" t="str">
        <f>IFERROR(VLOOKUP(A389,Lookup!A:C,3,0),"")</f>
        <v/>
      </c>
      <c r="D389" s="54"/>
      <c r="E389" s="54"/>
      <c r="F389" s="54"/>
      <c r="G389" s="72"/>
      <c r="H389" s="54"/>
      <c r="I389" s="54"/>
      <c r="J389" s="106">
        <f>VLOOKUP(A389&amp;G389,Lookup!J:N,5,0)</f>
        <v>0</v>
      </c>
      <c r="K389" s="115"/>
      <c r="L389" s="115"/>
      <c r="M389" s="115"/>
      <c r="N389" s="115"/>
      <c r="O389" s="90">
        <f>IFERROR(VLOOKUP(A389&amp;G389,Lookup!J:K,2,0),"")</f>
        <v>0</v>
      </c>
      <c r="P389" s="110" t="str">
        <f t="shared" si="35"/>
        <v/>
      </c>
      <c r="Q389" s="115"/>
      <c r="R389" s="87" t="str">
        <f t="shared" si="36"/>
        <v/>
      </c>
      <c r="S389" s="87" t="str">
        <f t="shared" si="37"/>
        <v/>
      </c>
      <c r="T389" s="54"/>
      <c r="U389" s="54"/>
      <c r="V389" s="54"/>
      <c r="W389" s="54"/>
      <c r="X389" s="69" t="str">
        <f t="shared" si="34"/>
        <v>D</v>
      </c>
    </row>
    <row r="390" spans="2:24" x14ac:dyDescent="0.25">
      <c r="B390" s="91" t="str">
        <f>IFERROR(VLOOKUP(A390,Lookup!A:B,2,0),"")</f>
        <v/>
      </c>
      <c r="C390" s="59" t="str">
        <f>IFERROR(VLOOKUP(A390,Lookup!A:C,3,0),"")</f>
        <v/>
      </c>
      <c r="D390" s="54"/>
      <c r="E390" s="54"/>
      <c r="F390" s="54"/>
      <c r="G390" s="72"/>
      <c r="H390" s="54"/>
      <c r="I390" s="54"/>
      <c r="J390" s="106">
        <f>VLOOKUP(A390&amp;G390,Lookup!J:N,5,0)</f>
        <v>0</v>
      </c>
      <c r="K390" s="115"/>
      <c r="L390" s="115"/>
      <c r="M390" s="115"/>
      <c r="N390" s="115"/>
      <c r="O390" s="90">
        <f>IFERROR(VLOOKUP(A390&amp;G390,Lookup!J:K,2,0),"")</f>
        <v>0</v>
      </c>
      <c r="P390" s="110" t="str">
        <f t="shared" si="35"/>
        <v/>
      </c>
      <c r="Q390" s="115"/>
      <c r="R390" s="87" t="str">
        <f t="shared" si="36"/>
        <v/>
      </c>
      <c r="S390" s="87" t="str">
        <f t="shared" si="37"/>
        <v/>
      </c>
      <c r="T390" s="54"/>
      <c r="U390" s="54"/>
      <c r="V390" s="54"/>
      <c r="W390" s="54"/>
      <c r="X390" s="69" t="str">
        <f t="shared" si="34"/>
        <v>D</v>
      </c>
    </row>
    <row r="391" spans="2:24" x14ac:dyDescent="0.25">
      <c r="B391" s="91" t="str">
        <f>IFERROR(VLOOKUP(A391,Lookup!A:B,2,0),"")</f>
        <v/>
      </c>
      <c r="C391" s="59" t="str">
        <f>IFERROR(VLOOKUP(A391,Lookup!A:C,3,0),"")</f>
        <v/>
      </c>
      <c r="D391" s="54"/>
      <c r="E391" s="54"/>
      <c r="F391" s="54"/>
      <c r="G391" s="72"/>
      <c r="H391" s="54"/>
      <c r="I391" s="54"/>
      <c r="J391" s="106">
        <f>VLOOKUP(A391&amp;G391,Lookup!J:N,5,0)</f>
        <v>0</v>
      </c>
      <c r="K391" s="115"/>
      <c r="L391" s="115"/>
      <c r="M391" s="115"/>
      <c r="N391" s="115"/>
      <c r="O391" s="90">
        <f>IFERROR(VLOOKUP(A391&amp;G391,Lookup!J:K,2,0),"")</f>
        <v>0</v>
      </c>
      <c r="P391" s="110" t="str">
        <f t="shared" si="35"/>
        <v/>
      </c>
      <c r="Q391" s="115"/>
      <c r="R391" s="87" t="str">
        <f t="shared" si="36"/>
        <v/>
      </c>
      <c r="S391" s="87" t="str">
        <f t="shared" si="37"/>
        <v/>
      </c>
      <c r="T391" s="54"/>
      <c r="U391" s="54"/>
      <c r="V391" s="54"/>
      <c r="W391" s="54"/>
      <c r="X391" s="69" t="str">
        <f t="shared" si="34"/>
        <v>D</v>
      </c>
    </row>
    <row r="392" spans="2:24" x14ac:dyDescent="0.25">
      <c r="B392" s="91" t="str">
        <f>IFERROR(VLOOKUP(A392,Lookup!A:B,2,0),"")</f>
        <v/>
      </c>
      <c r="C392" s="59" t="str">
        <f>IFERROR(VLOOKUP(A392,Lookup!A:C,3,0),"")</f>
        <v/>
      </c>
      <c r="D392" s="54"/>
      <c r="E392" s="54"/>
      <c r="F392" s="54"/>
      <c r="G392" s="72"/>
      <c r="H392" s="54"/>
      <c r="I392" s="54"/>
      <c r="J392" s="106">
        <f>VLOOKUP(A392&amp;G392,Lookup!J:N,5,0)</f>
        <v>0</v>
      </c>
      <c r="K392" s="115"/>
      <c r="L392" s="115"/>
      <c r="M392" s="115"/>
      <c r="N392" s="115"/>
      <c r="O392" s="90">
        <f>IFERROR(VLOOKUP(A392&amp;G392,Lookup!J:K,2,0),"")</f>
        <v>0</v>
      </c>
      <c r="P392" s="110" t="str">
        <f t="shared" si="35"/>
        <v/>
      </c>
      <c r="Q392" s="115"/>
      <c r="R392" s="87" t="str">
        <f t="shared" si="36"/>
        <v/>
      </c>
      <c r="S392" s="87" t="str">
        <f t="shared" si="37"/>
        <v/>
      </c>
      <c r="T392" s="54"/>
      <c r="U392" s="54"/>
      <c r="V392" s="54"/>
      <c r="W392" s="54"/>
      <c r="X392" s="69" t="str">
        <f t="shared" si="34"/>
        <v>D</v>
      </c>
    </row>
    <row r="393" spans="2:24" x14ac:dyDescent="0.25">
      <c r="B393" s="91" t="str">
        <f>IFERROR(VLOOKUP(A393,Lookup!A:B,2,0),"")</f>
        <v/>
      </c>
      <c r="C393" s="59" t="str">
        <f>IFERROR(VLOOKUP(A393,Lookup!A:C,3,0),"")</f>
        <v/>
      </c>
      <c r="D393" s="54"/>
      <c r="E393" s="54"/>
      <c r="F393" s="54"/>
      <c r="G393" s="72"/>
      <c r="H393" s="54"/>
      <c r="I393" s="54"/>
      <c r="J393" s="106">
        <f>VLOOKUP(A393&amp;G393,Lookup!J:N,5,0)</f>
        <v>0</v>
      </c>
      <c r="K393" s="115"/>
      <c r="L393" s="115"/>
      <c r="M393" s="115"/>
      <c r="N393" s="115"/>
      <c r="O393" s="90">
        <f>IFERROR(VLOOKUP(A393&amp;G393,Lookup!J:K,2,0),"")</f>
        <v>0</v>
      </c>
      <c r="P393" s="110" t="str">
        <f t="shared" si="35"/>
        <v/>
      </c>
      <c r="Q393" s="115"/>
      <c r="R393" s="87" t="str">
        <f t="shared" si="36"/>
        <v/>
      </c>
      <c r="S393" s="87" t="str">
        <f t="shared" si="37"/>
        <v/>
      </c>
      <c r="T393" s="54"/>
      <c r="U393" s="54"/>
      <c r="V393" s="54"/>
      <c r="W393" s="54"/>
      <c r="X393" s="69" t="str">
        <f t="shared" si="34"/>
        <v>D</v>
      </c>
    </row>
    <row r="394" spans="2:24" x14ac:dyDescent="0.25">
      <c r="B394" s="91" t="str">
        <f>IFERROR(VLOOKUP(A394,Lookup!A:B,2,0),"")</f>
        <v/>
      </c>
      <c r="C394" s="59" t="str">
        <f>IFERROR(VLOOKUP(A394,Lookup!A:C,3,0),"")</f>
        <v/>
      </c>
      <c r="D394" s="54"/>
      <c r="E394" s="54"/>
      <c r="F394" s="54"/>
      <c r="G394" s="72"/>
      <c r="H394" s="54"/>
      <c r="I394" s="54"/>
      <c r="J394" s="106">
        <f>VLOOKUP(A394&amp;G394,Lookup!J:N,5,0)</f>
        <v>0</v>
      </c>
      <c r="K394" s="115"/>
      <c r="L394" s="115"/>
      <c r="M394" s="115"/>
      <c r="N394" s="115"/>
      <c r="O394" s="90">
        <f>IFERROR(VLOOKUP(A394&amp;G394,Lookup!J:K,2,0),"")</f>
        <v>0</v>
      </c>
      <c r="P394" s="110" t="str">
        <f t="shared" si="35"/>
        <v/>
      </c>
      <c r="Q394" s="115"/>
      <c r="R394" s="87" t="str">
        <f t="shared" si="36"/>
        <v/>
      </c>
      <c r="S394" s="87" t="str">
        <f t="shared" si="37"/>
        <v/>
      </c>
      <c r="T394" s="54"/>
      <c r="U394" s="54"/>
      <c r="V394" s="54"/>
      <c r="W394" s="54"/>
      <c r="X394" s="69" t="str">
        <f t="shared" si="34"/>
        <v>D</v>
      </c>
    </row>
    <row r="395" spans="2:24" x14ac:dyDescent="0.25">
      <c r="B395" s="91" t="str">
        <f>IFERROR(VLOOKUP(A395,Lookup!A:B,2,0),"")</f>
        <v/>
      </c>
      <c r="C395" s="59" t="str">
        <f>IFERROR(VLOOKUP(A395,Lookup!A:C,3,0),"")</f>
        <v/>
      </c>
      <c r="D395" s="54"/>
      <c r="E395" s="54"/>
      <c r="F395" s="54"/>
      <c r="G395" s="72"/>
      <c r="H395" s="54"/>
      <c r="I395" s="54"/>
      <c r="J395" s="106">
        <f>VLOOKUP(A395&amp;G395,Lookup!J:N,5,0)</f>
        <v>0</v>
      </c>
      <c r="K395" s="115"/>
      <c r="L395" s="115"/>
      <c r="M395" s="115"/>
      <c r="N395" s="115"/>
      <c r="O395" s="90">
        <f>IFERROR(VLOOKUP(A395&amp;G395,Lookup!J:K,2,0),"")</f>
        <v>0</v>
      </c>
      <c r="P395" s="110" t="str">
        <f t="shared" si="35"/>
        <v/>
      </c>
      <c r="Q395" s="115"/>
      <c r="R395" s="87" t="str">
        <f t="shared" si="36"/>
        <v/>
      </c>
      <c r="S395" s="87" t="str">
        <f t="shared" si="37"/>
        <v/>
      </c>
      <c r="T395" s="54"/>
      <c r="U395" s="54"/>
      <c r="V395" s="54"/>
      <c r="W395" s="54"/>
      <c r="X395" s="69" t="str">
        <f t="shared" si="34"/>
        <v>D</v>
      </c>
    </row>
    <row r="396" spans="2:24" x14ac:dyDescent="0.25">
      <c r="B396" s="91" t="str">
        <f>IFERROR(VLOOKUP(A396,Lookup!A:B,2,0),"")</f>
        <v/>
      </c>
      <c r="C396" s="59" t="str">
        <f>IFERROR(VLOOKUP(A396,Lookup!A:C,3,0),"")</f>
        <v/>
      </c>
      <c r="D396" s="54"/>
      <c r="E396" s="54"/>
      <c r="F396" s="54"/>
      <c r="G396" s="72"/>
      <c r="H396" s="54"/>
      <c r="I396" s="54"/>
      <c r="J396" s="106">
        <f>VLOOKUP(A396&amp;G396,Lookup!J:N,5,0)</f>
        <v>0</v>
      </c>
      <c r="K396" s="115"/>
      <c r="L396" s="115"/>
      <c r="M396" s="115"/>
      <c r="N396" s="115"/>
      <c r="O396" s="90">
        <f>IFERROR(VLOOKUP(A396&amp;G396,Lookup!J:K,2,0),"")</f>
        <v>0</v>
      </c>
      <c r="P396" s="110" t="str">
        <f t="shared" si="35"/>
        <v/>
      </c>
      <c r="Q396" s="115"/>
      <c r="R396" s="87" t="str">
        <f t="shared" si="36"/>
        <v/>
      </c>
      <c r="S396" s="87" t="str">
        <f t="shared" si="37"/>
        <v/>
      </c>
      <c r="T396" s="54"/>
      <c r="U396" s="54"/>
      <c r="V396" s="54"/>
      <c r="W396" s="54"/>
      <c r="X396" s="69" t="str">
        <f t="shared" si="34"/>
        <v>D</v>
      </c>
    </row>
    <row r="397" spans="2:24" x14ac:dyDescent="0.25">
      <c r="B397" s="91" t="str">
        <f>IFERROR(VLOOKUP(A397,Lookup!A:B,2,0),"")</f>
        <v/>
      </c>
      <c r="C397" s="59" t="str">
        <f>IFERROR(VLOOKUP(A397,Lookup!A:C,3,0),"")</f>
        <v/>
      </c>
      <c r="D397" s="54"/>
      <c r="E397" s="54"/>
      <c r="F397" s="54"/>
      <c r="G397" s="72"/>
      <c r="H397" s="54"/>
      <c r="I397" s="54"/>
      <c r="J397" s="106">
        <f>VLOOKUP(A397&amp;G397,Lookup!J:N,5,0)</f>
        <v>0</v>
      </c>
      <c r="K397" s="115"/>
      <c r="L397" s="115"/>
      <c r="M397" s="115"/>
      <c r="N397" s="115"/>
      <c r="O397" s="90">
        <f>IFERROR(VLOOKUP(A397&amp;G397,Lookup!J:K,2,0),"")</f>
        <v>0</v>
      </c>
      <c r="P397" s="110" t="str">
        <f t="shared" si="35"/>
        <v/>
      </c>
      <c r="Q397" s="115"/>
      <c r="R397" s="87" t="str">
        <f t="shared" si="36"/>
        <v/>
      </c>
      <c r="S397" s="87" t="str">
        <f t="shared" si="37"/>
        <v/>
      </c>
      <c r="T397" s="54"/>
      <c r="U397" s="54"/>
      <c r="V397" s="54"/>
      <c r="W397" s="54"/>
      <c r="X397" s="69" t="str">
        <f t="shared" si="34"/>
        <v>D</v>
      </c>
    </row>
    <row r="398" spans="2:24" x14ac:dyDescent="0.25">
      <c r="B398" s="91" t="str">
        <f>IFERROR(VLOOKUP(A398,Lookup!A:B,2,0),"")</f>
        <v/>
      </c>
      <c r="C398" s="59" t="str">
        <f>IFERROR(VLOOKUP(A398,Lookup!A:C,3,0),"")</f>
        <v/>
      </c>
      <c r="D398" s="54"/>
      <c r="E398" s="54"/>
      <c r="F398" s="54"/>
      <c r="G398" s="72"/>
      <c r="H398" s="54"/>
      <c r="I398" s="54"/>
      <c r="J398" s="106">
        <f>VLOOKUP(A398&amp;G398,Lookup!J:N,5,0)</f>
        <v>0</v>
      </c>
      <c r="K398" s="115"/>
      <c r="L398" s="115"/>
      <c r="M398" s="115"/>
      <c r="N398" s="115"/>
      <c r="O398" s="90">
        <f>IFERROR(VLOOKUP(A398&amp;G398,Lookup!J:K,2,0),"")</f>
        <v>0</v>
      </c>
      <c r="P398" s="110" t="str">
        <f t="shared" si="35"/>
        <v/>
      </c>
      <c r="Q398" s="115"/>
      <c r="R398" s="87" t="str">
        <f t="shared" si="36"/>
        <v/>
      </c>
      <c r="S398" s="87" t="str">
        <f t="shared" si="37"/>
        <v/>
      </c>
      <c r="T398" s="54"/>
      <c r="U398" s="54"/>
      <c r="V398" s="54"/>
      <c r="W398" s="54"/>
      <c r="X398" s="69" t="str">
        <f t="shared" si="34"/>
        <v>D</v>
      </c>
    </row>
    <row r="399" spans="2:24" x14ac:dyDescent="0.25">
      <c r="B399" s="91" t="str">
        <f>IFERROR(VLOOKUP(A399,Lookup!A:B,2,0),"")</f>
        <v/>
      </c>
      <c r="C399" s="59" t="str">
        <f>IFERROR(VLOOKUP(A399,Lookup!A:C,3,0),"")</f>
        <v/>
      </c>
      <c r="D399" s="54"/>
      <c r="E399" s="54"/>
      <c r="F399" s="54"/>
      <c r="G399" s="72"/>
      <c r="H399" s="54"/>
      <c r="I399" s="54"/>
      <c r="J399" s="106">
        <f>VLOOKUP(A399&amp;G399,Lookup!J:N,5,0)</f>
        <v>0</v>
      </c>
      <c r="K399" s="115"/>
      <c r="L399" s="115"/>
      <c r="M399" s="115"/>
      <c r="N399" s="115"/>
      <c r="O399" s="90">
        <f>IFERROR(VLOOKUP(A399&amp;G399,Lookup!J:K,2,0),"")</f>
        <v>0</v>
      </c>
      <c r="P399" s="110" t="str">
        <f t="shared" si="35"/>
        <v/>
      </c>
      <c r="Q399" s="115"/>
      <c r="R399" s="87" t="str">
        <f t="shared" si="36"/>
        <v/>
      </c>
      <c r="S399" s="87" t="str">
        <f t="shared" si="37"/>
        <v/>
      </c>
      <c r="T399" s="54"/>
      <c r="U399" s="54"/>
      <c r="V399" s="54"/>
      <c r="W399" s="54"/>
      <c r="X399" s="69" t="str">
        <f t="shared" si="34"/>
        <v>D</v>
      </c>
    </row>
    <row r="400" spans="2:24" x14ac:dyDescent="0.25">
      <c r="B400" s="91" t="str">
        <f>IFERROR(VLOOKUP(A400,Lookup!A:B,2,0),"")</f>
        <v/>
      </c>
      <c r="C400" s="59" t="str">
        <f>IFERROR(VLOOKUP(A400,Lookup!A:C,3,0),"")</f>
        <v/>
      </c>
      <c r="D400" s="54"/>
      <c r="E400" s="54"/>
      <c r="F400" s="54"/>
      <c r="G400" s="72"/>
      <c r="H400" s="54"/>
      <c r="I400" s="54"/>
      <c r="J400" s="106">
        <f>VLOOKUP(A400&amp;G400,Lookup!J:N,5,0)</f>
        <v>0</v>
      </c>
      <c r="K400" s="115"/>
      <c r="L400" s="115"/>
      <c r="M400" s="115"/>
      <c r="N400" s="115"/>
      <c r="O400" s="90">
        <f>IFERROR(VLOOKUP(A400&amp;G400,Lookup!J:K,2,0),"")</f>
        <v>0</v>
      </c>
      <c r="P400" s="110" t="str">
        <f t="shared" si="35"/>
        <v/>
      </c>
      <c r="Q400" s="115"/>
      <c r="R400" s="87" t="str">
        <f t="shared" si="36"/>
        <v/>
      </c>
      <c r="S400" s="87" t="str">
        <f t="shared" si="37"/>
        <v/>
      </c>
      <c r="T400" s="54"/>
      <c r="U400" s="54"/>
      <c r="V400" s="54"/>
      <c r="W400" s="54"/>
      <c r="X400" s="69" t="str">
        <f t="shared" si="34"/>
        <v>D</v>
      </c>
    </row>
    <row r="401" spans="2:24" x14ac:dyDescent="0.25">
      <c r="B401" s="91" t="str">
        <f>IFERROR(VLOOKUP(A401,Lookup!A:B,2,0),"")</f>
        <v/>
      </c>
      <c r="C401" s="59" t="str">
        <f>IFERROR(VLOOKUP(A401,Lookup!A:C,3,0),"")</f>
        <v/>
      </c>
      <c r="D401" s="54"/>
      <c r="E401" s="54"/>
      <c r="F401" s="54"/>
      <c r="G401" s="72"/>
      <c r="H401" s="54"/>
      <c r="I401" s="54"/>
      <c r="J401" s="106">
        <f>VLOOKUP(A401&amp;G401,Lookup!J:N,5,0)</f>
        <v>0</v>
      </c>
      <c r="K401" s="115"/>
      <c r="L401" s="115"/>
      <c r="M401" s="115"/>
      <c r="N401" s="115"/>
      <c r="O401" s="90">
        <f>IFERROR(VLOOKUP(A401&amp;G401,Lookup!J:K,2,0),"")</f>
        <v>0</v>
      </c>
      <c r="P401" s="110" t="str">
        <f t="shared" si="35"/>
        <v/>
      </c>
      <c r="Q401" s="115"/>
      <c r="R401" s="87" t="str">
        <f t="shared" si="36"/>
        <v/>
      </c>
      <c r="S401" s="87" t="str">
        <f t="shared" si="37"/>
        <v/>
      </c>
      <c r="T401" s="54"/>
      <c r="U401" s="54"/>
      <c r="V401" s="54"/>
      <c r="W401" s="54"/>
      <c r="X401" s="69" t="str">
        <f t="shared" si="34"/>
        <v>D</v>
      </c>
    </row>
    <row r="402" spans="2:24" x14ac:dyDescent="0.25">
      <c r="B402" s="91" t="str">
        <f>IFERROR(VLOOKUP(A402,Lookup!A:B,2,0),"")</f>
        <v/>
      </c>
      <c r="C402" s="59" t="str">
        <f>IFERROR(VLOOKUP(A402,Lookup!A:C,3,0),"")</f>
        <v/>
      </c>
      <c r="D402" s="54"/>
      <c r="E402" s="54"/>
      <c r="F402" s="54"/>
      <c r="G402" s="72"/>
      <c r="H402" s="54"/>
      <c r="I402" s="54"/>
      <c r="J402" s="106">
        <f>VLOOKUP(A402&amp;G402,Lookup!J:N,5,0)</f>
        <v>0</v>
      </c>
      <c r="K402" s="115"/>
      <c r="L402" s="115"/>
      <c r="M402" s="115"/>
      <c r="N402" s="115"/>
      <c r="O402" s="90">
        <f>IFERROR(VLOOKUP(A402&amp;G402,Lookup!J:K,2,0),"")</f>
        <v>0</v>
      </c>
      <c r="P402" s="110" t="str">
        <f t="shared" si="35"/>
        <v/>
      </c>
      <c r="Q402" s="115"/>
      <c r="R402" s="87" t="str">
        <f t="shared" si="36"/>
        <v/>
      </c>
      <c r="S402" s="87" t="str">
        <f t="shared" si="37"/>
        <v/>
      </c>
      <c r="T402" s="54"/>
      <c r="U402" s="54"/>
      <c r="V402" s="54"/>
      <c r="W402" s="54"/>
      <c r="X402" s="69" t="str">
        <f t="shared" si="34"/>
        <v>D</v>
      </c>
    </row>
    <row r="403" spans="2:24" x14ac:dyDescent="0.25">
      <c r="B403" s="91" t="str">
        <f>IFERROR(VLOOKUP(A403,Lookup!A:B,2,0),"")</f>
        <v/>
      </c>
      <c r="C403" s="59" t="str">
        <f>IFERROR(VLOOKUP(A403,Lookup!A:C,3,0),"")</f>
        <v/>
      </c>
      <c r="D403" s="54"/>
      <c r="E403" s="54"/>
      <c r="F403" s="54"/>
      <c r="G403" s="72"/>
      <c r="H403" s="54"/>
      <c r="I403" s="54"/>
      <c r="J403" s="106">
        <f>VLOOKUP(A403&amp;G403,Lookup!J:N,5,0)</f>
        <v>0</v>
      </c>
      <c r="K403" s="115"/>
      <c r="L403" s="115"/>
      <c r="M403" s="115"/>
      <c r="N403" s="115"/>
      <c r="O403" s="90">
        <f>IFERROR(VLOOKUP(A403&amp;G403,Lookup!J:K,2,0),"")</f>
        <v>0</v>
      </c>
      <c r="P403" s="110" t="str">
        <f t="shared" si="35"/>
        <v/>
      </c>
      <c r="Q403" s="115"/>
      <c r="R403" s="87" t="str">
        <f t="shared" si="36"/>
        <v/>
      </c>
      <c r="S403" s="87" t="str">
        <f t="shared" si="37"/>
        <v/>
      </c>
      <c r="T403" s="54"/>
      <c r="U403" s="54"/>
      <c r="V403" s="54"/>
      <c r="W403" s="54"/>
      <c r="X403" s="69" t="str">
        <f t="shared" si="34"/>
        <v>D</v>
      </c>
    </row>
    <row r="404" spans="2:24" x14ac:dyDescent="0.25">
      <c r="B404" s="91" t="str">
        <f>IFERROR(VLOOKUP(A404,Lookup!A:B,2,0),"")</f>
        <v/>
      </c>
      <c r="C404" s="59" t="str">
        <f>IFERROR(VLOOKUP(A404,Lookup!A:C,3,0),"")</f>
        <v/>
      </c>
      <c r="D404" s="54"/>
      <c r="E404" s="54"/>
      <c r="F404" s="54"/>
      <c r="G404" s="72"/>
      <c r="H404" s="54"/>
      <c r="I404" s="54"/>
      <c r="J404" s="106">
        <f>VLOOKUP(A404&amp;G404,Lookup!J:N,5,0)</f>
        <v>0</v>
      </c>
      <c r="K404" s="115"/>
      <c r="L404" s="115"/>
      <c r="M404" s="115"/>
      <c r="N404" s="115"/>
      <c r="O404" s="90">
        <f>IFERROR(VLOOKUP(A404&amp;G404,Lookup!J:K,2,0),"")</f>
        <v>0</v>
      </c>
      <c r="P404" s="110" t="str">
        <f t="shared" si="35"/>
        <v/>
      </c>
      <c r="Q404" s="115"/>
      <c r="R404" s="87" t="str">
        <f t="shared" si="36"/>
        <v/>
      </c>
      <c r="S404" s="87" t="str">
        <f t="shared" si="37"/>
        <v/>
      </c>
      <c r="T404" s="54"/>
      <c r="U404" s="54"/>
      <c r="V404" s="54"/>
      <c r="W404" s="54"/>
      <c r="X404" s="69" t="str">
        <f t="shared" si="34"/>
        <v>D</v>
      </c>
    </row>
    <row r="405" spans="2:24" x14ac:dyDescent="0.25">
      <c r="B405" s="91" t="str">
        <f>IFERROR(VLOOKUP(A405,Lookup!A:B,2,0),"")</f>
        <v/>
      </c>
      <c r="C405" s="59" t="str">
        <f>IFERROR(VLOOKUP(A405,Lookup!A:C,3,0),"")</f>
        <v/>
      </c>
      <c r="D405" s="54"/>
      <c r="E405" s="54"/>
      <c r="F405" s="54"/>
      <c r="G405" s="72"/>
      <c r="H405" s="54"/>
      <c r="I405" s="54"/>
      <c r="J405" s="106">
        <f>VLOOKUP(A405&amp;G405,Lookup!J:N,5,0)</f>
        <v>0</v>
      </c>
      <c r="K405" s="115"/>
      <c r="L405" s="115"/>
      <c r="M405" s="115"/>
      <c r="N405" s="115"/>
      <c r="O405" s="90">
        <f>IFERROR(VLOOKUP(A405&amp;G405,Lookup!J:K,2,0),"")</f>
        <v>0</v>
      </c>
      <c r="P405" s="110" t="str">
        <f t="shared" si="35"/>
        <v/>
      </c>
      <c r="Q405" s="115"/>
      <c r="R405" s="87" t="str">
        <f t="shared" si="36"/>
        <v/>
      </c>
      <c r="S405" s="87" t="str">
        <f t="shared" si="37"/>
        <v/>
      </c>
      <c r="T405" s="54"/>
      <c r="U405" s="54"/>
      <c r="V405" s="54"/>
      <c r="W405" s="54"/>
      <c r="X405" s="69" t="str">
        <f t="shared" si="34"/>
        <v>D</v>
      </c>
    </row>
    <row r="406" spans="2:24" x14ac:dyDescent="0.25">
      <c r="B406" s="91" t="str">
        <f>IFERROR(VLOOKUP(A406,Lookup!A:B,2,0),"")</f>
        <v/>
      </c>
      <c r="C406" s="59" t="str">
        <f>IFERROR(VLOOKUP(A406,Lookup!A:C,3,0),"")</f>
        <v/>
      </c>
      <c r="D406" s="54"/>
      <c r="E406" s="54"/>
      <c r="F406" s="54"/>
      <c r="G406" s="72"/>
      <c r="H406" s="54"/>
      <c r="I406" s="54"/>
      <c r="J406" s="106">
        <f>VLOOKUP(A406&amp;G406,Lookup!J:N,5,0)</f>
        <v>0</v>
      </c>
      <c r="K406" s="115"/>
      <c r="L406" s="115"/>
      <c r="M406" s="115"/>
      <c r="N406" s="115"/>
      <c r="O406" s="90">
        <f>IFERROR(VLOOKUP(A406&amp;G406,Lookup!J:K,2,0),"")</f>
        <v>0</v>
      </c>
      <c r="P406" s="110" t="str">
        <f t="shared" si="35"/>
        <v/>
      </c>
      <c r="Q406" s="115"/>
      <c r="R406" s="87" t="str">
        <f t="shared" si="36"/>
        <v/>
      </c>
      <c r="S406" s="87" t="str">
        <f t="shared" si="37"/>
        <v/>
      </c>
      <c r="T406" s="54"/>
      <c r="U406" s="54"/>
      <c r="V406" s="54"/>
      <c r="W406" s="54"/>
      <c r="X406" s="69" t="str">
        <f t="shared" si="34"/>
        <v>D</v>
      </c>
    </row>
    <row r="407" spans="2:24" x14ac:dyDescent="0.25">
      <c r="B407" s="91" t="str">
        <f>IFERROR(VLOOKUP(A407,Lookup!A:B,2,0),"")</f>
        <v/>
      </c>
      <c r="C407" s="59" t="str">
        <f>IFERROR(VLOOKUP(A407,Lookup!A:C,3,0),"")</f>
        <v/>
      </c>
      <c r="D407" s="54"/>
      <c r="E407" s="54"/>
      <c r="F407" s="54"/>
      <c r="G407" s="72"/>
      <c r="H407" s="54"/>
      <c r="I407" s="54"/>
      <c r="J407" s="106">
        <f>VLOOKUP(A407&amp;G407,Lookup!J:N,5,0)</f>
        <v>0</v>
      </c>
      <c r="K407" s="115"/>
      <c r="L407" s="115"/>
      <c r="M407" s="115"/>
      <c r="N407" s="115"/>
      <c r="O407" s="90">
        <f>IFERROR(VLOOKUP(A407&amp;G407,Lookup!J:K,2,0),"")</f>
        <v>0</v>
      </c>
      <c r="P407" s="110" t="str">
        <f t="shared" si="35"/>
        <v/>
      </c>
      <c r="Q407" s="115"/>
      <c r="R407" s="87" t="str">
        <f t="shared" si="36"/>
        <v/>
      </c>
      <c r="S407" s="87" t="str">
        <f t="shared" si="37"/>
        <v/>
      </c>
      <c r="T407" s="54"/>
      <c r="U407" s="54"/>
      <c r="V407" s="54"/>
      <c r="W407" s="54"/>
      <c r="X407" s="69" t="str">
        <f t="shared" si="34"/>
        <v>D</v>
      </c>
    </row>
    <row r="408" spans="2:24" x14ac:dyDescent="0.25">
      <c r="B408" s="91" t="str">
        <f>IFERROR(VLOOKUP(A408,Lookup!A:B,2,0),"")</f>
        <v/>
      </c>
      <c r="C408" s="59" t="str">
        <f>IFERROR(VLOOKUP(A408,Lookup!A:C,3,0),"")</f>
        <v/>
      </c>
      <c r="D408" s="54"/>
      <c r="E408" s="54"/>
      <c r="F408" s="54"/>
      <c r="G408" s="72"/>
      <c r="H408" s="54"/>
      <c r="I408" s="54"/>
      <c r="J408" s="106">
        <f>VLOOKUP(A408&amp;G408,Lookup!J:N,5,0)</f>
        <v>0</v>
      </c>
      <c r="K408" s="115"/>
      <c r="L408" s="115"/>
      <c r="M408" s="115"/>
      <c r="N408" s="115"/>
      <c r="O408" s="90">
        <f>IFERROR(VLOOKUP(A408&amp;G408,Lookup!J:K,2,0),"")</f>
        <v>0</v>
      </c>
      <c r="P408" s="110" t="str">
        <f t="shared" si="35"/>
        <v/>
      </c>
      <c r="Q408" s="115"/>
      <c r="R408" s="87" t="str">
        <f t="shared" si="36"/>
        <v/>
      </c>
      <c r="S408" s="87" t="str">
        <f t="shared" si="37"/>
        <v/>
      </c>
      <c r="T408" s="54"/>
      <c r="U408" s="54"/>
      <c r="V408" s="54"/>
      <c r="W408" s="54"/>
      <c r="X408" s="69" t="str">
        <f t="shared" si="34"/>
        <v>D</v>
      </c>
    </row>
    <row r="409" spans="2:24" x14ac:dyDescent="0.25">
      <c r="B409" s="91" t="str">
        <f>IFERROR(VLOOKUP(A409,Lookup!A:B,2,0),"")</f>
        <v/>
      </c>
      <c r="C409" s="59" t="str">
        <f>IFERROR(VLOOKUP(A409,Lookup!A:C,3,0),"")</f>
        <v/>
      </c>
      <c r="D409" s="54"/>
      <c r="E409" s="54"/>
      <c r="F409" s="54"/>
      <c r="G409" s="72"/>
      <c r="H409" s="54"/>
      <c r="I409" s="54"/>
      <c r="J409" s="106">
        <f>VLOOKUP(A409&amp;G409,Lookup!J:N,5,0)</f>
        <v>0</v>
      </c>
      <c r="K409" s="115"/>
      <c r="L409" s="115"/>
      <c r="M409" s="115"/>
      <c r="N409" s="115"/>
      <c r="O409" s="90">
        <f>IFERROR(VLOOKUP(A409&amp;G409,Lookup!J:K,2,0),"")</f>
        <v>0</v>
      </c>
      <c r="P409" s="110" t="str">
        <f t="shared" si="35"/>
        <v/>
      </c>
      <c r="Q409" s="115"/>
      <c r="R409" s="87" t="str">
        <f t="shared" si="36"/>
        <v/>
      </c>
      <c r="S409" s="87" t="str">
        <f t="shared" si="37"/>
        <v/>
      </c>
      <c r="T409" s="54"/>
      <c r="U409" s="54"/>
      <c r="V409" s="54"/>
      <c r="W409" s="54"/>
      <c r="X409" s="69" t="str">
        <f t="shared" si="34"/>
        <v>D</v>
      </c>
    </row>
    <row r="410" spans="2:24" x14ac:dyDescent="0.25">
      <c r="B410" s="91" t="str">
        <f>IFERROR(VLOOKUP(A410,Lookup!A:B,2,0),"")</f>
        <v/>
      </c>
      <c r="C410" s="59" t="str">
        <f>IFERROR(VLOOKUP(A410,Lookup!A:C,3,0),"")</f>
        <v/>
      </c>
      <c r="D410" s="54"/>
      <c r="E410" s="54"/>
      <c r="F410" s="54"/>
      <c r="G410" s="72"/>
      <c r="H410" s="54"/>
      <c r="I410" s="54"/>
      <c r="J410" s="106">
        <f>VLOOKUP(A410&amp;G410,Lookup!J:N,5,0)</f>
        <v>0</v>
      </c>
      <c r="K410" s="115"/>
      <c r="L410" s="115"/>
      <c r="M410" s="115"/>
      <c r="N410" s="115"/>
      <c r="O410" s="90">
        <f>IFERROR(VLOOKUP(A410&amp;G410,Lookup!J:K,2,0),"")</f>
        <v>0</v>
      </c>
      <c r="P410" s="110" t="str">
        <f t="shared" si="35"/>
        <v/>
      </c>
      <c r="Q410" s="115"/>
      <c r="R410" s="87" t="str">
        <f t="shared" si="36"/>
        <v/>
      </c>
      <c r="S410" s="87" t="str">
        <f t="shared" si="37"/>
        <v/>
      </c>
      <c r="T410" s="54"/>
      <c r="U410" s="54"/>
      <c r="V410" s="54"/>
      <c r="W410" s="54"/>
      <c r="X410" s="69" t="str">
        <f t="shared" si="34"/>
        <v>D</v>
      </c>
    </row>
    <row r="411" spans="2:24" x14ac:dyDescent="0.25">
      <c r="B411" s="91" t="str">
        <f>IFERROR(VLOOKUP(A411,Lookup!A:B,2,0),"")</f>
        <v/>
      </c>
      <c r="C411" s="59" t="str">
        <f>IFERROR(VLOOKUP(A411,Lookup!A:C,3,0),"")</f>
        <v/>
      </c>
      <c r="D411" s="54"/>
      <c r="E411" s="54"/>
      <c r="F411" s="54"/>
      <c r="G411" s="72"/>
      <c r="H411" s="54"/>
      <c r="I411" s="54"/>
      <c r="J411" s="106">
        <f>VLOOKUP(A411&amp;G411,Lookup!J:N,5,0)</f>
        <v>0</v>
      </c>
      <c r="K411" s="115"/>
      <c r="L411" s="115"/>
      <c r="M411" s="115"/>
      <c r="N411" s="115"/>
      <c r="O411" s="90">
        <f>IFERROR(VLOOKUP(A411&amp;G411,Lookup!J:K,2,0),"")</f>
        <v>0</v>
      </c>
      <c r="P411" s="110" t="str">
        <f t="shared" si="35"/>
        <v/>
      </c>
      <c r="Q411" s="115"/>
      <c r="R411" s="87" t="str">
        <f t="shared" si="36"/>
        <v/>
      </c>
      <c r="S411" s="87" t="str">
        <f t="shared" si="37"/>
        <v/>
      </c>
      <c r="T411" s="54"/>
      <c r="U411" s="54"/>
      <c r="V411" s="54"/>
      <c r="W411" s="54"/>
      <c r="X411" s="69" t="str">
        <f t="shared" si="34"/>
        <v>D</v>
      </c>
    </row>
    <row r="412" spans="2:24" x14ac:dyDescent="0.25">
      <c r="B412" s="91" t="str">
        <f>IFERROR(VLOOKUP(A412,Lookup!A:B,2,0),"")</f>
        <v/>
      </c>
      <c r="C412" s="59" t="str">
        <f>IFERROR(VLOOKUP(A412,Lookup!A:C,3,0),"")</f>
        <v/>
      </c>
      <c r="D412" s="54"/>
      <c r="E412" s="54"/>
      <c r="F412" s="54"/>
      <c r="G412" s="72"/>
      <c r="H412" s="54"/>
      <c r="I412" s="54"/>
      <c r="J412" s="106">
        <f>VLOOKUP(A412&amp;G412,Lookup!J:N,5,0)</f>
        <v>0</v>
      </c>
      <c r="K412" s="115"/>
      <c r="L412" s="115"/>
      <c r="M412" s="115"/>
      <c r="N412" s="115"/>
      <c r="O412" s="90">
        <f>IFERROR(VLOOKUP(A412&amp;G412,Lookup!J:K,2,0),"")</f>
        <v>0</v>
      </c>
      <c r="P412" s="110" t="str">
        <f t="shared" si="35"/>
        <v/>
      </c>
      <c r="Q412" s="115"/>
      <c r="R412" s="87" t="str">
        <f t="shared" si="36"/>
        <v/>
      </c>
      <c r="S412" s="87" t="str">
        <f t="shared" si="37"/>
        <v/>
      </c>
      <c r="T412" s="54"/>
      <c r="U412" s="54"/>
      <c r="V412" s="54"/>
      <c r="W412" s="54"/>
      <c r="X412" s="69" t="str">
        <f t="shared" si="34"/>
        <v>D</v>
      </c>
    </row>
    <row r="413" spans="2:24" x14ac:dyDescent="0.25">
      <c r="B413" s="91" t="str">
        <f>IFERROR(VLOOKUP(A413,Lookup!A:B,2,0),"")</f>
        <v/>
      </c>
      <c r="C413" s="59" t="str">
        <f>IFERROR(VLOOKUP(A413,Lookup!A:C,3,0),"")</f>
        <v/>
      </c>
      <c r="D413" s="54"/>
      <c r="E413" s="54"/>
      <c r="F413" s="54"/>
      <c r="G413" s="72"/>
      <c r="H413" s="54"/>
      <c r="I413" s="54"/>
      <c r="J413" s="106">
        <f>VLOOKUP(A413&amp;G413,Lookup!J:N,5,0)</f>
        <v>0</v>
      </c>
      <c r="K413" s="115"/>
      <c r="L413" s="115"/>
      <c r="M413" s="115"/>
      <c r="N413" s="115"/>
      <c r="O413" s="90">
        <f>IFERROR(VLOOKUP(A413&amp;G413,Lookup!J:K,2,0),"")</f>
        <v>0</v>
      </c>
      <c r="P413" s="110" t="str">
        <f t="shared" si="35"/>
        <v/>
      </c>
      <c r="Q413" s="115"/>
      <c r="R413" s="87" t="str">
        <f t="shared" si="36"/>
        <v/>
      </c>
      <c r="S413" s="87" t="str">
        <f t="shared" si="37"/>
        <v/>
      </c>
      <c r="T413" s="54"/>
      <c r="U413" s="54"/>
      <c r="V413" s="54"/>
      <c r="W413" s="54"/>
      <c r="X413" s="69" t="str">
        <f t="shared" si="34"/>
        <v>D</v>
      </c>
    </row>
    <row r="414" spans="2:24" x14ac:dyDescent="0.25">
      <c r="B414" s="91" t="str">
        <f>IFERROR(VLOOKUP(A414,Lookup!A:B,2,0),"")</f>
        <v/>
      </c>
      <c r="C414" s="59" t="str">
        <f>IFERROR(VLOOKUP(A414,Lookup!A:C,3,0),"")</f>
        <v/>
      </c>
      <c r="D414" s="54"/>
      <c r="E414" s="54"/>
      <c r="F414" s="54"/>
      <c r="G414" s="72"/>
      <c r="H414" s="54"/>
      <c r="I414" s="54"/>
      <c r="J414" s="106">
        <f>VLOOKUP(A414&amp;G414,Lookup!J:N,5,0)</f>
        <v>0</v>
      </c>
      <c r="K414" s="115"/>
      <c r="L414" s="115"/>
      <c r="M414" s="115"/>
      <c r="N414" s="115"/>
      <c r="O414" s="90">
        <f>IFERROR(VLOOKUP(A414&amp;G414,Lookup!J:K,2,0),"")</f>
        <v>0</v>
      </c>
      <c r="P414" s="110" t="str">
        <f t="shared" si="35"/>
        <v/>
      </c>
      <c r="Q414" s="115"/>
      <c r="R414" s="87" t="str">
        <f t="shared" si="36"/>
        <v/>
      </c>
      <c r="S414" s="87" t="str">
        <f t="shared" si="37"/>
        <v/>
      </c>
      <c r="T414" s="54"/>
      <c r="U414" s="54"/>
      <c r="V414" s="54"/>
      <c r="W414" s="54"/>
      <c r="X414" s="69" t="str">
        <f t="shared" si="34"/>
        <v>D</v>
      </c>
    </row>
    <row r="415" spans="2:24" x14ac:dyDescent="0.25">
      <c r="B415" s="91" t="str">
        <f>IFERROR(VLOOKUP(A415,Lookup!A:B,2,0),"")</f>
        <v/>
      </c>
      <c r="C415" s="59" t="str">
        <f>IFERROR(VLOOKUP(A415,Lookup!A:C,3,0),"")</f>
        <v/>
      </c>
      <c r="D415" s="54"/>
      <c r="E415" s="54"/>
      <c r="F415" s="54"/>
      <c r="G415" s="72"/>
      <c r="H415" s="54"/>
      <c r="I415" s="54"/>
      <c r="J415" s="106">
        <f>VLOOKUP(A415&amp;G415,Lookup!J:N,5,0)</f>
        <v>0</v>
      </c>
      <c r="K415" s="115"/>
      <c r="L415" s="115"/>
      <c r="M415" s="115"/>
      <c r="N415" s="115"/>
      <c r="O415" s="90">
        <f>IFERROR(VLOOKUP(A415&amp;G415,Lookup!J:K,2,0),"")</f>
        <v>0</v>
      </c>
      <c r="P415" s="110" t="str">
        <f t="shared" si="35"/>
        <v/>
      </c>
      <c r="Q415" s="115"/>
      <c r="R415" s="87" t="str">
        <f t="shared" si="36"/>
        <v/>
      </c>
      <c r="S415" s="87" t="str">
        <f t="shared" si="37"/>
        <v/>
      </c>
      <c r="T415" s="54"/>
      <c r="U415" s="54"/>
      <c r="V415" s="54"/>
      <c r="W415" s="54"/>
      <c r="X415" s="69" t="str">
        <f t="shared" si="34"/>
        <v>D</v>
      </c>
    </row>
    <row r="416" spans="2:24" x14ac:dyDescent="0.25">
      <c r="B416" s="91" t="str">
        <f>IFERROR(VLOOKUP(A416,Lookup!A:B,2,0),"")</f>
        <v/>
      </c>
      <c r="C416" s="59" t="str">
        <f>IFERROR(VLOOKUP(A416,Lookup!A:C,3,0),"")</f>
        <v/>
      </c>
      <c r="D416" s="54"/>
      <c r="E416" s="54"/>
      <c r="F416" s="54"/>
      <c r="G416" s="72"/>
      <c r="H416" s="54"/>
      <c r="I416" s="54"/>
      <c r="J416" s="106">
        <f>VLOOKUP(A416&amp;G416,Lookup!J:N,5,0)</f>
        <v>0</v>
      </c>
      <c r="K416" s="115"/>
      <c r="L416" s="115"/>
      <c r="M416" s="115"/>
      <c r="N416" s="115"/>
      <c r="O416" s="90">
        <f>IFERROR(VLOOKUP(A416&amp;G416,Lookup!J:K,2,0),"")</f>
        <v>0</v>
      </c>
      <c r="P416" s="110" t="str">
        <f t="shared" si="35"/>
        <v/>
      </c>
      <c r="Q416" s="115"/>
      <c r="R416" s="87" t="str">
        <f t="shared" si="36"/>
        <v/>
      </c>
      <c r="S416" s="87" t="str">
        <f t="shared" si="37"/>
        <v/>
      </c>
      <c r="T416" s="54"/>
      <c r="U416" s="54"/>
      <c r="V416" s="54"/>
      <c r="W416" s="54"/>
      <c r="X416" s="69" t="str">
        <f t="shared" si="34"/>
        <v>D</v>
      </c>
    </row>
    <row r="417" spans="2:24" x14ac:dyDescent="0.25">
      <c r="B417" s="91" t="str">
        <f>IFERROR(VLOOKUP(A417,Lookup!A:B,2,0),"")</f>
        <v/>
      </c>
      <c r="C417" s="59" t="str">
        <f>IFERROR(VLOOKUP(A417,Lookup!A:C,3,0),"")</f>
        <v/>
      </c>
      <c r="D417" s="54"/>
      <c r="E417" s="54"/>
      <c r="F417" s="54"/>
      <c r="G417" s="72"/>
      <c r="H417" s="54"/>
      <c r="I417" s="54"/>
      <c r="J417" s="106">
        <f>VLOOKUP(A417&amp;G417,Lookup!J:N,5,0)</f>
        <v>0</v>
      </c>
      <c r="K417" s="115"/>
      <c r="L417" s="115"/>
      <c r="M417" s="115"/>
      <c r="N417" s="115"/>
      <c r="O417" s="90">
        <f>IFERROR(VLOOKUP(A417&amp;G417,Lookup!J:K,2,0),"")</f>
        <v>0</v>
      </c>
      <c r="P417" s="110" t="str">
        <f t="shared" si="35"/>
        <v/>
      </c>
      <c r="Q417" s="115"/>
      <c r="R417" s="87" t="str">
        <f t="shared" si="36"/>
        <v/>
      </c>
      <c r="S417" s="87" t="str">
        <f t="shared" si="37"/>
        <v/>
      </c>
      <c r="T417" s="54"/>
      <c r="U417" s="54"/>
      <c r="V417" s="54"/>
      <c r="W417" s="54"/>
      <c r="X417" s="69" t="str">
        <f t="shared" si="34"/>
        <v>D</v>
      </c>
    </row>
    <row r="418" spans="2:24" x14ac:dyDescent="0.25">
      <c r="B418" s="91" t="str">
        <f>IFERROR(VLOOKUP(A418,Lookup!A:B,2,0),"")</f>
        <v/>
      </c>
      <c r="C418" s="59" t="str">
        <f>IFERROR(VLOOKUP(A418,Lookup!A:C,3,0),"")</f>
        <v/>
      </c>
      <c r="D418" s="54"/>
      <c r="E418" s="54"/>
      <c r="F418" s="54"/>
      <c r="G418" s="72"/>
      <c r="H418" s="54"/>
      <c r="I418" s="54"/>
      <c r="J418" s="106">
        <f>VLOOKUP(A418&amp;G418,Lookup!J:N,5,0)</f>
        <v>0</v>
      </c>
      <c r="K418" s="115"/>
      <c r="L418" s="115"/>
      <c r="M418" s="115"/>
      <c r="N418" s="115"/>
      <c r="O418" s="90">
        <f>IFERROR(VLOOKUP(A418&amp;G418,Lookup!J:K,2,0),"")</f>
        <v>0</v>
      </c>
      <c r="P418" s="110" t="str">
        <f t="shared" si="35"/>
        <v/>
      </c>
      <c r="Q418" s="115"/>
      <c r="R418" s="87" t="str">
        <f t="shared" si="36"/>
        <v/>
      </c>
      <c r="S418" s="87" t="str">
        <f t="shared" si="37"/>
        <v/>
      </c>
      <c r="T418" s="54"/>
      <c r="U418" s="54"/>
      <c r="V418" s="54"/>
      <c r="W418" s="54"/>
      <c r="X418" s="69" t="str">
        <f t="shared" si="34"/>
        <v>D</v>
      </c>
    </row>
    <row r="419" spans="2:24" x14ac:dyDescent="0.25">
      <c r="B419" s="91" t="str">
        <f>IFERROR(VLOOKUP(A419,Lookup!A:B,2,0),"")</f>
        <v/>
      </c>
      <c r="C419" s="59" t="str">
        <f>IFERROR(VLOOKUP(A419,Lookup!A:C,3,0),"")</f>
        <v/>
      </c>
      <c r="D419" s="54"/>
      <c r="E419" s="54"/>
      <c r="F419" s="54"/>
      <c r="G419" s="72"/>
      <c r="H419" s="54"/>
      <c r="I419" s="54"/>
      <c r="J419" s="106">
        <f>VLOOKUP(A419&amp;G419,Lookup!J:N,5,0)</f>
        <v>0</v>
      </c>
      <c r="K419" s="115"/>
      <c r="L419" s="115"/>
      <c r="M419" s="115"/>
      <c r="N419" s="115"/>
      <c r="O419" s="90">
        <f>IFERROR(VLOOKUP(A419&amp;G419,Lookup!J:K,2,0),"")</f>
        <v>0</v>
      </c>
      <c r="P419" s="110" t="str">
        <f t="shared" si="35"/>
        <v/>
      </c>
      <c r="Q419" s="115"/>
      <c r="R419" s="87" t="str">
        <f t="shared" si="36"/>
        <v/>
      </c>
      <c r="S419" s="87" t="str">
        <f t="shared" si="37"/>
        <v/>
      </c>
      <c r="T419" s="54"/>
      <c r="U419" s="54"/>
      <c r="V419" s="54"/>
      <c r="W419" s="54"/>
      <c r="X419" s="69" t="str">
        <f t="shared" si="34"/>
        <v>D</v>
      </c>
    </row>
    <row r="420" spans="2:24" x14ac:dyDescent="0.25">
      <c r="B420" s="91" t="str">
        <f>IFERROR(VLOOKUP(A420,Lookup!A:B,2,0),"")</f>
        <v/>
      </c>
      <c r="C420" s="59" t="str">
        <f>IFERROR(VLOOKUP(A420,Lookup!A:C,3,0),"")</f>
        <v/>
      </c>
      <c r="D420" s="54"/>
      <c r="E420" s="54"/>
      <c r="F420" s="54"/>
      <c r="G420" s="72"/>
      <c r="H420" s="54"/>
      <c r="I420" s="54"/>
      <c r="J420" s="106">
        <f>VLOOKUP(A420&amp;G420,Lookup!J:N,5,0)</f>
        <v>0</v>
      </c>
      <c r="K420" s="115"/>
      <c r="L420" s="115"/>
      <c r="M420" s="115"/>
      <c r="N420" s="115"/>
      <c r="O420" s="90">
        <f>IFERROR(VLOOKUP(A420&amp;G420,Lookup!J:K,2,0),"")</f>
        <v>0</v>
      </c>
      <c r="P420" s="110" t="str">
        <f t="shared" si="35"/>
        <v/>
      </c>
      <c r="Q420" s="115"/>
      <c r="R420" s="87" t="str">
        <f t="shared" si="36"/>
        <v/>
      </c>
      <c r="S420" s="87" t="str">
        <f t="shared" si="37"/>
        <v/>
      </c>
      <c r="T420" s="54"/>
      <c r="U420" s="54"/>
      <c r="V420" s="54"/>
      <c r="W420" s="54"/>
      <c r="X420" s="69" t="str">
        <f t="shared" si="34"/>
        <v>D</v>
      </c>
    </row>
    <row r="421" spans="2:24" x14ac:dyDescent="0.25">
      <c r="B421" s="91" t="str">
        <f>IFERROR(VLOOKUP(A421,Lookup!A:B,2,0),"")</f>
        <v/>
      </c>
      <c r="C421" s="59" t="str">
        <f>IFERROR(VLOOKUP(A421,Lookup!A:C,3,0),"")</f>
        <v/>
      </c>
      <c r="D421" s="54"/>
      <c r="E421" s="54"/>
      <c r="F421" s="54"/>
      <c r="G421" s="72"/>
      <c r="H421" s="54"/>
      <c r="I421" s="54"/>
      <c r="J421" s="106">
        <f>VLOOKUP(A421&amp;G421,Lookup!J:N,5,0)</f>
        <v>0</v>
      </c>
      <c r="K421" s="115"/>
      <c r="L421" s="115"/>
      <c r="M421" s="115"/>
      <c r="N421" s="115"/>
      <c r="O421" s="90">
        <f>IFERROR(VLOOKUP(A421&amp;G421,Lookup!J:K,2,0),"")</f>
        <v>0</v>
      </c>
      <c r="P421" s="110" t="str">
        <f t="shared" si="35"/>
        <v/>
      </c>
      <c r="Q421" s="115"/>
      <c r="R421" s="87" t="str">
        <f t="shared" si="36"/>
        <v/>
      </c>
      <c r="S421" s="87" t="str">
        <f t="shared" si="37"/>
        <v/>
      </c>
      <c r="T421" s="54"/>
      <c r="U421" s="54"/>
      <c r="V421" s="54"/>
      <c r="W421" s="54"/>
      <c r="X421" s="69" t="str">
        <f t="shared" si="34"/>
        <v>D</v>
      </c>
    </row>
    <row r="422" spans="2:24" x14ac:dyDescent="0.25">
      <c r="B422" s="91" t="str">
        <f>IFERROR(VLOOKUP(A422,Lookup!A:B,2,0),"")</f>
        <v/>
      </c>
      <c r="C422" s="59" t="str">
        <f>IFERROR(VLOOKUP(A422,Lookup!A:C,3,0),"")</f>
        <v/>
      </c>
      <c r="D422" s="54"/>
      <c r="E422" s="54"/>
      <c r="F422" s="54"/>
      <c r="G422" s="72"/>
      <c r="H422" s="54"/>
      <c r="I422" s="54"/>
      <c r="J422" s="106">
        <f>VLOOKUP(A422&amp;G422,Lookup!J:N,5,0)</f>
        <v>0</v>
      </c>
      <c r="K422" s="115"/>
      <c r="L422" s="115"/>
      <c r="M422" s="115"/>
      <c r="N422" s="115"/>
      <c r="O422" s="90">
        <f>IFERROR(VLOOKUP(A422&amp;G422,Lookup!J:K,2,0),"")</f>
        <v>0</v>
      </c>
      <c r="P422" s="110" t="str">
        <f t="shared" si="35"/>
        <v/>
      </c>
      <c r="Q422" s="115"/>
      <c r="R422" s="87" t="str">
        <f t="shared" si="36"/>
        <v/>
      </c>
      <c r="S422" s="87" t="str">
        <f t="shared" si="37"/>
        <v/>
      </c>
      <c r="T422" s="54"/>
      <c r="U422" s="54"/>
      <c r="V422" s="54"/>
      <c r="W422" s="54"/>
      <c r="X422" s="69" t="str">
        <f t="shared" si="34"/>
        <v>D</v>
      </c>
    </row>
    <row r="423" spans="2:24" x14ac:dyDescent="0.25">
      <c r="B423" s="91" t="str">
        <f>IFERROR(VLOOKUP(A423,Lookup!A:B,2,0),"")</f>
        <v/>
      </c>
      <c r="C423" s="59" t="str">
        <f>IFERROR(VLOOKUP(A423,Lookup!A:C,3,0),"")</f>
        <v/>
      </c>
      <c r="D423" s="54"/>
      <c r="E423" s="54"/>
      <c r="F423" s="54"/>
      <c r="G423" s="72"/>
      <c r="H423" s="54"/>
      <c r="I423" s="54"/>
      <c r="J423" s="106">
        <f>VLOOKUP(A423&amp;G423,Lookup!J:N,5,0)</f>
        <v>0</v>
      </c>
      <c r="K423" s="115"/>
      <c r="L423" s="115"/>
      <c r="M423" s="115"/>
      <c r="N423" s="115"/>
      <c r="O423" s="90">
        <f>IFERROR(VLOOKUP(A423&amp;G423,Lookup!J:K,2,0),"")</f>
        <v>0</v>
      </c>
      <c r="P423" s="110" t="str">
        <f t="shared" si="35"/>
        <v/>
      </c>
      <c r="Q423" s="115"/>
      <c r="R423" s="87" t="str">
        <f t="shared" si="36"/>
        <v/>
      </c>
      <c r="S423" s="87" t="str">
        <f t="shared" si="37"/>
        <v/>
      </c>
      <c r="T423" s="54"/>
      <c r="U423" s="54"/>
      <c r="V423" s="54"/>
      <c r="W423" s="54"/>
      <c r="X423" s="69" t="str">
        <f t="shared" si="34"/>
        <v>D</v>
      </c>
    </row>
    <row r="424" spans="2:24" x14ac:dyDescent="0.25">
      <c r="B424" s="91" t="str">
        <f>IFERROR(VLOOKUP(A424,Lookup!A:B,2,0),"")</f>
        <v/>
      </c>
      <c r="C424" s="59" t="str">
        <f>IFERROR(VLOOKUP(A424,Lookup!A:C,3,0),"")</f>
        <v/>
      </c>
      <c r="D424" s="54"/>
      <c r="E424" s="54"/>
      <c r="F424" s="54"/>
      <c r="G424" s="72"/>
      <c r="H424" s="54"/>
      <c r="I424" s="54"/>
      <c r="J424" s="106">
        <f>VLOOKUP(A424&amp;G424,Lookup!J:N,5,0)</f>
        <v>0</v>
      </c>
      <c r="K424" s="115"/>
      <c r="L424" s="115"/>
      <c r="M424" s="115"/>
      <c r="N424" s="115"/>
      <c r="O424" s="90">
        <f>IFERROR(VLOOKUP(A424&amp;G424,Lookup!J:K,2,0),"")</f>
        <v>0</v>
      </c>
      <c r="P424" s="110" t="str">
        <f t="shared" si="35"/>
        <v/>
      </c>
      <c r="Q424" s="115"/>
      <c r="R424" s="87" t="str">
        <f t="shared" si="36"/>
        <v/>
      </c>
      <c r="S424" s="87" t="str">
        <f t="shared" si="37"/>
        <v/>
      </c>
      <c r="T424" s="54"/>
      <c r="U424" s="54"/>
      <c r="V424" s="54"/>
      <c r="W424" s="54"/>
      <c r="X424" s="69" t="str">
        <f t="shared" si="34"/>
        <v>D</v>
      </c>
    </row>
    <row r="425" spans="2:24" x14ac:dyDescent="0.25">
      <c r="B425" s="91" t="str">
        <f>IFERROR(VLOOKUP(A425,Lookup!A:B,2,0),"")</f>
        <v/>
      </c>
      <c r="C425" s="59" t="str">
        <f>IFERROR(VLOOKUP(A425,Lookup!A:C,3,0),"")</f>
        <v/>
      </c>
      <c r="D425" s="54"/>
      <c r="E425" s="54"/>
      <c r="F425" s="54"/>
      <c r="G425" s="72"/>
      <c r="H425" s="54"/>
      <c r="I425" s="54"/>
      <c r="J425" s="106">
        <f>VLOOKUP(A425&amp;G425,Lookup!J:N,5,0)</f>
        <v>0</v>
      </c>
      <c r="K425" s="115"/>
      <c r="L425" s="115"/>
      <c r="M425" s="115"/>
      <c r="N425" s="115"/>
      <c r="O425" s="90">
        <f>IFERROR(VLOOKUP(A425&amp;G425,Lookup!J:K,2,0),"")</f>
        <v>0</v>
      </c>
      <c r="P425" s="110" t="str">
        <f t="shared" si="35"/>
        <v/>
      </c>
      <c r="Q425" s="115"/>
      <c r="R425" s="87" t="str">
        <f t="shared" si="36"/>
        <v/>
      </c>
      <c r="S425" s="87" t="str">
        <f t="shared" si="37"/>
        <v/>
      </c>
      <c r="T425" s="54"/>
      <c r="U425" s="54"/>
      <c r="V425" s="54"/>
      <c r="W425" s="54"/>
      <c r="X425" s="69" t="str">
        <f t="shared" si="34"/>
        <v>D</v>
      </c>
    </row>
    <row r="426" spans="2:24" x14ac:dyDescent="0.25">
      <c r="B426" s="91" t="str">
        <f>IFERROR(VLOOKUP(A426,Lookup!A:B,2,0),"")</f>
        <v/>
      </c>
      <c r="C426" s="59" t="str">
        <f>IFERROR(VLOOKUP(A426,Lookup!A:C,3,0),"")</f>
        <v/>
      </c>
      <c r="D426" s="54"/>
      <c r="E426" s="54"/>
      <c r="F426" s="54"/>
      <c r="G426" s="72"/>
      <c r="H426" s="54"/>
      <c r="I426" s="54"/>
      <c r="J426" s="106">
        <f>VLOOKUP(A426&amp;G426,Lookup!J:N,5,0)</f>
        <v>0</v>
      </c>
      <c r="K426" s="115"/>
      <c r="L426" s="115"/>
      <c r="M426" s="115"/>
      <c r="N426" s="115"/>
      <c r="O426" s="90">
        <f>IFERROR(VLOOKUP(A426&amp;G426,Lookup!J:K,2,0),"")</f>
        <v>0</v>
      </c>
      <c r="P426" s="110" t="str">
        <f t="shared" si="35"/>
        <v/>
      </c>
      <c r="Q426" s="115"/>
      <c r="R426" s="87" t="str">
        <f t="shared" si="36"/>
        <v/>
      </c>
      <c r="S426" s="87" t="str">
        <f t="shared" si="37"/>
        <v/>
      </c>
      <c r="T426" s="54"/>
      <c r="U426" s="54"/>
      <c r="V426" s="54"/>
      <c r="W426" s="54"/>
      <c r="X426" s="69" t="str">
        <f t="shared" si="34"/>
        <v>D</v>
      </c>
    </row>
    <row r="427" spans="2:24" x14ac:dyDescent="0.25">
      <c r="B427" s="91" t="str">
        <f>IFERROR(VLOOKUP(A427,Lookup!A:B,2,0),"")</f>
        <v/>
      </c>
      <c r="C427" s="59" t="str">
        <f>IFERROR(VLOOKUP(A427,Lookup!A:C,3,0),"")</f>
        <v/>
      </c>
      <c r="D427" s="54"/>
      <c r="E427" s="54"/>
      <c r="F427" s="54"/>
      <c r="G427" s="72"/>
      <c r="H427" s="54"/>
      <c r="I427" s="54"/>
      <c r="J427" s="106">
        <f>VLOOKUP(A427&amp;G427,Lookup!J:N,5,0)</f>
        <v>0</v>
      </c>
      <c r="K427" s="115"/>
      <c r="L427" s="115"/>
      <c r="M427" s="115"/>
      <c r="N427" s="115"/>
      <c r="O427" s="90">
        <f>IFERROR(VLOOKUP(A427&amp;G427,Lookup!J:K,2,0),"")</f>
        <v>0</v>
      </c>
      <c r="P427" s="110" t="str">
        <f t="shared" si="35"/>
        <v/>
      </c>
      <c r="Q427" s="115"/>
      <c r="R427" s="87" t="str">
        <f t="shared" si="36"/>
        <v/>
      </c>
      <c r="S427" s="87" t="str">
        <f t="shared" si="37"/>
        <v/>
      </c>
      <c r="T427" s="54"/>
      <c r="U427" s="54"/>
      <c r="V427" s="54"/>
      <c r="W427" s="54"/>
      <c r="X427" s="69" t="str">
        <f t="shared" si="34"/>
        <v>D</v>
      </c>
    </row>
    <row r="428" spans="2:24" x14ac:dyDescent="0.25">
      <c r="B428" s="91" t="str">
        <f>IFERROR(VLOOKUP(A428,Lookup!A:B,2,0),"")</f>
        <v/>
      </c>
      <c r="C428" s="59" t="str">
        <f>IFERROR(VLOOKUP(A428,Lookup!A:C,3,0),"")</f>
        <v/>
      </c>
      <c r="D428" s="54"/>
      <c r="E428" s="54"/>
      <c r="F428" s="54"/>
      <c r="G428" s="72"/>
      <c r="H428" s="54"/>
      <c r="I428" s="54"/>
      <c r="J428" s="106">
        <f>VLOOKUP(A428&amp;G428,Lookup!J:N,5,0)</f>
        <v>0</v>
      </c>
      <c r="K428" s="115"/>
      <c r="L428" s="115"/>
      <c r="M428" s="115"/>
      <c r="N428" s="115"/>
      <c r="O428" s="90">
        <f>IFERROR(VLOOKUP(A428&amp;G428,Lookup!J:K,2,0),"")</f>
        <v>0</v>
      </c>
      <c r="P428" s="110" t="str">
        <f t="shared" si="35"/>
        <v/>
      </c>
      <c r="Q428" s="115"/>
      <c r="R428" s="87" t="str">
        <f t="shared" si="36"/>
        <v/>
      </c>
      <c r="S428" s="87" t="str">
        <f t="shared" si="37"/>
        <v/>
      </c>
      <c r="T428" s="54"/>
      <c r="U428" s="54"/>
      <c r="V428" s="54"/>
      <c r="W428" s="54"/>
      <c r="X428" s="69" t="str">
        <f t="shared" si="34"/>
        <v>D</v>
      </c>
    </row>
    <row r="429" spans="2:24" x14ac:dyDescent="0.25">
      <c r="B429" s="91" t="str">
        <f>IFERROR(VLOOKUP(A429,Lookup!A:B,2,0),"")</f>
        <v/>
      </c>
      <c r="C429" s="59" t="str">
        <f>IFERROR(VLOOKUP(A429,Lookup!A:C,3,0),"")</f>
        <v/>
      </c>
      <c r="D429" s="54"/>
      <c r="E429" s="54"/>
      <c r="F429" s="54"/>
      <c r="G429" s="72"/>
      <c r="H429" s="54"/>
      <c r="I429" s="54"/>
      <c r="J429" s="106">
        <f>VLOOKUP(A429&amp;G429,Lookup!J:N,5,0)</f>
        <v>0</v>
      </c>
      <c r="K429" s="115"/>
      <c r="L429" s="115"/>
      <c r="M429" s="115"/>
      <c r="N429" s="115"/>
      <c r="O429" s="90">
        <f>IFERROR(VLOOKUP(A429&amp;G429,Lookup!J:K,2,0),"")</f>
        <v>0</v>
      </c>
      <c r="P429" s="110" t="str">
        <f t="shared" si="35"/>
        <v/>
      </c>
      <c r="Q429" s="115"/>
      <c r="R429" s="87" t="str">
        <f t="shared" si="36"/>
        <v/>
      </c>
      <c r="S429" s="87" t="str">
        <f t="shared" si="37"/>
        <v/>
      </c>
      <c r="T429" s="54"/>
      <c r="U429" s="54"/>
      <c r="V429" s="54"/>
      <c r="W429" s="54"/>
      <c r="X429" s="69" t="str">
        <f t="shared" si="34"/>
        <v>D</v>
      </c>
    </row>
    <row r="430" spans="2:24" x14ac:dyDescent="0.25">
      <c r="B430" s="91" t="str">
        <f>IFERROR(VLOOKUP(A430,Lookup!A:B,2,0),"")</f>
        <v/>
      </c>
      <c r="C430" s="59" t="str">
        <f>IFERROR(VLOOKUP(A430,Lookup!A:C,3,0),"")</f>
        <v/>
      </c>
      <c r="D430" s="54"/>
      <c r="E430" s="54"/>
      <c r="F430" s="54"/>
      <c r="G430" s="72"/>
      <c r="H430" s="54"/>
      <c r="I430" s="54"/>
      <c r="J430" s="106">
        <f>VLOOKUP(A430&amp;G430,Lookup!J:N,5,0)</f>
        <v>0</v>
      </c>
      <c r="K430" s="115"/>
      <c r="L430" s="115"/>
      <c r="M430" s="115"/>
      <c r="N430" s="115"/>
      <c r="O430" s="90">
        <f>IFERROR(VLOOKUP(A430&amp;G430,Lookup!J:K,2,0),"")</f>
        <v>0</v>
      </c>
      <c r="P430" s="110" t="str">
        <f t="shared" si="35"/>
        <v/>
      </c>
      <c r="Q430" s="115"/>
      <c r="R430" s="87" t="str">
        <f t="shared" si="36"/>
        <v/>
      </c>
      <c r="S430" s="87" t="str">
        <f t="shared" si="37"/>
        <v/>
      </c>
      <c r="T430" s="54"/>
      <c r="U430" s="54"/>
      <c r="V430" s="54"/>
      <c r="W430" s="54"/>
      <c r="X430" s="69" t="str">
        <f t="shared" si="34"/>
        <v>D</v>
      </c>
    </row>
    <row r="431" spans="2:24" x14ac:dyDescent="0.25">
      <c r="B431" s="91" t="str">
        <f>IFERROR(VLOOKUP(A431,Lookup!A:B,2,0),"")</f>
        <v/>
      </c>
      <c r="C431" s="59" t="str">
        <f>IFERROR(VLOOKUP(A431,Lookup!A:C,3,0),"")</f>
        <v/>
      </c>
      <c r="D431" s="54"/>
      <c r="E431" s="54"/>
      <c r="F431" s="54"/>
      <c r="G431" s="72"/>
      <c r="H431" s="54"/>
      <c r="I431" s="54"/>
      <c r="J431" s="106">
        <f>VLOOKUP(A431&amp;G431,Lookup!J:N,5,0)</f>
        <v>0</v>
      </c>
      <c r="K431" s="115"/>
      <c r="L431" s="115"/>
      <c r="M431" s="115"/>
      <c r="N431" s="115"/>
      <c r="O431" s="90">
        <f>IFERROR(VLOOKUP(A431&amp;G431,Lookup!J:K,2,0),"")</f>
        <v>0</v>
      </c>
      <c r="P431" s="110" t="str">
        <f t="shared" si="35"/>
        <v/>
      </c>
      <c r="Q431" s="115"/>
      <c r="R431" s="87" t="str">
        <f t="shared" si="36"/>
        <v/>
      </c>
      <c r="S431" s="87" t="str">
        <f t="shared" si="37"/>
        <v/>
      </c>
      <c r="T431" s="54"/>
      <c r="U431" s="54"/>
      <c r="V431" s="54"/>
      <c r="W431" s="54"/>
      <c r="X431" s="69" t="str">
        <f t="shared" si="34"/>
        <v>D</v>
      </c>
    </row>
    <row r="432" spans="2:24" x14ac:dyDescent="0.25">
      <c r="B432" s="91" t="str">
        <f>IFERROR(VLOOKUP(A432,Lookup!A:B,2,0),"")</f>
        <v/>
      </c>
      <c r="C432" s="59" t="str">
        <f>IFERROR(VLOOKUP(A432,Lookup!A:C,3,0),"")</f>
        <v/>
      </c>
      <c r="D432" s="54"/>
      <c r="E432" s="54"/>
      <c r="F432" s="54"/>
      <c r="G432" s="72"/>
      <c r="H432" s="54"/>
      <c r="I432" s="54"/>
      <c r="J432" s="106">
        <f>VLOOKUP(A432&amp;G432,Lookup!J:N,5,0)</f>
        <v>0</v>
      </c>
      <c r="K432" s="115"/>
      <c r="L432" s="115"/>
      <c r="M432" s="115"/>
      <c r="N432" s="115"/>
      <c r="O432" s="90">
        <f>IFERROR(VLOOKUP(A432&amp;G432,Lookup!J:K,2,0),"")</f>
        <v>0</v>
      </c>
      <c r="P432" s="110" t="str">
        <f t="shared" si="35"/>
        <v/>
      </c>
      <c r="Q432" s="115"/>
      <c r="R432" s="87" t="str">
        <f t="shared" si="36"/>
        <v/>
      </c>
      <c r="S432" s="87" t="str">
        <f t="shared" si="37"/>
        <v/>
      </c>
      <c r="T432" s="54"/>
      <c r="U432" s="54"/>
      <c r="V432" s="54"/>
      <c r="W432" s="54"/>
      <c r="X432" s="69" t="str">
        <f t="shared" si="34"/>
        <v>D</v>
      </c>
    </row>
    <row r="433" spans="2:24" x14ac:dyDescent="0.25">
      <c r="B433" s="91" t="str">
        <f>IFERROR(VLOOKUP(A433,Lookup!A:B,2,0),"")</f>
        <v/>
      </c>
      <c r="C433" s="59" t="str">
        <f>IFERROR(VLOOKUP(A433,Lookup!A:C,3,0),"")</f>
        <v/>
      </c>
      <c r="D433" s="54"/>
      <c r="E433" s="54"/>
      <c r="F433" s="54"/>
      <c r="G433" s="72"/>
      <c r="H433" s="54"/>
      <c r="I433" s="54"/>
      <c r="J433" s="106">
        <f>VLOOKUP(A433&amp;G433,Lookup!J:N,5,0)</f>
        <v>0</v>
      </c>
      <c r="K433" s="115"/>
      <c r="L433" s="115"/>
      <c r="M433" s="115"/>
      <c r="N433" s="115"/>
      <c r="O433" s="90">
        <f>IFERROR(VLOOKUP(A433&amp;G433,Lookup!J:K,2,0),"")</f>
        <v>0</v>
      </c>
      <c r="P433" s="110" t="str">
        <f t="shared" si="35"/>
        <v/>
      </c>
      <c r="Q433" s="115"/>
      <c r="R433" s="87" t="str">
        <f t="shared" si="36"/>
        <v/>
      </c>
      <c r="S433" s="87" t="str">
        <f t="shared" si="37"/>
        <v/>
      </c>
      <c r="T433" s="54"/>
      <c r="U433" s="54"/>
      <c r="V433" s="54"/>
      <c r="W433" s="54"/>
      <c r="X433" s="69" t="str">
        <f t="shared" si="34"/>
        <v>D</v>
      </c>
    </row>
    <row r="434" spans="2:24" x14ac:dyDescent="0.25">
      <c r="B434" s="91" t="str">
        <f>IFERROR(VLOOKUP(A434,Lookup!A:B,2,0),"")</f>
        <v/>
      </c>
      <c r="C434" s="59" t="str">
        <f>IFERROR(VLOOKUP(A434,Lookup!A:C,3,0),"")</f>
        <v/>
      </c>
      <c r="D434" s="54"/>
      <c r="E434" s="54"/>
      <c r="F434" s="54"/>
      <c r="G434" s="72"/>
      <c r="H434" s="54"/>
      <c r="I434" s="54"/>
      <c r="J434" s="106">
        <f>VLOOKUP(A434&amp;G434,Lookup!J:N,5,0)</f>
        <v>0</v>
      </c>
      <c r="K434" s="115"/>
      <c r="L434" s="115"/>
      <c r="M434" s="115"/>
      <c r="N434" s="115"/>
      <c r="O434" s="90">
        <f>IFERROR(VLOOKUP(A434&amp;G434,Lookup!J:K,2,0),"")</f>
        <v>0</v>
      </c>
      <c r="P434" s="110" t="str">
        <f t="shared" si="35"/>
        <v/>
      </c>
      <c r="Q434" s="115"/>
      <c r="R434" s="87" t="str">
        <f t="shared" si="36"/>
        <v/>
      </c>
      <c r="S434" s="87" t="str">
        <f t="shared" si="37"/>
        <v/>
      </c>
      <c r="T434" s="54"/>
      <c r="U434" s="54"/>
      <c r="V434" s="54"/>
      <c r="W434" s="54"/>
      <c r="X434" s="69" t="str">
        <f t="shared" si="34"/>
        <v>D</v>
      </c>
    </row>
    <row r="435" spans="2:24" x14ac:dyDescent="0.25">
      <c r="B435" s="91" t="str">
        <f>IFERROR(VLOOKUP(A435,Lookup!A:B,2,0),"")</f>
        <v/>
      </c>
      <c r="C435" s="59" t="str">
        <f>IFERROR(VLOOKUP(A435,Lookup!A:C,3,0),"")</f>
        <v/>
      </c>
      <c r="D435" s="54"/>
      <c r="E435" s="54"/>
      <c r="F435" s="54"/>
      <c r="G435" s="72"/>
      <c r="H435" s="54"/>
      <c r="I435" s="54"/>
      <c r="J435" s="106">
        <f>VLOOKUP(A435&amp;G435,Lookup!J:N,5,0)</f>
        <v>0</v>
      </c>
      <c r="K435" s="115"/>
      <c r="L435" s="115"/>
      <c r="M435" s="115"/>
      <c r="N435" s="115"/>
      <c r="O435" s="90">
        <f>IFERROR(VLOOKUP(A435&amp;G435,Lookup!J:K,2,0),"")</f>
        <v>0</v>
      </c>
      <c r="P435" s="110" t="str">
        <f t="shared" si="35"/>
        <v/>
      </c>
      <c r="Q435" s="115"/>
      <c r="R435" s="87" t="str">
        <f t="shared" si="36"/>
        <v/>
      </c>
      <c r="S435" s="87" t="str">
        <f t="shared" si="37"/>
        <v/>
      </c>
      <c r="T435" s="54"/>
      <c r="U435" s="54"/>
      <c r="V435" s="54"/>
      <c r="W435" s="54"/>
      <c r="X435" s="69" t="str">
        <f t="shared" si="34"/>
        <v>D</v>
      </c>
    </row>
    <row r="436" spans="2:24" x14ac:dyDescent="0.25">
      <c r="B436" s="91" t="str">
        <f>IFERROR(VLOOKUP(A436,Lookup!A:B,2,0),"")</f>
        <v/>
      </c>
      <c r="C436" s="59" t="str">
        <f>IFERROR(VLOOKUP(A436,Lookup!A:C,3,0),"")</f>
        <v/>
      </c>
      <c r="D436" s="54"/>
      <c r="E436" s="54"/>
      <c r="F436" s="54"/>
      <c r="G436" s="72"/>
      <c r="H436" s="54"/>
      <c r="I436" s="54"/>
      <c r="J436" s="106">
        <f>VLOOKUP(A436&amp;G436,Lookup!J:N,5,0)</f>
        <v>0</v>
      </c>
      <c r="K436" s="115"/>
      <c r="L436" s="115"/>
      <c r="M436" s="115"/>
      <c r="N436" s="115"/>
      <c r="O436" s="90">
        <f>IFERROR(VLOOKUP(A436&amp;G436,Lookup!J:K,2,0),"")</f>
        <v>0</v>
      </c>
      <c r="P436" s="110" t="str">
        <f t="shared" si="35"/>
        <v/>
      </c>
      <c r="Q436" s="115"/>
      <c r="R436" s="87" t="str">
        <f t="shared" si="36"/>
        <v/>
      </c>
      <c r="S436" s="87" t="str">
        <f t="shared" si="37"/>
        <v/>
      </c>
      <c r="T436" s="54"/>
      <c r="U436" s="54"/>
      <c r="V436" s="54"/>
      <c r="W436" s="54"/>
      <c r="X436" s="69" t="str">
        <f t="shared" si="34"/>
        <v>D</v>
      </c>
    </row>
    <row r="437" spans="2:24" x14ac:dyDescent="0.25">
      <c r="B437" s="91" t="str">
        <f>IFERROR(VLOOKUP(A437,Lookup!A:B,2,0),"")</f>
        <v/>
      </c>
      <c r="C437" s="59" t="str">
        <f>IFERROR(VLOOKUP(A437,Lookup!A:C,3,0),"")</f>
        <v/>
      </c>
      <c r="D437" s="54"/>
      <c r="E437" s="54"/>
      <c r="F437" s="54"/>
      <c r="G437" s="72"/>
      <c r="H437" s="54"/>
      <c r="I437" s="54"/>
      <c r="J437" s="106">
        <f>VLOOKUP(A437&amp;G437,Lookup!J:N,5,0)</f>
        <v>0</v>
      </c>
      <c r="K437" s="115"/>
      <c r="L437" s="115"/>
      <c r="M437" s="115"/>
      <c r="N437" s="115"/>
      <c r="O437" s="90">
        <f>IFERROR(VLOOKUP(A437&amp;G437,Lookup!J:K,2,0),"")</f>
        <v>0</v>
      </c>
      <c r="P437" s="110" t="str">
        <f t="shared" si="35"/>
        <v/>
      </c>
      <c r="Q437" s="115"/>
      <c r="R437" s="87" t="str">
        <f t="shared" si="36"/>
        <v/>
      </c>
      <c r="S437" s="87" t="str">
        <f t="shared" si="37"/>
        <v/>
      </c>
      <c r="T437" s="54"/>
      <c r="U437" s="54"/>
      <c r="V437" s="54"/>
      <c r="W437" s="54"/>
      <c r="X437" s="69" t="str">
        <f t="shared" si="34"/>
        <v>D</v>
      </c>
    </row>
    <row r="438" spans="2:24" x14ac:dyDescent="0.25">
      <c r="B438" s="91" t="str">
        <f>IFERROR(VLOOKUP(A438,Lookup!A:B,2,0),"")</f>
        <v/>
      </c>
      <c r="C438" s="59" t="str">
        <f>IFERROR(VLOOKUP(A438,Lookup!A:C,3,0),"")</f>
        <v/>
      </c>
      <c r="D438" s="54"/>
      <c r="E438" s="54"/>
      <c r="F438" s="54"/>
      <c r="G438" s="72"/>
      <c r="H438" s="54"/>
      <c r="I438" s="54"/>
      <c r="J438" s="106">
        <f>VLOOKUP(A438&amp;G438,Lookup!J:N,5,0)</f>
        <v>0</v>
      </c>
      <c r="K438" s="115"/>
      <c r="L438" s="115"/>
      <c r="M438" s="115"/>
      <c r="N438" s="115"/>
      <c r="O438" s="90">
        <f>IFERROR(VLOOKUP(A438&amp;G438,Lookup!J:K,2,0),"")</f>
        <v>0</v>
      </c>
      <c r="P438" s="110" t="str">
        <f t="shared" si="35"/>
        <v/>
      </c>
      <c r="Q438" s="115"/>
      <c r="R438" s="87" t="str">
        <f t="shared" si="36"/>
        <v/>
      </c>
      <c r="S438" s="87" t="str">
        <f t="shared" si="37"/>
        <v/>
      </c>
      <c r="T438" s="54"/>
      <c r="U438" s="54"/>
      <c r="V438" s="54"/>
      <c r="W438" s="54"/>
      <c r="X438" s="69" t="str">
        <f t="shared" si="34"/>
        <v>D</v>
      </c>
    </row>
    <row r="439" spans="2:24" x14ac:dyDescent="0.25">
      <c r="B439" s="91" t="str">
        <f>IFERROR(VLOOKUP(A439,Lookup!A:B,2,0),"")</f>
        <v/>
      </c>
      <c r="C439" s="59" t="str">
        <f>IFERROR(VLOOKUP(A439,Lookup!A:C,3,0),"")</f>
        <v/>
      </c>
      <c r="D439" s="54"/>
      <c r="E439" s="54"/>
      <c r="F439" s="54"/>
      <c r="G439" s="72"/>
      <c r="H439" s="54"/>
      <c r="I439" s="54"/>
      <c r="J439" s="106">
        <f>VLOOKUP(A439&amp;G439,Lookup!J:N,5,0)</f>
        <v>0</v>
      </c>
      <c r="K439" s="115"/>
      <c r="L439" s="115"/>
      <c r="M439" s="115"/>
      <c r="N439" s="115"/>
      <c r="O439" s="90">
        <f>IFERROR(VLOOKUP(A439&amp;G439,Lookup!J:K,2,0),"")</f>
        <v>0</v>
      </c>
      <c r="P439" s="110" t="str">
        <f t="shared" si="35"/>
        <v/>
      </c>
      <c r="Q439" s="115"/>
      <c r="R439" s="87" t="str">
        <f t="shared" si="36"/>
        <v/>
      </c>
      <c r="S439" s="87" t="str">
        <f t="shared" si="37"/>
        <v/>
      </c>
      <c r="T439" s="54"/>
      <c r="U439" s="54"/>
      <c r="V439" s="54"/>
      <c r="W439" s="54"/>
      <c r="X439" s="69" t="str">
        <f t="shared" si="34"/>
        <v>D</v>
      </c>
    </row>
    <row r="440" spans="2:24" x14ac:dyDescent="0.25">
      <c r="B440" s="91" t="str">
        <f>IFERROR(VLOOKUP(A440,Lookup!A:B,2,0),"")</f>
        <v/>
      </c>
      <c r="C440" s="59" t="str">
        <f>IFERROR(VLOOKUP(A440,Lookup!A:C,3,0),"")</f>
        <v/>
      </c>
      <c r="D440" s="54"/>
      <c r="E440" s="54"/>
      <c r="F440" s="54"/>
      <c r="G440" s="72"/>
      <c r="H440" s="54"/>
      <c r="I440" s="54"/>
      <c r="J440" s="106">
        <f>VLOOKUP(A440&amp;G440,Lookup!J:N,5,0)</f>
        <v>0</v>
      </c>
      <c r="K440" s="115"/>
      <c r="L440" s="115"/>
      <c r="M440" s="115"/>
      <c r="N440" s="115"/>
      <c r="O440" s="90">
        <f>IFERROR(VLOOKUP(A440&amp;G440,Lookup!J:K,2,0),"")</f>
        <v>0</v>
      </c>
      <c r="P440" s="110" t="str">
        <f t="shared" si="35"/>
        <v/>
      </c>
      <c r="Q440" s="115"/>
      <c r="R440" s="87" t="str">
        <f t="shared" si="36"/>
        <v/>
      </c>
      <c r="S440" s="87" t="str">
        <f t="shared" si="37"/>
        <v/>
      </c>
      <c r="T440" s="54"/>
      <c r="U440" s="54"/>
      <c r="V440" s="54"/>
      <c r="W440" s="54"/>
      <c r="X440" s="69" t="str">
        <f t="shared" si="34"/>
        <v>D</v>
      </c>
    </row>
    <row r="441" spans="2:24" x14ac:dyDescent="0.25">
      <c r="B441" s="91" t="str">
        <f>IFERROR(VLOOKUP(A441,Lookup!A:B,2,0),"")</f>
        <v/>
      </c>
      <c r="C441" s="59" t="str">
        <f>IFERROR(VLOOKUP(A441,Lookup!A:C,3,0),"")</f>
        <v/>
      </c>
      <c r="D441" s="54"/>
      <c r="E441" s="54"/>
      <c r="F441" s="54"/>
      <c r="G441" s="72"/>
      <c r="H441" s="54"/>
      <c r="I441" s="54"/>
      <c r="J441" s="106">
        <f>VLOOKUP(A441&amp;G441,Lookup!J:N,5,0)</f>
        <v>0</v>
      </c>
      <c r="K441" s="115"/>
      <c r="L441" s="115"/>
      <c r="M441" s="115"/>
      <c r="N441" s="115"/>
      <c r="O441" s="90">
        <f>IFERROR(VLOOKUP(A441&amp;G441,Lookup!J:K,2,0),"")</f>
        <v>0</v>
      </c>
      <c r="P441" s="110" t="str">
        <f t="shared" si="35"/>
        <v/>
      </c>
      <c r="Q441" s="115"/>
      <c r="R441" s="87" t="str">
        <f t="shared" si="36"/>
        <v/>
      </c>
      <c r="S441" s="87" t="str">
        <f t="shared" si="37"/>
        <v/>
      </c>
      <c r="T441" s="54"/>
      <c r="U441" s="54"/>
      <c r="V441" s="54"/>
      <c r="W441" s="54"/>
      <c r="X441" s="69" t="str">
        <f t="shared" si="34"/>
        <v>D</v>
      </c>
    </row>
    <row r="442" spans="2:24" x14ac:dyDescent="0.25">
      <c r="B442" s="91" t="str">
        <f>IFERROR(VLOOKUP(A442,Lookup!A:B,2,0),"")</f>
        <v/>
      </c>
      <c r="C442" s="59" t="str">
        <f>IFERROR(VLOOKUP(A442,Lookup!A:C,3,0),"")</f>
        <v/>
      </c>
      <c r="D442" s="54"/>
      <c r="E442" s="54"/>
      <c r="F442" s="54"/>
      <c r="G442" s="72"/>
      <c r="H442" s="54"/>
      <c r="I442" s="54"/>
      <c r="J442" s="106">
        <f>VLOOKUP(A442&amp;G442,Lookup!J:N,5,0)</f>
        <v>0</v>
      </c>
      <c r="K442" s="115"/>
      <c r="L442" s="115"/>
      <c r="M442" s="115"/>
      <c r="N442" s="115"/>
      <c r="O442" s="90">
        <f>IFERROR(VLOOKUP(A442&amp;G442,Lookup!J:K,2,0),"")</f>
        <v>0</v>
      </c>
      <c r="P442" s="110" t="str">
        <f t="shared" si="35"/>
        <v/>
      </c>
      <c r="Q442" s="115"/>
      <c r="R442" s="87" t="str">
        <f t="shared" si="36"/>
        <v/>
      </c>
      <c r="S442" s="87" t="str">
        <f t="shared" si="37"/>
        <v/>
      </c>
      <c r="T442" s="54"/>
      <c r="U442" s="54"/>
      <c r="V442" s="54"/>
      <c r="W442" s="54"/>
      <c r="X442" s="69" t="str">
        <f t="shared" si="34"/>
        <v>D</v>
      </c>
    </row>
    <row r="443" spans="2:24" x14ac:dyDescent="0.25">
      <c r="B443" s="91" t="str">
        <f>IFERROR(VLOOKUP(A443,Lookup!A:B,2,0),"")</f>
        <v/>
      </c>
      <c r="C443" s="59" t="str">
        <f>IFERROR(VLOOKUP(A443,Lookup!A:C,3,0),"")</f>
        <v/>
      </c>
      <c r="D443" s="54"/>
      <c r="E443" s="54"/>
      <c r="F443" s="54"/>
      <c r="G443" s="72"/>
      <c r="H443" s="54"/>
      <c r="I443" s="54"/>
      <c r="J443" s="106">
        <f>VLOOKUP(A443&amp;G443,Lookup!J:N,5,0)</f>
        <v>0</v>
      </c>
      <c r="K443" s="115"/>
      <c r="L443" s="115"/>
      <c r="M443" s="115"/>
      <c r="N443" s="115"/>
      <c r="O443" s="90">
        <f>IFERROR(VLOOKUP(A443&amp;G443,Lookup!J:K,2,0),"")</f>
        <v>0</v>
      </c>
      <c r="P443" s="110" t="str">
        <f t="shared" si="35"/>
        <v/>
      </c>
      <c r="Q443" s="115"/>
      <c r="R443" s="87" t="str">
        <f t="shared" si="36"/>
        <v/>
      </c>
      <c r="S443" s="87" t="str">
        <f t="shared" si="37"/>
        <v/>
      </c>
      <c r="T443" s="54"/>
      <c r="U443" s="54"/>
      <c r="V443" s="54"/>
      <c r="W443" s="54"/>
      <c r="X443" s="69" t="str">
        <f t="shared" si="34"/>
        <v>D</v>
      </c>
    </row>
    <row r="444" spans="2:24" x14ac:dyDescent="0.25">
      <c r="B444" s="91" t="str">
        <f>IFERROR(VLOOKUP(A444,Lookup!A:B,2,0),"")</f>
        <v/>
      </c>
      <c r="C444" s="59" t="str">
        <f>IFERROR(VLOOKUP(A444,Lookup!A:C,3,0),"")</f>
        <v/>
      </c>
      <c r="D444" s="54"/>
      <c r="E444" s="54"/>
      <c r="F444" s="54"/>
      <c r="G444" s="72"/>
      <c r="H444" s="54"/>
      <c r="I444" s="54"/>
      <c r="J444" s="106">
        <f>VLOOKUP(A444&amp;G444,Lookup!J:N,5,0)</f>
        <v>0</v>
      </c>
      <c r="K444" s="115"/>
      <c r="L444" s="115"/>
      <c r="M444" s="115"/>
      <c r="N444" s="115"/>
      <c r="O444" s="90">
        <f>IFERROR(VLOOKUP(A444&amp;G444,Lookup!J:K,2,0),"")</f>
        <v>0</v>
      </c>
      <c r="P444" s="110" t="str">
        <f t="shared" si="35"/>
        <v/>
      </c>
      <c r="Q444" s="115"/>
      <c r="R444" s="87" t="str">
        <f t="shared" si="36"/>
        <v/>
      </c>
      <c r="S444" s="87" t="str">
        <f t="shared" si="37"/>
        <v/>
      </c>
      <c r="T444" s="54"/>
      <c r="U444" s="54"/>
      <c r="V444" s="54"/>
      <c r="W444" s="54"/>
      <c r="X444" s="69" t="str">
        <f t="shared" si="34"/>
        <v>D</v>
      </c>
    </row>
    <row r="445" spans="2:24" x14ac:dyDescent="0.25">
      <c r="B445" s="91" t="str">
        <f>IFERROR(VLOOKUP(A445,Lookup!A:B,2,0),"")</f>
        <v/>
      </c>
      <c r="C445" s="59" t="str">
        <f>IFERROR(VLOOKUP(A445,Lookup!A:C,3,0),"")</f>
        <v/>
      </c>
      <c r="D445" s="54"/>
      <c r="E445" s="54"/>
      <c r="F445" s="54"/>
      <c r="G445" s="72"/>
      <c r="H445" s="54"/>
      <c r="I445" s="54"/>
      <c r="J445" s="106">
        <f>VLOOKUP(A445&amp;G445,Lookup!J:N,5,0)</f>
        <v>0</v>
      </c>
      <c r="K445" s="115"/>
      <c r="L445" s="115"/>
      <c r="M445" s="115"/>
      <c r="N445" s="115"/>
      <c r="O445" s="90">
        <f>IFERROR(VLOOKUP(A445&amp;G445,Lookup!J:K,2,0),"")</f>
        <v>0</v>
      </c>
      <c r="P445" s="110" t="str">
        <f t="shared" si="35"/>
        <v/>
      </c>
      <c r="Q445" s="115"/>
      <c r="R445" s="87" t="str">
        <f t="shared" si="36"/>
        <v/>
      </c>
      <c r="S445" s="87" t="str">
        <f t="shared" si="37"/>
        <v/>
      </c>
      <c r="T445" s="54"/>
      <c r="U445" s="54"/>
      <c r="V445" s="54"/>
      <c r="W445" s="54"/>
      <c r="X445" s="69" t="str">
        <f t="shared" si="34"/>
        <v>D</v>
      </c>
    </row>
    <row r="446" spans="2:24" x14ac:dyDescent="0.25">
      <c r="B446" s="91" t="str">
        <f>IFERROR(VLOOKUP(A446,Lookup!A:B,2,0),"")</f>
        <v/>
      </c>
      <c r="C446" s="59" t="str">
        <f>IFERROR(VLOOKUP(A446,Lookup!A:C,3,0),"")</f>
        <v/>
      </c>
      <c r="D446" s="54"/>
      <c r="E446" s="54"/>
      <c r="F446" s="54"/>
      <c r="G446" s="72"/>
      <c r="H446" s="54"/>
      <c r="I446" s="54"/>
      <c r="J446" s="106">
        <f>VLOOKUP(A446&amp;G446,Lookup!J:N,5,0)</f>
        <v>0</v>
      </c>
      <c r="K446" s="115"/>
      <c r="L446" s="115"/>
      <c r="M446" s="115"/>
      <c r="N446" s="115"/>
      <c r="O446" s="90">
        <f>IFERROR(VLOOKUP(A446&amp;G446,Lookup!J:K,2,0),"")</f>
        <v>0</v>
      </c>
      <c r="P446" s="110" t="str">
        <f t="shared" si="35"/>
        <v/>
      </c>
      <c r="Q446" s="115"/>
      <c r="R446" s="87" t="str">
        <f t="shared" si="36"/>
        <v/>
      </c>
      <c r="S446" s="87" t="str">
        <f t="shared" si="37"/>
        <v/>
      </c>
      <c r="T446" s="54"/>
      <c r="U446" s="54"/>
      <c r="V446" s="54"/>
      <c r="W446" s="54"/>
      <c r="X446" s="69" t="str">
        <f t="shared" si="34"/>
        <v>D</v>
      </c>
    </row>
    <row r="447" spans="2:24" x14ac:dyDescent="0.25">
      <c r="B447" s="91" t="str">
        <f>IFERROR(VLOOKUP(A447,Lookup!A:B,2,0),"")</f>
        <v/>
      </c>
      <c r="C447" s="59" t="str">
        <f>IFERROR(VLOOKUP(A447,Lookup!A:C,3,0),"")</f>
        <v/>
      </c>
      <c r="D447" s="54"/>
      <c r="E447" s="54"/>
      <c r="F447" s="54"/>
      <c r="G447" s="72"/>
      <c r="H447" s="54"/>
      <c r="I447" s="54"/>
      <c r="J447" s="106">
        <f>VLOOKUP(A447&amp;G447,Lookup!J:N,5,0)</f>
        <v>0</v>
      </c>
      <c r="K447" s="115"/>
      <c r="L447" s="115"/>
      <c r="M447" s="115"/>
      <c r="N447" s="115"/>
      <c r="O447" s="90">
        <f>IFERROR(VLOOKUP(A447&amp;G447,Lookup!J:K,2,0),"")</f>
        <v>0</v>
      </c>
      <c r="P447" s="110" t="str">
        <f t="shared" si="35"/>
        <v/>
      </c>
      <c r="Q447" s="115"/>
      <c r="R447" s="87" t="str">
        <f t="shared" si="36"/>
        <v/>
      </c>
      <c r="S447" s="87" t="str">
        <f t="shared" si="37"/>
        <v/>
      </c>
      <c r="T447" s="54"/>
      <c r="U447" s="54"/>
      <c r="V447" s="54"/>
      <c r="W447" s="54"/>
      <c r="X447" s="69" t="str">
        <f t="shared" si="34"/>
        <v>D</v>
      </c>
    </row>
    <row r="448" spans="2:24" x14ac:dyDescent="0.25">
      <c r="B448" s="91" t="str">
        <f>IFERROR(VLOOKUP(A448,Lookup!A:B,2,0),"")</f>
        <v/>
      </c>
      <c r="C448" s="59" t="str">
        <f>IFERROR(VLOOKUP(A448,Lookup!A:C,3,0),"")</f>
        <v/>
      </c>
      <c r="D448" s="54"/>
      <c r="E448" s="54"/>
      <c r="F448" s="54"/>
      <c r="G448" s="72"/>
      <c r="H448" s="54"/>
      <c r="I448" s="54"/>
      <c r="J448" s="106">
        <f>VLOOKUP(A448&amp;G448,Lookup!J:N,5,0)</f>
        <v>0</v>
      </c>
      <c r="K448" s="115"/>
      <c r="L448" s="115"/>
      <c r="M448" s="115"/>
      <c r="N448" s="115"/>
      <c r="O448" s="90">
        <f>IFERROR(VLOOKUP(A448&amp;G448,Lookup!J:K,2,0),"")</f>
        <v>0</v>
      </c>
      <c r="P448" s="110" t="str">
        <f t="shared" si="35"/>
        <v/>
      </c>
      <c r="Q448" s="115"/>
      <c r="R448" s="87" t="str">
        <f t="shared" si="36"/>
        <v/>
      </c>
      <c r="S448" s="87" t="str">
        <f t="shared" si="37"/>
        <v/>
      </c>
      <c r="T448" s="54"/>
      <c r="U448" s="54"/>
      <c r="V448" s="54"/>
      <c r="W448" s="54"/>
      <c r="X448" s="69" t="str">
        <f t="shared" si="34"/>
        <v>D</v>
      </c>
    </row>
    <row r="449" spans="2:24" x14ac:dyDescent="0.25">
      <c r="B449" s="91" t="str">
        <f>IFERROR(VLOOKUP(A449,Lookup!A:B,2,0),"")</f>
        <v/>
      </c>
      <c r="C449" s="59" t="str">
        <f>IFERROR(VLOOKUP(A449,Lookup!A:C,3,0),"")</f>
        <v/>
      </c>
      <c r="D449" s="54"/>
      <c r="E449" s="54"/>
      <c r="F449" s="54"/>
      <c r="G449" s="72"/>
      <c r="H449" s="54"/>
      <c r="I449" s="54"/>
      <c r="J449" s="106">
        <f>VLOOKUP(A449&amp;G449,Lookup!J:N,5,0)</f>
        <v>0</v>
      </c>
      <c r="K449" s="115"/>
      <c r="L449" s="115"/>
      <c r="M449" s="115"/>
      <c r="N449" s="115"/>
      <c r="O449" s="90">
        <f>IFERROR(VLOOKUP(A449&amp;G449,Lookup!J:K,2,0),"")</f>
        <v>0</v>
      </c>
      <c r="P449" s="110" t="str">
        <f t="shared" si="35"/>
        <v/>
      </c>
      <c r="Q449" s="115"/>
      <c r="R449" s="87" t="str">
        <f t="shared" si="36"/>
        <v/>
      </c>
      <c r="S449" s="87" t="str">
        <f t="shared" si="37"/>
        <v/>
      </c>
      <c r="T449" s="54"/>
      <c r="U449" s="54"/>
      <c r="V449" s="54"/>
      <c r="W449" s="54"/>
      <c r="X449" s="69" t="str">
        <f t="shared" ref="X449:X512" si="38">IF(I449="SET","A",IF(I449="FREQ","C",IF(I449="","D","B")))</f>
        <v>D</v>
      </c>
    </row>
    <row r="450" spans="2:24" x14ac:dyDescent="0.25">
      <c r="B450" s="91" t="str">
        <f>IFERROR(VLOOKUP(A450,Lookup!A:B,2,0),"")</f>
        <v/>
      </c>
      <c r="C450" s="59" t="str">
        <f>IFERROR(VLOOKUP(A450,Lookup!A:C,3,0),"")</f>
        <v/>
      </c>
      <c r="D450" s="54"/>
      <c r="E450" s="54"/>
      <c r="F450" s="54"/>
      <c r="G450" s="72"/>
      <c r="H450" s="54"/>
      <c r="I450" s="54"/>
      <c r="J450" s="106">
        <f>VLOOKUP(A450&amp;G450,Lookup!J:N,5,0)</f>
        <v>0</v>
      </c>
      <c r="K450" s="115"/>
      <c r="L450" s="115"/>
      <c r="M450" s="115"/>
      <c r="N450" s="115"/>
      <c r="O450" s="90">
        <f>IFERROR(VLOOKUP(A450&amp;G450,Lookup!J:K,2,0),"")</f>
        <v>0</v>
      </c>
      <c r="P450" s="110" t="str">
        <f t="shared" ref="P450:P513" si="39">IF(N450="","",N450+O450)</f>
        <v/>
      </c>
      <c r="Q450" s="115"/>
      <c r="R450" s="87" t="str">
        <f t="shared" si="36"/>
        <v/>
      </c>
      <c r="S450" s="87" t="str">
        <f t="shared" si="37"/>
        <v/>
      </c>
      <c r="T450" s="54"/>
      <c r="U450" s="54"/>
      <c r="V450" s="54"/>
      <c r="W450" s="54"/>
      <c r="X450" s="69" t="str">
        <f t="shared" si="38"/>
        <v>D</v>
      </c>
    </row>
    <row r="451" spans="2:24" x14ac:dyDescent="0.25">
      <c r="B451" s="91" t="str">
        <f>IFERROR(VLOOKUP(A451,Lookup!A:B,2,0),"")</f>
        <v/>
      </c>
      <c r="C451" s="59" t="str">
        <f>IFERROR(VLOOKUP(A451,Lookup!A:C,3,0),"")</f>
        <v/>
      </c>
      <c r="D451" s="54"/>
      <c r="E451" s="54"/>
      <c r="F451" s="54"/>
      <c r="G451" s="72"/>
      <c r="H451" s="54"/>
      <c r="I451" s="54"/>
      <c r="J451" s="106">
        <f>VLOOKUP(A451&amp;G451,Lookup!J:N,5,0)</f>
        <v>0</v>
      </c>
      <c r="K451" s="115"/>
      <c r="L451" s="115"/>
      <c r="M451" s="115"/>
      <c r="N451" s="115"/>
      <c r="O451" s="90">
        <f>IFERROR(VLOOKUP(A451&amp;G451,Lookup!J:K,2,0),"")</f>
        <v>0</v>
      </c>
      <c r="P451" s="110" t="str">
        <f t="shared" si="39"/>
        <v/>
      </c>
      <c r="Q451" s="115"/>
      <c r="R451" s="87" t="str">
        <f t="shared" ref="R451:R514" si="40">IF(OR(EXACT(N451,""), EXACT(L451,"")),"",N451-L451)</f>
        <v/>
      </c>
      <c r="S451" s="87" t="str">
        <f t="shared" si="37"/>
        <v/>
      </c>
      <c r="T451" s="54"/>
      <c r="U451" s="54"/>
      <c r="V451" s="54"/>
      <c r="W451" s="54"/>
      <c r="X451" s="69" t="str">
        <f t="shared" si="38"/>
        <v>D</v>
      </c>
    </row>
    <row r="452" spans="2:24" x14ac:dyDescent="0.25">
      <c r="B452" s="91" t="str">
        <f>IFERROR(VLOOKUP(A452,Lookup!A:B,2,0),"")</f>
        <v/>
      </c>
      <c r="C452" s="59" t="str">
        <f>IFERROR(VLOOKUP(A452,Lookup!A:C,3,0),"")</f>
        <v/>
      </c>
      <c r="D452" s="54"/>
      <c r="E452" s="54"/>
      <c r="F452" s="54"/>
      <c r="G452" s="72"/>
      <c r="H452" s="54"/>
      <c r="I452" s="54"/>
      <c r="J452" s="106">
        <f>VLOOKUP(A452&amp;G452,Lookup!J:N,5,0)</f>
        <v>0</v>
      </c>
      <c r="K452" s="115"/>
      <c r="L452" s="115"/>
      <c r="M452" s="115"/>
      <c r="N452" s="115"/>
      <c r="O452" s="90">
        <f>IFERROR(VLOOKUP(A452&amp;G452,Lookup!J:K,2,0),"")</f>
        <v>0</v>
      </c>
      <c r="P452" s="110" t="str">
        <f t="shared" si="39"/>
        <v/>
      </c>
      <c r="Q452" s="115"/>
      <c r="R452" s="87" t="str">
        <f t="shared" si="40"/>
        <v/>
      </c>
      <c r="S452" s="87" t="str">
        <f t="shared" ref="S452:S515" si="41">IF(OR(EXACT(Q452,""), EXACT(L452,"")),"",Q452-L452)</f>
        <v/>
      </c>
      <c r="T452" s="54"/>
      <c r="U452" s="54"/>
      <c r="V452" s="54"/>
      <c r="W452" s="54"/>
      <c r="X452" s="69" t="str">
        <f t="shared" si="38"/>
        <v>D</v>
      </c>
    </row>
    <row r="453" spans="2:24" x14ac:dyDescent="0.25">
      <c r="B453" s="91" t="str">
        <f>IFERROR(VLOOKUP(A453,Lookup!A:B,2,0),"")</f>
        <v/>
      </c>
      <c r="C453" s="59" t="str">
        <f>IFERROR(VLOOKUP(A453,Lookup!A:C,3,0),"")</f>
        <v/>
      </c>
      <c r="D453" s="54"/>
      <c r="E453" s="54"/>
      <c r="F453" s="54"/>
      <c r="G453" s="72"/>
      <c r="H453" s="54"/>
      <c r="I453" s="54"/>
      <c r="J453" s="106">
        <f>VLOOKUP(A453&amp;G453,Lookup!J:N,5,0)</f>
        <v>0</v>
      </c>
      <c r="K453" s="115"/>
      <c r="L453" s="115"/>
      <c r="M453" s="115"/>
      <c r="N453" s="115"/>
      <c r="O453" s="90">
        <f>IFERROR(VLOOKUP(A453&amp;G453,Lookup!J:K,2,0),"")</f>
        <v>0</v>
      </c>
      <c r="P453" s="110" t="str">
        <f t="shared" si="39"/>
        <v/>
      </c>
      <c r="Q453" s="115"/>
      <c r="R453" s="87" t="str">
        <f t="shared" si="40"/>
        <v/>
      </c>
      <c r="S453" s="87" t="str">
        <f t="shared" si="41"/>
        <v/>
      </c>
      <c r="T453" s="54"/>
      <c r="U453" s="54"/>
      <c r="V453" s="54"/>
      <c r="W453" s="54"/>
      <c r="X453" s="69" t="str">
        <f t="shared" si="38"/>
        <v>D</v>
      </c>
    </row>
    <row r="454" spans="2:24" x14ac:dyDescent="0.25">
      <c r="B454" s="91" t="str">
        <f>IFERROR(VLOOKUP(A454,Lookup!A:B,2,0),"")</f>
        <v/>
      </c>
      <c r="C454" s="59" t="str">
        <f>IFERROR(VLOOKUP(A454,Lookup!A:C,3,0),"")</f>
        <v/>
      </c>
      <c r="D454" s="54"/>
      <c r="E454" s="54"/>
      <c r="F454" s="54"/>
      <c r="G454" s="72"/>
      <c r="H454" s="54"/>
      <c r="I454" s="54"/>
      <c r="J454" s="106">
        <f>VLOOKUP(A454&amp;G454,Lookup!J:N,5,0)</f>
        <v>0</v>
      </c>
      <c r="K454" s="115"/>
      <c r="L454" s="115"/>
      <c r="M454" s="115"/>
      <c r="N454" s="115"/>
      <c r="O454" s="90">
        <f>IFERROR(VLOOKUP(A454&amp;G454,Lookup!J:K,2,0),"")</f>
        <v>0</v>
      </c>
      <c r="P454" s="110" t="str">
        <f t="shared" si="39"/>
        <v/>
      </c>
      <c r="Q454" s="115"/>
      <c r="R454" s="87" t="str">
        <f t="shared" si="40"/>
        <v/>
      </c>
      <c r="S454" s="87" t="str">
        <f t="shared" si="41"/>
        <v/>
      </c>
      <c r="T454" s="54"/>
      <c r="U454" s="54"/>
      <c r="V454" s="54"/>
      <c r="W454" s="54"/>
      <c r="X454" s="69" t="str">
        <f t="shared" si="38"/>
        <v>D</v>
      </c>
    </row>
    <row r="455" spans="2:24" x14ac:dyDescent="0.25">
      <c r="B455" s="91" t="str">
        <f>IFERROR(VLOOKUP(A455,Lookup!A:B,2,0),"")</f>
        <v/>
      </c>
      <c r="C455" s="59" t="str">
        <f>IFERROR(VLOOKUP(A455,Lookup!A:C,3,0),"")</f>
        <v/>
      </c>
      <c r="D455" s="54"/>
      <c r="E455" s="54"/>
      <c r="F455" s="54"/>
      <c r="G455" s="72"/>
      <c r="H455" s="54"/>
      <c r="I455" s="54"/>
      <c r="J455" s="106">
        <f>VLOOKUP(A455&amp;G455,Lookup!J:N,5,0)</f>
        <v>0</v>
      </c>
      <c r="K455" s="115"/>
      <c r="L455" s="115"/>
      <c r="M455" s="115"/>
      <c r="N455" s="115"/>
      <c r="O455" s="90">
        <f>IFERROR(VLOOKUP(A455&amp;G455,Lookup!J:K,2,0),"")</f>
        <v>0</v>
      </c>
      <c r="P455" s="110" t="str">
        <f t="shared" si="39"/>
        <v/>
      </c>
      <c r="Q455" s="115"/>
      <c r="R455" s="87" t="str">
        <f t="shared" si="40"/>
        <v/>
      </c>
      <c r="S455" s="87" t="str">
        <f t="shared" si="41"/>
        <v/>
      </c>
      <c r="T455" s="54"/>
      <c r="U455" s="54"/>
      <c r="V455" s="54"/>
      <c r="W455" s="54"/>
      <c r="X455" s="69" t="str">
        <f t="shared" si="38"/>
        <v>D</v>
      </c>
    </row>
    <row r="456" spans="2:24" x14ac:dyDescent="0.25">
      <c r="B456" s="91" t="str">
        <f>IFERROR(VLOOKUP(A456,Lookup!A:B,2,0),"")</f>
        <v/>
      </c>
      <c r="C456" s="59" t="str">
        <f>IFERROR(VLOOKUP(A456,Lookup!A:C,3,0),"")</f>
        <v/>
      </c>
      <c r="D456" s="54"/>
      <c r="E456" s="54"/>
      <c r="F456" s="54"/>
      <c r="G456" s="72"/>
      <c r="H456" s="54"/>
      <c r="I456" s="54"/>
      <c r="J456" s="106">
        <f>VLOOKUP(A456&amp;G456,Lookup!J:N,5,0)</f>
        <v>0</v>
      </c>
      <c r="K456" s="115"/>
      <c r="L456" s="115"/>
      <c r="M456" s="115"/>
      <c r="N456" s="115"/>
      <c r="O456" s="90">
        <f>IFERROR(VLOOKUP(A456&amp;G456,Lookup!J:K,2,0),"")</f>
        <v>0</v>
      </c>
      <c r="P456" s="110" t="str">
        <f t="shared" si="39"/>
        <v/>
      </c>
      <c r="Q456" s="115"/>
      <c r="R456" s="87" t="str">
        <f t="shared" si="40"/>
        <v/>
      </c>
      <c r="S456" s="87" t="str">
        <f t="shared" si="41"/>
        <v/>
      </c>
      <c r="T456" s="54"/>
      <c r="U456" s="54"/>
      <c r="V456" s="54"/>
      <c r="W456" s="54"/>
      <c r="X456" s="69" t="str">
        <f t="shared" si="38"/>
        <v>D</v>
      </c>
    </row>
    <row r="457" spans="2:24" x14ac:dyDescent="0.25">
      <c r="B457" s="91" t="str">
        <f>IFERROR(VLOOKUP(A457,Lookup!A:B,2,0),"")</f>
        <v/>
      </c>
      <c r="C457" s="59" t="str">
        <f>IFERROR(VLOOKUP(A457,Lookup!A:C,3,0),"")</f>
        <v/>
      </c>
      <c r="D457" s="54"/>
      <c r="E457" s="54"/>
      <c r="F457" s="54"/>
      <c r="G457" s="72"/>
      <c r="H457" s="54"/>
      <c r="I457" s="54"/>
      <c r="J457" s="106">
        <f>VLOOKUP(A457&amp;G457,Lookup!J:N,5,0)</f>
        <v>0</v>
      </c>
      <c r="K457" s="115"/>
      <c r="L457" s="115"/>
      <c r="M457" s="115"/>
      <c r="N457" s="115"/>
      <c r="O457" s="90">
        <f>IFERROR(VLOOKUP(A457&amp;G457,Lookup!J:K,2,0),"")</f>
        <v>0</v>
      </c>
      <c r="P457" s="110" t="str">
        <f t="shared" si="39"/>
        <v/>
      </c>
      <c r="Q457" s="115"/>
      <c r="R457" s="87" t="str">
        <f t="shared" si="40"/>
        <v/>
      </c>
      <c r="S457" s="87" t="str">
        <f t="shared" si="41"/>
        <v/>
      </c>
      <c r="T457" s="54"/>
      <c r="U457" s="54"/>
      <c r="V457" s="54"/>
      <c r="W457" s="54"/>
      <c r="X457" s="69" t="str">
        <f t="shared" si="38"/>
        <v>D</v>
      </c>
    </row>
    <row r="458" spans="2:24" x14ac:dyDescent="0.25">
      <c r="B458" s="91" t="str">
        <f>IFERROR(VLOOKUP(A458,Lookup!A:B,2,0),"")</f>
        <v/>
      </c>
      <c r="C458" s="59" t="str">
        <f>IFERROR(VLOOKUP(A458,Lookup!A:C,3,0),"")</f>
        <v/>
      </c>
      <c r="D458" s="54"/>
      <c r="E458" s="54"/>
      <c r="F458" s="54"/>
      <c r="G458" s="72"/>
      <c r="H458" s="54"/>
      <c r="I458" s="54"/>
      <c r="J458" s="106">
        <f>VLOOKUP(A458&amp;G458,Lookup!J:N,5,0)</f>
        <v>0</v>
      </c>
      <c r="K458" s="115"/>
      <c r="L458" s="115"/>
      <c r="M458" s="115"/>
      <c r="N458" s="115"/>
      <c r="O458" s="90">
        <f>IFERROR(VLOOKUP(A458&amp;G458,Lookup!J:K,2,0),"")</f>
        <v>0</v>
      </c>
      <c r="P458" s="110" t="str">
        <f t="shared" si="39"/>
        <v/>
      </c>
      <c r="Q458" s="115"/>
      <c r="R458" s="87" t="str">
        <f t="shared" si="40"/>
        <v/>
      </c>
      <c r="S458" s="87" t="str">
        <f t="shared" si="41"/>
        <v/>
      </c>
      <c r="T458" s="54"/>
      <c r="U458" s="54"/>
      <c r="V458" s="54"/>
      <c r="W458" s="54"/>
      <c r="X458" s="69" t="str">
        <f t="shared" si="38"/>
        <v>D</v>
      </c>
    </row>
    <row r="459" spans="2:24" x14ac:dyDescent="0.25">
      <c r="B459" s="91" t="str">
        <f>IFERROR(VLOOKUP(A459,Lookup!A:B,2,0),"")</f>
        <v/>
      </c>
      <c r="C459" s="59" t="str">
        <f>IFERROR(VLOOKUP(A459,Lookup!A:C,3,0),"")</f>
        <v/>
      </c>
      <c r="D459" s="54"/>
      <c r="E459" s="54"/>
      <c r="F459" s="54"/>
      <c r="G459" s="72"/>
      <c r="H459" s="54"/>
      <c r="I459" s="54"/>
      <c r="J459" s="106">
        <f>VLOOKUP(A459&amp;G459,Lookup!J:N,5,0)</f>
        <v>0</v>
      </c>
      <c r="K459" s="115"/>
      <c r="L459" s="115"/>
      <c r="M459" s="115"/>
      <c r="N459" s="115"/>
      <c r="O459" s="90">
        <f>IFERROR(VLOOKUP(A459&amp;G459,Lookup!J:K,2,0),"")</f>
        <v>0</v>
      </c>
      <c r="P459" s="110" t="str">
        <f t="shared" si="39"/>
        <v/>
      </c>
      <c r="Q459" s="115"/>
      <c r="R459" s="87" t="str">
        <f t="shared" si="40"/>
        <v/>
      </c>
      <c r="S459" s="87" t="str">
        <f t="shared" si="41"/>
        <v/>
      </c>
      <c r="T459" s="54"/>
      <c r="U459" s="54"/>
      <c r="V459" s="54"/>
      <c r="W459" s="54"/>
      <c r="X459" s="69" t="str">
        <f t="shared" si="38"/>
        <v>D</v>
      </c>
    </row>
    <row r="460" spans="2:24" x14ac:dyDescent="0.25">
      <c r="B460" s="91" t="str">
        <f>IFERROR(VLOOKUP(A460,Lookup!A:B,2,0),"")</f>
        <v/>
      </c>
      <c r="C460" s="59" t="str">
        <f>IFERROR(VLOOKUP(A460,Lookup!A:C,3,0),"")</f>
        <v/>
      </c>
      <c r="D460" s="54"/>
      <c r="E460" s="54"/>
      <c r="F460" s="54"/>
      <c r="G460" s="72"/>
      <c r="H460" s="54"/>
      <c r="I460" s="54"/>
      <c r="J460" s="106">
        <f>VLOOKUP(A460&amp;G460,Lookup!J:N,5,0)</f>
        <v>0</v>
      </c>
      <c r="K460" s="115"/>
      <c r="L460" s="115"/>
      <c r="M460" s="115"/>
      <c r="N460" s="115"/>
      <c r="O460" s="90">
        <f>IFERROR(VLOOKUP(A460&amp;G460,Lookup!J:K,2,0),"")</f>
        <v>0</v>
      </c>
      <c r="P460" s="110" t="str">
        <f t="shared" si="39"/>
        <v/>
      </c>
      <c r="Q460" s="115"/>
      <c r="R460" s="87" t="str">
        <f t="shared" si="40"/>
        <v/>
      </c>
      <c r="S460" s="87" t="str">
        <f t="shared" si="41"/>
        <v/>
      </c>
      <c r="T460" s="54"/>
      <c r="U460" s="54"/>
      <c r="V460" s="54"/>
      <c r="W460" s="54"/>
      <c r="X460" s="69" t="str">
        <f t="shared" si="38"/>
        <v>D</v>
      </c>
    </row>
    <row r="461" spans="2:24" x14ac:dyDescent="0.25">
      <c r="B461" s="91" t="str">
        <f>IFERROR(VLOOKUP(A461,Lookup!A:B,2,0),"")</f>
        <v/>
      </c>
      <c r="C461" s="59" t="str">
        <f>IFERROR(VLOOKUP(A461,Lookup!A:C,3,0),"")</f>
        <v/>
      </c>
      <c r="D461" s="54"/>
      <c r="E461" s="54"/>
      <c r="F461" s="54"/>
      <c r="G461" s="72"/>
      <c r="H461" s="54"/>
      <c r="I461" s="54"/>
      <c r="J461" s="106">
        <f>VLOOKUP(A461&amp;G461,Lookup!J:N,5,0)</f>
        <v>0</v>
      </c>
      <c r="K461" s="115"/>
      <c r="L461" s="115"/>
      <c r="M461" s="115"/>
      <c r="N461" s="115"/>
      <c r="O461" s="90">
        <f>IFERROR(VLOOKUP(A461&amp;G461,Lookup!J:K,2,0),"")</f>
        <v>0</v>
      </c>
      <c r="P461" s="110" t="str">
        <f t="shared" si="39"/>
        <v/>
      </c>
      <c r="Q461" s="115"/>
      <c r="R461" s="87" t="str">
        <f t="shared" si="40"/>
        <v/>
      </c>
      <c r="S461" s="87" t="str">
        <f t="shared" si="41"/>
        <v/>
      </c>
      <c r="T461" s="54"/>
      <c r="U461" s="54"/>
      <c r="V461" s="54"/>
      <c r="W461" s="54"/>
      <c r="X461" s="69" t="str">
        <f t="shared" si="38"/>
        <v>D</v>
      </c>
    </row>
    <row r="462" spans="2:24" x14ac:dyDescent="0.25">
      <c r="B462" s="91" t="str">
        <f>IFERROR(VLOOKUP(A462,Lookup!A:B,2,0),"")</f>
        <v/>
      </c>
      <c r="C462" s="59" t="str">
        <f>IFERROR(VLOOKUP(A462,Lookup!A:C,3,0),"")</f>
        <v/>
      </c>
      <c r="D462" s="54"/>
      <c r="E462" s="54"/>
      <c r="F462" s="54"/>
      <c r="G462" s="72"/>
      <c r="H462" s="54"/>
      <c r="I462" s="54"/>
      <c r="J462" s="106">
        <f>VLOOKUP(A462&amp;G462,Lookup!J:N,5,0)</f>
        <v>0</v>
      </c>
      <c r="K462" s="115"/>
      <c r="L462" s="115"/>
      <c r="M462" s="115"/>
      <c r="N462" s="115"/>
      <c r="O462" s="90">
        <f>IFERROR(VLOOKUP(A462&amp;G462,Lookup!J:K,2,0),"")</f>
        <v>0</v>
      </c>
      <c r="P462" s="110" t="str">
        <f t="shared" si="39"/>
        <v/>
      </c>
      <c r="Q462" s="115"/>
      <c r="R462" s="87" t="str">
        <f t="shared" si="40"/>
        <v/>
      </c>
      <c r="S462" s="87" t="str">
        <f t="shared" si="41"/>
        <v/>
      </c>
      <c r="T462" s="54"/>
      <c r="U462" s="54"/>
      <c r="V462" s="54"/>
      <c r="W462" s="54"/>
      <c r="X462" s="69" t="str">
        <f t="shared" si="38"/>
        <v>D</v>
      </c>
    </row>
    <row r="463" spans="2:24" x14ac:dyDescent="0.25">
      <c r="B463" s="91" t="str">
        <f>IFERROR(VLOOKUP(A463,Lookup!A:B,2,0),"")</f>
        <v/>
      </c>
      <c r="C463" s="59" t="str">
        <f>IFERROR(VLOOKUP(A463,Lookup!A:C,3,0),"")</f>
        <v/>
      </c>
      <c r="D463" s="54"/>
      <c r="E463" s="54"/>
      <c r="F463" s="54"/>
      <c r="G463" s="72"/>
      <c r="H463" s="54"/>
      <c r="I463" s="54"/>
      <c r="J463" s="106">
        <f>VLOOKUP(A463&amp;G463,Lookup!J:N,5,0)</f>
        <v>0</v>
      </c>
      <c r="K463" s="115"/>
      <c r="L463" s="115"/>
      <c r="M463" s="115"/>
      <c r="N463" s="115"/>
      <c r="O463" s="90">
        <f>IFERROR(VLOOKUP(A463&amp;G463,Lookup!J:K,2,0),"")</f>
        <v>0</v>
      </c>
      <c r="P463" s="110" t="str">
        <f t="shared" si="39"/>
        <v/>
      </c>
      <c r="Q463" s="115"/>
      <c r="R463" s="87" t="str">
        <f t="shared" si="40"/>
        <v/>
      </c>
      <c r="S463" s="87" t="str">
        <f t="shared" si="41"/>
        <v/>
      </c>
      <c r="T463" s="54"/>
      <c r="U463" s="54"/>
      <c r="V463" s="54"/>
      <c r="W463" s="54"/>
      <c r="X463" s="69" t="str">
        <f t="shared" si="38"/>
        <v>D</v>
      </c>
    </row>
    <row r="464" spans="2:24" x14ac:dyDescent="0.25">
      <c r="B464" s="91" t="str">
        <f>IFERROR(VLOOKUP(A464,Lookup!A:B,2,0),"")</f>
        <v/>
      </c>
      <c r="C464" s="59" t="str">
        <f>IFERROR(VLOOKUP(A464,Lookup!A:C,3,0),"")</f>
        <v/>
      </c>
      <c r="D464" s="54"/>
      <c r="E464" s="54"/>
      <c r="F464" s="54"/>
      <c r="G464" s="72"/>
      <c r="H464" s="54"/>
      <c r="I464" s="54"/>
      <c r="J464" s="106">
        <f>VLOOKUP(A464&amp;G464,Lookup!J:N,5,0)</f>
        <v>0</v>
      </c>
      <c r="K464" s="115"/>
      <c r="L464" s="115"/>
      <c r="M464" s="115"/>
      <c r="N464" s="115"/>
      <c r="O464" s="90">
        <f>IFERROR(VLOOKUP(A464&amp;G464,Lookup!J:K,2,0),"")</f>
        <v>0</v>
      </c>
      <c r="P464" s="110" t="str">
        <f t="shared" si="39"/>
        <v/>
      </c>
      <c r="Q464" s="115"/>
      <c r="R464" s="87" t="str">
        <f t="shared" si="40"/>
        <v/>
      </c>
      <c r="S464" s="87" t="str">
        <f t="shared" si="41"/>
        <v/>
      </c>
      <c r="T464" s="54"/>
      <c r="U464" s="54"/>
      <c r="V464" s="54"/>
      <c r="W464" s="54"/>
      <c r="X464" s="69" t="str">
        <f t="shared" si="38"/>
        <v>D</v>
      </c>
    </row>
    <row r="465" spans="2:24" x14ac:dyDescent="0.25">
      <c r="B465" s="91" t="str">
        <f>IFERROR(VLOOKUP(A465,Lookup!A:B,2,0),"")</f>
        <v/>
      </c>
      <c r="C465" s="59" t="str">
        <f>IFERROR(VLOOKUP(A465,Lookup!A:C,3,0),"")</f>
        <v/>
      </c>
      <c r="D465" s="54"/>
      <c r="E465" s="54"/>
      <c r="F465" s="54"/>
      <c r="G465" s="72"/>
      <c r="H465" s="54"/>
      <c r="I465" s="54"/>
      <c r="J465" s="106">
        <f>VLOOKUP(A465&amp;G465,Lookup!J:N,5,0)</f>
        <v>0</v>
      </c>
      <c r="K465" s="115"/>
      <c r="L465" s="115"/>
      <c r="M465" s="115"/>
      <c r="N465" s="115"/>
      <c r="O465" s="90">
        <f>IFERROR(VLOOKUP(A465&amp;G465,Lookup!J:K,2,0),"")</f>
        <v>0</v>
      </c>
      <c r="P465" s="110" t="str">
        <f t="shared" si="39"/>
        <v/>
      </c>
      <c r="Q465" s="115"/>
      <c r="R465" s="87" t="str">
        <f t="shared" si="40"/>
        <v/>
      </c>
      <c r="S465" s="87" t="str">
        <f t="shared" si="41"/>
        <v/>
      </c>
      <c r="T465" s="54"/>
      <c r="U465" s="54"/>
      <c r="V465" s="54"/>
      <c r="W465" s="54"/>
      <c r="X465" s="69" t="str">
        <f t="shared" si="38"/>
        <v>D</v>
      </c>
    </row>
    <row r="466" spans="2:24" x14ac:dyDescent="0.25">
      <c r="B466" s="91" t="str">
        <f>IFERROR(VLOOKUP(A466,Lookup!A:B,2,0),"")</f>
        <v/>
      </c>
      <c r="C466" s="59" t="str">
        <f>IFERROR(VLOOKUP(A466,Lookup!A:C,3,0),"")</f>
        <v/>
      </c>
      <c r="D466" s="54"/>
      <c r="E466" s="54"/>
      <c r="F466" s="54"/>
      <c r="G466" s="72"/>
      <c r="H466" s="54"/>
      <c r="I466" s="54"/>
      <c r="J466" s="106">
        <f>VLOOKUP(A466&amp;G466,Lookup!J:N,5,0)</f>
        <v>0</v>
      </c>
      <c r="K466" s="115"/>
      <c r="L466" s="115"/>
      <c r="M466" s="115"/>
      <c r="N466" s="115"/>
      <c r="O466" s="90">
        <f>IFERROR(VLOOKUP(A466&amp;G466,Lookup!J:K,2,0),"")</f>
        <v>0</v>
      </c>
      <c r="P466" s="110" t="str">
        <f t="shared" si="39"/>
        <v/>
      </c>
      <c r="Q466" s="115"/>
      <c r="R466" s="87" t="str">
        <f t="shared" si="40"/>
        <v/>
      </c>
      <c r="S466" s="87" t="str">
        <f t="shared" si="41"/>
        <v/>
      </c>
      <c r="T466" s="54"/>
      <c r="U466" s="54"/>
      <c r="V466" s="54"/>
      <c r="W466" s="54"/>
      <c r="X466" s="69" t="str">
        <f t="shared" si="38"/>
        <v>D</v>
      </c>
    </row>
    <row r="467" spans="2:24" x14ac:dyDescent="0.25">
      <c r="B467" s="91" t="str">
        <f>IFERROR(VLOOKUP(A467,Lookup!A:B,2,0),"")</f>
        <v/>
      </c>
      <c r="C467" s="59" t="str">
        <f>IFERROR(VLOOKUP(A467,Lookup!A:C,3,0),"")</f>
        <v/>
      </c>
      <c r="D467" s="54"/>
      <c r="E467" s="54"/>
      <c r="F467" s="54"/>
      <c r="G467" s="72"/>
      <c r="H467" s="54"/>
      <c r="I467" s="54"/>
      <c r="J467" s="106">
        <f>VLOOKUP(A467&amp;G467,Lookup!J:N,5,0)</f>
        <v>0</v>
      </c>
      <c r="K467" s="115"/>
      <c r="L467" s="115"/>
      <c r="M467" s="115"/>
      <c r="N467" s="115"/>
      <c r="O467" s="90">
        <f>IFERROR(VLOOKUP(A467&amp;G467,Lookup!J:K,2,0),"")</f>
        <v>0</v>
      </c>
      <c r="P467" s="110" t="str">
        <f t="shared" si="39"/>
        <v/>
      </c>
      <c r="Q467" s="115"/>
      <c r="R467" s="87" t="str">
        <f t="shared" si="40"/>
        <v/>
      </c>
      <c r="S467" s="87" t="str">
        <f t="shared" si="41"/>
        <v/>
      </c>
      <c r="T467" s="54"/>
      <c r="U467" s="54"/>
      <c r="V467" s="54"/>
      <c r="W467" s="54"/>
      <c r="X467" s="69" t="str">
        <f t="shared" si="38"/>
        <v>D</v>
      </c>
    </row>
    <row r="468" spans="2:24" x14ac:dyDescent="0.25">
      <c r="B468" s="91" t="str">
        <f>IFERROR(VLOOKUP(A468,Lookup!A:B,2,0),"")</f>
        <v/>
      </c>
      <c r="C468" s="59" t="str">
        <f>IFERROR(VLOOKUP(A468,Lookup!A:C,3,0),"")</f>
        <v/>
      </c>
      <c r="D468" s="54"/>
      <c r="E468" s="54"/>
      <c r="F468" s="54"/>
      <c r="G468" s="72"/>
      <c r="H468" s="54"/>
      <c r="I468" s="54"/>
      <c r="J468" s="106">
        <f>VLOOKUP(A468&amp;G468,Lookup!J:N,5,0)</f>
        <v>0</v>
      </c>
      <c r="K468" s="115"/>
      <c r="L468" s="115"/>
      <c r="M468" s="115"/>
      <c r="N468" s="115"/>
      <c r="O468" s="90">
        <f>IFERROR(VLOOKUP(A468&amp;G468,Lookup!J:K,2,0),"")</f>
        <v>0</v>
      </c>
      <c r="P468" s="110" t="str">
        <f t="shared" si="39"/>
        <v/>
      </c>
      <c r="Q468" s="115"/>
      <c r="R468" s="87" t="str">
        <f t="shared" si="40"/>
        <v/>
      </c>
      <c r="S468" s="87" t="str">
        <f t="shared" si="41"/>
        <v/>
      </c>
      <c r="T468" s="54"/>
      <c r="U468" s="54"/>
      <c r="V468" s="54"/>
      <c r="W468" s="54"/>
      <c r="X468" s="69" t="str">
        <f t="shared" si="38"/>
        <v>D</v>
      </c>
    </row>
    <row r="469" spans="2:24" x14ac:dyDescent="0.25">
      <c r="B469" s="91" t="str">
        <f>IFERROR(VLOOKUP(A469,Lookup!A:B,2,0),"")</f>
        <v/>
      </c>
      <c r="C469" s="59" t="str">
        <f>IFERROR(VLOOKUP(A469,Lookup!A:C,3,0),"")</f>
        <v/>
      </c>
      <c r="D469" s="54"/>
      <c r="E469" s="54"/>
      <c r="F469" s="54"/>
      <c r="G469" s="72"/>
      <c r="H469" s="54"/>
      <c r="I469" s="54"/>
      <c r="J469" s="106">
        <f>VLOOKUP(A469&amp;G469,Lookup!J:N,5,0)</f>
        <v>0</v>
      </c>
      <c r="K469" s="115"/>
      <c r="L469" s="115"/>
      <c r="M469" s="115"/>
      <c r="N469" s="115"/>
      <c r="O469" s="90">
        <f>IFERROR(VLOOKUP(A469&amp;G469,Lookup!J:K,2,0),"")</f>
        <v>0</v>
      </c>
      <c r="P469" s="110" t="str">
        <f t="shared" si="39"/>
        <v/>
      </c>
      <c r="Q469" s="115"/>
      <c r="R469" s="87" t="str">
        <f t="shared" si="40"/>
        <v/>
      </c>
      <c r="S469" s="87" t="str">
        <f t="shared" si="41"/>
        <v/>
      </c>
      <c r="T469" s="54"/>
      <c r="U469" s="54"/>
      <c r="V469" s="54"/>
      <c r="W469" s="54"/>
      <c r="X469" s="69" t="str">
        <f t="shared" si="38"/>
        <v>D</v>
      </c>
    </row>
    <row r="470" spans="2:24" x14ac:dyDescent="0.25">
      <c r="B470" s="91" t="str">
        <f>IFERROR(VLOOKUP(A470,Lookup!A:B,2,0),"")</f>
        <v/>
      </c>
      <c r="C470" s="59" t="str">
        <f>IFERROR(VLOOKUP(A470,Lookup!A:C,3,0),"")</f>
        <v/>
      </c>
      <c r="D470" s="54"/>
      <c r="E470" s="54"/>
      <c r="F470" s="54"/>
      <c r="G470" s="72"/>
      <c r="H470" s="54"/>
      <c r="I470" s="54"/>
      <c r="J470" s="106">
        <f>VLOOKUP(A470&amp;G470,Lookup!J:N,5,0)</f>
        <v>0</v>
      </c>
      <c r="K470" s="115"/>
      <c r="L470" s="115"/>
      <c r="M470" s="115"/>
      <c r="N470" s="115"/>
      <c r="O470" s="90">
        <f>IFERROR(VLOOKUP(A470&amp;G470,Lookup!J:K,2,0),"")</f>
        <v>0</v>
      </c>
      <c r="P470" s="110" t="str">
        <f t="shared" si="39"/>
        <v/>
      </c>
      <c r="Q470" s="115"/>
      <c r="R470" s="87" t="str">
        <f t="shared" si="40"/>
        <v/>
      </c>
      <c r="S470" s="87" t="str">
        <f t="shared" si="41"/>
        <v/>
      </c>
      <c r="T470" s="54"/>
      <c r="U470" s="54"/>
      <c r="V470" s="54"/>
      <c r="W470" s="54"/>
      <c r="X470" s="69" t="str">
        <f t="shared" si="38"/>
        <v>D</v>
      </c>
    </row>
    <row r="471" spans="2:24" x14ac:dyDescent="0.25">
      <c r="B471" s="91" t="str">
        <f>IFERROR(VLOOKUP(A471,Lookup!A:B,2,0),"")</f>
        <v/>
      </c>
      <c r="C471" s="59" t="str">
        <f>IFERROR(VLOOKUP(A471,Lookup!A:C,3,0),"")</f>
        <v/>
      </c>
      <c r="D471" s="54"/>
      <c r="E471" s="54"/>
      <c r="F471" s="54"/>
      <c r="G471" s="72"/>
      <c r="H471" s="54"/>
      <c r="I471" s="54"/>
      <c r="J471" s="106">
        <f>VLOOKUP(A471&amp;G471,Lookup!J:N,5,0)</f>
        <v>0</v>
      </c>
      <c r="K471" s="115"/>
      <c r="L471" s="115"/>
      <c r="M471" s="115"/>
      <c r="N471" s="115"/>
      <c r="O471" s="90">
        <f>IFERROR(VLOOKUP(A471&amp;G471,Lookup!J:K,2,0),"")</f>
        <v>0</v>
      </c>
      <c r="P471" s="110" t="str">
        <f t="shared" si="39"/>
        <v/>
      </c>
      <c r="Q471" s="115"/>
      <c r="R471" s="87" t="str">
        <f t="shared" si="40"/>
        <v/>
      </c>
      <c r="S471" s="87" t="str">
        <f t="shared" si="41"/>
        <v/>
      </c>
      <c r="T471" s="54"/>
      <c r="U471" s="54"/>
      <c r="V471" s="54"/>
      <c r="W471" s="54"/>
      <c r="X471" s="69" t="str">
        <f t="shared" si="38"/>
        <v>D</v>
      </c>
    </row>
    <row r="472" spans="2:24" x14ac:dyDescent="0.25">
      <c r="B472" s="91" t="str">
        <f>IFERROR(VLOOKUP(A472,Lookup!A:B,2,0),"")</f>
        <v/>
      </c>
      <c r="C472" s="59" t="str">
        <f>IFERROR(VLOOKUP(A472,Lookup!A:C,3,0),"")</f>
        <v/>
      </c>
      <c r="D472" s="54"/>
      <c r="E472" s="54"/>
      <c r="F472" s="54"/>
      <c r="G472" s="72"/>
      <c r="H472" s="54"/>
      <c r="I472" s="54"/>
      <c r="J472" s="106">
        <f>VLOOKUP(A472&amp;G472,Lookup!J:N,5,0)</f>
        <v>0</v>
      </c>
      <c r="K472" s="115"/>
      <c r="L472" s="115"/>
      <c r="M472" s="115"/>
      <c r="N472" s="115"/>
      <c r="O472" s="90">
        <f>IFERROR(VLOOKUP(A472&amp;G472,Lookup!J:K,2,0),"")</f>
        <v>0</v>
      </c>
      <c r="P472" s="110" t="str">
        <f t="shared" si="39"/>
        <v/>
      </c>
      <c r="Q472" s="115"/>
      <c r="R472" s="87" t="str">
        <f t="shared" si="40"/>
        <v/>
      </c>
      <c r="S472" s="87" t="str">
        <f t="shared" si="41"/>
        <v/>
      </c>
      <c r="T472" s="54"/>
      <c r="U472" s="54"/>
      <c r="V472" s="54"/>
      <c r="W472" s="54"/>
      <c r="X472" s="69" t="str">
        <f t="shared" si="38"/>
        <v>D</v>
      </c>
    </row>
    <row r="473" spans="2:24" x14ac:dyDescent="0.25">
      <c r="B473" s="91" t="str">
        <f>IFERROR(VLOOKUP(A473,Lookup!A:B,2,0),"")</f>
        <v/>
      </c>
      <c r="C473" s="59" t="str">
        <f>IFERROR(VLOOKUP(A473,Lookup!A:C,3,0),"")</f>
        <v/>
      </c>
      <c r="D473" s="54"/>
      <c r="E473" s="54"/>
      <c r="F473" s="54"/>
      <c r="G473" s="72"/>
      <c r="H473" s="54"/>
      <c r="I473" s="54"/>
      <c r="J473" s="106">
        <f>VLOOKUP(A473&amp;G473,Lookup!J:N,5,0)</f>
        <v>0</v>
      </c>
      <c r="K473" s="115"/>
      <c r="L473" s="115"/>
      <c r="M473" s="115"/>
      <c r="N473" s="115"/>
      <c r="O473" s="90">
        <f>IFERROR(VLOOKUP(A473&amp;G473,Lookup!J:K,2,0),"")</f>
        <v>0</v>
      </c>
      <c r="P473" s="110" t="str">
        <f t="shared" si="39"/>
        <v/>
      </c>
      <c r="Q473" s="115"/>
      <c r="R473" s="87" t="str">
        <f t="shared" si="40"/>
        <v/>
      </c>
      <c r="S473" s="87" t="str">
        <f t="shared" si="41"/>
        <v/>
      </c>
      <c r="T473" s="54"/>
      <c r="U473" s="54"/>
      <c r="V473" s="54"/>
      <c r="W473" s="54"/>
      <c r="X473" s="69" t="str">
        <f t="shared" si="38"/>
        <v>D</v>
      </c>
    </row>
    <row r="474" spans="2:24" x14ac:dyDescent="0.25">
      <c r="B474" s="91" t="str">
        <f>IFERROR(VLOOKUP(A474,Lookup!A:B,2,0),"")</f>
        <v/>
      </c>
      <c r="C474" s="59" t="str">
        <f>IFERROR(VLOOKUP(A474,Lookup!A:C,3,0),"")</f>
        <v/>
      </c>
      <c r="D474" s="54"/>
      <c r="E474" s="54"/>
      <c r="F474" s="54"/>
      <c r="G474" s="72"/>
      <c r="H474" s="54"/>
      <c r="I474" s="54"/>
      <c r="J474" s="106">
        <f>VLOOKUP(A474&amp;G474,Lookup!J:N,5,0)</f>
        <v>0</v>
      </c>
      <c r="K474" s="115"/>
      <c r="L474" s="115"/>
      <c r="M474" s="115"/>
      <c r="N474" s="115"/>
      <c r="O474" s="90">
        <f>IFERROR(VLOOKUP(A474&amp;G474,Lookup!J:K,2,0),"")</f>
        <v>0</v>
      </c>
      <c r="P474" s="110" t="str">
        <f t="shared" si="39"/>
        <v/>
      </c>
      <c r="Q474" s="115"/>
      <c r="R474" s="87" t="str">
        <f t="shared" si="40"/>
        <v/>
      </c>
      <c r="S474" s="87" t="str">
        <f t="shared" si="41"/>
        <v/>
      </c>
      <c r="T474" s="54"/>
      <c r="U474" s="54"/>
      <c r="V474" s="54"/>
      <c r="W474" s="54"/>
      <c r="X474" s="69" t="str">
        <f t="shared" si="38"/>
        <v>D</v>
      </c>
    </row>
    <row r="475" spans="2:24" x14ac:dyDescent="0.25">
      <c r="B475" s="91" t="str">
        <f>IFERROR(VLOOKUP(A475,Lookup!A:B,2,0),"")</f>
        <v/>
      </c>
      <c r="C475" s="59" t="str">
        <f>IFERROR(VLOOKUP(A475,Lookup!A:C,3,0),"")</f>
        <v/>
      </c>
      <c r="D475" s="54"/>
      <c r="E475" s="54"/>
      <c r="F475" s="54"/>
      <c r="G475" s="72"/>
      <c r="H475" s="54"/>
      <c r="I475" s="54"/>
      <c r="J475" s="106">
        <f>VLOOKUP(A475&amp;G475,Lookup!J:N,5,0)</f>
        <v>0</v>
      </c>
      <c r="K475" s="115"/>
      <c r="L475" s="115"/>
      <c r="M475" s="115"/>
      <c r="N475" s="115"/>
      <c r="O475" s="90">
        <f>IFERROR(VLOOKUP(A475&amp;G475,Lookup!J:K,2,0),"")</f>
        <v>0</v>
      </c>
      <c r="P475" s="110" t="str">
        <f t="shared" si="39"/>
        <v/>
      </c>
      <c r="Q475" s="115"/>
      <c r="R475" s="87" t="str">
        <f t="shared" si="40"/>
        <v/>
      </c>
      <c r="S475" s="87" t="str">
        <f t="shared" si="41"/>
        <v/>
      </c>
      <c r="T475" s="54"/>
      <c r="U475" s="54"/>
      <c r="V475" s="54"/>
      <c r="W475" s="54"/>
      <c r="X475" s="69" t="str">
        <f t="shared" si="38"/>
        <v>D</v>
      </c>
    </row>
    <row r="476" spans="2:24" x14ac:dyDescent="0.25">
      <c r="B476" s="91" t="str">
        <f>IFERROR(VLOOKUP(A476,Lookup!A:B,2,0),"")</f>
        <v/>
      </c>
      <c r="C476" s="59" t="str">
        <f>IFERROR(VLOOKUP(A476,Lookup!A:C,3,0),"")</f>
        <v/>
      </c>
      <c r="D476" s="54"/>
      <c r="E476" s="54"/>
      <c r="F476" s="54"/>
      <c r="G476" s="72"/>
      <c r="H476" s="54"/>
      <c r="I476" s="54"/>
      <c r="J476" s="106">
        <f>VLOOKUP(A476&amp;G476,Lookup!J:N,5,0)</f>
        <v>0</v>
      </c>
      <c r="K476" s="115"/>
      <c r="L476" s="115"/>
      <c r="M476" s="115"/>
      <c r="N476" s="115"/>
      <c r="O476" s="90">
        <f>IFERROR(VLOOKUP(A476&amp;G476,Lookup!J:K,2,0),"")</f>
        <v>0</v>
      </c>
      <c r="P476" s="110" t="str">
        <f t="shared" si="39"/>
        <v/>
      </c>
      <c r="Q476" s="115"/>
      <c r="R476" s="87" t="str">
        <f t="shared" si="40"/>
        <v/>
      </c>
      <c r="S476" s="87" t="str">
        <f t="shared" si="41"/>
        <v/>
      </c>
      <c r="T476" s="54"/>
      <c r="U476" s="54"/>
      <c r="V476" s="54"/>
      <c r="W476" s="54"/>
      <c r="X476" s="69" t="str">
        <f t="shared" si="38"/>
        <v>D</v>
      </c>
    </row>
    <row r="477" spans="2:24" x14ac:dyDescent="0.25">
      <c r="B477" s="91" t="str">
        <f>IFERROR(VLOOKUP(A477,Lookup!A:B,2,0),"")</f>
        <v/>
      </c>
      <c r="C477" s="59" t="str">
        <f>IFERROR(VLOOKUP(A477,Lookup!A:C,3,0),"")</f>
        <v/>
      </c>
      <c r="D477" s="54"/>
      <c r="E477" s="54"/>
      <c r="F477" s="54"/>
      <c r="G477" s="72"/>
      <c r="H477" s="54"/>
      <c r="I477" s="54"/>
      <c r="J477" s="106">
        <f>VLOOKUP(A477&amp;G477,Lookup!J:N,5,0)</f>
        <v>0</v>
      </c>
      <c r="K477" s="115"/>
      <c r="L477" s="115"/>
      <c r="M477" s="115"/>
      <c r="N477" s="115"/>
      <c r="O477" s="90">
        <f>IFERROR(VLOOKUP(A477&amp;G477,Lookup!J:K,2,0),"")</f>
        <v>0</v>
      </c>
      <c r="P477" s="110" t="str">
        <f t="shared" si="39"/>
        <v/>
      </c>
      <c r="Q477" s="115"/>
      <c r="R477" s="87" t="str">
        <f t="shared" si="40"/>
        <v/>
      </c>
      <c r="S477" s="87" t="str">
        <f t="shared" si="41"/>
        <v/>
      </c>
      <c r="T477" s="54"/>
      <c r="U477" s="54"/>
      <c r="V477" s="54"/>
      <c r="W477" s="54"/>
      <c r="X477" s="69" t="str">
        <f t="shared" si="38"/>
        <v>D</v>
      </c>
    </row>
    <row r="478" spans="2:24" x14ac:dyDescent="0.25">
      <c r="B478" s="91" t="str">
        <f>IFERROR(VLOOKUP(A478,Lookup!A:B,2,0),"")</f>
        <v/>
      </c>
      <c r="C478" s="59" t="str">
        <f>IFERROR(VLOOKUP(A478,Lookup!A:C,3,0),"")</f>
        <v/>
      </c>
      <c r="D478" s="54"/>
      <c r="E478" s="54"/>
      <c r="F478" s="54"/>
      <c r="G478" s="72"/>
      <c r="H478" s="54"/>
      <c r="I478" s="54"/>
      <c r="J478" s="106">
        <f>VLOOKUP(A478&amp;G478,Lookup!J:N,5,0)</f>
        <v>0</v>
      </c>
      <c r="K478" s="115"/>
      <c r="L478" s="115"/>
      <c r="M478" s="115"/>
      <c r="N478" s="115"/>
      <c r="O478" s="90">
        <f>IFERROR(VLOOKUP(A478&amp;G478,Lookup!J:K,2,0),"")</f>
        <v>0</v>
      </c>
      <c r="P478" s="110" t="str">
        <f t="shared" si="39"/>
        <v/>
      </c>
      <c r="Q478" s="115"/>
      <c r="R478" s="87" t="str">
        <f t="shared" si="40"/>
        <v/>
      </c>
      <c r="S478" s="87" t="str">
        <f t="shared" si="41"/>
        <v/>
      </c>
      <c r="T478" s="54"/>
      <c r="U478" s="54"/>
      <c r="V478" s="54"/>
      <c r="W478" s="54"/>
      <c r="X478" s="69" t="str">
        <f t="shared" si="38"/>
        <v>D</v>
      </c>
    </row>
    <row r="479" spans="2:24" x14ac:dyDescent="0.25">
      <c r="B479" s="91" t="str">
        <f>IFERROR(VLOOKUP(A479,Lookup!A:B,2,0),"")</f>
        <v/>
      </c>
      <c r="C479" s="59" t="str">
        <f>IFERROR(VLOOKUP(A479,Lookup!A:C,3,0),"")</f>
        <v/>
      </c>
      <c r="D479" s="54"/>
      <c r="E479" s="54"/>
      <c r="F479" s="54"/>
      <c r="G479" s="72"/>
      <c r="H479" s="54"/>
      <c r="I479" s="54"/>
      <c r="J479" s="106">
        <f>VLOOKUP(A479&amp;G479,Lookup!J:N,5,0)</f>
        <v>0</v>
      </c>
      <c r="K479" s="115"/>
      <c r="L479" s="115"/>
      <c r="M479" s="115"/>
      <c r="N479" s="115"/>
      <c r="O479" s="90">
        <f>IFERROR(VLOOKUP(A479&amp;G479,Lookup!J:K,2,0),"")</f>
        <v>0</v>
      </c>
      <c r="P479" s="110" t="str">
        <f t="shared" si="39"/>
        <v/>
      </c>
      <c r="Q479" s="115"/>
      <c r="R479" s="87" t="str">
        <f t="shared" si="40"/>
        <v/>
      </c>
      <c r="S479" s="87" t="str">
        <f t="shared" si="41"/>
        <v/>
      </c>
      <c r="T479" s="54"/>
      <c r="U479" s="54"/>
      <c r="V479" s="54"/>
      <c r="W479" s="54"/>
      <c r="X479" s="69" t="str">
        <f t="shared" si="38"/>
        <v>D</v>
      </c>
    </row>
    <row r="480" spans="2:24" x14ac:dyDescent="0.25">
      <c r="B480" s="91" t="str">
        <f>IFERROR(VLOOKUP(A480,Lookup!A:B,2,0),"")</f>
        <v/>
      </c>
      <c r="C480" s="59" t="str">
        <f>IFERROR(VLOOKUP(A480,Lookup!A:C,3,0),"")</f>
        <v/>
      </c>
      <c r="D480" s="54"/>
      <c r="E480" s="54"/>
      <c r="F480" s="54"/>
      <c r="G480" s="72"/>
      <c r="H480" s="54"/>
      <c r="I480" s="54"/>
      <c r="J480" s="106">
        <f>VLOOKUP(A480&amp;G480,Lookup!J:N,5,0)</f>
        <v>0</v>
      </c>
      <c r="K480" s="115"/>
      <c r="L480" s="115"/>
      <c r="M480" s="115"/>
      <c r="N480" s="115"/>
      <c r="O480" s="90">
        <f>IFERROR(VLOOKUP(A480&amp;G480,Lookup!J:K,2,0),"")</f>
        <v>0</v>
      </c>
      <c r="P480" s="110" t="str">
        <f t="shared" si="39"/>
        <v/>
      </c>
      <c r="Q480" s="115"/>
      <c r="R480" s="87" t="str">
        <f t="shared" si="40"/>
        <v/>
      </c>
      <c r="S480" s="87" t="str">
        <f t="shared" si="41"/>
        <v/>
      </c>
      <c r="T480" s="54"/>
      <c r="U480" s="54"/>
      <c r="V480" s="54"/>
      <c r="W480" s="54"/>
      <c r="X480" s="69" t="str">
        <f t="shared" si="38"/>
        <v>D</v>
      </c>
    </row>
    <row r="481" spans="2:24" x14ac:dyDescent="0.25">
      <c r="B481" s="91" t="str">
        <f>IFERROR(VLOOKUP(A481,Lookup!A:B,2,0),"")</f>
        <v/>
      </c>
      <c r="C481" s="59" t="str">
        <f>IFERROR(VLOOKUP(A481,Lookup!A:C,3,0),"")</f>
        <v/>
      </c>
      <c r="D481" s="54"/>
      <c r="E481" s="54"/>
      <c r="F481" s="54"/>
      <c r="G481" s="72"/>
      <c r="H481" s="54"/>
      <c r="I481" s="54"/>
      <c r="J481" s="106">
        <f>VLOOKUP(A481&amp;G481,Lookup!J:N,5,0)</f>
        <v>0</v>
      </c>
      <c r="K481" s="115"/>
      <c r="L481" s="115"/>
      <c r="M481" s="115"/>
      <c r="N481" s="115"/>
      <c r="O481" s="90">
        <f>IFERROR(VLOOKUP(A481&amp;G481,Lookup!J:K,2,0),"")</f>
        <v>0</v>
      </c>
      <c r="P481" s="110" t="str">
        <f t="shared" si="39"/>
        <v/>
      </c>
      <c r="Q481" s="115"/>
      <c r="R481" s="87" t="str">
        <f t="shared" si="40"/>
        <v/>
      </c>
      <c r="S481" s="87" t="str">
        <f t="shared" si="41"/>
        <v/>
      </c>
      <c r="T481" s="54"/>
      <c r="U481" s="54"/>
      <c r="V481" s="54"/>
      <c r="W481" s="54"/>
      <c r="X481" s="69" t="str">
        <f t="shared" si="38"/>
        <v>D</v>
      </c>
    </row>
    <row r="482" spans="2:24" x14ac:dyDescent="0.25">
      <c r="B482" s="91" t="str">
        <f>IFERROR(VLOOKUP(A482,Lookup!A:B,2,0),"")</f>
        <v/>
      </c>
      <c r="C482" s="59" t="str">
        <f>IFERROR(VLOOKUP(A482,Lookup!A:C,3,0),"")</f>
        <v/>
      </c>
      <c r="D482" s="54"/>
      <c r="E482" s="54"/>
      <c r="F482" s="54"/>
      <c r="G482" s="72"/>
      <c r="H482" s="54"/>
      <c r="I482" s="54"/>
      <c r="J482" s="106">
        <f>VLOOKUP(A482&amp;G482,Lookup!J:N,5,0)</f>
        <v>0</v>
      </c>
      <c r="K482" s="115"/>
      <c r="L482" s="115"/>
      <c r="M482" s="115"/>
      <c r="N482" s="115"/>
      <c r="O482" s="90">
        <f>IFERROR(VLOOKUP(A482&amp;G482,Lookup!J:K,2,0),"")</f>
        <v>0</v>
      </c>
      <c r="P482" s="110" t="str">
        <f t="shared" si="39"/>
        <v/>
      </c>
      <c r="Q482" s="115"/>
      <c r="R482" s="87" t="str">
        <f t="shared" si="40"/>
        <v/>
      </c>
      <c r="S482" s="87" t="str">
        <f t="shared" si="41"/>
        <v/>
      </c>
      <c r="T482" s="54"/>
      <c r="U482" s="54"/>
      <c r="V482" s="54"/>
      <c r="W482" s="54"/>
      <c r="X482" s="69" t="str">
        <f t="shared" si="38"/>
        <v>D</v>
      </c>
    </row>
    <row r="483" spans="2:24" x14ac:dyDescent="0.25">
      <c r="B483" s="91" t="str">
        <f>IFERROR(VLOOKUP(A483,Lookup!A:B,2,0),"")</f>
        <v/>
      </c>
      <c r="C483" s="59" t="str">
        <f>IFERROR(VLOOKUP(A483,Lookup!A:C,3,0),"")</f>
        <v/>
      </c>
      <c r="D483" s="54"/>
      <c r="E483" s="54"/>
      <c r="F483" s="54"/>
      <c r="G483" s="72"/>
      <c r="H483" s="54"/>
      <c r="I483" s="54"/>
      <c r="J483" s="106">
        <f>VLOOKUP(A483&amp;G483,Lookup!J:N,5,0)</f>
        <v>0</v>
      </c>
      <c r="K483" s="115"/>
      <c r="L483" s="115"/>
      <c r="M483" s="115"/>
      <c r="N483" s="115"/>
      <c r="O483" s="90">
        <f>IFERROR(VLOOKUP(A483&amp;G483,Lookup!J:K,2,0),"")</f>
        <v>0</v>
      </c>
      <c r="P483" s="110" t="str">
        <f t="shared" si="39"/>
        <v/>
      </c>
      <c r="Q483" s="115"/>
      <c r="R483" s="87" t="str">
        <f t="shared" si="40"/>
        <v/>
      </c>
      <c r="S483" s="87" t="str">
        <f t="shared" si="41"/>
        <v/>
      </c>
      <c r="T483" s="54"/>
      <c r="U483" s="54"/>
      <c r="V483" s="54"/>
      <c r="W483" s="54"/>
      <c r="X483" s="69" t="str">
        <f t="shared" si="38"/>
        <v>D</v>
      </c>
    </row>
    <row r="484" spans="2:24" x14ac:dyDescent="0.25">
      <c r="B484" s="91" t="str">
        <f>IFERROR(VLOOKUP(A484,Lookup!A:B,2,0),"")</f>
        <v/>
      </c>
      <c r="C484" s="59" t="str">
        <f>IFERROR(VLOOKUP(A484,Lookup!A:C,3,0),"")</f>
        <v/>
      </c>
      <c r="D484" s="54"/>
      <c r="E484" s="54"/>
      <c r="F484" s="54"/>
      <c r="G484" s="72"/>
      <c r="H484" s="54"/>
      <c r="I484" s="54"/>
      <c r="J484" s="106">
        <f>VLOOKUP(A484&amp;G484,Lookup!J:N,5,0)</f>
        <v>0</v>
      </c>
      <c r="K484" s="115"/>
      <c r="L484" s="115"/>
      <c r="M484" s="115"/>
      <c r="N484" s="115"/>
      <c r="O484" s="90">
        <f>IFERROR(VLOOKUP(A484&amp;G484,Lookup!J:K,2,0),"")</f>
        <v>0</v>
      </c>
      <c r="P484" s="110" t="str">
        <f t="shared" si="39"/>
        <v/>
      </c>
      <c r="Q484" s="115"/>
      <c r="R484" s="87" t="str">
        <f t="shared" si="40"/>
        <v/>
      </c>
      <c r="S484" s="87" t="str">
        <f t="shared" si="41"/>
        <v/>
      </c>
      <c r="T484" s="54"/>
      <c r="U484" s="54"/>
      <c r="V484" s="54"/>
      <c r="W484" s="54"/>
      <c r="X484" s="69" t="str">
        <f t="shared" si="38"/>
        <v>D</v>
      </c>
    </row>
    <row r="485" spans="2:24" x14ac:dyDescent="0.25">
      <c r="B485" s="91" t="str">
        <f>IFERROR(VLOOKUP(A485,Lookup!A:B,2,0),"")</f>
        <v/>
      </c>
      <c r="C485" s="59" t="str">
        <f>IFERROR(VLOOKUP(A485,Lookup!A:C,3,0),"")</f>
        <v/>
      </c>
      <c r="D485" s="54"/>
      <c r="E485" s="54"/>
      <c r="F485" s="54"/>
      <c r="G485" s="72"/>
      <c r="H485" s="54"/>
      <c r="I485" s="54"/>
      <c r="J485" s="106">
        <f>VLOOKUP(A485&amp;G485,Lookup!J:N,5,0)</f>
        <v>0</v>
      </c>
      <c r="K485" s="115"/>
      <c r="L485" s="115"/>
      <c r="M485" s="115"/>
      <c r="N485" s="115"/>
      <c r="O485" s="90">
        <f>IFERROR(VLOOKUP(A485&amp;G485,Lookup!J:K,2,0),"")</f>
        <v>0</v>
      </c>
      <c r="P485" s="110" t="str">
        <f t="shared" si="39"/>
        <v/>
      </c>
      <c r="Q485" s="115"/>
      <c r="R485" s="87" t="str">
        <f t="shared" si="40"/>
        <v/>
      </c>
      <c r="S485" s="87" t="str">
        <f t="shared" si="41"/>
        <v/>
      </c>
      <c r="T485" s="54"/>
      <c r="U485" s="54"/>
      <c r="V485" s="54"/>
      <c r="W485" s="54"/>
      <c r="X485" s="69" t="str">
        <f t="shared" si="38"/>
        <v>D</v>
      </c>
    </row>
    <row r="486" spans="2:24" x14ac:dyDescent="0.25">
      <c r="B486" s="91" t="str">
        <f>IFERROR(VLOOKUP(A486,Lookup!A:B,2,0),"")</f>
        <v/>
      </c>
      <c r="C486" s="59" t="str">
        <f>IFERROR(VLOOKUP(A486,Lookup!A:C,3,0),"")</f>
        <v/>
      </c>
      <c r="D486" s="54"/>
      <c r="E486" s="54"/>
      <c r="F486" s="54"/>
      <c r="G486" s="72"/>
      <c r="H486" s="54"/>
      <c r="I486" s="54"/>
      <c r="J486" s="106">
        <f>VLOOKUP(A486&amp;G486,Lookup!J:N,5,0)</f>
        <v>0</v>
      </c>
      <c r="K486" s="115"/>
      <c r="L486" s="115"/>
      <c r="M486" s="115"/>
      <c r="N486" s="115"/>
      <c r="O486" s="90">
        <f>IFERROR(VLOOKUP(A486&amp;G486,Lookup!J:K,2,0),"")</f>
        <v>0</v>
      </c>
      <c r="P486" s="110" t="str">
        <f t="shared" si="39"/>
        <v/>
      </c>
      <c r="Q486" s="115"/>
      <c r="R486" s="87" t="str">
        <f t="shared" si="40"/>
        <v/>
      </c>
      <c r="S486" s="87" t="str">
        <f t="shared" si="41"/>
        <v/>
      </c>
      <c r="T486" s="54"/>
      <c r="U486" s="54"/>
      <c r="V486" s="54"/>
      <c r="W486" s="54"/>
      <c r="X486" s="69" t="str">
        <f t="shared" si="38"/>
        <v>D</v>
      </c>
    </row>
    <row r="487" spans="2:24" x14ac:dyDescent="0.25">
      <c r="B487" s="91" t="str">
        <f>IFERROR(VLOOKUP(A487,Lookup!A:B,2,0),"")</f>
        <v/>
      </c>
      <c r="C487" s="59" t="str">
        <f>IFERROR(VLOOKUP(A487,Lookup!A:C,3,0),"")</f>
        <v/>
      </c>
      <c r="D487" s="54"/>
      <c r="E487" s="54"/>
      <c r="F487" s="54"/>
      <c r="G487" s="72"/>
      <c r="H487" s="54"/>
      <c r="I487" s="54"/>
      <c r="J487" s="106">
        <f>VLOOKUP(A487&amp;G487,Lookup!J:N,5,0)</f>
        <v>0</v>
      </c>
      <c r="K487" s="115"/>
      <c r="L487" s="115"/>
      <c r="M487" s="115"/>
      <c r="N487" s="115"/>
      <c r="O487" s="90">
        <f>IFERROR(VLOOKUP(A487&amp;G487,Lookup!J:K,2,0),"")</f>
        <v>0</v>
      </c>
      <c r="P487" s="110" t="str">
        <f t="shared" si="39"/>
        <v/>
      </c>
      <c r="Q487" s="115"/>
      <c r="R487" s="87" t="str">
        <f t="shared" si="40"/>
        <v/>
      </c>
      <c r="S487" s="87" t="str">
        <f t="shared" si="41"/>
        <v/>
      </c>
      <c r="T487" s="54"/>
      <c r="U487" s="54"/>
      <c r="V487" s="54"/>
      <c r="W487" s="54"/>
      <c r="X487" s="69" t="str">
        <f t="shared" si="38"/>
        <v>D</v>
      </c>
    </row>
    <row r="488" spans="2:24" x14ac:dyDescent="0.25">
      <c r="B488" s="91" t="str">
        <f>IFERROR(VLOOKUP(A488,Lookup!A:B,2,0),"")</f>
        <v/>
      </c>
      <c r="C488" s="59" t="str">
        <f>IFERROR(VLOOKUP(A488,Lookup!A:C,3,0),"")</f>
        <v/>
      </c>
      <c r="D488" s="54"/>
      <c r="E488" s="54"/>
      <c r="F488" s="54"/>
      <c r="G488" s="72"/>
      <c r="H488" s="54"/>
      <c r="I488" s="54"/>
      <c r="J488" s="106">
        <f>VLOOKUP(A488&amp;G488,Lookup!J:N,5,0)</f>
        <v>0</v>
      </c>
      <c r="K488" s="115"/>
      <c r="L488" s="115"/>
      <c r="M488" s="115"/>
      <c r="N488" s="115"/>
      <c r="O488" s="90">
        <f>IFERROR(VLOOKUP(A488&amp;G488,Lookup!J:K,2,0),"")</f>
        <v>0</v>
      </c>
      <c r="P488" s="110" t="str">
        <f t="shared" si="39"/>
        <v/>
      </c>
      <c r="Q488" s="115"/>
      <c r="R488" s="87" t="str">
        <f t="shared" si="40"/>
        <v/>
      </c>
      <c r="S488" s="87" t="str">
        <f t="shared" si="41"/>
        <v/>
      </c>
      <c r="T488" s="54"/>
      <c r="U488" s="54"/>
      <c r="V488" s="54"/>
      <c r="W488" s="54"/>
      <c r="X488" s="69" t="str">
        <f t="shared" si="38"/>
        <v>D</v>
      </c>
    </row>
    <row r="489" spans="2:24" x14ac:dyDescent="0.25">
      <c r="B489" s="91" t="str">
        <f>IFERROR(VLOOKUP(A489,Lookup!A:B,2,0),"")</f>
        <v/>
      </c>
      <c r="C489" s="59" t="str">
        <f>IFERROR(VLOOKUP(A489,Lookup!A:C,3,0),"")</f>
        <v/>
      </c>
      <c r="D489" s="54"/>
      <c r="E489" s="54"/>
      <c r="F489" s="54"/>
      <c r="G489" s="72"/>
      <c r="H489" s="54"/>
      <c r="I489" s="54"/>
      <c r="J489" s="106">
        <f>VLOOKUP(A489&amp;G489,Lookup!J:N,5,0)</f>
        <v>0</v>
      </c>
      <c r="K489" s="115"/>
      <c r="L489" s="115"/>
      <c r="M489" s="115"/>
      <c r="N489" s="115"/>
      <c r="O489" s="90">
        <f>IFERROR(VLOOKUP(A489&amp;G489,Lookup!J:K,2,0),"")</f>
        <v>0</v>
      </c>
      <c r="P489" s="110" t="str">
        <f t="shared" si="39"/>
        <v/>
      </c>
      <c r="Q489" s="115"/>
      <c r="R489" s="87" t="str">
        <f t="shared" si="40"/>
        <v/>
      </c>
      <c r="S489" s="87" t="str">
        <f t="shared" si="41"/>
        <v/>
      </c>
      <c r="T489" s="54"/>
      <c r="U489" s="54"/>
      <c r="V489" s="54"/>
      <c r="W489" s="54"/>
      <c r="X489" s="69" t="str">
        <f t="shared" si="38"/>
        <v>D</v>
      </c>
    </row>
    <row r="490" spans="2:24" x14ac:dyDescent="0.25">
      <c r="B490" s="91" t="str">
        <f>IFERROR(VLOOKUP(A490,Lookup!A:B,2,0),"")</f>
        <v/>
      </c>
      <c r="C490" s="59" t="str">
        <f>IFERROR(VLOOKUP(A490,Lookup!A:C,3,0),"")</f>
        <v/>
      </c>
      <c r="D490" s="54"/>
      <c r="E490" s="54"/>
      <c r="F490" s="54"/>
      <c r="G490" s="72"/>
      <c r="H490" s="54"/>
      <c r="I490" s="54"/>
      <c r="J490" s="106">
        <f>VLOOKUP(A490&amp;G490,Lookup!J:N,5,0)</f>
        <v>0</v>
      </c>
      <c r="K490" s="115"/>
      <c r="L490" s="115"/>
      <c r="M490" s="115"/>
      <c r="N490" s="115"/>
      <c r="O490" s="90">
        <f>IFERROR(VLOOKUP(A490&amp;G490,Lookup!J:K,2,0),"")</f>
        <v>0</v>
      </c>
      <c r="P490" s="110" t="str">
        <f t="shared" si="39"/>
        <v/>
      </c>
      <c r="Q490" s="115"/>
      <c r="R490" s="87" t="str">
        <f t="shared" si="40"/>
        <v/>
      </c>
      <c r="S490" s="87" t="str">
        <f t="shared" si="41"/>
        <v/>
      </c>
      <c r="T490" s="54"/>
      <c r="U490" s="54"/>
      <c r="V490" s="54"/>
      <c r="W490" s="54"/>
      <c r="X490" s="69" t="str">
        <f t="shared" si="38"/>
        <v>D</v>
      </c>
    </row>
    <row r="491" spans="2:24" x14ac:dyDescent="0.25">
      <c r="B491" s="91" t="str">
        <f>IFERROR(VLOOKUP(A491,Lookup!A:B,2,0),"")</f>
        <v/>
      </c>
      <c r="C491" s="59" t="str">
        <f>IFERROR(VLOOKUP(A491,Lookup!A:C,3,0),"")</f>
        <v/>
      </c>
      <c r="D491" s="54"/>
      <c r="E491" s="54"/>
      <c r="F491" s="54"/>
      <c r="G491" s="72"/>
      <c r="H491" s="54"/>
      <c r="I491" s="54"/>
      <c r="J491" s="106">
        <f>VLOOKUP(A491&amp;G491,Lookup!J:N,5,0)</f>
        <v>0</v>
      </c>
      <c r="K491" s="115"/>
      <c r="L491" s="115"/>
      <c r="M491" s="115"/>
      <c r="N491" s="115"/>
      <c r="O491" s="90">
        <f>IFERROR(VLOOKUP(A491&amp;G491,Lookup!J:K,2,0),"")</f>
        <v>0</v>
      </c>
      <c r="P491" s="110" t="str">
        <f t="shared" si="39"/>
        <v/>
      </c>
      <c r="Q491" s="115"/>
      <c r="R491" s="87" t="str">
        <f t="shared" si="40"/>
        <v/>
      </c>
      <c r="S491" s="87" t="str">
        <f t="shared" si="41"/>
        <v/>
      </c>
      <c r="T491" s="54"/>
      <c r="U491" s="54"/>
      <c r="V491" s="54"/>
      <c r="W491" s="54"/>
      <c r="X491" s="69" t="str">
        <f t="shared" si="38"/>
        <v>D</v>
      </c>
    </row>
    <row r="492" spans="2:24" x14ac:dyDescent="0.25">
      <c r="B492" s="91" t="str">
        <f>IFERROR(VLOOKUP(A492,Lookup!A:B,2,0),"")</f>
        <v/>
      </c>
      <c r="C492" s="59" t="str">
        <f>IFERROR(VLOOKUP(A492,Lookup!A:C,3,0),"")</f>
        <v/>
      </c>
      <c r="D492" s="54"/>
      <c r="E492" s="54"/>
      <c r="F492" s="54"/>
      <c r="G492" s="72"/>
      <c r="H492" s="54"/>
      <c r="I492" s="54"/>
      <c r="J492" s="106">
        <f>VLOOKUP(A492&amp;G492,Lookup!J:N,5,0)</f>
        <v>0</v>
      </c>
      <c r="K492" s="115"/>
      <c r="L492" s="115"/>
      <c r="M492" s="115"/>
      <c r="N492" s="115"/>
      <c r="O492" s="90">
        <f>IFERROR(VLOOKUP(A492&amp;G492,Lookup!J:K,2,0),"")</f>
        <v>0</v>
      </c>
      <c r="P492" s="110" t="str">
        <f t="shared" si="39"/>
        <v/>
      </c>
      <c r="Q492" s="115"/>
      <c r="R492" s="87" t="str">
        <f t="shared" si="40"/>
        <v/>
      </c>
      <c r="S492" s="87" t="str">
        <f t="shared" si="41"/>
        <v/>
      </c>
      <c r="T492" s="54"/>
      <c r="U492" s="54"/>
      <c r="V492" s="54"/>
      <c r="W492" s="54"/>
      <c r="X492" s="69" t="str">
        <f t="shared" si="38"/>
        <v>D</v>
      </c>
    </row>
    <row r="493" spans="2:24" x14ac:dyDescent="0.25">
      <c r="B493" s="91" t="str">
        <f>IFERROR(VLOOKUP(A493,Lookup!A:B,2,0),"")</f>
        <v/>
      </c>
      <c r="C493" s="59" t="str">
        <f>IFERROR(VLOOKUP(A493,Lookup!A:C,3,0),"")</f>
        <v/>
      </c>
      <c r="D493" s="54"/>
      <c r="E493" s="54"/>
      <c r="F493" s="54"/>
      <c r="G493" s="72"/>
      <c r="H493" s="54"/>
      <c r="I493" s="54"/>
      <c r="J493" s="106">
        <f>VLOOKUP(A493&amp;G493,Lookup!J:N,5,0)</f>
        <v>0</v>
      </c>
      <c r="K493" s="115"/>
      <c r="L493" s="115"/>
      <c r="M493" s="115"/>
      <c r="N493" s="115"/>
      <c r="O493" s="90">
        <f>IFERROR(VLOOKUP(A493&amp;G493,Lookup!J:K,2,0),"")</f>
        <v>0</v>
      </c>
      <c r="P493" s="110" t="str">
        <f t="shared" si="39"/>
        <v/>
      </c>
      <c r="Q493" s="115"/>
      <c r="R493" s="87" t="str">
        <f t="shared" si="40"/>
        <v/>
      </c>
      <c r="S493" s="87" t="str">
        <f t="shared" si="41"/>
        <v/>
      </c>
      <c r="T493" s="54"/>
      <c r="U493" s="54"/>
      <c r="V493" s="54"/>
      <c r="W493" s="54"/>
      <c r="X493" s="69" t="str">
        <f t="shared" si="38"/>
        <v>D</v>
      </c>
    </row>
    <row r="494" spans="2:24" x14ac:dyDescent="0.25">
      <c r="B494" s="91" t="str">
        <f>IFERROR(VLOOKUP(A494,Lookup!A:B,2,0),"")</f>
        <v/>
      </c>
      <c r="C494" s="59" t="str">
        <f>IFERROR(VLOOKUP(A494,Lookup!A:C,3,0),"")</f>
        <v/>
      </c>
      <c r="D494" s="54"/>
      <c r="E494" s="54"/>
      <c r="F494" s="54"/>
      <c r="G494" s="72"/>
      <c r="H494" s="54"/>
      <c r="I494" s="54"/>
      <c r="J494" s="106">
        <f>VLOOKUP(A494&amp;G494,Lookup!J:N,5,0)</f>
        <v>0</v>
      </c>
      <c r="K494" s="115"/>
      <c r="L494" s="115"/>
      <c r="M494" s="115"/>
      <c r="N494" s="115"/>
      <c r="O494" s="90">
        <f>IFERROR(VLOOKUP(A494&amp;G494,Lookup!J:K,2,0),"")</f>
        <v>0</v>
      </c>
      <c r="P494" s="110" t="str">
        <f t="shared" si="39"/>
        <v/>
      </c>
      <c r="Q494" s="115"/>
      <c r="R494" s="87" t="str">
        <f t="shared" si="40"/>
        <v/>
      </c>
      <c r="S494" s="87" t="str">
        <f t="shared" si="41"/>
        <v/>
      </c>
      <c r="T494" s="54"/>
      <c r="U494" s="54"/>
      <c r="V494" s="54"/>
      <c r="W494" s="54"/>
      <c r="X494" s="69" t="str">
        <f t="shared" si="38"/>
        <v>D</v>
      </c>
    </row>
    <row r="495" spans="2:24" x14ac:dyDescent="0.25">
      <c r="B495" s="91" t="str">
        <f>IFERROR(VLOOKUP(A495,Lookup!A:B,2,0),"")</f>
        <v/>
      </c>
      <c r="C495" s="59" t="str">
        <f>IFERROR(VLOOKUP(A495,Lookup!A:C,3,0),"")</f>
        <v/>
      </c>
      <c r="D495" s="54"/>
      <c r="E495" s="54"/>
      <c r="F495" s="54"/>
      <c r="G495" s="72"/>
      <c r="H495" s="54"/>
      <c r="I495" s="54"/>
      <c r="J495" s="106">
        <f>VLOOKUP(A495&amp;G495,Lookup!J:N,5,0)</f>
        <v>0</v>
      </c>
      <c r="K495" s="115"/>
      <c r="L495" s="115"/>
      <c r="M495" s="115"/>
      <c r="N495" s="115"/>
      <c r="O495" s="90">
        <f>IFERROR(VLOOKUP(A495&amp;G495,Lookup!J:K,2,0),"")</f>
        <v>0</v>
      </c>
      <c r="P495" s="110" t="str">
        <f t="shared" si="39"/>
        <v/>
      </c>
      <c r="Q495" s="115"/>
      <c r="R495" s="87" t="str">
        <f t="shared" si="40"/>
        <v/>
      </c>
      <c r="S495" s="87" t="str">
        <f t="shared" si="41"/>
        <v/>
      </c>
      <c r="T495" s="54"/>
      <c r="U495" s="54"/>
      <c r="V495" s="54"/>
      <c r="W495" s="54"/>
      <c r="X495" s="69" t="str">
        <f t="shared" si="38"/>
        <v>D</v>
      </c>
    </row>
    <row r="496" spans="2:24" x14ac:dyDescent="0.25">
      <c r="B496" s="91" t="str">
        <f>IFERROR(VLOOKUP(A496,Lookup!A:B,2,0),"")</f>
        <v/>
      </c>
      <c r="C496" s="59" t="str">
        <f>IFERROR(VLOOKUP(A496,Lookup!A:C,3,0),"")</f>
        <v/>
      </c>
      <c r="D496" s="54"/>
      <c r="E496" s="54"/>
      <c r="F496" s="54"/>
      <c r="G496" s="72"/>
      <c r="H496" s="54"/>
      <c r="I496" s="54"/>
      <c r="J496" s="106">
        <f>VLOOKUP(A496&amp;G496,Lookup!J:N,5,0)</f>
        <v>0</v>
      </c>
      <c r="K496" s="115"/>
      <c r="L496" s="115"/>
      <c r="M496" s="115"/>
      <c r="N496" s="115"/>
      <c r="O496" s="90">
        <f>IFERROR(VLOOKUP(A496&amp;G496,Lookup!J:K,2,0),"")</f>
        <v>0</v>
      </c>
      <c r="P496" s="110" t="str">
        <f t="shared" si="39"/>
        <v/>
      </c>
      <c r="Q496" s="115"/>
      <c r="R496" s="87" t="str">
        <f t="shared" si="40"/>
        <v/>
      </c>
      <c r="S496" s="87" t="str">
        <f t="shared" si="41"/>
        <v/>
      </c>
      <c r="T496" s="54"/>
      <c r="U496" s="54"/>
      <c r="V496" s="54"/>
      <c r="W496" s="54"/>
      <c r="X496" s="69" t="str">
        <f t="shared" si="38"/>
        <v>D</v>
      </c>
    </row>
    <row r="497" spans="2:24" x14ac:dyDescent="0.25">
      <c r="B497" s="91" t="str">
        <f>IFERROR(VLOOKUP(A497,Lookup!A:B,2,0),"")</f>
        <v/>
      </c>
      <c r="C497" s="59" t="str">
        <f>IFERROR(VLOOKUP(A497,Lookup!A:C,3,0),"")</f>
        <v/>
      </c>
      <c r="D497" s="54"/>
      <c r="E497" s="54"/>
      <c r="F497" s="54"/>
      <c r="G497" s="72"/>
      <c r="H497" s="54"/>
      <c r="I497" s="54"/>
      <c r="J497" s="106">
        <f>VLOOKUP(A497&amp;G497,Lookup!J:N,5,0)</f>
        <v>0</v>
      </c>
      <c r="K497" s="115"/>
      <c r="L497" s="115"/>
      <c r="M497" s="115"/>
      <c r="N497" s="115"/>
      <c r="O497" s="90">
        <f>IFERROR(VLOOKUP(A497&amp;G497,Lookup!J:K,2,0),"")</f>
        <v>0</v>
      </c>
      <c r="P497" s="110" t="str">
        <f t="shared" si="39"/>
        <v/>
      </c>
      <c r="Q497" s="115"/>
      <c r="R497" s="87" t="str">
        <f t="shared" si="40"/>
        <v/>
      </c>
      <c r="S497" s="87" t="str">
        <f t="shared" si="41"/>
        <v/>
      </c>
      <c r="T497" s="54"/>
      <c r="U497" s="54"/>
      <c r="V497" s="54"/>
      <c r="W497" s="54"/>
      <c r="X497" s="69" t="str">
        <f t="shared" si="38"/>
        <v>D</v>
      </c>
    </row>
    <row r="498" spans="2:24" x14ac:dyDescent="0.25">
      <c r="B498" s="91" t="str">
        <f>IFERROR(VLOOKUP(A498,Lookup!A:B,2,0),"")</f>
        <v/>
      </c>
      <c r="C498" s="59" t="str">
        <f>IFERROR(VLOOKUP(A498,Lookup!A:C,3,0),"")</f>
        <v/>
      </c>
      <c r="D498" s="54"/>
      <c r="E498" s="54"/>
      <c r="F498" s="54"/>
      <c r="G498" s="72"/>
      <c r="H498" s="54"/>
      <c r="I498" s="54"/>
      <c r="J498" s="106">
        <f>VLOOKUP(A498&amp;G498,Lookup!J:N,5,0)</f>
        <v>0</v>
      </c>
      <c r="K498" s="115"/>
      <c r="L498" s="115"/>
      <c r="M498" s="115"/>
      <c r="N498" s="115"/>
      <c r="O498" s="90">
        <f>IFERROR(VLOOKUP(A498&amp;G498,Lookup!J:K,2,0),"")</f>
        <v>0</v>
      </c>
      <c r="P498" s="110" t="str">
        <f t="shared" si="39"/>
        <v/>
      </c>
      <c r="Q498" s="115"/>
      <c r="R498" s="87" t="str">
        <f t="shared" si="40"/>
        <v/>
      </c>
      <c r="S498" s="87" t="str">
        <f t="shared" si="41"/>
        <v/>
      </c>
      <c r="T498" s="54"/>
      <c r="U498" s="54"/>
      <c r="V498" s="54"/>
      <c r="W498" s="54"/>
      <c r="X498" s="69" t="str">
        <f t="shared" si="38"/>
        <v>D</v>
      </c>
    </row>
    <row r="499" spans="2:24" x14ac:dyDescent="0.25">
      <c r="B499" s="91" t="str">
        <f>IFERROR(VLOOKUP(A499,Lookup!A:B,2,0),"")</f>
        <v/>
      </c>
      <c r="C499" s="59" t="str">
        <f>IFERROR(VLOOKUP(A499,Lookup!A:C,3,0),"")</f>
        <v/>
      </c>
      <c r="D499" s="54"/>
      <c r="E499" s="54"/>
      <c r="F499" s="54"/>
      <c r="G499" s="72"/>
      <c r="H499" s="54"/>
      <c r="I499" s="54"/>
      <c r="J499" s="106">
        <f>VLOOKUP(A499&amp;G499,Lookup!J:N,5,0)</f>
        <v>0</v>
      </c>
      <c r="K499" s="115"/>
      <c r="L499" s="115"/>
      <c r="M499" s="115"/>
      <c r="N499" s="115"/>
      <c r="O499" s="90">
        <f>IFERROR(VLOOKUP(A499&amp;G499,Lookup!J:K,2,0),"")</f>
        <v>0</v>
      </c>
      <c r="P499" s="110" t="str">
        <f t="shared" si="39"/>
        <v/>
      </c>
      <c r="Q499" s="115"/>
      <c r="R499" s="87" t="str">
        <f t="shared" si="40"/>
        <v/>
      </c>
      <c r="S499" s="87" t="str">
        <f t="shared" si="41"/>
        <v/>
      </c>
      <c r="T499" s="54"/>
      <c r="U499" s="54"/>
      <c r="V499" s="54"/>
      <c r="W499" s="54"/>
      <c r="X499" s="69" t="str">
        <f t="shared" si="38"/>
        <v>D</v>
      </c>
    </row>
    <row r="500" spans="2:24" x14ac:dyDescent="0.25">
      <c r="B500" s="91" t="str">
        <f>IFERROR(VLOOKUP(A500,Lookup!A:B,2,0),"")</f>
        <v/>
      </c>
      <c r="C500" s="59" t="str">
        <f>IFERROR(VLOOKUP(A500,Lookup!A:C,3,0),"")</f>
        <v/>
      </c>
      <c r="D500" s="54"/>
      <c r="E500" s="54"/>
      <c r="F500" s="54"/>
      <c r="G500" s="72"/>
      <c r="H500" s="54"/>
      <c r="I500" s="54"/>
      <c r="J500" s="106">
        <f>VLOOKUP(A500&amp;G500,Lookup!J:N,5,0)</f>
        <v>0</v>
      </c>
      <c r="K500" s="115"/>
      <c r="L500" s="115"/>
      <c r="M500" s="115"/>
      <c r="N500" s="115"/>
      <c r="O500" s="90">
        <f>IFERROR(VLOOKUP(A500&amp;G500,Lookup!J:K,2,0),"")</f>
        <v>0</v>
      </c>
      <c r="P500" s="110" t="str">
        <f t="shared" si="39"/>
        <v/>
      </c>
      <c r="Q500" s="115"/>
      <c r="R500" s="87" t="str">
        <f t="shared" si="40"/>
        <v/>
      </c>
      <c r="S500" s="87" t="str">
        <f t="shared" si="41"/>
        <v/>
      </c>
      <c r="T500" s="54"/>
      <c r="U500" s="54"/>
      <c r="V500" s="54"/>
      <c r="W500" s="54"/>
      <c r="X500" s="69" t="str">
        <f t="shared" si="38"/>
        <v>D</v>
      </c>
    </row>
    <row r="501" spans="2:24" x14ac:dyDescent="0.25">
      <c r="B501" s="91" t="str">
        <f>IFERROR(VLOOKUP(A501,Lookup!A:B,2,0),"")</f>
        <v/>
      </c>
      <c r="C501" s="59" t="str">
        <f>IFERROR(VLOOKUP(A501,Lookup!A:C,3,0),"")</f>
        <v/>
      </c>
      <c r="D501" s="54"/>
      <c r="E501" s="54"/>
      <c r="F501" s="54"/>
      <c r="G501" s="72"/>
      <c r="H501" s="54"/>
      <c r="I501" s="54"/>
      <c r="J501" s="106">
        <f>VLOOKUP(A501&amp;G501,Lookup!J:N,5,0)</f>
        <v>0</v>
      </c>
      <c r="K501" s="115"/>
      <c r="L501" s="115"/>
      <c r="M501" s="115"/>
      <c r="N501" s="115"/>
      <c r="O501" s="90">
        <f>IFERROR(VLOOKUP(A501&amp;G501,Lookup!J:K,2,0),"")</f>
        <v>0</v>
      </c>
      <c r="P501" s="110" t="str">
        <f t="shared" si="39"/>
        <v/>
      </c>
      <c r="Q501" s="115"/>
      <c r="R501" s="87" t="str">
        <f t="shared" si="40"/>
        <v/>
      </c>
      <c r="S501" s="87" t="str">
        <f t="shared" si="41"/>
        <v/>
      </c>
      <c r="T501" s="54"/>
      <c r="U501" s="54"/>
      <c r="V501" s="54"/>
      <c r="W501" s="54"/>
      <c r="X501" s="69" t="str">
        <f t="shared" si="38"/>
        <v>D</v>
      </c>
    </row>
    <row r="502" spans="2:24" x14ac:dyDescent="0.25">
      <c r="B502" s="91" t="str">
        <f>IFERROR(VLOOKUP(A502,Lookup!A:B,2,0),"")</f>
        <v/>
      </c>
      <c r="C502" s="59" t="str">
        <f>IFERROR(VLOOKUP(A502,Lookup!A:C,3,0),"")</f>
        <v/>
      </c>
      <c r="D502" s="54"/>
      <c r="E502" s="54"/>
      <c r="F502" s="54"/>
      <c r="G502" s="72"/>
      <c r="H502" s="54"/>
      <c r="I502" s="54"/>
      <c r="J502" s="106">
        <f>VLOOKUP(A502&amp;G502,Lookup!J:N,5,0)</f>
        <v>0</v>
      </c>
      <c r="K502" s="115"/>
      <c r="L502" s="115"/>
      <c r="M502" s="115"/>
      <c r="N502" s="115"/>
      <c r="O502" s="90">
        <f>IFERROR(VLOOKUP(A502&amp;G502,Lookup!J:K,2,0),"")</f>
        <v>0</v>
      </c>
      <c r="P502" s="110" t="str">
        <f t="shared" si="39"/>
        <v/>
      </c>
      <c r="Q502" s="115"/>
      <c r="R502" s="87" t="str">
        <f t="shared" si="40"/>
        <v/>
      </c>
      <c r="S502" s="87" t="str">
        <f t="shared" si="41"/>
        <v/>
      </c>
      <c r="T502" s="54"/>
      <c r="U502" s="54"/>
      <c r="V502" s="54"/>
      <c r="W502" s="54"/>
      <c r="X502" s="69" t="str">
        <f t="shared" si="38"/>
        <v>D</v>
      </c>
    </row>
    <row r="503" spans="2:24" x14ac:dyDescent="0.25">
      <c r="B503" s="91" t="str">
        <f>IFERROR(VLOOKUP(A503,Lookup!A:B,2,0),"")</f>
        <v/>
      </c>
      <c r="C503" s="59" t="str">
        <f>IFERROR(VLOOKUP(A503,Lookup!A:C,3,0),"")</f>
        <v/>
      </c>
      <c r="D503" s="54"/>
      <c r="E503" s="54"/>
      <c r="F503" s="54"/>
      <c r="G503" s="72"/>
      <c r="H503" s="54"/>
      <c r="I503" s="54"/>
      <c r="J503" s="106">
        <f>VLOOKUP(A503&amp;G503,Lookup!J:N,5,0)</f>
        <v>0</v>
      </c>
      <c r="K503" s="115"/>
      <c r="L503" s="115"/>
      <c r="M503" s="115"/>
      <c r="N503" s="115"/>
      <c r="O503" s="90">
        <f>IFERROR(VLOOKUP(A503&amp;G503,Lookup!J:K,2,0),"")</f>
        <v>0</v>
      </c>
      <c r="P503" s="110" t="str">
        <f t="shared" si="39"/>
        <v/>
      </c>
      <c r="Q503" s="115"/>
      <c r="R503" s="87" t="str">
        <f t="shared" si="40"/>
        <v/>
      </c>
      <c r="S503" s="87" t="str">
        <f t="shared" si="41"/>
        <v/>
      </c>
      <c r="T503" s="54"/>
      <c r="U503" s="54"/>
      <c r="V503" s="54"/>
      <c r="W503" s="54"/>
      <c r="X503" s="69" t="str">
        <f t="shared" si="38"/>
        <v>D</v>
      </c>
    </row>
    <row r="504" spans="2:24" x14ac:dyDescent="0.25">
      <c r="B504" s="91" t="str">
        <f>IFERROR(VLOOKUP(A504,Lookup!A:B,2,0),"")</f>
        <v/>
      </c>
      <c r="C504" s="59" t="str">
        <f>IFERROR(VLOOKUP(A504,Lookup!A:C,3,0),"")</f>
        <v/>
      </c>
      <c r="D504" s="54"/>
      <c r="E504" s="54"/>
      <c r="F504" s="54"/>
      <c r="G504" s="72"/>
      <c r="H504" s="54"/>
      <c r="I504" s="54"/>
      <c r="J504" s="106">
        <f>VLOOKUP(A504&amp;G504,Lookup!J:N,5,0)</f>
        <v>0</v>
      </c>
      <c r="K504" s="115"/>
      <c r="L504" s="115"/>
      <c r="M504" s="115"/>
      <c r="N504" s="115"/>
      <c r="O504" s="90">
        <f>IFERROR(VLOOKUP(A504&amp;G504,Lookup!J:K,2,0),"")</f>
        <v>0</v>
      </c>
      <c r="P504" s="110" t="str">
        <f t="shared" si="39"/>
        <v/>
      </c>
      <c r="Q504" s="115"/>
      <c r="R504" s="87" t="str">
        <f t="shared" si="40"/>
        <v/>
      </c>
      <c r="S504" s="87" t="str">
        <f t="shared" si="41"/>
        <v/>
      </c>
      <c r="T504" s="54"/>
      <c r="U504" s="54"/>
      <c r="V504" s="54"/>
      <c r="W504" s="54"/>
      <c r="X504" s="69" t="str">
        <f t="shared" si="38"/>
        <v>D</v>
      </c>
    </row>
    <row r="505" spans="2:24" x14ac:dyDescent="0.25">
      <c r="B505" s="91" t="str">
        <f>IFERROR(VLOOKUP(A505,Lookup!A:B,2,0),"")</f>
        <v/>
      </c>
      <c r="C505" s="59" t="str">
        <f>IFERROR(VLOOKUP(A505,Lookup!A:C,3,0),"")</f>
        <v/>
      </c>
      <c r="D505" s="54"/>
      <c r="E505" s="54"/>
      <c r="F505" s="54"/>
      <c r="G505" s="72"/>
      <c r="H505" s="54"/>
      <c r="I505" s="54"/>
      <c r="J505" s="106">
        <f>VLOOKUP(A505&amp;G505,Lookup!J:N,5,0)</f>
        <v>0</v>
      </c>
      <c r="K505" s="115"/>
      <c r="L505" s="115"/>
      <c r="M505" s="115"/>
      <c r="N505" s="115"/>
      <c r="O505" s="90">
        <f>IFERROR(VLOOKUP(A505&amp;G505,Lookup!J:K,2,0),"")</f>
        <v>0</v>
      </c>
      <c r="P505" s="110" t="str">
        <f t="shared" si="39"/>
        <v/>
      </c>
      <c r="Q505" s="115"/>
      <c r="R505" s="87" t="str">
        <f t="shared" si="40"/>
        <v/>
      </c>
      <c r="S505" s="87" t="str">
        <f t="shared" si="41"/>
        <v/>
      </c>
      <c r="T505" s="54"/>
      <c r="U505" s="54"/>
      <c r="V505" s="54"/>
      <c r="W505" s="54"/>
      <c r="X505" s="69" t="str">
        <f t="shared" si="38"/>
        <v>D</v>
      </c>
    </row>
    <row r="506" spans="2:24" x14ac:dyDescent="0.25">
      <c r="B506" s="91" t="str">
        <f>IFERROR(VLOOKUP(A506,Lookup!A:B,2,0),"")</f>
        <v/>
      </c>
      <c r="C506" s="59" t="str">
        <f>IFERROR(VLOOKUP(A506,Lookup!A:C,3,0),"")</f>
        <v/>
      </c>
      <c r="D506" s="54"/>
      <c r="E506" s="54"/>
      <c r="F506" s="54"/>
      <c r="G506" s="72"/>
      <c r="H506" s="54"/>
      <c r="I506" s="54"/>
      <c r="J506" s="106">
        <f>VLOOKUP(A506&amp;G506,Lookup!J:N,5,0)</f>
        <v>0</v>
      </c>
      <c r="K506" s="115"/>
      <c r="L506" s="115"/>
      <c r="M506" s="115"/>
      <c r="N506" s="115"/>
      <c r="O506" s="90">
        <f>IFERROR(VLOOKUP(A506&amp;G506,Lookup!J:K,2,0),"")</f>
        <v>0</v>
      </c>
      <c r="P506" s="110" t="str">
        <f t="shared" si="39"/>
        <v/>
      </c>
      <c r="Q506" s="115"/>
      <c r="R506" s="87" t="str">
        <f t="shared" si="40"/>
        <v/>
      </c>
      <c r="S506" s="87" t="str">
        <f t="shared" si="41"/>
        <v/>
      </c>
      <c r="T506" s="54"/>
      <c r="U506" s="54"/>
      <c r="V506" s="54"/>
      <c r="W506" s="54"/>
      <c r="X506" s="69" t="str">
        <f t="shared" si="38"/>
        <v>D</v>
      </c>
    </row>
    <row r="507" spans="2:24" x14ac:dyDescent="0.25">
      <c r="B507" s="91" t="str">
        <f>IFERROR(VLOOKUP(A507,Lookup!A:B,2,0),"")</f>
        <v/>
      </c>
      <c r="C507" s="59" t="str">
        <f>IFERROR(VLOOKUP(A507,Lookup!A:C,3,0),"")</f>
        <v/>
      </c>
      <c r="D507" s="54"/>
      <c r="E507" s="54"/>
      <c r="F507" s="54"/>
      <c r="G507" s="72"/>
      <c r="H507" s="54"/>
      <c r="I507" s="54"/>
      <c r="J507" s="106">
        <f>VLOOKUP(A507&amp;G507,Lookup!J:N,5,0)</f>
        <v>0</v>
      </c>
      <c r="K507" s="115"/>
      <c r="L507" s="115"/>
      <c r="M507" s="115"/>
      <c r="N507" s="115"/>
      <c r="O507" s="90">
        <f>IFERROR(VLOOKUP(A507&amp;G507,Lookup!J:K,2,0),"")</f>
        <v>0</v>
      </c>
      <c r="P507" s="110" t="str">
        <f t="shared" si="39"/>
        <v/>
      </c>
      <c r="Q507" s="115"/>
      <c r="R507" s="87" t="str">
        <f t="shared" si="40"/>
        <v/>
      </c>
      <c r="S507" s="87" t="str">
        <f t="shared" si="41"/>
        <v/>
      </c>
      <c r="T507" s="54"/>
      <c r="U507" s="54"/>
      <c r="V507" s="54"/>
      <c r="W507" s="54"/>
      <c r="X507" s="69" t="str">
        <f t="shared" si="38"/>
        <v>D</v>
      </c>
    </row>
    <row r="508" spans="2:24" x14ac:dyDescent="0.25">
      <c r="B508" s="91" t="str">
        <f>IFERROR(VLOOKUP(A508,Lookup!A:B,2,0),"")</f>
        <v/>
      </c>
      <c r="C508" s="59" t="str">
        <f>IFERROR(VLOOKUP(A508,Lookup!A:C,3,0),"")</f>
        <v/>
      </c>
      <c r="D508" s="54"/>
      <c r="E508" s="54"/>
      <c r="F508" s="54"/>
      <c r="G508" s="72"/>
      <c r="H508" s="54"/>
      <c r="I508" s="54"/>
      <c r="J508" s="106">
        <f>VLOOKUP(A508&amp;G508,Lookup!J:N,5,0)</f>
        <v>0</v>
      </c>
      <c r="K508" s="115"/>
      <c r="L508" s="115"/>
      <c r="M508" s="115"/>
      <c r="N508" s="115"/>
      <c r="O508" s="90">
        <f>IFERROR(VLOOKUP(A508&amp;G508,Lookup!J:K,2,0),"")</f>
        <v>0</v>
      </c>
      <c r="P508" s="110" t="str">
        <f t="shared" si="39"/>
        <v/>
      </c>
      <c r="Q508" s="115"/>
      <c r="R508" s="87" t="str">
        <f t="shared" si="40"/>
        <v/>
      </c>
      <c r="S508" s="87" t="str">
        <f t="shared" si="41"/>
        <v/>
      </c>
      <c r="T508" s="54"/>
      <c r="U508" s="54"/>
      <c r="V508" s="54"/>
      <c r="W508" s="54"/>
      <c r="X508" s="69" t="str">
        <f t="shared" si="38"/>
        <v>D</v>
      </c>
    </row>
    <row r="509" spans="2:24" x14ac:dyDescent="0.25">
      <c r="B509" s="91" t="str">
        <f>IFERROR(VLOOKUP(A509,Lookup!A:B,2,0),"")</f>
        <v/>
      </c>
      <c r="C509" s="59" t="str">
        <f>IFERROR(VLOOKUP(A509,Lookup!A:C,3,0),"")</f>
        <v/>
      </c>
      <c r="D509" s="54"/>
      <c r="E509" s="54"/>
      <c r="F509" s="54"/>
      <c r="G509" s="72"/>
      <c r="H509" s="54"/>
      <c r="I509" s="54"/>
      <c r="J509" s="106">
        <f>VLOOKUP(A509&amp;G509,Lookup!J:N,5,0)</f>
        <v>0</v>
      </c>
      <c r="K509" s="115"/>
      <c r="L509" s="115"/>
      <c r="M509" s="115"/>
      <c r="N509" s="115"/>
      <c r="O509" s="90">
        <f>IFERROR(VLOOKUP(A509&amp;G509,Lookup!J:K,2,0),"")</f>
        <v>0</v>
      </c>
      <c r="P509" s="110" t="str">
        <f t="shared" si="39"/>
        <v/>
      </c>
      <c r="Q509" s="115"/>
      <c r="R509" s="87" t="str">
        <f t="shared" si="40"/>
        <v/>
      </c>
      <c r="S509" s="87" t="str">
        <f t="shared" si="41"/>
        <v/>
      </c>
      <c r="T509" s="54"/>
      <c r="U509" s="54"/>
      <c r="V509" s="54"/>
      <c r="W509" s="54"/>
      <c r="X509" s="69" t="str">
        <f t="shared" si="38"/>
        <v>D</v>
      </c>
    </row>
    <row r="510" spans="2:24" x14ac:dyDescent="0.25">
      <c r="B510" s="91" t="str">
        <f>IFERROR(VLOOKUP(A510,Lookup!A:B,2,0),"")</f>
        <v/>
      </c>
      <c r="C510" s="59" t="str">
        <f>IFERROR(VLOOKUP(A510,Lookup!A:C,3,0),"")</f>
        <v/>
      </c>
      <c r="D510" s="54"/>
      <c r="E510" s="54"/>
      <c r="F510" s="54"/>
      <c r="G510" s="72"/>
      <c r="H510" s="54"/>
      <c r="I510" s="54"/>
      <c r="J510" s="106">
        <f>VLOOKUP(A510&amp;G510,Lookup!J:N,5,0)</f>
        <v>0</v>
      </c>
      <c r="K510" s="115"/>
      <c r="L510" s="115"/>
      <c r="M510" s="115"/>
      <c r="N510" s="115"/>
      <c r="O510" s="90">
        <f>IFERROR(VLOOKUP(A510&amp;G510,Lookup!J:K,2,0),"")</f>
        <v>0</v>
      </c>
      <c r="P510" s="110" t="str">
        <f t="shared" si="39"/>
        <v/>
      </c>
      <c r="Q510" s="115"/>
      <c r="R510" s="87" t="str">
        <f t="shared" si="40"/>
        <v/>
      </c>
      <c r="S510" s="87" t="str">
        <f t="shared" si="41"/>
        <v/>
      </c>
      <c r="T510" s="54"/>
      <c r="U510" s="54"/>
      <c r="V510" s="54"/>
      <c r="W510" s="54"/>
      <c r="X510" s="69" t="str">
        <f t="shared" si="38"/>
        <v>D</v>
      </c>
    </row>
    <row r="511" spans="2:24" x14ac:dyDescent="0.25">
      <c r="B511" s="91" t="str">
        <f>IFERROR(VLOOKUP(A511,Lookup!A:B,2,0),"")</f>
        <v/>
      </c>
      <c r="C511" s="59" t="str">
        <f>IFERROR(VLOOKUP(A511,Lookup!A:C,3,0),"")</f>
        <v/>
      </c>
      <c r="D511" s="54"/>
      <c r="E511" s="54"/>
      <c r="F511" s="54"/>
      <c r="G511" s="72"/>
      <c r="H511" s="54"/>
      <c r="I511" s="54"/>
      <c r="J511" s="106">
        <f>VLOOKUP(A511&amp;G511,Lookup!J:N,5,0)</f>
        <v>0</v>
      </c>
      <c r="K511" s="115"/>
      <c r="L511" s="115"/>
      <c r="M511" s="115"/>
      <c r="N511" s="115"/>
      <c r="O511" s="90">
        <f>IFERROR(VLOOKUP(A511&amp;G511,Lookup!J:K,2,0),"")</f>
        <v>0</v>
      </c>
      <c r="P511" s="110" t="str">
        <f t="shared" si="39"/>
        <v/>
      </c>
      <c r="Q511" s="115"/>
      <c r="R511" s="87" t="str">
        <f t="shared" si="40"/>
        <v/>
      </c>
      <c r="S511" s="87" t="str">
        <f t="shared" si="41"/>
        <v/>
      </c>
      <c r="T511" s="54"/>
      <c r="U511" s="54"/>
      <c r="V511" s="54"/>
      <c r="W511" s="54"/>
      <c r="X511" s="69" t="str">
        <f t="shared" si="38"/>
        <v>D</v>
      </c>
    </row>
    <row r="512" spans="2:24" x14ac:dyDescent="0.25">
      <c r="B512" s="91" t="str">
        <f>IFERROR(VLOOKUP(A512,Lookup!A:B,2,0),"")</f>
        <v/>
      </c>
      <c r="C512" s="59" t="str">
        <f>IFERROR(VLOOKUP(A512,Lookup!A:C,3,0),"")</f>
        <v/>
      </c>
      <c r="D512" s="54"/>
      <c r="E512" s="54"/>
      <c r="F512" s="54"/>
      <c r="G512" s="72"/>
      <c r="H512" s="54"/>
      <c r="I512" s="54"/>
      <c r="J512" s="106">
        <f>VLOOKUP(A512&amp;G512,Lookup!J:N,5,0)</f>
        <v>0</v>
      </c>
      <c r="K512" s="115"/>
      <c r="L512" s="115"/>
      <c r="M512" s="115"/>
      <c r="N512" s="115"/>
      <c r="O512" s="90">
        <f>IFERROR(VLOOKUP(A512&amp;G512,Lookup!J:K,2,0),"")</f>
        <v>0</v>
      </c>
      <c r="P512" s="110" t="str">
        <f t="shared" si="39"/>
        <v/>
      </c>
      <c r="Q512" s="115"/>
      <c r="R512" s="87" t="str">
        <f t="shared" si="40"/>
        <v/>
      </c>
      <c r="S512" s="87" t="str">
        <f t="shared" si="41"/>
        <v/>
      </c>
      <c r="T512" s="54"/>
      <c r="U512" s="54"/>
      <c r="V512" s="54"/>
      <c r="W512" s="54"/>
      <c r="X512" s="69" t="str">
        <f t="shared" si="38"/>
        <v>D</v>
      </c>
    </row>
    <row r="513" spans="2:24" x14ac:dyDescent="0.25">
      <c r="B513" s="91" t="str">
        <f>IFERROR(VLOOKUP(A513,Lookup!A:B,2,0),"")</f>
        <v/>
      </c>
      <c r="C513" s="59" t="str">
        <f>IFERROR(VLOOKUP(A513,Lookup!A:C,3,0),"")</f>
        <v/>
      </c>
      <c r="D513" s="54"/>
      <c r="E513" s="54"/>
      <c r="F513" s="54"/>
      <c r="G513" s="72"/>
      <c r="H513" s="54"/>
      <c r="I513" s="54"/>
      <c r="J513" s="106">
        <f>VLOOKUP(A513&amp;G513,Lookup!J:N,5,0)</f>
        <v>0</v>
      </c>
      <c r="K513" s="115"/>
      <c r="L513" s="115"/>
      <c r="M513" s="115"/>
      <c r="N513" s="115"/>
      <c r="O513" s="90">
        <f>IFERROR(VLOOKUP(A513&amp;G513,Lookup!J:K,2,0),"")</f>
        <v>0</v>
      </c>
      <c r="P513" s="110" t="str">
        <f t="shared" si="39"/>
        <v/>
      </c>
      <c r="Q513" s="115"/>
      <c r="R513" s="87" t="str">
        <f t="shared" si="40"/>
        <v/>
      </c>
      <c r="S513" s="87" t="str">
        <f t="shared" si="41"/>
        <v/>
      </c>
      <c r="T513" s="54"/>
      <c r="U513" s="54"/>
      <c r="V513" s="54"/>
      <c r="W513" s="54"/>
      <c r="X513" s="69" t="str">
        <f t="shared" ref="X513:X576" si="42">IF(I513="SET","A",IF(I513="FREQ","C",IF(I513="","D","B")))</f>
        <v>D</v>
      </c>
    </row>
    <row r="514" spans="2:24" x14ac:dyDescent="0.25">
      <c r="B514" s="91" t="str">
        <f>IFERROR(VLOOKUP(A514,Lookup!A:B,2,0),"")</f>
        <v/>
      </c>
      <c r="C514" s="59" t="str">
        <f>IFERROR(VLOOKUP(A514,Lookup!A:C,3,0),"")</f>
        <v/>
      </c>
      <c r="D514" s="54"/>
      <c r="E514" s="54"/>
      <c r="F514" s="54"/>
      <c r="G514" s="72"/>
      <c r="H514" s="54"/>
      <c r="I514" s="54"/>
      <c r="J514" s="106">
        <f>VLOOKUP(A514&amp;G514,Lookup!J:N,5,0)</f>
        <v>0</v>
      </c>
      <c r="K514" s="115"/>
      <c r="L514" s="115"/>
      <c r="M514" s="115"/>
      <c r="N514" s="115"/>
      <c r="O514" s="90">
        <f>IFERROR(VLOOKUP(A514&amp;G514,Lookup!J:K,2,0),"")</f>
        <v>0</v>
      </c>
      <c r="P514" s="110" t="str">
        <f t="shared" ref="P514:P577" si="43">IF(N514="","",N514+O514)</f>
        <v/>
      </c>
      <c r="Q514" s="115"/>
      <c r="R514" s="87" t="str">
        <f t="shared" si="40"/>
        <v/>
      </c>
      <c r="S514" s="87" t="str">
        <f t="shared" si="41"/>
        <v/>
      </c>
      <c r="T514" s="54"/>
      <c r="U514" s="54"/>
      <c r="V514" s="54"/>
      <c r="W514" s="54"/>
      <c r="X514" s="69" t="str">
        <f t="shared" si="42"/>
        <v>D</v>
      </c>
    </row>
    <row r="515" spans="2:24" x14ac:dyDescent="0.25">
      <c r="B515" s="91" t="str">
        <f>IFERROR(VLOOKUP(A515,Lookup!A:B,2,0),"")</f>
        <v/>
      </c>
      <c r="C515" s="59" t="str">
        <f>IFERROR(VLOOKUP(A515,Lookup!A:C,3,0),"")</f>
        <v/>
      </c>
      <c r="D515" s="54"/>
      <c r="E515" s="54"/>
      <c r="F515" s="54"/>
      <c r="G515" s="72"/>
      <c r="H515" s="54"/>
      <c r="I515" s="54"/>
      <c r="J515" s="106">
        <f>VLOOKUP(A515&amp;G515,Lookup!J:N,5,0)</f>
        <v>0</v>
      </c>
      <c r="K515" s="115"/>
      <c r="L515" s="115"/>
      <c r="M515" s="115"/>
      <c r="N515" s="115"/>
      <c r="O515" s="90">
        <f>IFERROR(VLOOKUP(A515&amp;G515,Lookup!J:K,2,0),"")</f>
        <v>0</v>
      </c>
      <c r="P515" s="110" t="str">
        <f t="shared" si="43"/>
        <v/>
      </c>
      <c r="Q515" s="115"/>
      <c r="R515" s="87" t="str">
        <f t="shared" ref="R515:R578" si="44">IF(OR(EXACT(N515,""), EXACT(L515,"")),"",N515-L515)</f>
        <v/>
      </c>
      <c r="S515" s="87" t="str">
        <f t="shared" si="41"/>
        <v/>
      </c>
      <c r="T515" s="54"/>
      <c r="U515" s="54"/>
      <c r="V515" s="54"/>
      <c r="W515" s="54"/>
      <c r="X515" s="69" t="str">
        <f t="shared" si="42"/>
        <v>D</v>
      </c>
    </row>
    <row r="516" spans="2:24" x14ac:dyDescent="0.25">
      <c r="B516" s="91" t="str">
        <f>IFERROR(VLOOKUP(A516,Lookup!A:B,2,0),"")</f>
        <v/>
      </c>
      <c r="C516" s="59" t="str">
        <f>IFERROR(VLOOKUP(A516,Lookup!A:C,3,0),"")</f>
        <v/>
      </c>
      <c r="D516" s="54"/>
      <c r="E516" s="54"/>
      <c r="F516" s="54"/>
      <c r="G516" s="72"/>
      <c r="H516" s="54"/>
      <c r="I516" s="54"/>
      <c r="J516" s="106">
        <f>VLOOKUP(A516&amp;G516,Lookup!J:N,5,0)</f>
        <v>0</v>
      </c>
      <c r="K516" s="115"/>
      <c r="L516" s="115"/>
      <c r="M516" s="115"/>
      <c r="N516" s="115"/>
      <c r="O516" s="90">
        <f>IFERROR(VLOOKUP(A516&amp;G516,Lookup!J:K,2,0),"")</f>
        <v>0</v>
      </c>
      <c r="P516" s="110" t="str">
        <f t="shared" si="43"/>
        <v/>
      </c>
      <c r="Q516" s="115"/>
      <c r="R516" s="87" t="str">
        <f t="shared" si="44"/>
        <v/>
      </c>
      <c r="S516" s="87" t="str">
        <f t="shared" ref="S516:S579" si="45">IF(OR(EXACT(Q516,""), EXACT(L516,"")),"",Q516-L516)</f>
        <v/>
      </c>
      <c r="T516" s="54"/>
      <c r="U516" s="54"/>
      <c r="V516" s="54"/>
      <c r="W516" s="54"/>
      <c r="X516" s="69" t="str">
        <f t="shared" si="42"/>
        <v>D</v>
      </c>
    </row>
    <row r="517" spans="2:24" x14ac:dyDescent="0.25">
      <c r="B517" s="91" t="str">
        <f>IFERROR(VLOOKUP(A517,Lookup!A:B,2,0),"")</f>
        <v/>
      </c>
      <c r="C517" s="59" t="str">
        <f>IFERROR(VLOOKUP(A517,Lookup!A:C,3,0),"")</f>
        <v/>
      </c>
      <c r="D517" s="54"/>
      <c r="E517" s="54"/>
      <c r="F517" s="54"/>
      <c r="G517" s="72"/>
      <c r="H517" s="54"/>
      <c r="I517" s="54"/>
      <c r="J517" s="106">
        <f>VLOOKUP(A517&amp;G517,Lookup!J:N,5,0)</f>
        <v>0</v>
      </c>
      <c r="K517" s="115"/>
      <c r="L517" s="115"/>
      <c r="M517" s="115"/>
      <c r="N517" s="115"/>
      <c r="O517" s="90">
        <f>IFERROR(VLOOKUP(A517&amp;G517,Lookup!J:K,2,0),"")</f>
        <v>0</v>
      </c>
      <c r="P517" s="110" t="str">
        <f t="shared" si="43"/>
        <v/>
      </c>
      <c r="Q517" s="115"/>
      <c r="R517" s="87" t="str">
        <f t="shared" si="44"/>
        <v/>
      </c>
      <c r="S517" s="87" t="str">
        <f t="shared" si="45"/>
        <v/>
      </c>
      <c r="T517" s="54"/>
      <c r="U517" s="54"/>
      <c r="V517" s="54"/>
      <c r="W517" s="54"/>
      <c r="X517" s="69" t="str">
        <f t="shared" si="42"/>
        <v>D</v>
      </c>
    </row>
    <row r="518" spans="2:24" x14ac:dyDescent="0.25">
      <c r="B518" s="91" t="str">
        <f>IFERROR(VLOOKUP(A518,Lookup!A:B,2,0),"")</f>
        <v/>
      </c>
      <c r="C518" s="59" t="str">
        <f>IFERROR(VLOOKUP(A518,Lookup!A:C,3,0),"")</f>
        <v/>
      </c>
      <c r="D518" s="54"/>
      <c r="E518" s="54"/>
      <c r="F518" s="54"/>
      <c r="G518" s="72"/>
      <c r="H518" s="54"/>
      <c r="I518" s="54"/>
      <c r="J518" s="106">
        <f>VLOOKUP(A518&amp;G518,Lookup!J:N,5,0)</f>
        <v>0</v>
      </c>
      <c r="K518" s="115"/>
      <c r="L518" s="115"/>
      <c r="M518" s="115"/>
      <c r="N518" s="115"/>
      <c r="O518" s="90">
        <f>IFERROR(VLOOKUP(A518&amp;G518,Lookup!J:K,2,0),"")</f>
        <v>0</v>
      </c>
      <c r="P518" s="110" t="str">
        <f t="shared" si="43"/>
        <v/>
      </c>
      <c r="Q518" s="115"/>
      <c r="R518" s="87" t="str">
        <f t="shared" si="44"/>
        <v/>
      </c>
      <c r="S518" s="87" t="str">
        <f t="shared" si="45"/>
        <v/>
      </c>
      <c r="T518" s="54"/>
      <c r="U518" s="54"/>
      <c r="V518" s="54"/>
      <c r="W518" s="54"/>
      <c r="X518" s="69" t="str">
        <f t="shared" si="42"/>
        <v>D</v>
      </c>
    </row>
    <row r="519" spans="2:24" x14ac:dyDescent="0.25">
      <c r="B519" s="91" t="str">
        <f>IFERROR(VLOOKUP(A519,Lookup!A:B,2,0),"")</f>
        <v/>
      </c>
      <c r="C519" s="59" t="str">
        <f>IFERROR(VLOOKUP(A519,Lookup!A:C,3,0),"")</f>
        <v/>
      </c>
      <c r="D519" s="54"/>
      <c r="E519" s="54"/>
      <c r="F519" s="54"/>
      <c r="G519" s="72"/>
      <c r="H519" s="54"/>
      <c r="I519" s="54"/>
      <c r="J519" s="106">
        <f>VLOOKUP(A519&amp;G519,Lookup!J:N,5,0)</f>
        <v>0</v>
      </c>
      <c r="K519" s="115"/>
      <c r="L519" s="115"/>
      <c r="M519" s="115"/>
      <c r="N519" s="115"/>
      <c r="O519" s="90">
        <f>IFERROR(VLOOKUP(A519&amp;G519,Lookup!J:K,2,0),"")</f>
        <v>0</v>
      </c>
      <c r="P519" s="110" t="str">
        <f t="shared" si="43"/>
        <v/>
      </c>
      <c r="Q519" s="115"/>
      <c r="R519" s="87" t="str">
        <f t="shared" si="44"/>
        <v/>
      </c>
      <c r="S519" s="87" t="str">
        <f t="shared" si="45"/>
        <v/>
      </c>
      <c r="T519" s="54"/>
      <c r="U519" s="54"/>
      <c r="V519" s="54"/>
      <c r="W519" s="54"/>
      <c r="X519" s="69" t="str">
        <f t="shared" si="42"/>
        <v>D</v>
      </c>
    </row>
    <row r="520" spans="2:24" x14ac:dyDescent="0.25">
      <c r="B520" s="91" t="str">
        <f>IFERROR(VLOOKUP(A520,Lookup!A:B,2,0),"")</f>
        <v/>
      </c>
      <c r="C520" s="59" t="str">
        <f>IFERROR(VLOOKUP(A520,Lookup!A:C,3,0),"")</f>
        <v/>
      </c>
      <c r="D520" s="54"/>
      <c r="E520" s="54"/>
      <c r="F520" s="54"/>
      <c r="G520" s="72"/>
      <c r="H520" s="54"/>
      <c r="I520" s="54"/>
      <c r="J520" s="106">
        <f>VLOOKUP(A520&amp;G520,Lookup!J:N,5,0)</f>
        <v>0</v>
      </c>
      <c r="K520" s="115"/>
      <c r="L520" s="115"/>
      <c r="M520" s="115"/>
      <c r="N520" s="115"/>
      <c r="O520" s="90">
        <f>IFERROR(VLOOKUP(A520&amp;G520,Lookup!J:K,2,0),"")</f>
        <v>0</v>
      </c>
      <c r="P520" s="110" t="str">
        <f t="shared" si="43"/>
        <v/>
      </c>
      <c r="Q520" s="115"/>
      <c r="R520" s="87" t="str">
        <f t="shared" si="44"/>
        <v/>
      </c>
      <c r="S520" s="87" t="str">
        <f t="shared" si="45"/>
        <v/>
      </c>
      <c r="T520" s="54"/>
      <c r="U520" s="54"/>
      <c r="V520" s="54"/>
      <c r="W520" s="54"/>
      <c r="X520" s="69" t="str">
        <f t="shared" si="42"/>
        <v>D</v>
      </c>
    </row>
    <row r="521" spans="2:24" x14ac:dyDescent="0.25">
      <c r="B521" s="91" t="str">
        <f>IFERROR(VLOOKUP(A521,Lookup!A:B,2,0),"")</f>
        <v/>
      </c>
      <c r="C521" s="59" t="str">
        <f>IFERROR(VLOOKUP(A521,Lookup!A:C,3,0),"")</f>
        <v/>
      </c>
      <c r="D521" s="54"/>
      <c r="E521" s="54"/>
      <c r="F521" s="54"/>
      <c r="G521" s="72"/>
      <c r="H521" s="54"/>
      <c r="I521" s="54"/>
      <c r="J521" s="106">
        <f>VLOOKUP(A521&amp;G521,Lookup!J:N,5,0)</f>
        <v>0</v>
      </c>
      <c r="K521" s="115"/>
      <c r="L521" s="115"/>
      <c r="M521" s="115"/>
      <c r="N521" s="115"/>
      <c r="O521" s="90">
        <f>IFERROR(VLOOKUP(A521&amp;G521,Lookup!J:K,2,0),"")</f>
        <v>0</v>
      </c>
      <c r="P521" s="110" t="str">
        <f t="shared" si="43"/>
        <v/>
      </c>
      <c r="Q521" s="115"/>
      <c r="R521" s="87" t="str">
        <f t="shared" si="44"/>
        <v/>
      </c>
      <c r="S521" s="87" t="str">
        <f t="shared" si="45"/>
        <v/>
      </c>
      <c r="T521" s="54"/>
      <c r="U521" s="54"/>
      <c r="V521" s="54"/>
      <c r="W521" s="54"/>
      <c r="X521" s="69" t="str">
        <f t="shared" si="42"/>
        <v>D</v>
      </c>
    </row>
    <row r="522" spans="2:24" x14ac:dyDescent="0.25">
      <c r="B522" s="91" t="str">
        <f>IFERROR(VLOOKUP(A522,Lookup!A:B,2,0),"")</f>
        <v/>
      </c>
      <c r="C522" s="59" t="str">
        <f>IFERROR(VLOOKUP(A522,Lookup!A:C,3,0),"")</f>
        <v/>
      </c>
      <c r="D522" s="54"/>
      <c r="E522" s="54"/>
      <c r="F522" s="54"/>
      <c r="G522" s="72"/>
      <c r="H522" s="54"/>
      <c r="I522" s="54"/>
      <c r="J522" s="106">
        <f>VLOOKUP(A522&amp;G522,Lookup!J:N,5,0)</f>
        <v>0</v>
      </c>
      <c r="K522" s="115"/>
      <c r="L522" s="115"/>
      <c r="M522" s="115"/>
      <c r="N522" s="115"/>
      <c r="O522" s="90">
        <f>IFERROR(VLOOKUP(A522&amp;G522,Lookup!J:K,2,0),"")</f>
        <v>0</v>
      </c>
      <c r="P522" s="110" t="str">
        <f t="shared" si="43"/>
        <v/>
      </c>
      <c r="Q522" s="115"/>
      <c r="R522" s="87" t="str">
        <f t="shared" si="44"/>
        <v/>
      </c>
      <c r="S522" s="87" t="str">
        <f t="shared" si="45"/>
        <v/>
      </c>
      <c r="T522" s="54"/>
      <c r="U522" s="54"/>
      <c r="V522" s="54"/>
      <c r="W522" s="54"/>
      <c r="X522" s="69" t="str">
        <f t="shared" si="42"/>
        <v>D</v>
      </c>
    </row>
    <row r="523" spans="2:24" x14ac:dyDescent="0.25">
      <c r="B523" s="91" t="str">
        <f>IFERROR(VLOOKUP(A523,Lookup!A:B,2,0),"")</f>
        <v/>
      </c>
      <c r="C523" s="59" t="str">
        <f>IFERROR(VLOOKUP(A523,Lookup!A:C,3,0),"")</f>
        <v/>
      </c>
      <c r="D523" s="54"/>
      <c r="E523" s="54"/>
      <c r="F523" s="54"/>
      <c r="G523" s="72"/>
      <c r="H523" s="54"/>
      <c r="I523" s="54"/>
      <c r="J523" s="106">
        <f>VLOOKUP(A523&amp;G523,Lookup!J:N,5,0)</f>
        <v>0</v>
      </c>
      <c r="K523" s="115"/>
      <c r="L523" s="115"/>
      <c r="M523" s="115"/>
      <c r="N523" s="115"/>
      <c r="O523" s="90">
        <f>IFERROR(VLOOKUP(A523&amp;G523,Lookup!J:K,2,0),"")</f>
        <v>0</v>
      </c>
      <c r="P523" s="110" t="str">
        <f t="shared" si="43"/>
        <v/>
      </c>
      <c r="Q523" s="115"/>
      <c r="R523" s="87" t="str">
        <f t="shared" si="44"/>
        <v/>
      </c>
      <c r="S523" s="87" t="str">
        <f t="shared" si="45"/>
        <v/>
      </c>
      <c r="T523" s="54"/>
      <c r="U523" s="54"/>
      <c r="V523" s="54"/>
      <c r="W523" s="54"/>
      <c r="X523" s="69" t="str">
        <f t="shared" si="42"/>
        <v>D</v>
      </c>
    </row>
    <row r="524" spans="2:24" x14ac:dyDescent="0.25">
      <c r="B524" s="91" t="str">
        <f>IFERROR(VLOOKUP(A524,Lookup!A:B,2,0),"")</f>
        <v/>
      </c>
      <c r="C524" s="59" t="str">
        <f>IFERROR(VLOOKUP(A524,Lookup!A:C,3,0),"")</f>
        <v/>
      </c>
      <c r="D524" s="54"/>
      <c r="E524" s="54"/>
      <c r="F524" s="54"/>
      <c r="G524" s="72"/>
      <c r="H524" s="54"/>
      <c r="I524" s="54"/>
      <c r="J524" s="106">
        <f>VLOOKUP(A524&amp;G524,Lookup!J:N,5,0)</f>
        <v>0</v>
      </c>
      <c r="K524" s="115"/>
      <c r="L524" s="115"/>
      <c r="M524" s="115"/>
      <c r="N524" s="115"/>
      <c r="O524" s="90">
        <f>IFERROR(VLOOKUP(A524&amp;G524,Lookup!J:K,2,0),"")</f>
        <v>0</v>
      </c>
      <c r="P524" s="110" t="str">
        <f t="shared" si="43"/>
        <v/>
      </c>
      <c r="Q524" s="115"/>
      <c r="R524" s="87" t="str">
        <f t="shared" si="44"/>
        <v/>
      </c>
      <c r="S524" s="87" t="str">
        <f t="shared" si="45"/>
        <v/>
      </c>
      <c r="T524" s="54"/>
      <c r="U524" s="54"/>
      <c r="V524" s="54"/>
      <c r="W524" s="54"/>
      <c r="X524" s="69" t="str">
        <f t="shared" si="42"/>
        <v>D</v>
      </c>
    </row>
    <row r="525" spans="2:24" x14ac:dyDescent="0.25">
      <c r="B525" s="91" t="str">
        <f>IFERROR(VLOOKUP(A525,Lookup!A:B,2,0),"")</f>
        <v/>
      </c>
      <c r="C525" s="59" t="str">
        <f>IFERROR(VLOOKUP(A525,Lookup!A:C,3,0),"")</f>
        <v/>
      </c>
      <c r="D525" s="54"/>
      <c r="E525" s="54"/>
      <c r="F525" s="54"/>
      <c r="G525" s="72"/>
      <c r="H525" s="54"/>
      <c r="I525" s="54"/>
      <c r="J525" s="106">
        <f>VLOOKUP(A525&amp;G525,Lookup!J:N,5,0)</f>
        <v>0</v>
      </c>
      <c r="K525" s="115"/>
      <c r="L525" s="115"/>
      <c r="M525" s="115"/>
      <c r="N525" s="115"/>
      <c r="O525" s="90">
        <f>IFERROR(VLOOKUP(A525&amp;G525,Lookup!J:K,2,0),"")</f>
        <v>0</v>
      </c>
      <c r="P525" s="110" t="str">
        <f t="shared" si="43"/>
        <v/>
      </c>
      <c r="Q525" s="115"/>
      <c r="R525" s="87" t="str">
        <f t="shared" si="44"/>
        <v/>
      </c>
      <c r="S525" s="87" t="str">
        <f t="shared" si="45"/>
        <v/>
      </c>
      <c r="T525" s="54"/>
      <c r="U525" s="54"/>
      <c r="V525" s="54"/>
      <c r="W525" s="54"/>
      <c r="X525" s="69" t="str">
        <f t="shared" si="42"/>
        <v>D</v>
      </c>
    </row>
    <row r="526" spans="2:24" x14ac:dyDescent="0.25">
      <c r="B526" s="91" t="str">
        <f>IFERROR(VLOOKUP(A526,Lookup!A:B,2,0),"")</f>
        <v/>
      </c>
      <c r="C526" s="59" t="str">
        <f>IFERROR(VLOOKUP(A526,Lookup!A:C,3,0),"")</f>
        <v/>
      </c>
      <c r="D526" s="54"/>
      <c r="E526" s="54"/>
      <c r="F526" s="54"/>
      <c r="G526" s="72"/>
      <c r="H526" s="54"/>
      <c r="I526" s="54"/>
      <c r="J526" s="106">
        <f>VLOOKUP(A526&amp;G526,Lookup!J:N,5,0)</f>
        <v>0</v>
      </c>
      <c r="K526" s="115"/>
      <c r="L526" s="115"/>
      <c r="M526" s="115"/>
      <c r="N526" s="115"/>
      <c r="O526" s="90">
        <f>IFERROR(VLOOKUP(A526&amp;G526,Lookup!J:K,2,0),"")</f>
        <v>0</v>
      </c>
      <c r="P526" s="110" t="str">
        <f t="shared" si="43"/>
        <v/>
      </c>
      <c r="Q526" s="115"/>
      <c r="R526" s="87" t="str">
        <f t="shared" si="44"/>
        <v/>
      </c>
      <c r="S526" s="87" t="str">
        <f t="shared" si="45"/>
        <v/>
      </c>
      <c r="T526" s="54"/>
      <c r="U526" s="54"/>
      <c r="V526" s="54"/>
      <c r="W526" s="54"/>
      <c r="X526" s="69" t="str">
        <f t="shared" si="42"/>
        <v>D</v>
      </c>
    </row>
    <row r="527" spans="2:24" x14ac:dyDescent="0.25">
      <c r="B527" s="91" t="str">
        <f>IFERROR(VLOOKUP(A527,Lookup!A:B,2,0),"")</f>
        <v/>
      </c>
      <c r="C527" s="59" t="str">
        <f>IFERROR(VLOOKUP(A527,Lookup!A:C,3,0),"")</f>
        <v/>
      </c>
      <c r="D527" s="54"/>
      <c r="E527" s="54"/>
      <c r="F527" s="54"/>
      <c r="G527" s="72"/>
      <c r="H527" s="54"/>
      <c r="I527" s="54"/>
      <c r="J527" s="106">
        <f>VLOOKUP(A527&amp;G527,Lookup!J:N,5,0)</f>
        <v>0</v>
      </c>
      <c r="K527" s="115"/>
      <c r="L527" s="115"/>
      <c r="M527" s="115"/>
      <c r="N527" s="115"/>
      <c r="O527" s="90">
        <f>IFERROR(VLOOKUP(A527&amp;G527,Lookup!J:K,2,0),"")</f>
        <v>0</v>
      </c>
      <c r="P527" s="110" t="str">
        <f t="shared" si="43"/>
        <v/>
      </c>
      <c r="Q527" s="115"/>
      <c r="R527" s="87" t="str">
        <f t="shared" si="44"/>
        <v/>
      </c>
      <c r="S527" s="87" t="str">
        <f t="shared" si="45"/>
        <v/>
      </c>
      <c r="T527" s="54"/>
      <c r="U527" s="54"/>
      <c r="V527" s="54"/>
      <c r="W527" s="54"/>
      <c r="X527" s="69" t="str">
        <f t="shared" si="42"/>
        <v>D</v>
      </c>
    </row>
    <row r="528" spans="2:24" x14ac:dyDescent="0.25">
      <c r="B528" s="91" t="str">
        <f>IFERROR(VLOOKUP(A528,Lookup!A:B,2,0),"")</f>
        <v/>
      </c>
      <c r="C528" s="59" t="str">
        <f>IFERROR(VLOOKUP(A528,Lookup!A:C,3,0),"")</f>
        <v/>
      </c>
      <c r="D528" s="54"/>
      <c r="E528" s="54"/>
      <c r="F528" s="54"/>
      <c r="G528" s="72"/>
      <c r="H528" s="54"/>
      <c r="I528" s="54"/>
      <c r="J528" s="106">
        <f>VLOOKUP(A528&amp;G528,Lookup!J:N,5,0)</f>
        <v>0</v>
      </c>
      <c r="K528" s="115"/>
      <c r="L528" s="115"/>
      <c r="M528" s="115"/>
      <c r="N528" s="115"/>
      <c r="O528" s="90">
        <f>IFERROR(VLOOKUP(A528&amp;G528,Lookup!J:K,2,0),"")</f>
        <v>0</v>
      </c>
      <c r="P528" s="110" t="str">
        <f t="shared" si="43"/>
        <v/>
      </c>
      <c r="Q528" s="115"/>
      <c r="R528" s="87" t="str">
        <f t="shared" si="44"/>
        <v/>
      </c>
      <c r="S528" s="87" t="str">
        <f t="shared" si="45"/>
        <v/>
      </c>
      <c r="T528" s="54"/>
      <c r="U528" s="54"/>
      <c r="V528" s="54"/>
      <c r="W528" s="54"/>
      <c r="X528" s="69" t="str">
        <f t="shared" si="42"/>
        <v>D</v>
      </c>
    </row>
    <row r="529" spans="2:24" x14ac:dyDescent="0.25">
      <c r="B529" s="91" t="str">
        <f>IFERROR(VLOOKUP(A529,Lookup!A:B,2,0),"")</f>
        <v/>
      </c>
      <c r="C529" s="59" t="str">
        <f>IFERROR(VLOOKUP(A529,Lookup!A:C,3,0),"")</f>
        <v/>
      </c>
      <c r="D529" s="54"/>
      <c r="E529" s="54"/>
      <c r="F529" s="54"/>
      <c r="G529" s="72"/>
      <c r="H529" s="54"/>
      <c r="I529" s="54"/>
      <c r="J529" s="106">
        <f>VLOOKUP(A529&amp;G529,Lookup!J:N,5,0)</f>
        <v>0</v>
      </c>
      <c r="K529" s="115"/>
      <c r="L529" s="115"/>
      <c r="M529" s="115"/>
      <c r="N529" s="115"/>
      <c r="O529" s="90">
        <f>IFERROR(VLOOKUP(A529&amp;G529,Lookup!J:K,2,0),"")</f>
        <v>0</v>
      </c>
      <c r="P529" s="110" t="str">
        <f t="shared" si="43"/>
        <v/>
      </c>
      <c r="Q529" s="115"/>
      <c r="R529" s="87" t="str">
        <f t="shared" si="44"/>
        <v/>
      </c>
      <c r="S529" s="87" t="str">
        <f t="shared" si="45"/>
        <v/>
      </c>
      <c r="T529" s="54"/>
      <c r="U529" s="54"/>
      <c r="V529" s="54"/>
      <c r="W529" s="54"/>
      <c r="X529" s="69" t="str">
        <f t="shared" si="42"/>
        <v>D</v>
      </c>
    </row>
    <row r="530" spans="2:24" x14ac:dyDescent="0.25">
      <c r="B530" s="91" t="str">
        <f>IFERROR(VLOOKUP(A530,Lookup!A:B,2,0),"")</f>
        <v/>
      </c>
      <c r="C530" s="59" t="str">
        <f>IFERROR(VLOOKUP(A530,Lookup!A:C,3,0),"")</f>
        <v/>
      </c>
      <c r="D530" s="54"/>
      <c r="E530" s="54"/>
      <c r="F530" s="54"/>
      <c r="G530" s="72"/>
      <c r="H530" s="54"/>
      <c r="I530" s="54"/>
      <c r="J530" s="106">
        <f>VLOOKUP(A530&amp;G530,Lookup!J:N,5,0)</f>
        <v>0</v>
      </c>
      <c r="K530" s="115"/>
      <c r="L530" s="115"/>
      <c r="M530" s="115"/>
      <c r="N530" s="115"/>
      <c r="O530" s="90">
        <f>IFERROR(VLOOKUP(A530&amp;G530,Lookup!J:K,2,0),"")</f>
        <v>0</v>
      </c>
      <c r="P530" s="110" t="str">
        <f t="shared" si="43"/>
        <v/>
      </c>
      <c r="Q530" s="115"/>
      <c r="R530" s="87" t="str">
        <f t="shared" si="44"/>
        <v/>
      </c>
      <c r="S530" s="87" t="str">
        <f t="shared" si="45"/>
        <v/>
      </c>
      <c r="T530" s="54"/>
      <c r="U530" s="54"/>
      <c r="V530" s="54"/>
      <c r="W530" s="54"/>
      <c r="X530" s="69" t="str">
        <f t="shared" si="42"/>
        <v>D</v>
      </c>
    </row>
    <row r="531" spans="2:24" x14ac:dyDescent="0.25">
      <c r="B531" s="91" t="str">
        <f>IFERROR(VLOOKUP(A531,Lookup!A:B,2,0),"")</f>
        <v/>
      </c>
      <c r="C531" s="59" t="str">
        <f>IFERROR(VLOOKUP(A531,Lookup!A:C,3,0),"")</f>
        <v/>
      </c>
      <c r="D531" s="54"/>
      <c r="E531" s="54"/>
      <c r="F531" s="54"/>
      <c r="G531" s="72"/>
      <c r="H531" s="54"/>
      <c r="I531" s="54"/>
      <c r="J531" s="106">
        <f>VLOOKUP(A531&amp;G531,Lookup!J:N,5,0)</f>
        <v>0</v>
      </c>
      <c r="K531" s="115"/>
      <c r="L531" s="115"/>
      <c r="M531" s="115"/>
      <c r="N531" s="115"/>
      <c r="O531" s="90">
        <f>IFERROR(VLOOKUP(A531&amp;G531,Lookup!J:K,2,0),"")</f>
        <v>0</v>
      </c>
      <c r="P531" s="110" t="str">
        <f t="shared" si="43"/>
        <v/>
      </c>
      <c r="Q531" s="115"/>
      <c r="R531" s="87" t="str">
        <f t="shared" si="44"/>
        <v/>
      </c>
      <c r="S531" s="87" t="str">
        <f t="shared" si="45"/>
        <v/>
      </c>
      <c r="T531" s="54"/>
      <c r="U531" s="54"/>
      <c r="V531" s="54"/>
      <c r="W531" s="54"/>
      <c r="X531" s="69" t="str">
        <f t="shared" si="42"/>
        <v>D</v>
      </c>
    </row>
    <row r="532" spans="2:24" x14ac:dyDescent="0.25">
      <c r="B532" s="91" t="str">
        <f>IFERROR(VLOOKUP(A532,Lookup!A:B,2,0),"")</f>
        <v/>
      </c>
      <c r="C532" s="59" t="str">
        <f>IFERROR(VLOOKUP(A532,Lookup!A:C,3,0),"")</f>
        <v/>
      </c>
      <c r="D532" s="54"/>
      <c r="E532" s="54"/>
      <c r="F532" s="54"/>
      <c r="G532" s="72"/>
      <c r="H532" s="54"/>
      <c r="I532" s="54"/>
      <c r="J532" s="106">
        <f>VLOOKUP(A532&amp;G532,Lookup!J:N,5,0)</f>
        <v>0</v>
      </c>
      <c r="K532" s="115"/>
      <c r="L532" s="115"/>
      <c r="M532" s="115"/>
      <c r="N532" s="115"/>
      <c r="O532" s="90">
        <f>IFERROR(VLOOKUP(A532&amp;G532,Lookup!J:K,2,0),"")</f>
        <v>0</v>
      </c>
      <c r="P532" s="110" t="str">
        <f t="shared" si="43"/>
        <v/>
      </c>
      <c r="Q532" s="115"/>
      <c r="R532" s="87" t="str">
        <f t="shared" si="44"/>
        <v/>
      </c>
      <c r="S532" s="87" t="str">
        <f t="shared" si="45"/>
        <v/>
      </c>
      <c r="T532" s="54"/>
      <c r="U532" s="54"/>
      <c r="V532" s="54"/>
      <c r="W532" s="54"/>
      <c r="X532" s="69" t="str">
        <f t="shared" si="42"/>
        <v>D</v>
      </c>
    </row>
    <row r="533" spans="2:24" x14ac:dyDescent="0.25">
      <c r="B533" s="91" t="str">
        <f>IFERROR(VLOOKUP(A533,Lookup!A:B,2,0),"")</f>
        <v/>
      </c>
      <c r="C533" s="59" t="str">
        <f>IFERROR(VLOOKUP(A533,Lookup!A:C,3,0),"")</f>
        <v/>
      </c>
      <c r="D533" s="54"/>
      <c r="E533" s="54"/>
      <c r="F533" s="54"/>
      <c r="G533" s="72"/>
      <c r="H533" s="54"/>
      <c r="I533" s="54"/>
      <c r="J533" s="106">
        <f>VLOOKUP(A533&amp;G533,Lookup!J:N,5,0)</f>
        <v>0</v>
      </c>
      <c r="K533" s="115"/>
      <c r="L533" s="115"/>
      <c r="M533" s="115"/>
      <c r="N533" s="115"/>
      <c r="O533" s="90">
        <f>IFERROR(VLOOKUP(A533&amp;G533,Lookup!J:K,2,0),"")</f>
        <v>0</v>
      </c>
      <c r="P533" s="110" t="str">
        <f t="shared" si="43"/>
        <v/>
      </c>
      <c r="Q533" s="115"/>
      <c r="R533" s="87" t="str">
        <f t="shared" si="44"/>
        <v/>
      </c>
      <c r="S533" s="87" t="str">
        <f t="shared" si="45"/>
        <v/>
      </c>
      <c r="T533" s="54"/>
      <c r="U533" s="54"/>
      <c r="V533" s="54"/>
      <c r="W533" s="54"/>
      <c r="X533" s="69" t="str">
        <f t="shared" si="42"/>
        <v>D</v>
      </c>
    </row>
    <row r="534" spans="2:24" x14ac:dyDescent="0.25">
      <c r="B534" s="91" t="str">
        <f>IFERROR(VLOOKUP(A534,Lookup!A:B,2,0),"")</f>
        <v/>
      </c>
      <c r="C534" s="59" t="str">
        <f>IFERROR(VLOOKUP(A534,Lookup!A:C,3,0),"")</f>
        <v/>
      </c>
      <c r="D534" s="54"/>
      <c r="E534" s="54"/>
      <c r="F534" s="54"/>
      <c r="G534" s="72"/>
      <c r="H534" s="54"/>
      <c r="I534" s="54"/>
      <c r="J534" s="106">
        <f>VLOOKUP(A534&amp;G534,Lookup!J:N,5,0)</f>
        <v>0</v>
      </c>
      <c r="K534" s="115"/>
      <c r="L534" s="115"/>
      <c r="M534" s="115"/>
      <c r="N534" s="115"/>
      <c r="O534" s="90">
        <f>IFERROR(VLOOKUP(A534&amp;G534,Lookup!J:K,2,0),"")</f>
        <v>0</v>
      </c>
      <c r="P534" s="110" t="str">
        <f t="shared" si="43"/>
        <v/>
      </c>
      <c r="Q534" s="115"/>
      <c r="R534" s="87" t="str">
        <f t="shared" si="44"/>
        <v/>
      </c>
      <c r="S534" s="87" t="str">
        <f t="shared" si="45"/>
        <v/>
      </c>
      <c r="T534" s="54"/>
      <c r="U534" s="54"/>
      <c r="V534" s="54"/>
      <c r="W534" s="54"/>
      <c r="X534" s="69" t="str">
        <f t="shared" si="42"/>
        <v>D</v>
      </c>
    </row>
    <row r="535" spans="2:24" x14ac:dyDescent="0.25">
      <c r="B535" s="91" t="str">
        <f>IFERROR(VLOOKUP(A535,Lookup!A:B,2,0),"")</f>
        <v/>
      </c>
      <c r="C535" s="59" t="str">
        <f>IFERROR(VLOOKUP(A535,Lookup!A:C,3,0),"")</f>
        <v/>
      </c>
      <c r="D535" s="54"/>
      <c r="E535" s="54"/>
      <c r="F535" s="54"/>
      <c r="G535" s="72"/>
      <c r="H535" s="54"/>
      <c r="I535" s="54"/>
      <c r="J535" s="106">
        <f>VLOOKUP(A535&amp;G535,Lookup!J:N,5,0)</f>
        <v>0</v>
      </c>
      <c r="K535" s="115"/>
      <c r="L535" s="115"/>
      <c r="M535" s="115"/>
      <c r="N535" s="115"/>
      <c r="O535" s="90">
        <f>IFERROR(VLOOKUP(A535&amp;G535,Lookup!J:K,2,0),"")</f>
        <v>0</v>
      </c>
      <c r="P535" s="110" t="str">
        <f t="shared" si="43"/>
        <v/>
      </c>
      <c r="Q535" s="115"/>
      <c r="R535" s="87" t="str">
        <f t="shared" si="44"/>
        <v/>
      </c>
      <c r="S535" s="87" t="str">
        <f t="shared" si="45"/>
        <v/>
      </c>
      <c r="T535" s="54"/>
      <c r="U535" s="54"/>
      <c r="V535" s="54"/>
      <c r="W535" s="54"/>
      <c r="X535" s="69" t="str">
        <f t="shared" si="42"/>
        <v>D</v>
      </c>
    </row>
    <row r="536" spans="2:24" x14ac:dyDescent="0.25">
      <c r="B536" s="91" t="str">
        <f>IFERROR(VLOOKUP(A536,Lookup!A:B,2,0),"")</f>
        <v/>
      </c>
      <c r="C536" s="59" t="str">
        <f>IFERROR(VLOOKUP(A536,Lookup!A:C,3,0),"")</f>
        <v/>
      </c>
      <c r="D536" s="54"/>
      <c r="E536" s="54"/>
      <c r="F536" s="54"/>
      <c r="G536" s="72"/>
      <c r="H536" s="54"/>
      <c r="I536" s="54"/>
      <c r="J536" s="106">
        <f>VLOOKUP(A536&amp;G536,Lookup!J:N,5,0)</f>
        <v>0</v>
      </c>
      <c r="K536" s="115"/>
      <c r="L536" s="115"/>
      <c r="M536" s="115"/>
      <c r="N536" s="115"/>
      <c r="O536" s="90">
        <f>IFERROR(VLOOKUP(A536&amp;G536,Lookup!J:K,2,0),"")</f>
        <v>0</v>
      </c>
      <c r="P536" s="110" t="str">
        <f t="shared" si="43"/>
        <v/>
      </c>
      <c r="Q536" s="115"/>
      <c r="R536" s="87" t="str">
        <f t="shared" si="44"/>
        <v/>
      </c>
      <c r="S536" s="87" t="str">
        <f t="shared" si="45"/>
        <v/>
      </c>
      <c r="T536" s="54"/>
      <c r="U536" s="54"/>
      <c r="V536" s="54"/>
      <c r="W536" s="54"/>
      <c r="X536" s="69" t="str">
        <f t="shared" si="42"/>
        <v>D</v>
      </c>
    </row>
    <row r="537" spans="2:24" x14ac:dyDescent="0.25">
      <c r="B537" s="91" t="str">
        <f>IFERROR(VLOOKUP(A537,Lookup!A:B,2,0),"")</f>
        <v/>
      </c>
      <c r="C537" s="59" t="str">
        <f>IFERROR(VLOOKUP(A537,Lookup!A:C,3,0),"")</f>
        <v/>
      </c>
      <c r="D537" s="54"/>
      <c r="E537" s="54"/>
      <c r="F537" s="54"/>
      <c r="G537" s="72"/>
      <c r="H537" s="54"/>
      <c r="I537" s="54"/>
      <c r="J537" s="106">
        <f>VLOOKUP(A537&amp;G537,Lookup!J:N,5,0)</f>
        <v>0</v>
      </c>
      <c r="K537" s="115"/>
      <c r="L537" s="115"/>
      <c r="M537" s="115"/>
      <c r="N537" s="115"/>
      <c r="O537" s="90">
        <f>IFERROR(VLOOKUP(A537&amp;G537,Lookup!J:K,2,0),"")</f>
        <v>0</v>
      </c>
      <c r="P537" s="110" t="str">
        <f t="shared" si="43"/>
        <v/>
      </c>
      <c r="Q537" s="115"/>
      <c r="R537" s="87" t="str">
        <f t="shared" si="44"/>
        <v/>
      </c>
      <c r="S537" s="87" t="str">
        <f t="shared" si="45"/>
        <v/>
      </c>
      <c r="T537" s="54"/>
      <c r="U537" s="54"/>
      <c r="V537" s="54"/>
      <c r="W537" s="54"/>
      <c r="X537" s="69" t="str">
        <f t="shared" si="42"/>
        <v>D</v>
      </c>
    </row>
    <row r="538" spans="2:24" x14ac:dyDescent="0.25">
      <c r="B538" s="91" t="str">
        <f>IFERROR(VLOOKUP(A538,Lookup!A:B,2,0),"")</f>
        <v/>
      </c>
      <c r="C538" s="59" t="str">
        <f>IFERROR(VLOOKUP(A538,Lookup!A:C,3,0),"")</f>
        <v/>
      </c>
      <c r="D538" s="54"/>
      <c r="E538" s="54"/>
      <c r="F538" s="54"/>
      <c r="G538" s="72"/>
      <c r="H538" s="54"/>
      <c r="I538" s="54"/>
      <c r="J538" s="106">
        <f>VLOOKUP(A538&amp;G538,Lookup!J:N,5,0)</f>
        <v>0</v>
      </c>
      <c r="K538" s="115"/>
      <c r="L538" s="115"/>
      <c r="M538" s="115"/>
      <c r="N538" s="115"/>
      <c r="O538" s="90">
        <f>IFERROR(VLOOKUP(A538&amp;G538,Lookup!J:K,2,0),"")</f>
        <v>0</v>
      </c>
      <c r="P538" s="110" t="str">
        <f t="shared" si="43"/>
        <v/>
      </c>
      <c r="Q538" s="115"/>
      <c r="R538" s="87" t="str">
        <f t="shared" si="44"/>
        <v/>
      </c>
      <c r="S538" s="87" t="str">
        <f t="shared" si="45"/>
        <v/>
      </c>
      <c r="T538" s="54"/>
      <c r="U538" s="54"/>
      <c r="V538" s="54"/>
      <c r="W538" s="54"/>
      <c r="X538" s="69" t="str">
        <f t="shared" si="42"/>
        <v>D</v>
      </c>
    </row>
    <row r="539" spans="2:24" x14ac:dyDescent="0.25">
      <c r="B539" s="91" t="str">
        <f>IFERROR(VLOOKUP(A539,Lookup!A:B,2,0),"")</f>
        <v/>
      </c>
      <c r="C539" s="59" t="str">
        <f>IFERROR(VLOOKUP(A539,Lookup!A:C,3,0),"")</f>
        <v/>
      </c>
      <c r="D539" s="54"/>
      <c r="E539" s="54"/>
      <c r="F539" s="54"/>
      <c r="G539" s="72"/>
      <c r="H539" s="54"/>
      <c r="I539" s="54"/>
      <c r="J539" s="106">
        <f>VLOOKUP(A539&amp;G539,Lookup!J:N,5,0)</f>
        <v>0</v>
      </c>
      <c r="K539" s="115"/>
      <c r="L539" s="115"/>
      <c r="M539" s="115"/>
      <c r="N539" s="115"/>
      <c r="O539" s="90">
        <f>IFERROR(VLOOKUP(A539&amp;G539,Lookup!J:K,2,0),"")</f>
        <v>0</v>
      </c>
      <c r="P539" s="110" t="str">
        <f t="shared" si="43"/>
        <v/>
      </c>
      <c r="Q539" s="115"/>
      <c r="R539" s="87" t="str">
        <f t="shared" si="44"/>
        <v/>
      </c>
      <c r="S539" s="87" t="str">
        <f t="shared" si="45"/>
        <v/>
      </c>
      <c r="T539" s="54"/>
      <c r="U539" s="54"/>
      <c r="V539" s="54"/>
      <c r="W539" s="54"/>
      <c r="X539" s="69" t="str">
        <f t="shared" si="42"/>
        <v>D</v>
      </c>
    </row>
    <row r="540" spans="2:24" x14ac:dyDescent="0.25">
      <c r="B540" s="91" t="str">
        <f>IFERROR(VLOOKUP(A540,Lookup!A:B,2,0),"")</f>
        <v/>
      </c>
      <c r="C540" s="59" t="str">
        <f>IFERROR(VLOOKUP(A540,Lookup!A:C,3,0),"")</f>
        <v/>
      </c>
      <c r="D540" s="54"/>
      <c r="E540" s="54"/>
      <c r="F540" s="54"/>
      <c r="G540" s="72"/>
      <c r="H540" s="54"/>
      <c r="I540" s="54"/>
      <c r="J540" s="106">
        <f>VLOOKUP(A540&amp;G540,Lookup!J:N,5,0)</f>
        <v>0</v>
      </c>
      <c r="K540" s="115"/>
      <c r="L540" s="115"/>
      <c r="M540" s="115"/>
      <c r="N540" s="115"/>
      <c r="O540" s="90">
        <f>IFERROR(VLOOKUP(A540&amp;G540,Lookup!J:K,2,0),"")</f>
        <v>0</v>
      </c>
      <c r="P540" s="110" t="str">
        <f t="shared" si="43"/>
        <v/>
      </c>
      <c r="Q540" s="115"/>
      <c r="R540" s="87" t="str">
        <f t="shared" si="44"/>
        <v/>
      </c>
      <c r="S540" s="87" t="str">
        <f t="shared" si="45"/>
        <v/>
      </c>
      <c r="T540" s="54"/>
      <c r="U540" s="54"/>
      <c r="V540" s="54"/>
      <c r="W540" s="54"/>
      <c r="X540" s="69" t="str">
        <f t="shared" si="42"/>
        <v>D</v>
      </c>
    </row>
    <row r="541" spans="2:24" x14ac:dyDescent="0.25">
      <c r="B541" s="91" t="str">
        <f>IFERROR(VLOOKUP(A541,Lookup!A:B,2,0),"")</f>
        <v/>
      </c>
      <c r="C541" s="59" t="str">
        <f>IFERROR(VLOOKUP(A541,Lookup!A:C,3,0),"")</f>
        <v/>
      </c>
      <c r="D541" s="54"/>
      <c r="E541" s="54"/>
      <c r="F541" s="54"/>
      <c r="G541" s="72"/>
      <c r="H541" s="54"/>
      <c r="I541" s="54"/>
      <c r="J541" s="106">
        <f>VLOOKUP(A541&amp;G541,Lookup!J:N,5,0)</f>
        <v>0</v>
      </c>
      <c r="K541" s="115"/>
      <c r="L541" s="115"/>
      <c r="M541" s="115"/>
      <c r="N541" s="115"/>
      <c r="O541" s="90">
        <f>IFERROR(VLOOKUP(A541&amp;G541,Lookup!J:K,2,0),"")</f>
        <v>0</v>
      </c>
      <c r="P541" s="110" t="str">
        <f t="shared" si="43"/>
        <v/>
      </c>
      <c r="Q541" s="115"/>
      <c r="R541" s="87" t="str">
        <f t="shared" si="44"/>
        <v/>
      </c>
      <c r="S541" s="87" t="str">
        <f t="shared" si="45"/>
        <v/>
      </c>
      <c r="T541" s="54"/>
      <c r="U541" s="54"/>
      <c r="V541" s="54"/>
      <c r="W541" s="54"/>
      <c r="X541" s="69" t="str">
        <f t="shared" si="42"/>
        <v>D</v>
      </c>
    </row>
    <row r="542" spans="2:24" x14ac:dyDescent="0.25">
      <c r="B542" s="91" t="str">
        <f>IFERROR(VLOOKUP(A542,Lookup!A:B,2,0),"")</f>
        <v/>
      </c>
      <c r="C542" s="59" t="str">
        <f>IFERROR(VLOOKUP(A542,Lookup!A:C,3,0),"")</f>
        <v/>
      </c>
      <c r="D542" s="54"/>
      <c r="E542" s="54"/>
      <c r="F542" s="54"/>
      <c r="G542" s="72"/>
      <c r="H542" s="54"/>
      <c r="I542" s="54"/>
      <c r="J542" s="106">
        <f>VLOOKUP(A542&amp;G542,Lookup!J:N,5,0)</f>
        <v>0</v>
      </c>
      <c r="K542" s="115"/>
      <c r="L542" s="115"/>
      <c r="M542" s="115"/>
      <c r="N542" s="115"/>
      <c r="O542" s="90">
        <f>IFERROR(VLOOKUP(A542&amp;G542,Lookup!J:K,2,0),"")</f>
        <v>0</v>
      </c>
      <c r="P542" s="110" t="str">
        <f t="shared" si="43"/>
        <v/>
      </c>
      <c r="Q542" s="115"/>
      <c r="R542" s="87" t="str">
        <f t="shared" si="44"/>
        <v/>
      </c>
      <c r="S542" s="87" t="str">
        <f t="shared" si="45"/>
        <v/>
      </c>
      <c r="T542" s="54"/>
      <c r="U542" s="54"/>
      <c r="V542" s="54"/>
      <c r="W542" s="54"/>
      <c r="X542" s="69" t="str">
        <f t="shared" si="42"/>
        <v>D</v>
      </c>
    </row>
    <row r="543" spans="2:24" x14ac:dyDescent="0.25">
      <c r="B543" s="91" t="str">
        <f>IFERROR(VLOOKUP(A543,Lookup!A:B,2,0),"")</f>
        <v/>
      </c>
      <c r="C543" s="59" t="str">
        <f>IFERROR(VLOOKUP(A543,Lookup!A:C,3,0),"")</f>
        <v/>
      </c>
      <c r="D543" s="54"/>
      <c r="E543" s="54"/>
      <c r="F543" s="54"/>
      <c r="G543" s="72"/>
      <c r="H543" s="54"/>
      <c r="I543" s="54"/>
      <c r="J543" s="106">
        <f>VLOOKUP(A543&amp;G543,Lookup!J:N,5,0)</f>
        <v>0</v>
      </c>
      <c r="K543" s="115"/>
      <c r="L543" s="115"/>
      <c r="M543" s="115"/>
      <c r="N543" s="115"/>
      <c r="O543" s="90">
        <f>IFERROR(VLOOKUP(A543&amp;G543,Lookup!J:K,2,0),"")</f>
        <v>0</v>
      </c>
      <c r="P543" s="110" t="str">
        <f t="shared" si="43"/>
        <v/>
      </c>
      <c r="Q543" s="115"/>
      <c r="R543" s="87" t="str">
        <f t="shared" si="44"/>
        <v/>
      </c>
      <c r="S543" s="87" t="str">
        <f t="shared" si="45"/>
        <v/>
      </c>
      <c r="T543" s="54"/>
      <c r="U543" s="54"/>
      <c r="V543" s="54"/>
      <c r="W543" s="54"/>
      <c r="X543" s="69" t="str">
        <f t="shared" si="42"/>
        <v>D</v>
      </c>
    </row>
    <row r="544" spans="2:24" x14ac:dyDescent="0.25">
      <c r="B544" s="91" t="str">
        <f>IFERROR(VLOOKUP(A544,Lookup!A:B,2,0),"")</f>
        <v/>
      </c>
      <c r="C544" s="59" t="str">
        <f>IFERROR(VLOOKUP(A544,Lookup!A:C,3,0),"")</f>
        <v/>
      </c>
      <c r="D544" s="54"/>
      <c r="E544" s="54"/>
      <c r="F544" s="54"/>
      <c r="G544" s="72"/>
      <c r="H544" s="54"/>
      <c r="I544" s="54"/>
      <c r="J544" s="106">
        <f>VLOOKUP(A544&amp;G544,Lookup!J:N,5,0)</f>
        <v>0</v>
      </c>
      <c r="K544" s="115"/>
      <c r="L544" s="115"/>
      <c r="M544" s="115"/>
      <c r="N544" s="115"/>
      <c r="O544" s="90">
        <f>IFERROR(VLOOKUP(A544&amp;G544,Lookup!J:K,2,0),"")</f>
        <v>0</v>
      </c>
      <c r="P544" s="110" t="str">
        <f t="shared" si="43"/>
        <v/>
      </c>
      <c r="Q544" s="115"/>
      <c r="R544" s="87" t="str">
        <f t="shared" si="44"/>
        <v/>
      </c>
      <c r="S544" s="87" t="str">
        <f t="shared" si="45"/>
        <v/>
      </c>
      <c r="T544" s="54"/>
      <c r="U544" s="54"/>
      <c r="V544" s="54"/>
      <c r="W544" s="54"/>
      <c r="X544" s="69" t="str">
        <f t="shared" si="42"/>
        <v>D</v>
      </c>
    </row>
    <row r="545" spans="2:24" x14ac:dyDescent="0.25">
      <c r="B545" s="91" t="str">
        <f>IFERROR(VLOOKUP(A545,Lookup!A:B,2,0),"")</f>
        <v/>
      </c>
      <c r="C545" s="59" t="str">
        <f>IFERROR(VLOOKUP(A545,Lookup!A:C,3,0),"")</f>
        <v/>
      </c>
      <c r="D545" s="54"/>
      <c r="E545" s="54"/>
      <c r="F545" s="54"/>
      <c r="G545" s="72"/>
      <c r="H545" s="54"/>
      <c r="I545" s="54"/>
      <c r="J545" s="106">
        <f>VLOOKUP(A545&amp;G545,Lookup!J:N,5,0)</f>
        <v>0</v>
      </c>
      <c r="K545" s="115"/>
      <c r="L545" s="115"/>
      <c r="M545" s="115"/>
      <c r="N545" s="115"/>
      <c r="O545" s="90">
        <f>IFERROR(VLOOKUP(A545&amp;G545,Lookup!J:K,2,0),"")</f>
        <v>0</v>
      </c>
      <c r="P545" s="110" t="str">
        <f t="shared" si="43"/>
        <v/>
      </c>
      <c r="Q545" s="115"/>
      <c r="R545" s="87" t="str">
        <f t="shared" si="44"/>
        <v/>
      </c>
      <c r="S545" s="87" t="str">
        <f t="shared" si="45"/>
        <v/>
      </c>
      <c r="T545" s="54"/>
      <c r="U545" s="54"/>
      <c r="V545" s="54"/>
      <c r="W545" s="54"/>
      <c r="X545" s="69" t="str">
        <f t="shared" si="42"/>
        <v>D</v>
      </c>
    </row>
    <row r="546" spans="2:24" x14ac:dyDescent="0.25">
      <c r="B546" s="91" t="str">
        <f>IFERROR(VLOOKUP(A546,Lookup!A:B,2,0),"")</f>
        <v/>
      </c>
      <c r="C546" s="59" t="str">
        <f>IFERROR(VLOOKUP(A546,Lookup!A:C,3,0),"")</f>
        <v/>
      </c>
      <c r="D546" s="54"/>
      <c r="E546" s="54"/>
      <c r="F546" s="54"/>
      <c r="G546" s="72"/>
      <c r="H546" s="54"/>
      <c r="I546" s="54"/>
      <c r="J546" s="106">
        <f>VLOOKUP(A546&amp;G546,Lookup!J:N,5,0)</f>
        <v>0</v>
      </c>
      <c r="K546" s="115"/>
      <c r="L546" s="115"/>
      <c r="M546" s="115"/>
      <c r="N546" s="115"/>
      <c r="O546" s="90">
        <f>IFERROR(VLOOKUP(A546&amp;G546,Lookup!J:K,2,0),"")</f>
        <v>0</v>
      </c>
      <c r="P546" s="110" t="str">
        <f t="shared" si="43"/>
        <v/>
      </c>
      <c r="Q546" s="115"/>
      <c r="R546" s="87" t="str">
        <f t="shared" si="44"/>
        <v/>
      </c>
      <c r="S546" s="87" t="str">
        <f t="shared" si="45"/>
        <v/>
      </c>
      <c r="T546" s="54"/>
      <c r="U546" s="54"/>
      <c r="V546" s="54"/>
      <c r="W546" s="54"/>
      <c r="X546" s="69" t="str">
        <f t="shared" si="42"/>
        <v>D</v>
      </c>
    </row>
    <row r="547" spans="2:24" x14ac:dyDescent="0.25">
      <c r="B547" s="91" t="str">
        <f>IFERROR(VLOOKUP(A547,Lookup!A:B,2,0),"")</f>
        <v/>
      </c>
      <c r="C547" s="59" t="str">
        <f>IFERROR(VLOOKUP(A547,Lookup!A:C,3,0),"")</f>
        <v/>
      </c>
      <c r="D547" s="54"/>
      <c r="E547" s="54"/>
      <c r="F547" s="54"/>
      <c r="G547" s="72"/>
      <c r="H547" s="54"/>
      <c r="I547" s="54"/>
      <c r="J547" s="106">
        <f>VLOOKUP(A547&amp;G547,Lookup!J:N,5,0)</f>
        <v>0</v>
      </c>
      <c r="K547" s="115"/>
      <c r="L547" s="115"/>
      <c r="M547" s="115"/>
      <c r="N547" s="115"/>
      <c r="O547" s="90">
        <f>IFERROR(VLOOKUP(A547&amp;G547,Lookup!J:K,2,0),"")</f>
        <v>0</v>
      </c>
      <c r="P547" s="110" t="str">
        <f t="shared" si="43"/>
        <v/>
      </c>
      <c r="Q547" s="115"/>
      <c r="R547" s="87" t="str">
        <f t="shared" si="44"/>
        <v/>
      </c>
      <c r="S547" s="87" t="str">
        <f t="shared" si="45"/>
        <v/>
      </c>
      <c r="T547" s="54"/>
      <c r="U547" s="54"/>
      <c r="V547" s="54"/>
      <c r="W547" s="54"/>
      <c r="X547" s="69" t="str">
        <f t="shared" si="42"/>
        <v>D</v>
      </c>
    </row>
    <row r="548" spans="2:24" x14ac:dyDescent="0.25">
      <c r="B548" s="91" t="str">
        <f>IFERROR(VLOOKUP(A548,Lookup!A:B,2,0),"")</f>
        <v/>
      </c>
      <c r="C548" s="59" t="str">
        <f>IFERROR(VLOOKUP(A548,Lookup!A:C,3,0),"")</f>
        <v/>
      </c>
      <c r="D548" s="54"/>
      <c r="E548" s="54"/>
      <c r="F548" s="54"/>
      <c r="G548" s="72"/>
      <c r="H548" s="54"/>
      <c r="I548" s="54"/>
      <c r="J548" s="106">
        <f>VLOOKUP(A548&amp;G548,Lookup!J:N,5,0)</f>
        <v>0</v>
      </c>
      <c r="K548" s="115"/>
      <c r="L548" s="115"/>
      <c r="M548" s="115"/>
      <c r="N548" s="115"/>
      <c r="O548" s="90">
        <f>IFERROR(VLOOKUP(A548&amp;G548,Lookup!J:K,2,0),"")</f>
        <v>0</v>
      </c>
      <c r="P548" s="110" t="str">
        <f t="shared" si="43"/>
        <v/>
      </c>
      <c r="Q548" s="115"/>
      <c r="R548" s="87" t="str">
        <f t="shared" si="44"/>
        <v/>
      </c>
      <c r="S548" s="87" t="str">
        <f t="shared" si="45"/>
        <v/>
      </c>
      <c r="T548" s="54"/>
      <c r="U548" s="54"/>
      <c r="V548" s="54"/>
      <c r="W548" s="54"/>
      <c r="X548" s="69" t="str">
        <f t="shared" si="42"/>
        <v>D</v>
      </c>
    </row>
    <row r="549" spans="2:24" x14ac:dyDescent="0.25">
      <c r="B549" s="91" t="str">
        <f>IFERROR(VLOOKUP(A549,Lookup!A:B,2,0),"")</f>
        <v/>
      </c>
      <c r="C549" s="59" t="str">
        <f>IFERROR(VLOOKUP(A549,Lookup!A:C,3,0),"")</f>
        <v/>
      </c>
      <c r="D549" s="54"/>
      <c r="E549" s="54"/>
      <c r="F549" s="54"/>
      <c r="G549" s="72"/>
      <c r="H549" s="54"/>
      <c r="I549" s="54"/>
      <c r="J549" s="106">
        <f>VLOOKUP(A549&amp;G549,Lookup!J:N,5,0)</f>
        <v>0</v>
      </c>
      <c r="K549" s="115"/>
      <c r="L549" s="115"/>
      <c r="M549" s="115"/>
      <c r="N549" s="115"/>
      <c r="O549" s="90">
        <f>IFERROR(VLOOKUP(A549&amp;G549,Lookup!J:K,2,0),"")</f>
        <v>0</v>
      </c>
      <c r="P549" s="110" t="str">
        <f t="shared" si="43"/>
        <v/>
      </c>
      <c r="Q549" s="115"/>
      <c r="R549" s="87" t="str">
        <f t="shared" si="44"/>
        <v/>
      </c>
      <c r="S549" s="87" t="str">
        <f t="shared" si="45"/>
        <v/>
      </c>
      <c r="T549" s="54"/>
      <c r="U549" s="54"/>
      <c r="V549" s="54"/>
      <c r="W549" s="54"/>
      <c r="X549" s="69" t="str">
        <f t="shared" si="42"/>
        <v>D</v>
      </c>
    </row>
    <row r="550" spans="2:24" x14ac:dyDescent="0.25">
      <c r="B550" s="91" t="str">
        <f>IFERROR(VLOOKUP(A550,Lookup!A:B,2,0),"")</f>
        <v/>
      </c>
      <c r="C550" s="59" t="str">
        <f>IFERROR(VLOOKUP(A550,Lookup!A:C,3,0),"")</f>
        <v/>
      </c>
      <c r="D550" s="54"/>
      <c r="E550" s="54"/>
      <c r="F550" s="54"/>
      <c r="G550" s="72"/>
      <c r="H550" s="54"/>
      <c r="I550" s="54"/>
      <c r="J550" s="106">
        <f>VLOOKUP(A550&amp;G550,Lookup!J:N,5,0)</f>
        <v>0</v>
      </c>
      <c r="K550" s="115"/>
      <c r="L550" s="115"/>
      <c r="M550" s="115"/>
      <c r="N550" s="115"/>
      <c r="O550" s="90">
        <f>IFERROR(VLOOKUP(A550&amp;G550,Lookup!J:K,2,0),"")</f>
        <v>0</v>
      </c>
      <c r="P550" s="110" t="str">
        <f t="shared" si="43"/>
        <v/>
      </c>
      <c r="Q550" s="115"/>
      <c r="R550" s="87" t="str">
        <f t="shared" si="44"/>
        <v/>
      </c>
      <c r="S550" s="87" t="str">
        <f t="shared" si="45"/>
        <v/>
      </c>
      <c r="T550" s="54"/>
      <c r="U550" s="54"/>
      <c r="V550" s="54"/>
      <c r="W550" s="54"/>
      <c r="X550" s="69" t="str">
        <f t="shared" si="42"/>
        <v>D</v>
      </c>
    </row>
    <row r="551" spans="2:24" x14ac:dyDescent="0.25">
      <c r="B551" s="91" t="str">
        <f>IFERROR(VLOOKUP(A551,Lookup!A:B,2,0),"")</f>
        <v/>
      </c>
      <c r="C551" s="59" t="str">
        <f>IFERROR(VLOOKUP(A551,Lookup!A:C,3,0),"")</f>
        <v/>
      </c>
      <c r="D551" s="54"/>
      <c r="E551" s="54"/>
      <c r="F551" s="54"/>
      <c r="G551" s="72"/>
      <c r="H551" s="54"/>
      <c r="I551" s="54"/>
      <c r="J551" s="106">
        <f>VLOOKUP(A551&amp;G551,Lookup!J:N,5,0)</f>
        <v>0</v>
      </c>
      <c r="K551" s="115"/>
      <c r="L551" s="115"/>
      <c r="M551" s="115"/>
      <c r="N551" s="115"/>
      <c r="O551" s="90">
        <f>IFERROR(VLOOKUP(A551&amp;G551,Lookup!J:K,2,0),"")</f>
        <v>0</v>
      </c>
      <c r="P551" s="110" t="str">
        <f t="shared" si="43"/>
        <v/>
      </c>
      <c r="Q551" s="115"/>
      <c r="R551" s="87" t="str">
        <f t="shared" si="44"/>
        <v/>
      </c>
      <c r="S551" s="87" t="str">
        <f t="shared" si="45"/>
        <v/>
      </c>
      <c r="T551" s="54"/>
      <c r="U551" s="54"/>
      <c r="V551" s="54"/>
      <c r="W551" s="54"/>
      <c r="X551" s="69" t="str">
        <f t="shared" si="42"/>
        <v>D</v>
      </c>
    </row>
    <row r="552" spans="2:24" x14ac:dyDescent="0.25">
      <c r="B552" s="91" t="str">
        <f>IFERROR(VLOOKUP(A552,Lookup!A:B,2,0),"")</f>
        <v/>
      </c>
      <c r="C552" s="59" t="str">
        <f>IFERROR(VLOOKUP(A552,Lookup!A:C,3,0),"")</f>
        <v/>
      </c>
      <c r="D552" s="54"/>
      <c r="E552" s="54"/>
      <c r="F552" s="54"/>
      <c r="G552" s="72"/>
      <c r="H552" s="54"/>
      <c r="I552" s="54"/>
      <c r="J552" s="106">
        <f>VLOOKUP(A552&amp;G552,Lookup!J:N,5,0)</f>
        <v>0</v>
      </c>
      <c r="K552" s="115"/>
      <c r="L552" s="115"/>
      <c r="M552" s="115"/>
      <c r="N552" s="115"/>
      <c r="O552" s="90">
        <f>IFERROR(VLOOKUP(A552&amp;G552,Lookup!J:K,2,0),"")</f>
        <v>0</v>
      </c>
      <c r="P552" s="110" t="str">
        <f t="shared" si="43"/>
        <v/>
      </c>
      <c r="Q552" s="115"/>
      <c r="R552" s="87" t="str">
        <f t="shared" si="44"/>
        <v/>
      </c>
      <c r="S552" s="87" t="str">
        <f t="shared" si="45"/>
        <v/>
      </c>
      <c r="T552" s="54"/>
      <c r="U552" s="54"/>
      <c r="V552" s="54"/>
      <c r="W552" s="54"/>
      <c r="X552" s="69" t="str">
        <f t="shared" si="42"/>
        <v>D</v>
      </c>
    </row>
    <row r="553" spans="2:24" x14ac:dyDescent="0.25">
      <c r="B553" s="91" t="str">
        <f>IFERROR(VLOOKUP(A553,Lookup!A:B,2,0),"")</f>
        <v/>
      </c>
      <c r="C553" s="59" t="str">
        <f>IFERROR(VLOOKUP(A553,Lookup!A:C,3,0),"")</f>
        <v/>
      </c>
      <c r="D553" s="54"/>
      <c r="E553" s="54"/>
      <c r="F553" s="54"/>
      <c r="G553" s="72"/>
      <c r="H553" s="54"/>
      <c r="I553" s="54"/>
      <c r="J553" s="106">
        <f>VLOOKUP(A553&amp;G553,Lookup!J:N,5,0)</f>
        <v>0</v>
      </c>
      <c r="K553" s="115"/>
      <c r="L553" s="115"/>
      <c r="M553" s="115"/>
      <c r="N553" s="115"/>
      <c r="O553" s="90">
        <f>IFERROR(VLOOKUP(A553&amp;G553,Lookup!J:K,2,0),"")</f>
        <v>0</v>
      </c>
      <c r="P553" s="110" t="str">
        <f t="shared" si="43"/>
        <v/>
      </c>
      <c r="Q553" s="115"/>
      <c r="R553" s="87" t="str">
        <f t="shared" si="44"/>
        <v/>
      </c>
      <c r="S553" s="87" t="str">
        <f t="shared" si="45"/>
        <v/>
      </c>
      <c r="T553" s="54"/>
      <c r="U553" s="54"/>
      <c r="V553" s="54"/>
      <c r="W553" s="54"/>
      <c r="X553" s="69" t="str">
        <f t="shared" si="42"/>
        <v>D</v>
      </c>
    </row>
    <row r="554" spans="2:24" x14ac:dyDescent="0.25">
      <c r="B554" s="91" t="str">
        <f>IFERROR(VLOOKUP(A554,Lookup!A:B,2,0),"")</f>
        <v/>
      </c>
      <c r="C554" s="59" t="str">
        <f>IFERROR(VLOOKUP(A554,Lookup!A:C,3,0),"")</f>
        <v/>
      </c>
      <c r="D554" s="54"/>
      <c r="E554" s="54"/>
      <c r="F554" s="54"/>
      <c r="G554" s="72"/>
      <c r="H554" s="54"/>
      <c r="I554" s="54"/>
      <c r="J554" s="106">
        <f>VLOOKUP(A554&amp;G554,Lookup!J:N,5,0)</f>
        <v>0</v>
      </c>
      <c r="K554" s="115"/>
      <c r="L554" s="115"/>
      <c r="M554" s="115"/>
      <c r="N554" s="115"/>
      <c r="O554" s="90">
        <f>IFERROR(VLOOKUP(A554&amp;G554,Lookup!J:K,2,0),"")</f>
        <v>0</v>
      </c>
      <c r="P554" s="110" t="str">
        <f t="shared" si="43"/>
        <v/>
      </c>
      <c r="Q554" s="115"/>
      <c r="R554" s="87" t="str">
        <f t="shared" si="44"/>
        <v/>
      </c>
      <c r="S554" s="87" t="str">
        <f t="shared" si="45"/>
        <v/>
      </c>
      <c r="T554" s="54"/>
      <c r="U554" s="54"/>
      <c r="V554" s="54"/>
      <c r="W554" s="54"/>
      <c r="X554" s="69" t="str">
        <f t="shared" si="42"/>
        <v>D</v>
      </c>
    </row>
    <row r="555" spans="2:24" x14ac:dyDescent="0.25">
      <c r="B555" s="91" t="str">
        <f>IFERROR(VLOOKUP(A555,Lookup!A:B,2,0),"")</f>
        <v/>
      </c>
      <c r="C555" s="59" t="str">
        <f>IFERROR(VLOOKUP(A555,Lookup!A:C,3,0),"")</f>
        <v/>
      </c>
      <c r="D555" s="54"/>
      <c r="E555" s="54"/>
      <c r="F555" s="54"/>
      <c r="G555" s="72"/>
      <c r="H555" s="54"/>
      <c r="I555" s="54"/>
      <c r="J555" s="106">
        <f>VLOOKUP(A555&amp;G555,Lookup!J:N,5,0)</f>
        <v>0</v>
      </c>
      <c r="K555" s="115"/>
      <c r="L555" s="115"/>
      <c r="M555" s="115"/>
      <c r="N555" s="115"/>
      <c r="O555" s="90">
        <f>IFERROR(VLOOKUP(A555&amp;G555,Lookup!J:K,2,0),"")</f>
        <v>0</v>
      </c>
      <c r="P555" s="110" t="str">
        <f t="shared" si="43"/>
        <v/>
      </c>
      <c r="Q555" s="115"/>
      <c r="R555" s="87" t="str">
        <f t="shared" si="44"/>
        <v/>
      </c>
      <c r="S555" s="87" t="str">
        <f t="shared" si="45"/>
        <v/>
      </c>
      <c r="T555" s="54"/>
      <c r="U555" s="54"/>
      <c r="V555" s="54"/>
      <c r="W555" s="54"/>
      <c r="X555" s="69" t="str">
        <f t="shared" si="42"/>
        <v>D</v>
      </c>
    </row>
    <row r="556" spans="2:24" x14ac:dyDescent="0.25">
      <c r="B556" s="91" t="str">
        <f>IFERROR(VLOOKUP(A556,Lookup!A:B,2,0),"")</f>
        <v/>
      </c>
      <c r="C556" s="59" t="str">
        <f>IFERROR(VLOOKUP(A556,Lookup!A:C,3,0),"")</f>
        <v/>
      </c>
      <c r="D556" s="54"/>
      <c r="E556" s="54"/>
      <c r="F556" s="54"/>
      <c r="G556" s="72"/>
      <c r="H556" s="54"/>
      <c r="I556" s="54"/>
      <c r="J556" s="106">
        <f>VLOOKUP(A556&amp;G556,Lookup!J:N,5,0)</f>
        <v>0</v>
      </c>
      <c r="K556" s="115"/>
      <c r="L556" s="115"/>
      <c r="M556" s="115"/>
      <c r="N556" s="115"/>
      <c r="O556" s="90">
        <f>IFERROR(VLOOKUP(A556&amp;G556,Lookup!J:K,2,0),"")</f>
        <v>0</v>
      </c>
      <c r="P556" s="110" t="str">
        <f t="shared" si="43"/>
        <v/>
      </c>
      <c r="Q556" s="115"/>
      <c r="R556" s="87" t="str">
        <f t="shared" si="44"/>
        <v/>
      </c>
      <c r="S556" s="87" t="str">
        <f t="shared" si="45"/>
        <v/>
      </c>
      <c r="T556" s="54"/>
      <c r="U556" s="54"/>
      <c r="V556" s="54"/>
      <c r="W556" s="54"/>
      <c r="X556" s="69" t="str">
        <f t="shared" si="42"/>
        <v>D</v>
      </c>
    </row>
    <row r="557" spans="2:24" x14ac:dyDescent="0.25">
      <c r="B557" s="91" t="str">
        <f>IFERROR(VLOOKUP(A557,Lookup!A:B,2,0),"")</f>
        <v/>
      </c>
      <c r="C557" s="59" t="str">
        <f>IFERROR(VLOOKUP(A557,Lookup!A:C,3,0),"")</f>
        <v/>
      </c>
      <c r="D557" s="54"/>
      <c r="E557" s="54"/>
      <c r="F557" s="54"/>
      <c r="G557" s="72"/>
      <c r="H557" s="54"/>
      <c r="I557" s="54"/>
      <c r="J557" s="106">
        <f>VLOOKUP(A557&amp;G557,Lookup!J:N,5,0)</f>
        <v>0</v>
      </c>
      <c r="K557" s="115"/>
      <c r="L557" s="115"/>
      <c r="M557" s="115"/>
      <c r="N557" s="115"/>
      <c r="O557" s="90">
        <f>IFERROR(VLOOKUP(A557&amp;G557,Lookup!J:K,2,0),"")</f>
        <v>0</v>
      </c>
      <c r="P557" s="110" t="str">
        <f t="shared" si="43"/>
        <v/>
      </c>
      <c r="Q557" s="115"/>
      <c r="R557" s="87" t="str">
        <f t="shared" si="44"/>
        <v/>
      </c>
      <c r="S557" s="87" t="str">
        <f t="shared" si="45"/>
        <v/>
      </c>
      <c r="T557" s="54"/>
      <c r="U557" s="54"/>
      <c r="V557" s="54"/>
      <c r="W557" s="54"/>
      <c r="X557" s="69" t="str">
        <f t="shared" si="42"/>
        <v>D</v>
      </c>
    </row>
    <row r="558" spans="2:24" x14ac:dyDescent="0.25">
      <c r="B558" s="91" t="str">
        <f>IFERROR(VLOOKUP(A558,Lookup!A:B,2,0),"")</f>
        <v/>
      </c>
      <c r="C558" s="59" t="str">
        <f>IFERROR(VLOOKUP(A558,Lookup!A:C,3,0),"")</f>
        <v/>
      </c>
      <c r="D558" s="54"/>
      <c r="E558" s="54"/>
      <c r="F558" s="54"/>
      <c r="G558" s="72"/>
      <c r="H558" s="54"/>
      <c r="I558" s="54"/>
      <c r="J558" s="106">
        <f>VLOOKUP(A558&amp;G558,Lookup!J:N,5,0)</f>
        <v>0</v>
      </c>
      <c r="K558" s="115"/>
      <c r="L558" s="115"/>
      <c r="M558" s="115"/>
      <c r="N558" s="115"/>
      <c r="O558" s="90">
        <f>IFERROR(VLOOKUP(A558&amp;G558,Lookup!J:K,2,0),"")</f>
        <v>0</v>
      </c>
      <c r="P558" s="110" t="str">
        <f t="shared" si="43"/>
        <v/>
      </c>
      <c r="Q558" s="115"/>
      <c r="R558" s="87" t="str">
        <f t="shared" si="44"/>
        <v/>
      </c>
      <c r="S558" s="87" t="str">
        <f t="shared" si="45"/>
        <v/>
      </c>
      <c r="T558" s="54"/>
      <c r="U558" s="54"/>
      <c r="V558" s="54"/>
      <c r="W558" s="54"/>
      <c r="X558" s="69" t="str">
        <f t="shared" si="42"/>
        <v>D</v>
      </c>
    </row>
    <row r="559" spans="2:24" x14ac:dyDescent="0.25">
      <c r="B559" s="91" t="str">
        <f>IFERROR(VLOOKUP(A559,Lookup!A:B,2,0),"")</f>
        <v/>
      </c>
      <c r="C559" s="59" t="str">
        <f>IFERROR(VLOOKUP(A559,Lookup!A:C,3,0),"")</f>
        <v/>
      </c>
      <c r="D559" s="54"/>
      <c r="E559" s="54"/>
      <c r="F559" s="54"/>
      <c r="G559" s="72"/>
      <c r="H559" s="54"/>
      <c r="I559" s="54"/>
      <c r="J559" s="106">
        <f>VLOOKUP(A559&amp;G559,Lookup!J:N,5,0)</f>
        <v>0</v>
      </c>
      <c r="K559" s="115"/>
      <c r="L559" s="115"/>
      <c r="M559" s="115"/>
      <c r="N559" s="115"/>
      <c r="O559" s="90">
        <f>IFERROR(VLOOKUP(A559&amp;G559,Lookup!J:K,2,0),"")</f>
        <v>0</v>
      </c>
      <c r="P559" s="110" t="str">
        <f t="shared" si="43"/>
        <v/>
      </c>
      <c r="Q559" s="115"/>
      <c r="R559" s="87" t="str">
        <f t="shared" si="44"/>
        <v/>
      </c>
      <c r="S559" s="87" t="str">
        <f t="shared" si="45"/>
        <v/>
      </c>
      <c r="T559" s="54"/>
      <c r="U559" s="54"/>
      <c r="V559" s="54"/>
      <c r="W559" s="54"/>
      <c r="X559" s="69" t="str">
        <f t="shared" si="42"/>
        <v>D</v>
      </c>
    </row>
    <row r="560" spans="2:24" x14ac:dyDescent="0.25">
      <c r="B560" s="91" t="str">
        <f>IFERROR(VLOOKUP(A560,Lookup!A:B,2,0),"")</f>
        <v/>
      </c>
      <c r="C560" s="59" t="str">
        <f>IFERROR(VLOOKUP(A560,Lookup!A:C,3,0),"")</f>
        <v/>
      </c>
      <c r="D560" s="54"/>
      <c r="E560" s="54"/>
      <c r="F560" s="54"/>
      <c r="G560" s="72"/>
      <c r="H560" s="54"/>
      <c r="I560" s="54"/>
      <c r="J560" s="106">
        <f>VLOOKUP(A560&amp;G560,Lookup!J:N,5,0)</f>
        <v>0</v>
      </c>
      <c r="K560" s="115"/>
      <c r="L560" s="115"/>
      <c r="M560" s="115"/>
      <c r="N560" s="115"/>
      <c r="O560" s="90">
        <f>IFERROR(VLOOKUP(A560&amp;G560,Lookup!J:K,2,0),"")</f>
        <v>0</v>
      </c>
      <c r="P560" s="110" t="str">
        <f t="shared" si="43"/>
        <v/>
      </c>
      <c r="Q560" s="115"/>
      <c r="R560" s="87" t="str">
        <f t="shared" si="44"/>
        <v/>
      </c>
      <c r="S560" s="87" t="str">
        <f t="shared" si="45"/>
        <v/>
      </c>
      <c r="T560" s="54"/>
      <c r="U560" s="54"/>
      <c r="V560" s="54"/>
      <c r="W560" s="54"/>
      <c r="X560" s="69" t="str">
        <f t="shared" si="42"/>
        <v>D</v>
      </c>
    </row>
    <row r="561" spans="2:24" x14ac:dyDescent="0.25">
      <c r="B561" s="91" t="str">
        <f>IFERROR(VLOOKUP(A561,Lookup!A:B,2,0),"")</f>
        <v/>
      </c>
      <c r="C561" s="59" t="str">
        <f>IFERROR(VLOOKUP(A561,Lookup!A:C,3,0),"")</f>
        <v/>
      </c>
      <c r="D561" s="54"/>
      <c r="E561" s="54"/>
      <c r="F561" s="54"/>
      <c r="G561" s="72"/>
      <c r="H561" s="54"/>
      <c r="I561" s="54"/>
      <c r="J561" s="106">
        <f>VLOOKUP(A561&amp;G561,Lookup!J:N,5,0)</f>
        <v>0</v>
      </c>
      <c r="K561" s="115"/>
      <c r="L561" s="115"/>
      <c r="M561" s="115"/>
      <c r="N561" s="115"/>
      <c r="O561" s="90">
        <f>IFERROR(VLOOKUP(A561&amp;G561,Lookup!J:K,2,0),"")</f>
        <v>0</v>
      </c>
      <c r="P561" s="110" t="str">
        <f t="shared" si="43"/>
        <v/>
      </c>
      <c r="Q561" s="115"/>
      <c r="R561" s="87" t="str">
        <f t="shared" si="44"/>
        <v/>
      </c>
      <c r="S561" s="87" t="str">
        <f t="shared" si="45"/>
        <v/>
      </c>
      <c r="T561" s="54"/>
      <c r="U561" s="54"/>
      <c r="V561" s="54"/>
      <c r="W561" s="54"/>
      <c r="X561" s="69" t="str">
        <f t="shared" si="42"/>
        <v>D</v>
      </c>
    </row>
    <row r="562" spans="2:24" x14ac:dyDescent="0.25">
      <c r="B562" s="91" t="str">
        <f>IFERROR(VLOOKUP(A562,Lookup!A:B,2,0),"")</f>
        <v/>
      </c>
      <c r="C562" s="59" t="str">
        <f>IFERROR(VLOOKUP(A562,Lookup!A:C,3,0),"")</f>
        <v/>
      </c>
      <c r="D562" s="54"/>
      <c r="E562" s="54"/>
      <c r="F562" s="54"/>
      <c r="G562" s="72"/>
      <c r="H562" s="54"/>
      <c r="I562" s="54"/>
      <c r="J562" s="106">
        <f>VLOOKUP(A562&amp;G562,Lookup!J:N,5,0)</f>
        <v>0</v>
      </c>
      <c r="K562" s="115"/>
      <c r="L562" s="115"/>
      <c r="M562" s="115"/>
      <c r="N562" s="115"/>
      <c r="O562" s="90">
        <f>IFERROR(VLOOKUP(A562&amp;G562,Lookup!J:K,2,0),"")</f>
        <v>0</v>
      </c>
      <c r="P562" s="110" t="str">
        <f t="shared" si="43"/>
        <v/>
      </c>
      <c r="Q562" s="115"/>
      <c r="R562" s="87" t="str">
        <f t="shared" si="44"/>
        <v/>
      </c>
      <c r="S562" s="87" t="str">
        <f t="shared" si="45"/>
        <v/>
      </c>
      <c r="T562" s="54"/>
      <c r="U562" s="54"/>
      <c r="V562" s="54"/>
      <c r="W562" s="54"/>
      <c r="X562" s="69" t="str">
        <f t="shared" si="42"/>
        <v>D</v>
      </c>
    </row>
    <row r="563" spans="2:24" x14ac:dyDescent="0.25">
      <c r="B563" s="91" t="str">
        <f>IFERROR(VLOOKUP(A563,Lookup!A:B,2,0),"")</f>
        <v/>
      </c>
      <c r="C563" s="59" t="str">
        <f>IFERROR(VLOOKUP(A563,Lookup!A:C,3,0),"")</f>
        <v/>
      </c>
      <c r="D563" s="54"/>
      <c r="E563" s="54"/>
      <c r="F563" s="54"/>
      <c r="G563" s="72"/>
      <c r="H563" s="54"/>
      <c r="I563" s="54"/>
      <c r="J563" s="106">
        <f>VLOOKUP(A563&amp;G563,Lookup!J:N,5,0)</f>
        <v>0</v>
      </c>
      <c r="K563" s="115"/>
      <c r="L563" s="115"/>
      <c r="M563" s="115"/>
      <c r="N563" s="115"/>
      <c r="O563" s="90">
        <f>IFERROR(VLOOKUP(A563&amp;G563,Lookup!J:K,2,0),"")</f>
        <v>0</v>
      </c>
      <c r="P563" s="110" t="str">
        <f t="shared" si="43"/>
        <v/>
      </c>
      <c r="Q563" s="115"/>
      <c r="R563" s="87" t="str">
        <f t="shared" si="44"/>
        <v/>
      </c>
      <c r="S563" s="87" t="str">
        <f t="shared" si="45"/>
        <v/>
      </c>
      <c r="T563" s="54"/>
      <c r="U563" s="54"/>
      <c r="V563" s="54"/>
      <c r="W563" s="54"/>
      <c r="X563" s="69" t="str">
        <f t="shared" si="42"/>
        <v>D</v>
      </c>
    </row>
    <row r="564" spans="2:24" x14ac:dyDescent="0.25">
      <c r="B564" s="91" t="str">
        <f>IFERROR(VLOOKUP(A564,Lookup!A:B,2,0),"")</f>
        <v/>
      </c>
      <c r="C564" s="59" t="str">
        <f>IFERROR(VLOOKUP(A564,Lookup!A:C,3,0),"")</f>
        <v/>
      </c>
      <c r="D564" s="54"/>
      <c r="E564" s="54"/>
      <c r="F564" s="54"/>
      <c r="G564" s="72"/>
      <c r="H564" s="54"/>
      <c r="I564" s="54"/>
      <c r="J564" s="106">
        <f>VLOOKUP(A564&amp;G564,Lookup!J:N,5,0)</f>
        <v>0</v>
      </c>
      <c r="K564" s="115"/>
      <c r="L564" s="115"/>
      <c r="M564" s="115"/>
      <c r="N564" s="115"/>
      <c r="O564" s="90">
        <f>IFERROR(VLOOKUP(A564&amp;G564,Lookup!J:K,2,0),"")</f>
        <v>0</v>
      </c>
      <c r="P564" s="110" t="str">
        <f t="shared" si="43"/>
        <v/>
      </c>
      <c r="Q564" s="115"/>
      <c r="R564" s="87" t="str">
        <f t="shared" si="44"/>
        <v/>
      </c>
      <c r="S564" s="87" t="str">
        <f t="shared" si="45"/>
        <v/>
      </c>
      <c r="T564" s="54"/>
      <c r="U564" s="54"/>
      <c r="V564" s="54"/>
      <c r="W564" s="54"/>
      <c r="X564" s="69" t="str">
        <f t="shared" si="42"/>
        <v>D</v>
      </c>
    </row>
    <row r="565" spans="2:24" x14ac:dyDescent="0.25">
      <c r="B565" s="91" t="str">
        <f>IFERROR(VLOOKUP(A565,Lookup!A:B,2,0),"")</f>
        <v/>
      </c>
      <c r="C565" s="59" t="str">
        <f>IFERROR(VLOOKUP(A565,Lookup!A:C,3,0),"")</f>
        <v/>
      </c>
      <c r="D565" s="54"/>
      <c r="E565" s="54"/>
      <c r="F565" s="54"/>
      <c r="G565" s="72"/>
      <c r="H565" s="54"/>
      <c r="I565" s="54"/>
      <c r="J565" s="106">
        <f>VLOOKUP(A565&amp;G565,Lookup!J:N,5,0)</f>
        <v>0</v>
      </c>
      <c r="K565" s="115"/>
      <c r="L565" s="115"/>
      <c r="M565" s="115"/>
      <c r="N565" s="115"/>
      <c r="O565" s="90">
        <f>IFERROR(VLOOKUP(A565&amp;G565,Lookup!J:K,2,0),"")</f>
        <v>0</v>
      </c>
      <c r="P565" s="110" t="str">
        <f t="shared" si="43"/>
        <v/>
      </c>
      <c r="Q565" s="115"/>
      <c r="R565" s="87" t="str">
        <f t="shared" si="44"/>
        <v/>
      </c>
      <c r="S565" s="87" t="str">
        <f t="shared" si="45"/>
        <v/>
      </c>
      <c r="T565" s="54"/>
      <c r="U565" s="54"/>
      <c r="V565" s="54"/>
      <c r="W565" s="54"/>
      <c r="X565" s="69" t="str">
        <f t="shared" si="42"/>
        <v>D</v>
      </c>
    </row>
    <row r="566" spans="2:24" x14ac:dyDescent="0.25">
      <c r="B566" s="91" t="str">
        <f>IFERROR(VLOOKUP(A566,Lookup!A:B,2,0),"")</f>
        <v/>
      </c>
      <c r="C566" s="59" t="str">
        <f>IFERROR(VLOOKUP(A566,Lookup!A:C,3,0),"")</f>
        <v/>
      </c>
      <c r="D566" s="54"/>
      <c r="E566" s="54"/>
      <c r="F566" s="54"/>
      <c r="G566" s="72"/>
      <c r="H566" s="54"/>
      <c r="I566" s="54"/>
      <c r="J566" s="106">
        <f>VLOOKUP(A566&amp;G566,Lookup!J:N,5,0)</f>
        <v>0</v>
      </c>
      <c r="K566" s="115"/>
      <c r="L566" s="115"/>
      <c r="M566" s="115"/>
      <c r="N566" s="115"/>
      <c r="O566" s="90">
        <f>IFERROR(VLOOKUP(A566&amp;G566,Lookup!J:K,2,0),"")</f>
        <v>0</v>
      </c>
      <c r="P566" s="110" t="str">
        <f t="shared" si="43"/>
        <v/>
      </c>
      <c r="Q566" s="115"/>
      <c r="R566" s="87" t="str">
        <f t="shared" si="44"/>
        <v/>
      </c>
      <c r="S566" s="87" t="str">
        <f t="shared" si="45"/>
        <v/>
      </c>
      <c r="T566" s="54"/>
      <c r="U566" s="54"/>
      <c r="V566" s="54"/>
      <c r="W566" s="54"/>
      <c r="X566" s="69" t="str">
        <f t="shared" si="42"/>
        <v>D</v>
      </c>
    </row>
    <row r="567" spans="2:24" x14ac:dyDescent="0.25">
      <c r="B567" s="91" t="str">
        <f>IFERROR(VLOOKUP(A567,Lookup!A:B,2,0),"")</f>
        <v/>
      </c>
      <c r="C567" s="59" t="str">
        <f>IFERROR(VLOOKUP(A567,Lookup!A:C,3,0),"")</f>
        <v/>
      </c>
      <c r="D567" s="54"/>
      <c r="E567" s="54"/>
      <c r="F567" s="54"/>
      <c r="G567" s="72"/>
      <c r="H567" s="54"/>
      <c r="I567" s="54"/>
      <c r="J567" s="106">
        <f>VLOOKUP(A567&amp;G567,Lookup!J:N,5,0)</f>
        <v>0</v>
      </c>
      <c r="K567" s="115"/>
      <c r="L567" s="115"/>
      <c r="M567" s="115"/>
      <c r="N567" s="115"/>
      <c r="O567" s="90">
        <f>IFERROR(VLOOKUP(A567&amp;G567,Lookup!J:K,2,0),"")</f>
        <v>0</v>
      </c>
      <c r="P567" s="110" t="str">
        <f t="shared" si="43"/>
        <v/>
      </c>
      <c r="Q567" s="115"/>
      <c r="R567" s="87" t="str">
        <f t="shared" si="44"/>
        <v/>
      </c>
      <c r="S567" s="87" t="str">
        <f t="shared" si="45"/>
        <v/>
      </c>
      <c r="T567" s="54"/>
      <c r="U567" s="54"/>
      <c r="V567" s="54"/>
      <c r="W567" s="54"/>
      <c r="X567" s="69" t="str">
        <f t="shared" si="42"/>
        <v>D</v>
      </c>
    </row>
    <row r="568" spans="2:24" x14ac:dyDescent="0.25">
      <c r="B568" s="91" t="str">
        <f>IFERROR(VLOOKUP(A568,Lookup!A:B,2,0),"")</f>
        <v/>
      </c>
      <c r="C568" s="59" t="str">
        <f>IFERROR(VLOOKUP(A568,Lookup!A:C,3,0),"")</f>
        <v/>
      </c>
      <c r="D568" s="54"/>
      <c r="E568" s="54"/>
      <c r="F568" s="54"/>
      <c r="G568" s="72"/>
      <c r="H568" s="54"/>
      <c r="I568" s="54"/>
      <c r="J568" s="106">
        <f>VLOOKUP(A568&amp;G568,Lookup!J:N,5,0)</f>
        <v>0</v>
      </c>
      <c r="K568" s="115"/>
      <c r="L568" s="115"/>
      <c r="M568" s="115"/>
      <c r="N568" s="115"/>
      <c r="O568" s="90">
        <f>IFERROR(VLOOKUP(A568&amp;G568,Lookup!J:K,2,0),"")</f>
        <v>0</v>
      </c>
      <c r="P568" s="110" t="str">
        <f t="shared" si="43"/>
        <v/>
      </c>
      <c r="Q568" s="115"/>
      <c r="R568" s="87" t="str">
        <f t="shared" si="44"/>
        <v/>
      </c>
      <c r="S568" s="87" t="str">
        <f t="shared" si="45"/>
        <v/>
      </c>
      <c r="T568" s="54"/>
      <c r="U568" s="54"/>
      <c r="V568" s="54"/>
      <c r="W568" s="54"/>
      <c r="X568" s="69" t="str">
        <f t="shared" si="42"/>
        <v>D</v>
      </c>
    </row>
    <row r="569" spans="2:24" x14ac:dyDescent="0.25">
      <c r="B569" s="91" t="str">
        <f>IFERROR(VLOOKUP(A569,Lookup!A:B,2,0),"")</f>
        <v/>
      </c>
      <c r="C569" s="59" t="str">
        <f>IFERROR(VLOOKUP(A569,Lookup!A:C,3,0),"")</f>
        <v/>
      </c>
      <c r="D569" s="54"/>
      <c r="E569" s="54"/>
      <c r="F569" s="54"/>
      <c r="G569" s="72"/>
      <c r="H569" s="54"/>
      <c r="I569" s="54"/>
      <c r="J569" s="106">
        <f>VLOOKUP(A569&amp;G569,Lookup!J:N,5,0)</f>
        <v>0</v>
      </c>
      <c r="K569" s="115"/>
      <c r="L569" s="115"/>
      <c r="M569" s="115"/>
      <c r="N569" s="115"/>
      <c r="O569" s="90">
        <f>IFERROR(VLOOKUP(A569&amp;G569,Lookup!J:K,2,0),"")</f>
        <v>0</v>
      </c>
      <c r="P569" s="110" t="str">
        <f t="shared" si="43"/>
        <v/>
      </c>
      <c r="Q569" s="115"/>
      <c r="R569" s="87" t="str">
        <f t="shared" si="44"/>
        <v/>
      </c>
      <c r="S569" s="87" t="str">
        <f t="shared" si="45"/>
        <v/>
      </c>
      <c r="T569" s="54"/>
      <c r="U569" s="54"/>
      <c r="V569" s="54"/>
      <c r="W569" s="54"/>
      <c r="X569" s="69" t="str">
        <f t="shared" si="42"/>
        <v>D</v>
      </c>
    </row>
    <row r="570" spans="2:24" x14ac:dyDescent="0.25">
      <c r="B570" s="91" t="str">
        <f>IFERROR(VLOOKUP(A570,Lookup!A:B,2,0),"")</f>
        <v/>
      </c>
      <c r="C570" s="59" t="str">
        <f>IFERROR(VLOOKUP(A570,Lookup!A:C,3,0),"")</f>
        <v/>
      </c>
      <c r="D570" s="54"/>
      <c r="E570" s="54"/>
      <c r="F570" s="54"/>
      <c r="G570" s="72"/>
      <c r="H570" s="54"/>
      <c r="I570" s="54"/>
      <c r="J570" s="106">
        <f>VLOOKUP(A570&amp;G570,Lookup!J:N,5,0)</f>
        <v>0</v>
      </c>
      <c r="K570" s="115"/>
      <c r="L570" s="115"/>
      <c r="M570" s="115"/>
      <c r="N570" s="115"/>
      <c r="O570" s="90">
        <f>IFERROR(VLOOKUP(A570&amp;G570,Lookup!J:K,2,0),"")</f>
        <v>0</v>
      </c>
      <c r="P570" s="110" t="str">
        <f t="shared" si="43"/>
        <v/>
      </c>
      <c r="Q570" s="115"/>
      <c r="R570" s="87" t="str">
        <f t="shared" si="44"/>
        <v/>
      </c>
      <c r="S570" s="87" t="str">
        <f t="shared" si="45"/>
        <v/>
      </c>
      <c r="T570" s="54"/>
      <c r="U570" s="54"/>
      <c r="V570" s="54"/>
      <c r="W570" s="54"/>
      <c r="X570" s="69" t="str">
        <f t="shared" si="42"/>
        <v>D</v>
      </c>
    </row>
    <row r="571" spans="2:24" x14ac:dyDescent="0.25">
      <c r="B571" s="91" t="str">
        <f>IFERROR(VLOOKUP(A571,Lookup!A:B,2,0),"")</f>
        <v/>
      </c>
      <c r="C571" s="59" t="str">
        <f>IFERROR(VLOOKUP(A571,Lookup!A:C,3,0),"")</f>
        <v/>
      </c>
      <c r="D571" s="54"/>
      <c r="E571" s="54"/>
      <c r="F571" s="54"/>
      <c r="G571" s="72"/>
      <c r="H571" s="54"/>
      <c r="I571" s="54"/>
      <c r="J571" s="106">
        <f>VLOOKUP(A571&amp;G571,Lookup!J:N,5,0)</f>
        <v>0</v>
      </c>
      <c r="K571" s="115"/>
      <c r="L571" s="115"/>
      <c r="M571" s="115"/>
      <c r="N571" s="115"/>
      <c r="O571" s="90">
        <f>IFERROR(VLOOKUP(A571&amp;G571,Lookup!J:K,2,0),"")</f>
        <v>0</v>
      </c>
      <c r="P571" s="110" t="str">
        <f t="shared" si="43"/>
        <v/>
      </c>
      <c r="Q571" s="115"/>
      <c r="R571" s="87" t="str">
        <f t="shared" si="44"/>
        <v/>
      </c>
      <c r="S571" s="87" t="str">
        <f t="shared" si="45"/>
        <v/>
      </c>
      <c r="T571" s="54"/>
      <c r="U571" s="54"/>
      <c r="V571" s="54"/>
      <c r="W571" s="54"/>
      <c r="X571" s="69" t="str">
        <f t="shared" si="42"/>
        <v>D</v>
      </c>
    </row>
    <row r="572" spans="2:24" x14ac:dyDescent="0.25">
      <c r="B572" s="91" t="str">
        <f>IFERROR(VLOOKUP(A572,Lookup!A:B,2,0),"")</f>
        <v/>
      </c>
      <c r="C572" s="59" t="str">
        <f>IFERROR(VLOOKUP(A572,Lookup!A:C,3,0),"")</f>
        <v/>
      </c>
      <c r="D572" s="54"/>
      <c r="E572" s="54"/>
      <c r="F572" s="54"/>
      <c r="G572" s="72"/>
      <c r="H572" s="54"/>
      <c r="I572" s="54"/>
      <c r="J572" s="106">
        <f>VLOOKUP(A572&amp;G572,Lookup!J:N,5,0)</f>
        <v>0</v>
      </c>
      <c r="K572" s="115"/>
      <c r="L572" s="115"/>
      <c r="M572" s="115"/>
      <c r="N572" s="115"/>
      <c r="O572" s="90">
        <f>IFERROR(VLOOKUP(A572&amp;G572,Lookup!J:K,2,0),"")</f>
        <v>0</v>
      </c>
      <c r="P572" s="110" t="str">
        <f t="shared" si="43"/>
        <v/>
      </c>
      <c r="Q572" s="115"/>
      <c r="R572" s="87" t="str">
        <f t="shared" si="44"/>
        <v/>
      </c>
      <c r="S572" s="87" t="str">
        <f t="shared" si="45"/>
        <v/>
      </c>
      <c r="T572" s="54"/>
      <c r="U572" s="54"/>
      <c r="V572" s="54"/>
      <c r="W572" s="54"/>
      <c r="X572" s="69" t="str">
        <f t="shared" si="42"/>
        <v>D</v>
      </c>
    </row>
    <row r="573" spans="2:24" x14ac:dyDescent="0.25">
      <c r="B573" s="91" t="str">
        <f>IFERROR(VLOOKUP(A573,Lookup!A:B,2,0),"")</f>
        <v/>
      </c>
      <c r="C573" s="59" t="str">
        <f>IFERROR(VLOOKUP(A573,Lookup!A:C,3,0),"")</f>
        <v/>
      </c>
      <c r="D573" s="54"/>
      <c r="E573" s="54"/>
      <c r="F573" s="54"/>
      <c r="G573" s="72"/>
      <c r="H573" s="54"/>
      <c r="I573" s="54"/>
      <c r="J573" s="106">
        <f>VLOOKUP(A573&amp;G573,Lookup!J:N,5,0)</f>
        <v>0</v>
      </c>
      <c r="K573" s="115"/>
      <c r="L573" s="115"/>
      <c r="M573" s="115"/>
      <c r="N573" s="115"/>
      <c r="O573" s="90">
        <f>IFERROR(VLOOKUP(A573&amp;G573,Lookup!J:K,2,0),"")</f>
        <v>0</v>
      </c>
      <c r="P573" s="110" t="str">
        <f t="shared" si="43"/>
        <v/>
      </c>
      <c r="Q573" s="115"/>
      <c r="R573" s="87" t="str">
        <f t="shared" si="44"/>
        <v/>
      </c>
      <c r="S573" s="87" t="str">
        <f t="shared" si="45"/>
        <v/>
      </c>
      <c r="T573" s="54"/>
      <c r="U573" s="54"/>
      <c r="V573" s="54"/>
      <c r="W573" s="54"/>
      <c r="X573" s="69" t="str">
        <f t="shared" si="42"/>
        <v>D</v>
      </c>
    </row>
    <row r="574" spans="2:24" x14ac:dyDescent="0.25">
      <c r="B574" s="91" t="str">
        <f>IFERROR(VLOOKUP(A574,Lookup!A:B,2,0),"")</f>
        <v/>
      </c>
      <c r="C574" s="59" t="str">
        <f>IFERROR(VLOOKUP(A574,Lookup!A:C,3,0),"")</f>
        <v/>
      </c>
      <c r="D574" s="54"/>
      <c r="E574" s="54"/>
      <c r="F574" s="54"/>
      <c r="G574" s="72"/>
      <c r="H574" s="54"/>
      <c r="I574" s="54"/>
      <c r="J574" s="106">
        <f>VLOOKUP(A574&amp;G574,Lookup!J:N,5,0)</f>
        <v>0</v>
      </c>
      <c r="K574" s="115"/>
      <c r="L574" s="115"/>
      <c r="M574" s="115"/>
      <c r="N574" s="115"/>
      <c r="O574" s="90">
        <f>IFERROR(VLOOKUP(A574&amp;G574,Lookup!J:K,2,0),"")</f>
        <v>0</v>
      </c>
      <c r="P574" s="110" t="str">
        <f t="shared" si="43"/>
        <v/>
      </c>
      <c r="Q574" s="115"/>
      <c r="R574" s="87" t="str">
        <f t="shared" si="44"/>
        <v/>
      </c>
      <c r="S574" s="87" t="str">
        <f t="shared" si="45"/>
        <v/>
      </c>
      <c r="T574" s="54"/>
      <c r="U574" s="54"/>
      <c r="V574" s="54"/>
      <c r="W574" s="54"/>
      <c r="X574" s="69" t="str">
        <f t="shared" si="42"/>
        <v>D</v>
      </c>
    </row>
    <row r="575" spans="2:24" x14ac:dyDescent="0.25">
      <c r="B575" s="91" t="str">
        <f>IFERROR(VLOOKUP(A575,Lookup!A:B,2,0),"")</f>
        <v/>
      </c>
      <c r="C575" s="59" t="str">
        <f>IFERROR(VLOOKUP(A575,Lookup!A:C,3,0),"")</f>
        <v/>
      </c>
      <c r="D575" s="54"/>
      <c r="E575" s="54"/>
      <c r="F575" s="54"/>
      <c r="G575" s="72"/>
      <c r="H575" s="54"/>
      <c r="I575" s="54"/>
      <c r="J575" s="106">
        <f>VLOOKUP(A575&amp;G575,Lookup!J:N,5,0)</f>
        <v>0</v>
      </c>
      <c r="K575" s="115"/>
      <c r="L575" s="115"/>
      <c r="M575" s="115"/>
      <c r="N575" s="115"/>
      <c r="O575" s="90">
        <f>IFERROR(VLOOKUP(A575&amp;G575,Lookup!J:K,2,0),"")</f>
        <v>0</v>
      </c>
      <c r="P575" s="110" t="str">
        <f t="shared" si="43"/>
        <v/>
      </c>
      <c r="Q575" s="115"/>
      <c r="R575" s="87" t="str">
        <f t="shared" si="44"/>
        <v/>
      </c>
      <c r="S575" s="87" t="str">
        <f t="shared" si="45"/>
        <v/>
      </c>
      <c r="T575" s="54"/>
      <c r="U575" s="54"/>
      <c r="V575" s="54"/>
      <c r="W575" s="54"/>
      <c r="X575" s="69" t="str">
        <f t="shared" si="42"/>
        <v>D</v>
      </c>
    </row>
    <row r="576" spans="2:24" x14ac:dyDescent="0.25">
      <c r="B576" s="91" t="str">
        <f>IFERROR(VLOOKUP(A576,Lookup!A:B,2,0),"")</f>
        <v/>
      </c>
      <c r="C576" s="59" t="str">
        <f>IFERROR(VLOOKUP(A576,Lookup!A:C,3,0),"")</f>
        <v/>
      </c>
      <c r="D576" s="54"/>
      <c r="E576" s="54"/>
      <c r="F576" s="54"/>
      <c r="G576" s="72"/>
      <c r="H576" s="54"/>
      <c r="I576" s="54"/>
      <c r="J576" s="106">
        <f>VLOOKUP(A576&amp;G576,Lookup!J:N,5,0)</f>
        <v>0</v>
      </c>
      <c r="K576" s="115"/>
      <c r="L576" s="115"/>
      <c r="M576" s="115"/>
      <c r="N576" s="115"/>
      <c r="O576" s="90">
        <f>IFERROR(VLOOKUP(A576&amp;G576,Lookup!J:K,2,0),"")</f>
        <v>0</v>
      </c>
      <c r="P576" s="110" t="str">
        <f t="shared" si="43"/>
        <v/>
      </c>
      <c r="Q576" s="115"/>
      <c r="R576" s="87" t="str">
        <f t="shared" si="44"/>
        <v/>
      </c>
      <c r="S576" s="87" t="str">
        <f t="shared" si="45"/>
        <v/>
      </c>
      <c r="T576" s="54"/>
      <c r="U576" s="54"/>
      <c r="V576" s="54"/>
      <c r="W576" s="54"/>
      <c r="X576" s="69" t="str">
        <f t="shared" si="42"/>
        <v>D</v>
      </c>
    </row>
    <row r="577" spans="2:24" x14ac:dyDescent="0.25">
      <c r="B577" s="91" t="str">
        <f>IFERROR(VLOOKUP(A577,Lookup!A:B,2,0),"")</f>
        <v/>
      </c>
      <c r="C577" s="59" t="str">
        <f>IFERROR(VLOOKUP(A577,Lookup!A:C,3,0),"")</f>
        <v/>
      </c>
      <c r="D577" s="54"/>
      <c r="E577" s="54"/>
      <c r="F577" s="54"/>
      <c r="G577" s="72"/>
      <c r="H577" s="54"/>
      <c r="I577" s="54"/>
      <c r="J577" s="106">
        <f>VLOOKUP(A577&amp;G577,Lookup!J:N,5,0)</f>
        <v>0</v>
      </c>
      <c r="K577" s="115"/>
      <c r="L577" s="115"/>
      <c r="M577" s="115"/>
      <c r="N577" s="115"/>
      <c r="O577" s="90">
        <f>IFERROR(VLOOKUP(A577&amp;G577,Lookup!J:K,2,0),"")</f>
        <v>0</v>
      </c>
      <c r="P577" s="110" t="str">
        <f t="shared" si="43"/>
        <v/>
      </c>
      <c r="Q577" s="115"/>
      <c r="R577" s="87" t="str">
        <f t="shared" si="44"/>
        <v/>
      </c>
      <c r="S577" s="87" t="str">
        <f t="shared" si="45"/>
        <v/>
      </c>
      <c r="T577" s="54"/>
      <c r="U577" s="54"/>
      <c r="V577" s="54"/>
      <c r="W577" s="54"/>
      <c r="X577" s="69" t="str">
        <f t="shared" ref="X577:X640" si="46">IF(I577="SET","A",IF(I577="FREQ","C",IF(I577="","D","B")))</f>
        <v>D</v>
      </c>
    </row>
    <row r="578" spans="2:24" x14ac:dyDescent="0.25">
      <c r="B578" s="91" t="str">
        <f>IFERROR(VLOOKUP(A578,Lookup!A:B,2,0),"")</f>
        <v/>
      </c>
      <c r="C578" s="59" t="str">
        <f>IFERROR(VLOOKUP(A578,Lookup!A:C,3,0),"")</f>
        <v/>
      </c>
      <c r="D578" s="54"/>
      <c r="E578" s="54"/>
      <c r="F578" s="54"/>
      <c r="G578" s="72"/>
      <c r="H578" s="54"/>
      <c r="I578" s="54"/>
      <c r="J578" s="106">
        <f>VLOOKUP(A578&amp;G578,Lookup!J:N,5,0)</f>
        <v>0</v>
      </c>
      <c r="K578" s="115"/>
      <c r="L578" s="115"/>
      <c r="M578" s="115"/>
      <c r="N578" s="115"/>
      <c r="O578" s="90">
        <f>IFERROR(VLOOKUP(A578&amp;G578,Lookup!J:K,2,0),"")</f>
        <v>0</v>
      </c>
      <c r="P578" s="110" t="str">
        <f t="shared" ref="P578:P641" si="47">IF(N578="","",N578+O578)</f>
        <v/>
      </c>
      <c r="Q578" s="115"/>
      <c r="R578" s="87" t="str">
        <f t="shared" si="44"/>
        <v/>
      </c>
      <c r="S578" s="87" t="str">
        <f t="shared" si="45"/>
        <v/>
      </c>
      <c r="T578" s="54"/>
      <c r="U578" s="54"/>
      <c r="V578" s="54"/>
      <c r="W578" s="54"/>
      <c r="X578" s="69" t="str">
        <f t="shared" si="46"/>
        <v>D</v>
      </c>
    </row>
    <row r="579" spans="2:24" x14ac:dyDescent="0.25">
      <c r="B579" s="91" t="str">
        <f>IFERROR(VLOOKUP(A579,Lookup!A:B,2,0),"")</f>
        <v/>
      </c>
      <c r="C579" s="59" t="str">
        <f>IFERROR(VLOOKUP(A579,Lookup!A:C,3,0),"")</f>
        <v/>
      </c>
      <c r="D579" s="54"/>
      <c r="E579" s="54"/>
      <c r="F579" s="54"/>
      <c r="G579" s="72"/>
      <c r="H579" s="54"/>
      <c r="I579" s="54"/>
      <c r="J579" s="106">
        <f>VLOOKUP(A579&amp;G579,Lookup!J:N,5,0)</f>
        <v>0</v>
      </c>
      <c r="K579" s="115"/>
      <c r="L579" s="115"/>
      <c r="M579" s="115"/>
      <c r="N579" s="115"/>
      <c r="O579" s="90">
        <f>IFERROR(VLOOKUP(A579&amp;G579,Lookup!J:K,2,0),"")</f>
        <v>0</v>
      </c>
      <c r="P579" s="110" t="str">
        <f t="shared" si="47"/>
        <v/>
      </c>
      <c r="Q579" s="115"/>
      <c r="R579" s="87" t="str">
        <f t="shared" ref="R579:R642" si="48">IF(OR(EXACT(N579,""), EXACT(L579,"")),"",N579-L579)</f>
        <v/>
      </c>
      <c r="S579" s="87" t="str">
        <f t="shared" si="45"/>
        <v/>
      </c>
      <c r="T579" s="54"/>
      <c r="U579" s="54"/>
      <c r="V579" s="54"/>
      <c r="W579" s="54"/>
      <c r="X579" s="69" t="str">
        <f t="shared" si="46"/>
        <v>D</v>
      </c>
    </row>
    <row r="580" spans="2:24" x14ac:dyDescent="0.25">
      <c r="B580" s="91" t="str">
        <f>IFERROR(VLOOKUP(A580,Lookup!A:B,2,0),"")</f>
        <v/>
      </c>
      <c r="C580" s="59" t="str">
        <f>IFERROR(VLOOKUP(A580,Lookup!A:C,3,0),"")</f>
        <v/>
      </c>
      <c r="D580" s="54"/>
      <c r="E580" s="54"/>
      <c r="F580" s="54"/>
      <c r="G580" s="72"/>
      <c r="H580" s="54"/>
      <c r="I580" s="54"/>
      <c r="J580" s="106">
        <f>VLOOKUP(A580&amp;G580,Lookup!J:N,5,0)</f>
        <v>0</v>
      </c>
      <c r="K580" s="115"/>
      <c r="L580" s="115"/>
      <c r="M580" s="115"/>
      <c r="N580" s="115"/>
      <c r="O580" s="90">
        <f>IFERROR(VLOOKUP(A580&amp;G580,Lookup!J:K,2,0),"")</f>
        <v>0</v>
      </c>
      <c r="P580" s="110" t="str">
        <f t="shared" si="47"/>
        <v/>
      </c>
      <c r="Q580" s="115"/>
      <c r="R580" s="87" t="str">
        <f t="shared" si="48"/>
        <v/>
      </c>
      <c r="S580" s="87" t="str">
        <f t="shared" ref="S580:S643" si="49">IF(OR(EXACT(Q580,""), EXACT(L580,"")),"",Q580-L580)</f>
        <v/>
      </c>
      <c r="T580" s="54"/>
      <c r="U580" s="54"/>
      <c r="V580" s="54"/>
      <c r="W580" s="54"/>
      <c r="X580" s="69" t="str">
        <f t="shared" si="46"/>
        <v>D</v>
      </c>
    </row>
    <row r="581" spans="2:24" x14ac:dyDescent="0.25">
      <c r="B581" s="91" t="str">
        <f>IFERROR(VLOOKUP(A581,Lookup!A:B,2,0),"")</f>
        <v/>
      </c>
      <c r="C581" s="59" t="str">
        <f>IFERROR(VLOOKUP(A581,Lookup!A:C,3,0),"")</f>
        <v/>
      </c>
      <c r="D581" s="54"/>
      <c r="E581" s="54"/>
      <c r="F581" s="54"/>
      <c r="G581" s="72"/>
      <c r="H581" s="54"/>
      <c r="I581" s="54"/>
      <c r="J581" s="106">
        <f>VLOOKUP(A581&amp;G581,Lookup!J:N,5,0)</f>
        <v>0</v>
      </c>
      <c r="K581" s="115"/>
      <c r="L581" s="115"/>
      <c r="M581" s="115"/>
      <c r="N581" s="115"/>
      <c r="O581" s="90">
        <f>IFERROR(VLOOKUP(A581&amp;G581,Lookup!J:K,2,0),"")</f>
        <v>0</v>
      </c>
      <c r="P581" s="110" t="str">
        <f t="shared" si="47"/>
        <v/>
      </c>
      <c r="Q581" s="115"/>
      <c r="R581" s="87" t="str">
        <f t="shared" si="48"/>
        <v/>
      </c>
      <c r="S581" s="87" t="str">
        <f t="shared" si="49"/>
        <v/>
      </c>
      <c r="T581" s="54"/>
      <c r="U581" s="54"/>
      <c r="V581" s="54"/>
      <c r="W581" s="54"/>
      <c r="X581" s="69" t="str">
        <f t="shared" si="46"/>
        <v>D</v>
      </c>
    </row>
    <row r="582" spans="2:24" x14ac:dyDescent="0.25">
      <c r="B582" s="91" t="str">
        <f>IFERROR(VLOOKUP(A582,Lookup!A:B,2,0),"")</f>
        <v/>
      </c>
      <c r="C582" s="59" t="str">
        <f>IFERROR(VLOOKUP(A582,Lookup!A:C,3,0),"")</f>
        <v/>
      </c>
      <c r="D582" s="54"/>
      <c r="E582" s="54"/>
      <c r="F582" s="54"/>
      <c r="G582" s="72"/>
      <c r="H582" s="54"/>
      <c r="I582" s="54"/>
      <c r="J582" s="106">
        <f>VLOOKUP(A582&amp;G582,Lookup!J:N,5,0)</f>
        <v>0</v>
      </c>
      <c r="K582" s="115"/>
      <c r="L582" s="115"/>
      <c r="M582" s="115"/>
      <c r="N582" s="115"/>
      <c r="O582" s="90">
        <f>IFERROR(VLOOKUP(A582&amp;G582,Lookup!J:K,2,0),"")</f>
        <v>0</v>
      </c>
      <c r="P582" s="110" t="str">
        <f t="shared" si="47"/>
        <v/>
      </c>
      <c r="Q582" s="115"/>
      <c r="R582" s="87" t="str">
        <f t="shared" si="48"/>
        <v/>
      </c>
      <c r="S582" s="87" t="str">
        <f t="shared" si="49"/>
        <v/>
      </c>
      <c r="T582" s="54"/>
      <c r="U582" s="54"/>
      <c r="V582" s="54"/>
      <c r="W582" s="54"/>
      <c r="X582" s="69" t="str">
        <f t="shared" si="46"/>
        <v>D</v>
      </c>
    </row>
    <row r="583" spans="2:24" x14ac:dyDescent="0.25">
      <c r="B583" s="91" t="str">
        <f>IFERROR(VLOOKUP(A583,Lookup!A:B,2,0),"")</f>
        <v/>
      </c>
      <c r="C583" s="59" t="str">
        <f>IFERROR(VLOOKUP(A583,Lookup!A:C,3,0),"")</f>
        <v/>
      </c>
      <c r="D583" s="54"/>
      <c r="E583" s="54"/>
      <c r="F583" s="54"/>
      <c r="G583" s="72"/>
      <c r="H583" s="54"/>
      <c r="I583" s="54"/>
      <c r="J583" s="106">
        <f>VLOOKUP(A583&amp;G583,Lookup!J:N,5,0)</f>
        <v>0</v>
      </c>
      <c r="K583" s="115"/>
      <c r="L583" s="115"/>
      <c r="M583" s="115"/>
      <c r="N583" s="115"/>
      <c r="O583" s="90">
        <f>IFERROR(VLOOKUP(A583&amp;G583,Lookup!J:K,2,0),"")</f>
        <v>0</v>
      </c>
      <c r="P583" s="110" t="str">
        <f t="shared" si="47"/>
        <v/>
      </c>
      <c r="Q583" s="115"/>
      <c r="R583" s="87" t="str">
        <f t="shared" si="48"/>
        <v/>
      </c>
      <c r="S583" s="87" t="str">
        <f t="shared" si="49"/>
        <v/>
      </c>
      <c r="T583" s="54"/>
      <c r="U583" s="54"/>
      <c r="V583" s="54"/>
      <c r="W583" s="54"/>
      <c r="X583" s="69" t="str">
        <f t="shared" si="46"/>
        <v>D</v>
      </c>
    </row>
    <row r="584" spans="2:24" x14ac:dyDescent="0.25">
      <c r="B584" s="91" t="str">
        <f>IFERROR(VLOOKUP(A584,Lookup!A:B,2,0),"")</f>
        <v/>
      </c>
      <c r="C584" s="59" t="str">
        <f>IFERROR(VLOOKUP(A584,Lookup!A:C,3,0),"")</f>
        <v/>
      </c>
      <c r="D584" s="54"/>
      <c r="E584" s="54"/>
      <c r="F584" s="54"/>
      <c r="G584" s="72"/>
      <c r="H584" s="54"/>
      <c r="I584" s="54"/>
      <c r="J584" s="106">
        <f>VLOOKUP(A584&amp;G584,Lookup!J:N,5,0)</f>
        <v>0</v>
      </c>
      <c r="K584" s="115"/>
      <c r="L584" s="115"/>
      <c r="M584" s="115"/>
      <c r="N584" s="115"/>
      <c r="O584" s="90">
        <f>IFERROR(VLOOKUP(A584&amp;G584,Lookup!J:K,2,0),"")</f>
        <v>0</v>
      </c>
      <c r="P584" s="110" t="str">
        <f t="shared" si="47"/>
        <v/>
      </c>
      <c r="Q584" s="115"/>
      <c r="R584" s="87" t="str">
        <f t="shared" si="48"/>
        <v/>
      </c>
      <c r="S584" s="87" t="str">
        <f t="shared" si="49"/>
        <v/>
      </c>
      <c r="T584" s="54"/>
      <c r="U584" s="54"/>
      <c r="V584" s="54"/>
      <c r="W584" s="54"/>
      <c r="X584" s="69" t="str">
        <f t="shared" si="46"/>
        <v>D</v>
      </c>
    </row>
    <row r="585" spans="2:24" x14ac:dyDescent="0.25">
      <c r="B585" s="91" t="str">
        <f>IFERROR(VLOOKUP(A585,Lookup!A:B,2,0),"")</f>
        <v/>
      </c>
      <c r="C585" s="59" t="str">
        <f>IFERROR(VLOOKUP(A585,Lookup!A:C,3,0),"")</f>
        <v/>
      </c>
      <c r="D585" s="54"/>
      <c r="E585" s="54"/>
      <c r="F585" s="54"/>
      <c r="G585" s="72"/>
      <c r="H585" s="54"/>
      <c r="I585" s="54"/>
      <c r="J585" s="106">
        <f>VLOOKUP(A585&amp;G585,Lookup!J:N,5,0)</f>
        <v>0</v>
      </c>
      <c r="K585" s="115"/>
      <c r="L585" s="115"/>
      <c r="M585" s="115"/>
      <c r="N585" s="115"/>
      <c r="O585" s="90">
        <f>IFERROR(VLOOKUP(A585&amp;G585,Lookup!J:K,2,0),"")</f>
        <v>0</v>
      </c>
      <c r="P585" s="110" t="str">
        <f t="shared" si="47"/>
        <v/>
      </c>
      <c r="Q585" s="115"/>
      <c r="R585" s="87" t="str">
        <f t="shared" si="48"/>
        <v/>
      </c>
      <c r="S585" s="87" t="str">
        <f t="shared" si="49"/>
        <v/>
      </c>
      <c r="T585" s="54"/>
      <c r="U585" s="54"/>
      <c r="V585" s="54"/>
      <c r="W585" s="54"/>
      <c r="X585" s="69" t="str">
        <f t="shared" si="46"/>
        <v>D</v>
      </c>
    </row>
    <row r="586" spans="2:24" x14ac:dyDescent="0.25">
      <c r="B586" s="91" t="str">
        <f>IFERROR(VLOOKUP(A586,Lookup!A:B,2,0),"")</f>
        <v/>
      </c>
      <c r="C586" s="59" t="str">
        <f>IFERROR(VLOOKUP(A586,Lookup!A:C,3,0),"")</f>
        <v/>
      </c>
      <c r="D586" s="54"/>
      <c r="E586" s="54"/>
      <c r="F586" s="54"/>
      <c r="G586" s="72"/>
      <c r="H586" s="54"/>
      <c r="I586" s="54"/>
      <c r="J586" s="106">
        <f>VLOOKUP(A586&amp;G586,Lookup!J:N,5,0)</f>
        <v>0</v>
      </c>
      <c r="K586" s="115"/>
      <c r="L586" s="115"/>
      <c r="M586" s="115"/>
      <c r="N586" s="115"/>
      <c r="O586" s="90">
        <f>IFERROR(VLOOKUP(A586&amp;G586,Lookup!J:K,2,0),"")</f>
        <v>0</v>
      </c>
      <c r="P586" s="110" t="str">
        <f t="shared" si="47"/>
        <v/>
      </c>
      <c r="Q586" s="115"/>
      <c r="R586" s="87" t="str">
        <f t="shared" si="48"/>
        <v/>
      </c>
      <c r="S586" s="87" t="str">
        <f t="shared" si="49"/>
        <v/>
      </c>
      <c r="T586" s="54"/>
      <c r="U586" s="54"/>
      <c r="V586" s="54"/>
      <c r="W586" s="54"/>
      <c r="X586" s="69" t="str">
        <f t="shared" si="46"/>
        <v>D</v>
      </c>
    </row>
    <row r="587" spans="2:24" x14ac:dyDescent="0.25">
      <c r="B587" s="91" t="str">
        <f>IFERROR(VLOOKUP(A587,Lookup!A:B,2,0),"")</f>
        <v/>
      </c>
      <c r="C587" s="59" t="str">
        <f>IFERROR(VLOOKUP(A587,Lookup!A:C,3,0),"")</f>
        <v/>
      </c>
      <c r="D587" s="54"/>
      <c r="E587" s="54"/>
      <c r="F587" s="54"/>
      <c r="G587" s="72"/>
      <c r="H587" s="54"/>
      <c r="I587" s="54"/>
      <c r="J587" s="106">
        <f>VLOOKUP(A587&amp;G587,Lookup!J:N,5,0)</f>
        <v>0</v>
      </c>
      <c r="K587" s="115"/>
      <c r="L587" s="115"/>
      <c r="M587" s="115"/>
      <c r="N587" s="115"/>
      <c r="O587" s="90">
        <f>IFERROR(VLOOKUP(A587&amp;G587,Lookup!J:K,2,0),"")</f>
        <v>0</v>
      </c>
      <c r="P587" s="110" t="str">
        <f t="shared" si="47"/>
        <v/>
      </c>
      <c r="Q587" s="115"/>
      <c r="R587" s="87" t="str">
        <f t="shared" si="48"/>
        <v/>
      </c>
      <c r="S587" s="87" t="str">
        <f t="shared" si="49"/>
        <v/>
      </c>
      <c r="T587" s="54"/>
      <c r="U587" s="54"/>
      <c r="V587" s="54"/>
      <c r="W587" s="54"/>
      <c r="X587" s="69" t="str">
        <f t="shared" si="46"/>
        <v>D</v>
      </c>
    </row>
    <row r="588" spans="2:24" x14ac:dyDescent="0.25">
      <c r="B588" s="91" t="str">
        <f>IFERROR(VLOOKUP(A588,Lookup!A:B,2,0),"")</f>
        <v/>
      </c>
      <c r="C588" s="59" t="str">
        <f>IFERROR(VLOOKUP(A588,Lookup!A:C,3,0),"")</f>
        <v/>
      </c>
      <c r="D588" s="54"/>
      <c r="E588" s="54"/>
      <c r="F588" s="54"/>
      <c r="G588" s="72"/>
      <c r="H588" s="54"/>
      <c r="I588" s="54"/>
      <c r="J588" s="106">
        <f>VLOOKUP(A588&amp;G588,Lookup!J:N,5,0)</f>
        <v>0</v>
      </c>
      <c r="K588" s="115"/>
      <c r="L588" s="115"/>
      <c r="M588" s="115"/>
      <c r="N588" s="115"/>
      <c r="O588" s="90">
        <f>IFERROR(VLOOKUP(A588&amp;G588,Lookup!J:K,2,0),"")</f>
        <v>0</v>
      </c>
      <c r="P588" s="110" t="str">
        <f t="shared" si="47"/>
        <v/>
      </c>
      <c r="Q588" s="115"/>
      <c r="R588" s="87" t="str">
        <f t="shared" si="48"/>
        <v/>
      </c>
      <c r="S588" s="87" t="str">
        <f t="shared" si="49"/>
        <v/>
      </c>
      <c r="T588" s="54"/>
      <c r="U588" s="54"/>
      <c r="V588" s="54"/>
      <c r="W588" s="54"/>
      <c r="X588" s="69" t="str">
        <f t="shared" si="46"/>
        <v>D</v>
      </c>
    </row>
    <row r="589" spans="2:24" x14ac:dyDescent="0.25">
      <c r="B589" s="91" t="str">
        <f>IFERROR(VLOOKUP(A589,Lookup!A:B,2,0),"")</f>
        <v/>
      </c>
      <c r="C589" s="59" t="str">
        <f>IFERROR(VLOOKUP(A589,Lookup!A:C,3,0),"")</f>
        <v/>
      </c>
      <c r="D589" s="54"/>
      <c r="E589" s="54"/>
      <c r="F589" s="54"/>
      <c r="G589" s="72"/>
      <c r="H589" s="54"/>
      <c r="I589" s="54"/>
      <c r="J589" s="106">
        <f>VLOOKUP(A589&amp;G589,Lookup!J:N,5,0)</f>
        <v>0</v>
      </c>
      <c r="K589" s="115"/>
      <c r="L589" s="115"/>
      <c r="M589" s="115"/>
      <c r="N589" s="115"/>
      <c r="O589" s="90">
        <f>IFERROR(VLOOKUP(A589&amp;G589,Lookup!J:K,2,0),"")</f>
        <v>0</v>
      </c>
      <c r="P589" s="110" t="str">
        <f t="shared" si="47"/>
        <v/>
      </c>
      <c r="Q589" s="115"/>
      <c r="R589" s="87" t="str">
        <f t="shared" si="48"/>
        <v/>
      </c>
      <c r="S589" s="87" t="str">
        <f t="shared" si="49"/>
        <v/>
      </c>
      <c r="T589" s="54"/>
      <c r="U589" s="54"/>
      <c r="V589" s="54"/>
      <c r="W589" s="54"/>
      <c r="X589" s="69" t="str">
        <f t="shared" si="46"/>
        <v>D</v>
      </c>
    </row>
    <row r="590" spans="2:24" x14ac:dyDescent="0.25">
      <c r="B590" s="91" t="str">
        <f>IFERROR(VLOOKUP(A590,Lookup!A:B,2,0),"")</f>
        <v/>
      </c>
      <c r="C590" s="59" t="str">
        <f>IFERROR(VLOOKUP(A590,Lookup!A:C,3,0),"")</f>
        <v/>
      </c>
      <c r="D590" s="54"/>
      <c r="E590" s="54"/>
      <c r="F590" s="54"/>
      <c r="G590" s="72"/>
      <c r="H590" s="54"/>
      <c r="I590" s="54"/>
      <c r="J590" s="106">
        <f>VLOOKUP(A590&amp;G590,Lookup!J:N,5,0)</f>
        <v>0</v>
      </c>
      <c r="K590" s="115"/>
      <c r="L590" s="115"/>
      <c r="M590" s="115"/>
      <c r="N590" s="115"/>
      <c r="O590" s="90">
        <f>IFERROR(VLOOKUP(A590&amp;G590,Lookup!J:K,2,0),"")</f>
        <v>0</v>
      </c>
      <c r="P590" s="110" t="str">
        <f t="shared" si="47"/>
        <v/>
      </c>
      <c r="Q590" s="115"/>
      <c r="R590" s="87" t="str">
        <f t="shared" si="48"/>
        <v/>
      </c>
      <c r="S590" s="87" t="str">
        <f t="shared" si="49"/>
        <v/>
      </c>
      <c r="T590" s="54"/>
      <c r="U590" s="54"/>
      <c r="V590" s="54"/>
      <c r="W590" s="54"/>
      <c r="X590" s="69" t="str">
        <f t="shared" si="46"/>
        <v>D</v>
      </c>
    </row>
    <row r="591" spans="2:24" x14ac:dyDescent="0.25">
      <c r="B591" s="91" t="str">
        <f>IFERROR(VLOOKUP(A591,Lookup!A:B,2,0),"")</f>
        <v/>
      </c>
      <c r="C591" s="59" t="str">
        <f>IFERROR(VLOOKUP(A591,Lookup!A:C,3,0),"")</f>
        <v/>
      </c>
      <c r="D591" s="54"/>
      <c r="E591" s="54"/>
      <c r="F591" s="54"/>
      <c r="G591" s="72"/>
      <c r="H591" s="54"/>
      <c r="I591" s="54"/>
      <c r="J591" s="106">
        <f>VLOOKUP(A591&amp;G591,Lookup!J:N,5,0)</f>
        <v>0</v>
      </c>
      <c r="K591" s="115"/>
      <c r="L591" s="115"/>
      <c r="M591" s="115"/>
      <c r="N591" s="115"/>
      <c r="O591" s="90">
        <f>IFERROR(VLOOKUP(A591&amp;G591,Lookup!J:K,2,0),"")</f>
        <v>0</v>
      </c>
      <c r="P591" s="110" t="str">
        <f t="shared" si="47"/>
        <v/>
      </c>
      <c r="Q591" s="115"/>
      <c r="R591" s="87" t="str">
        <f t="shared" si="48"/>
        <v/>
      </c>
      <c r="S591" s="87" t="str">
        <f t="shared" si="49"/>
        <v/>
      </c>
      <c r="T591" s="54"/>
      <c r="U591" s="54"/>
      <c r="V591" s="54"/>
      <c r="W591" s="54"/>
      <c r="X591" s="69" t="str">
        <f t="shared" si="46"/>
        <v>D</v>
      </c>
    </row>
    <row r="592" spans="2:24" x14ac:dyDescent="0.25">
      <c r="B592" s="91" t="str">
        <f>IFERROR(VLOOKUP(A592,Lookup!A:B,2,0),"")</f>
        <v/>
      </c>
      <c r="C592" s="59" t="str">
        <f>IFERROR(VLOOKUP(A592,Lookup!A:C,3,0),"")</f>
        <v/>
      </c>
      <c r="D592" s="54"/>
      <c r="E592" s="54"/>
      <c r="F592" s="54"/>
      <c r="G592" s="72"/>
      <c r="H592" s="54"/>
      <c r="I592" s="54"/>
      <c r="J592" s="106">
        <f>VLOOKUP(A592&amp;G592,Lookup!J:N,5,0)</f>
        <v>0</v>
      </c>
      <c r="K592" s="115"/>
      <c r="L592" s="115"/>
      <c r="M592" s="115"/>
      <c r="N592" s="115"/>
      <c r="O592" s="90">
        <f>IFERROR(VLOOKUP(A592&amp;G592,Lookup!J:K,2,0),"")</f>
        <v>0</v>
      </c>
      <c r="P592" s="110" t="str">
        <f t="shared" si="47"/>
        <v/>
      </c>
      <c r="Q592" s="115"/>
      <c r="R592" s="87" t="str">
        <f t="shared" si="48"/>
        <v/>
      </c>
      <c r="S592" s="87" t="str">
        <f t="shared" si="49"/>
        <v/>
      </c>
      <c r="T592" s="54"/>
      <c r="U592" s="54"/>
      <c r="V592" s="54"/>
      <c r="W592" s="54"/>
      <c r="X592" s="69" t="str">
        <f t="shared" si="46"/>
        <v>D</v>
      </c>
    </row>
    <row r="593" spans="2:24" x14ac:dyDescent="0.25">
      <c r="B593" s="91" t="str">
        <f>IFERROR(VLOOKUP(A593,Lookup!A:B,2,0),"")</f>
        <v/>
      </c>
      <c r="C593" s="59" t="str">
        <f>IFERROR(VLOOKUP(A593,Lookup!A:C,3,0),"")</f>
        <v/>
      </c>
      <c r="D593" s="54"/>
      <c r="E593" s="54"/>
      <c r="F593" s="54"/>
      <c r="G593" s="72"/>
      <c r="H593" s="54"/>
      <c r="I593" s="54"/>
      <c r="J593" s="106">
        <f>VLOOKUP(A593&amp;G593,Lookup!J:N,5,0)</f>
        <v>0</v>
      </c>
      <c r="K593" s="115"/>
      <c r="L593" s="115"/>
      <c r="M593" s="115"/>
      <c r="N593" s="115"/>
      <c r="O593" s="90">
        <f>IFERROR(VLOOKUP(A593&amp;G593,Lookup!J:K,2,0),"")</f>
        <v>0</v>
      </c>
      <c r="P593" s="110" t="str">
        <f t="shared" si="47"/>
        <v/>
      </c>
      <c r="Q593" s="115"/>
      <c r="R593" s="87" t="str">
        <f t="shared" si="48"/>
        <v/>
      </c>
      <c r="S593" s="87" t="str">
        <f t="shared" si="49"/>
        <v/>
      </c>
      <c r="T593" s="54"/>
      <c r="U593" s="54"/>
      <c r="V593" s="54"/>
      <c r="W593" s="54"/>
      <c r="X593" s="69" t="str">
        <f t="shared" si="46"/>
        <v>D</v>
      </c>
    </row>
    <row r="594" spans="2:24" x14ac:dyDescent="0.25">
      <c r="B594" s="91" t="str">
        <f>IFERROR(VLOOKUP(A594,Lookup!A:B,2,0),"")</f>
        <v/>
      </c>
      <c r="C594" s="59" t="str">
        <f>IFERROR(VLOOKUP(A594,Lookup!A:C,3,0),"")</f>
        <v/>
      </c>
      <c r="D594" s="54"/>
      <c r="E594" s="54"/>
      <c r="F594" s="54"/>
      <c r="G594" s="72"/>
      <c r="H594" s="54"/>
      <c r="I594" s="54"/>
      <c r="J594" s="106">
        <f>VLOOKUP(A594&amp;G594,Lookup!J:N,5,0)</f>
        <v>0</v>
      </c>
      <c r="K594" s="115"/>
      <c r="L594" s="115"/>
      <c r="M594" s="115"/>
      <c r="N594" s="115"/>
      <c r="O594" s="90">
        <f>IFERROR(VLOOKUP(A594&amp;G594,Lookup!J:K,2,0),"")</f>
        <v>0</v>
      </c>
      <c r="P594" s="110" t="str">
        <f t="shared" si="47"/>
        <v/>
      </c>
      <c r="Q594" s="115"/>
      <c r="R594" s="87" t="str">
        <f t="shared" si="48"/>
        <v/>
      </c>
      <c r="S594" s="87" t="str">
        <f t="shared" si="49"/>
        <v/>
      </c>
      <c r="T594" s="54"/>
      <c r="U594" s="54"/>
      <c r="V594" s="54"/>
      <c r="W594" s="54"/>
      <c r="X594" s="69" t="str">
        <f t="shared" si="46"/>
        <v>D</v>
      </c>
    </row>
    <row r="595" spans="2:24" x14ac:dyDescent="0.25">
      <c r="B595" s="91" t="str">
        <f>IFERROR(VLOOKUP(A595,Lookup!A:B,2,0),"")</f>
        <v/>
      </c>
      <c r="C595" s="59" t="str">
        <f>IFERROR(VLOOKUP(A595,Lookup!A:C,3,0),"")</f>
        <v/>
      </c>
      <c r="D595" s="54"/>
      <c r="E595" s="54"/>
      <c r="F595" s="54"/>
      <c r="G595" s="72"/>
      <c r="H595" s="54"/>
      <c r="I595" s="54"/>
      <c r="J595" s="106">
        <f>VLOOKUP(A595&amp;G595,Lookup!J:N,5,0)</f>
        <v>0</v>
      </c>
      <c r="K595" s="115"/>
      <c r="L595" s="115"/>
      <c r="M595" s="115"/>
      <c r="N595" s="115"/>
      <c r="O595" s="90">
        <f>IFERROR(VLOOKUP(A595&amp;G595,Lookup!J:K,2,0),"")</f>
        <v>0</v>
      </c>
      <c r="P595" s="110" t="str">
        <f t="shared" si="47"/>
        <v/>
      </c>
      <c r="Q595" s="115"/>
      <c r="R595" s="87" t="str">
        <f t="shared" si="48"/>
        <v/>
      </c>
      <c r="S595" s="87" t="str">
        <f t="shared" si="49"/>
        <v/>
      </c>
      <c r="T595" s="54"/>
      <c r="U595" s="54"/>
      <c r="V595" s="54"/>
      <c r="W595" s="54"/>
      <c r="X595" s="69" t="str">
        <f t="shared" si="46"/>
        <v>D</v>
      </c>
    </row>
    <row r="596" spans="2:24" x14ac:dyDescent="0.25">
      <c r="B596" s="91" t="str">
        <f>IFERROR(VLOOKUP(A596,Lookup!A:B,2,0),"")</f>
        <v/>
      </c>
      <c r="C596" s="59" t="str">
        <f>IFERROR(VLOOKUP(A596,Lookup!A:C,3,0),"")</f>
        <v/>
      </c>
      <c r="D596" s="54"/>
      <c r="E596" s="54"/>
      <c r="F596" s="54"/>
      <c r="G596" s="72"/>
      <c r="H596" s="54"/>
      <c r="I596" s="54"/>
      <c r="J596" s="106">
        <f>VLOOKUP(A596&amp;G596,Lookup!J:N,5,0)</f>
        <v>0</v>
      </c>
      <c r="K596" s="115"/>
      <c r="L596" s="115"/>
      <c r="M596" s="115"/>
      <c r="N596" s="115"/>
      <c r="O596" s="90">
        <f>IFERROR(VLOOKUP(A596&amp;G596,Lookup!J:K,2,0),"")</f>
        <v>0</v>
      </c>
      <c r="P596" s="110" t="str">
        <f t="shared" si="47"/>
        <v/>
      </c>
      <c r="Q596" s="115"/>
      <c r="R596" s="87" t="str">
        <f t="shared" si="48"/>
        <v/>
      </c>
      <c r="S596" s="87" t="str">
        <f t="shared" si="49"/>
        <v/>
      </c>
      <c r="T596" s="54"/>
      <c r="U596" s="54"/>
      <c r="V596" s="54"/>
      <c r="W596" s="54"/>
      <c r="X596" s="69" t="str">
        <f t="shared" si="46"/>
        <v>D</v>
      </c>
    </row>
    <row r="597" spans="2:24" x14ac:dyDescent="0.25">
      <c r="B597" s="91" t="str">
        <f>IFERROR(VLOOKUP(A597,Lookup!A:B,2,0),"")</f>
        <v/>
      </c>
      <c r="C597" s="59" t="str">
        <f>IFERROR(VLOOKUP(A597,Lookup!A:C,3,0),"")</f>
        <v/>
      </c>
      <c r="D597" s="54"/>
      <c r="E597" s="54"/>
      <c r="F597" s="54"/>
      <c r="G597" s="72"/>
      <c r="H597" s="54"/>
      <c r="I597" s="54"/>
      <c r="J597" s="106">
        <f>VLOOKUP(A597&amp;G597,Lookup!J:N,5,0)</f>
        <v>0</v>
      </c>
      <c r="K597" s="115"/>
      <c r="L597" s="115"/>
      <c r="M597" s="115"/>
      <c r="N597" s="115"/>
      <c r="O597" s="90">
        <f>IFERROR(VLOOKUP(A597&amp;G597,Lookup!J:K,2,0),"")</f>
        <v>0</v>
      </c>
      <c r="P597" s="110" t="str">
        <f t="shared" si="47"/>
        <v/>
      </c>
      <c r="Q597" s="115"/>
      <c r="R597" s="87" t="str">
        <f t="shared" si="48"/>
        <v/>
      </c>
      <c r="S597" s="87" t="str">
        <f t="shared" si="49"/>
        <v/>
      </c>
      <c r="T597" s="54"/>
      <c r="U597" s="54"/>
      <c r="V597" s="54"/>
      <c r="W597" s="54"/>
      <c r="X597" s="69" t="str">
        <f t="shared" si="46"/>
        <v>D</v>
      </c>
    </row>
    <row r="598" spans="2:24" x14ac:dyDescent="0.25">
      <c r="B598" s="91" t="str">
        <f>IFERROR(VLOOKUP(A598,Lookup!A:B,2,0),"")</f>
        <v/>
      </c>
      <c r="C598" s="59" t="str">
        <f>IFERROR(VLOOKUP(A598,Lookup!A:C,3,0),"")</f>
        <v/>
      </c>
      <c r="D598" s="54"/>
      <c r="E598" s="54"/>
      <c r="F598" s="54"/>
      <c r="G598" s="72"/>
      <c r="H598" s="54"/>
      <c r="I598" s="54"/>
      <c r="J598" s="106">
        <f>VLOOKUP(A598&amp;G598,Lookup!J:N,5,0)</f>
        <v>0</v>
      </c>
      <c r="K598" s="115"/>
      <c r="L598" s="115"/>
      <c r="M598" s="115"/>
      <c r="N598" s="115"/>
      <c r="O598" s="90">
        <f>IFERROR(VLOOKUP(A598&amp;G598,Lookup!J:K,2,0),"")</f>
        <v>0</v>
      </c>
      <c r="P598" s="110" t="str">
        <f t="shared" si="47"/>
        <v/>
      </c>
      <c r="Q598" s="115"/>
      <c r="R598" s="87" t="str">
        <f t="shared" si="48"/>
        <v/>
      </c>
      <c r="S598" s="87" t="str">
        <f t="shared" si="49"/>
        <v/>
      </c>
      <c r="T598" s="54"/>
      <c r="U598" s="54"/>
      <c r="V598" s="54"/>
      <c r="W598" s="54"/>
      <c r="X598" s="69" t="str">
        <f t="shared" si="46"/>
        <v>D</v>
      </c>
    </row>
    <row r="599" spans="2:24" x14ac:dyDescent="0.25">
      <c r="B599" s="91" t="str">
        <f>IFERROR(VLOOKUP(A599,Lookup!A:B,2,0),"")</f>
        <v/>
      </c>
      <c r="C599" s="59" t="str">
        <f>IFERROR(VLOOKUP(A599,Lookup!A:C,3,0),"")</f>
        <v/>
      </c>
      <c r="D599" s="54"/>
      <c r="E599" s="54"/>
      <c r="F599" s="54"/>
      <c r="G599" s="72"/>
      <c r="H599" s="54"/>
      <c r="I599" s="54"/>
      <c r="J599" s="106">
        <f>VLOOKUP(A599&amp;G599,Lookup!J:N,5,0)</f>
        <v>0</v>
      </c>
      <c r="K599" s="115"/>
      <c r="L599" s="115"/>
      <c r="M599" s="115"/>
      <c r="N599" s="115"/>
      <c r="O599" s="90">
        <f>IFERROR(VLOOKUP(A599&amp;G599,Lookup!J:K,2,0),"")</f>
        <v>0</v>
      </c>
      <c r="P599" s="110" t="str">
        <f t="shared" si="47"/>
        <v/>
      </c>
      <c r="Q599" s="115"/>
      <c r="R599" s="87" t="str">
        <f t="shared" si="48"/>
        <v/>
      </c>
      <c r="S599" s="87" t="str">
        <f t="shared" si="49"/>
        <v/>
      </c>
      <c r="T599" s="54"/>
      <c r="U599" s="54"/>
      <c r="V599" s="54"/>
      <c r="W599" s="54"/>
      <c r="X599" s="69" t="str">
        <f t="shared" si="46"/>
        <v>D</v>
      </c>
    </row>
    <row r="600" spans="2:24" x14ac:dyDescent="0.25">
      <c r="B600" s="91" t="str">
        <f>IFERROR(VLOOKUP(A600,Lookup!A:B,2,0),"")</f>
        <v/>
      </c>
      <c r="C600" s="59" t="str">
        <f>IFERROR(VLOOKUP(A600,Lookup!A:C,3,0),"")</f>
        <v/>
      </c>
      <c r="D600" s="54"/>
      <c r="E600" s="54"/>
      <c r="F600" s="54"/>
      <c r="G600" s="72"/>
      <c r="H600" s="54"/>
      <c r="I600" s="54"/>
      <c r="J600" s="106">
        <f>VLOOKUP(A600&amp;G600,Lookup!J:N,5,0)</f>
        <v>0</v>
      </c>
      <c r="K600" s="115"/>
      <c r="L600" s="115"/>
      <c r="M600" s="115"/>
      <c r="N600" s="115"/>
      <c r="O600" s="90">
        <f>IFERROR(VLOOKUP(A600&amp;G600,Lookup!J:K,2,0),"")</f>
        <v>0</v>
      </c>
      <c r="P600" s="110" t="str">
        <f t="shared" si="47"/>
        <v/>
      </c>
      <c r="Q600" s="115"/>
      <c r="R600" s="87" t="str">
        <f t="shared" si="48"/>
        <v/>
      </c>
      <c r="S600" s="87" t="str">
        <f t="shared" si="49"/>
        <v/>
      </c>
      <c r="T600" s="54"/>
      <c r="U600" s="54"/>
      <c r="V600" s="54"/>
      <c r="W600" s="54"/>
      <c r="X600" s="69" t="str">
        <f t="shared" si="46"/>
        <v>D</v>
      </c>
    </row>
    <row r="601" spans="2:24" x14ac:dyDescent="0.25">
      <c r="B601" s="91" t="str">
        <f>IFERROR(VLOOKUP(A601,Lookup!A:B,2,0),"")</f>
        <v/>
      </c>
      <c r="C601" s="59" t="str">
        <f>IFERROR(VLOOKUP(A601,Lookup!A:C,3,0),"")</f>
        <v/>
      </c>
      <c r="D601" s="54"/>
      <c r="E601" s="54"/>
      <c r="F601" s="54"/>
      <c r="G601" s="72"/>
      <c r="H601" s="54"/>
      <c r="I601" s="54"/>
      <c r="J601" s="106">
        <f>VLOOKUP(A601&amp;G601,Lookup!J:N,5,0)</f>
        <v>0</v>
      </c>
      <c r="K601" s="115"/>
      <c r="L601" s="115"/>
      <c r="M601" s="115"/>
      <c r="N601" s="115"/>
      <c r="O601" s="90">
        <f>IFERROR(VLOOKUP(A601&amp;G601,Lookup!J:K,2,0),"")</f>
        <v>0</v>
      </c>
      <c r="P601" s="110" t="str">
        <f t="shared" si="47"/>
        <v/>
      </c>
      <c r="Q601" s="115"/>
      <c r="R601" s="87" t="str">
        <f t="shared" si="48"/>
        <v/>
      </c>
      <c r="S601" s="87" t="str">
        <f t="shared" si="49"/>
        <v/>
      </c>
      <c r="T601" s="54"/>
      <c r="U601" s="54"/>
      <c r="V601" s="54"/>
      <c r="W601" s="54"/>
      <c r="X601" s="69" t="str">
        <f t="shared" si="46"/>
        <v>D</v>
      </c>
    </row>
    <row r="602" spans="2:24" x14ac:dyDescent="0.25">
      <c r="B602" s="91" t="str">
        <f>IFERROR(VLOOKUP(A602,Lookup!A:B,2,0),"")</f>
        <v/>
      </c>
      <c r="C602" s="59" t="str">
        <f>IFERROR(VLOOKUP(A602,Lookup!A:C,3,0),"")</f>
        <v/>
      </c>
      <c r="D602" s="54"/>
      <c r="E602" s="54"/>
      <c r="F602" s="54"/>
      <c r="G602" s="72"/>
      <c r="H602" s="54"/>
      <c r="I602" s="54"/>
      <c r="J602" s="106">
        <f>VLOOKUP(A602&amp;G602,Lookup!J:N,5,0)</f>
        <v>0</v>
      </c>
      <c r="K602" s="115"/>
      <c r="L602" s="115"/>
      <c r="M602" s="115"/>
      <c r="N602" s="115"/>
      <c r="O602" s="90">
        <f>IFERROR(VLOOKUP(A602&amp;G602,Lookup!J:K,2,0),"")</f>
        <v>0</v>
      </c>
      <c r="P602" s="110" t="str">
        <f t="shared" si="47"/>
        <v/>
      </c>
      <c r="Q602" s="115"/>
      <c r="R602" s="87" t="str">
        <f t="shared" si="48"/>
        <v/>
      </c>
      <c r="S602" s="87" t="str">
        <f t="shared" si="49"/>
        <v/>
      </c>
      <c r="T602" s="54"/>
      <c r="U602" s="54"/>
      <c r="V602" s="54"/>
      <c r="W602" s="54"/>
      <c r="X602" s="69" t="str">
        <f t="shared" si="46"/>
        <v>D</v>
      </c>
    </row>
    <row r="603" spans="2:24" x14ac:dyDescent="0.25">
      <c r="B603" s="91" t="str">
        <f>IFERROR(VLOOKUP(A603,Lookup!A:B,2,0),"")</f>
        <v/>
      </c>
      <c r="C603" s="59" t="str">
        <f>IFERROR(VLOOKUP(A603,Lookup!A:C,3,0),"")</f>
        <v/>
      </c>
      <c r="D603" s="54"/>
      <c r="E603" s="54"/>
      <c r="F603" s="54"/>
      <c r="G603" s="72"/>
      <c r="H603" s="54"/>
      <c r="I603" s="54"/>
      <c r="J603" s="106">
        <f>VLOOKUP(A603&amp;G603,Lookup!J:N,5,0)</f>
        <v>0</v>
      </c>
      <c r="K603" s="115"/>
      <c r="L603" s="115"/>
      <c r="M603" s="115"/>
      <c r="N603" s="115"/>
      <c r="O603" s="90">
        <f>IFERROR(VLOOKUP(A603&amp;G603,Lookup!J:K,2,0),"")</f>
        <v>0</v>
      </c>
      <c r="P603" s="110" t="str">
        <f t="shared" si="47"/>
        <v/>
      </c>
      <c r="Q603" s="115"/>
      <c r="R603" s="87" t="str">
        <f t="shared" si="48"/>
        <v/>
      </c>
      <c r="S603" s="87" t="str">
        <f t="shared" si="49"/>
        <v/>
      </c>
      <c r="T603" s="54"/>
      <c r="U603" s="54"/>
      <c r="V603" s="54"/>
      <c r="W603" s="54"/>
      <c r="X603" s="69" t="str">
        <f t="shared" si="46"/>
        <v>D</v>
      </c>
    </row>
    <row r="604" spans="2:24" x14ac:dyDescent="0.25">
      <c r="B604" s="91" t="str">
        <f>IFERROR(VLOOKUP(A604,Lookup!A:B,2,0),"")</f>
        <v/>
      </c>
      <c r="C604" s="59" t="str">
        <f>IFERROR(VLOOKUP(A604,Lookup!A:C,3,0),"")</f>
        <v/>
      </c>
      <c r="D604" s="54"/>
      <c r="E604" s="54"/>
      <c r="F604" s="54"/>
      <c r="G604" s="72"/>
      <c r="H604" s="54"/>
      <c r="I604" s="54"/>
      <c r="J604" s="106">
        <f>VLOOKUP(A604&amp;G604,Lookup!J:N,5,0)</f>
        <v>0</v>
      </c>
      <c r="K604" s="115"/>
      <c r="L604" s="115"/>
      <c r="M604" s="115"/>
      <c r="N604" s="115"/>
      <c r="O604" s="90">
        <f>IFERROR(VLOOKUP(A604&amp;G604,Lookup!J:K,2,0),"")</f>
        <v>0</v>
      </c>
      <c r="P604" s="110" t="str">
        <f t="shared" si="47"/>
        <v/>
      </c>
      <c r="Q604" s="115"/>
      <c r="R604" s="87" t="str">
        <f t="shared" si="48"/>
        <v/>
      </c>
      <c r="S604" s="87" t="str">
        <f t="shared" si="49"/>
        <v/>
      </c>
      <c r="T604" s="54"/>
      <c r="U604" s="54"/>
      <c r="V604" s="54"/>
      <c r="W604" s="54"/>
      <c r="X604" s="69" t="str">
        <f t="shared" si="46"/>
        <v>D</v>
      </c>
    </row>
    <row r="605" spans="2:24" x14ac:dyDescent="0.25">
      <c r="B605" s="91" t="str">
        <f>IFERROR(VLOOKUP(A605,Lookup!A:B,2,0),"")</f>
        <v/>
      </c>
      <c r="C605" s="59" t="str">
        <f>IFERROR(VLOOKUP(A605,Lookup!A:C,3,0),"")</f>
        <v/>
      </c>
      <c r="D605" s="54"/>
      <c r="E605" s="54"/>
      <c r="F605" s="54"/>
      <c r="G605" s="72"/>
      <c r="H605" s="54"/>
      <c r="I605" s="54"/>
      <c r="J605" s="106">
        <f>VLOOKUP(A605&amp;G605,Lookup!J:N,5,0)</f>
        <v>0</v>
      </c>
      <c r="K605" s="115"/>
      <c r="L605" s="115"/>
      <c r="M605" s="115"/>
      <c r="N605" s="115"/>
      <c r="O605" s="90">
        <f>IFERROR(VLOOKUP(A605&amp;G605,Lookup!J:K,2,0),"")</f>
        <v>0</v>
      </c>
      <c r="P605" s="110" t="str">
        <f t="shared" si="47"/>
        <v/>
      </c>
      <c r="Q605" s="115"/>
      <c r="R605" s="87" t="str">
        <f t="shared" si="48"/>
        <v/>
      </c>
      <c r="S605" s="87" t="str">
        <f t="shared" si="49"/>
        <v/>
      </c>
      <c r="T605" s="54"/>
      <c r="U605" s="54"/>
      <c r="V605" s="54"/>
      <c r="W605" s="54"/>
      <c r="X605" s="69" t="str">
        <f t="shared" si="46"/>
        <v>D</v>
      </c>
    </row>
    <row r="606" spans="2:24" x14ac:dyDescent="0.25">
      <c r="B606" s="91" t="str">
        <f>IFERROR(VLOOKUP(A606,Lookup!A:B,2,0),"")</f>
        <v/>
      </c>
      <c r="C606" s="59" t="str">
        <f>IFERROR(VLOOKUP(A606,Lookup!A:C,3,0),"")</f>
        <v/>
      </c>
      <c r="D606" s="54"/>
      <c r="E606" s="54"/>
      <c r="F606" s="54"/>
      <c r="G606" s="72"/>
      <c r="H606" s="54"/>
      <c r="I606" s="54"/>
      <c r="J606" s="106">
        <f>VLOOKUP(A606&amp;G606,Lookup!J:N,5,0)</f>
        <v>0</v>
      </c>
      <c r="K606" s="115"/>
      <c r="L606" s="115"/>
      <c r="M606" s="115"/>
      <c r="N606" s="115"/>
      <c r="O606" s="90">
        <f>IFERROR(VLOOKUP(A606&amp;G606,Lookup!J:K,2,0),"")</f>
        <v>0</v>
      </c>
      <c r="P606" s="110" t="str">
        <f t="shared" si="47"/>
        <v/>
      </c>
      <c r="Q606" s="115"/>
      <c r="R606" s="87" t="str">
        <f t="shared" si="48"/>
        <v/>
      </c>
      <c r="S606" s="87" t="str">
        <f t="shared" si="49"/>
        <v/>
      </c>
      <c r="T606" s="54"/>
      <c r="U606" s="54"/>
      <c r="V606" s="54"/>
      <c r="W606" s="54"/>
      <c r="X606" s="69" t="str">
        <f t="shared" si="46"/>
        <v>D</v>
      </c>
    </row>
    <row r="607" spans="2:24" x14ac:dyDescent="0.25">
      <c r="B607" s="91" t="str">
        <f>IFERROR(VLOOKUP(A607,Lookup!A:B,2,0),"")</f>
        <v/>
      </c>
      <c r="C607" s="59" t="str">
        <f>IFERROR(VLOOKUP(A607,Lookup!A:C,3,0),"")</f>
        <v/>
      </c>
      <c r="D607" s="54"/>
      <c r="E607" s="54"/>
      <c r="F607" s="54"/>
      <c r="G607" s="72"/>
      <c r="H607" s="54"/>
      <c r="I607" s="54"/>
      <c r="J607" s="106">
        <f>VLOOKUP(A607&amp;G607,Lookup!J:N,5,0)</f>
        <v>0</v>
      </c>
      <c r="K607" s="115"/>
      <c r="L607" s="115"/>
      <c r="M607" s="115"/>
      <c r="N607" s="115"/>
      <c r="O607" s="90">
        <f>IFERROR(VLOOKUP(A607&amp;G607,Lookup!J:K,2,0),"")</f>
        <v>0</v>
      </c>
      <c r="P607" s="110" t="str">
        <f t="shared" si="47"/>
        <v/>
      </c>
      <c r="Q607" s="115"/>
      <c r="R607" s="87" t="str">
        <f t="shared" si="48"/>
        <v/>
      </c>
      <c r="S607" s="87" t="str">
        <f t="shared" si="49"/>
        <v/>
      </c>
      <c r="T607" s="54"/>
      <c r="U607" s="54"/>
      <c r="V607" s="54"/>
      <c r="W607" s="54"/>
      <c r="X607" s="69" t="str">
        <f t="shared" si="46"/>
        <v>D</v>
      </c>
    </row>
    <row r="608" spans="2:24" x14ac:dyDescent="0.25">
      <c r="B608" s="91" t="str">
        <f>IFERROR(VLOOKUP(A608,Lookup!A:B,2,0),"")</f>
        <v/>
      </c>
      <c r="C608" s="59" t="str">
        <f>IFERROR(VLOOKUP(A608,Lookup!A:C,3,0),"")</f>
        <v/>
      </c>
      <c r="D608" s="54"/>
      <c r="E608" s="54"/>
      <c r="F608" s="54"/>
      <c r="G608" s="72"/>
      <c r="H608" s="54"/>
      <c r="I608" s="54"/>
      <c r="J608" s="106">
        <f>VLOOKUP(A608&amp;G608,Lookup!J:N,5,0)</f>
        <v>0</v>
      </c>
      <c r="K608" s="115"/>
      <c r="L608" s="115"/>
      <c r="M608" s="115"/>
      <c r="N608" s="115"/>
      <c r="O608" s="90">
        <f>IFERROR(VLOOKUP(A608&amp;G608,Lookup!J:K,2,0),"")</f>
        <v>0</v>
      </c>
      <c r="P608" s="110" t="str">
        <f t="shared" si="47"/>
        <v/>
      </c>
      <c r="Q608" s="115"/>
      <c r="R608" s="87" t="str">
        <f t="shared" si="48"/>
        <v/>
      </c>
      <c r="S608" s="87" t="str">
        <f t="shared" si="49"/>
        <v/>
      </c>
      <c r="T608" s="54"/>
      <c r="U608" s="54"/>
      <c r="V608" s="54"/>
      <c r="W608" s="54"/>
      <c r="X608" s="69" t="str">
        <f t="shared" si="46"/>
        <v>D</v>
      </c>
    </row>
    <row r="609" spans="2:24" x14ac:dyDescent="0.25">
      <c r="B609" s="91" t="str">
        <f>IFERROR(VLOOKUP(A609,Lookup!A:B,2,0),"")</f>
        <v/>
      </c>
      <c r="C609" s="59" t="str">
        <f>IFERROR(VLOOKUP(A609,Lookup!A:C,3,0),"")</f>
        <v/>
      </c>
      <c r="D609" s="54"/>
      <c r="E609" s="54"/>
      <c r="F609" s="54"/>
      <c r="G609" s="72"/>
      <c r="H609" s="54"/>
      <c r="I609" s="54"/>
      <c r="J609" s="106">
        <f>VLOOKUP(A609&amp;G609,Lookup!J:N,5,0)</f>
        <v>0</v>
      </c>
      <c r="K609" s="115"/>
      <c r="L609" s="115"/>
      <c r="M609" s="115"/>
      <c r="N609" s="115"/>
      <c r="O609" s="90">
        <f>IFERROR(VLOOKUP(A609&amp;G609,Lookup!J:K,2,0),"")</f>
        <v>0</v>
      </c>
      <c r="P609" s="110" t="str">
        <f t="shared" si="47"/>
        <v/>
      </c>
      <c r="Q609" s="115"/>
      <c r="R609" s="87" t="str">
        <f t="shared" si="48"/>
        <v/>
      </c>
      <c r="S609" s="87" t="str">
        <f t="shared" si="49"/>
        <v/>
      </c>
      <c r="T609" s="54"/>
      <c r="U609" s="54"/>
      <c r="V609" s="54"/>
      <c r="W609" s="54"/>
      <c r="X609" s="69" t="str">
        <f t="shared" si="46"/>
        <v>D</v>
      </c>
    </row>
    <row r="610" spans="2:24" x14ac:dyDescent="0.25">
      <c r="B610" s="91" t="str">
        <f>IFERROR(VLOOKUP(A610,Lookup!A:B,2,0),"")</f>
        <v/>
      </c>
      <c r="C610" s="59" t="str">
        <f>IFERROR(VLOOKUP(A610,Lookup!A:C,3,0),"")</f>
        <v/>
      </c>
      <c r="D610" s="54"/>
      <c r="E610" s="54"/>
      <c r="F610" s="54"/>
      <c r="G610" s="72"/>
      <c r="H610" s="54"/>
      <c r="I610" s="54"/>
      <c r="J610" s="106">
        <f>VLOOKUP(A610&amp;G610,Lookup!J:N,5,0)</f>
        <v>0</v>
      </c>
      <c r="K610" s="115"/>
      <c r="L610" s="115"/>
      <c r="M610" s="115"/>
      <c r="N610" s="115"/>
      <c r="O610" s="90">
        <f>IFERROR(VLOOKUP(A610&amp;G610,Lookup!J:K,2,0),"")</f>
        <v>0</v>
      </c>
      <c r="P610" s="110" t="str">
        <f t="shared" si="47"/>
        <v/>
      </c>
      <c r="Q610" s="115"/>
      <c r="R610" s="87" t="str">
        <f t="shared" si="48"/>
        <v/>
      </c>
      <c r="S610" s="87" t="str">
        <f t="shared" si="49"/>
        <v/>
      </c>
      <c r="T610" s="54"/>
      <c r="U610" s="54"/>
      <c r="V610" s="54"/>
      <c r="W610" s="54"/>
      <c r="X610" s="69" t="str">
        <f t="shared" si="46"/>
        <v>D</v>
      </c>
    </row>
    <row r="611" spans="2:24" x14ac:dyDescent="0.25">
      <c r="B611" s="91" t="str">
        <f>IFERROR(VLOOKUP(A611,Lookup!A:B,2,0),"")</f>
        <v/>
      </c>
      <c r="C611" s="59" t="str">
        <f>IFERROR(VLOOKUP(A611,Lookup!A:C,3,0),"")</f>
        <v/>
      </c>
      <c r="D611" s="54"/>
      <c r="E611" s="54"/>
      <c r="F611" s="54"/>
      <c r="G611" s="72"/>
      <c r="H611" s="54"/>
      <c r="I611" s="54"/>
      <c r="J611" s="106">
        <f>VLOOKUP(A611&amp;G611,Lookup!J:N,5,0)</f>
        <v>0</v>
      </c>
      <c r="K611" s="115"/>
      <c r="L611" s="115"/>
      <c r="M611" s="115"/>
      <c r="N611" s="115"/>
      <c r="O611" s="90">
        <f>IFERROR(VLOOKUP(A611&amp;G611,Lookup!J:K,2,0),"")</f>
        <v>0</v>
      </c>
      <c r="P611" s="110" t="str">
        <f t="shared" si="47"/>
        <v/>
      </c>
      <c r="Q611" s="115"/>
      <c r="R611" s="87" t="str">
        <f t="shared" si="48"/>
        <v/>
      </c>
      <c r="S611" s="87" t="str">
        <f t="shared" si="49"/>
        <v/>
      </c>
      <c r="T611" s="54"/>
      <c r="U611" s="54"/>
      <c r="V611" s="54"/>
      <c r="W611" s="54"/>
      <c r="X611" s="69" t="str">
        <f t="shared" si="46"/>
        <v>D</v>
      </c>
    </row>
    <row r="612" spans="2:24" x14ac:dyDescent="0.25">
      <c r="B612" s="91" t="str">
        <f>IFERROR(VLOOKUP(A612,Lookup!A:B,2,0),"")</f>
        <v/>
      </c>
      <c r="C612" s="59" t="str">
        <f>IFERROR(VLOOKUP(A612,Lookup!A:C,3,0),"")</f>
        <v/>
      </c>
      <c r="D612" s="54"/>
      <c r="E612" s="54"/>
      <c r="F612" s="54"/>
      <c r="G612" s="72"/>
      <c r="H612" s="54"/>
      <c r="I612" s="54"/>
      <c r="J612" s="106">
        <f>VLOOKUP(A612&amp;G612,Lookup!J:N,5,0)</f>
        <v>0</v>
      </c>
      <c r="K612" s="115"/>
      <c r="L612" s="115"/>
      <c r="M612" s="115"/>
      <c r="N612" s="115"/>
      <c r="O612" s="90">
        <f>IFERROR(VLOOKUP(A612&amp;G612,Lookup!J:K,2,0),"")</f>
        <v>0</v>
      </c>
      <c r="P612" s="110" t="str">
        <f t="shared" si="47"/>
        <v/>
      </c>
      <c r="Q612" s="115"/>
      <c r="R612" s="87" t="str">
        <f t="shared" si="48"/>
        <v/>
      </c>
      <c r="S612" s="87" t="str">
        <f t="shared" si="49"/>
        <v/>
      </c>
      <c r="T612" s="54"/>
      <c r="U612" s="54"/>
      <c r="V612" s="54"/>
      <c r="W612" s="54"/>
      <c r="X612" s="69" t="str">
        <f t="shared" si="46"/>
        <v>D</v>
      </c>
    </row>
    <row r="613" spans="2:24" x14ac:dyDescent="0.25">
      <c r="B613" s="91" t="str">
        <f>IFERROR(VLOOKUP(A613,Lookup!A:B,2,0),"")</f>
        <v/>
      </c>
      <c r="C613" s="59" t="str">
        <f>IFERROR(VLOOKUP(A613,Lookup!A:C,3,0),"")</f>
        <v/>
      </c>
      <c r="D613" s="54"/>
      <c r="E613" s="54"/>
      <c r="F613" s="54"/>
      <c r="G613" s="72"/>
      <c r="H613" s="54"/>
      <c r="I613" s="54"/>
      <c r="J613" s="106">
        <f>VLOOKUP(A613&amp;G613,Lookup!J:N,5,0)</f>
        <v>0</v>
      </c>
      <c r="K613" s="115"/>
      <c r="L613" s="115"/>
      <c r="M613" s="115"/>
      <c r="N613" s="115"/>
      <c r="O613" s="90">
        <f>IFERROR(VLOOKUP(A613&amp;G613,Lookup!J:K,2,0),"")</f>
        <v>0</v>
      </c>
      <c r="P613" s="110" t="str">
        <f t="shared" si="47"/>
        <v/>
      </c>
      <c r="Q613" s="115"/>
      <c r="R613" s="87" t="str">
        <f t="shared" si="48"/>
        <v/>
      </c>
      <c r="S613" s="87" t="str">
        <f t="shared" si="49"/>
        <v/>
      </c>
      <c r="T613" s="54"/>
      <c r="U613" s="54"/>
      <c r="V613" s="54"/>
      <c r="W613" s="54"/>
      <c r="X613" s="69" t="str">
        <f t="shared" si="46"/>
        <v>D</v>
      </c>
    </row>
    <row r="614" spans="2:24" x14ac:dyDescent="0.25">
      <c r="B614" s="91" t="str">
        <f>IFERROR(VLOOKUP(A614,Lookup!A:B,2,0),"")</f>
        <v/>
      </c>
      <c r="C614" s="59" t="str">
        <f>IFERROR(VLOOKUP(A614,Lookup!A:C,3,0),"")</f>
        <v/>
      </c>
      <c r="D614" s="54"/>
      <c r="E614" s="54"/>
      <c r="F614" s="54"/>
      <c r="G614" s="72"/>
      <c r="H614" s="54"/>
      <c r="I614" s="54"/>
      <c r="J614" s="106">
        <f>VLOOKUP(A614&amp;G614,Lookup!J:N,5,0)</f>
        <v>0</v>
      </c>
      <c r="K614" s="115"/>
      <c r="L614" s="115"/>
      <c r="M614" s="115"/>
      <c r="N614" s="115"/>
      <c r="O614" s="90">
        <f>IFERROR(VLOOKUP(A614&amp;G614,Lookup!J:K,2,0),"")</f>
        <v>0</v>
      </c>
      <c r="P614" s="110" t="str">
        <f t="shared" si="47"/>
        <v/>
      </c>
      <c r="Q614" s="115"/>
      <c r="R614" s="87" t="str">
        <f t="shared" si="48"/>
        <v/>
      </c>
      <c r="S614" s="87" t="str">
        <f t="shared" si="49"/>
        <v/>
      </c>
      <c r="T614" s="54"/>
      <c r="U614" s="54"/>
      <c r="V614" s="54"/>
      <c r="W614" s="54"/>
      <c r="X614" s="69" t="str">
        <f t="shared" si="46"/>
        <v>D</v>
      </c>
    </row>
    <row r="615" spans="2:24" x14ac:dyDescent="0.25">
      <c r="B615" s="91" t="str">
        <f>IFERROR(VLOOKUP(A615,Lookup!A:B,2,0),"")</f>
        <v/>
      </c>
      <c r="C615" s="59" t="str">
        <f>IFERROR(VLOOKUP(A615,Lookup!A:C,3,0),"")</f>
        <v/>
      </c>
      <c r="D615" s="54"/>
      <c r="E615" s="54"/>
      <c r="F615" s="54"/>
      <c r="G615" s="72"/>
      <c r="H615" s="54"/>
      <c r="I615" s="54"/>
      <c r="J615" s="106">
        <f>VLOOKUP(A615&amp;G615,Lookup!J:N,5,0)</f>
        <v>0</v>
      </c>
      <c r="K615" s="115"/>
      <c r="L615" s="115"/>
      <c r="M615" s="115"/>
      <c r="N615" s="115"/>
      <c r="O615" s="90">
        <f>IFERROR(VLOOKUP(A615&amp;G615,Lookup!J:K,2,0),"")</f>
        <v>0</v>
      </c>
      <c r="P615" s="110" t="str">
        <f t="shared" si="47"/>
        <v/>
      </c>
      <c r="Q615" s="115"/>
      <c r="R615" s="87" t="str">
        <f t="shared" si="48"/>
        <v/>
      </c>
      <c r="S615" s="87" t="str">
        <f t="shared" si="49"/>
        <v/>
      </c>
      <c r="T615" s="54"/>
      <c r="U615" s="54"/>
      <c r="V615" s="54"/>
      <c r="W615" s="54"/>
      <c r="X615" s="69" t="str">
        <f t="shared" si="46"/>
        <v>D</v>
      </c>
    </row>
    <row r="616" spans="2:24" x14ac:dyDescent="0.25">
      <c r="B616" s="91" t="str">
        <f>IFERROR(VLOOKUP(A616,Lookup!A:B,2,0),"")</f>
        <v/>
      </c>
      <c r="C616" s="59" t="str">
        <f>IFERROR(VLOOKUP(A616,Lookup!A:C,3,0),"")</f>
        <v/>
      </c>
      <c r="D616" s="54"/>
      <c r="E616" s="54"/>
      <c r="F616" s="54"/>
      <c r="G616" s="72"/>
      <c r="H616" s="54"/>
      <c r="I616" s="54"/>
      <c r="J616" s="106">
        <f>VLOOKUP(A616&amp;G616,Lookup!J:N,5,0)</f>
        <v>0</v>
      </c>
      <c r="K616" s="115"/>
      <c r="L616" s="115"/>
      <c r="M616" s="115"/>
      <c r="N616" s="115"/>
      <c r="O616" s="90">
        <f>IFERROR(VLOOKUP(A616&amp;G616,Lookup!J:K,2,0),"")</f>
        <v>0</v>
      </c>
      <c r="P616" s="110" t="str">
        <f t="shared" si="47"/>
        <v/>
      </c>
      <c r="Q616" s="115"/>
      <c r="R616" s="87" t="str">
        <f t="shared" si="48"/>
        <v/>
      </c>
      <c r="S616" s="87" t="str">
        <f t="shared" si="49"/>
        <v/>
      </c>
      <c r="T616" s="54"/>
      <c r="U616" s="54"/>
      <c r="V616" s="54"/>
      <c r="W616" s="54"/>
      <c r="X616" s="69" t="str">
        <f t="shared" si="46"/>
        <v>D</v>
      </c>
    </row>
    <row r="617" spans="2:24" x14ac:dyDescent="0.25">
      <c r="B617" s="91" t="str">
        <f>IFERROR(VLOOKUP(A617,Lookup!A:B,2,0),"")</f>
        <v/>
      </c>
      <c r="C617" s="59" t="str">
        <f>IFERROR(VLOOKUP(A617,Lookup!A:C,3,0),"")</f>
        <v/>
      </c>
      <c r="D617" s="54"/>
      <c r="E617" s="54"/>
      <c r="F617" s="54"/>
      <c r="G617" s="72"/>
      <c r="H617" s="54"/>
      <c r="I617" s="54"/>
      <c r="J617" s="106">
        <f>VLOOKUP(A617&amp;G617,Lookup!J:N,5,0)</f>
        <v>0</v>
      </c>
      <c r="K617" s="115"/>
      <c r="L617" s="115"/>
      <c r="M617" s="115"/>
      <c r="N617" s="115"/>
      <c r="O617" s="90">
        <f>IFERROR(VLOOKUP(A617&amp;G617,Lookup!J:K,2,0),"")</f>
        <v>0</v>
      </c>
      <c r="P617" s="110" t="str">
        <f t="shared" si="47"/>
        <v/>
      </c>
      <c r="Q617" s="115"/>
      <c r="R617" s="87" t="str">
        <f t="shared" si="48"/>
        <v/>
      </c>
      <c r="S617" s="87" t="str">
        <f t="shared" si="49"/>
        <v/>
      </c>
      <c r="T617" s="54"/>
      <c r="U617" s="54"/>
      <c r="V617" s="54"/>
      <c r="W617" s="54"/>
      <c r="X617" s="69" t="str">
        <f t="shared" si="46"/>
        <v>D</v>
      </c>
    </row>
    <row r="618" spans="2:24" x14ac:dyDescent="0.25">
      <c r="B618" s="91" t="str">
        <f>IFERROR(VLOOKUP(A618,Lookup!A:B,2,0),"")</f>
        <v/>
      </c>
      <c r="C618" s="59" t="str">
        <f>IFERROR(VLOOKUP(A618,Lookup!A:C,3,0),"")</f>
        <v/>
      </c>
      <c r="D618" s="54"/>
      <c r="E618" s="54"/>
      <c r="F618" s="54"/>
      <c r="G618" s="72"/>
      <c r="H618" s="54"/>
      <c r="I618" s="54"/>
      <c r="J618" s="106">
        <f>VLOOKUP(A618&amp;G618,Lookup!J:N,5,0)</f>
        <v>0</v>
      </c>
      <c r="K618" s="115"/>
      <c r="L618" s="115"/>
      <c r="M618" s="115"/>
      <c r="N618" s="115"/>
      <c r="O618" s="90">
        <f>IFERROR(VLOOKUP(A618&amp;G618,Lookup!J:K,2,0),"")</f>
        <v>0</v>
      </c>
      <c r="P618" s="110" t="str">
        <f t="shared" si="47"/>
        <v/>
      </c>
      <c r="Q618" s="115"/>
      <c r="R618" s="87" t="str">
        <f t="shared" si="48"/>
        <v/>
      </c>
      <c r="S618" s="87" t="str">
        <f t="shared" si="49"/>
        <v/>
      </c>
      <c r="T618" s="54"/>
      <c r="U618" s="54"/>
      <c r="V618" s="54"/>
      <c r="W618" s="54"/>
      <c r="X618" s="69" t="str">
        <f t="shared" si="46"/>
        <v>D</v>
      </c>
    </row>
    <row r="619" spans="2:24" x14ac:dyDescent="0.25">
      <c r="B619" s="91" t="str">
        <f>IFERROR(VLOOKUP(A619,Lookup!A:B,2,0),"")</f>
        <v/>
      </c>
      <c r="C619" s="59" t="str">
        <f>IFERROR(VLOOKUP(A619,Lookup!A:C,3,0),"")</f>
        <v/>
      </c>
      <c r="D619" s="54"/>
      <c r="E619" s="54"/>
      <c r="F619" s="54"/>
      <c r="G619" s="72"/>
      <c r="H619" s="54"/>
      <c r="I619" s="54"/>
      <c r="J619" s="106">
        <f>VLOOKUP(A619&amp;G619,Lookup!J:N,5,0)</f>
        <v>0</v>
      </c>
      <c r="K619" s="115"/>
      <c r="L619" s="115"/>
      <c r="M619" s="115"/>
      <c r="N619" s="115"/>
      <c r="O619" s="90">
        <f>IFERROR(VLOOKUP(A619&amp;G619,Lookup!J:K,2,0),"")</f>
        <v>0</v>
      </c>
      <c r="P619" s="110" t="str">
        <f t="shared" si="47"/>
        <v/>
      </c>
      <c r="Q619" s="115"/>
      <c r="R619" s="87" t="str">
        <f t="shared" si="48"/>
        <v/>
      </c>
      <c r="S619" s="87" t="str">
        <f t="shared" si="49"/>
        <v/>
      </c>
      <c r="T619" s="54"/>
      <c r="U619" s="54"/>
      <c r="V619" s="54"/>
      <c r="W619" s="54"/>
      <c r="X619" s="69" t="str">
        <f t="shared" si="46"/>
        <v>D</v>
      </c>
    </row>
    <row r="620" spans="2:24" x14ac:dyDescent="0.25">
      <c r="B620" s="91" t="str">
        <f>IFERROR(VLOOKUP(A620,Lookup!A:B,2,0),"")</f>
        <v/>
      </c>
      <c r="C620" s="59" t="str">
        <f>IFERROR(VLOOKUP(A620,Lookup!A:C,3,0),"")</f>
        <v/>
      </c>
      <c r="D620" s="54"/>
      <c r="E620" s="54"/>
      <c r="F620" s="54"/>
      <c r="G620" s="72"/>
      <c r="H620" s="54"/>
      <c r="I620" s="54"/>
      <c r="J620" s="106">
        <f>VLOOKUP(A620&amp;G620,Lookup!J:N,5,0)</f>
        <v>0</v>
      </c>
      <c r="K620" s="115"/>
      <c r="L620" s="115"/>
      <c r="M620" s="115"/>
      <c r="N620" s="115"/>
      <c r="O620" s="90">
        <f>IFERROR(VLOOKUP(A620&amp;G620,Lookup!J:K,2,0),"")</f>
        <v>0</v>
      </c>
      <c r="P620" s="110" t="str">
        <f t="shared" si="47"/>
        <v/>
      </c>
      <c r="Q620" s="115"/>
      <c r="R620" s="87" t="str">
        <f t="shared" si="48"/>
        <v/>
      </c>
      <c r="S620" s="87" t="str">
        <f t="shared" si="49"/>
        <v/>
      </c>
      <c r="T620" s="54"/>
      <c r="U620" s="54"/>
      <c r="V620" s="54"/>
      <c r="W620" s="54"/>
      <c r="X620" s="69" t="str">
        <f t="shared" si="46"/>
        <v>D</v>
      </c>
    </row>
    <row r="621" spans="2:24" x14ac:dyDescent="0.25">
      <c r="B621" s="91" t="str">
        <f>IFERROR(VLOOKUP(A621,Lookup!A:B,2,0),"")</f>
        <v/>
      </c>
      <c r="C621" s="59" t="str">
        <f>IFERROR(VLOOKUP(A621,Lookup!A:C,3,0),"")</f>
        <v/>
      </c>
      <c r="D621" s="54"/>
      <c r="E621" s="54"/>
      <c r="F621" s="54"/>
      <c r="G621" s="72"/>
      <c r="H621" s="54"/>
      <c r="I621" s="54"/>
      <c r="J621" s="106">
        <f>VLOOKUP(A621&amp;G621,Lookup!J:N,5,0)</f>
        <v>0</v>
      </c>
      <c r="K621" s="115"/>
      <c r="L621" s="115"/>
      <c r="M621" s="115"/>
      <c r="N621" s="115"/>
      <c r="O621" s="90">
        <f>IFERROR(VLOOKUP(A621&amp;G621,Lookup!J:K,2,0),"")</f>
        <v>0</v>
      </c>
      <c r="P621" s="110" t="str">
        <f t="shared" si="47"/>
        <v/>
      </c>
      <c r="Q621" s="115"/>
      <c r="R621" s="87" t="str">
        <f t="shared" si="48"/>
        <v/>
      </c>
      <c r="S621" s="87" t="str">
        <f t="shared" si="49"/>
        <v/>
      </c>
      <c r="T621" s="54"/>
      <c r="U621" s="54"/>
      <c r="V621" s="54"/>
      <c r="W621" s="54"/>
      <c r="X621" s="69" t="str">
        <f t="shared" si="46"/>
        <v>D</v>
      </c>
    </row>
    <row r="622" spans="2:24" x14ac:dyDescent="0.25">
      <c r="B622" s="91" t="str">
        <f>IFERROR(VLOOKUP(A622,Lookup!A:B,2,0),"")</f>
        <v/>
      </c>
      <c r="C622" s="59" t="str">
        <f>IFERROR(VLOOKUP(A622,Lookup!A:C,3,0),"")</f>
        <v/>
      </c>
      <c r="D622" s="54"/>
      <c r="E622" s="54"/>
      <c r="F622" s="54"/>
      <c r="G622" s="72"/>
      <c r="H622" s="54"/>
      <c r="I622" s="54"/>
      <c r="J622" s="106">
        <f>VLOOKUP(A622&amp;G622,Lookup!J:N,5,0)</f>
        <v>0</v>
      </c>
      <c r="K622" s="115"/>
      <c r="L622" s="115"/>
      <c r="M622" s="115"/>
      <c r="N622" s="115"/>
      <c r="O622" s="90">
        <f>IFERROR(VLOOKUP(A622&amp;G622,Lookup!J:K,2,0),"")</f>
        <v>0</v>
      </c>
      <c r="P622" s="110" t="str">
        <f t="shared" si="47"/>
        <v/>
      </c>
      <c r="Q622" s="115"/>
      <c r="R622" s="87" t="str">
        <f t="shared" si="48"/>
        <v/>
      </c>
      <c r="S622" s="87" t="str">
        <f t="shared" si="49"/>
        <v/>
      </c>
      <c r="T622" s="54"/>
      <c r="U622" s="54"/>
      <c r="V622" s="54"/>
      <c r="W622" s="54"/>
      <c r="X622" s="69" t="str">
        <f t="shared" si="46"/>
        <v>D</v>
      </c>
    </row>
    <row r="623" spans="2:24" x14ac:dyDescent="0.25">
      <c r="B623" s="91" t="str">
        <f>IFERROR(VLOOKUP(A623,Lookup!A:B,2,0),"")</f>
        <v/>
      </c>
      <c r="C623" s="59" t="str">
        <f>IFERROR(VLOOKUP(A623,Lookup!A:C,3,0),"")</f>
        <v/>
      </c>
      <c r="D623" s="54"/>
      <c r="E623" s="54"/>
      <c r="F623" s="54"/>
      <c r="G623" s="72"/>
      <c r="H623" s="54"/>
      <c r="I623" s="54"/>
      <c r="J623" s="106">
        <f>VLOOKUP(A623&amp;G623,Lookup!J:N,5,0)</f>
        <v>0</v>
      </c>
      <c r="K623" s="115"/>
      <c r="L623" s="115"/>
      <c r="M623" s="115"/>
      <c r="N623" s="115"/>
      <c r="O623" s="90">
        <f>IFERROR(VLOOKUP(A623&amp;G623,Lookup!J:K,2,0),"")</f>
        <v>0</v>
      </c>
      <c r="P623" s="110" t="str">
        <f t="shared" si="47"/>
        <v/>
      </c>
      <c r="Q623" s="115"/>
      <c r="R623" s="87" t="str">
        <f t="shared" si="48"/>
        <v/>
      </c>
      <c r="S623" s="87" t="str">
        <f t="shared" si="49"/>
        <v/>
      </c>
      <c r="T623" s="54"/>
      <c r="U623" s="54"/>
      <c r="V623" s="54"/>
      <c r="W623" s="54"/>
      <c r="X623" s="69" t="str">
        <f t="shared" si="46"/>
        <v>D</v>
      </c>
    </row>
    <row r="624" spans="2:24" x14ac:dyDescent="0.25">
      <c r="B624" s="91" t="str">
        <f>IFERROR(VLOOKUP(A624,Lookup!A:B,2,0),"")</f>
        <v/>
      </c>
      <c r="C624" s="59" t="str">
        <f>IFERROR(VLOOKUP(A624,Lookup!A:C,3,0),"")</f>
        <v/>
      </c>
      <c r="D624" s="54"/>
      <c r="E624" s="54"/>
      <c r="F624" s="54"/>
      <c r="G624" s="72"/>
      <c r="H624" s="54"/>
      <c r="I624" s="54"/>
      <c r="J624" s="106">
        <f>VLOOKUP(A624&amp;G624,Lookup!J:N,5,0)</f>
        <v>0</v>
      </c>
      <c r="K624" s="115"/>
      <c r="L624" s="115"/>
      <c r="M624" s="115"/>
      <c r="N624" s="115"/>
      <c r="O624" s="90">
        <f>IFERROR(VLOOKUP(A624&amp;G624,Lookup!J:K,2,0),"")</f>
        <v>0</v>
      </c>
      <c r="P624" s="110" t="str">
        <f t="shared" si="47"/>
        <v/>
      </c>
      <c r="Q624" s="115"/>
      <c r="R624" s="87" t="str">
        <f t="shared" si="48"/>
        <v/>
      </c>
      <c r="S624" s="87" t="str">
        <f t="shared" si="49"/>
        <v/>
      </c>
      <c r="T624" s="54"/>
      <c r="U624" s="54"/>
      <c r="V624" s="54"/>
      <c r="W624" s="54"/>
      <c r="X624" s="69" t="str">
        <f t="shared" si="46"/>
        <v>D</v>
      </c>
    </row>
    <row r="625" spans="2:24" x14ac:dyDescent="0.25">
      <c r="B625" s="91" t="str">
        <f>IFERROR(VLOOKUP(A625,Lookup!A:B,2,0),"")</f>
        <v/>
      </c>
      <c r="C625" s="59" t="str">
        <f>IFERROR(VLOOKUP(A625,Lookup!A:C,3,0),"")</f>
        <v/>
      </c>
      <c r="D625" s="54"/>
      <c r="E625" s="54"/>
      <c r="F625" s="54"/>
      <c r="G625" s="72"/>
      <c r="H625" s="54"/>
      <c r="I625" s="54"/>
      <c r="J625" s="106">
        <f>VLOOKUP(A625&amp;G625,Lookup!J:N,5,0)</f>
        <v>0</v>
      </c>
      <c r="K625" s="115"/>
      <c r="L625" s="115"/>
      <c r="M625" s="115"/>
      <c r="N625" s="115"/>
      <c r="O625" s="90">
        <f>IFERROR(VLOOKUP(A625&amp;G625,Lookup!J:K,2,0),"")</f>
        <v>0</v>
      </c>
      <c r="P625" s="110" t="str">
        <f t="shared" si="47"/>
        <v/>
      </c>
      <c r="Q625" s="115"/>
      <c r="R625" s="87" t="str">
        <f t="shared" si="48"/>
        <v/>
      </c>
      <c r="S625" s="87" t="str">
        <f t="shared" si="49"/>
        <v/>
      </c>
      <c r="T625" s="54"/>
      <c r="U625" s="54"/>
      <c r="V625" s="54"/>
      <c r="W625" s="54"/>
      <c r="X625" s="69" t="str">
        <f t="shared" si="46"/>
        <v>D</v>
      </c>
    </row>
    <row r="626" spans="2:24" x14ac:dyDescent="0.25">
      <c r="B626" s="91" t="str">
        <f>IFERROR(VLOOKUP(A626,Lookup!A:B,2,0),"")</f>
        <v/>
      </c>
      <c r="C626" s="59" t="str">
        <f>IFERROR(VLOOKUP(A626,Lookup!A:C,3,0),"")</f>
        <v/>
      </c>
      <c r="D626" s="54"/>
      <c r="E626" s="54"/>
      <c r="F626" s="54"/>
      <c r="G626" s="72"/>
      <c r="H626" s="54"/>
      <c r="I626" s="54"/>
      <c r="J626" s="106">
        <f>VLOOKUP(A626&amp;G626,Lookup!J:N,5,0)</f>
        <v>0</v>
      </c>
      <c r="K626" s="115"/>
      <c r="L626" s="115"/>
      <c r="M626" s="115"/>
      <c r="N626" s="115"/>
      <c r="O626" s="90">
        <f>IFERROR(VLOOKUP(A626&amp;G626,Lookup!J:K,2,0),"")</f>
        <v>0</v>
      </c>
      <c r="P626" s="110" t="str">
        <f t="shared" si="47"/>
        <v/>
      </c>
      <c r="Q626" s="115"/>
      <c r="R626" s="87" t="str">
        <f t="shared" si="48"/>
        <v/>
      </c>
      <c r="S626" s="87" t="str">
        <f t="shared" si="49"/>
        <v/>
      </c>
      <c r="T626" s="54"/>
      <c r="U626" s="54"/>
      <c r="V626" s="54"/>
      <c r="W626" s="54"/>
      <c r="X626" s="69" t="str">
        <f t="shared" si="46"/>
        <v>D</v>
      </c>
    </row>
    <row r="627" spans="2:24" x14ac:dyDescent="0.25">
      <c r="B627" s="91" t="str">
        <f>IFERROR(VLOOKUP(A627,Lookup!A:B,2,0),"")</f>
        <v/>
      </c>
      <c r="C627" s="59" t="str">
        <f>IFERROR(VLOOKUP(A627,Lookup!A:C,3,0),"")</f>
        <v/>
      </c>
      <c r="D627" s="54"/>
      <c r="E627" s="54"/>
      <c r="F627" s="54"/>
      <c r="G627" s="72"/>
      <c r="H627" s="54"/>
      <c r="I627" s="54"/>
      <c r="J627" s="106">
        <f>VLOOKUP(A627&amp;G627,Lookup!J:N,5,0)</f>
        <v>0</v>
      </c>
      <c r="K627" s="115"/>
      <c r="L627" s="115"/>
      <c r="M627" s="115"/>
      <c r="N627" s="115"/>
      <c r="O627" s="90">
        <f>IFERROR(VLOOKUP(A627&amp;G627,Lookup!J:K,2,0),"")</f>
        <v>0</v>
      </c>
      <c r="P627" s="110" t="str">
        <f t="shared" si="47"/>
        <v/>
      </c>
      <c r="Q627" s="115"/>
      <c r="R627" s="87" t="str">
        <f t="shared" si="48"/>
        <v/>
      </c>
      <c r="S627" s="87" t="str">
        <f t="shared" si="49"/>
        <v/>
      </c>
      <c r="T627" s="54"/>
      <c r="U627" s="54"/>
      <c r="V627" s="54"/>
      <c r="W627" s="54"/>
      <c r="X627" s="69" t="str">
        <f t="shared" si="46"/>
        <v>D</v>
      </c>
    </row>
    <row r="628" spans="2:24" x14ac:dyDescent="0.25">
      <c r="B628" s="91" t="str">
        <f>IFERROR(VLOOKUP(A628,Lookup!A:B,2,0),"")</f>
        <v/>
      </c>
      <c r="C628" s="59" t="str">
        <f>IFERROR(VLOOKUP(A628,Lookup!A:C,3,0),"")</f>
        <v/>
      </c>
      <c r="D628" s="54"/>
      <c r="E628" s="54"/>
      <c r="F628" s="54"/>
      <c r="G628" s="72"/>
      <c r="H628" s="54"/>
      <c r="I628" s="54"/>
      <c r="J628" s="106">
        <f>VLOOKUP(A628&amp;G628,Lookup!J:N,5,0)</f>
        <v>0</v>
      </c>
      <c r="K628" s="115"/>
      <c r="L628" s="115"/>
      <c r="M628" s="115"/>
      <c r="N628" s="115"/>
      <c r="O628" s="90">
        <f>IFERROR(VLOOKUP(A628&amp;G628,Lookup!J:K,2,0),"")</f>
        <v>0</v>
      </c>
      <c r="P628" s="110" t="str">
        <f t="shared" si="47"/>
        <v/>
      </c>
      <c r="Q628" s="115"/>
      <c r="R628" s="87" t="str">
        <f t="shared" si="48"/>
        <v/>
      </c>
      <c r="S628" s="87" t="str">
        <f t="shared" si="49"/>
        <v/>
      </c>
      <c r="T628" s="54"/>
      <c r="U628" s="54"/>
      <c r="V628" s="54"/>
      <c r="W628" s="54"/>
      <c r="X628" s="69" t="str">
        <f t="shared" si="46"/>
        <v>D</v>
      </c>
    </row>
    <row r="629" spans="2:24" x14ac:dyDescent="0.25">
      <c r="B629" s="91" t="str">
        <f>IFERROR(VLOOKUP(A629,Lookup!A:B,2,0),"")</f>
        <v/>
      </c>
      <c r="C629" s="59" t="str">
        <f>IFERROR(VLOOKUP(A629,Lookup!A:C,3,0),"")</f>
        <v/>
      </c>
      <c r="D629" s="54"/>
      <c r="E629" s="54"/>
      <c r="F629" s="54"/>
      <c r="G629" s="72"/>
      <c r="H629" s="54"/>
      <c r="I629" s="54"/>
      <c r="J629" s="106">
        <f>VLOOKUP(A629&amp;G629,Lookup!J:N,5,0)</f>
        <v>0</v>
      </c>
      <c r="K629" s="115"/>
      <c r="L629" s="115"/>
      <c r="M629" s="115"/>
      <c r="N629" s="115"/>
      <c r="O629" s="90">
        <f>IFERROR(VLOOKUP(A629&amp;G629,Lookup!J:K,2,0),"")</f>
        <v>0</v>
      </c>
      <c r="P629" s="110" t="str">
        <f t="shared" si="47"/>
        <v/>
      </c>
      <c r="Q629" s="115"/>
      <c r="R629" s="87" t="str">
        <f t="shared" si="48"/>
        <v/>
      </c>
      <c r="S629" s="87" t="str">
        <f t="shared" si="49"/>
        <v/>
      </c>
      <c r="T629" s="54"/>
      <c r="U629" s="54"/>
      <c r="V629" s="54"/>
      <c r="W629" s="54"/>
      <c r="X629" s="69" t="str">
        <f t="shared" si="46"/>
        <v>D</v>
      </c>
    </row>
    <row r="630" spans="2:24" x14ac:dyDescent="0.25">
      <c r="B630" s="91" t="str">
        <f>IFERROR(VLOOKUP(A630,Lookup!A:B,2,0),"")</f>
        <v/>
      </c>
      <c r="C630" s="59" t="str">
        <f>IFERROR(VLOOKUP(A630,Lookup!A:C,3,0),"")</f>
        <v/>
      </c>
      <c r="D630" s="54"/>
      <c r="E630" s="54"/>
      <c r="F630" s="54"/>
      <c r="G630" s="72"/>
      <c r="H630" s="54"/>
      <c r="I630" s="54"/>
      <c r="J630" s="106">
        <f>VLOOKUP(A630&amp;G630,Lookup!J:N,5,0)</f>
        <v>0</v>
      </c>
      <c r="K630" s="115"/>
      <c r="L630" s="115"/>
      <c r="M630" s="115"/>
      <c r="N630" s="115"/>
      <c r="O630" s="90">
        <f>IFERROR(VLOOKUP(A630&amp;G630,Lookup!J:K,2,0),"")</f>
        <v>0</v>
      </c>
      <c r="P630" s="110" t="str">
        <f t="shared" si="47"/>
        <v/>
      </c>
      <c r="Q630" s="115"/>
      <c r="R630" s="87" t="str">
        <f t="shared" si="48"/>
        <v/>
      </c>
      <c r="S630" s="87" t="str">
        <f t="shared" si="49"/>
        <v/>
      </c>
      <c r="T630" s="54"/>
      <c r="U630" s="54"/>
      <c r="V630" s="54"/>
      <c r="W630" s="54"/>
      <c r="X630" s="69" t="str">
        <f t="shared" si="46"/>
        <v>D</v>
      </c>
    </row>
    <row r="631" spans="2:24" x14ac:dyDescent="0.25">
      <c r="B631" s="91" t="str">
        <f>IFERROR(VLOOKUP(A631,Lookup!A:B,2,0),"")</f>
        <v/>
      </c>
      <c r="C631" s="59" t="str">
        <f>IFERROR(VLOOKUP(A631,Lookup!A:C,3,0),"")</f>
        <v/>
      </c>
      <c r="D631" s="54"/>
      <c r="E631" s="54"/>
      <c r="F631" s="54"/>
      <c r="G631" s="72"/>
      <c r="H631" s="54"/>
      <c r="I631" s="54"/>
      <c r="J631" s="106">
        <f>VLOOKUP(A631&amp;G631,Lookup!J:N,5,0)</f>
        <v>0</v>
      </c>
      <c r="K631" s="115"/>
      <c r="L631" s="115"/>
      <c r="M631" s="115"/>
      <c r="N631" s="115"/>
      <c r="O631" s="90">
        <f>IFERROR(VLOOKUP(A631&amp;G631,Lookup!J:K,2,0),"")</f>
        <v>0</v>
      </c>
      <c r="P631" s="110" t="str">
        <f t="shared" si="47"/>
        <v/>
      </c>
      <c r="Q631" s="115"/>
      <c r="R631" s="87" t="str">
        <f t="shared" si="48"/>
        <v/>
      </c>
      <c r="S631" s="87" t="str">
        <f t="shared" si="49"/>
        <v/>
      </c>
      <c r="T631" s="54"/>
      <c r="U631" s="54"/>
      <c r="V631" s="54"/>
      <c r="W631" s="54"/>
      <c r="X631" s="69" t="str">
        <f t="shared" si="46"/>
        <v>D</v>
      </c>
    </row>
    <row r="632" spans="2:24" x14ac:dyDescent="0.25">
      <c r="B632" s="91" t="str">
        <f>IFERROR(VLOOKUP(A632,Lookup!A:B,2,0),"")</f>
        <v/>
      </c>
      <c r="C632" s="59" t="str">
        <f>IFERROR(VLOOKUP(A632,Lookup!A:C,3,0),"")</f>
        <v/>
      </c>
      <c r="D632" s="54"/>
      <c r="E632" s="54"/>
      <c r="F632" s="54"/>
      <c r="G632" s="72"/>
      <c r="H632" s="54"/>
      <c r="I632" s="54"/>
      <c r="J632" s="106">
        <f>VLOOKUP(A632&amp;G632,Lookup!J:N,5,0)</f>
        <v>0</v>
      </c>
      <c r="K632" s="115"/>
      <c r="L632" s="115"/>
      <c r="M632" s="115"/>
      <c r="N632" s="115"/>
      <c r="O632" s="90">
        <f>IFERROR(VLOOKUP(A632&amp;G632,Lookup!J:K,2,0),"")</f>
        <v>0</v>
      </c>
      <c r="P632" s="110" t="str">
        <f t="shared" si="47"/>
        <v/>
      </c>
      <c r="Q632" s="115"/>
      <c r="R632" s="87" t="str">
        <f t="shared" si="48"/>
        <v/>
      </c>
      <c r="S632" s="87" t="str">
        <f t="shared" si="49"/>
        <v/>
      </c>
      <c r="T632" s="54"/>
      <c r="U632" s="54"/>
      <c r="V632" s="54"/>
      <c r="W632" s="54"/>
      <c r="X632" s="69" t="str">
        <f t="shared" si="46"/>
        <v>D</v>
      </c>
    </row>
    <row r="633" spans="2:24" x14ac:dyDescent="0.25">
      <c r="B633" s="91" t="str">
        <f>IFERROR(VLOOKUP(A633,Lookup!A:B,2,0),"")</f>
        <v/>
      </c>
      <c r="C633" s="59" t="str">
        <f>IFERROR(VLOOKUP(A633,Lookup!A:C,3,0),"")</f>
        <v/>
      </c>
      <c r="D633" s="54"/>
      <c r="E633" s="54"/>
      <c r="F633" s="54"/>
      <c r="G633" s="72"/>
      <c r="H633" s="54"/>
      <c r="I633" s="54"/>
      <c r="J633" s="106">
        <f>VLOOKUP(A633&amp;G633,Lookup!J:N,5,0)</f>
        <v>0</v>
      </c>
      <c r="K633" s="115"/>
      <c r="L633" s="115"/>
      <c r="M633" s="115"/>
      <c r="N633" s="115"/>
      <c r="O633" s="90">
        <f>IFERROR(VLOOKUP(A633&amp;G633,Lookup!J:K,2,0),"")</f>
        <v>0</v>
      </c>
      <c r="P633" s="110" t="str">
        <f t="shared" si="47"/>
        <v/>
      </c>
      <c r="Q633" s="115"/>
      <c r="R633" s="87" t="str">
        <f t="shared" si="48"/>
        <v/>
      </c>
      <c r="S633" s="87" t="str">
        <f t="shared" si="49"/>
        <v/>
      </c>
      <c r="T633" s="54"/>
      <c r="U633" s="54"/>
      <c r="V633" s="54"/>
      <c r="W633" s="54"/>
      <c r="X633" s="69" t="str">
        <f t="shared" si="46"/>
        <v>D</v>
      </c>
    </row>
    <row r="634" spans="2:24" x14ac:dyDescent="0.25">
      <c r="B634" s="91" t="str">
        <f>IFERROR(VLOOKUP(A634,Lookup!A:B,2,0),"")</f>
        <v/>
      </c>
      <c r="C634" s="59" t="str">
        <f>IFERROR(VLOOKUP(A634,Lookup!A:C,3,0),"")</f>
        <v/>
      </c>
      <c r="D634" s="54"/>
      <c r="E634" s="54"/>
      <c r="F634" s="54"/>
      <c r="G634" s="72"/>
      <c r="H634" s="54"/>
      <c r="I634" s="54"/>
      <c r="J634" s="106">
        <f>VLOOKUP(A634&amp;G634,Lookup!J:N,5,0)</f>
        <v>0</v>
      </c>
      <c r="K634" s="115"/>
      <c r="L634" s="115"/>
      <c r="M634" s="115"/>
      <c r="N634" s="115"/>
      <c r="O634" s="90">
        <f>IFERROR(VLOOKUP(A634&amp;G634,Lookup!J:K,2,0),"")</f>
        <v>0</v>
      </c>
      <c r="P634" s="110" t="str">
        <f t="shared" si="47"/>
        <v/>
      </c>
      <c r="Q634" s="115"/>
      <c r="R634" s="87" t="str">
        <f t="shared" si="48"/>
        <v/>
      </c>
      <c r="S634" s="87" t="str">
        <f t="shared" si="49"/>
        <v/>
      </c>
      <c r="T634" s="54"/>
      <c r="U634" s="54"/>
      <c r="V634" s="54"/>
      <c r="W634" s="54"/>
      <c r="X634" s="69" t="str">
        <f t="shared" si="46"/>
        <v>D</v>
      </c>
    </row>
    <row r="635" spans="2:24" x14ac:dyDescent="0.25">
      <c r="B635" s="91" t="str">
        <f>IFERROR(VLOOKUP(A635,Lookup!A:B,2,0),"")</f>
        <v/>
      </c>
      <c r="C635" s="59" t="str">
        <f>IFERROR(VLOOKUP(A635,Lookup!A:C,3,0),"")</f>
        <v/>
      </c>
      <c r="D635" s="54"/>
      <c r="E635" s="54"/>
      <c r="F635" s="54"/>
      <c r="G635" s="72"/>
      <c r="H635" s="54"/>
      <c r="I635" s="54"/>
      <c r="J635" s="106">
        <f>VLOOKUP(A635&amp;G635,Lookup!J:N,5,0)</f>
        <v>0</v>
      </c>
      <c r="K635" s="115"/>
      <c r="L635" s="115"/>
      <c r="M635" s="115"/>
      <c r="N635" s="115"/>
      <c r="O635" s="90">
        <f>IFERROR(VLOOKUP(A635&amp;G635,Lookup!J:K,2,0),"")</f>
        <v>0</v>
      </c>
      <c r="P635" s="110" t="str">
        <f t="shared" si="47"/>
        <v/>
      </c>
      <c r="Q635" s="115"/>
      <c r="R635" s="87" t="str">
        <f t="shared" si="48"/>
        <v/>
      </c>
      <c r="S635" s="87" t="str">
        <f t="shared" si="49"/>
        <v/>
      </c>
      <c r="T635" s="54"/>
      <c r="U635" s="54"/>
      <c r="V635" s="54"/>
      <c r="W635" s="54"/>
      <c r="X635" s="69" t="str">
        <f t="shared" si="46"/>
        <v>D</v>
      </c>
    </row>
    <row r="636" spans="2:24" x14ac:dyDescent="0.25">
      <c r="B636" s="91" t="str">
        <f>IFERROR(VLOOKUP(A636,Lookup!A:B,2,0),"")</f>
        <v/>
      </c>
      <c r="C636" s="59" t="str">
        <f>IFERROR(VLOOKUP(A636,Lookup!A:C,3,0),"")</f>
        <v/>
      </c>
      <c r="D636" s="54"/>
      <c r="E636" s="54"/>
      <c r="F636" s="54"/>
      <c r="G636" s="72"/>
      <c r="H636" s="54"/>
      <c r="I636" s="54"/>
      <c r="J636" s="106">
        <f>VLOOKUP(A636&amp;G636,Lookup!J:N,5,0)</f>
        <v>0</v>
      </c>
      <c r="K636" s="115"/>
      <c r="L636" s="115"/>
      <c r="M636" s="115"/>
      <c r="N636" s="115"/>
      <c r="O636" s="90">
        <f>IFERROR(VLOOKUP(A636&amp;G636,Lookup!J:K,2,0),"")</f>
        <v>0</v>
      </c>
      <c r="P636" s="110" t="str">
        <f t="shared" si="47"/>
        <v/>
      </c>
      <c r="Q636" s="115"/>
      <c r="R636" s="87" t="str">
        <f t="shared" si="48"/>
        <v/>
      </c>
      <c r="S636" s="87" t="str">
        <f t="shared" si="49"/>
        <v/>
      </c>
      <c r="T636" s="54"/>
      <c r="U636" s="54"/>
      <c r="V636" s="54"/>
      <c r="W636" s="54"/>
      <c r="X636" s="69" t="str">
        <f t="shared" si="46"/>
        <v>D</v>
      </c>
    </row>
    <row r="637" spans="2:24" x14ac:dyDescent="0.25">
      <c r="B637" s="91" t="str">
        <f>IFERROR(VLOOKUP(A637,Lookup!A:B,2,0),"")</f>
        <v/>
      </c>
      <c r="C637" s="59" t="str">
        <f>IFERROR(VLOOKUP(A637,Lookup!A:C,3,0),"")</f>
        <v/>
      </c>
      <c r="D637" s="54"/>
      <c r="E637" s="54"/>
      <c r="F637" s="54"/>
      <c r="G637" s="72"/>
      <c r="H637" s="54"/>
      <c r="I637" s="54"/>
      <c r="J637" s="106">
        <f>VLOOKUP(A637&amp;G637,Lookup!J:N,5,0)</f>
        <v>0</v>
      </c>
      <c r="K637" s="115"/>
      <c r="L637" s="115"/>
      <c r="M637" s="115"/>
      <c r="N637" s="115"/>
      <c r="O637" s="90">
        <f>IFERROR(VLOOKUP(A637&amp;G637,Lookup!J:K,2,0),"")</f>
        <v>0</v>
      </c>
      <c r="P637" s="110" t="str">
        <f t="shared" si="47"/>
        <v/>
      </c>
      <c r="Q637" s="115"/>
      <c r="R637" s="87" t="str">
        <f t="shared" si="48"/>
        <v/>
      </c>
      <c r="S637" s="87" t="str">
        <f t="shared" si="49"/>
        <v/>
      </c>
      <c r="T637" s="54"/>
      <c r="U637" s="54"/>
      <c r="V637" s="54"/>
      <c r="W637" s="54"/>
      <c r="X637" s="69" t="str">
        <f t="shared" si="46"/>
        <v>D</v>
      </c>
    </row>
    <row r="638" spans="2:24" x14ac:dyDescent="0.25">
      <c r="B638" s="91" t="str">
        <f>IFERROR(VLOOKUP(A638,Lookup!A:B,2,0),"")</f>
        <v/>
      </c>
      <c r="C638" s="59" t="str">
        <f>IFERROR(VLOOKUP(A638,Lookup!A:C,3,0),"")</f>
        <v/>
      </c>
      <c r="D638" s="54"/>
      <c r="E638" s="54"/>
      <c r="F638" s="54"/>
      <c r="G638" s="72"/>
      <c r="H638" s="54"/>
      <c r="I638" s="54"/>
      <c r="J638" s="106">
        <f>VLOOKUP(A638&amp;G638,Lookup!J:N,5,0)</f>
        <v>0</v>
      </c>
      <c r="K638" s="115"/>
      <c r="L638" s="115"/>
      <c r="M638" s="115"/>
      <c r="N638" s="115"/>
      <c r="O638" s="90">
        <f>IFERROR(VLOOKUP(A638&amp;G638,Lookup!J:K,2,0),"")</f>
        <v>0</v>
      </c>
      <c r="P638" s="110" t="str">
        <f t="shared" si="47"/>
        <v/>
      </c>
      <c r="Q638" s="115"/>
      <c r="R638" s="87" t="str">
        <f t="shared" si="48"/>
        <v/>
      </c>
      <c r="S638" s="87" t="str">
        <f t="shared" si="49"/>
        <v/>
      </c>
      <c r="T638" s="54"/>
      <c r="U638" s="54"/>
      <c r="V638" s="54"/>
      <c r="W638" s="54"/>
      <c r="X638" s="69" t="str">
        <f t="shared" si="46"/>
        <v>D</v>
      </c>
    </row>
    <row r="639" spans="2:24" x14ac:dyDescent="0.25">
      <c r="B639" s="91" t="str">
        <f>IFERROR(VLOOKUP(A639,Lookup!A:B,2,0),"")</f>
        <v/>
      </c>
      <c r="C639" s="59" t="str">
        <f>IFERROR(VLOOKUP(A639,Lookup!A:C,3,0),"")</f>
        <v/>
      </c>
      <c r="D639" s="54"/>
      <c r="E639" s="54"/>
      <c r="F639" s="54"/>
      <c r="G639" s="72"/>
      <c r="H639" s="54"/>
      <c r="I639" s="54"/>
      <c r="J639" s="106">
        <f>VLOOKUP(A639&amp;G639,Lookup!J:N,5,0)</f>
        <v>0</v>
      </c>
      <c r="K639" s="115"/>
      <c r="L639" s="115"/>
      <c r="M639" s="115"/>
      <c r="N639" s="115"/>
      <c r="O639" s="90">
        <f>IFERROR(VLOOKUP(A639&amp;G639,Lookup!J:K,2,0),"")</f>
        <v>0</v>
      </c>
      <c r="P639" s="110" t="str">
        <f t="shared" si="47"/>
        <v/>
      </c>
      <c r="Q639" s="115"/>
      <c r="R639" s="87" t="str">
        <f t="shared" si="48"/>
        <v/>
      </c>
      <c r="S639" s="87" t="str">
        <f t="shared" si="49"/>
        <v/>
      </c>
      <c r="T639" s="54"/>
      <c r="U639" s="54"/>
      <c r="V639" s="54"/>
      <c r="W639" s="54"/>
      <c r="X639" s="69" t="str">
        <f t="shared" si="46"/>
        <v>D</v>
      </c>
    </row>
    <row r="640" spans="2:24" x14ac:dyDescent="0.25">
      <c r="B640" s="91" t="str">
        <f>IFERROR(VLOOKUP(A640,Lookup!A:B,2,0),"")</f>
        <v/>
      </c>
      <c r="C640" s="59" t="str">
        <f>IFERROR(VLOOKUP(A640,Lookup!A:C,3,0),"")</f>
        <v/>
      </c>
      <c r="D640" s="54"/>
      <c r="E640" s="54"/>
      <c r="F640" s="54"/>
      <c r="G640" s="72"/>
      <c r="H640" s="54"/>
      <c r="I640" s="54"/>
      <c r="J640" s="106">
        <f>VLOOKUP(A640&amp;G640,Lookup!J:N,5,0)</f>
        <v>0</v>
      </c>
      <c r="K640" s="115"/>
      <c r="L640" s="115"/>
      <c r="M640" s="115"/>
      <c r="N640" s="115"/>
      <c r="O640" s="90">
        <f>IFERROR(VLOOKUP(A640&amp;G640,Lookup!J:K,2,0),"")</f>
        <v>0</v>
      </c>
      <c r="P640" s="110" t="str">
        <f t="shared" si="47"/>
        <v/>
      </c>
      <c r="Q640" s="115"/>
      <c r="R640" s="87" t="str">
        <f t="shared" si="48"/>
        <v/>
      </c>
      <c r="S640" s="87" t="str">
        <f t="shared" si="49"/>
        <v/>
      </c>
      <c r="T640" s="54"/>
      <c r="U640" s="54"/>
      <c r="V640" s="54"/>
      <c r="W640" s="54"/>
      <c r="X640" s="69" t="str">
        <f t="shared" si="46"/>
        <v>D</v>
      </c>
    </row>
    <row r="641" spans="2:24" x14ac:dyDescent="0.25">
      <c r="B641" s="91" t="str">
        <f>IFERROR(VLOOKUP(A641,Lookup!A:B,2,0),"")</f>
        <v/>
      </c>
      <c r="C641" s="59" t="str">
        <f>IFERROR(VLOOKUP(A641,Lookup!A:C,3,0),"")</f>
        <v/>
      </c>
      <c r="D641" s="54"/>
      <c r="E641" s="54"/>
      <c r="F641" s="54"/>
      <c r="G641" s="72"/>
      <c r="H641" s="54"/>
      <c r="I641" s="54"/>
      <c r="J641" s="106">
        <f>VLOOKUP(A641&amp;G641,Lookup!J:N,5,0)</f>
        <v>0</v>
      </c>
      <c r="K641" s="115"/>
      <c r="L641" s="115"/>
      <c r="M641" s="115"/>
      <c r="N641" s="115"/>
      <c r="O641" s="90">
        <f>IFERROR(VLOOKUP(A641&amp;G641,Lookup!J:K,2,0),"")</f>
        <v>0</v>
      </c>
      <c r="P641" s="110" t="str">
        <f t="shared" si="47"/>
        <v/>
      </c>
      <c r="Q641" s="115"/>
      <c r="R641" s="87" t="str">
        <f t="shared" si="48"/>
        <v/>
      </c>
      <c r="S641" s="87" t="str">
        <f t="shared" si="49"/>
        <v/>
      </c>
      <c r="T641" s="54"/>
      <c r="U641" s="54"/>
      <c r="V641" s="54"/>
      <c r="W641" s="54"/>
      <c r="X641" s="69" t="str">
        <f t="shared" ref="X641:X704" si="50">IF(I641="SET","A",IF(I641="FREQ","C",IF(I641="","D","B")))</f>
        <v>D</v>
      </c>
    </row>
    <row r="642" spans="2:24" x14ac:dyDescent="0.25">
      <c r="B642" s="91" t="str">
        <f>IFERROR(VLOOKUP(A642,Lookup!A:B,2,0),"")</f>
        <v/>
      </c>
      <c r="C642" s="59" t="str">
        <f>IFERROR(VLOOKUP(A642,Lookup!A:C,3,0),"")</f>
        <v/>
      </c>
      <c r="D642" s="54"/>
      <c r="E642" s="54"/>
      <c r="F642" s="54"/>
      <c r="G642" s="72"/>
      <c r="H642" s="54"/>
      <c r="I642" s="54"/>
      <c r="J642" s="106">
        <f>VLOOKUP(A642&amp;G642,Lookup!J:N,5,0)</f>
        <v>0</v>
      </c>
      <c r="K642" s="115"/>
      <c r="L642" s="115"/>
      <c r="M642" s="115"/>
      <c r="N642" s="115"/>
      <c r="O642" s="90">
        <f>IFERROR(VLOOKUP(A642&amp;G642,Lookup!J:K,2,0),"")</f>
        <v>0</v>
      </c>
      <c r="P642" s="110" t="str">
        <f t="shared" ref="P642:P705" si="51">IF(N642="","",N642+O642)</f>
        <v/>
      </c>
      <c r="Q642" s="115"/>
      <c r="R642" s="87" t="str">
        <f t="shared" si="48"/>
        <v/>
      </c>
      <c r="S642" s="87" t="str">
        <f t="shared" si="49"/>
        <v/>
      </c>
      <c r="T642" s="54"/>
      <c r="U642" s="54"/>
      <c r="V642" s="54"/>
      <c r="W642" s="54"/>
      <c r="X642" s="69" t="str">
        <f t="shared" si="50"/>
        <v>D</v>
      </c>
    </row>
    <row r="643" spans="2:24" x14ac:dyDescent="0.25">
      <c r="B643" s="91" t="str">
        <f>IFERROR(VLOOKUP(A643,Lookup!A:B,2,0),"")</f>
        <v/>
      </c>
      <c r="C643" s="59" t="str">
        <f>IFERROR(VLOOKUP(A643,Lookup!A:C,3,0),"")</f>
        <v/>
      </c>
      <c r="D643" s="54"/>
      <c r="E643" s="54"/>
      <c r="F643" s="54"/>
      <c r="G643" s="72"/>
      <c r="H643" s="54"/>
      <c r="I643" s="54"/>
      <c r="J643" s="106">
        <f>VLOOKUP(A643&amp;G643,Lookup!J:N,5,0)</f>
        <v>0</v>
      </c>
      <c r="K643" s="115"/>
      <c r="L643" s="115"/>
      <c r="M643" s="115"/>
      <c r="N643" s="115"/>
      <c r="O643" s="90">
        <f>IFERROR(VLOOKUP(A643&amp;G643,Lookup!J:K,2,0),"")</f>
        <v>0</v>
      </c>
      <c r="P643" s="110" t="str">
        <f t="shared" si="51"/>
        <v/>
      </c>
      <c r="Q643" s="115"/>
      <c r="R643" s="87" t="str">
        <f t="shared" ref="R643:R706" si="52">IF(OR(EXACT(N643,""), EXACT(L643,"")),"",N643-L643)</f>
        <v/>
      </c>
      <c r="S643" s="87" t="str">
        <f t="shared" si="49"/>
        <v/>
      </c>
      <c r="T643" s="54"/>
      <c r="U643" s="54"/>
      <c r="V643" s="54"/>
      <c r="W643" s="54"/>
      <c r="X643" s="69" t="str">
        <f t="shared" si="50"/>
        <v>D</v>
      </c>
    </row>
    <row r="644" spans="2:24" x14ac:dyDescent="0.25">
      <c r="B644" s="91" t="str">
        <f>IFERROR(VLOOKUP(A644,Lookup!A:B,2,0),"")</f>
        <v/>
      </c>
      <c r="C644" s="59" t="str">
        <f>IFERROR(VLOOKUP(A644,Lookup!A:C,3,0),"")</f>
        <v/>
      </c>
      <c r="D644" s="54"/>
      <c r="E644" s="54"/>
      <c r="F644" s="54"/>
      <c r="G644" s="72"/>
      <c r="H644" s="54"/>
      <c r="I644" s="54"/>
      <c r="J644" s="106">
        <f>VLOOKUP(A644&amp;G644,Lookup!J:N,5,0)</f>
        <v>0</v>
      </c>
      <c r="K644" s="115"/>
      <c r="L644" s="115"/>
      <c r="M644" s="115"/>
      <c r="N644" s="115"/>
      <c r="O644" s="90">
        <f>IFERROR(VLOOKUP(A644&amp;G644,Lookup!J:K,2,0),"")</f>
        <v>0</v>
      </c>
      <c r="P644" s="110" t="str">
        <f t="shared" si="51"/>
        <v/>
      </c>
      <c r="Q644" s="115"/>
      <c r="R644" s="87" t="str">
        <f t="shared" si="52"/>
        <v/>
      </c>
      <c r="S644" s="87" t="str">
        <f t="shared" ref="S644:S707" si="53">IF(OR(EXACT(Q644,""), EXACT(L644,"")),"",Q644-L644)</f>
        <v/>
      </c>
      <c r="T644" s="54"/>
      <c r="U644" s="54"/>
      <c r="V644" s="54"/>
      <c r="W644" s="54"/>
      <c r="X644" s="69" t="str">
        <f t="shared" si="50"/>
        <v>D</v>
      </c>
    </row>
    <row r="645" spans="2:24" x14ac:dyDescent="0.25">
      <c r="B645" s="91" t="str">
        <f>IFERROR(VLOOKUP(A645,Lookup!A:B,2,0),"")</f>
        <v/>
      </c>
      <c r="C645" s="59" t="str">
        <f>IFERROR(VLOOKUP(A645,Lookup!A:C,3,0),"")</f>
        <v/>
      </c>
      <c r="D645" s="54"/>
      <c r="E645" s="54"/>
      <c r="F645" s="54"/>
      <c r="G645" s="72"/>
      <c r="H645" s="54"/>
      <c r="I645" s="54"/>
      <c r="J645" s="106">
        <f>VLOOKUP(A645&amp;G645,Lookup!J:N,5,0)</f>
        <v>0</v>
      </c>
      <c r="K645" s="115"/>
      <c r="L645" s="115"/>
      <c r="M645" s="115"/>
      <c r="N645" s="115"/>
      <c r="O645" s="90">
        <f>IFERROR(VLOOKUP(A645&amp;G645,Lookup!J:K,2,0),"")</f>
        <v>0</v>
      </c>
      <c r="P645" s="110" t="str">
        <f t="shared" si="51"/>
        <v/>
      </c>
      <c r="Q645" s="115"/>
      <c r="R645" s="87" t="str">
        <f t="shared" si="52"/>
        <v/>
      </c>
      <c r="S645" s="87" t="str">
        <f t="shared" si="53"/>
        <v/>
      </c>
      <c r="T645" s="54"/>
      <c r="U645" s="54"/>
      <c r="V645" s="54"/>
      <c r="W645" s="54"/>
      <c r="X645" s="69" t="str">
        <f t="shared" si="50"/>
        <v>D</v>
      </c>
    </row>
    <row r="646" spans="2:24" x14ac:dyDescent="0.25">
      <c r="B646" s="91" t="str">
        <f>IFERROR(VLOOKUP(A646,Lookup!A:B,2,0),"")</f>
        <v/>
      </c>
      <c r="C646" s="59" t="str">
        <f>IFERROR(VLOOKUP(A646,Lookup!A:C,3,0),"")</f>
        <v/>
      </c>
      <c r="D646" s="54"/>
      <c r="E646" s="54"/>
      <c r="F646" s="54"/>
      <c r="G646" s="72"/>
      <c r="H646" s="54"/>
      <c r="I646" s="54"/>
      <c r="J646" s="106">
        <f>VLOOKUP(A646&amp;G646,Lookup!J:N,5,0)</f>
        <v>0</v>
      </c>
      <c r="K646" s="115"/>
      <c r="L646" s="115"/>
      <c r="M646" s="115"/>
      <c r="N646" s="115"/>
      <c r="O646" s="90">
        <f>IFERROR(VLOOKUP(A646&amp;G646,Lookup!J:K,2,0),"")</f>
        <v>0</v>
      </c>
      <c r="P646" s="110" t="str">
        <f t="shared" si="51"/>
        <v/>
      </c>
      <c r="Q646" s="115"/>
      <c r="R646" s="87" t="str">
        <f t="shared" si="52"/>
        <v/>
      </c>
      <c r="S646" s="87" t="str">
        <f t="shared" si="53"/>
        <v/>
      </c>
      <c r="T646" s="54"/>
      <c r="U646" s="54"/>
      <c r="V646" s="54"/>
      <c r="W646" s="54"/>
      <c r="X646" s="69" t="str">
        <f t="shared" si="50"/>
        <v>D</v>
      </c>
    </row>
    <row r="647" spans="2:24" x14ac:dyDescent="0.25">
      <c r="B647" s="91" t="str">
        <f>IFERROR(VLOOKUP(A647,Lookup!A:B,2,0),"")</f>
        <v/>
      </c>
      <c r="C647" s="59" t="str">
        <f>IFERROR(VLOOKUP(A647,Lookup!A:C,3,0),"")</f>
        <v/>
      </c>
      <c r="D647" s="54"/>
      <c r="E647" s="54"/>
      <c r="F647" s="54"/>
      <c r="G647" s="72"/>
      <c r="H647" s="54"/>
      <c r="I647" s="54"/>
      <c r="J647" s="106">
        <f>VLOOKUP(A647&amp;G647,Lookup!J:N,5,0)</f>
        <v>0</v>
      </c>
      <c r="K647" s="115"/>
      <c r="L647" s="115"/>
      <c r="M647" s="115"/>
      <c r="N647" s="115"/>
      <c r="O647" s="90">
        <f>IFERROR(VLOOKUP(A647&amp;G647,Lookup!J:K,2,0),"")</f>
        <v>0</v>
      </c>
      <c r="P647" s="110" t="str">
        <f t="shared" si="51"/>
        <v/>
      </c>
      <c r="Q647" s="115"/>
      <c r="R647" s="87" t="str">
        <f t="shared" si="52"/>
        <v/>
      </c>
      <c r="S647" s="87" t="str">
        <f t="shared" si="53"/>
        <v/>
      </c>
      <c r="T647" s="54"/>
      <c r="U647" s="54"/>
      <c r="V647" s="54"/>
      <c r="W647" s="54"/>
      <c r="X647" s="69" t="str">
        <f t="shared" si="50"/>
        <v>D</v>
      </c>
    </row>
    <row r="648" spans="2:24" x14ac:dyDescent="0.25">
      <c r="B648" s="91" t="str">
        <f>IFERROR(VLOOKUP(A648,Lookup!A:B,2,0),"")</f>
        <v/>
      </c>
      <c r="C648" s="59" t="str">
        <f>IFERROR(VLOOKUP(A648,Lookup!A:C,3,0),"")</f>
        <v/>
      </c>
      <c r="D648" s="54"/>
      <c r="E648" s="54"/>
      <c r="F648" s="54"/>
      <c r="G648" s="72"/>
      <c r="H648" s="54"/>
      <c r="I648" s="54"/>
      <c r="J648" s="106">
        <f>VLOOKUP(A648&amp;G648,Lookup!J:N,5,0)</f>
        <v>0</v>
      </c>
      <c r="K648" s="115"/>
      <c r="L648" s="115"/>
      <c r="M648" s="115"/>
      <c r="N648" s="115"/>
      <c r="O648" s="90">
        <f>IFERROR(VLOOKUP(A648&amp;G648,Lookup!J:K,2,0),"")</f>
        <v>0</v>
      </c>
      <c r="P648" s="110" t="str">
        <f t="shared" si="51"/>
        <v/>
      </c>
      <c r="Q648" s="115"/>
      <c r="R648" s="87" t="str">
        <f t="shared" si="52"/>
        <v/>
      </c>
      <c r="S648" s="87" t="str">
        <f t="shared" si="53"/>
        <v/>
      </c>
      <c r="T648" s="54"/>
      <c r="U648" s="54"/>
      <c r="V648" s="54"/>
      <c r="W648" s="54"/>
      <c r="X648" s="69" t="str">
        <f t="shared" si="50"/>
        <v>D</v>
      </c>
    </row>
    <row r="649" spans="2:24" x14ac:dyDescent="0.25">
      <c r="B649" s="91" t="str">
        <f>IFERROR(VLOOKUP(A649,Lookup!A:B,2,0),"")</f>
        <v/>
      </c>
      <c r="C649" s="59" t="str">
        <f>IFERROR(VLOOKUP(A649,Lookup!A:C,3,0),"")</f>
        <v/>
      </c>
      <c r="D649" s="54"/>
      <c r="E649" s="54"/>
      <c r="F649" s="54"/>
      <c r="G649" s="72"/>
      <c r="H649" s="54"/>
      <c r="I649" s="54"/>
      <c r="J649" s="106">
        <f>VLOOKUP(A649&amp;G649,Lookup!J:N,5,0)</f>
        <v>0</v>
      </c>
      <c r="K649" s="115"/>
      <c r="L649" s="115"/>
      <c r="M649" s="115"/>
      <c r="N649" s="115"/>
      <c r="O649" s="90">
        <f>IFERROR(VLOOKUP(A649&amp;G649,Lookup!J:K,2,0),"")</f>
        <v>0</v>
      </c>
      <c r="P649" s="110" t="str">
        <f t="shared" si="51"/>
        <v/>
      </c>
      <c r="Q649" s="115"/>
      <c r="R649" s="87" t="str">
        <f t="shared" si="52"/>
        <v/>
      </c>
      <c r="S649" s="87" t="str">
        <f t="shared" si="53"/>
        <v/>
      </c>
      <c r="T649" s="54"/>
      <c r="U649" s="54"/>
      <c r="V649" s="54"/>
      <c r="W649" s="54"/>
      <c r="X649" s="69" t="str">
        <f t="shared" si="50"/>
        <v>D</v>
      </c>
    </row>
    <row r="650" spans="2:24" x14ac:dyDescent="0.25">
      <c r="B650" s="91" t="str">
        <f>IFERROR(VLOOKUP(A650,Lookup!A:B,2,0),"")</f>
        <v/>
      </c>
      <c r="C650" s="59" t="str">
        <f>IFERROR(VLOOKUP(A650,Lookup!A:C,3,0),"")</f>
        <v/>
      </c>
      <c r="D650" s="54"/>
      <c r="E650" s="54"/>
      <c r="F650" s="54"/>
      <c r="G650" s="72"/>
      <c r="H650" s="54"/>
      <c r="I650" s="54"/>
      <c r="J650" s="106">
        <f>VLOOKUP(A650&amp;G650,Lookup!J:N,5,0)</f>
        <v>0</v>
      </c>
      <c r="K650" s="115"/>
      <c r="L650" s="115"/>
      <c r="M650" s="115"/>
      <c r="N650" s="115"/>
      <c r="O650" s="90">
        <f>IFERROR(VLOOKUP(A650&amp;G650,Lookup!J:K,2,0),"")</f>
        <v>0</v>
      </c>
      <c r="P650" s="110" t="str">
        <f t="shared" si="51"/>
        <v/>
      </c>
      <c r="Q650" s="115"/>
      <c r="R650" s="87" t="str">
        <f t="shared" si="52"/>
        <v/>
      </c>
      <c r="S650" s="87" t="str">
        <f t="shared" si="53"/>
        <v/>
      </c>
      <c r="T650" s="54"/>
      <c r="U650" s="54"/>
      <c r="V650" s="54"/>
      <c r="W650" s="54"/>
      <c r="X650" s="69" t="str">
        <f t="shared" si="50"/>
        <v>D</v>
      </c>
    </row>
    <row r="651" spans="2:24" x14ac:dyDescent="0.25">
      <c r="B651" s="91" t="str">
        <f>IFERROR(VLOOKUP(A651,Lookup!A:B,2,0),"")</f>
        <v/>
      </c>
      <c r="C651" s="59" t="str">
        <f>IFERROR(VLOOKUP(A651,Lookup!A:C,3,0),"")</f>
        <v/>
      </c>
      <c r="D651" s="54"/>
      <c r="E651" s="54"/>
      <c r="F651" s="54"/>
      <c r="G651" s="72"/>
      <c r="H651" s="54"/>
      <c r="I651" s="54"/>
      <c r="J651" s="106">
        <f>VLOOKUP(A651&amp;G651,Lookup!J:N,5,0)</f>
        <v>0</v>
      </c>
      <c r="K651" s="115"/>
      <c r="L651" s="115"/>
      <c r="M651" s="115"/>
      <c r="N651" s="115"/>
      <c r="O651" s="90">
        <f>IFERROR(VLOOKUP(A651&amp;G651,Lookup!J:K,2,0),"")</f>
        <v>0</v>
      </c>
      <c r="P651" s="110" t="str">
        <f t="shared" si="51"/>
        <v/>
      </c>
      <c r="Q651" s="115"/>
      <c r="R651" s="87" t="str">
        <f t="shared" si="52"/>
        <v/>
      </c>
      <c r="S651" s="87" t="str">
        <f t="shared" si="53"/>
        <v/>
      </c>
      <c r="T651" s="54"/>
      <c r="U651" s="54"/>
      <c r="V651" s="54"/>
      <c r="W651" s="54"/>
      <c r="X651" s="69" t="str">
        <f t="shared" si="50"/>
        <v>D</v>
      </c>
    </row>
    <row r="652" spans="2:24" x14ac:dyDescent="0.25">
      <c r="B652" s="91" t="str">
        <f>IFERROR(VLOOKUP(A652,Lookup!A:B,2,0),"")</f>
        <v/>
      </c>
      <c r="C652" s="59" t="str">
        <f>IFERROR(VLOOKUP(A652,Lookup!A:C,3,0),"")</f>
        <v/>
      </c>
      <c r="D652" s="54"/>
      <c r="E652" s="54"/>
      <c r="F652" s="54"/>
      <c r="G652" s="72"/>
      <c r="H652" s="54"/>
      <c r="I652" s="54"/>
      <c r="J652" s="106">
        <f>VLOOKUP(A652&amp;G652,Lookup!J:N,5,0)</f>
        <v>0</v>
      </c>
      <c r="K652" s="115"/>
      <c r="L652" s="115"/>
      <c r="M652" s="115"/>
      <c r="N652" s="115"/>
      <c r="O652" s="90">
        <f>IFERROR(VLOOKUP(A652&amp;G652,Lookup!J:K,2,0),"")</f>
        <v>0</v>
      </c>
      <c r="P652" s="110" t="str">
        <f t="shared" si="51"/>
        <v/>
      </c>
      <c r="Q652" s="115"/>
      <c r="R652" s="87" t="str">
        <f t="shared" si="52"/>
        <v/>
      </c>
      <c r="S652" s="87" t="str">
        <f t="shared" si="53"/>
        <v/>
      </c>
      <c r="T652" s="54"/>
      <c r="U652" s="54"/>
      <c r="V652" s="54"/>
      <c r="W652" s="54"/>
      <c r="X652" s="69" t="str">
        <f t="shared" si="50"/>
        <v>D</v>
      </c>
    </row>
    <row r="653" spans="2:24" x14ac:dyDescent="0.25">
      <c r="B653" s="91" t="str">
        <f>IFERROR(VLOOKUP(A653,Lookup!A:B,2,0),"")</f>
        <v/>
      </c>
      <c r="C653" s="59" t="str">
        <f>IFERROR(VLOOKUP(A653,Lookup!A:C,3,0),"")</f>
        <v/>
      </c>
      <c r="D653" s="54"/>
      <c r="E653" s="54"/>
      <c r="F653" s="54"/>
      <c r="G653" s="72"/>
      <c r="H653" s="54"/>
      <c r="I653" s="54"/>
      <c r="J653" s="106">
        <f>VLOOKUP(A653&amp;G653,Lookup!J:N,5,0)</f>
        <v>0</v>
      </c>
      <c r="K653" s="115"/>
      <c r="L653" s="115"/>
      <c r="M653" s="115"/>
      <c r="N653" s="115"/>
      <c r="O653" s="90">
        <f>IFERROR(VLOOKUP(A653&amp;G653,Lookup!J:K,2,0),"")</f>
        <v>0</v>
      </c>
      <c r="P653" s="110" t="str">
        <f t="shared" si="51"/>
        <v/>
      </c>
      <c r="Q653" s="115"/>
      <c r="R653" s="87" t="str">
        <f t="shared" si="52"/>
        <v/>
      </c>
      <c r="S653" s="87" t="str">
        <f t="shared" si="53"/>
        <v/>
      </c>
      <c r="T653" s="54"/>
      <c r="U653" s="54"/>
      <c r="V653" s="54"/>
      <c r="W653" s="54"/>
      <c r="X653" s="69" t="str">
        <f t="shared" si="50"/>
        <v>D</v>
      </c>
    </row>
    <row r="654" spans="2:24" x14ac:dyDescent="0.25">
      <c r="B654" s="91" t="str">
        <f>IFERROR(VLOOKUP(A654,Lookup!A:B,2,0),"")</f>
        <v/>
      </c>
      <c r="C654" s="59" t="str">
        <f>IFERROR(VLOOKUP(A654,Lookup!A:C,3,0),"")</f>
        <v/>
      </c>
      <c r="D654" s="54"/>
      <c r="E654" s="54"/>
      <c r="F654" s="54"/>
      <c r="G654" s="72"/>
      <c r="H654" s="54"/>
      <c r="I654" s="54"/>
      <c r="J654" s="106">
        <f>VLOOKUP(A654&amp;G654,Lookup!J:N,5,0)</f>
        <v>0</v>
      </c>
      <c r="K654" s="115"/>
      <c r="L654" s="115"/>
      <c r="M654" s="115"/>
      <c r="N654" s="115"/>
      <c r="O654" s="90">
        <f>IFERROR(VLOOKUP(A654&amp;G654,Lookup!J:K,2,0),"")</f>
        <v>0</v>
      </c>
      <c r="P654" s="110" t="str">
        <f t="shared" si="51"/>
        <v/>
      </c>
      <c r="Q654" s="115"/>
      <c r="R654" s="87" t="str">
        <f t="shared" si="52"/>
        <v/>
      </c>
      <c r="S654" s="87" t="str">
        <f t="shared" si="53"/>
        <v/>
      </c>
      <c r="T654" s="54"/>
      <c r="U654" s="54"/>
      <c r="V654" s="54"/>
      <c r="W654" s="54"/>
      <c r="X654" s="69" t="str">
        <f t="shared" si="50"/>
        <v>D</v>
      </c>
    </row>
    <row r="655" spans="2:24" x14ac:dyDescent="0.25">
      <c r="B655" s="91" t="str">
        <f>IFERROR(VLOOKUP(A655,Lookup!A:B,2,0),"")</f>
        <v/>
      </c>
      <c r="C655" s="59" t="str">
        <f>IFERROR(VLOOKUP(A655,Lookup!A:C,3,0),"")</f>
        <v/>
      </c>
      <c r="D655" s="54"/>
      <c r="E655" s="54"/>
      <c r="F655" s="54"/>
      <c r="G655" s="72"/>
      <c r="H655" s="54"/>
      <c r="I655" s="54"/>
      <c r="J655" s="106">
        <f>VLOOKUP(A655&amp;G655,Lookup!J:N,5,0)</f>
        <v>0</v>
      </c>
      <c r="K655" s="115"/>
      <c r="L655" s="115"/>
      <c r="M655" s="115"/>
      <c r="N655" s="115"/>
      <c r="O655" s="90">
        <f>IFERROR(VLOOKUP(A655&amp;G655,Lookup!J:K,2,0),"")</f>
        <v>0</v>
      </c>
      <c r="P655" s="110" t="str">
        <f t="shared" si="51"/>
        <v/>
      </c>
      <c r="Q655" s="115"/>
      <c r="R655" s="87" t="str">
        <f t="shared" si="52"/>
        <v/>
      </c>
      <c r="S655" s="87" t="str">
        <f t="shared" si="53"/>
        <v/>
      </c>
      <c r="T655" s="54"/>
      <c r="U655" s="54"/>
      <c r="V655" s="54"/>
      <c r="W655" s="54"/>
      <c r="X655" s="69" t="str">
        <f t="shared" si="50"/>
        <v>D</v>
      </c>
    </row>
    <row r="656" spans="2:24" x14ac:dyDescent="0.25">
      <c r="B656" s="91" t="str">
        <f>IFERROR(VLOOKUP(A656,Lookup!A:B,2,0),"")</f>
        <v/>
      </c>
      <c r="C656" s="59" t="str">
        <f>IFERROR(VLOOKUP(A656,Lookup!A:C,3,0),"")</f>
        <v/>
      </c>
      <c r="D656" s="54"/>
      <c r="E656" s="54"/>
      <c r="F656" s="54"/>
      <c r="G656" s="72"/>
      <c r="H656" s="54"/>
      <c r="I656" s="54"/>
      <c r="J656" s="106">
        <f>VLOOKUP(A656&amp;G656,Lookup!J:N,5,0)</f>
        <v>0</v>
      </c>
      <c r="K656" s="115"/>
      <c r="L656" s="115"/>
      <c r="M656" s="115"/>
      <c r="N656" s="115"/>
      <c r="O656" s="90">
        <f>IFERROR(VLOOKUP(A656&amp;G656,Lookup!J:K,2,0),"")</f>
        <v>0</v>
      </c>
      <c r="P656" s="110" t="str">
        <f t="shared" si="51"/>
        <v/>
      </c>
      <c r="Q656" s="115"/>
      <c r="R656" s="87" t="str">
        <f t="shared" si="52"/>
        <v/>
      </c>
      <c r="S656" s="87" t="str">
        <f t="shared" si="53"/>
        <v/>
      </c>
      <c r="T656" s="54"/>
      <c r="U656" s="54"/>
      <c r="V656" s="54"/>
      <c r="W656" s="54"/>
      <c r="X656" s="69" t="str">
        <f t="shared" si="50"/>
        <v>D</v>
      </c>
    </row>
    <row r="657" spans="2:24" x14ac:dyDescent="0.25">
      <c r="B657" s="91" t="str">
        <f>IFERROR(VLOOKUP(A657,Lookup!A:B,2,0),"")</f>
        <v/>
      </c>
      <c r="C657" s="59" t="str">
        <f>IFERROR(VLOOKUP(A657,Lookup!A:C,3,0),"")</f>
        <v/>
      </c>
      <c r="D657" s="54"/>
      <c r="E657" s="54"/>
      <c r="F657" s="54"/>
      <c r="G657" s="72"/>
      <c r="H657" s="54"/>
      <c r="I657" s="54"/>
      <c r="J657" s="106">
        <f>VLOOKUP(A657&amp;G657,Lookup!J:N,5,0)</f>
        <v>0</v>
      </c>
      <c r="K657" s="115"/>
      <c r="L657" s="115"/>
      <c r="M657" s="115"/>
      <c r="N657" s="115"/>
      <c r="O657" s="90">
        <f>IFERROR(VLOOKUP(A657&amp;G657,Lookup!J:K,2,0),"")</f>
        <v>0</v>
      </c>
      <c r="P657" s="110" t="str">
        <f t="shared" si="51"/>
        <v/>
      </c>
      <c r="Q657" s="115"/>
      <c r="R657" s="87" t="str">
        <f t="shared" si="52"/>
        <v/>
      </c>
      <c r="S657" s="87" t="str">
        <f t="shared" si="53"/>
        <v/>
      </c>
      <c r="T657" s="54"/>
      <c r="U657" s="54"/>
      <c r="V657" s="54"/>
      <c r="W657" s="54"/>
      <c r="X657" s="69" t="str">
        <f t="shared" si="50"/>
        <v>D</v>
      </c>
    </row>
    <row r="658" spans="2:24" x14ac:dyDescent="0.25">
      <c r="B658" s="91" t="str">
        <f>IFERROR(VLOOKUP(A658,Lookup!A:B,2,0),"")</f>
        <v/>
      </c>
      <c r="C658" s="59" t="str">
        <f>IFERROR(VLOOKUP(A658,Lookup!A:C,3,0),"")</f>
        <v/>
      </c>
      <c r="D658" s="54"/>
      <c r="E658" s="54"/>
      <c r="F658" s="54"/>
      <c r="G658" s="72"/>
      <c r="H658" s="54"/>
      <c r="I658" s="54"/>
      <c r="J658" s="106">
        <f>VLOOKUP(A658&amp;G658,Lookup!J:N,5,0)</f>
        <v>0</v>
      </c>
      <c r="K658" s="115"/>
      <c r="L658" s="115"/>
      <c r="M658" s="115"/>
      <c r="N658" s="115"/>
      <c r="O658" s="90">
        <f>IFERROR(VLOOKUP(A658&amp;G658,Lookup!J:K,2,0),"")</f>
        <v>0</v>
      </c>
      <c r="P658" s="110" t="str">
        <f t="shared" si="51"/>
        <v/>
      </c>
      <c r="Q658" s="115"/>
      <c r="R658" s="87" t="str">
        <f t="shared" si="52"/>
        <v/>
      </c>
      <c r="S658" s="87" t="str">
        <f t="shared" si="53"/>
        <v/>
      </c>
      <c r="T658" s="54"/>
      <c r="U658" s="54"/>
      <c r="V658" s="54"/>
      <c r="W658" s="54"/>
      <c r="X658" s="69" t="str">
        <f t="shared" si="50"/>
        <v>D</v>
      </c>
    </row>
    <row r="659" spans="2:24" x14ac:dyDescent="0.25">
      <c r="B659" s="91" t="str">
        <f>IFERROR(VLOOKUP(A659,Lookup!A:B,2,0),"")</f>
        <v/>
      </c>
      <c r="C659" s="59" t="str">
        <f>IFERROR(VLOOKUP(A659,Lookup!A:C,3,0),"")</f>
        <v/>
      </c>
      <c r="D659" s="54"/>
      <c r="E659" s="54"/>
      <c r="F659" s="54"/>
      <c r="G659" s="72"/>
      <c r="H659" s="54"/>
      <c r="I659" s="54"/>
      <c r="J659" s="106">
        <f>VLOOKUP(A659&amp;G659,Lookup!J:N,5,0)</f>
        <v>0</v>
      </c>
      <c r="K659" s="115"/>
      <c r="L659" s="115"/>
      <c r="M659" s="115"/>
      <c r="N659" s="115"/>
      <c r="O659" s="90">
        <f>IFERROR(VLOOKUP(A659&amp;G659,Lookup!J:K,2,0),"")</f>
        <v>0</v>
      </c>
      <c r="P659" s="110" t="str">
        <f t="shared" si="51"/>
        <v/>
      </c>
      <c r="Q659" s="115"/>
      <c r="R659" s="87" t="str">
        <f t="shared" si="52"/>
        <v/>
      </c>
      <c r="S659" s="87" t="str">
        <f t="shared" si="53"/>
        <v/>
      </c>
      <c r="T659" s="54"/>
      <c r="U659" s="54"/>
      <c r="V659" s="54"/>
      <c r="W659" s="54"/>
      <c r="X659" s="69" t="str">
        <f t="shared" si="50"/>
        <v>D</v>
      </c>
    </row>
    <row r="660" spans="2:24" x14ac:dyDescent="0.25">
      <c r="B660" s="91" t="str">
        <f>IFERROR(VLOOKUP(A660,Lookup!A:B,2,0),"")</f>
        <v/>
      </c>
      <c r="C660" s="59" t="str">
        <f>IFERROR(VLOOKUP(A660,Lookup!A:C,3,0),"")</f>
        <v/>
      </c>
      <c r="D660" s="54"/>
      <c r="E660" s="54"/>
      <c r="F660" s="54"/>
      <c r="G660" s="72"/>
      <c r="H660" s="54"/>
      <c r="I660" s="54"/>
      <c r="J660" s="106">
        <f>VLOOKUP(A660&amp;G660,Lookup!J:N,5,0)</f>
        <v>0</v>
      </c>
      <c r="K660" s="115"/>
      <c r="L660" s="115"/>
      <c r="M660" s="115"/>
      <c r="N660" s="115"/>
      <c r="O660" s="90">
        <f>IFERROR(VLOOKUP(A660&amp;G660,Lookup!J:K,2,0),"")</f>
        <v>0</v>
      </c>
      <c r="P660" s="110" t="str">
        <f t="shared" si="51"/>
        <v/>
      </c>
      <c r="Q660" s="115"/>
      <c r="R660" s="87" t="str">
        <f t="shared" si="52"/>
        <v/>
      </c>
      <c r="S660" s="87" t="str">
        <f t="shared" si="53"/>
        <v/>
      </c>
      <c r="T660" s="54"/>
      <c r="U660" s="54"/>
      <c r="V660" s="54"/>
      <c r="W660" s="54"/>
      <c r="X660" s="69" t="str">
        <f t="shared" si="50"/>
        <v>D</v>
      </c>
    </row>
    <row r="661" spans="2:24" x14ac:dyDescent="0.25">
      <c r="B661" s="91" t="str">
        <f>IFERROR(VLOOKUP(A661,Lookup!A:B,2,0),"")</f>
        <v/>
      </c>
      <c r="C661" s="59" t="str">
        <f>IFERROR(VLOOKUP(A661,Lookup!A:C,3,0),"")</f>
        <v/>
      </c>
      <c r="D661" s="54"/>
      <c r="E661" s="54"/>
      <c r="F661" s="54"/>
      <c r="G661" s="72"/>
      <c r="H661" s="54"/>
      <c r="I661" s="54"/>
      <c r="J661" s="106">
        <f>VLOOKUP(A661&amp;G661,Lookup!J:N,5,0)</f>
        <v>0</v>
      </c>
      <c r="K661" s="115"/>
      <c r="L661" s="115"/>
      <c r="M661" s="115"/>
      <c r="N661" s="115"/>
      <c r="O661" s="90">
        <f>IFERROR(VLOOKUP(A661&amp;G661,Lookup!J:K,2,0),"")</f>
        <v>0</v>
      </c>
      <c r="P661" s="110" t="str">
        <f t="shared" si="51"/>
        <v/>
      </c>
      <c r="Q661" s="115"/>
      <c r="R661" s="87" t="str">
        <f t="shared" si="52"/>
        <v/>
      </c>
      <c r="S661" s="87" t="str">
        <f t="shared" si="53"/>
        <v/>
      </c>
      <c r="T661" s="54"/>
      <c r="U661" s="54"/>
      <c r="V661" s="54"/>
      <c r="W661" s="54"/>
      <c r="X661" s="69" t="str">
        <f t="shared" si="50"/>
        <v>D</v>
      </c>
    </row>
    <row r="662" spans="2:24" x14ac:dyDescent="0.25">
      <c r="B662" s="91" t="str">
        <f>IFERROR(VLOOKUP(A662,Lookup!A:B,2,0),"")</f>
        <v/>
      </c>
      <c r="C662" s="59" t="str">
        <f>IFERROR(VLOOKUP(A662,Lookup!A:C,3,0),"")</f>
        <v/>
      </c>
      <c r="D662" s="54"/>
      <c r="E662" s="54"/>
      <c r="F662" s="54"/>
      <c r="G662" s="72"/>
      <c r="H662" s="54"/>
      <c r="I662" s="54"/>
      <c r="J662" s="106">
        <f>VLOOKUP(A662&amp;G662,Lookup!J:N,5,0)</f>
        <v>0</v>
      </c>
      <c r="K662" s="115"/>
      <c r="L662" s="115"/>
      <c r="M662" s="115"/>
      <c r="N662" s="115"/>
      <c r="O662" s="90">
        <f>IFERROR(VLOOKUP(A662&amp;G662,Lookup!J:K,2,0),"")</f>
        <v>0</v>
      </c>
      <c r="P662" s="110" t="str">
        <f t="shared" si="51"/>
        <v/>
      </c>
      <c r="Q662" s="115"/>
      <c r="R662" s="87" t="str">
        <f t="shared" si="52"/>
        <v/>
      </c>
      <c r="S662" s="87" t="str">
        <f t="shared" si="53"/>
        <v/>
      </c>
      <c r="T662" s="54"/>
      <c r="U662" s="54"/>
      <c r="V662" s="54"/>
      <c r="W662" s="54"/>
      <c r="X662" s="69" t="str">
        <f t="shared" si="50"/>
        <v>D</v>
      </c>
    </row>
    <row r="663" spans="2:24" x14ac:dyDescent="0.25">
      <c r="B663" s="91" t="str">
        <f>IFERROR(VLOOKUP(A663,Lookup!A:B,2,0),"")</f>
        <v/>
      </c>
      <c r="C663" s="59" t="str">
        <f>IFERROR(VLOOKUP(A663,Lookup!A:C,3,0),"")</f>
        <v/>
      </c>
      <c r="D663" s="54"/>
      <c r="E663" s="54"/>
      <c r="F663" s="54"/>
      <c r="G663" s="72"/>
      <c r="H663" s="54"/>
      <c r="I663" s="54"/>
      <c r="J663" s="106">
        <f>VLOOKUP(A663&amp;G663,Lookup!J:N,5,0)</f>
        <v>0</v>
      </c>
      <c r="K663" s="115"/>
      <c r="L663" s="115"/>
      <c r="M663" s="115"/>
      <c r="N663" s="115"/>
      <c r="O663" s="90">
        <f>IFERROR(VLOOKUP(A663&amp;G663,Lookup!J:K,2,0),"")</f>
        <v>0</v>
      </c>
      <c r="P663" s="110" t="str">
        <f t="shared" si="51"/>
        <v/>
      </c>
      <c r="Q663" s="115"/>
      <c r="R663" s="87" t="str">
        <f t="shared" si="52"/>
        <v/>
      </c>
      <c r="S663" s="87" t="str">
        <f t="shared" si="53"/>
        <v/>
      </c>
      <c r="T663" s="54"/>
      <c r="U663" s="54"/>
      <c r="V663" s="54"/>
      <c r="W663" s="54"/>
      <c r="X663" s="69" t="str">
        <f t="shared" si="50"/>
        <v>D</v>
      </c>
    </row>
    <row r="664" spans="2:24" x14ac:dyDescent="0.25">
      <c r="B664" s="91" t="str">
        <f>IFERROR(VLOOKUP(A664,Lookup!A:B,2,0),"")</f>
        <v/>
      </c>
      <c r="C664" s="59" t="str">
        <f>IFERROR(VLOOKUP(A664,Lookup!A:C,3,0),"")</f>
        <v/>
      </c>
      <c r="D664" s="54"/>
      <c r="E664" s="54"/>
      <c r="F664" s="54"/>
      <c r="G664" s="72"/>
      <c r="H664" s="54"/>
      <c r="I664" s="54"/>
      <c r="J664" s="106">
        <f>VLOOKUP(A664&amp;G664,Lookup!J:N,5,0)</f>
        <v>0</v>
      </c>
      <c r="K664" s="115"/>
      <c r="L664" s="115"/>
      <c r="M664" s="115"/>
      <c r="N664" s="115"/>
      <c r="O664" s="90">
        <f>IFERROR(VLOOKUP(A664&amp;G664,Lookup!J:K,2,0),"")</f>
        <v>0</v>
      </c>
      <c r="P664" s="110" t="str">
        <f t="shared" si="51"/>
        <v/>
      </c>
      <c r="Q664" s="115"/>
      <c r="R664" s="87" t="str">
        <f t="shared" si="52"/>
        <v/>
      </c>
      <c r="S664" s="87" t="str">
        <f t="shared" si="53"/>
        <v/>
      </c>
      <c r="T664" s="54"/>
      <c r="U664" s="54"/>
      <c r="V664" s="54"/>
      <c r="W664" s="54"/>
      <c r="X664" s="69" t="str">
        <f t="shared" si="50"/>
        <v>D</v>
      </c>
    </row>
    <row r="665" spans="2:24" x14ac:dyDescent="0.25">
      <c r="B665" s="91" t="str">
        <f>IFERROR(VLOOKUP(A665,Lookup!A:B,2,0),"")</f>
        <v/>
      </c>
      <c r="C665" s="59" t="str">
        <f>IFERROR(VLOOKUP(A665,Lookup!A:C,3,0),"")</f>
        <v/>
      </c>
      <c r="D665" s="54"/>
      <c r="E665" s="54"/>
      <c r="F665" s="54"/>
      <c r="G665" s="72"/>
      <c r="H665" s="54"/>
      <c r="I665" s="54"/>
      <c r="J665" s="106">
        <f>VLOOKUP(A665&amp;G665,Lookup!J:N,5,0)</f>
        <v>0</v>
      </c>
      <c r="K665" s="115"/>
      <c r="L665" s="115"/>
      <c r="M665" s="115"/>
      <c r="N665" s="115"/>
      <c r="O665" s="90">
        <f>IFERROR(VLOOKUP(A665&amp;G665,Lookup!J:K,2,0),"")</f>
        <v>0</v>
      </c>
      <c r="P665" s="110" t="str">
        <f t="shared" si="51"/>
        <v/>
      </c>
      <c r="Q665" s="115"/>
      <c r="R665" s="87" t="str">
        <f t="shared" si="52"/>
        <v/>
      </c>
      <c r="S665" s="87" t="str">
        <f t="shared" si="53"/>
        <v/>
      </c>
      <c r="T665" s="54"/>
      <c r="U665" s="54"/>
      <c r="V665" s="54"/>
      <c r="W665" s="54"/>
      <c r="X665" s="69" t="str">
        <f t="shared" si="50"/>
        <v>D</v>
      </c>
    </row>
    <row r="666" spans="2:24" x14ac:dyDescent="0.25">
      <c r="B666" s="91" t="str">
        <f>IFERROR(VLOOKUP(A666,Lookup!A:B,2,0),"")</f>
        <v/>
      </c>
      <c r="C666" s="59" t="str">
        <f>IFERROR(VLOOKUP(A666,Lookup!A:C,3,0),"")</f>
        <v/>
      </c>
      <c r="D666" s="54"/>
      <c r="E666" s="54"/>
      <c r="F666" s="54"/>
      <c r="G666" s="72"/>
      <c r="H666" s="54"/>
      <c r="I666" s="54"/>
      <c r="J666" s="106">
        <f>VLOOKUP(A666&amp;G666,Lookup!J:N,5,0)</f>
        <v>0</v>
      </c>
      <c r="K666" s="115"/>
      <c r="L666" s="115"/>
      <c r="M666" s="115"/>
      <c r="N666" s="115"/>
      <c r="O666" s="90">
        <f>IFERROR(VLOOKUP(A666&amp;G666,Lookup!J:K,2,0),"")</f>
        <v>0</v>
      </c>
      <c r="P666" s="110" t="str">
        <f t="shared" si="51"/>
        <v/>
      </c>
      <c r="Q666" s="115"/>
      <c r="R666" s="87" t="str">
        <f t="shared" si="52"/>
        <v/>
      </c>
      <c r="S666" s="87" t="str">
        <f t="shared" si="53"/>
        <v/>
      </c>
      <c r="T666" s="54"/>
      <c r="U666" s="54"/>
      <c r="V666" s="54"/>
      <c r="W666" s="54"/>
      <c r="X666" s="69" t="str">
        <f t="shared" si="50"/>
        <v>D</v>
      </c>
    </row>
    <row r="667" spans="2:24" x14ac:dyDescent="0.25">
      <c r="B667" s="91" t="str">
        <f>IFERROR(VLOOKUP(A667,Lookup!A:B,2,0),"")</f>
        <v/>
      </c>
      <c r="C667" s="59" t="str">
        <f>IFERROR(VLOOKUP(A667,Lookup!A:C,3,0),"")</f>
        <v/>
      </c>
      <c r="D667" s="54"/>
      <c r="E667" s="54"/>
      <c r="F667" s="54"/>
      <c r="G667" s="72"/>
      <c r="H667" s="54"/>
      <c r="I667" s="54"/>
      <c r="J667" s="106">
        <f>VLOOKUP(A667&amp;G667,Lookup!J:N,5,0)</f>
        <v>0</v>
      </c>
      <c r="K667" s="115"/>
      <c r="L667" s="115"/>
      <c r="M667" s="115"/>
      <c r="N667" s="115"/>
      <c r="O667" s="90">
        <f>IFERROR(VLOOKUP(A667&amp;G667,Lookup!J:K,2,0),"")</f>
        <v>0</v>
      </c>
      <c r="P667" s="110" t="str">
        <f t="shared" si="51"/>
        <v/>
      </c>
      <c r="Q667" s="115"/>
      <c r="R667" s="87" t="str">
        <f t="shared" si="52"/>
        <v/>
      </c>
      <c r="S667" s="87" t="str">
        <f t="shared" si="53"/>
        <v/>
      </c>
      <c r="T667" s="54"/>
      <c r="U667" s="54"/>
      <c r="V667" s="54"/>
      <c r="W667" s="54"/>
      <c r="X667" s="69" t="str">
        <f t="shared" si="50"/>
        <v>D</v>
      </c>
    </row>
    <row r="668" spans="2:24" x14ac:dyDescent="0.25">
      <c r="B668" s="91" t="str">
        <f>IFERROR(VLOOKUP(A668,Lookup!A:B,2,0),"")</f>
        <v/>
      </c>
      <c r="C668" s="59" t="str">
        <f>IFERROR(VLOOKUP(A668,Lookup!A:C,3,0),"")</f>
        <v/>
      </c>
      <c r="D668" s="54"/>
      <c r="E668" s="54"/>
      <c r="F668" s="54"/>
      <c r="G668" s="72"/>
      <c r="H668" s="54"/>
      <c r="I668" s="54"/>
      <c r="J668" s="106">
        <f>VLOOKUP(A668&amp;G668,Lookup!J:N,5,0)</f>
        <v>0</v>
      </c>
      <c r="K668" s="115"/>
      <c r="L668" s="115"/>
      <c r="M668" s="115"/>
      <c r="N668" s="115"/>
      <c r="O668" s="90">
        <f>IFERROR(VLOOKUP(A668&amp;G668,Lookup!J:K,2,0),"")</f>
        <v>0</v>
      </c>
      <c r="P668" s="110" t="str">
        <f t="shared" si="51"/>
        <v/>
      </c>
      <c r="Q668" s="115"/>
      <c r="R668" s="87" t="str">
        <f t="shared" si="52"/>
        <v/>
      </c>
      <c r="S668" s="87" t="str">
        <f t="shared" si="53"/>
        <v/>
      </c>
      <c r="T668" s="54"/>
      <c r="U668" s="54"/>
      <c r="V668" s="54"/>
      <c r="W668" s="54"/>
      <c r="X668" s="69" t="str">
        <f t="shared" si="50"/>
        <v>D</v>
      </c>
    </row>
    <row r="669" spans="2:24" x14ac:dyDescent="0.25">
      <c r="B669" s="91" t="str">
        <f>IFERROR(VLOOKUP(A669,Lookup!A:B,2,0),"")</f>
        <v/>
      </c>
      <c r="C669" s="59" t="str">
        <f>IFERROR(VLOOKUP(A669,Lookup!A:C,3,0),"")</f>
        <v/>
      </c>
      <c r="D669" s="54"/>
      <c r="E669" s="54"/>
      <c r="F669" s="54"/>
      <c r="G669" s="72"/>
      <c r="H669" s="54"/>
      <c r="I669" s="54"/>
      <c r="J669" s="106">
        <f>VLOOKUP(A669&amp;G669,Lookup!J:N,5,0)</f>
        <v>0</v>
      </c>
      <c r="K669" s="115"/>
      <c r="L669" s="115"/>
      <c r="M669" s="115"/>
      <c r="N669" s="115"/>
      <c r="O669" s="90">
        <f>IFERROR(VLOOKUP(A669&amp;G669,Lookup!J:K,2,0),"")</f>
        <v>0</v>
      </c>
      <c r="P669" s="110" t="str">
        <f t="shared" si="51"/>
        <v/>
      </c>
      <c r="Q669" s="115"/>
      <c r="R669" s="87" t="str">
        <f t="shared" si="52"/>
        <v/>
      </c>
      <c r="S669" s="87" t="str">
        <f t="shared" si="53"/>
        <v/>
      </c>
      <c r="T669" s="54"/>
      <c r="U669" s="54"/>
      <c r="V669" s="54"/>
      <c r="W669" s="54"/>
      <c r="X669" s="69" t="str">
        <f t="shared" si="50"/>
        <v>D</v>
      </c>
    </row>
    <row r="670" spans="2:24" x14ac:dyDescent="0.25">
      <c r="B670" s="91" t="str">
        <f>IFERROR(VLOOKUP(A670,Lookup!A:B,2,0),"")</f>
        <v/>
      </c>
      <c r="C670" s="59" t="str">
        <f>IFERROR(VLOOKUP(A670,Lookup!A:C,3,0),"")</f>
        <v/>
      </c>
      <c r="D670" s="54"/>
      <c r="E670" s="54"/>
      <c r="F670" s="54"/>
      <c r="G670" s="72"/>
      <c r="H670" s="54"/>
      <c r="I670" s="54"/>
      <c r="J670" s="106">
        <f>VLOOKUP(A670&amp;G670,Lookup!J:N,5,0)</f>
        <v>0</v>
      </c>
      <c r="K670" s="115"/>
      <c r="L670" s="115"/>
      <c r="M670" s="115"/>
      <c r="N670" s="115"/>
      <c r="O670" s="90">
        <f>IFERROR(VLOOKUP(A670&amp;G670,Lookup!J:K,2,0),"")</f>
        <v>0</v>
      </c>
      <c r="P670" s="110" t="str">
        <f t="shared" si="51"/>
        <v/>
      </c>
      <c r="Q670" s="115"/>
      <c r="R670" s="87" t="str">
        <f t="shared" si="52"/>
        <v/>
      </c>
      <c r="S670" s="87" t="str">
        <f t="shared" si="53"/>
        <v/>
      </c>
      <c r="T670" s="54"/>
      <c r="U670" s="54"/>
      <c r="V670" s="54"/>
      <c r="W670" s="54"/>
      <c r="X670" s="69" t="str">
        <f t="shared" si="50"/>
        <v>D</v>
      </c>
    </row>
    <row r="671" spans="2:24" x14ac:dyDescent="0.25">
      <c r="B671" s="91" t="str">
        <f>IFERROR(VLOOKUP(A671,Lookup!A:B,2,0),"")</f>
        <v/>
      </c>
      <c r="C671" s="59" t="str">
        <f>IFERROR(VLOOKUP(A671,Lookup!A:C,3,0),"")</f>
        <v/>
      </c>
      <c r="D671" s="54"/>
      <c r="E671" s="54"/>
      <c r="F671" s="54"/>
      <c r="G671" s="72"/>
      <c r="H671" s="54"/>
      <c r="I671" s="54"/>
      <c r="J671" s="106">
        <f>VLOOKUP(A671&amp;G671,Lookup!J:N,5,0)</f>
        <v>0</v>
      </c>
      <c r="K671" s="115"/>
      <c r="L671" s="115"/>
      <c r="M671" s="115"/>
      <c r="N671" s="115"/>
      <c r="O671" s="90">
        <f>IFERROR(VLOOKUP(A671&amp;G671,Lookup!J:K,2,0),"")</f>
        <v>0</v>
      </c>
      <c r="P671" s="110" t="str">
        <f t="shared" si="51"/>
        <v/>
      </c>
      <c r="Q671" s="115"/>
      <c r="R671" s="87" t="str">
        <f t="shared" si="52"/>
        <v/>
      </c>
      <c r="S671" s="87" t="str">
        <f t="shared" si="53"/>
        <v/>
      </c>
      <c r="T671" s="54"/>
      <c r="U671" s="54"/>
      <c r="V671" s="54"/>
      <c r="W671" s="54"/>
      <c r="X671" s="69" t="str">
        <f t="shared" si="50"/>
        <v>D</v>
      </c>
    </row>
    <row r="672" spans="2:24" x14ac:dyDescent="0.25">
      <c r="B672" s="91" t="str">
        <f>IFERROR(VLOOKUP(A672,Lookup!A:B,2,0),"")</f>
        <v/>
      </c>
      <c r="C672" s="59" t="str">
        <f>IFERROR(VLOOKUP(A672,Lookup!A:C,3,0),"")</f>
        <v/>
      </c>
      <c r="D672" s="54"/>
      <c r="E672" s="54"/>
      <c r="F672" s="54"/>
      <c r="G672" s="72"/>
      <c r="H672" s="54"/>
      <c r="I672" s="54"/>
      <c r="J672" s="106">
        <f>VLOOKUP(A672&amp;G672,Lookup!J:N,5,0)</f>
        <v>0</v>
      </c>
      <c r="K672" s="115"/>
      <c r="L672" s="115"/>
      <c r="M672" s="115"/>
      <c r="N672" s="115"/>
      <c r="O672" s="90">
        <f>IFERROR(VLOOKUP(A672&amp;G672,Lookup!J:K,2,0),"")</f>
        <v>0</v>
      </c>
      <c r="P672" s="110" t="str">
        <f t="shared" si="51"/>
        <v/>
      </c>
      <c r="Q672" s="115"/>
      <c r="R672" s="87" t="str">
        <f t="shared" si="52"/>
        <v/>
      </c>
      <c r="S672" s="87" t="str">
        <f t="shared" si="53"/>
        <v/>
      </c>
      <c r="T672" s="54"/>
      <c r="U672" s="54"/>
      <c r="V672" s="54"/>
      <c r="W672" s="54"/>
      <c r="X672" s="69" t="str">
        <f t="shared" si="50"/>
        <v>D</v>
      </c>
    </row>
    <row r="673" spans="2:24" x14ac:dyDescent="0.25">
      <c r="B673" s="91" t="str">
        <f>IFERROR(VLOOKUP(A673,Lookup!A:B,2,0),"")</f>
        <v/>
      </c>
      <c r="C673" s="59" t="str">
        <f>IFERROR(VLOOKUP(A673,Lookup!A:C,3,0),"")</f>
        <v/>
      </c>
      <c r="D673" s="54"/>
      <c r="E673" s="54"/>
      <c r="F673" s="54"/>
      <c r="G673" s="72"/>
      <c r="H673" s="54"/>
      <c r="I673" s="54"/>
      <c r="J673" s="106">
        <f>VLOOKUP(A673&amp;G673,Lookup!J:N,5,0)</f>
        <v>0</v>
      </c>
      <c r="K673" s="115"/>
      <c r="L673" s="115"/>
      <c r="M673" s="115"/>
      <c r="N673" s="115"/>
      <c r="O673" s="90">
        <f>IFERROR(VLOOKUP(A673&amp;G673,Lookup!J:K,2,0),"")</f>
        <v>0</v>
      </c>
      <c r="P673" s="110" t="str">
        <f t="shared" si="51"/>
        <v/>
      </c>
      <c r="Q673" s="115"/>
      <c r="R673" s="87" t="str">
        <f t="shared" si="52"/>
        <v/>
      </c>
      <c r="S673" s="87" t="str">
        <f t="shared" si="53"/>
        <v/>
      </c>
      <c r="T673" s="54"/>
      <c r="U673" s="54"/>
      <c r="V673" s="54"/>
      <c r="W673" s="54"/>
      <c r="X673" s="69" t="str">
        <f t="shared" si="50"/>
        <v>D</v>
      </c>
    </row>
    <row r="674" spans="2:24" x14ac:dyDescent="0.25">
      <c r="B674" s="91" t="str">
        <f>IFERROR(VLOOKUP(A674,Lookup!A:B,2,0),"")</f>
        <v/>
      </c>
      <c r="C674" s="59" t="str">
        <f>IFERROR(VLOOKUP(A674,Lookup!A:C,3,0),"")</f>
        <v/>
      </c>
      <c r="D674" s="54"/>
      <c r="E674" s="54"/>
      <c r="F674" s="54"/>
      <c r="G674" s="72"/>
      <c r="H674" s="54"/>
      <c r="I674" s="54"/>
      <c r="J674" s="106">
        <f>VLOOKUP(A674&amp;G674,Lookup!J:N,5,0)</f>
        <v>0</v>
      </c>
      <c r="K674" s="115"/>
      <c r="L674" s="115"/>
      <c r="M674" s="115"/>
      <c r="N674" s="115"/>
      <c r="O674" s="90">
        <f>IFERROR(VLOOKUP(A674&amp;G674,Lookup!J:K,2,0),"")</f>
        <v>0</v>
      </c>
      <c r="P674" s="110" t="str">
        <f t="shared" si="51"/>
        <v/>
      </c>
      <c r="Q674" s="115"/>
      <c r="R674" s="87" t="str">
        <f t="shared" si="52"/>
        <v/>
      </c>
      <c r="S674" s="87" t="str">
        <f t="shared" si="53"/>
        <v/>
      </c>
      <c r="T674" s="54"/>
      <c r="U674" s="54"/>
      <c r="V674" s="54"/>
      <c r="W674" s="54"/>
      <c r="X674" s="69" t="str">
        <f t="shared" si="50"/>
        <v>D</v>
      </c>
    </row>
    <row r="675" spans="2:24" x14ac:dyDescent="0.25">
      <c r="B675" s="91" t="str">
        <f>IFERROR(VLOOKUP(A675,Lookup!A:B,2,0),"")</f>
        <v/>
      </c>
      <c r="C675" s="59" t="str">
        <f>IFERROR(VLOOKUP(A675,Lookup!A:C,3,0),"")</f>
        <v/>
      </c>
      <c r="D675" s="54"/>
      <c r="E675" s="54"/>
      <c r="F675" s="54"/>
      <c r="G675" s="72"/>
      <c r="H675" s="54"/>
      <c r="I675" s="54"/>
      <c r="J675" s="106">
        <f>VLOOKUP(A675&amp;G675,Lookup!J:N,5,0)</f>
        <v>0</v>
      </c>
      <c r="K675" s="115"/>
      <c r="L675" s="115"/>
      <c r="M675" s="115"/>
      <c r="N675" s="115"/>
      <c r="O675" s="90">
        <f>IFERROR(VLOOKUP(A675&amp;G675,Lookup!J:K,2,0),"")</f>
        <v>0</v>
      </c>
      <c r="P675" s="110" t="str">
        <f t="shared" si="51"/>
        <v/>
      </c>
      <c r="Q675" s="115"/>
      <c r="R675" s="87" t="str">
        <f t="shared" si="52"/>
        <v/>
      </c>
      <c r="S675" s="87" t="str">
        <f t="shared" si="53"/>
        <v/>
      </c>
      <c r="T675" s="54"/>
      <c r="U675" s="54"/>
      <c r="V675" s="54"/>
      <c r="W675" s="54"/>
      <c r="X675" s="69" t="str">
        <f t="shared" si="50"/>
        <v>D</v>
      </c>
    </row>
    <row r="676" spans="2:24" x14ac:dyDescent="0.25">
      <c r="B676" s="91" t="str">
        <f>IFERROR(VLOOKUP(A676,Lookup!A:B,2,0),"")</f>
        <v/>
      </c>
      <c r="C676" s="59" t="str">
        <f>IFERROR(VLOOKUP(A676,Lookup!A:C,3,0),"")</f>
        <v/>
      </c>
      <c r="D676" s="54"/>
      <c r="E676" s="54"/>
      <c r="F676" s="54"/>
      <c r="G676" s="72"/>
      <c r="H676" s="54"/>
      <c r="I676" s="54"/>
      <c r="J676" s="106">
        <f>VLOOKUP(A676&amp;G676,Lookup!J:N,5,0)</f>
        <v>0</v>
      </c>
      <c r="K676" s="115"/>
      <c r="L676" s="115"/>
      <c r="M676" s="115"/>
      <c r="N676" s="115"/>
      <c r="O676" s="90">
        <f>IFERROR(VLOOKUP(A676&amp;G676,Lookup!J:K,2,0),"")</f>
        <v>0</v>
      </c>
      <c r="P676" s="110" t="str">
        <f t="shared" si="51"/>
        <v/>
      </c>
      <c r="Q676" s="115"/>
      <c r="R676" s="87" t="str">
        <f t="shared" si="52"/>
        <v/>
      </c>
      <c r="S676" s="87" t="str">
        <f t="shared" si="53"/>
        <v/>
      </c>
      <c r="T676" s="54"/>
      <c r="U676" s="54"/>
      <c r="V676" s="54"/>
      <c r="W676" s="54"/>
      <c r="X676" s="69" t="str">
        <f t="shared" si="50"/>
        <v>D</v>
      </c>
    </row>
    <row r="677" spans="2:24" x14ac:dyDescent="0.25">
      <c r="B677" s="91" t="str">
        <f>IFERROR(VLOOKUP(A677,Lookup!A:B,2,0),"")</f>
        <v/>
      </c>
      <c r="C677" s="59" t="str">
        <f>IFERROR(VLOOKUP(A677,Lookup!A:C,3,0),"")</f>
        <v/>
      </c>
      <c r="D677" s="54"/>
      <c r="E677" s="54"/>
      <c r="F677" s="54"/>
      <c r="G677" s="72"/>
      <c r="H677" s="54"/>
      <c r="I677" s="54"/>
      <c r="J677" s="106">
        <f>VLOOKUP(A677&amp;G677,Lookup!J:N,5,0)</f>
        <v>0</v>
      </c>
      <c r="K677" s="115"/>
      <c r="L677" s="115"/>
      <c r="M677" s="115"/>
      <c r="N677" s="115"/>
      <c r="O677" s="90">
        <f>IFERROR(VLOOKUP(A677&amp;G677,Lookup!J:K,2,0),"")</f>
        <v>0</v>
      </c>
      <c r="P677" s="110" t="str">
        <f t="shared" si="51"/>
        <v/>
      </c>
      <c r="Q677" s="115"/>
      <c r="R677" s="87" t="str">
        <f t="shared" si="52"/>
        <v/>
      </c>
      <c r="S677" s="87" t="str">
        <f t="shared" si="53"/>
        <v/>
      </c>
      <c r="T677" s="54"/>
      <c r="U677" s="54"/>
      <c r="V677" s="54"/>
      <c r="W677" s="54"/>
      <c r="X677" s="69" t="str">
        <f t="shared" si="50"/>
        <v>D</v>
      </c>
    </row>
    <row r="678" spans="2:24" x14ac:dyDescent="0.25">
      <c r="B678" s="91" t="str">
        <f>IFERROR(VLOOKUP(A678,Lookup!A:B,2,0),"")</f>
        <v/>
      </c>
      <c r="C678" s="59" t="str">
        <f>IFERROR(VLOOKUP(A678,Lookup!A:C,3,0),"")</f>
        <v/>
      </c>
      <c r="D678" s="54"/>
      <c r="E678" s="54"/>
      <c r="F678" s="54"/>
      <c r="G678" s="72"/>
      <c r="H678" s="54"/>
      <c r="I678" s="54"/>
      <c r="J678" s="106">
        <f>VLOOKUP(A678&amp;G678,Lookup!J:N,5,0)</f>
        <v>0</v>
      </c>
      <c r="K678" s="115"/>
      <c r="L678" s="115"/>
      <c r="M678" s="115"/>
      <c r="N678" s="115"/>
      <c r="O678" s="90">
        <f>IFERROR(VLOOKUP(A678&amp;G678,Lookup!J:K,2,0),"")</f>
        <v>0</v>
      </c>
      <c r="P678" s="110" t="str">
        <f t="shared" si="51"/>
        <v/>
      </c>
      <c r="Q678" s="115"/>
      <c r="R678" s="87" t="str">
        <f t="shared" si="52"/>
        <v/>
      </c>
      <c r="S678" s="87" t="str">
        <f t="shared" si="53"/>
        <v/>
      </c>
      <c r="T678" s="54"/>
      <c r="U678" s="54"/>
      <c r="V678" s="54"/>
      <c r="W678" s="54"/>
      <c r="X678" s="69" t="str">
        <f t="shared" si="50"/>
        <v>D</v>
      </c>
    </row>
    <row r="679" spans="2:24" x14ac:dyDescent="0.25">
      <c r="B679" s="91" t="str">
        <f>IFERROR(VLOOKUP(A679,Lookup!A:B,2,0),"")</f>
        <v/>
      </c>
      <c r="C679" s="59" t="str">
        <f>IFERROR(VLOOKUP(A679,Lookup!A:C,3,0),"")</f>
        <v/>
      </c>
      <c r="D679" s="54"/>
      <c r="E679" s="54"/>
      <c r="F679" s="54"/>
      <c r="G679" s="72"/>
      <c r="H679" s="54"/>
      <c r="I679" s="54"/>
      <c r="J679" s="106">
        <f>VLOOKUP(A679&amp;G679,Lookup!J:N,5,0)</f>
        <v>0</v>
      </c>
      <c r="K679" s="115"/>
      <c r="L679" s="115"/>
      <c r="M679" s="115"/>
      <c r="N679" s="115"/>
      <c r="O679" s="90">
        <f>IFERROR(VLOOKUP(A679&amp;G679,Lookup!J:K,2,0),"")</f>
        <v>0</v>
      </c>
      <c r="P679" s="110" t="str">
        <f t="shared" si="51"/>
        <v/>
      </c>
      <c r="Q679" s="115"/>
      <c r="R679" s="87" t="str">
        <f t="shared" si="52"/>
        <v/>
      </c>
      <c r="S679" s="87" t="str">
        <f t="shared" si="53"/>
        <v/>
      </c>
      <c r="T679" s="54"/>
      <c r="U679" s="54"/>
      <c r="V679" s="54"/>
      <c r="W679" s="54"/>
      <c r="X679" s="69" t="str">
        <f t="shared" si="50"/>
        <v>D</v>
      </c>
    </row>
    <row r="680" spans="2:24" x14ac:dyDescent="0.25">
      <c r="B680" s="91" t="str">
        <f>IFERROR(VLOOKUP(A680,Lookup!A:B,2,0),"")</f>
        <v/>
      </c>
      <c r="C680" s="59" t="str">
        <f>IFERROR(VLOOKUP(A680,Lookup!A:C,3,0),"")</f>
        <v/>
      </c>
      <c r="D680" s="54"/>
      <c r="E680" s="54"/>
      <c r="F680" s="54"/>
      <c r="G680" s="72"/>
      <c r="H680" s="54"/>
      <c r="I680" s="54"/>
      <c r="J680" s="106">
        <f>VLOOKUP(A680&amp;G680,Lookup!J:N,5,0)</f>
        <v>0</v>
      </c>
      <c r="K680" s="115"/>
      <c r="L680" s="115"/>
      <c r="M680" s="115"/>
      <c r="N680" s="115"/>
      <c r="O680" s="90">
        <f>IFERROR(VLOOKUP(A680&amp;G680,Lookup!J:K,2,0),"")</f>
        <v>0</v>
      </c>
      <c r="P680" s="110" t="str">
        <f t="shared" si="51"/>
        <v/>
      </c>
      <c r="Q680" s="115"/>
      <c r="R680" s="87" t="str">
        <f t="shared" si="52"/>
        <v/>
      </c>
      <c r="S680" s="87" t="str">
        <f t="shared" si="53"/>
        <v/>
      </c>
      <c r="T680" s="54"/>
      <c r="U680" s="54"/>
      <c r="V680" s="54"/>
      <c r="W680" s="54"/>
      <c r="X680" s="69" t="str">
        <f t="shared" si="50"/>
        <v>D</v>
      </c>
    </row>
    <row r="681" spans="2:24" x14ac:dyDescent="0.25">
      <c r="B681" s="91" t="str">
        <f>IFERROR(VLOOKUP(A681,Lookup!A:B,2,0),"")</f>
        <v/>
      </c>
      <c r="C681" s="59" t="str">
        <f>IFERROR(VLOOKUP(A681,Lookup!A:C,3,0),"")</f>
        <v/>
      </c>
      <c r="D681" s="54"/>
      <c r="E681" s="54"/>
      <c r="F681" s="54"/>
      <c r="G681" s="72"/>
      <c r="H681" s="54"/>
      <c r="I681" s="54"/>
      <c r="J681" s="106">
        <f>VLOOKUP(A681&amp;G681,Lookup!J:N,5,0)</f>
        <v>0</v>
      </c>
      <c r="K681" s="115"/>
      <c r="L681" s="115"/>
      <c r="M681" s="115"/>
      <c r="N681" s="115"/>
      <c r="O681" s="90">
        <f>IFERROR(VLOOKUP(A681&amp;G681,Lookup!J:K,2,0),"")</f>
        <v>0</v>
      </c>
      <c r="P681" s="110" t="str">
        <f t="shared" si="51"/>
        <v/>
      </c>
      <c r="Q681" s="115"/>
      <c r="R681" s="87" t="str">
        <f t="shared" si="52"/>
        <v/>
      </c>
      <c r="S681" s="87" t="str">
        <f t="shared" si="53"/>
        <v/>
      </c>
      <c r="T681" s="54"/>
      <c r="U681" s="54"/>
      <c r="V681" s="54"/>
      <c r="W681" s="54"/>
      <c r="X681" s="69" t="str">
        <f t="shared" si="50"/>
        <v>D</v>
      </c>
    </row>
    <row r="682" spans="2:24" x14ac:dyDescent="0.25">
      <c r="B682" s="91" t="str">
        <f>IFERROR(VLOOKUP(A682,Lookup!A:B,2,0),"")</f>
        <v/>
      </c>
      <c r="C682" s="59" t="str">
        <f>IFERROR(VLOOKUP(A682,Lookup!A:C,3,0),"")</f>
        <v/>
      </c>
      <c r="D682" s="54"/>
      <c r="E682" s="54"/>
      <c r="F682" s="54"/>
      <c r="G682" s="72"/>
      <c r="H682" s="54"/>
      <c r="I682" s="54"/>
      <c r="J682" s="106">
        <f>VLOOKUP(A682&amp;G682,Lookup!J:N,5,0)</f>
        <v>0</v>
      </c>
      <c r="K682" s="115"/>
      <c r="L682" s="115"/>
      <c r="M682" s="115"/>
      <c r="N682" s="115"/>
      <c r="O682" s="90">
        <f>IFERROR(VLOOKUP(A682&amp;G682,Lookup!J:K,2,0),"")</f>
        <v>0</v>
      </c>
      <c r="P682" s="110" t="str">
        <f t="shared" si="51"/>
        <v/>
      </c>
      <c r="Q682" s="115"/>
      <c r="R682" s="87" t="str">
        <f t="shared" si="52"/>
        <v/>
      </c>
      <c r="S682" s="87" t="str">
        <f t="shared" si="53"/>
        <v/>
      </c>
      <c r="T682" s="54"/>
      <c r="U682" s="54"/>
      <c r="V682" s="54"/>
      <c r="W682" s="54"/>
      <c r="X682" s="69" t="str">
        <f t="shared" si="50"/>
        <v>D</v>
      </c>
    </row>
    <row r="683" spans="2:24" x14ac:dyDescent="0.25">
      <c r="B683" s="91" t="str">
        <f>IFERROR(VLOOKUP(A683,Lookup!A:B,2,0),"")</f>
        <v/>
      </c>
      <c r="C683" s="59" t="str">
        <f>IFERROR(VLOOKUP(A683,Lookup!A:C,3,0),"")</f>
        <v/>
      </c>
      <c r="D683" s="54"/>
      <c r="E683" s="54"/>
      <c r="F683" s="54"/>
      <c r="G683" s="72"/>
      <c r="H683" s="54"/>
      <c r="I683" s="54"/>
      <c r="J683" s="106">
        <f>VLOOKUP(A683&amp;G683,Lookup!J:N,5,0)</f>
        <v>0</v>
      </c>
      <c r="K683" s="115"/>
      <c r="L683" s="115"/>
      <c r="M683" s="115"/>
      <c r="N683" s="115"/>
      <c r="O683" s="90">
        <f>IFERROR(VLOOKUP(A683&amp;G683,Lookup!J:K,2,0),"")</f>
        <v>0</v>
      </c>
      <c r="P683" s="110" t="str">
        <f t="shared" si="51"/>
        <v/>
      </c>
      <c r="Q683" s="115"/>
      <c r="R683" s="87" t="str">
        <f t="shared" si="52"/>
        <v/>
      </c>
      <c r="S683" s="87" t="str">
        <f t="shared" si="53"/>
        <v/>
      </c>
      <c r="T683" s="54"/>
      <c r="U683" s="54"/>
      <c r="V683" s="54"/>
      <c r="W683" s="54"/>
      <c r="X683" s="69" t="str">
        <f t="shared" si="50"/>
        <v>D</v>
      </c>
    </row>
    <row r="684" spans="2:24" x14ac:dyDescent="0.25">
      <c r="B684" s="91" t="str">
        <f>IFERROR(VLOOKUP(A684,Lookup!A:B,2,0),"")</f>
        <v/>
      </c>
      <c r="C684" s="59" t="str">
        <f>IFERROR(VLOOKUP(A684,Lookup!A:C,3,0),"")</f>
        <v/>
      </c>
      <c r="D684" s="54"/>
      <c r="E684" s="54"/>
      <c r="F684" s="54"/>
      <c r="G684" s="72"/>
      <c r="H684" s="54"/>
      <c r="I684" s="54"/>
      <c r="J684" s="106">
        <f>VLOOKUP(A684&amp;G684,Lookup!J:N,5,0)</f>
        <v>0</v>
      </c>
      <c r="K684" s="115"/>
      <c r="L684" s="115"/>
      <c r="M684" s="115"/>
      <c r="N684" s="115"/>
      <c r="O684" s="90">
        <f>IFERROR(VLOOKUP(A684&amp;G684,Lookup!J:K,2,0),"")</f>
        <v>0</v>
      </c>
      <c r="P684" s="110" t="str">
        <f t="shared" si="51"/>
        <v/>
      </c>
      <c r="Q684" s="115"/>
      <c r="R684" s="87" t="str">
        <f t="shared" si="52"/>
        <v/>
      </c>
      <c r="S684" s="87" t="str">
        <f t="shared" si="53"/>
        <v/>
      </c>
      <c r="T684" s="54"/>
      <c r="U684" s="54"/>
      <c r="V684" s="54"/>
      <c r="W684" s="54"/>
      <c r="X684" s="69" t="str">
        <f t="shared" si="50"/>
        <v>D</v>
      </c>
    </row>
    <row r="685" spans="2:24" x14ac:dyDescent="0.25">
      <c r="B685" s="91" t="str">
        <f>IFERROR(VLOOKUP(A685,Lookup!A:B,2,0),"")</f>
        <v/>
      </c>
      <c r="C685" s="59" t="str">
        <f>IFERROR(VLOOKUP(A685,Lookup!A:C,3,0),"")</f>
        <v/>
      </c>
      <c r="D685" s="54"/>
      <c r="E685" s="54"/>
      <c r="F685" s="54"/>
      <c r="G685" s="72"/>
      <c r="H685" s="54"/>
      <c r="I685" s="54"/>
      <c r="J685" s="106">
        <f>VLOOKUP(A685&amp;G685,Lookup!J:N,5,0)</f>
        <v>0</v>
      </c>
      <c r="K685" s="115"/>
      <c r="L685" s="115"/>
      <c r="M685" s="115"/>
      <c r="N685" s="115"/>
      <c r="O685" s="90">
        <f>IFERROR(VLOOKUP(A685&amp;G685,Lookup!J:K,2,0),"")</f>
        <v>0</v>
      </c>
      <c r="P685" s="110" t="str">
        <f t="shared" si="51"/>
        <v/>
      </c>
      <c r="Q685" s="115"/>
      <c r="R685" s="87" t="str">
        <f t="shared" si="52"/>
        <v/>
      </c>
      <c r="S685" s="87" t="str">
        <f t="shared" si="53"/>
        <v/>
      </c>
      <c r="T685" s="54"/>
      <c r="U685" s="54"/>
      <c r="V685" s="54"/>
      <c r="W685" s="54"/>
      <c r="X685" s="69" t="str">
        <f t="shared" si="50"/>
        <v>D</v>
      </c>
    </row>
    <row r="686" spans="2:24" x14ac:dyDescent="0.25">
      <c r="B686" s="91" t="str">
        <f>IFERROR(VLOOKUP(A686,Lookup!A:B,2,0),"")</f>
        <v/>
      </c>
      <c r="C686" s="59" t="str">
        <f>IFERROR(VLOOKUP(A686,Lookup!A:C,3,0),"")</f>
        <v/>
      </c>
      <c r="D686" s="54"/>
      <c r="E686" s="54"/>
      <c r="F686" s="54"/>
      <c r="G686" s="72"/>
      <c r="H686" s="54"/>
      <c r="I686" s="54"/>
      <c r="J686" s="106">
        <f>VLOOKUP(A686&amp;G686,Lookup!J:N,5,0)</f>
        <v>0</v>
      </c>
      <c r="K686" s="115"/>
      <c r="L686" s="115"/>
      <c r="M686" s="115"/>
      <c r="N686" s="115"/>
      <c r="O686" s="90">
        <f>IFERROR(VLOOKUP(A686&amp;G686,Lookup!J:K,2,0),"")</f>
        <v>0</v>
      </c>
      <c r="P686" s="110" t="str">
        <f t="shared" si="51"/>
        <v/>
      </c>
      <c r="Q686" s="115"/>
      <c r="R686" s="87" t="str">
        <f t="shared" si="52"/>
        <v/>
      </c>
      <c r="S686" s="87" t="str">
        <f t="shared" si="53"/>
        <v/>
      </c>
      <c r="T686" s="54"/>
      <c r="U686" s="54"/>
      <c r="V686" s="54"/>
      <c r="W686" s="54"/>
      <c r="X686" s="69" t="str">
        <f t="shared" si="50"/>
        <v>D</v>
      </c>
    </row>
    <row r="687" spans="2:24" x14ac:dyDescent="0.25">
      <c r="B687" s="91" t="str">
        <f>IFERROR(VLOOKUP(A687,Lookup!A:B,2,0),"")</f>
        <v/>
      </c>
      <c r="C687" s="59" t="str">
        <f>IFERROR(VLOOKUP(A687,Lookup!A:C,3,0),"")</f>
        <v/>
      </c>
      <c r="D687" s="54"/>
      <c r="E687" s="54"/>
      <c r="F687" s="54"/>
      <c r="G687" s="72"/>
      <c r="H687" s="54"/>
      <c r="I687" s="54"/>
      <c r="J687" s="106">
        <f>VLOOKUP(A687&amp;G687,Lookup!J:N,5,0)</f>
        <v>0</v>
      </c>
      <c r="K687" s="115"/>
      <c r="L687" s="115"/>
      <c r="M687" s="115"/>
      <c r="N687" s="115"/>
      <c r="O687" s="90">
        <f>IFERROR(VLOOKUP(A687&amp;G687,Lookup!J:K,2,0),"")</f>
        <v>0</v>
      </c>
      <c r="P687" s="110" t="str">
        <f t="shared" si="51"/>
        <v/>
      </c>
      <c r="Q687" s="115"/>
      <c r="R687" s="87" t="str">
        <f t="shared" si="52"/>
        <v/>
      </c>
      <c r="S687" s="87" t="str">
        <f t="shared" si="53"/>
        <v/>
      </c>
      <c r="T687" s="54"/>
      <c r="U687" s="54"/>
      <c r="V687" s="54"/>
      <c r="W687" s="54"/>
      <c r="X687" s="69" t="str">
        <f t="shared" si="50"/>
        <v>D</v>
      </c>
    </row>
    <row r="688" spans="2:24" x14ac:dyDescent="0.25">
      <c r="B688" s="91" t="str">
        <f>IFERROR(VLOOKUP(A688,Lookup!A:B,2,0),"")</f>
        <v/>
      </c>
      <c r="C688" s="59" t="str">
        <f>IFERROR(VLOOKUP(A688,Lookup!A:C,3,0),"")</f>
        <v/>
      </c>
      <c r="D688" s="54"/>
      <c r="E688" s="54"/>
      <c r="F688" s="54"/>
      <c r="G688" s="72"/>
      <c r="H688" s="54"/>
      <c r="I688" s="54"/>
      <c r="J688" s="106">
        <f>VLOOKUP(A688&amp;G688,Lookup!J:N,5,0)</f>
        <v>0</v>
      </c>
      <c r="K688" s="115"/>
      <c r="L688" s="115"/>
      <c r="M688" s="115"/>
      <c r="N688" s="115"/>
      <c r="O688" s="90">
        <f>IFERROR(VLOOKUP(A688&amp;G688,Lookup!J:K,2,0),"")</f>
        <v>0</v>
      </c>
      <c r="P688" s="110" t="str">
        <f t="shared" si="51"/>
        <v/>
      </c>
      <c r="Q688" s="115"/>
      <c r="R688" s="87" t="str">
        <f t="shared" si="52"/>
        <v/>
      </c>
      <c r="S688" s="87" t="str">
        <f t="shared" si="53"/>
        <v/>
      </c>
      <c r="T688" s="54"/>
      <c r="U688" s="54"/>
      <c r="V688" s="54"/>
      <c r="W688" s="54"/>
      <c r="X688" s="69" t="str">
        <f t="shared" si="50"/>
        <v>D</v>
      </c>
    </row>
    <row r="689" spans="2:24" x14ac:dyDescent="0.25">
      <c r="B689" s="91" t="str">
        <f>IFERROR(VLOOKUP(A689,Lookup!A:B,2,0),"")</f>
        <v/>
      </c>
      <c r="C689" s="59" t="str">
        <f>IFERROR(VLOOKUP(A689,Lookup!A:C,3,0),"")</f>
        <v/>
      </c>
      <c r="D689" s="54"/>
      <c r="E689" s="54"/>
      <c r="F689" s="54"/>
      <c r="G689" s="72"/>
      <c r="H689" s="54"/>
      <c r="I689" s="54"/>
      <c r="J689" s="106">
        <f>VLOOKUP(A689&amp;G689,Lookup!J:N,5,0)</f>
        <v>0</v>
      </c>
      <c r="K689" s="115"/>
      <c r="L689" s="115"/>
      <c r="M689" s="115"/>
      <c r="N689" s="115"/>
      <c r="O689" s="90">
        <f>IFERROR(VLOOKUP(A689&amp;G689,Lookup!J:K,2,0),"")</f>
        <v>0</v>
      </c>
      <c r="P689" s="110" t="str">
        <f t="shared" si="51"/>
        <v/>
      </c>
      <c r="Q689" s="115"/>
      <c r="R689" s="87" t="str">
        <f t="shared" si="52"/>
        <v/>
      </c>
      <c r="S689" s="87" t="str">
        <f t="shared" si="53"/>
        <v/>
      </c>
      <c r="T689" s="54"/>
      <c r="U689" s="54"/>
      <c r="V689" s="54"/>
      <c r="W689" s="54"/>
      <c r="X689" s="69" t="str">
        <f t="shared" si="50"/>
        <v>D</v>
      </c>
    </row>
    <row r="690" spans="2:24" x14ac:dyDescent="0.25">
      <c r="B690" s="91" t="str">
        <f>IFERROR(VLOOKUP(A690,Lookup!A:B,2,0),"")</f>
        <v/>
      </c>
      <c r="C690" s="59" t="str">
        <f>IFERROR(VLOOKUP(A690,Lookup!A:C,3,0),"")</f>
        <v/>
      </c>
      <c r="D690" s="54"/>
      <c r="E690" s="54"/>
      <c r="F690" s="54"/>
      <c r="G690" s="72"/>
      <c r="H690" s="54"/>
      <c r="I690" s="54"/>
      <c r="J690" s="106">
        <f>VLOOKUP(A690&amp;G690,Lookup!J:N,5,0)</f>
        <v>0</v>
      </c>
      <c r="K690" s="115"/>
      <c r="L690" s="115"/>
      <c r="M690" s="115"/>
      <c r="N690" s="115"/>
      <c r="O690" s="90">
        <f>IFERROR(VLOOKUP(A690&amp;G690,Lookup!J:K,2,0),"")</f>
        <v>0</v>
      </c>
      <c r="P690" s="110" t="str">
        <f t="shared" si="51"/>
        <v/>
      </c>
      <c r="Q690" s="115"/>
      <c r="R690" s="87" t="str">
        <f t="shared" si="52"/>
        <v/>
      </c>
      <c r="S690" s="87" t="str">
        <f t="shared" si="53"/>
        <v/>
      </c>
      <c r="T690" s="54"/>
      <c r="U690" s="54"/>
      <c r="V690" s="54"/>
      <c r="W690" s="54"/>
      <c r="X690" s="69" t="str">
        <f t="shared" si="50"/>
        <v>D</v>
      </c>
    </row>
    <row r="691" spans="2:24" x14ac:dyDescent="0.25">
      <c r="B691" s="91" t="str">
        <f>IFERROR(VLOOKUP(A691,Lookup!A:B,2,0),"")</f>
        <v/>
      </c>
      <c r="C691" s="59" t="str">
        <f>IFERROR(VLOOKUP(A691,Lookup!A:C,3,0),"")</f>
        <v/>
      </c>
      <c r="D691" s="54"/>
      <c r="E691" s="54"/>
      <c r="F691" s="54"/>
      <c r="G691" s="72"/>
      <c r="H691" s="54"/>
      <c r="I691" s="54"/>
      <c r="J691" s="106">
        <f>VLOOKUP(A691&amp;G691,Lookup!J:N,5,0)</f>
        <v>0</v>
      </c>
      <c r="K691" s="115"/>
      <c r="L691" s="115"/>
      <c r="M691" s="115"/>
      <c r="N691" s="115"/>
      <c r="O691" s="90">
        <f>IFERROR(VLOOKUP(A691&amp;G691,Lookup!J:K,2,0),"")</f>
        <v>0</v>
      </c>
      <c r="P691" s="110" t="str">
        <f t="shared" si="51"/>
        <v/>
      </c>
      <c r="Q691" s="115"/>
      <c r="R691" s="87" t="str">
        <f t="shared" si="52"/>
        <v/>
      </c>
      <c r="S691" s="87" t="str">
        <f t="shared" si="53"/>
        <v/>
      </c>
      <c r="T691" s="54"/>
      <c r="U691" s="54"/>
      <c r="V691" s="54"/>
      <c r="W691" s="54"/>
      <c r="X691" s="69" t="str">
        <f t="shared" si="50"/>
        <v>D</v>
      </c>
    </row>
    <row r="692" spans="2:24" x14ac:dyDescent="0.25">
      <c r="B692" s="91" t="str">
        <f>IFERROR(VLOOKUP(A692,Lookup!A:B,2,0),"")</f>
        <v/>
      </c>
      <c r="C692" s="59" t="str">
        <f>IFERROR(VLOOKUP(A692,Lookup!A:C,3,0),"")</f>
        <v/>
      </c>
      <c r="D692" s="54"/>
      <c r="E692" s="54"/>
      <c r="F692" s="54"/>
      <c r="G692" s="72"/>
      <c r="H692" s="54"/>
      <c r="I692" s="54"/>
      <c r="J692" s="106">
        <f>VLOOKUP(A692&amp;G692,Lookup!J:N,5,0)</f>
        <v>0</v>
      </c>
      <c r="K692" s="115"/>
      <c r="L692" s="115"/>
      <c r="M692" s="115"/>
      <c r="N692" s="115"/>
      <c r="O692" s="90">
        <f>IFERROR(VLOOKUP(A692&amp;G692,Lookup!J:K,2,0),"")</f>
        <v>0</v>
      </c>
      <c r="P692" s="110" t="str">
        <f t="shared" si="51"/>
        <v/>
      </c>
      <c r="Q692" s="115"/>
      <c r="R692" s="87" t="str">
        <f t="shared" si="52"/>
        <v/>
      </c>
      <c r="S692" s="87" t="str">
        <f t="shared" si="53"/>
        <v/>
      </c>
      <c r="T692" s="54"/>
      <c r="U692" s="54"/>
      <c r="V692" s="54"/>
      <c r="W692" s="54"/>
      <c r="X692" s="69" t="str">
        <f t="shared" si="50"/>
        <v>D</v>
      </c>
    </row>
    <row r="693" spans="2:24" x14ac:dyDescent="0.25">
      <c r="B693" s="91" t="str">
        <f>IFERROR(VLOOKUP(A693,Lookup!A:B,2,0),"")</f>
        <v/>
      </c>
      <c r="C693" s="59" t="str">
        <f>IFERROR(VLOOKUP(A693,Lookup!A:C,3,0),"")</f>
        <v/>
      </c>
      <c r="D693" s="54"/>
      <c r="E693" s="54"/>
      <c r="F693" s="54"/>
      <c r="G693" s="72"/>
      <c r="H693" s="54"/>
      <c r="I693" s="54"/>
      <c r="J693" s="106">
        <f>VLOOKUP(A693&amp;G693,Lookup!J:N,5,0)</f>
        <v>0</v>
      </c>
      <c r="K693" s="115"/>
      <c r="L693" s="115"/>
      <c r="M693" s="115"/>
      <c r="N693" s="115"/>
      <c r="O693" s="90">
        <f>IFERROR(VLOOKUP(A693&amp;G693,Lookup!J:K,2,0),"")</f>
        <v>0</v>
      </c>
      <c r="P693" s="110" t="str">
        <f t="shared" si="51"/>
        <v/>
      </c>
      <c r="Q693" s="115"/>
      <c r="R693" s="87" t="str">
        <f t="shared" si="52"/>
        <v/>
      </c>
      <c r="S693" s="87" t="str">
        <f t="shared" si="53"/>
        <v/>
      </c>
      <c r="T693" s="54"/>
      <c r="U693" s="54"/>
      <c r="V693" s="54"/>
      <c r="W693" s="54"/>
      <c r="X693" s="69" t="str">
        <f t="shared" si="50"/>
        <v>D</v>
      </c>
    </row>
    <row r="694" spans="2:24" x14ac:dyDescent="0.25">
      <c r="B694" s="91" t="str">
        <f>IFERROR(VLOOKUP(A694,Lookup!A:B,2,0),"")</f>
        <v/>
      </c>
      <c r="C694" s="59" t="str">
        <f>IFERROR(VLOOKUP(A694,Lookup!A:C,3,0),"")</f>
        <v/>
      </c>
      <c r="D694" s="54"/>
      <c r="E694" s="54"/>
      <c r="F694" s="54"/>
      <c r="G694" s="72"/>
      <c r="H694" s="54"/>
      <c r="I694" s="54"/>
      <c r="J694" s="106">
        <f>VLOOKUP(A694&amp;G694,Lookup!J:N,5,0)</f>
        <v>0</v>
      </c>
      <c r="K694" s="115"/>
      <c r="L694" s="115"/>
      <c r="M694" s="115"/>
      <c r="N694" s="115"/>
      <c r="O694" s="90">
        <f>IFERROR(VLOOKUP(A694&amp;G694,Lookup!J:K,2,0),"")</f>
        <v>0</v>
      </c>
      <c r="P694" s="110" t="str">
        <f t="shared" si="51"/>
        <v/>
      </c>
      <c r="Q694" s="115"/>
      <c r="R694" s="87" t="str">
        <f t="shared" si="52"/>
        <v/>
      </c>
      <c r="S694" s="87" t="str">
        <f t="shared" si="53"/>
        <v/>
      </c>
      <c r="T694" s="54"/>
      <c r="U694" s="54"/>
      <c r="V694" s="54"/>
      <c r="W694" s="54"/>
      <c r="X694" s="69" t="str">
        <f t="shared" si="50"/>
        <v>D</v>
      </c>
    </row>
    <row r="695" spans="2:24" x14ac:dyDescent="0.25">
      <c r="B695" s="91" t="str">
        <f>IFERROR(VLOOKUP(A695,Lookup!A:B,2,0),"")</f>
        <v/>
      </c>
      <c r="C695" s="59" t="str">
        <f>IFERROR(VLOOKUP(A695,Lookup!A:C,3,0),"")</f>
        <v/>
      </c>
      <c r="D695" s="54"/>
      <c r="E695" s="54"/>
      <c r="F695" s="54"/>
      <c r="G695" s="72"/>
      <c r="H695" s="54"/>
      <c r="I695" s="54"/>
      <c r="J695" s="106">
        <f>VLOOKUP(A695&amp;G695,Lookup!J:N,5,0)</f>
        <v>0</v>
      </c>
      <c r="K695" s="115"/>
      <c r="L695" s="115"/>
      <c r="M695" s="115"/>
      <c r="N695" s="115"/>
      <c r="O695" s="90">
        <f>IFERROR(VLOOKUP(A695&amp;G695,Lookup!J:K,2,0),"")</f>
        <v>0</v>
      </c>
      <c r="P695" s="110" t="str">
        <f t="shared" si="51"/>
        <v/>
      </c>
      <c r="Q695" s="115"/>
      <c r="R695" s="87" t="str">
        <f t="shared" si="52"/>
        <v/>
      </c>
      <c r="S695" s="87" t="str">
        <f t="shared" si="53"/>
        <v/>
      </c>
      <c r="T695" s="54"/>
      <c r="U695" s="54"/>
      <c r="V695" s="54"/>
      <c r="W695" s="54"/>
      <c r="X695" s="69" t="str">
        <f t="shared" si="50"/>
        <v>D</v>
      </c>
    </row>
    <row r="696" spans="2:24" x14ac:dyDescent="0.25">
      <c r="B696" s="91" t="str">
        <f>IFERROR(VLOOKUP(A696,Lookup!A:B,2,0),"")</f>
        <v/>
      </c>
      <c r="C696" s="59" t="str">
        <f>IFERROR(VLOOKUP(A696,Lookup!A:C,3,0),"")</f>
        <v/>
      </c>
      <c r="D696" s="54"/>
      <c r="E696" s="54"/>
      <c r="F696" s="54"/>
      <c r="G696" s="72"/>
      <c r="H696" s="54"/>
      <c r="I696" s="54"/>
      <c r="J696" s="106">
        <f>VLOOKUP(A696&amp;G696,Lookup!J:N,5,0)</f>
        <v>0</v>
      </c>
      <c r="K696" s="115"/>
      <c r="L696" s="115"/>
      <c r="M696" s="115"/>
      <c r="N696" s="115"/>
      <c r="O696" s="90">
        <f>IFERROR(VLOOKUP(A696&amp;G696,Lookup!J:K,2,0),"")</f>
        <v>0</v>
      </c>
      <c r="P696" s="110" t="str">
        <f t="shared" si="51"/>
        <v/>
      </c>
      <c r="Q696" s="115"/>
      <c r="R696" s="87" t="str">
        <f t="shared" si="52"/>
        <v/>
      </c>
      <c r="S696" s="87" t="str">
        <f t="shared" si="53"/>
        <v/>
      </c>
      <c r="T696" s="54"/>
      <c r="U696" s="54"/>
      <c r="V696" s="54"/>
      <c r="W696" s="54"/>
      <c r="X696" s="69" t="str">
        <f t="shared" si="50"/>
        <v>D</v>
      </c>
    </row>
    <row r="697" spans="2:24" x14ac:dyDescent="0.25">
      <c r="B697" s="91" t="str">
        <f>IFERROR(VLOOKUP(A697,Lookup!A:B,2,0),"")</f>
        <v/>
      </c>
      <c r="C697" s="59" t="str">
        <f>IFERROR(VLOOKUP(A697,Lookup!A:C,3,0),"")</f>
        <v/>
      </c>
      <c r="D697" s="54"/>
      <c r="E697" s="54"/>
      <c r="F697" s="54"/>
      <c r="G697" s="72"/>
      <c r="H697" s="54"/>
      <c r="I697" s="54"/>
      <c r="J697" s="106">
        <f>VLOOKUP(A697&amp;G697,Lookup!J:N,5,0)</f>
        <v>0</v>
      </c>
      <c r="K697" s="115"/>
      <c r="L697" s="115"/>
      <c r="M697" s="115"/>
      <c r="N697" s="115"/>
      <c r="O697" s="90">
        <f>IFERROR(VLOOKUP(A697&amp;G697,Lookup!J:K,2,0),"")</f>
        <v>0</v>
      </c>
      <c r="P697" s="110" t="str">
        <f t="shared" si="51"/>
        <v/>
      </c>
      <c r="Q697" s="115"/>
      <c r="R697" s="87" t="str">
        <f t="shared" si="52"/>
        <v/>
      </c>
      <c r="S697" s="87" t="str">
        <f t="shared" si="53"/>
        <v/>
      </c>
      <c r="T697" s="54"/>
      <c r="U697" s="54"/>
      <c r="V697" s="54"/>
      <c r="W697" s="54"/>
      <c r="X697" s="69" t="str">
        <f t="shared" si="50"/>
        <v>D</v>
      </c>
    </row>
    <row r="698" spans="2:24" x14ac:dyDescent="0.25">
      <c r="B698" s="91" t="str">
        <f>IFERROR(VLOOKUP(A698,Lookup!A:B,2,0),"")</f>
        <v/>
      </c>
      <c r="C698" s="59" t="str">
        <f>IFERROR(VLOOKUP(A698,Lookup!A:C,3,0),"")</f>
        <v/>
      </c>
      <c r="D698" s="54"/>
      <c r="E698" s="54"/>
      <c r="F698" s="54"/>
      <c r="G698" s="72"/>
      <c r="H698" s="54"/>
      <c r="I698" s="54"/>
      <c r="J698" s="106">
        <f>VLOOKUP(A698&amp;G698,Lookup!J:N,5,0)</f>
        <v>0</v>
      </c>
      <c r="K698" s="115"/>
      <c r="L698" s="115"/>
      <c r="M698" s="115"/>
      <c r="N698" s="115"/>
      <c r="O698" s="90">
        <f>IFERROR(VLOOKUP(A698&amp;G698,Lookup!J:K,2,0),"")</f>
        <v>0</v>
      </c>
      <c r="P698" s="110" t="str">
        <f t="shared" si="51"/>
        <v/>
      </c>
      <c r="Q698" s="115"/>
      <c r="R698" s="87" t="str">
        <f t="shared" si="52"/>
        <v/>
      </c>
      <c r="S698" s="87" t="str">
        <f t="shared" si="53"/>
        <v/>
      </c>
      <c r="T698" s="54"/>
      <c r="U698" s="54"/>
      <c r="V698" s="54"/>
      <c r="W698" s="54"/>
      <c r="X698" s="69" t="str">
        <f t="shared" si="50"/>
        <v>D</v>
      </c>
    </row>
    <row r="699" spans="2:24" x14ac:dyDescent="0.25">
      <c r="B699" s="91" t="str">
        <f>IFERROR(VLOOKUP(A699,Lookup!A:B,2,0),"")</f>
        <v/>
      </c>
      <c r="C699" s="59" t="str">
        <f>IFERROR(VLOOKUP(A699,Lookup!A:C,3,0),"")</f>
        <v/>
      </c>
      <c r="D699" s="54"/>
      <c r="E699" s="54"/>
      <c r="F699" s="54"/>
      <c r="G699" s="72"/>
      <c r="H699" s="54"/>
      <c r="I699" s="54"/>
      <c r="J699" s="106">
        <f>VLOOKUP(A699&amp;G699,Lookup!J:N,5,0)</f>
        <v>0</v>
      </c>
      <c r="K699" s="115"/>
      <c r="L699" s="115"/>
      <c r="M699" s="115"/>
      <c r="N699" s="115"/>
      <c r="O699" s="90">
        <f>IFERROR(VLOOKUP(A699&amp;G699,Lookup!J:K,2,0),"")</f>
        <v>0</v>
      </c>
      <c r="P699" s="110" t="str">
        <f t="shared" si="51"/>
        <v/>
      </c>
      <c r="Q699" s="115"/>
      <c r="R699" s="87" t="str">
        <f t="shared" si="52"/>
        <v/>
      </c>
      <c r="S699" s="87" t="str">
        <f t="shared" si="53"/>
        <v/>
      </c>
      <c r="T699" s="54"/>
      <c r="U699" s="54"/>
      <c r="V699" s="54"/>
      <c r="W699" s="54"/>
      <c r="X699" s="69" t="str">
        <f t="shared" si="50"/>
        <v>D</v>
      </c>
    </row>
    <row r="700" spans="2:24" x14ac:dyDescent="0.25">
      <c r="B700" s="91" t="str">
        <f>IFERROR(VLOOKUP(A700,Lookup!A:B,2,0),"")</f>
        <v/>
      </c>
      <c r="C700" s="59" t="str">
        <f>IFERROR(VLOOKUP(A700,Lookup!A:C,3,0),"")</f>
        <v/>
      </c>
      <c r="D700" s="54"/>
      <c r="E700" s="54"/>
      <c r="F700" s="54"/>
      <c r="G700" s="72"/>
      <c r="H700" s="54"/>
      <c r="I700" s="54"/>
      <c r="J700" s="106">
        <f>VLOOKUP(A700&amp;G700,Lookup!J:N,5,0)</f>
        <v>0</v>
      </c>
      <c r="K700" s="115"/>
      <c r="L700" s="115"/>
      <c r="M700" s="115"/>
      <c r="N700" s="115"/>
      <c r="O700" s="90">
        <f>IFERROR(VLOOKUP(A700&amp;G700,Lookup!J:K,2,0),"")</f>
        <v>0</v>
      </c>
      <c r="P700" s="110" t="str">
        <f t="shared" si="51"/>
        <v/>
      </c>
      <c r="Q700" s="115"/>
      <c r="R700" s="87" t="str">
        <f t="shared" si="52"/>
        <v/>
      </c>
      <c r="S700" s="87" t="str">
        <f t="shared" si="53"/>
        <v/>
      </c>
      <c r="T700" s="54"/>
      <c r="U700" s="54"/>
      <c r="V700" s="54"/>
      <c r="W700" s="54"/>
      <c r="X700" s="69" t="str">
        <f t="shared" si="50"/>
        <v>D</v>
      </c>
    </row>
    <row r="701" spans="2:24" x14ac:dyDescent="0.25">
      <c r="B701" s="91" t="str">
        <f>IFERROR(VLOOKUP(A701,Lookup!A:B,2,0),"")</f>
        <v/>
      </c>
      <c r="C701" s="59" t="str">
        <f>IFERROR(VLOOKUP(A701,Lookup!A:C,3,0),"")</f>
        <v/>
      </c>
      <c r="D701" s="54"/>
      <c r="E701" s="54"/>
      <c r="F701" s="54"/>
      <c r="G701" s="72"/>
      <c r="H701" s="54"/>
      <c r="I701" s="54"/>
      <c r="J701" s="106">
        <f>VLOOKUP(A701&amp;G701,Lookup!J:N,5,0)</f>
        <v>0</v>
      </c>
      <c r="K701" s="115"/>
      <c r="L701" s="115"/>
      <c r="M701" s="115"/>
      <c r="N701" s="115"/>
      <c r="O701" s="90">
        <f>IFERROR(VLOOKUP(A701&amp;G701,Lookup!J:K,2,0),"")</f>
        <v>0</v>
      </c>
      <c r="P701" s="110" t="str">
        <f t="shared" si="51"/>
        <v/>
      </c>
      <c r="Q701" s="115"/>
      <c r="R701" s="87" t="str">
        <f t="shared" si="52"/>
        <v/>
      </c>
      <c r="S701" s="87" t="str">
        <f t="shared" si="53"/>
        <v/>
      </c>
      <c r="T701" s="54"/>
      <c r="U701" s="54"/>
      <c r="V701" s="54"/>
      <c r="W701" s="54"/>
      <c r="X701" s="69" t="str">
        <f t="shared" si="50"/>
        <v>D</v>
      </c>
    </row>
    <row r="702" spans="2:24" x14ac:dyDescent="0.25">
      <c r="B702" s="91" t="str">
        <f>IFERROR(VLOOKUP(A702,Lookup!A:B,2,0),"")</f>
        <v/>
      </c>
      <c r="C702" s="59" t="str">
        <f>IFERROR(VLOOKUP(A702,Lookup!A:C,3,0),"")</f>
        <v/>
      </c>
      <c r="D702" s="54"/>
      <c r="E702" s="54"/>
      <c r="F702" s="54"/>
      <c r="G702" s="72"/>
      <c r="H702" s="54"/>
      <c r="I702" s="54"/>
      <c r="J702" s="106">
        <f>VLOOKUP(A702&amp;G702,Lookup!J:N,5,0)</f>
        <v>0</v>
      </c>
      <c r="K702" s="115"/>
      <c r="L702" s="115"/>
      <c r="M702" s="115"/>
      <c r="N702" s="115"/>
      <c r="O702" s="90">
        <f>IFERROR(VLOOKUP(A702&amp;G702,Lookup!J:K,2,0),"")</f>
        <v>0</v>
      </c>
      <c r="P702" s="110" t="str">
        <f t="shared" si="51"/>
        <v/>
      </c>
      <c r="Q702" s="115"/>
      <c r="R702" s="87" t="str">
        <f t="shared" si="52"/>
        <v/>
      </c>
      <c r="S702" s="87" t="str">
        <f t="shared" si="53"/>
        <v/>
      </c>
      <c r="T702" s="54"/>
      <c r="U702" s="54"/>
      <c r="V702" s="54"/>
      <c r="W702" s="54"/>
      <c r="X702" s="69" t="str">
        <f t="shared" si="50"/>
        <v>D</v>
      </c>
    </row>
    <row r="703" spans="2:24" x14ac:dyDescent="0.25">
      <c r="B703" s="91" t="str">
        <f>IFERROR(VLOOKUP(A703,Lookup!A:B,2,0),"")</f>
        <v/>
      </c>
      <c r="C703" s="59" t="str">
        <f>IFERROR(VLOOKUP(A703,Lookup!A:C,3,0),"")</f>
        <v/>
      </c>
      <c r="D703" s="54"/>
      <c r="E703" s="54"/>
      <c r="F703" s="54"/>
      <c r="G703" s="72"/>
      <c r="H703" s="54"/>
      <c r="I703" s="54"/>
      <c r="J703" s="106">
        <f>VLOOKUP(A703&amp;G703,Lookup!J:N,5,0)</f>
        <v>0</v>
      </c>
      <c r="K703" s="115"/>
      <c r="L703" s="115"/>
      <c r="M703" s="115"/>
      <c r="N703" s="115"/>
      <c r="O703" s="90">
        <f>IFERROR(VLOOKUP(A703&amp;G703,Lookup!J:K,2,0),"")</f>
        <v>0</v>
      </c>
      <c r="P703" s="110" t="str">
        <f t="shared" si="51"/>
        <v/>
      </c>
      <c r="Q703" s="115"/>
      <c r="R703" s="87" t="str">
        <f t="shared" si="52"/>
        <v/>
      </c>
      <c r="S703" s="87" t="str">
        <f t="shared" si="53"/>
        <v/>
      </c>
      <c r="T703" s="54"/>
      <c r="U703" s="54"/>
      <c r="V703" s="54"/>
      <c r="W703" s="54"/>
      <c r="X703" s="69" t="str">
        <f t="shared" si="50"/>
        <v>D</v>
      </c>
    </row>
    <row r="704" spans="2:24" x14ac:dyDescent="0.25">
      <c r="B704" s="91" t="str">
        <f>IFERROR(VLOOKUP(A704,Lookup!A:B,2,0),"")</f>
        <v/>
      </c>
      <c r="C704" s="59" t="str">
        <f>IFERROR(VLOOKUP(A704,Lookup!A:C,3,0),"")</f>
        <v/>
      </c>
      <c r="D704" s="54"/>
      <c r="E704" s="54"/>
      <c r="F704" s="54"/>
      <c r="G704" s="72"/>
      <c r="H704" s="54"/>
      <c r="I704" s="54"/>
      <c r="J704" s="106">
        <f>VLOOKUP(A704&amp;G704,Lookup!J:N,5,0)</f>
        <v>0</v>
      </c>
      <c r="K704" s="115"/>
      <c r="L704" s="115"/>
      <c r="M704" s="115"/>
      <c r="N704" s="115"/>
      <c r="O704" s="90">
        <f>IFERROR(VLOOKUP(A704&amp;G704,Lookup!J:K,2,0),"")</f>
        <v>0</v>
      </c>
      <c r="P704" s="110" t="str">
        <f t="shared" si="51"/>
        <v/>
      </c>
      <c r="Q704" s="115"/>
      <c r="R704" s="87" t="str">
        <f t="shared" si="52"/>
        <v/>
      </c>
      <c r="S704" s="87" t="str">
        <f t="shared" si="53"/>
        <v/>
      </c>
      <c r="T704" s="54"/>
      <c r="U704" s="54"/>
      <c r="V704" s="54"/>
      <c r="W704" s="54"/>
      <c r="X704" s="69" t="str">
        <f t="shared" si="50"/>
        <v>D</v>
      </c>
    </row>
    <row r="705" spans="2:24" x14ac:dyDescent="0.25">
      <c r="B705" s="91" t="str">
        <f>IFERROR(VLOOKUP(A705,Lookup!A:B,2,0),"")</f>
        <v/>
      </c>
      <c r="C705" s="59" t="str">
        <f>IFERROR(VLOOKUP(A705,Lookup!A:C,3,0),"")</f>
        <v/>
      </c>
      <c r="D705" s="54"/>
      <c r="E705" s="54"/>
      <c r="F705" s="54"/>
      <c r="G705" s="72"/>
      <c r="H705" s="54"/>
      <c r="I705" s="54"/>
      <c r="J705" s="106">
        <f>VLOOKUP(A705&amp;G705,Lookup!J:N,5,0)</f>
        <v>0</v>
      </c>
      <c r="K705" s="115"/>
      <c r="L705" s="115"/>
      <c r="M705" s="115"/>
      <c r="N705" s="115"/>
      <c r="O705" s="90">
        <f>IFERROR(VLOOKUP(A705&amp;G705,Lookup!J:K,2,0),"")</f>
        <v>0</v>
      </c>
      <c r="P705" s="110" t="str">
        <f t="shared" si="51"/>
        <v/>
      </c>
      <c r="Q705" s="115"/>
      <c r="R705" s="87" t="str">
        <f t="shared" si="52"/>
        <v/>
      </c>
      <c r="S705" s="87" t="str">
        <f t="shared" si="53"/>
        <v/>
      </c>
      <c r="T705" s="54"/>
      <c r="U705" s="54"/>
      <c r="V705" s="54"/>
      <c r="W705" s="54"/>
      <c r="X705" s="69" t="str">
        <f t="shared" ref="X705:X768" si="54">IF(I705="SET","A",IF(I705="FREQ","C",IF(I705="","D","B")))</f>
        <v>D</v>
      </c>
    </row>
    <row r="706" spans="2:24" x14ac:dyDescent="0.25">
      <c r="B706" s="91" t="str">
        <f>IFERROR(VLOOKUP(A706,Lookup!A:B,2,0),"")</f>
        <v/>
      </c>
      <c r="C706" s="59" t="str">
        <f>IFERROR(VLOOKUP(A706,Lookup!A:C,3,0),"")</f>
        <v/>
      </c>
      <c r="D706" s="54"/>
      <c r="E706" s="54"/>
      <c r="F706" s="54"/>
      <c r="G706" s="72"/>
      <c r="H706" s="54"/>
      <c r="I706" s="54"/>
      <c r="J706" s="106">
        <f>VLOOKUP(A706&amp;G706,Lookup!J:N,5,0)</f>
        <v>0</v>
      </c>
      <c r="K706" s="115"/>
      <c r="L706" s="115"/>
      <c r="M706" s="115"/>
      <c r="N706" s="115"/>
      <c r="O706" s="90">
        <f>IFERROR(VLOOKUP(A706&amp;G706,Lookup!J:K,2,0),"")</f>
        <v>0</v>
      </c>
      <c r="P706" s="110" t="str">
        <f t="shared" ref="P706:P769" si="55">IF(N706="","",N706+O706)</f>
        <v/>
      </c>
      <c r="Q706" s="115"/>
      <c r="R706" s="87" t="str">
        <f t="shared" si="52"/>
        <v/>
      </c>
      <c r="S706" s="87" t="str">
        <f t="shared" si="53"/>
        <v/>
      </c>
      <c r="T706" s="54"/>
      <c r="U706" s="54"/>
      <c r="V706" s="54"/>
      <c r="W706" s="54"/>
      <c r="X706" s="69" t="str">
        <f t="shared" si="54"/>
        <v>D</v>
      </c>
    </row>
    <row r="707" spans="2:24" x14ac:dyDescent="0.25">
      <c r="B707" s="91" t="str">
        <f>IFERROR(VLOOKUP(A707,Lookup!A:B,2,0),"")</f>
        <v/>
      </c>
      <c r="C707" s="59" t="str">
        <f>IFERROR(VLOOKUP(A707,Lookup!A:C,3,0),"")</f>
        <v/>
      </c>
      <c r="D707" s="54"/>
      <c r="E707" s="54"/>
      <c r="F707" s="54"/>
      <c r="G707" s="72"/>
      <c r="H707" s="54"/>
      <c r="I707" s="54"/>
      <c r="J707" s="106">
        <f>VLOOKUP(A707&amp;G707,Lookup!J:N,5,0)</f>
        <v>0</v>
      </c>
      <c r="K707" s="115"/>
      <c r="L707" s="115"/>
      <c r="M707" s="115"/>
      <c r="N707" s="115"/>
      <c r="O707" s="90">
        <f>IFERROR(VLOOKUP(A707&amp;G707,Lookup!J:K,2,0),"")</f>
        <v>0</v>
      </c>
      <c r="P707" s="110" t="str">
        <f t="shared" si="55"/>
        <v/>
      </c>
      <c r="Q707" s="115"/>
      <c r="R707" s="87" t="str">
        <f t="shared" ref="R707:R770" si="56">IF(OR(EXACT(N707,""), EXACT(L707,"")),"",N707-L707)</f>
        <v/>
      </c>
      <c r="S707" s="87" t="str">
        <f t="shared" si="53"/>
        <v/>
      </c>
      <c r="T707" s="54"/>
      <c r="U707" s="54"/>
      <c r="V707" s="54"/>
      <c r="W707" s="54"/>
      <c r="X707" s="69" t="str">
        <f t="shared" si="54"/>
        <v>D</v>
      </c>
    </row>
    <row r="708" spans="2:24" x14ac:dyDescent="0.25">
      <c r="B708" s="91" t="str">
        <f>IFERROR(VLOOKUP(A708,Lookup!A:B,2,0),"")</f>
        <v/>
      </c>
      <c r="C708" s="59" t="str">
        <f>IFERROR(VLOOKUP(A708,Lookup!A:C,3,0),"")</f>
        <v/>
      </c>
      <c r="D708" s="54"/>
      <c r="E708" s="54"/>
      <c r="F708" s="54"/>
      <c r="G708" s="72"/>
      <c r="H708" s="54"/>
      <c r="I708" s="54"/>
      <c r="J708" s="106">
        <f>VLOOKUP(A708&amp;G708,Lookup!J:N,5,0)</f>
        <v>0</v>
      </c>
      <c r="K708" s="115"/>
      <c r="L708" s="115"/>
      <c r="M708" s="115"/>
      <c r="N708" s="115"/>
      <c r="O708" s="90">
        <f>IFERROR(VLOOKUP(A708&amp;G708,Lookup!J:K,2,0),"")</f>
        <v>0</v>
      </c>
      <c r="P708" s="110" t="str">
        <f t="shared" si="55"/>
        <v/>
      </c>
      <c r="Q708" s="115"/>
      <c r="R708" s="87" t="str">
        <f t="shared" si="56"/>
        <v/>
      </c>
      <c r="S708" s="87" t="str">
        <f t="shared" ref="S708:S771" si="57">IF(OR(EXACT(Q708,""), EXACT(L708,"")),"",Q708-L708)</f>
        <v/>
      </c>
      <c r="T708" s="54"/>
      <c r="U708" s="54"/>
      <c r="V708" s="54"/>
      <c r="W708" s="54"/>
      <c r="X708" s="69" t="str">
        <f t="shared" si="54"/>
        <v>D</v>
      </c>
    </row>
    <row r="709" spans="2:24" x14ac:dyDescent="0.25">
      <c r="B709" s="91" t="str">
        <f>IFERROR(VLOOKUP(A709,Lookup!A:B,2,0),"")</f>
        <v/>
      </c>
      <c r="C709" s="59" t="str">
        <f>IFERROR(VLOOKUP(A709,Lookup!A:C,3,0),"")</f>
        <v/>
      </c>
      <c r="D709" s="54"/>
      <c r="E709" s="54"/>
      <c r="F709" s="54"/>
      <c r="G709" s="72"/>
      <c r="H709" s="54"/>
      <c r="I709" s="54"/>
      <c r="J709" s="106">
        <f>VLOOKUP(A709&amp;G709,Lookup!J:N,5,0)</f>
        <v>0</v>
      </c>
      <c r="K709" s="115"/>
      <c r="L709" s="115"/>
      <c r="M709" s="115"/>
      <c r="N709" s="115"/>
      <c r="O709" s="90">
        <f>IFERROR(VLOOKUP(A709&amp;G709,Lookup!J:K,2,0),"")</f>
        <v>0</v>
      </c>
      <c r="P709" s="110" t="str">
        <f t="shared" si="55"/>
        <v/>
      </c>
      <c r="Q709" s="115"/>
      <c r="R709" s="87" t="str">
        <f t="shared" si="56"/>
        <v/>
      </c>
      <c r="S709" s="87" t="str">
        <f t="shared" si="57"/>
        <v/>
      </c>
      <c r="T709" s="54"/>
      <c r="U709" s="54"/>
      <c r="V709" s="54"/>
      <c r="W709" s="54"/>
      <c r="X709" s="69" t="str">
        <f t="shared" si="54"/>
        <v>D</v>
      </c>
    </row>
    <row r="710" spans="2:24" x14ac:dyDescent="0.25">
      <c r="B710" s="91" t="str">
        <f>IFERROR(VLOOKUP(A710,Lookup!A:B,2,0),"")</f>
        <v/>
      </c>
      <c r="C710" s="59" t="str">
        <f>IFERROR(VLOOKUP(A710,Lookup!A:C,3,0),"")</f>
        <v/>
      </c>
      <c r="D710" s="54"/>
      <c r="E710" s="54"/>
      <c r="F710" s="54"/>
      <c r="G710" s="72"/>
      <c r="H710" s="54"/>
      <c r="I710" s="54"/>
      <c r="J710" s="106">
        <f>VLOOKUP(A710&amp;G710,Lookup!J:N,5,0)</f>
        <v>0</v>
      </c>
      <c r="K710" s="115"/>
      <c r="L710" s="115"/>
      <c r="M710" s="115"/>
      <c r="N710" s="115"/>
      <c r="O710" s="90">
        <f>IFERROR(VLOOKUP(A710&amp;G710,Lookup!J:K,2,0),"")</f>
        <v>0</v>
      </c>
      <c r="P710" s="110" t="str">
        <f t="shared" si="55"/>
        <v/>
      </c>
      <c r="Q710" s="115"/>
      <c r="R710" s="87" t="str">
        <f t="shared" si="56"/>
        <v/>
      </c>
      <c r="S710" s="87" t="str">
        <f t="shared" si="57"/>
        <v/>
      </c>
      <c r="T710" s="54"/>
      <c r="U710" s="54"/>
      <c r="V710" s="54"/>
      <c r="W710" s="54"/>
      <c r="X710" s="69" t="str">
        <f t="shared" si="54"/>
        <v>D</v>
      </c>
    </row>
    <row r="711" spans="2:24" x14ac:dyDescent="0.25">
      <c r="B711" s="91" t="str">
        <f>IFERROR(VLOOKUP(A711,Lookup!A:B,2,0),"")</f>
        <v/>
      </c>
      <c r="C711" s="59" t="str">
        <f>IFERROR(VLOOKUP(A711,Lookup!A:C,3,0),"")</f>
        <v/>
      </c>
      <c r="D711" s="54"/>
      <c r="E711" s="54"/>
      <c r="F711" s="54"/>
      <c r="G711" s="72"/>
      <c r="H711" s="54"/>
      <c r="I711" s="54"/>
      <c r="J711" s="106">
        <f>VLOOKUP(A711&amp;G711,Lookup!J:N,5,0)</f>
        <v>0</v>
      </c>
      <c r="K711" s="115"/>
      <c r="L711" s="115"/>
      <c r="M711" s="115"/>
      <c r="N711" s="115"/>
      <c r="O711" s="90">
        <f>IFERROR(VLOOKUP(A711&amp;G711,Lookup!J:K,2,0),"")</f>
        <v>0</v>
      </c>
      <c r="P711" s="110" t="str">
        <f t="shared" si="55"/>
        <v/>
      </c>
      <c r="Q711" s="115"/>
      <c r="R711" s="87" t="str">
        <f t="shared" si="56"/>
        <v/>
      </c>
      <c r="S711" s="87" t="str">
        <f t="shared" si="57"/>
        <v/>
      </c>
      <c r="T711" s="54"/>
      <c r="U711" s="54"/>
      <c r="V711" s="54"/>
      <c r="W711" s="54"/>
      <c r="X711" s="69" t="str">
        <f t="shared" si="54"/>
        <v>D</v>
      </c>
    </row>
    <row r="712" spans="2:24" x14ac:dyDescent="0.25">
      <c r="B712" s="91" t="str">
        <f>IFERROR(VLOOKUP(A712,Lookup!A:B,2,0),"")</f>
        <v/>
      </c>
      <c r="C712" s="59" t="str">
        <f>IFERROR(VLOOKUP(A712,Lookup!A:C,3,0),"")</f>
        <v/>
      </c>
      <c r="D712" s="54"/>
      <c r="E712" s="54"/>
      <c r="F712" s="54"/>
      <c r="G712" s="72"/>
      <c r="H712" s="54"/>
      <c r="I712" s="54"/>
      <c r="J712" s="106">
        <f>VLOOKUP(A712&amp;G712,Lookup!J:N,5,0)</f>
        <v>0</v>
      </c>
      <c r="K712" s="115"/>
      <c r="L712" s="115"/>
      <c r="M712" s="115"/>
      <c r="N712" s="115"/>
      <c r="O712" s="90">
        <f>IFERROR(VLOOKUP(A712&amp;G712,Lookup!J:K,2,0),"")</f>
        <v>0</v>
      </c>
      <c r="P712" s="110" t="str">
        <f t="shared" si="55"/>
        <v/>
      </c>
      <c r="Q712" s="115"/>
      <c r="R712" s="87" t="str">
        <f t="shared" si="56"/>
        <v/>
      </c>
      <c r="S712" s="87" t="str">
        <f t="shared" si="57"/>
        <v/>
      </c>
      <c r="T712" s="54"/>
      <c r="U712" s="54"/>
      <c r="V712" s="54"/>
      <c r="W712" s="54"/>
      <c r="X712" s="69" t="str">
        <f t="shared" si="54"/>
        <v>D</v>
      </c>
    </row>
    <row r="713" spans="2:24" x14ac:dyDescent="0.25">
      <c r="B713" s="91" t="str">
        <f>IFERROR(VLOOKUP(A713,Lookup!A:B,2,0),"")</f>
        <v/>
      </c>
      <c r="C713" s="59" t="str">
        <f>IFERROR(VLOOKUP(A713,Lookup!A:C,3,0),"")</f>
        <v/>
      </c>
      <c r="D713" s="54"/>
      <c r="E713" s="54"/>
      <c r="F713" s="54"/>
      <c r="G713" s="72"/>
      <c r="H713" s="54"/>
      <c r="I713" s="54"/>
      <c r="J713" s="106">
        <f>VLOOKUP(A713&amp;G713,Lookup!J:N,5,0)</f>
        <v>0</v>
      </c>
      <c r="K713" s="115"/>
      <c r="L713" s="115"/>
      <c r="M713" s="115"/>
      <c r="N713" s="115"/>
      <c r="O713" s="90">
        <f>IFERROR(VLOOKUP(A713&amp;G713,Lookup!J:K,2,0),"")</f>
        <v>0</v>
      </c>
      <c r="P713" s="110" t="str">
        <f t="shared" si="55"/>
        <v/>
      </c>
      <c r="Q713" s="115"/>
      <c r="R713" s="87" t="str">
        <f t="shared" si="56"/>
        <v/>
      </c>
      <c r="S713" s="87" t="str">
        <f t="shared" si="57"/>
        <v/>
      </c>
      <c r="T713" s="54"/>
      <c r="U713" s="54"/>
      <c r="V713" s="54"/>
      <c r="W713" s="54"/>
      <c r="X713" s="69" t="str">
        <f t="shared" si="54"/>
        <v>D</v>
      </c>
    </row>
    <row r="714" spans="2:24" x14ac:dyDescent="0.25">
      <c r="B714" s="91" t="str">
        <f>IFERROR(VLOOKUP(A714,Lookup!A:B,2,0),"")</f>
        <v/>
      </c>
      <c r="C714" s="59" t="str">
        <f>IFERROR(VLOOKUP(A714,Lookup!A:C,3,0),"")</f>
        <v/>
      </c>
      <c r="D714" s="54"/>
      <c r="E714" s="54"/>
      <c r="F714" s="54"/>
      <c r="G714" s="72"/>
      <c r="H714" s="54"/>
      <c r="I714" s="54"/>
      <c r="J714" s="106">
        <f>VLOOKUP(A714&amp;G714,Lookup!J:N,5,0)</f>
        <v>0</v>
      </c>
      <c r="K714" s="115"/>
      <c r="L714" s="115"/>
      <c r="M714" s="115"/>
      <c r="N714" s="115"/>
      <c r="O714" s="90">
        <f>IFERROR(VLOOKUP(A714&amp;G714,Lookup!J:K,2,0),"")</f>
        <v>0</v>
      </c>
      <c r="P714" s="110" t="str">
        <f t="shared" si="55"/>
        <v/>
      </c>
      <c r="Q714" s="115"/>
      <c r="R714" s="87" t="str">
        <f t="shared" si="56"/>
        <v/>
      </c>
      <c r="S714" s="87" t="str">
        <f t="shared" si="57"/>
        <v/>
      </c>
      <c r="T714" s="54"/>
      <c r="U714" s="54"/>
      <c r="V714" s="54"/>
      <c r="W714" s="54"/>
      <c r="X714" s="69" t="str">
        <f t="shared" si="54"/>
        <v>D</v>
      </c>
    </row>
    <row r="715" spans="2:24" x14ac:dyDescent="0.25">
      <c r="B715" s="91" t="str">
        <f>IFERROR(VLOOKUP(A715,Lookup!A:B,2,0),"")</f>
        <v/>
      </c>
      <c r="C715" s="59" t="str">
        <f>IFERROR(VLOOKUP(A715,Lookup!A:C,3,0),"")</f>
        <v/>
      </c>
      <c r="D715" s="54"/>
      <c r="E715" s="54"/>
      <c r="F715" s="54"/>
      <c r="G715" s="72"/>
      <c r="H715" s="54"/>
      <c r="I715" s="54"/>
      <c r="J715" s="106">
        <f>VLOOKUP(A715&amp;G715,Lookup!J:N,5,0)</f>
        <v>0</v>
      </c>
      <c r="K715" s="115"/>
      <c r="L715" s="115"/>
      <c r="M715" s="115"/>
      <c r="N715" s="115"/>
      <c r="O715" s="90">
        <f>IFERROR(VLOOKUP(A715&amp;G715,Lookup!J:K,2,0),"")</f>
        <v>0</v>
      </c>
      <c r="P715" s="110" t="str">
        <f t="shared" si="55"/>
        <v/>
      </c>
      <c r="Q715" s="115"/>
      <c r="R715" s="87" t="str">
        <f t="shared" si="56"/>
        <v/>
      </c>
      <c r="S715" s="87" t="str">
        <f t="shared" si="57"/>
        <v/>
      </c>
      <c r="T715" s="54"/>
      <c r="U715" s="54"/>
      <c r="V715" s="54"/>
      <c r="W715" s="54"/>
      <c r="X715" s="69" t="str">
        <f t="shared" si="54"/>
        <v>D</v>
      </c>
    </row>
    <row r="716" spans="2:24" x14ac:dyDescent="0.25">
      <c r="B716" s="91" t="str">
        <f>IFERROR(VLOOKUP(A716,Lookup!A:B,2,0),"")</f>
        <v/>
      </c>
      <c r="C716" s="59" t="str">
        <f>IFERROR(VLOOKUP(A716,Lookup!A:C,3,0),"")</f>
        <v/>
      </c>
      <c r="D716" s="54"/>
      <c r="E716" s="54"/>
      <c r="F716" s="54"/>
      <c r="G716" s="72"/>
      <c r="H716" s="54"/>
      <c r="I716" s="54"/>
      <c r="J716" s="106">
        <f>VLOOKUP(A716&amp;G716,Lookup!J:N,5,0)</f>
        <v>0</v>
      </c>
      <c r="K716" s="115"/>
      <c r="L716" s="115"/>
      <c r="M716" s="115"/>
      <c r="N716" s="115"/>
      <c r="O716" s="90">
        <f>IFERROR(VLOOKUP(A716&amp;G716,Lookup!J:K,2,0),"")</f>
        <v>0</v>
      </c>
      <c r="P716" s="110" t="str">
        <f t="shared" si="55"/>
        <v/>
      </c>
      <c r="Q716" s="115"/>
      <c r="R716" s="87" t="str">
        <f t="shared" si="56"/>
        <v/>
      </c>
      <c r="S716" s="87" t="str">
        <f t="shared" si="57"/>
        <v/>
      </c>
      <c r="T716" s="54"/>
      <c r="U716" s="54"/>
      <c r="V716" s="54"/>
      <c r="W716" s="54"/>
      <c r="X716" s="69" t="str">
        <f t="shared" si="54"/>
        <v>D</v>
      </c>
    </row>
    <row r="717" spans="2:24" x14ac:dyDescent="0.25">
      <c r="B717" s="91" t="str">
        <f>IFERROR(VLOOKUP(A717,Lookup!A:B,2,0),"")</f>
        <v/>
      </c>
      <c r="C717" s="59" t="str">
        <f>IFERROR(VLOOKUP(A717,Lookup!A:C,3,0),"")</f>
        <v/>
      </c>
      <c r="D717" s="54"/>
      <c r="E717" s="54"/>
      <c r="F717" s="54"/>
      <c r="G717" s="72"/>
      <c r="H717" s="54"/>
      <c r="I717" s="54"/>
      <c r="J717" s="106">
        <f>VLOOKUP(A717&amp;G717,Lookup!J:N,5,0)</f>
        <v>0</v>
      </c>
      <c r="K717" s="115"/>
      <c r="L717" s="115"/>
      <c r="M717" s="115"/>
      <c r="N717" s="115"/>
      <c r="O717" s="90">
        <f>IFERROR(VLOOKUP(A717&amp;G717,Lookup!J:K,2,0),"")</f>
        <v>0</v>
      </c>
      <c r="P717" s="110" t="str">
        <f t="shared" si="55"/>
        <v/>
      </c>
      <c r="Q717" s="115"/>
      <c r="R717" s="87" t="str">
        <f t="shared" si="56"/>
        <v/>
      </c>
      <c r="S717" s="87" t="str">
        <f t="shared" si="57"/>
        <v/>
      </c>
      <c r="T717" s="54"/>
      <c r="U717" s="54"/>
      <c r="V717" s="54"/>
      <c r="W717" s="54"/>
      <c r="X717" s="69" t="str">
        <f t="shared" si="54"/>
        <v>D</v>
      </c>
    </row>
    <row r="718" spans="2:24" x14ac:dyDescent="0.25">
      <c r="B718" s="91" t="str">
        <f>IFERROR(VLOOKUP(A718,Lookup!A:B,2,0),"")</f>
        <v/>
      </c>
      <c r="C718" s="59" t="str">
        <f>IFERROR(VLOOKUP(A718,Lookup!A:C,3,0),"")</f>
        <v/>
      </c>
      <c r="D718" s="54"/>
      <c r="E718" s="54"/>
      <c r="F718" s="54"/>
      <c r="G718" s="72"/>
      <c r="H718" s="54"/>
      <c r="I718" s="54"/>
      <c r="J718" s="106">
        <f>VLOOKUP(A718&amp;G718,Lookup!J:N,5,0)</f>
        <v>0</v>
      </c>
      <c r="K718" s="115"/>
      <c r="L718" s="115"/>
      <c r="M718" s="115"/>
      <c r="N718" s="115"/>
      <c r="O718" s="90">
        <f>IFERROR(VLOOKUP(A718&amp;G718,Lookup!J:K,2,0),"")</f>
        <v>0</v>
      </c>
      <c r="P718" s="110" t="str">
        <f t="shared" si="55"/>
        <v/>
      </c>
      <c r="Q718" s="115"/>
      <c r="R718" s="87" t="str">
        <f t="shared" si="56"/>
        <v/>
      </c>
      <c r="S718" s="87" t="str">
        <f t="shared" si="57"/>
        <v/>
      </c>
      <c r="T718" s="54"/>
      <c r="U718" s="54"/>
      <c r="V718" s="54"/>
      <c r="W718" s="54"/>
      <c r="X718" s="69" t="str">
        <f t="shared" si="54"/>
        <v>D</v>
      </c>
    </row>
    <row r="719" spans="2:24" x14ac:dyDescent="0.25">
      <c r="B719" s="91" t="str">
        <f>IFERROR(VLOOKUP(A719,Lookup!A:B,2,0),"")</f>
        <v/>
      </c>
      <c r="C719" s="59" t="str">
        <f>IFERROR(VLOOKUP(A719,Lookup!A:C,3,0),"")</f>
        <v/>
      </c>
      <c r="D719" s="54"/>
      <c r="E719" s="54"/>
      <c r="F719" s="54"/>
      <c r="G719" s="72"/>
      <c r="H719" s="54"/>
      <c r="I719" s="54"/>
      <c r="J719" s="106">
        <f>VLOOKUP(A719&amp;G719,Lookup!J:N,5,0)</f>
        <v>0</v>
      </c>
      <c r="K719" s="115"/>
      <c r="L719" s="115"/>
      <c r="M719" s="115"/>
      <c r="N719" s="115"/>
      <c r="O719" s="90">
        <f>IFERROR(VLOOKUP(A719&amp;G719,Lookup!J:K,2,0),"")</f>
        <v>0</v>
      </c>
      <c r="P719" s="110" t="str">
        <f t="shared" si="55"/>
        <v/>
      </c>
      <c r="Q719" s="115"/>
      <c r="R719" s="87" t="str">
        <f t="shared" si="56"/>
        <v/>
      </c>
      <c r="S719" s="87" t="str">
        <f t="shared" si="57"/>
        <v/>
      </c>
      <c r="T719" s="54"/>
      <c r="U719" s="54"/>
      <c r="V719" s="54"/>
      <c r="W719" s="54"/>
      <c r="X719" s="69" t="str">
        <f t="shared" si="54"/>
        <v>D</v>
      </c>
    </row>
    <row r="720" spans="2:24" x14ac:dyDescent="0.25">
      <c r="B720" s="91" t="str">
        <f>IFERROR(VLOOKUP(A720,Lookup!A:B,2,0),"")</f>
        <v/>
      </c>
      <c r="C720" s="59" t="str">
        <f>IFERROR(VLOOKUP(A720,Lookup!A:C,3,0),"")</f>
        <v/>
      </c>
      <c r="D720" s="54"/>
      <c r="E720" s="54"/>
      <c r="F720" s="54"/>
      <c r="G720" s="72"/>
      <c r="H720" s="54"/>
      <c r="I720" s="54"/>
      <c r="J720" s="106">
        <f>VLOOKUP(A720&amp;G720,Lookup!J:N,5,0)</f>
        <v>0</v>
      </c>
      <c r="K720" s="115"/>
      <c r="L720" s="115"/>
      <c r="M720" s="115"/>
      <c r="N720" s="115"/>
      <c r="O720" s="90">
        <f>IFERROR(VLOOKUP(A720&amp;G720,Lookup!J:K,2,0),"")</f>
        <v>0</v>
      </c>
      <c r="P720" s="110" t="str">
        <f t="shared" si="55"/>
        <v/>
      </c>
      <c r="Q720" s="115"/>
      <c r="R720" s="87" t="str">
        <f t="shared" si="56"/>
        <v/>
      </c>
      <c r="S720" s="87" t="str">
        <f t="shared" si="57"/>
        <v/>
      </c>
      <c r="T720" s="54"/>
      <c r="U720" s="54"/>
      <c r="V720" s="54"/>
      <c r="W720" s="54"/>
      <c r="X720" s="69" t="str">
        <f t="shared" si="54"/>
        <v>D</v>
      </c>
    </row>
    <row r="721" spans="2:24" x14ac:dyDescent="0.25">
      <c r="B721" s="91" t="str">
        <f>IFERROR(VLOOKUP(A721,Lookup!A:B,2,0),"")</f>
        <v/>
      </c>
      <c r="C721" s="59" t="str">
        <f>IFERROR(VLOOKUP(A721,Lookup!A:C,3,0),"")</f>
        <v/>
      </c>
      <c r="D721" s="54"/>
      <c r="E721" s="54"/>
      <c r="F721" s="54"/>
      <c r="G721" s="72"/>
      <c r="H721" s="54"/>
      <c r="I721" s="54"/>
      <c r="J721" s="106">
        <f>VLOOKUP(A721&amp;G721,Lookup!J:N,5,0)</f>
        <v>0</v>
      </c>
      <c r="K721" s="115"/>
      <c r="L721" s="115"/>
      <c r="M721" s="115"/>
      <c r="N721" s="115"/>
      <c r="O721" s="90">
        <f>IFERROR(VLOOKUP(A721&amp;G721,Lookup!J:K,2,0),"")</f>
        <v>0</v>
      </c>
      <c r="P721" s="110" t="str">
        <f t="shared" si="55"/>
        <v/>
      </c>
      <c r="Q721" s="115"/>
      <c r="R721" s="87" t="str">
        <f t="shared" si="56"/>
        <v/>
      </c>
      <c r="S721" s="87" t="str">
        <f t="shared" si="57"/>
        <v/>
      </c>
      <c r="T721" s="54"/>
      <c r="U721" s="54"/>
      <c r="V721" s="54"/>
      <c r="W721" s="54"/>
      <c r="X721" s="69" t="str">
        <f t="shared" si="54"/>
        <v>D</v>
      </c>
    </row>
    <row r="722" spans="2:24" x14ac:dyDescent="0.25">
      <c r="B722" s="91" t="str">
        <f>IFERROR(VLOOKUP(A722,Lookup!A:B,2,0),"")</f>
        <v/>
      </c>
      <c r="C722" s="59" t="str">
        <f>IFERROR(VLOOKUP(A722,Lookup!A:C,3,0),"")</f>
        <v/>
      </c>
      <c r="D722" s="54"/>
      <c r="E722" s="54"/>
      <c r="F722" s="54"/>
      <c r="G722" s="72"/>
      <c r="H722" s="54"/>
      <c r="I722" s="54"/>
      <c r="J722" s="106">
        <f>VLOOKUP(A722&amp;G722,Lookup!J:N,5,0)</f>
        <v>0</v>
      </c>
      <c r="K722" s="115"/>
      <c r="L722" s="115"/>
      <c r="M722" s="115"/>
      <c r="N722" s="115"/>
      <c r="O722" s="90">
        <f>IFERROR(VLOOKUP(A722&amp;G722,Lookup!J:K,2,0),"")</f>
        <v>0</v>
      </c>
      <c r="P722" s="110" t="str">
        <f t="shared" si="55"/>
        <v/>
      </c>
      <c r="Q722" s="115"/>
      <c r="R722" s="87" t="str">
        <f t="shared" si="56"/>
        <v/>
      </c>
      <c r="S722" s="87" t="str">
        <f t="shared" si="57"/>
        <v/>
      </c>
      <c r="T722" s="54"/>
      <c r="U722" s="54"/>
      <c r="V722" s="54"/>
      <c r="W722" s="54"/>
      <c r="X722" s="69" t="str">
        <f t="shared" si="54"/>
        <v>D</v>
      </c>
    </row>
    <row r="723" spans="2:24" x14ac:dyDescent="0.25">
      <c r="B723" s="91" t="str">
        <f>IFERROR(VLOOKUP(A723,Lookup!A:B,2,0),"")</f>
        <v/>
      </c>
      <c r="C723" s="59" t="str">
        <f>IFERROR(VLOOKUP(A723,Lookup!A:C,3,0),"")</f>
        <v/>
      </c>
      <c r="D723" s="54"/>
      <c r="E723" s="54"/>
      <c r="F723" s="54"/>
      <c r="G723" s="72"/>
      <c r="H723" s="54"/>
      <c r="I723" s="54"/>
      <c r="J723" s="106">
        <f>VLOOKUP(A723&amp;G723,Lookup!J:N,5,0)</f>
        <v>0</v>
      </c>
      <c r="K723" s="115"/>
      <c r="L723" s="115"/>
      <c r="M723" s="115"/>
      <c r="N723" s="115"/>
      <c r="O723" s="90">
        <f>IFERROR(VLOOKUP(A723&amp;G723,Lookup!J:K,2,0),"")</f>
        <v>0</v>
      </c>
      <c r="P723" s="110" t="str">
        <f t="shared" si="55"/>
        <v/>
      </c>
      <c r="Q723" s="115"/>
      <c r="R723" s="87" t="str">
        <f t="shared" si="56"/>
        <v/>
      </c>
      <c r="S723" s="87" t="str">
        <f t="shared" si="57"/>
        <v/>
      </c>
      <c r="T723" s="54"/>
      <c r="U723" s="54"/>
      <c r="V723" s="54"/>
      <c r="W723" s="54"/>
      <c r="X723" s="69" t="str">
        <f t="shared" si="54"/>
        <v>D</v>
      </c>
    </row>
    <row r="724" spans="2:24" x14ac:dyDescent="0.25">
      <c r="B724" s="91" t="str">
        <f>IFERROR(VLOOKUP(A724,Lookup!A:B,2,0),"")</f>
        <v/>
      </c>
      <c r="C724" s="59" t="str">
        <f>IFERROR(VLOOKUP(A724,Lookup!A:C,3,0),"")</f>
        <v/>
      </c>
      <c r="D724" s="54"/>
      <c r="E724" s="54"/>
      <c r="F724" s="54"/>
      <c r="G724" s="72"/>
      <c r="H724" s="54"/>
      <c r="I724" s="54"/>
      <c r="J724" s="106">
        <f>VLOOKUP(A724&amp;G724,Lookup!J:N,5,0)</f>
        <v>0</v>
      </c>
      <c r="K724" s="115"/>
      <c r="L724" s="115"/>
      <c r="M724" s="115"/>
      <c r="N724" s="115"/>
      <c r="O724" s="90">
        <f>IFERROR(VLOOKUP(A724&amp;G724,Lookup!J:K,2,0),"")</f>
        <v>0</v>
      </c>
      <c r="P724" s="110" t="str">
        <f t="shared" si="55"/>
        <v/>
      </c>
      <c r="Q724" s="115"/>
      <c r="R724" s="87" t="str">
        <f t="shared" si="56"/>
        <v/>
      </c>
      <c r="S724" s="87" t="str">
        <f t="shared" si="57"/>
        <v/>
      </c>
      <c r="T724" s="54"/>
      <c r="U724" s="54"/>
      <c r="V724" s="54"/>
      <c r="W724" s="54"/>
      <c r="X724" s="69" t="str">
        <f t="shared" si="54"/>
        <v>D</v>
      </c>
    </row>
    <row r="725" spans="2:24" x14ac:dyDescent="0.25">
      <c r="B725" s="91" t="str">
        <f>IFERROR(VLOOKUP(A725,Lookup!A:B,2,0),"")</f>
        <v/>
      </c>
      <c r="C725" s="59" t="str">
        <f>IFERROR(VLOOKUP(A725,Lookup!A:C,3,0),"")</f>
        <v/>
      </c>
      <c r="D725" s="54"/>
      <c r="E725" s="54"/>
      <c r="F725" s="54"/>
      <c r="G725" s="72"/>
      <c r="H725" s="54"/>
      <c r="I725" s="54"/>
      <c r="J725" s="106">
        <f>VLOOKUP(A725&amp;G725,Lookup!J:N,5,0)</f>
        <v>0</v>
      </c>
      <c r="K725" s="115"/>
      <c r="L725" s="115"/>
      <c r="M725" s="115"/>
      <c r="N725" s="115"/>
      <c r="O725" s="90">
        <f>IFERROR(VLOOKUP(A725&amp;G725,Lookup!J:K,2,0),"")</f>
        <v>0</v>
      </c>
      <c r="P725" s="110" t="str">
        <f t="shared" si="55"/>
        <v/>
      </c>
      <c r="Q725" s="115"/>
      <c r="R725" s="87" t="str">
        <f t="shared" si="56"/>
        <v/>
      </c>
      <c r="S725" s="87" t="str">
        <f t="shared" si="57"/>
        <v/>
      </c>
      <c r="T725" s="54"/>
      <c r="U725" s="54"/>
      <c r="V725" s="54"/>
      <c r="W725" s="54"/>
      <c r="X725" s="69" t="str">
        <f t="shared" si="54"/>
        <v>D</v>
      </c>
    </row>
    <row r="726" spans="2:24" x14ac:dyDescent="0.25">
      <c r="B726" s="91" t="str">
        <f>IFERROR(VLOOKUP(A726,Lookup!A:B,2,0),"")</f>
        <v/>
      </c>
      <c r="C726" s="59" t="str">
        <f>IFERROR(VLOOKUP(A726,Lookup!A:C,3,0),"")</f>
        <v/>
      </c>
      <c r="D726" s="54"/>
      <c r="E726" s="54"/>
      <c r="F726" s="54"/>
      <c r="G726" s="72"/>
      <c r="H726" s="54"/>
      <c r="I726" s="54"/>
      <c r="J726" s="106">
        <f>VLOOKUP(A726&amp;G726,Lookup!J:N,5,0)</f>
        <v>0</v>
      </c>
      <c r="K726" s="115"/>
      <c r="L726" s="115"/>
      <c r="M726" s="115"/>
      <c r="N726" s="115"/>
      <c r="O726" s="90">
        <f>IFERROR(VLOOKUP(A726&amp;G726,Lookup!J:K,2,0),"")</f>
        <v>0</v>
      </c>
      <c r="P726" s="110" t="str">
        <f t="shared" si="55"/>
        <v/>
      </c>
      <c r="Q726" s="115"/>
      <c r="R726" s="87" t="str">
        <f t="shared" si="56"/>
        <v/>
      </c>
      <c r="S726" s="87" t="str">
        <f t="shared" si="57"/>
        <v/>
      </c>
      <c r="T726" s="54"/>
      <c r="U726" s="54"/>
      <c r="V726" s="54"/>
      <c r="W726" s="54"/>
      <c r="X726" s="69" t="str">
        <f t="shared" si="54"/>
        <v>D</v>
      </c>
    </row>
    <row r="727" spans="2:24" x14ac:dyDescent="0.25">
      <c r="B727" s="91" t="str">
        <f>IFERROR(VLOOKUP(A727,Lookup!A:B,2,0),"")</f>
        <v/>
      </c>
      <c r="C727" s="59" t="str">
        <f>IFERROR(VLOOKUP(A727,Lookup!A:C,3,0),"")</f>
        <v/>
      </c>
      <c r="D727" s="54"/>
      <c r="E727" s="54"/>
      <c r="F727" s="54"/>
      <c r="G727" s="72"/>
      <c r="H727" s="54"/>
      <c r="I727" s="54"/>
      <c r="J727" s="106">
        <f>VLOOKUP(A727&amp;G727,Lookup!J:N,5,0)</f>
        <v>0</v>
      </c>
      <c r="K727" s="115"/>
      <c r="L727" s="115"/>
      <c r="M727" s="115"/>
      <c r="N727" s="115"/>
      <c r="O727" s="90">
        <f>IFERROR(VLOOKUP(A727&amp;G727,Lookup!J:K,2,0),"")</f>
        <v>0</v>
      </c>
      <c r="P727" s="110" t="str">
        <f t="shared" si="55"/>
        <v/>
      </c>
      <c r="Q727" s="115"/>
      <c r="R727" s="87" t="str">
        <f t="shared" si="56"/>
        <v/>
      </c>
      <c r="S727" s="87" t="str">
        <f t="shared" si="57"/>
        <v/>
      </c>
      <c r="T727" s="54"/>
      <c r="U727" s="54"/>
      <c r="V727" s="54"/>
      <c r="W727" s="54"/>
      <c r="X727" s="69" t="str">
        <f t="shared" si="54"/>
        <v>D</v>
      </c>
    </row>
    <row r="728" spans="2:24" x14ac:dyDescent="0.25">
      <c r="B728" s="91" t="str">
        <f>IFERROR(VLOOKUP(A728,Lookup!A:B,2,0),"")</f>
        <v/>
      </c>
      <c r="C728" s="59" t="str">
        <f>IFERROR(VLOOKUP(A728,Lookup!A:C,3,0),"")</f>
        <v/>
      </c>
      <c r="D728" s="54"/>
      <c r="E728" s="54"/>
      <c r="F728" s="54"/>
      <c r="G728" s="72"/>
      <c r="H728" s="54"/>
      <c r="I728" s="54"/>
      <c r="J728" s="106">
        <f>VLOOKUP(A728&amp;G728,Lookup!J:N,5,0)</f>
        <v>0</v>
      </c>
      <c r="K728" s="115"/>
      <c r="L728" s="115"/>
      <c r="M728" s="115"/>
      <c r="N728" s="115"/>
      <c r="O728" s="90">
        <f>IFERROR(VLOOKUP(A728&amp;G728,Lookup!J:K,2,0),"")</f>
        <v>0</v>
      </c>
      <c r="P728" s="110" t="str">
        <f t="shared" si="55"/>
        <v/>
      </c>
      <c r="Q728" s="115"/>
      <c r="R728" s="87" t="str">
        <f t="shared" si="56"/>
        <v/>
      </c>
      <c r="S728" s="87" t="str">
        <f t="shared" si="57"/>
        <v/>
      </c>
      <c r="T728" s="54"/>
      <c r="U728" s="54"/>
      <c r="V728" s="54"/>
      <c r="W728" s="54"/>
      <c r="X728" s="69" t="str">
        <f t="shared" si="54"/>
        <v>D</v>
      </c>
    </row>
    <row r="729" spans="2:24" x14ac:dyDescent="0.25">
      <c r="B729" s="91" t="str">
        <f>IFERROR(VLOOKUP(A729,Lookup!A:B,2,0),"")</f>
        <v/>
      </c>
      <c r="C729" s="59" t="str">
        <f>IFERROR(VLOOKUP(A729,Lookup!A:C,3,0),"")</f>
        <v/>
      </c>
      <c r="D729" s="54"/>
      <c r="E729" s="54"/>
      <c r="F729" s="54"/>
      <c r="G729" s="72"/>
      <c r="H729" s="54"/>
      <c r="I729" s="54"/>
      <c r="J729" s="106">
        <f>VLOOKUP(A729&amp;G729,Lookup!J:N,5,0)</f>
        <v>0</v>
      </c>
      <c r="K729" s="115"/>
      <c r="L729" s="115"/>
      <c r="M729" s="115"/>
      <c r="N729" s="115"/>
      <c r="O729" s="90">
        <f>IFERROR(VLOOKUP(A729&amp;G729,Lookup!J:K,2,0),"")</f>
        <v>0</v>
      </c>
      <c r="P729" s="110" t="str">
        <f t="shared" si="55"/>
        <v/>
      </c>
      <c r="Q729" s="115"/>
      <c r="R729" s="87" t="str">
        <f t="shared" si="56"/>
        <v/>
      </c>
      <c r="S729" s="87" t="str">
        <f t="shared" si="57"/>
        <v/>
      </c>
      <c r="T729" s="54"/>
      <c r="U729" s="54"/>
      <c r="V729" s="54"/>
      <c r="W729" s="54"/>
      <c r="X729" s="69" t="str">
        <f t="shared" si="54"/>
        <v>D</v>
      </c>
    </row>
    <row r="730" spans="2:24" x14ac:dyDescent="0.25">
      <c r="B730" s="91" t="str">
        <f>IFERROR(VLOOKUP(A730,Lookup!A:B,2,0),"")</f>
        <v/>
      </c>
      <c r="C730" s="59" t="str">
        <f>IFERROR(VLOOKUP(A730,Lookup!A:C,3,0),"")</f>
        <v/>
      </c>
      <c r="D730" s="54"/>
      <c r="E730" s="54"/>
      <c r="F730" s="54"/>
      <c r="G730" s="72"/>
      <c r="H730" s="54"/>
      <c r="I730" s="54"/>
      <c r="J730" s="106">
        <f>VLOOKUP(A730&amp;G730,Lookup!J:N,5,0)</f>
        <v>0</v>
      </c>
      <c r="K730" s="115"/>
      <c r="L730" s="115"/>
      <c r="M730" s="115"/>
      <c r="N730" s="115"/>
      <c r="O730" s="90">
        <f>IFERROR(VLOOKUP(A730&amp;G730,Lookup!J:K,2,0),"")</f>
        <v>0</v>
      </c>
      <c r="P730" s="110" t="str">
        <f t="shared" si="55"/>
        <v/>
      </c>
      <c r="Q730" s="115"/>
      <c r="R730" s="87" t="str">
        <f t="shared" si="56"/>
        <v/>
      </c>
      <c r="S730" s="87" t="str">
        <f t="shared" si="57"/>
        <v/>
      </c>
      <c r="T730" s="54"/>
      <c r="U730" s="54"/>
      <c r="V730" s="54"/>
      <c r="W730" s="54"/>
      <c r="X730" s="69" t="str">
        <f t="shared" si="54"/>
        <v>D</v>
      </c>
    </row>
    <row r="731" spans="2:24" x14ac:dyDescent="0.25">
      <c r="B731" s="91" t="str">
        <f>IFERROR(VLOOKUP(A731,Lookup!A:B,2,0),"")</f>
        <v/>
      </c>
      <c r="C731" s="59" t="str">
        <f>IFERROR(VLOOKUP(A731,Lookup!A:C,3,0),"")</f>
        <v/>
      </c>
      <c r="D731" s="54"/>
      <c r="E731" s="54"/>
      <c r="F731" s="54"/>
      <c r="G731" s="72"/>
      <c r="H731" s="54"/>
      <c r="I731" s="54"/>
      <c r="J731" s="106">
        <f>VLOOKUP(A731&amp;G731,Lookup!J:N,5,0)</f>
        <v>0</v>
      </c>
      <c r="K731" s="115"/>
      <c r="L731" s="115"/>
      <c r="M731" s="115"/>
      <c r="N731" s="115"/>
      <c r="O731" s="90">
        <f>IFERROR(VLOOKUP(A731&amp;G731,Lookup!J:K,2,0),"")</f>
        <v>0</v>
      </c>
      <c r="P731" s="110" t="str">
        <f t="shared" si="55"/>
        <v/>
      </c>
      <c r="Q731" s="115"/>
      <c r="R731" s="87" t="str">
        <f t="shared" si="56"/>
        <v/>
      </c>
      <c r="S731" s="87" t="str">
        <f t="shared" si="57"/>
        <v/>
      </c>
      <c r="T731" s="54"/>
      <c r="U731" s="54"/>
      <c r="V731" s="54"/>
      <c r="W731" s="54"/>
      <c r="X731" s="69" t="str">
        <f t="shared" si="54"/>
        <v>D</v>
      </c>
    </row>
    <row r="732" spans="2:24" x14ac:dyDescent="0.25">
      <c r="B732" s="91" t="str">
        <f>IFERROR(VLOOKUP(A732,Lookup!A:B,2,0),"")</f>
        <v/>
      </c>
      <c r="C732" s="59" t="str">
        <f>IFERROR(VLOOKUP(A732,Lookup!A:C,3,0),"")</f>
        <v/>
      </c>
      <c r="D732" s="54"/>
      <c r="E732" s="54"/>
      <c r="F732" s="54"/>
      <c r="G732" s="72"/>
      <c r="H732" s="54"/>
      <c r="I732" s="54"/>
      <c r="J732" s="106">
        <f>VLOOKUP(A732&amp;G732,Lookup!J:N,5,0)</f>
        <v>0</v>
      </c>
      <c r="K732" s="115"/>
      <c r="L732" s="115"/>
      <c r="M732" s="115"/>
      <c r="N732" s="115"/>
      <c r="O732" s="90">
        <f>IFERROR(VLOOKUP(A732&amp;G732,Lookup!J:K,2,0),"")</f>
        <v>0</v>
      </c>
      <c r="P732" s="110" t="str">
        <f t="shared" si="55"/>
        <v/>
      </c>
      <c r="Q732" s="115"/>
      <c r="R732" s="87" t="str">
        <f t="shared" si="56"/>
        <v/>
      </c>
      <c r="S732" s="87" t="str">
        <f t="shared" si="57"/>
        <v/>
      </c>
      <c r="T732" s="54"/>
      <c r="U732" s="54"/>
      <c r="V732" s="54"/>
      <c r="W732" s="54"/>
      <c r="X732" s="69" t="str">
        <f t="shared" si="54"/>
        <v>D</v>
      </c>
    </row>
    <row r="733" spans="2:24" x14ac:dyDescent="0.25">
      <c r="B733" s="91" t="str">
        <f>IFERROR(VLOOKUP(A733,Lookup!A:B,2,0),"")</f>
        <v/>
      </c>
      <c r="C733" s="59" t="str">
        <f>IFERROR(VLOOKUP(A733,Lookup!A:C,3,0),"")</f>
        <v/>
      </c>
      <c r="D733" s="54"/>
      <c r="E733" s="54"/>
      <c r="F733" s="54"/>
      <c r="G733" s="72"/>
      <c r="H733" s="54"/>
      <c r="I733" s="54"/>
      <c r="J733" s="106">
        <f>VLOOKUP(A733&amp;G733,Lookup!J:N,5,0)</f>
        <v>0</v>
      </c>
      <c r="K733" s="115"/>
      <c r="L733" s="115"/>
      <c r="M733" s="115"/>
      <c r="N733" s="115"/>
      <c r="O733" s="90">
        <f>IFERROR(VLOOKUP(A733&amp;G733,Lookup!J:K,2,0),"")</f>
        <v>0</v>
      </c>
      <c r="P733" s="110" t="str">
        <f t="shared" si="55"/>
        <v/>
      </c>
      <c r="Q733" s="115"/>
      <c r="R733" s="87" t="str">
        <f t="shared" si="56"/>
        <v/>
      </c>
      <c r="S733" s="87" t="str">
        <f t="shared" si="57"/>
        <v/>
      </c>
      <c r="T733" s="54"/>
      <c r="U733" s="54"/>
      <c r="V733" s="54"/>
      <c r="W733" s="54"/>
      <c r="X733" s="69" t="str">
        <f t="shared" si="54"/>
        <v>D</v>
      </c>
    </row>
    <row r="734" spans="2:24" x14ac:dyDescent="0.25">
      <c r="B734" s="91" t="str">
        <f>IFERROR(VLOOKUP(A734,Lookup!A:B,2,0),"")</f>
        <v/>
      </c>
      <c r="C734" s="59" t="str">
        <f>IFERROR(VLOOKUP(A734,Lookup!A:C,3,0),"")</f>
        <v/>
      </c>
      <c r="D734" s="54"/>
      <c r="E734" s="54"/>
      <c r="F734" s="54"/>
      <c r="G734" s="72"/>
      <c r="H734" s="54"/>
      <c r="I734" s="54"/>
      <c r="J734" s="106">
        <f>VLOOKUP(A734&amp;G734,Lookup!J:N,5,0)</f>
        <v>0</v>
      </c>
      <c r="K734" s="115"/>
      <c r="L734" s="115"/>
      <c r="M734" s="115"/>
      <c r="N734" s="115"/>
      <c r="O734" s="90">
        <f>IFERROR(VLOOKUP(A734&amp;G734,Lookup!J:K,2,0),"")</f>
        <v>0</v>
      </c>
      <c r="P734" s="110" t="str">
        <f t="shared" si="55"/>
        <v/>
      </c>
      <c r="Q734" s="115"/>
      <c r="R734" s="87" t="str">
        <f t="shared" si="56"/>
        <v/>
      </c>
      <c r="S734" s="87" t="str">
        <f t="shared" si="57"/>
        <v/>
      </c>
      <c r="T734" s="54"/>
      <c r="U734" s="54"/>
      <c r="V734" s="54"/>
      <c r="W734" s="54"/>
      <c r="X734" s="69" t="str">
        <f t="shared" si="54"/>
        <v>D</v>
      </c>
    </row>
    <row r="735" spans="2:24" x14ac:dyDescent="0.25">
      <c r="B735" s="91" t="str">
        <f>IFERROR(VLOOKUP(A735,Lookup!A:B,2,0),"")</f>
        <v/>
      </c>
      <c r="C735" s="59" t="str">
        <f>IFERROR(VLOOKUP(A735,Lookup!A:C,3,0),"")</f>
        <v/>
      </c>
      <c r="D735" s="54"/>
      <c r="E735" s="54"/>
      <c r="F735" s="54"/>
      <c r="G735" s="72"/>
      <c r="H735" s="54"/>
      <c r="I735" s="54"/>
      <c r="J735" s="106">
        <f>VLOOKUP(A735&amp;G735,Lookup!J:N,5,0)</f>
        <v>0</v>
      </c>
      <c r="K735" s="115"/>
      <c r="L735" s="115"/>
      <c r="M735" s="115"/>
      <c r="N735" s="115"/>
      <c r="O735" s="90">
        <f>IFERROR(VLOOKUP(A735&amp;G735,Lookup!J:K,2,0),"")</f>
        <v>0</v>
      </c>
      <c r="P735" s="110" t="str">
        <f t="shared" si="55"/>
        <v/>
      </c>
      <c r="Q735" s="115"/>
      <c r="R735" s="87" t="str">
        <f t="shared" si="56"/>
        <v/>
      </c>
      <c r="S735" s="87" t="str">
        <f t="shared" si="57"/>
        <v/>
      </c>
      <c r="T735" s="54"/>
      <c r="U735" s="54"/>
      <c r="V735" s="54"/>
      <c r="W735" s="54"/>
      <c r="X735" s="69" t="str">
        <f t="shared" si="54"/>
        <v>D</v>
      </c>
    </row>
    <row r="736" spans="2:24" x14ac:dyDescent="0.25">
      <c r="B736" s="91" t="str">
        <f>IFERROR(VLOOKUP(A736,Lookup!A:B,2,0),"")</f>
        <v/>
      </c>
      <c r="C736" s="59" t="str">
        <f>IFERROR(VLOOKUP(A736,Lookup!A:C,3,0),"")</f>
        <v/>
      </c>
      <c r="D736" s="54"/>
      <c r="E736" s="54"/>
      <c r="F736" s="54"/>
      <c r="G736" s="72"/>
      <c r="H736" s="54"/>
      <c r="I736" s="54"/>
      <c r="J736" s="106">
        <f>VLOOKUP(A736&amp;G736,Lookup!J:N,5,0)</f>
        <v>0</v>
      </c>
      <c r="K736" s="115"/>
      <c r="L736" s="115"/>
      <c r="M736" s="115"/>
      <c r="N736" s="115"/>
      <c r="O736" s="90">
        <f>IFERROR(VLOOKUP(A736&amp;G736,Lookup!J:K,2,0),"")</f>
        <v>0</v>
      </c>
      <c r="P736" s="110" t="str">
        <f t="shared" si="55"/>
        <v/>
      </c>
      <c r="Q736" s="115"/>
      <c r="R736" s="87" t="str">
        <f t="shared" si="56"/>
        <v/>
      </c>
      <c r="S736" s="87" t="str">
        <f t="shared" si="57"/>
        <v/>
      </c>
      <c r="T736" s="54"/>
      <c r="U736" s="54"/>
      <c r="V736" s="54"/>
      <c r="W736" s="54"/>
      <c r="X736" s="69" t="str">
        <f t="shared" si="54"/>
        <v>D</v>
      </c>
    </row>
    <row r="737" spans="2:24" x14ac:dyDescent="0.25">
      <c r="B737" s="91" t="str">
        <f>IFERROR(VLOOKUP(A737,Lookup!A:B,2,0),"")</f>
        <v/>
      </c>
      <c r="C737" s="59" t="str">
        <f>IFERROR(VLOOKUP(A737,Lookup!A:C,3,0),"")</f>
        <v/>
      </c>
      <c r="D737" s="54"/>
      <c r="E737" s="54"/>
      <c r="F737" s="54"/>
      <c r="G737" s="72"/>
      <c r="H737" s="54"/>
      <c r="I737" s="54"/>
      <c r="J737" s="106">
        <f>VLOOKUP(A737&amp;G737,Lookup!J:N,5,0)</f>
        <v>0</v>
      </c>
      <c r="K737" s="115"/>
      <c r="L737" s="115"/>
      <c r="M737" s="115"/>
      <c r="N737" s="115"/>
      <c r="O737" s="90">
        <f>IFERROR(VLOOKUP(A737&amp;G737,Lookup!J:K,2,0),"")</f>
        <v>0</v>
      </c>
      <c r="P737" s="110" t="str">
        <f t="shared" si="55"/>
        <v/>
      </c>
      <c r="Q737" s="115"/>
      <c r="R737" s="87" t="str">
        <f t="shared" si="56"/>
        <v/>
      </c>
      <c r="S737" s="87" t="str">
        <f t="shared" si="57"/>
        <v/>
      </c>
      <c r="T737" s="54"/>
      <c r="U737" s="54"/>
      <c r="V737" s="54"/>
      <c r="W737" s="54"/>
      <c r="X737" s="69" t="str">
        <f t="shared" si="54"/>
        <v>D</v>
      </c>
    </row>
    <row r="738" spans="2:24" x14ac:dyDescent="0.25">
      <c r="B738" s="91" t="str">
        <f>IFERROR(VLOOKUP(A738,Lookup!A:B,2,0),"")</f>
        <v/>
      </c>
      <c r="C738" s="59" t="str">
        <f>IFERROR(VLOOKUP(A738,Lookup!A:C,3,0),"")</f>
        <v/>
      </c>
      <c r="D738" s="54"/>
      <c r="E738" s="54"/>
      <c r="F738" s="54"/>
      <c r="G738" s="72"/>
      <c r="H738" s="54"/>
      <c r="I738" s="54"/>
      <c r="J738" s="106">
        <f>VLOOKUP(A738&amp;G738,Lookup!J:N,5,0)</f>
        <v>0</v>
      </c>
      <c r="K738" s="115"/>
      <c r="L738" s="115"/>
      <c r="M738" s="115"/>
      <c r="N738" s="115"/>
      <c r="O738" s="90">
        <f>IFERROR(VLOOKUP(A738&amp;G738,Lookup!J:K,2,0),"")</f>
        <v>0</v>
      </c>
      <c r="P738" s="110" t="str">
        <f t="shared" si="55"/>
        <v/>
      </c>
      <c r="Q738" s="115"/>
      <c r="R738" s="87" t="str">
        <f t="shared" si="56"/>
        <v/>
      </c>
      <c r="S738" s="87" t="str">
        <f t="shared" si="57"/>
        <v/>
      </c>
      <c r="T738" s="54"/>
      <c r="U738" s="54"/>
      <c r="V738" s="54"/>
      <c r="W738" s="54"/>
      <c r="X738" s="69" t="str">
        <f t="shared" si="54"/>
        <v>D</v>
      </c>
    </row>
    <row r="739" spans="2:24" x14ac:dyDescent="0.25">
      <c r="B739" s="91" t="str">
        <f>IFERROR(VLOOKUP(A739,Lookup!A:B,2,0),"")</f>
        <v/>
      </c>
      <c r="C739" s="59" t="str">
        <f>IFERROR(VLOOKUP(A739,Lookup!A:C,3,0),"")</f>
        <v/>
      </c>
      <c r="D739" s="54"/>
      <c r="E739" s="54"/>
      <c r="F739" s="54"/>
      <c r="G739" s="72"/>
      <c r="H739" s="54"/>
      <c r="I739" s="54"/>
      <c r="J739" s="106">
        <f>VLOOKUP(A739&amp;G739,Lookup!J:N,5,0)</f>
        <v>0</v>
      </c>
      <c r="K739" s="115"/>
      <c r="L739" s="115"/>
      <c r="M739" s="115"/>
      <c r="N739" s="115"/>
      <c r="O739" s="90">
        <f>IFERROR(VLOOKUP(A739&amp;G739,Lookup!J:K,2,0),"")</f>
        <v>0</v>
      </c>
      <c r="P739" s="110" t="str">
        <f t="shared" si="55"/>
        <v/>
      </c>
      <c r="Q739" s="115"/>
      <c r="R739" s="87" t="str">
        <f t="shared" si="56"/>
        <v/>
      </c>
      <c r="S739" s="87" t="str">
        <f t="shared" si="57"/>
        <v/>
      </c>
      <c r="T739" s="54"/>
      <c r="U739" s="54"/>
      <c r="V739" s="54"/>
      <c r="W739" s="54"/>
      <c r="X739" s="69" t="str">
        <f t="shared" si="54"/>
        <v>D</v>
      </c>
    </row>
    <row r="740" spans="2:24" x14ac:dyDescent="0.25">
      <c r="B740" s="91" t="str">
        <f>IFERROR(VLOOKUP(A740,Lookup!A:B,2,0),"")</f>
        <v/>
      </c>
      <c r="C740" s="59" t="str">
        <f>IFERROR(VLOOKUP(A740,Lookup!A:C,3,0),"")</f>
        <v/>
      </c>
      <c r="D740" s="54"/>
      <c r="E740" s="54"/>
      <c r="F740" s="54"/>
      <c r="G740" s="72"/>
      <c r="H740" s="54"/>
      <c r="I740" s="54"/>
      <c r="J740" s="106">
        <f>VLOOKUP(A740&amp;G740,Lookup!J:N,5,0)</f>
        <v>0</v>
      </c>
      <c r="K740" s="115"/>
      <c r="L740" s="115"/>
      <c r="M740" s="115"/>
      <c r="N740" s="115"/>
      <c r="O740" s="90">
        <f>IFERROR(VLOOKUP(A740&amp;G740,Lookup!J:K,2,0),"")</f>
        <v>0</v>
      </c>
      <c r="P740" s="110" t="str">
        <f t="shared" si="55"/>
        <v/>
      </c>
      <c r="Q740" s="115"/>
      <c r="R740" s="87" t="str">
        <f t="shared" si="56"/>
        <v/>
      </c>
      <c r="S740" s="87" t="str">
        <f t="shared" si="57"/>
        <v/>
      </c>
      <c r="T740" s="54"/>
      <c r="U740" s="54"/>
      <c r="V740" s="54"/>
      <c r="W740" s="54"/>
      <c r="X740" s="69" t="str">
        <f t="shared" si="54"/>
        <v>D</v>
      </c>
    </row>
    <row r="741" spans="2:24" x14ac:dyDescent="0.25">
      <c r="B741" s="91" t="str">
        <f>IFERROR(VLOOKUP(A741,Lookup!A:B,2,0),"")</f>
        <v/>
      </c>
      <c r="C741" s="59" t="str">
        <f>IFERROR(VLOOKUP(A741,Lookup!A:C,3,0),"")</f>
        <v/>
      </c>
      <c r="D741" s="54"/>
      <c r="E741" s="54"/>
      <c r="F741" s="54"/>
      <c r="G741" s="72"/>
      <c r="H741" s="54"/>
      <c r="I741" s="54"/>
      <c r="J741" s="106">
        <f>VLOOKUP(A741&amp;G741,Lookup!J:N,5,0)</f>
        <v>0</v>
      </c>
      <c r="K741" s="115"/>
      <c r="L741" s="115"/>
      <c r="M741" s="115"/>
      <c r="N741" s="115"/>
      <c r="O741" s="90">
        <f>IFERROR(VLOOKUP(A741&amp;G741,Lookup!J:K,2,0),"")</f>
        <v>0</v>
      </c>
      <c r="P741" s="110" t="str">
        <f t="shared" si="55"/>
        <v/>
      </c>
      <c r="Q741" s="115"/>
      <c r="R741" s="87" t="str">
        <f t="shared" si="56"/>
        <v/>
      </c>
      <c r="S741" s="87" t="str">
        <f t="shared" si="57"/>
        <v/>
      </c>
      <c r="T741" s="54"/>
      <c r="U741" s="54"/>
      <c r="V741" s="54"/>
      <c r="W741" s="54"/>
      <c r="X741" s="69" t="str">
        <f t="shared" si="54"/>
        <v>D</v>
      </c>
    </row>
    <row r="742" spans="2:24" x14ac:dyDescent="0.25">
      <c r="B742" s="91" t="str">
        <f>IFERROR(VLOOKUP(A742,Lookup!A:B,2,0),"")</f>
        <v/>
      </c>
      <c r="C742" s="59" t="str">
        <f>IFERROR(VLOOKUP(A742,Lookup!A:C,3,0),"")</f>
        <v/>
      </c>
      <c r="D742" s="54"/>
      <c r="E742" s="54"/>
      <c r="F742" s="54"/>
      <c r="G742" s="72"/>
      <c r="H742" s="54"/>
      <c r="I742" s="54"/>
      <c r="J742" s="106">
        <f>VLOOKUP(A742&amp;G742,Lookup!J:N,5,0)</f>
        <v>0</v>
      </c>
      <c r="K742" s="115"/>
      <c r="L742" s="115"/>
      <c r="M742" s="115"/>
      <c r="N742" s="115"/>
      <c r="O742" s="90">
        <f>IFERROR(VLOOKUP(A742&amp;G742,Lookup!J:K,2,0),"")</f>
        <v>0</v>
      </c>
      <c r="P742" s="110" t="str">
        <f t="shared" si="55"/>
        <v/>
      </c>
      <c r="Q742" s="115"/>
      <c r="R742" s="87" t="str">
        <f t="shared" si="56"/>
        <v/>
      </c>
      <c r="S742" s="87" t="str">
        <f t="shared" si="57"/>
        <v/>
      </c>
      <c r="T742" s="54"/>
      <c r="U742" s="54"/>
      <c r="V742" s="54"/>
      <c r="W742" s="54"/>
      <c r="X742" s="69" t="str">
        <f t="shared" si="54"/>
        <v>D</v>
      </c>
    </row>
    <row r="743" spans="2:24" x14ac:dyDescent="0.25">
      <c r="B743" s="91" t="str">
        <f>IFERROR(VLOOKUP(A743,Lookup!A:B,2,0),"")</f>
        <v/>
      </c>
      <c r="C743" s="59" t="str">
        <f>IFERROR(VLOOKUP(A743,Lookup!A:C,3,0),"")</f>
        <v/>
      </c>
      <c r="D743" s="54"/>
      <c r="E743" s="54"/>
      <c r="F743" s="54"/>
      <c r="G743" s="72"/>
      <c r="H743" s="54"/>
      <c r="I743" s="54"/>
      <c r="J743" s="106">
        <f>VLOOKUP(A743&amp;G743,Lookup!J:N,5,0)</f>
        <v>0</v>
      </c>
      <c r="K743" s="115"/>
      <c r="L743" s="115"/>
      <c r="M743" s="115"/>
      <c r="N743" s="115"/>
      <c r="O743" s="90">
        <f>IFERROR(VLOOKUP(A743&amp;G743,Lookup!J:K,2,0),"")</f>
        <v>0</v>
      </c>
      <c r="P743" s="110" t="str">
        <f t="shared" si="55"/>
        <v/>
      </c>
      <c r="Q743" s="115"/>
      <c r="R743" s="87" t="str">
        <f t="shared" si="56"/>
        <v/>
      </c>
      <c r="S743" s="87" t="str">
        <f t="shared" si="57"/>
        <v/>
      </c>
      <c r="T743" s="54"/>
      <c r="U743" s="54"/>
      <c r="V743" s="54"/>
      <c r="W743" s="54"/>
      <c r="X743" s="69" t="str">
        <f t="shared" si="54"/>
        <v>D</v>
      </c>
    </row>
    <row r="744" spans="2:24" x14ac:dyDescent="0.25">
      <c r="B744" s="91" t="str">
        <f>IFERROR(VLOOKUP(A744,Lookup!A:B,2,0),"")</f>
        <v/>
      </c>
      <c r="C744" s="59" t="str">
        <f>IFERROR(VLOOKUP(A744,Lookup!A:C,3,0),"")</f>
        <v/>
      </c>
      <c r="D744" s="54"/>
      <c r="E744" s="54"/>
      <c r="F744" s="54"/>
      <c r="G744" s="72"/>
      <c r="H744" s="54"/>
      <c r="I744" s="54"/>
      <c r="J744" s="106">
        <f>VLOOKUP(A744&amp;G744,Lookup!J:N,5,0)</f>
        <v>0</v>
      </c>
      <c r="K744" s="115"/>
      <c r="L744" s="115"/>
      <c r="M744" s="115"/>
      <c r="N744" s="115"/>
      <c r="O744" s="90">
        <f>IFERROR(VLOOKUP(A744&amp;G744,Lookup!J:K,2,0),"")</f>
        <v>0</v>
      </c>
      <c r="P744" s="110" t="str">
        <f t="shared" si="55"/>
        <v/>
      </c>
      <c r="Q744" s="115"/>
      <c r="R744" s="87" t="str">
        <f t="shared" si="56"/>
        <v/>
      </c>
      <c r="S744" s="87" t="str">
        <f t="shared" si="57"/>
        <v/>
      </c>
      <c r="T744" s="54"/>
      <c r="U744" s="54"/>
      <c r="V744" s="54"/>
      <c r="W744" s="54"/>
      <c r="X744" s="69" t="str">
        <f t="shared" si="54"/>
        <v>D</v>
      </c>
    </row>
    <row r="745" spans="2:24" x14ac:dyDescent="0.25">
      <c r="B745" s="91" t="str">
        <f>IFERROR(VLOOKUP(A745,Lookup!A:B,2,0),"")</f>
        <v/>
      </c>
      <c r="C745" s="59" t="str">
        <f>IFERROR(VLOOKUP(A745,Lookup!A:C,3,0),"")</f>
        <v/>
      </c>
      <c r="D745" s="54"/>
      <c r="E745" s="54"/>
      <c r="F745" s="54"/>
      <c r="G745" s="72"/>
      <c r="H745" s="54"/>
      <c r="I745" s="54"/>
      <c r="J745" s="106">
        <f>VLOOKUP(A745&amp;G745,Lookup!J:N,5,0)</f>
        <v>0</v>
      </c>
      <c r="K745" s="115"/>
      <c r="L745" s="115"/>
      <c r="M745" s="115"/>
      <c r="N745" s="115"/>
      <c r="O745" s="90">
        <f>IFERROR(VLOOKUP(A745&amp;G745,Lookup!J:K,2,0),"")</f>
        <v>0</v>
      </c>
      <c r="P745" s="110" t="str">
        <f t="shared" si="55"/>
        <v/>
      </c>
      <c r="Q745" s="115"/>
      <c r="R745" s="87" t="str">
        <f t="shared" si="56"/>
        <v/>
      </c>
      <c r="S745" s="87" t="str">
        <f t="shared" si="57"/>
        <v/>
      </c>
      <c r="T745" s="54"/>
      <c r="U745" s="54"/>
      <c r="V745" s="54"/>
      <c r="W745" s="54"/>
      <c r="X745" s="69" t="str">
        <f t="shared" si="54"/>
        <v>D</v>
      </c>
    </row>
    <row r="746" spans="2:24" x14ac:dyDescent="0.25">
      <c r="B746" s="91" t="str">
        <f>IFERROR(VLOOKUP(A746,Lookup!A:B,2,0),"")</f>
        <v/>
      </c>
      <c r="C746" s="59" t="str">
        <f>IFERROR(VLOOKUP(A746,Lookup!A:C,3,0),"")</f>
        <v/>
      </c>
      <c r="D746" s="54"/>
      <c r="E746" s="54"/>
      <c r="F746" s="54"/>
      <c r="G746" s="72"/>
      <c r="H746" s="54"/>
      <c r="I746" s="54"/>
      <c r="J746" s="106">
        <f>VLOOKUP(A746&amp;G746,Lookup!J:N,5,0)</f>
        <v>0</v>
      </c>
      <c r="K746" s="115"/>
      <c r="L746" s="115"/>
      <c r="M746" s="115"/>
      <c r="N746" s="115"/>
      <c r="O746" s="90">
        <f>IFERROR(VLOOKUP(A746&amp;G746,Lookup!J:K,2,0),"")</f>
        <v>0</v>
      </c>
      <c r="P746" s="110" t="str">
        <f t="shared" si="55"/>
        <v/>
      </c>
      <c r="Q746" s="115"/>
      <c r="R746" s="87" t="str">
        <f t="shared" si="56"/>
        <v/>
      </c>
      <c r="S746" s="87" t="str">
        <f t="shared" si="57"/>
        <v/>
      </c>
      <c r="T746" s="54"/>
      <c r="U746" s="54"/>
      <c r="V746" s="54"/>
      <c r="W746" s="54"/>
      <c r="X746" s="69" t="str">
        <f t="shared" si="54"/>
        <v>D</v>
      </c>
    </row>
    <row r="747" spans="2:24" x14ac:dyDescent="0.25">
      <c r="B747" s="91" t="str">
        <f>IFERROR(VLOOKUP(A747,Lookup!A:B,2,0),"")</f>
        <v/>
      </c>
      <c r="C747" s="59" t="str">
        <f>IFERROR(VLOOKUP(A747,Lookup!A:C,3,0),"")</f>
        <v/>
      </c>
      <c r="D747" s="54"/>
      <c r="E747" s="54"/>
      <c r="F747" s="54"/>
      <c r="G747" s="72"/>
      <c r="H747" s="54"/>
      <c r="I747" s="54"/>
      <c r="J747" s="106">
        <f>VLOOKUP(A747&amp;G747,Lookup!J:N,5,0)</f>
        <v>0</v>
      </c>
      <c r="K747" s="115"/>
      <c r="L747" s="115"/>
      <c r="M747" s="115"/>
      <c r="N747" s="115"/>
      <c r="O747" s="90">
        <f>IFERROR(VLOOKUP(A747&amp;G747,Lookup!J:K,2,0),"")</f>
        <v>0</v>
      </c>
      <c r="P747" s="110" t="str">
        <f t="shared" si="55"/>
        <v/>
      </c>
      <c r="Q747" s="115"/>
      <c r="R747" s="87" t="str">
        <f t="shared" si="56"/>
        <v/>
      </c>
      <c r="S747" s="87" t="str">
        <f t="shared" si="57"/>
        <v/>
      </c>
      <c r="T747" s="54"/>
      <c r="U747" s="54"/>
      <c r="V747" s="54"/>
      <c r="W747" s="54"/>
      <c r="X747" s="69" t="str">
        <f t="shared" si="54"/>
        <v>D</v>
      </c>
    </row>
    <row r="748" spans="2:24" x14ac:dyDescent="0.25">
      <c r="B748" s="91" t="str">
        <f>IFERROR(VLOOKUP(A748,Lookup!A:B,2,0),"")</f>
        <v/>
      </c>
      <c r="C748" s="59" t="str">
        <f>IFERROR(VLOOKUP(A748,Lookup!A:C,3,0),"")</f>
        <v/>
      </c>
      <c r="D748" s="54"/>
      <c r="E748" s="54"/>
      <c r="F748" s="54"/>
      <c r="G748" s="72"/>
      <c r="H748" s="54"/>
      <c r="I748" s="54"/>
      <c r="J748" s="106">
        <f>VLOOKUP(A748&amp;G748,Lookup!J:N,5,0)</f>
        <v>0</v>
      </c>
      <c r="K748" s="115"/>
      <c r="L748" s="115"/>
      <c r="M748" s="115"/>
      <c r="N748" s="115"/>
      <c r="O748" s="90">
        <f>IFERROR(VLOOKUP(A748&amp;G748,Lookup!J:K,2,0),"")</f>
        <v>0</v>
      </c>
      <c r="P748" s="110" t="str">
        <f t="shared" si="55"/>
        <v/>
      </c>
      <c r="Q748" s="115"/>
      <c r="R748" s="87" t="str">
        <f t="shared" si="56"/>
        <v/>
      </c>
      <c r="S748" s="87" t="str">
        <f t="shared" si="57"/>
        <v/>
      </c>
      <c r="T748" s="54"/>
      <c r="U748" s="54"/>
      <c r="V748" s="54"/>
      <c r="W748" s="54"/>
      <c r="X748" s="69" t="str">
        <f t="shared" si="54"/>
        <v>D</v>
      </c>
    </row>
    <row r="749" spans="2:24" x14ac:dyDescent="0.25">
      <c r="B749" s="91" t="str">
        <f>IFERROR(VLOOKUP(A749,Lookup!A:B,2,0),"")</f>
        <v/>
      </c>
      <c r="C749" s="59" t="str">
        <f>IFERROR(VLOOKUP(A749,Lookup!A:C,3,0),"")</f>
        <v/>
      </c>
      <c r="D749" s="54"/>
      <c r="E749" s="54"/>
      <c r="F749" s="54"/>
      <c r="G749" s="72"/>
      <c r="H749" s="54"/>
      <c r="I749" s="54"/>
      <c r="J749" s="106">
        <f>VLOOKUP(A749&amp;G749,Lookup!J:N,5,0)</f>
        <v>0</v>
      </c>
      <c r="K749" s="115"/>
      <c r="L749" s="115"/>
      <c r="M749" s="115"/>
      <c r="N749" s="115"/>
      <c r="O749" s="90">
        <f>IFERROR(VLOOKUP(A749&amp;G749,Lookup!J:K,2,0),"")</f>
        <v>0</v>
      </c>
      <c r="P749" s="110" t="str">
        <f t="shared" si="55"/>
        <v/>
      </c>
      <c r="Q749" s="115"/>
      <c r="R749" s="87" t="str">
        <f t="shared" si="56"/>
        <v/>
      </c>
      <c r="S749" s="87" t="str">
        <f t="shared" si="57"/>
        <v/>
      </c>
      <c r="T749" s="54"/>
      <c r="U749" s="54"/>
      <c r="V749" s="54"/>
      <c r="W749" s="54"/>
      <c r="X749" s="69" t="str">
        <f t="shared" si="54"/>
        <v>D</v>
      </c>
    </row>
    <row r="750" spans="2:24" x14ac:dyDescent="0.25">
      <c r="B750" s="91" t="str">
        <f>IFERROR(VLOOKUP(A750,Lookup!A:B,2,0),"")</f>
        <v/>
      </c>
      <c r="C750" s="59" t="str">
        <f>IFERROR(VLOOKUP(A750,Lookup!A:C,3,0),"")</f>
        <v/>
      </c>
      <c r="D750" s="54"/>
      <c r="E750" s="54"/>
      <c r="F750" s="54"/>
      <c r="G750" s="72"/>
      <c r="H750" s="54"/>
      <c r="I750" s="54"/>
      <c r="J750" s="106">
        <f>VLOOKUP(A750&amp;G750,Lookup!J:N,5,0)</f>
        <v>0</v>
      </c>
      <c r="K750" s="115"/>
      <c r="L750" s="115"/>
      <c r="M750" s="115"/>
      <c r="N750" s="115"/>
      <c r="O750" s="90">
        <f>IFERROR(VLOOKUP(A750&amp;G750,Lookup!J:K,2,0),"")</f>
        <v>0</v>
      </c>
      <c r="P750" s="110" t="str">
        <f t="shared" si="55"/>
        <v/>
      </c>
      <c r="Q750" s="115"/>
      <c r="R750" s="87" t="str">
        <f t="shared" si="56"/>
        <v/>
      </c>
      <c r="S750" s="87" t="str">
        <f t="shared" si="57"/>
        <v/>
      </c>
      <c r="T750" s="54"/>
      <c r="U750" s="54"/>
      <c r="V750" s="54"/>
      <c r="W750" s="54"/>
      <c r="X750" s="69" t="str">
        <f t="shared" si="54"/>
        <v>D</v>
      </c>
    </row>
    <row r="751" spans="2:24" x14ac:dyDescent="0.25">
      <c r="B751" s="91" t="str">
        <f>IFERROR(VLOOKUP(A751,Lookup!A:B,2,0),"")</f>
        <v/>
      </c>
      <c r="C751" s="59" t="str">
        <f>IFERROR(VLOOKUP(A751,Lookup!A:C,3,0),"")</f>
        <v/>
      </c>
      <c r="D751" s="54"/>
      <c r="E751" s="54"/>
      <c r="F751" s="54"/>
      <c r="G751" s="72"/>
      <c r="H751" s="54"/>
      <c r="I751" s="54"/>
      <c r="J751" s="106">
        <f>VLOOKUP(A751&amp;G751,Lookup!J:N,5,0)</f>
        <v>0</v>
      </c>
      <c r="K751" s="115"/>
      <c r="L751" s="115"/>
      <c r="M751" s="115"/>
      <c r="N751" s="115"/>
      <c r="O751" s="90">
        <f>IFERROR(VLOOKUP(A751&amp;G751,Lookup!J:K,2,0),"")</f>
        <v>0</v>
      </c>
      <c r="P751" s="110" t="str">
        <f t="shared" si="55"/>
        <v/>
      </c>
      <c r="Q751" s="115"/>
      <c r="R751" s="87" t="str">
        <f t="shared" si="56"/>
        <v/>
      </c>
      <c r="S751" s="87" t="str">
        <f t="shared" si="57"/>
        <v/>
      </c>
      <c r="T751" s="54"/>
      <c r="U751" s="54"/>
      <c r="V751" s="54"/>
      <c r="W751" s="54"/>
      <c r="X751" s="69" t="str">
        <f t="shared" si="54"/>
        <v>D</v>
      </c>
    </row>
    <row r="752" spans="2:24" x14ac:dyDescent="0.25">
      <c r="B752" s="91" t="str">
        <f>IFERROR(VLOOKUP(A752,Lookup!A:B,2,0),"")</f>
        <v/>
      </c>
      <c r="C752" s="59" t="str">
        <f>IFERROR(VLOOKUP(A752,Lookup!A:C,3,0),"")</f>
        <v/>
      </c>
      <c r="D752" s="54"/>
      <c r="E752" s="54"/>
      <c r="F752" s="54"/>
      <c r="G752" s="72"/>
      <c r="H752" s="54"/>
      <c r="I752" s="54"/>
      <c r="J752" s="106">
        <f>VLOOKUP(A752&amp;G752,Lookup!J:N,5,0)</f>
        <v>0</v>
      </c>
      <c r="K752" s="115"/>
      <c r="L752" s="115"/>
      <c r="M752" s="115"/>
      <c r="N752" s="115"/>
      <c r="O752" s="90">
        <f>IFERROR(VLOOKUP(A752&amp;G752,Lookup!J:K,2,0),"")</f>
        <v>0</v>
      </c>
      <c r="P752" s="110" t="str">
        <f t="shared" si="55"/>
        <v/>
      </c>
      <c r="Q752" s="115"/>
      <c r="R752" s="87" t="str">
        <f t="shared" si="56"/>
        <v/>
      </c>
      <c r="S752" s="87" t="str">
        <f t="shared" si="57"/>
        <v/>
      </c>
      <c r="T752" s="54"/>
      <c r="U752" s="54"/>
      <c r="V752" s="54"/>
      <c r="W752" s="54"/>
      <c r="X752" s="69" t="str">
        <f t="shared" si="54"/>
        <v>D</v>
      </c>
    </row>
    <row r="753" spans="2:24" x14ac:dyDescent="0.25">
      <c r="B753" s="91" t="str">
        <f>IFERROR(VLOOKUP(A753,Lookup!A:B,2,0),"")</f>
        <v/>
      </c>
      <c r="C753" s="59" t="str">
        <f>IFERROR(VLOOKUP(A753,Lookup!A:C,3,0),"")</f>
        <v/>
      </c>
      <c r="D753" s="54"/>
      <c r="E753" s="54"/>
      <c r="F753" s="54"/>
      <c r="G753" s="72"/>
      <c r="H753" s="54"/>
      <c r="I753" s="54"/>
      <c r="J753" s="106">
        <f>VLOOKUP(A753&amp;G753,Lookup!J:N,5,0)</f>
        <v>0</v>
      </c>
      <c r="K753" s="115"/>
      <c r="L753" s="115"/>
      <c r="M753" s="115"/>
      <c r="N753" s="115"/>
      <c r="O753" s="90">
        <f>IFERROR(VLOOKUP(A753&amp;G753,Lookup!J:K,2,0),"")</f>
        <v>0</v>
      </c>
      <c r="P753" s="110" t="str">
        <f t="shared" si="55"/>
        <v/>
      </c>
      <c r="Q753" s="115"/>
      <c r="R753" s="87" t="str">
        <f t="shared" si="56"/>
        <v/>
      </c>
      <c r="S753" s="87" t="str">
        <f t="shared" si="57"/>
        <v/>
      </c>
      <c r="T753" s="54"/>
      <c r="U753" s="54"/>
      <c r="V753" s="54"/>
      <c r="W753" s="54"/>
      <c r="X753" s="69" t="str">
        <f t="shared" si="54"/>
        <v>D</v>
      </c>
    </row>
    <row r="754" spans="2:24" x14ac:dyDescent="0.25">
      <c r="B754" s="91" t="str">
        <f>IFERROR(VLOOKUP(A754,Lookup!A:B,2,0),"")</f>
        <v/>
      </c>
      <c r="C754" s="59" t="str">
        <f>IFERROR(VLOOKUP(A754,Lookup!A:C,3,0),"")</f>
        <v/>
      </c>
      <c r="D754" s="54"/>
      <c r="E754" s="54"/>
      <c r="F754" s="54"/>
      <c r="G754" s="72"/>
      <c r="H754" s="54"/>
      <c r="I754" s="54"/>
      <c r="J754" s="106">
        <f>VLOOKUP(A754&amp;G754,Lookup!J:N,5,0)</f>
        <v>0</v>
      </c>
      <c r="K754" s="115"/>
      <c r="L754" s="115"/>
      <c r="M754" s="115"/>
      <c r="N754" s="115"/>
      <c r="O754" s="90">
        <f>IFERROR(VLOOKUP(A754&amp;G754,Lookup!J:K,2,0),"")</f>
        <v>0</v>
      </c>
      <c r="P754" s="110" t="str">
        <f t="shared" si="55"/>
        <v/>
      </c>
      <c r="Q754" s="115"/>
      <c r="R754" s="87" t="str">
        <f t="shared" si="56"/>
        <v/>
      </c>
      <c r="S754" s="87" t="str">
        <f t="shared" si="57"/>
        <v/>
      </c>
      <c r="T754" s="54"/>
      <c r="U754" s="54"/>
      <c r="V754" s="54"/>
      <c r="W754" s="54"/>
      <c r="X754" s="69" t="str">
        <f t="shared" si="54"/>
        <v>D</v>
      </c>
    </row>
    <row r="755" spans="2:24" x14ac:dyDescent="0.25">
      <c r="B755" s="91" t="str">
        <f>IFERROR(VLOOKUP(A755,Lookup!A:B,2,0),"")</f>
        <v/>
      </c>
      <c r="C755" s="59" t="str">
        <f>IFERROR(VLOOKUP(A755,Lookup!A:C,3,0),"")</f>
        <v/>
      </c>
      <c r="D755" s="54"/>
      <c r="E755" s="54"/>
      <c r="F755" s="54"/>
      <c r="G755" s="72"/>
      <c r="H755" s="54"/>
      <c r="I755" s="54"/>
      <c r="J755" s="106">
        <f>VLOOKUP(A755&amp;G755,Lookup!J:N,5,0)</f>
        <v>0</v>
      </c>
      <c r="K755" s="115"/>
      <c r="L755" s="115"/>
      <c r="M755" s="115"/>
      <c r="N755" s="115"/>
      <c r="O755" s="90">
        <f>IFERROR(VLOOKUP(A755&amp;G755,Lookup!J:K,2,0),"")</f>
        <v>0</v>
      </c>
      <c r="P755" s="110" t="str">
        <f t="shared" si="55"/>
        <v/>
      </c>
      <c r="Q755" s="115"/>
      <c r="R755" s="87" t="str">
        <f t="shared" si="56"/>
        <v/>
      </c>
      <c r="S755" s="87" t="str">
        <f t="shared" si="57"/>
        <v/>
      </c>
      <c r="T755" s="54"/>
      <c r="U755" s="54"/>
      <c r="V755" s="54"/>
      <c r="W755" s="54"/>
      <c r="X755" s="69" t="str">
        <f t="shared" si="54"/>
        <v>D</v>
      </c>
    </row>
    <row r="756" spans="2:24" x14ac:dyDescent="0.25">
      <c r="B756" s="91" t="str">
        <f>IFERROR(VLOOKUP(A756,Lookup!A:B,2,0),"")</f>
        <v/>
      </c>
      <c r="C756" s="59" t="str">
        <f>IFERROR(VLOOKUP(A756,Lookup!A:C,3,0),"")</f>
        <v/>
      </c>
      <c r="D756" s="54"/>
      <c r="E756" s="54"/>
      <c r="F756" s="54"/>
      <c r="G756" s="72"/>
      <c r="H756" s="54"/>
      <c r="I756" s="54"/>
      <c r="J756" s="106">
        <f>VLOOKUP(A756&amp;G756,Lookup!J:N,5,0)</f>
        <v>0</v>
      </c>
      <c r="K756" s="115"/>
      <c r="L756" s="115"/>
      <c r="M756" s="115"/>
      <c r="N756" s="115"/>
      <c r="O756" s="90">
        <f>IFERROR(VLOOKUP(A756&amp;G756,Lookup!J:K,2,0),"")</f>
        <v>0</v>
      </c>
      <c r="P756" s="110" t="str">
        <f t="shared" si="55"/>
        <v/>
      </c>
      <c r="Q756" s="115"/>
      <c r="R756" s="87" t="str">
        <f t="shared" si="56"/>
        <v/>
      </c>
      <c r="S756" s="87" t="str">
        <f t="shared" si="57"/>
        <v/>
      </c>
      <c r="T756" s="54"/>
      <c r="U756" s="54"/>
      <c r="V756" s="54"/>
      <c r="W756" s="54"/>
      <c r="X756" s="69" t="str">
        <f t="shared" si="54"/>
        <v>D</v>
      </c>
    </row>
    <row r="757" spans="2:24" x14ac:dyDescent="0.25">
      <c r="B757" s="91" t="str">
        <f>IFERROR(VLOOKUP(A757,Lookup!A:B,2,0),"")</f>
        <v/>
      </c>
      <c r="C757" s="59" t="str">
        <f>IFERROR(VLOOKUP(A757,Lookup!A:C,3,0),"")</f>
        <v/>
      </c>
      <c r="D757" s="54"/>
      <c r="E757" s="54"/>
      <c r="F757" s="54"/>
      <c r="G757" s="72"/>
      <c r="H757" s="54"/>
      <c r="I757" s="54"/>
      <c r="J757" s="106">
        <f>VLOOKUP(A757&amp;G757,Lookup!J:N,5,0)</f>
        <v>0</v>
      </c>
      <c r="K757" s="115"/>
      <c r="L757" s="115"/>
      <c r="M757" s="115"/>
      <c r="N757" s="115"/>
      <c r="O757" s="90">
        <f>IFERROR(VLOOKUP(A757&amp;G757,Lookup!J:K,2,0),"")</f>
        <v>0</v>
      </c>
      <c r="P757" s="110" t="str">
        <f t="shared" si="55"/>
        <v/>
      </c>
      <c r="Q757" s="115"/>
      <c r="R757" s="87" t="str">
        <f t="shared" si="56"/>
        <v/>
      </c>
      <c r="S757" s="87" t="str">
        <f t="shared" si="57"/>
        <v/>
      </c>
      <c r="T757" s="54"/>
      <c r="U757" s="54"/>
      <c r="V757" s="54"/>
      <c r="W757" s="54"/>
      <c r="X757" s="69" t="str">
        <f t="shared" si="54"/>
        <v>D</v>
      </c>
    </row>
    <row r="758" spans="2:24" x14ac:dyDescent="0.25">
      <c r="B758" s="91" t="str">
        <f>IFERROR(VLOOKUP(A758,Lookup!A:B,2,0),"")</f>
        <v/>
      </c>
      <c r="C758" s="59" t="str">
        <f>IFERROR(VLOOKUP(A758,Lookup!A:C,3,0),"")</f>
        <v/>
      </c>
      <c r="D758" s="54"/>
      <c r="E758" s="54"/>
      <c r="F758" s="54"/>
      <c r="G758" s="72"/>
      <c r="H758" s="54"/>
      <c r="I758" s="54"/>
      <c r="J758" s="106">
        <f>VLOOKUP(A758&amp;G758,Lookup!J:N,5,0)</f>
        <v>0</v>
      </c>
      <c r="K758" s="115"/>
      <c r="L758" s="115"/>
      <c r="M758" s="115"/>
      <c r="N758" s="115"/>
      <c r="O758" s="90">
        <f>IFERROR(VLOOKUP(A758&amp;G758,Lookup!J:K,2,0),"")</f>
        <v>0</v>
      </c>
      <c r="P758" s="110" t="str">
        <f t="shared" si="55"/>
        <v/>
      </c>
      <c r="Q758" s="115"/>
      <c r="R758" s="87" t="str">
        <f t="shared" si="56"/>
        <v/>
      </c>
      <c r="S758" s="87" t="str">
        <f t="shared" si="57"/>
        <v/>
      </c>
      <c r="T758" s="54"/>
      <c r="U758" s="54"/>
      <c r="V758" s="54"/>
      <c r="W758" s="54"/>
      <c r="X758" s="69" t="str">
        <f t="shared" si="54"/>
        <v>D</v>
      </c>
    </row>
    <row r="759" spans="2:24" x14ac:dyDescent="0.25">
      <c r="B759" s="91" t="str">
        <f>IFERROR(VLOOKUP(A759,Lookup!A:B,2,0),"")</f>
        <v/>
      </c>
      <c r="C759" s="59" t="str">
        <f>IFERROR(VLOOKUP(A759,Lookup!A:C,3,0),"")</f>
        <v/>
      </c>
      <c r="D759" s="54"/>
      <c r="E759" s="54"/>
      <c r="F759" s="54"/>
      <c r="G759" s="72"/>
      <c r="H759" s="54"/>
      <c r="I759" s="54"/>
      <c r="J759" s="106">
        <f>VLOOKUP(A759&amp;G759,Lookup!J:N,5,0)</f>
        <v>0</v>
      </c>
      <c r="K759" s="115"/>
      <c r="L759" s="115"/>
      <c r="M759" s="115"/>
      <c r="N759" s="115"/>
      <c r="O759" s="90">
        <f>IFERROR(VLOOKUP(A759&amp;G759,Lookup!J:K,2,0),"")</f>
        <v>0</v>
      </c>
      <c r="P759" s="110" t="str">
        <f t="shared" si="55"/>
        <v/>
      </c>
      <c r="Q759" s="115"/>
      <c r="R759" s="87" t="str">
        <f t="shared" si="56"/>
        <v/>
      </c>
      <c r="S759" s="87" t="str">
        <f t="shared" si="57"/>
        <v/>
      </c>
      <c r="T759" s="54"/>
      <c r="U759" s="54"/>
      <c r="V759" s="54"/>
      <c r="W759" s="54"/>
      <c r="X759" s="69" t="str">
        <f t="shared" si="54"/>
        <v>D</v>
      </c>
    </row>
    <row r="760" spans="2:24" x14ac:dyDescent="0.25">
      <c r="B760" s="91" t="str">
        <f>IFERROR(VLOOKUP(A760,Lookup!A:B,2,0),"")</f>
        <v/>
      </c>
      <c r="C760" s="59" t="str">
        <f>IFERROR(VLOOKUP(A760,Lookup!A:C,3,0),"")</f>
        <v/>
      </c>
      <c r="D760" s="54"/>
      <c r="E760" s="54"/>
      <c r="F760" s="54"/>
      <c r="G760" s="72"/>
      <c r="H760" s="54"/>
      <c r="I760" s="54"/>
      <c r="J760" s="106">
        <f>VLOOKUP(A760&amp;G760,Lookup!J:N,5,0)</f>
        <v>0</v>
      </c>
      <c r="K760" s="115"/>
      <c r="L760" s="115"/>
      <c r="M760" s="115"/>
      <c r="N760" s="115"/>
      <c r="O760" s="90">
        <f>IFERROR(VLOOKUP(A760&amp;G760,Lookup!J:K,2,0),"")</f>
        <v>0</v>
      </c>
      <c r="P760" s="110" t="str">
        <f t="shared" si="55"/>
        <v/>
      </c>
      <c r="Q760" s="115"/>
      <c r="R760" s="87" t="str">
        <f t="shared" si="56"/>
        <v/>
      </c>
      <c r="S760" s="87" t="str">
        <f t="shared" si="57"/>
        <v/>
      </c>
      <c r="T760" s="54"/>
      <c r="U760" s="54"/>
      <c r="V760" s="54"/>
      <c r="W760" s="54"/>
      <c r="X760" s="69" t="str">
        <f t="shared" si="54"/>
        <v>D</v>
      </c>
    </row>
    <row r="761" spans="2:24" x14ac:dyDescent="0.25">
      <c r="B761" s="91" t="str">
        <f>IFERROR(VLOOKUP(A761,Lookup!A:B,2,0),"")</f>
        <v/>
      </c>
      <c r="C761" s="59" t="str">
        <f>IFERROR(VLOOKUP(A761,Lookup!A:C,3,0),"")</f>
        <v/>
      </c>
      <c r="D761" s="54"/>
      <c r="E761" s="54"/>
      <c r="F761" s="54"/>
      <c r="G761" s="72"/>
      <c r="H761" s="54"/>
      <c r="I761" s="54"/>
      <c r="J761" s="106">
        <f>VLOOKUP(A761&amp;G761,Lookup!J:N,5,0)</f>
        <v>0</v>
      </c>
      <c r="K761" s="115"/>
      <c r="L761" s="115"/>
      <c r="M761" s="115"/>
      <c r="N761" s="115"/>
      <c r="O761" s="90">
        <f>IFERROR(VLOOKUP(A761&amp;G761,Lookup!J:K,2,0),"")</f>
        <v>0</v>
      </c>
      <c r="P761" s="110" t="str">
        <f t="shared" si="55"/>
        <v/>
      </c>
      <c r="Q761" s="115"/>
      <c r="R761" s="87" t="str">
        <f t="shared" si="56"/>
        <v/>
      </c>
      <c r="S761" s="87" t="str">
        <f t="shared" si="57"/>
        <v/>
      </c>
      <c r="T761" s="54"/>
      <c r="U761" s="54"/>
      <c r="V761" s="54"/>
      <c r="W761" s="54"/>
      <c r="X761" s="69" t="str">
        <f t="shared" si="54"/>
        <v>D</v>
      </c>
    </row>
    <row r="762" spans="2:24" x14ac:dyDescent="0.25">
      <c r="B762" s="91" t="str">
        <f>IFERROR(VLOOKUP(A762,Lookup!A:B,2,0),"")</f>
        <v/>
      </c>
      <c r="C762" s="59" t="str">
        <f>IFERROR(VLOOKUP(A762,Lookup!A:C,3,0),"")</f>
        <v/>
      </c>
      <c r="D762" s="54"/>
      <c r="E762" s="54"/>
      <c r="F762" s="54"/>
      <c r="G762" s="72"/>
      <c r="H762" s="54"/>
      <c r="I762" s="54"/>
      <c r="J762" s="106">
        <f>VLOOKUP(A762&amp;G762,Lookup!J:N,5,0)</f>
        <v>0</v>
      </c>
      <c r="K762" s="115"/>
      <c r="L762" s="115"/>
      <c r="M762" s="115"/>
      <c r="N762" s="115"/>
      <c r="O762" s="90">
        <f>IFERROR(VLOOKUP(A762&amp;G762,Lookup!J:K,2,0),"")</f>
        <v>0</v>
      </c>
      <c r="P762" s="110" t="str">
        <f t="shared" si="55"/>
        <v/>
      </c>
      <c r="Q762" s="115"/>
      <c r="R762" s="87" t="str">
        <f t="shared" si="56"/>
        <v/>
      </c>
      <c r="S762" s="87" t="str">
        <f t="shared" si="57"/>
        <v/>
      </c>
      <c r="T762" s="54"/>
      <c r="U762" s="54"/>
      <c r="V762" s="54"/>
      <c r="W762" s="54"/>
      <c r="X762" s="69" t="str">
        <f t="shared" si="54"/>
        <v>D</v>
      </c>
    </row>
    <row r="763" spans="2:24" x14ac:dyDescent="0.25">
      <c r="B763" s="91" t="str">
        <f>IFERROR(VLOOKUP(A763,Lookup!A:B,2,0),"")</f>
        <v/>
      </c>
      <c r="C763" s="59" t="str">
        <f>IFERROR(VLOOKUP(A763,Lookup!A:C,3,0),"")</f>
        <v/>
      </c>
      <c r="D763" s="54"/>
      <c r="E763" s="54"/>
      <c r="F763" s="54"/>
      <c r="G763" s="72"/>
      <c r="H763" s="54"/>
      <c r="I763" s="54"/>
      <c r="J763" s="106">
        <f>VLOOKUP(A763&amp;G763,Lookup!J:N,5,0)</f>
        <v>0</v>
      </c>
      <c r="K763" s="115"/>
      <c r="L763" s="115"/>
      <c r="M763" s="115"/>
      <c r="N763" s="115"/>
      <c r="O763" s="90">
        <f>IFERROR(VLOOKUP(A763&amp;G763,Lookup!J:K,2,0),"")</f>
        <v>0</v>
      </c>
      <c r="P763" s="110" t="str">
        <f t="shared" si="55"/>
        <v/>
      </c>
      <c r="Q763" s="115"/>
      <c r="R763" s="87" t="str">
        <f t="shared" si="56"/>
        <v/>
      </c>
      <c r="S763" s="87" t="str">
        <f t="shared" si="57"/>
        <v/>
      </c>
      <c r="T763" s="54"/>
      <c r="U763" s="54"/>
      <c r="V763" s="54"/>
      <c r="W763" s="54"/>
      <c r="X763" s="69" t="str">
        <f t="shared" si="54"/>
        <v>D</v>
      </c>
    </row>
    <row r="764" spans="2:24" x14ac:dyDescent="0.25">
      <c r="B764" s="91" t="str">
        <f>IFERROR(VLOOKUP(A764,Lookup!A:B,2,0),"")</f>
        <v/>
      </c>
      <c r="C764" s="59" t="str">
        <f>IFERROR(VLOOKUP(A764,Lookup!A:C,3,0),"")</f>
        <v/>
      </c>
      <c r="D764" s="54"/>
      <c r="E764" s="54"/>
      <c r="F764" s="54"/>
      <c r="G764" s="72"/>
      <c r="H764" s="54"/>
      <c r="I764" s="54"/>
      <c r="J764" s="106">
        <f>VLOOKUP(A764&amp;G764,Lookup!J:N,5,0)</f>
        <v>0</v>
      </c>
      <c r="K764" s="115"/>
      <c r="L764" s="115"/>
      <c r="M764" s="115"/>
      <c r="N764" s="115"/>
      <c r="O764" s="90">
        <f>IFERROR(VLOOKUP(A764&amp;G764,Lookup!J:K,2,0),"")</f>
        <v>0</v>
      </c>
      <c r="P764" s="110" t="str">
        <f t="shared" si="55"/>
        <v/>
      </c>
      <c r="Q764" s="115"/>
      <c r="R764" s="87" t="str">
        <f t="shared" si="56"/>
        <v/>
      </c>
      <c r="S764" s="87" t="str">
        <f t="shared" si="57"/>
        <v/>
      </c>
      <c r="T764" s="54"/>
      <c r="U764" s="54"/>
      <c r="V764" s="54"/>
      <c r="W764" s="54"/>
      <c r="X764" s="69" t="str">
        <f t="shared" si="54"/>
        <v>D</v>
      </c>
    </row>
    <row r="765" spans="2:24" x14ac:dyDescent="0.25">
      <c r="B765" s="91" t="str">
        <f>IFERROR(VLOOKUP(A765,Lookup!A:B,2,0),"")</f>
        <v/>
      </c>
      <c r="C765" s="59" t="str">
        <f>IFERROR(VLOOKUP(A765,Lookup!A:C,3,0),"")</f>
        <v/>
      </c>
      <c r="D765" s="54"/>
      <c r="E765" s="54"/>
      <c r="F765" s="54"/>
      <c r="G765" s="72"/>
      <c r="H765" s="54"/>
      <c r="I765" s="54"/>
      <c r="J765" s="106">
        <f>VLOOKUP(A765&amp;G765,Lookup!J:N,5,0)</f>
        <v>0</v>
      </c>
      <c r="K765" s="115"/>
      <c r="L765" s="115"/>
      <c r="M765" s="115"/>
      <c r="N765" s="115"/>
      <c r="O765" s="90">
        <f>IFERROR(VLOOKUP(A765&amp;G765,Lookup!J:K,2,0),"")</f>
        <v>0</v>
      </c>
      <c r="P765" s="110" t="str">
        <f t="shared" si="55"/>
        <v/>
      </c>
      <c r="Q765" s="115"/>
      <c r="R765" s="87" t="str">
        <f t="shared" si="56"/>
        <v/>
      </c>
      <c r="S765" s="87" t="str">
        <f t="shared" si="57"/>
        <v/>
      </c>
      <c r="T765" s="54"/>
      <c r="U765" s="54"/>
      <c r="V765" s="54"/>
      <c r="W765" s="54"/>
      <c r="X765" s="69" t="str">
        <f t="shared" si="54"/>
        <v>D</v>
      </c>
    </row>
    <row r="766" spans="2:24" x14ac:dyDescent="0.25">
      <c r="B766" s="91" t="str">
        <f>IFERROR(VLOOKUP(A766,Lookup!A:B,2,0),"")</f>
        <v/>
      </c>
      <c r="C766" s="59" t="str">
        <f>IFERROR(VLOOKUP(A766,Lookup!A:C,3,0),"")</f>
        <v/>
      </c>
      <c r="D766" s="54"/>
      <c r="E766" s="54"/>
      <c r="F766" s="54"/>
      <c r="G766" s="72"/>
      <c r="H766" s="54"/>
      <c r="I766" s="54"/>
      <c r="J766" s="106">
        <f>VLOOKUP(A766&amp;G766,Lookup!J:N,5,0)</f>
        <v>0</v>
      </c>
      <c r="K766" s="115"/>
      <c r="L766" s="115"/>
      <c r="M766" s="115"/>
      <c r="N766" s="115"/>
      <c r="O766" s="90">
        <f>IFERROR(VLOOKUP(A766&amp;G766,Lookup!J:K,2,0),"")</f>
        <v>0</v>
      </c>
      <c r="P766" s="110" t="str">
        <f t="shared" si="55"/>
        <v/>
      </c>
      <c r="Q766" s="115"/>
      <c r="R766" s="87" t="str">
        <f t="shared" si="56"/>
        <v/>
      </c>
      <c r="S766" s="87" t="str">
        <f t="shared" si="57"/>
        <v/>
      </c>
      <c r="T766" s="54"/>
      <c r="U766" s="54"/>
      <c r="V766" s="54"/>
      <c r="W766" s="54"/>
      <c r="X766" s="69" t="str">
        <f t="shared" si="54"/>
        <v>D</v>
      </c>
    </row>
    <row r="767" spans="2:24" x14ac:dyDescent="0.25">
      <c r="B767" s="91" t="str">
        <f>IFERROR(VLOOKUP(A767,Lookup!A:B,2,0),"")</f>
        <v/>
      </c>
      <c r="C767" s="59" t="str">
        <f>IFERROR(VLOOKUP(A767,Lookup!A:C,3,0),"")</f>
        <v/>
      </c>
      <c r="D767" s="54"/>
      <c r="E767" s="54"/>
      <c r="F767" s="54"/>
      <c r="G767" s="72"/>
      <c r="H767" s="54"/>
      <c r="I767" s="54"/>
      <c r="J767" s="106">
        <f>VLOOKUP(A767&amp;G767,Lookup!J:N,5,0)</f>
        <v>0</v>
      </c>
      <c r="K767" s="115"/>
      <c r="L767" s="115"/>
      <c r="M767" s="115"/>
      <c r="N767" s="115"/>
      <c r="O767" s="90">
        <f>IFERROR(VLOOKUP(A767&amp;G767,Lookup!J:K,2,0),"")</f>
        <v>0</v>
      </c>
      <c r="P767" s="110" t="str">
        <f t="shared" si="55"/>
        <v/>
      </c>
      <c r="Q767" s="115"/>
      <c r="R767" s="87" t="str">
        <f t="shared" si="56"/>
        <v/>
      </c>
      <c r="S767" s="87" t="str">
        <f t="shared" si="57"/>
        <v/>
      </c>
      <c r="T767" s="54"/>
      <c r="U767" s="54"/>
      <c r="V767" s="54"/>
      <c r="W767" s="54"/>
      <c r="X767" s="69" t="str">
        <f t="shared" si="54"/>
        <v>D</v>
      </c>
    </row>
    <row r="768" spans="2:24" x14ac:dyDescent="0.25">
      <c r="B768" s="91" t="str">
        <f>IFERROR(VLOOKUP(A768,Lookup!A:B,2,0),"")</f>
        <v/>
      </c>
      <c r="C768" s="59" t="str">
        <f>IFERROR(VLOOKUP(A768,Lookup!A:C,3,0),"")</f>
        <v/>
      </c>
      <c r="D768" s="54"/>
      <c r="E768" s="54"/>
      <c r="F768" s="54"/>
      <c r="G768" s="72"/>
      <c r="H768" s="54"/>
      <c r="I768" s="54"/>
      <c r="J768" s="106">
        <f>VLOOKUP(A768&amp;G768,Lookup!J:N,5,0)</f>
        <v>0</v>
      </c>
      <c r="K768" s="115"/>
      <c r="L768" s="115"/>
      <c r="M768" s="115"/>
      <c r="N768" s="115"/>
      <c r="O768" s="90">
        <f>IFERROR(VLOOKUP(A768&amp;G768,Lookup!J:K,2,0),"")</f>
        <v>0</v>
      </c>
      <c r="P768" s="110" t="str">
        <f t="shared" si="55"/>
        <v/>
      </c>
      <c r="Q768" s="115"/>
      <c r="R768" s="87" t="str">
        <f t="shared" si="56"/>
        <v/>
      </c>
      <c r="S768" s="87" t="str">
        <f t="shared" si="57"/>
        <v/>
      </c>
      <c r="T768" s="54"/>
      <c r="U768" s="54"/>
      <c r="V768" s="54"/>
      <c r="W768" s="54"/>
      <c r="X768" s="69" t="str">
        <f t="shared" si="54"/>
        <v>D</v>
      </c>
    </row>
    <row r="769" spans="2:24" x14ac:dyDescent="0.25">
      <c r="B769" s="91" t="str">
        <f>IFERROR(VLOOKUP(A769,Lookup!A:B,2,0),"")</f>
        <v/>
      </c>
      <c r="C769" s="59" t="str">
        <f>IFERROR(VLOOKUP(A769,Lookup!A:C,3,0),"")</f>
        <v/>
      </c>
      <c r="D769" s="54"/>
      <c r="E769" s="54"/>
      <c r="F769" s="54"/>
      <c r="G769" s="72"/>
      <c r="H769" s="54"/>
      <c r="I769" s="54"/>
      <c r="J769" s="106">
        <f>VLOOKUP(A769&amp;G769,Lookup!J:N,5,0)</f>
        <v>0</v>
      </c>
      <c r="K769" s="115"/>
      <c r="L769" s="115"/>
      <c r="M769" s="115"/>
      <c r="N769" s="115"/>
      <c r="O769" s="90">
        <f>IFERROR(VLOOKUP(A769&amp;G769,Lookup!J:K,2,0),"")</f>
        <v>0</v>
      </c>
      <c r="P769" s="110" t="str">
        <f t="shared" si="55"/>
        <v/>
      </c>
      <c r="Q769" s="115"/>
      <c r="R769" s="87" t="str">
        <f t="shared" si="56"/>
        <v/>
      </c>
      <c r="S769" s="87" t="str">
        <f t="shared" si="57"/>
        <v/>
      </c>
      <c r="T769" s="54"/>
      <c r="U769" s="54"/>
      <c r="V769" s="54"/>
      <c r="W769" s="54"/>
      <c r="X769" s="69" t="str">
        <f t="shared" ref="X769:X832" si="58">IF(I769="SET","A",IF(I769="FREQ","C",IF(I769="","D","B")))</f>
        <v>D</v>
      </c>
    </row>
    <row r="770" spans="2:24" x14ac:dyDescent="0.25">
      <c r="B770" s="91" t="str">
        <f>IFERROR(VLOOKUP(A770,Lookup!A:B,2,0),"")</f>
        <v/>
      </c>
      <c r="C770" s="59" t="str">
        <f>IFERROR(VLOOKUP(A770,Lookup!A:C,3,0),"")</f>
        <v/>
      </c>
      <c r="D770" s="54"/>
      <c r="E770" s="54"/>
      <c r="F770" s="54"/>
      <c r="G770" s="72"/>
      <c r="H770" s="54"/>
      <c r="I770" s="54"/>
      <c r="J770" s="106">
        <f>VLOOKUP(A770&amp;G770,Lookup!J:N,5,0)</f>
        <v>0</v>
      </c>
      <c r="K770" s="115"/>
      <c r="L770" s="115"/>
      <c r="M770" s="115"/>
      <c r="N770" s="115"/>
      <c r="O770" s="90">
        <f>IFERROR(VLOOKUP(A770&amp;G770,Lookup!J:K,2,0),"")</f>
        <v>0</v>
      </c>
      <c r="P770" s="110" t="str">
        <f t="shared" ref="P770:P833" si="59">IF(N770="","",N770+O770)</f>
        <v/>
      </c>
      <c r="Q770" s="115"/>
      <c r="R770" s="87" t="str">
        <f t="shared" si="56"/>
        <v/>
      </c>
      <c r="S770" s="87" t="str">
        <f t="shared" si="57"/>
        <v/>
      </c>
      <c r="T770" s="54"/>
      <c r="U770" s="54"/>
      <c r="V770" s="54"/>
      <c r="W770" s="54"/>
      <c r="X770" s="69" t="str">
        <f t="shared" si="58"/>
        <v>D</v>
      </c>
    </row>
    <row r="771" spans="2:24" x14ac:dyDescent="0.25">
      <c r="B771" s="91" t="str">
        <f>IFERROR(VLOOKUP(A771,Lookup!A:B,2,0),"")</f>
        <v/>
      </c>
      <c r="C771" s="59" t="str">
        <f>IFERROR(VLOOKUP(A771,Lookup!A:C,3,0),"")</f>
        <v/>
      </c>
      <c r="D771" s="54"/>
      <c r="E771" s="54"/>
      <c r="F771" s="54"/>
      <c r="G771" s="72"/>
      <c r="H771" s="54"/>
      <c r="I771" s="54"/>
      <c r="J771" s="106">
        <f>VLOOKUP(A771&amp;G771,Lookup!J:N,5,0)</f>
        <v>0</v>
      </c>
      <c r="K771" s="115"/>
      <c r="L771" s="115"/>
      <c r="M771" s="115"/>
      <c r="N771" s="115"/>
      <c r="O771" s="90">
        <f>IFERROR(VLOOKUP(A771&amp;G771,Lookup!J:K,2,0),"")</f>
        <v>0</v>
      </c>
      <c r="P771" s="110" t="str">
        <f t="shared" si="59"/>
        <v/>
      </c>
      <c r="Q771" s="115"/>
      <c r="R771" s="87" t="str">
        <f t="shared" ref="R771:R834" si="60">IF(OR(EXACT(N771,""), EXACT(L771,"")),"",N771-L771)</f>
        <v/>
      </c>
      <c r="S771" s="87" t="str">
        <f t="shared" si="57"/>
        <v/>
      </c>
      <c r="T771" s="54"/>
      <c r="U771" s="54"/>
      <c r="V771" s="54"/>
      <c r="W771" s="54"/>
      <c r="X771" s="69" t="str">
        <f t="shared" si="58"/>
        <v>D</v>
      </c>
    </row>
    <row r="772" spans="2:24" x14ac:dyDescent="0.25">
      <c r="B772" s="91" t="str">
        <f>IFERROR(VLOOKUP(A772,Lookup!A:B,2,0),"")</f>
        <v/>
      </c>
      <c r="C772" s="59" t="str">
        <f>IFERROR(VLOOKUP(A772,Lookup!A:C,3,0),"")</f>
        <v/>
      </c>
      <c r="D772" s="54"/>
      <c r="E772" s="54"/>
      <c r="F772" s="54"/>
      <c r="G772" s="72"/>
      <c r="H772" s="54"/>
      <c r="I772" s="54"/>
      <c r="J772" s="106">
        <f>VLOOKUP(A772&amp;G772,Lookup!J:N,5,0)</f>
        <v>0</v>
      </c>
      <c r="K772" s="115"/>
      <c r="L772" s="115"/>
      <c r="M772" s="115"/>
      <c r="N772" s="115"/>
      <c r="O772" s="90">
        <f>IFERROR(VLOOKUP(A772&amp;G772,Lookup!J:K,2,0),"")</f>
        <v>0</v>
      </c>
      <c r="P772" s="110" t="str">
        <f t="shared" si="59"/>
        <v/>
      </c>
      <c r="Q772" s="115"/>
      <c r="R772" s="87" t="str">
        <f t="shared" si="60"/>
        <v/>
      </c>
      <c r="S772" s="87" t="str">
        <f t="shared" ref="S772:S835" si="61">IF(OR(EXACT(Q772,""), EXACT(L772,"")),"",Q772-L772)</f>
        <v/>
      </c>
      <c r="T772" s="54"/>
      <c r="U772" s="54"/>
      <c r="V772" s="54"/>
      <c r="W772" s="54"/>
      <c r="X772" s="69" t="str">
        <f t="shared" si="58"/>
        <v>D</v>
      </c>
    </row>
    <row r="773" spans="2:24" x14ac:dyDescent="0.25">
      <c r="B773" s="91" t="str">
        <f>IFERROR(VLOOKUP(A773,Lookup!A:B,2,0),"")</f>
        <v/>
      </c>
      <c r="C773" s="59" t="str">
        <f>IFERROR(VLOOKUP(A773,Lookup!A:C,3,0),"")</f>
        <v/>
      </c>
      <c r="D773" s="54"/>
      <c r="E773" s="54"/>
      <c r="F773" s="54"/>
      <c r="G773" s="72"/>
      <c r="H773" s="54"/>
      <c r="I773" s="54"/>
      <c r="J773" s="106">
        <f>VLOOKUP(A773&amp;G773,Lookup!J:N,5,0)</f>
        <v>0</v>
      </c>
      <c r="K773" s="115"/>
      <c r="L773" s="115"/>
      <c r="M773" s="115"/>
      <c r="N773" s="115"/>
      <c r="O773" s="90">
        <f>IFERROR(VLOOKUP(A773&amp;G773,Lookup!J:K,2,0),"")</f>
        <v>0</v>
      </c>
      <c r="P773" s="110" t="str">
        <f t="shared" si="59"/>
        <v/>
      </c>
      <c r="Q773" s="115"/>
      <c r="R773" s="87" t="str">
        <f t="shared" si="60"/>
        <v/>
      </c>
      <c r="S773" s="87" t="str">
        <f t="shared" si="61"/>
        <v/>
      </c>
      <c r="T773" s="54"/>
      <c r="U773" s="54"/>
      <c r="V773" s="54"/>
      <c r="W773" s="54"/>
      <c r="X773" s="69" t="str">
        <f t="shared" si="58"/>
        <v>D</v>
      </c>
    </row>
    <row r="774" spans="2:24" x14ac:dyDescent="0.25">
      <c r="B774" s="91" t="str">
        <f>IFERROR(VLOOKUP(A774,Lookup!A:B,2,0),"")</f>
        <v/>
      </c>
      <c r="C774" s="59" t="str">
        <f>IFERROR(VLOOKUP(A774,Lookup!A:C,3,0),"")</f>
        <v/>
      </c>
      <c r="D774" s="54"/>
      <c r="E774" s="54"/>
      <c r="F774" s="54"/>
      <c r="G774" s="72"/>
      <c r="H774" s="54"/>
      <c r="I774" s="54"/>
      <c r="J774" s="106">
        <f>VLOOKUP(A774&amp;G774,Lookup!J:N,5,0)</f>
        <v>0</v>
      </c>
      <c r="K774" s="115"/>
      <c r="L774" s="115"/>
      <c r="M774" s="115"/>
      <c r="N774" s="115"/>
      <c r="O774" s="90">
        <f>IFERROR(VLOOKUP(A774&amp;G774,Lookup!J:K,2,0),"")</f>
        <v>0</v>
      </c>
      <c r="P774" s="110" t="str">
        <f t="shared" si="59"/>
        <v/>
      </c>
      <c r="Q774" s="115"/>
      <c r="R774" s="87" t="str">
        <f t="shared" si="60"/>
        <v/>
      </c>
      <c r="S774" s="87" t="str">
        <f t="shared" si="61"/>
        <v/>
      </c>
      <c r="T774" s="54"/>
      <c r="U774" s="54"/>
      <c r="V774" s="54"/>
      <c r="W774" s="54"/>
      <c r="X774" s="69" t="str">
        <f t="shared" si="58"/>
        <v>D</v>
      </c>
    </row>
    <row r="775" spans="2:24" x14ac:dyDescent="0.25">
      <c r="B775" s="91" t="str">
        <f>IFERROR(VLOOKUP(A775,Lookup!A:B,2,0),"")</f>
        <v/>
      </c>
      <c r="C775" s="59" t="str">
        <f>IFERROR(VLOOKUP(A775,Lookup!A:C,3,0),"")</f>
        <v/>
      </c>
      <c r="D775" s="54"/>
      <c r="E775" s="54"/>
      <c r="F775" s="54"/>
      <c r="G775" s="72"/>
      <c r="H775" s="54"/>
      <c r="I775" s="54"/>
      <c r="J775" s="106">
        <f>VLOOKUP(A775&amp;G775,Lookup!J:N,5,0)</f>
        <v>0</v>
      </c>
      <c r="K775" s="115"/>
      <c r="L775" s="115"/>
      <c r="M775" s="115"/>
      <c r="N775" s="115"/>
      <c r="O775" s="90">
        <f>IFERROR(VLOOKUP(A775&amp;G775,Lookup!J:K,2,0),"")</f>
        <v>0</v>
      </c>
      <c r="P775" s="110" t="str">
        <f t="shared" si="59"/>
        <v/>
      </c>
      <c r="Q775" s="115"/>
      <c r="R775" s="87" t="str">
        <f t="shared" si="60"/>
        <v/>
      </c>
      <c r="S775" s="87" t="str">
        <f t="shared" si="61"/>
        <v/>
      </c>
      <c r="T775" s="54"/>
      <c r="U775" s="54"/>
      <c r="V775" s="54"/>
      <c r="W775" s="54"/>
      <c r="X775" s="69" t="str">
        <f t="shared" si="58"/>
        <v>D</v>
      </c>
    </row>
    <row r="776" spans="2:24" x14ac:dyDescent="0.25">
      <c r="B776" s="91" t="str">
        <f>IFERROR(VLOOKUP(A776,Lookup!A:B,2,0),"")</f>
        <v/>
      </c>
      <c r="C776" s="59" t="str">
        <f>IFERROR(VLOOKUP(A776,Lookup!A:C,3,0),"")</f>
        <v/>
      </c>
      <c r="D776" s="54"/>
      <c r="E776" s="54"/>
      <c r="F776" s="54"/>
      <c r="G776" s="72"/>
      <c r="H776" s="54"/>
      <c r="I776" s="54"/>
      <c r="J776" s="106">
        <f>VLOOKUP(A776&amp;G776,Lookup!J:N,5,0)</f>
        <v>0</v>
      </c>
      <c r="K776" s="115"/>
      <c r="L776" s="115"/>
      <c r="M776" s="115"/>
      <c r="N776" s="115"/>
      <c r="O776" s="90">
        <f>IFERROR(VLOOKUP(A776&amp;G776,Lookup!J:K,2,0),"")</f>
        <v>0</v>
      </c>
      <c r="P776" s="110" t="str">
        <f t="shared" si="59"/>
        <v/>
      </c>
      <c r="Q776" s="115"/>
      <c r="R776" s="87" t="str">
        <f t="shared" si="60"/>
        <v/>
      </c>
      <c r="S776" s="87" t="str">
        <f t="shared" si="61"/>
        <v/>
      </c>
      <c r="T776" s="54"/>
      <c r="U776" s="54"/>
      <c r="V776" s="54"/>
      <c r="W776" s="54"/>
      <c r="X776" s="69" t="str">
        <f t="shared" si="58"/>
        <v>D</v>
      </c>
    </row>
    <row r="777" spans="2:24" x14ac:dyDescent="0.25">
      <c r="B777" s="91" t="str">
        <f>IFERROR(VLOOKUP(A777,Lookup!A:B,2,0),"")</f>
        <v/>
      </c>
      <c r="C777" s="59" t="str">
        <f>IFERROR(VLOOKUP(A777,Lookup!A:C,3,0),"")</f>
        <v/>
      </c>
      <c r="D777" s="54"/>
      <c r="E777" s="54"/>
      <c r="F777" s="54"/>
      <c r="G777" s="72"/>
      <c r="H777" s="54"/>
      <c r="I777" s="54"/>
      <c r="J777" s="106">
        <f>VLOOKUP(A777&amp;G777,Lookup!J:N,5,0)</f>
        <v>0</v>
      </c>
      <c r="K777" s="115"/>
      <c r="L777" s="115"/>
      <c r="M777" s="115"/>
      <c r="N777" s="115"/>
      <c r="O777" s="90">
        <f>IFERROR(VLOOKUP(A777&amp;G777,Lookup!J:K,2,0),"")</f>
        <v>0</v>
      </c>
      <c r="P777" s="110" t="str">
        <f t="shared" si="59"/>
        <v/>
      </c>
      <c r="Q777" s="115"/>
      <c r="R777" s="87" t="str">
        <f t="shared" si="60"/>
        <v/>
      </c>
      <c r="S777" s="87" t="str">
        <f t="shared" si="61"/>
        <v/>
      </c>
      <c r="T777" s="54"/>
      <c r="U777" s="54"/>
      <c r="V777" s="54"/>
      <c r="W777" s="54"/>
      <c r="X777" s="69" t="str">
        <f t="shared" si="58"/>
        <v>D</v>
      </c>
    </row>
    <row r="778" spans="2:24" x14ac:dyDescent="0.25">
      <c r="B778" s="91" t="str">
        <f>IFERROR(VLOOKUP(A778,Lookup!A:B,2,0),"")</f>
        <v/>
      </c>
      <c r="C778" s="59" t="str">
        <f>IFERROR(VLOOKUP(A778,Lookup!A:C,3,0),"")</f>
        <v/>
      </c>
      <c r="D778" s="54"/>
      <c r="E778" s="54"/>
      <c r="F778" s="54"/>
      <c r="G778" s="72"/>
      <c r="H778" s="54"/>
      <c r="I778" s="54"/>
      <c r="J778" s="106">
        <f>VLOOKUP(A778&amp;G778,Lookup!J:N,5,0)</f>
        <v>0</v>
      </c>
      <c r="K778" s="115"/>
      <c r="L778" s="115"/>
      <c r="M778" s="115"/>
      <c r="N778" s="115"/>
      <c r="O778" s="90">
        <f>IFERROR(VLOOKUP(A778&amp;G778,Lookup!J:K,2,0),"")</f>
        <v>0</v>
      </c>
      <c r="P778" s="110" t="str">
        <f t="shared" si="59"/>
        <v/>
      </c>
      <c r="Q778" s="115"/>
      <c r="R778" s="87" t="str">
        <f t="shared" si="60"/>
        <v/>
      </c>
      <c r="S778" s="87" t="str">
        <f t="shared" si="61"/>
        <v/>
      </c>
      <c r="T778" s="54"/>
      <c r="U778" s="54"/>
      <c r="V778" s="54"/>
      <c r="W778" s="54"/>
      <c r="X778" s="69" t="str">
        <f t="shared" si="58"/>
        <v>D</v>
      </c>
    </row>
    <row r="779" spans="2:24" x14ac:dyDescent="0.25">
      <c r="B779" s="91" t="str">
        <f>IFERROR(VLOOKUP(A779,Lookup!A:B,2,0),"")</f>
        <v/>
      </c>
      <c r="C779" s="59" t="str">
        <f>IFERROR(VLOOKUP(A779,Lookup!A:C,3,0),"")</f>
        <v/>
      </c>
      <c r="D779" s="54"/>
      <c r="E779" s="54"/>
      <c r="F779" s="54"/>
      <c r="G779" s="72"/>
      <c r="H779" s="54"/>
      <c r="I779" s="54"/>
      <c r="J779" s="106">
        <f>VLOOKUP(A779&amp;G779,Lookup!J:N,5,0)</f>
        <v>0</v>
      </c>
      <c r="K779" s="115"/>
      <c r="L779" s="115"/>
      <c r="M779" s="115"/>
      <c r="N779" s="115"/>
      <c r="O779" s="90">
        <f>IFERROR(VLOOKUP(A779&amp;G779,Lookup!J:K,2,0),"")</f>
        <v>0</v>
      </c>
      <c r="P779" s="110" t="str">
        <f t="shared" si="59"/>
        <v/>
      </c>
      <c r="Q779" s="115"/>
      <c r="R779" s="87" t="str">
        <f t="shared" si="60"/>
        <v/>
      </c>
      <c r="S779" s="87" t="str">
        <f t="shared" si="61"/>
        <v/>
      </c>
      <c r="T779" s="54"/>
      <c r="U779" s="54"/>
      <c r="V779" s="54"/>
      <c r="W779" s="54"/>
      <c r="X779" s="69" t="str">
        <f t="shared" si="58"/>
        <v>D</v>
      </c>
    </row>
    <row r="780" spans="2:24" x14ac:dyDescent="0.25">
      <c r="B780" s="91" t="str">
        <f>IFERROR(VLOOKUP(A780,Lookup!A:B,2,0),"")</f>
        <v/>
      </c>
      <c r="C780" s="59" t="str">
        <f>IFERROR(VLOOKUP(A780,Lookup!A:C,3,0),"")</f>
        <v/>
      </c>
      <c r="D780" s="54"/>
      <c r="E780" s="54"/>
      <c r="F780" s="54"/>
      <c r="G780" s="72"/>
      <c r="H780" s="54"/>
      <c r="I780" s="54"/>
      <c r="J780" s="106">
        <f>VLOOKUP(A780&amp;G780,Lookup!J:N,5,0)</f>
        <v>0</v>
      </c>
      <c r="K780" s="115"/>
      <c r="L780" s="115"/>
      <c r="M780" s="115"/>
      <c r="N780" s="115"/>
      <c r="O780" s="90">
        <f>IFERROR(VLOOKUP(A780&amp;G780,Lookup!J:K,2,0),"")</f>
        <v>0</v>
      </c>
      <c r="P780" s="110" t="str">
        <f t="shared" si="59"/>
        <v/>
      </c>
      <c r="Q780" s="115"/>
      <c r="R780" s="87" t="str">
        <f t="shared" si="60"/>
        <v/>
      </c>
      <c r="S780" s="87" t="str">
        <f t="shared" si="61"/>
        <v/>
      </c>
      <c r="T780" s="54"/>
      <c r="U780" s="54"/>
      <c r="V780" s="54"/>
      <c r="W780" s="54"/>
      <c r="X780" s="69" t="str">
        <f t="shared" si="58"/>
        <v>D</v>
      </c>
    </row>
    <row r="781" spans="2:24" x14ac:dyDescent="0.25">
      <c r="B781" s="91" t="str">
        <f>IFERROR(VLOOKUP(A781,Lookup!A:B,2,0),"")</f>
        <v/>
      </c>
      <c r="C781" s="59" t="str">
        <f>IFERROR(VLOOKUP(A781,Lookup!A:C,3,0),"")</f>
        <v/>
      </c>
      <c r="D781" s="54"/>
      <c r="E781" s="54"/>
      <c r="F781" s="54"/>
      <c r="G781" s="72"/>
      <c r="H781" s="54"/>
      <c r="I781" s="54"/>
      <c r="J781" s="106">
        <f>VLOOKUP(A781&amp;G781,Lookup!J:N,5,0)</f>
        <v>0</v>
      </c>
      <c r="K781" s="115"/>
      <c r="L781" s="115"/>
      <c r="M781" s="115"/>
      <c r="N781" s="115"/>
      <c r="O781" s="90">
        <f>IFERROR(VLOOKUP(A781&amp;G781,Lookup!J:K,2,0),"")</f>
        <v>0</v>
      </c>
      <c r="P781" s="110" t="str">
        <f t="shared" si="59"/>
        <v/>
      </c>
      <c r="Q781" s="115"/>
      <c r="R781" s="87" t="str">
        <f t="shared" si="60"/>
        <v/>
      </c>
      <c r="S781" s="87" t="str">
        <f t="shared" si="61"/>
        <v/>
      </c>
      <c r="T781" s="54"/>
      <c r="U781" s="54"/>
      <c r="V781" s="54"/>
      <c r="W781" s="54"/>
      <c r="X781" s="69" t="str">
        <f t="shared" si="58"/>
        <v>D</v>
      </c>
    </row>
    <row r="782" spans="2:24" x14ac:dyDescent="0.25">
      <c r="B782" s="91" t="str">
        <f>IFERROR(VLOOKUP(A782,Lookup!A:B,2,0),"")</f>
        <v/>
      </c>
      <c r="C782" s="59" t="str">
        <f>IFERROR(VLOOKUP(A782,Lookup!A:C,3,0),"")</f>
        <v/>
      </c>
      <c r="D782" s="54"/>
      <c r="E782" s="54"/>
      <c r="F782" s="54"/>
      <c r="G782" s="72"/>
      <c r="H782" s="54"/>
      <c r="I782" s="54"/>
      <c r="J782" s="106">
        <f>VLOOKUP(A782&amp;G782,Lookup!J:N,5,0)</f>
        <v>0</v>
      </c>
      <c r="K782" s="115"/>
      <c r="L782" s="115"/>
      <c r="M782" s="115"/>
      <c r="N782" s="115"/>
      <c r="O782" s="90">
        <f>IFERROR(VLOOKUP(A782&amp;G782,Lookup!J:K,2,0),"")</f>
        <v>0</v>
      </c>
      <c r="P782" s="110" t="str">
        <f t="shared" si="59"/>
        <v/>
      </c>
      <c r="Q782" s="115"/>
      <c r="R782" s="87" t="str">
        <f t="shared" si="60"/>
        <v/>
      </c>
      <c r="S782" s="87" t="str">
        <f t="shared" si="61"/>
        <v/>
      </c>
      <c r="T782" s="54"/>
      <c r="U782" s="54"/>
      <c r="V782" s="54"/>
      <c r="W782" s="54"/>
      <c r="X782" s="69" t="str">
        <f t="shared" si="58"/>
        <v>D</v>
      </c>
    </row>
    <row r="783" spans="2:24" x14ac:dyDescent="0.25">
      <c r="B783" s="91" t="str">
        <f>IFERROR(VLOOKUP(A783,Lookup!A:B,2,0),"")</f>
        <v/>
      </c>
      <c r="C783" s="59" t="str">
        <f>IFERROR(VLOOKUP(A783,Lookup!A:C,3,0),"")</f>
        <v/>
      </c>
      <c r="D783" s="54"/>
      <c r="E783" s="54"/>
      <c r="F783" s="54"/>
      <c r="G783" s="72"/>
      <c r="H783" s="54"/>
      <c r="I783" s="54"/>
      <c r="J783" s="106">
        <f>VLOOKUP(A783&amp;G783,Lookup!J:N,5,0)</f>
        <v>0</v>
      </c>
      <c r="K783" s="115"/>
      <c r="L783" s="115"/>
      <c r="M783" s="115"/>
      <c r="N783" s="115"/>
      <c r="O783" s="90">
        <f>IFERROR(VLOOKUP(A783&amp;G783,Lookup!J:K,2,0),"")</f>
        <v>0</v>
      </c>
      <c r="P783" s="110" t="str">
        <f t="shared" si="59"/>
        <v/>
      </c>
      <c r="Q783" s="115"/>
      <c r="R783" s="87" t="str">
        <f t="shared" si="60"/>
        <v/>
      </c>
      <c r="S783" s="87" t="str">
        <f t="shared" si="61"/>
        <v/>
      </c>
      <c r="T783" s="54"/>
      <c r="U783" s="54"/>
      <c r="V783" s="54"/>
      <c r="W783" s="54"/>
      <c r="X783" s="69" t="str">
        <f t="shared" si="58"/>
        <v>D</v>
      </c>
    </row>
    <row r="784" spans="2:24" x14ac:dyDescent="0.25">
      <c r="B784" s="91" t="str">
        <f>IFERROR(VLOOKUP(A784,Lookup!A:B,2,0),"")</f>
        <v/>
      </c>
      <c r="C784" s="59" t="str">
        <f>IFERROR(VLOOKUP(A784,Lookup!A:C,3,0),"")</f>
        <v/>
      </c>
      <c r="D784" s="54"/>
      <c r="E784" s="54"/>
      <c r="F784" s="54"/>
      <c r="G784" s="72"/>
      <c r="H784" s="54"/>
      <c r="I784" s="54"/>
      <c r="J784" s="106">
        <f>VLOOKUP(A784&amp;G784,Lookup!J:N,5,0)</f>
        <v>0</v>
      </c>
      <c r="K784" s="115"/>
      <c r="L784" s="115"/>
      <c r="M784" s="115"/>
      <c r="N784" s="115"/>
      <c r="O784" s="90">
        <f>IFERROR(VLOOKUP(A784&amp;G784,Lookup!J:K,2,0),"")</f>
        <v>0</v>
      </c>
      <c r="P784" s="110" t="str">
        <f t="shared" si="59"/>
        <v/>
      </c>
      <c r="Q784" s="115"/>
      <c r="R784" s="87" t="str">
        <f t="shared" si="60"/>
        <v/>
      </c>
      <c r="S784" s="87" t="str">
        <f t="shared" si="61"/>
        <v/>
      </c>
      <c r="T784" s="54"/>
      <c r="U784" s="54"/>
      <c r="V784" s="54"/>
      <c r="W784" s="54"/>
      <c r="X784" s="69" t="str">
        <f t="shared" si="58"/>
        <v>D</v>
      </c>
    </row>
    <row r="785" spans="2:24" x14ac:dyDescent="0.25">
      <c r="B785" s="91" t="str">
        <f>IFERROR(VLOOKUP(A785,Lookup!A:B,2,0),"")</f>
        <v/>
      </c>
      <c r="C785" s="59" t="str">
        <f>IFERROR(VLOOKUP(A785,Lookup!A:C,3,0),"")</f>
        <v/>
      </c>
      <c r="D785" s="54"/>
      <c r="E785" s="54"/>
      <c r="F785" s="54"/>
      <c r="G785" s="72"/>
      <c r="H785" s="54"/>
      <c r="I785" s="54"/>
      <c r="J785" s="106">
        <f>VLOOKUP(A785&amp;G785,Lookup!J:N,5,0)</f>
        <v>0</v>
      </c>
      <c r="K785" s="115"/>
      <c r="L785" s="115"/>
      <c r="M785" s="115"/>
      <c r="N785" s="115"/>
      <c r="O785" s="90">
        <f>IFERROR(VLOOKUP(A785&amp;G785,Lookup!J:K,2,0),"")</f>
        <v>0</v>
      </c>
      <c r="P785" s="110" t="str">
        <f t="shared" si="59"/>
        <v/>
      </c>
      <c r="Q785" s="115"/>
      <c r="R785" s="87" t="str">
        <f t="shared" si="60"/>
        <v/>
      </c>
      <c r="S785" s="87" t="str">
        <f t="shared" si="61"/>
        <v/>
      </c>
      <c r="T785" s="54"/>
      <c r="U785" s="54"/>
      <c r="V785" s="54"/>
      <c r="W785" s="54"/>
      <c r="X785" s="69" t="str">
        <f t="shared" si="58"/>
        <v>D</v>
      </c>
    </row>
    <row r="786" spans="2:24" x14ac:dyDescent="0.25">
      <c r="B786" s="91" t="str">
        <f>IFERROR(VLOOKUP(A786,Lookup!A:B,2,0),"")</f>
        <v/>
      </c>
      <c r="C786" s="59" t="str">
        <f>IFERROR(VLOOKUP(A786,Lookup!A:C,3,0),"")</f>
        <v/>
      </c>
      <c r="D786" s="54"/>
      <c r="E786" s="54"/>
      <c r="F786" s="54"/>
      <c r="G786" s="72"/>
      <c r="H786" s="54"/>
      <c r="I786" s="54"/>
      <c r="J786" s="106">
        <f>VLOOKUP(A786&amp;G786,Lookup!J:N,5,0)</f>
        <v>0</v>
      </c>
      <c r="K786" s="115"/>
      <c r="L786" s="115"/>
      <c r="M786" s="115"/>
      <c r="N786" s="115"/>
      <c r="O786" s="90">
        <f>IFERROR(VLOOKUP(A786&amp;G786,Lookup!J:K,2,0),"")</f>
        <v>0</v>
      </c>
      <c r="P786" s="110" t="str">
        <f t="shared" si="59"/>
        <v/>
      </c>
      <c r="Q786" s="115"/>
      <c r="R786" s="87" t="str">
        <f t="shared" si="60"/>
        <v/>
      </c>
      <c r="S786" s="87" t="str">
        <f t="shared" si="61"/>
        <v/>
      </c>
      <c r="T786" s="54"/>
      <c r="U786" s="54"/>
      <c r="V786" s="54"/>
      <c r="W786" s="54"/>
      <c r="X786" s="69" t="str">
        <f t="shared" si="58"/>
        <v>D</v>
      </c>
    </row>
    <row r="787" spans="2:24" x14ac:dyDescent="0.25">
      <c r="B787" s="91" t="str">
        <f>IFERROR(VLOOKUP(A787,Lookup!A:B,2,0),"")</f>
        <v/>
      </c>
      <c r="C787" s="59" t="str">
        <f>IFERROR(VLOOKUP(A787,Lookup!A:C,3,0),"")</f>
        <v/>
      </c>
      <c r="D787" s="54"/>
      <c r="E787" s="54"/>
      <c r="F787" s="54"/>
      <c r="G787" s="72"/>
      <c r="H787" s="54"/>
      <c r="I787" s="54"/>
      <c r="J787" s="106">
        <f>VLOOKUP(A787&amp;G787,Lookup!J:N,5,0)</f>
        <v>0</v>
      </c>
      <c r="K787" s="115"/>
      <c r="L787" s="115"/>
      <c r="M787" s="115"/>
      <c r="N787" s="115"/>
      <c r="O787" s="90">
        <f>IFERROR(VLOOKUP(A787&amp;G787,Lookup!J:K,2,0),"")</f>
        <v>0</v>
      </c>
      <c r="P787" s="110" t="str">
        <f t="shared" si="59"/>
        <v/>
      </c>
      <c r="Q787" s="115"/>
      <c r="R787" s="87" t="str">
        <f t="shared" si="60"/>
        <v/>
      </c>
      <c r="S787" s="87" t="str">
        <f t="shared" si="61"/>
        <v/>
      </c>
      <c r="T787" s="54"/>
      <c r="U787" s="54"/>
      <c r="V787" s="54"/>
      <c r="W787" s="54"/>
      <c r="X787" s="69" t="str">
        <f t="shared" si="58"/>
        <v>D</v>
      </c>
    </row>
    <row r="788" spans="2:24" x14ac:dyDescent="0.25">
      <c r="B788" s="91" t="str">
        <f>IFERROR(VLOOKUP(A788,Lookup!A:B,2,0),"")</f>
        <v/>
      </c>
      <c r="C788" s="59" t="str">
        <f>IFERROR(VLOOKUP(A788,Lookup!A:C,3,0),"")</f>
        <v/>
      </c>
      <c r="D788" s="54"/>
      <c r="E788" s="54"/>
      <c r="F788" s="54"/>
      <c r="G788" s="72"/>
      <c r="H788" s="54"/>
      <c r="I788" s="54"/>
      <c r="J788" s="106">
        <f>VLOOKUP(A788&amp;G788,Lookup!J:N,5,0)</f>
        <v>0</v>
      </c>
      <c r="K788" s="115"/>
      <c r="L788" s="115"/>
      <c r="M788" s="115"/>
      <c r="N788" s="115"/>
      <c r="O788" s="90">
        <f>IFERROR(VLOOKUP(A788&amp;G788,Lookup!J:K,2,0),"")</f>
        <v>0</v>
      </c>
      <c r="P788" s="110" t="str">
        <f t="shared" si="59"/>
        <v/>
      </c>
      <c r="Q788" s="115"/>
      <c r="R788" s="87" t="str">
        <f t="shared" si="60"/>
        <v/>
      </c>
      <c r="S788" s="87" t="str">
        <f t="shared" si="61"/>
        <v/>
      </c>
      <c r="T788" s="54"/>
      <c r="U788" s="54"/>
      <c r="V788" s="54"/>
      <c r="W788" s="54"/>
      <c r="X788" s="69" t="str">
        <f t="shared" si="58"/>
        <v>D</v>
      </c>
    </row>
    <row r="789" spans="2:24" x14ac:dyDescent="0.25">
      <c r="B789" s="91" t="str">
        <f>IFERROR(VLOOKUP(A789,Lookup!A:B,2,0),"")</f>
        <v/>
      </c>
      <c r="C789" s="59" t="str">
        <f>IFERROR(VLOOKUP(A789,Lookup!A:C,3,0),"")</f>
        <v/>
      </c>
      <c r="D789" s="54"/>
      <c r="E789" s="54"/>
      <c r="F789" s="54"/>
      <c r="G789" s="72"/>
      <c r="H789" s="54"/>
      <c r="I789" s="54"/>
      <c r="J789" s="106">
        <f>VLOOKUP(A789&amp;G789,Lookup!J:N,5,0)</f>
        <v>0</v>
      </c>
      <c r="K789" s="115"/>
      <c r="L789" s="115"/>
      <c r="M789" s="115"/>
      <c r="N789" s="115"/>
      <c r="O789" s="90">
        <f>IFERROR(VLOOKUP(A789&amp;G789,Lookup!J:K,2,0),"")</f>
        <v>0</v>
      </c>
      <c r="P789" s="110" t="str">
        <f t="shared" si="59"/>
        <v/>
      </c>
      <c r="Q789" s="115"/>
      <c r="R789" s="87" t="str">
        <f t="shared" si="60"/>
        <v/>
      </c>
      <c r="S789" s="87" t="str">
        <f t="shared" si="61"/>
        <v/>
      </c>
      <c r="T789" s="54"/>
      <c r="U789" s="54"/>
      <c r="V789" s="54"/>
      <c r="W789" s="54"/>
      <c r="X789" s="69" t="str">
        <f t="shared" si="58"/>
        <v>D</v>
      </c>
    </row>
    <row r="790" spans="2:24" x14ac:dyDescent="0.25">
      <c r="B790" s="91" t="str">
        <f>IFERROR(VLOOKUP(A790,Lookup!A:B,2,0),"")</f>
        <v/>
      </c>
      <c r="C790" s="59" t="str">
        <f>IFERROR(VLOOKUP(A790,Lookup!A:C,3,0),"")</f>
        <v/>
      </c>
      <c r="D790" s="54"/>
      <c r="E790" s="54"/>
      <c r="F790" s="54"/>
      <c r="G790" s="72"/>
      <c r="H790" s="54"/>
      <c r="I790" s="54"/>
      <c r="J790" s="106">
        <f>VLOOKUP(A790&amp;G790,Lookup!J:N,5,0)</f>
        <v>0</v>
      </c>
      <c r="K790" s="115"/>
      <c r="L790" s="115"/>
      <c r="M790" s="115"/>
      <c r="N790" s="115"/>
      <c r="O790" s="90">
        <f>IFERROR(VLOOKUP(A790&amp;G790,Lookup!J:K,2,0),"")</f>
        <v>0</v>
      </c>
      <c r="P790" s="110" t="str">
        <f t="shared" si="59"/>
        <v/>
      </c>
      <c r="Q790" s="115"/>
      <c r="R790" s="87" t="str">
        <f t="shared" si="60"/>
        <v/>
      </c>
      <c r="S790" s="87" t="str">
        <f t="shared" si="61"/>
        <v/>
      </c>
      <c r="T790" s="54"/>
      <c r="U790" s="54"/>
      <c r="V790" s="54"/>
      <c r="W790" s="54"/>
      <c r="X790" s="69" t="str">
        <f t="shared" si="58"/>
        <v>D</v>
      </c>
    </row>
    <row r="791" spans="2:24" x14ac:dyDescent="0.25">
      <c r="B791" s="91" t="str">
        <f>IFERROR(VLOOKUP(A791,Lookup!A:B,2,0),"")</f>
        <v/>
      </c>
      <c r="C791" s="59" t="str">
        <f>IFERROR(VLOOKUP(A791,Lookup!A:C,3,0),"")</f>
        <v/>
      </c>
      <c r="D791" s="54"/>
      <c r="E791" s="54"/>
      <c r="F791" s="54"/>
      <c r="G791" s="72"/>
      <c r="H791" s="54"/>
      <c r="I791" s="54"/>
      <c r="J791" s="106">
        <f>VLOOKUP(A791&amp;G791,Lookup!J:N,5,0)</f>
        <v>0</v>
      </c>
      <c r="K791" s="115"/>
      <c r="L791" s="115"/>
      <c r="M791" s="115"/>
      <c r="N791" s="115"/>
      <c r="O791" s="90">
        <f>IFERROR(VLOOKUP(A791&amp;G791,Lookup!J:K,2,0),"")</f>
        <v>0</v>
      </c>
      <c r="P791" s="110" t="str">
        <f t="shared" si="59"/>
        <v/>
      </c>
      <c r="Q791" s="115"/>
      <c r="R791" s="87" t="str">
        <f t="shared" si="60"/>
        <v/>
      </c>
      <c r="S791" s="87" t="str">
        <f t="shared" si="61"/>
        <v/>
      </c>
      <c r="T791" s="54"/>
      <c r="U791" s="54"/>
      <c r="V791" s="54"/>
      <c r="W791" s="54"/>
      <c r="X791" s="69" t="str">
        <f t="shared" si="58"/>
        <v>D</v>
      </c>
    </row>
    <row r="792" spans="2:24" x14ac:dyDescent="0.25">
      <c r="B792" s="91" t="str">
        <f>IFERROR(VLOOKUP(A792,Lookup!A:B,2,0),"")</f>
        <v/>
      </c>
      <c r="C792" s="59" t="str">
        <f>IFERROR(VLOOKUP(A792,Lookup!A:C,3,0),"")</f>
        <v/>
      </c>
      <c r="D792" s="54"/>
      <c r="E792" s="54"/>
      <c r="F792" s="54"/>
      <c r="G792" s="72"/>
      <c r="H792" s="54"/>
      <c r="I792" s="54"/>
      <c r="J792" s="106">
        <f>VLOOKUP(A792&amp;G792,Lookup!J:N,5,0)</f>
        <v>0</v>
      </c>
      <c r="K792" s="115"/>
      <c r="L792" s="115"/>
      <c r="M792" s="115"/>
      <c r="N792" s="115"/>
      <c r="O792" s="90">
        <f>IFERROR(VLOOKUP(A792&amp;G792,Lookup!J:K,2,0),"")</f>
        <v>0</v>
      </c>
      <c r="P792" s="110" t="str">
        <f t="shared" si="59"/>
        <v/>
      </c>
      <c r="Q792" s="115"/>
      <c r="R792" s="87" t="str">
        <f t="shared" si="60"/>
        <v/>
      </c>
      <c r="S792" s="87" t="str">
        <f t="shared" si="61"/>
        <v/>
      </c>
      <c r="T792" s="54"/>
      <c r="U792" s="54"/>
      <c r="V792" s="54"/>
      <c r="W792" s="54"/>
      <c r="X792" s="69" t="str">
        <f t="shared" si="58"/>
        <v>D</v>
      </c>
    </row>
    <row r="793" spans="2:24" x14ac:dyDescent="0.25">
      <c r="B793" s="91" t="str">
        <f>IFERROR(VLOOKUP(A793,Lookup!A:B,2,0),"")</f>
        <v/>
      </c>
      <c r="C793" s="59" t="str">
        <f>IFERROR(VLOOKUP(A793,Lookup!A:C,3,0),"")</f>
        <v/>
      </c>
      <c r="D793" s="54"/>
      <c r="E793" s="54"/>
      <c r="F793" s="54"/>
      <c r="G793" s="72"/>
      <c r="H793" s="54"/>
      <c r="I793" s="54"/>
      <c r="J793" s="106">
        <f>VLOOKUP(A793&amp;G793,Lookup!J:N,5,0)</f>
        <v>0</v>
      </c>
      <c r="K793" s="115"/>
      <c r="L793" s="115"/>
      <c r="M793" s="115"/>
      <c r="N793" s="115"/>
      <c r="O793" s="90">
        <f>IFERROR(VLOOKUP(A793&amp;G793,Lookup!J:K,2,0),"")</f>
        <v>0</v>
      </c>
      <c r="P793" s="110" t="str">
        <f t="shared" si="59"/>
        <v/>
      </c>
      <c r="Q793" s="115"/>
      <c r="R793" s="87" t="str">
        <f t="shared" si="60"/>
        <v/>
      </c>
      <c r="S793" s="87" t="str">
        <f t="shared" si="61"/>
        <v/>
      </c>
      <c r="T793" s="54"/>
      <c r="U793" s="54"/>
      <c r="V793" s="54"/>
      <c r="W793" s="54"/>
      <c r="X793" s="69" t="str">
        <f t="shared" si="58"/>
        <v>D</v>
      </c>
    </row>
    <row r="794" spans="2:24" x14ac:dyDescent="0.25">
      <c r="B794" s="91" t="str">
        <f>IFERROR(VLOOKUP(A794,Lookup!A:B,2,0),"")</f>
        <v/>
      </c>
      <c r="C794" s="59" t="str">
        <f>IFERROR(VLOOKUP(A794,Lookup!A:C,3,0),"")</f>
        <v/>
      </c>
      <c r="D794" s="54"/>
      <c r="E794" s="54"/>
      <c r="F794" s="54"/>
      <c r="G794" s="72"/>
      <c r="H794" s="54"/>
      <c r="I794" s="54"/>
      <c r="J794" s="106">
        <f>VLOOKUP(A794&amp;G794,Lookup!J:N,5,0)</f>
        <v>0</v>
      </c>
      <c r="K794" s="115"/>
      <c r="L794" s="115"/>
      <c r="M794" s="115"/>
      <c r="N794" s="115"/>
      <c r="O794" s="90">
        <f>IFERROR(VLOOKUP(A794&amp;G794,Lookup!J:K,2,0),"")</f>
        <v>0</v>
      </c>
      <c r="P794" s="110" t="str">
        <f t="shared" si="59"/>
        <v/>
      </c>
      <c r="Q794" s="115"/>
      <c r="R794" s="87" t="str">
        <f t="shared" si="60"/>
        <v/>
      </c>
      <c r="S794" s="87" t="str">
        <f t="shared" si="61"/>
        <v/>
      </c>
      <c r="T794" s="54"/>
      <c r="U794" s="54"/>
      <c r="V794" s="54"/>
      <c r="W794" s="54"/>
      <c r="X794" s="69" t="str">
        <f t="shared" si="58"/>
        <v>D</v>
      </c>
    </row>
    <row r="795" spans="2:24" x14ac:dyDescent="0.25">
      <c r="B795" s="91" t="str">
        <f>IFERROR(VLOOKUP(A795,Lookup!A:B,2,0),"")</f>
        <v/>
      </c>
      <c r="C795" s="59" t="str">
        <f>IFERROR(VLOOKUP(A795,Lookup!A:C,3,0),"")</f>
        <v/>
      </c>
      <c r="D795" s="54"/>
      <c r="E795" s="54"/>
      <c r="F795" s="54"/>
      <c r="G795" s="72"/>
      <c r="H795" s="54"/>
      <c r="I795" s="54"/>
      <c r="J795" s="106">
        <f>VLOOKUP(A795&amp;G795,Lookup!J:N,5,0)</f>
        <v>0</v>
      </c>
      <c r="K795" s="115"/>
      <c r="L795" s="115"/>
      <c r="M795" s="115"/>
      <c r="N795" s="115"/>
      <c r="O795" s="90">
        <f>IFERROR(VLOOKUP(A795&amp;G795,Lookup!J:K,2,0),"")</f>
        <v>0</v>
      </c>
      <c r="P795" s="110" t="str">
        <f t="shared" si="59"/>
        <v/>
      </c>
      <c r="Q795" s="115"/>
      <c r="R795" s="87" t="str">
        <f t="shared" si="60"/>
        <v/>
      </c>
      <c r="S795" s="87" t="str">
        <f t="shared" si="61"/>
        <v/>
      </c>
      <c r="T795" s="54"/>
      <c r="U795" s="54"/>
      <c r="V795" s="54"/>
      <c r="W795" s="54"/>
      <c r="X795" s="69" t="str">
        <f t="shared" si="58"/>
        <v>D</v>
      </c>
    </row>
    <row r="796" spans="2:24" x14ac:dyDescent="0.25">
      <c r="B796" s="91" t="str">
        <f>IFERROR(VLOOKUP(A796,Lookup!A:B,2,0),"")</f>
        <v/>
      </c>
      <c r="C796" s="59" t="str">
        <f>IFERROR(VLOOKUP(A796,Lookup!A:C,3,0),"")</f>
        <v/>
      </c>
      <c r="D796" s="54"/>
      <c r="E796" s="54"/>
      <c r="F796" s="54"/>
      <c r="G796" s="72"/>
      <c r="H796" s="54"/>
      <c r="I796" s="54"/>
      <c r="J796" s="106">
        <f>VLOOKUP(A796&amp;G796,Lookup!J:N,5,0)</f>
        <v>0</v>
      </c>
      <c r="K796" s="115"/>
      <c r="L796" s="115"/>
      <c r="M796" s="115"/>
      <c r="N796" s="115"/>
      <c r="O796" s="90">
        <f>IFERROR(VLOOKUP(A796&amp;G796,Lookup!J:K,2,0),"")</f>
        <v>0</v>
      </c>
      <c r="P796" s="110" t="str">
        <f t="shared" si="59"/>
        <v/>
      </c>
      <c r="Q796" s="115"/>
      <c r="R796" s="87" t="str">
        <f t="shared" si="60"/>
        <v/>
      </c>
      <c r="S796" s="87" t="str">
        <f t="shared" si="61"/>
        <v/>
      </c>
      <c r="T796" s="54"/>
      <c r="U796" s="54"/>
      <c r="V796" s="54"/>
      <c r="W796" s="54"/>
      <c r="X796" s="69" t="str">
        <f t="shared" si="58"/>
        <v>D</v>
      </c>
    </row>
    <row r="797" spans="2:24" x14ac:dyDescent="0.25">
      <c r="B797" s="91" t="str">
        <f>IFERROR(VLOOKUP(A797,Lookup!A:B,2,0),"")</f>
        <v/>
      </c>
      <c r="C797" s="59" t="str">
        <f>IFERROR(VLOOKUP(A797,Lookup!A:C,3,0),"")</f>
        <v/>
      </c>
      <c r="D797" s="54"/>
      <c r="E797" s="54"/>
      <c r="F797" s="54"/>
      <c r="G797" s="72"/>
      <c r="H797" s="54"/>
      <c r="I797" s="54"/>
      <c r="J797" s="106">
        <f>VLOOKUP(A797&amp;G797,Lookup!J:N,5,0)</f>
        <v>0</v>
      </c>
      <c r="K797" s="115"/>
      <c r="L797" s="115"/>
      <c r="M797" s="115"/>
      <c r="N797" s="115"/>
      <c r="O797" s="90">
        <f>IFERROR(VLOOKUP(A797&amp;G797,Lookup!J:K,2,0),"")</f>
        <v>0</v>
      </c>
      <c r="P797" s="110" t="str">
        <f t="shared" si="59"/>
        <v/>
      </c>
      <c r="Q797" s="115"/>
      <c r="R797" s="87" t="str">
        <f t="shared" si="60"/>
        <v/>
      </c>
      <c r="S797" s="87" t="str">
        <f t="shared" si="61"/>
        <v/>
      </c>
      <c r="T797" s="54"/>
      <c r="U797" s="54"/>
      <c r="V797" s="54"/>
      <c r="W797" s="54"/>
      <c r="X797" s="69" t="str">
        <f t="shared" si="58"/>
        <v>D</v>
      </c>
    </row>
    <row r="798" spans="2:24" x14ac:dyDescent="0.25">
      <c r="B798" s="91" t="str">
        <f>IFERROR(VLOOKUP(A798,Lookup!A:B,2,0),"")</f>
        <v/>
      </c>
      <c r="C798" s="59" t="str">
        <f>IFERROR(VLOOKUP(A798,Lookup!A:C,3,0),"")</f>
        <v/>
      </c>
      <c r="D798" s="54"/>
      <c r="E798" s="54"/>
      <c r="F798" s="54"/>
      <c r="G798" s="72"/>
      <c r="H798" s="54"/>
      <c r="I798" s="54"/>
      <c r="J798" s="106">
        <f>VLOOKUP(A798&amp;G798,Lookup!J:N,5,0)</f>
        <v>0</v>
      </c>
      <c r="K798" s="115"/>
      <c r="L798" s="115"/>
      <c r="M798" s="115"/>
      <c r="N798" s="115"/>
      <c r="O798" s="90">
        <f>IFERROR(VLOOKUP(A798&amp;G798,Lookup!J:K,2,0),"")</f>
        <v>0</v>
      </c>
      <c r="P798" s="110" t="str">
        <f t="shared" si="59"/>
        <v/>
      </c>
      <c r="Q798" s="115"/>
      <c r="R798" s="87" t="str">
        <f t="shared" si="60"/>
        <v/>
      </c>
      <c r="S798" s="87" t="str">
        <f t="shared" si="61"/>
        <v/>
      </c>
      <c r="T798" s="54"/>
      <c r="U798" s="54"/>
      <c r="V798" s="54"/>
      <c r="W798" s="54"/>
      <c r="X798" s="69" t="str">
        <f t="shared" si="58"/>
        <v>D</v>
      </c>
    </row>
    <row r="799" spans="2:24" x14ac:dyDescent="0.25">
      <c r="B799" s="91" t="str">
        <f>IFERROR(VLOOKUP(A799,Lookup!A:B,2,0),"")</f>
        <v/>
      </c>
      <c r="C799" s="59" t="str">
        <f>IFERROR(VLOOKUP(A799,Lookup!A:C,3,0),"")</f>
        <v/>
      </c>
      <c r="D799" s="54"/>
      <c r="E799" s="54"/>
      <c r="F799" s="54"/>
      <c r="G799" s="72"/>
      <c r="H799" s="54"/>
      <c r="I799" s="54"/>
      <c r="J799" s="106">
        <f>VLOOKUP(A799&amp;G799,Lookup!J:N,5,0)</f>
        <v>0</v>
      </c>
      <c r="K799" s="115"/>
      <c r="L799" s="115"/>
      <c r="M799" s="115"/>
      <c r="N799" s="115"/>
      <c r="O799" s="90">
        <f>IFERROR(VLOOKUP(A799&amp;G799,Lookup!J:K,2,0),"")</f>
        <v>0</v>
      </c>
      <c r="P799" s="110" t="str">
        <f t="shared" si="59"/>
        <v/>
      </c>
      <c r="Q799" s="115"/>
      <c r="R799" s="87" t="str">
        <f t="shared" si="60"/>
        <v/>
      </c>
      <c r="S799" s="87" t="str">
        <f t="shared" si="61"/>
        <v/>
      </c>
      <c r="T799" s="54"/>
      <c r="U799" s="54"/>
      <c r="V799" s="54"/>
      <c r="W799" s="54"/>
      <c r="X799" s="69" t="str">
        <f t="shared" si="58"/>
        <v>D</v>
      </c>
    </row>
    <row r="800" spans="2:24" x14ac:dyDescent="0.25">
      <c r="B800" s="91" t="str">
        <f>IFERROR(VLOOKUP(A800,Lookup!A:B,2,0),"")</f>
        <v/>
      </c>
      <c r="C800" s="59" t="str">
        <f>IFERROR(VLOOKUP(A800,Lookup!A:C,3,0),"")</f>
        <v/>
      </c>
      <c r="D800" s="54"/>
      <c r="E800" s="54"/>
      <c r="F800" s="54"/>
      <c r="G800" s="72"/>
      <c r="H800" s="54"/>
      <c r="I800" s="54"/>
      <c r="J800" s="106">
        <f>VLOOKUP(A800&amp;G800,Lookup!J:N,5,0)</f>
        <v>0</v>
      </c>
      <c r="K800" s="115"/>
      <c r="L800" s="115"/>
      <c r="M800" s="115"/>
      <c r="N800" s="115"/>
      <c r="O800" s="90">
        <f>IFERROR(VLOOKUP(A800&amp;G800,Lookup!J:K,2,0),"")</f>
        <v>0</v>
      </c>
      <c r="P800" s="110" t="str">
        <f t="shared" si="59"/>
        <v/>
      </c>
      <c r="Q800" s="115"/>
      <c r="R800" s="87" t="str">
        <f t="shared" si="60"/>
        <v/>
      </c>
      <c r="S800" s="87" t="str">
        <f t="shared" si="61"/>
        <v/>
      </c>
      <c r="T800" s="54"/>
      <c r="U800" s="54"/>
      <c r="V800" s="54"/>
      <c r="W800" s="54"/>
      <c r="X800" s="69" t="str">
        <f t="shared" si="58"/>
        <v>D</v>
      </c>
    </row>
    <row r="801" spans="2:24" x14ac:dyDescent="0.25">
      <c r="B801" s="91" t="str">
        <f>IFERROR(VLOOKUP(A801,Lookup!A:B,2,0),"")</f>
        <v/>
      </c>
      <c r="C801" s="59" t="str">
        <f>IFERROR(VLOOKUP(A801,Lookup!A:C,3,0),"")</f>
        <v/>
      </c>
      <c r="D801" s="54"/>
      <c r="E801" s="54"/>
      <c r="F801" s="54"/>
      <c r="G801" s="72"/>
      <c r="H801" s="54"/>
      <c r="I801" s="54"/>
      <c r="J801" s="106">
        <f>VLOOKUP(A801&amp;G801,Lookup!J:N,5,0)</f>
        <v>0</v>
      </c>
      <c r="K801" s="115"/>
      <c r="L801" s="115"/>
      <c r="M801" s="115"/>
      <c r="N801" s="115"/>
      <c r="O801" s="90">
        <f>IFERROR(VLOOKUP(A801&amp;G801,Lookup!J:K,2,0),"")</f>
        <v>0</v>
      </c>
      <c r="P801" s="110" t="str">
        <f t="shared" si="59"/>
        <v/>
      </c>
      <c r="Q801" s="115"/>
      <c r="R801" s="87" t="str">
        <f t="shared" si="60"/>
        <v/>
      </c>
      <c r="S801" s="87" t="str">
        <f t="shared" si="61"/>
        <v/>
      </c>
      <c r="T801" s="54"/>
      <c r="U801" s="54"/>
      <c r="V801" s="54"/>
      <c r="W801" s="54"/>
      <c r="X801" s="69" t="str">
        <f t="shared" si="58"/>
        <v>D</v>
      </c>
    </row>
    <row r="802" spans="2:24" x14ac:dyDescent="0.25">
      <c r="B802" s="91" t="str">
        <f>IFERROR(VLOOKUP(A802,Lookup!A:B,2,0),"")</f>
        <v/>
      </c>
      <c r="C802" s="59" t="str">
        <f>IFERROR(VLOOKUP(A802,Lookup!A:C,3,0),"")</f>
        <v/>
      </c>
      <c r="D802" s="54"/>
      <c r="E802" s="54"/>
      <c r="F802" s="54"/>
      <c r="G802" s="72"/>
      <c r="H802" s="54"/>
      <c r="I802" s="54"/>
      <c r="J802" s="106">
        <f>VLOOKUP(A802&amp;G802,Lookup!J:N,5,0)</f>
        <v>0</v>
      </c>
      <c r="K802" s="115"/>
      <c r="L802" s="115"/>
      <c r="M802" s="115"/>
      <c r="N802" s="115"/>
      <c r="O802" s="90">
        <f>IFERROR(VLOOKUP(A802&amp;G802,Lookup!J:K,2,0),"")</f>
        <v>0</v>
      </c>
      <c r="P802" s="110" t="str">
        <f t="shared" si="59"/>
        <v/>
      </c>
      <c r="Q802" s="115"/>
      <c r="R802" s="87" t="str">
        <f t="shared" si="60"/>
        <v/>
      </c>
      <c r="S802" s="87" t="str">
        <f t="shared" si="61"/>
        <v/>
      </c>
      <c r="T802" s="54"/>
      <c r="U802" s="54"/>
      <c r="V802" s="54"/>
      <c r="W802" s="54"/>
      <c r="X802" s="69" t="str">
        <f t="shared" si="58"/>
        <v>D</v>
      </c>
    </row>
    <row r="803" spans="2:24" x14ac:dyDescent="0.25">
      <c r="B803" s="91" t="str">
        <f>IFERROR(VLOOKUP(A803,Lookup!A:B,2,0),"")</f>
        <v/>
      </c>
      <c r="C803" s="59" t="str">
        <f>IFERROR(VLOOKUP(A803,Lookup!A:C,3,0),"")</f>
        <v/>
      </c>
      <c r="D803" s="54"/>
      <c r="E803" s="54"/>
      <c r="F803" s="54"/>
      <c r="G803" s="72"/>
      <c r="H803" s="54"/>
      <c r="I803" s="54"/>
      <c r="J803" s="106">
        <f>VLOOKUP(A803&amp;G803,Lookup!J:N,5,0)</f>
        <v>0</v>
      </c>
      <c r="K803" s="115"/>
      <c r="L803" s="115"/>
      <c r="M803" s="115"/>
      <c r="N803" s="115"/>
      <c r="O803" s="90">
        <f>IFERROR(VLOOKUP(A803&amp;G803,Lookup!J:K,2,0),"")</f>
        <v>0</v>
      </c>
      <c r="P803" s="110" t="str">
        <f t="shared" si="59"/>
        <v/>
      </c>
      <c r="Q803" s="115"/>
      <c r="R803" s="87" t="str">
        <f t="shared" si="60"/>
        <v/>
      </c>
      <c r="S803" s="87" t="str">
        <f t="shared" si="61"/>
        <v/>
      </c>
      <c r="T803" s="54"/>
      <c r="U803" s="54"/>
      <c r="V803" s="54"/>
      <c r="W803" s="54"/>
      <c r="X803" s="69" t="str">
        <f t="shared" si="58"/>
        <v>D</v>
      </c>
    </row>
    <row r="804" spans="2:24" x14ac:dyDescent="0.25">
      <c r="B804" s="91" t="str">
        <f>IFERROR(VLOOKUP(A804,Lookup!A:B,2,0),"")</f>
        <v/>
      </c>
      <c r="C804" s="59" t="str">
        <f>IFERROR(VLOOKUP(A804,Lookup!A:C,3,0),"")</f>
        <v/>
      </c>
      <c r="D804" s="54"/>
      <c r="E804" s="54"/>
      <c r="F804" s="54"/>
      <c r="G804" s="72"/>
      <c r="H804" s="54"/>
      <c r="I804" s="54"/>
      <c r="J804" s="106">
        <f>VLOOKUP(A804&amp;G804,Lookup!J:N,5,0)</f>
        <v>0</v>
      </c>
      <c r="K804" s="115"/>
      <c r="L804" s="115"/>
      <c r="M804" s="115"/>
      <c r="N804" s="115"/>
      <c r="O804" s="90">
        <f>IFERROR(VLOOKUP(A804&amp;G804,Lookup!J:K,2,0),"")</f>
        <v>0</v>
      </c>
      <c r="P804" s="110" t="str">
        <f t="shared" si="59"/>
        <v/>
      </c>
      <c r="Q804" s="115"/>
      <c r="R804" s="87" t="str">
        <f t="shared" si="60"/>
        <v/>
      </c>
      <c r="S804" s="87" t="str">
        <f t="shared" si="61"/>
        <v/>
      </c>
      <c r="T804" s="54"/>
      <c r="U804" s="54"/>
      <c r="V804" s="54"/>
      <c r="W804" s="54"/>
      <c r="X804" s="69" t="str">
        <f t="shared" si="58"/>
        <v>D</v>
      </c>
    </row>
    <row r="805" spans="2:24" x14ac:dyDescent="0.25">
      <c r="B805" s="91" t="str">
        <f>IFERROR(VLOOKUP(A805,Lookup!A:B,2,0),"")</f>
        <v/>
      </c>
      <c r="C805" s="59" t="str">
        <f>IFERROR(VLOOKUP(A805,Lookup!A:C,3,0),"")</f>
        <v/>
      </c>
      <c r="D805" s="54"/>
      <c r="E805" s="54"/>
      <c r="F805" s="54"/>
      <c r="G805" s="72"/>
      <c r="H805" s="54"/>
      <c r="I805" s="54"/>
      <c r="J805" s="106">
        <f>VLOOKUP(A805&amp;G805,Lookup!J:N,5,0)</f>
        <v>0</v>
      </c>
      <c r="K805" s="115"/>
      <c r="L805" s="115"/>
      <c r="M805" s="115"/>
      <c r="N805" s="115"/>
      <c r="O805" s="90">
        <f>IFERROR(VLOOKUP(A805&amp;G805,Lookup!J:K,2,0),"")</f>
        <v>0</v>
      </c>
      <c r="P805" s="110" t="str">
        <f t="shared" si="59"/>
        <v/>
      </c>
      <c r="Q805" s="115"/>
      <c r="R805" s="87" t="str">
        <f t="shared" si="60"/>
        <v/>
      </c>
      <c r="S805" s="87" t="str">
        <f t="shared" si="61"/>
        <v/>
      </c>
      <c r="T805" s="54"/>
      <c r="U805" s="54"/>
      <c r="V805" s="54"/>
      <c r="W805" s="54"/>
      <c r="X805" s="69" t="str">
        <f t="shared" si="58"/>
        <v>D</v>
      </c>
    </row>
    <row r="806" spans="2:24" x14ac:dyDescent="0.25">
      <c r="B806" s="91" t="str">
        <f>IFERROR(VLOOKUP(A806,Lookup!A:B,2,0),"")</f>
        <v/>
      </c>
      <c r="C806" s="59" t="str">
        <f>IFERROR(VLOOKUP(A806,Lookup!A:C,3,0),"")</f>
        <v/>
      </c>
      <c r="D806" s="54"/>
      <c r="E806" s="54"/>
      <c r="F806" s="54"/>
      <c r="G806" s="72"/>
      <c r="H806" s="54"/>
      <c r="I806" s="54"/>
      <c r="J806" s="106">
        <f>VLOOKUP(A806&amp;G806,Lookup!J:N,5,0)</f>
        <v>0</v>
      </c>
      <c r="K806" s="115"/>
      <c r="L806" s="115"/>
      <c r="M806" s="115"/>
      <c r="N806" s="115"/>
      <c r="O806" s="90">
        <f>IFERROR(VLOOKUP(A806&amp;G806,Lookup!J:K,2,0),"")</f>
        <v>0</v>
      </c>
      <c r="P806" s="110" t="str">
        <f t="shared" si="59"/>
        <v/>
      </c>
      <c r="Q806" s="115"/>
      <c r="R806" s="87" t="str">
        <f t="shared" si="60"/>
        <v/>
      </c>
      <c r="S806" s="87" t="str">
        <f t="shared" si="61"/>
        <v/>
      </c>
      <c r="T806" s="54"/>
      <c r="U806" s="54"/>
      <c r="V806" s="54"/>
      <c r="W806" s="54"/>
      <c r="X806" s="69" t="str">
        <f t="shared" si="58"/>
        <v>D</v>
      </c>
    </row>
    <row r="807" spans="2:24" x14ac:dyDescent="0.25">
      <c r="B807" s="91" t="str">
        <f>IFERROR(VLOOKUP(A807,Lookup!A:B,2,0),"")</f>
        <v/>
      </c>
      <c r="C807" s="59" t="str">
        <f>IFERROR(VLOOKUP(A807,Lookup!A:C,3,0),"")</f>
        <v/>
      </c>
      <c r="D807" s="54"/>
      <c r="E807" s="54"/>
      <c r="F807" s="54"/>
      <c r="G807" s="72"/>
      <c r="H807" s="54"/>
      <c r="I807" s="54"/>
      <c r="J807" s="106">
        <f>VLOOKUP(A807&amp;G807,Lookup!J:N,5,0)</f>
        <v>0</v>
      </c>
      <c r="K807" s="115"/>
      <c r="L807" s="115"/>
      <c r="M807" s="115"/>
      <c r="N807" s="115"/>
      <c r="O807" s="90">
        <f>IFERROR(VLOOKUP(A807&amp;G807,Lookup!J:K,2,0),"")</f>
        <v>0</v>
      </c>
      <c r="P807" s="110" t="str">
        <f t="shared" si="59"/>
        <v/>
      </c>
      <c r="Q807" s="115"/>
      <c r="R807" s="87" t="str">
        <f t="shared" si="60"/>
        <v/>
      </c>
      <c r="S807" s="87" t="str">
        <f t="shared" si="61"/>
        <v/>
      </c>
      <c r="T807" s="54"/>
      <c r="U807" s="54"/>
      <c r="V807" s="54"/>
      <c r="W807" s="54"/>
      <c r="X807" s="69" t="str">
        <f t="shared" si="58"/>
        <v>D</v>
      </c>
    </row>
    <row r="808" spans="2:24" x14ac:dyDescent="0.25">
      <c r="B808" s="91" t="str">
        <f>IFERROR(VLOOKUP(A808,Lookup!A:B,2,0),"")</f>
        <v/>
      </c>
      <c r="C808" s="59" t="str">
        <f>IFERROR(VLOOKUP(A808,Lookup!A:C,3,0),"")</f>
        <v/>
      </c>
      <c r="D808" s="54"/>
      <c r="E808" s="54"/>
      <c r="F808" s="54"/>
      <c r="G808" s="72"/>
      <c r="H808" s="54"/>
      <c r="I808" s="54"/>
      <c r="J808" s="106">
        <f>VLOOKUP(A808&amp;G808,Lookup!J:N,5,0)</f>
        <v>0</v>
      </c>
      <c r="K808" s="115"/>
      <c r="L808" s="115"/>
      <c r="M808" s="115"/>
      <c r="N808" s="115"/>
      <c r="O808" s="90">
        <f>IFERROR(VLOOKUP(A808&amp;G808,Lookup!J:K,2,0),"")</f>
        <v>0</v>
      </c>
      <c r="P808" s="110" t="str">
        <f t="shared" si="59"/>
        <v/>
      </c>
      <c r="Q808" s="115"/>
      <c r="R808" s="87" t="str">
        <f t="shared" si="60"/>
        <v/>
      </c>
      <c r="S808" s="87" t="str">
        <f t="shared" si="61"/>
        <v/>
      </c>
      <c r="T808" s="54"/>
      <c r="U808" s="54"/>
      <c r="V808" s="54"/>
      <c r="W808" s="54"/>
      <c r="X808" s="69" t="str">
        <f t="shared" si="58"/>
        <v>D</v>
      </c>
    </row>
    <row r="809" spans="2:24" x14ac:dyDescent="0.25">
      <c r="B809" s="91" t="str">
        <f>IFERROR(VLOOKUP(A809,Lookup!A:B,2,0),"")</f>
        <v/>
      </c>
      <c r="C809" s="59" t="str">
        <f>IFERROR(VLOOKUP(A809,Lookup!A:C,3,0),"")</f>
        <v/>
      </c>
      <c r="D809" s="54"/>
      <c r="E809" s="54"/>
      <c r="F809" s="54"/>
      <c r="G809" s="72"/>
      <c r="H809" s="54"/>
      <c r="I809" s="54"/>
      <c r="J809" s="106">
        <f>VLOOKUP(A809&amp;G809,Lookup!J:N,5,0)</f>
        <v>0</v>
      </c>
      <c r="K809" s="115"/>
      <c r="L809" s="115"/>
      <c r="M809" s="115"/>
      <c r="N809" s="115"/>
      <c r="O809" s="90">
        <f>IFERROR(VLOOKUP(A809&amp;G809,Lookup!J:K,2,0),"")</f>
        <v>0</v>
      </c>
      <c r="P809" s="110" t="str">
        <f t="shared" si="59"/>
        <v/>
      </c>
      <c r="Q809" s="115"/>
      <c r="R809" s="87" t="str">
        <f t="shared" si="60"/>
        <v/>
      </c>
      <c r="S809" s="87" t="str">
        <f t="shared" si="61"/>
        <v/>
      </c>
      <c r="T809" s="54"/>
      <c r="U809" s="54"/>
      <c r="V809" s="54"/>
      <c r="W809" s="54"/>
      <c r="X809" s="69" t="str">
        <f t="shared" si="58"/>
        <v>D</v>
      </c>
    </row>
    <row r="810" spans="2:24" x14ac:dyDescent="0.25">
      <c r="B810" s="91" t="str">
        <f>IFERROR(VLOOKUP(A810,Lookup!A:B,2,0),"")</f>
        <v/>
      </c>
      <c r="C810" s="59" t="str">
        <f>IFERROR(VLOOKUP(A810,Lookup!A:C,3,0),"")</f>
        <v/>
      </c>
      <c r="D810" s="54"/>
      <c r="E810" s="54"/>
      <c r="F810" s="54"/>
      <c r="G810" s="72"/>
      <c r="H810" s="54"/>
      <c r="I810" s="54"/>
      <c r="J810" s="106">
        <f>VLOOKUP(A810&amp;G810,Lookup!J:N,5,0)</f>
        <v>0</v>
      </c>
      <c r="K810" s="115"/>
      <c r="L810" s="115"/>
      <c r="M810" s="115"/>
      <c r="N810" s="115"/>
      <c r="O810" s="90">
        <f>IFERROR(VLOOKUP(A810&amp;G810,Lookup!J:K,2,0),"")</f>
        <v>0</v>
      </c>
      <c r="P810" s="110" t="str">
        <f t="shared" si="59"/>
        <v/>
      </c>
      <c r="Q810" s="115"/>
      <c r="R810" s="87" t="str">
        <f t="shared" si="60"/>
        <v/>
      </c>
      <c r="S810" s="87" t="str">
        <f t="shared" si="61"/>
        <v/>
      </c>
      <c r="T810" s="54"/>
      <c r="U810" s="54"/>
      <c r="V810" s="54"/>
      <c r="W810" s="54"/>
      <c r="X810" s="69" t="str">
        <f t="shared" si="58"/>
        <v>D</v>
      </c>
    </row>
    <row r="811" spans="2:24" x14ac:dyDescent="0.25">
      <c r="B811" s="91" t="str">
        <f>IFERROR(VLOOKUP(A811,Lookup!A:B,2,0),"")</f>
        <v/>
      </c>
      <c r="C811" s="59" t="str">
        <f>IFERROR(VLOOKUP(A811,Lookup!A:C,3,0),"")</f>
        <v/>
      </c>
      <c r="D811" s="54"/>
      <c r="E811" s="54"/>
      <c r="F811" s="54"/>
      <c r="G811" s="72"/>
      <c r="H811" s="54"/>
      <c r="I811" s="54"/>
      <c r="J811" s="106">
        <f>VLOOKUP(A811&amp;G811,Lookup!J:N,5,0)</f>
        <v>0</v>
      </c>
      <c r="K811" s="115"/>
      <c r="L811" s="115"/>
      <c r="M811" s="115"/>
      <c r="N811" s="115"/>
      <c r="O811" s="90">
        <f>IFERROR(VLOOKUP(A811&amp;G811,Lookup!J:K,2,0),"")</f>
        <v>0</v>
      </c>
      <c r="P811" s="110" t="str">
        <f t="shared" si="59"/>
        <v/>
      </c>
      <c r="Q811" s="115"/>
      <c r="R811" s="87" t="str">
        <f t="shared" si="60"/>
        <v/>
      </c>
      <c r="S811" s="87" t="str">
        <f t="shared" si="61"/>
        <v/>
      </c>
      <c r="T811" s="54"/>
      <c r="U811" s="54"/>
      <c r="V811" s="54"/>
      <c r="W811" s="54"/>
      <c r="X811" s="69" t="str">
        <f t="shared" si="58"/>
        <v>D</v>
      </c>
    </row>
    <row r="812" spans="2:24" x14ac:dyDescent="0.25">
      <c r="B812" s="91" t="str">
        <f>IFERROR(VLOOKUP(A812,Lookup!A:B,2,0),"")</f>
        <v/>
      </c>
      <c r="C812" s="59" t="str">
        <f>IFERROR(VLOOKUP(A812,Lookup!A:C,3,0),"")</f>
        <v/>
      </c>
      <c r="D812" s="54"/>
      <c r="E812" s="54"/>
      <c r="F812" s="54"/>
      <c r="G812" s="72"/>
      <c r="H812" s="54"/>
      <c r="I812" s="54"/>
      <c r="J812" s="106">
        <f>VLOOKUP(A812&amp;G812,Lookup!J:N,5,0)</f>
        <v>0</v>
      </c>
      <c r="K812" s="115"/>
      <c r="L812" s="115"/>
      <c r="M812" s="115"/>
      <c r="N812" s="115"/>
      <c r="O812" s="90">
        <f>IFERROR(VLOOKUP(A812&amp;G812,Lookup!J:K,2,0),"")</f>
        <v>0</v>
      </c>
      <c r="P812" s="110" t="str">
        <f t="shared" si="59"/>
        <v/>
      </c>
      <c r="Q812" s="115"/>
      <c r="R812" s="87" t="str">
        <f t="shared" si="60"/>
        <v/>
      </c>
      <c r="S812" s="87" t="str">
        <f t="shared" si="61"/>
        <v/>
      </c>
      <c r="T812" s="54"/>
      <c r="U812" s="54"/>
      <c r="V812" s="54"/>
      <c r="W812" s="54"/>
      <c r="X812" s="69" t="str">
        <f t="shared" si="58"/>
        <v>D</v>
      </c>
    </row>
    <row r="813" spans="2:24" x14ac:dyDescent="0.25">
      <c r="B813" s="91" t="str">
        <f>IFERROR(VLOOKUP(A813,Lookup!A:B,2,0),"")</f>
        <v/>
      </c>
      <c r="C813" s="59" t="str">
        <f>IFERROR(VLOOKUP(A813,Lookup!A:C,3,0),"")</f>
        <v/>
      </c>
      <c r="D813" s="54"/>
      <c r="E813" s="54"/>
      <c r="F813" s="54"/>
      <c r="G813" s="72"/>
      <c r="H813" s="54"/>
      <c r="I813" s="54"/>
      <c r="J813" s="106">
        <f>VLOOKUP(A813&amp;G813,Lookup!J:N,5,0)</f>
        <v>0</v>
      </c>
      <c r="K813" s="115"/>
      <c r="L813" s="115"/>
      <c r="M813" s="115"/>
      <c r="N813" s="115"/>
      <c r="O813" s="90">
        <f>IFERROR(VLOOKUP(A813&amp;G813,Lookup!J:K,2,0),"")</f>
        <v>0</v>
      </c>
      <c r="P813" s="110" t="str">
        <f t="shared" si="59"/>
        <v/>
      </c>
      <c r="Q813" s="115"/>
      <c r="R813" s="87" t="str">
        <f t="shared" si="60"/>
        <v/>
      </c>
      <c r="S813" s="87" t="str">
        <f t="shared" si="61"/>
        <v/>
      </c>
      <c r="T813" s="54"/>
      <c r="U813" s="54"/>
      <c r="V813" s="54"/>
      <c r="W813" s="54"/>
      <c r="X813" s="69" t="str">
        <f t="shared" si="58"/>
        <v>D</v>
      </c>
    </row>
    <row r="814" spans="2:24" x14ac:dyDescent="0.25">
      <c r="B814" s="91" t="str">
        <f>IFERROR(VLOOKUP(A814,Lookup!A:B,2,0),"")</f>
        <v/>
      </c>
      <c r="C814" s="59" t="str">
        <f>IFERROR(VLOOKUP(A814,Lookup!A:C,3,0),"")</f>
        <v/>
      </c>
      <c r="D814" s="54"/>
      <c r="E814" s="54"/>
      <c r="F814" s="54"/>
      <c r="G814" s="72"/>
      <c r="H814" s="54"/>
      <c r="I814" s="54"/>
      <c r="J814" s="106">
        <f>VLOOKUP(A814&amp;G814,Lookup!J:N,5,0)</f>
        <v>0</v>
      </c>
      <c r="K814" s="115"/>
      <c r="L814" s="115"/>
      <c r="M814" s="115"/>
      <c r="N814" s="115"/>
      <c r="O814" s="90">
        <f>IFERROR(VLOOKUP(A814&amp;G814,Lookup!J:K,2,0),"")</f>
        <v>0</v>
      </c>
      <c r="P814" s="110" t="str">
        <f t="shared" si="59"/>
        <v/>
      </c>
      <c r="Q814" s="115"/>
      <c r="R814" s="87" t="str">
        <f t="shared" si="60"/>
        <v/>
      </c>
      <c r="S814" s="87" t="str">
        <f t="shared" si="61"/>
        <v/>
      </c>
      <c r="T814" s="54"/>
      <c r="U814" s="54"/>
      <c r="V814" s="54"/>
      <c r="W814" s="54"/>
      <c r="X814" s="69" t="str">
        <f t="shared" si="58"/>
        <v>D</v>
      </c>
    </row>
    <row r="815" spans="2:24" x14ac:dyDescent="0.25">
      <c r="B815" s="91" t="str">
        <f>IFERROR(VLOOKUP(A815,Lookup!A:B,2,0),"")</f>
        <v/>
      </c>
      <c r="C815" s="59" t="str">
        <f>IFERROR(VLOOKUP(A815,Lookup!A:C,3,0),"")</f>
        <v/>
      </c>
      <c r="D815" s="54"/>
      <c r="E815" s="54"/>
      <c r="F815" s="54"/>
      <c r="G815" s="72"/>
      <c r="H815" s="54"/>
      <c r="I815" s="54"/>
      <c r="J815" s="106">
        <f>VLOOKUP(A815&amp;G815,Lookup!J:N,5,0)</f>
        <v>0</v>
      </c>
      <c r="K815" s="115"/>
      <c r="L815" s="115"/>
      <c r="M815" s="115"/>
      <c r="N815" s="115"/>
      <c r="O815" s="90">
        <f>IFERROR(VLOOKUP(A815&amp;G815,Lookup!J:K,2,0),"")</f>
        <v>0</v>
      </c>
      <c r="P815" s="110" t="str">
        <f t="shared" si="59"/>
        <v/>
      </c>
      <c r="Q815" s="115"/>
      <c r="R815" s="87" t="str">
        <f t="shared" si="60"/>
        <v/>
      </c>
      <c r="S815" s="87" t="str">
        <f t="shared" si="61"/>
        <v/>
      </c>
      <c r="T815" s="54"/>
      <c r="U815" s="54"/>
      <c r="V815" s="54"/>
      <c r="W815" s="54"/>
      <c r="X815" s="69" t="str">
        <f t="shared" si="58"/>
        <v>D</v>
      </c>
    </row>
    <row r="816" spans="2:24" x14ac:dyDescent="0.25">
      <c r="B816" s="91" t="str">
        <f>IFERROR(VLOOKUP(A816,Lookup!A:B,2,0),"")</f>
        <v/>
      </c>
      <c r="C816" s="59" t="str">
        <f>IFERROR(VLOOKUP(A816,Lookup!A:C,3,0),"")</f>
        <v/>
      </c>
      <c r="D816" s="54"/>
      <c r="E816" s="54"/>
      <c r="F816" s="54"/>
      <c r="G816" s="72"/>
      <c r="H816" s="54"/>
      <c r="I816" s="54"/>
      <c r="J816" s="106">
        <f>VLOOKUP(A816&amp;G816,Lookup!J:N,5,0)</f>
        <v>0</v>
      </c>
      <c r="K816" s="115"/>
      <c r="L816" s="115"/>
      <c r="M816" s="115"/>
      <c r="N816" s="115"/>
      <c r="O816" s="90">
        <f>IFERROR(VLOOKUP(A816&amp;G816,Lookup!J:K,2,0),"")</f>
        <v>0</v>
      </c>
      <c r="P816" s="110" t="str">
        <f t="shared" si="59"/>
        <v/>
      </c>
      <c r="Q816" s="115"/>
      <c r="R816" s="87" t="str">
        <f t="shared" si="60"/>
        <v/>
      </c>
      <c r="S816" s="87" t="str">
        <f t="shared" si="61"/>
        <v/>
      </c>
      <c r="T816" s="54"/>
      <c r="U816" s="54"/>
      <c r="V816" s="54"/>
      <c r="W816" s="54"/>
      <c r="X816" s="69" t="str">
        <f t="shared" si="58"/>
        <v>D</v>
      </c>
    </row>
    <row r="817" spans="2:24" x14ac:dyDescent="0.25">
      <c r="B817" s="91" t="str">
        <f>IFERROR(VLOOKUP(A817,Lookup!A:B,2,0),"")</f>
        <v/>
      </c>
      <c r="C817" s="59" t="str">
        <f>IFERROR(VLOOKUP(A817,Lookup!A:C,3,0),"")</f>
        <v/>
      </c>
      <c r="D817" s="54"/>
      <c r="E817" s="54"/>
      <c r="F817" s="54"/>
      <c r="G817" s="72"/>
      <c r="H817" s="54"/>
      <c r="I817" s="54"/>
      <c r="J817" s="106">
        <f>VLOOKUP(A817&amp;G817,Lookup!J:N,5,0)</f>
        <v>0</v>
      </c>
      <c r="K817" s="115"/>
      <c r="L817" s="115"/>
      <c r="M817" s="115"/>
      <c r="N817" s="115"/>
      <c r="O817" s="90">
        <f>IFERROR(VLOOKUP(A817&amp;G817,Lookup!J:K,2,0),"")</f>
        <v>0</v>
      </c>
      <c r="P817" s="110" t="str">
        <f t="shared" si="59"/>
        <v/>
      </c>
      <c r="Q817" s="115"/>
      <c r="R817" s="87" t="str">
        <f t="shared" si="60"/>
        <v/>
      </c>
      <c r="S817" s="87" t="str">
        <f t="shared" si="61"/>
        <v/>
      </c>
      <c r="T817" s="54"/>
      <c r="U817" s="54"/>
      <c r="V817" s="54"/>
      <c r="W817" s="54"/>
      <c r="X817" s="69" t="str">
        <f t="shared" si="58"/>
        <v>D</v>
      </c>
    </row>
    <row r="818" spans="2:24" x14ac:dyDescent="0.25">
      <c r="B818" s="91" t="str">
        <f>IFERROR(VLOOKUP(A818,Lookup!A:B,2,0),"")</f>
        <v/>
      </c>
      <c r="C818" s="59" t="str">
        <f>IFERROR(VLOOKUP(A818,Lookup!A:C,3,0),"")</f>
        <v/>
      </c>
      <c r="D818" s="54"/>
      <c r="E818" s="54"/>
      <c r="F818" s="54"/>
      <c r="G818" s="72"/>
      <c r="H818" s="54"/>
      <c r="I818" s="54"/>
      <c r="J818" s="106">
        <f>VLOOKUP(A818&amp;G818,Lookup!J:N,5,0)</f>
        <v>0</v>
      </c>
      <c r="K818" s="115"/>
      <c r="L818" s="115"/>
      <c r="M818" s="115"/>
      <c r="N818" s="115"/>
      <c r="O818" s="90">
        <f>IFERROR(VLOOKUP(A818&amp;G818,Lookup!J:K,2,0),"")</f>
        <v>0</v>
      </c>
      <c r="P818" s="110" t="str">
        <f t="shared" si="59"/>
        <v/>
      </c>
      <c r="Q818" s="115"/>
      <c r="R818" s="87" t="str">
        <f t="shared" si="60"/>
        <v/>
      </c>
      <c r="S818" s="87" t="str">
        <f t="shared" si="61"/>
        <v/>
      </c>
      <c r="T818" s="54"/>
      <c r="U818" s="54"/>
      <c r="V818" s="54"/>
      <c r="W818" s="54"/>
      <c r="X818" s="69" t="str">
        <f t="shared" si="58"/>
        <v>D</v>
      </c>
    </row>
    <row r="819" spans="2:24" x14ac:dyDescent="0.25">
      <c r="B819" s="91" t="str">
        <f>IFERROR(VLOOKUP(A819,Lookup!A:B,2,0),"")</f>
        <v/>
      </c>
      <c r="C819" s="59" t="str">
        <f>IFERROR(VLOOKUP(A819,Lookup!A:C,3,0),"")</f>
        <v/>
      </c>
      <c r="D819" s="54"/>
      <c r="E819" s="54"/>
      <c r="F819" s="54"/>
      <c r="G819" s="72"/>
      <c r="H819" s="54"/>
      <c r="I819" s="54"/>
      <c r="J819" s="106">
        <f>VLOOKUP(A819&amp;G819,Lookup!J:N,5,0)</f>
        <v>0</v>
      </c>
      <c r="K819" s="115"/>
      <c r="L819" s="115"/>
      <c r="M819" s="115"/>
      <c r="N819" s="115"/>
      <c r="O819" s="90">
        <f>IFERROR(VLOOKUP(A819&amp;G819,Lookup!J:K,2,0),"")</f>
        <v>0</v>
      </c>
      <c r="P819" s="110" t="str">
        <f t="shared" si="59"/>
        <v/>
      </c>
      <c r="Q819" s="115"/>
      <c r="R819" s="87" t="str">
        <f t="shared" si="60"/>
        <v/>
      </c>
      <c r="S819" s="87" t="str">
        <f t="shared" si="61"/>
        <v/>
      </c>
      <c r="T819" s="54"/>
      <c r="U819" s="54"/>
      <c r="V819" s="54"/>
      <c r="W819" s="54"/>
      <c r="X819" s="69" t="str">
        <f t="shared" si="58"/>
        <v>D</v>
      </c>
    </row>
    <row r="820" spans="2:24" x14ac:dyDescent="0.25">
      <c r="B820" s="91" t="str">
        <f>IFERROR(VLOOKUP(A820,Lookup!A:B,2,0),"")</f>
        <v/>
      </c>
      <c r="C820" s="59" t="str">
        <f>IFERROR(VLOOKUP(A820,Lookup!A:C,3,0),"")</f>
        <v/>
      </c>
      <c r="D820" s="54"/>
      <c r="E820" s="54"/>
      <c r="F820" s="54"/>
      <c r="G820" s="72"/>
      <c r="H820" s="54"/>
      <c r="I820" s="54"/>
      <c r="J820" s="106">
        <f>VLOOKUP(A820&amp;G820,Lookup!J:N,5,0)</f>
        <v>0</v>
      </c>
      <c r="K820" s="115"/>
      <c r="L820" s="115"/>
      <c r="M820" s="115"/>
      <c r="N820" s="115"/>
      <c r="O820" s="90">
        <f>IFERROR(VLOOKUP(A820&amp;G820,Lookup!J:K,2,0),"")</f>
        <v>0</v>
      </c>
      <c r="P820" s="110" t="str">
        <f t="shared" si="59"/>
        <v/>
      </c>
      <c r="Q820" s="115"/>
      <c r="R820" s="87" t="str">
        <f t="shared" si="60"/>
        <v/>
      </c>
      <c r="S820" s="87" t="str">
        <f t="shared" si="61"/>
        <v/>
      </c>
      <c r="T820" s="54"/>
      <c r="U820" s="54"/>
      <c r="V820" s="54"/>
      <c r="W820" s="54"/>
      <c r="X820" s="69" t="str">
        <f t="shared" si="58"/>
        <v>D</v>
      </c>
    </row>
    <row r="821" spans="2:24" x14ac:dyDescent="0.25">
      <c r="B821" s="91" t="str">
        <f>IFERROR(VLOOKUP(A821,Lookup!A:B,2,0),"")</f>
        <v/>
      </c>
      <c r="C821" s="59" t="str">
        <f>IFERROR(VLOOKUP(A821,Lookup!A:C,3,0),"")</f>
        <v/>
      </c>
      <c r="D821" s="54"/>
      <c r="E821" s="54"/>
      <c r="F821" s="54"/>
      <c r="G821" s="72"/>
      <c r="H821" s="54"/>
      <c r="I821" s="54"/>
      <c r="J821" s="106">
        <f>VLOOKUP(A821&amp;G821,Lookup!J:N,5,0)</f>
        <v>0</v>
      </c>
      <c r="K821" s="115"/>
      <c r="L821" s="115"/>
      <c r="M821" s="115"/>
      <c r="N821" s="115"/>
      <c r="O821" s="90">
        <f>IFERROR(VLOOKUP(A821&amp;G821,Lookup!J:K,2,0),"")</f>
        <v>0</v>
      </c>
      <c r="P821" s="110" t="str">
        <f t="shared" si="59"/>
        <v/>
      </c>
      <c r="Q821" s="115"/>
      <c r="R821" s="87" t="str">
        <f t="shared" si="60"/>
        <v/>
      </c>
      <c r="S821" s="87" t="str">
        <f t="shared" si="61"/>
        <v/>
      </c>
      <c r="T821" s="54"/>
      <c r="U821" s="54"/>
      <c r="V821" s="54"/>
      <c r="W821" s="54"/>
      <c r="X821" s="69" t="str">
        <f t="shared" si="58"/>
        <v>D</v>
      </c>
    </row>
    <row r="822" spans="2:24" x14ac:dyDescent="0.25">
      <c r="B822" s="91" t="str">
        <f>IFERROR(VLOOKUP(A822,Lookup!A:B,2,0),"")</f>
        <v/>
      </c>
      <c r="C822" s="59" t="str">
        <f>IFERROR(VLOOKUP(A822,Lookup!A:C,3,0),"")</f>
        <v/>
      </c>
      <c r="D822" s="54"/>
      <c r="E822" s="54"/>
      <c r="F822" s="54"/>
      <c r="G822" s="72"/>
      <c r="H822" s="54"/>
      <c r="I822" s="54"/>
      <c r="J822" s="106">
        <f>VLOOKUP(A822&amp;G822,Lookup!J:N,5,0)</f>
        <v>0</v>
      </c>
      <c r="K822" s="115"/>
      <c r="L822" s="115"/>
      <c r="M822" s="115"/>
      <c r="N822" s="115"/>
      <c r="O822" s="90">
        <f>IFERROR(VLOOKUP(A822&amp;G822,Lookup!J:K,2,0),"")</f>
        <v>0</v>
      </c>
      <c r="P822" s="110" t="str">
        <f t="shared" si="59"/>
        <v/>
      </c>
      <c r="Q822" s="115"/>
      <c r="R822" s="87" t="str">
        <f t="shared" si="60"/>
        <v/>
      </c>
      <c r="S822" s="87" t="str">
        <f t="shared" si="61"/>
        <v/>
      </c>
      <c r="T822" s="54"/>
      <c r="U822" s="54"/>
      <c r="V822" s="54"/>
      <c r="W822" s="54"/>
      <c r="X822" s="69" t="str">
        <f t="shared" si="58"/>
        <v>D</v>
      </c>
    </row>
    <row r="823" spans="2:24" x14ac:dyDescent="0.25">
      <c r="B823" s="91" t="str">
        <f>IFERROR(VLOOKUP(A823,Lookup!A:B,2,0),"")</f>
        <v/>
      </c>
      <c r="C823" s="59" t="str">
        <f>IFERROR(VLOOKUP(A823,Lookup!A:C,3,0),"")</f>
        <v/>
      </c>
      <c r="D823" s="54"/>
      <c r="E823" s="54"/>
      <c r="F823" s="54"/>
      <c r="G823" s="72"/>
      <c r="H823" s="54"/>
      <c r="I823" s="54"/>
      <c r="J823" s="106">
        <f>VLOOKUP(A823&amp;G823,Lookup!J:N,5,0)</f>
        <v>0</v>
      </c>
      <c r="K823" s="115"/>
      <c r="L823" s="115"/>
      <c r="M823" s="115"/>
      <c r="N823" s="115"/>
      <c r="O823" s="90">
        <f>IFERROR(VLOOKUP(A823&amp;G823,Lookup!J:K,2,0),"")</f>
        <v>0</v>
      </c>
      <c r="P823" s="110" t="str">
        <f t="shared" si="59"/>
        <v/>
      </c>
      <c r="Q823" s="115"/>
      <c r="R823" s="87" t="str">
        <f t="shared" si="60"/>
        <v/>
      </c>
      <c r="S823" s="87" t="str">
        <f t="shared" si="61"/>
        <v/>
      </c>
      <c r="T823" s="54"/>
      <c r="U823" s="54"/>
      <c r="V823" s="54"/>
      <c r="W823" s="54"/>
      <c r="X823" s="69" t="str">
        <f t="shared" si="58"/>
        <v>D</v>
      </c>
    </row>
    <row r="824" spans="2:24" x14ac:dyDescent="0.25">
      <c r="B824" s="91" t="str">
        <f>IFERROR(VLOOKUP(A824,Lookup!A:B,2,0),"")</f>
        <v/>
      </c>
      <c r="C824" s="59" t="str">
        <f>IFERROR(VLOOKUP(A824,Lookup!A:C,3,0),"")</f>
        <v/>
      </c>
      <c r="D824" s="54"/>
      <c r="E824" s="54"/>
      <c r="F824" s="54"/>
      <c r="G824" s="72"/>
      <c r="H824" s="54"/>
      <c r="I824" s="54"/>
      <c r="J824" s="106">
        <f>VLOOKUP(A824&amp;G824,Lookup!J:N,5,0)</f>
        <v>0</v>
      </c>
      <c r="K824" s="115"/>
      <c r="L824" s="115"/>
      <c r="M824" s="115"/>
      <c r="N824" s="115"/>
      <c r="O824" s="90">
        <f>IFERROR(VLOOKUP(A824&amp;G824,Lookup!J:K,2,0),"")</f>
        <v>0</v>
      </c>
      <c r="P824" s="110" t="str">
        <f t="shared" si="59"/>
        <v/>
      </c>
      <c r="Q824" s="115"/>
      <c r="R824" s="87" t="str">
        <f t="shared" si="60"/>
        <v/>
      </c>
      <c r="S824" s="87" t="str">
        <f t="shared" si="61"/>
        <v/>
      </c>
      <c r="T824" s="54"/>
      <c r="U824" s="54"/>
      <c r="V824" s="54"/>
      <c r="W824" s="54"/>
      <c r="X824" s="69" t="str">
        <f t="shared" si="58"/>
        <v>D</v>
      </c>
    </row>
    <row r="825" spans="2:24" x14ac:dyDescent="0.25">
      <c r="B825" s="91" t="str">
        <f>IFERROR(VLOOKUP(A825,Lookup!A:B,2,0),"")</f>
        <v/>
      </c>
      <c r="C825" s="59" t="str">
        <f>IFERROR(VLOOKUP(A825,Lookup!A:C,3,0),"")</f>
        <v/>
      </c>
      <c r="D825" s="54"/>
      <c r="E825" s="54"/>
      <c r="F825" s="54"/>
      <c r="G825" s="72"/>
      <c r="H825" s="54"/>
      <c r="I825" s="54"/>
      <c r="J825" s="106">
        <f>VLOOKUP(A825&amp;G825,Lookup!J:N,5,0)</f>
        <v>0</v>
      </c>
      <c r="K825" s="115"/>
      <c r="L825" s="115"/>
      <c r="M825" s="115"/>
      <c r="N825" s="115"/>
      <c r="O825" s="90">
        <f>IFERROR(VLOOKUP(A825&amp;G825,Lookup!J:K,2,0),"")</f>
        <v>0</v>
      </c>
      <c r="P825" s="110" t="str">
        <f t="shared" si="59"/>
        <v/>
      </c>
      <c r="Q825" s="115"/>
      <c r="R825" s="87" t="str">
        <f t="shared" si="60"/>
        <v/>
      </c>
      <c r="S825" s="87" t="str">
        <f t="shared" si="61"/>
        <v/>
      </c>
      <c r="T825" s="54"/>
      <c r="U825" s="54"/>
      <c r="V825" s="54"/>
      <c r="W825" s="54"/>
      <c r="X825" s="69" t="str">
        <f t="shared" si="58"/>
        <v>D</v>
      </c>
    </row>
    <row r="826" spans="2:24" x14ac:dyDescent="0.25">
      <c r="B826" s="91" t="str">
        <f>IFERROR(VLOOKUP(A826,Lookup!A:B,2,0),"")</f>
        <v/>
      </c>
      <c r="C826" s="59" t="str">
        <f>IFERROR(VLOOKUP(A826,Lookup!A:C,3,0),"")</f>
        <v/>
      </c>
      <c r="D826" s="54"/>
      <c r="E826" s="54"/>
      <c r="F826" s="54"/>
      <c r="G826" s="72"/>
      <c r="H826" s="54"/>
      <c r="I826" s="54"/>
      <c r="J826" s="106">
        <f>VLOOKUP(A826&amp;G826,Lookup!J:N,5,0)</f>
        <v>0</v>
      </c>
      <c r="K826" s="115"/>
      <c r="L826" s="115"/>
      <c r="M826" s="115"/>
      <c r="N826" s="115"/>
      <c r="O826" s="90">
        <f>IFERROR(VLOOKUP(A826&amp;G826,Lookup!J:K,2,0),"")</f>
        <v>0</v>
      </c>
      <c r="P826" s="110" t="str">
        <f t="shared" si="59"/>
        <v/>
      </c>
      <c r="Q826" s="115"/>
      <c r="R826" s="87" t="str">
        <f t="shared" si="60"/>
        <v/>
      </c>
      <c r="S826" s="87" t="str">
        <f t="shared" si="61"/>
        <v/>
      </c>
      <c r="T826" s="54"/>
      <c r="U826" s="54"/>
      <c r="V826" s="54"/>
      <c r="W826" s="54"/>
      <c r="X826" s="69" t="str">
        <f t="shared" si="58"/>
        <v>D</v>
      </c>
    </row>
    <row r="827" spans="2:24" x14ac:dyDescent="0.25">
      <c r="B827" s="91" t="str">
        <f>IFERROR(VLOOKUP(A827,Lookup!A:B,2,0),"")</f>
        <v/>
      </c>
      <c r="C827" s="59" t="str">
        <f>IFERROR(VLOOKUP(A827,Lookup!A:C,3,0),"")</f>
        <v/>
      </c>
      <c r="D827" s="54"/>
      <c r="E827" s="54"/>
      <c r="F827" s="54"/>
      <c r="G827" s="72"/>
      <c r="H827" s="54"/>
      <c r="I827" s="54"/>
      <c r="J827" s="106">
        <f>VLOOKUP(A827&amp;G827,Lookup!J:N,5,0)</f>
        <v>0</v>
      </c>
      <c r="K827" s="115"/>
      <c r="L827" s="115"/>
      <c r="M827" s="115"/>
      <c r="N827" s="115"/>
      <c r="O827" s="90">
        <f>IFERROR(VLOOKUP(A827&amp;G827,Lookup!J:K,2,0),"")</f>
        <v>0</v>
      </c>
      <c r="P827" s="110" t="str">
        <f t="shared" si="59"/>
        <v/>
      </c>
      <c r="Q827" s="115"/>
      <c r="R827" s="87" t="str">
        <f t="shared" si="60"/>
        <v/>
      </c>
      <c r="S827" s="87" t="str">
        <f t="shared" si="61"/>
        <v/>
      </c>
      <c r="T827" s="54"/>
      <c r="U827" s="54"/>
      <c r="V827" s="54"/>
      <c r="W827" s="54"/>
      <c r="X827" s="69" t="str">
        <f t="shared" si="58"/>
        <v>D</v>
      </c>
    </row>
    <row r="828" spans="2:24" x14ac:dyDescent="0.25">
      <c r="B828" s="91" t="str">
        <f>IFERROR(VLOOKUP(A828,Lookup!A:B,2,0),"")</f>
        <v/>
      </c>
      <c r="C828" s="59" t="str">
        <f>IFERROR(VLOOKUP(A828,Lookup!A:C,3,0),"")</f>
        <v/>
      </c>
      <c r="D828" s="54"/>
      <c r="E828" s="54"/>
      <c r="F828" s="54"/>
      <c r="G828" s="72"/>
      <c r="H828" s="54"/>
      <c r="I828" s="54"/>
      <c r="J828" s="106">
        <f>VLOOKUP(A828&amp;G828,Lookup!J:N,5,0)</f>
        <v>0</v>
      </c>
      <c r="K828" s="115"/>
      <c r="L828" s="115"/>
      <c r="M828" s="115"/>
      <c r="N828" s="115"/>
      <c r="O828" s="90">
        <f>IFERROR(VLOOKUP(A828&amp;G828,Lookup!J:K,2,0),"")</f>
        <v>0</v>
      </c>
      <c r="P828" s="110" t="str">
        <f t="shared" si="59"/>
        <v/>
      </c>
      <c r="Q828" s="115"/>
      <c r="R828" s="87" t="str">
        <f t="shared" si="60"/>
        <v/>
      </c>
      <c r="S828" s="87" t="str">
        <f t="shared" si="61"/>
        <v/>
      </c>
      <c r="T828" s="54"/>
      <c r="U828" s="54"/>
      <c r="V828" s="54"/>
      <c r="W828" s="54"/>
      <c r="X828" s="69" t="str">
        <f t="shared" si="58"/>
        <v>D</v>
      </c>
    </row>
    <row r="829" spans="2:24" x14ac:dyDescent="0.25">
      <c r="B829" s="91" t="str">
        <f>IFERROR(VLOOKUP(A829,Lookup!A:B,2,0),"")</f>
        <v/>
      </c>
      <c r="C829" s="59" t="str">
        <f>IFERROR(VLOOKUP(A829,Lookup!A:C,3,0),"")</f>
        <v/>
      </c>
      <c r="D829" s="54"/>
      <c r="E829" s="54"/>
      <c r="F829" s="54"/>
      <c r="G829" s="72"/>
      <c r="H829" s="54"/>
      <c r="I829" s="54"/>
      <c r="J829" s="106">
        <f>VLOOKUP(A829&amp;G829,Lookup!J:N,5,0)</f>
        <v>0</v>
      </c>
      <c r="K829" s="115"/>
      <c r="L829" s="115"/>
      <c r="M829" s="115"/>
      <c r="N829" s="115"/>
      <c r="O829" s="90">
        <f>IFERROR(VLOOKUP(A829&amp;G829,Lookup!J:K,2,0),"")</f>
        <v>0</v>
      </c>
      <c r="P829" s="110" t="str">
        <f t="shared" si="59"/>
        <v/>
      </c>
      <c r="Q829" s="115"/>
      <c r="R829" s="87" t="str">
        <f t="shared" si="60"/>
        <v/>
      </c>
      <c r="S829" s="87" t="str">
        <f t="shared" si="61"/>
        <v/>
      </c>
      <c r="T829" s="54"/>
      <c r="U829" s="54"/>
      <c r="V829" s="54"/>
      <c r="W829" s="54"/>
      <c r="X829" s="69" t="str">
        <f t="shared" si="58"/>
        <v>D</v>
      </c>
    </row>
    <row r="830" spans="2:24" x14ac:dyDescent="0.25">
      <c r="B830" s="91" t="str">
        <f>IFERROR(VLOOKUP(A830,Lookup!A:B,2,0),"")</f>
        <v/>
      </c>
      <c r="C830" s="59" t="str">
        <f>IFERROR(VLOOKUP(A830,Lookup!A:C,3,0),"")</f>
        <v/>
      </c>
      <c r="D830" s="54"/>
      <c r="E830" s="54"/>
      <c r="F830" s="54"/>
      <c r="G830" s="72"/>
      <c r="H830" s="54"/>
      <c r="I830" s="54"/>
      <c r="J830" s="106">
        <f>VLOOKUP(A830&amp;G830,Lookup!J:N,5,0)</f>
        <v>0</v>
      </c>
      <c r="K830" s="115"/>
      <c r="L830" s="115"/>
      <c r="M830" s="115"/>
      <c r="N830" s="115"/>
      <c r="O830" s="90">
        <f>IFERROR(VLOOKUP(A830&amp;G830,Lookup!J:K,2,0),"")</f>
        <v>0</v>
      </c>
      <c r="P830" s="110" t="str">
        <f t="shared" si="59"/>
        <v/>
      </c>
      <c r="Q830" s="115"/>
      <c r="R830" s="87" t="str">
        <f t="shared" si="60"/>
        <v/>
      </c>
      <c r="S830" s="87" t="str">
        <f t="shared" si="61"/>
        <v/>
      </c>
      <c r="T830" s="54"/>
      <c r="U830" s="54"/>
      <c r="V830" s="54"/>
      <c r="W830" s="54"/>
      <c r="X830" s="69" t="str">
        <f t="shared" si="58"/>
        <v>D</v>
      </c>
    </row>
    <row r="831" spans="2:24" x14ac:dyDescent="0.25">
      <c r="B831" s="91" t="str">
        <f>IFERROR(VLOOKUP(A831,Lookup!A:B,2,0),"")</f>
        <v/>
      </c>
      <c r="C831" s="59" t="str">
        <f>IFERROR(VLOOKUP(A831,Lookup!A:C,3,0),"")</f>
        <v/>
      </c>
      <c r="D831" s="54"/>
      <c r="E831" s="54"/>
      <c r="F831" s="54"/>
      <c r="G831" s="72"/>
      <c r="H831" s="54"/>
      <c r="I831" s="54"/>
      <c r="J831" s="106">
        <f>VLOOKUP(A831&amp;G831,Lookup!J:N,5,0)</f>
        <v>0</v>
      </c>
      <c r="K831" s="115"/>
      <c r="L831" s="115"/>
      <c r="M831" s="115"/>
      <c r="N831" s="115"/>
      <c r="O831" s="90">
        <f>IFERROR(VLOOKUP(A831&amp;G831,Lookup!J:K,2,0),"")</f>
        <v>0</v>
      </c>
      <c r="P831" s="110" t="str">
        <f t="shared" si="59"/>
        <v/>
      </c>
      <c r="Q831" s="115"/>
      <c r="R831" s="87" t="str">
        <f t="shared" si="60"/>
        <v/>
      </c>
      <c r="S831" s="87" t="str">
        <f t="shared" si="61"/>
        <v/>
      </c>
      <c r="T831" s="54"/>
      <c r="U831" s="54"/>
      <c r="V831" s="54"/>
      <c r="W831" s="54"/>
      <c r="X831" s="69" t="str">
        <f t="shared" si="58"/>
        <v>D</v>
      </c>
    </row>
    <row r="832" spans="2:24" x14ac:dyDescent="0.25">
      <c r="B832" s="91" t="str">
        <f>IFERROR(VLOOKUP(A832,Lookup!A:B,2,0),"")</f>
        <v/>
      </c>
      <c r="C832" s="59" t="str">
        <f>IFERROR(VLOOKUP(A832,Lookup!A:C,3,0),"")</f>
        <v/>
      </c>
      <c r="D832" s="54"/>
      <c r="E832" s="54"/>
      <c r="F832" s="54"/>
      <c r="G832" s="72"/>
      <c r="H832" s="54"/>
      <c r="I832" s="54"/>
      <c r="J832" s="106">
        <f>VLOOKUP(A832&amp;G832,Lookup!J:N,5,0)</f>
        <v>0</v>
      </c>
      <c r="K832" s="115"/>
      <c r="L832" s="115"/>
      <c r="M832" s="115"/>
      <c r="N832" s="115"/>
      <c r="O832" s="90">
        <f>IFERROR(VLOOKUP(A832&amp;G832,Lookup!J:K,2,0),"")</f>
        <v>0</v>
      </c>
      <c r="P832" s="110" t="str">
        <f t="shared" si="59"/>
        <v/>
      </c>
      <c r="Q832" s="115"/>
      <c r="R832" s="87" t="str">
        <f t="shared" si="60"/>
        <v/>
      </c>
      <c r="S832" s="87" t="str">
        <f t="shared" si="61"/>
        <v/>
      </c>
      <c r="T832" s="54"/>
      <c r="U832" s="54"/>
      <c r="V832" s="54"/>
      <c r="W832" s="54"/>
      <c r="X832" s="69" t="str">
        <f t="shared" si="58"/>
        <v>D</v>
      </c>
    </row>
    <row r="833" spans="2:24" x14ac:dyDescent="0.25">
      <c r="B833" s="91" t="str">
        <f>IFERROR(VLOOKUP(A833,Lookup!A:B,2,0),"")</f>
        <v/>
      </c>
      <c r="C833" s="59" t="str">
        <f>IFERROR(VLOOKUP(A833,Lookup!A:C,3,0),"")</f>
        <v/>
      </c>
      <c r="D833" s="54"/>
      <c r="E833" s="54"/>
      <c r="F833" s="54"/>
      <c r="G833" s="72"/>
      <c r="H833" s="54"/>
      <c r="I833" s="54"/>
      <c r="J833" s="106">
        <f>VLOOKUP(A833&amp;G833,Lookup!J:N,5,0)</f>
        <v>0</v>
      </c>
      <c r="K833" s="115"/>
      <c r="L833" s="115"/>
      <c r="M833" s="115"/>
      <c r="N833" s="115"/>
      <c r="O833" s="90">
        <f>IFERROR(VLOOKUP(A833&amp;G833,Lookup!J:K,2,0),"")</f>
        <v>0</v>
      </c>
      <c r="P833" s="110" t="str">
        <f t="shared" si="59"/>
        <v/>
      </c>
      <c r="Q833" s="115"/>
      <c r="R833" s="87" t="str">
        <f t="shared" si="60"/>
        <v/>
      </c>
      <c r="S833" s="87" t="str">
        <f t="shared" si="61"/>
        <v/>
      </c>
      <c r="T833" s="54"/>
      <c r="U833" s="54"/>
      <c r="V833" s="54"/>
      <c r="W833" s="54"/>
      <c r="X833" s="69" t="str">
        <f t="shared" ref="X833:X896" si="62">IF(I833="SET","A",IF(I833="FREQ","C",IF(I833="","D","B")))</f>
        <v>D</v>
      </c>
    </row>
    <row r="834" spans="2:24" x14ac:dyDescent="0.25">
      <c r="B834" s="91" t="str">
        <f>IFERROR(VLOOKUP(A834,Lookup!A:B,2,0),"")</f>
        <v/>
      </c>
      <c r="C834" s="59" t="str">
        <f>IFERROR(VLOOKUP(A834,Lookup!A:C,3,0),"")</f>
        <v/>
      </c>
      <c r="D834" s="54"/>
      <c r="E834" s="54"/>
      <c r="F834" s="54"/>
      <c r="G834" s="72"/>
      <c r="H834" s="54"/>
      <c r="I834" s="54"/>
      <c r="J834" s="106">
        <f>VLOOKUP(A834&amp;G834,Lookup!J:N,5,0)</f>
        <v>0</v>
      </c>
      <c r="K834" s="115"/>
      <c r="L834" s="115"/>
      <c r="M834" s="115"/>
      <c r="N834" s="115"/>
      <c r="O834" s="90">
        <f>IFERROR(VLOOKUP(A834&amp;G834,Lookup!J:K,2,0),"")</f>
        <v>0</v>
      </c>
      <c r="P834" s="110" t="str">
        <f t="shared" ref="P834:P897" si="63">IF(N834="","",N834+O834)</f>
        <v/>
      </c>
      <c r="Q834" s="115"/>
      <c r="R834" s="87" t="str">
        <f t="shared" si="60"/>
        <v/>
      </c>
      <c r="S834" s="87" t="str">
        <f t="shared" si="61"/>
        <v/>
      </c>
      <c r="T834" s="54"/>
      <c r="U834" s="54"/>
      <c r="V834" s="54"/>
      <c r="W834" s="54"/>
      <c r="X834" s="69" t="str">
        <f t="shared" si="62"/>
        <v>D</v>
      </c>
    </row>
    <row r="835" spans="2:24" x14ac:dyDescent="0.25">
      <c r="B835" s="91" t="str">
        <f>IFERROR(VLOOKUP(A835,Lookup!A:B,2,0),"")</f>
        <v/>
      </c>
      <c r="C835" s="59" t="str">
        <f>IFERROR(VLOOKUP(A835,Lookup!A:C,3,0),"")</f>
        <v/>
      </c>
      <c r="D835" s="54"/>
      <c r="E835" s="54"/>
      <c r="F835" s="54"/>
      <c r="G835" s="72"/>
      <c r="H835" s="54"/>
      <c r="I835" s="54"/>
      <c r="J835" s="106">
        <f>VLOOKUP(A835&amp;G835,Lookup!J:N,5,0)</f>
        <v>0</v>
      </c>
      <c r="K835" s="115"/>
      <c r="L835" s="115"/>
      <c r="M835" s="115"/>
      <c r="N835" s="115"/>
      <c r="O835" s="90">
        <f>IFERROR(VLOOKUP(A835&amp;G835,Lookup!J:K,2,0),"")</f>
        <v>0</v>
      </c>
      <c r="P835" s="110" t="str">
        <f t="shared" si="63"/>
        <v/>
      </c>
      <c r="Q835" s="115"/>
      <c r="R835" s="87" t="str">
        <f t="shared" ref="R835:R898" si="64">IF(OR(EXACT(N835,""), EXACT(L835,"")),"",N835-L835)</f>
        <v/>
      </c>
      <c r="S835" s="87" t="str">
        <f t="shared" si="61"/>
        <v/>
      </c>
      <c r="T835" s="54"/>
      <c r="U835" s="54"/>
      <c r="V835" s="54"/>
      <c r="W835" s="54"/>
      <c r="X835" s="69" t="str">
        <f t="shared" si="62"/>
        <v>D</v>
      </c>
    </row>
    <row r="836" spans="2:24" x14ac:dyDescent="0.25">
      <c r="B836" s="91" t="str">
        <f>IFERROR(VLOOKUP(A836,Lookup!A:B,2,0),"")</f>
        <v/>
      </c>
      <c r="C836" s="59" t="str">
        <f>IFERROR(VLOOKUP(A836,Lookup!A:C,3,0),"")</f>
        <v/>
      </c>
      <c r="D836" s="54"/>
      <c r="E836" s="54"/>
      <c r="F836" s="54"/>
      <c r="G836" s="72"/>
      <c r="H836" s="54"/>
      <c r="I836" s="54"/>
      <c r="J836" s="106">
        <f>VLOOKUP(A836&amp;G836,Lookup!J:N,5,0)</f>
        <v>0</v>
      </c>
      <c r="K836" s="115"/>
      <c r="L836" s="115"/>
      <c r="M836" s="115"/>
      <c r="N836" s="115"/>
      <c r="O836" s="90">
        <f>IFERROR(VLOOKUP(A836&amp;G836,Lookup!J:K,2,0),"")</f>
        <v>0</v>
      </c>
      <c r="P836" s="110" t="str">
        <f t="shared" si="63"/>
        <v/>
      </c>
      <c r="Q836" s="115"/>
      <c r="R836" s="87" t="str">
        <f t="shared" si="64"/>
        <v/>
      </c>
      <c r="S836" s="87" t="str">
        <f t="shared" ref="S836:S899" si="65">IF(OR(EXACT(Q836,""), EXACT(L836,"")),"",Q836-L836)</f>
        <v/>
      </c>
      <c r="T836" s="54"/>
      <c r="U836" s="54"/>
      <c r="V836" s="54"/>
      <c r="W836" s="54"/>
      <c r="X836" s="69" t="str">
        <f t="shared" si="62"/>
        <v>D</v>
      </c>
    </row>
    <row r="837" spans="2:24" x14ac:dyDescent="0.25">
      <c r="B837" s="91" t="str">
        <f>IFERROR(VLOOKUP(A837,Lookup!A:B,2,0),"")</f>
        <v/>
      </c>
      <c r="C837" s="59" t="str">
        <f>IFERROR(VLOOKUP(A837,Lookup!A:C,3,0),"")</f>
        <v/>
      </c>
      <c r="D837" s="54"/>
      <c r="E837" s="54"/>
      <c r="F837" s="54"/>
      <c r="G837" s="72"/>
      <c r="H837" s="54"/>
      <c r="I837" s="54"/>
      <c r="J837" s="106">
        <f>VLOOKUP(A837&amp;G837,Lookup!J:N,5,0)</f>
        <v>0</v>
      </c>
      <c r="K837" s="115"/>
      <c r="L837" s="115"/>
      <c r="M837" s="115"/>
      <c r="N837" s="115"/>
      <c r="O837" s="90">
        <f>IFERROR(VLOOKUP(A837&amp;G837,Lookup!J:K,2,0),"")</f>
        <v>0</v>
      </c>
      <c r="P837" s="110" t="str">
        <f t="shared" si="63"/>
        <v/>
      </c>
      <c r="Q837" s="115"/>
      <c r="R837" s="87" t="str">
        <f t="shared" si="64"/>
        <v/>
      </c>
      <c r="S837" s="87" t="str">
        <f t="shared" si="65"/>
        <v/>
      </c>
      <c r="T837" s="54"/>
      <c r="U837" s="54"/>
      <c r="V837" s="54"/>
      <c r="W837" s="54"/>
      <c r="X837" s="69" t="str">
        <f t="shared" si="62"/>
        <v>D</v>
      </c>
    </row>
    <row r="838" spans="2:24" x14ac:dyDescent="0.25">
      <c r="B838" s="91" t="str">
        <f>IFERROR(VLOOKUP(A838,Lookup!A:B,2,0),"")</f>
        <v/>
      </c>
      <c r="C838" s="59" t="str">
        <f>IFERROR(VLOOKUP(A838,Lookup!A:C,3,0),"")</f>
        <v/>
      </c>
      <c r="D838" s="54"/>
      <c r="E838" s="54"/>
      <c r="F838" s="54"/>
      <c r="G838" s="72"/>
      <c r="H838" s="54"/>
      <c r="I838" s="54"/>
      <c r="J838" s="106">
        <f>VLOOKUP(A838&amp;G838,Lookup!J:N,5,0)</f>
        <v>0</v>
      </c>
      <c r="K838" s="115"/>
      <c r="L838" s="115"/>
      <c r="M838" s="115"/>
      <c r="N838" s="115"/>
      <c r="O838" s="90">
        <f>IFERROR(VLOOKUP(A838&amp;G838,Lookup!J:K,2,0),"")</f>
        <v>0</v>
      </c>
      <c r="P838" s="110" t="str">
        <f t="shared" si="63"/>
        <v/>
      </c>
      <c r="Q838" s="115"/>
      <c r="R838" s="87" t="str">
        <f t="shared" si="64"/>
        <v/>
      </c>
      <c r="S838" s="87" t="str">
        <f t="shared" si="65"/>
        <v/>
      </c>
      <c r="T838" s="54"/>
      <c r="U838" s="54"/>
      <c r="V838" s="54"/>
      <c r="W838" s="54"/>
      <c r="X838" s="69" t="str">
        <f t="shared" si="62"/>
        <v>D</v>
      </c>
    </row>
    <row r="839" spans="2:24" x14ac:dyDescent="0.25">
      <c r="B839" s="91" t="str">
        <f>IFERROR(VLOOKUP(A839,Lookup!A:B,2,0),"")</f>
        <v/>
      </c>
      <c r="C839" s="59" t="str">
        <f>IFERROR(VLOOKUP(A839,Lookup!A:C,3,0),"")</f>
        <v/>
      </c>
      <c r="D839" s="54"/>
      <c r="E839" s="54"/>
      <c r="F839" s="54"/>
      <c r="G839" s="72"/>
      <c r="H839" s="54"/>
      <c r="I839" s="54"/>
      <c r="J839" s="106">
        <f>VLOOKUP(A839&amp;G839,Lookup!J:N,5,0)</f>
        <v>0</v>
      </c>
      <c r="K839" s="115"/>
      <c r="L839" s="115"/>
      <c r="M839" s="115"/>
      <c r="N839" s="115"/>
      <c r="O839" s="90">
        <f>IFERROR(VLOOKUP(A839&amp;G839,Lookup!J:K,2,0),"")</f>
        <v>0</v>
      </c>
      <c r="P839" s="110" t="str">
        <f t="shared" si="63"/>
        <v/>
      </c>
      <c r="Q839" s="115"/>
      <c r="R839" s="87" t="str">
        <f t="shared" si="64"/>
        <v/>
      </c>
      <c r="S839" s="87" t="str">
        <f t="shared" si="65"/>
        <v/>
      </c>
      <c r="T839" s="54"/>
      <c r="U839" s="54"/>
      <c r="V839" s="54"/>
      <c r="W839" s="54"/>
      <c r="X839" s="69" t="str">
        <f t="shared" si="62"/>
        <v>D</v>
      </c>
    </row>
    <row r="840" spans="2:24" x14ac:dyDescent="0.25">
      <c r="B840" s="91" t="str">
        <f>IFERROR(VLOOKUP(A840,Lookup!A:B,2,0),"")</f>
        <v/>
      </c>
      <c r="C840" s="59" t="str">
        <f>IFERROR(VLOOKUP(A840,Lookup!A:C,3,0),"")</f>
        <v/>
      </c>
      <c r="D840" s="54"/>
      <c r="E840" s="54"/>
      <c r="F840" s="54"/>
      <c r="G840" s="72"/>
      <c r="H840" s="54"/>
      <c r="I840" s="54"/>
      <c r="J840" s="106">
        <f>VLOOKUP(A840&amp;G840,Lookup!J:N,5,0)</f>
        <v>0</v>
      </c>
      <c r="K840" s="115"/>
      <c r="L840" s="115"/>
      <c r="M840" s="115"/>
      <c r="N840" s="115"/>
      <c r="O840" s="90">
        <f>IFERROR(VLOOKUP(A840&amp;G840,Lookup!J:K,2,0),"")</f>
        <v>0</v>
      </c>
      <c r="P840" s="110" t="str">
        <f t="shared" si="63"/>
        <v/>
      </c>
      <c r="Q840" s="115"/>
      <c r="R840" s="87" t="str">
        <f t="shared" si="64"/>
        <v/>
      </c>
      <c r="S840" s="87" t="str">
        <f t="shared" si="65"/>
        <v/>
      </c>
      <c r="T840" s="54"/>
      <c r="U840" s="54"/>
      <c r="V840" s="54"/>
      <c r="W840" s="54"/>
      <c r="X840" s="69" t="str">
        <f t="shared" si="62"/>
        <v>D</v>
      </c>
    </row>
    <row r="841" spans="2:24" x14ac:dyDescent="0.25">
      <c r="B841" s="91" t="str">
        <f>IFERROR(VLOOKUP(A841,Lookup!A:B,2,0),"")</f>
        <v/>
      </c>
      <c r="C841" s="59" t="str">
        <f>IFERROR(VLOOKUP(A841,Lookup!A:C,3,0),"")</f>
        <v/>
      </c>
      <c r="D841" s="54"/>
      <c r="E841" s="54"/>
      <c r="F841" s="54"/>
      <c r="G841" s="72"/>
      <c r="H841" s="54"/>
      <c r="I841" s="54"/>
      <c r="J841" s="106">
        <f>VLOOKUP(A841&amp;G841,Lookup!J:N,5,0)</f>
        <v>0</v>
      </c>
      <c r="K841" s="115"/>
      <c r="L841" s="115"/>
      <c r="M841" s="115"/>
      <c r="N841" s="115"/>
      <c r="O841" s="90">
        <f>IFERROR(VLOOKUP(A841&amp;G841,Lookup!J:K,2,0),"")</f>
        <v>0</v>
      </c>
      <c r="P841" s="110" t="str">
        <f t="shared" si="63"/>
        <v/>
      </c>
      <c r="Q841" s="115"/>
      <c r="R841" s="87" t="str">
        <f t="shared" si="64"/>
        <v/>
      </c>
      <c r="S841" s="87" t="str">
        <f t="shared" si="65"/>
        <v/>
      </c>
      <c r="T841" s="54"/>
      <c r="U841" s="54"/>
      <c r="V841" s="54"/>
      <c r="W841" s="54"/>
      <c r="X841" s="69" t="str">
        <f t="shared" si="62"/>
        <v>D</v>
      </c>
    </row>
    <row r="842" spans="2:24" x14ac:dyDescent="0.25">
      <c r="B842" s="91" t="str">
        <f>IFERROR(VLOOKUP(A842,Lookup!A:B,2,0),"")</f>
        <v/>
      </c>
      <c r="C842" s="59" t="str">
        <f>IFERROR(VLOOKUP(A842,Lookup!A:C,3,0),"")</f>
        <v/>
      </c>
      <c r="D842" s="54"/>
      <c r="E842" s="54"/>
      <c r="F842" s="54"/>
      <c r="G842" s="72"/>
      <c r="H842" s="54"/>
      <c r="I842" s="54"/>
      <c r="J842" s="106">
        <f>VLOOKUP(A842&amp;G842,Lookup!J:N,5,0)</f>
        <v>0</v>
      </c>
      <c r="K842" s="115"/>
      <c r="L842" s="115"/>
      <c r="M842" s="115"/>
      <c r="N842" s="115"/>
      <c r="O842" s="90">
        <f>IFERROR(VLOOKUP(A842&amp;G842,Lookup!J:K,2,0),"")</f>
        <v>0</v>
      </c>
      <c r="P842" s="110" t="str">
        <f t="shared" si="63"/>
        <v/>
      </c>
      <c r="Q842" s="115"/>
      <c r="R842" s="87" t="str">
        <f t="shared" si="64"/>
        <v/>
      </c>
      <c r="S842" s="87" t="str">
        <f t="shared" si="65"/>
        <v/>
      </c>
      <c r="T842" s="54"/>
      <c r="U842" s="54"/>
      <c r="V842" s="54"/>
      <c r="W842" s="54"/>
      <c r="X842" s="69" t="str">
        <f t="shared" si="62"/>
        <v>D</v>
      </c>
    </row>
    <row r="843" spans="2:24" x14ac:dyDescent="0.25">
      <c r="B843" s="91" t="str">
        <f>IFERROR(VLOOKUP(A843,Lookup!A:B,2,0),"")</f>
        <v/>
      </c>
      <c r="C843" s="59" t="str">
        <f>IFERROR(VLOOKUP(A843,Lookup!A:C,3,0),"")</f>
        <v/>
      </c>
      <c r="D843" s="54"/>
      <c r="E843" s="54"/>
      <c r="F843" s="54"/>
      <c r="G843" s="72"/>
      <c r="H843" s="54"/>
      <c r="I843" s="54"/>
      <c r="J843" s="106">
        <f>VLOOKUP(A843&amp;G843,Lookup!J:N,5,0)</f>
        <v>0</v>
      </c>
      <c r="K843" s="115"/>
      <c r="L843" s="115"/>
      <c r="M843" s="115"/>
      <c r="N843" s="115"/>
      <c r="O843" s="90">
        <f>IFERROR(VLOOKUP(A843&amp;G843,Lookup!J:K,2,0),"")</f>
        <v>0</v>
      </c>
      <c r="P843" s="110" t="str">
        <f t="shared" si="63"/>
        <v/>
      </c>
      <c r="Q843" s="115"/>
      <c r="R843" s="87" t="str">
        <f t="shared" si="64"/>
        <v/>
      </c>
      <c r="S843" s="87" t="str">
        <f t="shared" si="65"/>
        <v/>
      </c>
      <c r="T843" s="54"/>
      <c r="U843" s="54"/>
      <c r="V843" s="54"/>
      <c r="W843" s="54"/>
      <c r="X843" s="69" t="str">
        <f t="shared" si="62"/>
        <v>D</v>
      </c>
    </row>
    <row r="844" spans="2:24" x14ac:dyDescent="0.25">
      <c r="B844" s="91" t="str">
        <f>IFERROR(VLOOKUP(A844,Lookup!A:B,2,0),"")</f>
        <v/>
      </c>
      <c r="C844" s="59" t="str">
        <f>IFERROR(VLOOKUP(A844,Lookup!A:C,3,0),"")</f>
        <v/>
      </c>
      <c r="D844" s="54"/>
      <c r="E844" s="54"/>
      <c r="F844" s="54"/>
      <c r="G844" s="72"/>
      <c r="H844" s="54"/>
      <c r="I844" s="54"/>
      <c r="J844" s="106">
        <f>VLOOKUP(A844&amp;G844,Lookup!J:N,5,0)</f>
        <v>0</v>
      </c>
      <c r="K844" s="115"/>
      <c r="L844" s="115"/>
      <c r="M844" s="115"/>
      <c r="N844" s="115"/>
      <c r="O844" s="90">
        <f>IFERROR(VLOOKUP(A844&amp;G844,Lookup!J:K,2,0),"")</f>
        <v>0</v>
      </c>
      <c r="P844" s="110" t="str">
        <f t="shared" si="63"/>
        <v/>
      </c>
      <c r="Q844" s="115"/>
      <c r="R844" s="87" t="str">
        <f t="shared" si="64"/>
        <v/>
      </c>
      <c r="S844" s="87" t="str">
        <f t="shared" si="65"/>
        <v/>
      </c>
      <c r="T844" s="54"/>
      <c r="U844" s="54"/>
      <c r="V844" s="54"/>
      <c r="W844" s="54"/>
      <c r="X844" s="69" t="str">
        <f t="shared" si="62"/>
        <v>D</v>
      </c>
    </row>
    <row r="845" spans="2:24" x14ac:dyDescent="0.25">
      <c r="B845" s="91" t="str">
        <f>IFERROR(VLOOKUP(A845,Lookup!A:B,2,0),"")</f>
        <v/>
      </c>
      <c r="C845" s="59" t="str">
        <f>IFERROR(VLOOKUP(A845,Lookup!A:C,3,0),"")</f>
        <v/>
      </c>
      <c r="D845" s="54"/>
      <c r="E845" s="54"/>
      <c r="F845" s="54"/>
      <c r="G845" s="72"/>
      <c r="H845" s="54"/>
      <c r="I845" s="54"/>
      <c r="J845" s="106">
        <f>VLOOKUP(A845&amp;G845,Lookup!J:N,5,0)</f>
        <v>0</v>
      </c>
      <c r="K845" s="115"/>
      <c r="L845" s="115"/>
      <c r="M845" s="115"/>
      <c r="N845" s="115"/>
      <c r="O845" s="90">
        <f>IFERROR(VLOOKUP(A845&amp;G845,Lookup!J:K,2,0),"")</f>
        <v>0</v>
      </c>
      <c r="P845" s="110" t="str">
        <f t="shared" si="63"/>
        <v/>
      </c>
      <c r="Q845" s="115"/>
      <c r="R845" s="87" t="str">
        <f t="shared" si="64"/>
        <v/>
      </c>
      <c r="S845" s="87" t="str">
        <f t="shared" si="65"/>
        <v/>
      </c>
      <c r="T845" s="54"/>
      <c r="U845" s="54"/>
      <c r="V845" s="54"/>
      <c r="W845" s="54"/>
      <c r="X845" s="69" t="str">
        <f t="shared" si="62"/>
        <v>D</v>
      </c>
    </row>
    <row r="846" spans="2:24" x14ac:dyDescent="0.25">
      <c r="B846" s="91" t="str">
        <f>IFERROR(VLOOKUP(A846,Lookup!A:B,2,0),"")</f>
        <v/>
      </c>
      <c r="C846" s="59" t="str">
        <f>IFERROR(VLOOKUP(A846,Lookup!A:C,3,0),"")</f>
        <v/>
      </c>
      <c r="D846" s="54"/>
      <c r="E846" s="54"/>
      <c r="F846" s="54"/>
      <c r="G846" s="72"/>
      <c r="H846" s="54"/>
      <c r="I846" s="54"/>
      <c r="J846" s="106">
        <f>VLOOKUP(A846&amp;G846,Lookup!J:N,5,0)</f>
        <v>0</v>
      </c>
      <c r="K846" s="115"/>
      <c r="L846" s="115"/>
      <c r="M846" s="115"/>
      <c r="N846" s="115"/>
      <c r="O846" s="90">
        <f>IFERROR(VLOOKUP(A846&amp;G846,Lookup!J:K,2,0),"")</f>
        <v>0</v>
      </c>
      <c r="P846" s="110" t="str">
        <f t="shared" si="63"/>
        <v/>
      </c>
      <c r="Q846" s="115"/>
      <c r="R846" s="87" t="str">
        <f t="shared" si="64"/>
        <v/>
      </c>
      <c r="S846" s="87" t="str">
        <f t="shared" si="65"/>
        <v/>
      </c>
      <c r="T846" s="54"/>
      <c r="U846" s="54"/>
      <c r="V846" s="54"/>
      <c r="W846" s="54"/>
      <c r="X846" s="69" t="str">
        <f t="shared" si="62"/>
        <v>D</v>
      </c>
    </row>
    <row r="847" spans="2:24" x14ac:dyDescent="0.25">
      <c r="B847" s="91" t="str">
        <f>IFERROR(VLOOKUP(A847,Lookup!A:B,2,0),"")</f>
        <v/>
      </c>
      <c r="C847" s="59" t="str">
        <f>IFERROR(VLOOKUP(A847,Lookup!A:C,3,0),"")</f>
        <v/>
      </c>
      <c r="D847" s="54"/>
      <c r="E847" s="54"/>
      <c r="F847" s="54"/>
      <c r="G847" s="72"/>
      <c r="H847" s="54"/>
      <c r="I847" s="54"/>
      <c r="J847" s="106">
        <f>VLOOKUP(A847&amp;G847,Lookup!J:N,5,0)</f>
        <v>0</v>
      </c>
      <c r="K847" s="115"/>
      <c r="L847" s="115"/>
      <c r="M847" s="115"/>
      <c r="N847" s="115"/>
      <c r="O847" s="90">
        <f>IFERROR(VLOOKUP(A847&amp;G847,Lookup!J:K,2,0),"")</f>
        <v>0</v>
      </c>
      <c r="P847" s="110" t="str">
        <f t="shared" si="63"/>
        <v/>
      </c>
      <c r="Q847" s="115"/>
      <c r="R847" s="87" t="str">
        <f t="shared" si="64"/>
        <v/>
      </c>
      <c r="S847" s="87" t="str">
        <f t="shared" si="65"/>
        <v/>
      </c>
      <c r="T847" s="54"/>
      <c r="U847" s="54"/>
      <c r="V847" s="54"/>
      <c r="W847" s="54"/>
      <c r="X847" s="69" t="str">
        <f t="shared" si="62"/>
        <v>D</v>
      </c>
    </row>
    <row r="848" spans="2:24" x14ac:dyDescent="0.25">
      <c r="B848" s="91" t="str">
        <f>IFERROR(VLOOKUP(A848,Lookup!A:B,2,0),"")</f>
        <v/>
      </c>
      <c r="C848" s="59" t="str">
        <f>IFERROR(VLOOKUP(A848,Lookup!A:C,3,0),"")</f>
        <v/>
      </c>
      <c r="D848" s="54"/>
      <c r="E848" s="54"/>
      <c r="F848" s="54"/>
      <c r="G848" s="72"/>
      <c r="H848" s="54"/>
      <c r="I848" s="54"/>
      <c r="J848" s="106">
        <f>VLOOKUP(A848&amp;G848,Lookup!J:N,5,0)</f>
        <v>0</v>
      </c>
      <c r="K848" s="115"/>
      <c r="L848" s="115"/>
      <c r="M848" s="115"/>
      <c r="N848" s="115"/>
      <c r="O848" s="90">
        <f>IFERROR(VLOOKUP(A848&amp;G848,Lookup!J:K,2,0),"")</f>
        <v>0</v>
      </c>
      <c r="P848" s="110" t="str">
        <f t="shared" si="63"/>
        <v/>
      </c>
      <c r="Q848" s="115"/>
      <c r="R848" s="87" t="str">
        <f t="shared" si="64"/>
        <v/>
      </c>
      <c r="S848" s="87" t="str">
        <f t="shared" si="65"/>
        <v/>
      </c>
      <c r="T848" s="54"/>
      <c r="U848" s="54"/>
      <c r="V848" s="54"/>
      <c r="W848" s="54"/>
      <c r="X848" s="69" t="str">
        <f t="shared" si="62"/>
        <v>D</v>
      </c>
    </row>
    <row r="849" spans="2:24" x14ac:dyDescent="0.25">
      <c r="B849" s="91" t="str">
        <f>IFERROR(VLOOKUP(A849,Lookup!A:B,2,0),"")</f>
        <v/>
      </c>
      <c r="C849" s="59" t="str">
        <f>IFERROR(VLOOKUP(A849,Lookup!A:C,3,0),"")</f>
        <v/>
      </c>
      <c r="D849" s="54"/>
      <c r="E849" s="54"/>
      <c r="F849" s="54"/>
      <c r="G849" s="72"/>
      <c r="H849" s="54"/>
      <c r="I849" s="54"/>
      <c r="J849" s="106">
        <f>VLOOKUP(A849&amp;G849,Lookup!J:N,5,0)</f>
        <v>0</v>
      </c>
      <c r="K849" s="115"/>
      <c r="L849" s="115"/>
      <c r="M849" s="115"/>
      <c r="N849" s="115"/>
      <c r="O849" s="90">
        <f>IFERROR(VLOOKUP(A849&amp;G849,Lookup!J:K,2,0),"")</f>
        <v>0</v>
      </c>
      <c r="P849" s="110" t="str">
        <f t="shared" si="63"/>
        <v/>
      </c>
      <c r="Q849" s="115"/>
      <c r="R849" s="87" t="str">
        <f t="shared" si="64"/>
        <v/>
      </c>
      <c r="S849" s="87" t="str">
        <f t="shared" si="65"/>
        <v/>
      </c>
      <c r="T849" s="54"/>
      <c r="U849" s="54"/>
      <c r="V849" s="54"/>
      <c r="W849" s="54"/>
      <c r="X849" s="69" t="str">
        <f t="shared" si="62"/>
        <v>D</v>
      </c>
    </row>
    <row r="850" spans="2:24" x14ac:dyDescent="0.25">
      <c r="B850" s="91" t="str">
        <f>IFERROR(VLOOKUP(A850,Lookup!A:B,2,0),"")</f>
        <v/>
      </c>
      <c r="C850" s="59" t="str">
        <f>IFERROR(VLOOKUP(A850,Lookup!A:C,3,0),"")</f>
        <v/>
      </c>
      <c r="D850" s="54"/>
      <c r="E850" s="54"/>
      <c r="F850" s="54"/>
      <c r="G850" s="72"/>
      <c r="H850" s="54"/>
      <c r="I850" s="54"/>
      <c r="J850" s="106">
        <f>VLOOKUP(A850&amp;G850,Lookup!J:N,5,0)</f>
        <v>0</v>
      </c>
      <c r="K850" s="115"/>
      <c r="L850" s="115"/>
      <c r="M850" s="115"/>
      <c r="N850" s="115"/>
      <c r="O850" s="90">
        <f>IFERROR(VLOOKUP(A850&amp;G850,Lookup!J:K,2,0),"")</f>
        <v>0</v>
      </c>
      <c r="P850" s="110" t="str">
        <f t="shared" si="63"/>
        <v/>
      </c>
      <c r="Q850" s="115"/>
      <c r="R850" s="87" t="str">
        <f t="shared" si="64"/>
        <v/>
      </c>
      <c r="S850" s="87" t="str">
        <f t="shared" si="65"/>
        <v/>
      </c>
      <c r="T850" s="54"/>
      <c r="U850" s="54"/>
      <c r="V850" s="54"/>
      <c r="W850" s="54"/>
      <c r="X850" s="69" t="str">
        <f t="shared" si="62"/>
        <v>D</v>
      </c>
    </row>
    <row r="851" spans="2:24" x14ac:dyDescent="0.25">
      <c r="B851" s="91" t="str">
        <f>IFERROR(VLOOKUP(A851,Lookup!A:B,2,0),"")</f>
        <v/>
      </c>
      <c r="C851" s="59" t="str">
        <f>IFERROR(VLOOKUP(A851,Lookup!A:C,3,0),"")</f>
        <v/>
      </c>
      <c r="D851" s="54"/>
      <c r="E851" s="54"/>
      <c r="F851" s="54"/>
      <c r="G851" s="72"/>
      <c r="H851" s="54"/>
      <c r="I851" s="54"/>
      <c r="J851" s="106">
        <f>VLOOKUP(A851&amp;G851,Lookup!J:N,5,0)</f>
        <v>0</v>
      </c>
      <c r="K851" s="115"/>
      <c r="L851" s="115"/>
      <c r="M851" s="115"/>
      <c r="N851" s="115"/>
      <c r="O851" s="90">
        <f>IFERROR(VLOOKUP(A851&amp;G851,Lookup!J:K,2,0),"")</f>
        <v>0</v>
      </c>
      <c r="P851" s="110" t="str">
        <f t="shared" si="63"/>
        <v/>
      </c>
      <c r="Q851" s="115"/>
      <c r="R851" s="87" t="str">
        <f t="shared" si="64"/>
        <v/>
      </c>
      <c r="S851" s="87" t="str">
        <f t="shared" si="65"/>
        <v/>
      </c>
      <c r="T851" s="54"/>
      <c r="U851" s="54"/>
      <c r="V851" s="54"/>
      <c r="W851" s="54"/>
      <c r="X851" s="69" t="str">
        <f t="shared" si="62"/>
        <v>D</v>
      </c>
    </row>
    <row r="852" spans="2:24" x14ac:dyDescent="0.25">
      <c r="B852" s="91" t="str">
        <f>IFERROR(VLOOKUP(A852,Lookup!A:B,2,0),"")</f>
        <v/>
      </c>
      <c r="C852" s="59" t="str">
        <f>IFERROR(VLOOKUP(A852,Lookup!A:C,3,0),"")</f>
        <v/>
      </c>
      <c r="D852" s="54"/>
      <c r="E852" s="54"/>
      <c r="F852" s="54"/>
      <c r="G852" s="72"/>
      <c r="H852" s="54"/>
      <c r="I852" s="54"/>
      <c r="J852" s="106">
        <f>VLOOKUP(A852&amp;G852,Lookup!J:N,5,0)</f>
        <v>0</v>
      </c>
      <c r="K852" s="115"/>
      <c r="L852" s="115"/>
      <c r="M852" s="115"/>
      <c r="N852" s="115"/>
      <c r="O852" s="90">
        <f>IFERROR(VLOOKUP(A852&amp;G852,Lookup!J:K,2,0),"")</f>
        <v>0</v>
      </c>
      <c r="P852" s="110" t="str">
        <f t="shared" si="63"/>
        <v/>
      </c>
      <c r="Q852" s="115"/>
      <c r="R852" s="87" t="str">
        <f t="shared" si="64"/>
        <v/>
      </c>
      <c r="S852" s="87" t="str">
        <f t="shared" si="65"/>
        <v/>
      </c>
      <c r="T852" s="54"/>
      <c r="U852" s="54"/>
      <c r="V852" s="54"/>
      <c r="W852" s="54"/>
      <c r="X852" s="69" t="str">
        <f t="shared" si="62"/>
        <v>D</v>
      </c>
    </row>
    <row r="853" spans="2:24" x14ac:dyDescent="0.25">
      <c r="B853" s="91" t="str">
        <f>IFERROR(VLOOKUP(A853,Lookup!A:B,2,0),"")</f>
        <v/>
      </c>
      <c r="C853" s="59" t="str">
        <f>IFERROR(VLOOKUP(A853,Lookup!A:C,3,0),"")</f>
        <v/>
      </c>
      <c r="D853" s="54"/>
      <c r="E853" s="54"/>
      <c r="F853" s="54"/>
      <c r="G853" s="72"/>
      <c r="H853" s="54"/>
      <c r="I853" s="54"/>
      <c r="J853" s="106">
        <f>VLOOKUP(A853&amp;G853,Lookup!J:N,5,0)</f>
        <v>0</v>
      </c>
      <c r="K853" s="115"/>
      <c r="L853" s="115"/>
      <c r="M853" s="115"/>
      <c r="N853" s="115"/>
      <c r="O853" s="90">
        <f>IFERROR(VLOOKUP(A853&amp;G853,Lookup!J:K,2,0),"")</f>
        <v>0</v>
      </c>
      <c r="P853" s="110" t="str">
        <f t="shared" si="63"/>
        <v/>
      </c>
      <c r="Q853" s="115"/>
      <c r="R853" s="87" t="str">
        <f t="shared" si="64"/>
        <v/>
      </c>
      <c r="S853" s="87" t="str">
        <f t="shared" si="65"/>
        <v/>
      </c>
      <c r="T853" s="54"/>
      <c r="U853" s="54"/>
      <c r="V853" s="54"/>
      <c r="W853" s="54"/>
      <c r="X853" s="69" t="str">
        <f t="shared" si="62"/>
        <v>D</v>
      </c>
    </row>
    <row r="854" spans="2:24" x14ac:dyDescent="0.25">
      <c r="B854" s="91" t="str">
        <f>IFERROR(VLOOKUP(A854,Lookup!A:B,2,0),"")</f>
        <v/>
      </c>
      <c r="C854" s="59" t="str">
        <f>IFERROR(VLOOKUP(A854,Lookup!A:C,3,0),"")</f>
        <v/>
      </c>
      <c r="D854" s="54"/>
      <c r="E854" s="54"/>
      <c r="F854" s="54"/>
      <c r="G854" s="72"/>
      <c r="H854" s="54"/>
      <c r="I854" s="54"/>
      <c r="J854" s="106">
        <f>VLOOKUP(A854&amp;G854,Lookup!J:N,5,0)</f>
        <v>0</v>
      </c>
      <c r="K854" s="115"/>
      <c r="L854" s="115"/>
      <c r="M854" s="115"/>
      <c r="N854" s="115"/>
      <c r="O854" s="90">
        <f>IFERROR(VLOOKUP(A854&amp;G854,Lookup!J:K,2,0),"")</f>
        <v>0</v>
      </c>
      <c r="P854" s="110" t="str">
        <f t="shared" si="63"/>
        <v/>
      </c>
      <c r="Q854" s="115"/>
      <c r="R854" s="87" t="str">
        <f t="shared" si="64"/>
        <v/>
      </c>
      <c r="S854" s="87" t="str">
        <f t="shared" si="65"/>
        <v/>
      </c>
      <c r="T854" s="54"/>
      <c r="U854" s="54"/>
      <c r="V854" s="54"/>
      <c r="W854" s="54"/>
      <c r="X854" s="69" t="str">
        <f t="shared" si="62"/>
        <v>D</v>
      </c>
    </row>
    <row r="855" spans="2:24" x14ac:dyDescent="0.25">
      <c r="B855" s="91" t="str">
        <f>IFERROR(VLOOKUP(A855,Lookup!A:B,2,0),"")</f>
        <v/>
      </c>
      <c r="C855" s="59" t="str">
        <f>IFERROR(VLOOKUP(A855,Lookup!A:C,3,0),"")</f>
        <v/>
      </c>
      <c r="D855" s="54"/>
      <c r="E855" s="54"/>
      <c r="F855" s="54"/>
      <c r="G855" s="72"/>
      <c r="H855" s="54"/>
      <c r="I855" s="54"/>
      <c r="J855" s="106">
        <f>VLOOKUP(A855&amp;G855,Lookup!J:N,5,0)</f>
        <v>0</v>
      </c>
      <c r="K855" s="115"/>
      <c r="L855" s="115"/>
      <c r="M855" s="115"/>
      <c r="N855" s="115"/>
      <c r="O855" s="90">
        <f>IFERROR(VLOOKUP(A855&amp;G855,Lookup!J:K,2,0),"")</f>
        <v>0</v>
      </c>
      <c r="P855" s="110" t="str">
        <f t="shared" si="63"/>
        <v/>
      </c>
      <c r="Q855" s="115"/>
      <c r="R855" s="87" t="str">
        <f t="shared" si="64"/>
        <v/>
      </c>
      <c r="S855" s="87" t="str">
        <f t="shared" si="65"/>
        <v/>
      </c>
      <c r="T855" s="54"/>
      <c r="U855" s="54"/>
      <c r="V855" s="54"/>
      <c r="W855" s="54"/>
      <c r="X855" s="69" t="str">
        <f t="shared" si="62"/>
        <v>D</v>
      </c>
    </row>
    <row r="856" spans="2:24" x14ac:dyDescent="0.25">
      <c r="B856" s="91" t="str">
        <f>IFERROR(VLOOKUP(A856,Lookup!A:B,2,0),"")</f>
        <v/>
      </c>
      <c r="C856" s="59" t="str">
        <f>IFERROR(VLOOKUP(A856,Lookup!A:C,3,0),"")</f>
        <v/>
      </c>
      <c r="D856" s="54"/>
      <c r="E856" s="54"/>
      <c r="F856" s="54"/>
      <c r="G856" s="72"/>
      <c r="H856" s="54"/>
      <c r="I856" s="54"/>
      <c r="J856" s="106">
        <f>VLOOKUP(A856&amp;G856,Lookup!J:N,5,0)</f>
        <v>0</v>
      </c>
      <c r="K856" s="115"/>
      <c r="L856" s="115"/>
      <c r="M856" s="115"/>
      <c r="N856" s="115"/>
      <c r="O856" s="90">
        <f>IFERROR(VLOOKUP(A856&amp;G856,Lookup!J:K,2,0),"")</f>
        <v>0</v>
      </c>
      <c r="P856" s="110" t="str">
        <f t="shared" si="63"/>
        <v/>
      </c>
      <c r="Q856" s="115"/>
      <c r="R856" s="87" t="str">
        <f t="shared" si="64"/>
        <v/>
      </c>
      <c r="S856" s="87" t="str">
        <f t="shared" si="65"/>
        <v/>
      </c>
      <c r="T856" s="54"/>
      <c r="U856" s="54"/>
      <c r="V856" s="54"/>
      <c r="W856" s="54"/>
      <c r="X856" s="69" t="str">
        <f t="shared" si="62"/>
        <v>D</v>
      </c>
    </row>
    <row r="857" spans="2:24" x14ac:dyDescent="0.25">
      <c r="B857" s="91" t="str">
        <f>IFERROR(VLOOKUP(A857,Lookup!A:B,2,0),"")</f>
        <v/>
      </c>
      <c r="C857" s="59" t="str">
        <f>IFERROR(VLOOKUP(A857,Lookup!A:C,3,0),"")</f>
        <v/>
      </c>
      <c r="D857" s="54"/>
      <c r="E857" s="54"/>
      <c r="F857" s="54"/>
      <c r="G857" s="72"/>
      <c r="H857" s="54"/>
      <c r="I857" s="54"/>
      <c r="J857" s="106">
        <f>VLOOKUP(A857&amp;G857,Lookup!J:N,5,0)</f>
        <v>0</v>
      </c>
      <c r="K857" s="115"/>
      <c r="L857" s="115"/>
      <c r="M857" s="115"/>
      <c r="N857" s="115"/>
      <c r="O857" s="90">
        <f>IFERROR(VLOOKUP(A857&amp;G857,Lookup!J:K,2,0),"")</f>
        <v>0</v>
      </c>
      <c r="P857" s="110" t="str">
        <f t="shared" si="63"/>
        <v/>
      </c>
      <c r="Q857" s="115"/>
      <c r="R857" s="87" t="str">
        <f t="shared" si="64"/>
        <v/>
      </c>
      <c r="S857" s="87" t="str">
        <f t="shared" si="65"/>
        <v/>
      </c>
      <c r="T857" s="54"/>
      <c r="U857" s="54"/>
      <c r="V857" s="54"/>
      <c r="W857" s="54"/>
      <c r="X857" s="69" t="str">
        <f t="shared" si="62"/>
        <v>D</v>
      </c>
    </row>
    <row r="858" spans="2:24" x14ac:dyDescent="0.25">
      <c r="B858" s="91" t="str">
        <f>IFERROR(VLOOKUP(A858,Lookup!A:B,2,0),"")</f>
        <v/>
      </c>
      <c r="C858" s="59" t="str">
        <f>IFERROR(VLOOKUP(A858,Lookup!A:C,3,0),"")</f>
        <v/>
      </c>
      <c r="D858" s="54"/>
      <c r="E858" s="54"/>
      <c r="F858" s="54"/>
      <c r="G858" s="72"/>
      <c r="H858" s="54"/>
      <c r="I858" s="54"/>
      <c r="J858" s="106">
        <f>VLOOKUP(A858&amp;G858,Lookup!J:N,5,0)</f>
        <v>0</v>
      </c>
      <c r="K858" s="115"/>
      <c r="L858" s="115"/>
      <c r="M858" s="115"/>
      <c r="N858" s="115"/>
      <c r="O858" s="90">
        <f>IFERROR(VLOOKUP(A858&amp;G858,Lookup!J:K,2,0),"")</f>
        <v>0</v>
      </c>
      <c r="P858" s="110" t="str">
        <f t="shared" si="63"/>
        <v/>
      </c>
      <c r="Q858" s="115"/>
      <c r="R858" s="87" t="str">
        <f t="shared" si="64"/>
        <v/>
      </c>
      <c r="S858" s="87" t="str">
        <f t="shared" si="65"/>
        <v/>
      </c>
      <c r="T858" s="54"/>
      <c r="U858" s="54"/>
      <c r="V858" s="54"/>
      <c r="W858" s="54"/>
      <c r="X858" s="69" t="str">
        <f t="shared" si="62"/>
        <v>D</v>
      </c>
    </row>
    <row r="859" spans="2:24" x14ac:dyDescent="0.25">
      <c r="B859" s="91" t="str">
        <f>IFERROR(VLOOKUP(A859,Lookup!A:B,2,0),"")</f>
        <v/>
      </c>
      <c r="C859" s="59" t="str">
        <f>IFERROR(VLOOKUP(A859,Lookup!A:C,3,0),"")</f>
        <v/>
      </c>
      <c r="D859" s="54"/>
      <c r="E859" s="54"/>
      <c r="F859" s="54"/>
      <c r="G859" s="72"/>
      <c r="H859" s="54"/>
      <c r="I859" s="54"/>
      <c r="J859" s="106">
        <f>VLOOKUP(A859&amp;G859,Lookup!J:N,5,0)</f>
        <v>0</v>
      </c>
      <c r="K859" s="115"/>
      <c r="L859" s="115"/>
      <c r="M859" s="115"/>
      <c r="N859" s="115"/>
      <c r="O859" s="90">
        <f>IFERROR(VLOOKUP(A859&amp;G859,Lookup!J:K,2,0),"")</f>
        <v>0</v>
      </c>
      <c r="P859" s="110" t="str">
        <f t="shared" si="63"/>
        <v/>
      </c>
      <c r="Q859" s="115"/>
      <c r="R859" s="87" t="str">
        <f t="shared" si="64"/>
        <v/>
      </c>
      <c r="S859" s="87" t="str">
        <f t="shared" si="65"/>
        <v/>
      </c>
      <c r="T859" s="54"/>
      <c r="U859" s="54"/>
      <c r="V859" s="54"/>
      <c r="W859" s="54"/>
      <c r="X859" s="69" t="str">
        <f t="shared" si="62"/>
        <v>D</v>
      </c>
    </row>
    <row r="860" spans="2:24" x14ac:dyDescent="0.25">
      <c r="B860" s="91" t="str">
        <f>IFERROR(VLOOKUP(A860,Lookup!A:B,2,0),"")</f>
        <v/>
      </c>
      <c r="C860" s="59" t="str">
        <f>IFERROR(VLOOKUP(A860,Lookup!A:C,3,0),"")</f>
        <v/>
      </c>
      <c r="D860" s="54"/>
      <c r="E860" s="54"/>
      <c r="F860" s="54"/>
      <c r="G860" s="72"/>
      <c r="H860" s="54"/>
      <c r="I860" s="54"/>
      <c r="J860" s="106">
        <f>VLOOKUP(A860&amp;G860,Lookup!J:N,5,0)</f>
        <v>0</v>
      </c>
      <c r="K860" s="115"/>
      <c r="L860" s="115"/>
      <c r="M860" s="115"/>
      <c r="N860" s="115"/>
      <c r="O860" s="90">
        <f>IFERROR(VLOOKUP(A860&amp;G860,Lookup!J:K,2,0),"")</f>
        <v>0</v>
      </c>
      <c r="P860" s="110" t="str">
        <f t="shared" si="63"/>
        <v/>
      </c>
      <c r="Q860" s="115"/>
      <c r="R860" s="87" t="str">
        <f t="shared" si="64"/>
        <v/>
      </c>
      <c r="S860" s="87" t="str">
        <f t="shared" si="65"/>
        <v/>
      </c>
      <c r="T860" s="54"/>
      <c r="U860" s="54"/>
      <c r="V860" s="54"/>
      <c r="W860" s="54"/>
      <c r="X860" s="69" t="str">
        <f t="shared" si="62"/>
        <v>D</v>
      </c>
    </row>
    <row r="861" spans="2:24" x14ac:dyDescent="0.25">
      <c r="B861" s="91" t="str">
        <f>IFERROR(VLOOKUP(A861,Lookup!A:B,2,0),"")</f>
        <v/>
      </c>
      <c r="C861" s="59" t="str">
        <f>IFERROR(VLOOKUP(A861,Lookup!A:C,3,0),"")</f>
        <v/>
      </c>
      <c r="D861" s="54"/>
      <c r="E861" s="54"/>
      <c r="F861" s="54"/>
      <c r="G861" s="72"/>
      <c r="H861" s="54"/>
      <c r="I861" s="54"/>
      <c r="J861" s="106">
        <f>VLOOKUP(A861&amp;G861,Lookup!J:N,5,0)</f>
        <v>0</v>
      </c>
      <c r="K861" s="115"/>
      <c r="L861" s="115"/>
      <c r="M861" s="115"/>
      <c r="N861" s="115"/>
      <c r="O861" s="90">
        <f>IFERROR(VLOOKUP(A861&amp;G861,Lookup!J:K,2,0),"")</f>
        <v>0</v>
      </c>
      <c r="P861" s="110" t="str">
        <f t="shared" si="63"/>
        <v/>
      </c>
      <c r="Q861" s="115"/>
      <c r="R861" s="87" t="str">
        <f t="shared" si="64"/>
        <v/>
      </c>
      <c r="S861" s="87" t="str">
        <f t="shared" si="65"/>
        <v/>
      </c>
      <c r="T861" s="54"/>
      <c r="U861" s="54"/>
      <c r="V861" s="54"/>
      <c r="W861" s="54"/>
      <c r="X861" s="69" t="str">
        <f t="shared" si="62"/>
        <v>D</v>
      </c>
    </row>
    <row r="862" spans="2:24" x14ac:dyDescent="0.25">
      <c r="B862" s="91" t="str">
        <f>IFERROR(VLOOKUP(A862,Lookup!A:B,2,0),"")</f>
        <v/>
      </c>
      <c r="C862" s="59" t="str">
        <f>IFERROR(VLOOKUP(A862,Lookup!A:C,3,0),"")</f>
        <v/>
      </c>
      <c r="D862" s="54"/>
      <c r="E862" s="54"/>
      <c r="F862" s="54"/>
      <c r="G862" s="72"/>
      <c r="H862" s="54"/>
      <c r="I862" s="54"/>
      <c r="J862" s="106">
        <f>VLOOKUP(A862&amp;G862,Lookup!J:N,5,0)</f>
        <v>0</v>
      </c>
      <c r="K862" s="115"/>
      <c r="L862" s="115"/>
      <c r="M862" s="115"/>
      <c r="N862" s="115"/>
      <c r="O862" s="90">
        <f>IFERROR(VLOOKUP(A862&amp;G862,Lookup!J:K,2,0),"")</f>
        <v>0</v>
      </c>
      <c r="P862" s="110" t="str">
        <f t="shared" si="63"/>
        <v/>
      </c>
      <c r="Q862" s="115"/>
      <c r="R862" s="87" t="str">
        <f t="shared" si="64"/>
        <v/>
      </c>
      <c r="S862" s="87" t="str">
        <f t="shared" si="65"/>
        <v/>
      </c>
      <c r="T862" s="54"/>
      <c r="U862" s="54"/>
      <c r="V862" s="54"/>
      <c r="W862" s="54"/>
      <c r="X862" s="69" t="str">
        <f t="shared" si="62"/>
        <v>D</v>
      </c>
    </row>
    <row r="863" spans="2:24" x14ac:dyDescent="0.25">
      <c r="B863" s="91" t="str">
        <f>IFERROR(VLOOKUP(A863,Lookup!A:B,2,0),"")</f>
        <v/>
      </c>
      <c r="C863" s="59" t="str">
        <f>IFERROR(VLOOKUP(A863,Lookup!A:C,3,0),"")</f>
        <v/>
      </c>
      <c r="D863" s="54"/>
      <c r="E863" s="54"/>
      <c r="F863" s="54"/>
      <c r="G863" s="72"/>
      <c r="H863" s="54"/>
      <c r="I863" s="54"/>
      <c r="J863" s="106">
        <f>VLOOKUP(A863&amp;G863,Lookup!J:N,5,0)</f>
        <v>0</v>
      </c>
      <c r="K863" s="115"/>
      <c r="L863" s="115"/>
      <c r="M863" s="115"/>
      <c r="N863" s="115"/>
      <c r="O863" s="90">
        <f>IFERROR(VLOOKUP(A863&amp;G863,Lookup!J:K,2,0),"")</f>
        <v>0</v>
      </c>
      <c r="P863" s="110" t="str">
        <f t="shared" si="63"/>
        <v/>
      </c>
      <c r="Q863" s="115"/>
      <c r="R863" s="87" t="str">
        <f t="shared" si="64"/>
        <v/>
      </c>
      <c r="S863" s="87" t="str">
        <f t="shared" si="65"/>
        <v/>
      </c>
      <c r="T863" s="54"/>
      <c r="U863" s="54"/>
      <c r="V863" s="54"/>
      <c r="W863" s="54"/>
      <c r="X863" s="69" t="str">
        <f t="shared" si="62"/>
        <v>D</v>
      </c>
    </row>
    <row r="864" spans="2:24" x14ac:dyDescent="0.25">
      <c r="B864" s="91" t="str">
        <f>IFERROR(VLOOKUP(A864,Lookup!A:B,2,0),"")</f>
        <v/>
      </c>
      <c r="C864" s="59" t="str">
        <f>IFERROR(VLOOKUP(A864,Lookup!A:C,3,0),"")</f>
        <v/>
      </c>
      <c r="D864" s="54"/>
      <c r="E864" s="54"/>
      <c r="F864" s="54"/>
      <c r="G864" s="72"/>
      <c r="H864" s="54"/>
      <c r="I864" s="54"/>
      <c r="J864" s="106">
        <f>VLOOKUP(A864&amp;G864,Lookup!J:N,5,0)</f>
        <v>0</v>
      </c>
      <c r="K864" s="115"/>
      <c r="L864" s="115"/>
      <c r="M864" s="115"/>
      <c r="N864" s="115"/>
      <c r="O864" s="90">
        <f>IFERROR(VLOOKUP(A864&amp;G864,Lookup!J:K,2,0),"")</f>
        <v>0</v>
      </c>
      <c r="P864" s="110" t="str">
        <f t="shared" si="63"/>
        <v/>
      </c>
      <c r="Q864" s="115"/>
      <c r="R864" s="87" t="str">
        <f t="shared" si="64"/>
        <v/>
      </c>
      <c r="S864" s="87" t="str">
        <f t="shared" si="65"/>
        <v/>
      </c>
      <c r="T864" s="54"/>
      <c r="U864" s="54"/>
      <c r="V864" s="54"/>
      <c r="W864" s="54"/>
      <c r="X864" s="69" t="str">
        <f t="shared" si="62"/>
        <v>D</v>
      </c>
    </row>
    <row r="865" spans="2:24" x14ac:dyDescent="0.25">
      <c r="B865" s="91" t="str">
        <f>IFERROR(VLOOKUP(A865,Lookup!A:B,2,0),"")</f>
        <v/>
      </c>
      <c r="C865" s="59" t="str">
        <f>IFERROR(VLOOKUP(A865,Lookup!A:C,3,0),"")</f>
        <v/>
      </c>
      <c r="D865" s="54"/>
      <c r="E865" s="54"/>
      <c r="F865" s="54"/>
      <c r="G865" s="72"/>
      <c r="H865" s="54"/>
      <c r="I865" s="54"/>
      <c r="J865" s="106">
        <f>VLOOKUP(A865&amp;G865,Lookup!J:N,5,0)</f>
        <v>0</v>
      </c>
      <c r="K865" s="115"/>
      <c r="L865" s="115"/>
      <c r="M865" s="115"/>
      <c r="N865" s="115"/>
      <c r="O865" s="90">
        <f>IFERROR(VLOOKUP(A865&amp;G865,Lookup!J:K,2,0),"")</f>
        <v>0</v>
      </c>
      <c r="P865" s="110" t="str">
        <f t="shared" si="63"/>
        <v/>
      </c>
      <c r="Q865" s="115"/>
      <c r="R865" s="87" t="str">
        <f t="shared" si="64"/>
        <v/>
      </c>
      <c r="S865" s="87" t="str">
        <f t="shared" si="65"/>
        <v/>
      </c>
      <c r="T865" s="54"/>
      <c r="U865" s="54"/>
      <c r="V865" s="54"/>
      <c r="W865" s="54"/>
      <c r="X865" s="69" t="str">
        <f t="shared" si="62"/>
        <v>D</v>
      </c>
    </row>
    <row r="866" spans="2:24" x14ac:dyDescent="0.25">
      <c r="B866" s="91" t="str">
        <f>IFERROR(VLOOKUP(A866,Lookup!A:B,2,0),"")</f>
        <v/>
      </c>
      <c r="C866" s="59" t="str">
        <f>IFERROR(VLOOKUP(A866,Lookup!A:C,3,0),"")</f>
        <v/>
      </c>
      <c r="D866" s="54"/>
      <c r="E866" s="54"/>
      <c r="F866" s="54"/>
      <c r="G866" s="72"/>
      <c r="H866" s="54"/>
      <c r="I866" s="54"/>
      <c r="J866" s="106">
        <f>VLOOKUP(A866&amp;G866,Lookup!J:N,5,0)</f>
        <v>0</v>
      </c>
      <c r="K866" s="115"/>
      <c r="L866" s="115"/>
      <c r="M866" s="115"/>
      <c r="N866" s="115"/>
      <c r="O866" s="90">
        <f>IFERROR(VLOOKUP(A866&amp;G866,Lookup!J:K,2,0),"")</f>
        <v>0</v>
      </c>
      <c r="P866" s="110" t="str">
        <f t="shared" si="63"/>
        <v/>
      </c>
      <c r="Q866" s="115"/>
      <c r="R866" s="87" t="str">
        <f t="shared" si="64"/>
        <v/>
      </c>
      <c r="S866" s="87" t="str">
        <f t="shared" si="65"/>
        <v/>
      </c>
      <c r="T866" s="54"/>
      <c r="U866" s="54"/>
      <c r="V866" s="54"/>
      <c r="W866" s="54"/>
      <c r="X866" s="69" t="str">
        <f t="shared" si="62"/>
        <v>D</v>
      </c>
    </row>
    <row r="867" spans="2:24" x14ac:dyDescent="0.25">
      <c r="B867" s="91" t="str">
        <f>IFERROR(VLOOKUP(A867,Lookup!A:B,2,0),"")</f>
        <v/>
      </c>
      <c r="C867" s="59" t="str">
        <f>IFERROR(VLOOKUP(A867,Lookup!A:C,3,0),"")</f>
        <v/>
      </c>
      <c r="D867" s="54"/>
      <c r="E867" s="54"/>
      <c r="F867" s="54"/>
      <c r="G867" s="72"/>
      <c r="H867" s="54"/>
      <c r="I867" s="54"/>
      <c r="J867" s="106">
        <f>VLOOKUP(A867&amp;G867,Lookup!J:N,5,0)</f>
        <v>0</v>
      </c>
      <c r="K867" s="115"/>
      <c r="L867" s="115"/>
      <c r="M867" s="115"/>
      <c r="N867" s="115"/>
      <c r="O867" s="90">
        <f>IFERROR(VLOOKUP(A867&amp;G867,Lookup!J:K,2,0),"")</f>
        <v>0</v>
      </c>
      <c r="P867" s="110" t="str">
        <f t="shared" si="63"/>
        <v/>
      </c>
      <c r="Q867" s="115"/>
      <c r="R867" s="87" t="str">
        <f t="shared" si="64"/>
        <v/>
      </c>
      <c r="S867" s="87" t="str">
        <f t="shared" si="65"/>
        <v/>
      </c>
      <c r="T867" s="54"/>
      <c r="U867" s="54"/>
      <c r="V867" s="54"/>
      <c r="W867" s="54"/>
      <c r="X867" s="69" t="str">
        <f t="shared" si="62"/>
        <v>D</v>
      </c>
    </row>
    <row r="868" spans="2:24" x14ac:dyDescent="0.25">
      <c r="B868" s="91" t="str">
        <f>IFERROR(VLOOKUP(A868,Lookup!A:B,2,0),"")</f>
        <v/>
      </c>
      <c r="C868" s="59" t="str">
        <f>IFERROR(VLOOKUP(A868,Lookup!A:C,3,0),"")</f>
        <v/>
      </c>
      <c r="D868" s="54"/>
      <c r="E868" s="54"/>
      <c r="F868" s="54"/>
      <c r="G868" s="72"/>
      <c r="H868" s="54"/>
      <c r="I868" s="54"/>
      <c r="J868" s="106">
        <f>VLOOKUP(A868&amp;G868,Lookup!J:N,5,0)</f>
        <v>0</v>
      </c>
      <c r="K868" s="115"/>
      <c r="L868" s="115"/>
      <c r="M868" s="115"/>
      <c r="N868" s="115"/>
      <c r="O868" s="90">
        <f>IFERROR(VLOOKUP(A868&amp;G868,Lookup!J:K,2,0),"")</f>
        <v>0</v>
      </c>
      <c r="P868" s="110" t="str">
        <f t="shared" si="63"/>
        <v/>
      </c>
      <c r="Q868" s="115"/>
      <c r="R868" s="87" t="str">
        <f t="shared" si="64"/>
        <v/>
      </c>
      <c r="S868" s="87" t="str">
        <f t="shared" si="65"/>
        <v/>
      </c>
      <c r="T868" s="54"/>
      <c r="U868" s="54"/>
      <c r="V868" s="54"/>
      <c r="W868" s="54"/>
      <c r="X868" s="69" t="str">
        <f t="shared" si="62"/>
        <v>D</v>
      </c>
    </row>
    <row r="869" spans="2:24" x14ac:dyDescent="0.25">
      <c r="B869" s="91" t="str">
        <f>IFERROR(VLOOKUP(A869,Lookup!A:B,2,0),"")</f>
        <v/>
      </c>
      <c r="C869" s="59" t="str">
        <f>IFERROR(VLOOKUP(A869,Lookup!A:C,3,0),"")</f>
        <v/>
      </c>
      <c r="D869" s="54"/>
      <c r="E869" s="54"/>
      <c r="F869" s="54"/>
      <c r="G869" s="72"/>
      <c r="H869" s="54"/>
      <c r="I869" s="54"/>
      <c r="J869" s="106">
        <f>VLOOKUP(A869&amp;G869,Lookup!J:N,5,0)</f>
        <v>0</v>
      </c>
      <c r="K869" s="115"/>
      <c r="L869" s="115"/>
      <c r="M869" s="115"/>
      <c r="N869" s="115"/>
      <c r="O869" s="90">
        <f>IFERROR(VLOOKUP(A869&amp;G869,Lookup!J:K,2,0),"")</f>
        <v>0</v>
      </c>
      <c r="P869" s="110" t="str">
        <f t="shared" si="63"/>
        <v/>
      </c>
      <c r="Q869" s="115"/>
      <c r="R869" s="87" t="str">
        <f t="shared" si="64"/>
        <v/>
      </c>
      <c r="S869" s="87" t="str">
        <f t="shared" si="65"/>
        <v/>
      </c>
      <c r="T869" s="54"/>
      <c r="U869" s="54"/>
      <c r="V869" s="54"/>
      <c r="W869" s="54"/>
      <c r="X869" s="69" t="str">
        <f t="shared" si="62"/>
        <v>D</v>
      </c>
    </row>
    <row r="870" spans="2:24" x14ac:dyDescent="0.25">
      <c r="B870" s="91" t="str">
        <f>IFERROR(VLOOKUP(A870,Lookup!A:B,2,0),"")</f>
        <v/>
      </c>
      <c r="C870" s="59" t="str">
        <f>IFERROR(VLOOKUP(A870,Lookup!A:C,3,0),"")</f>
        <v/>
      </c>
      <c r="D870" s="54"/>
      <c r="E870" s="54"/>
      <c r="F870" s="54"/>
      <c r="G870" s="72"/>
      <c r="H870" s="54"/>
      <c r="I870" s="54"/>
      <c r="J870" s="106">
        <f>VLOOKUP(A870&amp;G870,Lookup!J:N,5,0)</f>
        <v>0</v>
      </c>
      <c r="K870" s="115"/>
      <c r="L870" s="115"/>
      <c r="M870" s="115"/>
      <c r="N870" s="115"/>
      <c r="O870" s="90">
        <f>IFERROR(VLOOKUP(A870&amp;G870,Lookup!J:K,2,0),"")</f>
        <v>0</v>
      </c>
      <c r="P870" s="110" t="str">
        <f t="shared" si="63"/>
        <v/>
      </c>
      <c r="Q870" s="115"/>
      <c r="R870" s="87" t="str">
        <f t="shared" si="64"/>
        <v/>
      </c>
      <c r="S870" s="87" t="str">
        <f t="shared" si="65"/>
        <v/>
      </c>
      <c r="T870" s="54"/>
      <c r="U870" s="54"/>
      <c r="V870" s="54"/>
      <c r="W870" s="54"/>
      <c r="X870" s="69" t="str">
        <f t="shared" si="62"/>
        <v>D</v>
      </c>
    </row>
    <row r="871" spans="2:24" x14ac:dyDescent="0.25">
      <c r="B871" s="91" t="str">
        <f>IFERROR(VLOOKUP(A871,Lookup!A:B,2,0),"")</f>
        <v/>
      </c>
      <c r="C871" s="59" t="str">
        <f>IFERROR(VLOOKUP(A871,Lookup!A:C,3,0),"")</f>
        <v/>
      </c>
      <c r="D871" s="54"/>
      <c r="E871" s="54"/>
      <c r="F871" s="54"/>
      <c r="G871" s="72"/>
      <c r="H871" s="54"/>
      <c r="I871" s="54"/>
      <c r="J871" s="106">
        <f>VLOOKUP(A871&amp;G871,Lookup!J:N,5,0)</f>
        <v>0</v>
      </c>
      <c r="K871" s="115"/>
      <c r="L871" s="115"/>
      <c r="M871" s="115"/>
      <c r="N871" s="115"/>
      <c r="O871" s="90">
        <f>IFERROR(VLOOKUP(A871&amp;G871,Lookup!J:K,2,0),"")</f>
        <v>0</v>
      </c>
      <c r="P871" s="110" t="str">
        <f t="shared" si="63"/>
        <v/>
      </c>
      <c r="Q871" s="115"/>
      <c r="R871" s="87" t="str">
        <f t="shared" si="64"/>
        <v/>
      </c>
      <c r="S871" s="87" t="str">
        <f t="shared" si="65"/>
        <v/>
      </c>
      <c r="T871" s="54"/>
      <c r="U871" s="54"/>
      <c r="V871" s="54"/>
      <c r="W871" s="54"/>
      <c r="X871" s="69" t="str">
        <f t="shared" si="62"/>
        <v>D</v>
      </c>
    </row>
    <row r="872" spans="2:24" x14ac:dyDescent="0.25">
      <c r="B872" s="91" t="str">
        <f>IFERROR(VLOOKUP(A872,Lookup!A:B,2,0),"")</f>
        <v/>
      </c>
      <c r="C872" s="59" t="str">
        <f>IFERROR(VLOOKUP(A872,Lookup!A:C,3,0),"")</f>
        <v/>
      </c>
      <c r="D872" s="54"/>
      <c r="E872" s="54"/>
      <c r="F872" s="54"/>
      <c r="G872" s="72"/>
      <c r="H872" s="54"/>
      <c r="I872" s="54"/>
      <c r="J872" s="106">
        <f>VLOOKUP(A872&amp;G872,Lookup!J:N,5,0)</f>
        <v>0</v>
      </c>
      <c r="K872" s="115"/>
      <c r="L872" s="115"/>
      <c r="M872" s="115"/>
      <c r="N872" s="115"/>
      <c r="O872" s="90">
        <f>IFERROR(VLOOKUP(A872&amp;G872,Lookup!J:K,2,0),"")</f>
        <v>0</v>
      </c>
      <c r="P872" s="110" t="str">
        <f t="shared" si="63"/>
        <v/>
      </c>
      <c r="Q872" s="115"/>
      <c r="R872" s="87" t="str">
        <f t="shared" si="64"/>
        <v/>
      </c>
      <c r="S872" s="87" t="str">
        <f t="shared" si="65"/>
        <v/>
      </c>
      <c r="T872" s="54"/>
      <c r="U872" s="54"/>
      <c r="V872" s="54"/>
      <c r="W872" s="54"/>
      <c r="X872" s="69" t="str">
        <f t="shared" si="62"/>
        <v>D</v>
      </c>
    </row>
    <row r="873" spans="2:24" x14ac:dyDescent="0.25">
      <c r="B873" s="91" t="str">
        <f>IFERROR(VLOOKUP(A873,Lookup!A:B,2,0),"")</f>
        <v/>
      </c>
      <c r="C873" s="59" t="str">
        <f>IFERROR(VLOOKUP(A873,Lookup!A:C,3,0),"")</f>
        <v/>
      </c>
      <c r="D873" s="54"/>
      <c r="E873" s="54"/>
      <c r="F873" s="54"/>
      <c r="G873" s="72"/>
      <c r="H873" s="54"/>
      <c r="I873" s="54"/>
      <c r="J873" s="106">
        <f>VLOOKUP(A873&amp;G873,Lookup!J:N,5,0)</f>
        <v>0</v>
      </c>
      <c r="K873" s="115"/>
      <c r="L873" s="115"/>
      <c r="M873" s="115"/>
      <c r="N873" s="115"/>
      <c r="O873" s="90">
        <f>IFERROR(VLOOKUP(A873&amp;G873,Lookup!J:K,2,0),"")</f>
        <v>0</v>
      </c>
      <c r="P873" s="110" t="str">
        <f t="shared" si="63"/>
        <v/>
      </c>
      <c r="Q873" s="115"/>
      <c r="R873" s="87" t="str">
        <f t="shared" si="64"/>
        <v/>
      </c>
      <c r="S873" s="87" t="str">
        <f t="shared" si="65"/>
        <v/>
      </c>
      <c r="T873" s="54"/>
      <c r="U873" s="54"/>
      <c r="V873" s="54"/>
      <c r="W873" s="54"/>
      <c r="X873" s="69" t="str">
        <f t="shared" si="62"/>
        <v>D</v>
      </c>
    </row>
    <row r="874" spans="2:24" x14ac:dyDescent="0.25">
      <c r="B874" s="91" t="str">
        <f>IFERROR(VLOOKUP(A874,Lookup!A:B,2,0),"")</f>
        <v/>
      </c>
      <c r="C874" s="59" t="str">
        <f>IFERROR(VLOOKUP(A874,Lookup!A:C,3,0),"")</f>
        <v/>
      </c>
      <c r="D874" s="54"/>
      <c r="E874" s="54"/>
      <c r="F874" s="54"/>
      <c r="G874" s="72"/>
      <c r="H874" s="54"/>
      <c r="I874" s="54"/>
      <c r="J874" s="106">
        <f>VLOOKUP(A874&amp;G874,Lookup!J:N,5,0)</f>
        <v>0</v>
      </c>
      <c r="K874" s="115"/>
      <c r="L874" s="115"/>
      <c r="M874" s="115"/>
      <c r="N874" s="115"/>
      <c r="O874" s="90">
        <f>IFERROR(VLOOKUP(A874&amp;G874,Lookup!J:K,2,0),"")</f>
        <v>0</v>
      </c>
      <c r="P874" s="110" t="str">
        <f t="shared" si="63"/>
        <v/>
      </c>
      <c r="Q874" s="115"/>
      <c r="R874" s="87" t="str">
        <f t="shared" si="64"/>
        <v/>
      </c>
      <c r="S874" s="87" t="str">
        <f t="shared" si="65"/>
        <v/>
      </c>
      <c r="T874" s="54"/>
      <c r="U874" s="54"/>
      <c r="V874" s="54"/>
      <c r="W874" s="54"/>
      <c r="X874" s="69" t="str">
        <f t="shared" si="62"/>
        <v>D</v>
      </c>
    </row>
    <row r="875" spans="2:24" x14ac:dyDescent="0.25">
      <c r="B875" s="91" t="str">
        <f>IFERROR(VLOOKUP(A875,Lookup!A:B,2,0),"")</f>
        <v/>
      </c>
      <c r="C875" s="59" t="str">
        <f>IFERROR(VLOOKUP(A875,Lookup!A:C,3,0),"")</f>
        <v/>
      </c>
      <c r="D875" s="54"/>
      <c r="E875" s="54"/>
      <c r="F875" s="54"/>
      <c r="G875" s="72"/>
      <c r="H875" s="54"/>
      <c r="I875" s="54"/>
      <c r="J875" s="106">
        <f>VLOOKUP(A875&amp;G875,Lookup!J:N,5,0)</f>
        <v>0</v>
      </c>
      <c r="K875" s="115"/>
      <c r="L875" s="115"/>
      <c r="M875" s="115"/>
      <c r="N875" s="115"/>
      <c r="O875" s="90">
        <f>IFERROR(VLOOKUP(A875&amp;G875,Lookup!J:K,2,0),"")</f>
        <v>0</v>
      </c>
      <c r="P875" s="110" t="str">
        <f t="shared" si="63"/>
        <v/>
      </c>
      <c r="Q875" s="115"/>
      <c r="R875" s="87" t="str">
        <f t="shared" si="64"/>
        <v/>
      </c>
      <c r="S875" s="87" t="str">
        <f t="shared" si="65"/>
        <v/>
      </c>
      <c r="T875" s="54"/>
      <c r="U875" s="54"/>
      <c r="V875" s="54"/>
      <c r="W875" s="54"/>
      <c r="X875" s="69" t="str">
        <f t="shared" si="62"/>
        <v>D</v>
      </c>
    </row>
    <row r="876" spans="2:24" x14ac:dyDescent="0.25">
      <c r="B876" s="91" t="str">
        <f>IFERROR(VLOOKUP(A876,Lookup!A:B,2,0),"")</f>
        <v/>
      </c>
      <c r="C876" s="59" t="str">
        <f>IFERROR(VLOOKUP(A876,Lookup!A:C,3,0),"")</f>
        <v/>
      </c>
      <c r="D876" s="54"/>
      <c r="E876" s="54"/>
      <c r="F876" s="54"/>
      <c r="G876" s="72"/>
      <c r="H876" s="54"/>
      <c r="I876" s="54"/>
      <c r="J876" s="106">
        <f>VLOOKUP(A876&amp;G876,Lookup!J:N,5,0)</f>
        <v>0</v>
      </c>
      <c r="K876" s="115"/>
      <c r="L876" s="115"/>
      <c r="M876" s="115"/>
      <c r="N876" s="115"/>
      <c r="O876" s="90">
        <f>IFERROR(VLOOKUP(A876&amp;G876,Lookup!J:K,2,0),"")</f>
        <v>0</v>
      </c>
      <c r="P876" s="110" t="str">
        <f t="shared" si="63"/>
        <v/>
      </c>
      <c r="Q876" s="115"/>
      <c r="R876" s="87" t="str">
        <f t="shared" si="64"/>
        <v/>
      </c>
      <c r="S876" s="87" t="str">
        <f t="shared" si="65"/>
        <v/>
      </c>
      <c r="T876" s="54"/>
      <c r="U876" s="54"/>
      <c r="V876" s="54"/>
      <c r="W876" s="54"/>
      <c r="X876" s="69" t="str">
        <f t="shared" si="62"/>
        <v>D</v>
      </c>
    </row>
    <row r="877" spans="2:24" x14ac:dyDescent="0.25">
      <c r="B877" s="91" t="str">
        <f>IFERROR(VLOOKUP(A877,Lookup!A:B,2,0),"")</f>
        <v/>
      </c>
      <c r="C877" s="59" t="str">
        <f>IFERROR(VLOOKUP(A877,Lookup!A:C,3,0),"")</f>
        <v/>
      </c>
      <c r="D877" s="54"/>
      <c r="E877" s="54"/>
      <c r="F877" s="54"/>
      <c r="G877" s="72"/>
      <c r="H877" s="54"/>
      <c r="I877" s="54"/>
      <c r="J877" s="106">
        <f>VLOOKUP(A877&amp;G877,Lookup!J:N,5,0)</f>
        <v>0</v>
      </c>
      <c r="K877" s="115"/>
      <c r="L877" s="115"/>
      <c r="M877" s="115"/>
      <c r="N877" s="115"/>
      <c r="O877" s="90">
        <f>IFERROR(VLOOKUP(A877&amp;G877,Lookup!J:K,2,0),"")</f>
        <v>0</v>
      </c>
      <c r="P877" s="110" t="str">
        <f t="shared" si="63"/>
        <v/>
      </c>
      <c r="Q877" s="115"/>
      <c r="R877" s="87" t="str">
        <f t="shared" si="64"/>
        <v/>
      </c>
      <c r="S877" s="87" t="str">
        <f t="shared" si="65"/>
        <v/>
      </c>
      <c r="T877" s="54"/>
      <c r="U877" s="54"/>
      <c r="V877" s="54"/>
      <c r="W877" s="54"/>
      <c r="X877" s="69" t="str">
        <f t="shared" si="62"/>
        <v>D</v>
      </c>
    </row>
    <row r="878" spans="2:24" x14ac:dyDescent="0.25">
      <c r="B878" s="91" t="str">
        <f>IFERROR(VLOOKUP(A878,Lookup!A:B,2,0),"")</f>
        <v/>
      </c>
      <c r="C878" s="59" t="str">
        <f>IFERROR(VLOOKUP(A878,Lookup!A:C,3,0),"")</f>
        <v/>
      </c>
      <c r="D878" s="54"/>
      <c r="E878" s="54"/>
      <c r="F878" s="54"/>
      <c r="G878" s="72"/>
      <c r="H878" s="54"/>
      <c r="I878" s="54"/>
      <c r="J878" s="106">
        <f>VLOOKUP(A878&amp;G878,Lookup!J:N,5,0)</f>
        <v>0</v>
      </c>
      <c r="K878" s="115"/>
      <c r="L878" s="115"/>
      <c r="M878" s="115"/>
      <c r="N878" s="115"/>
      <c r="O878" s="90">
        <f>IFERROR(VLOOKUP(A878&amp;G878,Lookup!J:K,2,0),"")</f>
        <v>0</v>
      </c>
      <c r="P878" s="110" t="str">
        <f t="shared" si="63"/>
        <v/>
      </c>
      <c r="Q878" s="115"/>
      <c r="R878" s="87" t="str">
        <f t="shared" si="64"/>
        <v/>
      </c>
      <c r="S878" s="87" t="str">
        <f t="shared" si="65"/>
        <v/>
      </c>
      <c r="T878" s="54"/>
      <c r="U878" s="54"/>
      <c r="V878" s="54"/>
      <c r="W878" s="54"/>
      <c r="X878" s="69" t="str">
        <f t="shared" si="62"/>
        <v>D</v>
      </c>
    </row>
    <row r="879" spans="2:24" x14ac:dyDescent="0.25">
      <c r="B879" s="91" t="str">
        <f>IFERROR(VLOOKUP(A879,Lookup!A:B,2,0),"")</f>
        <v/>
      </c>
      <c r="C879" s="59" t="str">
        <f>IFERROR(VLOOKUP(A879,Lookup!A:C,3,0),"")</f>
        <v/>
      </c>
      <c r="D879" s="54"/>
      <c r="E879" s="54"/>
      <c r="F879" s="54"/>
      <c r="G879" s="72"/>
      <c r="H879" s="54"/>
      <c r="I879" s="54"/>
      <c r="J879" s="106">
        <f>VLOOKUP(A879&amp;G879,Lookup!J:N,5,0)</f>
        <v>0</v>
      </c>
      <c r="K879" s="115"/>
      <c r="L879" s="115"/>
      <c r="M879" s="115"/>
      <c r="N879" s="115"/>
      <c r="O879" s="90">
        <f>IFERROR(VLOOKUP(A879&amp;G879,Lookup!J:K,2,0),"")</f>
        <v>0</v>
      </c>
      <c r="P879" s="110" t="str">
        <f t="shared" si="63"/>
        <v/>
      </c>
      <c r="Q879" s="115"/>
      <c r="R879" s="87" t="str">
        <f t="shared" si="64"/>
        <v/>
      </c>
      <c r="S879" s="87" t="str">
        <f t="shared" si="65"/>
        <v/>
      </c>
      <c r="T879" s="54"/>
      <c r="U879" s="54"/>
      <c r="V879" s="54"/>
      <c r="W879" s="54"/>
      <c r="X879" s="69" t="str">
        <f t="shared" si="62"/>
        <v>D</v>
      </c>
    </row>
    <row r="880" spans="2:24" x14ac:dyDescent="0.25">
      <c r="B880" s="91" t="str">
        <f>IFERROR(VLOOKUP(A880,Lookup!A:B,2,0),"")</f>
        <v/>
      </c>
      <c r="C880" s="59" t="str">
        <f>IFERROR(VLOOKUP(A880,Lookup!A:C,3,0),"")</f>
        <v/>
      </c>
      <c r="D880" s="54"/>
      <c r="E880" s="54"/>
      <c r="F880" s="54"/>
      <c r="G880" s="72"/>
      <c r="H880" s="54"/>
      <c r="I880" s="54"/>
      <c r="J880" s="106">
        <f>VLOOKUP(A880&amp;G880,Lookup!J:N,5,0)</f>
        <v>0</v>
      </c>
      <c r="K880" s="115"/>
      <c r="L880" s="115"/>
      <c r="M880" s="115"/>
      <c r="N880" s="115"/>
      <c r="O880" s="90">
        <f>IFERROR(VLOOKUP(A880&amp;G880,Lookup!J:K,2,0),"")</f>
        <v>0</v>
      </c>
      <c r="P880" s="110" t="str">
        <f t="shared" si="63"/>
        <v/>
      </c>
      <c r="Q880" s="115"/>
      <c r="R880" s="87" t="str">
        <f t="shared" si="64"/>
        <v/>
      </c>
      <c r="S880" s="87" t="str">
        <f t="shared" si="65"/>
        <v/>
      </c>
      <c r="T880" s="54"/>
      <c r="U880" s="54"/>
      <c r="V880" s="54"/>
      <c r="W880" s="54"/>
      <c r="X880" s="69" t="str">
        <f t="shared" si="62"/>
        <v>D</v>
      </c>
    </row>
    <row r="881" spans="2:24" x14ac:dyDescent="0.25">
      <c r="B881" s="91" t="str">
        <f>IFERROR(VLOOKUP(A881,Lookup!A:B,2,0),"")</f>
        <v/>
      </c>
      <c r="C881" s="59" t="str">
        <f>IFERROR(VLOOKUP(A881,Lookup!A:C,3,0),"")</f>
        <v/>
      </c>
      <c r="D881" s="54"/>
      <c r="E881" s="54"/>
      <c r="F881" s="54"/>
      <c r="G881" s="72"/>
      <c r="H881" s="54"/>
      <c r="I881" s="54"/>
      <c r="J881" s="106">
        <f>VLOOKUP(A881&amp;G881,Lookup!J:N,5,0)</f>
        <v>0</v>
      </c>
      <c r="K881" s="115"/>
      <c r="L881" s="115"/>
      <c r="M881" s="115"/>
      <c r="N881" s="115"/>
      <c r="O881" s="90">
        <f>IFERROR(VLOOKUP(A881&amp;G881,Lookup!J:K,2,0),"")</f>
        <v>0</v>
      </c>
      <c r="P881" s="110" t="str">
        <f t="shared" si="63"/>
        <v/>
      </c>
      <c r="Q881" s="115"/>
      <c r="R881" s="87" t="str">
        <f t="shared" si="64"/>
        <v/>
      </c>
      <c r="S881" s="87" t="str">
        <f t="shared" si="65"/>
        <v/>
      </c>
      <c r="T881" s="54"/>
      <c r="U881" s="54"/>
      <c r="V881" s="54"/>
      <c r="W881" s="54"/>
      <c r="X881" s="69" t="str">
        <f t="shared" si="62"/>
        <v>D</v>
      </c>
    </row>
    <row r="882" spans="2:24" x14ac:dyDescent="0.25">
      <c r="B882" s="91" t="str">
        <f>IFERROR(VLOOKUP(A882,Lookup!A:B,2,0),"")</f>
        <v/>
      </c>
      <c r="C882" s="59" t="str">
        <f>IFERROR(VLOOKUP(A882,Lookup!A:C,3,0),"")</f>
        <v/>
      </c>
      <c r="D882" s="54"/>
      <c r="E882" s="54"/>
      <c r="F882" s="54"/>
      <c r="G882" s="72"/>
      <c r="H882" s="54"/>
      <c r="I882" s="54"/>
      <c r="J882" s="106">
        <f>VLOOKUP(A882&amp;G882,Lookup!J:N,5,0)</f>
        <v>0</v>
      </c>
      <c r="K882" s="115"/>
      <c r="L882" s="115"/>
      <c r="M882" s="115"/>
      <c r="N882" s="115"/>
      <c r="O882" s="90">
        <f>IFERROR(VLOOKUP(A882&amp;G882,Lookup!J:K,2,0),"")</f>
        <v>0</v>
      </c>
      <c r="P882" s="110" t="str">
        <f t="shared" si="63"/>
        <v/>
      </c>
      <c r="Q882" s="115"/>
      <c r="R882" s="87" t="str">
        <f t="shared" si="64"/>
        <v/>
      </c>
      <c r="S882" s="87" t="str">
        <f t="shared" si="65"/>
        <v/>
      </c>
      <c r="T882" s="54"/>
      <c r="U882" s="54"/>
      <c r="V882" s="54"/>
      <c r="W882" s="54"/>
      <c r="X882" s="69" t="str">
        <f t="shared" si="62"/>
        <v>D</v>
      </c>
    </row>
    <row r="883" spans="2:24" x14ac:dyDescent="0.25">
      <c r="B883" s="91" t="str">
        <f>IFERROR(VLOOKUP(A883,Lookup!A:B,2,0),"")</f>
        <v/>
      </c>
      <c r="C883" s="59" t="str">
        <f>IFERROR(VLOOKUP(A883,Lookup!A:C,3,0),"")</f>
        <v/>
      </c>
      <c r="D883" s="54"/>
      <c r="E883" s="54"/>
      <c r="F883" s="54"/>
      <c r="G883" s="72"/>
      <c r="H883" s="54"/>
      <c r="I883" s="54"/>
      <c r="J883" s="106">
        <f>VLOOKUP(A883&amp;G883,Lookup!J:N,5,0)</f>
        <v>0</v>
      </c>
      <c r="K883" s="115"/>
      <c r="L883" s="115"/>
      <c r="M883" s="115"/>
      <c r="N883" s="115"/>
      <c r="O883" s="90">
        <f>IFERROR(VLOOKUP(A883&amp;G883,Lookup!J:K,2,0),"")</f>
        <v>0</v>
      </c>
      <c r="P883" s="110" t="str">
        <f t="shared" si="63"/>
        <v/>
      </c>
      <c r="Q883" s="115"/>
      <c r="R883" s="87" t="str">
        <f t="shared" si="64"/>
        <v/>
      </c>
      <c r="S883" s="87" t="str">
        <f t="shared" si="65"/>
        <v/>
      </c>
      <c r="T883" s="54"/>
      <c r="U883" s="54"/>
      <c r="V883" s="54"/>
      <c r="W883" s="54"/>
      <c r="X883" s="69" t="str">
        <f t="shared" si="62"/>
        <v>D</v>
      </c>
    </row>
    <row r="884" spans="2:24" x14ac:dyDescent="0.25">
      <c r="B884" s="91" t="str">
        <f>IFERROR(VLOOKUP(A884,Lookup!A:B,2,0),"")</f>
        <v/>
      </c>
      <c r="C884" s="59" t="str">
        <f>IFERROR(VLOOKUP(A884,Lookup!A:C,3,0),"")</f>
        <v/>
      </c>
      <c r="D884" s="54"/>
      <c r="E884" s="54"/>
      <c r="F884" s="54"/>
      <c r="G884" s="72"/>
      <c r="H884" s="54"/>
      <c r="I884" s="54"/>
      <c r="J884" s="106">
        <f>VLOOKUP(A884&amp;G884,Lookup!J:N,5,0)</f>
        <v>0</v>
      </c>
      <c r="K884" s="115"/>
      <c r="L884" s="115"/>
      <c r="M884" s="115"/>
      <c r="N884" s="115"/>
      <c r="O884" s="90">
        <f>IFERROR(VLOOKUP(A884&amp;G884,Lookup!J:K,2,0),"")</f>
        <v>0</v>
      </c>
      <c r="P884" s="110" t="str">
        <f t="shared" si="63"/>
        <v/>
      </c>
      <c r="Q884" s="115"/>
      <c r="R884" s="87" t="str">
        <f t="shared" si="64"/>
        <v/>
      </c>
      <c r="S884" s="87" t="str">
        <f t="shared" si="65"/>
        <v/>
      </c>
      <c r="T884" s="54"/>
      <c r="U884" s="54"/>
      <c r="V884" s="54"/>
      <c r="W884" s="54"/>
      <c r="X884" s="69" t="str">
        <f t="shared" si="62"/>
        <v>D</v>
      </c>
    </row>
    <row r="885" spans="2:24" x14ac:dyDescent="0.25">
      <c r="B885" s="91" t="str">
        <f>IFERROR(VLOOKUP(A885,Lookup!A:B,2,0),"")</f>
        <v/>
      </c>
      <c r="C885" s="59" t="str">
        <f>IFERROR(VLOOKUP(A885,Lookup!A:C,3,0),"")</f>
        <v/>
      </c>
      <c r="D885" s="54"/>
      <c r="E885" s="54"/>
      <c r="F885" s="54"/>
      <c r="G885" s="72"/>
      <c r="H885" s="54"/>
      <c r="I885" s="54"/>
      <c r="J885" s="106">
        <f>VLOOKUP(A885&amp;G885,Lookup!J:N,5,0)</f>
        <v>0</v>
      </c>
      <c r="K885" s="115"/>
      <c r="L885" s="115"/>
      <c r="M885" s="115"/>
      <c r="N885" s="115"/>
      <c r="O885" s="90">
        <f>IFERROR(VLOOKUP(A885&amp;G885,Lookup!J:K,2,0),"")</f>
        <v>0</v>
      </c>
      <c r="P885" s="110" t="str">
        <f t="shared" si="63"/>
        <v/>
      </c>
      <c r="Q885" s="115"/>
      <c r="R885" s="87" t="str">
        <f t="shared" si="64"/>
        <v/>
      </c>
      <c r="S885" s="87" t="str">
        <f t="shared" si="65"/>
        <v/>
      </c>
      <c r="T885" s="54"/>
      <c r="U885" s="54"/>
      <c r="V885" s="54"/>
      <c r="W885" s="54"/>
      <c r="X885" s="69" t="str">
        <f t="shared" si="62"/>
        <v>D</v>
      </c>
    </row>
    <row r="886" spans="2:24" x14ac:dyDescent="0.25">
      <c r="B886" s="91" t="str">
        <f>IFERROR(VLOOKUP(A886,Lookup!A:B,2,0),"")</f>
        <v/>
      </c>
      <c r="C886" s="59" t="str">
        <f>IFERROR(VLOOKUP(A886,Lookup!A:C,3,0),"")</f>
        <v/>
      </c>
      <c r="D886" s="54"/>
      <c r="E886" s="54"/>
      <c r="F886" s="54"/>
      <c r="G886" s="72"/>
      <c r="H886" s="54"/>
      <c r="I886" s="54"/>
      <c r="J886" s="106">
        <f>VLOOKUP(A886&amp;G886,Lookup!J:N,5,0)</f>
        <v>0</v>
      </c>
      <c r="K886" s="115"/>
      <c r="L886" s="115"/>
      <c r="M886" s="115"/>
      <c r="N886" s="115"/>
      <c r="O886" s="90">
        <f>IFERROR(VLOOKUP(A886&amp;G886,Lookup!J:K,2,0),"")</f>
        <v>0</v>
      </c>
      <c r="P886" s="110" t="str">
        <f t="shared" si="63"/>
        <v/>
      </c>
      <c r="Q886" s="115"/>
      <c r="R886" s="87" t="str">
        <f t="shared" si="64"/>
        <v/>
      </c>
      <c r="S886" s="87" t="str">
        <f t="shared" si="65"/>
        <v/>
      </c>
      <c r="T886" s="54"/>
      <c r="U886" s="54"/>
      <c r="V886" s="54"/>
      <c r="W886" s="54"/>
      <c r="X886" s="69" t="str">
        <f t="shared" si="62"/>
        <v>D</v>
      </c>
    </row>
    <row r="887" spans="2:24" x14ac:dyDescent="0.25">
      <c r="B887" s="91" t="str">
        <f>IFERROR(VLOOKUP(A887,Lookup!A:B,2,0),"")</f>
        <v/>
      </c>
      <c r="C887" s="59" t="str">
        <f>IFERROR(VLOOKUP(A887,Lookup!A:C,3,0),"")</f>
        <v/>
      </c>
      <c r="D887" s="54"/>
      <c r="E887" s="54"/>
      <c r="F887" s="54"/>
      <c r="G887" s="72"/>
      <c r="H887" s="54"/>
      <c r="I887" s="54"/>
      <c r="J887" s="106">
        <f>VLOOKUP(A887&amp;G887,Lookup!J:N,5,0)</f>
        <v>0</v>
      </c>
      <c r="K887" s="115"/>
      <c r="L887" s="115"/>
      <c r="M887" s="115"/>
      <c r="N887" s="115"/>
      <c r="O887" s="90">
        <f>IFERROR(VLOOKUP(A887&amp;G887,Lookup!J:K,2,0),"")</f>
        <v>0</v>
      </c>
      <c r="P887" s="110" t="str">
        <f t="shared" si="63"/>
        <v/>
      </c>
      <c r="Q887" s="115"/>
      <c r="R887" s="87" t="str">
        <f t="shared" si="64"/>
        <v/>
      </c>
      <c r="S887" s="87" t="str">
        <f t="shared" si="65"/>
        <v/>
      </c>
      <c r="T887" s="54"/>
      <c r="U887" s="54"/>
      <c r="V887" s="54"/>
      <c r="W887" s="54"/>
      <c r="X887" s="69" t="str">
        <f t="shared" si="62"/>
        <v>D</v>
      </c>
    </row>
    <row r="888" spans="2:24" x14ac:dyDescent="0.25">
      <c r="B888" s="91" t="str">
        <f>IFERROR(VLOOKUP(A888,Lookup!A:B,2,0),"")</f>
        <v/>
      </c>
      <c r="C888" s="59" t="str">
        <f>IFERROR(VLOOKUP(A888,Lookup!A:C,3,0),"")</f>
        <v/>
      </c>
      <c r="D888" s="54"/>
      <c r="E888" s="54"/>
      <c r="F888" s="54"/>
      <c r="G888" s="72"/>
      <c r="H888" s="54"/>
      <c r="I888" s="54"/>
      <c r="J888" s="106">
        <f>VLOOKUP(A888&amp;G888,Lookup!J:N,5,0)</f>
        <v>0</v>
      </c>
      <c r="K888" s="115"/>
      <c r="L888" s="115"/>
      <c r="M888" s="115"/>
      <c r="N888" s="115"/>
      <c r="O888" s="90">
        <f>IFERROR(VLOOKUP(A888&amp;G888,Lookup!J:K,2,0),"")</f>
        <v>0</v>
      </c>
      <c r="P888" s="110" t="str">
        <f t="shared" si="63"/>
        <v/>
      </c>
      <c r="Q888" s="115"/>
      <c r="R888" s="87" t="str">
        <f t="shared" si="64"/>
        <v/>
      </c>
      <c r="S888" s="87" t="str">
        <f t="shared" si="65"/>
        <v/>
      </c>
      <c r="T888" s="54"/>
      <c r="U888" s="54"/>
      <c r="V888" s="54"/>
      <c r="W888" s="54"/>
      <c r="X888" s="69" t="str">
        <f t="shared" si="62"/>
        <v>D</v>
      </c>
    </row>
    <row r="889" spans="2:24" x14ac:dyDescent="0.25">
      <c r="B889" s="91" t="str">
        <f>IFERROR(VLOOKUP(A889,Lookup!A:B,2,0),"")</f>
        <v/>
      </c>
      <c r="C889" s="59" t="str">
        <f>IFERROR(VLOOKUP(A889,Lookup!A:C,3,0),"")</f>
        <v/>
      </c>
      <c r="D889" s="54"/>
      <c r="E889" s="54"/>
      <c r="F889" s="54"/>
      <c r="G889" s="72"/>
      <c r="H889" s="54"/>
      <c r="I889" s="54"/>
      <c r="J889" s="106">
        <f>VLOOKUP(A889&amp;G889,Lookup!J:N,5,0)</f>
        <v>0</v>
      </c>
      <c r="K889" s="115"/>
      <c r="L889" s="115"/>
      <c r="M889" s="115"/>
      <c r="N889" s="115"/>
      <c r="O889" s="90">
        <f>IFERROR(VLOOKUP(A889&amp;G889,Lookup!J:K,2,0),"")</f>
        <v>0</v>
      </c>
      <c r="P889" s="110" t="str">
        <f t="shared" si="63"/>
        <v/>
      </c>
      <c r="Q889" s="115"/>
      <c r="R889" s="87" t="str">
        <f t="shared" si="64"/>
        <v/>
      </c>
      <c r="S889" s="87" t="str">
        <f t="shared" si="65"/>
        <v/>
      </c>
      <c r="T889" s="54"/>
      <c r="U889" s="54"/>
      <c r="V889" s="54"/>
      <c r="W889" s="54"/>
      <c r="X889" s="69" t="str">
        <f t="shared" si="62"/>
        <v>D</v>
      </c>
    </row>
    <row r="890" spans="2:24" x14ac:dyDescent="0.25">
      <c r="B890" s="91" t="str">
        <f>IFERROR(VLOOKUP(A890,Lookup!A:B,2,0),"")</f>
        <v/>
      </c>
      <c r="C890" s="59" t="str">
        <f>IFERROR(VLOOKUP(A890,Lookup!A:C,3,0),"")</f>
        <v/>
      </c>
      <c r="D890" s="54"/>
      <c r="E890" s="54"/>
      <c r="F890" s="54"/>
      <c r="G890" s="72"/>
      <c r="H890" s="54"/>
      <c r="I890" s="54"/>
      <c r="J890" s="106">
        <f>VLOOKUP(A890&amp;G890,Lookup!J:N,5,0)</f>
        <v>0</v>
      </c>
      <c r="K890" s="115"/>
      <c r="L890" s="115"/>
      <c r="M890" s="115"/>
      <c r="N890" s="115"/>
      <c r="O890" s="90">
        <f>IFERROR(VLOOKUP(A890&amp;G890,Lookup!J:K,2,0),"")</f>
        <v>0</v>
      </c>
      <c r="P890" s="110" t="str">
        <f t="shared" si="63"/>
        <v/>
      </c>
      <c r="Q890" s="115"/>
      <c r="R890" s="87" t="str">
        <f t="shared" si="64"/>
        <v/>
      </c>
      <c r="S890" s="87" t="str">
        <f t="shared" si="65"/>
        <v/>
      </c>
      <c r="T890" s="54"/>
      <c r="U890" s="54"/>
      <c r="V890" s="54"/>
      <c r="W890" s="54"/>
      <c r="X890" s="69" t="str">
        <f t="shared" si="62"/>
        <v>D</v>
      </c>
    </row>
    <row r="891" spans="2:24" x14ac:dyDescent="0.25">
      <c r="B891" s="91" t="str">
        <f>IFERROR(VLOOKUP(A891,Lookup!A:B,2,0),"")</f>
        <v/>
      </c>
      <c r="C891" s="59" t="str">
        <f>IFERROR(VLOOKUP(A891,Lookup!A:C,3,0),"")</f>
        <v/>
      </c>
      <c r="D891" s="54"/>
      <c r="E891" s="54"/>
      <c r="F891" s="54"/>
      <c r="G891" s="72"/>
      <c r="H891" s="54"/>
      <c r="I891" s="54"/>
      <c r="J891" s="106">
        <f>VLOOKUP(A891&amp;G891,Lookup!J:N,5,0)</f>
        <v>0</v>
      </c>
      <c r="K891" s="115"/>
      <c r="L891" s="115"/>
      <c r="M891" s="115"/>
      <c r="N891" s="115"/>
      <c r="O891" s="90">
        <f>IFERROR(VLOOKUP(A891&amp;G891,Lookup!J:K,2,0),"")</f>
        <v>0</v>
      </c>
      <c r="P891" s="110" t="str">
        <f t="shared" si="63"/>
        <v/>
      </c>
      <c r="Q891" s="115"/>
      <c r="R891" s="87" t="str">
        <f t="shared" si="64"/>
        <v/>
      </c>
      <c r="S891" s="87" t="str">
        <f t="shared" si="65"/>
        <v/>
      </c>
      <c r="T891" s="54"/>
      <c r="U891" s="54"/>
      <c r="V891" s="54"/>
      <c r="W891" s="54"/>
      <c r="X891" s="69" t="str">
        <f t="shared" si="62"/>
        <v>D</v>
      </c>
    </row>
    <row r="892" spans="2:24" x14ac:dyDescent="0.25">
      <c r="B892" s="91" t="str">
        <f>IFERROR(VLOOKUP(A892,Lookup!A:B,2,0),"")</f>
        <v/>
      </c>
      <c r="C892" s="59" t="str">
        <f>IFERROR(VLOOKUP(A892,Lookup!A:C,3,0),"")</f>
        <v/>
      </c>
      <c r="D892" s="54"/>
      <c r="E892" s="54"/>
      <c r="F892" s="54"/>
      <c r="G892" s="72"/>
      <c r="H892" s="54"/>
      <c r="I892" s="54"/>
      <c r="J892" s="106">
        <f>VLOOKUP(A892&amp;G892,Lookup!J:N,5,0)</f>
        <v>0</v>
      </c>
      <c r="K892" s="115"/>
      <c r="L892" s="115"/>
      <c r="M892" s="115"/>
      <c r="N892" s="115"/>
      <c r="O892" s="90">
        <f>IFERROR(VLOOKUP(A892&amp;G892,Lookup!J:K,2,0),"")</f>
        <v>0</v>
      </c>
      <c r="P892" s="110" t="str">
        <f t="shared" si="63"/>
        <v/>
      </c>
      <c r="Q892" s="115"/>
      <c r="R892" s="87" t="str">
        <f t="shared" si="64"/>
        <v/>
      </c>
      <c r="S892" s="87" t="str">
        <f t="shared" si="65"/>
        <v/>
      </c>
      <c r="T892" s="54"/>
      <c r="U892" s="54"/>
      <c r="V892" s="54"/>
      <c r="W892" s="54"/>
      <c r="X892" s="69" t="str">
        <f t="shared" si="62"/>
        <v>D</v>
      </c>
    </row>
    <row r="893" spans="2:24" x14ac:dyDescent="0.25">
      <c r="B893" s="91" t="str">
        <f>IFERROR(VLOOKUP(A893,Lookup!A:B,2,0),"")</f>
        <v/>
      </c>
      <c r="C893" s="59" t="str">
        <f>IFERROR(VLOOKUP(A893,Lookup!A:C,3,0),"")</f>
        <v/>
      </c>
      <c r="D893" s="54"/>
      <c r="E893" s="54"/>
      <c r="F893" s="54"/>
      <c r="G893" s="72"/>
      <c r="H893" s="54"/>
      <c r="I893" s="54"/>
      <c r="J893" s="106">
        <f>VLOOKUP(A893&amp;G893,Lookup!J:N,5,0)</f>
        <v>0</v>
      </c>
      <c r="K893" s="115"/>
      <c r="L893" s="115"/>
      <c r="M893" s="115"/>
      <c r="N893" s="115"/>
      <c r="O893" s="90">
        <f>IFERROR(VLOOKUP(A893&amp;G893,Lookup!J:K,2,0),"")</f>
        <v>0</v>
      </c>
      <c r="P893" s="110" t="str">
        <f t="shared" si="63"/>
        <v/>
      </c>
      <c r="Q893" s="115"/>
      <c r="R893" s="87" t="str">
        <f t="shared" si="64"/>
        <v/>
      </c>
      <c r="S893" s="87" t="str">
        <f t="shared" si="65"/>
        <v/>
      </c>
      <c r="T893" s="54"/>
      <c r="U893" s="54"/>
      <c r="V893" s="54"/>
      <c r="W893" s="54"/>
      <c r="X893" s="69" t="str">
        <f t="shared" si="62"/>
        <v>D</v>
      </c>
    </row>
    <row r="894" spans="2:24" x14ac:dyDescent="0.25">
      <c r="B894" s="91" t="str">
        <f>IFERROR(VLOOKUP(A894,Lookup!A:B,2,0),"")</f>
        <v/>
      </c>
      <c r="C894" s="59" t="str">
        <f>IFERROR(VLOOKUP(A894,Lookup!A:C,3,0),"")</f>
        <v/>
      </c>
      <c r="D894" s="54"/>
      <c r="E894" s="54"/>
      <c r="F894" s="54"/>
      <c r="G894" s="72"/>
      <c r="H894" s="54"/>
      <c r="I894" s="54"/>
      <c r="J894" s="106">
        <f>VLOOKUP(A894&amp;G894,Lookup!J:N,5,0)</f>
        <v>0</v>
      </c>
      <c r="K894" s="115"/>
      <c r="L894" s="115"/>
      <c r="M894" s="115"/>
      <c r="N894" s="115"/>
      <c r="O894" s="90">
        <f>IFERROR(VLOOKUP(A894&amp;G894,Lookup!J:K,2,0),"")</f>
        <v>0</v>
      </c>
      <c r="P894" s="110" t="str">
        <f t="shared" si="63"/>
        <v/>
      </c>
      <c r="Q894" s="115"/>
      <c r="R894" s="87" t="str">
        <f t="shared" si="64"/>
        <v/>
      </c>
      <c r="S894" s="87" t="str">
        <f t="shared" si="65"/>
        <v/>
      </c>
      <c r="T894" s="54"/>
      <c r="U894" s="54"/>
      <c r="V894" s="54"/>
      <c r="W894" s="54"/>
      <c r="X894" s="69" t="str">
        <f t="shared" si="62"/>
        <v>D</v>
      </c>
    </row>
    <row r="895" spans="2:24" x14ac:dyDescent="0.25">
      <c r="B895" s="91" t="str">
        <f>IFERROR(VLOOKUP(A895,Lookup!A:B,2,0),"")</f>
        <v/>
      </c>
      <c r="C895" s="59" t="str">
        <f>IFERROR(VLOOKUP(A895,Lookup!A:C,3,0),"")</f>
        <v/>
      </c>
      <c r="D895" s="54"/>
      <c r="E895" s="54"/>
      <c r="F895" s="54"/>
      <c r="G895" s="72"/>
      <c r="H895" s="54"/>
      <c r="I895" s="54"/>
      <c r="J895" s="106">
        <f>VLOOKUP(A895&amp;G895,Lookup!J:N,5,0)</f>
        <v>0</v>
      </c>
      <c r="K895" s="115"/>
      <c r="L895" s="115"/>
      <c r="M895" s="115"/>
      <c r="N895" s="115"/>
      <c r="O895" s="90">
        <f>IFERROR(VLOOKUP(A895&amp;G895,Lookup!J:K,2,0),"")</f>
        <v>0</v>
      </c>
      <c r="P895" s="110" t="str">
        <f t="shared" si="63"/>
        <v/>
      </c>
      <c r="Q895" s="115"/>
      <c r="R895" s="87" t="str">
        <f t="shared" si="64"/>
        <v/>
      </c>
      <c r="S895" s="87" t="str">
        <f t="shared" si="65"/>
        <v/>
      </c>
      <c r="T895" s="54"/>
      <c r="U895" s="54"/>
      <c r="V895" s="54"/>
      <c r="W895" s="54"/>
      <c r="X895" s="69" t="str">
        <f t="shared" si="62"/>
        <v>D</v>
      </c>
    </row>
    <row r="896" spans="2:24" x14ac:dyDescent="0.25">
      <c r="B896" s="91" t="str">
        <f>IFERROR(VLOOKUP(A896,Lookup!A:B,2,0),"")</f>
        <v/>
      </c>
      <c r="C896" s="59" t="str">
        <f>IFERROR(VLOOKUP(A896,Lookup!A:C,3,0),"")</f>
        <v/>
      </c>
      <c r="D896" s="54"/>
      <c r="E896" s="54"/>
      <c r="F896" s="54"/>
      <c r="G896" s="72"/>
      <c r="H896" s="54"/>
      <c r="I896" s="54"/>
      <c r="J896" s="106">
        <f>VLOOKUP(A896&amp;G896,Lookup!J:N,5,0)</f>
        <v>0</v>
      </c>
      <c r="K896" s="115"/>
      <c r="L896" s="115"/>
      <c r="M896" s="115"/>
      <c r="N896" s="115"/>
      <c r="O896" s="90">
        <f>IFERROR(VLOOKUP(A896&amp;G896,Lookup!J:K,2,0),"")</f>
        <v>0</v>
      </c>
      <c r="P896" s="110" t="str">
        <f t="shared" si="63"/>
        <v/>
      </c>
      <c r="Q896" s="115"/>
      <c r="R896" s="87" t="str">
        <f t="shared" si="64"/>
        <v/>
      </c>
      <c r="S896" s="87" t="str">
        <f t="shared" si="65"/>
        <v/>
      </c>
      <c r="T896" s="54"/>
      <c r="U896" s="54"/>
      <c r="V896" s="54"/>
      <c r="W896" s="54"/>
      <c r="X896" s="69" t="str">
        <f t="shared" si="62"/>
        <v>D</v>
      </c>
    </row>
    <row r="897" spans="2:24" x14ac:dyDescent="0.25">
      <c r="B897" s="91" t="str">
        <f>IFERROR(VLOOKUP(A897,Lookup!A:B,2,0),"")</f>
        <v/>
      </c>
      <c r="C897" s="59" t="str">
        <f>IFERROR(VLOOKUP(A897,Lookup!A:C,3,0),"")</f>
        <v/>
      </c>
      <c r="D897" s="54"/>
      <c r="E897" s="54"/>
      <c r="F897" s="54"/>
      <c r="G897" s="72"/>
      <c r="H897" s="54"/>
      <c r="I897" s="54"/>
      <c r="J897" s="106">
        <f>VLOOKUP(A897&amp;G897,Lookup!J:N,5,0)</f>
        <v>0</v>
      </c>
      <c r="K897" s="115"/>
      <c r="L897" s="115"/>
      <c r="M897" s="115"/>
      <c r="N897" s="115"/>
      <c r="O897" s="90">
        <f>IFERROR(VLOOKUP(A897&amp;G897,Lookup!J:K,2,0),"")</f>
        <v>0</v>
      </c>
      <c r="P897" s="110" t="str">
        <f t="shared" si="63"/>
        <v/>
      </c>
      <c r="Q897" s="115"/>
      <c r="R897" s="87" t="str">
        <f t="shared" si="64"/>
        <v/>
      </c>
      <c r="S897" s="87" t="str">
        <f t="shared" si="65"/>
        <v/>
      </c>
      <c r="T897" s="54"/>
      <c r="U897" s="54"/>
      <c r="V897" s="54"/>
      <c r="W897" s="54"/>
      <c r="X897" s="69" t="str">
        <f t="shared" ref="X897:X960" si="66">IF(I897="SET","A",IF(I897="FREQ","C",IF(I897="","D","B")))</f>
        <v>D</v>
      </c>
    </row>
    <row r="898" spans="2:24" x14ac:dyDescent="0.25">
      <c r="B898" s="91" t="str">
        <f>IFERROR(VLOOKUP(A898,Lookup!A:B,2,0),"")</f>
        <v/>
      </c>
      <c r="C898" s="59" t="str">
        <f>IFERROR(VLOOKUP(A898,Lookup!A:C,3,0),"")</f>
        <v/>
      </c>
      <c r="D898" s="54"/>
      <c r="E898" s="54"/>
      <c r="F898" s="54"/>
      <c r="G898" s="72"/>
      <c r="H898" s="54"/>
      <c r="I898" s="54"/>
      <c r="J898" s="106">
        <f>VLOOKUP(A898&amp;G898,Lookup!J:N,5,0)</f>
        <v>0</v>
      </c>
      <c r="K898" s="115"/>
      <c r="L898" s="115"/>
      <c r="M898" s="115"/>
      <c r="N898" s="115"/>
      <c r="O898" s="90">
        <f>IFERROR(VLOOKUP(A898&amp;G898,Lookup!J:K,2,0),"")</f>
        <v>0</v>
      </c>
      <c r="P898" s="110" t="str">
        <f t="shared" ref="P898:P961" si="67">IF(N898="","",N898+O898)</f>
        <v/>
      </c>
      <c r="Q898" s="115"/>
      <c r="R898" s="87" t="str">
        <f t="shared" si="64"/>
        <v/>
      </c>
      <c r="S898" s="87" t="str">
        <f t="shared" si="65"/>
        <v/>
      </c>
      <c r="T898" s="54"/>
      <c r="U898" s="54"/>
      <c r="V898" s="54"/>
      <c r="W898" s="54"/>
      <c r="X898" s="69" t="str">
        <f t="shared" si="66"/>
        <v>D</v>
      </c>
    </row>
    <row r="899" spans="2:24" x14ac:dyDescent="0.25">
      <c r="B899" s="91" t="str">
        <f>IFERROR(VLOOKUP(A899,Lookup!A:B,2,0),"")</f>
        <v/>
      </c>
      <c r="C899" s="59" t="str">
        <f>IFERROR(VLOOKUP(A899,Lookup!A:C,3,0),"")</f>
        <v/>
      </c>
      <c r="D899" s="54"/>
      <c r="E899" s="54"/>
      <c r="F899" s="54"/>
      <c r="G899" s="72"/>
      <c r="H899" s="54"/>
      <c r="I899" s="54"/>
      <c r="J899" s="106">
        <f>VLOOKUP(A899&amp;G899,Lookup!J:N,5,0)</f>
        <v>0</v>
      </c>
      <c r="K899" s="115"/>
      <c r="L899" s="115"/>
      <c r="M899" s="115"/>
      <c r="N899" s="115"/>
      <c r="O899" s="90">
        <f>IFERROR(VLOOKUP(A899&amp;G899,Lookup!J:K,2,0),"")</f>
        <v>0</v>
      </c>
      <c r="P899" s="110" t="str">
        <f t="shared" si="67"/>
        <v/>
      </c>
      <c r="Q899" s="115"/>
      <c r="R899" s="87" t="str">
        <f t="shared" ref="R899:R962" si="68">IF(OR(EXACT(N899,""), EXACT(L899,"")),"",N899-L899)</f>
        <v/>
      </c>
      <c r="S899" s="87" t="str">
        <f t="shared" si="65"/>
        <v/>
      </c>
      <c r="T899" s="54"/>
      <c r="U899" s="54"/>
      <c r="V899" s="54"/>
      <c r="W899" s="54"/>
      <c r="X899" s="69" t="str">
        <f t="shared" si="66"/>
        <v>D</v>
      </c>
    </row>
    <row r="900" spans="2:24" x14ac:dyDescent="0.25">
      <c r="B900" s="91" t="str">
        <f>IFERROR(VLOOKUP(A900,Lookup!A:B,2,0),"")</f>
        <v/>
      </c>
      <c r="C900" s="59" t="str">
        <f>IFERROR(VLOOKUP(A900,Lookup!A:C,3,0),"")</f>
        <v/>
      </c>
      <c r="D900" s="54"/>
      <c r="E900" s="54"/>
      <c r="F900" s="54"/>
      <c r="G900" s="72"/>
      <c r="H900" s="54"/>
      <c r="I900" s="54"/>
      <c r="J900" s="106">
        <f>VLOOKUP(A900&amp;G900,Lookup!J:N,5,0)</f>
        <v>0</v>
      </c>
      <c r="K900" s="115"/>
      <c r="L900" s="115"/>
      <c r="M900" s="115"/>
      <c r="N900" s="115"/>
      <c r="O900" s="90">
        <f>IFERROR(VLOOKUP(A900&amp;G900,Lookup!J:K,2,0),"")</f>
        <v>0</v>
      </c>
      <c r="P900" s="110" t="str">
        <f t="shared" si="67"/>
        <v/>
      </c>
      <c r="Q900" s="115"/>
      <c r="R900" s="87" t="str">
        <f t="shared" si="68"/>
        <v/>
      </c>
      <c r="S900" s="87" t="str">
        <f t="shared" ref="S900:S963" si="69">IF(OR(EXACT(Q900,""), EXACT(L900,"")),"",Q900-L900)</f>
        <v/>
      </c>
      <c r="T900" s="54"/>
      <c r="U900" s="54"/>
      <c r="V900" s="54"/>
      <c r="W900" s="54"/>
      <c r="X900" s="69" t="str">
        <f t="shared" si="66"/>
        <v>D</v>
      </c>
    </row>
    <row r="901" spans="2:24" x14ac:dyDescent="0.25">
      <c r="B901" s="91" t="str">
        <f>IFERROR(VLOOKUP(A901,Lookup!A:B,2,0),"")</f>
        <v/>
      </c>
      <c r="C901" s="59" t="str">
        <f>IFERROR(VLOOKUP(A901,Lookup!A:C,3,0),"")</f>
        <v/>
      </c>
      <c r="D901" s="54"/>
      <c r="E901" s="54"/>
      <c r="F901" s="54"/>
      <c r="G901" s="72"/>
      <c r="H901" s="54"/>
      <c r="I901" s="54"/>
      <c r="J901" s="106">
        <f>VLOOKUP(A901&amp;G901,Lookup!J:N,5,0)</f>
        <v>0</v>
      </c>
      <c r="K901" s="115"/>
      <c r="L901" s="115"/>
      <c r="M901" s="115"/>
      <c r="N901" s="115"/>
      <c r="O901" s="90">
        <f>IFERROR(VLOOKUP(A901&amp;G901,Lookup!J:K,2,0),"")</f>
        <v>0</v>
      </c>
      <c r="P901" s="110" t="str">
        <f t="shared" si="67"/>
        <v/>
      </c>
      <c r="Q901" s="115"/>
      <c r="R901" s="87" t="str">
        <f t="shared" si="68"/>
        <v/>
      </c>
      <c r="S901" s="87" t="str">
        <f t="shared" si="69"/>
        <v/>
      </c>
      <c r="T901" s="54"/>
      <c r="U901" s="54"/>
      <c r="V901" s="54"/>
      <c r="W901" s="54"/>
      <c r="X901" s="69" t="str">
        <f t="shared" si="66"/>
        <v>D</v>
      </c>
    </row>
    <row r="902" spans="2:24" x14ac:dyDescent="0.25">
      <c r="B902" s="91" t="str">
        <f>IFERROR(VLOOKUP(A902,Lookup!A:B,2,0),"")</f>
        <v/>
      </c>
      <c r="C902" s="59" t="str">
        <f>IFERROR(VLOOKUP(A902,Lookup!A:C,3,0),"")</f>
        <v/>
      </c>
      <c r="D902" s="54"/>
      <c r="E902" s="54"/>
      <c r="F902" s="54"/>
      <c r="G902" s="72"/>
      <c r="H902" s="54"/>
      <c r="I902" s="54"/>
      <c r="J902" s="106">
        <f>VLOOKUP(A902&amp;G902,Lookup!J:N,5,0)</f>
        <v>0</v>
      </c>
      <c r="K902" s="115"/>
      <c r="L902" s="115"/>
      <c r="M902" s="115"/>
      <c r="N902" s="115"/>
      <c r="O902" s="90">
        <f>IFERROR(VLOOKUP(A902&amp;G902,Lookup!J:K,2,0),"")</f>
        <v>0</v>
      </c>
      <c r="P902" s="110" t="str">
        <f t="shared" si="67"/>
        <v/>
      </c>
      <c r="Q902" s="115"/>
      <c r="R902" s="87" t="str">
        <f t="shared" si="68"/>
        <v/>
      </c>
      <c r="S902" s="87" t="str">
        <f t="shared" si="69"/>
        <v/>
      </c>
      <c r="T902" s="54"/>
      <c r="U902" s="54"/>
      <c r="V902" s="54"/>
      <c r="W902" s="54"/>
      <c r="X902" s="69" t="str">
        <f t="shared" si="66"/>
        <v>D</v>
      </c>
    </row>
    <row r="903" spans="2:24" x14ac:dyDescent="0.25">
      <c r="B903" s="91" t="str">
        <f>IFERROR(VLOOKUP(A903,Lookup!A:B,2,0),"")</f>
        <v/>
      </c>
      <c r="C903" s="59" t="str">
        <f>IFERROR(VLOOKUP(A903,Lookup!A:C,3,0),"")</f>
        <v/>
      </c>
      <c r="D903" s="54"/>
      <c r="E903" s="54"/>
      <c r="F903" s="54"/>
      <c r="G903" s="72"/>
      <c r="H903" s="54"/>
      <c r="I903" s="54"/>
      <c r="J903" s="106">
        <f>VLOOKUP(A903&amp;G903,Lookup!J:N,5,0)</f>
        <v>0</v>
      </c>
      <c r="K903" s="115"/>
      <c r="L903" s="115"/>
      <c r="M903" s="115"/>
      <c r="N903" s="115"/>
      <c r="O903" s="90">
        <f>IFERROR(VLOOKUP(A903&amp;G903,Lookup!J:K,2,0),"")</f>
        <v>0</v>
      </c>
      <c r="P903" s="110" t="str">
        <f t="shared" si="67"/>
        <v/>
      </c>
      <c r="Q903" s="115"/>
      <c r="R903" s="87" t="str">
        <f t="shared" si="68"/>
        <v/>
      </c>
      <c r="S903" s="87" t="str">
        <f t="shared" si="69"/>
        <v/>
      </c>
      <c r="T903" s="54"/>
      <c r="U903" s="54"/>
      <c r="V903" s="54"/>
      <c r="W903" s="54"/>
      <c r="X903" s="69" t="str">
        <f t="shared" si="66"/>
        <v>D</v>
      </c>
    </row>
    <row r="904" spans="2:24" x14ac:dyDescent="0.25">
      <c r="B904" s="91" t="str">
        <f>IFERROR(VLOOKUP(A904,Lookup!A:B,2,0),"")</f>
        <v/>
      </c>
      <c r="C904" s="59" t="str">
        <f>IFERROR(VLOOKUP(A904,Lookup!A:C,3,0),"")</f>
        <v/>
      </c>
      <c r="D904" s="54"/>
      <c r="E904" s="54"/>
      <c r="F904" s="54"/>
      <c r="G904" s="72"/>
      <c r="H904" s="54"/>
      <c r="I904" s="54"/>
      <c r="J904" s="106">
        <f>VLOOKUP(A904&amp;G904,Lookup!J:N,5,0)</f>
        <v>0</v>
      </c>
      <c r="K904" s="115"/>
      <c r="L904" s="115"/>
      <c r="M904" s="115"/>
      <c r="N904" s="115"/>
      <c r="O904" s="90">
        <f>IFERROR(VLOOKUP(A904&amp;G904,Lookup!J:K,2,0),"")</f>
        <v>0</v>
      </c>
      <c r="P904" s="110" t="str">
        <f t="shared" si="67"/>
        <v/>
      </c>
      <c r="Q904" s="115"/>
      <c r="R904" s="87" t="str">
        <f t="shared" si="68"/>
        <v/>
      </c>
      <c r="S904" s="87" t="str">
        <f t="shared" si="69"/>
        <v/>
      </c>
      <c r="T904" s="54"/>
      <c r="U904" s="54"/>
      <c r="V904" s="54"/>
      <c r="W904" s="54"/>
      <c r="X904" s="69" t="str">
        <f t="shared" si="66"/>
        <v>D</v>
      </c>
    </row>
    <row r="905" spans="2:24" x14ac:dyDescent="0.25">
      <c r="B905" s="91" t="str">
        <f>IFERROR(VLOOKUP(A905,Lookup!A:B,2,0),"")</f>
        <v/>
      </c>
      <c r="C905" s="59" t="str">
        <f>IFERROR(VLOOKUP(A905,Lookup!A:C,3,0),"")</f>
        <v/>
      </c>
      <c r="D905" s="54"/>
      <c r="E905" s="54"/>
      <c r="F905" s="54"/>
      <c r="G905" s="72"/>
      <c r="H905" s="54"/>
      <c r="I905" s="54"/>
      <c r="J905" s="106">
        <f>VLOOKUP(A905&amp;G905,Lookup!J:N,5,0)</f>
        <v>0</v>
      </c>
      <c r="K905" s="115"/>
      <c r="L905" s="115"/>
      <c r="M905" s="115"/>
      <c r="N905" s="115"/>
      <c r="O905" s="90">
        <f>IFERROR(VLOOKUP(A905&amp;G905,Lookup!J:K,2,0),"")</f>
        <v>0</v>
      </c>
      <c r="P905" s="110" t="str">
        <f t="shared" si="67"/>
        <v/>
      </c>
      <c r="Q905" s="115"/>
      <c r="R905" s="87" t="str">
        <f t="shared" si="68"/>
        <v/>
      </c>
      <c r="S905" s="87" t="str">
        <f t="shared" si="69"/>
        <v/>
      </c>
      <c r="T905" s="54"/>
      <c r="U905" s="54"/>
      <c r="V905" s="54"/>
      <c r="W905" s="54"/>
      <c r="X905" s="69" t="str">
        <f t="shared" si="66"/>
        <v>D</v>
      </c>
    </row>
    <row r="906" spans="2:24" x14ac:dyDescent="0.25">
      <c r="B906" s="91" t="str">
        <f>IFERROR(VLOOKUP(A906,Lookup!A:B,2,0),"")</f>
        <v/>
      </c>
      <c r="C906" s="59" t="str">
        <f>IFERROR(VLOOKUP(A906,Lookup!A:C,3,0),"")</f>
        <v/>
      </c>
      <c r="D906" s="54"/>
      <c r="E906" s="54"/>
      <c r="F906" s="54"/>
      <c r="G906" s="72"/>
      <c r="H906" s="54"/>
      <c r="I906" s="54"/>
      <c r="J906" s="106">
        <f>VLOOKUP(A906&amp;G906,Lookup!J:N,5,0)</f>
        <v>0</v>
      </c>
      <c r="K906" s="115"/>
      <c r="L906" s="115"/>
      <c r="M906" s="115"/>
      <c r="N906" s="115"/>
      <c r="O906" s="90">
        <f>IFERROR(VLOOKUP(A906&amp;G906,Lookup!J:K,2,0),"")</f>
        <v>0</v>
      </c>
      <c r="P906" s="110" t="str">
        <f t="shared" si="67"/>
        <v/>
      </c>
      <c r="Q906" s="115"/>
      <c r="R906" s="87" t="str">
        <f t="shared" si="68"/>
        <v/>
      </c>
      <c r="S906" s="87" t="str">
        <f t="shared" si="69"/>
        <v/>
      </c>
      <c r="T906" s="54"/>
      <c r="U906" s="54"/>
      <c r="V906" s="54"/>
      <c r="W906" s="54"/>
      <c r="X906" s="69" t="str">
        <f t="shared" si="66"/>
        <v>D</v>
      </c>
    </row>
    <row r="907" spans="2:24" x14ac:dyDescent="0.25">
      <c r="B907" s="91" t="str">
        <f>IFERROR(VLOOKUP(A907,Lookup!A:B,2,0),"")</f>
        <v/>
      </c>
      <c r="C907" s="59" t="str">
        <f>IFERROR(VLOOKUP(A907,Lookup!A:C,3,0),"")</f>
        <v/>
      </c>
      <c r="D907" s="54"/>
      <c r="E907" s="54"/>
      <c r="F907" s="54"/>
      <c r="G907" s="72"/>
      <c r="H907" s="54"/>
      <c r="I907" s="54"/>
      <c r="J907" s="106">
        <f>VLOOKUP(A907&amp;G907,Lookup!J:N,5,0)</f>
        <v>0</v>
      </c>
      <c r="K907" s="115"/>
      <c r="L907" s="115"/>
      <c r="M907" s="115"/>
      <c r="N907" s="115"/>
      <c r="O907" s="90">
        <f>IFERROR(VLOOKUP(A907&amp;G907,Lookup!J:K,2,0),"")</f>
        <v>0</v>
      </c>
      <c r="P907" s="110" t="str">
        <f t="shared" si="67"/>
        <v/>
      </c>
      <c r="Q907" s="115"/>
      <c r="R907" s="87" t="str">
        <f t="shared" si="68"/>
        <v/>
      </c>
      <c r="S907" s="87" t="str">
        <f t="shared" si="69"/>
        <v/>
      </c>
      <c r="T907" s="54"/>
      <c r="U907" s="54"/>
      <c r="V907" s="54"/>
      <c r="W907" s="54"/>
      <c r="X907" s="69" t="str">
        <f t="shared" si="66"/>
        <v>D</v>
      </c>
    </row>
    <row r="908" spans="2:24" x14ac:dyDescent="0.25">
      <c r="B908" s="91" t="str">
        <f>IFERROR(VLOOKUP(A908,Lookup!A:B,2,0),"")</f>
        <v/>
      </c>
      <c r="C908" s="59" t="str">
        <f>IFERROR(VLOOKUP(A908,Lookup!A:C,3,0),"")</f>
        <v/>
      </c>
      <c r="D908" s="54"/>
      <c r="E908" s="54"/>
      <c r="F908" s="54"/>
      <c r="G908" s="72"/>
      <c r="H908" s="54"/>
      <c r="I908" s="54"/>
      <c r="J908" s="106">
        <f>VLOOKUP(A908&amp;G908,Lookup!J:N,5,0)</f>
        <v>0</v>
      </c>
      <c r="K908" s="115"/>
      <c r="L908" s="115"/>
      <c r="M908" s="115"/>
      <c r="N908" s="115"/>
      <c r="O908" s="90">
        <f>IFERROR(VLOOKUP(A908&amp;G908,Lookup!J:K,2,0),"")</f>
        <v>0</v>
      </c>
      <c r="P908" s="110" t="str">
        <f t="shared" si="67"/>
        <v/>
      </c>
      <c r="Q908" s="115"/>
      <c r="R908" s="87" t="str">
        <f t="shared" si="68"/>
        <v/>
      </c>
      <c r="S908" s="87" t="str">
        <f t="shared" si="69"/>
        <v/>
      </c>
      <c r="T908" s="54"/>
      <c r="U908" s="54"/>
      <c r="V908" s="54"/>
      <c r="W908" s="54"/>
      <c r="X908" s="69" t="str">
        <f t="shared" si="66"/>
        <v>D</v>
      </c>
    </row>
    <row r="909" spans="2:24" x14ac:dyDescent="0.25">
      <c r="B909" s="91" t="str">
        <f>IFERROR(VLOOKUP(A909,Lookup!A:B,2,0),"")</f>
        <v/>
      </c>
      <c r="C909" s="59" t="str">
        <f>IFERROR(VLOOKUP(A909,Lookup!A:C,3,0),"")</f>
        <v/>
      </c>
      <c r="D909" s="54"/>
      <c r="E909" s="54"/>
      <c r="F909" s="54"/>
      <c r="G909" s="72"/>
      <c r="H909" s="54"/>
      <c r="I909" s="54"/>
      <c r="J909" s="106">
        <f>VLOOKUP(A909&amp;G909,Lookup!J:N,5,0)</f>
        <v>0</v>
      </c>
      <c r="K909" s="115"/>
      <c r="L909" s="115"/>
      <c r="M909" s="115"/>
      <c r="N909" s="115"/>
      <c r="O909" s="90">
        <f>IFERROR(VLOOKUP(A909&amp;G909,Lookup!J:K,2,0),"")</f>
        <v>0</v>
      </c>
      <c r="P909" s="110" t="str">
        <f t="shared" si="67"/>
        <v/>
      </c>
      <c r="Q909" s="115"/>
      <c r="R909" s="87" t="str">
        <f t="shared" si="68"/>
        <v/>
      </c>
      <c r="S909" s="87" t="str">
        <f t="shared" si="69"/>
        <v/>
      </c>
      <c r="T909" s="54"/>
      <c r="U909" s="54"/>
      <c r="V909" s="54"/>
      <c r="W909" s="54"/>
      <c r="X909" s="69" t="str">
        <f t="shared" si="66"/>
        <v>D</v>
      </c>
    </row>
    <row r="910" spans="2:24" x14ac:dyDescent="0.25">
      <c r="B910" s="91" t="str">
        <f>IFERROR(VLOOKUP(A910,Lookup!A:B,2,0),"")</f>
        <v/>
      </c>
      <c r="C910" s="59" t="str">
        <f>IFERROR(VLOOKUP(A910,Lookup!A:C,3,0),"")</f>
        <v/>
      </c>
      <c r="D910" s="54"/>
      <c r="E910" s="54"/>
      <c r="F910" s="54"/>
      <c r="G910" s="72"/>
      <c r="H910" s="54"/>
      <c r="I910" s="54"/>
      <c r="J910" s="106">
        <f>VLOOKUP(A910&amp;G910,Lookup!J:N,5,0)</f>
        <v>0</v>
      </c>
      <c r="K910" s="115"/>
      <c r="L910" s="115"/>
      <c r="M910" s="115"/>
      <c r="N910" s="115"/>
      <c r="O910" s="90">
        <f>IFERROR(VLOOKUP(A910&amp;G910,Lookup!J:K,2,0),"")</f>
        <v>0</v>
      </c>
      <c r="P910" s="110" t="str">
        <f t="shared" si="67"/>
        <v/>
      </c>
      <c r="Q910" s="115"/>
      <c r="R910" s="87" t="str">
        <f t="shared" si="68"/>
        <v/>
      </c>
      <c r="S910" s="87" t="str">
        <f t="shared" si="69"/>
        <v/>
      </c>
      <c r="T910" s="54"/>
      <c r="U910" s="54"/>
      <c r="V910" s="54"/>
      <c r="W910" s="54"/>
      <c r="X910" s="69" t="str">
        <f t="shared" si="66"/>
        <v>D</v>
      </c>
    </row>
    <row r="911" spans="2:24" x14ac:dyDescent="0.25">
      <c r="B911" s="91" t="str">
        <f>IFERROR(VLOOKUP(A911,Lookup!A:B,2,0),"")</f>
        <v/>
      </c>
      <c r="C911" s="59" t="str">
        <f>IFERROR(VLOOKUP(A911,Lookup!A:C,3,0),"")</f>
        <v/>
      </c>
      <c r="D911" s="54"/>
      <c r="E911" s="54"/>
      <c r="F911" s="54"/>
      <c r="G911" s="72"/>
      <c r="H911" s="54"/>
      <c r="I911" s="54"/>
      <c r="J911" s="106">
        <f>VLOOKUP(A911&amp;G911,Lookup!J:N,5,0)</f>
        <v>0</v>
      </c>
      <c r="K911" s="115"/>
      <c r="L911" s="115"/>
      <c r="M911" s="115"/>
      <c r="N911" s="115"/>
      <c r="O911" s="90">
        <f>IFERROR(VLOOKUP(A911&amp;G911,Lookup!J:K,2,0),"")</f>
        <v>0</v>
      </c>
      <c r="P911" s="110" t="str">
        <f t="shared" si="67"/>
        <v/>
      </c>
      <c r="Q911" s="115"/>
      <c r="R911" s="87" t="str">
        <f t="shared" si="68"/>
        <v/>
      </c>
      <c r="S911" s="87" t="str">
        <f t="shared" si="69"/>
        <v/>
      </c>
      <c r="T911" s="54"/>
      <c r="U911" s="54"/>
      <c r="V911" s="54"/>
      <c r="W911" s="54"/>
      <c r="X911" s="69" t="str">
        <f t="shared" si="66"/>
        <v>D</v>
      </c>
    </row>
    <row r="912" spans="2:24" x14ac:dyDescent="0.25">
      <c r="B912" s="91" t="str">
        <f>IFERROR(VLOOKUP(A912,Lookup!A:B,2,0),"")</f>
        <v/>
      </c>
      <c r="C912" s="59" t="str">
        <f>IFERROR(VLOOKUP(A912,Lookup!A:C,3,0),"")</f>
        <v/>
      </c>
      <c r="D912" s="54"/>
      <c r="E912" s="54"/>
      <c r="F912" s="54"/>
      <c r="G912" s="72"/>
      <c r="H912" s="54"/>
      <c r="I912" s="54"/>
      <c r="J912" s="106">
        <f>VLOOKUP(A912&amp;G912,Lookup!J:N,5,0)</f>
        <v>0</v>
      </c>
      <c r="K912" s="115"/>
      <c r="L912" s="115"/>
      <c r="M912" s="115"/>
      <c r="N912" s="115"/>
      <c r="O912" s="90">
        <f>IFERROR(VLOOKUP(A912&amp;G912,Lookup!J:K,2,0),"")</f>
        <v>0</v>
      </c>
      <c r="P912" s="110" t="str">
        <f t="shared" si="67"/>
        <v/>
      </c>
      <c r="Q912" s="115"/>
      <c r="R912" s="87" t="str">
        <f t="shared" si="68"/>
        <v/>
      </c>
      <c r="S912" s="87" t="str">
        <f t="shared" si="69"/>
        <v/>
      </c>
      <c r="T912" s="54"/>
      <c r="U912" s="54"/>
      <c r="V912" s="54"/>
      <c r="W912" s="54"/>
      <c r="X912" s="69" t="str">
        <f t="shared" si="66"/>
        <v>D</v>
      </c>
    </row>
    <row r="913" spans="2:24" x14ac:dyDescent="0.25">
      <c r="B913" s="91" t="str">
        <f>IFERROR(VLOOKUP(A913,Lookup!A:B,2,0),"")</f>
        <v/>
      </c>
      <c r="C913" s="59" t="str">
        <f>IFERROR(VLOOKUP(A913,Lookup!A:C,3,0),"")</f>
        <v/>
      </c>
      <c r="D913" s="54"/>
      <c r="E913" s="54"/>
      <c r="F913" s="54"/>
      <c r="G913" s="72"/>
      <c r="H913" s="54"/>
      <c r="I913" s="54"/>
      <c r="J913" s="106">
        <f>VLOOKUP(A913&amp;G913,Lookup!J:N,5,0)</f>
        <v>0</v>
      </c>
      <c r="K913" s="115"/>
      <c r="L913" s="115"/>
      <c r="M913" s="115"/>
      <c r="N913" s="115"/>
      <c r="O913" s="90">
        <f>IFERROR(VLOOKUP(A913&amp;G913,Lookup!J:K,2,0),"")</f>
        <v>0</v>
      </c>
      <c r="P913" s="110" t="str">
        <f t="shared" si="67"/>
        <v/>
      </c>
      <c r="Q913" s="115"/>
      <c r="R913" s="87" t="str">
        <f t="shared" si="68"/>
        <v/>
      </c>
      <c r="S913" s="87" t="str">
        <f t="shared" si="69"/>
        <v/>
      </c>
      <c r="T913" s="54"/>
      <c r="U913" s="54"/>
      <c r="V913" s="54"/>
      <c r="W913" s="54"/>
      <c r="X913" s="69" t="str">
        <f t="shared" si="66"/>
        <v>D</v>
      </c>
    </row>
    <row r="914" spans="2:24" x14ac:dyDescent="0.25">
      <c r="B914" s="91" t="str">
        <f>IFERROR(VLOOKUP(A914,Lookup!A:B,2,0),"")</f>
        <v/>
      </c>
      <c r="C914" s="59" t="str">
        <f>IFERROR(VLOOKUP(A914,Lookup!A:C,3,0),"")</f>
        <v/>
      </c>
      <c r="D914" s="54"/>
      <c r="E914" s="54"/>
      <c r="F914" s="54"/>
      <c r="G914" s="72"/>
      <c r="H914" s="54"/>
      <c r="I914" s="54"/>
      <c r="J914" s="106">
        <f>VLOOKUP(A914&amp;G914,Lookup!J:N,5,0)</f>
        <v>0</v>
      </c>
      <c r="K914" s="115"/>
      <c r="L914" s="115"/>
      <c r="M914" s="115"/>
      <c r="N914" s="115"/>
      <c r="O914" s="90">
        <f>IFERROR(VLOOKUP(A914&amp;G914,Lookup!J:K,2,0),"")</f>
        <v>0</v>
      </c>
      <c r="P914" s="110" t="str">
        <f t="shared" si="67"/>
        <v/>
      </c>
      <c r="Q914" s="115"/>
      <c r="R914" s="87" t="str">
        <f t="shared" si="68"/>
        <v/>
      </c>
      <c r="S914" s="87" t="str">
        <f t="shared" si="69"/>
        <v/>
      </c>
      <c r="T914" s="54"/>
      <c r="U914" s="54"/>
      <c r="V914" s="54"/>
      <c r="W914" s="54"/>
      <c r="X914" s="69" t="str">
        <f t="shared" si="66"/>
        <v>D</v>
      </c>
    </row>
    <row r="915" spans="2:24" x14ac:dyDescent="0.25">
      <c r="B915" s="91" t="str">
        <f>IFERROR(VLOOKUP(A915,Lookup!A:B,2,0),"")</f>
        <v/>
      </c>
      <c r="C915" s="59" t="str">
        <f>IFERROR(VLOOKUP(A915,Lookup!A:C,3,0),"")</f>
        <v/>
      </c>
      <c r="D915" s="54"/>
      <c r="E915" s="54"/>
      <c r="F915" s="54"/>
      <c r="G915" s="72"/>
      <c r="H915" s="54"/>
      <c r="I915" s="54"/>
      <c r="J915" s="106">
        <f>VLOOKUP(A915&amp;G915,Lookup!J:N,5,0)</f>
        <v>0</v>
      </c>
      <c r="K915" s="115"/>
      <c r="L915" s="115"/>
      <c r="M915" s="115"/>
      <c r="N915" s="115"/>
      <c r="O915" s="90">
        <f>IFERROR(VLOOKUP(A915&amp;G915,Lookup!J:K,2,0),"")</f>
        <v>0</v>
      </c>
      <c r="P915" s="110" t="str">
        <f t="shared" si="67"/>
        <v/>
      </c>
      <c r="Q915" s="115"/>
      <c r="R915" s="87" t="str">
        <f t="shared" si="68"/>
        <v/>
      </c>
      <c r="S915" s="87" t="str">
        <f t="shared" si="69"/>
        <v/>
      </c>
      <c r="T915" s="54"/>
      <c r="U915" s="54"/>
      <c r="V915" s="54"/>
      <c r="W915" s="54"/>
      <c r="X915" s="69" t="str">
        <f t="shared" si="66"/>
        <v>D</v>
      </c>
    </row>
    <row r="916" spans="2:24" x14ac:dyDescent="0.25">
      <c r="B916" s="91" t="str">
        <f>IFERROR(VLOOKUP(A916,Lookup!A:B,2,0),"")</f>
        <v/>
      </c>
      <c r="C916" s="59" t="str">
        <f>IFERROR(VLOOKUP(A916,Lookup!A:C,3,0),"")</f>
        <v/>
      </c>
      <c r="D916" s="54"/>
      <c r="E916" s="54"/>
      <c r="F916" s="54"/>
      <c r="G916" s="72"/>
      <c r="H916" s="54"/>
      <c r="I916" s="54"/>
      <c r="J916" s="106">
        <f>VLOOKUP(A916&amp;G916,Lookup!J:N,5,0)</f>
        <v>0</v>
      </c>
      <c r="K916" s="115"/>
      <c r="L916" s="115"/>
      <c r="M916" s="115"/>
      <c r="N916" s="115"/>
      <c r="O916" s="90">
        <f>IFERROR(VLOOKUP(A916&amp;G916,Lookup!J:K,2,0),"")</f>
        <v>0</v>
      </c>
      <c r="P916" s="110" t="str">
        <f t="shared" si="67"/>
        <v/>
      </c>
      <c r="Q916" s="115"/>
      <c r="R916" s="87" t="str">
        <f t="shared" si="68"/>
        <v/>
      </c>
      <c r="S916" s="87" t="str">
        <f t="shared" si="69"/>
        <v/>
      </c>
      <c r="T916" s="54"/>
      <c r="U916" s="54"/>
      <c r="V916" s="54"/>
      <c r="W916" s="54"/>
      <c r="X916" s="69" t="str">
        <f t="shared" si="66"/>
        <v>D</v>
      </c>
    </row>
    <row r="917" spans="2:24" x14ac:dyDescent="0.25">
      <c r="B917" s="91" t="str">
        <f>IFERROR(VLOOKUP(A917,Lookup!A:B,2,0),"")</f>
        <v/>
      </c>
      <c r="C917" s="59" t="str">
        <f>IFERROR(VLOOKUP(A917,Lookup!A:C,3,0),"")</f>
        <v/>
      </c>
      <c r="D917" s="54"/>
      <c r="E917" s="54"/>
      <c r="F917" s="54"/>
      <c r="G917" s="72"/>
      <c r="H917" s="54"/>
      <c r="I917" s="54"/>
      <c r="J917" s="106">
        <f>VLOOKUP(A917&amp;G917,Lookup!J:N,5,0)</f>
        <v>0</v>
      </c>
      <c r="K917" s="115"/>
      <c r="L917" s="115"/>
      <c r="M917" s="115"/>
      <c r="N917" s="115"/>
      <c r="O917" s="90">
        <f>IFERROR(VLOOKUP(A917&amp;G917,Lookup!J:K,2,0),"")</f>
        <v>0</v>
      </c>
      <c r="P917" s="110" t="str">
        <f t="shared" si="67"/>
        <v/>
      </c>
      <c r="Q917" s="115"/>
      <c r="R917" s="87" t="str">
        <f t="shared" si="68"/>
        <v/>
      </c>
      <c r="S917" s="87" t="str">
        <f t="shared" si="69"/>
        <v/>
      </c>
      <c r="T917" s="54"/>
      <c r="U917" s="54"/>
      <c r="V917" s="54"/>
      <c r="W917" s="54"/>
      <c r="X917" s="69" t="str">
        <f t="shared" si="66"/>
        <v>D</v>
      </c>
    </row>
    <row r="918" spans="2:24" x14ac:dyDescent="0.25">
      <c r="B918" s="91" t="str">
        <f>IFERROR(VLOOKUP(A918,Lookup!A:B,2,0),"")</f>
        <v/>
      </c>
      <c r="C918" s="59" t="str">
        <f>IFERROR(VLOOKUP(A918,Lookup!A:C,3,0),"")</f>
        <v/>
      </c>
      <c r="D918" s="54"/>
      <c r="E918" s="54"/>
      <c r="F918" s="54"/>
      <c r="G918" s="72"/>
      <c r="H918" s="54"/>
      <c r="I918" s="54"/>
      <c r="J918" s="106">
        <f>VLOOKUP(A918&amp;G918,Lookup!J:N,5,0)</f>
        <v>0</v>
      </c>
      <c r="K918" s="115"/>
      <c r="L918" s="115"/>
      <c r="M918" s="115"/>
      <c r="N918" s="115"/>
      <c r="O918" s="90">
        <f>IFERROR(VLOOKUP(A918&amp;G918,Lookup!J:K,2,0),"")</f>
        <v>0</v>
      </c>
      <c r="P918" s="110" t="str">
        <f t="shared" si="67"/>
        <v/>
      </c>
      <c r="Q918" s="115"/>
      <c r="R918" s="87" t="str">
        <f t="shared" si="68"/>
        <v/>
      </c>
      <c r="S918" s="87" t="str">
        <f t="shared" si="69"/>
        <v/>
      </c>
      <c r="T918" s="54"/>
      <c r="U918" s="54"/>
      <c r="V918" s="54"/>
      <c r="W918" s="54"/>
      <c r="X918" s="69" t="str">
        <f t="shared" si="66"/>
        <v>D</v>
      </c>
    </row>
    <row r="919" spans="2:24" x14ac:dyDescent="0.25">
      <c r="B919" s="91" t="str">
        <f>IFERROR(VLOOKUP(A919,Lookup!A:B,2,0),"")</f>
        <v/>
      </c>
      <c r="C919" s="59" t="str">
        <f>IFERROR(VLOOKUP(A919,Lookup!A:C,3,0),"")</f>
        <v/>
      </c>
      <c r="D919" s="54"/>
      <c r="E919" s="54"/>
      <c r="F919" s="54"/>
      <c r="G919" s="72"/>
      <c r="H919" s="54"/>
      <c r="I919" s="54"/>
      <c r="J919" s="106">
        <f>VLOOKUP(A919&amp;G919,Lookup!J:N,5,0)</f>
        <v>0</v>
      </c>
      <c r="K919" s="115"/>
      <c r="L919" s="115"/>
      <c r="M919" s="115"/>
      <c r="N919" s="115"/>
      <c r="O919" s="90">
        <f>IFERROR(VLOOKUP(A919&amp;G919,Lookup!J:K,2,0),"")</f>
        <v>0</v>
      </c>
      <c r="P919" s="110" t="str">
        <f t="shared" si="67"/>
        <v/>
      </c>
      <c r="Q919" s="115"/>
      <c r="R919" s="87" t="str">
        <f t="shared" si="68"/>
        <v/>
      </c>
      <c r="S919" s="87" t="str">
        <f t="shared" si="69"/>
        <v/>
      </c>
      <c r="T919" s="54"/>
      <c r="U919" s="54"/>
      <c r="V919" s="54"/>
      <c r="W919" s="54"/>
      <c r="X919" s="69" t="str">
        <f t="shared" si="66"/>
        <v>D</v>
      </c>
    </row>
    <row r="920" spans="2:24" x14ac:dyDescent="0.25">
      <c r="B920" s="91" t="str">
        <f>IFERROR(VLOOKUP(A920,Lookup!A:B,2,0),"")</f>
        <v/>
      </c>
      <c r="C920" s="59" t="str">
        <f>IFERROR(VLOOKUP(A920,Lookup!A:C,3,0),"")</f>
        <v/>
      </c>
      <c r="D920" s="54"/>
      <c r="E920" s="54"/>
      <c r="F920" s="54"/>
      <c r="G920" s="72"/>
      <c r="H920" s="54"/>
      <c r="I920" s="54"/>
      <c r="J920" s="106">
        <f>VLOOKUP(A920&amp;G920,Lookup!J:N,5,0)</f>
        <v>0</v>
      </c>
      <c r="K920" s="115"/>
      <c r="L920" s="115"/>
      <c r="M920" s="115"/>
      <c r="N920" s="115"/>
      <c r="O920" s="90">
        <f>IFERROR(VLOOKUP(A920&amp;G920,Lookup!J:K,2,0),"")</f>
        <v>0</v>
      </c>
      <c r="P920" s="110" t="str">
        <f t="shared" si="67"/>
        <v/>
      </c>
      <c r="Q920" s="115"/>
      <c r="R920" s="87" t="str">
        <f t="shared" si="68"/>
        <v/>
      </c>
      <c r="S920" s="87" t="str">
        <f t="shared" si="69"/>
        <v/>
      </c>
      <c r="T920" s="54"/>
      <c r="U920" s="54"/>
      <c r="V920" s="54"/>
      <c r="W920" s="54"/>
      <c r="X920" s="69" t="str">
        <f t="shared" si="66"/>
        <v>D</v>
      </c>
    </row>
    <row r="921" spans="2:24" x14ac:dyDescent="0.25">
      <c r="B921" s="91" t="str">
        <f>IFERROR(VLOOKUP(A921,Lookup!A:B,2,0),"")</f>
        <v/>
      </c>
      <c r="C921" s="59" t="str">
        <f>IFERROR(VLOOKUP(A921,Lookup!A:C,3,0),"")</f>
        <v/>
      </c>
      <c r="D921" s="54"/>
      <c r="E921" s="54"/>
      <c r="F921" s="54"/>
      <c r="G921" s="72"/>
      <c r="H921" s="54"/>
      <c r="I921" s="54"/>
      <c r="J921" s="106">
        <f>VLOOKUP(A921&amp;G921,Lookup!J:N,5,0)</f>
        <v>0</v>
      </c>
      <c r="K921" s="115"/>
      <c r="L921" s="115"/>
      <c r="M921" s="115"/>
      <c r="N921" s="115"/>
      <c r="O921" s="90">
        <f>IFERROR(VLOOKUP(A921&amp;G921,Lookup!J:K,2,0),"")</f>
        <v>0</v>
      </c>
      <c r="P921" s="110" t="str">
        <f t="shared" si="67"/>
        <v/>
      </c>
      <c r="Q921" s="115"/>
      <c r="R921" s="87" t="str">
        <f t="shared" si="68"/>
        <v/>
      </c>
      <c r="S921" s="87" t="str">
        <f t="shared" si="69"/>
        <v/>
      </c>
      <c r="T921" s="54"/>
      <c r="U921" s="54"/>
      <c r="V921" s="54"/>
      <c r="W921" s="54"/>
      <c r="X921" s="69" t="str">
        <f t="shared" si="66"/>
        <v>D</v>
      </c>
    </row>
    <row r="922" spans="2:24" x14ac:dyDescent="0.25">
      <c r="B922" s="91" t="str">
        <f>IFERROR(VLOOKUP(A922,Lookup!A:B,2,0),"")</f>
        <v/>
      </c>
      <c r="C922" s="59" t="str">
        <f>IFERROR(VLOOKUP(A922,Lookup!A:C,3,0),"")</f>
        <v/>
      </c>
      <c r="D922" s="54"/>
      <c r="E922" s="54"/>
      <c r="F922" s="54"/>
      <c r="G922" s="72"/>
      <c r="H922" s="54"/>
      <c r="I922" s="54"/>
      <c r="J922" s="106">
        <f>VLOOKUP(A922&amp;G922,Lookup!J:N,5,0)</f>
        <v>0</v>
      </c>
      <c r="K922" s="115"/>
      <c r="L922" s="115"/>
      <c r="M922" s="115"/>
      <c r="N922" s="115"/>
      <c r="O922" s="90">
        <f>IFERROR(VLOOKUP(A922&amp;G922,Lookup!J:K,2,0),"")</f>
        <v>0</v>
      </c>
      <c r="P922" s="110" t="str">
        <f t="shared" si="67"/>
        <v/>
      </c>
      <c r="Q922" s="115"/>
      <c r="R922" s="87" t="str">
        <f t="shared" si="68"/>
        <v/>
      </c>
      <c r="S922" s="87" t="str">
        <f t="shared" si="69"/>
        <v/>
      </c>
      <c r="T922" s="54"/>
      <c r="U922" s="54"/>
      <c r="V922" s="54"/>
      <c r="W922" s="54"/>
      <c r="X922" s="69" t="str">
        <f t="shared" si="66"/>
        <v>D</v>
      </c>
    </row>
    <row r="923" spans="2:24" x14ac:dyDescent="0.25">
      <c r="B923" s="91" t="str">
        <f>IFERROR(VLOOKUP(A923,Lookup!A:B,2,0),"")</f>
        <v/>
      </c>
      <c r="C923" s="59" t="str">
        <f>IFERROR(VLOOKUP(A923,Lookup!A:C,3,0),"")</f>
        <v/>
      </c>
      <c r="D923" s="54"/>
      <c r="E923" s="54"/>
      <c r="F923" s="54"/>
      <c r="G923" s="72"/>
      <c r="H923" s="54"/>
      <c r="I923" s="54"/>
      <c r="J923" s="106">
        <f>VLOOKUP(A923&amp;G923,Lookup!J:N,5,0)</f>
        <v>0</v>
      </c>
      <c r="K923" s="115"/>
      <c r="L923" s="115"/>
      <c r="M923" s="115"/>
      <c r="N923" s="115"/>
      <c r="O923" s="90">
        <f>IFERROR(VLOOKUP(A923&amp;G923,Lookup!J:K,2,0),"")</f>
        <v>0</v>
      </c>
      <c r="P923" s="110" t="str">
        <f t="shared" si="67"/>
        <v/>
      </c>
      <c r="Q923" s="115"/>
      <c r="R923" s="87" t="str">
        <f t="shared" si="68"/>
        <v/>
      </c>
      <c r="S923" s="87" t="str">
        <f t="shared" si="69"/>
        <v/>
      </c>
      <c r="T923" s="54"/>
      <c r="U923" s="54"/>
      <c r="V923" s="54"/>
      <c r="W923" s="54"/>
      <c r="X923" s="69" t="str">
        <f t="shared" si="66"/>
        <v>D</v>
      </c>
    </row>
    <row r="924" spans="2:24" x14ac:dyDescent="0.25">
      <c r="B924" s="91" t="str">
        <f>IFERROR(VLOOKUP(A924,Lookup!A:B,2,0),"")</f>
        <v/>
      </c>
      <c r="C924" s="59" t="str">
        <f>IFERROR(VLOOKUP(A924,Lookup!A:C,3,0),"")</f>
        <v/>
      </c>
      <c r="D924" s="54"/>
      <c r="E924" s="54"/>
      <c r="F924" s="54"/>
      <c r="G924" s="72"/>
      <c r="H924" s="54"/>
      <c r="I924" s="54"/>
      <c r="J924" s="106">
        <f>VLOOKUP(A924&amp;G924,Lookup!J:N,5,0)</f>
        <v>0</v>
      </c>
      <c r="K924" s="115"/>
      <c r="L924" s="115"/>
      <c r="M924" s="115"/>
      <c r="N924" s="115"/>
      <c r="O924" s="90">
        <f>IFERROR(VLOOKUP(A924&amp;G924,Lookup!J:K,2,0),"")</f>
        <v>0</v>
      </c>
      <c r="P924" s="110" t="str">
        <f t="shared" si="67"/>
        <v/>
      </c>
      <c r="Q924" s="115"/>
      <c r="R924" s="87" t="str">
        <f t="shared" si="68"/>
        <v/>
      </c>
      <c r="S924" s="87" t="str">
        <f t="shared" si="69"/>
        <v/>
      </c>
      <c r="T924" s="54"/>
      <c r="U924" s="54"/>
      <c r="V924" s="54"/>
      <c r="W924" s="54"/>
      <c r="X924" s="69" t="str">
        <f t="shared" si="66"/>
        <v>D</v>
      </c>
    </row>
    <row r="925" spans="2:24" x14ac:dyDescent="0.25">
      <c r="B925" s="91" t="str">
        <f>IFERROR(VLOOKUP(A925,Lookup!A:B,2,0),"")</f>
        <v/>
      </c>
      <c r="C925" s="59" t="str">
        <f>IFERROR(VLOOKUP(A925,Lookup!A:C,3,0),"")</f>
        <v/>
      </c>
      <c r="D925" s="54"/>
      <c r="E925" s="54"/>
      <c r="F925" s="54"/>
      <c r="G925" s="72"/>
      <c r="H925" s="54"/>
      <c r="I925" s="54"/>
      <c r="J925" s="106">
        <f>VLOOKUP(A925&amp;G925,Lookup!J:N,5,0)</f>
        <v>0</v>
      </c>
      <c r="K925" s="115"/>
      <c r="L925" s="115"/>
      <c r="M925" s="115"/>
      <c r="N925" s="115"/>
      <c r="O925" s="90">
        <f>IFERROR(VLOOKUP(A925&amp;G925,Lookup!J:K,2,0),"")</f>
        <v>0</v>
      </c>
      <c r="P925" s="110" t="str">
        <f t="shared" si="67"/>
        <v/>
      </c>
      <c r="Q925" s="115"/>
      <c r="R925" s="87" t="str">
        <f t="shared" si="68"/>
        <v/>
      </c>
      <c r="S925" s="87" t="str">
        <f t="shared" si="69"/>
        <v/>
      </c>
      <c r="T925" s="54"/>
      <c r="U925" s="54"/>
      <c r="V925" s="54"/>
      <c r="W925" s="54"/>
      <c r="X925" s="69" t="str">
        <f t="shared" si="66"/>
        <v>D</v>
      </c>
    </row>
    <row r="926" spans="2:24" x14ac:dyDescent="0.25">
      <c r="B926" s="91" t="str">
        <f>IFERROR(VLOOKUP(A926,Lookup!A:B,2,0),"")</f>
        <v/>
      </c>
      <c r="C926" s="59" t="str">
        <f>IFERROR(VLOOKUP(A926,Lookup!A:C,3,0),"")</f>
        <v/>
      </c>
      <c r="D926" s="54"/>
      <c r="E926" s="54"/>
      <c r="F926" s="54"/>
      <c r="G926" s="72"/>
      <c r="H926" s="54"/>
      <c r="I926" s="54"/>
      <c r="J926" s="106">
        <f>VLOOKUP(A926&amp;G926,Lookup!J:N,5,0)</f>
        <v>0</v>
      </c>
      <c r="K926" s="115"/>
      <c r="L926" s="115"/>
      <c r="M926" s="115"/>
      <c r="N926" s="115"/>
      <c r="O926" s="90">
        <f>IFERROR(VLOOKUP(A926&amp;G926,Lookup!J:K,2,0),"")</f>
        <v>0</v>
      </c>
      <c r="P926" s="110" t="str">
        <f t="shared" si="67"/>
        <v/>
      </c>
      <c r="Q926" s="115"/>
      <c r="R926" s="87" t="str">
        <f t="shared" si="68"/>
        <v/>
      </c>
      <c r="S926" s="87" t="str">
        <f t="shared" si="69"/>
        <v/>
      </c>
      <c r="T926" s="54"/>
      <c r="U926" s="54"/>
      <c r="V926" s="54"/>
      <c r="W926" s="54"/>
      <c r="X926" s="69" t="str">
        <f t="shared" si="66"/>
        <v>D</v>
      </c>
    </row>
    <row r="927" spans="2:24" x14ac:dyDescent="0.25">
      <c r="B927" s="91" t="str">
        <f>IFERROR(VLOOKUP(A927,Lookup!A:B,2,0),"")</f>
        <v/>
      </c>
      <c r="C927" s="59" t="str">
        <f>IFERROR(VLOOKUP(A927,Lookup!A:C,3,0),"")</f>
        <v/>
      </c>
      <c r="D927" s="54"/>
      <c r="E927" s="54"/>
      <c r="F927" s="54"/>
      <c r="G927" s="72"/>
      <c r="H927" s="54"/>
      <c r="I927" s="54"/>
      <c r="J927" s="106">
        <f>VLOOKUP(A927&amp;G927,Lookup!J:N,5,0)</f>
        <v>0</v>
      </c>
      <c r="K927" s="115"/>
      <c r="L927" s="115"/>
      <c r="M927" s="115"/>
      <c r="N927" s="115"/>
      <c r="O927" s="90">
        <f>IFERROR(VLOOKUP(A927&amp;G927,Lookup!J:K,2,0),"")</f>
        <v>0</v>
      </c>
      <c r="P927" s="110" t="str">
        <f t="shared" si="67"/>
        <v/>
      </c>
      <c r="Q927" s="115"/>
      <c r="R927" s="87" t="str">
        <f t="shared" si="68"/>
        <v/>
      </c>
      <c r="S927" s="87" t="str">
        <f t="shared" si="69"/>
        <v/>
      </c>
      <c r="T927" s="54"/>
      <c r="U927" s="54"/>
      <c r="V927" s="54"/>
      <c r="W927" s="54"/>
      <c r="X927" s="69" t="str">
        <f t="shared" si="66"/>
        <v>D</v>
      </c>
    </row>
    <row r="928" spans="2:24" x14ac:dyDescent="0.25">
      <c r="B928" s="91" t="str">
        <f>IFERROR(VLOOKUP(A928,Lookup!A:B,2,0),"")</f>
        <v/>
      </c>
      <c r="C928" s="59" t="str">
        <f>IFERROR(VLOOKUP(A928,Lookup!A:C,3,0),"")</f>
        <v/>
      </c>
      <c r="D928" s="54"/>
      <c r="E928" s="54"/>
      <c r="F928" s="54"/>
      <c r="G928" s="72"/>
      <c r="H928" s="54"/>
      <c r="I928" s="54"/>
      <c r="J928" s="106">
        <f>VLOOKUP(A928&amp;G928,Lookup!J:N,5,0)</f>
        <v>0</v>
      </c>
      <c r="K928" s="115"/>
      <c r="L928" s="115"/>
      <c r="M928" s="115"/>
      <c r="N928" s="115"/>
      <c r="O928" s="90">
        <f>IFERROR(VLOOKUP(A928&amp;G928,Lookup!J:K,2,0),"")</f>
        <v>0</v>
      </c>
      <c r="P928" s="110" t="str">
        <f t="shared" si="67"/>
        <v/>
      </c>
      <c r="Q928" s="115"/>
      <c r="R928" s="87" t="str">
        <f t="shared" si="68"/>
        <v/>
      </c>
      <c r="S928" s="87" t="str">
        <f t="shared" si="69"/>
        <v/>
      </c>
      <c r="T928" s="54"/>
      <c r="U928" s="54"/>
      <c r="V928" s="54"/>
      <c r="W928" s="54"/>
      <c r="X928" s="69" t="str">
        <f t="shared" si="66"/>
        <v>D</v>
      </c>
    </row>
    <row r="929" spans="2:24" x14ac:dyDescent="0.25">
      <c r="B929" s="91" t="str">
        <f>IFERROR(VLOOKUP(A929,Lookup!A:B,2,0),"")</f>
        <v/>
      </c>
      <c r="C929" s="59" t="str">
        <f>IFERROR(VLOOKUP(A929,Lookup!A:C,3,0),"")</f>
        <v/>
      </c>
      <c r="D929" s="54"/>
      <c r="E929" s="54"/>
      <c r="F929" s="54"/>
      <c r="G929" s="72"/>
      <c r="H929" s="54"/>
      <c r="I929" s="54"/>
      <c r="J929" s="106">
        <f>VLOOKUP(A929&amp;G929,Lookup!J:N,5,0)</f>
        <v>0</v>
      </c>
      <c r="K929" s="115"/>
      <c r="L929" s="115"/>
      <c r="M929" s="115"/>
      <c r="N929" s="115"/>
      <c r="O929" s="90">
        <f>IFERROR(VLOOKUP(A929&amp;G929,Lookup!J:K,2,0),"")</f>
        <v>0</v>
      </c>
      <c r="P929" s="110" t="str">
        <f t="shared" si="67"/>
        <v/>
      </c>
      <c r="Q929" s="115"/>
      <c r="R929" s="87" t="str">
        <f t="shared" si="68"/>
        <v/>
      </c>
      <c r="S929" s="87" t="str">
        <f t="shared" si="69"/>
        <v/>
      </c>
      <c r="T929" s="54"/>
      <c r="U929" s="54"/>
      <c r="V929" s="54"/>
      <c r="W929" s="54"/>
      <c r="X929" s="69" t="str">
        <f t="shared" si="66"/>
        <v>D</v>
      </c>
    </row>
    <row r="930" spans="2:24" x14ac:dyDescent="0.25">
      <c r="B930" s="91" t="str">
        <f>IFERROR(VLOOKUP(A930,Lookup!A:B,2,0),"")</f>
        <v/>
      </c>
      <c r="C930" s="59" t="str">
        <f>IFERROR(VLOOKUP(A930,Lookup!A:C,3,0),"")</f>
        <v/>
      </c>
      <c r="D930" s="54"/>
      <c r="E930" s="54"/>
      <c r="F930" s="54"/>
      <c r="G930" s="72"/>
      <c r="H930" s="54"/>
      <c r="I930" s="54"/>
      <c r="J930" s="106">
        <f>VLOOKUP(A930&amp;G930,Lookup!J:N,5,0)</f>
        <v>0</v>
      </c>
      <c r="K930" s="115"/>
      <c r="L930" s="115"/>
      <c r="M930" s="115"/>
      <c r="N930" s="115"/>
      <c r="O930" s="90">
        <f>IFERROR(VLOOKUP(A930&amp;G930,Lookup!J:K,2,0),"")</f>
        <v>0</v>
      </c>
      <c r="P930" s="110" t="str">
        <f t="shared" si="67"/>
        <v/>
      </c>
      <c r="Q930" s="115"/>
      <c r="R930" s="87" t="str">
        <f t="shared" si="68"/>
        <v/>
      </c>
      <c r="S930" s="87" t="str">
        <f t="shared" si="69"/>
        <v/>
      </c>
      <c r="T930" s="54"/>
      <c r="U930" s="54"/>
      <c r="V930" s="54"/>
      <c r="W930" s="54"/>
      <c r="X930" s="69" t="str">
        <f t="shared" si="66"/>
        <v>D</v>
      </c>
    </row>
    <row r="931" spans="2:24" x14ac:dyDescent="0.25">
      <c r="B931" s="91" t="str">
        <f>IFERROR(VLOOKUP(A931,Lookup!A:B,2,0),"")</f>
        <v/>
      </c>
      <c r="C931" s="59" t="str">
        <f>IFERROR(VLOOKUP(A931,Lookup!A:C,3,0),"")</f>
        <v/>
      </c>
      <c r="D931" s="54"/>
      <c r="E931" s="54"/>
      <c r="F931" s="54"/>
      <c r="G931" s="72"/>
      <c r="H931" s="54"/>
      <c r="I931" s="54"/>
      <c r="J931" s="106">
        <f>VLOOKUP(A931&amp;G931,Lookup!J:N,5,0)</f>
        <v>0</v>
      </c>
      <c r="K931" s="115"/>
      <c r="L931" s="115"/>
      <c r="M931" s="115"/>
      <c r="N931" s="115"/>
      <c r="O931" s="90">
        <f>IFERROR(VLOOKUP(A931&amp;G931,Lookup!J:K,2,0),"")</f>
        <v>0</v>
      </c>
      <c r="P931" s="110" t="str">
        <f t="shared" si="67"/>
        <v/>
      </c>
      <c r="Q931" s="115"/>
      <c r="R931" s="87" t="str">
        <f t="shared" si="68"/>
        <v/>
      </c>
      <c r="S931" s="87" t="str">
        <f t="shared" si="69"/>
        <v/>
      </c>
      <c r="T931" s="54"/>
      <c r="U931" s="54"/>
      <c r="V931" s="54"/>
      <c r="W931" s="54"/>
      <c r="X931" s="69" t="str">
        <f t="shared" si="66"/>
        <v>D</v>
      </c>
    </row>
    <row r="932" spans="2:24" x14ac:dyDescent="0.25">
      <c r="B932" s="91" t="str">
        <f>IFERROR(VLOOKUP(A932,Lookup!A:B,2,0),"")</f>
        <v/>
      </c>
      <c r="C932" s="59" t="str">
        <f>IFERROR(VLOOKUP(A932,Lookup!A:C,3,0),"")</f>
        <v/>
      </c>
      <c r="D932" s="54"/>
      <c r="E932" s="54"/>
      <c r="F932" s="54"/>
      <c r="G932" s="72"/>
      <c r="H932" s="54"/>
      <c r="I932" s="54"/>
      <c r="J932" s="106">
        <f>VLOOKUP(A932&amp;G932,Lookup!J:N,5,0)</f>
        <v>0</v>
      </c>
      <c r="K932" s="115"/>
      <c r="L932" s="115"/>
      <c r="M932" s="115"/>
      <c r="N932" s="115"/>
      <c r="O932" s="90">
        <f>IFERROR(VLOOKUP(A932&amp;G932,Lookup!J:K,2,0),"")</f>
        <v>0</v>
      </c>
      <c r="P932" s="110" t="str">
        <f t="shared" si="67"/>
        <v/>
      </c>
      <c r="Q932" s="115"/>
      <c r="R932" s="87" t="str">
        <f t="shared" si="68"/>
        <v/>
      </c>
      <c r="S932" s="87" t="str">
        <f t="shared" si="69"/>
        <v/>
      </c>
      <c r="T932" s="54"/>
      <c r="U932" s="54"/>
      <c r="V932" s="54"/>
      <c r="W932" s="54"/>
      <c r="X932" s="69" t="str">
        <f t="shared" si="66"/>
        <v>D</v>
      </c>
    </row>
    <row r="933" spans="2:24" x14ac:dyDescent="0.25">
      <c r="B933" s="91" t="str">
        <f>IFERROR(VLOOKUP(A933,Lookup!A:B,2,0),"")</f>
        <v/>
      </c>
      <c r="C933" s="59" t="str">
        <f>IFERROR(VLOOKUP(A933,Lookup!A:C,3,0),"")</f>
        <v/>
      </c>
      <c r="D933" s="54"/>
      <c r="E933" s="54"/>
      <c r="F933" s="54"/>
      <c r="G933" s="72"/>
      <c r="H933" s="54"/>
      <c r="I933" s="54"/>
      <c r="J933" s="106">
        <f>VLOOKUP(A933&amp;G933,Lookup!J:N,5,0)</f>
        <v>0</v>
      </c>
      <c r="K933" s="115"/>
      <c r="L933" s="115"/>
      <c r="M933" s="115"/>
      <c r="N933" s="115"/>
      <c r="O933" s="90">
        <f>IFERROR(VLOOKUP(A933&amp;G933,Lookup!J:K,2,0),"")</f>
        <v>0</v>
      </c>
      <c r="P933" s="110" t="str">
        <f t="shared" si="67"/>
        <v/>
      </c>
      <c r="Q933" s="115"/>
      <c r="R933" s="87" t="str">
        <f t="shared" si="68"/>
        <v/>
      </c>
      <c r="S933" s="87" t="str">
        <f t="shared" si="69"/>
        <v/>
      </c>
      <c r="T933" s="54"/>
      <c r="U933" s="54"/>
      <c r="V933" s="54"/>
      <c r="W933" s="54"/>
      <c r="X933" s="69" t="str">
        <f t="shared" si="66"/>
        <v>D</v>
      </c>
    </row>
    <row r="934" spans="2:24" x14ac:dyDescent="0.25">
      <c r="B934" s="91" t="str">
        <f>IFERROR(VLOOKUP(A934,Lookup!A:B,2,0),"")</f>
        <v/>
      </c>
      <c r="C934" s="59" t="str">
        <f>IFERROR(VLOOKUP(A934,Lookup!A:C,3,0),"")</f>
        <v/>
      </c>
      <c r="D934" s="54"/>
      <c r="E934" s="54"/>
      <c r="F934" s="54"/>
      <c r="G934" s="72"/>
      <c r="H934" s="54"/>
      <c r="I934" s="54"/>
      <c r="J934" s="106">
        <f>VLOOKUP(A934&amp;G934,Lookup!J:N,5,0)</f>
        <v>0</v>
      </c>
      <c r="K934" s="115"/>
      <c r="L934" s="115"/>
      <c r="M934" s="115"/>
      <c r="N934" s="115"/>
      <c r="O934" s="90">
        <f>IFERROR(VLOOKUP(A934&amp;G934,Lookup!J:K,2,0),"")</f>
        <v>0</v>
      </c>
      <c r="P934" s="110" t="str">
        <f t="shared" si="67"/>
        <v/>
      </c>
      <c r="Q934" s="115"/>
      <c r="R934" s="87" t="str">
        <f t="shared" si="68"/>
        <v/>
      </c>
      <c r="S934" s="87" t="str">
        <f t="shared" si="69"/>
        <v/>
      </c>
      <c r="T934" s="54"/>
      <c r="U934" s="54"/>
      <c r="V934" s="54"/>
      <c r="W934" s="54"/>
      <c r="X934" s="69" t="str">
        <f t="shared" si="66"/>
        <v>D</v>
      </c>
    </row>
    <row r="935" spans="2:24" x14ac:dyDescent="0.25">
      <c r="B935" s="91" t="str">
        <f>IFERROR(VLOOKUP(A935,Lookup!A:B,2,0),"")</f>
        <v/>
      </c>
      <c r="C935" s="59" t="str">
        <f>IFERROR(VLOOKUP(A935,Lookup!A:C,3,0),"")</f>
        <v/>
      </c>
      <c r="D935" s="54"/>
      <c r="E935" s="54"/>
      <c r="F935" s="54"/>
      <c r="G935" s="72"/>
      <c r="H935" s="54"/>
      <c r="I935" s="54"/>
      <c r="J935" s="106">
        <f>VLOOKUP(A935&amp;G935,Lookup!J:N,5,0)</f>
        <v>0</v>
      </c>
      <c r="K935" s="115"/>
      <c r="L935" s="115"/>
      <c r="M935" s="115"/>
      <c r="N935" s="115"/>
      <c r="O935" s="90">
        <f>IFERROR(VLOOKUP(A935&amp;G935,Lookup!J:K,2,0),"")</f>
        <v>0</v>
      </c>
      <c r="P935" s="110" t="str">
        <f t="shared" si="67"/>
        <v/>
      </c>
      <c r="Q935" s="115"/>
      <c r="R935" s="87" t="str">
        <f t="shared" si="68"/>
        <v/>
      </c>
      <c r="S935" s="87" t="str">
        <f t="shared" si="69"/>
        <v/>
      </c>
      <c r="T935" s="54"/>
      <c r="U935" s="54"/>
      <c r="V935" s="54"/>
      <c r="W935" s="54"/>
      <c r="X935" s="69" t="str">
        <f t="shared" si="66"/>
        <v>D</v>
      </c>
    </row>
    <row r="936" spans="2:24" x14ac:dyDescent="0.25">
      <c r="B936" s="91" t="str">
        <f>IFERROR(VLOOKUP(A936,Lookup!A:B,2,0),"")</f>
        <v/>
      </c>
      <c r="C936" s="59" t="str">
        <f>IFERROR(VLOOKUP(A936,Lookup!A:C,3,0),"")</f>
        <v/>
      </c>
      <c r="D936" s="54"/>
      <c r="E936" s="54"/>
      <c r="F936" s="54"/>
      <c r="G936" s="72"/>
      <c r="H936" s="54"/>
      <c r="I936" s="54"/>
      <c r="J936" s="106">
        <f>VLOOKUP(A936&amp;G936,Lookup!J:N,5,0)</f>
        <v>0</v>
      </c>
      <c r="K936" s="115"/>
      <c r="L936" s="115"/>
      <c r="M936" s="115"/>
      <c r="N936" s="115"/>
      <c r="O936" s="90">
        <f>IFERROR(VLOOKUP(A936&amp;G936,Lookup!J:K,2,0),"")</f>
        <v>0</v>
      </c>
      <c r="P936" s="110" t="str">
        <f t="shared" si="67"/>
        <v/>
      </c>
      <c r="Q936" s="115"/>
      <c r="R936" s="87" t="str">
        <f t="shared" si="68"/>
        <v/>
      </c>
      <c r="S936" s="87" t="str">
        <f t="shared" si="69"/>
        <v/>
      </c>
      <c r="T936" s="54"/>
      <c r="U936" s="54"/>
      <c r="V936" s="54"/>
      <c r="W936" s="54"/>
      <c r="X936" s="69" t="str">
        <f t="shared" si="66"/>
        <v>D</v>
      </c>
    </row>
    <row r="937" spans="2:24" x14ac:dyDescent="0.25">
      <c r="B937" s="91" t="str">
        <f>IFERROR(VLOOKUP(A937,Lookup!A:B,2,0),"")</f>
        <v/>
      </c>
      <c r="C937" s="59" t="str">
        <f>IFERROR(VLOOKUP(A937,Lookup!A:C,3,0),"")</f>
        <v/>
      </c>
      <c r="D937" s="54"/>
      <c r="E937" s="54"/>
      <c r="F937" s="54"/>
      <c r="G937" s="72"/>
      <c r="H937" s="54"/>
      <c r="I937" s="54"/>
      <c r="J937" s="106">
        <f>VLOOKUP(A937&amp;G937,Lookup!J:N,5,0)</f>
        <v>0</v>
      </c>
      <c r="K937" s="115"/>
      <c r="L937" s="115"/>
      <c r="M937" s="115"/>
      <c r="N937" s="115"/>
      <c r="O937" s="90">
        <f>IFERROR(VLOOKUP(A937&amp;G937,Lookup!J:K,2,0),"")</f>
        <v>0</v>
      </c>
      <c r="P937" s="110" t="str">
        <f t="shared" si="67"/>
        <v/>
      </c>
      <c r="Q937" s="115"/>
      <c r="R937" s="87" t="str">
        <f t="shared" si="68"/>
        <v/>
      </c>
      <c r="S937" s="87" t="str">
        <f t="shared" si="69"/>
        <v/>
      </c>
      <c r="T937" s="54"/>
      <c r="U937" s="54"/>
      <c r="V937" s="54"/>
      <c r="W937" s="54"/>
      <c r="X937" s="69" t="str">
        <f t="shared" si="66"/>
        <v>D</v>
      </c>
    </row>
    <row r="938" spans="2:24" x14ac:dyDescent="0.25">
      <c r="B938" s="91" t="str">
        <f>IFERROR(VLOOKUP(A938,Lookup!A:B,2,0),"")</f>
        <v/>
      </c>
      <c r="C938" s="59" t="str">
        <f>IFERROR(VLOOKUP(A938,Lookup!A:C,3,0),"")</f>
        <v/>
      </c>
      <c r="D938" s="54"/>
      <c r="E938" s="54"/>
      <c r="F938" s="54"/>
      <c r="G938" s="72"/>
      <c r="H938" s="54"/>
      <c r="I938" s="54"/>
      <c r="J938" s="106">
        <f>VLOOKUP(A938&amp;G938,Lookup!J:N,5,0)</f>
        <v>0</v>
      </c>
      <c r="K938" s="115"/>
      <c r="L938" s="115"/>
      <c r="M938" s="115"/>
      <c r="N938" s="115"/>
      <c r="O938" s="90">
        <f>IFERROR(VLOOKUP(A938&amp;G938,Lookup!J:K,2,0),"")</f>
        <v>0</v>
      </c>
      <c r="P938" s="110" t="str">
        <f t="shared" si="67"/>
        <v/>
      </c>
      <c r="Q938" s="115"/>
      <c r="R938" s="87" t="str">
        <f t="shared" si="68"/>
        <v/>
      </c>
      <c r="S938" s="87" t="str">
        <f t="shared" si="69"/>
        <v/>
      </c>
      <c r="T938" s="54"/>
      <c r="U938" s="54"/>
      <c r="V938" s="54"/>
      <c r="W938" s="54"/>
      <c r="X938" s="69" t="str">
        <f t="shared" si="66"/>
        <v>D</v>
      </c>
    </row>
    <row r="939" spans="2:24" x14ac:dyDescent="0.25">
      <c r="B939" s="91" t="str">
        <f>IFERROR(VLOOKUP(A939,Lookup!A:B,2,0),"")</f>
        <v/>
      </c>
      <c r="C939" s="59" t="str">
        <f>IFERROR(VLOOKUP(A939,Lookup!A:C,3,0),"")</f>
        <v/>
      </c>
      <c r="D939" s="54"/>
      <c r="E939" s="54"/>
      <c r="F939" s="54"/>
      <c r="G939" s="72"/>
      <c r="H939" s="54"/>
      <c r="I939" s="54"/>
      <c r="J939" s="106">
        <f>VLOOKUP(A939&amp;G939,Lookup!J:N,5,0)</f>
        <v>0</v>
      </c>
      <c r="K939" s="115"/>
      <c r="L939" s="115"/>
      <c r="M939" s="115"/>
      <c r="N939" s="115"/>
      <c r="O939" s="90">
        <f>IFERROR(VLOOKUP(A939&amp;G939,Lookup!J:K,2,0),"")</f>
        <v>0</v>
      </c>
      <c r="P939" s="110" t="str">
        <f t="shared" si="67"/>
        <v/>
      </c>
      <c r="Q939" s="115"/>
      <c r="R939" s="87" t="str">
        <f t="shared" si="68"/>
        <v/>
      </c>
      <c r="S939" s="87" t="str">
        <f t="shared" si="69"/>
        <v/>
      </c>
      <c r="T939" s="54"/>
      <c r="U939" s="54"/>
      <c r="V939" s="54"/>
      <c r="W939" s="54"/>
      <c r="X939" s="69" t="str">
        <f t="shared" si="66"/>
        <v>D</v>
      </c>
    </row>
    <row r="940" spans="2:24" x14ac:dyDescent="0.25">
      <c r="B940" s="91" t="str">
        <f>IFERROR(VLOOKUP(A940,Lookup!A:B,2,0),"")</f>
        <v/>
      </c>
      <c r="C940" s="59" t="str">
        <f>IFERROR(VLOOKUP(A940,Lookup!A:C,3,0),"")</f>
        <v/>
      </c>
      <c r="D940" s="54"/>
      <c r="E940" s="54"/>
      <c r="F940" s="54"/>
      <c r="G940" s="72"/>
      <c r="H940" s="54"/>
      <c r="I940" s="54"/>
      <c r="J940" s="106">
        <f>VLOOKUP(A940&amp;G940,Lookup!J:N,5,0)</f>
        <v>0</v>
      </c>
      <c r="K940" s="115"/>
      <c r="L940" s="115"/>
      <c r="M940" s="115"/>
      <c r="N940" s="115"/>
      <c r="O940" s="90">
        <f>IFERROR(VLOOKUP(A940&amp;G940,Lookup!J:K,2,0),"")</f>
        <v>0</v>
      </c>
      <c r="P940" s="110" t="str">
        <f t="shared" si="67"/>
        <v/>
      </c>
      <c r="Q940" s="115"/>
      <c r="R940" s="87" t="str">
        <f t="shared" si="68"/>
        <v/>
      </c>
      <c r="S940" s="87" t="str">
        <f t="shared" si="69"/>
        <v/>
      </c>
      <c r="T940" s="54"/>
      <c r="U940" s="54"/>
      <c r="V940" s="54"/>
      <c r="W940" s="54"/>
      <c r="X940" s="69" t="str">
        <f t="shared" si="66"/>
        <v>D</v>
      </c>
    </row>
    <row r="941" spans="2:24" x14ac:dyDescent="0.25">
      <c r="B941" s="91" t="str">
        <f>IFERROR(VLOOKUP(A941,Lookup!A:B,2,0),"")</f>
        <v/>
      </c>
      <c r="C941" s="59" t="str">
        <f>IFERROR(VLOOKUP(A941,Lookup!A:C,3,0),"")</f>
        <v/>
      </c>
      <c r="D941" s="54"/>
      <c r="E941" s="54"/>
      <c r="F941" s="54"/>
      <c r="G941" s="72"/>
      <c r="H941" s="54"/>
      <c r="I941" s="54"/>
      <c r="J941" s="106">
        <f>VLOOKUP(A941&amp;G941,Lookup!J:N,5,0)</f>
        <v>0</v>
      </c>
      <c r="K941" s="115"/>
      <c r="L941" s="115"/>
      <c r="M941" s="115"/>
      <c r="N941" s="115"/>
      <c r="O941" s="90">
        <f>IFERROR(VLOOKUP(A941&amp;G941,Lookup!J:K,2,0),"")</f>
        <v>0</v>
      </c>
      <c r="P941" s="110" t="str">
        <f t="shared" si="67"/>
        <v/>
      </c>
      <c r="Q941" s="115"/>
      <c r="R941" s="87" t="str">
        <f t="shared" si="68"/>
        <v/>
      </c>
      <c r="S941" s="87" t="str">
        <f t="shared" si="69"/>
        <v/>
      </c>
      <c r="T941" s="54"/>
      <c r="U941" s="54"/>
      <c r="V941" s="54"/>
      <c r="W941" s="54"/>
      <c r="X941" s="69" t="str">
        <f t="shared" si="66"/>
        <v>D</v>
      </c>
    </row>
    <row r="942" spans="2:24" x14ac:dyDescent="0.25">
      <c r="B942" s="91" t="str">
        <f>IFERROR(VLOOKUP(A942,Lookup!A:B,2,0),"")</f>
        <v/>
      </c>
      <c r="C942" s="59" t="str">
        <f>IFERROR(VLOOKUP(A942,Lookup!A:C,3,0),"")</f>
        <v/>
      </c>
      <c r="D942" s="54"/>
      <c r="E942" s="54"/>
      <c r="F942" s="54"/>
      <c r="G942" s="72"/>
      <c r="H942" s="54"/>
      <c r="I942" s="54"/>
      <c r="J942" s="106">
        <f>VLOOKUP(A942&amp;G942,Lookup!J:N,5,0)</f>
        <v>0</v>
      </c>
      <c r="K942" s="115"/>
      <c r="L942" s="115"/>
      <c r="M942" s="115"/>
      <c r="N942" s="115"/>
      <c r="O942" s="90">
        <f>IFERROR(VLOOKUP(A942&amp;G942,Lookup!J:K,2,0),"")</f>
        <v>0</v>
      </c>
      <c r="P942" s="110" t="str">
        <f t="shared" si="67"/>
        <v/>
      </c>
      <c r="Q942" s="115"/>
      <c r="R942" s="87" t="str">
        <f t="shared" si="68"/>
        <v/>
      </c>
      <c r="S942" s="87" t="str">
        <f t="shared" si="69"/>
        <v/>
      </c>
      <c r="T942" s="54"/>
      <c r="U942" s="54"/>
      <c r="V942" s="54"/>
      <c r="W942" s="54"/>
      <c r="X942" s="69" t="str">
        <f t="shared" si="66"/>
        <v>D</v>
      </c>
    </row>
    <row r="943" spans="2:24" x14ac:dyDescent="0.25">
      <c r="B943" s="91" t="str">
        <f>IFERROR(VLOOKUP(A943,Lookup!A:B,2,0),"")</f>
        <v/>
      </c>
      <c r="C943" s="59" t="str">
        <f>IFERROR(VLOOKUP(A943,Lookup!A:C,3,0),"")</f>
        <v/>
      </c>
      <c r="D943" s="54"/>
      <c r="E943" s="54"/>
      <c r="F943" s="54"/>
      <c r="G943" s="72"/>
      <c r="H943" s="54"/>
      <c r="I943" s="54"/>
      <c r="J943" s="106">
        <f>VLOOKUP(A943&amp;G943,Lookup!J:N,5,0)</f>
        <v>0</v>
      </c>
      <c r="K943" s="115"/>
      <c r="L943" s="115"/>
      <c r="M943" s="115"/>
      <c r="N943" s="115"/>
      <c r="O943" s="90">
        <f>IFERROR(VLOOKUP(A943&amp;G943,Lookup!J:K,2,0),"")</f>
        <v>0</v>
      </c>
      <c r="P943" s="110" t="str">
        <f t="shared" si="67"/>
        <v/>
      </c>
      <c r="Q943" s="115"/>
      <c r="R943" s="87" t="str">
        <f t="shared" si="68"/>
        <v/>
      </c>
      <c r="S943" s="87" t="str">
        <f t="shared" si="69"/>
        <v/>
      </c>
      <c r="T943" s="54"/>
      <c r="U943" s="54"/>
      <c r="V943" s="54"/>
      <c r="W943" s="54"/>
      <c r="X943" s="69" t="str">
        <f t="shared" si="66"/>
        <v>D</v>
      </c>
    </row>
    <row r="944" spans="2:24" x14ac:dyDescent="0.25">
      <c r="B944" s="91" t="str">
        <f>IFERROR(VLOOKUP(A944,Lookup!A:B,2,0),"")</f>
        <v/>
      </c>
      <c r="C944" s="59" t="str">
        <f>IFERROR(VLOOKUP(A944,Lookup!A:C,3,0),"")</f>
        <v/>
      </c>
      <c r="D944" s="54"/>
      <c r="E944" s="54"/>
      <c r="F944" s="54"/>
      <c r="G944" s="72"/>
      <c r="H944" s="54"/>
      <c r="I944" s="54"/>
      <c r="J944" s="106">
        <f>VLOOKUP(A944&amp;G944,Lookup!J:N,5,0)</f>
        <v>0</v>
      </c>
      <c r="K944" s="115"/>
      <c r="L944" s="115"/>
      <c r="M944" s="115"/>
      <c r="N944" s="115"/>
      <c r="O944" s="90">
        <f>IFERROR(VLOOKUP(A944&amp;G944,Lookup!J:K,2,0),"")</f>
        <v>0</v>
      </c>
      <c r="P944" s="110" t="str">
        <f t="shared" si="67"/>
        <v/>
      </c>
      <c r="Q944" s="115"/>
      <c r="R944" s="87" t="str">
        <f t="shared" si="68"/>
        <v/>
      </c>
      <c r="S944" s="87" t="str">
        <f t="shared" si="69"/>
        <v/>
      </c>
      <c r="T944" s="54"/>
      <c r="U944" s="54"/>
      <c r="V944" s="54"/>
      <c r="W944" s="54"/>
      <c r="X944" s="69" t="str">
        <f t="shared" si="66"/>
        <v>D</v>
      </c>
    </row>
    <row r="945" spans="2:24" x14ac:dyDescent="0.25">
      <c r="B945" s="91" t="str">
        <f>IFERROR(VLOOKUP(A945,Lookup!A:B,2,0),"")</f>
        <v/>
      </c>
      <c r="C945" s="59" t="str">
        <f>IFERROR(VLOOKUP(A945,Lookup!A:C,3,0),"")</f>
        <v/>
      </c>
      <c r="D945" s="54"/>
      <c r="E945" s="54"/>
      <c r="F945" s="54"/>
      <c r="G945" s="72"/>
      <c r="H945" s="54"/>
      <c r="I945" s="54"/>
      <c r="J945" s="106">
        <f>VLOOKUP(A945&amp;G945,Lookup!J:N,5,0)</f>
        <v>0</v>
      </c>
      <c r="K945" s="115"/>
      <c r="L945" s="115"/>
      <c r="M945" s="115"/>
      <c r="N945" s="115"/>
      <c r="O945" s="90">
        <f>IFERROR(VLOOKUP(A945&amp;G945,Lookup!J:K,2,0),"")</f>
        <v>0</v>
      </c>
      <c r="P945" s="110" t="str">
        <f t="shared" si="67"/>
        <v/>
      </c>
      <c r="Q945" s="115"/>
      <c r="R945" s="87" t="str">
        <f t="shared" si="68"/>
        <v/>
      </c>
      <c r="S945" s="87" t="str">
        <f t="shared" si="69"/>
        <v/>
      </c>
      <c r="T945" s="54"/>
      <c r="U945" s="54"/>
      <c r="V945" s="54"/>
      <c r="W945" s="54"/>
      <c r="X945" s="69" t="str">
        <f t="shared" si="66"/>
        <v>D</v>
      </c>
    </row>
    <row r="946" spans="2:24" x14ac:dyDescent="0.25">
      <c r="B946" s="91" t="str">
        <f>IFERROR(VLOOKUP(A946,Lookup!A:B,2,0),"")</f>
        <v/>
      </c>
      <c r="C946" s="59" t="str">
        <f>IFERROR(VLOOKUP(A946,Lookup!A:C,3,0),"")</f>
        <v/>
      </c>
      <c r="D946" s="54"/>
      <c r="E946" s="54"/>
      <c r="F946" s="54"/>
      <c r="G946" s="72"/>
      <c r="H946" s="54"/>
      <c r="I946" s="54"/>
      <c r="J946" s="106">
        <f>VLOOKUP(A946&amp;G946,Lookup!J:N,5,0)</f>
        <v>0</v>
      </c>
      <c r="K946" s="115"/>
      <c r="L946" s="115"/>
      <c r="M946" s="115"/>
      <c r="N946" s="115"/>
      <c r="O946" s="90">
        <f>IFERROR(VLOOKUP(A946&amp;G946,Lookup!J:K,2,0),"")</f>
        <v>0</v>
      </c>
      <c r="P946" s="110" t="str">
        <f t="shared" si="67"/>
        <v/>
      </c>
      <c r="Q946" s="115"/>
      <c r="R946" s="87" t="str">
        <f t="shared" si="68"/>
        <v/>
      </c>
      <c r="S946" s="87" t="str">
        <f t="shared" si="69"/>
        <v/>
      </c>
      <c r="T946" s="54"/>
      <c r="U946" s="54"/>
      <c r="V946" s="54"/>
      <c r="W946" s="54"/>
      <c r="X946" s="69" t="str">
        <f t="shared" si="66"/>
        <v>D</v>
      </c>
    </row>
    <row r="947" spans="2:24" x14ac:dyDescent="0.25">
      <c r="B947" s="91" t="str">
        <f>IFERROR(VLOOKUP(A947,Lookup!A:B,2,0),"")</f>
        <v/>
      </c>
      <c r="C947" s="59" t="str">
        <f>IFERROR(VLOOKUP(A947,Lookup!A:C,3,0),"")</f>
        <v/>
      </c>
      <c r="D947" s="54"/>
      <c r="E947" s="54"/>
      <c r="F947" s="54"/>
      <c r="G947" s="72"/>
      <c r="H947" s="54"/>
      <c r="I947" s="54"/>
      <c r="J947" s="106">
        <f>VLOOKUP(A947&amp;G947,Lookup!J:N,5,0)</f>
        <v>0</v>
      </c>
      <c r="K947" s="115"/>
      <c r="L947" s="115"/>
      <c r="M947" s="115"/>
      <c r="N947" s="115"/>
      <c r="O947" s="90">
        <f>IFERROR(VLOOKUP(A947&amp;G947,Lookup!J:K,2,0),"")</f>
        <v>0</v>
      </c>
      <c r="P947" s="110" t="str">
        <f t="shared" si="67"/>
        <v/>
      </c>
      <c r="Q947" s="115"/>
      <c r="R947" s="87" t="str">
        <f t="shared" si="68"/>
        <v/>
      </c>
      <c r="S947" s="87" t="str">
        <f t="shared" si="69"/>
        <v/>
      </c>
      <c r="T947" s="54"/>
      <c r="U947" s="54"/>
      <c r="V947" s="54"/>
      <c r="W947" s="54"/>
      <c r="X947" s="69" t="str">
        <f t="shared" si="66"/>
        <v>D</v>
      </c>
    </row>
    <row r="948" spans="2:24" x14ac:dyDescent="0.25">
      <c r="B948" s="91" t="str">
        <f>IFERROR(VLOOKUP(A948,Lookup!A:B,2,0),"")</f>
        <v/>
      </c>
      <c r="C948" s="59" t="str">
        <f>IFERROR(VLOOKUP(A948,Lookup!A:C,3,0),"")</f>
        <v/>
      </c>
      <c r="D948" s="54"/>
      <c r="E948" s="54"/>
      <c r="F948" s="54"/>
      <c r="G948" s="72"/>
      <c r="H948" s="54"/>
      <c r="I948" s="54"/>
      <c r="J948" s="106">
        <f>VLOOKUP(A948&amp;G948,Lookup!J:N,5,0)</f>
        <v>0</v>
      </c>
      <c r="K948" s="115"/>
      <c r="L948" s="115"/>
      <c r="M948" s="115"/>
      <c r="N948" s="115"/>
      <c r="O948" s="90">
        <f>IFERROR(VLOOKUP(A948&amp;G948,Lookup!J:K,2,0),"")</f>
        <v>0</v>
      </c>
      <c r="P948" s="110" t="str">
        <f t="shared" si="67"/>
        <v/>
      </c>
      <c r="Q948" s="115"/>
      <c r="R948" s="87" t="str">
        <f t="shared" si="68"/>
        <v/>
      </c>
      <c r="S948" s="87" t="str">
        <f t="shared" si="69"/>
        <v/>
      </c>
      <c r="T948" s="54"/>
      <c r="U948" s="54"/>
      <c r="V948" s="54"/>
      <c r="W948" s="54"/>
      <c r="X948" s="69" t="str">
        <f t="shared" si="66"/>
        <v>D</v>
      </c>
    </row>
    <row r="949" spans="2:24" x14ac:dyDescent="0.25">
      <c r="B949" s="91" t="str">
        <f>IFERROR(VLOOKUP(A949,Lookup!A:B,2,0),"")</f>
        <v/>
      </c>
      <c r="C949" s="59" t="str">
        <f>IFERROR(VLOOKUP(A949,Lookup!A:C,3,0),"")</f>
        <v/>
      </c>
      <c r="D949" s="54"/>
      <c r="E949" s="54"/>
      <c r="F949" s="54"/>
      <c r="G949" s="72"/>
      <c r="H949" s="54"/>
      <c r="I949" s="54"/>
      <c r="J949" s="106">
        <f>VLOOKUP(A949&amp;G949,Lookup!J:N,5,0)</f>
        <v>0</v>
      </c>
      <c r="K949" s="115"/>
      <c r="L949" s="115"/>
      <c r="M949" s="115"/>
      <c r="N949" s="115"/>
      <c r="O949" s="90">
        <f>IFERROR(VLOOKUP(A949&amp;G949,Lookup!J:K,2,0),"")</f>
        <v>0</v>
      </c>
      <c r="P949" s="110" t="str">
        <f t="shared" si="67"/>
        <v/>
      </c>
      <c r="Q949" s="115"/>
      <c r="R949" s="87" t="str">
        <f t="shared" si="68"/>
        <v/>
      </c>
      <c r="S949" s="87" t="str">
        <f t="shared" si="69"/>
        <v/>
      </c>
      <c r="T949" s="54"/>
      <c r="U949" s="54"/>
      <c r="V949" s="54"/>
      <c r="W949" s="54"/>
      <c r="X949" s="69" t="str">
        <f t="shared" si="66"/>
        <v>D</v>
      </c>
    </row>
    <row r="950" spans="2:24" x14ac:dyDescent="0.25">
      <c r="B950" s="91" t="str">
        <f>IFERROR(VLOOKUP(A950,Lookup!A:B,2,0),"")</f>
        <v/>
      </c>
      <c r="C950" s="59" t="str">
        <f>IFERROR(VLOOKUP(A950,Lookup!A:C,3,0),"")</f>
        <v/>
      </c>
      <c r="D950" s="54"/>
      <c r="E950" s="54"/>
      <c r="F950" s="54"/>
      <c r="G950" s="72"/>
      <c r="H950" s="54"/>
      <c r="I950" s="54"/>
      <c r="J950" s="106">
        <f>VLOOKUP(A950&amp;G950,Lookup!J:N,5,0)</f>
        <v>0</v>
      </c>
      <c r="K950" s="115"/>
      <c r="L950" s="115"/>
      <c r="M950" s="115"/>
      <c r="N950" s="115"/>
      <c r="O950" s="90">
        <f>IFERROR(VLOOKUP(A950&amp;G950,Lookup!J:K,2,0),"")</f>
        <v>0</v>
      </c>
      <c r="P950" s="110" t="str">
        <f t="shared" si="67"/>
        <v/>
      </c>
      <c r="Q950" s="115"/>
      <c r="R950" s="87" t="str">
        <f t="shared" si="68"/>
        <v/>
      </c>
      <c r="S950" s="87" t="str">
        <f t="shared" si="69"/>
        <v/>
      </c>
      <c r="T950" s="54"/>
      <c r="U950" s="54"/>
      <c r="V950" s="54"/>
      <c r="W950" s="54"/>
      <c r="X950" s="69" t="str">
        <f t="shared" si="66"/>
        <v>D</v>
      </c>
    </row>
    <row r="951" spans="2:24" x14ac:dyDescent="0.25">
      <c r="B951" s="91" t="str">
        <f>IFERROR(VLOOKUP(A951,Lookup!A:B,2,0),"")</f>
        <v/>
      </c>
      <c r="C951" s="59" t="str">
        <f>IFERROR(VLOOKUP(A951,Lookup!A:C,3,0),"")</f>
        <v/>
      </c>
      <c r="D951" s="54"/>
      <c r="E951" s="54"/>
      <c r="F951" s="54"/>
      <c r="G951" s="72"/>
      <c r="H951" s="54"/>
      <c r="I951" s="54"/>
      <c r="J951" s="106">
        <f>VLOOKUP(A951&amp;G951,Lookup!J:N,5,0)</f>
        <v>0</v>
      </c>
      <c r="K951" s="115"/>
      <c r="L951" s="115"/>
      <c r="M951" s="115"/>
      <c r="N951" s="115"/>
      <c r="O951" s="90">
        <f>IFERROR(VLOOKUP(A951&amp;G951,Lookup!J:K,2,0),"")</f>
        <v>0</v>
      </c>
      <c r="P951" s="110" t="str">
        <f t="shared" si="67"/>
        <v/>
      </c>
      <c r="Q951" s="115"/>
      <c r="R951" s="87" t="str">
        <f t="shared" si="68"/>
        <v/>
      </c>
      <c r="S951" s="87" t="str">
        <f t="shared" si="69"/>
        <v/>
      </c>
      <c r="T951" s="54"/>
      <c r="U951" s="54"/>
      <c r="V951" s="54"/>
      <c r="W951" s="54"/>
      <c r="X951" s="69" t="str">
        <f t="shared" si="66"/>
        <v>D</v>
      </c>
    </row>
    <row r="952" spans="2:24" x14ac:dyDescent="0.25">
      <c r="B952" s="91" t="str">
        <f>IFERROR(VLOOKUP(A952,Lookup!A:B,2,0),"")</f>
        <v/>
      </c>
      <c r="C952" s="59" t="str">
        <f>IFERROR(VLOOKUP(A952,Lookup!A:C,3,0),"")</f>
        <v/>
      </c>
      <c r="D952" s="54"/>
      <c r="E952" s="54"/>
      <c r="F952" s="54"/>
      <c r="G952" s="72"/>
      <c r="H952" s="54"/>
      <c r="I952" s="54"/>
      <c r="J952" s="106">
        <f>VLOOKUP(A952&amp;G952,Lookup!J:N,5,0)</f>
        <v>0</v>
      </c>
      <c r="K952" s="115"/>
      <c r="L952" s="115"/>
      <c r="M952" s="115"/>
      <c r="N952" s="115"/>
      <c r="O952" s="90">
        <f>IFERROR(VLOOKUP(A952&amp;G952,Lookup!J:K,2,0),"")</f>
        <v>0</v>
      </c>
      <c r="P952" s="110" t="str">
        <f t="shared" si="67"/>
        <v/>
      </c>
      <c r="Q952" s="115"/>
      <c r="R952" s="87" t="str">
        <f t="shared" si="68"/>
        <v/>
      </c>
      <c r="S952" s="87" t="str">
        <f t="shared" si="69"/>
        <v/>
      </c>
      <c r="T952" s="54"/>
      <c r="U952" s="54"/>
      <c r="V952" s="54"/>
      <c r="W952" s="54"/>
      <c r="X952" s="69" t="str">
        <f t="shared" si="66"/>
        <v>D</v>
      </c>
    </row>
    <row r="953" spans="2:24" x14ac:dyDescent="0.25">
      <c r="B953" s="91" t="str">
        <f>IFERROR(VLOOKUP(A953,Lookup!A:B,2,0),"")</f>
        <v/>
      </c>
      <c r="C953" s="59" t="str">
        <f>IFERROR(VLOOKUP(A953,Lookup!A:C,3,0),"")</f>
        <v/>
      </c>
      <c r="D953" s="54"/>
      <c r="E953" s="54"/>
      <c r="F953" s="54"/>
      <c r="G953" s="72"/>
      <c r="H953" s="54"/>
      <c r="I953" s="54"/>
      <c r="J953" s="106">
        <f>VLOOKUP(A953&amp;G953,Lookup!J:N,5,0)</f>
        <v>0</v>
      </c>
      <c r="K953" s="115"/>
      <c r="L953" s="115"/>
      <c r="M953" s="115"/>
      <c r="N953" s="115"/>
      <c r="O953" s="90">
        <f>IFERROR(VLOOKUP(A953&amp;G953,Lookup!J:K,2,0),"")</f>
        <v>0</v>
      </c>
      <c r="P953" s="110" t="str">
        <f t="shared" si="67"/>
        <v/>
      </c>
      <c r="Q953" s="115"/>
      <c r="R953" s="87" t="str">
        <f t="shared" si="68"/>
        <v/>
      </c>
      <c r="S953" s="87" t="str">
        <f t="shared" si="69"/>
        <v/>
      </c>
      <c r="T953" s="54"/>
      <c r="U953" s="54"/>
      <c r="V953" s="54"/>
      <c r="W953" s="54"/>
      <c r="X953" s="69" t="str">
        <f t="shared" si="66"/>
        <v>D</v>
      </c>
    </row>
    <row r="954" spans="2:24" x14ac:dyDescent="0.25">
      <c r="B954" s="91" t="str">
        <f>IFERROR(VLOOKUP(A954,Lookup!A:B,2,0),"")</f>
        <v/>
      </c>
      <c r="C954" s="59" t="str">
        <f>IFERROR(VLOOKUP(A954,Lookup!A:C,3,0),"")</f>
        <v/>
      </c>
      <c r="D954" s="54"/>
      <c r="E954" s="54"/>
      <c r="F954" s="54"/>
      <c r="G954" s="72"/>
      <c r="H954" s="54"/>
      <c r="I954" s="54"/>
      <c r="J954" s="106">
        <f>VLOOKUP(A954&amp;G954,Lookup!J:N,5,0)</f>
        <v>0</v>
      </c>
      <c r="K954" s="115"/>
      <c r="L954" s="115"/>
      <c r="M954" s="115"/>
      <c r="N954" s="115"/>
      <c r="O954" s="90">
        <f>IFERROR(VLOOKUP(A954&amp;G954,Lookup!J:K,2,0),"")</f>
        <v>0</v>
      </c>
      <c r="P954" s="110" t="str">
        <f t="shared" si="67"/>
        <v/>
      </c>
      <c r="Q954" s="115"/>
      <c r="R954" s="87" t="str">
        <f t="shared" si="68"/>
        <v/>
      </c>
      <c r="S954" s="87" t="str">
        <f t="shared" si="69"/>
        <v/>
      </c>
      <c r="T954" s="54"/>
      <c r="U954" s="54"/>
      <c r="V954" s="54"/>
      <c r="W954" s="54"/>
      <c r="X954" s="69" t="str">
        <f t="shared" si="66"/>
        <v>D</v>
      </c>
    </row>
    <row r="955" spans="2:24" x14ac:dyDescent="0.25">
      <c r="B955" s="91" t="str">
        <f>IFERROR(VLOOKUP(A955,Lookup!A:B,2,0),"")</f>
        <v/>
      </c>
      <c r="C955" s="59" t="str">
        <f>IFERROR(VLOOKUP(A955,Lookup!A:C,3,0),"")</f>
        <v/>
      </c>
      <c r="D955" s="54"/>
      <c r="E955" s="54"/>
      <c r="F955" s="54"/>
      <c r="G955" s="72"/>
      <c r="H955" s="54"/>
      <c r="I955" s="54"/>
      <c r="J955" s="106">
        <f>VLOOKUP(A955&amp;G955,Lookup!J:N,5,0)</f>
        <v>0</v>
      </c>
      <c r="K955" s="115"/>
      <c r="L955" s="115"/>
      <c r="M955" s="115"/>
      <c r="N955" s="115"/>
      <c r="O955" s="90">
        <f>IFERROR(VLOOKUP(A955&amp;G955,Lookup!J:K,2,0),"")</f>
        <v>0</v>
      </c>
      <c r="P955" s="110" t="str">
        <f t="shared" si="67"/>
        <v/>
      </c>
      <c r="Q955" s="115"/>
      <c r="R955" s="87" t="str">
        <f t="shared" si="68"/>
        <v/>
      </c>
      <c r="S955" s="87" t="str">
        <f t="shared" si="69"/>
        <v/>
      </c>
      <c r="T955" s="54"/>
      <c r="U955" s="54"/>
      <c r="V955" s="54"/>
      <c r="W955" s="54"/>
      <c r="X955" s="69" t="str">
        <f t="shared" si="66"/>
        <v>D</v>
      </c>
    </row>
    <row r="956" spans="2:24" x14ac:dyDescent="0.25">
      <c r="B956" s="91" t="str">
        <f>IFERROR(VLOOKUP(A956,Lookup!A:B,2,0),"")</f>
        <v/>
      </c>
      <c r="C956" s="59" t="str">
        <f>IFERROR(VLOOKUP(A956,Lookup!A:C,3,0),"")</f>
        <v/>
      </c>
      <c r="D956" s="54"/>
      <c r="E956" s="54"/>
      <c r="F956" s="54"/>
      <c r="G956" s="72"/>
      <c r="H956" s="54"/>
      <c r="I956" s="54"/>
      <c r="J956" s="106">
        <f>VLOOKUP(A956&amp;G956,Lookup!J:N,5,0)</f>
        <v>0</v>
      </c>
      <c r="K956" s="115"/>
      <c r="L956" s="115"/>
      <c r="M956" s="115"/>
      <c r="N956" s="115"/>
      <c r="O956" s="90">
        <f>IFERROR(VLOOKUP(A956&amp;G956,Lookup!J:K,2,0),"")</f>
        <v>0</v>
      </c>
      <c r="P956" s="110" t="str">
        <f t="shared" si="67"/>
        <v/>
      </c>
      <c r="Q956" s="115"/>
      <c r="R956" s="87" t="str">
        <f t="shared" si="68"/>
        <v/>
      </c>
      <c r="S956" s="87" t="str">
        <f t="shared" si="69"/>
        <v/>
      </c>
      <c r="T956" s="54"/>
      <c r="U956" s="54"/>
      <c r="V956" s="54"/>
      <c r="W956" s="54"/>
      <c r="X956" s="69" t="str">
        <f t="shared" si="66"/>
        <v>D</v>
      </c>
    </row>
    <row r="957" spans="2:24" x14ac:dyDescent="0.25">
      <c r="B957" s="91" t="str">
        <f>IFERROR(VLOOKUP(A957,Lookup!A:B,2,0),"")</f>
        <v/>
      </c>
      <c r="C957" s="59" t="str">
        <f>IFERROR(VLOOKUP(A957,Lookup!A:C,3,0),"")</f>
        <v/>
      </c>
      <c r="D957" s="54"/>
      <c r="E957" s="54"/>
      <c r="F957" s="54"/>
      <c r="G957" s="72"/>
      <c r="H957" s="54"/>
      <c r="I957" s="54"/>
      <c r="J957" s="106">
        <f>VLOOKUP(A957&amp;G957,Lookup!J:N,5,0)</f>
        <v>0</v>
      </c>
      <c r="K957" s="115"/>
      <c r="L957" s="115"/>
      <c r="M957" s="115"/>
      <c r="N957" s="115"/>
      <c r="O957" s="90">
        <f>IFERROR(VLOOKUP(A957&amp;G957,Lookup!J:K,2,0),"")</f>
        <v>0</v>
      </c>
      <c r="P957" s="110" t="str">
        <f t="shared" si="67"/>
        <v/>
      </c>
      <c r="Q957" s="115"/>
      <c r="R957" s="87" t="str">
        <f t="shared" si="68"/>
        <v/>
      </c>
      <c r="S957" s="87" t="str">
        <f t="shared" si="69"/>
        <v/>
      </c>
      <c r="T957" s="54"/>
      <c r="U957" s="54"/>
      <c r="V957" s="54"/>
      <c r="W957" s="54"/>
      <c r="X957" s="69" t="str">
        <f t="shared" si="66"/>
        <v>D</v>
      </c>
    </row>
    <row r="958" spans="2:24" x14ac:dyDescent="0.25">
      <c r="B958" s="91" t="str">
        <f>IFERROR(VLOOKUP(A958,Lookup!A:B,2,0),"")</f>
        <v/>
      </c>
      <c r="C958" s="59" t="str">
        <f>IFERROR(VLOOKUP(A958,Lookup!A:C,3,0),"")</f>
        <v/>
      </c>
      <c r="D958" s="54"/>
      <c r="E958" s="54"/>
      <c r="F958" s="54"/>
      <c r="G958" s="72"/>
      <c r="H958" s="54"/>
      <c r="I958" s="54"/>
      <c r="J958" s="106">
        <f>VLOOKUP(A958&amp;G958,Lookup!J:N,5,0)</f>
        <v>0</v>
      </c>
      <c r="K958" s="115"/>
      <c r="L958" s="115"/>
      <c r="M958" s="115"/>
      <c r="N958" s="115"/>
      <c r="O958" s="90">
        <f>IFERROR(VLOOKUP(A958&amp;G958,Lookup!J:K,2,0),"")</f>
        <v>0</v>
      </c>
      <c r="P958" s="110" t="str">
        <f t="shared" si="67"/>
        <v/>
      </c>
      <c r="Q958" s="115"/>
      <c r="R958" s="87" t="str">
        <f t="shared" si="68"/>
        <v/>
      </c>
      <c r="S958" s="87" t="str">
        <f t="shared" si="69"/>
        <v/>
      </c>
      <c r="T958" s="54"/>
      <c r="U958" s="54"/>
      <c r="V958" s="54"/>
      <c r="W958" s="54"/>
      <c r="X958" s="69" t="str">
        <f t="shared" si="66"/>
        <v>D</v>
      </c>
    </row>
    <row r="959" spans="2:24" x14ac:dyDescent="0.25">
      <c r="B959" s="91" t="str">
        <f>IFERROR(VLOOKUP(A959,Lookup!A:B,2,0),"")</f>
        <v/>
      </c>
      <c r="C959" s="59" t="str">
        <f>IFERROR(VLOOKUP(A959,Lookup!A:C,3,0),"")</f>
        <v/>
      </c>
      <c r="D959" s="54"/>
      <c r="E959" s="54"/>
      <c r="F959" s="54"/>
      <c r="G959" s="72"/>
      <c r="H959" s="54"/>
      <c r="I959" s="54"/>
      <c r="J959" s="106">
        <f>VLOOKUP(A959&amp;G959,Lookup!J:N,5,0)</f>
        <v>0</v>
      </c>
      <c r="K959" s="115"/>
      <c r="L959" s="115"/>
      <c r="M959" s="115"/>
      <c r="N959" s="115"/>
      <c r="O959" s="90">
        <f>IFERROR(VLOOKUP(A959&amp;G959,Lookup!J:K,2,0),"")</f>
        <v>0</v>
      </c>
      <c r="P959" s="110" t="str">
        <f t="shared" si="67"/>
        <v/>
      </c>
      <c r="Q959" s="115"/>
      <c r="R959" s="87" t="str">
        <f t="shared" si="68"/>
        <v/>
      </c>
      <c r="S959" s="87" t="str">
        <f t="shared" si="69"/>
        <v/>
      </c>
      <c r="T959" s="54"/>
      <c r="U959" s="54"/>
      <c r="V959" s="54"/>
      <c r="W959" s="54"/>
      <c r="X959" s="69" t="str">
        <f t="shared" si="66"/>
        <v>D</v>
      </c>
    </row>
    <row r="960" spans="2:24" x14ac:dyDescent="0.25">
      <c r="B960" s="91" t="str">
        <f>IFERROR(VLOOKUP(A960,Lookup!A:B,2,0),"")</f>
        <v/>
      </c>
      <c r="C960" s="59" t="str">
        <f>IFERROR(VLOOKUP(A960,Lookup!A:C,3,0),"")</f>
        <v/>
      </c>
      <c r="D960" s="54"/>
      <c r="E960" s="54"/>
      <c r="F960" s="54"/>
      <c r="G960" s="72"/>
      <c r="H960" s="54"/>
      <c r="I960" s="54"/>
      <c r="J960" s="106">
        <f>VLOOKUP(A960&amp;G960,Lookup!J:N,5,0)</f>
        <v>0</v>
      </c>
      <c r="K960" s="115"/>
      <c r="L960" s="115"/>
      <c r="M960" s="115"/>
      <c r="N960" s="115"/>
      <c r="O960" s="90">
        <f>IFERROR(VLOOKUP(A960&amp;G960,Lookup!J:K,2,0),"")</f>
        <v>0</v>
      </c>
      <c r="P960" s="110" t="str">
        <f t="shared" si="67"/>
        <v/>
      </c>
      <c r="Q960" s="115"/>
      <c r="R960" s="87" t="str">
        <f t="shared" si="68"/>
        <v/>
      </c>
      <c r="S960" s="87" t="str">
        <f t="shared" si="69"/>
        <v/>
      </c>
      <c r="T960" s="54"/>
      <c r="U960" s="54"/>
      <c r="V960" s="54"/>
      <c r="W960" s="54"/>
      <c r="X960" s="69" t="str">
        <f t="shared" si="66"/>
        <v>D</v>
      </c>
    </row>
    <row r="961" spans="2:24" x14ac:dyDescent="0.25">
      <c r="B961" s="91" t="str">
        <f>IFERROR(VLOOKUP(A961,Lookup!A:B,2,0),"")</f>
        <v/>
      </c>
      <c r="C961" s="59" t="str">
        <f>IFERROR(VLOOKUP(A961,Lookup!A:C,3,0),"")</f>
        <v/>
      </c>
      <c r="D961" s="54"/>
      <c r="E961" s="54"/>
      <c r="F961" s="54"/>
      <c r="G961" s="72"/>
      <c r="H961" s="54"/>
      <c r="I961" s="54"/>
      <c r="J961" s="106">
        <f>VLOOKUP(A961&amp;G961,Lookup!J:N,5,0)</f>
        <v>0</v>
      </c>
      <c r="K961" s="115"/>
      <c r="L961" s="115"/>
      <c r="M961" s="115"/>
      <c r="N961" s="115"/>
      <c r="O961" s="90">
        <f>IFERROR(VLOOKUP(A961&amp;G961,Lookup!J:K,2,0),"")</f>
        <v>0</v>
      </c>
      <c r="P961" s="110" t="str">
        <f t="shared" si="67"/>
        <v/>
      </c>
      <c r="Q961" s="115"/>
      <c r="R961" s="87" t="str">
        <f t="shared" si="68"/>
        <v/>
      </c>
      <c r="S961" s="87" t="str">
        <f t="shared" si="69"/>
        <v/>
      </c>
      <c r="T961" s="54"/>
      <c r="U961" s="54"/>
      <c r="V961" s="54"/>
      <c r="W961" s="54"/>
      <c r="X961" s="69" t="str">
        <f t="shared" ref="X961:X1024" si="70">IF(I961="SET","A",IF(I961="FREQ","C",IF(I961="","D","B")))</f>
        <v>D</v>
      </c>
    </row>
    <row r="962" spans="2:24" x14ac:dyDescent="0.25">
      <c r="B962" s="91" t="str">
        <f>IFERROR(VLOOKUP(A962,Lookup!A:B,2,0),"")</f>
        <v/>
      </c>
      <c r="C962" s="59" t="str">
        <f>IFERROR(VLOOKUP(A962,Lookup!A:C,3,0),"")</f>
        <v/>
      </c>
      <c r="D962" s="54"/>
      <c r="E962" s="54"/>
      <c r="F962" s="54"/>
      <c r="G962" s="72"/>
      <c r="H962" s="54"/>
      <c r="I962" s="54"/>
      <c r="J962" s="106">
        <f>VLOOKUP(A962&amp;G962,Lookup!J:N,5,0)</f>
        <v>0</v>
      </c>
      <c r="K962" s="115"/>
      <c r="L962" s="115"/>
      <c r="M962" s="115"/>
      <c r="N962" s="115"/>
      <c r="O962" s="90">
        <f>IFERROR(VLOOKUP(A962&amp;G962,Lookup!J:K,2,0),"")</f>
        <v>0</v>
      </c>
      <c r="P962" s="110" t="str">
        <f t="shared" ref="P962:P1025" si="71">IF(N962="","",N962+O962)</f>
        <v/>
      </c>
      <c r="Q962" s="115"/>
      <c r="R962" s="87" t="str">
        <f t="shared" si="68"/>
        <v/>
      </c>
      <c r="S962" s="87" t="str">
        <f t="shared" si="69"/>
        <v/>
      </c>
      <c r="T962" s="54"/>
      <c r="U962" s="54"/>
      <c r="V962" s="54"/>
      <c r="W962" s="54"/>
      <c r="X962" s="69" t="str">
        <f t="shared" si="70"/>
        <v>D</v>
      </c>
    </row>
    <row r="963" spans="2:24" x14ac:dyDescent="0.25">
      <c r="B963" s="91" t="str">
        <f>IFERROR(VLOOKUP(A963,Lookup!A:B,2,0),"")</f>
        <v/>
      </c>
      <c r="C963" s="59" t="str">
        <f>IFERROR(VLOOKUP(A963,Lookup!A:C,3,0),"")</f>
        <v/>
      </c>
      <c r="D963" s="54"/>
      <c r="E963" s="54"/>
      <c r="F963" s="54"/>
      <c r="G963" s="72"/>
      <c r="H963" s="54"/>
      <c r="I963" s="54"/>
      <c r="J963" s="106">
        <f>VLOOKUP(A963&amp;G963,Lookup!J:N,5,0)</f>
        <v>0</v>
      </c>
      <c r="K963" s="115"/>
      <c r="L963" s="115"/>
      <c r="M963" s="115"/>
      <c r="N963" s="115"/>
      <c r="O963" s="90">
        <f>IFERROR(VLOOKUP(A963&amp;G963,Lookup!J:K,2,0),"")</f>
        <v>0</v>
      </c>
      <c r="P963" s="110" t="str">
        <f t="shared" si="71"/>
        <v/>
      </c>
      <c r="Q963" s="115"/>
      <c r="R963" s="87" t="str">
        <f t="shared" ref="R963:R1026" si="72">IF(OR(EXACT(N963,""), EXACT(L963,"")),"",N963-L963)</f>
        <v/>
      </c>
      <c r="S963" s="87" t="str">
        <f t="shared" si="69"/>
        <v/>
      </c>
      <c r="T963" s="54"/>
      <c r="U963" s="54"/>
      <c r="V963" s="54"/>
      <c r="W963" s="54"/>
      <c r="X963" s="69" t="str">
        <f t="shared" si="70"/>
        <v>D</v>
      </c>
    </row>
    <row r="964" spans="2:24" x14ac:dyDescent="0.25">
      <c r="B964" s="91" t="str">
        <f>IFERROR(VLOOKUP(A964,Lookup!A:B,2,0),"")</f>
        <v/>
      </c>
      <c r="C964" s="59" t="str">
        <f>IFERROR(VLOOKUP(A964,Lookup!A:C,3,0),"")</f>
        <v/>
      </c>
      <c r="D964" s="54"/>
      <c r="E964" s="54"/>
      <c r="F964" s="54"/>
      <c r="G964" s="72"/>
      <c r="H964" s="54"/>
      <c r="I964" s="54"/>
      <c r="J964" s="106">
        <f>VLOOKUP(A964&amp;G964,Lookup!J:N,5,0)</f>
        <v>0</v>
      </c>
      <c r="K964" s="115"/>
      <c r="L964" s="115"/>
      <c r="M964" s="115"/>
      <c r="N964" s="115"/>
      <c r="O964" s="90">
        <f>IFERROR(VLOOKUP(A964&amp;G964,Lookup!J:K,2,0),"")</f>
        <v>0</v>
      </c>
      <c r="P964" s="110" t="str">
        <f t="shared" si="71"/>
        <v/>
      </c>
      <c r="Q964" s="115"/>
      <c r="R964" s="87" t="str">
        <f t="shared" si="72"/>
        <v/>
      </c>
      <c r="S964" s="87" t="str">
        <f t="shared" ref="S964:S1027" si="73">IF(OR(EXACT(Q964,""), EXACT(L964,"")),"",Q964-L964)</f>
        <v/>
      </c>
      <c r="T964" s="54"/>
      <c r="U964" s="54"/>
      <c r="V964" s="54"/>
      <c r="W964" s="54"/>
      <c r="X964" s="69" t="str">
        <f t="shared" si="70"/>
        <v>D</v>
      </c>
    </row>
    <row r="965" spans="2:24" x14ac:dyDescent="0.25">
      <c r="B965" s="91" t="str">
        <f>IFERROR(VLOOKUP(A965,Lookup!A:B,2,0),"")</f>
        <v/>
      </c>
      <c r="C965" s="59" t="str">
        <f>IFERROR(VLOOKUP(A965,Lookup!A:C,3,0),"")</f>
        <v/>
      </c>
      <c r="D965" s="54"/>
      <c r="E965" s="54"/>
      <c r="F965" s="54"/>
      <c r="G965" s="72"/>
      <c r="H965" s="54"/>
      <c r="I965" s="54"/>
      <c r="J965" s="106">
        <f>VLOOKUP(A965&amp;G965,Lookup!J:N,5,0)</f>
        <v>0</v>
      </c>
      <c r="K965" s="115"/>
      <c r="L965" s="115"/>
      <c r="M965" s="115"/>
      <c r="N965" s="115"/>
      <c r="O965" s="90">
        <f>IFERROR(VLOOKUP(A965&amp;G965,Lookup!J:K,2,0),"")</f>
        <v>0</v>
      </c>
      <c r="P965" s="110" t="str">
        <f t="shared" si="71"/>
        <v/>
      </c>
      <c r="Q965" s="115"/>
      <c r="R965" s="87" t="str">
        <f t="shared" si="72"/>
        <v/>
      </c>
      <c r="S965" s="87" t="str">
        <f t="shared" si="73"/>
        <v/>
      </c>
      <c r="T965" s="54"/>
      <c r="U965" s="54"/>
      <c r="V965" s="54"/>
      <c r="W965" s="54"/>
      <c r="X965" s="69" t="str">
        <f t="shared" si="70"/>
        <v>D</v>
      </c>
    </row>
    <row r="966" spans="2:24" x14ac:dyDescent="0.25">
      <c r="B966" s="91" t="str">
        <f>IFERROR(VLOOKUP(A966,Lookup!A:B,2,0),"")</f>
        <v/>
      </c>
      <c r="C966" s="59" t="str">
        <f>IFERROR(VLOOKUP(A966,Lookup!A:C,3,0),"")</f>
        <v/>
      </c>
      <c r="D966" s="54"/>
      <c r="E966" s="54"/>
      <c r="F966" s="54"/>
      <c r="G966" s="72"/>
      <c r="H966" s="54"/>
      <c r="I966" s="54"/>
      <c r="J966" s="106">
        <f>VLOOKUP(A966&amp;G966,Lookup!J:N,5,0)</f>
        <v>0</v>
      </c>
      <c r="K966" s="115"/>
      <c r="L966" s="115"/>
      <c r="M966" s="115"/>
      <c r="N966" s="115"/>
      <c r="O966" s="90">
        <f>IFERROR(VLOOKUP(A966&amp;G966,Lookup!J:K,2,0),"")</f>
        <v>0</v>
      </c>
      <c r="P966" s="110" t="str">
        <f t="shared" si="71"/>
        <v/>
      </c>
      <c r="Q966" s="115"/>
      <c r="R966" s="87" t="str">
        <f t="shared" si="72"/>
        <v/>
      </c>
      <c r="S966" s="87" t="str">
        <f t="shared" si="73"/>
        <v/>
      </c>
      <c r="T966" s="54"/>
      <c r="U966" s="54"/>
      <c r="V966" s="54"/>
      <c r="W966" s="54"/>
      <c r="X966" s="69" t="str">
        <f t="shared" si="70"/>
        <v>D</v>
      </c>
    </row>
    <row r="967" spans="2:24" x14ac:dyDescent="0.25">
      <c r="B967" s="91" t="str">
        <f>IFERROR(VLOOKUP(A967,Lookup!A:B,2,0),"")</f>
        <v/>
      </c>
      <c r="C967" s="59" t="str">
        <f>IFERROR(VLOOKUP(A967,Lookup!A:C,3,0),"")</f>
        <v/>
      </c>
      <c r="D967" s="54"/>
      <c r="E967" s="54"/>
      <c r="F967" s="54"/>
      <c r="G967" s="72"/>
      <c r="H967" s="54"/>
      <c r="I967" s="54"/>
      <c r="J967" s="106">
        <f>VLOOKUP(A967&amp;G967,Lookup!J:N,5,0)</f>
        <v>0</v>
      </c>
      <c r="K967" s="115"/>
      <c r="L967" s="115"/>
      <c r="M967" s="115"/>
      <c r="N967" s="115"/>
      <c r="O967" s="90">
        <f>IFERROR(VLOOKUP(A967&amp;G967,Lookup!J:K,2,0),"")</f>
        <v>0</v>
      </c>
      <c r="P967" s="110" t="str">
        <f t="shared" si="71"/>
        <v/>
      </c>
      <c r="Q967" s="115"/>
      <c r="R967" s="87" t="str">
        <f t="shared" si="72"/>
        <v/>
      </c>
      <c r="S967" s="87" t="str">
        <f t="shared" si="73"/>
        <v/>
      </c>
      <c r="T967" s="54"/>
      <c r="U967" s="54"/>
      <c r="V967" s="54"/>
      <c r="W967" s="54"/>
      <c r="X967" s="69" t="str">
        <f t="shared" si="70"/>
        <v>D</v>
      </c>
    </row>
    <row r="968" spans="2:24" x14ac:dyDescent="0.25">
      <c r="B968" s="91" t="str">
        <f>IFERROR(VLOOKUP(A968,Lookup!A:B,2,0),"")</f>
        <v/>
      </c>
      <c r="C968" s="59" t="str">
        <f>IFERROR(VLOOKUP(A968,Lookup!A:C,3,0),"")</f>
        <v/>
      </c>
      <c r="D968" s="54"/>
      <c r="E968" s="54"/>
      <c r="F968" s="54"/>
      <c r="G968" s="72"/>
      <c r="H968" s="54"/>
      <c r="I968" s="54"/>
      <c r="J968" s="106">
        <f>VLOOKUP(A968&amp;G968,Lookup!J:N,5,0)</f>
        <v>0</v>
      </c>
      <c r="K968" s="115"/>
      <c r="L968" s="115"/>
      <c r="M968" s="115"/>
      <c r="N968" s="115"/>
      <c r="O968" s="90">
        <f>IFERROR(VLOOKUP(A968&amp;G968,Lookup!J:K,2,0),"")</f>
        <v>0</v>
      </c>
      <c r="P968" s="110" t="str">
        <f t="shared" si="71"/>
        <v/>
      </c>
      <c r="Q968" s="115"/>
      <c r="R968" s="87" t="str">
        <f t="shared" si="72"/>
        <v/>
      </c>
      <c r="S968" s="87" t="str">
        <f t="shared" si="73"/>
        <v/>
      </c>
      <c r="T968" s="54"/>
      <c r="U968" s="54"/>
      <c r="V968" s="54"/>
      <c r="W968" s="54"/>
      <c r="X968" s="69" t="str">
        <f t="shared" si="70"/>
        <v>D</v>
      </c>
    </row>
    <row r="969" spans="2:24" x14ac:dyDescent="0.25">
      <c r="B969" s="91" t="str">
        <f>IFERROR(VLOOKUP(A969,Lookup!A:B,2,0),"")</f>
        <v/>
      </c>
      <c r="C969" s="59" t="str">
        <f>IFERROR(VLOOKUP(A969,Lookup!A:C,3,0),"")</f>
        <v/>
      </c>
      <c r="D969" s="54"/>
      <c r="E969" s="54"/>
      <c r="F969" s="54"/>
      <c r="G969" s="72"/>
      <c r="H969" s="54"/>
      <c r="I969" s="54"/>
      <c r="J969" s="106">
        <f>VLOOKUP(A969&amp;G969,Lookup!J:N,5,0)</f>
        <v>0</v>
      </c>
      <c r="K969" s="115"/>
      <c r="L969" s="115"/>
      <c r="M969" s="115"/>
      <c r="N969" s="115"/>
      <c r="O969" s="90">
        <f>IFERROR(VLOOKUP(A969&amp;G969,Lookup!J:K,2,0),"")</f>
        <v>0</v>
      </c>
      <c r="P969" s="110" t="str">
        <f t="shared" si="71"/>
        <v/>
      </c>
      <c r="Q969" s="115"/>
      <c r="R969" s="87" t="str">
        <f t="shared" si="72"/>
        <v/>
      </c>
      <c r="S969" s="87" t="str">
        <f t="shared" si="73"/>
        <v/>
      </c>
      <c r="T969" s="54"/>
      <c r="U969" s="54"/>
      <c r="V969" s="54"/>
      <c r="W969" s="54"/>
      <c r="X969" s="69" t="str">
        <f t="shared" si="70"/>
        <v>D</v>
      </c>
    </row>
    <row r="970" spans="2:24" x14ac:dyDescent="0.25">
      <c r="B970" s="91" t="str">
        <f>IFERROR(VLOOKUP(A970,Lookup!A:B,2,0),"")</f>
        <v/>
      </c>
      <c r="C970" s="59" t="str">
        <f>IFERROR(VLOOKUP(A970,Lookup!A:C,3,0),"")</f>
        <v/>
      </c>
      <c r="D970" s="54"/>
      <c r="E970" s="54"/>
      <c r="F970" s="54"/>
      <c r="G970" s="72"/>
      <c r="H970" s="54"/>
      <c r="I970" s="54"/>
      <c r="J970" s="106">
        <f>VLOOKUP(A970&amp;G970,Lookup!J:N,5,0)</f>
        <v>0</v>
      </c>
      <c r="K970" s="115"/>
      <c r="L970" s="115"/>
      <c r="M970" s="115"/>
      <c r="N970" s="115"/>
      <c r="O970" s="90">
        <f>IFERROR(VLOOKUP(A970&amp;G970,Lookup!J:K,2,0),"")</f>
        <v>0</v>
      </c>
      <c r="P970" s="110" t="str">
        <f t="shared" si="71"/>
        <v/>
      </c>
      <c r="Q970" s="115"/>
      <c r="R970" s="87" t="str">
        <f t="shared" si="72"/>
        <v/>
      </c>
      <c r="S970" s="87" t="str">
        <f t="shared" si="73"/>
        <v/>
      </c>
      <c r="T970" s="54"/>
      <c r="U970" s="54"/>
      <c r="V970" s="54"/>
      <c r="W970" s="54"/>
      <c r="X970" s="69" t="str">
        <f t="shared" si="70"/>
        <v>D</v>
      </c>
    </row>
    <row r="971" spans="2:24" x14ac:dyDescent="0.25">
      <c r="B971" s="91" t="str">
        <f>IFERROR(VLOOKUP(A971,Lookup!A:B,2,0),"")</f>
        <v/>
      </c>
      <c r="C971" s="59" t="str">
        <f>IFERROR(VLOOKUP(A971,Lookup!A:C,3,0),"")</f>
        <v/>
      </c>
      <c r="D971" s="54"/>
      <c r="E971" s="54"/>
      <c r="F971" s="54"/>
      <c r="G971" s="72"/>
      <c r="H971" s="54"/>
      <c r="I971" s="54"/>
      <c r="J971" s="106">
        <f>VLOOKUP(A971&amp;G971,Lookup!J:N,5,0)</f>
        <v>0</v>
      </c>
      <c r="K971" s="115"/>
      <c r="L971" s="115"/>
      <c r="M971" s="115"/>
      <c r="N971" s="115"/>
      <c r="O971" s="90">
        <f>IFERROR(VLOOKUP(A971&amp;G971,Lookup!J:K,2,0),"")</f>
        <v>0</v>
      </c>
      <c r="P971" s="110" t="str">
        <f t="shared" si="71"/>
        <v/>
      </c>
      <c r="Q971" s="115"/>
      <c r="R971" s="87" t="str">
        <f t="shared" si="72"/>
        <v/>
      </c>
      <c r="S971" s="87" t="str">
        <f t="shared" si="73"/>
        <v/>
      </c>
      <c r="T971" s="54"/>
      <c r="U971" s="54"/>
      <c r="V971" s="54"/>
      <c r="W971" s="54"/>
      <c r="X971" s="69" t="str">
        <f t="shared" si="70"/>
        <v>D</v>
      </c>
    </row>
    <row r="972" spans="2:24" x14ac:dyDescent="0.25">
      <c r="B972" s="91" t="str">
        <f>IFERROR(VLOOKUP(A972,Lookup!A:B,2,0),"")</f>
        <v/>
      </c>
      <c r="C972" s="59" t="str">
        <f>IFERROR(VLOOKUP(A972,Lookup!A:C,3,0),"")</f>
        <v/>
      </c>
      <c r="D972" s="54"/>
      <c r="E972" s="54"/>
      <c r="F972" s="54"/>
      <c r="G972" s="72"/>
      <c r="H972" s="54"/>
      <c r="I972" s="54"/>
      <c r="J972" s="106">
        <f>VLOOKUP(A972&amp;G972,Lookup!J:N,5,0)</f>
        <v>0</v>
      </c>
      <c r="K972" s="115"/>
      <c r="L972" s="115"/>
      <c r="M972" s="115"/>
      <c r="N972" s="115"/>
      <c r="O972" s="90">
        <f>IFERROR(VLOOKUP(A972&amp;G972,Lookup!J:K,2,0),"")</f>
        <v>0</v>
      </c>
      <c r="P972" s="110" t="str">
        <f t="shared" si="71"/>
        <v/>
      </c>
      <c r="Q972" s="115"/>
      <c r="R972" s="87" t="str">
        <f t="shared" si="72"/>
        <v/>
      </c>
      <c r="S972" s="87" t="str">
        <f t="shared" si="73"/>
        <v/>
      </c>
      <c r="T972" s="54"/>
      <c r="U972" s="54"/>
      <c r="V972" s="54"/>
      <c r="W972" s="54"/>
      <c r="X972" s="69" t="str">
        <f t="shared" si="70"/>
        <v>D</v>
      </c>
    </row>
    <row r="973" spans="2:24" x14ac:dyDescent="0.25">
      <c r="B973" s="91" t="str">
        <f>IFERROR(VLOOKUP(A973,Lookup!A:B,2,0),"")</f>
        <v/>
      </c>
      <c r="C973" s="59" t="str">
        <f>IFERROR(VLOOKUP(A973,Lookup!A:C,3,0),"")</f>
        <v/>
      </c>
      <c r="D973" s="54"/>
      <c r="E973" s="54"/>
      <c r="F973" s="54"/>
      <c r="G973" s="72"/>
      <c r="H973" s="54"/>
      <c r="I973" s="54"/>
      <c r="J973" s="106">
        <f>VLOOKUP(A973&amp;G973,Lookup!J:N,5,0)</f>
        <v>0</v>
      </c>
      <c r="K973" s="115"/>
      <c r="L973" s="115"/>
      <c r="M973" s="115"/>
      <c r="N973" s="115"/>
      <c r="O973" s="90">
        <f>IFERROR(VLOOKUP(A973&amp;G973,Lookup!J:K,2,0),"")</f>
        <v>0</v>
      </c>
      <c r="P973" s="110" t="str">
        <f t="shared" si="71"/>
        <v/>
      </c>
      <c r="Q973" s="115"/>
      <c r="R973" s="87" t="str">
        <f t="shared" si="72"/>
        <v/>
      </c>
      <c r="S973" s="87" t="str">
        <f t="shared" si="73"/>
        <v/>
      </c>
      <c r="T973" s="54"/>
      <c r="U973" s="54"/>
      <c r="V973" s="54"/>
      <c r="W973" s="54"/>
      <c r="X973" s="69" t="str">
        <f t="shared" si="70"/>
        <v>D</v>
      </c>
    </row>
    <row r="974" spans="2:24" x14ac:dyDescent="0.25">
      <c r="B974" s="91" t="str">
        <f>IFERROR(VLOOKUP(A974,Lookup!A:B,2,0),"")</f>
        <v/>
      </c>
      <c r="C974" s="59" t="str">
        <f>IFERROR(VLOOKUP(A974,Lookup!A:C,3,0),"")</f>
        <v/>
      </c>
      <c r="D974" s="54"/>
      <c r="E974" s="54"/>
      <c r="F974" s="54"/>
      <c r="G974" s="72"/>
      <c r="H974" s="54"/>
      <c r="I974" s="54"/>
      <c r="J974" s="106">
        <f>VLOOKUP(A974&amp;G974,Lookup!J:N,5,0)</f>
        <v>0</v>
      </c>
      <c r="K974" s="115"/>
      <c r="L974" s="115"/>
      <c r="M974" s="115"/>
      <c r="N974" s="115"/>
      <c r="O974" s="90">
        <f>IFERROR(VLOOKUP(A974&amp;G974,Lookup!J:K,2,0),"")</f>
        <v>0</v>
      </c>
      <c r="P974" s="110" t="str">
        <f t="shared" si="71"/>
        <v/>
      </c>
      <c r="Q974" s="115"/>
      <c r="R974" s="87" t="str">
        <f t="shared" si="72"/>
        <v/>
      </c>
      <c r="S974" s="87" t="str">
        <f t="shared" si="73"/>
        <v/>
      </c>
      <c r="T974" s="54"/>
      <c r="U974" s="54"/>
      <c r="V974" s="54"/>
      <c r="W974" s="54"/>
      <c r="X974" s="69" t="str">
        <f t="shared" si="70"/>
        <v>D</v>
      </c>
    </row>
    <row r="975" spans="2:24" x14ac:dyDescent="0.25">
      <c r="B975" s="91" t="str">
        <f>IFERROR(VLOOKUP(A975,Lookup!A:B,2,0),"")</f>
        <v/>
      </c>
      <c r="C975" s="59" t="str">
        <f>IFERROR(VLOOKUP(A975,Lookup!A:C,3,0),"")</f>
        <v/>
      </c>
      <c r="D975" s="54"/>
      <c r="E975" s="54"/>
      <c r="F975" s="54"/>
      <c r="G975" s="72"/>
      <c r="H975" s="54"/>
      <c r="I975" s="54"/>
      <c r="J975" s="106">
        <f>VLOOKUP(A975&amp;G975,Lookup!J:N,5,0)</f>
        <v>0</v>
      </c>
      <c r="K975" s="115"/>
      <c r="L975" s="115"/>
      <c r="M975" s="115"/>
      <c r="N975" s="115"/>
      <c r="O975" s="90">
        <f>IFERROR(VLOOKUP(A975&amp;G975,Lookup!J:K,2,0),"")</f>
        <v>0</v>
      </c>
      <c r="P975" s="110" t="str">
        <f t="shared" si="71"/>
        <v/>
      </c>
      <c r="Q975" s="115"/>
      <c r="R975" s="87" t="str">
        <f t="shared" si="72"/>
        <v/>
      </c>
      <c r="S975" s="87" t="str">
        <f t="shared" si="73"/>
        <v/>
      </c>
      <c r="T975" s="54"/>
      <c r="U975" s="54"/>
      <c r="V975" s="54"/>
      <c r="W975" s="54"/>
      <c r="X975" s="69" t="str">
        <f t="shared" si="70"/>
        <v>D</v>
      </c>
    </row>
    <row r="976" spans="2:24" x14ac:dyDescent="0.25">
      <c r="B976" s="91" t="str">
        <f>IFERROR(VLOOKUP(A976,Lookup!A:B,2,0),"")</f>
        <v/>
      </c>
      <c r="C976" s="59" t="str">
        <f>IFERROR(VLOOKUP(A976,Lookup!A:C,3,0),"")</f>
        <v/>
      </c>
      <c r="D976" s="54"/>
      <c r="E976" s="54"/>
      <c r="F976" s="54"/>
      <c r="G976" s="72"/>
      <c r="H976" s="54"/>
      <c r="I976" s="54"/>
      <c r="J976" s="106">
        <f>VLOOKUP(A976&amp;G976,Lookup!J:N,5,0)</f>
        <v>0</v>
      </c>
      <c r="K976" s="115"/>
      <c r="L976" s="115"/>
      <c r="M976" s="115"/>
      <c r="N976" s="115"/>
      <c r="O976" s="90">
        <f>IFERROR(VLOOKUP(A976&amp;G976,Lookup!J:K,2,0),"")</f>
        <v>0</v>
      </c>
      <c r="P976" s="110" t="str">
        <f t="shared" si="71"/>
        <v/>
      </c>
      <c r="Q976" s="115"/>
      <c r="R976" s="87" t="str">
        <f t="shared" si="72"/>
        <v/>
      </c>
      <c r="S976" s="87" t="str">
        <f t="shared" si="73"/>
        <v/>
      </c>
      <c r="T976" s="54"/>
      <c r="U976" s="54"/>
      <c r="V976" s="54"/>
      <c r="W976" s="54"/>
      <c r="X976" s="69" t="str">
        <f t="shared" si="70"/>
        <v>D</v>
      </c>
    </row>
    <row r="977" spans="2:24" x14ac:dyDescent="0.25">
      <c r="B977" s="91" t="str">
        <f>IFERROR(VLOOKUP(A977,Lookup!A:B,2,0),"")</f>
        <v/>
      </c>
      <c r="C977" s="59" t="str">
        <f>IFERROR(VLOOKUP(A977,Lookup!A:C,3,0),"")</f>
        <v/>
      </c>
      <c r="D977" s="54"/>
      <c r="E977" s="54"/>
      <c r="F977" s="54"/>
      <c r="G977" s="72"/>
      <c r="H977" s="54"/>
      <c r="I977" s="54"/>
      <c r="J977" s="106">
        <f>VLOOKUP(A977&amp;G977,Lookup!J:N,5,0)</f>
        <v>0</v>
      </c>
      <c r="K977" s="115"/>
      <c r="L977" s="115"/>
      <c r="M977" s="115"/>
      <c r="N977" s="115"/>
      <c r="O977" s="90">
        <f>IFERROR(VLOOKUP(A977&amp;G977,Lookup!J:K,2,0),"")</f>
        <v>0</v>
      </c>
      <c r="P977" s="110" t="str">
        <f t="shared" si="71"/>
        <v/>
      </c>
      <c r="Q977" s="115"/>
      <c r="R977" s="87" t="str">
        <f t="shared" si="72"/>
        <v/>
      </c>
      <c r="S977" s="87" t="str">
        <f t="shared" si="73"/>
        <v/>
      </c>
      <c r="T977" s="54"/>
      <c r="U977" s="54"/>
      <c r="V977" s="54"/>
      <c r="W977" s="54"/>
      <c r="X977" s="69" t="str">
        <f t="shared" si="70"/>
        <v>D</v>
      </c>
    </row>
    <row r="978" spans="2:24" x14ac:dyDescent="0.25">
      <c r="B978" s="91" t="str">
        <f>IFERROR(VLOOKUP(A978,Lookup!A:B,2,0),"")</f>
        <v/>
      </c>
      <c r="C978" s="59" t="str">
        <f>IFERROR(VLOOKUP(A978,Lookup!A:C,3,0),"")</f>
        <v/>
      </c>
      <c r="D978" s="54"/>
      <c r="E978" s="54"/>
      <c r="F978" s="54"/>
      <c r="G978" s="72"/>
      <c r="H978" s="54"/>
      <c r="I978" s="54"/>
      <c r="J978" s="106">
        <f>VLOOKUP(A978&amp;G978,Lookup!J:N,5,0)</f>
        <v>0</v>
      </c>
      <c r="K978" s="115"/>
      <c r="L978" s="115"/>
      <c r="M978" s="115"/>
      <c r="N978" s="115"/>
      <c r="O978" s="90">
        <f>IFERROR(VLOOKUP(A978&amp;G978,Lookup!J:K,2,0),"")</f>
        <v>0</v>
      </c>
      <c r="P978" s="110" t="str">
        <f t="shared" si="71"/>
        <v/>
      </c>
      <c r="Q978" s="115"/>
      <c r="R978" s="87" t="str">
        <f t="shared" si="72"/>
        <v/>
      </c>
      <c r="S978" s="87" t="str">
        <f t="shared" si="73"/>
        <v/>
      </c>
      <c r="T978" s="54"/>
      <c r="U978" s="54"/>
      <c r="V978" s="54"/>
      <c r="W978" s="54"/>
      <c r="X978" s="69" t="str">
        <f t="shared" si="70"/>
        <v>D</v>
      </c>
    </row>
    <row r="979" spans="2:24" x14ac:dyDescent="0.25">
      <c r="B979" s="91" t="str">
        <f>IFERROR(VLOOKUP(A979,Lookup!A:B,2,0),"")</f>
        <v/>
      </c>
      <c r="C979" s="59" t="str">
        <f>IFERROR(VLOOKUP(A979,Lookup!A:C,3,0),"")</f>
        <v/>
      </c>
      <c r="D979" s="54"/>
      <c r="E979" s="54"/>
      <c r="F979" s="54"/>
      <c r="G979" s="72"/>
      <c r="H979" s="54"/>
      <c r="I979" s="54"/>
      <c r="J979" s="106">
        <f>VLOOKUP(A979&amp;G979,Lookup!J:N,5,0)</f>
        <v>0</v>
      </c>
      <c r="K979" s="115"/>
      <c r="L979" s="115"/>
      <c r="M979" s="115"/>
      <c r="N979" s="115"/>
      <c r="O979" s="90">
        <f>IFERROR(VLOOKUP(A979&amp;G979,Lookup!J:K,2,0),"")</f>
        <v>0</v>
      </c>
      <c r="P979" s="110" t="str">
        <f t="shared" si="71"/>
        <v/>
      </c>
      <c r="Q979" s="115"/>
      <c r="R979" s="87" t="str">
        <f t="shared" si="72"/>
        <v/>
      </c>
      <c r="S979" s="87" t="str">
        <f t="shared" si="73"/>
        <v/>
      </c>
      <c r="T979" s="54"/>
      <c r="U979" s="54"/>
      <c r="V979" s="54"/>
      <c r="W979" s="54"/>
      <c r="X979" s="69" t="str">
        <f t="shared" si="70"/>
        <v>D</v>
      </c>
    </row>
    <row r="980" spans="2:24" x14ac:dyDescent="0.25">
      <c r="B980" s="91" t="str">
        <f>IFERROR(VLOOKUP(A980,Lookup!A:B,2,0),"")</f>
        <v/>
      </c>
      <c r="C980" s="59" t="str">
        <f>IFERROR(VLOOKUP(A980,Lookup!A:C,3,0),"")</f>
        <v/>
      </c>
      <c r="D980" s="54"/>
      <c r="E980" s="54"/>
      <c r="F980" s="54"/>
      <c r="G980" s="72"/>
      <c r="H980" s="54"/>
      <c r="I980" s="54"/>
      <c r="J980" s="106">
        <f>VLOOKUP(A980&amp;G980,Lookup!J:N,5,0)</f>
        <v>0</v>
      </c>
      <c r="K980" s="115"/>
      <c r="L980" s="115"/>
      <c r="M980" s="115"/>
      <c r="N980" s="115"/>
      <c r="O980" s="90">
        <f>IFERROR(VLOOKUP(A980&amp;G980,Lookup!J:K,2,0),"")</f>
        <v>0</v>
      </c>
      <c r="P980" s="110" t="str">
        <f t="shared" si="71"/>
        <v/>
      </c>
      <c r="Q980" s="115"/>
      <c r="R980" s="87" t="str">
        <f t="shared" si="72"/>
        <v/>
      </c>
      <c r="S980" s="87" t="str">
        <f t="shared" si="73"/>
        <v/>
      </c>
      <c r="T980" s="54"/>
      <c r="U980" s="54"/>
      <c r="V980" s="54"/>
      <c r="W980" s="54"/>
      <c r="X980" s="69" t="str">
        <f t="shared" si="70"/>
        <v>D</v>
      </c>
    </row>
    <row r="981" spans="2:24" x14ac:dyDescent="0.25">
      <c r="B981" s="91" t="str">
        <f>IFERROR(VLOOKUP(A981,Lookup!A:B,2,0),"")</f>
        <v/>
      </c>
      <c r="C981" s="59" t="str">
        <f>IFERROR(VLOOKUP(A981,Lookup!A:C,3,0),"")</f>
        <v/>
      </c>
      <c r="D981" s="54"/>
      <c r="E981" s="54"/>
      <c r="F981" s="54"/>
      <c r="G981" s="72"/>
      <c r="H981" s="54"/>
      <c r="I981" s="54"/>
      <c r="J981" s="106">
        <f>VLOOKUP(A981&amp;G981,Lookup!J:N,5,0)</f>
        <v>0</v>
      </c>
      <c r="K981" s="115"/>
      <c r="L981" s="115"/>
      <c r="M981" s="115"/>
      <c r="N981" s="115"/>
      <c r="O981" s="90">
        <f>IFERROR(VLOOKUP(A981&amp;G981,Lookup!J:K,2,0),"")</f>
        <v>0</v>
      </c>
      <c r="P981" s="110" t="str">
        <f t="shared" si="71"/>
        <v/>
      </c>
      <c r="Q981" s="115"/>
      <c r="R981" s="87" t="str">
        <f t="shared" si="72"/>
        <v/>
      </c>
      <c r="S981" s="87" t="str">
        <f t="shared" si="73"/>
        <v/>
      </c>
      <c r="T981" s="54"/>
      <c r="U981" s="54"/>
      <c r="V981" s="54"/>
      <c r="W981" s="54"/>
      <c r="X981" s="69" t="str">
        <f t="shared" si="70"/>
        <v>D</v>
      </c>
    </row>
    <row r="982" spans="2:24" x14ac:dyDescent="0.25">
      <c r="B982" s="91" t="str">
        <f>IFERROR(VLOOKUP(A982,Lookup!A:B,2,0),"")</f>
        <v/>
      </c>
      <c r="C982" s="59" t="str">
        <f>IFERROR(VLOOKUP(A982,Lookup!A:C,3,0),"")</f>
        <v/>
      </c>
      <c r="D982" s="54"/>
      <c r="E982" s="54"/>
      <c r="F982" s="54"/>
      <c r="G982" s="72"/>
      <c r="H982" s="54"/>
      <c r="I982" s="54"/>
      <c r="J982" s="106">
        <f>VLOOKUP(A982&amp;G982,Lookup!J:N,5,0)</f>
        <v>0</v>
      </c>
      <c r="K982" s="115"/>
      <c r="L982" s="115"/>
      <c r="M982" s="115"/>
      <c r="N982" s="115"/>
      <c r="O982" s="90">
        <f>IFERROR(VLOOKUP(A982&amp;G982,Lookup!J:K,2,0),"")</f>
        <v>0</v>
      </c>
      <c r="P982" s="110" t="str">
        <f t="shared" si="71"/>
        <v/>
      </c>
      <c r="Q982" s="115"/>
      <c r="R982" s="87" t="str">
        <f t="shared" si="72"/>
        <v/>
      </c>
      <c r="S982" s="87" t="str">
        <f t="shared" si="73"/>
        <v/>
      </c>
      <c r="T982" s="54"/>
      <c r="U982" s="54"/>
      <c r="V982" s="54"/>
      <c r="W982" s="54"/>
      <c r="X982" s="69" t="str">
        <f t="shared" si="70"/>
        <v>D</v>
      </c>
    </row>
    <row r="983" spans="2:24" x14ac:dyDescent="0.25">
      <c r="B983" s="91" t="str">
        <f>IFERROR(VLOOKUP(A983,Lookup!A:B,2,0),"")</f>
        <v/>
      </c>
      <c r="C983" s="59" t="str">
        <f>IFERROR(VLOOKUP(A983,Lookup!A:C,3,0),"")</f>
        <v/>
      </c>
      <c r="D983" s="54"/>
      <c r="E983" s="54"/>
      <c r="F983" s="54"/>
      <c r="G983" s="72"/>
      <c r="H983" s="54"/>
      <c r="I983" s="54"/>
      <c r="J983" s="106">
        <f>VLOOKUP(A983&amp;G983,Lookup!J:N,5,0)</f>
        <v>0</v>
      </c>
      <c r="K983" s="115"/>
      <c r="L983" s="115"/>
      <c r="M983" s="115"/>
      <c r="N983" s="115"/>
      <c r="O983" s="90">
        <f>IFERROR(VLOOKUP(A983&amp;G983,Lookup!J:K,2,0),"")</f>
        <v>0</v>
      </c>
      <c r="P983" s="110" t="str">
        <f t="shared" si="71"/>
        <v/>
      </c>
      <c r="Q983" s="115"/>
      <c r="R983" s="87" t="str">
        <f t="shared" si="72"/>
        <v/>
      </c>
      <c r="S983" s="87" t="str">
        <f t="shared" si="73"/>
        <v/>
      </c>
      <c r="T983" s="54"/>
      <c r="U983" s="54"/>
      <c r="V983" s="54"/>
      <c r="W983" s="54"/>
      <c r="X983" s="69" t="str">
        <f t="shared" si="70"/>
        <v>D</v>
      </c>
    </row>
    <row r="984" spans="2:24" x14ac:dyDescent="0.25">
      <c r="B984" s="91" t="str">
        <f>IFERROR(VLOOKUP(A984,Lookup!A:B,2,0),"")</f>
        <v/>
      </c>
      <c r="C984" s="59" t="str">
        <f>IFERROR(VLOOKUP(A984,Lookup!A:C,3,0),"")</f>
        <v/>
      </c>
      <c r="D984" s="54"/>
      <c r="E984" s="54"/>
      <c r="F984" s="54"/>
      <c r="G984" s="72"/>
      <c r="H984" s="54"/>
      <c r="I984" s="54"/>
      <c r="J984" s="106">
        <f>VLOOKUP(A984&amp;G984,Lookup!J:N,5,0)</f>
        <v>0</v>
      </c>
      <c r="K984" s="115"/>
      <c r="L984" s="115"/>
      <c r="M984" s="115"/>
      <c r="N984" s="115"/>
      <c r="O984" s="90">
        <f>IFERROR(VLOOKUP(A984&amp;G984,Lookup!J:K,2,0),"")</f>
        <v>0</v>
      </c>
      <c r="P984" s="110" t="str">
        <f t="shared" si="71"/>
        <v/>
      </c>
      <c r="Q984" s="115"/>
      <c r="R984" s="87" t="str">
        <f t="shared" si="72"/>
        <v/>
      </c>
      <c r="S984" s="87" t="str">
        <f t="shared" si="73"/>
        <v/>
      </c>
      <c r="T984" s="54"/>
      <c r="U984" s="54"/>
      <c r="V984" s="54"/>
      <c r="W984" s="54"/>
      <c r="X984" s="69" t="str">
        <f t="shared" si="70"/>
        <v>D</v>
      </c>
    </row>
    <row r="985" spans="2:24" x14ac:dyDescent="0.25">
      <c r="B985" s="91" t="str">
        <f>IFERROR(VLOOKUP(A985,Lookup!A:B,2,0),"")</f>
        <v/>
      </c>
      <c r="C985" s="59" t="str">
        <f>IFERROR(VLOOKUP(A985,Lookup!A:C,3,0),"")</f>
        <v/>
      </c>
      <c r="D985" s="54"/>
      <c r="E985" s="54"/>
      <c r="F985" s="54"/>
      <c r="G985" s="72"/>
      <c r="H985" s="54"/>
      <c r="I985" s="54"/>
      <c r="J985" s="106">
        <f>VLOOKUP(A985&amp;G985,Lookup!J:N,5,0)</f>
        <v>0</v>
      </c>
      <c r="K985" s="115"/>
      <c r="L985" s="115"/>
      <c r="M985" s="115"/>
      <c r="N985" s="115"/>
      <c r="O985" s="90">
        <f>IFERROR(VLOOKUP(A985&amp;G985,Lookup!J:K,2,0),"")</f>
        <v>0</v>
      </c>
      <c r="P985" s="110" t="str">
        <f t="shared" si="71"/>
        <v/>
      </c>
      <c r="Q985" s="115"/>
      <c r="R985" s="87" t="str">
        <f t="shared" si="72"/>
        <v/>
      </c>
      <c r="S985" s="87" t="str">
        <f t="shared" si="73"/>
        <v/>
      </c>
      <c r="T985" s="54"/>
      <c r="U985" s="54"/>
      <c r="V985" s="54"/>
      <c r="W985" s="54"/>
      <c r="X985" s="69" t="str">
        <f t="shared" si="70"/>
        <v>D</v>
      </c>
    </row>
    <row r="986" spans="2:24" x14ac:dyDescent="0.25">
      <c r="B986" s="91" t="str">
        <f>IFERROR(VLOOKUP(A986,Lookup!A:B,2,0),"")</f>
        <v/>
      </c>
      <c r="C986" s="59" t="str">
        <f>IFERROR(VLOOKUP(A986,Lookup!A:C,3,0),"")</f>
        <v/>
      </c>
      <c r="D986" s="54"/>
      <c r="E986" s="54"/>
      <c r="F986" s="54"/>
      <c r="G986" s="72"/>
      <c r="H986" s="54"/>
      <c r="I986" s="54"/>
      <c r="J986" s="106">
        <f>VLOOKUP(A986&amp;G986,Lookup!J:N,5,0)</f>
        <v>0</v>
      </c>
      <c r="K986" s="115"/>
      <c r="L986" s="115"/>
      <c r="M986" s="115"/>
      <c r="N986" s="115"/>
      <c r="O986" s="90">
        <f>IFERROR(VLOOKUP(A986&amp;G986,Lookup!J:K,2,0),"")</f>
        <v>0</v>
      </c>
      <c r="P986" s="110" t="str">
        <f t="shared" si="71"/>
        <v/>
      </c>
      <c r="Q986" s="115"/>
      <c r="R986" s="87" t="str">
        <f t="shared" si="72"/>
        <v/>
      </c>
      <c r="S986" s="87" t="str">
        <f t="shared" si="73"/>
        <v/>
      </c>
      <c r="T986" s="54"/>
      <c r="U986" s="54"/>
      <c r="V986" s="54"/>
      <c r="W986" s="54"/>
      <c r="X986" s="69" t="str">
        <f t="shared" si="70"/>
        <v>D</v>
      </c>
    </row>
    <row r="987" spans="2:24" x14ac:dyDescent="0.25">
      <c r="B987" s="91" t="str">
        <f>IFERROR(VLOOKUP(A987,Lookup!A:B,2,0),"")</f>
        <v/>
      </c>
      <c r="C987" s="59" t="str">
        <f>IFERROR(VLOOKUP(A987,Lookup!A:C,3,0),"")</f>
        <v/>
      </c>
      <c r="D987" s="54"/>
      <c r="E987" s="54"/>
      <c r="F987" s="54"/>
      <c r="G987" s="72"/>
      <c r="H987" s="54"/>
      <c r="I987" s="54"/>
      <c r="J987" s="106">
        <f>VLOOKUP(A987&amp;G987,Lookup!J:N,5,0)</f>
        <v>0</v>
      </c>
      <c r="K987" s="115"/>
      <c r="L987" s="115"/>
      <c r="M987" s="115"/>
      <c r="N987" s="115"/>
      <c r="O987" s="90">
        <f>IFERROR(VLOOKUP(A987&amp;G987,Lookup!J:K,2,0),"")</f>
        <v>0</v>
      </c>
      <c r="P987" s="110" t="str">
        <f t="shared" si="71"/>
        <v/>
      </c>
      <c r="Q987" s="115"/>
      <c r="R987" s="87" t="str">
        <f t="shared" si="72"/>
        <v/>
      </c>
      <c r="S987" s="87" t="str">
        <f t="shared" si="73"/>
        <v/>
      </c>
      <c r="T987" s="54"/>
      <c r="U987" s="54"/>
      <c r="V987" s="54"/>
      <c r="W987" s="54"/>
      <c r="X987" s="69" t="str">
        <f t="shared" si="70"/>
        <v>D</v>
      </c>
    </row>
    <row r="988" spans="2:24" x14ac:dyDescent="0.25">
      <c r="B988" s="91" t="str">
        <f>IFERROR(VLOOKUP(A988,Lookup!A:B,2,0),"")</f>
        <v/>
      </c>
      <c r="C988" s="59" t="str">
        <f>IFERROR(VLOOKUP(A988,Lookup!A:C,3,0),"")</f>
        <v/>
      </c>
      <c r="D988" s="54"/>
      <c r="E988" s="54"/>
      <c r="F988" s="54"/>
      <c r="G988" s="72"/>
      <c r="H988" s="54"/>
      <c r="I988" s="54"/>
      <c r="J988" s="106">
        <f>VLOOKUP(A988&amp;G988,Lookup!J:N,5,0)</f>
        <v>0</v>
      </c>
      <c r="K988" s="115"/>
      <c r="L988" s="115"/>
      <c r="M988" s="115"/>
      <c r="N988" s="115"/>
      <c r="O988" s="90">
        <f>IFERROR(VLOOKUP(A988&amp;G988,Lookup!J:K,2,0),"")</f>
        <v>0</v>
      </c>
      <c r="P988" s="110" t="str">
        <f t="shared" si="71"/>
        <v/>
      </c>
      <c r="Q988" s="115"/>
      <c r="R988" s="87" t="str">
        <f t="shared" si="72"/>
        <v/>
      </c>
      <c r="S988" s="87" t="str">
        <f t="shared" si="73"/>
        <v/>
      </c>
      <c r="T988" s="54"/>
      <c r="U988" s="54"/>
      <c r="V988" s="54"/>
      <c r="W988" s="54"/>
      <c r="X988" s="69" t="str">
        <f t="shared" si="70"/>
        <v>D</v>
      </c>
    </row>
    <row r="989" spans="2:24" x14ac:dyDescent="0.25">
      <c r="B989" s="91" t="str">
        <f>IFERROR(VLOOKUP(A989,Lookup!A:B,2,0),"")</f>
        <v/>
      </c>
      <c r="C989" s="59" t="str">
        <f>IFERROR(VLOOKUP(A989,Lookup!A:C,3,0),"")</f>
        <v/>
      </c>
      <c r="D989" s="54"/>
      <c r="E989" s="54"/>
      <c r="F989" s="54"/>
      <c r="G989" s="72"/>
      <c r="H989" s="54"/>
      <c r="I989" s="54"/>
      <c r="J989" s="106">
        <f>VLOOKUP(A989&amp;G989,Lookup!J:N,5,0)</f>
        <v>0</v>
      </c>
      <c r="K989" s="115"/>
      <c r="L989" s="115"/>
      <c r="M989" s="115"/>
      <c r="N989" s="115"/>
      <c r="O989" s="90">
        <f>IFERROR(VLOOKUP(A989&amp;G989,Lookup!J:K,2,0),"")</f>
        <v>0</v>
      </c>
      <c r="P989" s="110" t="str">
        <f t="shared" si="71"/>
        <v/>
      </c>
      <c r="Q989" s="115"/>
      <c r="R989" s="87" t="str">
        <f t="shared" si="72"/>
        <v/>
      </c>
      <c r="S989" s="87" t="str">
        <f t="shared" si="73"/>
        <v/>
      </c>
      <c r="T989" s="54"/>
      <c r="U989" s="54"/>
      <c r="V989" s="54"/>
      <c r="W989" s="54"/>
      <c r="X989" s="69" t="str">
        <f t="shared" si="70"/>
        <v>D</v>
      </c>
    </row>
    <row r="990" spans="2:24" x14ac:dyDescent="0.25">
      <c r="B990" s="91" t="str">
        <f>IFERROR(VLOOKUP(A990,Lookup!A:B,2,0),"")</f>
        <v/>
      </c>
      <c r="C990" s="59" t="str">
        <f>IFERROR(VLOOKUP(A990,Lookup!A:C,3,0),"")</f>
        <v/>
      </c>
      <c r="D990" s="54"/>
      <c r="E990" s="54"/>
      <c r="F990" s="54"/>
      <c r="G990" s="72"/>
      <c r="H990" s="54"/>
      <c r="I990" s="54"/>
      <c r="J990" s="106">
        <f>VLOOKUP(A990&amp;G990,Lookup!J:N,5,0)</f>
        <v>0</v>
      </c>
      <c r="K990" s="115"/>
      <c r="L990" s="115"/>
      <c r="M990" s="115"/>
      <c r="N990" s="115"/>
      <c r="O990" s="90">
        <f>IFERROR(VLOOKUP(A990&amp;G990,Lookup!J:K,2,0),"")</f>
        <v>0</v>
      </c>
      <c r="P990" s="110" t="str">
        <f t="shared" si="71"/>
        <v/>
      </c>
      <c r="Q990" s="115"/>
      <c r="R990" s="87" t="str">
        <f t="shared" si="72"/>
        <v/>
      </c>
      <c r="S990" s="87" t="str">
        <f t="shared" si="73"/>
        <v/>
      </c>
      <c r="T990" s="54"/>
      <c r="U990" s="54"/>
      <c r="V990" s="54"/>
      <c r="W990" s="54"/>
      <c r="X990" s="69" t="str">
        <f t="shared" si="70"/>
        <v>D</v>
      </c>
    </row>
    <row r="991" spans="2:24" x14ac:dyDescent="0.25">
      <c r="B991" s="91" t="str">
        <f>IFERROR(VLOOKUP(A991,Lookup!A:B,2,0),"")</f>
        <v/>
      </c>
      <c r="C991" s="59" t="str">
        <f>IFERROR(VLOOKUP(A991,Lookup!A:C,3,0),"")</f>
        <v/>
      </c>
      <c r="D991" s="54"/>
      <c r="E991" s="54"/>
      <c r="F991" s="54"/>
      <c r="G991" s="72"/>
      <c r="H991" s="54"/>
      <c r="I991" s="54"/>
      <c r="J991" s="106">
        <f>VLOOKUP(A991&amp;G991,Lookup!J:N,5,0)</f>
        <v>0</v>
      </c>
      <c r="K991" s="115"/>
      <c r="L991" s="115"/>
      <c r="M991" s="115"/>
      <c r="N991" s="115"/>
      <c r="O991" s="90">
        <f>IFERROR(VLOOKUP(A991&amp;G991,Lookup!J:K,2,0),"")</f>
        <v>0</v>
      </c>
      <c r="P991" s="110" t="str">
        <f t="shared" si="71"/>
        <v/>
      </c>
      <c r="Q991" s="115"/>
      <c r="R991" s="87" t="str">
        <f t="shared" si="72"/>
        <v/>
      </c>
      <c r="S991" s="87" t="str">
        <f t="shared" si="73"/>
        <v/>
      </c>
      <c r="T991" s="54"/>
      <c r="U991" s="54"/>
      <c r="V991" s="54"/>
      <c r="W991" s="54"/>
      <c r="X991" s="69" t="str">
        <f t="shared" si="70"/>
        <v>D</v>
      </c>
    </row>
    <row r="992" spans="2:24" x14ac:dyDescent="0.25">
      <c r="B992" s="91" t="str">
        <f>IFERROR(VLOOKUP(A992,Lookup!A:B,2,0),"")</f>
        <v/>
      </c>
      <c r="C992" s="59" t="str">
        <f>IFERROR(VLOOKUP(A992,Lookup!A:C,3,0),"")</f>
        <v/>
      </c>
      <c r="D992" s="54"/>
      <c r="E992" s="54"/>
      <c r="F992" s="54"/>
      <c r="G992" s="72"/>
      <c r="H992" s="54"/>
      <c r="I992" s="54"/>
      <c r="J992" s="106">
        <f>VLOOKUP(A992&amp;G992,Lookup!J:N,5,0)</f>
        <v>0</v>
      </c>
      <c r="K992" s="115"/>
      <c r="L992" s="115"/>
      <c r="M992" s="115"/>
      <c r="N992" s="115"/>
      <c r="O992" s="90">
        <f>IFERROR(VLOOKUP(A992&amp;G992,Lookup!J:K,2,0),"")</f>
        <v>0</v>
      </c>
      <c r="P992" s="110" t="str">
        <f t="shared" si="71"/>
        <v/>
      </c>
      <c r="Q992" s="115"/>
      <c r="R992" s="87" t="str">
        <f t="shared" si="72"/>
        <v/>
      </c>
      <c r="S992" s="87" t="str">
        <f t="shared" si="73"/>
        <v/>
      </c>
      <c r="T992" s="54"/>
      <c r="U992" s="54"/>
      <c r="V992" s="54"/>
      <c r="W992" s="54"/>
      <c r="X992" s="69" t="str">
        <f t="shared" si="70"/>
        <v>D</v>
      </c>
    </row>
    <row r="993" spans="2:24" x14ac:dyDescent="0.25">
      <c r="B993" s="91" t="str">
        <f>IFERROR(VLOOKUP(A993,Lookup!A:B,2,0),"")</f>
        <v/>
      </c>
      <c r="C993" s="59" t="str">
        <f>IFERROR(VLOOKUP(A993,Lookup!A:C,3,0),"")</f>
        <v/>
      </c>
      <c r="D993" s="54"/>
      <c r="E993" s="54"/>
      <c r="F993" s="54"/>
      <c r="G993" s="72"/>
      <c r="H993" s="54"/>
      <c r="I993" s="54"/>
      <c r="J993" s="106">
        <f>VLOOKUP(A993&amp;G993,Lookup!J:N,5,0)</f>
        <v>0</v>
      </c>
      <c r="K993" s="115"/>
      <c r="L993" s="115"/>
      <c r="M993" s="115"/>
      <c r="N993" s="115"/>
      <c r="O993" s="90">
        <f>IFERROR(VLOOKUP(A993&amp;G993,Lookup!J:K,2,0),"")</f>
        <v>0</v>
      </c>
      <c r="P993" s="110" t="str">
        <f t="shared" si="71"/>
        <v/>
      </c>
      <c r="Q993" s="115"/>
      <c r="R993" s="87" t="str">
        <f t="shared" si="72"/>
        <v/>
      </c>
      <c r="S993" s="87" t="str">
        <f t="shared" si="73"/>
        <v/>
      </c>
      <c r="T993" s="54"/>
      <c r="U993" s="54"/>
      <c r="V993" s="54"/>
      <c r="W993" s="54"/>
      <c r="X993" s="69" t="str">
        <f t="shared" si="70"/>
        <v>D</v>
      </c>
    </row>
    <row r="994" spans="2:24" x14ac:dyDescent="0.25">
      <c r="B994" s="91" t="str">
        <f>IFERROR(VLOOKUP(A994,Lookup!A:B,2,0),"")</f>
        <v/>
      </c>
      <c r="C994" s="59" t="str">
        <f>IFERROR(VLOOKUP(A994,Lookup!A:C,3,0),"")</f>
        <v/>
      </c>
      <c r="D994" s="54"/>
      <c r="E994" s="54"/>
      <c r="F994" s="54"/>
      <c r="G994" s="72"/>
      <c r="H994" s="54"/>
      <c r="I994" s="54"/>
      <c r="J994" s="106">
        <f>VLOOKUP(A994&amp;G994,Lookup!J:N,5,0)</f>
        <v>0</v>
      </c>
      <c r="K994" s="115"/>
      <c r="L994" s="115"/>
      <c r="M994" s="115"/>
      <c r="N994" s="115"/>
      <c r="O994" s="90">
        <f>IFERROR(VLOOKUP(A994&amp;G994,Lookup!J:K,2,0),"")</f>
        <v>0</v>
      </c>
      <c r="P994" s="110" t="str">
        <f t="shared" si="71"/>
        <v/>
      </c>
      <c r="Q994" s="115"/>
      <c r="R994" s="87" t="str">
        <f t="shared" si="72"/>
        <v/>
      </c>
      <c r="S994" s="87" t="str">
        <f t="shared" si="73"/>
        <v/>
      </c>
      <c r="T994" s="54"/>
      <c r="U994" s="54"/>
      <c r="V994" s="54"/>
      <c r="W994" s="54"/>
      <c r="X994" s="69" t="str">
        <f t="shared" si="70"/>
        <v>D</v>
      </c>
    </row>
    <row r="995" spans="2:24" x14ac:dyDescent="0.25">
      <c r="B995" s="91" t="str">
        <f>IFERROR(VLOOKUP(A995,Lookup!A:B,2,0),"")</f>
        <v/>
      </c>
      <c r="C995" s="59" t="str">
        <f>IFERROR(VLOOKUP(A995,Lookup!A:C,3,0),"")</f>
        <v/>
      </c>
      <c r="D995" s="54"/>
      <c r="E995" s="54"/>
      <c r="F995" s="54"/>
      <c r="G995" s="72"/>
      <c r="H995" s="54"/>
      <c r="I995" s="54"/>
      <c r="J995" s="106">
        <f>VLOOKUP(A995&amp;G995,Lookup!J:N,5,0)</f>
        <v>0</v>
      </c>
      <c r="K995" s="115"/>
      <c r="L995" s="115"/>
      <c r="M995" s="115"/>
      <c r="N995" s="115"/>
      <c r="O995" s="90">
        <f>IFERROR(VLOOKUP(A995&amp;G995,Lookup!J:K,2,0),"")</f>
        <v>0</v>
      </c>
      <c r="P995" s="110" t="str">
        <f t="shared" si="71"/>
        <v/>
      </c>
      <c r="Q995" s="115"/>
      <c r="R995" s="87" t="str">
        <f t="shared" si="72"/>
        <v/>
      </c>
      <c r="S995" s="87" t="str">
        <f t="shared" si="73"/>
        <v/>
      </c>
      <c r="T995" s="54"/>
      <c r="U995" s="54"/>
      <c r="V995" s="54"/>
      <c r="W995" s="54"/>
      <c r="X995" s="69" t="str">
        <f t="shared" si="70"/>
        <v>D</v>
      </c>
    </row>
    <row r="996" spans="2:24" x14ac:dyDescent="0.25">
      <c r="B996" s="91" t="str">
        <f>IFERROR(VLOOKUP(A996,Lookup!A:B,2,0),"")</f>
        <v/>
      </c>
      <c r="C996" s="59" t="str">
        <f>IFERROR(VLOOKUP(A996,Lookup!A:C,3,0),"")</f>
        <v/>
      </c>
      <c r="D996" s="54"/>
      <c r="E996" s="54"/>
      <c r="F996" s="54"/>
      <c r="G996" s="72"/>
      <c r="H996" s="54"/>
      <c r="I996" s="54"/>
      <c r="J996" s="106">
        <f>VLOOKUP(A996&amp;G996,Lookup!J:N,5,0)</f>
        <v>0</v>
      </c>
      <c r="K996" s="115"/>
      <c r="L996" s="115"/>
      <c r="M996" s="115"/>
      <c r="N996" s="115"/>
      <c r="O996" s="90">
        <f>IFERROR(VLOOKUP(A996&amp;G996,Lookup!J:K,2,0),"")</f>
        <v>0</v>
      </c>
      <c r="P996" s="110" t="str">
        <f t="shared" si="71"/>
        <v/>
      </c>
      <c r="Q996" s="115"/>
      <c r="R996" s="87" t="str">
        <f t="shared" si="72"/>
        <v/>
      </c>
      <c r="S996" s="87" t="str">
        <f t="shared" si="73"/>
        <v/>
      </c>
      <c r="T996" s="54"/>
      <c r="U996" s="54"/>
      <c r="V996" s="54"/>
      <c r="W996" s="54"/>
      <c r="X996" s="69" t="str">
        <f t="shared" si="70"/>
        <v>D</v>
      </c>
    </row>
    <row r="997" spans="2:24" x14ac:dyDescent="0.25">
      <c r="B997" s="91" t="str">
        <f>IFERROR(VLOOKUP(A997,Lookup!A:B,2,0),"")</f>
        <v/>
      </c>
      <c r="C997" s="59" t="str">
        <f>IFERROR(VLOOKUP(A997,Lookup!A:C,3,0),"")</f>
        <v/>
      </c>
      <c r="D997" s="54"/>
      <c r="E997" s="54"/>
      <c r="F997" s="54"/>
      <c r="G997" s="72"/>
      <c r="H997" s="54"/>
      <c r="I997" s="54"/>
      <c r="J997" s="106">
        <f>VLOOKUP(A997&amp;G997,Lookup!J:N,5,0)</f>
        <v>0</v>
      </c>
      <c r="K997" s="115"/>
      <c r="L997" s="115"/>
      <c r="M997" s="115"/>
      <c r="N997" s="115"/>
      <c r="O997" s="90">
        <f>IFERROR(VLOOKUP(A997&amp;G997,Lookup!J:K,2,0),"")</f>
        <v>0</v>
      </c>
      <c r="P997" s="110" t="str">
        <f t="shared" si="71"/>
        <v/>
      </c>
      <c r="Q997" s="115"/>
      <c r="R997" s="87" t="str">
        <f t="shared" si="72"/>
        <v/>
      </c>
      <c r="S997" s="87" t="str">
        <f t="shared" si="73"/>
        <v/>
      </c>
      <c r="T997" s="54"/>
      <c r="U997" s="54"/>
      <c r="V997" s="54"/>
      <c r="W997" s="54"/>
      <c r="X997" s="69" t="str">
        <f t="shared" si="70"/>
        <v>D</v>
      </c>
    </row>
    <row r="998" spans="2:24" x14ac:dyDescent="0.25">
      <c r="B998" s="91" t="str">
        <f>IFERROR(VLOOKUP(A998,Lookup!A:B,2,0),"")</f>
        <v/>
      </c>
      <c r="C998" s="59" t="str">
        <f>IFERROR(VLOOKUP(A998,Lookup!A:C,3,0),"")</f>
        <v/>
      </c>
      <c r="D998" s="54"/>
      <c r="E998" s="54"/>
      <c r="F998" s="54"/>
      <c r="G998" s="72"/>
      <c r="H998" s="54"/>
      <c r="I998" s="54"/>
      <c r="J998" s="106">
        <f>VLOOKUP(A998&amp;G998,Lookup!J:N,5,0)</f>
        <v>0</v>
      </c>
      <c r="K998" s="115"/>
      <c r="L998" s="115"/>
      <c r="M998" s="115"/>
      <c r="N998" s="115"/>
      <c r="O998" s="90">
        <f>IFERROR(VLOOKUP(A998&amp;G998,Lookup!J:K,2,0),"")</f>
        <v>0</v>
      </c>
      <c r="P998" s="110" t="str">
        <f t="shared" si="71"/>
        <v/>
      </c>
      <c r="Q998" s="115"/>
      <c r="R998" s="87" t="str">
        <f t="shared" si="72"/>
        <v/>
      </c>
      <c r="S998" s="87" t="str">
        <f t="shared" si="73"/>
        <v/>
      </c>
      <c r="T998" s="54"/>
      <c r="U998" s="54"/>
      <c r="V998" s="54"/>
      <c r="W998" s="54"/>
      <c r="X998" s="69" t="str">
        <f t="shared" si="70"/>
        <v>D</v>
      </c>
    </row>
    <row r="999" spans="2:24" x14ac:dyDescent="0.25">
      <c r="B999" s="91" t="str">
        <f>IFERROR(VLOOKUP(A999,Lookup!A:B,2,0),"")</f>
        <v/>
      </c>
      <c r="C999" s="59" t="str">
        <f>IFERROR(VLOOKUP(A999,Lookup!A:C,3,0),"")</f>
        <v/>
      </c>
      <c r="D999" s="54"/>
      <c r="E999" s="54"/>
      <c r="F999" s="54"/>
      <c r="G999" s="72"/>
      <c r="H999" s="54"/>
      <c r="I999" s="54"/>
      <c r="J999" s="106">
        <f>VLOOKUP(A999&amp;G999,Lookup!J:N,5,0)</f>
        <v>0</v>
      </c>
      <c r="K999" s="115"/>
      <c r="L999" s="115"/>
      <c r="M999" s="115"/>
      <c r="N999" s="115"/>
      <c r="O999" s="90">
        <f>IFERROR(VLOOKUP(A999&amp;G999,Lookup!J:K,2,0),"")</f>
        <v>0</v>
      </c>
      <c r="P999" s="110" t="str">
        <f t="shared" si="71"/>
        <v/>
      </c>
      <c r="Q999" s="115"/>
      <c r="R999" s="87" t="str">
        <f t="shared" si="72"/>
        <v/>
      </c>
      <c r="S999" s="87" t="str">
        <f t="shared" si="73"/>
        <v/>
      </c>
      <c r="T999" s="54"/>
      <c r="U999" s="54"/>
      <c r="V999" s="54"/>
      <c r="W999" s="54"/>
      <c r="X999" s="69" t="str">
        <f t="shared" si="70"/>
        <v>D</v>
      </c>
    </row>
    <row r="1000" spans="2:24" x14ac:dyDescent="0.25">
      <c r="B1000" s="91" t="str">
        <f>IFERROR(VLOOKUP(A1000,Lookup!A:B,2,0),"")</f>
        <v/>
      </c>
      <c r="C1000" s="59" t="str">
        <f>IFERROR(VLOOKUP(A1000,Lookup!A:C,3,0),"")</f>
        <v/>
      </c>
      <c r="D1000" s="54"/>
      <c r="E1000" s="54"/>
      <c r="F1000" s="54"/>
      <c r="G1000" s="72"/>
      <c r="H1000" s="54"/>
      <c r="I1000" s="54"/>
      <c r="J1000" s="106">
        <f>VLOOKUP(A1000&amp;G1000,Lookup!J:N,5,0)</f>
        <v>0</v>
      </c>
      <c r="K1000" s="115"/>
      <c r="L1000" s="115"/>
      <c r="M1000" s="115"/>
      <c r="N1000" s="115"/>
      <c r="O1000" s="90">
        <f>IFERROR(VLOOKUP(A1000&amp;G1000,Lookup!J:K,2,0),"")</f>
        <v>0</v>
      </c>
      <c r="P1000" s="110" t="str">
        <f t="shared" si="71"/>
        <v/>
      </c>
      <c r="Q1000" s="115"/>
      <c r="R1000" s="87" t="str">
        <f t="shared" si="72"/>
        <v/>
      </c>
      <c r="S1000" s="87" t="str">
        <f t="shared" si="73"/>
        <v/>
      </c>
      <c r="T1000" s="54"/>
      <c r="U1000" s="54"/>
      <c r="V1000" s="54"/>
      <c r="W1000" s="54"/>
      <c r="X1000" s="69" t="str">
        <f t="shared" si="70"/>
        <v>D</v>
      </c>
    </row>
    <row r="1001" spans="2:24" x14ac:dyDescent="0.25">
      <c r="B1001" s="91" t="str">
        <f>IFERROR(VLOOKUP(A1001,Lookup!A:B,2,0),"")</f>
        <v/>
      </c>
      <c r="C1001" s="59" t="str">
        <f>IFERROR(VLOOKUP(A1001,Lookup!A:C,3,0),"")</f>
        <v/>
      </c>
      <c r="D1001" s="54"/>
      <c r="E1001" s="54"/>
      <c r="F1001" s="54"/>
      <c r="G1001" s="72"/>
      <c r="H1001" s="54"/>
      <c r="I1001" s="54"/>
      <c r="J1001" s="106">
        <f>VLOOKUP(A1001&amp;G1001,Lookup!J:N,5,0)</f>
        <v>0</v>
      </c>
      <c r="K1001" s="115"/>
      <c r="L1001" s="115"/>
      <c r="M1001" s="115"/>
      <c r="N1001" s="115"/>
      <c r="O1001" s="90">
        <f>IFERROR(VLOOKUP(A1001&amp;G1001,Lookup!J:K,2,0),"")</f>
        <v>0</v>
      </c>
      <c r="P1001" s="110" t="str">
        <f t="shared" si="71"/>
        <v/>
      </c>
      <c r="Q1001" s="115"/>
      <c r="R1001" s="87" t="str">
        <f t="shared" si="72"/>
        <v/>
      </c>
      <c r="S1001" s="87" t="str">
        <f t="shared" si="73"/>
        <v/>
      </c>
      <c r="T1001" s="54"/>
      <c r="U1001" s="54"/>
      <c r="V1001" s="54"/>
      <c r="W1001" s="54"/>
      <c r="X1001" s="69" t="str">
        <f t="shared" si="70"/>
        <v>D</v>
      </c>
    </row>
    <row r="1002" spans="2:24" x14ac:dyDescent="0.25">
      <c r="B1002" s="91" t="str">
        <f>IFERROR(VLOOKUP(A1002,Lookup!A:B,2,0),"")</f>
        <v/>
      </c>
      <c r="C1002" s="59" t="str">
        <f>IFERROR(VLOOKUP(A1002,Lookup!A:C,3,0),"")</f>
        <v/>
      </c>
      <c r="D1002" s="54"/>
      <c r="E1002" s="54"/>
      <c r="F1002" s="54"/>
      <c r="G1002" s="72"/>
      <c r="H1002" s="54"/>
      <c r="I1002" s="54"/>
      <c r="J1002" s="106">
        <f>VLOOKUP(A1002&amp;G1002,Lookup!J:N,5,0)</f>
        <v>0</v>
      </c>
      <c r="K1002" s="115"/>
      <c r="L1002" s="115"/>
      <c r="M1002" s="115"/>
      <c r="N1002" s="115"/>
      <c r="O1002" s="90">
        <f>IFERROR(VLOOKUP(A1002&amp;G1002,Lookup!J:K,2,0),"")</f>
        <v>0</v>
      </c>
      <c r="P1002" s="110" t="str">
        <f t="shared" si="71"/>
        <v/>
      </c>
      <c r="Q1002" s="115"/>
      <c r="R1002" s="87" t="str">
        <f t="shared" si="72"/>
        <v/>
      </c>
      <c r="S1002" s="87" t="str">
        <f t="shared" si="73"/>
        <v/>
      </c>
      <c r="T1002" s="54"/>
      <c r="U1002" s="54"/>
      <c r="V1002" s="54"/>
      <c r="W1002" s="54"/>
      <c r="X1002" s="69" t="str">
        <f t="shared" si="70"/>
        <v>D</v>
      </c>
    </row>
    <row r="1003" spans="2:24" x14ac:dyDescent="0.25">
      <c r="B1003" s="91" t="str">
        <f>IFERROR(VLOOKUP(A1003,Lookup!A:B,2,0),"")</f>
        <v/>
      </c>
      <c r="C1003" s="59" t="str">
        <f>IFERROR(VLOOKUP(A1003,Lookup!A:C,3,0),"")</f>
        <v/>
      </c>
      <c r="D1003" s="54"/>
      <c r="E1003" s="54"/>
      <c r="F1003" s="54"/>
      <c r="G1003" s="72"/>
      <c r="H1003" s="54"/>
      <c r="I1003" s="54"/>
      <c r="J1003" s="106">
        <f>VLOOKUP(A1003&amp;G1003,Lookup!J:N,5,0)</f>
        <v>0</v>
      </c>
      <c r="K1003" s="115"/>
      <c r="L1003" s="115"/>
      <c r="M1003" s="115"/>
      <c r="N1003" s="115"/>
      <c r="O1003" s="90">
        <f>IFERROR(VLOOKUP(A1003&amp;G1003,Lookup!J:K,2,0),"")</f>
        <v>0</v>
      </c>
      <c r="P1003" s="110" t="str">
        <f t="shared" si="71"/>
        <v/>
      </c>
      <c r="Q1003" s="115"/>
      <c r="R1003" s="87" t="str">
        <f t="shared" si="72"/>
        <v/>
      </c>
      <c r="S1003" s="87" t="str">
        <f t="shared" si="73"/>
        <v/>
      </c>
      <c r="T1003" s="54"/>
      <c r="U1003" s="54"/>
      <c r="V1003" s="54"/>
      <c r="W1003" s="54"/>
      <c r="X1003" s="69" t="str">
        <f t="shared" si="70"/>
        <v>D</v>
      </c>
    </row>
    <row r="1004" spans="2:24" x14ac:dyDescent="0.25">
      <c r="B1004" s="91" t="str">
        <f>IFERROR(VLOOKUP(A1004,Lookup!A:B,2,0),"")</f>
        <v/>
      </c>
      <c r="C1004" s="59" t="str">
        <f>IFERROR(VLOOKUP(A1004,Lookup!A:C,3,0),"")</f>
        <v/>
      </c>
      <c r="D1004" s="54"/>
      <c r="E1004" s="54"/>
      <c r="F1004" s="54"/>
      <c r="G1004" s="72"/>
      <c r="H1004" s="54"/>
      <c r="I1004" s="54"/>
      <c r="J1004" s="106">
        <f>VLOOKUP(A1004&amp;G1004,Lookup!J:N,5,0)</f>
        <v>0</v>
      </c>
      <c r="K1004" s="115"/>
      <c r="L1004" s="115"/>
      <c r="M1004" s="115"/>
      <c r="N1004" s="115"/>
      <c r="O1004" s="90">
        <f>IFERROR(VLOOKUP(A1004&amp;G1004,Lookup!J:K,2,0),"")</f>
        <v>0</v>
      </c>
      <c r="P1004" s="110" t="str">
        <f t="shared" si="71"/>
        <v/>
      </c>
      <c r="Q1004" s="115"/>
      <c r="R1004" s="87" t="str">
        <f t="shared" si="72"/>
        <v/>
      </c>
      <c r="S1004" s="87" t="str">
        <f t="shared" si="73"/>
        <v/>
      </c>
      <c r="T1004" s="54"/>
      <c r="U1004" s="54"/>
      <c r="V1004" s="54"/>
      <c r="W1004" s="54"/>
      <c r="X1004" s="69" t="str">
        <f t="shared" si="70"/>
        <v>D</v>
      </c>
    </row>
    <row r="1005" spans="2:24" x14ac:dyDescent="0.25">
      <c r="B1005" s="91" t="str">
        <f>IFERROR(VLOOKUP(A1005,Lookup!A:B,2,0),"")</f>
        <v/>
      </c>
      <c r="C1005" s="59" t="str">
        <f>IFERROR(VLOOKUP(A1005,Lookup!A:C,3,0),"")</f>
        <v/>
      </c>
      <c r="D1005" s="54"/>
      <c r="E1005" s="54"/>
      <c r="F1005" s="54"/>
      <c r="G1005" s="72"/>
      <c r="H1005" s="54"/>
      <c r="I1005" s="54"/>
      <c r="J1005" s="106">
        <f>VLOOKUP(A1005&amp;G1005,Lookup!J:N,5,0)</f>
        <v>0</v>
      </c>
      <c r="K1005" s="115"/>
      <c r="L1005" s="115"/>
      <c r="M1005" s="115"/>
      <c r="N1005" s="115"/>
      <c r="O1005" s="90">
        <f>IFERROR(VLOOKUP(A1005&amp;G1005,Lookup!J:K,2,0),"")</f>
        <v>0</v>
      </c>
      <c r="P1005" s="110" t="str">
        <f t="shared" si="71"/>
        <v/>
      </c>
      <c r="Q1005" s="115"/>
      <c r="R1005" s="87" t="str">
        <f t="shared" si="72"/>
        <v/>
      </c>
      <c r="S1005" s="87" t="str">
        <f t="shared" si="73"/>
        <v/>
      </c>
      <c r="T1005" s="54"/>
      <c r="U1005" s="54"/>
      <c r="V1005" s="54"/>
      <c r="W1005" s="54"/>
      <c r="X1005" s="69" t="str">
        <f t="shared" si="70"/>
        <v>D</v>
      </c>
    </row>
    <row r="1006" spans="2:24" x14ac:dyDescent="0.25">
      <c r="B1006" s="91" t="str">
        <f>IFERROR(VLOOKUP(A1006,Lookup!A:B,2,0),"")</f>
        <v/>
      </c>
      <c r="C1006" s="59" t="str">
        <f>IFERROR(VLOOKUP(A1006,Lookup!A:C,3,0),"")</f>
        <v/>
      </c>
      <c r="D1006" s="54"/>
      <c r="E1006" s="54"/>
      <c r="F1006" s="54"/>
      <c r="G1006" s="72"/>
      <c r="H1006" s="54"/>
      <c r="I1006" s="54"/>
      <c r="J1006" s="106">
        <f>VLOOKUP(A1006&amp;G1006,Lookup!J:N,5,0)</f>
        <v>0</v>
      </c>
      <c r="K1006" s="115"/>
      <c r="L1006" s="115"/>
      <c r="M1006" s="115"/>
      <c r="N1006" s="115"/>
      <c r="O1006" s="90">
        <f>IFERROR(VLOOKUP(A1006&amp;G1006,Lookup!J:K,2,0),"")</f>
        <v>0</v>
      </c>
      <c r="P1006" s="110" t="str">
        <f t="shared" si="71"/>
        <v/>
      </c>
      <c r="Q1006" s="115"/>
      <c r="R1006" s="87" t="str">
        <f t="shared" si="72"/>
        <v/>
      </c>
      <c r="S1006" s="87" t="str">
        <f t="shared" si="73"/>
        <v/>
      </c>
      <c r="T1006" s="54"/>
      <c r="U1006" s="54"/>
      <c r="V1006" s="54"/>
      <c r="W1006" s="54"/>
      <c r="X1006" s="69" t="str">
        <f t="shared" si="70"/>
        <v>D</v>
      </c>
    </row>
    <row r="1007" spans="2:24" x14ac:dyDescent="0.25">
      <c r="B1007" s="91" t="str">
        <f>IFERROR(VLOOKUP(A1007,Lookup!A:B,2,0),"")</f>
        <v/>
      </c>
      <c r="C1007" s="59" t="str">
        <f>IFERROR(VLOOKUP(A1007,Lookup!A:C,3,0),"")</f>
        <v/>
      </c>
      <c r="D1007" s="54"/>
      <c r="E1007" s="54"/>
      <c r="F1007" s="54"/>
      <c r="G1007" s="72"/>
      <c r="H1007" s="54"/>
      <c r="I1007" s="54"/>
      <c r="J1007" s="106">
        <f>VLOOKUP(A1007&amp;G1007,Lookup!J:N,5,0)</f>
        <v>0</v>
      </c>
      <c r="K1007" s="115"/>
      <c r="L1007" s="115"/>
      <c r="M1007" s="115"/>
      <c r="N1007" s="115"/>
      <c r="O1007" s="90">
        <f>IFERROR(VLOOKUP(A1007&amp;G1007,Lookup!J:K,2,0),"")</f>
        <v>0</v>
      </c>
      <c r="P1007" s="110" t="str">
        <f t="shared" si="71"/>
        <v/>
      </c>
      <c r="Q1007" s="115"/>
      <c r="R1007" s="87" t="str">
        <f t="shared" si="72"/>
        <v/>
      </c>
      <c r="S1007" s="87" t="str">
        <f t="shared" si="73"/>
        <v/>
      </c>
      <c r="T1007" s="54"/>
      <c r="U1007" s="54"/>
      <c r="V1007" s="54"/>
      <c r="W1007" s="54"/>
      <c r="X1007" s="69" t="str">
        <f t="shared" si="70"/>
        <v>D</v>
      </c>
    </row>
    <row r="1008" spans="2:24" x14ac:dyDescent="0.25">
      <c r="B1008" s="91" t="str">
        <f>IFERROR(VLOOKUP(A1008,Lookup!A:B,2,0),"")</f>
        <v/>
      </c>
      <c r="C1008" s="59" t="str">
        <f>IFERROR(VLOOKUP(A1008,Lookup!A:C,3,0),"")</f>
        <v/>
      </c>
      <c r="D1008" s="54"/>
      <c r="E1008" s="54"/>
      <c r="F1008" s="54"/>
      <c r="G1008" s="72"/>
      <c r="H1008" s="54"/>
      <c r="I1008" s="54"/>
      <c r="J1008" s="106">
        <f>VLOOKUP(A1008&amp;G1008,Lookup!J:N,5,0)</f>
        <v>0</v>
      </c>
      <c r="K1008" s="115"/>
      <c r="L1008" s="115"/>
      <c r="M1008" s="115"/>
      <c r="N1008" s="115"/>
      <c r="O1008" s="90">
        <f>IFERROR(VLOOKUP(A1008&amp;G1008,Lookup!J:K,2,0),"")</f>
        <v>0</v>
      </c>
      <c r="P1008" s="110" t="str">
        <f t="shared" si="71"/>
        <v/>
      </c>
      <c r="Q1008" s="115"/>
      <c r="R1008" s="87" t="str">
        <f t="shared" si="72"/>
        <v/>
      </c>
      <c r="S1008" s="87" t="str">
        <f t="shared" si="73"/>
        <v/>
      </c>
      <c r="T1008" s="54"/>
      <c r="U1008" s="54"/>
      <c r="V1008" s="54"/>
      <c r="W1008" s="54"/>
      <c r="X1008" s="69" t="str">
        <f t="shared" si="70"/>
        <v>D</v>
      </c>
    </row>
    <row r="1009" spans="2:24" x14ac:dyDescent="0.25">
      <c r="B1009" s="91" t="str">
        <f>IFERROR(VLOOKUP(A1009,Lookup!A:B,2,0),"")</f>
        <v/>
      </c>
      <c r="C1009" s="59" t="str">
        <f>IFERROR(VLOOKUP(A1009,Lookup!A:C,3,0),"")</f>
        <v/>
      </c>
      <c r="D1009" s="54"/>
      <c r="E1009" s="54"/>
      <c r="F1009" s="54"/>
      <c r="G1009" s="72"/>
      <c r="H1009" s="54"/>
      <c r="I1009" s="54"/>
      <c r="J1009" s="106">
        <f>VLOOKUP(A1009&amp;G1009,Lookup!J:N,5,0)</f>
        <v>0</v>
      </c>
      <c r="K1009" s="115"/>
      <c r="L1009" s="115"/>
      <c r="M1009" s="115"/>
      <c r="N1009" s="115"/>
      <c r="O1009" s="90">
        <f>IFERROR(VLOOKUP(A1009&amp;G1009,Lookup!J:K,2,0),"")</f>
        <v>0</v>
      </c>
      <c r="P1009" s="110" t="str">
        <f t="shared" si="71"/>
        <v/>
      </c>
      <c r="Q1009" s="115"/>
      <c r="R1009" s="87" t="str">
        <f t="shared" si="72"/>
        <v/>
      </c>
      <c r="S1009" s="87" t="str">
        <f t="shared" si="73"/>
        <v/>
      </c>
      <c r="T1009" s="54"/>
      <c r="U1009" s="54"/>
      <c r="V1009" s="54"/>
      <c r="W1009" s="54"/>
      <c r="X1009" s="69" t="str">
        <f t="shared" si="70"/>
        <v>D</v>
      </c>
    </row>
    <row r="1010" spans="2:24" x14ac:dyDescent="0.25">
      <c r="B1010" s="91" t="str">
        <f>IFERROR(VLOOKUP(A1010,Lookup!A:B,2,0),"")</f>
        <v/>
      </c>
      <c r="C1010" s="59" t="str">
        <f>IFERROR(VLOOKUP(A1010,Lookup!A:C,3,0),"")</f>
        <v/>
      </c>
      <c r="D1010" s="54"/>
      <c r="E1010" s="54"/>
      <c r="F1010" s="54"/>
      <c r="G1010" s="72"/>
      <c r="H1010" s="54"/>
      <c r="I1010" s="54"/>
      <c r="J1010" s="106">
        <f>VLOOKUP(A1010&amp;G1010,Lookup!J:N,5,0)</f>
        <v>0</v>
      </c>
      <c r="K1010" s="115"/>
      <c r="L1010" s="115"/>
      <c r="M1010" s="115"/>
      <c r="N1010" s="115"/>
      <c r="O1010" s="90">
        <f>IFERROR(VLOOKUP(A1010&amp;G1010,Lookup!J:K,2,0),"")</f>
        <v>0</v>
      </c>
      <c r="P1010" s="110" t="str">
        <f t="shared" si="71"/>
        <v/>
      </c>
      <c r="Q1010" s="115"/>
      <c r="R1010" s="87" t="str">
        <f t="shared" si="72"/>
        <v/>
      </c>
      <c r="S1010" s="87" t="str">
        <f t="shared" si="73"/>
        <v/>
      </c>
      <c r="T1010" s="54"/>
      <c r="U1010" s="54"/>
      <c r="V1010" s="54"/>
      <c r="W1010" s="54"/>
      <c r="X1010" s="69" t="str">
        <f t="shared" si="70"/>
        <v>D</v>
      </c>
    </row>
    <row r="1011" spans="2:24" x14ac:dyDescent="0.25">
      <c r="B1011" s="91" t="str">
        <f>IFERROR(VLOOKUP(A1011,Lookup!A:B,2,0),"")</f>
        <v/>
      </c>
      <c r="C1011" s="59" t="str">
        <f>IFERROR(VLOOKUP(A1011,Lookup!A:C,3,0),"")</f>
        <v/>
      </c>
      <c r="D1011" s="54"/>
      <c r="E1011" s="54"/>
      <c r="F1011" s="54"/>
      <c r="G1011" s="72"/>
      <c r="H1011" s="54"/>
      <c r="I1011" s="54"/>
      <c r="J1011" s="106">
        <f>VLOOKUP(A1011&amp;G1011,Lookup!J:N,5,0)</f>
        <v>0</v>
      </c>
      <c r="K1011" s="115"/>
      <c r="L1011" s="115"/>
      <c r="M1011" s="115"/>
      <c r="N1011" s="115"/>
      <c r="O1011" s="90">
        <f>IFERROR(VLOOKUP(A1011&amp;G1011,Lookup!J:K,2,0),"")</f>
        <v>0</v>
      </c>
      <c r="P1011" s="110" t="str">
        <f t="shared" si="71"/>
        <v/>
      </c>
      <c r="Q1011" s="115"/>
      <c r="R1011" s="87" t="str">
        <f t="shared" si="72"/>
        <v/>
      </c>
      <c r="S1011" s="87" t="str">
        <f t="shared" si="73"/>
        <v/>
      </c>
      <c r="T1011" s="54"/>
      <c r="U1011" s="54"/>
      <c r="V1011" s="54"/>
      <c r="W1011" s="54"/>
      <c r="X1011" s="69" t="str">
        <f t="shared" si="70"/>
        <v>D</v>
      </c>
    </row>
    <row r="1012" spans="2:24" x14ac:dyDescent="0.25">
      <c r="B1012" s="91" t="str">
        <f>IFERROR(VLOOKUP(A1012,Lookup!A:B,2,0),"")</f>
        <v/>
      </c>
      <c r="C1012" s="59" t="str">
        <f>IFERROR(VLOOKUP(A1012,Lookup!A:C,3,0),"")</f>
        <v/>
      </c>
      <c r="D1012" s="54"/>
      <c r="E1012" s="54"/>
      <c r="F1012" s="54"/>
      <c r="G1012" s="72"/>
      <c r="H1012" s="54"/>
      <c r="I1012" s="54"/>
      <c r="J1012" s="106">
        <f>VLOOKUP(A1012&amp;G1012,Lookup!J:N,5,0)</f>
        <v>0</v>
      </c>
      <c r="K1012" s="115"/>
      <c r="L1012" s="115"/>
      <c r="M1012" s="115"/>
      <c r="N1012" s="115"/>
      <c r="O1012" s="90">
        <f>IFERROR(VLOOKUP(A1012&amp;G1012,Lookup!J:K,2,0),"")</f>
        <v>0</v>
      </c>
      <c r="P1012" s="110" t="str">
        <f t="shared" si="71"/>
        <v/>
      </c>
      <c r="Q1012" s="115"/>
      <c r="R1012" s="87" t="str">
        <f t="shared" si="72"/>
        <v/>
      </c>
      <c r="S1012" s="87" t="str">
        <f t="shared" si="73"/>
        <v/>
      </c>
      <c r="T1012" s="54"/>
      <c r="U1012" s="54"/>
      <c r="V1012" s="54"/>
      <c r="W1012" s="54"/>
      <c r="X1012" s="69" t="str">
        <f t="shared" si="70"/>
        <v>D</v>
      </c>
    </row>
    <row r="1013" spans="2:24" x14ac:dyDescent="0.25">
      <c r="B1013" s="91" t="str">
        <f>IFERROR(VLOOKUP(A1013,Lookup!A:B,2,0),"")</f>
        <v/>
      </c>
      <c r="C1013" s="59" t="str">
        <f>IFERROR(VLOOKUP(A1013,Lookup!A:C,3,0),"")</f>
        <v/>
      </c>
      <c r="D1013" s="54"/>
      <c r="E1013" s="54"/>
      <c r="F1013" s="54"/>
      <c r="G1013" s="72"/>
      <c r="H1013" s="54"/>
      <c r="I1013" s="54"/>
      <c r="J1013" s="106">
        <f>VLOOKUP(A1013&amp;G1013,Lookup!J:N,5,0)</f>
        <v>0</v>
      </c>
      <c r="K1013" s="115"/>
      <c r="L1013" s="115"/>
      <c r="M1013" s="115"/>
      <c r="N1013" s="115"/>
      <c r="O1013" s="90">
        <f>IFERROR(VLOOKUP(A1013&amp;G1013,Lookup!J:K,2,0),"")</f>
        <v>0</v>
      </c>
      <c r="P1013" s="110" t="str">
        <f t="shared" si="71"/>
        <v/>
      </c>
      <c r="Q1013" s="115"/>
      <c r="R1013" s="87" t="str">
        <f t="shared" si="72"/>
        <v/>
      </c>
      <c r="S1013" s="87" t="str">
        <f t="shared" si="73"/>
        <v/>
      </c>
      <c r="T1013" s="54"/>
      <c r="U1013" s="54"/>
      <c r="V1013" s="54"/>
      <c r="W1013" s="54"/>
      <c r="X1013" s="69" t="str">
        <f t="shared" si="70"/>
        <v>D</v>
      </c>
    </row>
    <row r="1014" spans="2:24" x14ac:dyDescent="0.25">
      <c r="B1014" s="91" t="str">
        <f>IFERROR(VLOOKUP(A1014,Lookup!A:B,2,0),"")</f>
        <v/>
      </c>
      <c r="C1014" s="59" t="str">
        <f>IFERROR(VLOOKUP(A1014,Lookup!A:C,3,0),"")</f>
        <v/>
      </c>
      <c r="D1014" s="54"/>
      <c r="E1014" s="54"/>
      <c r="F1014" s="54"/>
      <c r="G1014" s="72"/>
      <c r="H1014" s="54"/>
      <c r="I1014" s="54"/>
      <c r="J1014" s="106">
        <f>VLOOKUP(A1014&amp;G1014,Lookup!J:N,5,0)</f>
        <v>0</v>
      </c>
      <c r="K1014" s="115"/>
      <c r="L1014" s="115"/>
      <c r="M1014" s="115"/>
      <c r="N1014" s="115"/>
      <c r="O1014" s="90">
        <f>IFERROR(VLOOKUP(A1014&amp;G1014,Lookup!J:K,2,0),"")</f>
        <v>0</v>
      </c>
      <c r="P1014" s="110" t="str">
        <f t="shared" si="71"/>
        <v/>
      </c>
      <c r="Q1014" s="115"/>
      <c r="R1014" s="87" t="str">
        <f t="shared" si="72"/>
        <v/>
      </c>
      <c r="S1014" s="87" t="str">
        <f t="shared" si="73"/>
        <v/>
      </c>
      <c r="T1014" s="54"/>
      <c r="U1014" s="54"/>
      <c r="V1014" s="54"/>
      <c r="W1014" s="54"/>
      <c r="X1014" s="69" t="str">
        <f t="shared" si="70"/>
        <v>D</v>
      </c>
    </row>
    <row r="1015" spans="2:24" x14ac:dyDescent="0.25">
      <c r="B1015" s="91" t="str">
        <f>IFERROR(VLOOKUP(A1015,Lookup!A:B,2,0),"")</f>
        <v/>
      </c>
      <c r="C1015" s="59" t="str">
        <f>IFERROR(VLOOKUP(A1015,Lookup!A:C,3,0),"")</f>
        <v/>
      </c>
      <c r="D1015" s="54"/>
      <c r="E1015" s="54"/>
      <c r="F1015" s="54"/>
      <c r="G1015" s="72"/>
      <c r="H1015" s="54"/>
      <c r="I1015" s="54"/>
      <c r="J1015" s="106">
        <f>VLOOKUP(A1015&amp;G1015,Lookup!J:N,5,0)</f>
        <v>0</v>
      </c>
      <c r="K1015" s="115"/>
      <c r="L1015" s="115"/>
      <c r="M1015" s="115"/>
      <c r="N1015" s="115"/>
      <c r="O1015" s="90">
        <f>IFERROR(VLOOKUP(A1015&amp;G1015,Lookup!J:K,2,0),"")</f>
        <v>0</v>
      </c>
      <c r="P1015" s="110" t="str">
        <f t="shared" si="71"/>
        <v/>
      </c>
      <c r="Q1015" s="115"/>
      <c r="R1015" s="87" t="str">
        <f t="shared" si="72"/>
        <v/>
      </c>
      <c r="S1015" s="87" t="str">
        <f t="shared" si="73"/>
        <v/>
      </c>
      <c r="T1015" s="54"/>
      <c r="U1015" s="54"/>
      <c r="V1015" s="54"/>
      <c r="W1015" s="54"/>
      <c r="X1015" s="69" t="str">
        <f t="shared" si="70"/>
        <v>D</v>
      </c>
    </row>
    <row r="1016" spans="2:24" x14ac:dyDescent="0.25">
      <c r="B1016" s="91" t="str">
        <f>IFERROR(VLOOKUP(A1016,Lookup!A:B,2,0),"")</f>
        <v/>
      </c>
      <c r="C1016" s="59" t="str">
        <f>IFERROR(VLOOKUP(A1016,Lookup!A:C,3,0),"")</f>
        <v/>
      </c>
      <c r="D1016" s="54"/>
      <c r="E1016" s="54"/>
      <c r="F1016" s="54"/>
      <c r="G1016" s="72"/>
      <c r="H1016" s="54"/>
      <c r="I1016" s="54"/>
      <c r="J1016" s="106">
        <f>VLOOKUP(A1016&amp;G1016,Lookup!J:N,5,0)</f>
        <v>0</v>
      </c>
      <c r="K1016" s="115"/>
      <c r="L1016" s="115"/>
      <c r="M1016" s="115"/>
      <c r="N1016" s="115"/>
      <c r="O1016" s="90">
        <f>IFERROR(VLOOKUP(A1016&amp;G1016,Lookup!J:K,2,0),"")</f>
        <v>0</v>
      </c>
      <c r="P1016" s="110" t="str">
        <f t="shared" si="71"/>
        <v/>
      </c>
      <c r="Q1016" s="115"/>
      <c r="R1016" s="87" t="str">
        <f t="shared" si="72"/>
        <v/>
      </c>
      <c r="S1016" s="87" t="str">
        <f t="shared" si="73"/>
        <v/>
      </c>
      <c r="T1016" s="54"/>
      <c r="U1016" s="54"/>
      <c r="V1016" s="54"/>
      <c r="W1016" s="54"/>
      <c r="X1016" s="69" t="str">
        <f t="shared" si="70"/>
        <v>D</v>
      </c>
    </row>
    <row r="1017" spans="2:24" x14ac:dyDescent="0.25">
      <c r="B1017" s="91" t="str">
        <f>IFERROR(VLOOKUP(A1017,Lookup!A:B,2,0),"")</f>
        <v/>
      </c>
      <c r="C1017" s="59" t="str">
        <f>IFERROR(VLOOKUP(A1017,Lookup!A:C,3,0),"")</f>
        <v/>
      </c>
      <c r="D1017" s="54"/>
      <c r="E1017" s="54"/>
      <c r="F1017" s="54"/>
      <c r="G1017" s="72"/>
      <c r="H1017" s="54"/>
      <c r="I1017" s="54"/>
      <c r="J1017" s="106">
        <f>VLOOKUP(A1017&amp;G1017,Lookup!J:N,5,0)</f>
        <v>0</v>
      </c>
      <c r="K1017" s="115"/>
      <c r="L1017" s="115"/>
      <c r="M1017" s="115"/>
      <c r="N1017" s="115"/>
      <c r="O1017" s="90">
        <f>IFERROR(VLOOKUP(A1017&amp;G1017,Lookup!J:K,2,0),"")</f>
        <v>0</v>
      </c>
      <c r="P1017" s="110" t="str">
        <f t="shared" si="71"/>
        <v/>
      </c>
      <c r="Q1017" s="115"/>
      <c r="R1017" s="87" t="str">
        <f t="shared" si="72"/>
        <v/>
      </c>
      <c r="S1017" s="87" t="str">
        <f t="shared" si="73"/>
        <v/>
      </c>
      <c r="T1017" s="54"/>
      <c r="U1017" s="54"/>
      <c r="V1017" s="54"/>
      <c r="W1017" s="54"/>
      <c r="X1017" s="69" t="str">
        <f t="shared" si="70"/>
        <v>D</v>
      </c>
    </row>
    <row r="1018" spans="2:24" x14ac:dyDescent="0.25">
      <c r="B1018" s="91" t="str">
        <f>IFERROR(VLOOKUP(A1018,Lookup!A:B,2,0),"")</f>
        <v/>
      </c>
      <c r="C1018" s="59" t="str">
        <f>IFERROR(VLOOKUP(A1018,Lookup!A:C,3,0),"")</f>
        <v/>
      </c>
      <c r="D1018" s="54"/>
      <c r="E1018" s="54"/>
      <c r="F1018" s="54"/>
      <c r="G1018" s="72"/>
      <c r="H1018" s="54"/>
      <c r="I1018" s="54"/>
      <c r="J1018" s="106">
        <f>VLOOKUP(A1018&amp;G1018,Lookup!J:N,5,0)</f>
        <v>0</v>
      </c>
      <c r="K1018" s="115"/>
      <c r="L1018" s="115"/>
      <c r="M1018" s="115"/>
      <c r="N1018" s="115"/>
      <c r="O1018" s="90">
        <f>IFERROR(VLOOKUP(A1018&amp;G1018,Lookup!J:K,2,0),"")</f>
        <v>0</v>
      </c>
      <c r="P1018" s="110" t="str">
        <f t="shared" si="71"/>
        <v/>
      </c>
      <c r="Q1018" s="115"/>
      <c r="R1018" s="87" t="str">
        <f t="shared" si="72"/>
        <v/>
      </c>
      <c r="S1018" s="87" t="str">
        <f t="shared" si="73"/>
        <v/>
      </c>
      <c r="T1018" s="54"/>
      <c r="U1018" s="54"/>
      <c r="V1018" s="54"/>
      <c r="W1018" s="54"/>
      <c r="X1018" s="69" t="str">
        <f t="shared" si="70"/>
        <v>D</v>
      </c>
    </row>
    <row r="1019" spans="2:24" x14ac:dyDescent="0.25">
      <c r="B1019" s="91" t="str">
        <f>IFERROR(VLOOKUP(A1019,Lookup!A:B,2,0),"")</f>
        <v/>
      </c>
      <c r="C1019" s="59" t="str">
        <f>IFERROR(VLOOKUP(A1019,Lookup!A:C,3,0),"")</f>
        <v/>
      </c>
      <c r="D1019" s="54"/>
      <c r="E1019" s="54"/>
      <c r="F1019" s="54"/>
      <c r="G1019" s="72"/>
      <c r="H1019" s="54"/>
      <c r="I1019" s="54"/>
      <c r="J1019" s="106">
        <f>VLOOKUP(A1019&amp;G1019,Lookup!J:N,5,0)</f>
        <v>0</v>
      </c>
      <c r="K1019" s="115"/>
      <c r="L1019" s="115"/>
      <c r="M1019" s="115"/>
      <c r="N1019" s="115"/>
      <c r="O1019" s="90">
        <f>IFERROR(VLOOKUP(A1019&amp;G1019,Lookup!J:K,2,0),"")</f>
        <v>0</v>
      </c>
      <c r="P1019" s="110" t="str">
        <f t="shared" si="71"/>
        <v/>
      </c>
      <c r="Q1019" s="115"/>
      <c r="R1019" s="87" t="str">
        <f t="shared" si="72"/>
        <v/>
      </c>
      <c r="S1019" s="87" t="str">
        <f t="shared" si="73"/>
        <v/>
      </c>
      <c r="T1019" s="54"/>
      <c r="U1019" s="54"/>
      <c r="V1019" s="54"/>
      <c r="W1019" s="54"/>
      <c r="X1019" s="69" t="str">
        <f t="shared" si="70"/>
        <v>D</v>
      </c>
    </row>
    <row r="1020" spans="2:24" x14ac:dyDescent="0.25">
      <c r="B1020" s="91" t="str">
        <f>IFERROR(VLOOKUP(A1020,Lookup!A:B,2,0),"")</f>
        <v/>
      </c>
      <c r="C1020" s="59" t="str">
        <f>IFERROR(VLOOKUP(A1020,Lookup!A:C,3,0),"")</f>
        <v/>
      </c>
      <c r="D1020" s="54"/>
      <c r="E1020" s="54"/>
      <c r="F1020" s="54"/>
      <c r="G1020" s="72"/>
      <c r="H1020" s="54"/>
      <c r="I1020" s="54"/>
      <c r="J1020" s="106">
        <f>VLOOKUP(A1020&amp;G1020,Lookup!J:N,5,0)</f>
        <v>0</v>
      </c>
      <c r="K1020" s="115"/>
      <c r="L1020" s="115"/>
      <c r="M1020" s="115"/>
      <c r="N1020" s="115"/>
      <c r="O1020" s="90">
        <f>IFERROR(VLOOKUP(A1020&amp;G1020,Lookup!J:K,2,0),"")</f>
        <v>0</v>
      </c>
      <c r="P1020" s="110" t="str">
        <f t="shared" si="71"/>
        <v/>
      </c>
      <c r="Q1020" s="115"/>
      <c r="R1020" s="87" t="str">
        <f t="shared" si="72"/>
        <v/>
      </c>
      <c r="S1020" s="87" t="str">
        <f t="shared" si="73"/>
        <v/>
      </c>
      <c r="T1020" s="54"/>
      <c r="U1020" s="54"/>
      <c r="V1020" s="54"/>
      <c r="W1020" s="54"/>
      <c r="X1020" s="69" t="str">
        <f t="shared" si="70"/>
        <v>D</v>
      </c>
    </row>
    <row r="1021" spans="2:24" x14ac:dyDescent="0.25">
      <c r="B1021" s="91" t="str">
        <f>IFERROR(VLOOKUP(A1021,Lookup!A:B,2,0),"")</f>
        <v/>
      </c>
      <c r="C1021" s="59" t="str">
        <f>IFERROR(VLOOKUP(A1021,Lookup!A:C,3,0),"")</f>
        <v/>
      </c>
      <c r="D1021" s="54"/>
      <c r="E1021" s="54"/>
      <c r="F1021" s="54"/>
      <c r="G1021" s="72"/>
      <c r="H1021" s="54"/>
      <c r="I1021" s="54"/>
      <c r="J1021" s="106">
        <f>VLOOKUP(A1021&amp;G1021,Lookup!J:N,5,0)</f>
        <v>0</v>
      </c>
      <c r="K1021" s="115"/>
      <c r="L1021" s="115"/>
      <c r="M1021" s="115"/>
      <c r="N1021" s="115"/>
      <c r="O1021" s="90">
        <f>IFERROR(VLOOKUP(A1021&amp;G1021,Lookup!J:K,2,0),"")</f>
        <v>0</v>
      </c>
      <c r="P1021" s="110" t="str">
        <f t="shared" si="71"/>
        <v/>
      </c>
      <c r="Q1021" s="115"/>
      <c r="R1021" s="87" t="str">
        <f t="shared" si="72"/>
        <v/>
      </c>
      <c r="S1021" s="87" t="str">
        <f t="shared" si="73"/>
        <v/>
      </c>
      <c r="T1021" s="54"/>
      <c r="U1021" s="54"/>
      <c r="V1021" s="54"/>
      <c r="W1021" s="54"/>
      <c r="X1021" s="69" t="str">
        <f t="shared" si="70"/>
        <v>D</v>
      </c>
    </row>
    <row r="1022" spans="2:24" x14ac:dyDescent="0.25">
      <c r="B1022" s="91" t="str">
        <f>IFERROR(VLOOKUP(A1022,Lookup!A:B,2,0),"")</f>
        <v/>
      </c>
      <c r="C1022" s="59" t="str">
        <f>IFERROR(VLOOKUP(A1022,Lookup!A:C,3,0),"")</f>
        <v/>
      </c>
      <c r="D1022" s="54"/>
      <c r="E1022" s="54"/>
      <c r="F1022" s="54"/>
      <c r="G1022" s="72"/>
      <c r="H1022" s="54"/>
      <c r="I1022" s="54"/>
      <c r="J1022" s="106">
        <f>VLOOKUP(A1022&amp;G1022,Lookup!J:N,5,0)</f>
        <v>0</v>
      </c>
      <c r="K1022" s="115"/>
      <c r="L1022" s="115"/>
      <c r="M1022" s="115"/>
      <c r="N1022" s="115"/>
      <c r="O1022" s="90">
        <f>IFERROR(VLOOKUP(A1022&amp;G1022,Lookup!J:K,2,0),"")</f>
        <v>0</v>
      </c>
      <c r="P1022" s="110" t="str">
        <f t="shared" si="71"/>
        <v/>
      </c>
      <c r="Q1022" s="115"/>
      <c r="R1022" s="87" t="str">
        <f t="shared" si="72"/>
        <v/>
      </c>
      <c r="S1022" s="87" t="str">
        <f t="shared" si="73"/>
        <v/>
      </c>
      <c r="T1022" s="54"/>
      <c r="U1022" s="54"/>
      <c r="V1022" s="54"/>
      <c r="W1022" s="54"/>
      <c r="X1022" s="69" t="str">
        <f t="shared" si="70"/>
        <v>D</v>
      </c>
    </row>
    <row r="1023" spans="2:24" x14ac:dyDescent="0.25">
      <c r="B1023" s="91" t="str">
        <f>IFERROR(VLOOKUP(A1023,Lookup!A:B,2,0),"")</f>
        <v/>
      </c>
      <c r="C1023" s="59" t="str">
        <f>IFERROR(VLOOKUP(A1023,Lookup!A:C,3,0),"")</f>
        <v/>
      </c>
      <c r="D1023" s="54"/>
      <c r="E1023" s="54"/>
      <c r="F1023" s="54"/>
      <c r="G1023" s="72"/>
      <c r="H1023" s="54"/>
      <c r="I1023" s="54"/>
      <c r="J1023" s="106">
        <f>VLOOKUP(A1023&amp;G1023,Lookup!J:N,5,0)</f>
        <v>0</v>
      </c>
      <c r="K1023" s="115"/>
      <c r="L1023" s="115"/>
      <c r="M1023" s="115"/>
      <c r="N1023" s="115"/>
      <c r="O1023" s="90">
        <f>IFERROR(VLOOKUP(A1023&amp;G1023,Lookup!J:K,2,0),"")</f>
        <v>0</v>
      </c>
      <c r="P1023" s="110" t="str">
        <f t="shared" si="71"/>
        <v/>
      </c>
      <c r="Q1023" s="115"/>
      <c r="R1023" s="87" t="str">
        <f t="shared" si="72"/>
        <v/>
      </c>
      <c r="S1023" s="87" t="str">
        <f t="shared" si="73"/>
        <v/>
      </c>
      <c r="T1023" s="54"/>
      <c r="U1023" s="54"/>
      <c r="V1023" s="54"/>
      <c r="W1023" s="54"/>
      <c r="X1023" s="69" t="str">
        <f t="shared" si="70"/>
        <v>D</v>
      </c>
    </row>
    <row r="1024" spans="2:24" x14ac:dyDescent="0.25">
      <c r="B1024" s="91" t="str">
        <f>IFERROR(VLOOKUP(A1024,Lookup!A:B,2,0),"")</f>
        <v/>
      </c>
      <c r="C1024" s="59" t="str">
        <f>IFERROR(VLOOKUP(A1024,Lookup!A:C,3,0),"")</f>
        <v/>
      </c>
      <c r="D1024" s="54"/>
      <c r="E1024" s="54"/>
      <c r="F1024" s="54"/>
      <c r="G1024" s="72"/>
      <c r="H1024" s="54"/>
      <c r="I1024" s="54"/>
      <c r="J1024" s="106">
        <f>VLOOKUP(A1024&amp;G1024,Lookup!J:N,5,0)</f>
        <v>0</v>
      </c>
      <c r="K1024" s="115"/>
      <c r="L1024" s="115"/>
      <c r="M1024" s="115"/>
      <c r="N1024" s="115"/>
      <c r="O1024" s="90">
        <f>IFERROR(VLOOKUP(A1024&amp;G1024,Lookup!J:K,2,0),"")</f>
        <v>0</v>
      </c>
      <c r="P1024" s="110" t="str">
        <f t="shared" si="71"/>
        <v/>
      </c>
      <c r="Q1024" s="115"/>
      <c r="R1024" s="87" t="str">
        <f t="shared" si="72"/>
        <v/>
      </c>
      <c r="S1024" s="87" t="str">
        <f t="shared" si="73"/>
        <v/>
      </c>
      <c r="T1024" s="54"/>
      <c r="U1024" s="54"/>
      <c r="V1024" s="54"/>
      <c r="W1024" s="54"/>
      <c r="X1024" s="69" t="str">
        <f t="shared" si="70"/>
        <v>D</v>
      </c>
    </row>
    <row r="1025" spans="2:24" x14ac:dyDescent="0.25">
      <c r="B1025" s="91" t="str">
        <f>IFERROR(VLOOKUP(A1025,Lookup!A:B,2,0),"")</f>
        <v/>
      </c>
      <c r="C1025" s="59" t="str">
        <f>IFERROR(VLOOKUP(A1025,Lookup!A:C,3,0),"")</f>
        <v/>
      </c>
      <c r="D1025" s="54"/>
      <c r="E1025" s="54"/>
      <c r="F1025" s="54"/>
      <c r="G1025" s="72"/>
      <c r="H1025" s="54"/>
      <c r="I1025" s="54"/>
      <c r="J1025" s="106">
        <f>VLOOKUP(A1025&amp;G1025,Lookup!J:N,5,0)</f>
        <v>0</v>
      </c>
      <c r="K1025" s="115"/>
      <c r="L1025" s="115"/>
      <c r="M1025" s="115"/>
      <c r="N1025" s="115"/>
      <c r="O1025" s="90">
        <f>IFERROR(VLOOKUP(A1025&amp;G1025,Lookup!J:K,2,0),"")</f>
        <v>0</v>
      </c>
      <c r="P1025" s="110" t="str">
        <f t="shared" si="71"/>
        <v/>
      </c>
      <c r="Q1025" s="115"/>
      <c r="R1025" s="87" t="str">
        <f t="shared" si="72"/>
        <v/>
      </c>
      <c r="S1025" s="87" t="str">
        <f t="shared" si="73"/>
        <v/>
      </c>
      <c r="T1025" s="54"/>
      <c r="U1025" s="54"/>
      <c r="V1025" s="54"/>
      <c r="W1025" s="54"/>
      <c r="X1025" s="69" t="str">
        <f t="shared" ref="X1025:X1088" si="74">IF(I1025="SET","A",IF(I1025="FREQ","C",IF(I1025="","D","B")))</f>
        <v>D</v>
      </c>
    </row>
    <row r="1026" spans="2:24" x14ac:dyDescent="0.25">
      <c r="B1026" s="91" t="str">
        <f>IFERROR(VLOOKUP(A1026,Lookup!A:B,2,0),"")</f>
        <v/>
      </c>
      <c r="C1026" s="59" t="str">
        <f>IFERROR(VLOOKUP(A1026,Lookup!A:C,3,0),"")</f>
        <v/>
      </c>
      <c r="D1026" s="54"/>
      <c r="E1026" s="54"/>
      <c r="F1026" s="54"/>
      <c r="G1026" s="72"/>
      <c r="H1026" s="54"/>
      <c r="I1026" s="54"/>
      <c r="J1026" s="106">
        <f>VLOOKUP(A1026&amp;G1026,Lookup!J:N,5,0)</f>
        <v>0</v>
      </c>
      <c r="K1026" s="115"/>
      <c r="L1026" s="115"/>
      <c r="M1026" s="115"/>
      <c r="N1026" s="115"/>
      <c r="O1026" s="90">
        <f>IFERROR(VLOOKUP(A1026&amp;G1026,Lookup!J:K,2,0),"")</f>
        <v>0</v>
      </c>
      <c r="P1026" s="110" t="str">
        <f t="shared" ref="P1026:P1089" si="75">IF(N1026="","",N1026+O1026)</f>
        <v/>
      </c>
      <c r="Q1026" s="115"/>
      <c r="R1026" s="87" t="str">
        <f t="shared" si="72"/>
        <v/>
      </c>
      <c r="S1026" s="87" t="str">
        <f t="shared" si="73"/>
        <v/>
      </c>
      <c r="T1026" s="54"/>
      <c r="U1026" s="54"/>
      <c r="V1026" s="54"/>
      <c r="W1026" s="54"/>
      <c r="X1026" s="69" t="str">
        <f t="shared" si="74"/>
        <v>D</v>
      </c>
    </row>
    <row r="1027" spans="2:24" x14ac:dyDescent="0.25">
      <c r="B1027" s="91" t="str">
        <f>IFERROR(VLOOKUP(A1027,Lookup!A:B,2,0),"")</f>
        <v/>
      </c>
      <c r="C1027" s="59" t="str">
        <f>IFERROR(VLOOKUP(A1027,Lookup!A:C,3,0),"")</f>
        <v/>
      </c>
      <c r="D1027" s="54"/>
      <c r="E1027" s="54"/>
      <c r="F1027" s="54"/>
      <c r="G1027" s="72"/>
      <c r="H1027" s="54"/>
      <c r="I1027" s="54"/>
      <c r="J1027" s="106">
        <f>VLOOKUP(A1027&amp;G1027,Lookup!J:N,5,0)</f>
        <v>0</v>
      </c>
      <c r="K1027" s="115"/>
      <c r="L1027" s="115"/>
      <c r="M1027" s="115"/>
      <c r="N1027" s="115"/>
      <c r="O1027" s="90">
        <f>IFERROR(VLOOKUP(A1027&amp;G1027,Lookup!J:K,2,0),"")</f>
        <v>0</v>
      </c>
      <c r="P1027" s="110" t="str">
        <f t="shared" si="75"/>
        <v/>
      </c>
      <c r="Q1027" s="115"/>
      <c r="R1027" s="87" t="str">
        <f t="shared" ref="R1027:R1090" si="76">IF(OR(EXACT(N1027,""), EXACT(L1027,"")),"",N1027-L1027)</f>
        <v/>
      </c>
      <c r="S1027" s="87" t="str">
        <f t="shared" si="73"/>
        <v/>
      </c>
      <c r="T1027" s="54"/>
      <c r="U1027" s="54"/>
      <c r="V1027" s="54"/>
      <c r="W1027" s="54"/>
      <c r="X1027" s="69" t="str">
        <f t="shared" si="74"/>
        <v>D</v>
      </c>
    </row>
    <row r="1028" spans="2:24" x14ac:dyDescent="0.25">
      <c r="B1028" s="91" t="str">
        <f>IFERROR(VLOOKUP(A1028,Lookup!A:B,2,0),"")</f>
        <v/>
      </c>
      <c r="C1028" s="59" t="str">
        <f>IFERROR(VLOOKUP(A1028,Lookup!A:C,3,0),"")</f>
        <v/>
      </c>
      <c r="D1028" s="54"/>
      <c r="E1028" s="54"/>
      <c r="F1028" s="54"/>
      <c r="G1028" s="72"/>
      <c r="H1028" s="54"/>
      <c r="I1028" s="54"/>
      <c r="J1028" s="106">
        <f>VLOOKUP(A1028&amp;G1028,Lookup!J:N,5,0)</f>
        <v>0</v>
      </c>
      <c r="K1028" s="115"/>
      <c r="L1028" s="115"/>
      <c r="M1028" s="115"/>
      <c r="N1028" s="115"/>
      <c r="O1028" s="90">
        <f>IFERROR(VLOOKUP(A1028&amp;G1028,Lookup!J:K,2,0),"")</f>
        <v>0</v>
      </c>
      <c r="P1028" s="110" t="str">
        <f t="shared" si="75"/>
        <v/>
      </c>
      <c r="Q1028" s="115"/>
      <c r="R1028" s="87" t="str">
        <f t="shared" si="76"/>
        <v/>
      </c>
      <c r="S1028" s="87" t="str">
        <f t="shared" ref="S1028:S1091" si="77">IF(OR(EXACT(Q1028,""), EXACT(L1028,"")),"",Q1028-L1028)</f>
        <v/>
      </c>
      <c r="T1028" s="54"/>
      <c r="U1028" s="54"/>
      <c r="V1028" s="54"/>
      <c r="W1028" s="54"/>
      <c r="X1028" s="69" t="str">
        <f t="shared" si="74"/>
        <v>D</v>
      </c>
    </row>
    <row r="1029" spans="2:24" x14ac:dyDescent="0.25">
      <c r="B1029" s="91" t="str">
        <f>IFERROR(VLOOKUP(A1029,Lookup!A:B,2,0),"")</f>
        <v/>
      </c>
      <c r="C1029" s="59" t="str">
        <f>IFERROR(VLOOKUP(A1029,Lookup!A:C,3,0),"")</f>
        <v/>
      </c>
      <c r="D1029" s="54"/>
      <c r="E1029" s="54"/>
      <c r="F1029" s="54"/>
      <c r="G1029" s="72"/>
      <c r="H1029" s="54"/>
      <c r="I1029" s="54"/>
      <c r="J1029" s="106">
        <f>VLOOKUP(A1029&amp;G1029,Lookup!J:N,5,0)</f>
        <v>0</v>
      </c>
      <c r="K1029" s="115"/>
      <c r="L1029" s="115"/>
      <c r="M1029" s="115"/>
      <c r="N1029" s="115"/>
      <c r="O1029" s="90">
        <f>IFERROR(VLOOKUP(A1029&amp;G1029,Lookup!J:K,2,0),"")</f>
        <v>0</v>
      </c>
      <c r="P1029" s="110" t="str">
        <f t="shared" si="75"/>
        <v/>
      </c>
      <c r="Q1029" s="115"/>
      <c r="R1029" s="87" t="str">
        <f t="shared" si="76"/>
        <v/>
      </c>
      <c r="S1029" s="87" t="str">
        <f t="shared" si="77"/>
        <v/>
      </c>
      <c r="T1029" s="54"/>
      <c r="U1029" s="54"/>
      <c r="V1029" s="54"/>
      <c r="W1029" s="54"/>
      <c r="X1029" s="69" t="str">
        <f t="shared" si="74"/>
        <v>D</v>
      </c>
    </row>
    <row r="1030" spans="2:24" x14ac:dyDescent="0.25">
      <c r="B1030" s="91" t="str">
        <f>IFERROR(VLOOKUP(A1030,Lookup!A:B,2,0),"")</f>
        <v/>
      </c>
      <c r="C1030" s="59" t="str">
        <f>IFERROR(VLOOKUP(A1030,Lookup!A:C,3,0),"")</f>
        <v/>
      </c>
      <c r="D1030" s="54"/>
      <c r="E1030" s="54"/>
      <c r="F1030" s="54"/>
      <c r="G1030" s="72"/>
      <c r="H1030" s="54"/>
      <c r="I1030" s="54"/>
      <c r="J1030" s="106">
        <f>VLOOKUP(A1030&amp;G1030,Lookup!J:N,5,0)</f>
        <v>0</v>
      </c>
      <c r="K1030" s="115"/>
      <c r="L1030" s="115"/>
      <c r="M1030" s="115"/>
      <c r="N1030" s="115"/>
      <c r="O1030" s="90">
        <f>IFERROR(VLOOKUP(A1030&amp;G1030,Lookup!J:K,2,0),"")</f>
        <v>0</v>
      </c>
      <c r="P1030" s="110" t="str">
        <f t="shared" si="75"/>
        <v/>
      </c>
      <c r="Q1030" s="115"/>
      <c r="R1030" s="87" t="str">
        <f t="shared" si="76"/>
        <v/>
      </c>
      <c r="S1030" s="87" t="str">
        <f t="shared" si="77"/>
        <v/>
      </c>
      <c r="T1030" s="54"/>
      <c r="U1030" s="54"/>
      <c r="V1030" s="54"/>
      <c r="W1030" s="54"/>
      <c r="X1030" s="69" t="str">
        <f t="shared" si="74"/>
        <v>D</v>
      </c>
    </row>
    <row r="1031" spans="2:24" x14ac:dyDescent="0.25">
      <c r="B1031" s="91" t="str">
        <f>IFERROR(VLOOKUP(A1031,Lookup!A:B,2,0),"")</f>
        <v/>
      </c>
      <c r="C1031" s="59" t="str">
        <f>IFERROR(VLOOKUP(A1031,Lookup!A:C,3,0),"")</f>
        <v/>
      </c>
      <c r="D1031" s="54"/>
      <c r="E1031" s="54"/>
      <c r="F1031" s="54"/>
      <c r="G1031" s="72"/>
      <c r="H1031" s="54"/>
      <c r="I1031" s="54"/>
      <c r="J1031" s="106">
        <f>VLOOKUP(A1031&amp;G1031,Lookup!J:N,5,0)</f>
        <v>0</v>
      </c>
      <c r="K1031" s="115"/>
      <c r="L1031" s="115"/>
      <c r="M1031" s="115"/>
      <c r="N1031" s="115"/>
      <c r="O1031" s="90">
        <f>IFERROR(VLOOKUP(A1031&amp;G1031,Lookup!J:K,2,0),"")</f>
        <v>0</v>
      </c>
      <c r="P1031" s="110" t="str">
        <f t="shared" si="75"/>
        <v/>
      </c>
      <c r="Q1031" s="115"/>
      <c r="R1031" s="87" t="str">
        <f t="shared" si="76"/>
        <v/>
      </c>
      <c r="S1031" s="87" t="str">
        <f t="shared" si="77"/>
        <v/>
      </c>
      <c r="T1031" s="54"/>
      <c r="U1031" s="54"/>
      <c r="V1031" s="54"/>
      <c r="W1031" s="54"/>
      <c r="X1031" s="69" t="str">
        <f t="shared" si="74"/>
        <v>D</v>
      </c>
    </row>
    <row r="1032" spans="2:24" x14ac:dyDescent="0.25">
      <c r="B1032" s="91" t="str">
        <f>IFERROR(VLOOKUP(A1032,Lookup!A:B,2,0),"")</f>
        <v/>
      </c>
      <c r="C1032" s="59" t="str">
        <f>IFERROR(VLOOKUP(A1032,Lookup!A:C,3,0),"")</f>
        <v/>
      </c>
      <c r="D1032" s="54"/>
      <c r="E1032" s="54"/>
      <c r="F1032" s="54"/>
      <c r="G1032" s="72"/>
      <c r="H1032" s="54"/>
      <c r="I1032" s="54"/>
      <c r="J1032" s="106">
        <f>VLOOKUP(A1032&amp;G1032,Lookup!J:N,5,0)</f>
        <v>0</v>
      </c>
      <c r="K1032" s="115"/>
      <c r="L1032" s="115"/>
      <c r="M1032" s="115"/>
      <c r="N1032" s="115"/>
      <c r="O1032" s="90">
        <f>IFERROR(VLOOKUP(A1032&amp;G1032,Lookup!J:K,2,0),"")</f>
        <v>0</v>
      </c>
      <c r="P1032" s="110" t="str">
        <f t="shared" si="75"/>
        <v/>
      </c>
      <c r="Q1032" s="115"/>
      <c r="R1032" s="87" t="str">
        <f t="shared" si="76"/>
        <v/>
      </c>
      <c r="S1032" s="87" t="str">
        <f t="shared" si="77"/>
        <v/>
      </c>
      <c r="T1032" s="54"/>
      <c r="U1032" s="54"/>
      <c r="V1032" s="54"/>
      <c r="W1032" s="54"/>
      <c r="X1032" s="69" t="str">
        <f t="shared" si="74"/>
        <v>D</v>
      </c>
    </row>
    <row r="1033" spans="2:24" x14ac:dyDescent="0.25">
      <c r="B1033" s="91" t="str">
        <f>IFERROR(VLOOKUP(A1033,Lookup!A:B,2,0),"")</f>
        <v/>
      </c>
      <c r="C1033" s="59" t="str">
        <f>IFERROR(VLOOKUP(A1033,Lookup!A:C,3,0),"")</f>
        <v/>
      </c>
      <c r="D1033" s="54"/>
      <c r="E1033" s="54"/>
      <c r="F1033" s="54"/>
      <c r="G1033" s="72"/>
      <c r="H1033" s="54"/>
      <c r="I1033" s="54"/>
      <c r="J1033" s="106">
        <f>VLOOKUP(A1033&amp;G1033,Lookup!J:N,5,0)</f>
        <v>0</v>
      </c>
      <c r="K1033" s="115"/>
      <c r="L1033" s="115"/>
      <c r="M1033" s="115"/>
      <c r="N1033" s="115"/>
      <c r="O1033" s="90">
        <f>IFERROR(VLOOKUP(A1033&amp;G1033,Lookup!J:K,2,0),"")</f>
        <v>0</v>
      </c>
      <c r="P1033" s="110" t="str">
        <f t="shared" si="75"/>
        <v/>
      </c>
      <c r="Q1033" s="115"/>
      <c r="R1033" s="87" t="str">
        <f t="shared" si="76"/>
        <v/>
      </c>
      <c r="S1033" s="87" t="str">
        <f t="shared" si="77"/>
        <v/>
      </c>
      <c r="T1033" s="54"/>
      <c r="U1033" s="54"/>
      <c r="V1033" s="54"/>
      <c r="W1033" s="54"/>
      <c r="X1033" s="69" t="str">
        <f t="shared" si="74"/>
        <v>D</v>
      </c>
    </row>
    <row r="1034" spans="2:24" x14ac:dyDescent="0.25">
      <c r="B1034" s="91" t="str">
        <f>IFERROR(VLOOKUP(A1034,Lookup!A:B,2,0),"")</f>
        <v/>
      </c>
      <c r="C1034" s="59" t="str">
        <f>IFERROR(VLOOKUP(A1034,Lookup!A:C,3,0),"")</f>
        <v/>
      </c>
      <c r="D1034" s="54"/>
      <c r="E1034" s="54"/>
      <c r="F1034" s="54"/>
      <c r="G1034" s="72"/>
      <c r="H1034" s="54"/>
      <c r="I1034" s="54"/>
      <c r="J1034" s="106">
        <f>VLOOKUP(A1034&amp;G1034,Lookup!J:N,5,0)</f>
        <v>0</v>
      </c>
      <c r="K1034" s="115"/>
      <c r="L1034" s="115"/>
      <c r="M1034" s="115"/>
      <c r="N1034" s="115"/>
      <c r="O1034" s="90">
        <f>IFERROR(VLOOKUP(A1034&amp;G1034,Lookup!J:K,2,0),"")</f>
        <v>0</v>
      </c>
      <c r="P1034" s="110" t="str">
        <f t="shared" si="75"/>
        <v/>
      </c>
      <c r="Q1034" s="115"/>
      <c r="R1034" s="87" t="str">
        <f t="shared" si="76"/>
        <v/>
      </c>
      <c r="S1034" s="87" t="str">
        <f t="shared" si="77"/>
        <v/>
      </c>
      <c r="T1034" s="54"/>
      <c r="U1034" s="54"/>
      <c r="V1034" s="54"/>
      <c r="W1034" s="54"/>
      <c r="X1034" s="69" t="str">
        <f t="shared" si="74"/>
        <v>D</v>
      </c>
    </row>
    <row r="1035" spans="2:24" x14ac:dyDescent="0.25">
      <c r="B1035" s="91" t="str">
        <f>IFERROR(VLOOKUP(A1035,Lookup!A:B,2,0),"")</f>
        <v/>
      </c>
      <c r="C1035" s="59" t="str">
        <f>IFERROR(VLOOKUP(A1035,Lookup!A:C,3,0),"")</f>
        <v/>
      </c>
      <c r="D1035" s="54"/>
      <c r="E1035" s="54"/>
      <c r="F1035" s="54"/>
      <c r="G1035" s="72"/>
      <c r="H1035" s="54"/>
      <c r="I1035" s="54"/>
      <c r="J1035" s="106">
        <f>VLOOKUP(A1035&amp;G1035,Lookup!J:N,5,0)</f>
        <v>0</v>
      </c>
      <c r="K1035" s="115"/>
      <c r="L1035" s="115"/>
      <c r="M1035" s="115"/>
      <c r="N1035" s="115"/>
      <c r="O1035" s="90">
        <f>IFERROR(VLOOKUP(A1035&amp;G1035,Lookup!J:K,2,0),"")</f>
        <v>0</v>
      </c>
      <c r="P1035" s="110" t="str">
        <f t="shared" si="75"/>
        <v/>
      </c>
      <c r="Q1035" s="115"/>
      <c r="R1035" s="87" t="str">
        <f t="shared" si="76"/>
        <v/>
      </c>
      <c r="S1035" s="87" t="str">
        <f t="shared" si="77"/>
        <v/>
      </c>
      <c r="T1035" s="54"/>
      <c r="U1035" s="54"/>
      <c r="V1035" s="54"/>
      <c r="W1035" s="54"/>
      <c r="X1035" s="69" t="str">
        <f t="shared" si="74"/>
        <v>D</v>
      </c>
    </row>
    <row r="1036" spans="2:24" x14ac:dyDescent="0.25">
      <c r="B1036" s="91" t="str">
        <f>IFERROR(VLOOKUP(A1036,Lookup!A:B,2,0),"")</f>
        <v/>
      </c>
      <c r="C1036" s="59" t="str">
        <f>IFERROR(VLOOKUP(A1036,Lookup!A:C,3,0),"")</f>
        <v/>
      </c>
      <c r="D1036" s="54"/>
      <c r="E1036" s="54"/>
      <c r="F1036" s="54"/>
      <c r="G1036" s="72"/>
      <c r="H1036" s="54"/>
      <c r="I1036" s="54"/>
      <c r="J1036" s="106">
        <f>VLOOKUP(A1036&amp;G1036,Lookup!J:N,5,0)</f>
        <v>0</v>
      </c>
      <c r="K1036" s="115"/>
      <c r="L1036" s="115"/>
      <c r="M1036" s="115"/>
      <c r="N1036" s="115"/>
      <c r="O1036" s="90">
        <f>IFERROR(VLOOKUP(A1036&amp;G1036,Lookup!J:K,2,0),"")</f>
        <v>0</v>
      </c>
      <c r="P1036" s="110" t="str">
        <f t="shared" si="75"/>
        <v/>
      </c>
      <c r="Q1036" s="115"/>
      <c r="R1036" s="87" t="str">
        <f t="shared" si="76"/>
        <v/>
      </c>
      <c r="S1036" s="87" t="str">
        <f t="shared" si="77"/>
        <v/>
      </c>
      <c r="T1036" s="54"/>
      <c r="U1036" s="54"/>
      <c r="V1036" s="54"/>
      <c r="W1036" s="54"/>
      <c r="X1036" s="69" t="str">
        <f t="shared" si="74"/>
        <v>D</v>
      </c>
    </row>
    <row r="1037" spans="2:24" x14ac:dyDescent="0.25">
      <c r="B1037" s="91" t="str">
        <f>IFERROR(VLOOKUP(A1037,Lookup!A:B,2,0),"")</f>
        <v/>
      </c>
      <c r="C1037" s="59" t="str">
        <f>IFERROR(VLOOKUP(A1037,Lookup!A:C,3,0),"")</f>
        <v/>
      </c>
      <c r="D1037" s="54"/>
      <c r="E1037" s="54"/>
      <c r="F1037" s="54"/>
      <c r="G1037" s="72"/>
      <c r="H1037" s="54"/>
      <c r="I1037" s="54"/>
      <c r="J1037" s="106">
        <f>VLOOKUP(A1037&amp;G1037,Lookup!J:N,5,0)</f>
        <v>0</v>
      </c>
      <c r="K1037" s="115"/>
      <c r="L1037" s="115"/>
      <c r="M1037" s="115"/>
      <c r="N1037" s="115"/>
      <c r="O1037" s="90">
        <f>IFERROR(VLOOKUP(A1037&amp;G1037,Lookup!J:K,2,0),"")</f>
        <v>0</v>
      </c>
      <c r="P1037" s="110" t="str">
        <f t="shared" si="75"/>
        <v/>
      </c>
      <c r="Q1037" s="115"/>
      <c r="R1037" s="87" t="str">
        <f t="shared" si="76"/>
        <v/>
      </c>
      <c r="S1037" s="87" t="str">
        <f t="shared" si="77"/>
        <v/>
      </c>
      <c r="T1037" s="54"/>
      <c r="U1037" s="54"/>
      <c r="V1037" s="54"/>
      <c r="W1037" s="54"/>
      <c r="X1037" s="69" t="str">
        <f t="shared" si="74"/>
        <v>D</v>
      </c>
    </row>
    <row r="1038" spans="2:24" x14ac:dyDescent="0.25">
      <c r="B1038" s="91" t="str">
        <f>IFERROR(VLOOKUP(A1038,Lookup!A:B,2,0),"")</f>
        <v/>
      </c>
      <c r="C1038" s="59" t="str">
        <f>IFERROR(VLOOKUP(A1038,Lookup!A:C,3,0),"")</f>
        <v/>
      </c>
      <c r="D1038" s="54"/>
      <c r="E1038" s="54"/>
      <c r="F1038" s="54"/>
      <c r="G1038" s="72"/>
      <c r="H1038" s="54"/>
      <c r="I1038" s="54"/>
      <c r="J1038" s="106">
        <f>VLOOKUP(A1038&amp;G1038,Lookup!J:N,5,0)</f>
        <v>0</v>
      </c>
      <c r="K1038" s="115"/>
      <c r="L1038" s="115"/>
      <c r="M1038" s="115"/>
      <c r="N1038" s="115"/>
      <c r="O1038" s="90">
        <f>IFERROR(VLOOKUP(A1038&amp;G1038,Lookup!J:K,2,0),"")</f>
        <v>0</v>
      </c>
      <c r="P1038" s="110" t="str">
        <f t="shared" si="75"/>
        <v/>
      </c>
      <c r="Q1038" s="115"/>
      <c r="R1038" s="87" t="str">
        <f t="shared" si="76"/>
        <v/>
      </c>
      <c r="S1038" s="87" t="str">
        <f t="shared" si="77"/>
        <v/>
      </c>
      <c r="T1038" s="54"/>
      <c r="U1038" s="54"/>
      <c r="V1038" s="54"/>
      <c r="W1038" s="54"/>
      <c r="X1038" s="69" t="str">
        <f t="shared" si="74"/>
        <v>D</v>
      </c>
    </row>
    <row r="1039" spans="2:24" x14ac:dyDescent="0.25">
      <c r="B1039" s="91" t="str">
        <f>IFERROR(VLOOKUP(A1039,Lookup!A:B,2,0),"")</f>
        <v/>
      </c>
      <c r="C1039" s="59" t="str">
        <f>IFERROR(VLOOKUP(A1039,Lookup!A:C,3,0),"")</f>
        <v/>
      </c>
      <c r="D1039" s="54"/>
      <c r="E1039" s="54"/>
      <c r="F1039" s="54"/>
      <c r="G1039" s="72"/>
      <c r="H1039" s="54"/>
      <c r="I1039" s="54"/>
      <c r="J1039" s="106">
        <f>VLOOKUP(A1039&amp;G1039,Lookup!J:N,5,0)</f>
        <v>0</v>
      </c>
      <c r="K1039" s="115"/>
      <c r="L1039" s="115"/>
      <c r="M1039" s="115"/>
      <c r="N1039" s="115"/>
      <c r="O1039" s="90">
        <f>IFERROR(VLOOKUP(A1039&amp;G1039,Lookup!J:K,2,0),"")</f>
        <v>0</v>
      </c>
      <c r="P1039" s="110" t="str">
        <f t="shared" si="75"/>
        <v/>
      </c>
      <c r="Q1039" s="115"/>
      <c r="R1039" s="87" t="str">
        <f t="shared" si="76"/>
        <v/>
      </c>
      <c r="S1039" s="87" t="str">
        <f t="shared" si="77"/>
        <v/>
      </c>
      <c r="T1039" s="54"/>
      <c r="U1039" s="54"/>
      <c r="V1039" s="54"/>
      <c r="W1039" s="54"/>
      <c r="X1039" s="69" t="str">
        <f t="shared" si="74"/>
        <v>D</v>
      </c>
    </row>
    <row r="1040" spans="2:24" x14ac:dyDescent="0.25">
      <c r="B1040" s="91" t="str">
        <f>IFERROR(VLOOKUP(A1040,Lookup!A:B,2,0),"")</f>
        <v/>
      </c>
      <c r="C1040" s="59" t="str">
        <f>IFERROR(VLOOKUP(A1040,Lookup!A:C,3,0),"")</f>
        <v/>
      </c>
      <c r="D1040" s="54"/>
      <c r="E1040" s="54"/>
      <c r="F1040" s="54"/>
      <c r="G1040" s="72"/>
      <c r="H1040" s="54"/>
      <c r="I1040" s="54"/>
      <c r="J1040" s="106">
        <f>VLOOKUP(A1040&amp;G1040,Lookup!J:N,5,0)</f>
        <v>0</v>
      </c>
      <c r="K1040" s="115"/>
      <c r="L1040" s="115"/>
      <c r="M1040" s="115"/>
      <c r="N1040" s="115"/>
      <c r="O1040" s="90">
        <f>IFERROR(VLOOKUP(A1040&amp;G1040,Lookup!J:K,2,0),"")</f>
        <v>0</v>
      </c>
      <c r="P1040" s="110" t="str">
        <f t="shared" si="75"/>
        <v/>
      </c>
      <c r="Q1040" s="115"/>
      <c r="R1040" s="87" t="str">
        <f t="shared" si="76"/>
        <v/>
      </c>
      <c r="S1040" s="87" t="str">
        <f t="shared" si="77"/>
        <v/>
      </c>
      <c r="T1040" s="54"/>
      <c r="U1040" s="54"/>
      <c r="V1040" s="54"/>
      <c r="W1040" s="54"/>
      <c r="X1040" s="69" t="str">
        <f t="shared" si="74"/>
        <v>D</v>
      </c>
    </row>
    <row r="1041" spans="2:24" x14ac:dyDescent="0.25">
      <c r="B1041" s="91" t="str">
        <f>IFERROR(VLOOKUP(A1041,Lookup!A:B,2,0),"")</f>
        <v/>
      </c>
      <c r="C1041" s="59" t="str">
        <f>IFERROR(VLOOKUP(A1041,Lookup!A:C,3,0),"")</f>
        <v/>
      </c>
      <c r="D1041" s="54"/>
      <c r="E1041" s="54"/>
      <c r="F1041" s="54"/>
      <c r="G1041" s="72"/>
      <c r="H1041" s="54"/>
      <c r="I1041" s="54"/>
      <c r="J1041" s="106">
        <f>VLOOKUP(A1041&amp;G1041,Lookup!J:N,5,0)</f>
        <v>0</v>
      </c>
      <c r="K1041" s="115"/>
      <c r="L1041" s="115"/>
      <c r="M1041" s="115"/>
      <c r="N1041" s="115"/>
      <c r="O1041" s="90">
        <f>IFERROR(VLOOKUP(A1041&amp;G1041,Lookup!J:K,2,0),"")</f>
        <v>0</v>
      </c>
      <c r="P1041" s="110" t="str">
        <f t="shared" si="75"/>
        <v/>
      </c>
      <c r="Q1041" s="115"/>
      <c r="R1041" s="87" t="str">
        <f t="shared" si="76"/>
        <v/>
      </c>
      <c r="S1041" s="87" t="str">
        <f t="shared" si="77"/>
        <v/>
      </c>
      <c r="T1041" s="54"/>
      <c r="U1041" s="54"/>
      <c r="V1041" s="54"/>
      <c r="W1041" s="54"/>
      <c r="X1041" s="69" t="str">
        <f t="shared" si="74"/>
        <v>D</v>
      </c>
    </row>
    <row r="1042" spans="2:24" x14ac:dyDescent="0.25">
      <c r="B1042" s="91" t="str">
        <f>IFERROR(VLOOKUP(A1042,Lookup!A:B,2,0),"")</f>
        <v/>
      </c>
      <c r="C1042" s="59" t="str">
        <f>IFERROR(VLOOKUP(A1042,Lookup!A:C,3,0),"")</f>
        <v/>
      </c>
      <c r="D1042" s="54"/>
      <c r="E1042" s="54"/>
      <c r="F1042" s="54"/>
      <c r="G1042" s="72"/>
      <c r="H1042" s="54"/>
      <c r="I1042" s="54"/>
      <c r="J1042" s="106">
        <f>VLOOKUP(A1042&amp;G1042,Lookup!J:N,5,0)</f>
        <v>0</v>
      </c>
      <c r="K1042" s="115"/>
      <c r="L1042" s="115"/>
      <c r="M1042" s="115"/>
      <c r="N1042" s="115"/>
      <c r="O1042" s="90">
        <f>IFERROR(VLOOKUP(A1042&amp;G1042,Lookup!J:K,2,0),"")</f>
        <v>0</v>
      </c>
      <c r="P1042" s="110" t="str">
        <f t="shared" si="75"/>
        <v/>
      </c>
      <c r="Q1042" s="115"/>
      <c r="R1042" s="87" t="str">
        <f t="shared" si="76"/>
        <v/>
      </c>
      <c r="S1042" s="87" t="str">
        <f t="shared" si="77"/>
        <v/>
      </c>
      <c r="T1042" s="54"/>
      <c r="U1042" s="54"/>
      <c r="V1042" s="54"/>
      <c r="W1042" s="54"/>
      <c r="X1042" s="69" t="str">
        <f t="shared" si="74"/>
        <v>D</v>
      </c>
    </row>
    <row r="1043" spans="2:24" x14ac:dyDescent="0.25">
      <c r="B1043" s="91" t="str">
        <f>IFERROR(VLOOKUP(A1043,Lookup!A:B,2,0),"")</f>
        <v/>
      </c>
      <c r="C1043" s="59" t="str">
        <f>IFERROR(VLOOKUP(A1043,Lookup!A:C,3,0),"")</f>
        <v/>
      </c>
      <c r="D1043" s="54"/>
      <c r="E1043" s="54"/>
      <c r="F1043" s="54"/>
      <c r="G1043" s="72"/>
      <c r="H1043" s="54"/>
      <c r="I1043" s="54"/>
      <c r="J1043" s="106">
        <f>VLOOKUP(A1043&amp;G1043,Lookup!J:N,5,0)</f>
        <v>0</v>
      </c>
      <c r="K1043" s="115"/>
      <c r="L1043" s="115"/>
      <c r="M1043" s="115"/>
      <c r="N1043" s="115"/>
      <c r="O1043" s="90">
        <f>IFERROR(VLOOKUP(A1043&amp;G1043,Lookup!J:K,2,0),"")</f>
        <v>0</v>
      </c>
      <c r="P1043" s="110" t="str">
        <f t="shared" si="75"/>
        <v/>
      </c>
      <c r="Q1043" s="115"/>
      <c r="R1043" s="87" t="str">
        <f t="shared" si="76"/>
        <v/>
      </c>
      <c r="S1043" s="87" t="str">
        <f t="shared" si="77"/>
        <v/>
      </c>
      <c r="T1043" s="54"/>
      <c r="U1043" s="54"/>
      <c r="V1043" s="54"/>
      <c r="W1043" s="54"/>
      <c r="X1043" s="69" t="str">
        <f t="shared" si="74"/>
        <v>D</v>
      </c>
    </row>
    <row r="1044" spans="2:24" x14ac:dyDescent="0.25">
      <c r="B1044" s="91" t="str">
        <f>IFERROR(VLOOKUP(A1044,Lookup!A:B,2,0),"")</f>
        <v/>
      </c>
      <c r="C1044" s="59" t="str">
        <f>IFERROR(VLOOKUP(A1044,Lookup!A:C,3,0),"")</f>
        <v/>
      </c>
      <c r="D1044" s="54"/>
      <c r="E1044" s="54"/>
      <c r="F1044" s="54"/>
      <c r="G1044" s="72"/>
      <c r="H1044" s="54"/>
      <c r="I1044" s="54"/>
      <c r="J1044" s="106">
        <f>VLOOKUP(A1044&amp;G1044,Lookup!J:N,5,0)</f>
        <v>0</v>
      </c>
      <c r="K1044" s="115"/>
      <c r="L1044" s="115"/>
      <c r="M1044" s="115"/>
      <c r="N1044" s="115"/>
      <c r="O1044" s="90">
        <f>IFERROR(VLOOKUP(A1044&amp;G1044,Lookup!J:K,2,0),"")</f>
        <v>0</v>
      </c>
      <c r="P1044" s="110" t="str">
        <f t="shared" si="75"/>
        <v/>
      </c>
      <c r="Q1044" s="115"/>
      <c r="R1044" s="87" t="str">
        <f t="shared" si="76"/>
        <v/>
      </c>
      <c r="S1044" s="87" t="str">
        <f t="shared" si="77"/>
        <v/>
      </c>
      <c r="T1044" s="54"/>
      <c r="U1044" s="54"/>
      <c r="V1044" s="54"/>
      <c r="W1044" s="54"/>
      <c r="X1044" s="69" t="str">
        <f t="shared" si="74"/>
        <v>D</v>
      </c>
    </row>
    <row r="1045" spans="2:24" x14ac:dyDescent="0.25">
      <c r="B1045" s="91" t="str">
        <f>IFERROR(VLOOKUP(A1045,Lookup!A:B,2,0),"")</f>
        <v/>
      </c>
      <c r="C1045" s="59" t="str">
        <f>IFERROR(VLOOKUP(A1045,Lookup!A:C,3,0),"")</f>
        <v/>
      </c>
      <c r="D1045" s="54"/>
      <c r="E1045" s="54"/>
      <c r="F1045" s="54"/>
      <c r="G1045" s="72"/>
      <c r="H1045" s="54"/>
      <c r="I1045" s="54"/>
      <c r="J1045" s="106">
        <f>VLOOKUP(A1045&amp;G1045,Lookup!J:N,5,0)</f>
        <v>0</v>
      </c>
      <c r="K1045" s="115"/>
      <c r="L1045" s="115"/>
      <c r="M1045" s="115"/>
      <c r="N1045" s="115"/>
      <c r="O1045" s="90">
        <f>IFERROR(VLOOKUP(A1045&amp;G1045,Lookup!J:K,2,0),"")</f>
        <v>0</v>
      </c>
      <c r="P1045" s="110" t="str">
        <f t="shared" si="75"/>
        <v/>
      </c>
      <c r="Q1045" s="115"/>
      <c r="R1045" s="87" t="str">
        <f t="shared" si="76"/>
        <v/>
      </c>
      <c r="S1045" s="87" t="str">
        <f t="shared" si="77"/>
        <v/>
      </c>
      <c r="T1045" s="54"/>
      <c r="U1045" s="54"/>
      <c r="V1045" s="54"/>
      <c r="W1045" s="54"/>
      <c r="X1045" s="69" t="str">
        <f t="shared" si="74"/>
        <v>D</v>
      </c>
    </row>
    <row r="1046" spans="2:24" x14ac:dyDescent="0.25">
      <c r="B1046" s="91" t="str">
        <f>IFERROR(VLOOKUP(A1046,Lookup!A:B,2,0),"")</f>
        <v/>
      </c>
      <c r="C1046" s="59" t="str">
        <f>IFERROR(VLOOKUP(A1046,Lookup!A:C,3,0),"")</f>
        <v/>
      </c>
      <c r="D1046" s="54"/>
      <c r="E1046" s="54"/>
      <c r="F1046" s="54"/>
      <c r="G1046" s="72"/>
      <c r="H1046" s="54"/>
      <c r="I1046" s="54"/>
      <c r="J1046" s="106">
        <f>VLOOKUP(A1046&amp;G1046,Lookup!J:N,5,0)</f>
        <v>0</v>
      </c>
      <c r="K1046" s="115"/>
      <c r="L1046" s="115"/>
      <c r="M1046" s="115"/>
      <c r="N1046" s="115"/>
      <c r="O1046" s="90">
        <f>IFERROR(VLOOKUP(A1046&amp;G1046,Lookup!J:K,2,0),"")</f>
        <v>0</v>
      </c>
      <c r="P1046" s="110" t="str">
        <f t="shared" si="75"/>
        <v/>
      </c>
      <c r="Q1046" s="115"/>
      <c r="R1046" s="87" t="str">
        <f t="shared" si="76"/>
        <v/>
      </c>
      <c r="S1046" s="87" t="str">
        <f t="shared" si="77"/>
        <v/>
      </c>
      <c r="T1046" s="54"/>
      <c r="U1046" s="54"/>
      <c r="V1046" s="54"/>
      <c r="W1046" s="54"/>
      <c r="X1046" s="69" t="str">
        <f t="shared" si="74"/>
        <v>D</v>
      </c>
    </row>
    <row r="1047" spans="2:24" x14ac:dyDescent="0.25">
      <c r="B1047" s="91" t="str">
        <f>IFERROR(VLOOKUP(A1047,Lookup!A:B,2,0),"")</f>
        <v/>
      </c>
      <c r="C1047" s="59" t="str">
        <f>IFERROR(VLOOKUP(A1047,Lookup!A:C,3,0),"")</f>
        <v/>
      </c>
      <c r="D1047" s="54"/>
      <c r="E1047" s="54"/>
      <c r="F1047" s="54"/>
      <c r="G1047" s="72"/>
      <c r="H1047" s="54"/>
      <c r="I1047" s="54"/>
      <c r="J1047" s="106">
        <f>VLOOKUP(A1047&amp;G1047,Lookup!J:N,5,0)</f>
        <v>0</v>
      </c>
      <c r="K1047" s="115"/>
      <c r="L1047" s="115"/>
      <c r="M1047" s="115"/>
      <c r="N1047" s="115"/>
      <c r="O1047" s="90">
        <f>IFERROR(VLOOKUP(A1047&amp;G1047,Lookup!J:K,2,0),"")</f>
        <v>0</v>
      </c>
      <c r="P1047" s="110" t="str">
        <f t="shared" si="75"/>
        <v/>
      </c>
      <c r="Q1047" s="115"/>
      <c r="R1047" s="87" t="str">
        <f t="shared" si="76"/>
        <v/>
      </c>
      <c r="S1047" s="87" t="str">
        <f t="shared" si="77"/>
        <v/>
      </c>
      <c r="T1047" s="54"/>
      <c r="U1047" s="54"/>
      <c r="V1047" s="54"/>
      <c r="W1047" s="54"/>
      <c r="X1047" s="69" t="str">
        <f t="shared" si="74"/>
        <v>D</v>
      </c>
    </row>
    <row r="1048" spans="2:24" x14ac:dyDescent="0.25">
      <c r="B1048" s="91" t="str">
        <f>IFERROR(VLOOKUP(A1048,Lookup!A:B,2,0),"")</f>
        <v/>
      </c>
      <c r="C1048" s="59" t="str">
        <f>IFERROR(VLOOKUP(A1048,Lookup!A:C,3,0),"")</f>
        <v/>
      </c>
      <c r="D1048" s="54"/>
      <c r="E1048" s="54"/>
      <c r="F1048" s="54"/>
      <c r="G1048" s="72"/>
      <c r="H1048" s="54"/>
      <c r="I1048" s="54"/>
      <c r="J1048" s="106">
        <f>VLOOKUP(A1048&amp;G1048,Lookup!J:N,5,0)</f>
        <v>0</v>
      </c>
      <c r="K1048" s="115"/>
      <c r="L1048" s="115"/>
      <c r="M1048" s="115"/>
      <c r="N1048" s="115"/>
      <c r="O1048" s="90">
        <f>IFERROR(VLOOKUP(A1048&amp;G1048,Lookup!J:K,2,0),"")</f>
        <v>0</v>
      </c>
      <c r="P1048" s="110" t="str">
        <f t="shared" si="75"/>
        <v/>
      </c>
      <c r="Q1048" s="115"/>
      <c r="R1048" s="87" t="str">
        <f t="shared" si="76"/>
        <v/>
      </c>
      <c r="S1048" s="87" t="str">
        <f t="shared" si="77"/>
        <v/>
      </c>
      <c r="T1048" s="54"/>
      <c r="U1048" s="54"/>
      <c r="V1048" s="54"/>
      <c r="W1048" s="54"/>
      <c r="X1048" s="69" t="str">
        <f t="shared" si="74"/>
        <v>D</v>
      </c>
    </row>
    <row r="1049" spans="2:24" x14ac:dyDescent="0.25">
      <c r="B1049" s="91" t="str">
        <f>IFERROR(VLOOKUP(A1049,Lookup!A:B,2,0),"")</f>
        <v/>
      </c>
      <c r="C1049" s="59" t="str">
        <f>IFERROR(VLOOKUP(A1049,Lookup!A:C,3,0),"")</f>
        <v/>
      </c>
      <c r="D1049" s="54"/>
      <c r="E1049" s="54"/>
      <c r="F1049" s="54"/>
      <c r="G1049" s="72"/>
      <c r="H1049" s="54"/>
      <c r="I1049" s="54"/>
      <c r="J1049" s="106">
        <f>VLOOKUP(A1049&amp;G1049,Lookup!J:N,5,0)</f>
        <v>0</v>
      </c>
      <c r="K1049" s="115"/>
      <c r="L1049" s="115"/>
      <c r="M1049" s="115"/>
      <c r="N1049" s="115"/>
      <c r="O1049" s="90">
        <f>IFERROR(VLOOKUP(A1049&amp;G1049,Lookup!J:K,2,0),"")</f>
        <v>0</v>
      </c>
      <c r="P1049" s="110" t="str">
        <f t="shared" si="75"/>
        <v/>
      </c>
      <c r="Q1049" s="115"/>
      <c r="R1049" s="87" t="str">
        <f t="shared" si="76"/>
        <v/>
      </c>
      <c r="S1049" s="87" t="str">
        <f t="shared" si="77"/>
        <v/>
      </c>
      <c r="T1049" s="54"/>
      <c r="U1049" s="54"/>
      <c r="V1049" s="54"/>
      <c r="W1049" s="54"/>
      <c r="X1049" s="69" t="str">
        <f t="shared" si="74"/>
        <v>D</v>
      </c>
    </row>
    <row r="1050" spans="2:24" x14ac:dyDescent="0.25">
      <c r="B1050" s="91" t="str">
        <f>IFERROR(VLOOKUP(A1050,Lookup!A:B,2,0),"")</f>
        <v/>
      </c>
      <c r="C1050" s="59" t="str">
        <f>IFERROR(VLOOKUP(A1050,Lookup!A:C,3,0),"")</f>
        <v/>
      </c>
      <c r="D1050" s="54"/>
      <c r="E1050" s="54"/>
      <c r="F1050" s="54"/>
      <c r="G1050" s="72"/>
      <c r="H1050" s="54"/>
      <c r="I1050" s="54"/>
      <c r="J1050" s="106">
        <f>VLOOKUP(A1050&amp;G1050,Lookup!J:N,5,0)</f>
        <v>0</v>
      </c>
      <c r="K1050" s="115"/>
      <c r="L1050" s="115"/>
      <c r="M1050" s="115"/>
      <c r="N1050" s="115"/>
      <c r="O1050" s="90">
        <f>IFERROR(VLOOKUP(A1050&amp;G1050,Lookup!J:K,2,0),"")</f>
        <v>0</v>
      </c>
      <c r="P1050" s="110" t="str">
        <f t="shared" si="75"/>
        <v/>
      </c>
      <c r="Q1050" s="115"/>
      <c r="R1050" s="87" t="str">
        <f t="shared" si="76"/>
        <v/>
      </c>
      <c r="S1050" s="87" t="str">
        <f t="shared" si="77"/>
        <v/>
      </c>
      <c r="T1050" s="54"/>
      <c r="U1050" s="54"/>
      <c r="V1050" s="54"/>
      <c r="W1050" s="54"/>
      <c r="X1050" s="69" t="str">
        <f t="shared" si="74"/>
        <v>D</v>
      </c>
    </row>
    <row r="1051" spans="2:24" x14ac:dyDescent="0.25">
      <c r="B1051" s="91" t="str">
        <f>IFERROR(VLOOKUP(A1051,Lookup!A:B,2,0),"")</f>
        <v/>
      </c>
      <c r="C1051" s="59" t="str">
        <f>IFERROR(VLOOKUP(A1051,Lookup!A:C,3,0),"")</f>
        <v/>
      </c>
      <c r="D1051" s="54"/>
      <c r="E1051" s="54"/>
      <c r="F1051" s="54"/>
      <c r="G1051" s="72"/>
      <c r="H1051" s="54"/>
      <c r="I1051" s="54"/>
      <c r="J1051" s="106">
        <f>VLOOKUP(A1051&amp;G1051,Lookup!J:N,5,0)</f>
        <v>0</v>
      </c>
      <c r="K1051" s="115"/>
      <c r="L1051" s="115"/>
      <c r="M1051" s="115"/>
      <c r="N1051" s="115"/>
      <c r="O1051" s="90">
        <f>IFERROR(VLOOKUP(A1051&amp;G1051,Lookup!J:K,2,0),"")</f>
        <v>0</v>
      </c>
      <c r="P1051" s="110" t="str">
        <f t="shared" si="75"/>
        <v/>
      </c>
      <c r="Q1051" s="115"/>
      <c r="R1051" s="87" t="str">
        <f t="shared" si="76"/>
        <v/>
      </c>
      <c r="S1051" s="87" t="str">
        <f t="shared" si="77"/>
        <v/>
      </c>
      <c r="T1051" s="54"/>
      <c r="U1051" s="54"/>
      <c r="V1051" s="54"/>
      <c r="W1051" s="54"/>
      <c r="X1051" s="69" t="str">
        <f t="shared" si="74"/>
        <v>D</v>
      </c>
    </row>
    <row r="1052" spans="2:24" x14ac:dyDescent="0.25">
      <c r="B1052" s="91" t="str">
        <f>IFERROR(VLOOKUP(A1052,Lookup!A:B,2,0),"")</f>
        <v/>
      </c>
      <c r="C1052" s="59" t="str">
        <f>IFERROR(VLOOKUP(A1052,Lookup!A:C,3,0),"")</f>
        <v/>
      </c>
      <c r="D1052" s="54"/>
      <c r="E1052" s="54"/>
      <c r="F1052" s="54"/>
      <c r="G1052" s="72"/>
      <c r="H1052" s="54"/>
      <c r="I1052" s="54"/>
      <c r="J1052" s="106">
        <f>VLOOKUP(A1052&amp;G1052,Lookup!J:N,5,0)</f>
        <v>0</v>
      </c>
      <c r="K1052" s="115"/>
      <c r="L1052" s="115"/>
      <c r="M1052" s="115"/>
      <c r="N1052" s="115"/>
      <c r="O1052" s="90">
        <f>IFERROR(VLOOKUP(A1052&amp;G1052,Lookup!J:K,2,0),"")</f>
        <v>0</v>
      </c>
      <c r="P1052" s="110" t="str">
        <f t="shared" si="75"/>
        <v/>
      </c>
      <c r="Q1052" s="115"/>
      <c r="R1052" s="87" t="str">
        <f t="shared" si="76"/>
        <v/>
      </c>
      <c r="S1052" s="87" t="str">
        <f t="shared" si="77"/>
        <v/>
      </c>
      <c r="T1052" s="54"/>
      <c r="U1052" s="54"/>
      <c r="V1052" s="54"/>
      <c r="W1052" s="54"/>
      <c r="X1052" s="69" t="str">
        <f t="shared" si="74"/>
        <v>D</v>
      </c>
    </row>
    <row r="1053" spans="2:24" x14ac:dyDescent="0.25">
      <c r="B1053" s="91" t="str">
        <f>IFERROR(VLOOKUP(A1053,Lookup!A:B,2,0),"")</f>
        <v/>
      </c>
      <c r="C1053" s="59" t="str">
        <f>IFERROR(VLOOKUP(A1053,Lookup!A:C,3,0),"")</f>
        <v/>
      </c>
      <c r="D1053" s="54"/>
      <c r="E1053" s="54"/>
      <c r="F1053" s="54"/>
      <c r="G1053" s="72"/>
      <c r="H1053" s="54"/>
      <c r="I1053" s="54"/>
      <c r="J1053" s="106">
        <f>VLOOKUP(A1053&amp;G1053,Lookup!J:N,5,0)</f>
        <v>0</v>
      </c>
      <c r="K1053" s="115"/>
      <c r="L1053" s="115"/>
      <c r="M1053" s="115"/>
      <c r="N1053" s="115"/>
      <c r="O1053" s="90">
        <f>IFERROR(VLOOKUP(A1053&amp;G1053,Lookup!J:K,2,0),"")</f>
        <v>0</v>
      </c>
      <c r="P1053" s="110" t="str">
        <f t="shared" si="75"/>
        <v/>
      </c>
      <c r="Q1053" s="115"/>
      <c r="R1053" s="87" t="str">
        <f t="shared" si="76"/>
        <v/>
      </c>
      <c r="S1053" s="87" t="str">
        <f t="shared" si="77"/>
        <v/>
      </c>
      <c r="T1053" s="54"/>
      <c r="U1053" s="54"/>
      <c r="V1053" s="54"/>
      <c r="W1053" s="54"/>
      <c r="X1053" s="69" t="str">
        <f t="shared" si="74"/>
        <v>D</v>
      </c>
    </row>
    <row r="1054" spans="2:24" x14ac:dyDescent="0.25">
      <c r="B1054" s="91" t="str">
        <f>IFERROR(VLOOKUP(A1054,Lookup!A:B,2,0),"")</f>
        <v/>
      </c>
      <c r="C1054" s="59" t="str">
        <f>IFERROR(VLOOKUP(A1054,Lookup!A:C,3,0),"")</f>
        <v/>
      </c>
      <c r="D1054" s="54"/>
      <c r="E1054" s="54"/>
      <c r="F1054" s="54"/>
      <c r="G1054" s="72"/>
      <c r="H1054" s="54"/>
      <c r="I1054" s="54"/>
      <c r="J1054" s="106">
        <f>VLOOKUP(A1054&amp;G1054,Lookup!J:N,5,0)</f>
        <v>0</v>
      </c>
      <c r="K1054" s="115"/>
      <c r="L1054" s="115"/>
      <c r="M1054" s="115"/>
      <c r="N1054" s="115"/>
      <c r="O1054" s="90">
        <f>IFERROR(VLOOKUP(A1054&amp;G1054,Lookup!J:K,2,0),"")</f>
        <v>0</v>
      </c>
      <c r="P1054" s="110" t="str">
        <f t="shared" si="75"/>
        <v/>
      </c>
      <c r="Q1054" s="115"/>
      <c r="R1054" s="87" t="str">
        <f t="shared" si="76"/>
        <v/>
      </c>
      <c r="S1054" s="87" t="str">
        <f t="shared" si="77"/>
        <v/>
      </c>
      <c r="T1054" s="54"/>
      <c r="U1054" s="54"/>
      <c r="V1054" s="54"/>
      <c r="W1054" s="54"/>
      <c r="X1054" s="69" t="str">
        <f t="shared" si="74"/>
        <v>D</v>
      </c>
    </row>
    <row r="1055" spans="2:24" x14ac:dyDescent="0.25">
      <c r="B1055" s="91" t="str">
        <f>IFERROR(VLOOKUP(A1055,Lookup!A:B,2,0),"")</f>
        <v/>
      </c>
      <c r="C1055" s="59" t="str">
        <f>IFERROR(VLOOKUP(A1055,Lookup!A:C,3,0),"")</f>
        <v/>
      </c>
      <c r="D1055" s="54"/>
      <c r="E1055" s="54"/>
      <c r="F1055" s="54"/>
      <c r="G1055" s="72"/>
      <c r="H1055" s="54"/>
      <c r="I1055" s="54"/>
      <c r="J1055" s="106">
        <f>VLOOKUP(A1055&amp;G1055,Lookup!J:N,5,0)</f>
        <v>0</v>
      </c>
      <c r="K1055" s="115"/>
      <c r="L1055" s="115"/>
      <c r="M1055" s="115"/>
      <c r="N1055" s="115"/>
      <c r="O1055" s="90">
        <f>IFERROR(VLOOKUP(A1055&amp;G1055,Lookup!J:K,2,0),"")</f>
        <v>0</v>
      </c>
      <c r="P1055" s="110" t="str">
        <f t="shared" si="75"/>
        <v/>
      </c>
      <c r="Q1055" s="115"/>
      <c r="R1055" s="87" t="str">
        <f t="shared" si="76"/>
        <v/>
      </c>
      <c r="S1055" s="87" t="str">
        <f t="shared" si="77"/>
        <v/>
      </c>
      <c r="T1055" s="54"/>
      <c r="U1055" s="54"/>
      <c r="V1055" s="54"/>
      <c r="W1055" s="54"/>
      <c r="X1055" s="69" t="str">
        <f t="shared" si="74"/>
        <v>D</v>
      </c>
    </row>
    <row r="1056" spans="2:24" x14ac:dyDescent="0.25">
      <c r="B1056" s="91" t="str">
        <f>IFERROR(VLOOKUP(A1056,Lookup!A:B,2,0),"")</f>
        <v/>
      </c>
      <c r="C1056" s="59" t="str">
        <f>IFERROR(VLOOKUP(A1056,Lookup!A:C,3,0),"")</f>
        <v/>
      </c>
      <c r="D1056" s="54"/>
      <c r="E1056" s="54"/>
      <c r="F1056" s="54"/>
      <c r="G1056" s="72"/>
      <c r="H1056" s="54"/>
      <c r="I1056" s="54"/>
      <c r="J1056" s="106">
        <f>VLOOKUP(A1056&amp;G1056,Lookup!J:N,5,0)</f>
        <v>0</v>
      </c>
      <c r="K1056" s="115"/>
      <c r="L1056" s="115"/>
      <c r="M1056" s="115"/>
      <c r="N1056" s="115"/>
      <c r="O1056" s="90">
        <f>IFERROR(VLOOKUP(A1056&amp;G1056,Lookup!J:K,2,0),"")</f>
        <v>0</v>
      </c>
      <c r="P1056" s="110" t="str">
        <f t="shared" si="75"/>
        <v/>
      </c>
      <c r="Q1056" s="115"/>
      <c r="R1056" s="87" t="str">
        <f t="shared" si="76"/>
        <v/>
      </c>
      <c r="S1056" s="87" t="str">
        <f t="shared" si="77"/>
        <v/>
      </c>
      <c r="T1056" s="54"/>
      <c r="U1056" s="54"/>
      <c r="V1056" s="54"/>
      <c r="W1056" s="54"/>
      <c r="X1056" s="69" t="str">
        <f t="shared" si="74"/>
        <v>D</v>
      </c>
    </row>
    <row r="1057" spans="2:24" x14ac:dyDescent="0.25">
      <c r="B1057" s="91" t="str">
        <f>IFERROR(VLOOKUP(A1057,Lookup!A:B,2,0),"")</f>
        <v/>
      </c>
      <c r="C1057" s="59" t="str">
        <f>IFERROR(VLOOKUP(A1057,Lookup!A:C,3,0),"")</f>
        <v/>
      </c>
      <c r="D1057" s="54"/>
      <c r="E1057" s="54"/>
      <c r="F1057" s="54"/>
      <c r="G1057" s="72"/>
      <c r="H1057" s="54"/>
      <c r="I1057" s="54"/>
      <c r="J1057" s="106">
        <f>VLOOKUP(A1057&amp;G1057,Lookup!J:N,5,0)</f>
        <v>0</v>
      </c>
      <c r="K1057" s="115"/>
      <c r="L1057" s="115"/>
      <c r="M1057" s="115"/>
      <c r="N1057" s="115"/>
      <c r="O1057" s="90">
        <f>IFERROR(VLOOKUP(A1057&amp;G1057,Lookup!J:K,2,0),"")</f>
        <v>0</v>
      </c>
      <c r="P1057" s="110" t="str">
        <f t="shared" si="75"/>
        <v/>
      </c>
      <c r="Q1057" s="115"/>
      <c r="R1057" s="87" t="str">
        <f t="shared" si="76"/>
        <v/>
      </c>
      <c r="S1057" s="87" t="str">
        <f t="shared" si="77"/>
        <v/>
      </c>
      <c r="T1057" s="54"/>
      <c r="U1057" s="54"/>
      <c r="V1057" s="54"/>
      <c r="W1057" s="54"/>
      <c r="X1057" s="69" t="str">
        <f t="shared" si="74"/>
        <v>D</v>
      </c>
    </row>
    <row r="1058" spans="2:24" x14ac:dyDescent="0.25">
      <c r="B1058" s="91" t="str">
        <f>IFERROR(VLOOKUP(A1058,Lookup!A:B,2,0),"")</f>
        <v/>
      </c>
      <c r="C1058" s="59" t="str">
        <f>IFERROR(VLOOKUP(A1058,Lookup!A:C,3,0),"")</f>
        <v/>
      </c>
      <c r="D1058" s="54"/>
      <c r="E1058" s="54"/>
      <c r="F1058" s="54"/>
      <c r="G1058" s="72"/>
      <c r="H1058" s="54"/>
      <c r="I1058" s="54"/>
      <c r="J1058" s="106">
        <f>VLOOKUP(A1058&amp;G1058,Lookup!J:N,5,0)</f>
        <v>0</v>
      </c>
      <c r="K1058" s="115"/>
      <c r="L1058" s="115"/>
      <c r="M1058" s="115"/>
      <c r="N1058" s="115"/>
      <c r="O1058" s="90">
        <f>IFERROR(VLOOKUP(A1058&amp;G1058,Lookup!J:K,2,0),"")</f>
        <v>0</v>
      </c>
      <c r="P1058" s="110" t="str">
        <f t="shared" si="75"/>
        <v/>
      </c>
      <c r="Q1058" s="115"/>
      <c r="R1058" s="87" t="str">
        <f t="shared" si="76"/>
        <v/>
      </c>
      <c r="S1058" s="87" t="str">
        <f t="shared" si="77"/>
        <v/>
      </c>
      <c r="T1058" s="54"/>
      <c r="U1058" s="54"/>
      <c r="V1058" s="54"/>
      <c r="W1058" s="54"/>
      <c r="X1058" s="69" t="str">
        <f t="shared" si="74"/>
        <v>D</v>
      </c>
    </row>
    <row r="1059" spans="2:24" x14ac:dyDescent="0.25">
      <c r="B1059" s="91" t="str">
        <f>IFERROR(VLOOKUP(A1059,Lookup!A:B,2,0),"")</f>
        <v/>
      </c>
      <c r="C1059" s="59" t="str">
        <f>IFERROR(VLOOKUP(A1059,Lookup!A:C,3,0),"")</f>
        <v/>
      </c>
      <c r="D1059" s="54"/>
      <c r="E1059" s="54"/>
      <c r="F1059" s="54"/>
      <c r="G1059" s="72"/>
      <c r="H1059" s="54"/>
      <c r="I1059" s="54"/>
      <c r="J1059" s="106">
        <f>VLOOKUP(A1059&amp;G1059,Lookup!J:N,5,0)</f>
        <v>0</v>
      </c>
      <c r="K1059" s="115"/>
      <c r="L1059" s="115"/>
      <c r="M1059" s="115"/>
      <c r="N1059" s="115"/>
      <c r="O1059" s="90">
        <f>IFERROR(VLOOKUP(A1059&amp;G1059,Lookup!J:K,2,0),"")</f>
        <v>0</v>
      </c>
      <c r="P1059" s="110" t="str">
        <f t="shared" si="75"/>
        <v/>
      </c>
      <c r="Q1059" s="115"/>
      <c r="R1059" s="87" t="str">
        <f t="shared" si="76"/>
        <v/>
      </c>
      <c r="S1059" s="87" t="str">
        <f t="shared" si="77"/>
        <v/>
      </c>
      <c r="T1059" s="54"/>
      <c r="U1059" s="54"/>
      <c r="V1059" s="54"/>
      <c r="W1059" s="54"/>
      <c r="X1059" s="69" t="str">
        <f t="shared" si="74"/>
        <v>D</v>
      </c>
    </row>
    <row r="1060" spans="2:24" x14ac:dyDescent="0.25">
      <c r="B1060" s="91" t="str">
        <f>IFERROR(VLOOKUP(A1060,Lookup!A:B,2,0),"")</f>
        <v/>
      </c>
      <c r="C1060" s="59" t="str">
        <f>IFERROR(VLOOKUP(A1060,Lookup!A:C,3,0),"")</f>
        <v/>
      </c>
      <c r="D1060" s="54"/>
      <c r="E1060" s="54"/>
      <c r="F1060" s="54"/>
      <c r="G1060" s="72"/>
      <c r="H1060" s="54"/>
      <c r="I1060" s="54"/>
      <c r="J1060" s="106">
        <f>VLOOKUP(A1060&amp;G1060,Lookup!J:N,5,0)</f>
        <v>0</v>
      </c>
      <c r="K1060" s="115"/>
      <c r="L1060" s="115"/>
      <c r="M1060" s="115"/>
      <c r="N1060" s="115"/>
      <c r="O1060" s="90">
        <f>IFERROR(VLOOKUP(A1060&amp;G1060,Lookup!J:K,2,0),"")</f>
        <v>0</v>
      </c>
      <c r="P1060" s="110" t="str">
        <f t="shared" si="75"/>
        <v/>
      </c>
      <c r="Q1060" s="115"/>
      <c r="R1060" s="87" t="str">
        <f t="shared" si="76"/>
        <v/>
      </c>
      <c r="S1060" s="87" t="str">
        <f t="shared" si="77"/>
        <v/>
      </c>
      <c r="T1060" s="54"/>
      <c r="U1060" s="54"/>
      <c r="V1060" s="54"/>
      <c r="W1060" s="54"/>
      <c r="X1060" s="69" t="str">
        <f t="shared" si="74"/>
        <v>D</v>
      </c>
    </row>
    <row r="1061" spans="2:24" x14ac:dyDescent="0.25">
      <c r="B1061" s="91" t="str">
        <f>IFERROR(VLOOKUP(A1061,Lookup!A:B,2,0),"")</f>
        <v/>
      </c>
      <c r="C1061" s="59" t="str">
        <f>IFERROR(VLOOKUP(A1061,Lookup!A:C,3,0),"")</f>
        <v/>
      </c>
      <c r="D1061" s="54"/>
      <c r="E1061" s="54"/>
      <c r="F1061" s="54"/>
      <c r="G1061" s="72"/>
      <c r="H1061" s="54"/>
      <c r="I1061" s="54"/>
      <c r="J1061" s="106">
        <f>VLOOKUP(A1061&amp;G1061,Lookup!J:N,5,0)</f>
        <v>0</v>
      </c>
      <c r="K1061" s="115"/>
      <c r="L1061" s="115"/>
      <c r="M1061" s="115"/>
      <c r="N1061" s="115"/>
      <c r="O1061" s="90">
        <f>IFERROR(VLOOKUP(A1061&amp;G1061,Lookup!J:K,2,0),"")</f>
        <v>0</v>
      </c>
      <c r="P1061" s="110" t="str">
        <f t="shared" si="75"/>
        <v/>
      </c>
      <c r="Q1061" s="115"/>
      <c r="R1061" s="87" t="str">
        <f t="shared" si="76"/>
        <v/>
      </c>
      <c r="S1061" s="87" t="str">
        <f t="shared" si="77"/>
        <v/>
      </c>
      <c r="T1061" s="54"/>
      <c r="U1061" s="54"/>
      <c r="V1061" s="54"/>
      <c r="W1061" s="54"/>
      <c r="X1061" s="69" t="str">
        <f t="shared" si="74"/>
        <v>D</v>
      </c>
    </row>
    <row r="1062" spans="2:24" x14ac:dyDescent="0.25">
      <c r="B1062" s="91" t="str">
        <f>IFERROR(VLOOKUP(A1062,Lookup!A:B,2,0),"")</f>
        <v/>
      </c>
      <c r="C1062" s="59" t="str">
        <f>IFERROR(VLOOKUP(A1062,Lookup!A:C,3,0),"")</f>
        <v/>
      </c>
      <c r="D1062" s="54"/>
      <c r="E1062" s="54"/>
      <c r="F1062" s="54"/>
      <c r="G1062" s="72"/>
      <c r="H1062" s="54"/>
      <c r="I1062" s="54"/>
      <c r="J1062" s="106">
        <f>VLOOKUP(A1062&amp;G1062,Lookup!J:N,5,0)</f>
        <v>0</v>
      </c>
      <c r="K1062" s="115"/>
      <c r="L1062" s="115"/>
      <c r="M1062" s="115"/>
      <c r="N1062" s="115"/>
      <c r="O1062" s="90">
        <f>IFERROR(VLOOKUP(A1062&amp;G1062,Lookup!J:K,2,0),"")</f>
        <v>0</v>
      </c>
      <c r="P1062" s="110" t="str">
        <f t="shared" si="75"/>
        <v/>
      </c>
      <c r="Q1062" s="115"/>
      <c r="R1062" s="87" t="str">
        <f t="shared" si="76"/>
        <v/>
      </c>
      <c r="S1062" s="87" t="str">
        <f t="shared" si="77"/>
        <v/>
      </c>
      <c r="T1062" s="54"/>
      <c r="U1062" s="54"/>
      <c r="V1062" s="54"/>
      <c r="W1062" s="54"/>
      <c r="X1062" s="69" t="str">
        <f t="shared" si="74"/>
        <v>D</v>
      </c>
    </row>
    <row r="1063" spans="2:24" x14ac:dyDescent="0.25">
      <c r="B1063" s="91" t="str">
        <f>IFERROR(VLOOKUP(A1063,Lookup!A:B,2,0),"")</f>
        <v/>
      </c>
      <c r="C1063" s="59" t="str">
        <f>IFERROR(VLOOKUP(A1063,Lookup!A:C,3,0),"")</f>
        <v/>
      </c>
      <c r="D1063" s="54"/>
      <c r="E1063" s="54"/>
      <c r="F1063" s="54"/>
      <c r="G1063" s="72"/>
      <c r="H1063" s="54"/>
      <c r="I1063" s="54"/>
      <c r="J1063" s="106">
        <f>VLOOKUP(A1063&amp;G1063,Lookup!J:N,5,0)</f>
        <v>0</v>
      </c>
      <c r="K1063" s="115"/>
      <c r="L1063" s="115"/>
      <c r="M1063" s="115"/>
      <c r="N1063" s="115"/>
      <c r="O1063" s="90">
        <f>IFERROR(VLOOKUP(A1063&amp;G1063,Lookup!J:K,2,0),"")</f>
        <v>0</v>
      </c>
      <c r="P1063" s="110" t="str">
        <f t="shared" si="75"/>
        <v/>
      </c>
      <c r="Q1063" s="115"/>
      <c r="R1063" s="87" t="str">
        <f t="shared" si="76"/>
        <v/>
      </c>
      <c r="S1063" s="87" t="str">
        <f t="shared" si="77"/>
        <v/>
      </c>
      <c r="T1063" s="54"/>
      <c r="U1063" s="54"/>
      <c r="V1063" s="54"/>
      <c r="W1063" s="54"/>
      <c r="X1063" s="69" t="str">
        <f t="shared" si="74"/>
        <v>D</v>
      </c>
    </row>
    <row r="1064" spans="2:24" x14ac:dyDescent="0.25">
      <c r="B1064" s="91" t="str">
        <f>IFERROR(VLOOKUP(A1064,Lookup!A:B,2,0),"")</f>
        <v/>
      </c>
      <c r="C1064" s="59" t="str">
        <f>IFERROR(VLOOKUP(A1064,Lookup!A:C,3,0),"")</f>
        <v/>
      </c>
      <c r="D1064" s="54"/>
      <c r="E1064" s="54"/>
      <c r="F1064" s="54"/>
      <c r="G1064" s="72"/>
      <c r="H1064" s="54"/>
      <c r="I1064" s="54"/>
      <c r="J1064" s="106">
        <f>VLOOKUP(A1064&amp;G1064,Lookup!J:N,5,0)</f>
        <v>0</v>
      </c>
      <c r="K1064" s="115"/>
      <c r="L1064" s="115"/>
      <c r="M1064" s="115"/>
      <c r="N1064" s="115"/>
      <c r="O1064" s="90">
        <f>IFERROR(VLOOKUP(A1064&amp;G1064,Lookup!J:K,2,0),"")</f>
        <v>0</v>
      </c>
      <c r="P1064" s="110" t="str">
        <f t="shared" si="75"/>
        <v/>
      </c>
      <c r="Q1064" s="115"/>
      <c r="R1064" s="87" t="str">
        <f t="shared" si="76"/>
        <v/>
      </c>
      <c r="S1064" s="87" t="str">
        <f t="shared" si="77"/>
        <v/>
      </c>
      <c r="T1064" s="54"/>
      <c r="U1064" s="54"/>
      <c r="V1064" s="54"/>
      <c r="W1064" s="54"/>
      <c r="X1064" s="69" t="str">
        <f t="shared" si="74"/>
        <v>D</v>
      </c>
    </row>
    <row r="1065" spans="2:24" x14ac:dyDescent="0.25">
      <c r="B1065" s="91" t="str">
        <f>IFERROR(VLOOKUP(A1065,Lookup!A:B,2,0),"")</f>
        <v/>
      </c>
      <c r="C1065" s="59" t="str">
        <f>IFERROR(VLOOKUP(A1065,Lookup!A:C,3,0),"")</f>
        <v/>
      </c>
      <c r="D1065" s="54"/>
      <c r="E1065" s="54"/>
      <c r="F1065" s="54"/>
      <c r="G1065" s="72"/>
      <c r="H1065" s="54"/>
      <c r="I1065" s="54"/>
      <c r="J1065" s="106">
        <f>VLOOKUP(A1065&amp;G1065,Lookup!J:N,5,0)</f>
        <v>0</v>
      </c>
      <c r="K1065" s="115"/>
      <c r="L1065" s="115"/>
      <c r="M1065" s="115"/>
      <c r="N1065" s="115"/>
      <c r="O1065" s="90">
        <f>IFERROR(VLOOKUP(A1065&amp;G1065,Lookup!J:K,2,0),"")</f>
        <v>0</v>
      </c>
      <c r="P1065" s="110" t="str">
        <f t="shared" si="75"/>
        <v/>
      </c>
      <c r="Q1065" s="115"/>
      <c r="R1065" s="87" t="str">
        <f t="shared" si="76"/>
        <v/>
      </c>
      <c r="S1065" s="87" t="str">
        <f t="shared" si="77"/>
        <v/>
      </c>
      <c r="T1065" s="54"/>
      <c r="U1065" s="54"/>
      <c r="V1065" s="54"/>
      <c r="W1065" s="54"/>
      <c r="X1065" s="69" t="str">
        <f t="shared" si="74"/>
        <v>D</v>
      </c>
    </row>
    <row r="1066" spans="2:24" x14ac:dyDescent="0.25">
      <c r="B1066" s="91" t="str">
        <f>IFERROR(VLOOKUP(A1066,Lookup!A:B,2,0),"")</f>
        <v/>
      </c>
      <c r="C1066" s="59" t="str">
        <f>IFERROR(VLOOKUP(A1066,Lookup!A:C,3,0),"")</f>
        <v/>
      </c>
      <c r="D1066" s="54"/>
      <c r="E1066" s="54"/>
      <c r="F1066" s="54"/>
      <c r="G1066" s="72"/>
      <c r="H1066" s="54"/>
      <c r="I1066" s="54"/>
      <c r="J1066" s="106">
        <f>VLOOKUP(A1066&amp;G1066,Lookup!J:N,5,0)</f>
        <v>0</v>
      </c>
      <c r="K1066" s="115"/>
      <c r="L1066" s="115"/>
      <c r="M1066" s="115"/>
      <c r="N1066" s="115"/>
      <c r="O1066" s="90">
        <f>IFERROR(VLOOKUP(A1066&amp;G1066,Lookup!J:K,2,0),"")</f>
        <v>0</v>
      </c>
      <c r="P1066" s="110" t="str">
        <f t="shared" si="75"/>
        <v/>
      </c>
      <c r="Q1066" s="115"/>
      <c r="R1066" s="87" t="str">
        <f t="shared" si="76"/>
        <v/>
      </c>
      <c r="S1066" s="87" t="str">
        <f t="shared" si="77"/>
        <v/>
      </c>
      <c r="T1066" s="54"/>
      <c r="U1066" s="54"/>
      <c r="V1066" s="54"/>
      <c r="W1066" s="54"/>
      <c r="X1066" s="69" t="str">
        <f t="shared" si="74"/>
        <v>D</v>
      </c>
    </row>
    <row r="1067" spans="2:24" x14ac:dyDescent="0.25">
      <c r="B1067" s="91" t="str">
        <f>IFERROR(VLOOKUP(A1067,Lookup!A:B,2,0),"")</f>
        <v/>
      </c>
      <c r="C1067" s="59" t="str">
        <f>IFERROR(VLOOKUP(A1067,Lookup!A:C,3,0),"")</f>
        <v/>
      </c>
      <c r="D1067" s="54"/>
      <c r="E1067" s="54"/>
      <c r="F1067" s="54"/>
      <c r="G1067" s="72"/>
      <c r="H1067" s="54"/>
      <c r="I1067" s="54"/>
      <c r="J1067" s="106">
        <f>VLOOKUP(A1067&amp;G1067,Lookup!J:N,5,0)</f>
        <v>0</v>
      </c>
      <c r="K1067" s="115"/>
      <c r="L1067" s="115"/>
      <c r="M1067" s="115"/>
      <c r="N1067" s="115"/>
      <c r="O1067" s="90">
        <f>IFERROR(VLOOKUP(A1067&amp;G1067,Lookup!J:K,2,0),"")</f>
        <v>0</v>
      </c>
      <c r="P1067" s="110" t="str">
        <f t="shared" si="75"/>
        <v/>
      </c>
      <c r="Q1067" s="115"/>
      <c r="R1067" s="87" t="str">
        <f t="shared" si="76"/>
        <v/>
      </c>
      <c r="S1067" s="87" t="str">
        <f t="shared" si="77"/>
        <v/>
      </c>
      <c r="T1067" s="54"/>
      <c r="U1067" s="54"/>
      <c r="V1067" s="54"/>
      <c r="W1067" s="54"/>
      <c r="X1067" s="69" t="str">
        <f t="shared" si="74"/>
        <v>D</v>
      </c>
    </row>
    <row r="1068" spans="2:24" x14ac:dyDescent="0.25">
      <c r="B1068" s="91" t="str">
        <f>IFERROR(VLOOKUP(A1068,Lookup!A:B,2,0),"")</f>
        <v/>
      </c>
      <c r="C1068" s="59" t="str">
        <f>IFERROR(VLOOKUP(A1068,Lookup!A:C,3,0),"")</f>
        <v/>
      </c>
      <c r="D1068" s="54"/>
      <c r="E1068" s="54"/>
      <c r="F1068" s="54"/>
      <c r="G1068" s="72"/>
      <c r="H1068" s="54"/>
      <c r="I1068" s="54"/>
      <c r="J1068" s="106">
        <f>VLOOKUP(A1068&amp;G1068,Lookup!J:N,5,0)</f>
        <v>0</v>
      </c>
      <c r="K1068" s="115"/>
      <c r="L1068" s="115"/>
      <c r="M1068" s="115"/>
      <c r="N1068" s="115"/>
      <c r="O1068" s="90">
        <f>IFERROR(VLOOKUP(A1068&amp;G1068,Lookup!J:K,2,0),"")</f>
        <v>0</v>
      </c>
      <c r="P1068" s="110" t="str">
        <f t="shared" si="75"/>
        <v/>
      </c>
      <c r="Q1068" s="115"/>
      <c r="R1068" s="87" t="str">
        <f t="shared" si="76"/>
        <v/>
      </c>
      <c r="S1068" s="87" t="str">
        <f t="shared" si="77"/>
        <v/>
      </c>
      <c r="T1068" s="54"/>
      <c r="U1068" s="54"/>
      <c r="V1068" s="54"/>
      <c r="W1068" s="54"/>
      <c r="X1068" s="69" t="str">
        <f t="shared" si="74"/>
        <v>D</v>
      </c>
    </row>
    <row r="1069" spans="2:24" x14ac:dyDescent="0.25">
      <c r="B1069" s="91" t="str">
        <f>IFERROR(VLOOKUP(A1069,Lookup!A:B,2,0),"")</f>
        <v/>
      </c>
      <c r="C1069" s="59" t="str">
        <f>IFERROR(VLOOKUP(A1069,Lookup!A:C,3,0),"")</f>
        <v/>
      </c>
      <c r="D1069" s="54"/>
      <c r="E1069" s="54"/>
      <c r="F1069" s="54"/>
      <c r="G1069" s="72"/>
      <c r="H1069" s="54"/>
      <c r="I1069" s="54"/>
      <c r="J1069" s="106">
        <f>VLOOKUP(A1069&amp;G1069,Lookup!J:N,5,0)</f>
        <v>0</v>
      </c>
      <c r="K1069" s="115"/>
      <c r="L1069" s="115"/>
      <c r="M1069" s="115"/>
      <c r="N1069" s="115"/>
      <c r="O1069" s="90">
        <f>IFERROR(VLOOKUP(A1069&amp;G1069,Lookup!J:K,2,0),"")</f>
        <v>0</v>
      </c>
      <c r="P1069" s="110" t="str">
        <f t="shared" si="75"/>
        <v/>
      </c>
      <c r="Q1069" s="115"/>
      <c r="R1069" s="87" t="str">
        <f t="shared" si="76"/>
        <v/>
      </c>
      <c r="S1069" s="87" t="str">
        <f t="shared" si="77"/>
        <v/>
      </c>
      <c r="T1069" s="54"/>
      <c r="U1069" s="54"/>
      <c r="V1069" s="54"/>
      <c r="W1069" s="54"/>
      <c r="X1069" s="69" t="str">
        <f t="shared" si="74"/>
        <v>D</v>
      </c>
    </row>
    <row r="1070" spans="2:24" x14ac:dyDescent="0.25">
      <c r="B1070" s="91" t="str">
        <f>IFERROR(VLOOKUP(A1070,Lookup!A:B,2,0),"")</f>
        <v/>
      </c>
      <c r="C1070" s="59" t="str">
        <f>IFERROR(VLOOKUP(A1070,Lookup!A:C,3,0),"")</f>
        <v/>
      </c>
      <c r="D1070" s="54"/>
      <c r="E1070" s="54"/>
      <c r="F1070" s="54"/>
      <c r="G1070" s="72"/>
      <c r="H1070" s="54"/>
      <c r="I1070" s="54"/>
      <c r="J1070" s="106">
        <f>VLOOKUP(A1070&amp;G1070,Lookup!J:N,5,0)</f>
        <v>0</v>
      </c>
      <c r="K1070" s="115"/>
      <c r="L1070" s="115"/>
      <c r="M1070" s="115"/>
      <c r="N1070" s="115"/>
      <c r="O1070" s="90">
        <f>IFERROR(VLOOKUP(A1070&amp;G1070,Lookup!J:K,2,0),"")</f>
        <v>0</v>
      </c>
      <c r="P1070" s="110" t="str">
        <f t="shared" si="75"/>
        <v/>
      </c>
      <c r="Q1070" s="115"/>
      <c r="R1070" s="87" t="str">
        <f t="shared" si="76"/>
        <v/>
      </c>
      <c r="S1070" s="87" t="str">
        <f t="shared" si="77"/>
        <v/>
      </c>
      <c r="T1070" s="54"/>
      <c r="U1070" s="54"/>
      <c r="V1070" s="54"/>
      <c r="W1070" s="54"/>
      <c r="X1070" s="69" t="str">
        <f t="shared" si="74"/>
        <v>D</v>
      </c>
    </row>
    <row r="1071" spans="2:24" x14ac:dyDescent="0.25">
      <c r="B1071" s="91" t="str">
        <f>IFERROR(VLOOKUP(A1071,Lookup!A:B,2,0),"")</f>
        <v/>
      </c>
      <c r="C1071" s="59" t="str">
        <f>IFERROR(VLOOKUP(A1071,Lookup!A:C,3,0),"")</f>
        <v/>
      </c>
      <c r="D1071" s="54"/>
      <c r="E1071" s="54"/>
      <c r="F1071" s="54"/>
      <c r="G1071" s="72"/>
      <c r="H1071" s="54"/>
      <c r="I1071" s="54"/>
      <c r="J1071" s="106">
        <f>VLOOKUP(A1071&amp;G1071,Lookup!J:N,5,0)</f>
        <v>0</v>
      </c>
      <c r="K1071" s="115"/>
      <c r="L1071" s="115"/>
      <c r="M1071" s="115"/>
      <c r="N1071" s="115"/>
      <c r="O1071" s="90">
        <f>IFERROR(VLOOKUP(A1071&amp;G1071,Lookup!J:K,2,0),"")</f>
        <v>0</v>
      </c>
      <c r="P1071" s="110" t="str">
        <f t="shared" si="75"/>
        <v/>
      </c>
      <c r="Q1071" s="115"/>
      <c r="R1071" s="87" t="str">
        <f t="shared" si="76"/>
        <v/>
      </c>
      <c r="S1071" s="87" t="str">
        <f t="shared" si="77"/>
        <v/>
      </c>
      <c r="T1071" s="54"/>
      <c r="U1071" s="54"/>
      <c r="V1071" s="54"/>
      <c r="W1071" s="54"/>
      <c r="X1071" s="69" t="str">
        <f t="shared" si="74"/>
        <v>D</v>
      </c>
    </row>
    <row r="1072" spans="2:24" x14ac:dyDescent="0.25">
      <c r="B1072" s="91" t="str">
        <f>IFERROR(VLOOKUP(A1072,Lookup!A:B,2,0),"")</f>
        <v/>
      </c>
      <c r="C1072" s="59" t="str">
        <f>IFERROR(VLOOKUP(A1072,Lookup!A:C,3,0),"")</f>
        <v/>
      </c>
      <c r="D1072" s="54"/>
      <c r="E1072" s="54"/>
      <c r="F1072" s="54"/>
      <c r="G1072" s="72"/>
      <c r="H1072" s="54"/>
      <c r="I1072" s="54"/>
      <c r="J1072" s="106">
        <f>VLOOKUP(A1072&amp;G1072,Lookup!J:N,5,0)</f>
        <v>0</v>
      </c>
      <c r="K1072" s="115"/>
      <c r="L1072" s="115"/>
      <c r="M1072" s="115"/>
      <c r="N1072" s="115"/>
      <c r="O1072" s="90">
        <f>IFERROR(VLOOKUP(A1072&amp;G1072,Lookup!J:K,2,0),"")</f>
        <v>0</v>
      </c>
      <c r="P1072" s="110" t="str">
        <f t="shared" si="75"/>
        <v/>
      </c>
      <c r="Q1072" s="115"/>
      <c r="R1072" s="87" t="str">
        <f t="shared" si="76"/>
        <v/>
      </c>
      <c r="S1072" s="87" t="str">
        <f t="shared" si="77"/>
        <v/>
      </c>
      <c r="T1072" s="54"/>
      <c r="U1072" s="54"/>
      <c r="V1072" s="54"/>
      <c r="W1072" s="54"/>
      <c r="X1072" s="69" t="str">
        <f t="shared" si="74"/>
        <v>D</v>
      </c>
    </row>
    <row r="1073" spans="2:24" x14ac:dyDescent="0.25">
      <c r="B1073" s="91" t="str">
        <f>IFERROR(VLOOKUP(A1073,Lookup!A:B,2,0),"")</f>
        <v/>
      </c>
      <c r="C1073" s="59" t="str">
        <f>IFERROR(VLOOKUP(A1073,Lookup!A:C,3,0),"")</f>
        <v/>
      </c>
      <c r="D1073" s="54"/>
      <c r="E1073" s="54"/>
      <c r="F1073" s="54"/>
      <c r="G1073" s="72"/>
      <c r="H1073" s="54"/>
      <c r="I1073" s="54"/>
      <c r="J1073" s="106">
        <f>VLOOKUP(A1073&amp;G1073,Lookup!J:N,5,0)</f>
        <v>0</v>
      </c>
      <c r="K1073" s="115"/>
      <c r="L1073" s="115"/>
      <c r="M1073" s="115"/>
      <c r="N1073" s="115"/>
      <c r="O1073" s="90">
        <f>IFERROR(VLOOKUP(A1073&amp;G1073,Lookup!J:K,2,0),"")</f>
        <v>0</v>
      </c>
      <c r="P1073" s="110" t="str">
        <f t="shared" si="75"/>
        <v/>
      </c>
      <c r="Q1073" s="115"/>
      <c r="R1073" s="87" t="str">
        <f t="shared" si="76"/>
        <v/>
      </c>
      <c r="S1073" s="87" t="str">
        <f t="shared" si="77"/>
        <v/>
      </c>
      <c r="T1073" s="54"/>
      <c r="U1073" s="54"/>
      <c r="V1073" s="54"/>
      <c r="W1073" s="54"/>
      <c r="X1073" s="69" t="str">
        <f t="shared" si="74"/>
        <v>D</v>
      </c>
    </row>
    <row r="1074" spans="2:24" x14ac:dyDescent="0.25">
      <c r="B1074" s="91" t="str">
        <f>IFERROR(VLOOKUP(A1074,Lookup!A:B,2,0),"")</f>
        <v/>
      </c>
      <c r="C1074" s="59" t="str">
        <f>IFERROR(VLOOKUP(A1074,Lookup!A:C,3,0),"")</f>
        <v/>
      </c>
      <c r="D1074" s="54"/>
      <c r="E1074" s="54"/>
      <c r="F1074" s="54"/>
      <c r="G1074" s="72"/>
      <c r="H1074" s="54"/>
      <c r="I1074" s="54"/>
      <c r="J1074" s="106">
        <f>VLOOKUP(A1074&amp;G1074,Lookup!J:N,5,0)</f>
        <v>0</v>
      </c>
      <c r="K1074" s="115"/>
      <c r="L1074" s="115"/>
      <c r="M1074" s="115"/>
      <c r="N1074" s="115"/>
      <c r="O1074" s="90">
        <f>IFERROR(VLOOKUP(A1074&amp;G1074,Lookup!J:K,2,0),"")</f>
        <v>0</v>
      </c>
      <c r="P1074" s="110" t="str">
        <f t="shared" si="75"/>
        <v/>
      </c>
      <c r="Q1074" s="115"/>
      <c r="R1074" s="87" t="str">
        <f t="shared" si="76"/>
        <v/>
      </c>
      <c r="S1074" s="87" t="str">
        <f t="shared" si="77"/>
        <v/>
      </c>
      <c r="T1074" s="54"/>
      <c r="U1074" s="54"/>
      <c r="V1074" s="54"/>
      <c r="W1074" s="54"/>
      <c r="X1074" s="69" t="str">
        <f t="shared" si="74"/>
        <v>D</v>
      </c>
    </row>
    <row r="1075" spans="2:24" x14ac:dyDescent="0.25">
      <c r="B1075" s="91" t="str">
        <f>IFERROR(VLOOKUP(A1075,Lookup!A:B,2,0),"")</f>
        <v/>
      </c>
      <c r="C1075" s="59" t="str">
        <f>IFERROR(VLOOKUP(A1075,Lookup!A:C,3,0),"")</f>
        <v/>
      </c>
      <c r="D1075" s="54"/>
      <c r="E1075" s="54"/>
      <c r="F1075" s="54"/>
      <c r="G1075" s="72"/>
      <c r="H1075" s="54"/>
      <c r="I1075" s="54"/>
      <c r="J1075" s="106">
        <f>VLOOKUP(A1075&amp;G1075,Lookup!J:N,5,0)</f>
        <v>0</v>
      </c>
      <c r="K1075" s="115"/>
      <c r="L1075" s="115"/>
      <c r="M1075" s="115"/>
      <c r="N1075" s="115"/>
      <c r="O1075" s="90">
        <f>IFERROR(VLOOKUP(A1075&amp;G1075,Lookup!J:K,2,0),"")</f>
        <v>0</v>
      </c>
      <c r="P1075" s="110" t="str">
        <f t="shared" si="75"/>
        <v/>
      </c>
      <c r="Q1075" s="115"/>
      <c r="R1075" s="87" t="str">
        <f t="shared" si="76"/>
        <v/>
      </c>
      <c r="S1075" s="87" t="str">
        <f t="shared" si="77"/>
        <v/>
      </c>
      <c r="T1075" s="54"/>
      <c r="U1075" s="54"/>
      <c r="V1075" s="54"/>
      <c r="W1075" s="54"/>
      <c r="X1075" s="69" t="str">
        <f t="shared" si="74"/>
        <v>D</v>
      </c>
    </row>
    <row r="1076" spans="2:24" x14ac:dyDescent="0.25">
      <c r="B1076" s="91" t="str">
        <f>IFERROR(VLOOKUP(A1076,Lookup!A:B,2,0),"")</f>
        <v/>
      </c>
      <c r="C1076" s="59" t="str">
        <f>IFERROR(VLOOKUP(A1076,Lookup!A:C,3,0),"")</f>
        <v/>
      </c>
      <c r="D1076" s="54"/>
      <c r="E1076" s="54"/>
      <c r="F1076" s="54"/>
      <c r="G1076" s="72"/>
      <c r="H1076" s="54"/>
      <c r="I1076" s="54"/>
      <c r="J1076" s="106">
        <f>VLOOKUP(A1076&amp;G1076,Lookup!J:N,5,0)</f>
        <v>0</v>
      </c>
      <c r="K1076" s="115"/>
      <c r="L1076" s="115"/>
      <c r="M1076" s="115"/>
      <c r="N1076" s="115"/>
      <c r="O1076" s="90">
        <f>IFERROR(VLOOKUP(A1076&amp;G1076,Lookup!J:K,2,0),"")</f>
        <v>0</v>
      </c>
      <c r="P1076" s="110" t="str">
        <f t="shared" si="75"/>
        <v/>
      </c>
      <c r="Q1076" s="115"/>
      <c r="R1076" s="87" t="str">
        <f t="shared" si="76"/>
        <v/>
      </c>
      <c r="S1076" s="87" t="str">
        <f t="shared" si="77"/>
        <v/>
      </c>
      <c r="T1076" s="54"/>
      <c r="U1076" s="54"/>
      <c r="V1076" s="54"/>
      <c r="W1076" s="54"/>
      <c r="X1076" s="69" t="str">
        <f t="shared" si="74"/>
        <v>D</v>
      </c>
    </row>
    <row r="1077" spans="2:24" x14ac:dyDescent="0.25">
      <c r="B1077" s="91" t="str">
        <f>IFERROR(VLOOKUP(A1077,Lookup!A:B,2,0),"")</f>
        <v/>
      </c>
      <c r="C1077" s="59" t="str">
        <f>IFERROR(VLOOKUP(A1077,Lookup!A:C,3,0),"")</f>
        <v/>
      </c>
      <c r="D1077" s="54"/>
      <c r="E1077" s="54"/>
      <c r="F1077" s="54"/>
      <c r="G1077" s="72"/>
      <c r="H1077" s="54"/>
      <c r="I1077" s="54"/>
      <c r="J1077" s="106">
        <f>VLOOKUP(A1077&amp;G1077,Lookup!J:N,5,0)</f>
        <v>0</v>
      </c>
      <c r="K1077" s="115"/>
      <c r="L1077" s="115"/>
      <c r="M1077" s="115"/>
      <c r="N1077" s="115"/>
      <c r="O1077" s="90">
        <f>IFERROR(VLOOKUP(A1077&amp;G1077,Lookup!J:K,2,0),"")</f>
        <v>0</v>
      </c>
      <c r="P1077" s="110" t="str">
        <f t="shared" si="75"/>
        <v/>
      </c>
      <c r="Q1077" s="115"/>
      <c r="R1077" s="87" t="str">
        <f t="shared" si="76"/>
        <v/>
      </c>
      <c r="S1077" s="87" t="str">
        <f t="shared" si="77"/>
        <v/>
      </c>
      <c r="T1077" s="54"/>
      <c r="U1077" s="54"/>
      <c r="V1077" s="54"/>
      <c r="W1077" s="54"/>
      <c r="X1077" s="69" t="str">
        <f t="shared" si="74"/>
        <v>D</v>
      </c>
    </row>
    <row r="1078" spans="2:24" x14ac:dyDescent="0.25">
      <c r="B1078" s="91" t="str">
        <f>IFERROR(VLOOKUP(A1078,Lookup!A:B,2,0),"")</f>
        <v/>
      </c>
      <c r="C1078" s="59" t="str">
        <f>IFERROR(VLOOKUP(A1078,Lookup!A:C,3,0),"")</f>
        <v/>
      </c>
      <c r="D1078" s="54"/>
      <c r="E1078" s="54"/>
      <c r="F1078" s="54"/>
      <c r="G1078" s="72"/>
      <c r="H1078" s="54"/>
      <c r="I1078" s="54"/>
      <c r="J1078" s="106">
        <f>VLOOKUP(A1078&amp;G1078,Lookup!J:N,5,0)</f>
        <v>0</v>
      </c>
      <c r="K1078" s="115"/>
      <c r="L1078" s="115"/>
      <c r="M1078" s="115"/>
      <c r="N1078" s="115"/>
      <c r="O1078" s="90">
        <f>IFERROR(VLOOKUP(A1078&amp;G1078,Lookup!J:K,2,0),"")</f>
        <v>0</v>
      </c>
      <c r="P1078" s="110" t="str">
        <f t="shared" si="75"/>
        <v/>
      </c>
      <c r="Q1078" s="115"/>
      <c r="R1078" s="87" t="str">
        <f t="shared" si="76"/>
        <v/>
      </c>
      <c r="S1078" s="87" t="str">
        <f t="shared" si="77"/>
        <v/>
      </c>
      <c r="T1078" s="54"/>
      <c r="U1078" s="54"/>
      <c r="V1078" s="54"/>
      <c r="W1078" s="54"/>
      <c r="X1078" s="69" t="str">
        <f t="shared" si="74"/>
        <v>D</v>
      </c>
    </row>
    <row r="1079" spans="2:24" x14ac:dyDescent="0.25">
      <c r="B1079" s="91" t="str">
        <f>IFERROR(VLOOKUP(A1079,Lookup!A:B,2,0),"")</f>
        <v/>
      </c>
      <c r="C1079" s="59" t="str">
        <f>IFERROR(VLOOKUP(A1079,Lookup!A:C,3,0),"")</f>
        <v/>
      </c>
      <c r="D1079" s="54"/>
      <c r="E1079" s="54"/>
      <c r="F1079" s="54"/>
      <c r="G1079" s="72"/>
      <c r="H1079" s="54"/>
      <c r="I1079" s="54"/>
      <c r="J1079" s="106">
        <f>VLOOKUP(A1079&amp;G1079,Lookup!J:N,5,0)</f>
        <v>0</v>
      </c>
      <c r="K1079" s="115"/>
      <c r="L1079" s="115"/>
      <c r="M1079" s="115"/>
      <c r="N1079" s="115"/>
      <c r="O1079" s="90">
        <f>IFERROR(VLOOKUP(A1079&amp;G1079,Lookup!J:K,2,0),"")</f>
        <v>0</v>
      </c>
      <c r="P1079" s="110" t="str">
        <f t="shared" si="75"/>
        <v/>
      </c>
      <c r="Q1079" s="115"/>
      <c r="R1079" s="87" t="str">
        <f t="shared" si="76"/>
        <v/>
      </c>
      <c r="S1079" s="87" t="str">
        <f t="shared" si="77"/>
        <v/>
      </c>
      <c r="T1079" s="54"/>
      <c r="U1079" s="54"/>
      <c r="V1079" s="54"/>
      <c r="W1079" s="54"/>
      <c r="X1079" s="69" t="str">
        <f t="shared" si="74"/>
        <v>D</v>
      </c>
    </row>
    <row r="1080" spans="2:24" x14ac:dyDescent="0.25">
      <c r="B1080" s="91" t="str">
        <f>IFERROR(VLOOKUP(A1080,Lookup!A:B,2,0),"")</f>
        <v/>
      </c>
      <c r="C1080" s="59" t="str">
        <f>IFERROR(VLOOKUP(A1080,Lookup!A:C,3,0),"")</f>
        <v/>
      </c>
      <c r="D1080" s="54"/>
      <c r="E1080" s="54"/>
      <c r="F1080" s="54"/>
      <c r="G1080" s="72"/>
      <c r="H1080" s="54"/>
      <c r="I1080" s="54"/>
      <c r="J1080" s="106">
        <f>VLOOKUP(A1080&amp;G1080,Lookup!J:N,5,0)</f>
        <v>0</v>
      </c>
      <c r="K1080" s="115"/>
      <c r="L1080" s="115"/>
      <c r="M1080" s="115"/>
      <c r="N1080" s="115"/>
      <c r="O1080" s="90">
        <f>IFERROR(VLOOKUP(A1080&amp;G1080,Lookup!J:K,2,0),"")</f>
        <v>0</v>
      </c>
      <c r="P1080" s="110" t="str">
        <f t="shared" si="75"/>
        <v/>
      </c>
      <c r="Q1080" s="115"/>
      <c r="R1080" s="87" t="str">
        <f t="shared" si="76"/>
        <v/>
      </c>
      <c r="S1080" s="87" t="str">
        <f t="shared" si="77"/>
        <v/>
      </c>
      <c r="T1080" s="54"/>
      <c r="U1080" s="54"/>
      <c r="V1080" s="54"/>
      <c r="W1080" s="54"/>
      <c r="X1080" s="69" t="str">
        <f t="shared" si="74"/>
        <v>D</v>
      </c>
    </row>
    <row r="1081" spans="2:24" x14ac:dyDescent="0.25">
      <c r="B1081" s="91" t="str">
        <f>IFERROR(VLOOKUP(A1081,Lookup!A:B,2,0),"")</f>
        <v/>
      </c>
      <c r="C1081" s="59" t="str">
        <f>IFERROR(VLOOKUP(A1081,Lookup!A:C,3,0),"")</f>
        <v/>
      </c>
      <c r="D1081" s="54"/>
      <c r="E1081" s="54"/>
      <c r="F1081" s="54"/>
      <c r="G1081" s="72"/>
      <c r="H1081" s="54"/>
      <c r="I1081" s="54"/>
      <c r="J1081" s="106">
        <f>VLOOKUP(A1081&amp;G1081,Lookup!J:N,5,0)</f>
        <v>0</v>
      </c>
      <c r="K1081" s="115"/>
      <c r="L1081" s="115"/>
      <c r="M1081" s="115"/>
      <c r="N1081" s="115"/>
      <c r="O1081" s="90">
        <f>IFERROR(VLOOKUP(A1081&amp;G1081,Lookup!J:K,2,0),"")</f>
        <v>0</v>
      </c>
      <c r="P1081" s="110" t="str">
        <f t="shared" si="75"/>
        <v/>
      </c>
      <c r="Q1081" s="115"/>
      <c r="R1081" s="87" t="str">
        <f t="shared" si="76"/>
        <v/>
      </c>
      <c r="S1081" s="87" t="str">
        <f t="shared" si="77"/>
        <v/>
      </c>
      <c r="T1081" s="54"/>
      <c r="U1081" s="54"/>
      <c r="V1081" s="54"/>
      <c r="W1081" s="54"/>
      <c r="X1081" s="69" t="str">
        <f t="shared" si="74"/>
        <v>D</v>
      </c>
    </row>
    <row r="1082" spans="2:24" x14ac:dyDescent="0.25">
      <c r="B1082" s="91" t="str">
        <f>IFERROR(VLOOKUP(A1082,Lookup!A:B,2,0),"")</f>
        <v/>
      </c>
      <c r="C1082" s="59" t="str">
        <f>IFERROR(VLOOKUP(A1082,Lookup!A:C,3,0),"")</f>
        <v/>
      </c>
      <c r="D1082" s="54"/>
      <c r="E1082" s="54"/>
      <c r="F1082" s="54"/>
      <c r="G1082" s="72"/>
      <c r="H1082" s="54"/>
      <c r="I1082" s="54"/>
      <c r="J1082" s="106">
        <f>VLOOKUP(A1082&amp;G1082,Lookup!J:N,5,0)</f>
        <v>0</v>
      </c>
      <c r="K1082" s="115"/>
      <c r="L1082" s="115"/>
      <c r="M1082" s="115"/>
      <c r="N1082" s="115"/>
      <c r="O1082" s="90">
        <f>IFERROR(VLOOKUP(A1082&amp;G1082,Lookup!J:K,2,0),"")</f>
        <v>0</v>
      </c>
      <c r="P1082" s="110" t="str">
        <f t="shared" si="75"/>
        <v/>
      </c>
      <c r="Q1082" s="115"/>
      <c r="R1082" s="87" t="str">
        <f t="shared" si="76"/>
        <v/>
      </c>
      <c r="S1082" s="87" t="str">
        <f t="shared" si="77"/>
        <v/>
      </c>
      <c r="T1082" s="54"/>
      <c r="U1082" s="54"/>
      <c r="V1082" s="54"/>
      <c r="W1082" s="54"/>
      <c r="X1082" s="69" t="str">
        <f t="shared" si="74"/>
        <v>D</v>
      </c>
    </row>
    <row r="1083" spans="2:24" x14ac:dyDescent="0.25">
      <c r="B1083" s="91" t="str">
        <f>IFERROR(VLOOKUP(A1083,Lookup!A:B,2,0),"")</f>
        <v/>
      </c>
      <c r="C1083" s="59" t="str">
        <f>IFERROR(VLOOKUP(A1083,Lookup!A:C,3,0),"")</f>
        <v/>
      </c>
      <c r="D1083" s="54"/>
      <c r="E1083" s="54"/>
      <c r="F1083" s="54"/>
      <c r="G1083" s="72"/>
      <c r="H1083" s="54"/>
      <c r="I1083" s="54"/>
      <c r="J1083" s="106">
        <f>VLOOKUP(A1083&amp;G1083,Lookup!J:N,5,0)</f>
        <v>0</v>
      </c>
      <c r="K1083" s="115"/>
      <c r="L1083" s="115"/>
      <c r="M1083" s="115"/>
      <c r="N1083" s="115"/>
      <c r="O1083" s="90">
        <f>IFERROR(VLOOKUP(A1083&amp;G1083,Lookup!J:K,2,0),"")</f>
        <v>0</v>
      </c>
      <c r="P1083" s="110" t="str">
        <f t="shared" si="75"/>
        <v/>
      </c>
      <c r="Q1083" s="115"/>
      <c r="R1083" s="87" t="str">
        <f t="shared" si="76"/>
        <v/>
      </c>
      <c r="S1083" s="87" t="str">
        <f t="shared" si="77"/>
        <v/>
      </c>
      <c r="T1083" s="54"/>
      <c r="U1083" s="54"/>
      <c r="V1083" s="54"/>
      <c r="W1083" s="54"/>
      <c r="X1083" s="69" t="str">
        <f t="shared" si="74"/>
        <v>D</v>
      </c>
    </row>
    <row r="1084" spans="2:24" x14ac:dyDescent="0.25">
      <c r="B1084" s="91" t="str">
        <f>IFERROR(VLOOKUP(A1084,Lookup!A:B,2,0),"")</f>
        <v/>
      </c>
      <c r="C1084" s="59" t="str">
        <f>IFERROR(VLOOKUP(A1084,Lookup!A:C,3,0),"")</f>
        <v/>
      </c>
      <c r="D1084" s="54"/>
      <c r="E1084" s="54"/>
      <c r="F1084" s="54"/>
      <c r="G1084" s="72"/>
      <c r="H1084" s="54"/>
      <c r="I1084" s="54"/>
      <c r="J1084" s="106">
        <f>VLOOKUP(A1084&amp;G1084,Lookup!J:N,5,0)</f>
        <v>0</v>
      </c>
      <c r="K1084" s="115"/>
      <c r="L1084" s="115"/>
      <c r="M1084" s="115"/>
      <c r="N1084" s="115"/>
      <c r="O1084" s="90">
        <f>IFERROR(VLOOKUP(A1084&amp;G1084,Lookup!J:K,2,0),"")</f>
        <v>0</v>
      </c>
      <c r="P1084" s="110" t="str">
        <f t="shared" si="75"/>
        <v/>
      </c>
      <c r="Q1084" s="115"/>
      <c r="R1084" s="87" t="str">
        <f t="shared" si="76"/>
        <v/>
      </c>
      <c r="S1084" s="87" t="str">
        <f t="shared" si="77"/>
        <v/>
      </c>
      <c r="T1084" s="54"/>
      <c r="U1084" s="54"/>
      <c r="V1084" s="54"/>
      <c r="W1084" s="54"/>
      <c r="X1084" s="69" t="str">
        <f t="shared" si="74"/>
        <v>D</v>
      </c>
    </row>
    <row r="1085" spans="2:24" x14ac:dyDescent="0.25">
      <c r="B1085" s="91" t="str">
        <f>IFERROR(VLOOKUP(A1085,Lookup!A:B,2,0),"")</f>
        <v/>
      </c>
      <c r="C1085" s="59" t="str">
        <f>IFERROR(VLOOKUP(A1085,Lookup!A:C,3,0),"")</f>
        <v/>
      </c>
      <c r="D1085" s="54"/>
      <c r="E1085" s="54"/>
      <c r="F1085" s="54"/>
      <c r="G1085" s="72"/>
      <c r="H1085" s="54"/>
      <c r="I1085" s="54"/>
      <c r="J1085" s="106">
        <f>VLOOKUP(A1085&amp;G1085,Lookup!J:N,5,0)</f>
        <v>0</v>
      </c>
      <c r="K1085" s="115"/>
      <c r="L1085" s="115"/>
      <c r="M1085" s="115"/>
      <c r="N1085" s="115"/>
      <c r="O1085" s="90">
        <f>IFERROR(VLOOKUP(A1085&amp;G1085,Lookup!J:K,2,0),"")</f>
        <v>0</v>
      </c>
      <c r="P1085" s="110" t="str">
        <f t="shared" si="75"/>
        <v/>
      </c>
      <c r="Q1085" s="115"/>
      <c r="R1085" s="87" t="str">
        <f t="shared" si="76"/>
        <v/>
      </c>
      <c r="S1085" s="87" t="str">
        <f t="shared" si="77"/>
        <v/>
      </c>
      <c r="T1085" s="54"/>
      <c r="U1085" s="54"/>
      <c r="V1085" s="54"/>
      <c r="W1085" s="54"/>
      <c r="X1085" s="69" t="str">
        <f t="shared" si="74"/>
        <v>D</v>
      </c>
    </row>
    <row r="1086" spans="2:24" x14ac:dyDescent="0.25">
      <c r="B1086" s="91" t="str">
        <f>IFERROR(VLOOKUP(A1086,Lookup!A:B,2,0),"")</f>
        <v/>
      </c>
      <c r="C1086" s="59" t="str">
        <f>IFERROR(VLOOKUP(A1086,Lookup!A:C,3,0),"")</f>
        <v/>
      </c>
      <c r="D1086" s="54"/>
      <c r="E1086" s="54"/>
      <c r="F1086" s="54"/>
      <c r="G1086" s="72"/>
      <c r="H1086" s="54"/>
      <c r="I1086" s="54"/>
      <c r="J1086" s="106">
        <f>VLOOKUP(A1086&amp;G1086,Lookup!J:N,5,0)</f>
        <v>0</v>
      </c>
      <c r="K1086" s="115"/>
      <c r="L1086" s="115"/>
      <c r="M1086" s="115"/>
      <c r="N1086" s="115"/>
      <c r="O1086" s="90">
        <f>IFERROR(VLOOKUP(A1086&amp;G1086,Lookup!J:K,2,0),"")</f>
        <v>0</v>
      </c>
      <c r="P1086" s="110" t="str">
        <f t="shared" si="75"/>
        <v/>
      </c>
      <c r="Q1086" s="115"/>
      <c r="R1086" s="87" t="str">
        <f t="shared" si="76"/>
        <v/>
      </c>
      <c r="S1086" s="87" t="str">
        <f t="shared" si="77"/>
        <v/>
      </c>
      <c r="T1086" s="54"/>
      <c r="U1086" s="54"/>
      <c r="V1086" s="54"/>
      <c r="W1086" s="54"/>
      <c r="X1086" s="69" t="str">
        <f t="shared" si="74"/>
        <v>D</v>
      </c>
    </row>
    <row r="1087" spans="2:24" x14ac:dyDescent="0.25">
      <c r="B1087" s="91" t="str">
        <f>IFERROR(VLOOKUP(A1087,Lookup!A:B,2,0),"")</f>
        <v/>
      </c>
      <c r="C1087" s="59" t="str">
        <f>IFERROR(VLOOKUP(A1087,Lookup!A:C,3,0),"")</f>
        <v/>
      </c>
      <c r="D1087" s="54"/>
      <c r="E1087" s="54"/>
      <c r="F1087" s="54"/>
      <c r="G1087" s="72"/>
      <c r="H1087" s="54"/>
      <c r="I1087" s="54"/>
      <c r="J1087" s="106">
        <f>VLOOKUP(A1087&amp;G1087,Lookup!J:N,5,0)</f>
        <v>0</v>
      </c>
      <c r="K1087" s="115"/>
      <c r="L1087" s="115"/>
      <c r="M1087" s="115"/>
      <c r="N1087" s="115"/>
      <c r="O1087" s="90">
        <f>IFERROR(VLOOKUP(A1087&amp;G1087,Lookup!J:K,2,0),"")</f>
        <v>0</v>
      </c>
      <c r="P1087" s="110" t="str">
        <f t="shared" si="75"/>
        <v/>
      </c>
      <c r="Q1087" s="115"/>
      <c r="R1087" s="87" t="str">
        <f t="shared" si="76"/>
        <v/>
      </c>
      <c r="S1087" s="87" t="str">
        <f t="shared" si="77"/>
        <v/>
      </c>
      <c r="T1087" s="54"/>
      <c r="U1087" s="54"/>
      <c r="V1087" s="54"/>
      <c r="W1087" s="54"/>
      <c r="X1087" s="69" t="str">
        <f t="shared" si="74"/>
        <v>D</v>
      </c>
    </row>
    <row r="1088" spans="2:24" x14ac:dyDescent="0.25">
      <c r="B1088" s="91" t="str">
        <f>IFERROR(VLOOKUP(A1088,Lookup!A:B,2,0),"")</f>
        <v/>
      </c>
      <c r="C1088" s="59" t="str">
        <f>IFERROR(VLOOKUP(A1088,Lookup!A:C,3,0),"")</f>
        <v/>
      </c>
      <c r="D1088" s="54"/>
      <c r="E1088" s="54"/>
      <c r="F1088" s="54"/>
      <c r="G1088" s="72"/>
      <c r="H1088" s="54"/>
      <c r="I1088" s="54"/>
      <c r="J1088" s="106">
        <f>VLOOKUP(A1088&amp;G1088,Lookup!J:N,5,0)</f>
        <v>0</v>
      </c>
      <c r="K1088" s="115"/>
      <c r="L1088" s="115"/>
      <c r="M1088" s="115"/>
      <c r="N1088" s="115"/>
      <c r="O1088" s="90">
        <f>IFERROR(VLOOKUP(A1088&amp;G1088,Lookup!J:K,2,0),"")</f>
        <v>0</v>
      </c>
      <c r="P1088" s="110" t="str">
        <f t="shared" si="75"/>
        <v/>
      </c>
      <c r="Q1088" s="115"/>
      <c r="R1088" s="87" t="str">
        <f t="shared" si="76"/>
        <v/>
      </c>
      <c r="S1088" s="87" t="str">
        <f t="shared" si="77"/>
        <v/>
      </c>
      <c r="T1088" s="54"/>
      <c r="U1088" s="54"/>
      <c r="V1088" s="54"/>
      <c r="W1088" s="54"/>
      <c r="X1088" s="69" t="str">
        <f t="shared" si="74"/>
        <v>D</v>
      </c>
    </row>
    <row r="1089" spans="2:24" x14ac:dyDescent="0.25">
      <c r="B1089" s="91" t="str">
        <f>IFERROR(VLOOKUP(A1089,Lookup!A:B,2,0),"")</f>
        <v/>
      </c>
      <c r="C1089" s="59" t="str">
        <f>IFERROR(VLOOKUP(A1089,Lookup!A:C,3,0),"")</f>
        <v/>
      </c>
      <c r="D1089" s="54"/>
      <c r="E1089" s="54"/>
      <c r="F1089" s="54"/>
      <c r="G1089" s="72"/>
      <c r="H1089" s="54"/>
      <c r="I1089" s="54"/>
      <c r="J1089" s="106">
        <f>VLOOKUP(A1089&amp;G1089,Lookup!J:N,5,0)</f>
        <v>0</v>
      </c>
      <c r="K1089" s="115"/>
      <c r="L1089" s="115"/>
      <c r="M1089" s="115"/>
      <c r="N1089" s="115"/>
      <c r="O1089" s="90">
        <f>IFERROR(VLOOKUP(A1089&amp;G1089,Lookup!J:K,2,0),"")</f>
        <v>0</v>
      </c>
      <c r="P1089" s="110" t="str">
        <f t="shared" si="75"/>
        <v/>
      </c>
      <c r="Q1089" s="115"/>
      <c r="R1089" s="87" t="str">
        <f t="shared" si="76"/>
        <v/>
      </c>
      <c r="S1089" s="87" t="str">
        <f t="shared" si="77"/>
        <v/>
      </c>
      <c r="T1089" s="54"/>
      <c r="U1089" s="54"/>
      <c r="V1089" s="54"/>
      <c r="W1089" s="54"/>
      <c r="X1089" s="69" t="str">
        <f t="shared" ref="X1089:X1135" si="78">IF(I1089="SET","A",IF(I1089="FREQ","C",IF(I1089="","D","B")))</f>
        <v>D</v>
      </c>
    </row>
    <row r="1090" spans="2:24" x14ac:dyDescent="0.25">
      <c r="B1090" s="91" t="str">
        <f>IFERROR(VLOOKUP(A1090,Lookup!A:B,2,0),"")</f>
        <v/>
      </c>
      <c r="C1090" s="59" t="str">
        <f>IFERROR(VLOOKUP(A1090,Lookup!A:C,3,0),"")</f>
        <v/>
      </c>
      <c r="D1090" s="54"/>
      <c r="E1090" s="54"/>
      <c r="F1090" s="54"/>
      <c r="G1090" s="72"/>
      <c r="H1090" s="54"/>
      <c r="I1090" s="54"/>
      <c r="J1090" s="106">
        <f>VLOOKUP(A1090&amp;G1090,Lookup!J:N,5,0)</f>
        <v>0</v>
      </c>
      <c r="K1090" s="115"/>
      <c r="L1090" s="115"/>
      <c r="M1090" s="115"/>
      <c r="N1090" s="115"/>
      <c r="O1090" s="90">
        <f>IFERROR(VLOOKUP(A1090&amp;G1090,Lookup!J:K,2,0),"")</f>
        <v>0</v>
      </c>
      <c r="P1090" s="110" t="str">
        <f t="shared" ref="P1090:P1153" si="79">IF(N1090="","",N1090+O1090)</f>
        <v/>
      </c>
      <c r="Q1090" s="115"/>
      <c r="R1090" s="87" t="str">
        <f t="shared" si="76"/>
        <v/>
      </c>
      <c r="S1090" s="87" t="str">
        <f t="shared" si="77"/>
        <v/>
      </c>
      <c r="T1090" s="54"/>
      <c r="U1090" s="54"/>
      <c r="V1090" s="54"/>
      <c r="W1090" s="54"/>
      <c r="X1090" s="69" t="str">
        <f t="shared" si="78"/>
        <v>D</v>
      </c>
    </row>
    <row r="1091" spans="2:24" x14ac:dyDescent="0.25">
      <c r="B1091" s="91" t="str">
        <f>IFERROR(VLOOKUP(A1091,Lookup!A:B,2,0),"")</f>
        <v/>
      </c>
      <c r="C1091" s="59" t="str">
        <f>IFERROR(VLOOKUP(A1091,Lookup!A:C,3,0),"")</f>
        <v/>
      </c>
      <c r="D1091" s="54"/>
      <c r="E1091" s="54"/>
      <c r="F1091" s="54"/>
      <c r="G1091" s="72"/>
      <c r="H1091" s="54"/>
      <c r="I1091" s="54"/>
      <c r="J1091" s="106">
        <f>VLOOKUP(A1091&amp;G1091,Lookup!J:N,5,0)</f>
        <v>0</v>
      </c>
      <c r="K1091" s="115"/>
      <c r="L1091" s="115"/>
      <c r="M1091" s="115"/>
      <c r="N1091" s="115"/>
      <c r="O1091" s="90">
        <f>IFERROR(VLOOKUP(A1091&amp;G1091,Lookup!J:K,2,0),"")</f>
        <v>0</v>
      </c>
      <c r="P1091" s="110" t="str">
        <f t="shared" si="79"/>
        <v/>
      </c>
      <c r="Q1091" s="115"/>
      <c r="R1091" s="87" t="str">
        <f t="shared" ref="R1091:R1154" si="80">IF(OR(EXACT(N1091,""), EXACT(L1091,"")),"",N1091-L1091)</f>
        <v/>
      </c>
      <c r="S1091" s="87" t="str">
        <f t="shared" si="77"/>
        <v/>
      </c>
      <c r="T1091" s="54"/>
      <c r="U1091" s="54"/>
      <c r="V1091" s="54"/>
      <c r="W1091" s="54"/>
      <c r="X1091" s="69" t="str">
        <f t="shared" si="78"/>
        <v>D</v>
      </c>
    </row>
    <row r="1092" spans="2:24" x14ac:dyDescent="0.25">
      <c r="B1092" s="91" t="str">
        <f>IFERROR(VLOOKUP(A1092,Lookup!A:B,2,0),"")</f>
        <v/>
      </c>
      <c r="C1092" s="59" t="str">
        <f>IFERROR(VLOOKUP(A1092,Lookup!A:C,3,0),"")</f>
        <v/>
      </c>
      <c r="D1092" s="54"/>
      <c r="E1092" s="54"/>
      <c r="F1092" s="54"/>
      <c r="G1092" s="72"/>
      <c r="H1092" s="54"/>
      <c r="I1092" s="54"/>
      <c r="J1092" s="106">
        <f>VLOOKUP(A1092&amp;G1092,Lookup!J:N,5,0)</f>
        <v>0</v>
      </c>
      <c r="K1092" s="115"/>
      <c r="L1092" s="115"/>
      <c r="M1092" s="115"/>
      <c r="N1092" s="115"/>
      <c r="O1092" s="90">
        <f>IFERROR(VLOOKUP(A1092&amp;G1092,Lookup!J:K,2,0),"")</f>
        <v>0</v>
      </c>
      <c r="P1092" s="110" t="str">
        <f t="shared" si="79"/>
        <v/>
      </c>
      <c r="Q1092" s="115"/>
      <c r="R1092" s="87" t="str">
        <f t="shared" si="80"/>
        <v/>
      </c>
      <c r="S1092" s="87" t="str">
        <f t="shared" ref="S1092:S1155" si="81">IF(OR(EXACT(Q1092,""), EXACT(L1092,"")),"",Q1092-L1092)</f>
        <v/>
      </c>
      <c r="T1092" s="54"/>
      <c r="U1092" s="54"/>
      <c r="V1092" s="54"/>
      <c r="W1092" s="54"/>
      <c r="X1092" s="69" t="str">
        <f t="shared" si="78"/>
        <v>D</v>
      </c>
    </row>
    <row r="1093" spans="2:24" x14ac:dyDescent="0.25">
      <c r="B1093" s="91" t="str">
        <f>IFERROR(VLOOKUP(A1093,Lookup!A:B,2,0),"")</f>
        <v/>
      </c>
      <c r="C1093" s="59" t="str">
        <f>IFERROR(VLOOKUP(A1093,Lookup!A:C,3,0),"")</f>
        <v/>
      </c>
      <c r="D1093" s="54"/>
      <c r="E1093" s="54"/>
      <c r="F1093" s="54"/>
      <c r="G1093" s="72"/>
      <c r="H1093" s="54"/>
      <c r="I1093" s="54"/>
      <c r="J1093" s="106">
        <f>VLOOKUP(A1093&amp;G1093,Lookup!J:N,5,0)</f>
        <v>0</v>
      </c>
      <c r="K1093" s="115"/>
      <c r="L1093" s="115"/>
      <c r="M1093" s="115"/>
      <c r="N1093" s="115"/>
      <c r="O1093" s="90">
        <f>IFERROR(VLOOKUP(A1093&amp;G1093,Lookup!J:K,2,0),"")</f>
        <v>0</v>
      </c>
      <c r="P1093" s="110" t="str">
        <f t="shared" si="79"/>
        <v/>
      </c>
      <c r="Q1093" s="115"/>
      <c r="R1093" s="87" t="str">
        <f t="shared" si="80"/>
        <v/>
      </c>
      <c r="S1093" s="87" t="str">
        <f t="shared" si="81"/>
        <v/>
      </c>
      <c r="T1093" s="54"/>
      <c r="U1093" s="54"/>
      <c r="V1093" s="54"/>
      <c r="W1093" s="54"/>
      <c r="X1093" s="69" t="str">
        <f t="shared" si="78"/>
        <v>D</v>
      </c>
    </row>
    <row r="1094" spans="2:24" x14ac:dyDescent="0.25">
      <c r="B1094" s="91" t="str">
        <f>IFERROR(VLOOKUP(A1094,Lookup!A:B,2,0),"")</f>
        <v/>
      </c>
      <c r="C1094" s="59" t="str">
        <f>IFERROR(VLOOKUP(A1094,Lookup!A:C,3,0),"")</f>
        <v/>
      </c>
      <c r="D1094" s="54"/>
      <c r="E1094" s="54"/>
      <c r="F1094" s="54"/>
      <c r="G1094" s="72"/>
      <c r="H1094" s="54"/>
      <c r="I1094" s="54"/>
      <c r="J1094" s="106">
        <f>VLOOKUP(A1094&amp;G1094,Lookup!J:N,5,0)</f>
        <v>0</v>
      </c>
      <c r="K1094" s="115"/>
      <c r="L1094" s="115"/>
      <c r="M1094" s="115"/>
      <c r="N1094" s="115"/>
      <c r="O1094" s="90">
        <f>IFERROR(VLOOKUP(A1094&amp;G1094,Lookup!J:K,2,0),"")</f>
        <v>0</v>
      </c>
      <c r="P1094" s="110" t="str">
        <f t="shared" si="79"/>
        <v/>
      </c>
      <c r="Q1094" s="115"/>
      <c r="R1094" s="87" t="str">
        <f t="shared" si="80"/>
        <v/>
      </c>
      <c r="S1094" s="87" t="str">
        <f t="shared" si="81"/>
        <v/>
      </c>
      <c r="T1094" s="54"/>
      <c r="U1094" s="54"/>
      <c r="V1094" s="54"/>
      <c r="W1094" s="54"/>
      <c r="X1094" s="69" t="str">
        <f t="shared" si="78"/>
        <v>D</v>
      </c>
    </row>
    <row r="1095" spans="2:24" x14ac:dyDescent="0.25">
      <c r="B1095" s="91" t="str">
        <f>IFERROR(VLOOKUP(A1095,Lookup!A:B,2,0),"")</f>
        <v/>
      </c>
      <c r="C1095" s="59" t="str">
        <f>IFERROR(VLOOKUP(A1095,Lookup!A:C,3,0),"")</f>
        <v/>
      </c>
      <c r="D1095" s="54"/>
      <c r="E1095" s="54"/>
      <c r="F1095" s="54"/>
      <c r="G1095" s="72"/>
      <c r="H1095" s="54"/>
      <c r="I1095" s="54"/>
      <c r="J1095" s="106">
        <f>VLOOKUP(A1095&amp;G1095,Lookup!J:N,5,0)</f>
        <v>0</v>
      </c>
      <c r="K1095" s="115"/>
      <c r="L1095" s="115"/>
      <c r="M1095" s="115"/>
      <c r="N1095" s="115"/>
      <c r="O1095" s="90">
        <f>IFERROR(VLOOKUP(A1095&amp;G1095,Lookup!J:K,2,0),"")</f>
        <v>0</v>
      </c>
      <c r="P1095" s="110" t="str">
        <f t="shared" si="79"/>
        <v/>
      </c>
      <c r="Q1095" s="115"/>
      <c r="R1095" s="87" t="str">
        <f t="shared" si="80"/>
        <v/>
      </c>
      <c r="S1095" s="87" t="str">
        <f t="shared" si="81"/>
        <v/>
      </c>
      <c r="T1095" s="54"/>
      <c r="U1095" s="54"/>
      <c r="V1095" s="54"/>
      <c r="W1095" s="54"/>
      <c r="X1095" s="69" t="str">
        <f t="shared" si="78"/>
        <v>D</v>
      </c>
    </row>
    <row r="1096" spans="2:24" x14ac:dyDescent="0.25">
      <c r="B1096" s="91" t="str">
        <f>IFERROR(VLOOKUP(A1096,Lookup!A:B,2,0),"")</f>
        <v/>
      </c>
      <c r="C1096" s="59" t="str">
        <f>IFERROR(VLOOKUP(A1096,Lookup!A:C,3,0),"")</f>
        <v/>
      </c>
      <c r="D1096" s="54"/>
      <c r="E1096" s="54"/>
      <c r="F1096" s="54"/>
      <c r="G1096" s="72"/>
      <c r="H1096" s="54"/>
      <c r="I1096" s="54"/>
      <c r="J1096" s="106">
        <f>VLOOKUP(A1096&amp;G1096,Lookup!J:N,5,0)</f>
        <v>0</v>
      </c>
      <c r="K1096" s="115"/>
      <c r="L1096" s="115"/>
      <c r="M1096" s="115"/>
      <c r="N1096" s="115"/>
      <c r="O1096" s="90">
        <f>IFERROR(VLOOKUP(A1096&amp;G1096,Lookup!J:K,2,0),"")</f>
        <v>0</v>
      </c>
      <c r="P1096" s="110" t="str">
        <f t="shared" si="79"/>
        <v/>
      </c>
      <c r="Q1096" s="115"/>
      <c r="R1096" s="87" t="str">
        <f t="shared" si="80"/>
        <v/>
      </c>
      <c r="S1096" s="87" t="str">
        <f t="shared" si="81"/>
        <v/>
      </c>
      <c r="T1096" s="54"/>
      <c r="U1096" s="54"/>
      <c r="V1096" s="54"/>
      <c r="W1096" s="54"/>
      <c r="X1096" s="69" t="str">
        <f t="shared" si="78"/>
        <v>D</v>
      </c>
    </row>
    <row r="1097" spans="2:24" x14ac:dyDescent="0.25">
      <c r="B1097" s="91" t="str">
        <f>IFERROR(VLOOKUP(A1097,Lookup!A:B,2,0),"")</f>
        <v/>
      </c>
      <c r="C1097" s="59" t="str">
        <f>IFERROR(VLOOKUP(A1097,Lookup!A:C,3,0),"")</f>
        <v/>
      </c>
      <c r="D1097" s="54"/>
      <c r="E1097" s="54"/>
      <c r="F1097" s="54"/>
      <c r="G1097" s="72"/>
      <c r="H1097" s="54"/>
      <c r="I1097" s="54"/>
      <c r="J1097" s="106">
        <f>VLOOKUP(A1097&amp;G1097,Lookup!J:N,5,0)</f>
        <v>0</v>
      </c>
      <c r="K1097" s="115"/>
      <c r="L1097" s="115"/>
      <c r="M1097" s="115"/>
      <c r="N1097" s="115"/>
      <c r="O1097" s="90">
        <f>IFERROR(VLOOKUP(A1097&amp;G1097,Lookup!J:K,2,0),"")</f>
        <v>0</v>
      </c>
      <c r="P1097" s="110" t="str">
        <f t="shared" si="79"/>
        <v/>
      </c>
      <c r="Q1097" s="115"/>
      <c r="R1097" s="87" t="str">
        <f t="shared" si="80"/>
        <v/>
      </c>
      <c r="S1097" s="87" t="str">
        <f t="shared" si="81"/>
        <v/>
      </c>
      <c r="T1097" s="54"/>
      <c r="U1097" s="54"/>
      <c r="V1097" s="54"/>
      <c r="W1097" s="54"/>
      <c r="X1097" s="69" t="str">
        <f t="shared" si="78"/>
        <v>D</v>
      </c>
    </row>
    <row r="1098" spans="2:24" x14ac:dyDescent="0.25">
      <c r="B1098" s="91" t="str">
        <f>IFERROR(VLOOKUP(A1098,Lookup!A:B,2,0),"")</f>
        <v/>
      </c>
      <c r="C1098" s="59" t="str">
        <f>IFERROR(VLOOKUP(A1098,Lookup!A:C,3,0),"")</f>
        <v/>
      </c>
      <c r="D1098" s="54"/>
      <c r="E1098" s="54"/>
      <c r="F1098" s="54"/>
      <c r="G1098" s="72"/>
      <c r="H1098" s="54"/>
      <c r="I1098" s="54"/>
      <c r="J1098" s="106">
        <f>VLOOKUP(A1098&amp;G1098,Lookup!J:N,5,0)</f>
        <v>0</v>
      </c>
      <c r="K1098" s="115"/>
      <c r="L1098" s="115"/>
      <c r="M1098" s="115"/>
      <c r="N1098" s="115"/>
      <c r="O1098" s="90">
        <f>IFERROR(VLOOKUP(A1098&amp;G1098,Lookup!J:K,2,0),"")</f>
        <v>0</v>
      </c>
      <c r="P1098" s="110" t="str">
        <f t="shared" si="79"/>
        <v/>
      </c>
      <c r="Q1098" s="115"/>
      <c r="R1098" s="87" t="str">
        <f t="shared" si="80"/>
        <v/>
      </c>
      <c r="S1098" s="87" t="str">
        <f t="shared" si="81"/>
        <v/>
      </c>
      <c r="T1098" s="54"/>
      <c r="U1098" s="54"/>
      <c r="V1098" s="54"/>
      <c r="W1098" s="54"/>
      <c r="X1098" s="69" t="str">
        <f t="shared" si="78"/>
        <v>D</v>
      </c>
    </row>
    <row r="1099" spans="2:24" x14ac:dyDescent="0.25">
      <c r="B1099" s="91" t="str">
        <f>IFERROR(VLOOKUP(A1099,Lookup!A:B,2,0),"")</f>
        <v/>
      </c>
      <c r="C1099" s="59" t="str">
        <f>IFERROR(VLOOKUP(A1099,Lookup!A:C,3,0),"")</f>
        <v/>
      </c>
      <c r="D1099" s="54"/>
      <c r="E1099" s="54"/>
      <c r="F1099" s="54"/>
      <c r="G1099" s="72"/>
      <c r="H1099" s="54"/>
      <c r="I1099" s="54"/>
      <c r="J1099" s="106">
        <f>VLOOKUP(A1099&amp;G1099,Lookup!J:N,5,0)</f>
        <v>0</v>
      </c>
      <c r="K1099" s="115"/>
      <c r="L1099" s="115"/>
      <c r="M1099" s="115"/>
      <c r="N1099" s="115"/>
      <c r="O1099" s="90">
        <f>IFERROR(VLOOKUP(A1099&amp;G1099,Lookup!J:K,2,0),"")</f>
        <v>0</v>
      </c>
      <c r="P1099" s="110" t="str">
        <f t="shared" si="79"/>
        <v/>
      </c>
      <c r="Q1099" s="115"/>
      <c r="R1099" s="87" t="str">
        <f t="shared" si="80"/>
        <v/>
      </c>
      <c r="S1099" s="87" t="str">
        <f t="shared" si="81"/>
        <v/>
      </c>
      <c r="T1099" s="54"/>
      <c r="U1099" s="54"/>
      <c r="V1099" s="54"/>
      <c r="W1099" s="54"/>
      <c r="X1099" s="69" t="str">
        <f t="shared" si="78"/>
        <v>D</v>
      </c>
    </row>
    <row r="1100" spans="2:24" x14ac:dyDescent="0.25">
      <c r="B1100" s="91" t="str">
        <f>IFERROR(VLOOKUP(A1100,Lookup!A:B,2,0),"")</f>
        <v/>
      </c>
      <c r="C1100" s="59" t="str">
        <f>IFERROR(VLOOKUP(A1100,Lookup!A:C,3,0),"")</f>
        <v/>
      </c>
      <c r="D1100" s="54"/>
      <c r="E1100" s="54"/>
      <c r="F1100" s="54"/>
      <c r="G1100" s="72"/>
      <c r="H1100" s="54"/>
      <c r="I1100" s="54"/>
      <c r="J1100" s="106">
        <f>VLOOKUP(A1100&amp;G1100,Lookup!J:N,5,0)</f>
        <v>0</v>
      </c>
      <c r="K1100" s="115"/>
      <c r="L1100" s="115"/>
      <c r="M1100" s="115"/>
      <c r="N1100" s="115"/>
      <c r="O1100" s="90">
        <f>IFERROR(VLOOKUP(A1100&amp;G1100,Lookup!J:K,2,0),"")</f>
        <v>0</v>
      </c>
      <c r="P1100" s="110" t="str">
        <f t="shared" si="79"/>
        <v/>
      </c>
      <c r="Q1100" s="115"/>
      <c r="R1100" s="87" t="str">
        <f t="shared" si="80"/>
        <v/>
      </c>
      <c r="S1100" s="87" t="str">
        <f t="shared" si="81"/>
        <v/>
      </c>
      <c r="T1100" s="54"/>
      <c r="U1100" s="54"/>
      <c r="V1100" s="54"/>
      <c r="W1100" s="54"/>
      <c r="X1100" s="69" t="str">
        <f t="shared" si="78"/>
        <v>D</v>
      </c>
    </row>
    <row r="1101" spans="2:24" x14ac:dyDescent="0.25">
      <c r="B1101" s="91" t="str">
        <f>IFERROR(VLOOKUP(A1101,Lookup!A:B,2,0),"")</f>
        <v/>
      </c>
      <c r="C1101" s="59" t="str">
        <f>IFERROR(VLOOKUP(A1101,Lookup!A:C,3,0),"")</f>
        <v/>
      </c>
      <c r="D1101" s="54"/>
      <c r="E1101" s="54"/>
      <c r="F1101" s="54"/>
      <c r="G1101" s="72"/>
      <c r="H1101" s="54"/>
      <c r="I1101" s="54"/>
      <c r="J1101" s="106">
        <f>VLOOKUP(A1101&amp;G1101,Lookup!J:N,5,0)</f>
        <v>0</v>
      </c>
      <c r="K1101" s="115"/>
      <c r="L1101" s="115"/>
      <c r="M1101" s="115"/>
      <c r="N1101" s="115"/>
      <c r="O1101" s="90">
        <f>IFERROR(VLOOKUP(A1101&amp;G1101,Lookup!J:K,2,0),"")</f>
        <v>0</v>
      </c>
      <c r="P1101" s="110" t="str">
        <f t="shared" si="79"/>
        <v/>
      </c>
      <c r="Q1101" s="115"/>
      <c r="R1101" s="87" t="str">
        <f t="shared" si="80"/>
        <v/>
      </c>
      <c r="S1101" s="87" t="str">
        <f t="shared" si="81"/>
        <v/>
      </c>
      <c r="T1101" s="54"/>
      <c r="U1101" s="54"/>
      <c r="V1101" s="54"/>
      <c r="W1101" s="54"/>
      <c r="X1101" s="69" t="str">
        <f t="shared" si="78"/>
        <v>D</v>
      </c>
    </row>
    <row r="1102" spans="2:24" x14ac:dyDescent="0.25">
      <c r="B1102" s="91" t="str">
        <f>IFERROR(VLOOKUP(A1102,Lookup!A:B,2,0),"")</f>
        <v/>
      </c>
      <c r="C1102" s="59" t="str">
        <f>IFERROR(VLOOKUP(A1102,Lookup!A:C,3,0),"")</f>
        <v/>
      </c>
      <c r="D1102" s="54"/>
      <c r="E1102" s="54"/>
      <c r="F1102" s="54"/>
      <c r="G1102" s="72"/>
      <c r="H1102" s="54"/>
      <c r="I1102" s="54"/>
      <c r="J1102" s="106">
        <f>VLOOKUP(A1102&amp;G1102,Lookup!J:N,5,0)</f>
        <v>0</v>
      </c>
      <c r="K1102" s="115"/>
      <c r="L1102" s="115"/>
      <c r="M1102" s="115"/>
      <c r="N1102" s="115"/>
      <c r="O1102" s="90">
        <f>IFERROR(VLOOKUP(A1102&amp;G1102,Lookup!J:K,2,0),"")</f>
        <v>0</v>
      </c>
      <c r="P1102" s="110" t="str">
        <f t="shared" si="79"/>
        <v/>
      </c>
      <c r="Q1102" s="115"/>
      <c r="R1102" s="87" t="str">
        <f t="shared" si="80"/>
        <v/>
      </c>
      <c r="S1102" s="87" t="str">
        <f t="shared" si="81"/>
        <v/>
      </c>
      <c r="T1102" s="54"/>
      <c r="U1102" s="54"/>
      <c r="V1102" s="54"/>
      <c r="W1102" s="54"/>
      <c r="X1102" s="69" t="str">
        <f t="shared" si="78"/>
        <v>D</v>
      </c>
    </row>
    <row r="1103" spans="2:24" x14ac:dyDescent="0.25">
      <c r="B1103" s="91" t="str">
        <f>IFERROR(VLOOKUP(A1103,Lookup!A:B,2,0),"")</f>
        <v/>
      </c>
      <c r="C1103" s="59" t="str">
        <f>IFERROR(VLOOKUP(A1103,Lookup!A:C,3,0),"")</f>
        <v/>
      </c>
      <c r="D1103" s="54"/>
      <c r="E1103" s="54"/>
      <c r="F1103" s="54"/>
      <c r="G1103" s="72"/>
      <c r="H1103" s="54"/>
      <c r="I1103" s="54"/>
      <c r="J1103" s="106">
        <f>VLOOKUP(A1103&amp;G1103,Lookup!J:N,5,0)</f>
        <v>0</v>
      </c>
      <c r="K1103" s="115"/>
      <c r="L1103" s="115"/>
      <c r="M1103" s="115"/>
      <c r="N1103" s="115"/>
      <c r="O1103" s="90">
        <f>IFERROR(VLOOKUP(A1103&amp;G1103,Lookup!J:K,2,0),"")</f>
        <v>0</v>
      </c>
      <c r="P1103" s="110" t="str">
        <f t="shared" si="79"/>
        <v/>
      </c>
      <c r="Q1103" s="115"/>
      <c r="R1103" s="87" t="str">
        <f t="shared" si="80"/>
        <v/>
      </c>
      <c r="S1103" s="87" t="str">
        <f t="shared" si="81"/>
        <v/>
      </c>
      <c r="T1103" s="54"/>
      <c r="U1103" s="54"/>
      <c r="V1103" s="54"/>
      <c r="W1103" s="54"/>
      <c r="X1103" s="69" t="str">
        <f t="shared" si="78"/>
        <v>D</v>
      </c>
    </row>
    <row r="1104" spans="2:24" x14ac:dyDescent="0.25">
      <c r="B1104" s="91" t="str">
        <f>IFERROR(VLOOKUP(A1104,Lookup!A:B,2,0),"")</f>
        <v/>
      </c>
      <c r="C1104" s="59" t="str">
        <f>IFERROR(VLOOKUP(A1104,Lookup!A:C,3,0),"")</f>
        <v/>
      </c>
      <c r="D1104" s="54"/>
      <c r="E1104" s="54"/>
      <c r="F1104" s="54"/>
      <c r="G1104" s="72"/>
      <c r="H1104" s="54"/>
      <c r="I1104" s="54"/>
      <c r="J1104" s="106">
        <f>VLOOKUP(A1104&amp;G1104,Lookup!J:N,5,0)</f>
        <v>0</v>
      </c>
      <c r="K1104" s="115"/>
      <c r="L1104" s="115"/>
      <c r="M1104" s="115"/>
      <c r="N1104" s="115"/>
      <c r="O1104" s="90">
        <f>IFERROR(VLOOKUP(A1104&amp;G1104,Lookup!J:K,2,0),"")</f>
        <v>0</v>
      </c>
      <c r="P1104" s="110" t="str">
        <f t="shared" si="79"/>
        <v/>
      </c>
      <c r="Q1104" s="115"/>
      <c r="R1104" s="87" t="str">
        <f t="shared" si="80"/>
        <v/>
      </c>
      <c r="S1104" s="87" t="str">
        <f t="shared" si="81"/>
        <v/>
      </c>
      <c r="T1104" s="54"/>
      <c r="U1104" s="54"/>
      <c r="V1104" s="54"/>
      <c r="W1104" s="54"/>
      <c r="X1104" s="69" t="str">
        <f t="shared" si="78"/>
        <v>D</v>
      </c>
    </row>
    <row r="1105" spans="2:24" x14ac:dyDescent="0.25">
      <c r="B1105" s="91" t="str">
        <f>IFERROR(VLOOKUP(A1105,Lookup!A:B,2,0),"")</f>
        <v/>
      </c>
      <c r="C1105" s="59" t="str">
        <f>IFERROR(VLOOKUP(A1105,Lookup!A:C,3,0),"")</f>
        <v/>
      </c>
      <c r="D1105" s="54"/>
      <c r="E1105" s="54"/>
      <c r="F1105" s="54"/>
      <c r="G1105" s="72"/>
      <c r="H1105" s="54"/>
      <c r="I1105" s="54"/>
      <c r="J1105" s="106">
        <f>VLOOKUP(A1105&amp;G1105,Lookup!J:N,5,0)</f>
        <v>0</v>
      </c>
      <c r="K1105" s="115"/>
      <c r="L1105" s="115"/>
      <c r="M1105" s="115"/>
      <c r="N1105" s="115"/>
      <c r="O1105" s="90">
        <f>IFERROR(VLOOKUP(A1105&amp;G1105,Lookup!J:K,2,0),"")</f>
        <v>0</v>
      </c>
      <c r="P1105" s="110" t="str">
        <f t="shared" si="79"/>
        <v/>
      </c>
      <c r="Q1105" s="115"/>
      <c r="R1105" s="87" t="str">
        <f t="shared" si="80"/>
        <v/>
      </c>
      <c r="S1105" s="87" t="str">
        <f t="shared" si="81"/>
        <v/>
      </c>
      <c r="T1105" s="54"/>
      <c r="U1105" s="54"/>
      <c r="V1105" s="54"/>
      <c r="W1105" s="54"/>
      <c r="X1105" s="69" t="str">
        <f t="shared" si="78"/>
        <v>D</v>
      </c>
    </row>
    <row r="1106" spans="2:24" x14ac:dyDescent="0.25">
      <c r="B1106" s="91" t="str">
        <f>IFERROR(VLOOKUP(A1106,Lookup!A:B,2,0),"")</f>
        <v/>
      </c>
      <c r="C1106" s="59" t="str">
        <f>IFERROR(VLOOKUP(A1106,Lookup!A:C,3,0),"")</f>
        <v/>
      </c>
      <c r="D1106" s="54"/>
      <c r="E1106" s="54"/>
      <c r="F1106" s="54"/>
      <c r="G1106" s="72"/>
      <c r="H1106" s="54"/>
      <c r="I1106" s="54"/>
      <c r="J1106" s="106">
        <f>VLOOKUP(A1106&amp;G1106,Lookup!J:N,5,0)</f>
        <v>0</v>
      </c>
      <c r="K1106" s="115"/>
      <c r="L1106" s="115"/>
      <c r="M1106" s="115"/>
      <c r="N1106" s="115"/>
      <c r="O1106" s="90">
        <f>IFERROR(VLOOKUP(A1106&amp;G1106,Lookup!J:K,2,0),"")</f>
        <v>0</v>
      </c>
      <c r="P1106" s="110" t="str">
        <f t="shared" si="79"/>
        <v/>
      </c>
      <c r="Q1106" s="115"/>
      <c r="R1106" s="87" t="str">
        <f t="shared" si="80"/>
        <v/>
      </c>
      <c r="S1106" s="87" t="str">
        <f t="shared" si="81"/>
        <v/>
      </c>
      <c r="T1106" s="54"/>
      <c r="U1106" s="54"/>
      <c r="V1106" s="54"/>
      <c r="W1106" s="54"/>
      <c r="X1106" s="69" t="str">
        <f t="shared" si="78"/>
        <v>D</v>
      </c>
    </row>
    <row r="1107" spans="2:24" x14ac:dyDescent="0.25">
      <c r="B1107" s="91" t="str">
        <f>IFERROR(VLOOKUP(A1107,Lookup!A:B,2,0),"")</f>
        <v/>
      </c>
      <c r="C1107" s="59" t="str">
        <f>IFERROR(VLOOKUP(A1107,Lookup!A:C,3,0),"")</f>
        <v/>
      </c>
      <c r="D1107" s="54"/>
      <c r="E1107" s="54"/>
      <c r="F1107" s="54"/>
      <c r="G1107" s="72"/>
      <c r="H1107" s="54"/>
      <c r="I1107" s="54"/>
      <c r="J1107" s="106">
        <f>VLOOKUP(A1107&amp;G1107,Lookup!J:N,5,0)</f>
        <v>0</v>
      </c>
      <c r="K1107" s="115"/>
      <c r="L1107" s="115"/>
      <c r="M1107" s="115"/>
      <c r="N1107" s="115"/>
      <c r="O1107" s="90">
        <f>IFERROR(VLOOKUP(A1107&amp;G1107,Lookup!J:K,2,0),"")</f>
        <v>0</v>
      </c>
      <c r="P1107" s="110" t="str">
        <f t="shared" si="79"/>
        <v/>
      </c>
      <c r="Q1107" s="115"/>
      <c r="R1107" s="87" t="str">
        <f t="shared" si="80"/>
        <v/>
      </c>
      <c r="S1107" s="87" t="str">
        <f t="shared" si="81"/>
        <v/>
      </c>
      <c r="T1107" s="54"/>
      <c r="U1107" s="54"/>
      <c r="V1107" s="54"/>
      <c r="W1107" s="54"/>
      <c r="X1107" s="69" t="str">
        <f t="shared" si="78"/>
        <v>D</v>
      </c>
    </row>
    <row r="1108" spans="2:24" x14ac:dyDescent="0.25">
      <c r="B1108" s="91" t="str">
        <f>IFERROR(VLOOKUP(A1108,Lookup!A:B,2,0),"")</f>
        <v/>
      </c>
      <c r="C1108" s="59" t="str">
        <f>IFERROR(VLOOKUP(A1108,Lookup!A:C,3,0),"")</f>
        <v/>
      </c>
      <c r="D1108" s="54"/>
      <c r="E1108" s="54"/>
      <c r="F1108" s="54"/>
      <c r="G1108" s="72"/>
      <c r="H1108" s="54"/>
      <c r="I1108" s="54"/>
      <c r="J1108" s="106">
        <f>VLOOKUP(A1108&amp;G1108,Lookup!J:N,5,0)</f>
        <v>0</v>
      </c>
      <c r="K1108" s="115"/>
      <c r="L1108" s="115"/>
      <c r="M1108" s="115"/>
      <c r="N1108" s="115"/>
      <c r="O1108" s="90">
        <f>IFERROR(VLOOKUP(A1108&amp;G1108,Lookup!J:K,2,0),"")</f>
        <v>0</v>
      </c>
      <c r="P1108" s="110" t="str">
        <f t="shared" si="79"/>
        <v/>
      </c>
      <c r="Q1108" s="115"/>
      <c r="R1108" s="87" t="str">
        <f t="shared" si="80"/>
        <v/>
      </c>
      <c r="S1108" s="87" t="str">
        <f t="shared" si="81"/>
        <v/>
      </c>
      <c r="T1108" s="54"/>
      <c r="U1108" s="54"/>
      <c r="V1108" s="54"/>
      <c r="W1108" s="54"/>
      <c r="X1108" s="69" t="str">
        <f t="shared" si="78"/>
        <v>D</v>
      </c>
    </row>
    <row r="1109" spans="2:24" x14ac:dyDescent="0.25">
      <c r="B1109" s="91" t="str">
        <f>IFERROR(VLOOKUP(A1109,Lookup!A:B,2,0),"")</f>
        <v/>
      </c>
      <c r="C1109" s="59" t="str">
        <f>IFERROR(VLOOKUP(A1109,Lookup!A:C,3,0),"")</f>
        <v/>
      </c>
      <c r="D1109" s="54"/>
      <c r="E1109" s="54"/>
      <c r="F1109" s="54"/>
      <c r="G1109" s="72"/>
      <c r="H1109" s="54"/>
      <c r="I1109" s="54"/>
      <c r="J1109" s="106">
        <f>VLOOKUP(A1109&amp;G1109,Lookup!J:N,5,0)</f>
        <v>0</v>
      </c>
      <c r="K1109" s="115"/>
      <c r="L1109" s="115"/>
      <c r="M1109" s="115"/>
      <c r="N1109" s="115"/>
      <c r="O1109" s="90">
        <f>IFERROR(VLOOKUP(A1109&amp;G1109,Lookup!J:K,2,0),"")</f>
        <v>0</v>
      </c>
      <c r="P1109" s="110" t="str">
        <f t="shared" si="79"/>
        <v/>
      </c>
      <c r="Q1109" s="115"/>
      <c r="R1109" s="87" t="str">
        <f t="shared" si="80"/>
        <v/>
      </c>
      <c r="S1109" s="87" t="str">
        <f t="shared" si="81"/>
        <v/>
      </c>
      <c r="T1109" s="54"/>
      <c r="U1109" s="54"/>
      <c r="V1109" s="54"/>
      <c r="W1109" s="54"/>
      <c r="X1109" s="69" t="str">
        <f t="shared" si="78"/>
        <v>D</v>
      </c>
    </row>
    <row r="1110" spans="2:24" x14ac:dyDescent="0.25">
      <c r="B1110" s="91" t="str">
        <f>IFERROR(VLOOKUP(A1110,Lookup!A:B,2,0),"")</f>
        <v/>
      </c>
      <c r="C1110" s="59" t="str">
        <f>IFERROR(VLOOKUP(A1110,Lookup!A:C,3,0),"")</f>
        <v/>
      </c>
      <c r="D1110" s="54"/>
      <c r="E1110" s="54"/>
      <c r="F1110" s="54"/>
      <c r="G1110" s="72"/>
      <c r="H1110" s="54"/>
      <c r="I1110" s="54"/>
      <c r="J1110" s="106">
        <f>VLOOKUP(A1110&amp;G1110,Lookup!J:N,5,0)</f>
        <v>0</v>
      </c>
      <c r="K1110" s="115"/>
      <c r="L1110" s="115"/>
      <c r="M1110" s="115"/>
      <c r="N1110" s="115"/>
      <c r="O1110" s="90">
        <f>IFERROR(VLOOKUP(A1110&amp;G1110,Lookup!J:K,2,0),"")</f>
        <v>0</v>
      </c>
      <c r="P1110" s="110" t="str">
        <f t="shared" si="79"/>
        <v/>
      </c>
      <c r="Q1110" s="115"/>
      <c r="R1110" s="87" t="str">
        <f t="shared" si="80"/>
        <v/>
      </c>
      <c r="S1110" s="87" t="str">
        <f t="shared" si="81"/>
        <v/>
      </c>
      <c r="T1110" s="54"/>
      <c r="U1110" s="54"/>
      <c r="V1110" s="54"/>
      <c r="W1110" s="54"/>
      <c r="X1110" s="69" t="str">
        <f t="shared" si="78"/>
        <v>D</v>
      </c>
    </row>
    <row r="1111" spans="2:24" x14ac:dyDescent="0.25">
      <c r="B1111" s="91" t="str">
        <f>IFERROR(VLOOKUP(A1111,Lookup!A:B,2,0),"")</f>
        <v/>
      </c>
      <c r="C1111" s="59" t="str">
        <f>IFERROR(VLOOKUP(A1111,Lookup!A:C,3,0),"")</f>
        <v/>
      </c>
      <c r="D1111" s="54"/>
      <c r="E1111" s="54"/>
      <c r="F1111" s="54"/>
      <c r="G1111" s="72"/>
      <c r="H1111" s="54"/>
      <c r="I1111" s="54"/>
      <c r="J1111" s="106">
        <f>VLOOKUP(A1111&amp;G1111,Lookup!J:N,5,0)</f>
        <v>0</v>
      </c>
      <c r="K1111" s="115"/>
      <c r="L1111" s="115"/>
      <c r="M1111" s="115"/>
      <c r="N1111" s="115"/>
      <c r="O1111" s="90">
        <f>IFERROR(VLOOKUP(A1111&amp;G1111,Lookup!J:K,2,0),"")</f>
        <v>0</v>
      </c>
      <c r="P1111" s="110" t="str">
        <f t="shared" si="79"/>
        <v/>
      </c>
      <c r="Q1111" s="115"/>
      <c r="R1111" s="87" t="str">
        <f t="shared" si="80"/>
        <v/>
      </c>
      <c r="S1111" s="87" t="str">
        <f t="shared" si="81"/>
        <v/>
      </c>
      <c r="T1111" s="54"/>
      <c r="U1111" s="54"/>
      <c r="V1111" s="54"/>
      <c r="W1111" s="54"/>
      <c r="X1111" s="69" t="str">
        <f t="shared" si="78"/>
        <v>D</v>
      </c>
    </row>
    <row r="1112" spans="2:24" x14ac:dyDescent="0.25">
      <c r="B1112" s="91" t="str">
        <f>IFERROR(VLOOKUP(A1112,Lookup!A:B,2,0),"")</f>
        <v/>
      </c>
      <c r="C1112" s="59" t="str">
        <f>IFERROR(VLOOKUP(A1112,Lookup!A:C,3,0),"")</f>
        <v/>
      </c>
      <c r="D1112" s="54"/>
      <c r="E1112" s="54"/>
      <c r="F1112" s="54"/>
      <c r="G1112" s="72"/>
      <c r="H1112" s="54"/>
      <c r="I1112" s="54"/>
      <c r="J1112" s="106">
        <f>VLOOKUP(A1112&amp;G1112,Lookup!J:N,5,0)</f>
        <v>0</v>
      </c>
      <c r="K1112" s="115"/>
      <c r="L1112" s="115"/>
      <c r="M1112" s="115"/>
      <c r="N1112" s="115"/>
      <c r="O1112" s="90">
        <f>IFERROR(VLOOKUP(A1112&amp;G1112,Lookup!J:K,2,0),"")</f>
        <v>0</v>
      </c>
      <c r="P1112" s="110" t="str">
        <f t="shared" si="79"/>
        <v/>
      </c>
      <c r="Q1112" s="115"/>
      <c r="R1112" s="87" t="str">
        <f t="shared" si="80"/>
        <v/>
      </c>
      <c r="S1112" s="87" t="str">
        <f t="shared" si="81"/>
        <v/>
      </c>
      <c r="T1112" s="54"/>
      <c r="U1112" s="54"/>
      <c r="V1112" s="54"/>
      <c r="W1112" s="54"/>
      <c r="X1112" s="69" t="str">
        <f t="shared" si="78"/>
        <v>D</v>
      </c>
    </row>
    <row r="1113" spans="2:24" x14ac:dyDescent="0.25">
      <c r="B1113" s="91" t="str">
        <f>IFERROR(VLOOKUP(A1113,Lookup!A:B,2,0),"")</f>
        <v/>
      </c>
      <c r="C1113" s="59" t="str">
        <f>IFERROR(VLOOKUP(A1113,Lookup!A:C,3,0),"")</f>
        <v/>
      </c>
      <c r="D1113" s="54"/>
      <c r="E1113" s="54"/>
      <c r="F1113" s="54"/>
      <c r="G1113" s="72"/>
      <c r="H1113" s="54"/>
      <c r="I1113" s="54"/>
      <c r="J1113" s="106">
        <f>VLOOKUP(A1113&amp;G1113,Lookup!J:N,5,0)</f>
        <v>0</v>
      </c>
      <c r="K1113" s="115"/>
      <c r="L1113" s="115"/>
      <c r="M1113" s="115"/>
      <c r="N1113" s="115"/>
      <c r="O1113" s="90">
        <f>IFERROR(VLOOKUP(A1113&amp;G1113,Lookup!J:K,2,0),"")</f>
        <v>0</v>
      </c>
      <c r="P1113" s="110" t="str">
        <f t="shared" si="79"/>
        <v/>
      </c>
      <c r="Q1113" s="115"/>
      <c r="R1113" s="87" t="str">
        <f t="shared" si="80"/>
        <v/>
      </c>
      <c r="S1113" s="87" t="str">
        <f t="shared" si="81"/>
        <v/>
      </c>
      <c r="T1113" s="54"/>
      <c r="U1113" s="54"/>
      <c r="V1113" s="54"/>
      <c r="W1113" s="54"/>
      <c r="X1113" s="69" t="str">
        <f t="shared" si="78"/>
        <v>D</v>
      </c>
    </row>
    <row r="1114" spans="2:24" x14ac:dyDescent="0.25">
      <c r="B1114" s="91" t="str">
        <f>IFERROR(VLOOKUP(A1114,Lookup!A:B,2,0),"")</f>
        <v/>
      </c>
      <c r="C1114" s="59" t="str">
        <f>IFERROR(VLOOKUP(A1114,Lookup!A:C,3,0),"")</f>
        <v/>
      </c>
      <c r="D1114" s="54"/>
      <c r="E1114" s="54"/>
      <c r="F1114" s="54"/>
      <c r="G1114" s="72"/>
      <c r="H1114" s="54"/>
      <c r="I1114" s="54"/>
      <c r="J1114" s="106">
        <f>VLOOKUP(A1114&amp;G1114,Lookup!J:N,5,0)</f>
        <v>0</v>
      </c>
      <c r="K1114" s="115"/>
      <c r="L1114" s="115"/>
      <c r="M1114" s="115"/>
      <c r="N1114" s="115"/>
      <c r="O1114" s="90">
        <f>IFERROR(VLOOKUP(A1114&amp;G1114,Lookup!J:K,2,0),"")</f>
        <v>0</v>
      </c>
      <c r="P1114" s="110" t="str">
        <f t="shared" si="79"/>
        <v/>
      </c>
      <c r="Q1114" s="115"/>
      <c r="R1114" s="87" t="str">
        <f t="shared" si="80"/>
        <v/>
      </c>
      <c r="S1114" s="87" t="str">
        <f t="shared" si="81"/>
        <v/>
      </c>
      <c r="T1114" s="54"/>
      <c r="U1114" s="54"/>
      <c r="V1114" s="54"/>
      <c r="W1114" s="54"/>
      <c r="X1114" s="69" t="str">
        <f t="shared" si="78"/>
        <v>D</v>
      </c>
    </row>
    <row r="1115" spans="2:24" x14ac:dyDescent="0.25">
      <c r="B1115" s="91" t="str">
        <f>IFERROR(VLOOKUP(A1115,Lookup!A:B,2,0),"")</f>
        <v/>
      </c>
      <c r="C1115" s="59" t="str">
        <f>IFERROR(VLOOKUP(A1115,Lookup!A:C,3,0),"")</f>
        <v/>
      </c>
      <c r="D1115" s="54"/>
      <c r="E1115" s="54"/>
      <c r="F1115" s="54"/>
      <c r="G1115" s="72"/>
      <c r="H1115" s="54"/>
      <c r="I1115" s="54"/>
      <c r="J1115" s="106">
        <f>VLOOKUP(A1115&amp;G1115,Lookup!J:N,5,0)</f>
        <v>0</v>
      </c>
      <c r="K1115" s="115"/>
      <c r="L1115" s="115"/>
      <c r="M1115" s="115"/>
      <c r="N1115" s="115"/>
      <c r="O1115" s="90">
        <f>IFERROR(VLOOKUP(A1115&amp;G1115,Lookup!J:K,2,0),"")</f>
        <v>0</v>
      </c>
      <c r="P1115" s="110" t="str">
        <f t="shared" si="79"/>
        <v/>
      </c>
      <c r="Q1115" s="115"/>
      <c r="R1115" s="87" t="str">
        <f t="shared" si="80"/>
        <v/>
      </c>
      <c r="S1115" s="87" t="str">
        <f t="shared" si="81"/>
        <v/>
      </c>
      <c r="T1115" s="54"/>
      <c r="U1115" s="54"/>
      <c r="V1115" s="54"/>
      <c r="W1115" s="54"/>
      <c r="X1115" s="69" t="str">
        <f t="shared" si="78"/>
        <v>D</v>
      </c>
    </row>
    <row r="1116" spans="2:24" x14ac:dyDescent="0.25">
      <c r="B1116" s="91" t="str">
        <f>IFERROR(VLOOKUP(A1116,Lookup!A:B,2,0),"")</f>
        <v/>
      </c>
      <c r="C1116" s="59" t="str">
        <f>IFERROR(VLOOKUP(A1116,Lookup!A:C,3,0),"")</f>
        <v/>
      </c>
      <c r="D1116" s="54"/>
      <c r="E1116" s="54"/>
      <c r="F1116" s="54"/>
      <c r="G1116" s="72"/>
      <c r="H1116" s="54"/>
      <c r="I1116" s="54"/>
      <c r="J1116" s="106">
        <f>VLOOKUP(A1116&amp;G1116,Lookup!J:N,5,0)</f>
        <v>0</v>
      </c>
      <c r="K1116" s="115"/>
      <c r="L1116" s="115"/>
      <c r="M1116" s="115"/>
      <c r="N1116" s="115"/>
      <c r="O1116" s="90">
        <f>IFERROR(VLOOKUP(A1116&amp;G1116,Lookup!J:K,2,0),"")</f>
        <v>0</v>
      </c>
      <c r="P1116" s="110" t="str">
        <f t="shared" si="79"/>
        <v/>
      </c>
      <c r="Q1116" s="115"/>
      <c r="R1116" s="87" t="str">
        <f t="shared" si="80"/>
        <v/>
      </c>
      <c r="S1116" s="87" t="str">
        <f t="shared" si="81"/>
        <v/>
      </c>
      <c r="T1116" s="54"/>
      <c r="U1116" s="54"/>
      <c r="V1116" s="54"/>
      <c r="W1116" s="54"/>
      <c r="X1116" s="69" t="str">
        <f t="shared" si="78"/>
        <v>D</v>
      </c>
    </row>
    <row r="1117" spans="2:24" x14ac:dyDescent="0.25">
      <c r="B1117" s="91" t="str">
        <f>IFERROR(VLOOKUP(A1117,Lookup!A:B,2,0),"")</f>
        <v/>
      </c>
      <c r="C1117" s="59" t="str">
        <f>IFERROR(VLOOKUP(A1117,Lookup!A:C,3,0),"")</f>
        <v/>
      </c>
      <c r="D1117" s="54"/>
      <c r="E1117" s="54"/>
      <c r="F1117" s="54"/>
      <c r="G1117" s="72"/>
      <c r="H1117" s="54"/>
      <c r="I1117" s="54"/>
      <c r="J1117" s="106">
        <f>VLOOKUP(A1117&amp;G1117,Lookup!J:N,5,0)</f>
        <v>0</v>
      </c>
      <c r="K1117" s="115"/>
      <c r="L1117" s="115"/>
      <c r="M1117" s="115"/>
      <c r="N1117" s="115"/>
      <c r="O1117" s="90">
        <f>IFERROR(VLOOKUP(A1117&amp;G1117,Lookup!J:K,2,0),"")</f>
        <v>0</v>
      </c>
      <c r="P1117" s="110" t="str">
        <f t="shared" si="79"/>
        <v/>
      </c>
      <c r="Q1117" s="115"/>
      <c r="R1117" s="87" t="str">
        <f t="shared" si="80"/>
        <v/>
      </c>
      <c r="S1117" s="87" t="str">
        <f t="shared" si="81"/>
        <v/>
      </c>
      <c r="T1117" s="54"/>
      <c r="U1117" s="54"/>
      <c r="V1117" s="54"/>
      <c r="W1117" s="54"/>
      <c r="X1117" s="69" t="str">
        <f t="shared" si="78"/>
        <v>D</v>
      </c>
    </row>
    <row r="1118" spans="2:24" x14ac:dyDescent="0.25">
      <c r="B1118" s="91" t="str">
        <f>IFERROR(VLOOKUP(A1118,Lookup!A:B,2,0),"")</f>
        <v/>
      </c>
      <c r="C1118" s="59" t="str">
        <f>IFERROR(VLOOKUP(A1118,Lookup!A:C,3,0),"")</f>
        <v/>
      </c>
      <c r="D1118" s="54"/>
      <c r="E1118" s="54"/>
      <c r="F1118" s="54"/>
      <c r="G1118" s="72"/>
      <c r="H1118" s="54"/>
      <c r="I1118" s="54"/>
      <c r="J1118" s="106">
        <f>VLOOKUP(A1118&amp;G1118,Lookup!J:N,5,0)</f>
        <v>0</v>
      </c>
      <c r="K1118" s="115"/>
      <c r="L1118" s="115"/>
      <c r="M1118" s="115"/>
      <c r="N1118" s="115"/>
      <c r="O1118" s="90">
        <f>IFERROR(VLOOKUP(A1118&amp;G1118,Lookup!J:K,2,0),"")</f>
        <v>0</v>
      </c>
      <c r="P1118" s="110" t="str">
        <f t="shared" si="79"/>
        <v/>
      </c>
      <c r="Q1118" s="115"/>
      <c r="R1118" s="87" t="str">
        <f t="shared" si="80"/>
        <v/>
      </c>
      <c r="S1118" s="87" t="str">
        <f t="shared" si="81"/>
        <v/>
      </c>
      <c r="T1118" s="54"/>
      <c r="U1118" s="54"/>
      <c r="V1118" s="54"/>
      <c r="W1118" s="54"/>
      <c r="X1118" s="69" t="str">
        <f t="shared" si="78"/>
        <v>D</v>
      </c>
    </row>
    <row r="1119" spans="2:24" x14ac:dyDescent="0.25">
      <c r="B1119" s="91" t="str">
        <f>IFERROR(VLOOKUP(A1119,Lookup!A:B,2,0),"")</f>
        <v/>
      </c>
      <c r="C1119" s="59" t="str">
        <f>IFERROR(VLOOKUP(A1119,Lookup!A:C,3,0),"")</f>
        <v/>
      </c>
      <c r="D1119" s="54"/>
      <c r="E1119" s="54"/>
      <c r="F1119" s="54"/>
      <c r="G1119" s="72"/>
      <c r="H1119" s="54"/>
      <c r="I1119" s="54"/>
      <c r="J1119" s="106">
        <f>VLOOKUP(A1119&amp;G1119,Lookup!J:N,5,0)</f>
        <v>0</v>
      </c>
      <c r="K1119" s="115"/>
      <c r="L1119" s="115"/>
      <c r="M1119" s="115"/>
      <c r="N1119" s="115"/>
      <c r="O1119" s="90">
        <f>IFERROR(VLOOKUP(A1119&amp;G1119,Lookup!J:K,2,0),"")</f>
        <v>0</v>
      </c>
      <c r="P1119" s="110" t="str">
        <f t="shared" si="79"/>
        <v/>
      </c>
      <c r="Q1119" s="115"/>
      <c r="R1119" s="87" t="str">
        <f t="shared" si="80"/>
        <v/>
      </c>
      <c r="S1119" s="87" t="str">
        <f t="shared" si="81"/>
        <v/>
      </c>
      <c r="T1119" s="54"/>
      <c r="U1119" s="54"/>
      <c r="V1119" s="54"/>
      <c r="W1119" s="54"/>
      <c r="X1119" s="69" t="str">
        <f t="shared" si="78"/>
        <v>D</v>
      </c>
    </row>
    <row r="1120" spans="2:24" x14ac:dyDescent="0.25">
      <c r="B1120" s="91" t="str">
        <f>IFERROR(VLOOKUP(A1120,Lookup!A:B,2,0),"")</f>
        <v/>
      </c>
      <c r="C1120" s="59" t="str">
        <f>IFERROR(VLOOKUP(A1120,Lookup!A:C,3,0),"")</f>
        <v/>
      </c>
      <c r="D1120" s="54"/>
      <c r="E1120" s="54"/>
      <c r="F1120" s="54"/>
      <c r="G1120" s="72"/>
      <c r="H1120" s="54"/>
      <c r="I1120" s="54"/>
      <c r="J1120" s="106">
        <f>VLOOKUP(A1120&amp;G1120,Lookup!J:N,5,0)</f>
        <v>0</v>
      </c>
      <c r="K1120" s="115"/>
      <c r="L1120" s="115"/>
      <c r="M1120" s="115"/>
      <c r="N1120" s="115"/>
      <c r="O1120" s="90">
        <f>IFERROR(VLOOKUP(A1120&amp;G1120,Lookup!J:K,2,0),"")</f>
        <v>0</v>
      </c>
      <c r="P1120" s="110" t="str">
        <f t="shared" si="79"/>
        <v/>
      </c>
      <c r="Q1120" s="115"/>
      <c r="R1120" s="87" t="str">
        <f t="shared" si="80"/>
        <v/>
      </c>
      <c r="S1120" s="87" t="str">
        <f t="shared" si="81"/>
        <v/>
      </c>
      <c r="T1120" s="54"/>
      <c r="U1120" s="54"/>
      <c r="V1120" s="54"/>
      <c r="W1120" s="54"/>
      <c r="X1120" s="69" t="str">
        <f t="shared" si="78"/>
        <v>D</v>
      </c>
    </row>
    <row r="1121" spans="2:24" x14ac:dyDescent="0.25">
      <c r="B1121" s="91" t="str">
        <f>IFERROR(VLOOKUP(A1121,Lookup!A:B,2,0),"")</f>
        <v/>
      </c>
      <c r="C1121" s="59" t="str">
        <f>IFERROR(VLOOKUP(A1121,Lookup!A:C,3,0),"")</f>
        <v/>
      </c>
      <c r="D1121" s="54"/>
      <c r="E1121" s="54"/>
      <c r="F1121" s="54"/>
      <c r="G1121" s="72"/>
      <c r="H1121" s="54"/>
      <c r="I1121" s="54"/>
      <c r="J1121" s="106">
        <f>VLOOKUP(A1121&amp;G1121,Lookup!J:N,5,0)</f>
        <v>0</v>
      </c>
      <c r="K1121" s="115"/>
      <c r="L1121" s="115"/>
      <c r="M1121" s="115"/>
      <c r="N1121" s="115"/>
      <c r="O1121" s="90">
        <f>IFERROR(VLOOKUP(A1121&amp;G1121,Lookup!J:K,2,0),"")</f>
        <v>0</v>
      </c>
      <c r="P1121" s="110" t="str">
        <f t="shared" si="79"/>
        <v/>
      </c>
      <c r="Q1121" s="115"/>
      <c r="R1121" s="87" t="str">
        <f t="shared" si="80"/>
        <v/>
      </c>
      <c r="S1121" s="87" t="str">
        <f t="shared" si="81"/>
        <v/>
      </c>
      <c r="T1121" s="54"/>
      <c r="U1121" s="54"/>
      <c r="V1121" s="54"/>
      <c r="W1121" s="54"/>
      <c r="X1121" s="69" t="str">
        <f t="shared" si="78"/>
        <v>D</v>
      </c>
    </row>
    <row r="1122" spans="2:24" x14ac:dyDescent="0.25">
      <c r="B1122" s="91" t="str">
        <f>IFERROR(VLOOKUP(A1122,Lookup!A:B,2,0),"")</f>
        <v/>
      </c>
      <c r="C1122" s="59" t="str">
        <f>IFERROR(VLOOKUP(A1122,Lookup!A:C,3,0),"")</f>
        <v/>
      </c>
      <c r="D1122" s="54"/>
      <c r="E1122" s="54"/>
      <c r="F1122" s="54"/>
      <c r="G1122" s="72"/>
      <c r="H1122" s="54"/>
      <c r="I1122" s="54"/>
      <c r="J1122" s="106">
        <f>VLOOKUP(A1122&amp;G1122,Lookup!J:N,5,0)</f>
        <v>0</v>
      </c>
      <c r="K1122" s="115"/>
      <c r="L1122" s="115"/>
      <c r="M1122" s="115"/>
      <c r="N1122" s="115"/>
      <c r="O1122" s="90">
        <f>IFERROR(VLOOKUP(A1122&amp;G1122,Lookup!J:K,2,0),"")</f>
        <v>0</v>
      </c>
      <c r="P1122" s="110" t="str">
        <f t="shared" si="79"/>
        <v/>
      </c>
      <c r="Q1122" s="115"/>
      <c r="R1122" s="87" t="str">
        <f t="shared" si="80"/>
        <v/>
      </c>
      <c r="S1122" s="87" t="str">
        <f t="shared" si="81"/>
        <v/>
      </c>
      <c r="T1122" s="54"/>
      <c r="U1122" s="54"/>
      <c r="V1122" s="54"/>
      <c r="W1122" s="54"/>
      <c r="X1122" s="69" t="str">
        <f t="shared" si="78"/>
        <v>D</v>
      </c>
    </row>
    <row r="1123" spans="2:24" x14ac:dyDescent="0.25">
      <c r="B1123" s="91" t="str">
        <f>IFERROR(VLOOKUP(A1123,Lookup!A:B,2,0),"")</f>
        <v/>
      </c>
      <c r="C1123" s="59" t="str">
        <f>IFERROR(VLOOKUP(A1123,Lookup!A:C,3,0),"")</f>
        <v/>
      </c>
      <c r="D1123" s="54"/>
      <c r="E1123" s="54"/>
      <c r="F1123" s="54"/>
      <c r="G1123" s="72"/>
      <c r="H1123" s="54"/>
      <c r="I1123" s="54"/>
      <c r="J1123" s="106">
        <f>VLOOKUP(A1123&amp;G1123,Lookup!J:N,5,0)</f>
        <v>0</v>
      </c>
      <c r="K1123" s="115"/>
      <c r="L1123" s="115"/>
      <c r="M1123" s="115"/>
      <c r="N1123" s="115"/>
      <c r="O1123" s="90">
        <f>IFERROR(VLOOKUP(A1123&amp;G1123,Lookup!J:K,2,0),"")</f>
        <v>0</v>
      </c>
      <c r="P1123" s="110" t="str">
        <f t="shared" si="79"/>
        <v/>
      </c>
      <c r="Q1123" s="115"/>
      <c r="R1123" s="87" t="str">
        <f t="shared" si="80"/>
        <v/>
      </c>
      <c r="S1123" s="87" t="str">
        <f t="shared" si="81"/>
        <v/>
      </c>
      <c r="T1123" s="54"/>
      <c r="U1123" s="54"/>
      <c r="V1123" s="54"/>
      <c r="W1123" s="54"/>
      <c r="X1123" s="69" t="str">
        <f t="shared" si="78"/>
        <v>D</v>
      </c>
    </row>
    <row r="1124" spans="2:24" x14ac:dyDescent="0.25">
      <c r="B1124" s="91" t="str">
        <f>IFERROR(VLOOKUP(A1124,Lookup!A:B,2,0),"")</f>
        <v/>
      </c>
      <c r="C1124" s="59" t="str">
        <f>IFERROR(VLOOKUP(A1124,Lookup!A:C,3,0),"")</f>
        <v/>
      </c>
      <c r="D1124" s="54"/>
      <c r="E1124" s="54"/>
      <c r="F1124" s="54"/>
      <c r="G1124" s="72"/>
      <c r="H1124" s="54"/>
      <c r="I1124" s="54"/>
      <c r="J1124" s="106">
        <f>VLOOKUP(A1124&amp;G1124,Lookup!J:N,5,0)</f>
        <v>0</v>
      </c>
      <c r="K1124" s="115"/>
      <c r="L1124" s="115"/>
      <c r="M1124" s="115"/>
      <c r="N1124" s="115"/>
      <c r="O1124" s="90">
        <f>IFERROR(VLOOKUP(A1124&amp;G1124,Lookup!J:K,2,0),"")</f>
        <v>0</v>
      </c>
      <c r="P1124" s="110" t="str">
        <f t="shared" si="79"/>
        <v/>
      </c>
      <c r="Q1124" s="115"/>
      <c r="R1124" s="87" t="str">
        <f t="shared" si="80"/>
        <v/>
      </c>
      <c r="S1124" s="87" t="str">
        <f t="shared" si="81"/>
        <v/>
      </c>
      <c r="T1124" s="54"/>
      <c r="U1124" s="54"/>
      <c r="V1124" s="54"/>
      <c r="W1124" s="54"/>
      <c r="X1124" s="69" t="str">
        <f t="shared" si="78"/>
        <v>D</v>
      </c>
    </row>
    <row r="1125" spans="2:24" x14ac:dyDescent="0.25">
      <c r="B1125" s="91" t="str">
        <f>IFERROR(VLOOKUP(A1125,Lookup!A:B,2,0),"")</f>
        <v/>
      </c>
      <c r="C1125" s="59" t="str">
        <f>IFERROR(VLOOKUP(A1125,Lookup!A:C,3,0),"")</f>
        <v/>
      </c>
      <c r="D1125" s="54"/>
      <c r="E1125" s="54"/>
      <c r="F1125" s="54"/>
      <c r="G1125" s="72"/>
      <c r="H1125" s="54"/>
      <c r="I1125" s="54"/>
      <c r="J1125" s="106">
        <f>VLOOKUP(A1125&amp;G1125,Lookup!J:N,5,0)</f>
        <v>0</v>
      </c>
      <c r="K1125" s="115"/>
      <c r="L1125" s="115"/>
      <c r="M1125" s="115"/>
      <c r="N1125" s="115"/>
      <c r="O1125" s="90">
        <f>IFERROR(VLOOKUP(A1125&amp;G1125,Lookup!J:K,2,0),"")</f>
        <v>0</v>
      </c>
      <c r="P1125" s="110" t="str">
        <f t="shared" si="79"/>
        <v/>
      </c>
      <c r="Q1125" s="115"/>
      <c r="R1125" s="87" t="str">
        <f t="shared" si="80"/>
        <v/>
      </c>
      <c r="S1125" s="87" t="str">
        <f t="shared" si="81"/>
        <v/>
      </c>
      <c r="T1125" s="54"/>
      <c r="U1125" s="54"/>
      <c r="V1125" s="54"/>
      <c r="W1125" s="54"/>
      <c r="X1125" s="69" t="str">
        <f t="shared" si="78"/>
        <v>D</v>
      </c>
    </row>
    <row r="1126" spans="2:24" x14ac:dyDescent="0.25">
      <c r="B1126" s="91" t="str">
        <f>IFERROR(VLOOKUP(A1126,Lookup!A:B,2,0),"")</f>
        <v/>
      </c>
      <c r="C1126" s="59" t="str">
        <f>IFERROR(VLOOKUP(A1126,Lookup!A:C,3,0),"")</f>
        <v/>
      </c>
      <c r="D1126" s="54"/>
      <c r="E1126" s="54"/>
      <c r="F1126" s="54"/>
      <c r="G1126" s="72"/>
      <c r="H1126" s="54"/>
      <c r="I1126" s="54"/>
      <c r="J1126" s="106">
        <f>VLOOKUP(A1126&amp;G1126,Lookup!J:N,5,0)</f>
        <v>0</v>
      </c>
      <c r="K1126" s="115"/>
      <c r="L1126" s="115"/>
      <c r="M1126" s="115"/>
      <c r="N1126" s="115"/>
      <c r="O1126" s="90">
        <f>IFERROR(VLOOKUP(A1126&amp;G1126,Lookup!J:K,2,0),"")</f>
        <v>0</v>
      </c>
      <c r="P1126" s="110" t="str">
        <f t="shared" si="79"/>
        <v/>
      </c>
      <c r="Q1126" s="115"/>
      <c r="R1126" s="87" t="str">
        <f t="shared" si="80"/>
        <v/>
      </c>
      <c r="S1126" s="87" t="str">
        <f t="shared" si="81"/>
        <v/>
      </c>
      <c r="T1126" s="54"/>
      <c r="U1126" s="54"/>
      <c r="V1126" s="54"/>
      <c r="W1126" s="54"/>
      <c r="X1126" s="69" t="str">
        <f t="shared" si="78"/>
        <v>D</v>
      </c>
    </row>
    <row r="1127" spans="2:24" x14ac:dyDescent="0.25">
      <c r="B1127" s="91" t="str">
        <f>IFERROR(VLOOKUP(A1127,Lookup!A:B,2,0),"")</f>
        <v/>
      </c>
      <c r="C1127" s="59" t="str">
        <f>IFERROR(VLOOKUP(A1127,Lookup!A:C,3,0),"")</f>
        <v/>
      </c>
      <c r="D1127" s="54"/>
      <c r="E1127" s="54"/>
      <c r="F1127" s="54"/>
      <c r="G1127" s="72"/>
      <c r="H1127" s="54"/>
      <c r="I1127" s="54"/>
      <c r="J1127" s="106">
        <f>VLOOKUP(A1127&amp;G1127,Lookup!J:N,5,0)</f>
        <v>0</v>
      </c>
      <c r="K1127" s="115"/>
      <c r="L1127" s="115"/>
      <c r="M1127" s="115"/>
      <c r="N1127" s="115"/>
      <c r="O1127" s="90">
        <f>IFERROR(VLOOKUP(A1127&amp;G1127,Lookup!J:K,2,0),"")</f>
        <v>0</v>
      </c>
      <c r="P1127" s="110" t="str">
        <f t="shared" si="79"/>
        <v/>
      </c>
      <c r="Q1127" s="115"/>
      <c r="R1127" s="87" t="str">
        <f t="shared" si="80"/>
        <v/>
      </c>
      <c r="S1127" s="87" t="str">
        <f t="shared" si="81"/>
        <v/>
      </c>
      <c r="T1127" s="54"/>
      <c r="U1127" s="54"/>
      <c r="V1127" s="54"/>
      <c r="W1127" s="54"/>
      <c r="X1127" s="69" t="str">
        <f t="shared" si="78"/>
        <v>D</v>
      </c>
    </row>
    <row r="1128" spans="2:24" x14ac:dyDescent="0.25">
      <c r="B1128" s="91" t="str">
        <f>IFERROR(VLOOKUP(A1128,Lookup!A:B,2,0),"")</f>
        <v/>
      </c>
      <c r="C1128" s="59" t="str">
        <f>IFERROR(VLOOKUP(A1128,Lookup!A:C,3,0),"")</f>
        <v/>
      </c>
      <c r="D1128" s="54"/>
      <c r="E1128" s="54"/>
      <c r="F1128" s="54"/>
      <c r="G1128" s="72"/>
      <c r="H1128" s="54"/>
      <c r="I1128" s="54"/>
      <c r="J1128" s="106">
        <f>VLOOKUP(A1128&amp;G1128,Lookup!J:N,5,0)</f>
        <v>0</v>
      </c>
      <c r="K1128" s="115"/>
      <c r="L1128" s="115"/>
      <c r="M1128" s="115"/>
      <c r="N1128" s="115"/>
      <c r="O1128" s="90">
        <f>IFERROR(VLOOKUP(A1128&amp;G1128,Lookup!J:K,2,0),"")</f>
        <v>0</v>
      </c>
      <c r="P1128" s="110" t="str">
        <f t="shared" si="79"/>
        <v/>
      </c>
      <c r="Q1128" s="115"/>
      <c r="R1128" s="87" t="str">
        <f t="shared" si="80"/>
        <v/>
      </c>
      <c r="S1128" s="87" t="str">
        <f t="shared" si="81"/>
        <v/>
      </c>
      <c r="T1128" s="54"/>
      <c r="U1128" s="54"/>
      <c r="V1128" s="54"/>
      <c r="W1128" s="54"/>
      <c r="X1128" s="69" t="str">
        <f t="shared" si="78"/>
        <v>D</v>
      </c>
    </row>
    <row r="1129" spans="2:24" x14ac:dyDescent="0.25">
      <c r="B1129" s="91" t="str">
        <f>IFERROR(VLOOKUP(A1129,Lookup!A:B,2,0),"")</f>
        <v/>
      </c>
      <c r="C1129" s="59" t="str">
        <f>IFERROR(VLOOKUP(A1129,Lookup!A:C,3,0),"")</f>
        <v/>
      </c>
      <c r="D1129" s="54"/>
      <c r="E1129" s="54"/>
      <c r="F1129" s="54"/>
      <c r="G1129" s="72"/>
      <c r="H1129" s="54"/>
      <c r="I1129" s="54"/>
      <c r="J1129" s="106">
        <f>VLOOKUP(A1129&amp;G1129,Lookup!J:N,5,0)</f>
        <v>0</v>
      </c>
      <c r="K1129" s="115"/>
      <c r="L1129" s="115"/>
      <c r="M1129" s="115"/>
      <c r="N1129" s="115"/>
      <c r="O1129" s="90">
        <f>IFERROR(VLOOKUP(A1129&amp;G1129,Lookup!J:K,2,0),"")</f>
        <v>0</v>
      </c>
      <c r="P1129" s="110" t="str">
        <f t="shared" si="79"/>
        <v/>
      </c>
      <c r="Q1129" s="115"/>
      <c r="R1129" s="87" t="str">
        <f t="shared" si="80"/>
        <v/>
      </c>
      <c r="S1129" s="87" t="str">
        <f t="shared" si="81"/>
        <v/>
      </c>
      <c r="T1129" s="54"/>
      <c r="U1129" s="54"/>
      <c r="V1129" s="54"/>
      <c r="W1129" s="54"/>
      <c r="X1129" s="69" t="str">
        <f t="shared" si="78"/>
        <v>D</v>
      </c>
    </row>
    <row r="1130" spans="2:24" x14ac:dyDescent="0.25">
      <c r="B1130" s="91" t="str">
        <f>IFERROR(VLOOKUP(A1130,Lookup!A:B,2,0),"")</f>
        <v/>
      </c>
      <c r="C1130" s="59" t="str">
        <f>IFERROR(VLOOKUP(A1130,Lookup!A:C,3,0),"")</f>
        <v/>
      </c>
      <c r="D1130" s="54"/>
      <c r="E1130" s="54"/>
      <c r="F1130" s="54"/>
      <c r="G1130" s="72"/>
      <c r="H1130" s="54"/>
      <c r="I1130" s="54"/>
      <c r="J1130" s="106">
        <f>VLOOKUP(A1130&amp;G1130,Lookup!J:N,5,0)</f>
        <v>0</v>
      </c>
      <c r="K1130" s="115"/>
      <c r="L1130" s="115"/>
      <c r="M1130" s="115"/>
      <c r="N1130" s="115"/>
      <c r="O1130" s="90">
        <f>IFERROR(VLOOKUP(A1130&amp;G1130,Lookup!J:K,2,0),"")</f>
        <v>0</v>
      </c>
      <c r="P1130" s="110" t="str">
        <f t="shared" si="79"/>
        <v/>
      </c>
      <c r="Q1130" s="115"/>
      <c r="R1130" s="87" t="str">
        <f t="shared" si="80"/>
        <v/>
      </c>
      <c r="S1130" s="87" t="str">
        <f t="shared" si="81"/>
        <v/>
      </c>
      <c r="T1130" s="54"/>
      <c r="U1130" s="54"/>
      <c r="V1130" s="54"/>
      <c r="W1130" s="54"/>
      <c r="X1130" s="69" t="str">
        <f t="shared" si="78"/>
        <v>D</v>
      </c>
    </row>
    <row r="1131" spans="2:24" x14ac:dyDescent="0.25">
      <c r="B1131" s="91" t="str">
        <f>IFERROR(VLOOKUP(A1131,Lookup!A:B,2,0),"")</f>
        <v/>
      </c>
      <c r="C1131" s="59" t="str">
        <f>IFERROR(VLOOKUP(A1131,Lookup!A:C,3,0),"")</f>
        <v/>
      </c>
      <c r="D1131" s="54"/>
      <c r="E1131" s="54"/>
      <c r="F1131" s="54"/>
      <c r="G1131" s="72"/>
      <c r="H1131" s="54"/>
      <c r="I1131" s="54"/>
      <c r="J1131" s="106">
        <f>VLOOKUP(A1131&amp;G1131,Lookup!J:N,5,0)</f>
        <v>0</v>
      </c>
      <c r="K1131" s="115"/>
      <c r="L1131" s="115"/>
      <c r="M1131" s="115"/>
      <c r="N1131" s="115"/>
      <c r="O1131" s="90">
        <f>IFERROR(VLOOKUP(A1131&amp;G1131,Lookup!J:K,2,0),"")</f>
        <v>0</v>
      </c>
      <c r="P1131" s="110" t="str">
        <f t="shared" si="79"/>
        <v/>
      </c>
      <c r="Q1131" s="115"/>
      <c r="R1131" s="87" t="str">
        <f t="shared" si="80"/>
        <v/>
      </c>
      <c r="S1131" s="87" t="str">
        <f t="shared" si="81"/>
        <v/>
      </c>
      <c r="T1131" s="54"/>
      <c r="U1131" s="54"/>
      <c r="V1131" s="54"/>
      <c r="W1131" s="54"/>
      <c r="X1131" s="69" t="str">
        <f t="shared" si="78"/>
        <v>D</v>
      </c>
    </row>
    <row r="1132" spans="2:24" x14ac:dyDescent="0.25">
      <c r="B1132" s="91" t="str">
        <f>IFERROR(VLOOKUP(A1132,Lookup!A:B,2,0),"")</f>
        <v/>
      </c>
      <c r="C1132" s="59" t="str">
        <f>IFERROR(VLOOKUP(A1132,Lookup!A:C,3,0),"")</f>
        <v/>
      </c>
      <c r="D1132" s="54"/>
      <c r="E1132" s="54"/>
      <c r="F1132" s="54"/>
      <c r="G1132" s="72"/>
      <c r="H1132" s="54"/>
      <c r="I1132" s="54"/>
      <c r="J1132" s="106">
        <f>VLOOKUP(A1132&amp;G1132,Lookup!J:N,5,0)</f>
        <v>0</v>
      </c>
      <c r="K1132" s="115"/>
      <c r="L1132" s="115"/>
      <c r="M1132" s="115"/>
      <c r="N1132" s="115"/>
      <c r="O1132" s="90">
        <f>IFERROR(VLOOKUP(A1132&amp;G1132,Lookup!J:K,2,0),"")</f>
        <v>0</v>
      </c>
      <c r="P1132" s="110" t="str">
        <f t="shared" si="79"/>
        <v/>
      </c>
      <c r="Q1132" s="115"/>
      <c r="R1132" s="87" t="str">
        <f t="shared" si="80"/>
        <v/>
      </c>
      <c r="S1132" s="87" t="str">
        <f t="shared" si="81"/>
        <v/>
      </c>
      <c r="T1132" s="54"/>
      <c r="U1132" s="54"/>
      <c r="V1132" s="54"/>
      <c r="W1132" s="54"/>
      <c r="X1132" s="69" t="str">
        <f t="shared" si="78"/>
        <v>D</v>
      </c>
    </row>
    <row r="1133" spans="2:24" x14ac:dyDescent="0.25">
      <c r="B1133" s="91" t="str">
        <f>IFERROR(VLOOKUP(A1133,Lookup!A:B,2,0),"")</f>
        <v/>
      </c>
      <c r="C1133" s="59" t="str">
        <f>IFERROR(VLOOKUP(A1133,Lookup!A:C,3,0),"")</f>
        <v/>
      </c>
      <c r="D1133" s="54"/>
      <c r="E1133" s="54"/>
      <c r="F1133" s="54"/>
      <c r="G1133" s="72"/>
      <c r="H1133" s="54"/>
      <c r="I1133" s="54"/>
      <c r="J1133" s="106">
        <f>VLOOKUP(A1133&amp;G1133,Lookup!J:N,5,0)</f>
        <v>0</v>
      </c>
      <c r="K1133" s="115"/>
      <c r="L1133" s="115"/>
      <c r="M1133" s="115"/>
      <c r="N1133" s="115"/>
      <c r="O1133" s="90">
        <f>IFERROR(VLOOKUP(A1133&amp;G1133,Lookup!J:K,2,0),"")</f>
        <v>0</v>
      </c>
      <c r="P1133" s="110" t="str">
        <f t="shared" si="79"/>
        <v/>
      </c>
      <c r="Q1133" s="115"/>
      <c r="R1133" s="87" t="str">
        <f t="shared" si="80"/>
        <v/>
      </c>
      <c r="S1133" s="87" t="str">
        <f t="shared" si="81"/>
        <v/>
      </c>
      <c r="T1133" s="54"/>
      <c r="U1133" s="54"/>
      <c r="V1133" s="54"/>
      <c r="W1133" s="54"/>
      <c r="X1133" s="69" t="str">
        <f t="shared" si="78"/>
        <v>D</v>
      </c>
    </row>
    <row r="1134" spans="2:24" x14ac:dyDescent="0.25">
      <c r="B1134" s="91" t="str">
        <f>IFERROR(VLOOKUP(A1134,Lookup!A:B,2,0),"")</f>
        <v/>
      </c>
      <c r="C1134" s="59" t="str">
        <f>IFERROR(VLOOKUP(A1134,Lookup!A:C,3,0),"")</f>
        <v/>
      </c>
      <c r="D1134" s="54"/>
      <c r="E1134" s="54"/>
      <c r="F1134" s="54"/>
      <c r="G1134" s="72"/>
      <c r="H1134" s="54"/>
      <c r="I1134" s="54"/>
      <c r="J1134" s="106">
        <f>VLOOKUP(A1134&amp;G1134,Lookup!J:N,5,0)</f>
        <v>0</v>
      </c>
      <c r="K1134" s="115"/>
      <c r="L1134" s="115"/>
      <c r="M1134" s="115"/>
      <c r="N1134" s="115"/>
      <c r="O1134" s="90">
        <f>IFERROR(VLOOKUP(A1134&amp;G1134,Lookup!J:K,2,0),"")</f>
        <v>0</v>
      </c>
      <c r="P1134" s="110" t="str">
        <f t="shared" si="79"/>
        <v/>
      </c>
      <c r="Q1134" s="115"/>
      <c r="R1134" s="87" t="str">
        <f t="shared" si="80"/>
        <v/>
      </c>
      <c r="S1134" s="87" t="str">
        <f t="shared" si="81"/>
        <v/>
      </c>
      <c r="T1134" s="54"/>
      <c r="U1134" s="54"/>
      <c r="V1134" s="54"/>
      <c r="W1134" s="54"/>
      <c r="X1134" s="69" t="str">
        <f t="shared" si="78"/>
        <v>D</v>
      </c>
    </row>
    <row r="1135" spans="2:24" x14ac:dyDescent="0.25">
      <c r="B1135" s="91" t="str">
        <f>IFERROR(VLOOKUP(A1135,Lookup!A:B,2,0),"")</f>
        <v/>
      </c>
      <c r="C1135" s="59" t="str">
        <f>IFERROR(VLOOKUP(A1135,Lookup!A:C,3,0),"")</f>
        <v/>
      </c>
      <c r="D1135" s="54"/>
      <c r="E1135" s="54"/>
      <c r="F1135" s="54"/>
      <c r="G1135" s="72"/>
      <c r="H1135" s="54"/>
      <c r="I1135" s="54"/>
      <c r="J1135" s="106">
        <f>VLOOKUP(A1135&amp;G1135,Lookup!J:N,5,0)</f>
        <v>0</v>
      </c>
      <c r="K1135" s="115"/>
      <c r="L1135" s="115"/>
      <c r="M1135" s="115"/>
      <c r="N1135" s="115"/>
      <c r="O1135" s="90">
        <f>IFERROR(VLOOKUP(A1135&amp;G1135,Lookup!J:K,2,0),"")</f>
        <v>0</v>
      </c>
      <c r="P1135" s="110" t="str">
        <f t="shared" si="79"/>
        <v/>
      </c>
      <c r="Q1135" s="115"/>
      <c r="R1135" s="87" t="str">
        <f t="shared" si="80"/>
        <v/>
      </c>
      <c r="S1135" s="87" t="str">
        <f t="shared" si="81"/>
        <v/>
      </c>
      <c r="T1135" s="54"/>
      <c r="U1135" s="54"/>
      <c r="V1135" s="54"/>
      <c r="W1135" s="54"/>
      <c r="X1135" s="69" t="str">
        <f t="shared" si="78"/>
        <v>D</v>
      </c>
    </row>
    <row r="1136" spans="2:24" x14ac:dyDescent="0.25">
      <c r="B1136" s="91" t="str">
        <f>IFERROR(VLOOKUP(A1136,Lookup!A:B,2,0),"")</f>
        <v/>
      </c>
      <c r="C1136" s="59" t="str">
        <f>IFERROR(VLOOKUP(A1136,Lookup!A:C,3,0),"")</f>
        <v/>
      </c>
      <c r="D1136" s="54"/>
      <c r="E1136" s="54"/>
      <c r="F1136" s="54"/>
      <c r="G1136" s="72"/>
      <c r="H1136" s="54"/>
      <c r="I1136" s="54"/>
      <c r="J1136" s="106">
        <f>VLOOKUP(A1136&amp;G1136,Lookup!J:N,5,0)</f>
        <v>0</v>
      </c>
      <c r="K1136" s="115"/>
      <c r="L1136" s="115"/>
      <c r="M1136" s="115"/>
      <c r="N1136" s="115"/>
      <c r="O1136" s="90">
        <f>IFERROR(VLOOKUP(A1136&amp;G1136,Lookup!J:K,2,0),"")</f>
        <v>0</v>
      </c>
      <c r="P1136" s="110" t="str">
        <f t="shared" si="79"/>
        <v/>
      </c>
      <c r="Q1136" s="115"/>
      <c r="R1136" s="87" t="str">
        <f t="shared" si="80"/>
        <v/>
      </c>
      <c r="S1136" s="87" t="str">
        <f t="shared" si="81"/>
        <v/>
      </c>
      <c r="T1136" s="54"/>
      <c r="U1136" s="54"/>
      <c r="V1136" s="54"/>
      <c r="W1136" s="54"/>
      <c r="X1136" s="69"/>
    </row>
    <row r="1137" spans="2:24" x14ac:dyDescent="0.25">
      <c r="B1137" s="91" t="str">
        <f>IFERROR(VLOOKUP(A1137,Lookup!A:B,2,0),"")</f>
        <v/>
      </c>
      <c r="C1137" s="59" t="str">
        <f>IFERROR(VLOOKUP(A1137,Lookup!A:C,3,0),"")</f>
        <v/>
      </c>
      <c r="D1137" s="54"/>
      <c r="E1137" s="54"/>
      <c r="F1137" s="54"/>
      <c r="G1137" s="72"/>
      <c r="H1137" s="54"/>
      <c r="I1137" s="54"/>
      <c r="J1137" s="106">
        <f>VLOOKUP(A1137&amp;G1137,Lookup!J:N,5,0)</f>
        <v>0</v>
      </c>
      <c r="K1137" s="115"/>
      <c r="L1137" s="115"/>
      <c r="M1137" s="115"/>
      <c r="N1137" s="115"/>
      <c r="O1137" s="90">
        <f>IFERROR(VLOOKUP(A1137&amp;G1137,Lookup!J:K,2,0),"")</f>
        <v>0</v>
      </c>
      <c r="P1137" s="110" t="str">
        <f t="shared" si="79"/>
        <v/>
      </c>
      <c r="Q1137" s="115"/>
      <c r="R1137" s="87" t="str">
        <f t="shared" si="80"/>
        <v/>
      </c>
      <c r="S1137" s="87" t="str">
        <f t="shared" si="81"/>
        <v/>
      </c>
      <c r="T1137" s="54"/>
      <c r="U1137" s="54"/>
      <c r="V1137" s="54"/>
      <c r="W1137" s="54"/>
      <c r="X1137" s="69"/>
    </row>
    <row r="1138" spans="2:24" x14ac:dyDescent="0.25">
      <c r="B1138" s="91" t="str">
        <f>IFERROR(VLOOKUP(A1138,Lookup!A:B,2,0),"")</f>
        <v/>
      </c>
      <c r="C1138" s="59" t="str">
        <f>IFERROR(VLOOKUP(A1138,Lookup!A:C,3,0),"")</f>
        <v/>
      </c>
      <c r="D1138" s="54"/>
      <c r="E1138" s="54"/>
      <c r="F1138" s="54"/>
      <c r="G1138" s="72"/>
      <c r="H1138" s="54"/>
      <c r="I1138" s="54"/>
      <c r="J1138" s="106">
        <f>VLOOKUP(A1138&amp;G1138,Lookup!J:N,5,0)</f>
        <v>0</v>
      </c>
      <c r="K1138" s="115"/>
      <c r="L1138" s="115"/>
      <c r="M1138" s="115"/>
      <c r="N1138" s="115"/>
      <c r="O1138" s="90">
        <f>IFERROR(VLOOKUP(A1138&amp;G1138,Lookup!J:K,2,0),"")</f>
        <v>0</v>
      </c>
      <c r="P1138" s="110" t="str">
        <f t="shared" si="79"/>
        <v/>
      </c>
      <c r="Q1138" s="115"/>
      <c r="R1138" s="87" t="str">
        <f t="shared" si="80"/>
        <v/>
      </c>
      <c r="S1138" s="87" t="str">
        <f t="shared" si="81"/>
        <v/>
      </c>
      <c r="T1138" s="54"/>
      <c r="U1138" s="54"/>
      <c r="V1138" s="54"/>
      <c r="W1138" s="54"/>
      <c r="X1138" s="69"/>
    </row>
    <row r="1139" spans="2:24" x14ac:dyDescent="0.25">
      <c r="B1139" s="91" t="str">
        <f>IFERROR(VLOOKUP(A1139,Lookup!A:B,2,0),"")</f>
        <v/>
      </c>
      <c r="C1139" s="59" t="str">
        <f>IFERROR(VLOOKUP(A1139,Lookup!A:C,3,0),"")</f>
        <v/>
      </c>
      <c r="D1139" s="54"/>
      <c r="E1139" s="54"/>
      <c r="F1139" s="54"/>
      <c r="G1139" s="72"/>
      <c r="H1139" s="54"/>
      <c r="I1139" s="54"/>
      <c r="J1139" s="106">
        <f>VLOOKUP(A1139&amp;G1139,Lookup!J:N,5,0)</f>
        <v>0</v>
      </c>
      <c r="K1139" s="115"/>
      <c r="L1139" s="115"/>
      <c r="M1139" s="115"/>
      <c r="N1139" s="115"/>
      <c r="O1139" s="90">
        <f>IFERROR(VLOOKUP(A1139&amp;G1139,Lookup!J:K,2,0),"")</f>
        <v>0</v>
      </c>
      <c r="P1139" s="110" t="str">
        <f t="shared" si="79"/>
        <v/>
      </c>
      <c r="Q1139" s="115"/>
      <c r="R1139" s="87" t="str">
        <f t="shared" si="80"/>
        <v/>
      </c>
      <c r="S1139" s="87" t="str">
        <f t="shared" si="81"/>
        <v/>
      </c>
      <c r="T1139" s="54"/>
      <c r="U1139" s="54"/>
      <c r="V1139" s="54"/>
      <c r="W1139" s="54"/>
      <c r="X1139" s="69"/>
    </row>
    <row r="1140" spans="2:24" x14ac:dyDescent="0.25">
      <c r="B1140" s="91" t="str">
        <f>IFERROR(VLOOKUP(A1140,Lookup!A:B,2,0),"")</f>
        <v/>
      </c>
      <c r="C1140" s="59" t="str">
        <f>IFERROR(VLOOKUP(A1140,Lookup!A:C,3,0),"")</f>
        <v/>
      </c>
      <c r="D1140" s="54"/>
      <c r="E1140" s="54"/>
      <c r="F1140" s="54"/>
      <c r="G1140" s="72"/>
      <c r="H1140" s="54"/>
      <c r="I1140" s="54"/>
      <c r="J1140" s="106">
        <f>VLOOKUP(A1140&amp;G1140,Lookup!J:N,5,0)</f>
        <v>0</v>
      </c>
      <c r="K1140" s="115"/>
      <c r="L1140" s="115"/>
      <c r="M1140" s="115"/>
      <c r="N1140" s="115"/>
      <c r="O1140" s="90">
        <f>IFERROR(VLOOKUP(A1140&amp;G1140,Lookup!J:K,2,0),"")</f>
        <v>0</v>
      </c>
      <c r="P1140" s="110" t="str">
        <f t="shared" si="79"/>
        <v/>
      </c>
      <c r="Q1140" s="115"/>
      <c r="R1140" s="87" t="str">
        <f t="shared" si="80"/>
        <v/>
      </c>
      <c r="S1140" s="87" t="str">
        <f t="shared" si="81"/>
        <v/>
      </c>
      <c r="T1140" s="54"/>
      <c r="U1140" s="54"/>
      <c r="V1140" s="54"/>
      <c r="W1140" s="54"/>
      <c r="X1140" s="69"/>
    </row>
    <row r="1141" spans="2:24" x14ac:dyDescent="0.25">
      <c r="B1141" s="91" t="str">
        <f>IFERROR(VLOOKUP(A1141,Lookup!A:B,2,0),"")</f>
        <v/>
      </c>
      <c r="C1141" s="59" t="str">
        <f>IFERROR(VLOOKUP(A1141,Lookup!A:C,3,0),"")</f>
        <v/>
      </c>
      <c r="D1141" s="54"/>
      <c r="E1141" s="54"/>
      <c r="F1141" s="54"/>
      <c r="G1141" s="72"/>
      <c r="H1141" s="54"/>
      <c r="I1141" s="54"/>
      <c r="J1141" s="106">
        <f>VLOOKUP(A1141&amp;G1141,Lookup!J:N,5,0)</f>
        <v>0</v>
      </c>
      <c r="K1141" s="115"/>
      <c r="L1141" s="115"/>
      <c r="M1141" s="115"/>
      <c r="N1141" s="115"/>
      <c r="O1141" s="90">
        <f>IFERROR(VLOOKUP(A1141&amp;G1141,Lookup!J:K,2,0),"")</f>
        <v>0</v>
      </c>
      <c r="P1141" s="110" t="str">
        <f t="shared" si="79"/>
        <v/>
      </c>
      <c r="Q1141" s="115"/>
      <c r="R1141" s="87" t="str">
        <f t="shared" si="80"/>
        <v/>
      </c>
      <c r="S1141" s="87" t="str">
        <f t="shared" si="81"/>
        <v/>
      </c>
      <c r="T1141" s="54"/>
      <c r="U1141" s="54"/>
      <c r="V1141" s="54"/>
      <c r="W1141" s="54"/>
      <c r="X1141" s="69"/>
    </row>
    <row r="1142" spans="2:24" x14ac:dyDescent="0.25">
      <c r="B1142" s="91" t="str">
        <f>IFERROR(VLOOKUP(A1142,Lookup!A:B,2,0),"")</f>
        <v/>
      </c>
      <c r="C1142" s="59" t="str">
        <f>IFERROR(VLOOKUP(A1142,Lookup!A:C,3,0),"")</f>
        <v/>
      </c>
      <c r="D1142" s="54"/>
      <c r="E1142" s="54"/>
      <c r="F1142" s="54"/>
      <c r="G1142" s="72"/>
      <c r="H1142" s="54"/>
      <c r="I1142" s="54"/>
      <c r="J1142" s="106">
        <f>VLOOKUP(A1142&amp;G1142,Lookup!J:N,5,0)</f>
        <v>0</v>
      </c>
      <c r="K1142" s="115"/>
      <c r="L1142" s="115"/>
      <c r="M1142" s="115"/>
      <c r="N1142" s="115"/>
      <c r="O1142" s="90">
        <f>IFERROR(VLOOKUP(A1142&amp;G1142,Lookup!J:K,2,0),"")</f>
        <v>0</v>
      </c>
      <c r="P1142" s="110" t="str">
        <f t="shared" si="79"/>
        <v/>
      </c>
      <c r="Q1142" s="115"/>
      <c r="R1142" s="87" t="str">
        <f t="shared" si="80"/>
        <v/>
      </c>
      <c r="S1142" s="87" t="str">
        <f t="shared" si="81"/>
        <v/>
      </c>
      <c r="T1142" s="54"/>
      <c r="U1142" s="54"/>
      <c r="V1142" s="54"/>
      <c r="W1142" s="54"/>
      <c r="X1142" s="69"/>
    </row>
    <row r="1143" spans="2:24" x14ac:dyDescent="0.25">
      <c r="B1143" s="91" t="str">
        <f>IFERROR(VLOOKUP(A1143,Lookup!A:B,2,0),"")</f>
        <v/>
      </c>
      <c r="C1143" s="59" t="str">
        <f>IFERROR(VLOOKUP(A1143,Lookup!A:C,3,0),"")</f>
        <v/>
      </c>
      <c r="D1143" s="54"/>
      <c r="E1143" s="54"/>
      <c r="F1143" s="54"/>
      <c r="G1143" s="72"/>
      <c r="H1143" s="54"/>
      <c r="I1143" s="54"/>
      <c r="J1143" s="106">
        <f>VLOOKUP(A1143&amp;G1143,Lookup!J:N,5,0)</f>
        <v>0</v>
      </c>
      <c r="K1143" s="115"/>
      <c r="L1143" s="115"/>
      <c r="M1143" s="115"/>
      <c r="N1143" s="115"/>
      <c r="O1143" s="90">
        <f>IFERROR(VLOOKUP(A1143&amp;G1143,Lookup!J:K,2,0),"")</f>
        <v>0</v>
      </c>
      <c r="P1143" s="110" t="str">
        <f t="shared" si="79"/>
        <v/>
      </c>
      <c r="Q1143" s="115"/>
      <c r="R1143" s="87" t="str">
        <f t="shared" si="80"/>
        <v/>
      </c>
      <c r="S1143" s="87" t="str">
        <f t="shared" si="81"/>
        <v/>
      </c>
      <c r="T1143" s="54"/>
      <c r="U1143" s="54"/>
      <c r="V1143" s="54"/>
      <c r="W1143" s="54"/>
      <c r="X1143" s="69"/>
    </row>
    <row r="1144" spans="2:24" x14ac:dyDescent="0.25">
      <c r="B1144" s="91" t="str">
        <f>IFERROR(VLOOKUP(A1144,Lookup!A:B,2,0),"")</f>
        <v/>
      </c>
      <c r="C1144" s="59" t="str">
        <f>IFERROR(VLOOKUP(A1144,Lookup!A:C,3,0),"")</f>
        <v/>
      </c>
      <c r="D1144" s="54"/>
      <c r="E1144" s="54"/>
      <c r="F1144" s="54"/>
      <c r="G1144" s="72"/>
      <c r="H1144" s="54"/>
      <c r="I1144" s="54"/>
      <c r="J1144" s="106">
        <f>VLOOKUP(A1144&amp;G1144,Lookup!J:N,5,0)</f>
        <v>0</v>
      </c>
      <c r="K1144" s="115"/>
      <c r="L1144" s="115"/>
      <c r="M1144" s="115"/>
      <c r="N1144" s="115"/>
      <c r="O1144" s="90">
        <f>IFERROR(VLOOKUP(A1144&amp;G1144,Lookup!J:K,2,0),"")</f>
        <v>0</v>
      </c>
      <c r="P1144" s="110" t="str">
        <f t="shared" si="79"/>
        <v/>
      </c>
      <c r="Q1144" s="115"/>
      <c r="R1144" s="87" t="str">
        <f t="shared" si="80"/>
        <v/>
      </c>
      <c r="S1144" s="87" t="str">
        <f t="shared" si="81"/>
        <v/>
      </c>
      <c r="T1144" s="54"/>
      <c r="U1144" s="54"/>
      <c r="V1144" s="54"/>
      <c r="W1144" s="54"/>
      <c r="X1144" s="69"/>
    </row>
    <row r="1145" spans="2:24" x14ac:dyDescent="0.25">
      <c r="B1145" s="91" t="str">
        <f>IFERROR(VLOOKUP(A1145,Lookup!A:B,2,0),"")</f>
        <v/>
      </c>
      <c r="C1145" s="59" t="str">
        <f>IFERROR(VLOOKUP(A1145,Lookup!A:C,3,0),"")</f>
        <v/>
      </c>
      <c r="D1145" s="54"/>
      <c r="E1145" s="54"/>
      <c r="F1145" s="54"/>
      <c r="G1145" s="72"/>
      <c r="H1145" s="54"/>
      <c r="I1145" s="54"/>
      <c r="J1145" s="106">
        <f>VLOOKUP(A1145&amp;G1145,Lookup!J:N,5,0)</f>
        <v>0</v>
      </c>
      <c r="K1145" s="115"/>
      <c r="L1145" s="115"/>
      <c r="M1145" s="115"/>
      <c r="N1145" s="115"/>
      <c r="O1145" s="90">
        <f>IFERROR(VLOOKUP(A1145&amp;G1145,Lookup!J:K,2,0),"")</f>
        <v>0</v>
      </c>
      <c r="P1145" s="110" t="str">
        <f t="shared" si="79"/>
        <v/>
      </c>
      <c r="Q1145" s="115"/>
      <c r="R1145" s="87" t="str">
        <f t="shared" si="80"/>
        <v/>
      </c>
      <c r="S1145" s="87" t="str">
        <f t="shared" si="81"/>
        <v/>
      </c>
      <c r="T1145" s="54"/>
      <c r="U1145" s="54"/>
      <c r="V1145" s="54"/>
      <c r="W1145" s="54"/>
      <c r="X1145" s="69"/>
    </row>
    <row r="1146" spans="2:24" x14ac:dyDescent="0.25">
      <c r="B1146" s="91" t="str">
        <f>IFERROR(VLOOKUP(A1146,Lookup!A:B,2,0),"")</f>
        <v/>
      </c>
      <c r="C1146" s="59" t="str">
        <f>IFERROR(VLOOKUP(A1146,Lookup!A:C,3,0),"")</f>
        <v/>
      </c>
      <c r="D1146" s="54"/>
      <c r="E1146" s="54"/>
      <c r="F1146" s="54"/>
      <c r="G1146" s="72"/>
      <c r="H1146" s="54"/>
      <c r="I1146" s="54"/>
      <c r="J1146" s="106">
        <f>VLOOKUP(A1146&amp;G1146,Lookup!J:N,5,0)</f>
        <v>0</v>
      </c>
      <c r="K1146" s="115"/>
      <c r="L1146" s="115"/>
      <c r="M1146" s="115"/>
      <c r="N1146" s="115"/>
      <c r="O1146" s="90">
        <f>IFERROR(VLOOKUP(A1146&amp;G1146,Lookup!J:K,2,0),"")</f>
        <v>0</v>
      </c>
      <c r="P1146" s="110" t="str">
        <f t="shared" si="79"/>
        <v/>
      </c>
      <c r="Q1146" s="115"/>
      <c r="R1146" s="87" t="str">
        <f t="shared" si="80"/>
        <v/>
      </c>
      <c r="S1146" s="87" t="str">
        <f t="shared" si="81"/>
        <v/>
      </c>
      <c r="T1146" s="54"/>
      <c r="U1146" s="54"/>
      <c r="V1146" s="54"/>
      <c r="W1146" s="54"/>
      <c r="X1146" s="69"/>
    </row>
    <row r="1147" spans="2:24" x14ac:dyDescent="0.25">
      <c r="B1147" s="91" t="str">
        <f>IFERROR(VLOOKUP(A1147,Lookup!A:B,2,0),"")</f>
        <v/>
      </c>
      <c r="C1147" s="59" t="str">
        <f>IFERROR(VLOOKUP(A1147,Lookup!A:C,3,0),"")</f>
        <v/>
      </c>
      <c r="D1147" s="54"/>
      <c r="E1147" s="54"/>
      <c r="F1147" s="54"/>
      <c r="G1147" s="72"/>
      <c r="H1147" s="54"/>
      <c r="I1147" s="54"/>
      <c r="J1147" s="106">
        <f>VLOOKUP(A1147&amp;G1147,Lookup!J:N,5,0)</f>
        <v>0</v>
      </c>
      <c r="K1147" s="115"/>
      <c r="L1147" s="115"/>
      <c r="M1147" s="115"/>
      <c r="N1147" s="115"/>
      <c r="O1147" s="90">
        <f>IFERROR(VLOOKUP(A1147&amp;G1147,Lookup!J:K,2,0),"")</f>
        <v>0</v>
      </c>
      <c r="P1147" s="110" t="str">
        <f t="shared" si="79"/>
        <v/>
      </c>
      <c r="Q1147" s="115"/>
      <c r="R1147" s="87" t="str">
        <f t="shared" si="80"/>
        <v/>
      </c>
      <c r="S1147" s="87" t="str">
        <f t="shared" si="81"/>
        <v/>
      </c>
      <c r="T1147" s="54"/>
      <c r="U1147" s="54"/>
      <c r="V1147" s="54"/>
      <c r="W1147" s="54"/>
      <c r="X1147" s="69"/>
    </row>
    <row r="1148" spans="2:24" x14ac:dyDescent="0.25">
      <c r="B1148" s="91" t="str">
        <f>IFERROR(VLOOKUP(A1148,Lookup!A:B,2,0),"")</f>
        <v/>
      </c>
      <c r="C1148" s="59" t="str">
        <f>IFERROR(VLOOKUP(A1148,Lookup!A:C,3,0),"")</f>
        <v/>
      </c>
      <c r="D1148" s="54"/>
      <c r="E1148" s="54"/>
      <c r="F1148" s="54"/>
      <c r="G1148" s="72"/>
      <c r="H1148" s="54"/>
      <c r="I1148" s="54"/>
      <c r="J1148" s="106">
        <f>VLOOKUP(A1148&amp;G1148,Lookup!J:N,5,0)</f>
        <v>0</v>
      </c>
      <c r="K1148" s="115"/>
      <c r="L1148" s="115"/>
      <c r="M1148" s="115"/>
      <c r="N1148" s="115"/>
      <c r="O1148" s="90">
        <f>IFERROR(VLOOKUP(A1148&amp;G1148,Lookup!J:K,2,0),"")</f>
        <v>0</v>
      </c>
      <c r="P1148" s="110" t="str">
        <f t="shared" si="79"/>
        <v/>
      </c>
      <c r="Q1148" s="115"/>
      <c r="R1148" s="87" t="str">
        <f t="shared" si="80"/>
        <v/>
      </c>
      <c r="S1148" s="87" t="str">
        <f t="shared" si="81"/>
        <v/>
      </c>
      <c r="T1148" s="54"/>
      <c r="U1148" s="54"/>
      <c r="V1148" s="54"/>
      <c r="W1148" s="54"/>
      <c r="X1148" s="69"/>
    </row>
    <row r="1149" spans="2:24" x14ac:dyDescent="0.25">
      <c r="B1149" s="91" t="str">
        <f>IFERROR(VLOOKUP(A1149,Lookup!A:B,2,0),"")</f>
        <v/>
      </c>
      <c r="C1149" s="59" t="str">
        <f>IFERROR(VLOOKUP(A1149,Lookup!A:C,3,0),"")</f>
        <v/>
      </c>
      <c r="D1149" s="54"/>
      <c r="E1149" s="54"/>
      <c r="F1149" s="54"/>
      <c r="G1149" s="72"/>
      <c r="H1149" s="54"/>
      <c r="I1149" s="54"/>
      <c r="J1149" s="106">
        <f>VLOOKUP(A1149&amp;G1149,Lookup!J:N,5,0)</f>
        <v>0</v>
      </c>
      <c r="K1149" s="115"/>
      <c r="L1149" s="115"/>
      <c r="M1149" s="115"/>
      <c r="N1149" s="115"/>
      <c r="O1149" s="90">
        <f>IFERROR(VLOOKUP(A1149&amp;G1149,Lookup!J:K,2,0),"")</f>
        <v>0</v>
      </c>
      <c r="P1149" s="110" t="str">
        <f t="shared" si="79"/>
        <v/>
      </c>
      <c r="Q1149" s="115"/>
      <c r="R1149" s="87" t="str">
        <f t="shared" si="80"/>
        <v/>
      </c>
      <c r="S1149" s="87" t="str">
        <f t="shared" si="81"/>
        <v/>
      </c>
      <c r="T1149" s="54"/>
      <c r="U1149" s="54"/>
      <c r="V1149" s="54"/>
      <c r="W1149" s="54"/>
      <c r="X1149" s="69"/>
    </row>
    <row r="1150" spans="2:24" x14ac:dyDescent="0.25">
      <c r="B1150" s="91" t="str">
        <f>IFERROR(VLOOKUP(A1150,Lookup!A:B,2,0),"")</f>
        <v/>
      </c>
      <c r="C1150" s="59" t="str">
        <f>IFERROR(VLOOKUP(A1150,Lookup!A:C,3,0),"")</f>
        <v/>
      </c>
      <c r="D1150" s="54"/>
      <c r="E1150" s="54"/>
      <c r="F1150" s="54"/>
      <c r="G1150" s="72"/>
      <c r="H1150" s="54"/>
      <c r="I1150" s="54"/>
      <c r="J1150" s="106">
        <f>VLOOKUP(A1150&amp;G1150,Lookup!J:N,5,0)</f>
        <v>0</v>
      </c>
      <c r="K1150" s="115"/>
      <c r="L1150" s="115"/>
      <c r="M1150" s="115"/>
      <c r="N1150" s="115"/>
      <c r="O1150" s="90">
        <f>IFERROR(VLOOKUP(A1150&amp;G1150,Lookup!J:K,2,0),"")</f>
        <v>0</v>
      </c>
      <c r="P1150" s="110" t="str">
        <f t="shared" si="79"/>
        <v/>
      </c>
      <c r="Q1150" s="115"/>
      <c r="R1150" s="87" t="str">
        <f t="shared" si="80"/>
        <v/>
      </c>
      <c r="S1150" s="87" t="str">
        <f t="shared" si="81"/>
        <v/>
      </c>
      <c r="T1150" s="54"/>
      <c r="U1150" s="54"/>
      <c r="V1150" s="54"/>
      <c r="W1150" s="54"/>
      <c r="X1150" s="69"/>
    </row>
    <row r="1151" spans="2:24" x14ac:dyDescent="0.25">
      <c r="B1151" s="91" t="str">
        <f>IFERROR(VLOOKUP(A1151,Lookup!A:B,2,0),"")</f>
        <v/>
      </c>
      <c r="C1151" s="59" t="str">
        <f>IFERROR(VLOOKUP(A1151,Lookup!A:C,3,0),"")</f>
        <v/>
      </c>
      <c r="D1151" s="54"/>
      <c r="E1151" s="54"/>
      <c r="F1151" s="54"/>
      <c r="G1151" s="72"/>
      <c r="H1151" s="54"/>
      <c r="I1151" s="54"/>
      <c r="J1151" s="106">
        <f>VLOOKUP(A1151&amp;G1151,Lookup!J:N,5,0)</f>
        <v>0</v>
      </c>
      <c r="K1151" s="115"/>
      <c r="L1151" s="115"/>
      <c r="M1151" s="115"/>
      <c r="N1151" s="115"/>
      <c r="O1151" s="90">
        <f>IFERROR(VLOOKUP(A1151&amp;G1151,Lookup!J:K,2,0),"")</f>
        <v>0</v>
      </c>
      <c r="P1151" s="110" t="str">
        <f t="shared" si="79"/>
        <v/>
      </c>
      <c r="Q1151" s="115"/>
      <c r="R1151" s="87" t="str">
        <f t="shared" si="80"/>
        <v/>
      </c>
      <c r="S1151" s="87" t="str">
        <f t="shared" si="81"/>
        <v/>
      </c>
      <c r="T1151" s="54"/>
      <c r="U1151" s="54"/>
      <c r="V1151" s="54"/>
      <c r="W1151" s="54"/>
      <c r="X1151" s="69"/>
    </row>
    <row r="1152" spans="2:24" x14ac:dyDescent="0.25">
      <c r="B1152" s="91" t="str">
        <f>IFERROR(VLOOKUP(A1152,Lookup!A:B,2,0),"")</f>
        <v/>
      </c>
      <c r="C1152" s="59" t="str">
        <f>IFERROR(VLOOKUP(A1152,Lookup!A:C,3,0),"")</f>
        <v/>
      </c>
      <c r="D1152" s="54"/>
      <c r="E1152" s="54"/>
      <c r="F1152" s="54"/>
      <c r="G1152" s="72"/>
      <c r="H1152" s="54"/>
      <c r="I1152" s="54"/>
      <c r="J1152" s="106">
        <f>VLOOKUP(A1152&amp;G1152,Lookup!J:N,5,0)</f>
        <v>0</v>
      </c>
      <c r="K1152" s="115"/>
      <c r="L1152" s="115"/>
      <c r="M1152" s="115"/>
      <c r="N1152" s="115"/>
      <c r="O1152" s="90">
        <f>IFERROR(VLOOKUP(A1152&amp;G1152,Lookup!J:K,2,0),"")</f>
        <v>0</v>
      </c>
      <c r="P1152" s="110" t="str">
        <f t="shared" si="79"/>
        <v/>
      </c>
      <c r="Q1152" s="115"/>
      <c r="R1152" s="87" t="str">
        <f t="shared" si="80"/>
        <v/>
      </c>
      <c r="S1152" s="87" t="str">
        <f t="shared" si="81"/>
        <v/>
      </c>
      <c r="T1152" s="54"/>
      <c r="U1152" s="54"/>
      <c r="V1152" s="54"/>
      <c r="W1152" s="54"/>
      <c r="X1152" s="69"/>
    </row>
    <row r="1153" spans="2:24" x14ac:dyDescent="0.25">
      <c r="B1153" s="91" t="str">
        <f>IFERROR(VLOOKUP(A1153,Lookup!A:B,2,0),"")</f>
        <v/>
      </c>
      <c r="C1153" s="59" t="str">
        <f>IFERROR(VLOOKUP(A1153,Lookup!A:C,3,0),"")</f>
        <v/>
      </c>
      <c r="D1153" s="54"/>
      <c r="E1153" s="54"/>
      <c r="F1153" s="54"/>
      <c r="G1153" s="72"/>
      <c r="H1153" s="54"/>
      <c r="I1153" s="54"/>
      <c r="J1153" s="106">
        <f>VLOOKUP(A1153&amp;G1153,Lookup!J:N,5,0)</f>
        <v>0</v>
      </c>
      <c r="K1153" s="115"/>
      <c r="L1153" s="115"/>
      <c r="M1153" s="115"/>
      <c r="N1153" s="115"/>
      <c r="O1153" s="90">
        <f>IFERROR(VLOOKUP(A1153&amp;G1153,Lookup!J:K,2,0),"")</f>
        <v>0</v>
      </c>
      <c r="P1153" s="110" t="str">
        <f t="shared" si="79"/>
        <v/>
      </c>
      <c r="Q1153" s="115"/>
      <c r="R1153" s="87" t="str">
        <f t="shared" si="80"/>
        <v/>
      </c>
      <c r="S1153" s="87" t="str">
        <f t="shared" si="81"/>
        <v/>
      </c>
      <c r="T1153" s="54"/>
      <c r="U1153" s="54"/>
      <c r="V1153" s="54"/>
      <c r="W1153" s="54"/>
      <c r="X1153" s="69"/>
    </row>
    <row r="1154" spans="2:24" x14ac:dyDescent="0.25">
      <c r="B1154" s="91" t="str">
        <f>IFERROR(VLOOKUP(A1154,Lookup!A:B,2,0),"")</f>
        <v/>
      </c>
      <c r="C1154" s="59" t="str">
        <f>IFERROR(VLOOKUP(A1154,Lookup!A:C,3,0),"")</f>
        <v/>
      </c>
      <c r="D1154" s="54"/>
      <c r="E1154" s="54"/>
      <c r="F1154" s="54"/>
      <c r="G1154" s="72"/>
      <c r="H1154" s="54"/>
      <c r="I1154" s="54"/>
      <c r="J1154" s="106">
        <f>VLOOKUP(A1154&amp;G1154,Lookup!J:N,5,0)</f>
        <v>0</v>
      </c>
      <c r="K1154" s="115"/>
      <c r="L1154" s="115"/>
      <c r="M1154" s="115"/>
      <c r="N1154" s="115"/>
      <c r="O1154" s="90">
        <f>IFERROR(VLOOKUP(A1154&amp;G1154,Lookup!J:K,2,0),"")</f>
        <v>0</v>
      </c>
      <c r="P1154" s="110" t="str">
        <f t="shared" ref="P1154:P1217" si="82">IF(N1154="","",N1154+O1154)</f>
        <v/>
      </c>
      <c r="Q1154" s="115"/>
      <c r="R1154" s="87" t="str">
        <f t="shared" si="80"/>
        <v/>
      </c>
      <c r="S1154" s="87" t="str">
        <f t="shared" si="81"/>
        <v/>
      </c>
      <c r="T1154" s="54"/>
      <c r="U1154" s="54"/>
      <c r="V1154" s="54"/>
      <c r="W1154" s="54"/>
      <c r="X1154" s="69"/>
    </row>
    <row r="1155" spans="2:24" x14ac:dyDescent="0.25">
      <c r="B1155" s="91" t="str">
        <f>IFERROR(VLOOKUP(A1155,Lookup!A:B,2,0),"")</f>
        <v/>
      </c>
      <c r="C1155" s="59" t="str">
        <f>IFERROR(VLOOKUP(A1155,Lookup!A:C,3,0),"")</f>
        <v/>
      </c>
      <c r="D1155" s="54"/>
      <c r="E1155" s="54"/>
      <c r="F1155" s="54"/>
      <c r="G1155" s="72"/>
      <c r="H1155" s="54"/>
      <c r="I1155" s="54"/>
      <c r="J1155" s="106">
        <f>VLOOKUP(A1155&amp;G1155,Lookup!J:N,5,0)</f>
        <v>0</v>
      </c>
      <c r="K1155" s="115"/>
      <c r="L1155" s="115"/>
      <c r="M1155" s="115"/>
      <c r="N1155" s="115"/>
      <c r="O1155" s="90">
        <f>IFERROR(VLOOKUP(A1155&amp;G1155,Lookup!J:K,2,0),"")</f>
        <v>0</v>
      </c>
      <c r="P1155" s="110" t="str">
        <f t="shared" si="82"/>
        <v/>
      </c>
      <c r="Q1155" s="115"/>
      <c r="R1155" s="87" t="str">
        <f t="shared" ref="R1155:R1218" si="83">IF(OR(EXACT(N1155,""), EXACT(L1155,"")),"",N1155-L1155)</f>
        <v/>
      </c>
      <c r="S1155" s="87" t="str">
        <f t="shared" si="81"/>
        <v/>
      </c>
      <c r="T1155" s="54"/>
      <c r="U1155" s="54"/>
      <c r="V1155" s="54"/>
      <c r="W1155" s="54"/>
      <c r="X1155" s="69"/>
    </row>
    <row r="1156" spans="2:24" x14ac:dyDescent="0.25">
      <c r="B1156" s="91" t="str">
        <f>IFERROR(VLOOKUP(A1156,Lookup!A:B,2,0),"")</f>
        <v/>
      </c>
      <c r="C1156" s="59" t="str">
        <f>IFERROR(VLOOKUP(A1156,Lookup!A:C,3,0),"")</f>
        <v/>
      </c>
      <c r="D1156" s="54"/>
      <c r="E1156" s="54"/>
      <c r="F1156" s="54"/>
      <c r="G1156" s="72"/>
      <c r="H1156" s="54"/>
      <c r="I1156" s="54"/>
      <c r="J1156" s="106">
        <f>VLOOKUP(A1156&amp;G1156,Lookup!J:N,5,0)</f>
        <v>0</v>
      </c>
      <c r="K1156" s="115"/>
      <c r="L1156" s="115"/>
      <c r="M1156" s="115"/>
      <c r="N1156" s="115"/>
      <c r="O1156" s="90">
        <f>IFERROR(VLOOKUP(A1156&amp;G1156,Lookup!J:K,2,0),"")</f>
        <v>0</v>
      </c>
      <c r="P1156" s="110" t="str">
        <f t="shared" si="82"/>
        <v/>
      </c>
      <c r="Q1156" s="115"/>
      <c r="R1156" s="87" t="str">
        <f t="shared" si="83"/>
        <v/>
      </c>
      <c r="S1156" s="87" t="str">
        <f t="shared" ref="S1156:S1219" si="84">IF(OR(EXACT(Q1156,""), EXACT(L1156,"")),"",Q1156-L1156)</f>
        <v/>
      </c>
      <c r="T1156" s="54"/>
      <c r="U1156" s="54"/>
      <c r="V1156" s="54"/>
      <c r="W1156" s="54"/>
      <c r="X1156" s="69"/>
    </row>
    <row r="1157" spans="2:24" x14ac:dyDescent="0.25">
      <c r="B1157" s="91" t="str">
        <f>IFERROR(VLOOKUP(A1157,Lookup!A:B,2,0),"")</f>
        <v/>
      </c>
      <c r="C1157" s="59" t="str">
        <f>IFERROR(VLOOKUP(A1157,Lookup!A:C,3,0),"")</f>
        <v/>
      </c>
      <c r="D1157" s="54"/>
      <c r="E1157" s="54"/>
      <c r="F1157" s="54"/>
      <c r="G1157" s="72"/>
      <c r="H1157" s="54"/>
      <c r="I1157" s="54"/>
      <c r="J1157" s="106">
        <f>VLOOKUP(A1157&amp;G1157,Lookup!J:N,5,0)</f>
        <v>0</v>
      </c>
      <c r="K1157" s="115"/>
      <c r="L1157" s="115"/>
      <c r="M1157" s="115"/>
      <c r="N1157" s="115"/>
      <c r="O1157" s="90">
        <f>IFERROR(VLOOKUP(A1157&amp;G1157,Lookup!J:K,2,0),"")</f>
        <v>0</v>
      </c>
      <c r="P1157" s="110" t="str">
        <f t="shared" si="82"/>
        <v/>
      </c>
      <c r="Q1157" s="115"/>
      <c r="R1157" s="87" t="str">
        <f t="shared" si="83"/>
        <v/>
      </c>
      <c r="S1157" s="87" t="str">
        <f t="shared" si="84"/>
        <v/>
      </c>
      <c r="T1157" s="54"/>
      <c r="U1157" s="54"/>
      <c r="V1157" s="54"/>
      <c r="W1157" s="54"/>
      <c r="X1157" s="69"/>
    </row>
    <row r="1158" spans="2:24" x14ac:dyDescent="0.25">
      <c r="B1158" s="91" t="str">
        <f>IFERROR(VLOOKUP(A1158,Lookup!A:B,2,0),"")</f>
        <v/>
      </c>
      <c r="C1158" s="59" t="str">
        <f>IFERROR(VLOOKUP(A1158,Lookup!A:C,3,0),"")</f>
        <v/>
      </c>
      <c r="D1158" s="54"/>
      <c r="E1158" s="54"/>
      <c r="F1158" s="54"/>
      <c r="G1158" s="72"/>
      <c r="H1158" s="54"/>
      <c r="I1158" s="54"/>
      <c r="J1158" s="106">
        <f>VLOOKUP(A1158&amp;G1158,Lookup!J:N,5,0)</f>
        <v>0</v>
      </c>
      <c r="K1158" s="115"/>
      <c r="L1158" s="115"/>
      <c r="M1158" s="115"/>
      <c r="N1158" s="115"/>
      <c r="O1158" s="90">
        <f>IFERROR(VLOOKUP(A1158&amp;G1158,Lookup!J:K,2,0),"")</f>
        <v>0</v>
      </c>
      <c r="P1158" s="110" t="str">
        <f t="shared" si="82"/>
        <v/>
      </c>
      <c r="Q1158" s="115"/>
      <c r="R1158" s="87" t="str">
        <f t="shared" si="83"/>
        <v/>
      </c>
      <c r="S1158" s="87" t="str">
        <f t="shared" si="84"/>
        <v/>
      </c>
      <c r="T1158" s="54"/>
      <c r="U1158" s="54"/>
      <c r="V1158" s="54"/>
      <c r="W1158" s="54"/>
      <c r="X1158" s="69"/>
    </row>
    <row r="1159" spans="2:24" x14ac:dyDescent="0.25">
      <c r="B1159" s="91" t="str">
        <f>IFERROR(VLOOKUP(A1159,Lookup!A:B,2,0),"")</f>
        <v/>
      </c>
      <c r="C1159" s="59" t="str">
        <f>IFERROR(VLOOKUP(A1159,Lookup!A:C,3,0),"")</f>
        <v/>
      </c>
      <c r="D1159" s="54"/>
      <c r="E1159" s="54"/>
      <c r="F1159" s="54"/>
      <c r="G1159" s="72"/>
      <c r="H1159" s="54"/>
      <c r="I1159" s="54"/>
      <c r="J1159" s="106">
        <f>VLOOKUP(A1159&amp;G1159,Lookup!J:N,5,0)</f>
        <v>0</v>
      </c>
      <c r="K1159" s="115"/>
      <c r="L1159" s="115"/>
      <c r="M1159" s="115"/>
      <c r="N1159" s="115"/>
      <c r="O1159" s="90">
        <f>IFERROR(VLOOKUP(A1159&amp;G1159,Lookup!J:K,2,0),"")</f>
        <v>0</v>
      </c>
      <c r="P1159" s="110" t="str">
        <f t="shared" si="82"/>
        <v/>
      </c>
      <c r="Q1159" s="115"/>
      <c r="R1159" s="87" t="str">
        <f t="shared" si="83"/>
        <v/>
      </c>
      <c r="S1159" s="87" t="str">
        <f t="shared" si="84"/>
        <v/>
      </c>
      <c r="T1159" s="54"/>
      <c r="U1159" s="54"/>
      <c r="V1159" s="54"/>
      <c r="W1159" s="54"/>
      <c r="X1159" s="69"/>
    </row>
    <row r="1160" spans="2:24" x14ac:dyDescent="0.25">
      <c r="B1160" s="91" t="str">
        <f>IFERROR(VLOOKUP(A1160,Lookup!A:B,2,0),"")</f>
        <v/>
      </c>
      <c r="C1160" s="59" t="str">
        <f>IFERROR(VLOOKUP(A1160,Lookup!A:C,3,0),"")</f>
        <v/>
      </c>
      <c r="D1160" s="54"/>
      <c r="E1160" s="54"/>
      <c r="F1160" s="54"/>
      <c r="G1160" s="72"/>
      <c r="H1160" s="54"/>
      <c r="I1160" s="54"/>
      <c r="J1160" s="106">
        <f>VLOOKUP(A1160&amp;G1160,Lookup!J:N,5,0)</f>
        <v>0</v>
      </c>
      <c r="K1160" s="115"/>
      <c r="L1160" s="115"/>
      <c r="M1160" s="115"/>
      <c r="N1160" s="115"/>
      <c r="O1160" s="90">
        <f>IFERROR(VLOOKUP(A1160&amp;G1160,Lookup!J:K,2,0),"")</f>
        <v>0</v>
      </c>
      <c r="P1160" s="110" t="str">
        <f t="shared" si="82"/>
        <v/>
      </c>
      <c r="Q1160" s="115"/>
      <c r="R1160" s="87" t="str">
        <f t="shared" si="83"/>
        <v/>
      </c>
      <c r="S1160" s="87" t="str">
        <f t="shared" si="84"/>
        <v/>
      </c>
      <c r="T1160" s="54"/>
      <c r="U1160" s="54"/>
      <c r="V1160" s="54"/>
      <c r="W1160" s="54"/>
      <c r="X1160" s="69"/>
    </row>
    <row r="1161" spans="2:24" x14ac:dyDescent="0.25">
      <c r="B1161" s="91" t="str">
        <f>IFERROR(VLOOKUP(A1161,Lookup!A:B,2,0),"")</f>
        <v/>
      </c>
      <c r="C1161" s="59" t="str">
        <f>IFERROR(VLOOKUP(A1161,Lookup!A:C,3,0),"")</f>
        <v/>
      </c>
      <c r="D1161" s="54"/>
      <c r="E1161" s="54"/>
      <c r="F1161" s="54"/>
      <c r="G1161" s="72"/>
      <c r="H1161" s="54"/>
      <c r="I1161" s="54"/>
      <c r="J1161" s="106">
        <f>VLOOKUP(A1161&amp;G1161,Lookup!J:N,5,0)</f>
        <v>0</v>
      </c>
      <c r="K1161" s="115"/>
      <c r="L1161" s="115"/>
      <c r="M1161" s="115"/>
      <c r="N1161" s="115"/>
      <c r="O1161" s="90">
        <f>IFERROR(VLOOKUP(A1161&amp;G1161,Lookup!J:K,2,0),"")</f>
        <v>0</v>
      </c>
      <c r="P1161" s="110" t="str">
        <f t="shared" si="82"/>
        <v/>
      </c>
      <c r="Q1161" s="115"/>
      <c r="R1161" s="87" t="str">
        <f t="shared" si="83"/>
        <v/>
      </c>
      <c r="S1161" s="87" t="str">
        <f t="shared" si="84"/>
        <v/>
      </c>
      <c r="T1161" s="54"/>
      <c r="U1161" s="54"/>
      <c r="V1161" s="54"/>
      <c r="W1161" s="54"/>
      <c r="X1161" s="69"/>
    </row>
    <row r="1162" spans="2:24" x14ac:dyDescent="0.25">
      <c r="B1162" s="91" t="str">
        <f>IFERROR(VLOOKUP(A1162,Lookup!A:B,2,0),"")</f>
        <v/>
      </c>
      <c r="C1162" s="59" t="str">
        <f>IFERROR(VLOOKUP(A1162,Lookup!A:C,3,0),"")</f>
        <v/>
      </c>
      <c r="D1162" s="54"/>
      <c r="E1162" s="54"/>
      <c r="F1162" s="54"/>
      <c r="G1162" s="72"/>
      <c r="H1162" s="54"/>
      <c r="I1162" s="54"/>
      <c r="J1162" s="106">
        <f>VLOOKUP(A1162&amp;G1162,Lookup!J:N,5,0)</f>
        <v>0</v>
      </c>
      <c r="K1162" s="115"/>
      <c r="L1162" s="115"/>
      <c r="M1162" s="115"/>
      <c r="N1162" s="115"/>
      <c r="O1162" s="90">
        <f>IFERROR(VLOOKUP(A1162&amp;G1162,Lookup!J:K,2,0),"")</f>
        <v>0</v>
      </c>
      <c r="P1162" s="110" t="str">
        <f t="shared" si="82"/>
        <v/>
      </c>
      <c r="Q1162" s="115"/>
      <c r="R1162" s="87" t="str">
        <f t="shared" si="83"/>
        <v/>
      </c>
      <c r="S1162" s="87" t="str">
        <f t="shared" si="84"/>
        <v/>
      </c>
      <c r="T1162" s="54"/>
      <c r="U1162" s="54"/>
      <c r="V1162" s="54"/>
      <c r="W1162" s="54"/>
      <c r="X1162" s="69"/>
    </row>
    <row r="1163" spans="2:24" x14ac:dyDescent="0.25">
      <c r="B1163" s="91" t="str">
        <f>IFERROR(VLOOKUP(A1163,Lookup!A:B,2,0),"")</f>
        <v/>
      </c>
      <c r="C1163" s="59" t="str">
        <f>IFERROR(VLOOKUP(A1163,Lookup!A:C,3,0),"")</f>
        <v/>
      </c>
      <c r="D1163" s="54"/>
      <c r="E1163" s="54"/>
      <c r="F1163" s="54"/>
      <c r="G1163" s="72"/>
      <c r="H1163" s="54"/>
      <c r="I1163" s="54"/>
      <c r="J1163" s="106">
        <f>VLOOKUP(A1163&amp;G1163,Lookup!J:N,5,0)</f>
        <v>0</v>
      </c>
      <c r="K1163" s="115"/>
      <c r="L1163" s="115"/>
      <c r="M1163" s="115"/>
      <c r="N1163" s="115"/>
      <c r="O1163" s="90">
        <f>IFERROR(VLOOKUP(A1163&amp;G1163,Lookup!J:K,2,0),"")</f>
        <v>0</v>
      </c>
      <c r="P1163" s="110" t="str">
        <f t="shared" si="82"/>
        <v/>
      </c>
      <c r="Q1163" s="115"/>
      <c r="R1163" s="87" t="str">
        <f t="shared" si="83"/>
        <v/>
      </c>
      <c r="S1163" s="87" t="str">
        <f t="shared" si="84"/>
        <v/>
      </c>
      <c r="T1163" s="54"/>
      <c r="U1163" s="54"/>
      <c r="V1163" s="54"/>
      <c r="W1163" s="54"/>
      <c r="X1163" s="69"/>
    </row>
    <row r="1164" spans="2:24" x14ac:dyDescent="0.25">
      <c r="B1164" s="91" t="str">
        <f>IFERROR(VLOOKUP(A1164,Lookup!A:B,2,0),"")</f>
        <v/>
      </c>
      <c r="C1164" s="59" t="str">
        <f>IFERROR(VLOOKUP(A1164,Lookup!A:C,3,0),"")</f>
        <v/>
      </c>
      <c r="D1164" s="54"/>
      <c r="E1164" s="54"/>
      <c r="F1164" s="54"/>
      <c r="G1164" s="72"/>
      <c r="H1164" s="54"/>
      <c r="I1164" s="54"/>
      <c r="J1164" s="106">
        <f>VLOOKUP(A1164&amp;G1164,Lookup!J:N,5,0)</f>
        <v>0</v>
      </c>
      <c r="K1164" s="115"/>
      <c r="L1164" s="115"/>
      <c r="M1164" s="115"/>
      <c r="N1164" s="115"/>
      <c r="O1164" s="90">
        <f>IFERROR(VLOOKUP(A1164&amp;G1164,Lookup!J:K,2,0),"")</f>
        <v>0</v>
      </c>
      <c r="P1164" s="110" t="str">
        <f t="shared" si="82"/>
        <v/>
      </c>
      <c r="Q1164" s="115"/>
      <c r="R1164" s="87" t="str">
        <f t="shared" si="83"/>
        <v/>
      </c>
      <c r="S1164" s="87" t="str">
        <f t="shared" si="84"/>
        <v/>
      </c>
      <c r="T1164" s="54"/>
      <c r="U1164" s="54"/>
      <c r="V1164" s="54"/>
      <c r="W1164" s="54"/>
      <c r="X1164" s="69"/>
    </row>
    <row r="1165" spans="2:24" x14ac:dyDescent="0.25">
      <c r="B1165" s="91" t="str">
        <f>IFERROR(VLOOKUP(A1165,Lookup!A:B,2,0),"")</f>
        <v/>
      </c>
      <c r="C1165" s="59" t="str">
        <f>IFERROR(VLOOKUP(A1165,Lookup!A:C,3,0),"")</f>
        <v/>
      </c>
      <c r="D1165" s="54"/>
      <c r="E1165" s="54"/>
      <c r="F1165" s="54"/>
      <c r="G1165" s="72"/>
      <c r="H1165" s="54"/>
      <c r="I1165" s="54"/>
      <c r="J1165" s="106">
        <f>VLOOKUP(A1165&amp;G1165,Lookup!J:N,5,0)</f>
        <v>0</v>
      </c>
      <c r="K1165" s="115"/>
      <c r="L1165" s="115"/>
      <c r="M1165" s="115"/>
      <c r="N1165" s="115"/>
      <c r="O1165" s="90">
        <f>IFERROR(VLOOKUP(A1165&amp;G1165,Lookup!J:K,2,0),"")</f>
        <v>0</v>
      </c>
      <c r="P1165" s="110" t="str">
        <f t="shared" si="82"/>
        <v/>
      </c>
      <c r="Q1165" s="115"/>
      <c r="R1165" s="87" t="str">
        <f t="shared" si="83"/>
        <v/>
      </c>
      <c r="S1165" s="87" t="str">
        <f t="shared" si="84"/>
        <v/>
      </c>
      <c r="T1165" s="54"/>
      <c r="U1165" s="54"/>
      <c r="V1165" s="54"/>
      <c r="W1165" s="54"/>
      <c r="X1165" s="69"/>
    </row>
    <row r="1166" spans="2:24" x14ac:dyDescent="0.25">
      <c r="B1166" s="91" t="str">
        <f>IFERROR(VLOOKUP(A1166,Lookup!A:B,2,0),"")</f>
        <v/>
      </c>
      <c r="C1166" s="59" t="str">
        <f>IFERROR(VLOOKUP(A1166,Lookup!A:C,3,0),"")</f>
        <v/>
      </c>
      <c r="D1166" s="54"/>
      <c r="E1166" s="54"/>
      <c r="F1166" s="54"/>
      <c r="G1166" s="72"/>
      <c r="H1166" s="54"/>
      <c r="I1166" s="54"/>
      <c r="J1166" s="106">
        <f>VLOOKUP(A1166&amp;G1166,Lookup!J:N,5,0)</f>
        <v>0</v>
      </c>
      <c r="K1166" s="115"/>
      <c r="L1166" s="115"/>
      <c r="M1166" s="115"/>
      <c r="N1166" s="115"/>
      <c r="O1166" s="90">
        <f>IFERROR(VLOOKUP(A1166&amp;G1166,Lookup!J:K,2,0),"")</f>
        <v>0</v>
      </c>
      <c r="P1166" s="110" t="str">
        <f t="shared" si="82"/>
        <v/>
      </c>
      <c r="Q1166" s="115"/>
      <c r="R1166" s="87" t="str">
        <f t="shared" si="83"/>
        <v/>
      </c>
      <c r="S1166" s="87" t="str">
        <f t="shared" si="84"/>
        <v/>
      </c>
      <c r="T1166" s="54"/>
      <c r="U1166" s="54"/>
      <c r="V1166" s="54"/>
      <c r="W1166" s="54"/>
      <c r="X1166" s="69"/>
    </row>
    <row r="1167" spans="2:24" x14ac:dyDescent="0.25">
      <c r="B1167" s="91" t="str">
        <f>IFERROR(VLOOKUP(A1167,Lookup!A:B,2,0),"")</f>
        <v/>
      </c>
      <c r="C1167" s="59" t="str">
        <f>IFERROR(VLOOKUP(A1167,Lookup!A:C,3,0),"")</f>
        <v/>
      </c>
      <c r="D1167" s="54"/>
      <c r="E1167" s="54"/>
      <c r="F1167" s="54"/>
      <c r="G1167" s="72"/>
      <c r="H1167" s="54"/>
      <c r="I1167" s="54"/>
      <c r="J1167" s="106">
        <f>VLOOKUP(A1167&amp;G1167,Lookup!J:N,5,0)</f>
        <v>0</v>
      </c>
      <c r="K1167" s="115"/>
      <c r="L1167" s="115"/>
      <c r="M1167" s="115"/>
      <c r="N1167" s="115"/>
      <c r="O1167" s="90">
        <f>IFERROR(VLOOKUP(A1167&amp;G1167,Lookup!J:K,2,0),"")</f>
        <v>0</v>
      </c>
      <c r="P1167" s="110" t="str">
        <f t="shared" si="82"/>
        <v/>
      </c>
      <c r="Q1167" s="115"/>
      <c r="R1167" s="87" t="str">
        <f t="shared" si="83"/>
        <v/>
      </c>
      <c r="S1167" s="87" t="str">
        <f t="shared" si="84"/>
        <v/>
      </c>
      <c r="T1167" s="54"/>
      <c r="U1167" s="54"/>
      <c r="V1167" s="54"/>
      <c r="W1167" s="54"/>
      <c r="X1167" s="69"/>
    </row>
    <row r="1168" spans="2:24" x14ac:dyDescent="0.25">
      <c r="B1168" s="91" t="str">
        <f>IFERROR(VLOOKUP(A1168,Lookup!A:B,2,0),"")</f>
        <v/>
      </c>
      <c r="C1168" s="59" t="str">
        <f>IFERROR(VLOOKUP(A1168,Lookup!A:C,3,0),"")</f>
        <v/>
      </c>
      <c r="D1168" s="54"/>
      <c r="E1168" s="54"/>
      <c r="F1168" s="54"/>
      <c r="G1168" s="72"/>
      <c r="H1168" s="54"/>
      <c r="I1168" s="54"/>
      <c r="J1168" s="106">
        <f>VLOOKUP(A1168&amp;G1168,Lookup!J:N,5,0)</f>
        <v>0</v>
      </c>
      <c r="K1168" s="115"/>
      <c r="L1168" s="115"/>
      <c r="M1168" s="115"/>
      <c r="N1168" s="115"/>
      <c r="O1168" s="90">
        <f>IFERROR(VLOOKUP(A1168&amp;G1168,Lookup!J:K,2,0),"")</f>
        <v>0</v>
      </c>
      <c r="P1168" s="110" t="str">
        <f t="shared" si="82"/>
        <v/>
      </c>
      <c r="Q1168" s="115"/>
      <c r="R1168" s="87" t="str">
        <f t="shared" si="83"/>
        <v/>
      </c>
      <c r="S1168" s="87" t="str">
        <f t="shared" si="84"/>
        <v/>
      </c>
      <c r="T1168" s="54"/>
      <c r="U1168" s="54"/>
      <c r="V1168" s="54"/>
      <c r="W1168" s="54"/>
      <c r="X1168" s="69"/>
    </row>
    <row r="1169" spans="2:24" x14ac:dyDescent="0.25">
      <c r="B1169" s="91" t="str">
        <f>IFERROR(VLOOKUP(A1169,Lookup!A:B,2,0),"")</f>
        <v/>
      </c>
      <c r="C1169" s="59" t="str">
        <f>IFERROR(VLOOKUP(A1169,Lookup!A:C,3,0),"")</f>
        <v/>
      </c>
      <c r="D1169" s="54"/>
      <c r="E1169" s="54"/>
      <c r="F1169" s="54"/>
      <c r="G1169" s="72"/>
      <c r="H1169" s="54"/>
      <c r="I1169" s="54"/>
      <c r="J1169" s="106">
        <f>VLOOKUP(A1169&amp;G1169,Lookup!J:N,5,0)</f>
        <v>0</v>
      </c>
      <c r="K1169" s="115"/>
      <c r="L1169" s="115"/>
      <c r="M1169" s="115"/>
      <c r="N1169" s="115"/>
      <c r="O1169" s="90">
        <f>IFERROR(VLOOKUP(A1169&amp;G1169,Lookup!J:K,2,0),"")</f>
        <v>0</v>
      </c>
      <c r="P1169" s="110" t="str">
        <f t="shared" si="82"/>
        <v/>
      </c>
      <c r="Q1169" s="115"/>
      <c r="R1169" s="87" t="str">
        <f t="shared" si="83"/>
        <v/>
      </c>
      <c r="S1169" s="87" t="str">
        <f t="shared" si="84"/>
        <v/>
      </c>
      <c r="T1169" s="54"/>
      <c r="U1169" s="54"/>
      <c r="V1169" s="54"/>
      <c r="W1169" s="54"/>
      <c r="X1169" s="69"/>
    </row>
    <row r="1170" spans="2:24" x14ac:dyDescent="0.25">
      <c r="B1170" s="91" t="str">
        <f>IFERROR(VLOOKUP(A1170,Lookup!A:B,2,0),"")</f>
        <v/>
      </c>
      <c r="C1170" s="59" t="str">
        <f>IFERROR(VLOOKUP(A1170,Lookup!A:C,3,0),"")</f>
        <v/>
      </c>
      <c r="D1170" s="54"/>
      <c r="E1170" s="54"/>
      <c r="F1170" s="54"/>
      <c r="G1170" s="72"/>
      <c r="H1170" s="54"/>
      <c r="I1170" s="54"/>
      <c r="J1170" s="106">
        <f>VLOOKUP(A1170&amp;G1170,Lookup!J:N,5,0)</f>
        <v>0</v>
      </c>
      <c r="K1170" s="115"/>
      <c r="L1170" s="115"/>
      <c r="M1170" s="115"/>
      <c r="N1170" s="115"/>
      <c r="O1170" s="90">
        <f>IFERROR(VLOOKUP(A1170&amp;G1170,Lookup!J:K,2,0),"")</f>
        <v>0</v>
      </c>
      <c r="P1170" s="110" t="str">
        <f t="shared" si="82"/>
        <v/>
      </c>
      <c r="Q1170" s="115"/>
      <c r="R1170" s="87" t="str">
        <f t="shared" si="83"/>
        <v/>
      </c>
      <c r="S1170" s="87" t="str">
        <f t="shared" si="84"/>
        <v/>
      </c>
      <c r="T1170" s="54"/>
      <c r="U1170" s="54"/>
      <c r="V1170" s="54"/>
      <c r="W1170" s="54"/>
      <c r="X1170" s="69"/>
    </row>
    <row r="1171" spans="2:24" x14ac:dyDescent="0.25">
      <c r="B1171" s="91" t="str">
        <f>IFERROR(VLOOKUP(A1171,Lookup!A:B,2,0),"")</f>
        <v/>
      </c>
      <c r="C1171" s="59" t="str">
        <f>IFERROR(VLOOKUP(A1171,Lookup!A:C,3,0),"")</f>
        <v/>
      </c>
      <c r="D1171" s="54"/>
      <c r="E1171" s="54"/>
      <c r="F1171" s="54"/>
      <c r="G1171" s="72"/>
      <c r="H1171" s="54"/>
      <c r="I1171" s="54"/>
      <c r="J1171" s="106">
        <f>VLOOKUP(A1171&amp;G1171,Lookup!J:N,5,0)</f>
        <v>0</v>
      </c>
      <c r="K1171" s="115"/>
      <c r="L1171" s="115"/>
      <c r="M1171" s="115"/>
      <c r="N1171" s="115"/>
      <c r="O1171" s="90">
        <f>IFERROR(VLOOKUP(A1171&amp;G1171,Lookup!J:K,2,0),"")</f>
        <v>0</v>
      </c>
      <c r="P1171" s="110" t="str">
        <f t="shared" si="82"/>
        <v/>
      </c>
      <c r="Q1171" s="115"/>
      <c r="R1171" s="87" t="str">
        <f t="shared" si="83"/>
        <v/>
      </c>
      <c r="S1171" s="87" t="str">
        <f t="shared" si="84"/>
        <v/>
      </c>
      <c r="T1171" s="54"/>
      <c r="U1171" s="54"/>
      <c r="V1171" s="54"/>
      <c r="W1171" s="54"/>
      <c r="X1171" s="69"/>
    </row>
    <row r="1172" spans="2:24" x14ac:dyDescent="0.25">
      <c r="B1172" s="91" t="str">
        <f>IFERROR(VLOOKUP(A1172,Lookup!A:B,2,0),"")</f>
        <v/>
      </c>
      <c r="C1172" s="59" t="str">
        <f>IFERROR(VLOOKUP(A1172,Lookup!A:C,3,0),"")</f>
        <v/>
      </c>
      <c r="D1172" s="54"/>
      <c r="E1172" s="54"/>
      <c r="F1172" s="54"/>
      <c r="G1172" s="72"/>
      <c r="H1172" s="54"/>
      <c r="I1172" s="54"/>
      <c r="J1172" s="106">
        <f>VLOOKUP(A1172&amp;G1172,Lookup!J:N,5,0)</f>
        <v>0</v>
      </c>
      <c r="K1172" s="115"/>
      <c r="L1172" s="115"/>
      <c r="M1172" s="115"/>
      <c r="N1172" s="115"/>
      <c r="O1172" s="90">
        <f>IFERROR(VLOOKUP(A1172&amp;G1172,Lookup!J:K,2,0),"")</f>
        <v>0</v>
      </c>
      <c r="P1172" s="110" t="str">
        <f t="shared" si="82"/>
        <v/>
      </c>
      <c r="Q1172" s="115"/>
      <c r="R1172" s="87" t="str">
        <f t="shared" si="83"/>
        <v/>
      </c>
      <c r="S1172" s="87" t="str">
        <f t="shared" si="84"/>
        <v/>
      </c>
      <c r="T1172" s="54"/>
      <c r="U1172" s="54"/>
      <c r="V1172" s="54"/>
      <c r="W1172" s="54"/>
      <c r="X1172" s="69"/>
    </row>
    <row r="1173" spans="2:24" x14ac:dyDescent="0.25">
      <c r="B1173" s="91" t="str">
        <f>IFERROR(VLOOKUP(A1173,Lookup!A:B,2,0),"")</f>
        <v/>
      </c>
      <c r="C1173" s="59" t="str">
        <f>IFERROR(VLOOKUP(A1173,Lookup!A:C,3,0),"")</f>
        <v/>
      </c>
      <c r="D1173" s="54"/>
      <c r="E1173" s="54"/>
      <c r="F1173" s="54"/>
      <c r="G1173" s="72"/>
      <c r="H1173" s="54"/>
      <c r="I1173" s="54"/>
      <c r="J1173" s="106">
        <f>VLOOKUP(A1173&amp;G1173,Lookup!J:N,5,0)</f>
        <v>0</v>
      </c>
      <c r="K1173" s="115"/>
      <c r="L1173" s="115"/>
      <c r="M1173" s="115"/>
      <c r="N1173" s="115"/>
      <c r="O1173" s="90">
        <f>IFERROR(VLOOKUP(A1173&amp;G1173,Lookup!J:K,2,0),"")</f>
        <v>0</v>
      </c>
      <c r="P1173" s="110" t="str">
        <f t="shared" si="82"/>
        <v/>
      </c>
      <c r="Q1173" s="115"/>
      <c r="R1173" s="87" t="str">
        <f t="shared" si="83"/>
        <v/>
      </c>
      <c r="S1173" s="87" t="str">
        <f t="shared" si="84"/>
        <v/>
      </c>
      <c r="T1173" s="54"/>
      <c r="U1173" s="54"/>
      <c r="V1173" s="54"/>
      <c r="W1173" s="54"/>
      <c r="X1173" s="69"/>
    </row>
    <row r="1174" spans="2:24" x14ac:dyDescent="0.25">
      <c r="B1174" s="91" t="str">
        <f>IFERROR(VLOOKUP(A1174,Lookup!A:B,2,0),"")</f>
        <v/>
      </c>
      <c r="C1174" s="59" t="str">
        <f>IFERROR(VLOOKUP(A1174,Lookup!A:C,3,0),"")</f>
        <v/>
      </c>
      <c r="D1174" s="54"/>
      <c r="E1174" s="54"/>
      <c r="F1174" s="54"/>
      <c r="G1174" s="72"/>
      <c r="H1174" s="54"/>
      <c r="I1174" s="54"/>
      <c r="J1174" s="106">
        <f>VLOOKUP(A1174&amp;G1174,Lookup!J:N,5,0)</f>
        <v>0</v>
      </c>
      <c r="K1174" s="115"/>
      <c r="L1174" s="115"/>
      <c r="M1174" s="115"/>
      <c r="N1174" s="115"/>
      <c r="O1174" s="90">
        <f>IFERROR(VLOOKUP(A1174&amp;G1174,Lookup!J:K,2,0),"")</f>
        <v>0</v>
      </c>
      <c r="P1174" s="110" t="str">
        <f t="shared" si="82"/>
        <v/>
      </c>
      <c r="Q1174" s="115"/>
      <c r="R1174" s="87" t="str">
        <f t="shared" si="83"/>
        <v/>
      </c>
      <c r="S1174" s="87" t="str">
        <f t="shared" si="84"/>
        <v/>
      </c>
      <c r="T1174" s="54"/>
      <c r="U1174" s="54"/>
      <c r="V1174" s="54"/>
      <c r="W1174" s="54"/>
      <c r="X1174" s="69"/>
    </row>
    <row r="1175" spans="2:24" x14ac:dyDescent="0.25">
      <c r="B1175" s="91" t="str">
        <f>IFERROR(VLOOKUP(A1175,Lookup!A:B,2,0),"")</f>
        <v/>
      </c>
      <c r="C1175" s="59" t="str">
        <f>IFERROR(VLOOKUP(A1175,Lookup!A:C,3,0),"")</f>
        <v/>
      </c>
      <c r="D1175" s="54"/>
      <c r="E1175" s="54"/>
      <c r="F1175" s="54"/>
      <c r="G1175" s="72"/>
      <c r="H1175" s="54"/>
      <c r="I1175" s="54"/>
      <c r="J1175" s="106">
        <f>VLOOKUP(A1175&amp;G1175,Lookup!J:N,5,0)</f>
        <v>0</v>
      </c>
      <c r="K1175" s="115"/>
      <c r="L1175" s="115"/>
      <c r="M1175" s="115"/>
      <c r="N1175" s="115"/>
      <c r="O1175" s="90">
        <f>IFERROR(VLOOKUP(A1175&amp;G1175,Lookup!J:K,2,0),"")</f>
        <v>0</v>
      </c>
      <c r="P1175" s="110" t="str">
        <f t="shared" si="82"/>
        <v/>
      </c>
      <c r="Q1175" s="115"/>
      <c r="R1175" s="87" t="str">
        <f t="shared" si="83"/>
        <v/>
      </c>
      <c r="S1175" s="87" t="str">
        <f t="shared" si="84"/>
        <v/>
      </c>
      <c r="T1175" s="54"/>
      <c r="U1175" s="54"/>
      <c r="V1175" s="54"/>
      <c r="W1175" s="54"/>
      <c r="X1175" s="69"/>
    </row>
    <row r="1176" spans="2:24" x14ac:dyDescent="0.25">
      <c r="B1176" s="91" t="str">
        <f>IFERROR(VLOOKUP(A1176,Lookup!A:B,2,0),"")</f>
        <v/>
      </c>
      <c r="C1176" s="59" t="str">
        <f>IFERROR(VLOOKUP(A1176,Lookup!A:C,3,0),"")</f>
        <v/>
      </c>
      <c r="D1176" s="54"/>
      <c r="E1176" s="54"/>
      <c r="F1176" s="54"/>
      <c r="G1176" s="72"/>
      <c r="H1176" s="54"/>
      <c r="I1176" s="54"/>
      <c r="J1176" s="106">
        <f>VLOOKUP(A1176&amp;G1176,Lookup!J:N,5,0)</f>
        <v>0</v>
      </c>
      <c r="K1176" s="115"/>
      <c r="L1176" s="115"/>
      <c r="M1176" s="115"/>
      <c r="N1176" s="115"/>
      <c r="O1176" s="90">
        <f>IFERROR(VLOOKUP(A1176&amp;G1176,Lookup!J:K,2,0),"")</f>
        <v>0</v>
      </c>
      <c r="P1176" s="110" t="str">
        <f t="shared" si="82"/>
        <v/>
      </c>
      <c r="Q1176" s="115"/>
      <c r="R1176" s="87" t="str">
        <f t="shared" si="83"/>
        <v/>
      </c>
      <c r="S1176" s="87" t="str">
        <f t="shared" si="84"/>
        <v/>
      </c>
      <c r="T1176" s="54"/>
      <c r="U1176" s="54"/>
      <c r="V1176" s="54"/>
      <c r="W1176" s="54"/>
      <c r="X1176" s="69"/>
    </row>
    <row r="1177" spans="2:24" x14ac:dyDescent="0.25">
      <c r="B1177" s="91" t="str">
        <f>IFERROR(VLOOKUP(A1177,Lookup!A:B,2,0),"")</f>
        <v/>
      </c>
      <c r="C1177" s="59" t="str">
        <f>IFERROR(VLOOKUP(A1177,Lookup!A:C,3,0),"")</f>
        <v/>
      </c>
      <c r="D1177" s="54"/>
      <c r="E1177" s="54"/>
      <c r="F1177" s="54"/>
      <c r="G1177" s="72"/>
      <c r="H1177" s="54"/>
      <c r="I1177" s="54"/>
      <c r="J1177" s="106">
        <f>VLOOKUP(A1177&amp;G1177,Lookup!J:N,5,0)</f>
        <v>0</v>
      </c>
      <c r="K1177" s="115"/>
      <c r="L1177" s="115"/>
      <c r="M1177" s="115"/>
      <c r="N1177" s="115"/>
      <c r="O1177" s="90">
        <f>IFERROR(VLOOKUP(A1177&amp;G1177,Lookup!J:K,2,0),"")</f>
        <v>0</v>
      </c>
      <c r="P1177" s="110" t="str">
        <f t="shared" si="82"/>
        <v/>
      </c>
      <c r="Q1177" s="115"/>
      <c r="R1177" s="87" t="str">
        <f t="shared" si="83"/>
        <v/>
      </c>
      <c r="S1177" s="87" t="str">
        <f t="shared" si="84"/>
        <v/>
      </c>
      <c r="T1177" s="54"/>
      <c r="U1177" s="54"/>
      <c r="V1177" s="54"/>
      <c r="W1177" s="54"/>
      <c r="X1177" s="69"/>
    </row>
    <row r="1178" spans="2:24" x14ac:dyDescent="0.25">
      <c r="B1178" s="91" t="str">
        <f>IFERROR(VLOOKUP(A1178,Lookup!A:B,2,0),"")</f>
        <v/>
      </c>
      <c r="C1178" s="59" t="str">
        <f>IFERROR(VLOOKUP(A1178,Lookup!A:C,3,0),"")</f>
        <v/>
      </c>
      <c r="D1178" s="54"/>
      <c r="E1178" s="54"/>
      <c r="F1178" s="54"/>
      <c r="G1178" s="72"/>
      <c r="H1178" s="54"/>
      <c r="I1178" s="54"/>
      <c r="J1178" s="106">
        <f>VLOOKUP(A1178&amp;G1178,Lookup!J:N,5,0)</f>
        <v>0</v>
      </c>
      <c r="K1178" s="115"/>
      <c r="L1178" s="115"/>
      <c r="M1178" s="115"/>
      <c r="N1178" s="115"/>
      <c r="O1178" s="90">
        <f>IFERROR(VLOOKUP(A1178&amp;G1178,Lookup!J:K,2,0),"")</f>
        <v>0</v>
      </c>
      <c r="P1178" s="110" t="str">
        <f t="shared" si="82"/>
        <v/>
      </c>
      <c r="Q1178" s="115"/>
      <c r="R1178" s="87" t="str">
        <f t="shared" si="83"/>
        <v/>
      </c>
      <c r="S1178" s="87" t="str">
        <f t="shared" si="84"/>
        <v/>
      </c>
      <c r="T1178" s="54"/>
      <c r="U1178" s="54"/>
      <c r="V1178" s="54"/>
      <c r="W1178" s="54"/>
      <c r="X1178" s="69"/>
    </row>
    <row r="1179" spans="2:24" x14ac:dyDescent="0.25">
      <c r="B1179" s="91" t="str">
        <f>IFERROR(VLOOKUP(A1179,Lookup!A:B,2,0),"")</f>
        <v/>
      </c>
      <c r="C1179" s="59" t="str">
        <f>IFERROR(VLOOKUP(A1179,Lookup!A:C,3,0),"")</f>
        <v/>
      </c>
      <c r="D1179" s="54"/>
      <c r="E1179" s="54"/>
      <c r="F1179" s="54"/>
      <c r="G1179" s="72"/>
      <c r="H1179" s="54"/>
      <c r="I1179" s="54"/>
      <c r="J1179" s="106">
        <f>VLOOKUP(A1179&amp;G1179,Lookup!J:N,5,0)</f>
        <v>0</v>
      </c>
      <c r="K1179" s="115"/>
      <c r="L1179" s="115"/>
      <c r="M1179" s="115"/>
      <c r="N1179" s="115"/>
      <c r="O1179" s="90">
        <f>IFERROR(VLOOKUP(A1179&amp;G1179,Lookup!J:K,2,0),"")</f>
        <v>0</v>
      </c>
      <c r="P1179" s="110" t="str">
        <f t="shared" si="82"/>
        <v/>
      </c>
      <c r="Q1179" s="115"/>
      <c r="R1179" s="87" t="str">
        <f t="shared" si="83"/>
        <v/>
      </c>
      <c r="S1179" s="87" t="str">
        <f t="shared" si="84"/>
        <v/>
      </c>
      <c r="T1179" s="54"/>
      <c r="U1179" s="54"/>
      <c r="V1179" s="54"/>
      <c r="W1179" s="54"/>
      <c r="X1179" s="69"/>
    </row>
    <row r="1180" spans="2:24" x14ac:dyDescent="0.25">
      <c r="B1180" s="91" t="str">
        <f>IFERROR(VLOOKUP(A1180,Lookup!A:B,2,0),"")</f>
        <v/>
      </c>
      <c r="C1180" s="59" t="str">
        <f>IFERROR(VLOOKUP(A1180,Lookup!A:C,3,0),"")</f>
        <v/>
      </c>
      <c r="D1180" s="54"/>
      <c r="E1180" s="54"/>
      <c r="F1180" s="54"/>
      <c r="G1180" s="72"/>
      <c r="H1180" s="54"/>
      <c r="I1180" s="54"/>
      <c r="J1180" s="106">
        <f>VLOOKUP(A1180&amp;G1180,Lookup!J:N,5,0)</f>
        <v>0</v>
      </c>
      <c r="K1180" s="115"/>
      <c r="L1180" s="115"/>
      <c r="M1180" s="115"/>
      <c r="N1180" s="115"/>
      <c r="O1180" s="90">
        <f>IFERROR(VLOOKUP(A1180&amp;G1180,Lookup!J:K,2,0),"")</f>
        <v>0</v>
      </c>
      <c r="P1180" s="110" t="str">
        <f t="shared" si="82"/>
        <v/>
      </c>
      <c r="Q1180" s="115"/>
      <c r="R1180" s="87" t="str">
        <f t="shared" si="83"/>
        <v/>
      </c>
      <c r="S1180" s="87" t="str">
        <f t="shared" si="84"/>
        <v/>
      </c>
      <c r="T1180" s="54"/>
      <c r="U1180" s="54"/>
      <c r="V1180" s="54"/>
      <c r="W1180" s="54"/>
      <c r="X1180" s="69"/>
    </row>
    <row r="1181" spans="2:24" x14ac:dyDescent="0.25">
      <c r="B1181" s="91" t="str">
        <f>IFERROR(VLOOKUP(A1181,Lookup!A:B,2,0),"")</f>
        <v/>
      </c>
      <c r="C1181" s="59" t="str">
        <f>IFERROR(VLOOKUP(A1181,Lookup!A:C,3,0),"")</f>
        <v/>
      </c>
      <c r="D1181" s="54"/>
      <c r="E1181" s="54"/>
      <c r="F1181" s="54"/>
      <c r="G1181" s="72"/>
      <c r="H1181" s="54"/>
      <c r="I1181" s="54"/>
      <c r="J1181" s="106">
        <f>VLOOKUP(A1181&amp;G1181,Lookup!J:N,5,0)</f>
        <v>0</v>
      </c>
      <c r="K1181" s="115"/>
      <c r="L1181" s="115"/>
      <c r="M1181" s="115"/>
      <c r="N1181" s="115"/>
      <c r="O1181" s="90">
        <f>IFERROR(VLOOKUP(A1181&amp;G1181,Lookup!J:K,2,0),"")</f>
        <v>0</v>
      </c>
      <c r="P1181" s="110" t="str">
        <f t="shared" si="82"/>
        <v/>
      </c>
      <c r="Q1181" s="115"/>
      <c r="R1181" s="87" t="str">
        <f t="shared" si="83"/>
        <v/>
      </c>
      <c r="S1181" s="87" t="str">
        <f t="shared" si="84"/>
        <v/>
      </c>
      <c r="T1181" s="54"/>
      <c r="U1181" s="54"/>
      <c r="V1181" s="54"/>
      <c r="W1181" s="54"/>
      <c r="X1181" s="69"/>
    </row>
    <row r="1182" spans="2:24" x14ac:dyDescent="0.25">
      <c r="B1182" s="91" t="str">
        <f>IFERROR(VLOOKUP(A1182,Lookup!A:B,2,0),"")</f>
        <v/>
      </c>
      <c r="C1182" s="59" t="str">
        <f>IFERROR(VLOOKUP(A1182,Lookup!A:C,3,0),"")</f>
        <v/>
      </c>
      <c r="D1182" s="54"/>
      <c r="E1182" s="54"/>
      <c r="F1182" s="54"/>
      <c r="G1182" s="72"/>
      <c r="H1182" s="54"/>
      <c r="I1182" s="54"/>
      <c r="J1182" s="106">
        <f>VLOOKUP(A1182&amp;G1182,Lookup!J:N,5,0)</f>
        <v>0</v>
      </c>
      <c r="K1182" s="115"/>
      <c r="L1182" s="115"/>
      <c r="M1182" s="115"/>
      <c r="N1182" s="115"/>
      <c r="O1182" s="90">
        <f>IFERROR(VLOOKUP(A1182&amp;G1182,Lookup!J:K,2,0),"")</f>
        <v>0</v>
      </c>
      <c r="P1182" s="110" t="str">
        <f t="shared" si="82"/>
        <v/>
      </c>
      <c r="Q1182" s="115"/>
      <c r="R1182" s="87" t="str">
        <f t="shared" si="83"/>
        <v/>
      </c>
      <c r="S1182" s="87" t="str">
        <f t="shared" si="84"/>
        <v/>
      </c>
      <c r="T1182" s="54"/>
      <c r="U1182" s="54"/>
      <c r="V1182" s="54"/>
      <c r="W1182" s="54"/>
      <c r="X1182" s="69"/>
    </row>
    <row r="1183" spans="2:24" x14ac:dyDescent="0.25">
      <c r="B1183" s="91" t="str">
        <f>IFERROR(VLOOKUP(A1183,Lookup!A:B,2,0),"")</f>
        <v/>
      </c>
      <c r="C1183" s="59" t="str">
        <f>IFERROR(VLOOKUP(A1183,Lookup!A:C,3,0),"")</f>
        <v/>
      </c>
      <c r="D1183" s="54"/>
      <c r="E1183" s="54"/>
      <c r="F1183" s="54"/>
      <c r="G1183" s="72"/>
      <c r="H1183" s="54"/>
      <c r="I1183" s="54"/>
      <c r="J1183" s="106">
        <f>VLOOKUP(A1183&amp;G1183,Lookup!J:N,5,0)</f>
        <v>0</v>
      </c>
      <c r="K1183" s="115"/>
      <c r="L1183" s="115"/>
      <c r="M1183" s="115"/>
      <c r="N1183" s="115"/>
      <c r="O1183" s="90">
        <f>IFERROR(VLOOKUP(A1183&amp;G1183,Lookup!J:K,2,0),"")</f>
        <v>0</v>
      </c>
      <c r="P1183" s="110" t="str">
        <f t="shared" si="82"/>
        <v/>
      </c>
      <c r="Q1183" s="115"/>
      <c r="R1183" s="87" t="str">
        <f t="shared" si="83"/>
        <v/>
      </c>
      <c r="S1183" s="87" t="str">
        <f t="shared" si="84"/>
        <v/>
      </c>
      <c r="T1183" s="54"/>
      <c r="U1183" s="54"/>
      <c r="V1183" s="54"/>
      <c r="W1183" s="54"/>
      <c r="X1183" s="69"/>
    </row>
    <row r="1184" spans="2:24" x14ac:dyDescent="0.25">
      <c r="B1184" s="91" t="str">
        <f>IFERROR(VLOOKUP(A1184,Lookup!A:B,2,0),"")</f>
        <v/>
      </c>
      <c r="C1184" s="59" t="str">
        <f>IFERROR(VLOOKUP(A1184,Lookup!A:C,3,0),"")</f>
        <v/>
      </c>
      <c r="D1184" s="54"/>
      <c r="E1184" s="54"/>
      <c r="F1184" s="54"/>
      <c r="G1184" s="72"/>
      <c r="H1184" s="54"/>
      <c r="I1184" s="54"/>
      <c r="J1184" s="106">
        <f>VLOOKUP(A1184&amp;G1184,Lookup!J:N,5,0)</f>
        <v>0</v>
      </c>
      <c r="K1184" s="115"/>
      <c r="L1184" s="115"/>
      <c r="M1184" s="115"/>
      <c r="N1184" s="115"/>
      <c r="O1184" s="90">
        <f>IFERROR(VLOOKUP(A1184&amp;G1184,Lookup!J:K,2,0),"")</f>
        <v>0</v>
      </c>
      <c r="P1184" s="110" t="str">
        <f t="shared" si="82"/>
        <v/>
      </c>
      <c r="Q1184" s="115"/>
      <c r="R1184" s="87" t="str">
        <f t="shared" si="83"/>
        <v/>
      </c>
      <c r="S1184" s="87" t="str">
        <f t="shared" si="84"/>
        <v/>
      </c>
      <c r="T1184" s="54"/>
      <c r="U1184" s="54"/>
      <c r="V1184" s="54"/>
      <c r="W1184" s="54"/>
      <c r="X1184" s="69"/>
    </row>
    <row r="1185" spans="2:24" x14ac:dyDescent="0.25">
      <c r="B1185" s="91" t="str">
        <f>IFERROR(VLOOKUP(A1185,Lookup!A:B,2,0),"")</f>
        <v/>
      </c>
      <c r="C1185" s="59" t="str">
        <f>IFERROR(VLOOKUP(A1185,Lookup!A:C,3,0),"")</f>
        <v/>
      </c>
      <c r="D1185" s="54"/>
      <c r="E1185" s="54"/>
      <c r="F1185" s="54"/>
      <c r="G1185" s="72"/>
      <c r="H1185" s="54"/>
      <c r="I1185" s="54"/>
      <c r="J1185" s="106">
        <f>VLOOKUP(A1185&amp;G1185,Lookup!J:N,5,0)</f>
        <v>0</v>
      </c>
      <c r="K1185" s="115"/>
      <c r="L1185" s="115"/>
      <c r="M1185" s="115"/>
      <c r="N1185" s="115"/>
      <c r="O1185" s="90">
        <f>IFERROR(VLOOKUP(A1185&amp;G1185,Lookup!J:K,2,0),"")</f>
        <v>0</v>
      </c>
      <c r="P1185" s="110" t="str">
        <f t="shared" si="82"/>
        <v/>
      </c>
      <c r="Q1185" s="115"/>
      <c r="R1185" s="87" t="str">
        <f t="shared" si="83"/>
        <v/>
      </c>
      <c r="S1185" s="87" t="str">
        <f t="shared" si="84"/>
        <v/>
      </c>
      <c r="T1185" s="54"/>
      <c r="U1185" s="54"/>
      <c r="V1185" s="54"/>
      <c r="W1185" s="54"/>
      <c r="X1185" s="69"/>
    </row>
    <row r="1186" spans="2:24" x14ac:dyDescent="0.25">
      <c r="B1186" s="91" t="str">
        <f>IFERROR(VLOOKUP(A1186,Lookup!A:B,2,0),"")</f>
        <v/>
      </c>
      <c r="C1186" s="59" t="str">
        <f>IFERROR(VLOOKUP(A1186,Lookup!A:C,3,0),"")</f>
        <v/>
      </c>
      <c r="D1186" s="54"/>
      <c r="E1186" s="54"/>
      <c r="F1186" s="54"/>
      <c r="G1186" s="72"/>
      <c r="H1186" s="54"/>
      <c r="I1186" s="54"/>
      <c r="J1186" s="106">
        <f>VLOOKUP(A1186&amp;G1186,Lookup!J:N,5,0)</f>
        <v>0</v>
      </c>
      <c r="K1186" s="115"/>
      <c r="L1186" s="115"/>
      <c r="M1186" s="115"/>
      <c r="N1186" s="115"/>
      <c r="O1186" s="90">
        <f>IFERROR(VLOOKUP(A1186&amp;G1186,Lookup!J:K,2,0),"")</f>
        <v>0</v>
      </c>
      <c r="P1186" s="110" t="str">
        <f t="shared" si="82"/>
        <v/>
      </c>
      <c r="Q1186" s="115"/>
      <c r="R1186" s="87" t="str">
        <f t="shared" si="83"/>
        <v/>
      </c>
      <c r="S1186" s="87" t="str">
        <f t="shared" si="84"/>
        <v/>
      </c>
      <c r="T1186" s="54"/>
      <c r="U1186" s="54"/>
      <c r="V1186" s="54"/>
      <c r="W1186" s="54"/>
      <c r="X1186" s="69"/>
    </row>
    <row r="1187" spans="2:24" x14ac:dyDescent="0.25">
      <c r="B1187" s="91" t="str">
        <f>IFERROR(VLOOKUP(A1187,Lookup!A:B,2,0),"")</f>
        <v/>
      </c>
      <c r="C1187" s="59" t="str">
        <f>IFERROR(VLOOKUP(A1187,Lookup!A:C,3,0),"")</f>
        <v/>
      </c>
      <c r="D1187" s="54"/>
      <c r="E1187" s="54"/>
      <c r="F1187" s="54"/>
      <c r="G1187" s="72"/>
      <c r="H1187" s="54"/>
      <c r="I1187" s="54"/>
      <c r="J1187" s="106">
        <f>VLOOKUP(A1187&amp;G1187,Lookup!J:N,5,0)</f>
        <v>0</v>
      </c>
      <c r="K1187" s="115"/>
      <c r="L1187" s="115"/>
      <c r="M1187" s="115"/>
      <c r="N1187" s="115"/>
      <c r="O1187" s="90">
        <f>IFERROR(VLOOKUP(A1187&amp;G1187,Lookup!J:K,2,0),"")</f>
        <v>0</v>
      </c>
      <c r="P1187" s="110" t="str">
        <f t="shared" si="82"/>
        <v/>
      </c>
      <c r="Q1187" s="115"/>
      <c r="R1187" s="87" t="str">
        <f t="shared" si="83"/>
        <v/>
      </c>
      <c r="S1187" s="87" t="str">
        <f t="shared" si="84"/>
        <v/>
      </c>
      <c r="T1187" s="54"/>
      <c r="U1187" s="54"/>
      <c r="V1187" s="54"/>
      <c r="W1187" s="54"/>
      <c r="X1187" s="69"/>
    </row>
    <row r="1188" spans="2:24" x14ac:dyDescent="0.25">
      <c r="B1188" s="91" t="str">
        <f>IFERROR(VLOOKUP(A1188,Lookup!A:B,2,0),"")</f>
        <v/>
      </c>
      <c r="C1188" s="59" t="str">
        <f>IFERROR(VLOOKUP(A1188,Lookup!A:C,3,0),"")</f>
        <v/>
      </c>
      <c r="D1188" s="54"/>
      <c r="E1188" s="54"/>
      <c r="F1188" s="54"/>
      <c r="G1188" s="72"/>
      <c r="H1188" s="54"/>
      <c r="I1188" s="54"/>
      <c r="J1188" s="106">
        <f>VLOOKUP(A1188&amp;G1188,Lookup!J:N,5,0)</f>
        <v>0</v>
      </c>
      <c r="K1188" s="115"/>
      <c r="L1188" s="115"/>
      <c r="M1188" s="115"/>
      <c r="N1188" s="115"/>
      <c r="O1188" s="90">
        <f>IFERROR(VLOOKUP(A1188&amp;G1188,Lookup!J:K,2,0),"")</f>
        <v>0</v>
      </c>
      <c r="P1188" s="110" t="str">
        <f t="shared" si="82"/>
        <v/>
      </c>
      <c r="Q1188" s="115"/>
      <c r="R1188" s="87" t="str">
        <f t="shared" si="83"/>
        <v/>
      </c>
      <c r="S1188" s="87" t="str">
        <f t="shared" si="84"/>
        <v/>
      </c>
      <c r="T1188" s="54"/>
      <c r="U1188" s="54"/>
      <c r="V1188" s="54"/>
      <c r="W1188" s="54"/>
      <c r="X1188" s="69"/>
    </row>
    <row r="1189" spans="2:24" x14ac:dyDescent="0.25">
      <c r="B1189" s="91" t="str">
        <f>IFERROR(VLOOKUP(A1189,Lookup!A:B,2,0),"")</f>
        <v/>
      </c>
      <c r="C1189" s="59" t="str">
        <f>IFERROR(VLOOKUP(A1189,Lookup!A:C,3,0),"")</f>
        <v/>
      </c>
      <c r="D1189" s="54"/>
      <c r="E1189" s="54"/>
      <c r="F1189" s="54"/>
      <c r="G1189" s="72"/>
      <c r="H1189" s="54"/>
      <c r="I1189" s="54"/>
      <c r="J1189" s="106">
        <f>VLOOKUP(A1189&amp;G1189,Lookup!J:N,5,0)</f>
        <v>0</v>
      </c>
      <c r="K1189" s="115"/>
      <c r="L1189" s="115"/>
      <c r="M1189" s="115"/>
      <c r="N1189" s="115"/>
      <c r="O1189" s="90">
        <f>IFERROR(VLOOKUP(A1189&amp;G1189,Lookup!J:K,2,0),"")</f>
        <v>0</v>
      </c>
      <c r="P1189" s="110" t="str">
        <f t="shared" si="82"/>
        <v/>
      </c>
      <c r="Q1189" s="115"/>
      <c r="R1189" s="87" t="str">
        <f t="shared" si="83"/>
        <v/>
      </c>
      <c r="S1189" s="87" t="str">
        <f t="shared" si="84"/>
        <v/>
      </c>
      <c r="T1189" s="54"/>
      <c r="U1189" s="54"/>
      <c r="V1189" s="54"/>
      <c r="W1189" s="54"/>
      <c r="X1189" s="69"/>
    </row>
    <row r="1190" spans="2:24" x14ac:dyDescent="0.25">
      <c r="B1190" s="91" t="str">
        <f>IFERROR(VLOOKUP(A1190,Lookup!A:B,2,0),"")</f>
        <v/>
      </c>
      <c r="C1190" s="59" t="str">
        <f>IFERROR(VLOOKUP(A1190,Lookup!A:C,3,0),"")</f>
        <v/>
      </c>
      <c r="D1190" s="54"/>
      <c r="E1190" s="54"/>
      <c r="F1190" s="54"/>
      <c r="G1190" s="72"/>
      <c r="H1190" s="54"/>
      <c r="I1190" s="54"/>
      <c r="J1190" s="106">
        <f>VLOOKUP(A1190&amp;G1190,Lookup!J:N,5,0)</f>
        <v>0</v>
      </c>
      <c r="K1190" s="115"/>
      <c r="L1190" s="115"/>
      <c r="M1190" s="115"/>
      <c r="N1190" s="115"/>
      <c r="O1190" s="90">
        <f>IFERROR(VLOOKUP(A1190&amp;G1190,Lookup!J:K,2,0),"")</f>
        <v>0</v>
      </c>
      <c r="P1190" s="110" t="str">
        <f t="shared" si="82"/>
        <v/>
      </c>
      <c r="Q1190" s="115"/>
      <c r="R1190" s="87" t="str">
        <f t="shared" si="83"/>
        <v/>
      </c>
      <c r="S1190" s="87" t="str">
        <f t="shared" si="84"/>
        <v/>
      </c>
      <c r="T1190" s="54"/>
      <c r="U1190" s="54"/>
      <c r="V1190" s="54"/>
      <c r="W1190" s="54"/>
      <c r="X1190" s="69"/>
    </row>
    <row r="1191" spans="2:24" x14ac:dyDescent="0.25">
      <c r="B1191" s="91" t="str">
        <f>IFERROR(VLOOKUP(A1191,Lookup!A:B,2,0),"")</f>
        <v/>
      </c>
      <c r="C1191" s="59" t="str">
        <f>IFERROR(VLOOKUP(A1191,Lookup!A:C,3,0),"")</f>
        <v/>
      </c>
      <c r="D1191" s="54"/>
      <c r="E1191" s="54"/>
      <c r="F1191" s="54"/>
      <c r="G1191" s="72"/>
      <c r="H1191" s="54"/>
      <c r="I1191" s="54"/>
      <c r="J1191" s="106">
        <f>VLOOKUP(A1191&amp;G1191,Lookup!J:N,5,0)</f>
        <v>0</v>
      </c>
      <c r="K1191" s="115"/>
      <c r="L1191" s="115"/>
      <c r="M1191" s="115"/>
      <c r="N1191" s="115"/>
      <c r="O1191" s="90">
        <f>IFERROR(VLOOKUP(A1191&amp;G1191,Lookup!J:K,2,0),"")</f>
        <v>0</v>
      </c>
      <c r="P1191" s="110" t="str">
        <f t="shared" si="82"/>
        <v/>
      </c>
      <c r="Q1191" s="115"/>
      <c r="R1191" s="87" t="str">
        <f t="shared" si="83"/>
        <v/>
      </c>
      <c r="S1191" s="87" t="str">
        <f t="shared" si="84"/>
        <v/>
      </c>
      <c r="T1191" s="54"/>
      <c r="U1191" s="54"/>
      <c r="V1191" s="54"/>
      <c r="W1191" s="54"/>
      <c r="X1191" s="69"/>
    </row>
    <row r="1192" spans="2:24" x14ac:dyDescent="0.25">
      <c r="B1192" s="91" t="str">
        <f>IFERROR(VLOOKUP(A1192,Lookup!A:B,2,0),"")</f>
        <v/>
      </c>
      <c r="C1192" s="59" t="str">
        <f>IFERROR(VLOOKUP(A1192,Lookup!A:C,3,0),"")</f>
        <v/>
      </c>
      <c r="D1192" s="54"/>
      <c r="E1192" s="54"/>
      <c r="F1192" s="54"/>
      <c r="G1192" s="72"/>
      <c r="H1192" s="54"/>
      <c r="I1192" s="54"/>
      <c r="J1192" s="106">
        <f>VLOOKUP(A1192&amp;G1192,Lookup!J:N,5,0)</f>
        <v>0</v>
      </c>
      <c r="K1192" s="115"/>
      <c r="L1192" s="115"/>
      <c r="M1192" s="115"/>
      <c r="N1192" s="115"/>
      <c r="O1192" s="90">
        <f>IFERROR(VLOOKUP(A1192&amp;G1192,Lookup!J:K,2,0),"")</f>
        <v>0</v>
      </c>
      <c r="P1192" s="110" t="str">
        <f t="shared" si="82"/>
        <v/>
      </c>
      <c r="Q1192" s="115"/>
      <c r="R1192" s="87" t="str">
        <f t="shared" si="83"/>
        <v/>
      </c>
      <c r="S1192" s="87" t="str">
        <f t="shared" si="84"/>
        <v/>
      </c>
      <c r="T1192" s="54"/>
      <c r="U1192" s="54"/>
      <c r="V1192" s="54"/>
      <c r="W1192" s="54"/>
      <c r="X1192" s="69"/>
    </row>
    <row r="1193" spans="2:24" x14ac:dyDescent="0.25">
      <c r="B1193" s="91" t="str">
        <f>IFERROR(VLOOKUP(A1193,Lookup!A:B,2,0),"")</f>
        <v/>
      </c>
      <c r="C1193" s="59" t="str">
        <f>IFERROR(VLOOKUP(A1193,Lookup!A:C,3,0),"")</f>
        <v/>
      </c>
      <c r="D1193" s="54"/>
      <c r="E1193" s="54"/>
      <c r="F1193" s="54"/>
      <c r="G1193" s="72"/>
      <c r="H1193" s="54"/>
      <c r="I1193" s="54"/>
      <c r="J1193" s="106">
        <f>VLOOKUP(A1193&amp;G1193,Lookup!J:N,5,0)</f>
        <v>0</v>
      </c>
      <c r="K1193" s="115"/>
      <c r="L1193" s="115"/>
      <c r="M1193" s="115"/>
      <c r="N1193" s="115"/>
      <c r="O1193" s="90">
        <f>IFERROR(VLOOKUP(A1193&amp;G1193,Lookup!J:K,2,0),"")</f>
        <v>0</v>
      </c>
      <c r="P1193" s="110" t="str">
        <f t="shared" si="82"/>
        <v/>
      </c>
      <c r="Q1193" s="115"/>
      <c r="R1193" s="87" t="str">
        <f t="shared" si="83"/>
        <v/>
      </c>
      <c r="S1193" s="87" t="str">
        <f t="shared" si="84"/>
        <v/>
      </c>
      <c r="T1193" s="54"/>
      <c r="U1193" s="54"/>
      <c r="V1193" s="54"/>
      <c r="W1193" s="54"/>
      <c r="X1193" s="69"/>
    </row>
    <row r="1194" spans="2:24" x14ac:dyDescent="0.25">
      <c r="B1194" s="91" t="str">
        <f>IFERROR(VLOOKUP(A1194,Lookup!A:B,2,0),"")</f>
        <v/>
      </c>
      <c r="C1194" s="59" t="str">
        <f>IFERROR(VLOOKUP(A1194,Lookup!A:C,3,0),"")</f>
        <v/>
      </c>
      <c r="D1194" s="54"/>
      <c r="E1194" s="54"/>
      <c r="F1194" s="54"/>
      <c r="G1194" s="72"/>
      <c r="H1194" s="54"/>
      <c r="I1194" s="54"/>
      <c r="J1194" s="106">
        <f>VLOOKUP(A1194&amp;G1194,Lookup!J:N,5,0)</f>
        <v>0</v>
      </c>
      <c r="K1194" s="115"/>
      <c r="L1194" s="115"/>
      <c r="M1194" s="115"/>
      <c r="N1194" s="115"/>
      <c r="O1194" s="90">
        <f>IFERROR(VLOOKUP(A1194&amp;G1194,Lookup!J:K,2,0),"")</f>
        <v>0</v>
      </c>
      <c r="P1194" s="110" t="str">
        <f t="shared" si="82"/>
        <v/>
      </c>
      <c r="Q1194" s="115"/>
      <c r="R1194" s="87" t="str">
        <f t="shared" si="83"/>
        <v/>
      </c>
      <c r="S1194" s="87" t="str">
        <f t="shared" si="84"/>
        <v/>
      </c>
      <c r="T1194" s="54"/>
      <c r="U1194" s="54"/>
      <c r="V1194" s="54"/>
      <c r="W1194" s="54"/>
      <c r="X1194" s="69"/>
    </row>
    <row r="1195" spans="2:24" x14ac:dyDescent="0.25">
      <c r="B1195" s="91" t="str">
        <f>IFERROR(VLOOKUP(A1195,Lookup!A:B,2,0),"")</f>
        <v/>
      </c>
      <c r="C1195" s="59" t="str">
        <f>IFERROR(VLOOKUP(A1195,Lookup!A:C,3,0),"")</f>
        <v/>
      </c>
      <c r="D1195" s="54"/>
      <c r="E1195" s="54"/>
      <c r="F1195" s="54"/>
      <c r="G1195" s="72"/>
      <c r="H1195" s="54"/>
      <c r="I1195" s="54"/>
      <c r="J1195" s="106">
        <f>VLOOKUP(A1195&amp;G1195,Lookup!J:N,5,0)</f>
        <v>0</v>
      </c>
      <c r="K1195" s="115"/>
      <c r="L1195" s="115"/>
      <c r="M1195" s="115"/>
      <c r="N1195" s="115"/>
      <c r="O1195" s="90">
        <f>IFERROR(VLOOKUP(A1195&amp;G1195,Lookup!J:K,2,0),"")</f>
        <v>0</v>
      </c>
      <c r="P1195" s="110" t="str">
        <f t="shared" si="82"/>
        <v/>
      </c>
      <c r="Q1195" s="115"/>
      <c r="R1195" s="87" t="str">
        <f t="shared" si="83"/>
        <v/>
      </c>
      <c r="S1195" s="87" t="str">
        <f t="shared" si="84"/>
        <v/>
      </c>
      <c r="T1195" s="54"/>
      <c r="U1195" s="54"/>
      <c r="V1195" s="54"/>
      <c r="W1195" s="54"/>
      <c r="X1195" s="69"/>
    </row>
    <row r="1196" spans="2:24" x14ac:dyDescent="0.25">
      <c r="B1196" s="91" t="str">
        <f>IFERROR(VLOOKUP(A1196,Lookup!A:B,2,0),"")</f>
        <v/>
      </c>
      <c r="C1196" s="59" t="str">
        <f>IFERROR(VLOOKUP(A1196,Lookup!A:C,3,0),"")</f>
        <v/>
      </c>
      <c r="D1196" s="54"/>
      <c r="E1196" s="54"/>
      <c r="F1196" s="54"/>
      <c r="G1196" s="72"/>
      <c r="H1196" s="54"/>
      <c r="I1196" s="54"/>
      <c r="J1196" s="106">
        <f>VLOOKUP(A1196&amp;G1196,Lookup!J:N,5,0)</f>
        <v>0</v>
      </c>
      <c r="K1196" s="115"/>
      <c r="L1196" s="115"/>
      <c r="M1196" s="115"/>
      <c r="N1196" s="115"/>
      <c r="O1196" s="90">
        <f>IFERROR(VLOOKUP(A1196&amp;G1196,Lookup!J:K,2,0),"")</f>
        <v>0</v>
      </c>
      <c r="P1196" s="110" t="str">
        <f t="shared" si="82"/>
        <v/>
      </c>
      <c r="Q1196" s="115"/>
      <c r="R1196" s="87" t="str">
        <f t="shared" si="83"/>
        <v/>
      </c>
      <c r="S1196" s="87" t="str">
        <f t="shared" si="84"/>
        <v/>
      </c>
      <c r="T1196" s="54"/>
      <c r="U1196" s="54"/>
      <c r="V1196" s="54"/>
      <c r="W1196" s="54"/>
      <c r="X1196" s="69"/>
    </row>
    <row r="1197" spans="2:24" x14ac:dyDescent="0.25">
      <c r="B1197" s="91" t="str">
        <f>IFERROR(VLOOKUP(A1197,Lookup!A:B,2,0),"")</f>
        <v/>
      </c>
      <c r="C1197" s="59" t="str">
        <f>IFERROR(VLOOKUP(A1197,Lookup!A:C,3,0),"")</f>
        <v/>
      </c>
      <c r="D1197" s="54"/>
      <c r="E1197" s="54"/>
      <c r="F1197" s="54"/>
      <c r="G1197" s="72"/>
      <c r="H1197" s="54"/>
      <c r="I1197" s="54"/>
      <c r="J1197" s="106">
        <f>VLOOKUP(A1197&amp;G1197,Lookup!J:N,5,0)</f>
        <v>0</v>
      </c>
      <c r="K1197" s="115"/>
      <c r="L1197" s="115"/>
      <c r="M1197" s="115"/>
      <c r="N1197" s="115"/>
      <c r="O1197" s="90">
        <f>IFERROR(VLOOKUP(A1197&amp;G1197,Lookup!J:K,2,0),"")</f>
        <v>0</v>
      </c>
      <c r="P1197" s="110" t="str">
        <f t="shared" si="82"/>
        <v/>
      </c>
      <c r="Q1197" s="115"/>
      <c r="R1197" s="87" t="str">
        <f t="shared" si="83"/>
        <v/>
      </c>
      <c r="S1197" s="87" t="str">
        <f t="shared" si="84"/>
        <v/>
      </c>
      <c r="T1197" s="54"/>
      <c r="U1197" s="54"/>
      <c r="V1197" s="54"/>
      <c r="W1197" s="54"/>
      <c r="X1197" s="69"/>
    </row>
    <row r="1198" spans="2:24" x14ac:dyDescent="0.25">
      <c r="B1198" s="91" t="str">
        <f>IFERROR(VLOOKUP(A1198,Lookup!A:B,2,0),"")</f>
        <v/>
      </c>
      <c r="C1198" s="59" t="str">
        <f>IFERROR(VLOOKUP(A1198,Lookup!A:C,3,0),"")</f>
        <v/>
      </c>
      <c r="D1198" s="54"/>
      <c r="E1198" s="54"/>
      <c r="F1198" s="54"/>
      <c r="G1198" s="72"/>
      <c r="H1198" s="54"/>
      <c r="I1198" s="54"/>
      <c r="J1198" s="106">
        <f>VLOOKUP(A1198&amp;G1198,Lookup!J:N,5,0)</f>
        <v>0</v>
      </c>
      <c r="K1198" s="115"/>
      <c r="L1198" s="115"/>
      <c r="M1198" s="115"/>
      <c r="N1198" s="115"/>
      <c r="O1198" s="90">
        <f>IFERROR(VLOOKUP(A1198&amp;G1198,Lookup!J:K,2,0),"")</f>
        <v>0</v>
      </c>
      <c r="P1198" s="110" t="str">
        <f t="shared" si="82"/>
        <v/>
      </c>
      <c r="Q1198" s="115"/>
      <c r="R1198" s="87" t="str">
        <f t="shared" si="83"/>
        <v/>
      </c>
      <c r="S1198" s="87" t="str">
        <f t="shared" si="84"/>
        <v/>
      </c>
      <c r="T1198" s="54"/>
      <c r="U1198" s="54"/>
      <c r="V1198" s="54"/>
      <c r="W1198" s="54"/>
      <c r="X1198" s="69"/>
    </row>
    <row r="1199" spans="2:24" x14ac:dyDescent="0.25">
      <c r="B1199" s="91" t="str">
        <f>IFERROR(VLOOKUP(A1199,Lookup!A:B,2,0),"")</f>
        <v/>
      </c>
      <c r="C1199" s="59" t="str">
        <f>IFERROR(VLOOKUP(A1199,Lookup!A:C,3,0),"")</f>
        <v/>
      </c>
      <c r="D1199" s="54"/>
      <c r="E1199" s="54"/>
      <c r="F1199" s="54"/>
      <c r="G1199" s="72"/>
      <c r="H1199" s="54"/>
      <c r="I1199" s="54"/>
      <c r="J1199" s="106">
        <f>VLOOKUP(A1199&amp;G1199,Lookup!J:N,5,0)</f>
        <v>0</v>
      </c>
      <c r="K1199" s="115"/>
      <c r="L1199" s="115"/>
      <c r="M1199" s="115"/>
      <c r="N1199" s="115"/>
      <c r="O1199" s="90">
        <f>IFERROR(VLOOKUP(A1199&amp;G1199,Lookup!J:K,2,0),"")</f>
        <v>0</v>
      </c>
      <c r="P1199" s="110" t="str">
        <f t="shared" si="82"/>
        <v/>
      </c>
      <c r="Q1199" s="115"/>
      <c r="R1199" s="87" t="str">
        <f t="shared" si="83"/>
        <v/>
      </c>
      <c r="S1199" s="87" t="str">
        <f t="shared" si="84"/>
        <v/>
      </c>
      <c r="T1199" s="54"/>
      <c r="U1199" s="54"/>
      <c r="V1199" s="54"/>
      <c r="W1199" s="54"/>
      <c r="X1199" s="69"/>
    </row>
    <row r="1200" spans="2:24" x14ac:dyDescent="0.25">
      <c r="B1200" s="91" t="str">
        <f>IFERROR(VLOOKUP(A1200,Lookup!A:B,2,0),"")</f>
        <v/>
      </c>
      <c r="C1200" s="59" t="str">
        <f>IFERROR(VLOOKUP(A1200,Lookup!A:C,3,0),"")</f>
        <v/>
      </c>
      <c r="D1200" s="54"/>
      <c r="E1200" s="54"/>
      <c r="F1200" s="54"/>
      <c r="G1200" s="72"/>
      <c r="H1200" s="54"/>
      <c r="I1200" s="54"/>
      <c r="J1200" s="106">
        <f>VLOOKUP(A1200&amp;G1200,Lookup!J:N,5,0)</f>
        <v>0</v>
      </c>
      <c r="K1200" s="115"/>
      <c r="L1200" s="115"/>
      <c r="M1200" s="115"/>
      <c r="N1200" s="115"/>
      <c r="O1200" s="90">
        <f>IFERROR(VLOOKUP(A1200&amp;G1200,Lookup!J:K,2,0),"")</f>
        <v>0</v>
      </c>
      <c r="P1200" s="110" t="str">
        <f t="shared" si="82"/>
        <v/>
      </c>
      <c r="Q1200" s="115"/>
      <c r="R1200" s="87" t="str">
        <f t="shared" si="83"/>
        <v/>
      </c>
      <c r="S1200" s="87" t="str">
        <f t="shared" si="84"/>
        <v/>
      </c>
      <c r="T1200" s="54"/>
      <c r="U1200" s="54"/>
      <c r="V1200" s="54"/>
      <c r="W1200" s="54"/>
      <c r="X1200" s="69"/>
    </row>
    <row r="1201" spans="2:24" x14ac:dyDescent="0.25">
      <c r="B1201" s="91" t="str">
        <f>IFERROR(VLOOKUP(A1201,Lookup!A:B,2,0),"")</f>
        <v/>
      </c>
      <c r="C1201" s="59" t="str">
        <f>IFERROR(VLOOKUP(A1201,Lookup!A:C,3,0),"")</f>
        <v/>
      </c>
      <c r="D1201" s="54"/>
      <c r="E1201" s="54"/>
      <c r="F1201" s="54"/>
      <c r="G1201" s="72"/>
      <c r="H1201" s="54"/>
      <c r="I1201" s="54"/>
      <c r="J1201" s="106">
        <f>VLOOKUP(A1201&amp;G1201,Lookup!J:N,5,0)</f>
        <v>0</v>
      </c>
      <c r="K1201" s="115"/>
      <c r="L1201" s="115"/>
      <c r="M1201" s="115"/>
      <c r="N1201" s="115"/>
      <c r="O1201" s="90">
        <f>IFERROR(VLOOKUP(A1201&amp;G1201,Lookup!J:K,2,0),"")</f>
        <v>0</v>
      </c>
      <c r="P1201" s="110" t="str">
        <f t="shared" si="82"/>
        <v/>
      </c>
      <c r="Q1201" s="115"/>
      <c r="R1201" s="87" t="str">
        <f t="shared" si="83"/>
        <v/>
      </c>
      <c r="S1201" s="87" t="str">
        <f t="shared" si="84"/>
        <v/>
      </c>
      <c r="T1201" s="54"/>
      <c r="U1201" s="54"/>
      <c r="V1201" s="54"/>
      <c r="W1201" s="54"/>
      <c r="X1201" s="69"/>
    </row>
    <row r="1202" spans="2:24" x14ac:dyDescent="0.25">
      <c r="B1202" s="91" t="str">
        <f>IFERROR(VLOOKUP(A1202,Lookup!A:B,2,0),"")</f>
        <v/>
      </c>
      <c r="C1202" s="59" t="str">
        <f>IFERROR(VLOOKUP(A1202,Lookup!A:C,3,0),"")</f>
        <v/>
      </c>
      <c r="D1202" s="54"/>
      <c r="E1202" s="54"/>
      <c r="F1202" s="54"/>
      <c r="G1202" s="72"/>
      <c r="H1202" s="54"/>
      <c r="I1202" s="54"/>
      <c r="J1202" s="106">
        <f>VLOOKUP(A1202&amp;G1202,Lookup!J:N,5,0)</f>
        <v>0</v>
      </c>
      <c r="K1202" s="115"/>
      <c r="L1202" s="115"/>
      <c r="M1202" s="115"/>
      <c r="N1202" s="115"/>
      <c r="O1202" s="90">
        <f>IFERROR(VLOOKUP(A1202&amp;G1202,Lookup!J:K,2,0),"")</f>
        <v>0</v>
      </c>
      <c r="P1202" s="110" t="str">
        <f t="shared" si="82"/>
        <v/>
      </c>
      <c r="Q1202" s="115"/>
      <c r="R1202" s="87" t="str">
        <f t="shared" si="83"/>
        <v/>
      </c>
      <c r="S1202" s="87" t="str">
        <f t="shared" si="84"/>
        <v/>
      </c>
      <c r="T1202" s="54"/>
      <c r="U1202" s="54"/>
      <c r="V1202" s="54"/>
      <c r="W1202" s="54"/>
      <c r="X1202" s="69"/>
    </row>
    <row r="1203" spans="2:24" x14ac:dyDescent="0.25">
      <c r="B1203" s="91" t="str">
        <f>IFERROR(VLOOKUP(A1203,Lookup!A:B,2,0),"")</f>
        <v/>
      </c>
      <c r="C1203" s="59" t="str">
        <f>IFERROR(VLOOKUP(A1203,Lookup!A:C,3,0),"")</f>
        <v/>
      </c>
      <c r="D1203" s="54"/>
      <c r="E1203" s="54"/>
      <c r="F1203" s="54"/>
      <c r="G1203" s="72"/>
      <c r="H1203" s="54"/>
      <c r="I1203" s="54"/>
      <c r="J1203" s="106">
        <f>VLOOKUP(A1203&amp;G1203,Lookup!J:N,5,0)</f>
        <v>0</v>
      </c>
      <c r="K1203" s="115"/>
      <c r="L1203" s="115"/>
      <c r="M1203" s="115"/>
      <c r="N1203" s="115"/>
      <c r="O1203" s="90">
        <f>IFERROR(VLOOKUP(A1203&amp;G1203,Lookup!J:K,2,0),"")</f>
        <v>0</v>
      </c>
      <c r="P1203" s="110" t="str">
        <f t="shared" si="82"/>
        <v/>
      </c>
      <c r="Q1203" s="115"/>
      <c r="R1203" s="87" t="str">
        <f t="shared" si="83"/>
        <v/>
      </c>
      <c r="S1203" s="87" t="str">
        <f t="shared" si="84"/>
        <v/>
      </c>
      <c r="T1203" s="54"/>
      <c r="U1203" s="54"/>
      <c r="V1203" s="54"/>
      <c r="W1203" s="54"/>
      <c r="X1203" s="69"/>
    </row>
    <row r="1204" spans="2:24" x14ac:dyDescent="0.25">
      <c r="B1204" s="91" t="str">
        <f>IFERROR(VLOOKUP(A1204,Lookup!A:B,2,0),"")</f>
        <v/>
      </c>
      <c r="C1204" s="59" t="str">
        <f>IFERROR(VLOOKUP(A1204,Lookup!A:C,3,0),"")</f>
        <v/>
      </c>
      <c r="D1204" s="54"/>
      <c r="E1204" s="54"/>
      <c r="F1204" s="54"/>
      <c r="G1204" s="72"/>
      <c r="H1204" s="54"/>
      <c r="I1204" s="54"/>
      <c r="J1204" s="106">
        <f>VLOOKUP(A1204&amp;G1204,Lookup!J:N,5,0)</f>
        <v>0</v>
      </c>
      <c r="K1204" s="115"/>
      <c r="L1204" s="115"/>
      <c r="M1204" s="115"/>
      <c r="N1204" s="115"/>
      <c r="O1204" s="90">
        <f>IFERROR(VLOOKUP(A1204&amp;G1204,Lookup!J:K,2,0),"")</f>
        <v>0</v>
      </c>
      <c r="P1204" s="110" t="str">
        <f t="shared" si="82"/>
        <v/>
      </c>
      <c r="Q1204" s="115"/>
      <c r="R1204" s="87" t="str">
        <f t="shared" si="83"/>
        <v/>
      </c>
      <c r="S1204" s="87" t="str">
        <f t="shared" si="84"/>
        <v/>
      </c>
      <c r="T1204" s="54"/>
      <c r="U1204" s="54"/>
      <c r="V1204" s="54"/>
      <c r="W1204" s="54"/>
      <c r="X1204" s="69"/>
    </row>
    <row r="1205" spans="2:24" x14ac:dyDescent="0.25">
      <c r="B1205" s="91" t="str">
        <f>IFERROR(VLOOKUP(A1205,Lookup!A:B,2,0),"")</f>
        <v/>
      </c>
      <c r="C1205" s="59" t="str">
        <f>IFERROR(VLOOKUP(A1205,Lookup!A:C,3,0),"")</f>
        <v/>
      </c>
      <c r="D1205" s="54"/>
      <c r="E1205" s="54"/>
      <c r="F1205" s="54"/>
      <c r="G1205" s="72"/>
      <c r="H1205" s="54"/>
      <c r="I1205" s="54"/>
      <c r="J1205" s="106">
        <f>VLOOKUP(A1205&amp;G1205,Lookup!J:N,5,0)</f>
        <v>0</v>
      </c>
      <c r="K1205" s="115"/>
      <c r="L1205" s="115"/>
      <c r="M1205" s="115"/>
      <c r="N1205" s="115"/>
      <c r="O1205" s="90">
        <f>IFERROR(VLOOKUP(A1205&amp;G1205,Lookup!J:K,2,0),"")</f>
        <v>0</v>
      </c>
      <c r="P1205" s="110" t="str">
        <f t="shared" si="82"/>
        <v/>
      </c>
      <c r="Q1205" s="115"/>
      <c r="R1205" s="87" t="str">
        <f t="shared" si="83"/>
        <v/>
      </c>
      <c r="S1205" s="87" t="str">
        <f t="shared" si="84"/>
        <v/>
      </c>
      <c r="T1205" s="54"/>
      <c r="U1205" s="54"/>
      <c r="V1205" s="54"/>
      <c r="W1205" s="54"/>
      <c r="X1205" s="69"/>
    </row>
    <row r="1206" spans="2:24" x14ac:dyDescent="0.25">
      <c r="B1206" s="91" t="str">
        <f>IFERROR(VLOOKUP(A1206,Lookup!A:B,2,0),"")</f>
        <v/>
      </c>
      <c r="C1206" s="59" t="str">
        <f>IFERROR(VLOOKUP(A1206,Lookup!A:C,3,0),"")</f>
        <v/>
      </c>
      <c r="D1206" s="54"/>
      <c r="E1206" s="54"/>
      <c r="F1206" s="54"/>
      <c r="G1206" s="72"/>
      <c r="H1206" s="54"/>
      <c r="I1206" s="54"/>
      <c r="J1206" s="106">
        <f>VLOOKUP(A1206&amp;G1206,Lookup!J:N,5,0)</f>
        <v>0</v>
      </c>
      <c r="K1206" s="115"/>
      <c r="L1206" s="115"/>
      <c r="M1206" s="115"/>
      <c r="N1206" s="115"/>
      <c r="O1206" s="90">
        <f>IFERROR(VLOOKUP(A1206&amp;G1206,Lookup!J:K,2,0),"")</f>
        <v>0</v>
      </c>
      <c r="P1206" s="110" t="str">
        <f t="shared" si="82"/>
        <v/>
      </c>
      <c r="Q1206" s="115"/>
      <c r="R1206" s="87" t="str">
        <f t="shared" si="83"/>
        <v/>
      </c>
      <c r="S1206" s="87" t="str">
        <f t="shared" si="84"/>
        <v/>
      </c>
      <c r="T1206" s="54"/>
      <c r="U1206" s="54"/>
      <c r="V1206" s="54"/>
      <c r="W1206" s="54"/>
      <c r="X1206" s="69"/>
    </row>
    <row r="1207" spans="2:24" x14ac:dyDescent="0.25">
      <c r="B1207" s="91" t="str">
        <f>IFERROR(VLOOKUP(A1207,Lookup!A:B,2,0),"")</f>
        <v/>
      </c>
      <c r="C1207" s="59" t="str">
        <f>IFERROR(VLOOKUP(A1207,Lookup!A:C,3,0),"")</f>
        <v/>
      </c>
      <c r="D1207" s="54"/>
      <c r="E1207" s="54"/>
      <c r="F1207" s="54"/>
      <c r="G1207" s="72"/>
      <c r="H1207" s="54"/>
      <c r="I1207" s="54"/>
      <c r="J1207" s="106">
        <f>VLOOKUP(A1207&amp;G1207,Lookup!J:N,5,0)</f>
        <v>0</v>
      </c>
      <c r="K1207" s="115"/>
      <c r="L1207" s="115"/>
      <c r="M1207" s="115"/>
      <c r="N1207" s="115"/>
      <c r="O1207" s="90">
        <f>IFERROR(VLOOKUP(A1207&amp;G1207,Lookup!J:K,2,0),"")</f>
        <v>0</v>
      </c>
      <c r="P1207" s="110" t="str">
        <f t="shared" si="82"/>
        <v/>
      </c>
      <c r="Q1207" s="115"/>
      <c r="R1207" s="87" t="str">
        <f t="shared" si="83"/>
        <v/>
      </c>
      <c r="S1207" s="87" t="str">
        <f t="shared" si="84"/>
        <v/>
      </c>
      <c r="T1207" s="54"/>
      <c r="U1207" s="54"/>
      <c r="V1207" s="54"/>
      <c r="W1207" s="54"/>
      <c r="X1207" s="69"/>
    </row>
    <row r="1208" spans="2:24" x14ac:dyDescent="0.25">
      <c r="B1208" s="91" t="str">
        <f>IFERROR(VLOOKUP(A1208,Lookup!A:B,2,0),"")</f>
        <v/>
      </c>
      <c r="C1208" s="59" t="str">
        <f>IFERROR(VLOOKUP(A1208,Lookup!A:C,3,0),"")</f>
        <v/>
      </c>
      <c r="D1208" s="54"/>
      <c r="E1208" s="54"/>
      <c r="F1208" s="54"/>
      <c r="G1208" s="72"/>
      <c r="H1208" s="54"/>
      <c r="I1208" s="54"/>
      <c r="J1208" s="106">
        <f>VLOOKUP(A1208&amp;G1208,Lookup!J:N,5,0)</f>
        <v>0</v>
      </c>
      <c r="K1208" s="115"/>
      <c r="L1208" s="115"/>
      <c r="M1208" s="115"/>
      <c r="N1208" s="115"/>
      <c r="O1208" s="90">
        <f>IFERROR(VLOOKUP(A1208&amp;G1208,Lookup!J:K,2,0),"")</f>
        <v>0</v>
      </c>
      <c r="P1208" s="110" t="str">
        <f t="shared" si="82"/>
        <v/>
      </c>
      <c r="Q1208" s="115"/>
      <c r="R1208" s="87" t="str">
        <f t="shared" si="83"/>
        <v/>
      </c>
      <c r="S1208" s="87" t="str">
        <f t="shared" si="84"/>
        <v/>
      </c>
      <c r="T1208" s="54"/>
      <c r="U1208" s="54"/>
      <c r="V1208" s="54"/>
      <c r="W1208" s="54"/>
      <c r="X1208" s="69"/>
    </row>
    <row r="1209" spans="2:24" x14ac:dyDescent="0.25">
      <c r="B1209" s="91" t="str">
        <f>IFERROR(VLOOKUP(A1209,Lookup!A:B,2,0),"")</f>
        <v/>
      </c>
      <c r="C1209" s="59" t="str">
        <f>IFERROR(VLOOKUP(A1209,Lookup!A:C,3,0),"")</f>
        <v/>
      </c>
      <c r="D1209" s="54"/>
      <c r="E1209" s="54"/>
      <c r="F1209" s="54"/>
      <c r="G1209" s="72"/>
      <c r="H1209" s="54"/>
      <c r="I1209" s="54"/>
      <c r="J1209" s="106">
        <f>VLOOKUP(A1209&amp;G1209,Lookup!J:N,5,0)</f>
        <v>0</v>
      </c>
      <c r="K1209" s="115"/>
      <c r="L1209" s="115"/>
      <c r="M1209" s="115"/>
      <c r="N1209" s="115"/>
      <c r="O1209" s="90">
        <f>IFERROR(VLOOKUP(A1209&amp;G1209,Lookup!J:K,2,0),"")</f>
        <v>0</v>
      </c>
      <c r="P1209" s="110" t="str">
        <f t="shared" si="82"/>
        <v/>
      </c>
      <c r="Q1209" s="115"/>
      <c r="R1209" s="87" t="str">
        <f t="shared" si="83"/>
        <v/>
      </c>
      <c r="S1209" s="87" t="str">
        <f t="shared" si="84"/>
        <v/>
      </c>
      <c r="T1209" s="54"/>
      <c r="U1209" s="54"/>
      <c r="V1209" s="54"/>
      <c r="W1209" s="54"/>
      <c r="X1209" s="69"/>
    </row>
    <row r="1210" spans="2:24" x14ac:dyDescent="0.25">
      <c r="B1210" s="91" t="str">
        <f>IFERROR(VLOOKUP(A1210,Lookup!A:B,2,0),"")</f>
        <v/>
      </c>
      <c r="C1210" s="59" t="str">
        <f>IFERROR(VLOOKUP(A1210,Lookup!A:C,3,0),"")</f>
        <v/>
      </c>
      <c r="D1210" s="54"/>
      <c r="E1210" s="54"/>
      <c r="F1210" s="54"/>
      <c r="G1210" s="72"/>
      <c r="H1210" s="54"/>
      <c r="I1210" s="54"/>
      <c r="J1210" s="106">
        <f>VLOOKUP(A1210&amp;G1210,Lookup!J:N,5,0)</f>
        <v>0</v>
      </c>
      <c r="K1210" s="115"/>
      <c r="L1210" s="115"/>
      <c r="M1210" s="115"/>
      <c r="N1210" s="115"/>
      <c r="O1210" s="90">
        <f>IFERROR(VLOOKUP(A1210&amp;G1210,Lookup!J:K,2,0),"")</f>
        <v>0</v>
      </c>
      <c r="P1210" s="110" t="str">
        <f t="shared" si="82"/>
        <v/>
      </c>
      <c r="Q1210" s="115"/>
      <c r="R1210" s="87" t="str">
        <f t="shared" si="83"/>
        <v/>
      </c>
      <c r="S1210" s="87" t="str">
        <f t="shared" si="84"/>
        <v/>
      </c>
      <c r="T1210" s="54"/>
      <c r="U1210" s="54"/>
      <c r="V1210" s="54"/>
      <c r="W1210" s="54"/>
      <c r="X1210" s="69"/>
    </row>
    <row r="1211" spans="2:24" x14ac:dyDescent="0.25">
      <c r="B1211" s="91" t="str">
        <f>IFERROR(VLOOKUP(A1211,Lookup!A:B,2,0),"")</f>
        <v/>
      </c>
      <c r="C1211" s="59" t="str">
        <f>IFERROR(VLOOKUP(A1211,Lookup!A:C,3,0),"")</f>
        <v/>
      </c>
      <c r="D1211" s="54"/>
      <c r="E1211" s="54"/>
      <c r="F1211" s="54"/>
      <c r="G1211" s="72"/>
      <c r="H1211" s="54"/>
      <c r="I1211" s="54"/>
      <c r="J1211" s="106">
        <f>VLOOKUP(A1211&amp;G1211,Lookup!J:N,5,0)</f>
        <v>0</v>
      </c>
      <c r="K1211" s="115"/>
      <c r="L1211" s="115"/>
      <c r="M1211" s="115"/>
      <c r="N1211" s="115"/>
      <c r="O1211" s="90">
        <f>IFERROR(VLOOKUP(A1211&amp;G1211,Lookup!J:K,2,0),"")</f>
        <v>0</v>
      </c>
      <c r="P1211" s="110" t="str">
        <f t="shared" si="82"/>
        <v/>
      </c>
      <c r="Q1211" s="115"/>
      <c r="R1211" s="87" t="str">
        <f t="shared" si="83"/>
        <v/>
      </c>
      <c r="S1211" s="87" t="str">
        <f t="shared" si="84"/>
        <v/>
      </c>
      <c r="T1211" s="54"/>
      <c r="U1211" s="54"/>
      <c r="V1211" s="54"/>
      <c r="W1211" s="54"/>
      <c r="X1211" s="69"/>
    </row>
    <row r="1212" spans="2:24" x14ac:dyDescent="0.25">
      <c r="B1212" s="91" t="str">
        <f>IFERROR(VLOOKUP(A1212,Lookup!A:B,2,0),"")</f>
        <v/>
      </c>
      <c r="C1212" s="59" t="str">
        <f>IFERROR(VLOOKUP(A1212,Lookup!A:C,3,0),"")</f>
        <v/>
      </c>
      <c r="D1212" s="54"/>
      <c r="E1212" s="54"/>
      <c r="F1212" s="54"/>
      <c r="G1212" s="72"/>
      <c r="H1212" s="54"/>
      <c r="I1212" s="54"/>
      <c r="J1212" s="106">
        <f>VLOOKUP(A1212&amp;G1212,Lookup!J:N,5,0)</f>
        <v>0</v>
      </c>
      <c r="K1212" s="115"/>
      <c r="L1212" s="115"/>
      <c r="M1212" s="115"/>
      <c r="N1212" s="115"/>
      <c r="O1212" s="90">
        <f>IFERROR(VLOOKUP(A1212&amp;G1212,Lookup!J:K,2,0),"")</f>
        <v>0</v>
      </c>
      <c r="P1212" s="110" t="str">
        <f t="shared" si="82"/>
        <v/>
      </c>
      <c r="Q1212" s="115"/>
      <c r="R1212" s="87" t="str">
        <f t="shared" si="83"/>
        <v/>
      </c>
      <c r="S1212" s="87" t="str">
        <f t="shared" si="84"/>
        <v/>
      </c>
      <c r="T1212" s="54"/>
      <c r="U1212" s="54"/>
      <c r="V1212" s="54"/>
      <c r="W1212" s="54"/>
      <c r="X1212" s="69"/>
    </row>
    <row r="1213" spans="2:24" x14ac:dyDescent="0.25">
      <c r="B1213" s="91" t="str">
        <f>IFERROR(VLOOKUP(A1213,Lookup!A:B,2,0),"")</f>
        <v/>
      </c>
      <c r="C1213" s="59" t="str">
        <f>IFERROR(VLOOKUP(A1213,Lookup!A:C,3,0),"")</f>
        <v/>
      </c>
      <c r="D1213" s="54"/>
      <c r="E1213" s="54"/>
      <c r="F1213" s="54"/>
      <c r="G1213" s="72"/>
      <c r="H1213" s="54"/>
      <c r="I1213" s="54"/>
      <c r="J1213" s="106">
        <f>VLOOKUP(A1213&amp;G1213,Lookup!J:N,5,0)</f>
        <v>0</v>
      </c>
      <c r="K1213" s="115"/>
      <c r="L1213" s="115"/>
      <c r="M1213" s="115"/>
      <c r="N1213" s="115"/>
      <c r="O1213" s="90">
        <f>IFERROR(VLOOKUP(A1213&amp;G1213,Lookup!J:K,2,0),"")</f>
        <v>0</v>
      </c>
      <c r="P1213" s="110" t="str">
        <f t="shared" si="82"/>
        <v/>
      </c>
      <c r="Q1213" s="115"/>
      <c r="R1213" s="87" t="str">
        <f t="shared" si="83"/>
        <v/>
      </c>
      <c r="S1213" s="87" t="str">
        <f t="shared" si="84"/>
        <v/>
      </c>
      <c r="T1213" s="54"/>
      <c r="U1213" s="54"/>
      <c r="V1213" s="54"/>
      <c r="W1213" s="54"/>
      <c r="X1213" s="69"/>
    </row>
    <row r="1214" spans="2:24" x14ac:dyDescent="0.25">
      <c r="B1214" s="91" t="str">
        <f>IFERROR(VLOOKUP(A1214,Lookup!A:B,2,0),"")</f>
        <v/>
      </c>
      <c r="C1214" s="59" t="str">
        <f>IFERROR(VLOOKUP(A1214,Lookup!A:C,3,0),"")</f>
        <v/>
      </c>
      <c r="D1214" s="54"/>
      <c r="E1214" s="54"/>
      <c r="F1214" s="54"/>
      <c r="G1214" s="72"/>
      <c r="H1214" s="54"/>
      <c r="I1214" s="54"/>
      <c r="J1214" s="106">
        <f>VLOOKUP(A1214&amp;G1214,Lookup!J:N,5,0)</f>
        <v>0</v>
      </c>
      <c r="K1214" s="115"/>
      <c r="L1214" s="115"/>
      <c r="M1214" s="115"/>
      <c r="N1214" s="115"/>
      <c r="O1214" s="90">
        <f>IFERROR(VLOOKUP(A1214&amp;G1214,Lookup!J:K,2,0),"")</f>
        <v>0</v>
      </c>
      <c r="P1214" s="110" t="str">
        <f t="shared" si="82"/>
        <v/>
      </c>
      <c r="Q1214" s="115"/>
      <c r="R1214" s="87" t="str">
        <f t="shared" si="83"/>
        <v/>
      </c>
      <c r="S1214" s="87" t="str">
        <f t="shared" si="84"/>
        <v/>
      </c>
      <c r="T1214" s="54"/>
      <c r="U1214" s="54"/>
      <c r="V1214" s="54"/>
      <c r="W1214" s="54"/>
      <c r="X1214" s="69"/>
    </row>
    <row r="1215" spans="2:24" x14ac:dyDescent="0.25">
      <c r="B1215" s="91" t="str">
        <f>IFERROR(VLOOKUP(A1215,Lookup!A:B,2,0),"")</f>
        <v/>
      </c>
      <c r="C1215" s="59" t="str">
        <f>IFERROR(VLOOKUP(A1215,Lookup!A:C,3,0),"")</f>
        <v/>
      </c>
      <c r="D1215" s="54"/>
      <c r="E1215" s="54"/>
      <c r="F1215" s="54"/>
      <c r="G1215" s="72"/>
      <c r="H1215" s="54"/>
      <c r="I1215" s="54"/>
      <c r="J1215" s="106">
        <f>VLOOKUP(A1215&amp;G1215,Lookup!J:N,5,0)</f>
        <v>0</v>
      </c>
      <c r="K1215" s="115"/>
      <c r="L1215" s="115"/>
      <c r="M1215" s="115"/>
      <c r="N1215" s="115"/>
      <c r="O1215" s="90">
        <f>IFERROR(VLOOKUP(A1215&amp;G1215,Lookup!J:K,2,0),"")</f>
        <v>0</v>
      </c>
      <c r="P1215" s="110" t="str">
        <f t="shared" si="82"/>
        <v/>
      </c>
      <c r="Q1215" s="115"/>
      <c r="R1215" s="87" t="str">
        <f t="shared" si="83"/>
        <v/>
      </c>
      <c r="S1215" s="87" t="str">
        <f t="shared" si="84"/>
        <v/>
      </c>
      <c r="T1215" s="54"/>
      <c r="U1215" s="54"/>
      <c r="V1215" s="54"/>
      <c r="W1215" s="54"/>
      <c r="X1215" s="69"/>
    </row>
    <row r="1216" spans="2:24" x14ac:dyDescent="0.25">
      <c r="B1216" s="91" t="str">
        <f>IFERROR(VLOOKUP(A1216,Lookup!A:B,2,0),"")</f>
        <v/>
      </c>
      <c r="C1216" s="59" t="str">
        <f>IFERROR(VLOOKUP(A1216,Lookup!A:C,3,0),"")</f>
        <v/>
      </c>
      <c r="D1216" s="54"/>
      <c r="E1216" s="54"/>
      <c r="F1216" s="54"/>
      <c r="G1216" s="72"/>
      <c r="H1216" s="54"/>
      <c r="I1216" s="54"/>
      <c r="J1216" s="106">
        <f>VLOOKUP(A1216&amp;G1216,Lookup!J:N,5,0)</f>
        <v>0</v>
      </c>
      <c r="K1216" s="115"/>
      <c r="L1216" s="115"/>
      <c r="M1216" s="115"/>
      <c r="N1216" s="115"/>
      <c r="O1216" s="90">
        <f>IFERROR(VLOOKUP(A1216&amp;G1216,Lookup!J:K,2,0),"")</f>
        <v>0</v>
      </c>
      <c r="P1216" s="110" t="str">
        <f t="shared" si="82"/>
        <v/>
      </c>
      <c r="Q1216" s="115"/>
      <c r="R1216" s="87" t="str">
        <f t="shared" si="83"/>
        <v/>
      </c>
      <c r="S1216" s="87" t="str">
        <f t="shared" si="84"/>
        <v/>
      </c>
      <c r="T1216" s="54"/>
      <c r="U1216" s="54"/>
      <c r="V1216" s="54"/>
      <c r="W1216" s="54"/>
      <c r="X1216" s="69"/>
    </row>
    <row r="1217" spans="2:24" x14ac:dyDescent="0.25">
      <c r="B1217" s="91" t="str">
        <f>IFERROR(VLOOKUP(A1217,Lookup!A:B,2,0),"")</f>
        <v/>
      </c>
      <c r="C1217" s="59" t="str">
        <f>IFERROR(VLOOKUP(A1217,Lookup!A:C,3,0),"")</f>
        <v/>
      </c>
      <c r="D1217" s="54"/>
      <c r="E1217" s="54"/>
      <c r="F1217" s="54"/>
      <c r="G1217" s="72"/>
      <c r="H1217" s="54"/>
      <c r="I1217" s="54"/>
      <c r="J1217" s="106">
        <f>VLOOKUP(A1217&amp;G1217,Lookup!J:N,5,0)</f>
        <v>0</v>
      </c>
      <c r="K1217" s="115"/>
      <c r="L1217" s="115"/>
      <c r="M1217" s="115"/>
      <c r="N1217" s="115"/>
      <c r="O1217" s="90">
        <f>IFERROR(VLOOKUP(A1217&amp;G1217,Lookup!J:K,2,0),"")</f>
        <v>0</v>
      </c>
      <c r="P1217" s="110" t="str">
        <f t="shared" si="82"/>
        <v/>
      </c>
      <c r="Q1217" s="115"/>
      <c r="R1217" s="87" t="str">
        <f t="shared" si="83"/>
        <v/>
      </c>
      <c r="S1217" s="87" t="str">
        <f t="shared" si="84"/>
        <v/>
      </c>
      <c r="T1217" s="54"/>
      <c r="U1217" s="54"/>
      <c r="V1217" s="54"/>
      <c r="W1217" s="54"/>
      <c r="X1217" s="69"/>
    </row>
    <row r="1218" spans="2:24" x14ac:dyDescent="0.25">
      <c r="B1218" s="91" t="str">
        <f>IFERROR(VLOOKUP(A1218,Lookup!A:B,2,0),"")</f>
        <v/>
      </c>
      <c r="C1218" s="59" t="str">
        <f>IFERROR(VLOOKUP(A1218,Lookup!A:C,3,0),"")</f>
        <v/>
      </c>
      <c r="D1218" s="54"/>
      <c r="E1218" s="54"/>
      <c r="F1218" s="54"/>
      <c r="G1218" s="72"/>
      <c r="H1218" s="54"/>
      <c r="I1218" s="54"/>
      <c r="J1218" s="106">
        <f>VLOOKUP(A1218&amp;G1218,Lookup!J:N,5,0)</f>
        <v>0</v>
      </c>
      <c r="K1218" s="115"/>
      <c r="L1218" s="115"/>
      <c r="M1218" s="115"/>
      <c r="N1218" s="115"/>
      <c r="O1218" s="90">
        <f>IFERROR(VLOOKUP(A1218&amp;G1218,Lookup!J:K,2,0),"")</f>
        <v>0</v>
      </c>
      <c r="P1218" s="110" t="str">
        <f t="shared" ref="P1218:P1281" si="85">IF(N1218="","",N1218+O1218)</f>
        <v/>
      </c>
      <c r="Q1218" s="115"/>
      <c r="R1218" s="87" t="str">
        <f t="shared" si="83"/>
        <v/>
      </c>
      <c r="S1218" s="87" t="str">
        <f t="shared" si="84"/>
        <v/>
      </c>
      <c r="T1218" s="54"/>
      <c r="U1218" s="54"/>
      <c r="V1218" s="54"/>
      <c r="W1218" s="54"/>
      <c r="X1218" s="69"/>
    </row>
    <row r="1219" spans="2:24" x14ac:dyDescent="0.25">
      <c r="B1219" s="91" t="str">
        <f>IFERROR(VLOOKUP(A1219,Lookup!A:B,2,0),"")</f>
        <v/>
      </c>
      <c r="C1219" s="59" t="str">
        <f>IFERROR(VLOOKUP(A1219,Lookup!A:C,3,0),"")</f>
        <v/>
      </c>
      <c r="D1219" s="54"/>
      <c r="E1219" s="54"/>
      <c r="F1219" s="54"/>
      <c r="G1219" s="72"/>
      <c r="H1219" s="54"/>
      <c r="I1219" s="54"/>
      <c r="J1219" s="106">
        <f>VLOOKUP(A1219&amp;G1219,Lookup!J:N,5,0)</f>
        <v>0</v>
      </c>
      <c r="K1219" s="115"/>
      <c r="L1219" s="115"/>
      <c r="M1219" s="115"/>
      <c r="N1219" s="115"/>
      <c r="O1219" s="90">
        <f>IFERROR(VLOOKUP(A1219&amp;G1219,Lookup!J:K,2,0),"")</f>
        <v>0</v>
      </c>
      <c r="P1219" s="110" t="str">
        <f t="shared" si="85"/>
        <v/>
      </c>
      <c r="Q1219" s="115"/>
      <c r="R1219" s="87" t="str">
        <f t="shared" ref="R1219:R1282" si="86">IF(OR(EXACT(N1219,""), EXACT(L1219,"")),"",N1219-L1219)</f>
        <v/>
      </c>
      <c r="S1219" s="87" t="str">
        <f t="shared" si="84"/>
        <v/>
      </c>
      <c r="T1219" s="54"/>
      <c r="U1219" s="54"/>
      <c r="V1219" s="54"/>
      <c r="W1219" s="54"/>
      <c r="X1219" s="69"/>
    </row>
    <row r="1220" spans="2:24" x14ac:dyDescent="0.25">
      <c r="B1220" s="91" t="str">
        <f>IFERROR(VLOOKUP(A1220,Lookup!A:B,2,0),"")</f>
        <v/>
      </c>
      <c r="C1220" s="59" t="str">
        <f>IFERROR(VLOOKUP(A1220,Lookup!A:C,3,0),"")</f>
        <v/>
      </c>
      <c r="D1220" s="54"/>
      <c r="E1220" s="54"/>
      <c r="F1220" s="54"/>
      <c r="G1220" s="72"/>
      <c r="H1220" s="54"/>
      <c r="I1220" s="54"/>
      <c r="J1220" s="106">
        <f>VLOOKUP(A1220&amp;G1220,Lookup!J:N,5,0)</f>
        <v>0</v>
      </c>
      <c r="K1220" s="115"/>
      <c r="L1220" s="115"/>
      <c r="M1220" s="115"/>
      <c r="N1220" s="115"/>
      <c r="O1220" s="90">
        <f>IFERROR(VLOOKUP(A1220&amp;G1220,Lookup!J:K,2,0),"")</f>
        <v>0</v>
      </c>
      <c r="P1220" s="110" t="str">
        <f t="shared" si="85"/>
        <v/>
      </c>
      <c r="Q1220" s="115"/>
      <c r="R1220" s="87" t="str">
        <f t="shared" si="86"/>
        <v/>
      </c>
      <c r="S1220" s="87" t="str">
        <f t="shared" ref="S1220:S1283" si="87">IF(OR(EXACT(Q1220,""), EXACT(L1220,"")),"",Q1220-L1220)</f>
        <v/>
      </c>
      <c r="T1220" s="54"/>
      <c r="U1220" s="54"/>
      <c r="V1220" s="54"/>
      <c r="W1220" s="54"/>
      <c r="X1220" s="69"/>
    </row>
    <row r="1221" spans="2:24" x14ac:dyDescent="0.25">
      <c r="B1221" s="91" t="str">
        <f>IFERROR(VLOOKUP(A1221,Lookup!A:B,2,0),"")</f>
        <v/>
      </c>
      <c r="C1221" s="59" t="str">
        <f>IFERROR(VLOOKUP(A1221,Lookup!A:C,3,0),"")</f>
        <v/>
      </c>
      <c r="D1221" s="54"/>
      <c r="E1221" s="54"/>
      <c r="F1221" s="54"/>
      <c r="G1221" s="72"/>
      <c r="H1221" s="54"/>
      <c r="I1221" s="54"/>
      <c r="J1221" s="106">
        <f>VLOOKUP(A1221&amp;G1221,Lookup!J:N,5,0)</f>
        <v>0</v>
      </c>
      <c r="K1221" s="115"/>
      <c r="L1221" s="115"/>
      <c r="M1221" s="115"/>
      <c r="N1221" s="115"/>
      <c r="O1221" s="90">
        <f>IFERROR(VLOOKUP(A1221&amp;G1221,Lookup!J:K,2,0),"")</f>
        <v>0</v>
      </c>
      <c r="P1221" s="110" t="str">
        <f t="shared" si="85"/>
        <v/>
      </c>
      <c r="Q1221" s="115"/>
      <c r="R1221" s="87" t="str">
        <f t="shared" si="86"/>
        <v/>
      </c>
      <c r="S1221" s="87" t="str">
        <f t="shared" si="87"/>
        <v/>
      </c>
      <c r="T1221" s="54"/>
      <c r="U1221" s="54"/>
      <c r="V1221" s="54"/>
      <c r="W1221" s="54"/>
      <c r="X1221" s="69"/>
    </row>
    <row r="1222" spans="2:24" x14ac:dyDescent="0.25">
      <c r="B1222" s="91" t="str">
        <f>IFERROR(VLOOKUP(A1222,Lookup!A:B,2,0),"")</f>
        <v/>
      </c>
      <c r="C1222" s="59" t="str">
        <f>IFERROR(VLOOKUP(A1222,Lookup!A:C,3,0),"")</f>
        <v/>
      </c>
      <c r="D1222" s="54"/>
      <c r="E1222" s="54"/>
      <c r="F1222" s="54"/>
      <c r="G1222" s="72"/>
      <c r="H1222" s="54"/>
      <c r="I1222" s="54"/>
      <c r="J1222" s="106">
        <f>VLOOKUP(A1222&amp;G1222,Lookup!J:N,5,0)</f>
        <v>0</v>
      </c>
      <c r="K1222" s="115"/>
      <c r="L1222" s="115"/>
      <c r="M1222" s="115"/>
      <c r="N1222" s="115"/>
      <c r="O1222" s="90">
        <f>IFERROR(VLOOKUP(A1222&amp;G1222,Lookup!J:K,2,0),"")</f>
        <v>0</v>
      </c>
      <c r="P1222" s="110" t="str">
        <f t="shared" si="85"/>
        <v/>
      </c>
      <c r="Q1222" s="115"/>
      <c r="R1222" s="87" t="str">
        <f t="shared" si="86"/>
        <v/>
      </c>
      <c r="S1222" s="87" t="str">
        <f t="shared" si="87"/>
        <v/>
      </c>
      <c r="T1222" s="54"/>
      <c r="U1222" s="54"/>
      <c r="V1222" s="54"/>
      <c r="W1222" s="54"/>
      <c r="X1222" s="69"/>
    </row>
    <row r="1223" spans="2:24" x14ac:dyDescent="0.25">
      <c r="B1223" s="91" t="str">
        <f>IFERROR(VLOOKUP(A1223,Lookup!A:B,2,0),"")</f>
        <v/>
      </c>
      <c r="C1223" s="59" t="str">
        <f>IFERROR(VLOOKUP(A1223,Lookup!A:C,3,0),"")</f>
        <v/>
      </c>
      <c r="D1223" s="54"/>
      <c r="E1223" s="54"/>
      <c r="F1223" s="54"/>
      <c r="G1223" s="72"/>
      <c r="H1223" s="54"/>
      <c r="I1223" s="54"/>
      <c r="J1223" s="106">
        <f>VLOOKUP(A1223&amp;G1223,Lookup!J:N,5,0)</f>
        <v>0</v>
      </c>
      <c r="K1223" s="115"/>
      <c r="L1223" s="115"/>
      <c r="M1223" s="115"/>
      <c r="N1223" s="115"/>
      <c r="O1223" s="90">
        <f>IFERROR(VLOOKUP(A1223&amp;G1223,Lookup!J:K,2,0),"")</f>
        <v>0</v>
      </c>
      <c r="P1223" s="110" t="str">
        <f t="shared" si="85"/>
        <v/>
      </c>
      <c r="Q1223" s="115"/>
      <c r="R1223" s="87" t="str">
        <f t="shared" si="86"/>
        <v/>
      </c>
      <c r="S1223" s="87" t="str">
        <f t="shared" si="87"/>
        <v/>
      </c>
      <c r="T1223" s="54"/>
      <c r="U1223" s="54"/>
      <c r="V1223" s="54"/>
      <c r="W1223" s="54"/>
      <c r="X1223" s="69"/>
    </row>
    <row r="1224" spans="2:24" x14ac:dyDescent="0.25">
      <c r="B1224" s="91" t="str">
        <f>IFERROR(VLOOKUP(A1224,Lookup!A:B,2,0),"")</f>
        <v/>
      </c>
      <c r="C1224" s="59" t="str">
        <f>IFERROR(VLOOKUP(A1224,Lookup!A:C,3,0),"")</f>
        <v/>
      </c>
      <c r="D1224" s="54"/>
      <c r="E1224" s="54"/>
      <c r="F1224" s="54"/>
      <c r="G1224" s="72"/>
      <c r="H1224" s="54"/>
      <c r="I1224" s="54"/>
      <c r="J1224" s="106">
        <f>VLOOKUP(A1224&amp;G1224,Lookup!J:N,5,0)</f>
        <v>0</v>
      </c>
      <c r="K1224" s="115"/>
      <c r="L1224" s="115"/>
      <c r="M1224" s="115"/>
      <c r="N1224" s="115"/>
      <c r="O1224" s="90">
        <f>IFERROR(VLOOKUP(A1224&amp;G1224,Lookup!J:K,2,0),"")</f>
        <v>0</v>
      </c>
      <c r="P1224" s="110" t="str">
        <f t="shared" si="85"/>
        <v/>
      </c>
      <c r="Q1224" s="115"/>
      <c r="R1224" s="87" t="str">
        <f t="shared" si="86"/>
        <v/>
      </c>
      <c r="S1224" s="87" t="str">
        <f t="shared" si="87"/>
        <v/>
      </c>
      <c r="T1224" s="54"/>
      <c r="U1224" s="54"/>
      <c r="V1224" s="54"/>
      <c r="W1224" s="54"/>
      <c r="X1224" s="69"/>
    </row>
    <row r="1225" spans="2:24" x14ac:dyDescent="0.25">
      <c r="B1225" s="91" t="str">
        <f>IFERROR(VLOOKUP(A1225,Lookup!A:B,2,0),"")</f>
        <v/>
      </c>
      <c r="C1225" s="59" t="str">
        <f>IFERROR(VLOOKUP(A1225,Lookup!A:C,3,0),"")</f>
        <v/>
      </c>
      <c r="D1225" s="54"/>
      <c r="E1225" s="54"/>
      <c r="F1225" s="54"/>
      <c r="G1225" s="72"/>
      <c r="H1225" s="54"/>
      <c r="I1225" s="54"/>
      <c r="J1225" s="106">
        <f>VLOOKUP(A1225&amp;G1225,Lookup!J:N,5,0)</f>
        <v>0</v>
      </c>
      <c r="K1225" s="115"/>
      <c r="L1225" s="115"/>
      <c r="M1225" s="115"/>
      <c r="N1225" s="115"/>
      <c r="O1225" s="90">
        <f>IFERROR(VLOOKUP(A1225&amp;G1225,Lookup!J:K,2,0),"")</f>
        <v>0</v>
      </c>
      <c r="P1225" s="110" t="str">
        <f t="shared" si="85"/>
        <v/>
      </c>
      <c r="Q1225" s="115"/>
      <c r="R1225" s="87" t="str">
        <f t="shared" si="86"/>
        <v/>
      </c>
      <c r="S1225" s="87" t="str">
        <f t="shared" si="87"/>
        <v/>
      </c>
      <c r="T1225" s="54"/>
      <c r="U1225" s="54"/>
      <c r="V1225" s="54"/>
      <c r="W1225" s="54"/>
      <c r="X1225" s="69"/>
    </row>
    <row r="1226" spans="2:24" x14ac:dyDescent="0.25">
      <c r="B1226" s="91" t="str">
        <f>IFERROR(VLOOKUP(A1226,Lookup!A:B,2,0),"")</f>
        <v/>
      </c>
      <c r="C1226" s="59" t="str">
        <f>IFERROR(VLOOKUP(A1226,Lookup!A:C,3,0),"")</f>
        <v/>
      </c>
      <c r="D1226" s="54"/>
      <c r="E1226" s="54"/>
      <c r="F1226" s="54"/>
      <c r="G1226" s="72"/>
      <c r="H1226" s="54"/>
      <c r="I1226" s="54"/>
      <c r="J1226" s="106">
        <f>VLOOKUP(A1226&amp;G1226,Lookup!J:N,5,0)</f>
        <v>0</v>
      </c>
      <c r="K1226" s="115"/>
      <c r="L1226" s="115"/>
      <c r="M1226" s="115"/>
      <c r="N1226" s="115"/>
      <c r="O1226" s="90">
        <f>IFERROR(VLOOKUP(A1226&amp;G1226,Lookup!J:K,2,0),"")</f>
        <v>0</v>
      </c>
      <c r="P1226" s="110" t="str">
        <f t="shared" si="85"/>
        <v/>
      </c>
      <c r="Q1226" s="115"/>
      <c r="R1226" s="87" t="str">
        <f t="shared" si="86"/>
        <v/>
      </c>
      <c r="S1226" s="87" t="str">
        <f t="shared" si="87"/>
        <v/>
      </c>
      <c r="T1226" s="54"/>
      <c r="U1226" s="54"/>
      <c r="V1226" s="54"/>
      <c r="W1226" s="54"/>
      <c r="X1226" s="69"/>
    </row>
    <row r="1227" spans="2:24" x14ac:dyDescent="0.25">
      <c r="B1227" s="91" t="str">
        <f>IFERROR(VLOOKUP(A1227,Lookup!A:B,2,0),"")</f>
        <v/>
      </c>
      <c r="C1227" s="59" t="str">
        <f>IFERROR(VLOOKUP(A1227,Lookup!A:C,3,0),"")</f>
        <v/>
      </c>
      <c r="D1227" s="54"/>
      <c r="E1227" s="54"/>
      <c r="F1227" s="54"/>
      <c r="G1227" s="72"/>
      <c r="H1227" s="54"/>
      <c r="I1227" s="54"/>
      <c r="J1227" s="106">
        <f>VLOOKUP(A1227&amp;G1227,Lookup!J:N,5,0)</f>
        <v>0</v>
      </c>
      <c r="K1227" s="115"/>
      <c r="L1227" s="115"/>
      <c r="M1227" s="115"/>
      <c r="N1227" s="115"/>
      <c r="O1227" s="90">
        <f>IFERROR(VLOOKUP(A1227&amp;G1227,Lookup!J:K,2,0),"")</f>
        <v>0</v>
      </c>
      <c r="P1227" s="110" t="str">
        <f t="shared" si="85"/>
        <v/>
      </c>
      <c r="Q1227" s="115"/>
      <c r="R1227" s="87" t="str">
        <f t="shared" si="86"/>
        <v/>
      </c>
      <c r="S1227" s="87" t="str">
        <f t="shared" si="87"/>
        <v/>
      </c>
      <c r="T1227" s="54"/>
      <c r="U1227" s="54"/>
      <c r="V1227" s="54"/>
      <c r="W1227" s="54"/>
      <c r="X1227" s="69"/>
    </row>
    <row r="1228" spans="2:24" x14ac:dyDescent="0.25">
      <c r="B1228" s="91" t="str">
        <f>IFERROR(VLOOKUP(A1228,Lookup!A:B,2,0),"")</f>
        <v/>
      </c>
      <c r="C1228" s="59" t="str">
        <f>IFERROR(VLOOKUP(A1228,Lookup!A:C,3,0),"")</f>
        <v/>
      </c>
      <c r="D1228" s="54"/>
      <c r="E1228" s="54"/>
      <c r="F1228" s="54"/>
      <c r="G1228" s="72"/>
      <c r="H1228" s="54"/>
      <c r="I1228" s="54"/>
      <c r="J1228" s="106">
        <f>VLOOKUP(A1228&amp;G1228,Lookup!J:N,5,0)</f>
        <v>0</v>
      </c>
      <c r="K1228" s="115"/>
      <c r="L1228" s="115"/>
      <c r="M1228" s="115"/>
      <c r="N1228" s="115"/>
      <c r="O1228" s="90">
        <f>IFERROR(VLOOKUP(A1228&amp;G1228,Lookup!J:K,2,0),"")</f>
        <v>0</v>
      </c>
      <c r="P1228" s="110" t="str">
        <f t="shared" si="85"/>
        <v/>
      </c>
      <c r="Q1228" s="115"/>
      <c r="R1228" s="87" t="str">
        <f t="shared" si="86"/>
        <v/>
      </c>
      <c r="S1228" s="87" t="str">
        <f t="shared" si="87"/>
        <v/>
      </c>
      <c r="T1228" s="54"/>
      <c r="U1228" s="54"/>
      <c r="V1228" s="54"/>
      <c r="W1228" s="54"/>
      <c r="X1228" s="69"/>
    </row>
    <row r="1229" spans="2:24" x14ac:dyDescent="0.25">
      <c r="B1229" s="91" t="str">
        <f>IFERROR(VLOOKUP(A1229,Lookup!A:B,2,0),"")</f>
        <v/>
      </c>
      <c r="C1229" s="59" t="str">
        <f>IFERROR(VLOOKUP(A1229,Lookup!A:C,3,0),"")</f>
        <v/>
      </c>
      <c r="D1229" s="54"/>
      <c r="E1229" s="54"/>
      <c r="F1229" s="54"/>
      <c r="G1229" s="72"/>
      <c r="H1229" s="54"/>
      <c r="I1229" s="54"/>
      <c r="J1229" s="106">
        <f>VLOOKUP(A1229&amp;G1229,Lookup!J:N,5,0)</f>
        <v>0</v>
      </c>
      <c r="K1229" s="115"/>
      <c r="L1229" s="115"/>
      <c r="M1229" s="115"/>
      <c r="N1229" s="115"/>
      <c r="O1229" s="90">
        <f>IFERROR(VLOOKUP(A1229&amp;G1229,Lookup!J:K,2,0),"")</f>
        <v>0</v>
      </c>
      <c r="P1229" s="110" t="str">
        <f t="shared" si="85"/>
        <v/>
      </c>
      <c r="Q1229" s="115"/>
      <c r="R1229" s="87" t="str">
        <f t="shared" si="86"/>
        <v/>
      </c>
      <c r="S1229" s="87" t="str">
        <f t="shared" si="87"/>
        <v/>
      </c>
      <c r="T1229" s="54"/>
      <c r="U1229" s="54"/>
      <c r="V1229" s="54"/>
      <c r="W1229" s="54"/>
      <c r="X1229" s="69"/>
    </row>
    <row r="1230" spans="2:24" x14ac:dyDescent="0.25">
      <c r="B1230" s="91" t="str">
        <f>IFERROR(VLOOKUP(A1230,Lookup!A:B,2,0),"")</f>
        <v/>
      </c>
      <c r="C1230" s="59" t="str">
        <f>IFERROR(VLOOKUP(A1230,Lookup!A:C,3,0),"")</f>
        <v/>
      </c>
      <c r="D1230" s="54"/>
      <c r="E1230" s="54"/>
      <c r="F1230" s="54"/>
      <c r="G1230" s="72"/>
      <c r="H1230" s="54"/>
      <c r="I1230" s="54"/>
      <c r="J1230" s="106">
        <f>VLOOKUP(A1230&amp;G1230,Lookup!J:N,5,0)</f>
        <v>0</v>
      </c>
      <c r="K1230" s="115"/>
      <c r="L1230" s="115"/>
      <c r="M1230" s="115"/>
      <c r="N1230" s="115"/>
      <c r="O1230" s="90">
        <f>IFERROR(VLOOKUP(A1230&amp;G1230,Lookup!J:K,2,0),"")</f>
        <v>0</v>
      </c>
      <c r="P1230" s="110" t="str">
        <f t="shared" si="85"/>
        <v/>
      </c>
      <c r="Q1230" s="115"/>
      <c r="R1230" s="87" t="str">
        <f t="shared" si="86"/>
        <v/>
      </c>
      <c r="S1230" s="87" t="str">
        <f t="shared" si="87"/>
        <v/>
      </c>
      <c r="T1230" s="54"/>
      <c r="U1230" s="54"/>
      <c r="V1230" s="54"/>
      <c r="W1230" s="54"/>
      <c r="X1230" s="69"/>
    </row>
    <row r="1231" spans="2:24" x14ac:dyDescent="0.25">
      <c r="B1231" s="91" t="str">
        <f>IFERROR(VLOOKUP(A1231,Lookup!A:B,2,0),"")</f>
        <v/>
      </c>
      <c r="C1231" s="59" t="str">
        <f>IFERROR(VLOOKUP(A1231,Lookup!A:C,3,0),"")</f>
        <v/>
      </c>
      <c r="D1231" s="54"/>
      <c r="E1231" s="54"/>
      <c r="F1231" s="54"/>
      <c r="G1231" s="72"/>
      <c r="H1231" s="54"/>
      <c r="I1231" s="54"/>
      <c r="J1231" s="106">
        <f>VLOOKUP(A1231&amp;G1231,Lookup!J:N,5,0)</f>
        <v>0</v>
      </c>
      <c r="K1231" s="115"/>
      <c r="L1231" s="115"/>
      <c r="M1231" s="115"/>
      <c r="N1231" s="115"/>
      <c r="O1231" s="90">
        <f>IFERROR(VLOOKUP(A1231&amp;G1231,Lookup!J:K,2,0),"")</f>
        <v>0</v>
      </c>
      <c r="P1231" s="110" t="str">
        <f t="shared" si="85"/>
        <v/>
      </c>
      <c r="Q1231" s="115"/>
      <c r="R1231" s="87" t="str">
        <f t="shared" si="86"/>
        <v/>
      </c>
      <c r="S1231" s="87" t="str">
        <f t="shared" si="87"/>
        <v/>
      </c>
      <c r="T1231" s="54"/>
      <c r="U1231" s="54"/>
      <c r="V1231" s="54"/>
      <c r="W1231" s="54"/>
      <c r="X1231" s="69"/>
    </row>
    <row r="1232" spans="2:24" x14ac:dyDescent="0.25">
      <c r="B1232" s="91" t="str">
        <f>IFERROR(VLOOKUP(A1232,Lookup!A:B,2,0),"")</f>
        <v/>
      </c>
      <c r="C1232" s="59" t="str">
        <f>IFERROR(VLOOKUP(A1232,Lookup!A:C,3,0),"")</f>
        <v/>
      </c>
      <c r="D1232" s="54"/>
      <c r="E1232" s="54"/>
      <c r="F1232" s="54"/>
      <c r="G1232" s="72"/>
      <c r="H1232" s="54"/>
      <c r="I1232" s="54"/>
      <c r="J1232" s="106">
        <f>VLOOKUP(A1232&amp;G1232,Lookup!J:N,5,0)</f>
        <v>0</v>
      </c>
      <c r="K1232" s="115"/>
      <c r="L1232" s="115"/>
      <c r="M1232" s="115"/>
      <c r="N1232" s="115"/>
      <c r="O1232" s="90">
        <f>IFERROR(VLOOKUP(A1232&amp;G1232,Lookup!J:K,2,0),"")</f>
        <v>0</v>
      </c>
      <c r="P1232" s="110" t="str">
        <f t="shared" si="85"/>
        <v/>
      </c>
      <c r="Q1232" s="115"/>
      <c r="R1232" s="87" t="str">
        <f t="shared" si="86"/>
        <v/>
      </c>
      <c r="S1232" s="87" t="str">
        <f t="shared" si="87"/>
        <v/>
      </c>
      <c r="T1232" s="54"/>
      <c r="U1232" s="54"/>
      <c r="V1232" s="54"/>
      <c r="W1232" s="54"/>
      <c r="X1232" s="69"/>
    </row>
    <row r="1233" spans="2:24" x14ac:dyDescent="0.25">
      <c r="B1233" s="91" t="str">
        <f>IFERROR(VLOOKUP(A1233,Lookup!A:B,2,0),"")</f>
        <v/>
      </c>
      <c r="C1233" s="59" t="str">
        <f>IFERROR(VLOOKUP(A1233,Lookup!A:C,3,0),"")</f>
        <v/>
      </c>
      <c r="D1233" s="54"/>
      <c r="E1233" s="54"/>
      <c r="F1233" s="54"/>
      <c r="G1233" s="72"/>
      <c r="H1233" s="54"/>
      <c r="I1233" s="54"/>
      <c r="J1233" s="106">
        <f>VLOOKUP(A1233&amp;G1233,Lookup!J:N,5,0)</f>
        <v>0</v>
      </c>
      <c r="K1233" s="115"/>
      <c r="L1233" s="115"/>
      <c r="M1233" s="115"/>
      <c r="N1233" s="115"/>
      <c r="O1233" s="90">
        <f>IFERROR(VLOOKUP(A1233&amp;G1233,Lookup!J:K,2,0),"")</f>
        <v>0</v>
      </c>
      <c r="P1233" s="110" t="str">
        <f t="shared" si="85"/>
        <v/>
      </c>
      <c r="Q1233" s="115"/>
      <c r="R1233" s="87" t="str">
        <f t="shared" si="86"/>
        <v/>
      </c>
      <c r="S1233" s="87" t="str">
        <f t="shared" si="87"/>
        <v/>
      </c>
      <c r="T1233" s="54"/>
      <c r="U1233" s="54"/>
      <c r="V1233" s="54"/>
      <c r="W1233" s="54"/>
      <c r="X1233" s="69"/>
    </row>
    <row r="1234" spans="2:24" x14ac:dyDescent="0.25">
      <c r="B1234" s="91" t="str">
        <f>IFERROR(VLOOKUP(A1234,Lookup!A:B,2,0),"")</f>
        <v/>
      </c>
      <c r="C1234" s="59" t="str">
        <f>IFERROR(VLOOKUP(A1234,Lookup!A:C,3,0),"")</f>
        <v/>
      </c>
      <c r="D1234" s="54"/>
      <c r="E1234" s="54"/>
      <c r="F1234" s="54"/>
      <c r="G1234" s="72"/>
      <c r="H1234" s="54"/>
      <c r="I1234" s="54"/>
      <c r="J1234" s="106">
        <f>VLOOKUP(A1234&amp;G1234,Lookup!J:N,5,0)</f>
        <v>0</v>
      </c>
      <c r="K1234" s="115"/>
      <c r="L1234" s="115"/>
      <c r="M1234" s="115"/>
      <c r="N1234" s="115"/>
      <c r="O1234" s="90">
        <f>IFERROR(VLOOKUP(A1234&amp;G1234,Lookup!J:K,2,0),"")</f>
        <v>0</v>
      </c>
      <c r="P1234" s="110" t="str">
        <f t="shared" si="85"/>
        <v/>
      </c>
      <c r="Q1234" s="115"/>
      <c r="R1234" s="87" t="str">
        <f t="shared" si="86"/>
        <v/>
      </c>
      <c r="S1234" s="87" t="str">
        <f t="shared" si="87"/>
        <v/>
      </c>
      <c r="T1234" s="54"/>
      <c r="U1234" s="54"/>
      <c r="V1234" s="54"/>
      <c r="W1234" s="54"/>
      <c r="X1234" s="69"/>
    </row>
    <row r="1235" spans="2:24" x14ac:dyDescent="0.25">
      <c r="B1235" s="91" t="str">
        <f>IFERROR(VLOOKUP(A1235,Lookup!A:B,2,0),"")</f>
        <v/>
      </c>
      <c r="C1235" s="59" t="str">
        <f>IFERROR(VLOOKUP(A1235,Lookup!A:C,3,0),"")</f>
        <v/>
      </c>
      <c r="D1235" s="54"/>
      <c r="E1235" s="54"/>
      <c r="F1235" s="54"/>
      <c r="G1235" s="72"/>
      <c r="H1235" s="54"/>
      <c r="I1235" s="54"/>
      <c r="J1235" s="106">
        <f>VLOOKUP(A1235&amp;G1235,Lookup!J:N,5,0)</f>
        <v>0</v>
      </c>
      <c r="K1235" s="115"/>
      <c r="L1235" s="115"/>
      <c r="M1235" s="115"/>
      <c r="N1235" s="115"/>
      <c r="O1235" s="90">
        <f>IFERROR(VLOOKUP(A1235&amp;G1235,Lookup!J:K,2,0),"")</f>
        <v>0</v>
      </c>
      <c r="P1235" s="110" t="str">
        <f t="shared" si="85"/>
        <v/>
      </c>
      <c r="Q1235" s="115"/>
      <c r="R1235" s="87" t="str">
        <f t="shared" si="86"/>
        <v/>
      </c>
      <c r="S1235" s="87" t="str">
        <f t="shared" si="87"/>
        <v/>
      </c>
      <c r="T1235" s="54"/>
      <c r="U1235" s="54"/>
      <c r="V1235" s="54"/>
      <c r="W1235" s="54"/>
      <c r="X1235" s="69"/>
    </row>
    <row r="1236" spans="2:24" x14ac:dyDescent="0.25">
      <c r="B1236" s="91" t="str">
        <f>IFERROR(VLOOKUP(A1236,Lookup!A:B,2,0),"")</f>
        <v/>
      </c>
      <c r="C1236" s="59" t="str">
        <f>IFERROR(VLOOKUP(A1236,Lookup!A:C,3,0),"")</f>
        <v/>
      </c>
      <c r="D1236" s="54"/>
      <c r="E1236" s="54"/>
      <c r="F1236" s="54"/>
      <c r="G1236" s="72"/>
      <c r="H1236" s="54"/>
      <c r="I1236" s="54"/>
      <c r="J1236" s="106">
        <f>VLOOKUP(A1236&amp;G1236,Lookup!J:N,5,0)</f>
        <v>0</v>
      </c>
      <c r="K1236" s="115"/>
      <c r="L1236" s="115"/>
      <c r="M1236" s="115"/>
      <c r="N1236" s="115"/>
      <c r="O1236" s="90">
        <f>IFERROR(VLOOKUP(A1236&amp;G1236,Lookup!J:K,2,0),"")</f>
        <v>0</v>
      </c>
      <c r="P1236" s="110" t="str">
        <f t="shared" si="85"/>
        <v/>
      </c>
      <c r="Q1236" s="115"/>
      <c r="R1236" s="87" t="str">
        <f t="shared" si="86"/>
        <v/>
      </c>
      <c r="S1236" s="87" t="str">
        <f t="shared" si="87"/>
        <v/>
      </c>
      <c r="T1236" s="54"/>
      <c r="U1236" s="54"/>
      <c r="V1236" s="54"/>
      <c r="W1236" s="54"/>
      <c r="X1236" s="69"/>
    </row>
    <row r="1237" spans="2:24" x14ac:dyDescent="0.25">
      <c r="B1237" s="91" t="str">
        <f>IFERROR(VLOOKUP(A1237,Lookup!A:B,2,0),"")</f>
        <v/>
      </c>
      <c r="C1237" s="59" t="str">
        <f>IFERROR(VLOOKUP(A1237,Lookup!A:C,3,0),"")</f>
        <v/>
      </c>
      <c r="D1237" s="54"/>
      <c r="E1237" s="54"/>
      <c r="F1237" s="54"/>
      <c r="G1237" s="72"/>
      <c r="H1237" s="54"/>
      <c r="I1237" s="54"/>
      <c r="J1237" s="106">
        <f>VLOOKUP(A1237&amp;G1237,Lookup!J:N,5,0)</f>
        <v>0</v>
      </c>
      <c r="K1237" s="115"/>
      <c r="L1237" s="115"/>
      <c r="M1237" s="115"/>
      <c r="N1237" s="115"/>
      <c r="O1237" s="90">
        <f>IFERROR(VLOOKUP(A1237&amp;G1237,Lookup!J:K,2,0),"")</f>
        <v>0</v>
      </c>
      <c r="P1237" s="110" t="str">
        <f t="shared" si="85"/>
        <v/>
      </c>
      <c r="Q1237" s="115"/>
      <c r="R1237" s="87" t="str">
        <f t="shared" si="86"/>
        <v/>
      </c>
      <c r="S1237" s="87" t="str">
        <f t="shared" si="87"/>
        <v/>
      </c>
      <c r="T1237" s="54"/>
      <c r="U1237" s="54"/>
      <c r="V1237" s="54"/>
      <c r="W1237" s="54"/>
      <c r="X1237" s="69"/>
    </row>
    <row r="1238" spans="2:24" x14ac:dyDescent="0.25">
      <c r="B1238" s="91" t="str">
        <f>IFERROR(VLOOKUP(A1238,Lookup!A:B,2,0),"")</f>
        <v/>
      </c>
      <c r="C1238" s="59" t="str">
        <f>IFERROR(VLOOKUP(A1238,Lookup!A:C,3,0),"")</f>
        <v/>
      </c>
      <c r="D1238" s="54"/>
      <c r="E1238" s="54"/>
      <c r="F1238" s="54"/>
      <c r="G1238" s="72"/>
      <c r="H1238" s="54"/>
      <c r="I1238" s="54"/>
      <c r="J1238" s="106">
        <f>VLOOKUP(A1238&amp;G1238,Lookup!J:N,5,0)</f>
        <v>0</v>
      </c>
      <c r="K1238" s="115"/>
      <c r="L1238" s="115"/>
      <c r="M1238" s="115"/>
      <c r="N1238" s="115"/>
      <c r="O1238" s="90">
        <f>IFERROR(VLOOKUP(A1238&amp;G1238,Lookup!J:K,2,0),"")</f>
        <v>0</v>
      </c>
      <c r="P1238" s="110" t="str">
        <f t="shared" si="85"/>
        <v/>
      </c>
      <c r="Q1238" s="115"/>
      <c r="R1238" s="87" t="str">
        <f t="shared" si="86"/>
        <v/>
      </c>
      <c r="S1238" s="87" t="str">
        <f t="shared" si="87"/>
        <v/>
      </c>
      <c r="T1238" s="54"/>
      <c r="U1238" s="54"/>
      <c r="V1238" s="54"/>
      <c r="W1238" s="54"/>
      <c r="X1238" s="69"/>
    </row>
    <row r="1239" spans="2:24" x14ac:dyDescent="0.25">
      <c r="B1239" s="91" t="str">
        <f>IFERROR(VLOOKUP(A1239,Lookup!A:B,2,0),"")</f>
        <v/>
      </c>
      <c r="C1239" s="59" t="str">
        <f>IFERROR(VLOOKUP(A1239,Lookup!A:C,3,0),"")</f>
        <v/>
      </c>
      <c r="D1239" s="54"/>
      <c r="E1239" s="54"/>
      <c r="F1239" s="54"/>
      <c r="G1239" s="72"/>
      <c r="H1239" s="54"/>
      <c r="I1239" s="54"/>
      <c r="J1239" s="106">
        <f>VLOOKUP(A1239&amp;G1239,Lookup!J:N,5,0)</f>
        <v>0</v>
      </c>
      <c r="K1239" s="115"/>
      <c r="L1239" s="115"/>
      <c r="M1239" s="115"/>
      <c r="N1239" s="115"/>
      <c r="O1239" s="90">
        <f>IFERROR(VLOOKUP(A1239&amp;G1239,Lookup!J:K,2,0),"")</f>
        <v>0</v>
      </c>
      <c r="P1239" s="110" t="str">
        <f t="shared" si="85"/>
        <v/>
      </c>
      <c r="Q1239" s="115"/>
      <c r="R1239" s="87" t="str">
        <f t="shared" si="86"/>
        <v/>
      </c>
      <c r="S1239" s="87" t="str">
        <f t="shared" si="87"/>
        <v/>
      </c>
      <c r="T1239" s="54"/>
      <c r="U1239" s="54"/>
      <c r="V1239" s="54"/>
      <c r="W1239" s="54"/>
      <c r="X1239" s="69"/>
    </row>
    <row r="1240" spans="2:24" x14ac:dyDescent="0.25">
      <c r="B1240" s="91" t="str">
        <f>IFERROR(VLOOKUP(A1240,Lookup!A:B,2,0),"")</f>
        <v/>
      </c>
      <c r="C1240" s="59" t="str">
        <f>IFERROR(VLOOKUP(A1240,Lookup!A:C,3,0),"")</f>
        <v/>
      </c>
      <c r="D1240" s="54"/>
      <c r="E1240" s="54"/>
      <c r="F1240" s="54"/>
      <c r="G1240" s="72"/>
      <c r="H1240" s="54"/>
      <c r="I1240" s="54"/>
      <c r="J1240" s="106">
        <f>VLOOKUP(A1240&amp;G1240,Lookup!J:N,5,0)</f>
        <v>0</v>
      </c>
      <c r="K1240" s="115"/>
      <c r="L1240" s="115"/>
      <c r="M1240" s="115"/>
      <c r="N1240" s="115"/>
      <c r="O1240" s="90">
        <f>IFERROR(VLOOKUP(A1240&amp;G1240,Lookup!J:K,2,0),"")</f>
        <v>0</v>
      </c>
      <c r="P1240" s="110" t="str">
        <f t="shared" si="85"/>
        <v/>
      </c>
      <c r="Q1240" s="115"/>
      <c r="R1240" s="87" t="str">
        <f t="shared" si="86"/>
        <v/>
      </c>
      <c r="S1240" s="87" t="str">
        <f t="shared" si="87"/>
        <v/>
      </c>
      <c r="T1240" s="54"/>
      <c r="U1240" s="54"/>
      <c r="V1240" s="54"/>
      <c r="W1240" s="54"/>
      <c r="X1240" s="69"/>
    </row>
    <row r="1241" spans="2:24" x14ac:dyDescent="0.25">
      <c r="B1241" s="91" t="str">
        <f>IFERROR(VLOOKUP(A1241,Lookup!A:B,2,0),"")</f>
        <v/>
      </c>
      <c r="C1241" s="59" t="str">
        <f>IFERROR(VLOOKUP(A1241,Lookup!A:C,3,0),"")</f>
        <v/>
      </c>
      <c r="D1241" s="54"/>
      <c r="E1241" s="54"/>
      <c r="F1241" s="54"/>
      <c r="G1241" s="72"/>
      <c r="H1241" s="54"/>
      <c r="I1241" s="54"/>
      <c r="J1241" s="106">
        <f>VLOOKUP(A1241&amp;G1241,Lookup!J:N,5,0)</f>
        <v>0</v>
      </c>
      <c r="K1241" s="115"/>
      <c r="L1241" s="115"/>
      <c r="M1241" s="115"/>
      <c r="N1241" s="115"/>
      <c r="O1241" s="90">
        <f>IFERROR(VLOOKUP(A1241&amp;G1241,Lookup!J:K,2,0),"")</f>
        <v>0</v>
      </c>
      <c r="P1241" s="110" t="str">
        <f t="shared" si="85"/>
        <v/>
      </c>
      <c r="Q1241" s="115"/>
      <c r="R1241" s="87" t="str">
        <f t="shared" si="86"/>
        <v/>
      </c>
      <c r="S1241" s="87" t="str">
        <f t="shared" si="87"/>
        <v/>
      </c>
      <c r="T1241" s="54"/>
      <c r="U1241" s="54"/>
      <c r="V1241" s="54"/>
      <c r="W1241" s="54"/>
      <c r="X1241" s="69"/>
    </row>
    <row r="1242" spans="2:24" x14ac:dyDescent="0.25">
      <c r="B1242" s="91" t="str">
        <f>IFERROR(VLOOKUP(A1242,Lookup!A:B,2,0),"")</f>
        <v/>
      </c>
      <c r="C1242" s="59" t="str">
        <f>IFERROR(VLOOKUP(A1242,Lookup!A:C,3,0),"")</f>
        <v/>
      </c>
      <c r="D1242" s="54"/>
      <c r="E1242" s="54"/>
      <c r="F1242" s="54"/>
      <c r="G1242" s="72"/>
      <c r="H1242" s="54"/>
      <c r="I1242" s="54"/>
      <c r="J1242" s="106">
        <f>VLOOKUP(A1242&amp;G1242,Lookup!J:N,5,0)</f>
        <v>0</v>
      </c>
      <c r="K1242" s="115"/>
      <c r="L1242" s="115"/>
      <c r="M1242" s="115"/>
      <c r="N1242" s="115"/>
      <c r="O1242" s="90">
        <f>IFERROR(VLOOKUP(A1242&amp;G1242,Lookup!J:K,2,0),"")</f>
        <v>0</v>
      </c>
      <c r="P1242" s="110" t="str">
        <f t="shared" si="85"/>
        <v/>
      </c>
      <c r="Q1242" s="115"/>
      <c r="R1242" s="87" t="str">
        <f t="shared" si="86"/>
        <v/>
      </c>
      <c r="S1242" s="87" t="str">
        <f t="shared" si="87"/>
        <v/>
      </c>
      <c r="T1242" s="54"/>
      <c r="U1242" s="54"/>
      <c r="V1242" s="54"/>
      <c r="W1242" s="54"/>
      <c r="X1242" s="69"/>
    </row>
    <row r="1243" spans="2:24" x14ac:dyDescent="0.25">
      <c r="B1243" s="91" t="str">
        <f>IFERROR(VLOOKUP(A1243,Lookup!A:B,2,0),"")</f>
        <v/>
      </c>
      <c r="C1243" s="59" t="str">
        <f>IFERROR(VLOOKUP(A1243,Lookup!A:C,3,0),"")</f>
        <v/>
      </c>
      <c r="D1243" s="54"/>
      <c r="E1243" s="54"/>
      <c r="F1243" s="54"/>
      <c r="G1243" s="72"/>
      <c r="H1243" s="54"/>
      <c r="I1243" s="54"/>
      <c r="J1243" s="106">
        <f>VLOOKUP(A1243&amp;G1243,Lookup!J:N,5,0)</f>
        <v>0</v>
      </c>
      <c r="K1243" s="115"/>
      <c r="L1243" s="115"/>
      <c r="M1243" s="115"/>
      <c r="N1243" s="115"/>
      <c r="O1243" s="90">
        <f>IFERROR(VLOOKUP(A1243&amp;G1243,Lookup!J:K,2,0),"")</f>
        <v>0</v>
      </c>
      <c r="P1243" s="110" t="str">
        <f t="shared" si="85"/>
        <v/>
      </c>
      <c r="Q1243" s="115"/>
      <c r="R1243" s="87" t="str">
        <f t="shared" si="86"/>
        <v/>
      </c>
      <c r="S1243" s="87" t="str">
        <f t="shared" si="87"/>
        <v/>
      </c>
      <c r="T1243" s="54"/>
      <c r="U1243" s="54"/>
      <c r="V1243" s="54"/>
      <c r="W1243" s="54"/>
      <c r="X1243" s="69"/>
    </row>
    <row r="1244" spans="2:24" x14ac:dyDescent="0.25">
      <c r="B1244" s="91" t="str">
        <f>IFERROR(VLOOKUP(A1244,Lookup!A:B,2,0),"")</f>
        <v/>
      </c>
      <c r="C1244" s="59" t="str">
        <f>IFERROR(VLOOKUP(A1244,Lookup!A:C,3,0),"")</f>
        <v/>
      </c>
      <c r="D1244" s="54"/>
      <c r="E1244" s="54"/>
      <c r="F1244" s="54"/>
      <c r="G1244" s="72"/>
      <c r="H1244" s="54"/>
      <c r="I1244" s="54"/>
      <c r="J1244" s="106">
        <f>VLOOKUP(A1244&amp;G1244,Lookup!J:N,5,0)</f>
        <v>0</v>
      </c>
      <c r="K1244" s="115"/>
      <c r="L1244" s="115"/>
      <c r="M1244" s="115"/>
      <c r="N1244" s="115"/>
      <c r="O1244" s="90">
        <f>IFERROR(VLOOKUP(A1244&amp;G1244,Lookup!J:K,2,0),"")</f>
        <v>0</v>
      </c>
      <c r="P1244" s="110" t="str">
        <f t="shared" si="85"/>
        <v/>
      </c>
      <c r="Q1244" s="115"/>
      <c r="R1244" s="87" t="str">
        <f t="shared" si="86"/>
        <v/>
      </c>
      <c r="S1244" s="87" t="str">
        <f t="shared" si="87"/>
        <v/>
      </c>
      <c r="T1244" s="54"/>
      <c r="U1244" s="54"/>
      <c r="V1244" s="54"/>
      <c r="W1244" s="54"/>
      <c r="X1244" s="69"/>
    </row>
    <row r="1245" spans="2:24" x14ac:dyDescent="0.25">
      <c r="B1245" s="91" t="str">
        <f>IFERROR(VLOOKUP(A1245,Lookup!A:B,2,0),"")</f>
        <v/>
      </c>
      <c r="C1245" s="59" t="str">
        <f>IFERROR(VLOOKUP(A1245,Lookup!A:C,3,0),"")</f>
        <v/>
      </c>
      <c r="D1245" s="54"/>
      <c r="E1245" s="54"/>
      <c r="F1245" s="54"/>
      <c r="G1245" s="72"/>
      <c r="H1245" s="54"/>
      <c r="I1245" s="54"/>
      <c r="J1245" s="106">
        <f>VLOOKUP(A1245&amp;G1245,Lookup!J:N,5,0)</f>
        <v>0</v>
      </c>
      <c r="K1245" s="115"/>
      <c r="L1245" s="115"/>
      <c r="M1245" s="115"/>
      <c r="N1245" s="115"/>
      <c r="O1245" s="90">
        <f>IFERROR(VLOOKUP(A1245&amp;G1245,Lookup!J:K,2,0),"")</f>
        <v>0</v>
      </c>
      <c r="P1245" s="110" t="str">
        <f t="shared" si="85"/>
        <v/>
      </c>
      <c r="Q1245" s="115"/>
      <c r="R1245" s="87" t="str">
        <f t="shared" si="86"/>
        <v/>
      </c>
      <c r="S1245" s="87" t="str">
        <f t="shared" si="87"/>
        <v/>
      </c>
      <c r="T1245" s="54"/>
      <c r="U1245" s="54"/>
      <c r="V1245" s="54"/>
      <c r="W1245" s="54"/>
      <c r="X1245" s="69"/>
    </row>
    <row r="1246" spans="2:24" x14ac:dyDescent="0.25">
      <c r="B1246" s="91" t="str">
        <f>IFERROR(VLOOKUP(A1246,Lookup!A:B,2,0),"")</f>
        <v/>
      </c>
      <c r="C1246" s="59" t="str">
        <f>IFERROR(VLOOKUP(A1246,Lookup!A:C,3,0),"")</f>
        <v/>
      </c>
      <c r="D1246" s="54"/>
      <c r="E1246" s="54"/>
      <c r="F1246" s="54"/>
      <c r="G1246" s="72"/>
      <c r="H1246" s="54"/>
      <c r="I1246" s="54"/>
      <c r="J1246" s="106">
        <f>VLOOKUP(A1246&amp;G1246,Lookup!J:N,5,0)</f>
        <v>0</v>
      </c>
      <c r="K1246" s="115"/>
      <c r="L1246" s="115"/>
      <c r="M1246" s="115"/>
      <c r="N1246" s="115"/>
      <c r="O1246" s="90">
        <f>IFERROR(VLOOKUP(A1246&amp;G1246,Lookup!J:K,2,0),"")</f>
        <v>0</v>
      </c>
      <c r="P1246" s="110" t="str">
        <f t="shared" si="85"/>
        <v/>
      </c>
      <c r="Q1246" s="115"/>
      <c r="R1246" s="87" t="str">
        <f t="shared" si="86"/>
        <v/>
      </c>
      <c r="S1246" s="87" t="str">
        <f t="shared" si="87"/>
        <v/>
      </c>
      <c r="T1246" s="54"/>
      <c r="U1246" s="54"/>
      <c r="V1246" s="54"/>
      <c r="W1246" s="54"/>
      <c r="X1246" s="69"/>
    </row>
    <row r="1247" spans="2:24" x14ac:dyDescent="0.25">
      <c r="B1247" s="91" t="str">
        <f>IFERROR(VLOOKUP(A1247,Lookup!A:B,2,0),"")</f>
        <v/>
      </c>
      <c r="C1247" s="59" t="str">
        <f>IFERROR(VLOOKUP(A1247,Lookup!A:C,3,0),"")</f>
        <v/>
      </c>
      <c r="D1247" s="54"/>
      <c r="E1247" s="54"/>
      <c r="F1247" s="54"/>
      <c r="G1247" s="72"/>
      <c r="H1247" s="54"/>
      <c r="I1247" s="54"/>
      <c r="J1247" s="106">
        <f>VLOOKUP(A1247&amp;G1247,Lookup!J:N,5,0)</f>
        <v>0</v>
      </c>
      <c r="K1247" s="115"/>
      <c r="L1247" s="115"/>
      <c r="M1247" s="115"/>
      <c r="N1247" s="115"/>
      <c r="O1247" s="90">
        <f>IFERROR(VLOOKUP(A1247&amp;G1247,Lookup!J:K,2,0),"")</f>
        <v>0</v>
      </c>
      <c r="P1247" s="110" t="str">
        <f t="shared" si="85"/>
        <v/>
      </c>
      <c r="Q1247" s="115"/>
      <c r="R1247" s="87" t="str">
        <f t="shared" si="86"/>
        <v/>
      </c>
      <c r="S1247" s="87" t="str">
        <f t="shared" si="87"/>
        <v/>
      </c>
      <c r="T1247" s="54"/>
      <c r="U1247" s="54"/>
      <c r="V1247" s="54"/>
      <c r="W1247" s="54"/>
      <c r="X1247" s="69"/>
    </row>
    <row r="1248" spans="2:24" x14ac:dyDescent="0.25">
      <c r="B1248" s="91" t="str">
        <f>IFERROR(VLOOKUP(A1248,Lookup!A:B,2,0),"")</f>
        <v/>
      </c>
      <c r="C1248" s="59" t="str">
        <f>IFERROR(VLOOKUP(A1248,Lookup!A:C,3,0),"")</f>
        <v/>
      </c>
      <c r="D1248" s="54"/>
      <c r="E1248" s="54"/>
      <c r="F1248" s="54"/>
      <c r="G1248" s="72"/>
      <c r="H1248" s="54"/>
      <c r="I1248" s="54"/>
      <c r="J1248" s="106">
        <f>VLOOKUP(A1248&amp;G1248,Lookup!J:N,5,0)</f>
        <v>0</v>
      </c>
      <c r="K1248" s="115"/>
      <c r="L1248" s="115"/>
      <c r="M1248" s="115"/>
      <c r="N1248" s="115"/>
      <c r="O1248" s="90">
        <f>IFERROR(VLOOKUP(A1248&amp;G1248,Lookup!J:K,2,0),"")</f>
        <v>0</v>
      </c>
      <c r="P1248" s="110" t="str">
        <f t="shared" si="85"/>
        <v/>
      </c>
      <c r="Q1248" s="115"/>
      <c r="R1248" s="87" t="str">
        <f t="shared" si="86"/>
        <v/>
      </c>
      <c r="S1248" s="87" t="str">
        <f t="shared" si="87"/>
        <v/>
      </c>
      <c r="T1248" s="54"/>
      <c r="U1248" s="54"/>
      <c r="V1248" s="54"/>
      <c r="W1248" s="54"/>
      <c r="X1248" s="69"/>
    </row>
    <row r="1249" spans="2:24" x14ac:dyDescent="0.25">
      <c r="B1249" s="91" t="str">
        <f>IFERROR(VLOOKUP(A1249,Lookup!A:B,2,0),"")</f>
        <v/>
      </c>
      <c r="C1249" s="59" t="str">
        <f>IFERROR(VLOOKUP(A1249,Lookup!A:C,3,0),"")</f>
        <v/>
      </c>
      <c r="D1249" s="54"/>
      <c r="E1249" s="54"/>
      <c r="F1249" s="54"/>
      <c r="G1249" s="72"/>
      <c r="H1249" s="54"/>
      <c r="I1249" s="54"/>
      <c r="J1249" s="106">
        <f>VLOOKUP(A1249&amp;G1249,Lookup!J:N,5,0)</f>
        <v>0</v>
      </c>
      <c r="K1249" s="115"/>
      <c r="L1249" s="115"/>
      <c r="M1249" s="115"/>
      <c r="N1249" s="115"/>
      <c r="O1249" s="90">
        <f>IFERROR(VLOOKUP(A1249&amp;G1249,Lookup!J:K,2,0),"")</f>
        <v>0</v>
      </c>
      <c r="P1249" s="110" t="str">
        <f t="shared" si="85"/>
        <v/>
      </c>
      <c r="Q1249" s="115"/>
      <c r="R1249" s="87" t="str">
        <f t="shared" si="86"/>
        <v/>
      </c>
      <c r="S1249" s="87" t="str">
        <f t="shared" si="87"/>
        <v/>
      </c>
      <c r="T1249" s="54"/>
      <c r="U1249" s="54"/>
      <c r="V1249" s="54"/>
      <c r="W1249" s="54"/>
      <c r="X1249" s="69"/>
    </row>
    <row r="1250" spans="2:24" x14ac:dyDescent="0.25">
      <c r="B1250" s="91" t="str">
        <f>IFERROR(VLOOKUP(A1250,Lookup!A:B,2,0),"")</f>
        <v/>
      </c>
      <c r="C1250" s="59" t="str">
        <f>IFERROR(VLOOKUP(A1250,Lookup!A:C,3,0),"")</f>
        <v/>
      </c>
      <c r="D1250" s="54"/>
      <c r="E1250" s="54"/>
      <c r="F1250" s="54"/>
      <c r="G1250" s="72"/>
      <c r="H1250" s="54"/>
      <c r="I1250" s="54"/>
      <c r="J1250" s="106">
        <f>VLOOKUP(A1250&amp;G1250,Lookup!J:N,5,0)</f>
        <v>0</v>
      </c>
      <c r="K1250" s="115"/>
      <c r="L1250" s="115"/>
      <c r="M1250" s="115"/>
      <c r="N1250" s="115"/>
      <c r="O1250" s="90">
        <f>IFERROR(VLOOKUP(A1250&amp;G1250,Lookup!J:K,2,0),"")</f>
        <v>0</v>
      </c>
      <c r="P1250" s="110" t="str">
        <f t="shared" si="85"/>
        <v/>
      </c>
      <c r="Q1250" s="115"/>
      <c r="R1250" s="87" t="str">
        <f t="shared" si="86"/>
        <v/>
      </c>
      <c r="S1250" s="87" t="str">
        <f t="shared" si="87"/>
        <v/>
      </c>
      <c r="T1250" s="54"/>
      <c r="U1250" s="54"/>
      <c r="V1250" s="54"/>
      <c r="W1250" s="54"/>
      <c r="X1250" s="69"/>
    </row>
    <row r="1251" spans="2:24" x14ac:dyDescent="0.25">
      <c r="B1251" s="91" t="str">
        <f>IFERROR(VLOOKUP(A1251,Lookup!A:B,2,0),"")</f>
        <v/>
      </c>
      <c r="C1251" s="59" t="str">
        <f>IFERROR(VLOOKUP(A1251,Lookup!A:C,3,0),"")</f>
        <v/>
      </c>
      <c r="D1251" s="54"/>
      <c r="E1251" s="54"/>
      <c r="F1251" s="54"/>
      <c r="G1251" s="72"/>
      <c r="H1251" s="54"/>
      <c r="I1251" s="54"/>
      <c r="J1251" s="106">
        <f>VLOOKUP(A1251&amp;G1251,Lookup!J:N,5,0)</f>
        <v>0</v>
      </c>
      <c r="K1251" s="115"/>
      <c r="L1251" s="115"/>
      <c r="M1251" s="115"/>
      <c r="N1251" s="115"/>
      <c r="O1251" s="90">
        <f>IFERROR(VLOOKUP(A1251&amp;G1251,Lookup!J:K,2,0),"")</f>
        <v>0</v>
      </c>
      <c r="P1251" s="110" t="str">
        <f t="shared" si="85"/>
        <v/>
      </c>
      <c r="Q1251" s="115"/>
      <c r="R1251" s="87" t="str">
        <f t="shared" si="86"/>
        <v/>
      </c>
      <c r="S1251" s="87" t="str">
        <f t="shared" si="87"/>
        <v/>
      </c>
      <c r="T1251" s="54"/>
      <c r="U1251" s="54"/>
      <c r="V1251" s="54"/>
      <c r="W1251" s="54"/>
      <c r="X1251" s="69"/>
    </row>
    <row r="1252" spans="2:24" x14ac:dyDescent="0.25">
      <c r="B1252" s="91" t="str">
        <f>IFERROR(VLOOKUP(A1252,Lookup!A:B,2,0),"")</f>
        <v/>
      </c>
      <c r="C1252" s="59" t="str">
        <f>IFERROR(VLOOKUP(A1252,Lookup!A:C,3,0),"")</f>
        <v/>
      </c>
      <c r="D1252" s="54"/>
      <c r="E1252" s="54"/>
      <c r="F1252" s="54"/>
      <c r="G1252" s="72"/>
      <c r="H1252" s="54"/>
      <c r="I1252" s="54"/>
      <c r="J1252" s="106">
        <f>VLOOKUP(A1252&amp;G1252,Lookup!J:N,5,0)</f>
        <v>0</v>
      </c>
      <c r="K1252" s="115"/>
      <c r="L1252" s="115"/>
      <c r="M1252" s="115"/>
      <c r="N1252" s="115"/>
      <c r="O1252" s="90">
        <f>IFERROR(VLOOKUP(A1252&amp;G1252,Lookup!J:K,2,0),"")</f>
        <v>0</v>
      </c>
      <c r="P1252" s="110" t="str">
        <f t="shared" si="85"/>
        <v/>
      </c>
      <c r="Q1252" s="115"/>
      <c r="R1252" s="87" t="str">
        <f t="shared" si="86"/>
        <v/>
      </c>
      <c r="S1252" s="87" t="str">
        <f t="shared" si="87"/>
        <v/>
      </c>
      <c r="T1252" s="54"/>
      <c r="U1252" s="54"/>
      <c r="V1252" s="54"/>
      <c r="W1252" s="54"/>
      <c r="X1252" s="69"/>
    </row>
    <row r="1253" spans="2:24" x14ac:dyDescent="0.25">
      <c r="B1253" s="91" t="str">
        <f>IFERROR(VLOOKUP(A1253,Lookup!A:B,2,0),"")</f>
        <v/>
      </c>
      <c r="C1253" s="59" t="str">
        <f>IFERROR(VLOOKUP(A1253,Lookup!A:C,3,0),"")</f>
        <v/>
      </c>
      <c r="D1253" s="54"/>
      <c r="E1253" s="54"/>
      <c r="F1253" s="54"/>
      <c r="G1253" s="72"/>
      <c r="H1253" s="54"/>
      <c r="I1253" s="54"/>
      <c r="J1253" s="106">
        <f>VLOOKUP(A1253&amp;G1253,Lookup!J:N,5,0)</f>
        <v>0</v>
      </c>
      <c r="K1253" s="115"/>
      <c r="L1253" s="115"/>
      <c r="M1253" s="115"/>
      <c r="N1253" s="115"/>
      <c r="O1253" s="90">
        <f>IFERROR(VLOOKUP(A1253&amp;G1253,Lookup!J:K,2,0),"")</f>
        <v>0</v>
      </c>
      <c r="P1253" s="110" t="str">
        <f t="shared" si="85"/>
        <v/>
      </c>
      <c r="Q1253" s="115"/>
      <c r="R1253" s="87" t="str">
        <f t="shared" si="86"/>
        <v/>
      </c>
      <c r="S1253" s="87" t="str">
        <f t="shared" si="87"/>
        <v/>
      </c>
      <c r="T1253" s="54"/>
      <c r="U1253" s="54"/>
      <c r="V1253" s="54"/>
      <c r="W1253" s="54"/>
      <c r="X1253" s="69"/>
    </row>
    <row r="1254" spans="2:24" x14ac:dyDescent="0.25">
      <c r="B1254" s="91" t="str">
        <f>IFERROR(VLOOKUP(A1254,Lookup!A:B,2,0),"")</f>
        <v/>
      </c>
      <c r="C1254" s="59" t="str">
        <f>IFERROR(VLOOKUP(A1254,Lookup!A:C,3,0),"")</f>
        <v/>
      </c>
      <c r="D1254" s="54"/>
      <c r="E1254" s="54"/>
      <c r="F1254" s="54"/>
      <c r="G1254" s="72"/>
      <c r="H1254" s="54"/>
      <c r="I1254" s="54"/>
      <c r="J1254" s="106">
        <f>VLOOKUP(A1254&amp;G1254,Lookup!J:N,5,0)</f>
        <v>0</v>
      </c>
      <c r="K1254" s="115"/>
      <c r="L1254" s="115"/>
      <c r="M1254" s="115"/>
      <c r="N1254" s="115"/>
      <c r="O1254" s="90">
        <f>IFERROR(VLOOKUP(A1254&amp;G1254,Lookup!J:K,2,0),"")</f>
        <v>0</v>
      </c>
      <c r="P1254" s="110" t="str">
        <f t="shared" si="85"/>
        <v/>
      </c>
      <c r="Q1254" s="115"/>
      <c r="R1254" s="87" t="str">
        <f t="shared" si="86"/>
        <v/>
      </c>
      <c r="S1254" s="87" t="str">
        <f t="shared" si="87"/>
        <v/>
      </c>
      <c r="T1254" s="54"/>
      <c r="U1254" s="54"/>
      <c r="V1254" s="54"/>
      <c r="W1254" s="54"/>
      <c r="X1254" s="69"/>
    </row>
    <row r="1255" spans="2:24" x14ac:dyDescent="0.25">
      <c r="B1255" s="91" t="str">
        <f>IFERROR(VLOOKUP(A1255,Lookup!A:B,2,0),"")</f>
        <v/>
      </c>
      <c r="C1255" s="59" t="str">
        <f>IFERROR(VLOOKUP(A1255,Lookup!A:C,3,0),"")</f>
        <v/>
      </c>
      <c r="D1255" s="54"/>
      <c r="E1255" s="54"/>
      <c r="F1255" s="54"/>
      <c r="G1255" s="72"/>
      <c r="H1255" s="54"/>
      <c r="I1255" s="54"/>
      <c r="J1255" s="106">
        <f>VLOOKUP(A1255&amp;G1255,Lookup!J:N,5,0)</f>
        <v>0</v>
      </c>
      <c r="K1255" s="115"/>
      <c r="L1255" s="115"/>
      <c r="M1255" s="115"/>
      <c r="N1255" s="115"/>
      <c r="O1255" s="90">
        <f>IFERROR(VLOOKUP(A1255&amp;G1255,Lookup!J:K,2,0),"")</f>
        <v>0</v>
      </c>
      <c r="P1255" s="110" t="str">
        <f t="shared" si="85"/>
        <v/>
      </c>
      <c r="Q1255" s="115"/>
      <c r="R1255" s="87" t="str">
        <f t="shared" si="86"/>
        <v/>
      </c>
      <c r="S1255" s="87" t="str">
        <f t="shared" si="87"/>
        <v/>
      </c>
      <c r="T1255" s="54"/>
      <c r="U1255" s="54"/>
      <c r="V1255" s="54"/>
      <c r="W1255" s="54"/>
      <c r="X1255" s="69"/>
    </row>
    <row r="1256" spans="2:24" x14ac:dyDescent="0.25">
      <c r="B1256" s="91" t="str">
        <f>IFERROR(VLOOKUP(A1256,Lookup!A:B,2,0),"")</f>
        <v/>
      </c>
      <c r="C1256" s="59" t="str">
        <f>IFERROR(VLOOKUP(A1256,Lookup!A:C,3,0),"")</f>
        <v/>
      </c>
      <c r="D1256" s="54"/>
      <c r="E1256" s="54"/>
      <c r="F1256" s="54"/>
      <c r="G1256" s="72"/>
      <c r="H1256" s="54"/>
      <c r="I1256" s="54"/>
      <c r="J1256" s="106">
        <f>VLOOKUP(A1256&amp;G1256,Lookup!J:N,5,0)</f>
        <v>0</v>
      </c>
      <c r="K1256" s="115"/>
      <c r="L1256" s="115"/>
      <c r="M1256" s="115"/>
      <c r="N1256" s="115"/>
      <c r="O1256" s="90">
        <f>IFERROR(VLOOKUP(A1256&amp;G1256,Lookup!J:K,2,0),"")</f>
        <v>0</v>
      </c>
      <c r="P1256" s="110" t="str">
        <f t="shared" si="85"/>
        <v/>
      </c>
      <c r="Q1256" s="115"/>
      <c r="R1256" s="87" t="str">
        <f t="shared" si="86"/>
        <v/>
      </c>
      <c r="S1256" s="87" t="str">
        <f t="shared" si="87"/>
        <v/>
      </c>
      <c r="T1256" s="54"/>
      <c r="U1256" s="54"/>
      <c r="V1256" s="54"/>
      <c r="W1256" s="54"/>
      <c r="X1256" s="69"/>
    </row>
    <row r="1257" spans="2:24" x14ac:dyDescent="0.25">
      <c r="B1257" s="91" t="str">
        <f>IFERROR(VLOOKUP(A1257,Lookup!A:B,2,0),"")</f>
        <v/>
      </c>
      <c r="C1257" s="59" t="str">
        <f>IFERROR(VLOOKUP(A1257,Lookup!A:C,3,0),"")</f>
        <v/>
      </c>
      <c r="D1257" s="54"/>
      <c r="E1257" s="54"/>
      <c r="F1257" s="54"/>
      <c r="G1257" s="72"/>
      <c r="H1257" s="54"/>
      <c r="I1257" s="54"/>
      <c r="J1257" s="106">
        <f>VLOOKUP(A1257&amp;G1257,Lookup!J:N,5,0)</f>
        <v>0</v>
      </c>
      <c r="K1257" s="115"/>
      <c r="L1257" s="115"/>
      <c r="M1257" s="115"/>
      <c r="N1257" s="115"/>
      <c r="O1257" s="90">
        <f>IFERROR(VLOOKUP(A1257&amp;G1257,Lookup!J:K,2,0),"")</f>
        <v>0</v>
      </c>
      <c r="P1257" s="110" t="str">
        <f t="shared" si="85"/>
        <v/>
      </c>
      <c r="Q1257" s="115"/>
      <c r="R1257" s="87" t="str">
        <f t="shared" si="86"/>
        <v/>
      </c>
      <c r="S1257" s="87" t="str">
        <f t="shared" si="87"/>
        <v/>
      </c>
      <c r="T1257" s="54"/>
      <c r="U1257" s="54"/>
      <c r="V1257" s="54"/>
      <c r="W1257" s="54"/>
      <c r="X1257" s="69"/>
    </row>
    <row r="1258" spans="2:24" x14ac:dyDescent="0.25">
      <c r="B1258" s="91" t="str">
        <f>IFERROR(VLOOKUP(A1258,Lookup!A:B,2,0),"")</f>
        <v/>
      </c>
      <c r="C1258" s="59" t="str">
        <f>IFERROR(VLOOKUP(A1258,Lookup!A:C,3,0),"")</f>
        <v/>
      </c>
      <c r="D1258" s="54"/>
      <c r="E1258" s="54"/>
      <c r="F1258" s="54"/>
      <c r="G1258" s="72"/>
      <c r="H1258" s="54"/>
      <c r="I1258" s="54"/>
      <c r="J1258" s="106">
        <f>VLOOKUP(A1258&amp;G1258,Lookup!J:N,5,0)</f>
        <v>0</v>
      </c>
      <c r="K1258" s="115"/>
      <c r="L1258" s="115"/>
      <c r="M1258" s="115"/>
      <c r="N1258" s="115"/>
      <c r="O1258" s="90">
        <f>IFERROR(VLOOKUP(A1258&amp;G1258,Lookup!J:K,2,0),"")</f>
        <v>0</v>
      </c>
      <c r="P1258" s="110" t="str">
        <f t="shared" si="85"/>
        <v/>
      </c>
      <c r="Q1258" s="115"/>
      <c r="R1258" s="87" t="str">
        <f t="shared" si="86"/>
        <v/>
      </c>
      <c r="S1258" s="87" t="str">
        <f t="shared" si="87"/>
        <v/>
      </c>
      <c r="T1258" s="54"/>
      <c r="U1258" s="54"/>
      <c r="V1258" s="54"/>
      <c r="W1258" s="54"/>
      <c r="X1258" s="69"/>
    </row>
    <row r="1259" spans="2:24" x14ac:dyDescent="0.25">
      <c r="B1259" s="91" t="str">
        <f>IFERROR(VLOOKUP(A1259,Lookup!A:B,2,0),"")</f>
        <v/>
      </c>
      <c r="C1259" s="59" t="str">
        <f>IFERROR(VLOOKUP(A1259,Lookup!A:C,3,0),"")</f>
        <v/>
      </c>
      <c r="D1259" s="54"/>
      <c r="E1259" s="54"/>
      <c r="F1259" s="54"/>
      <c r="G1259" s="72"/>
      <c r="H1259" s="54"/>
      <c r="I1259" s="54"/>
      <c r="J1259" s="106">
        <f>VLOOKUP(A1259&amp;G1259,Lookup!J:N,5,0)</f>
        <v>0</v>
      </c>
      <c r="K1259" s="115"/>
      <c r="L1259" s="115"/>
      <c r="M1259" s="115"/>
      <c r="N1259" s="115"/>
      <c r="O1259" s="90">
        <f>IFERROR(VLOOKUP(A1259&amp;G1259,Lookup!J:K,2,0),"")</f>
        <v>0</v>
      </c>
      <c r="P1259" s="110" t="str">
        <f t="shared" si="85"/>
        <v/>
      </c>
      <c r="Q1259" s="115"/>
      <c r="R1259" s="87" t="str">
        <f t="shared" si="86"/>
        <v/>
      </c>
      <c r="S1259" s="87" t="str">
        <f t="shared" si="87"/>
        <v/>
      </c>
      <c r="T1259" s="54"/>
      <c r="U1259" s="54"/>
      <c r="V1259" s="54"/>
      <c r="W1259" s="54"/>
      <c r="X1259" s="69"/>
    </row>
    <row r="1260" spans="2:24" x14ac:dyDescent="0.25">
      <c r="B1260" s="91" t="str">
        <f>IFERROR(VLOOKUP(A1260,Lookup!A:B,2,0),"")</f>
        <v/>
      </c>
      <c r="C1260" s="59" t="str">
        <f>IFERROR(VLOOKUP(A1260,Lookup!A:C,3,0),"")</f>
        <v/>
      </c>
      <c r="D1260" s="54"/>
      <c r="E1260" s="54"/>
      <c r="F1260" s="54"/>
      <c r="G1260" s="72"/>
      <c r="H1260" s="54"/>
      <c r="I1260" s="54"/>
      <c r="J1260" s="106">
        <f>VLOOKUP(A1260&amp;G1260,Lookup!J:N,5,0)</f>
        <v>0</v>
      </c>
      <c r="K1260" s="115"/>
      <c r="L1260" s="115"/>
      <c r="M1260" s="115"/>
      <c r="N1260" s="115"/>
      <c r="O1260" s="90">
        <f>IFERROR(VLOOKUP(A1260&amp;G1260,Lookup!J:K,2,0),"")</f>
        <v>0</v>
      </c>
      <c r="P1260" s="110" t="str">
        <f t="shared" si="85"/>
        <v/>
      </c>
      <c r="Q1260" s="115"/>
      <c r="R1260" s="87" t="str">
        <f t="shared" si="86"/>
        <v/>
      </c>
      <c r="S1260" s="87" t="str">
        <f t="shared" si="87"/>
        <v/>
      </c>
      <c r="T1260" s="54"/>
      <c r="U1260" s="54"/>
      <c r="V1260" s="54"/>
      <c r="W1260" s="54"/>
      <c r="X1260" s="69"/>
    </row>
    <row r="1261" spans="2:24" x14ac:dyDescent="0.25">
      <c r="B1261" s="91" t="str">
        <f>IFERROR(VLOOKUP(A1261,Lookup!A:B,2,0),"")</f>
        <v/>
      </c>
      <c r="C1261" s="59" t="str">
        <f>IFERROR(VLOOKUP(A1261,Lookup!A:C,3,0),"")</f>
        <v/>
      </c>
      <c r="D1261" s="54"/>
      <c r="E1261" s="54"/>
      <c r="F1261" s="54"/>
      <c r="G1261" s="72"/>
      <c r="H1261" s="54"/>
      <c r="I1261" s="54"/>
      <c r="J1261" s="106">
        <f>VLOOKUP(A1261&amp;G1261,Lookup!J:N,5,0)</f>
        <v>0</v>
      </c>
      <c r="K1261" s="115"/>
      <c r="L1261" s="115"/>
      <c r="M1261" s="115"/>
      <c r="N1261" s="115"/>
      <c r="O1261" s="90">
        <f>IFERROR(VLOOKUP(A1261&amp;G1261,Lookup!J:K,2,0),"")</f>
        <v>0</v>
      </c>
      <c r="P1261" s="110" t="str">
        <f t="shared" si="85"/>
        <v/>
      </c>
      <c r="Q1261" s="115"/>
      <c r="R1261" s="87" t="str">
        <f t="shared" si="86"/>
        <v/>
      </c>
      <c r="S1261" s="87" t="str">
        <f t="shared" si="87"/>
        <v/>
      </c>
      <c r="T1261" s="54"/>
      <c r="U1261" s="54"/>
      <c r="V1261" s="54"/>
      <c r="W1261" s="54"/>
      <c r="X1261" s="69"/>
    </row>
    <row r="1262" spans="2:24" x14ac:dyDescent="0.25">
      <c r="B1262" s="91" t="str">
        <f>IFERROR(VLOOKUP(A1262,Lookup!A:B,2,0),"")</f>
        <v/>
      </c>
      <c r="C1262" s="59" t="str">
        <f>IFERROR(VLOOKUP(A1262,Lookup!A:C,3,0),"")</f>
        <v/>
      </c>
      <c r="D1262" s="54"/>
      <c r="E1262" s="54"/>
      <c r="F1262" s="54"/>
      <c r="G1262" s="72"/>
      <c r="H1262" s="54"/>
      <c r="I1262" s="54"/>
      <c r="J1262" s="106">
        <f>VLOOKUP(A1262&amp;G1262,Lookup!J:N,5,0)</f>
        <v>0</v>
      </c>
      <c r="K1262" s="115"/>
      <c r="L1262" s="115"/>
      <c r="M1262" s="115"/>
      <c r="N1262" s="115"/>
      <c r="O1262" s="90">
        <f>IFERROR(VLOOKUP(A1262&amp;G1262,Lookup!J:K,2,0),"")</f>
        <v>0</v>
      </c>
      <c r="P1262" s="110" t="str">
        <f t="shared" si="85"/>
        <v/>
      </c>
      <c r="Q1262" s="115"/>
      <c r="R1262" s="87" t="str">
        <f t="shared" si="86"/>
        <v/>
      </c>
      <c r="S1262" s="87" t="str">
        <f t="shared" si="87"/>
        <v/>
      </c>
      <c r="T1262" s="54"/>
      <c r="U1262" s="54"/>
      <c r="V1262" s="54"/>
      <c r="W1262" s="54"/>
      <c r="X1262" s="69"/>
    </row>
    <row r="1263" spans="2:24" x14ac:dyDescent="0.25">
      <c r="B1263" s="91" t="str">
        <f>IFERROR(VLOOKUP(A1263,Lookup!A:B,2,0),"")</f>
        <v/>
      </c>
      <c r="C1263" s="59" t="str">
        <f>IFERROR(VLOOKUP(A1263,Lookup!A:C,3,0),"")</f>
        <v/>
      </c>
      <c r="D1263" s="54"/>
      <c r="E1263" s="54"/>
      <c r="F1263" s="54"/>
      <c r="G1263" s="72"/>
      <c r="H1263" s="54"/>
      <c r="I1263" s="54"/>
      <c r="J1263" s="106">
        <f>VLOOKUP(A1263&amp;G1263,Lookup!J:N,5,0)</f>
        <v>0</v>
      </c>
      <c r="K1263" s="115"/>
      <c r="L1263" s="115"/>
      <c r="M1263" s="115"/>
      <c r="N1263" s="115"/>
      <c r="O1263" s="90">
        <f>IFERROR(VLOOKUP(A1263&amp;G1263,Lookup!J:K,2,0),"")</f>
        <v>0</v>
      </c>
      <c r="P1263" s="110" t="str">
        <f t="shared" si="85"/>
        <v/>
      </c>
      <c r="Q1263" s="115"/>
      <c r="R1263" s="87" t="str">
        <f t="shared" si="86"/>
        <v/>
      </c>
      <c r="S1263" s="87" t="str">
        <f t="shared" si="87"/>
        <v/>
      </c>
      <c r="T1263" s="54"/>
      <c r="U1263" s="54"/>
      <c r="V1263" s="54"/>
      <c r="W1263" s="54"/>
      <c r="X1263" s="69"/>
    </row>
    <row r="1264" spans="2:24" x14ac:dyDescent="0.25">
      <c r="B1264" s="91" t="str">
        <f>IFERROR(VLOOKUP(A1264,Lookup!A:B,2,0),"")</f>
        <v/>
      </c>
      <c r="C1264" s="59" t="str">
        <f>IFERROR(VLOOKUP(A1264,Lookup!A:C,3,0),"")</f>
        <v/>
      </c>
      <c r="D1264" s="54"/>
      <c r="E1264" s="54"/>
      <c r="F1264" s="54"/>
      <c r="G1264" s="72"/>
      <c r="H1264" s="54"/>
      <c r="I1264" s="54"/>
      <c r="J1264" s="106">
        <f>VLOOKUP(A1264&amp;G1264,Lookup!J:N,5,0)</f>
        <v>0</v>
      </c>
      <c r="K1264" s="115"/>
      <c r="L1264" s="115"/>
      <c r="M1264" s="115"/>
      <c r="N1264" s="115"/>
      <c r="O1264" s="90">
        <f>IFERROR(VLOOKUP(A1264&amp;G1264,Lookup!J:K,2,0),"")</f>
        <v>0</v>
      </c>
      <c r="P1264" s="110" t="str">
        <f t="shared" si="85"/>
        <v/>
      </c>
      <c r="Q1264" s="115"/>
      <c r="R1264" s="87" t="str">
        <f t="shared" si="86"/>
        <v/>
      </c>
      <c r="S1264" s="87" t="str">
        <f t="shared" si="87"/>
        <v/>
      </c>
      <c r="T1264" s="54"/>
      <c r="U1264" s="54"/>
      <c r="V1264" s="54"/>
      <c r="W1264" s="54"/>
      <c r="X1264" s="69"/>
    </row>
    <row r="1265" spans="2:24" x14ac:dyDescent="0.25">
      <c r="B1265" s="91" t="str">
        <f>IFERROR(VLOOKUP(A1265,Lookup!A:B,2,0),"")</f>
        <v/>
      </c>
      <c r="C1265" s="59" t="str">
        <f>IFERROR(VLOOKUP(A1265,Lookup!A:C,3,0),"")</f>
        <v/>
      </c>
      <c r="D1265" s="54"/>
      <c r="E1265" s="54"/>
      <c r="F1265" s="54"/>
      <c r="G1265" s="72"/>
      <c r="H1265" s="54"/>
      <c r="I1265" s="54"/>
      <c r="J1265" s="106">
        <f>VLOOKUP(A1265&amp;G1265,Lookup!J:N,5,0)</f>
        <v>0</v>
      </c>
      <c r="K1265" s="115"/>
      <c r="L1265" s="115"/>
      <c r="M1265" s="115"/>
      <c r="N1265" s="115"/>
      <c r="O1265" s="90">
        <f>IFERROR(VLOOKUP(A1265&amp;G1265,Lookup!J:K,2,0),"")</f>
        <v>0</v>
      </c>
      <c r="P1265" s="110" t="str">
        <f t="shared" si="85"/>
        <v/>
      </c>
      <c r="Q1265" s="115"/>
      <c r="R1265" s="87" t="str">
        <f t="shared" si="86"/>
        <v/>
      </c>
      <c r="S1265" s="87" t="str">
        <f t="shared" si="87"/>
        <v/>
      </c>
      <c r="T1265" s="54"/>
      <c r="U1265" s="54"/>
      <c r="V1265" s="54"/>
      <c r="W1265" s="54"/>
      <c r="X1265" s="69"/>
    </row>
    <row r="1266" spans="2:24" x14ac:dyDescent="0.25">
      <c r="B1266" s="91" t="str">
        <f>IFERROR(VLOOKUP(A1266,Lookup!A:B,2,0),"")</f>
        <v/>
      </c>
      <c r="C1266" s="59" t="str">
        <f>IFERROR(VLOOKUP(A1266,Lookup!A:C,3,0),"")</f>
        <v/>
      </c>
      <c r="D1266" s="54"/>
      <c r="E1266" s="54"/>
      <c r="F1266" s="54"/>
      <c r="G1266" s="72"/>
      <c r="H1266" s="54"/>
      <c r="I1266" s="54"/>
      <c r="J1266" s="106">
        <f>VLOOKUP(A1266&amp;G1266,Lookup!J:N,5,0)</f>
        <v>0</v>
      </c>
      <c r="K1266" s="115"/>
      <c r="L1266" s="115"/>
      <c r="M1266" s="115"/>
      <c r="N1266" s="115"/>
      <c r="O1266" s="90">
        <f>IFERROR(VLOOKUP(A1266&amp;G1266,Lookup!J:K,2,0),"")</f>
        <v>0</v>
      </c>
      <c r="P1266" s="110" t="str">
        <f t="shared" si="85"/>
        <v/>
      </c>
      <c r="Q1266" s="115"/>
      <c r="R1266" s="87" t="str">
        <f t="shared" si="86"/>
        <v/>
      </c>
      <c r="S1266" s="87" t="str">
        <f t="shared" si="87"/>
        <v/>
      </c>
      <c r="T1266" s="54"/>
      <c r="U1266" s="54"/>
      <c r="V1266" s="54"/>
      <c r="W1266" s="54"/>
      <c r="X1266" s="69"/>
    </row>
    <row r="1267" spans="2:24" x14ac:dyDescent="0.25">
      <c r="B1267" s="91" t="str">
        <f>IFERROR(VLOOKUP(A1267,Lookup!A:B,2,0),"")</f>
        <v/>
      </c>
      <c r="C1267" s="59" t="str">
        <f>IFERROR(VLOOKUP(A1267,Lookup!A:C,3,0),"")</f>
        <v/>
      </c>
      <c r="D1267" s="54"/>
      <c r="E1267" s="54"/>
      <c r="F1267" s="54"/>
      <c r="G1267" s="72"/>
      <c r="H1267" s="54"/>
      <c r="I1267" s="54"/>
      <c r="J1267" s="106">
        <f>VLOOKUP(A1267&amp;G1267,Lookup!J:N,5,0)</f>
        <v>0</v>
      </c>
      <c r="K1267" s="115"/>
      <c r="L1267" s="115"/>
      <c r="M1267" s="115"/>
      <c r="N1267" s="115"/>
      <c r="O1267" s="90">
        <f>IFERROR(VLOOKUP(A1267&amp;G1267,Lookup!J:K,2,0),"")</f>
        <v>0</v>
      </c>
      <c r="P1267" s="110" t="str">
        <f t="shared" si="85"/>
        <v/>
      </c>
      <c r="Q1267" s="115"/>
      <c r="R1267" s="87" t="str">
        <f t="shared" si="86"/>
        <v/>
      </c>
      <c r="S1267" s="87" t="str">
        <f t="shared" si="87"/>
        <v/>
      </c>
      <c r="T1267" s="54"/>
      <c r="U1267" s="54"/>
      <c r="V1267" s="54"/>
      <c r="W1267" s="54"/>
      <c r="X1267" s="69"/>
    </row>
    <row r="1268" spans="2:24" x14ac:dyDescent="0.25">
      <c r="B1268" s="91" t="str">
        <f>IFERROR(VLOOKUP(A1268,Lookup!A:B,2,0),"")</f>
        <v/>
      </c>
      <c r="C1268" s="59" t="str">
        <f>IFERROR(VLOOKUP(A1268,Lookup!A:C,3,0),"")</f>
        <v/>
      </c>
      <c r="D1268" s="54"/>
      <c r="E1268" s="54"/>
      <c r="F1268" s="54"/>
      <c r="G1268" s="72"/>
      <c r="H1268" s="54"/>
      <c r="I1268" s="54"/>
      <c r="J1268" s="106">
        <f>VLOOKUP(A1268&amp;G1268,Lookup!J:N,5,0)</f>
        <v>0</v>
      </c>
      <c r="K1268" s="115"/>
      <c r="L1268" s="115"/>
      <c r="M1268" s="115"/>
      <c r="N1268" s="115"/>
      <c r="O1268" s="90">
        <f>IFERROR(VLOOKUP(A1268&amp;G1268,Lookup!J:K,2,0),"")</f>
        <v>0</v>
      </c>
      <c r="P1268" s="110" t="str">
        <f t="shared" si="85"/>
        <v/>
      </c>
      <c r="Q1268" s="115"/>
      <c r="R1268" s="87" t="str">
        <f t="shared" si="86"/>
        <v/>
      </c>
      <c r="S1268" s="87" t="str">
        <f t="shared" si="87"/>
        <v/>
      </c>
      <c r="T1268" s="54"/>
      <c r="U1268" s="54"/>
      <c r="V1268" s="54"/>
      <c r="W1268" s="54"/>
      <c r="X1268" s="69"/>
    </row>
    <row r="1269" spans="2:24" x14ac:dyDescent="0.25">
      <c r="B1269" s="91" t="str">
        <f>IFERROR(VLOOKUP(A1269,Lookup!A:B,2,0),"")</f>
        <v/>
      </c>
      <c r="C1269" s="59" t="str">
        <f>IFERROR(VLOOKUP(A1269,Lookup!A:C,3,0),"")</f>
        <v/>
      </c>
      <c r="D1269" s="54"/>
      <c r="E1269" s="54"/>
      <c r="F1269" s="54"/>
      <c r="G1269" s="72"/>
      <c r="H1269" s="54"/>
      <c r="I1269" s="54"/>
      <c r="J1269" s="106">
        <f>VLOOKUP(A1269&amp;G1269,Lookup!J:N,5,0)</f>
        <v>0</v>
      </c>
      <c r="K1269" s="115"/>
      <c r="L1269" s="115"/>
      <c r="M1269" s="115"/>
      <c r="N1269" s="115"/>
      <c r="O1269" s="90">
        <f>IFERROR(VLOOKUP(A1269&amp;G1269,Lookup!J:K,2,0),"")</f>
        <v>0</v>
      </c>
      <c r="P1269" s="110" t="str">
        <f t="shared" si="85"/>
        <v/>
      </c>
      <c r="Q1269" s="115"/>
      <c r="R1269" s="87" t="str">
        <f t="shared" si="86"/>
        <v/>
      </c>
      <c r="S1269" s="87" t="str">
        <f t="shared" si="87"/>
        <v/>
      </c>
      <c r="T1269" s="54"/>
      <c r="U1269" s="54"/>
      <c r="V1269" s="54"/>
      <c r="W1269" s="54"/>
      <c r="X1269" s="69"/>
    </row>
    <row r="1270" spans="2:24" x14ac:dyDescent="0.25">
      <c r="B1270" s="91" t="str">
        <f>IFERROR(VLOOKUP(A1270,Lookup!A:B,2,0),"")</f>
        <v/>
      </c>
      <c r="C1270" s="59" t="str">
        <f>IFERROR(VLOOKUP(A1270,Lookup!A:C,3,0),"")</f>
        <v/>
      </c>
      <c r="D1270" s="54"/>
      <c r="E1270" s="54"/>
      <c r="F1270" s="54"/>
      <c r="G1270" s="72"/>
      <c r="H1270" s="54"/>
      <c r="I1270" s="54"/>
      <c r="J1270" s="106">
        <f>VLOOKUP(A1270&amp;G1270,Lookup!J:N,5,0)</f>
        <v>0</v>
      </c>
      <c r="K1270" s="115"/>
      <c r="L1270" s="115"/>
      <c r="M1270" s="115"/>
      <c r="N1270" s="115"/>
      <c r="O1270" s="90">
        <f>IFERROR(VLOOKUP(A1270&amp;G1270,Lookup!J:K,2,0),"")</f>
        <v>0</v>
      </c>
      <c r="P1270" s="110" t="str">
        <f t="shared" si="85"/>
        <v/>
      </c>
      <c r="Q1270" s="115"/>
      <c r="R1270" s="87" t="str">
        <f t="shared" si="86"/>
        <v/>
      </c>
      <c r="S1270" s="87" t="str">
        <f t="shared" si="87"/>
        <v/>
      </c>
      <c r="T1270" s="54"/>
      <c r="U1270" s="54"/>
      <c r="V1270" s="54"/>
      <c r="W1270" s="54"/>
      <c r="X1270" s="69"/>
    </row>
    <row r="1271" spans="2:24" x14ac:dyDescent="0.25">
      <c r="B1271" s="91" t="str">
        <f>IFERROR(VLOOKUP(A1271,Lookup!A:B,2,0),"")</f>
        <v/>
      </c>
      <c r="C1271" s="59" t="str">
        <f>IFERROR(VLOOKUP(A1271,Lookup!A:C,3,0),"")</f>
        <v/>
      </c>
      <c r="D1271" s="54"/>
      <c r="E1271" s="54"/>
      <c r="F1271" s="54"/>
      <c r="G1271" s="72"/>
      <c r="H1271" s="54"/>
      <c r="I1271" s="54"/>
      <c r="J1271" s="106">
        <f>VLOOKUP(A1271&amp;G1271,Lookup!J:N,5,0)</f>
        <v>0</v>
      </c>
      <c r="K1271" s="115"/>
      <c r="L1271" s="115"/>
      <c r="M1271" s="115"/>
      <c r="N1271" s="115"/>
      <c r="O1271" s="90">
        <f>IFERROR(VLOOKUP(A1271&amp;G1271,Lookup!J:K,2,0),"")</f>
        <v>0</v>
      </c>
      <c r="P1271" s="110" t="str">
        <f t="shared" si="85"/>
        <v/>
      </c>
      <c r="Q1271" s="115"/>
      <c r="R1271" s="87" t="str">
        <f t="shared" si="86"/>
        <v/>
      </c>
      <c r="S1271" s="87" t="str">
        <f t="shared" si="87"/>
        <v/>
      </c>
      <c r="T1271" s="54"/>
      <c r="U1271" s="54"/>
      <c r="V1271" s="54"/>
      <c r="W1271" s="54"/>
      <c r="X1271" s="69"/>
    </row>
    <row r="1272" spans="2:24" x14ac:dyDescent="0.25">
      <c r="B1272" s="91" t="str">
        <f>IFERROR(VLOOKUP(A1272,Lookup!A:B,2,0),"")</f>
        <v/>
      </c>
      <c r="C1272" s="59" t="str">
        <f>IFERROR(VLOOKUP(A1272,Lookup!A:C,3,0),"")</f>
        <v/>
      </c>
      <c r="D1272" s="54"/>
      <c r="E1272" s="54"/>
      <c r="F1272" s="54"/>
      <c r="G1272" s="72"/>
      <c r="H1272" s="54"/>
      <c r="I1272" s="54"/>
      <c r="J1272" s="106">
        <f>VLOOKUP(A1272&amp;G1272,Lookup!J:N,5,0)</f>
        <v>0</v>
      </c>
      <c r="K1272" s="115"/>
      <c r="L1272" s="115"/>
      <c r="M1272" s="115"/>
      <c r="N1272" s="115"/>
      <c r="O1272" s="90">
        <f>IFERROR(VLOOKUP(A1272&amp;G1272,Lookup!J:K,2,0),"")</f>
        <v>0</v>
      </c>
      <c r="P1272" s="110" t="str">
        <f t="shared" si="85"/>
        <v/>
      </c>
      <c r="Q1272" s="115"/>
      <c r="R1272" s="87" t="str">
        <f t="shared" si="86"/>
        <v/>
      </c>
      <c r="S1272" s="87" t="str">
        <f t="shared" si="87"/>
        <v/>
      </c>
      <c r="T1272" s="54"/>
      <c r="U1272" s="54"/>
      <c r="V1272" s="54"/>
      <c r="W1272" s="54"/>
      <c r="X1272" s="69"/>
    </row>
    <row r="1273" spans="2:24" x14ac:dyDescent="0.25">
      <c r="B1273" s="91" t="str">
        <f>IFERROR(VLOOKUP(A1273,Lookup!A:B,2,0),"")</f>
        <v/>
      </c>
      <c r="C1273" s="59" t="str">
        <f>IFERROR(VLOOKUP(A1273,Lookup!A:C,3,0),"")</f>
        <v/>
      </c>
      <c r="D1273" s="54"/>
      <c r="E1273" s="54"/>
      <c r="F1273" s="54"/>
      <c r="G1273" s="72"/>
      <c r="H1273" s="54"/>
      <c r="I1273" s="54"/>
      <c r="J1273" s="106">
        <f>VLOOKUP(A1273&amp;G1273,Lookup!J:N,5,0)</f>
        <v>0</v>
      </c>
      <c r="K1273" s="115"/>
      <c r="L1273" s="115"/>
      <c r="M1273" s="115"/>
      <c r="N1273" s="115"/>
      <c r="O1273" s="90">
        <f>IFERROR(VLOOKUP(A1273&amp;G1273,Lookup!J:K,2,0),"")</f>
        <v>0</v>
      </c>
      <c r="P1273" s="110" t="str">
        <f t="shared" si="85"/>
        <v/>
      </c>
      <c r="Q1273" s="115"/>
      <c r="R1273" s="87" t="str">
        <f t="shared" si="86"/>
        <v/>
      </c>
      <c r="S1273" s="87" t="str">
        <f t="shared" si="87"/>
        <v/>
      </c>
      <c r="T1273" s="54"/>
      <c r="U1273" s="54"/>
      <c r="V1273" s="54"/>
      <c r="W1273" s="54"/>
      <c r="X1273" s="69"/>
    </row>
    <row r="1274" spans="2:24" x14ac:dyDescent="0.25">
      <c r="B1274" s="91" t="str">
        <f>IFERROR(VLOOKUP(A1274,Lookup!A:B,2,0),"")</f>
        <v/>
      </c>
      <c r="C1274" s="59" t="str">
        <f>IFERROR(VLOOKUP(A1274,Lookup!A:C,3,0),"")</f>
        <v/>
      </c>
      <c r="D1274" s="54"/>
      <c r="E1274" s="54"/>
      <c r="F1274" s="54"/>
      <c r="G1274" s="72"/>
      <c r="H1274" s="54"/>
      <c r="I1274" s="54"/>
      <c r="J1274" s="106">
        <f>VLOOKUP(A1274&amp;G1274,Lookup!J:N,5,0)</f>
        <v>0</v>
      </c>
      <c r="K1274" s="115"/>
      <c r="L1274" s="115"/>
      <c r="M1274" s="115"/>
      <c r="N1274" s="115"/>
      <c r="O1274" s="90">
        <f>IFERROR(VLOOKUP(A1274&amp;G1274,Lookup!J:K,2,0),"")</f>
        <v>0</v>
      </c>
      <c r="P1274" s="110" t="str">
        <f t="shared" si="85"/>
        <v/>
      </c>
      <c r="Q1274" s="115"/>
      <c r="R1274" s="87" t="str">
        <f t="shared" si="86"/>
        <v/>
      </c>
      <c r="S1274" s="87" t="str">
        <f t="shared" si="87"/>
        <v/>
      </c>
      <c r="T1274" s="54"/>
      <c r="U1274" s="54"/>
      <c r="V1274" s="54"/>
      <c r="W1274" s="54"/>
      <c r="X1274" s="69"/>
    </row>
    <row r="1275" spans="2:24" x14ac:dyDescent="0.25">
      <c r="B1275" s="91" t="str">
        <f>IFERROR(VLOOKUP(A1275,Lookup!A:B,2,0),"")</f>
        <v/>
      </c>
      <c r="C1275" s="59" t="str">
        <f>IFERROR(VLOOKUP(A1275,Lookup!A:C,3,0),"")</f>
        <v/>
      </c>
      <c r="D1275" s="54"/>
      <c r="E1275" s="54"/>
      <c r="F1275" s="54"/>
      <c r="G1275" s="72"/>
      <c r="H1275" s="54"/>
      <c r="I1275" s="54"/>
      <c r="J1275" s="106">
        <f>VLOOKUP(A1275&amp;G1275,Lookup!J:N,5,0)</f>
        <v>0</v>
      </c>
      <c r="K1275" s="115"/>
      <c r="L1275" s="115"/>
      <c r="M1275" s="115"/>
      <c r="N1275" s="115"/>
      <c r="O1275" s="90">
        <f>IFERROR(VLOOKUP(A1275&amp;G1275,Lookup!J:K,2,0),"")</f>
        <v>0</v>
      </c>
      <c r="P1275" s="110" t="str">
        <f t="shared" si="85"/>
        <v/>
      </c>
      <c r="Q1275" s="115"/>
      <c r="R1275" s="87" t="str">
        <f t="shared" si="86"/>
        <v/>
      </c>
      <c r="S1275" s="87" t="str">
        <f t="shared" si="87"/>
        <v/>
      </c>
      <c r="T1275" s="54"/>
      <c r="U1275" s="54"/>
      <c r="V1275" s="54"/>
      <c r="W1275" s="54"/>
      <c r="X1275" s="69"/>
    </row>
    <row r="1276" spans="2:24" x14ac:dyDescent="0.25">
      <c r="B1276" s="91" t="str">
        <f>IFERROR(VLOOKUP(A1276,Lookup!A:B,2,0),"")</f>
        <v/>
      </c>
      <c r="C1276" s="59" t="str">
        <f>IFERROR(VLOOKUP(A1276,Lookup!A:C,3,0),"")</f>
        <v/>
      </c>
      <c r="D1276" s="54"/>
      <c r="E1276" s="54"/>
      <c r="F1276" s="54"/>
      <c r="G1276" s="72"/>
      <c r="H1276" s="54"/>
      <c r="I1276" s="54"/>
      <c r="J1276" s="106">
        <f>VLOOKUP(A1276&amp;G1276,Lookup!J:N,5,0)</f>
        <v>0</v>
      </c>
      <c r="K1276" s="115"/>
      <c r="L1276" s="115"/>
      <c r="M1276" s="115"/>
      <c r="N1276" s="115"/>
      <c r="O1276" s="90">
        <f>IFERROR(VLOOKUP(A1276&amp;G1276,Lookup!J:K,2,0),"")</f>
        <v>0</v>
      </c>
      <c r="P1276" s="110" t="str">
        <f t="shared" si="85"/>
        <v/>
      </c>
      <c r="Q1276" s="115"/>
      <c r="R1276" s="87" t="str">
        <f t="shared" si="86"/>
        <v/>
      </c>
      <c r="S1276" s="87" t="str">
        <f t="shared" si="87"/>
        <v/>
      </c>
      <c r="T1276" s="54"/>
      <c r="U1276" s="54"/>
      <c r="V1276" s="54"/>
      <c r="W1276" s="54"/>
      <c r="X1276" s="69"/>
    </row>
    <row r="1277" spans="2:24" x14ac:dyDescent="0.25">
      <c r="B1277" s="91" t="str">
        <f>IFERROR(VLOOKUP(A1277,Lookup!A:B,2,0),"")</f>
        <v/>
      </c>
      <c r="C1277" s="59" t="str">
        <f>IFERROR(VLOOKUP(A1277,Lookup!A:C,3,0),"")</f>
        <v/>
      </c>
      <c r="D1277" s="54"/>
      <c r="E1277" s="54"/>
      <c r="F1277" s="54"/>
      <c r="G1277" s="72"/>
      <c r="H1277" s="54"/>
      <c r="I1277" s="54"/>
      <c r="J1277" s="106">
        <f>VLOOKUP(A1277&amp;G1277,Lookup!J:N,5,0)</f>
        <v>0</v>
      </c>
      <c r="K1277" s="115"/>
      <c r="L1277" s="115"/>
      <c r="M1277" s="115"/>
      <c r="N1277" s="115"/>
      <c r="O1277" s="90">
        <f>IFERROR(VLOOKUP(A1277&amp;G1277,Lookup!J:K,2,0),"")</f>
        <v>0</v>
      </c>
      <c r="P1277" s="110" t="str">
        <f t="shared" si="85"/>
        <v/>
      </c>
      <c r="Q1277" s="115"/>
      <c r="R1277" s="87" t="str">
        <f t="shared" si="86"/>
        <v/>
      </c>
      <c r="S1277" s="87" t="str">
        <f t="shared" si="87"/>
        <v/>
      </c>
      <c r="T1277" s="54"/>
      <c r="U1277" s="54"/>
      <c r="V1277" s="54"/>
      <c r="W1277" s="54"/>
      <c r="X1277" s="69"/>
    </row>
    <row r="1278" spans="2:24" x14ac:dyDescent="0.25">
      <c r="B1278" s="91" t="str">
        <f>IFERROR(VLOOKUP(A1278,Lookup!A:B,2,0),"")</f>
        <v/>
      </c>
      <c r="C1278" s="59" t="str">
        <f>IFERROR(VLOOKUP(A1278,Lookup!A:C,3,0),"")</f>
        <v/>
      </c>
      <c r="D1278" s="54"/>
      <c r="E1278" s="54"/>
      <c r="F1278" s="54"/>
      <c r="G1278" s="72"/>
      <c r="H1278" s="54"/>
      <c r="I1278" s="54"/>
      <c r="J1278" s="106">
        <f>VLOOKUP(A1278&amp;G1278,Lookup!J:N,5,0)</f>
        <v>0</v>
      </c>
      <c r="K1278" s="115"/>
      <c r="L1278" s="115"/>
      <c r="M1278" s="115"/>
      <c r="N1278" s="115"/>
      <c r="O1278" s="90">
        <f>IFERROR(VLOOKUP(A1278&amp;G1278,Lookup!J:K,2,0),"")</f>
        <v>0</v>
      </c>
      <c r="P1278" s="110" t="str">
        <f t="shared" si="85"/>
        <v/>
      </c>
      <c r="Q1278" s="115"/>
      <c r="R1278" s="87" t="str">
        <f t="shared" si="86"/>
        <v/>
      </c>
      <c r="S1278" s="87" t="str">
        <f t="shared" si="87"/>
        <v/>
      </c>
      <c r="T1278" s="54"/>
      <c r="U1278" s="54"/>
      <c r="V1278" s="54"/>
      <c r="W1278" s="54"/>
      <c r="X1278" s="69"/>
    </row>
    <row r="1279" spans="2:24" x14ac:dyDescent="0.25">
      <c r="B1279" s="91" t="str">
        <f>IFERROR(VLOOKUP(A1279,Lookup!A:B,2,0),"")</f>
        <v/>
      </c>
      <c r="C1279" s="59" t="str">
        <f>IFERROR(VLOOKUP(A1279,Lookup!A:C,3,0),"")</f>
        <v/>
      </c>
      <c r="D1279" s="54"/>
      <c r="E1279" s="54"/>
      <c r="F1279" s="54"/>
      <c r="G1279" s="72"/>
      <c r="H1279" s="54"/>
      <c r="I1279" s="54"/>
      <c r="J1279" s="106">
        <f>VLOOKUP(A1279&amp;G1279,Lookup!J:N,5,0)</f>
        <v>0</v>
      </c>
      <c r="K1279" s="115"/>
      <c r="L1279" s="115"/>
      <c r="M1279" s="115"/>
      <c r="N1279" s="115"/>
      <c r="O1279" s="90">
        <f>IFERROR(VLOOKUP(A1279&amp;G1279,Lookup!J:K,2,0),"")</f>
        <v>0</v>
      </c>
      <c r="P1279" s="110" t="str">
        <f t="shared" si="85"/>
        <v/>
      </c>
      <c r="Q1279" s="115"/>
      <c r="R1279" s="87" t="str">
        <f t="shared" si="86"/>
        <v/>
      </c>
      <c r="S1279" s="87" t="str">
        <f t="shared" si="87"/>
        <v/>
      </c>
      <c r="T1279" s="54"/>
      <c r="U1279" s="54"/>
      <c r="V1279" s="54"/>
      <c r="W1279" s="54"/>
      <c r="X1279" s="69"/>
    </row>
    <row r="1280" spans="2:24" x14ac:dyDescent="0.25">
      <c r="B1280" s="91" t="str">
        <f>IFERROR(VLOOKUP(A1280,Lookup!A:B,2,0),"")</f>
        <v/>
      </c>
      <c r="C1280" s="59" t="str">
        <f>IFERROR(VLOOKUP(A1280,Lookup!A:C,3,0),"")</f>
        <v/>
      </c>
      <c r="D1280" s="54"/>
      <c r="E1280" s="54"/>
      <c r="F1280" s="54"/>
      <c r="G1280" s="72"/>
      <c r="H1280" s="54"/>
      <c r="I1280" s="54"/>
      <c r="J1280" s="106">
        <f>VLOOKUP(A1280&amp;G1280,Lookup!J:N,5,0)</f>
        <v>0</v>
      </c>
      <c r="K1280" s="115"/>
      <c r="L1280" s="115"/>
      <c r="M1280" s="115"/>
      <c r="N1280" s="115"/>
      <c r="O1280" s="90">
        <f>IFERROR(VLOOKUP(A1280&amp;G1280,Lookup!J:K,2,0),"")</f>
        <v>0</v>
      </c>
      <c r="P1280" s="110" t="str">
        <f t="shared" si="85"/>
        <v/>
      </c>
      <c r="Q1280" s="115"/>
      <c r="R1280" s="87" t="str">
        <f t="shared" si="86"/>
        <v/>
      </c>
      <c r="S1280" s="87" t="str">
        <f t="shared" si="87"/>
        <v/>
      </c>
      <c r="T1280" s="54"/>
      <c r="U1280" s="54"/>
      <c r="V1280" s="54"/>
      <c r="W1280" s="54"/>
      <c r="X1280" s="69"/>
    </row>
    <row r="1281" spans="2:24" x14ac:dyDescent="0.25">
      <c r="B1281" s="91" t="str">
        <f>IFERROR(VLOOKUP(A1281,Lookup!A:B,2,0),"")</f>
        <v/>
      </c>
      <c r="C1281" s="59" t="str">
        <f>IFERROR(VLOOKUP(A1281,Lookup!A:C,3,0),"")</f>
        <v/>
      </c>
      <c r="D1281" s="54"/>
      <c r="E1281" s="54"/>
      <c r="F1281" s="54"/>
      <c r="G1281" s="72"/>
      <c r="H1281" s="54"/>
      <c r="I1281" s="54"/>
      <c r="J1281" s="106">
        <f>VLOOKUP(A1281&amp;G1281,Lookup!J:N,5,0)</f>
        <v>0</v>
      </c>
      <c r="K1281" s="115"/>
      <c r="L1281" s="115"/>
      <c r="M1281" s="115"/>
      <c r="N1281" s="115"/>
      <c r="O1281" s="90">
        <f>IFERROR(VLOOKUP(A1281&amp;G1281,Lookup!J:K,2,0),"")</f>
        <v>0</v>
      </c>
      <c r="P1281" s="110" t="str">
        <f t="shared" si="85"/>
        <v/>
      </c>
      <c r="Q1281" s="115"/>
      <c r="R1281" s="87" t="str">
        <f t="shared" si="86"/>
        <v/>
      </c>
      <c r="S1281" s="87" t="str">
        <f t="shared" si="87"/>
        <v/>
      </c>
      <c r="T1281" s="54"/>
      <c r="U1281" s="54"/>
      <c r="V1281" s="54"/>
      <c r="W1281" s="54"/>
      <c r="X1281" s="69"/>
    </row>
    <row r="1282" spans="2:24" x14ac:dyDescent="0.25">
      <c r="B1282" s="91" t="str">
        <f>IFERROR(VLOOKUP(A1282,Lookup!A:B,2,0),"")</f>
        <v/>
      </c>
      <c r="C1282" s="59" t="str">
        <f>IFERROR(VLOOKUP(A1282,Lookup!A:C,3,0),"")</f>
        <v/>
      </c>
      <c r="D1282" s="54"/>
      <c r="E1282" s="54"/>
      <c r="F1282" s="54"/>
      <c r="G1282" s="72"/>
      <c r="H1282" s="54"/>
      <c r="I1282" s="54"/>
      <c r="J1282" s="106">
        <f>VLOOKUP(A1282&amp;G1282,Lookup!J:N,5,0)</f>
        <v>0</v>
      </c>
      <c r="K1282" s="115"/>
      <c r="L1282" s="115"/>
      <c r="M1282" s="115"/>
      <c r="N1282" s="115"/>
      <c r="O1282" s="90">
        <f>IFERROR(VLOOKUP(A1282&amp;G1282,Lookup!J:K,2,0),"")</f>
        <v>0</v>
      </c>
      <c r="P1282" s="110" t="str">
        <f t="shared" ref="P1282:P1345" si="88">IF(N1282="","",N1282+O1282)</f>
        <v/>
      </c>
      <c r="Q1282" s="115"/>
      <c r="R1282" s="87" t="str">
        <f t="shared" si="86"/>
        <v/>
      </c>
      <c r="S1282" s="87" t="str">
        <f t="shared" si="87"/>
        <v/>
      </c>
      <c r="T1282" s="54"/>
      <c r="U1282" s="54"/>
      <c r="V1282" s="54"/>
      <c r="W1282" s="54"/>
      <c r="X1282" s="69"/>
    </row>
    <row r="1283" spans="2:24" x14ac:dyDescent="0.25">
      <c r="B1283" s="91" t="str">
        <f>IFERROR(VLOOKUP(A1283,Lookup!A:B,2,0),"")</f>
        <v/>
      </c>
      <c r="C1283" s="59" t="str">
        <f>IFERROR(VLOOKUP(A1283,Lookup!A:C,3,0),"")</f>
        <v/>
      </c>
      <c r="D1283" s="54"/>
      <c r="E1283" s="54"/>
      <c r="F1283" s="54"/>
      <c r="G1283" s="72"/>
      <c r="H1283" s="54"/>
      <c r="I1283" s="54"/>
      <c r="J1283" s="106">
        <f>VLOOKUP(A1283&amp;G1283,Lookup!J:N,5,0)</f>
        <v>0</v>
      </c>
      <c r="K1283" s="115"/>
      <c r="L1283" s="115"/>
      <c r="M1283" s="115"/>
      <c r="N1283" s="115"/>
      <c r="O1283" s="90">
        <f>IFERROR(VLOOKUP(A1283&amp;G1283,Lookup!J:K,2,0),"")</f>
        <v>0</v>
      </c>
      <c r="P1283" s="110" t="str">
        <f t="shared" si="88"/>
        <v/>
      </c>
      <c r="Q1283" s="115"/>
      <c r="R1283" s="87" t="str">
        <f t="shared" ref="R1283:R1346" si="89">IF(OR(EXACT(N1283,""), EXACT(L1283,"")),"",N1283-L1283)</f>
        <v/>
      </c>
      <c r="S1283" s="87" t="str">
        <f t="shared" si="87"/>
        <v/>
      </c>
      <c r="T1283" s="54"/>
      <c r="U1283" s="54"/>
      <c r="V1283" s="54"/>
      <c r="W1283" s="54"/>
      <c r="X1283" s="69"/>
    </row>
    <row r="1284" spans="2:24" x14ac:dyDescent="0.25">
      <c r="B1284" s="91" t="str">
        <f>IFERROR(VLOOKUP(A1284,Lookup!A:B,2,0),"")</f>
        <v/>
      </c>
      <c r="C1284" s="59" t="str">
        <f>IFERROR(VLOOKUP(A1284,Lookup!A:C,3,0),"")</f>
        <v/>
      </c>
      <c r="D1284" s="54"/>
      <c r="E1284" s="54"/>
      <c r="F1284" s="54"/>
      <c r="G1284" s="72"/>
      <c r="H1284" s="54"/>
      <c r="I1284" s="54"/>
      <c r="J1284" s="106">
        <f>VLOOKUP(A1284&amp;G1284,Lookup!J:N,5,0)</f>
        <v>0</v>
      </c>
      <c r="K1284" s="115"/>
      <c r="L1284" s="115"/>
      <c r="M1284" s="115"/>
      <c r="N1284" s="115"/>
      <c r="O1284" s="90">
        <f>IFERROR(VLOOKUP(A1284&amp;G1284,Lookup!J:K,2,0),"")</f>
        <v>0</v>
      </c>
      <c r="P1284" s="110" t="str">
        <f t="shared" si="88"/>
        <v/>
      </c>
      <c r="Q1284" s="115"/>
      <c r="R1284" s="87" t="str">
        <f t="shared" si="89"/>
        <v/>
      </c>
      <c r="S1284" s="87" t="str">
        <f t="shared" ref="S1284:S1347" si="90">IF(OR(EXACT(Q1284,""), EXACT(L1284,"")),"",Q1284-L1284)</f>
        <v/>
      </c>
      <c r="T1284" s="54"/>
      <c r="U1284" s="54"/>
      <c r="V1284" s="54"/>
      <c r="W1284" s="54"/>
      <c r="X1284" s="69"/>
    </row>
    <row r="1285" spans="2:24" x14ac:dyDescent="0.25">
      <c r="B1285" s="91" t="str">
        <f>IFERROR(VLOOKUP(A1285,Lookup!A:B,2,0),"")</f>
        <v/>
      </c>
      <c r="C1285" s="59" t="str">
        <f>IFERROR(VLOOKUP(A1285,Lookup!A:C,3,0),"")</f>
        <v/>
      </c>
      <c r="D1285" s="54"/>
      <c r="E1285" s="54"/>
      <c r="F1285" s="54"/>
      <c r="G1285" s="72"/>
      <c r="H1285" s="54"/>
      <c r="I1285" s="54"/>
      <c r="J1285" s="106">
        <f>VLOOKUP(A1285&amp;G1285,Lookup!J:N,5,0)</f>
        <v>0</v>
      </c>
      <c r="K1285" s="115"/>
      <c r="L1285" s="115"/>
      <c r="M1285" s="115"/>
      <c r="N1285" s="115"/>
      <c r="O1285" s="90">
        <f>IFERROR(VLOOKUP(A1285&amp;G1285,Lookup!J:K,2,0),"")</f>
        <v>0</v>
      </c>
      <c r="P1285" s="110" t="str">
        <f t="shared" si="88"/>
        <v/>
      </c>
      <c r="Q1285" s="115"/>
      <c r="R1285" s="87" t="str">
        <f t="shared" si="89"/>
        <v/>
      </c>
      <c r="S1285" s="87" t="str">
        <f t="shared" si="90"/>
        <v/>
      </c>
      <c r="T1285" s="54"/>
      <c r="U1285" s="54"/>
      <c r="V1285" s="54"/>
      <c r="W1285" s="54"/>
      <c r="X1285" s="69"/>
    </row>
    <row r="1286" spans="2:24" x14ac:dyDescent="0.25">
      <c r="B1286" s="91" t="str">
        <f>IFERROR(VLOOKUP(A1286,Lookup!A:B,2,0),"")</f>
        <v/>
      </c>
      <c r="C1286" s="59" t="str">
        <f>IFERROR(VLOOKUP(A1286,Lookup!A:C,3,0),"")</f>
        <v/>
      </c>
      <c r="D1286" s="54"/>
      <c r="E1286" s="54"/>
      <c r="F1286" s="54"/>
      <c r="G1286" s="72"/>
      <c r="H1286" s="54"/>
      <c r="I1286" s="54"/>
      <c r="J1286" s="106">
        <f>VLOOKUP(A1286&amp;G1286,Lookup!J:N,5,0)</f>
        <v>0</v>
      </c>
      <c r="K1286" s="115"/>
      <c r="L1286" s="115"/>
      <c r="M1286" s="115"/>
      <c r="N1286" s="115"/>
      <c r="O1286" s="90">
        <f>IFERROR(VLOOKUP(A1286&amp;G1286,Lookup!J:K,2,0),"")</f>
        <v>0</v>
      </c>
      <c r="P1286" s="110" t="str">
        <f t="shared" si="88"/>
        <v/>
      </c>
      <c r="Q1286" s="115"/>
      <c r="R1286" s="87" t="str">
        <f t="shared" si="89"/>
        <v/>
      </c>
      <c r="S1286" s="87" t="str">
        <f t="shared" si="90"/>
        <v/>
      </c>
      <c r="T1286" s="54"/>
      <c r="U1286" s="54"/>
      <c r="V1286" s="54"/>
      <c r="W1286" s="54"/>
      <c r="X1286" s="69"/>
    </row>
    <row r="1287" spans="2:24" x14ac:dyDescent="0.25">
      <c r="B1287" s="91" t="str">
        <f>IFERROR(VLOOKUP(A1287,Lookup!A:B,2,0),"")</f>
        <v/>
      </c>
      <c r="C1287" s="59" t="str">
        <f>IFERROR(VLOOKUP(A1287,Lookup!A:C,3,0),"")</f>
        <v/>
      </c>
      <c r="D1287" s="54"/>
      <c r="E1287" s="54"/>
      <c r="F1287" s="54"/>
      <c r="G1287" s="72"/>
      <c r="H1287" s="54"/>
      <c r="I1287" s="54"/>
      <c r="J1287" s="106">
        <f>VLOOKUP(A1287&amp;G1287,Lookup!J:N,5,0)</f>
        <v>0</v>
      </c>
      <c r="K1287" s="115"/>
      <c r="L1287" s="115"/>
      <c r="M1287" s="115"/>
      <c r="N1287" s="115"/>
      <c r="O1287" s="90">
        <f>IFERROR(VLOOKUP(A1287&amp;G1287,Lookup!J:K,2,0),"")</f>
        <v>0</v>
      </c>
      <c r="P1287" s="110" t="str">
        <f t="shared" si="88"/>
        <v/>
      </c>
      <c r="Q1287" s="115"/>
      <c r="R1287" s="87" t="str">
        <f t="shared" si="89"/>
        <v/>
      </c>
      <c r="S1287" s="87" t="str">
        <f t="shared" si="90"/>
        <v/>
      </c>
      <c r="T1287" s="54"/>
      <c r="U1287" s="54"/>
      <c r="V1287" s="54"/>
      <c r="W1287" s="54"/>
      <c r="X1287" s="69"/>
    </row>
    <row r="1288" spans="2:24" x14ac:dyDescent="0.25">
      <c r="B1288" s="91" t="str">
        <f>IFERROR(VLOOKUP(A1288,Lookup!A:B,2,0),"")</f>
        <v/>
      </c>
      <c r="C1288" s="59" t="str">
        <f>IFERROR(VLOOKUP(A1288,Lookup!A:C,3,0),"")</f>
        <v/>
      </c>
      <c r="D1288" s="54"/>
      <c r="E1288" s="54"/>
      <c r="F1288" s="54"/>
      <c r="G1288" s="72"/>
      <c r="H1288" s="54"/>
      <c r="I1288" s="54"/>
      <c r="J1288" s="106">
        <f>VLOOKUP(A1288&amp;G1288,Lookup!J:N,5,0)</f>
        <v>0</v>
      </c>
      <c r="K1288" s="115"/>
      <c r="L1288" s="115"/>
      <c r="M1288" s="115"/>
      <c r="N1288" s="115"/>
      <c r="O1288" s="90">
        <f>IFERROR(VLOOKUP(A1288&amp;G1288,Lookup!J:K,2,0),"")</f>
        <v>0</v>
      </c>
      <c r="P1288" s="110" t="str">
        <f t="shared" si="88"/>
        <v/>
      </c>
      <c r="Q1288" s="115"/>
      <c r="R1288" s="87" t="str">
        <f t="shared" si="89"/>
        <v/>
      </c>
      <c r="S1288" s="87" t="str">
        <f t="shared" si="90"/>
        <v/>
      </c>
      <c r="T1288" s="54"/>
      <c r="U1288" s="54"/>
      <c r="V1288" s="54"/>
      <c r="W1288" s="54"/>
      <c r="X1288" s="69"/>
    </row>
    <row r="1289" spans="2:24" x14ac:dyDescent="0.25">
      <c r="B1289" s="91" t="str">
        <f>IFERROR(VLOOKUP(A1289,Lookup!A:B,2,0),"")</f>
        <v/>
      </c>
      <c r="C1289" s="59" t="str">
        <f>IFERROR(VLOOKUP(A1289,Lookup!A:C,3,0),"")</f>
        <v/>
      </c>
      <c r="D1289" s="54"/>
      <c r="E1289" s="54"/>
      <c r="F1289" s="54"/>
      <c r="G1289" s="72"/>
      <c r="H1289" s="54"/>
      <c r="I1289" s="54"/>
      <c r="J1289" s="106">
        <f>VLOOKUP(A1289&amp;G1289,Lookup!J:N,5,0)</f>
        <v>0</v>
      </c>
      <c r="K1289" s="115"/>
      <c r="L1289" s="115"/>
      <c r="M1289" s="115"/>
      <c r="N1289" s="115"/>
      <c r="O1289" s="90">
        <f>IFERROR(VLOOKUP(A1289&amp;G1289,Lookup!J:K,2,0),"")</f>
        <v>0</v>
      </c>
      <c r="P1289" s="110" t="str">
        <f t="shared" si="88"/>
        <v/>
      </c>
      <c r="Q1289" s="115"/>
      <c r="R1289" s="87" t="str">
        <f t="shared" si="89"/>
        <v/>
      </c>
      <c r="S1289" s="87" t="str">
        <f t="shared" si="90"/>
        <v/>
      </c>
      <c r="T1289" s="54"/>
      <c r="U1289" s="54"/>
      <c r="V1289" s="54"/>
      <c r="W1289" s="54"/>
      <c r="X1289" s="69"/>
    </row>
    <row r="1290" spans="2:24" x14ac:dyDescent="0.25">
      <c r="B1290" s="91" t="str">
        <f>IFERROR(VLOOKUP(A1290,Lookup!A:B,2,0),"")</f>
        <v/>
      </c>
      <c r="C1290" s="59" t="str">
        <f>IFERROR(VLOOKUP(A1290,Lookup!A:C,3,0),"")</f>
        <v/>
      </c>
      <c r="D1290" s="54"/>
      <c r="E1290" s="54"/>
      <c r="F1290" s="54"/>
      <c r="G1290" s="72"/>
      <c r="H1290" s="54"/>
      <c r="I1290" s="54"/>
      <c r="J1290" s="106">
        <f>VLOOKUP(A1290&amp;G1290,Lookup!J:N,5,0)</f>
        <v>0</v>
      </c>
      <c r="K1290" s="115"/>
      <c r="L1290" s="115"/>
      <c r="M1290" s="115"/>
      <c r="N1290" s="115"/>
      <c r="O1290" s="90">
        <f>IFERROR(VLOOKUP(A1290&amp;G1290,Lookup!J:K,2,0),"")</f>
        <v>0</v>
      </c>
      <c r="P1290" s="110" t="str">
        <f t="shared" si="88"/>
        <v/>
      </c>
      <c r="Q1290" s="115"/>
      <c r="R1290" s="87" t="str">
        <f t="shared" si="89"/>
        <v/>
      </c>
      <c r="S1290" s="87" t="str">
        <f t="shared" si="90"/>
        <v/>
      </c>
      <c r="T1290" s="54"/>
      <c r="U1290" s="54"/>
      <c r="V1290" s="54"/>
      <c r="W1290" s="54"/>
      <c r="X1290" s="69"/>
    </row>
    <row r="1291" spans="2:24" x14ac:dyDescent="0.25">
      <c r="B1291" s="91" t="str">
        <f>IFERROR(VLOOKUP(A1291,Lookup!A:B,2,0),"")</f>
        <v/>
      </c>
      <c r="C1291" s="59" t="str">
        <f>IFERROR(VLOOKUP(A1291,Lookup!A:C,3,0),"")</f>
        <v/>
      </c>
      <c r="D1291" s="54"/>
      <c r="E1291" s="54"/>
      <c r="F1291" s="54"/>
      <c r="G1291" s="72"/>
      <c r="H1291" s="54"/>
      <c r="I1291" s="54"/>
      <c r="J1291" s="106">
        <f>VLOOKUP(A1291&amp;G1291,Lookup!J:N,5,0)</f>
        <v>0</v>
      </c>
      <c r="K1291" s="115"/>
      <c r="L1291" s="115"/>
      <c r="M1291" s="115"/>
      <c r="N1291" s="115"/>
      <c r="O1291" s="90">
        <f>IFERROR(VLOOKUP(A1291&amp;G1291,Lookup!J:K,2,0),"")</f>
        <v>0</v>
      </c>
      <c r="P1291" s="110" t="str">
        <f t="shared" si="88"/>
        <v/>
      </c>
      <c r="Q1291" s="115"/>
      <c r="R1291" s="87" t="str">
        <f t="shared" si="89"/>
        <v/>
      </c>
      <c r="S1291" s="87" t="str">
        <f t="shared" si="90"/>
        <v/>
      </c>
      <c r="T1291" s="54"/>
      <c r="U1291" s="54"/>
      <c r="V1291" s="54"/>
      <c r="W1291" s="54"/>
      <c r="X1291" s="69"/>
    </row>
    <row r="1292" spans="2:24" x14ac:dyDescent="0.25">
      <c r="B1292" s="91" t="str">
        <f>IFERROR(VLOOKUP(A1292,Lookup!A:B,2,0),"")</f>
        <v/>
      </c>
      <c r="C1292" s="59" t="str">
        <f>IFERROR(VLOOKUP(A1292,Lookup!A:C,3,0),"")</f>
        <v/>
      </c>
      <c r="D1292" s="54"/>
      <c r="E1292" s="54"/>
      <c r="F1292" s="54"/>
      <c r="G1292" s="72"/>
      <c r="H1292" s="54"/>
      <c r="I1292" s="54"/>
      <c r="J1292" s="106">
        <f>VLOOKUP(A1292&amp;G1292,Lookup!J:N,5,0)</f>
        <v>0</v>
      </c>
      <c r="K1292" s="115"/>
      <c r="L1292" s="115"/>
      <c r="M1292" s="115"/>
      <c r="N1292" s="115"/>
      <c r="O1292" s="90">
        <f>IFERROR(VLOOKUP(A1292&amp;G1292,Lookup!J:K,2,0),"")</f>
        <v>0</v>
      </c>
      <c r="P1292" s="110" t="str">
        <f t="shared" si="88"/>
        <v/>
      </c>
      <c r="Q1292" s="115"/>
      <c r="R1292" s="87" t="str">
        <f t="shared" si="89"/>
        <v/>
      </c>
      <c r="S1292" s="87" t="str">
        <f t="shared" si="90"/>
        <v/>
      </c>
      <c r="T1292" s="54"/>
      <c r="U1292" s="54"/>
      <c r="V1292" s="54"/>
      <c r="W1292" s="54"/>
      <c r="X1292" s="69"/>
    </row>
    <row r="1293" spans="2:24" x14ac:dyDescent="0.25">
      <c r="B1293" s="91" t="str">
        <f>IFERROR(VLOOKUP(A1293,Lookup!A:B,2,0),"")</f>
        <v/>
      </c>
      <c r="C1293" s="59" t="str">
        <f>IFERROR(VLOOKUP(A1293,Lookup!A:C,3,0),"")</f>
        <v/>
      </c>
      <c r="D1293" s="54"/>
      <c r="E1293" s="54"/>
      <c r="F1293" s="54"/>
      <c r="G1293" s="72"/>
      <c r="H1293" s="54"/>
      <c r="I1293" s="54"/>
      <c r="J1293" s="106">
        <f>VLOOKUP(A1293&amp;G1293,Lookup!J:N,5,0)</f>
        <v>0</v>
      </c>
      <c r="K1293" s="115"/>
      <c r="L1293" s="115"/>
      <c r="M1293" s="115"/>
      <c r="N1293" s="115"/>
      <c r="O1293" s="90">
        <f>IFERROR(VLOOKUP(A1293&amp;G1293,Lookup!J:K,2,0),"")</f>
        <v>0</v>
      </c>
      <c r="P1293" s="110" t="str">
        <f t="shared" si="88"/>
        <v/>
      </c>
      <c r="Q1293" s="115"/>
      <c r="R1293" s="87" t="str">
        <f t="shared" si="89"/>
        <v/>
      </c>
      <c r="S1293" s="87" t="str">
        <f t="shared" si="90"/>
        <v/>
      </c>
      <c r="T1293" s="54"/>
      <c r="U1293" s="54"/>
      <c r="V1293" s="54"/>
      <c r="W1293" s="54"/>
      <c r="X1293" s="69"/>
    </row>
    <row r="1294" spans="2:24" x14ac:dyDescent="0.25">
      <c r="B1294" s="91" t="str">
        <f>IFERROR(VLOOKUP(A1294,Lookup!A:B,2,0),"")</f>
        <v/>
      </c>
      <c r="C1294" s="59" t="str">
        <f>IFERROR(VLOOKUP(A1294,Lookup!A:C,3,0),"")</f>
        <v/>
      </c>
      <c r="D1294" s="54"/>
      <c r="E1294" s="54"/>
      <c r="F1294" s="54"/>
      <c r="G1294" s="72"/>
      <c r="H1294" s="54"/>
      <c r="I1294" s="54"/>
      <c r="J1294" s="106">
        <f>VLOOKUP(A1294&amp;G1294,Lookup!J:N,5,0)</f>
        <v>0</v>
      </c>
      <c r="K1294" s="115"/>
      <c r="L1294" s="115"/>
      <c r="M1294" s="115"/>
      <c r="N1294" s="115"/>
      <c r="O1294" s="90">
        <f>IFERROR(VLOOKUP(A1294&amp;G1294,Lookup!J:K,2,0),"")</f>
        <v>0</v>
      </c>
      <c r="P1294" s="110" t="str">
        <f t="shared" si="88"/>
        <v/>
      </c>
      <c r="Q1294" s="115"/>
      <c r="R1294" s="87" t="str">
        <f t="shared" si="89"/>
        <v/>
      </c>
      <c r="S1294" s="87" t="str">
        <f t="shared" si="90"/>
        <v/>
      </c>
      <c r="T1294" s="54"/>
      <c r="U1294" s="54"/>
      <c r="V1294" s="54"/>
      <c r="W1294" s="54"/>
      <c r="X1294" s="69"/>
    </row>
    <row r="1295" spans="2:24" x14ac:dyDescent="0.25">
      <c r="B1295" s="91" t="str">
        <f>IFERROR(VLOOKUP(A1295,Lookup!A:B,2,0),"")</f>
        <v/>
      </c>
      <c r="C1295" s="59" t="str">
        <f>IFERROR(VLOOKUP(A1295,Lookup!A:C,3,0),"")</f>
        <v/>
      </c>
      <c r="D1295" s="54"/>
      <c r="E1295" s="54"/>
      <c r="F1295" s="54"/>
      <c r="G1295" s="72"/>
      <c r="H1295" s="54"/>
      <c r="I1295" s="54"/>
      <c r="J1295" s="106">
        <f>VLOOKUP(A1295&amp;G1295,Lookup!J:N,5,0)</f>
        <v>0</v>
      </c>
      <c r="K1295" s="115"/>
      <c r="L1295" s="115"/>
      <c r="M1295" s="115"/>
      <c r="N1295" s="115"/>
      <c r="O1295" s="90">
        <f>IFERROR(VLOOKUP(A1295&amp;G1295,Lookup!J:K,2,0),"")</f>
        <v>0</v>
      </c>
      <c r="P1295" s="110" t="str">
        <f t="shared" si="88"/>
        <v/>
      </c>
      <c r="Q1295" s="115"/>
      <c r="R1295" s="87" t="str">
        <f t="shared" si="89"/>
        <v/>
      </c>
      <c r="S1295" s="87" t="str">
        <f t="shared" si="90"/>
        <v/>
      </c>
      <c r="T1295" s="54"/>
      <c r="U1295" s="54"/>
      <c r="V1295" s="54"/>
      <c r="W1295" s="54"/>
      <c r="X1295" s="69"/>
    </row>
    <row r="1296" spans="2:24" x14ac:dyDescent="0.25">
      <c r="B1296" s="91" t="str">
        <f>IFERROR(VLOOKUP(A1296,Lookup!A:B,2,0),"")</f>
        <v/>
      </c>
      <c r="C1296" s="59" t="str">
        <f>IFERROR(VLOOKUP(A1296,Lookup!A:C,3,0),"")</f>
        <v/>
      </c>
      <c r="D1296" s="54"/>
      <c r="E1296" s="54"/>
      <c r="F1296" s="54"/>
      <c r="G1296" s="72"/>
      <c r="H1296" s="54"/>
      <c r="I1296" s="54"/>
      <c r="J1296" s="106">
        <f>VLOOKUP(A1296&amp;G1296,Lookup!J:N,5,0)</f>
        <v>0</v>
      </c>
      <c r="K1296" s="115"/>
      <c r="L1296" s="115"/>
      <c r="M1296" s="115"/>
      <c r="N1296" s="115"/>
      <c r="O1296" s="90">
        <f>IFERROR(VLOOKUP(A1296&amp;G1296,Lookup!J:K,2,0),"")</f>
        <v>0</v>
      </c>
      <c r="P1296" s="110" t="str">
        <f t="shared" si="88"/>
        <v/>
      </c>
      <c r="Q1296" s="115"/>
      <c r="R1296" s="87" t="str">
        <f t="shared" si="89"/>
        <v/>
      </c>
      <c r="S1296" s="87" t="str">
        <f t="shared" si="90"/>
        <v/>
      </c>
      <c r="T1296" s="54"/>
      <c r="U1296" s="54"/>
      <c r="V1296" s="54"/>
      <c r="W1296" s="54"/>
      <c r="X1296" s="69"/>
    </row>
    <row r="1297" spans="2:24" x14ac:dyDescent="0.25">
      <c r="B1297" s="91" t="str">
        <f>IFERROR(VLOOKUP(A1297,Lookup!A:B,2,0),"")</f>
        <v/>
      </c>
      <c r="C1297" s="59" t="str">
        <f>IFERROR(VLOOKUP(A1297,Lookup!A:C,3,0),"")</f>
        <v/>
      </c>
      <c r="D1297" s="54"/>
      <c r="E1297" s="54"/>
      <c r="F1297" s="54"/>
      <c r="G1297" s="72"/>
      <c r="H1297" s="54"/>
      <c r="I1297" s="54"/>
      <c r="J1297" s="106">
        <f>VLOOKUP(A1297&amp;G1297,Lookup!J:N,5,0)</f>
        <v>0</v>
      </c>
      <c r="K1297" s="115"/>
      <c r="L1297" s="115"/>
      <c r="M1297" s="115"/>
      <c r="N1297" s="115"/>
      <c r="O1297" s="90">
        <f>IFERROR(VLOOKUP(A1297&amp;G1297,Lookup!J:K,2,0),"")</f>
        <v>0</v>
      </c>
      <c r="P1297" s="110" t="str">
        <f t="shared" si="88"/>
        <v/>
      </c>
      <c r="Q1297" s="115"/>
      <c r="R1297" s="87" t="str">
        <f t="shared" si="89"/>
        <v/>
      </c>
      <c r="S1297" s="87" t="str">
        <f t="shared" si="90"/>
        <v/>
      </c>
      <c r="T1297" s="54"/>
      <c r="U1297" s="54"/>
      <c r="V1297" s="54"/>
      <c r="W1297" s="54"/>
      <c r="X1297" s="69"/>
    </row>
    <row r="1298" spans="2:24" x14ac:dyDescent="0.25">
      <c r="B1298" s="91" t="str">
        <f>IFERROR(VLOOKUP(A1298,Lookup!A:B,2,0),"")</f>
        <v/>
      </c>
      <c r="C1298" s="59" t="str">
        <f>IFERROR(VLOOKUP(A1298,Lookup!A:C,3,0),"")</f>
        <v/>
      </c>
      <c r="D1298" s="54"/>
      <c r="E1298" s="54"/>
      <c r="F1298" s="54"/>
      <c r="G1298" s="72"/>
      <c r="H1298" s="54"/>
      <c r="I1298" s="54"/>
      <c r="J1298" s="106">
        <f>VLOOKUP(A1298&amp;G1298,Lookup!J:N,5,0)</f>
        <v>0</v>
      </c>
      <c r="K1298" s="115"/>
      <c r="L1298" s="115"/>
      <c r="M1298" s="115"/>
      <c r="N1298" s="115"/>
      <c r="O1298" s="90">
        <f>IFERROR(VLOOKUP(A1298&amp;G1298,Lookup!J:K,2,0),"")</f>
        <v>0</v>
      </c>
      <c r="P1298" s="110" t="str">
        <f t="shared" si="88"/>
        <v/>
      </c>
      <c r="Q1298" s="115"/>
      <c r="R1298" s="87" t="str">
        <f t="shared" si="89"/>
        <v/>
      </c>
      <c r="S1298" s="87" t="str">
        <f t="shared" si="90"/>
        <v/>
      </c>
      <c r="T1298" s="54"/>
      <c r="U1298" s="54"/>
      <c r="V1298" s="54"/>
      <c r="W1298" s="54"/>
      <c r="X1298" s="69"/>
    </row>
    <row r="1299" spans="2:24" x14ac:dyDescent="0.25">
      <c r="B1299" s="91" t="str">
        <f>IFERROR(VLOOKUP(A1299,Lookup!A:B,2,0),"")</f>
        <v/>
      </c>
      <c r="C1299" s="59" t="str">
        <f>IFERROR(VLOOKUP(A1299,Lookup!A:C,3,0),"")</f>
        <v/>
      </c>
      <c r="D1299" s="54"/>
      <c r="E1299" s="54"/>
      <c r="F1299" s="54"/>
      <c r="G1299" s="72"/>
      <c r="H1299" s="54"/>
      <c r="I1299" s="54"/>
      <c r="J1299" s="106">
        <f>VLOOKUP(A1299&amp;G1299,Lookup!J:N,5,0)</f>
        <v>0</v>
      </c>
      <c r="K1299" s="115"/>
      <c r="L1299" s="115"/>
      <c r="M1299" s="115"/>
      <c r="N1299" s="115"/>
      <c r="O1299" s="90">
        <f>IFERROR(VLOOKUP(A1299&amp;G1299,Lookup!J:K,2,0),"")</f>
        <v>0</v>
      </c>
      <c r="P1299" s="110" t="str">
        <f t="shared" si="88"/>
        <v/>
      </c>
      <c r="Q1299" s="115"/>
      <c r="R1299" s="87" t="str">
        <f t="shared" si="89"/>
        <v/>
      </c>
      <c r="S1299" s="87" t="str">
        <f t="shared" si="90"/>
        <v/>
      </c>
      <c r="T1299" s="54"/>
      <c r="U1299" s="54"/>
      <c r="V1299" s="54"/>
      <c r="W1299" s="54"/>
      <c r="X1299" s="69"/>
    </row>
    <row r="1300" spans="2:24" x14ac:dyDescent="0.25">
      <c r="B1300" s="91" t="str">
        <f>IFERROR(VLOOKUP(A1300,Lookup!A:B,2,0),"")</f>
        <v/>
      </c>
      <c r="C1300" s="59" t="str">
        <f>IFERROR(VLOOKUP(A1300,Lookup!A:C,3,0),"")</f>
        <v/>
      </c>
      <c r="D1300" s="54"/>
      <c r="E1300" s="54"/>
      <c r="F1300" s="54"/>
      <c r="G1300" s="72"/>
      <c r="H1300" s="54"/>
      <c r="I1300" s="54"/>
      <c r="J1300" s="106">
        <f>VLOOKUP(A1300&amp;G1300,Lookup!J:N,5,0)</f>
        <v>0</v>
      </c>
      <c r="K1300" s="115"/>
      <c r="L1300" s="115"/>
      <c r="M1300" s="115"/>
      <c r="N1300" s="115"/>
      <c r="O1300" s="90">
        <f>IFERROR(VLOOKUP(A1300&amp;G1300,Lookup!J:K,2,0),"")</f>
        <v>0</v>
      </c>
      <c r="P1300" s="110" t="str">
        <f t="shared" si="88"/>
        <v/>
      </c>
      <c r="Q1300" s="115"/>
      <c r="R1300" s="87" t="str">
        <f t="shared" si="89"/>
        <v/>
      </c>
      <c r="S1300" s="87" t="str">
        <f t="shared" si="90"/>
        <v/>
      </c>
      <c r="T1300" s="54"/>
      <c r="U1300" s="54"/>
      <c r="V1300" s="54"/>
      <c r="W1300" s="54"/>
      <c r="X1300" s="69"/>
    </row>
    <row r="1301" spans="2:24" x14ac:dyDescent="0.25">
      <c r="B1301" s="91" t="str">
        <f>IFERROR(VLOOKUP(A1301,Lookup!A:B,2,0),"")</f>
        <v/>
      </c>
      <c r="C1301" s="59" t="str">
        <f>IFERROR(VLOOKUP(A1301,Lookup!A:C,3,0),"")</f>
        <v/>
      </c>
      <c r="D1301" s="54"/>
      <c r="E1301" s="54"/>
      <c r="F1301" s="54"/>
      <c r="G1301" s="72"/>
      <c r="H1301" s="54"/>
      <c r="I1301" s="54"/>
      <c r="J1301" s="106">
        <f>VLOOKUP(A1301&amp;G1301,Lookup!J:N,5,0)</f>
        <v>0</v>
      </c>
      <c r="K1301" s="115"/>
      <c r="L1301" s="115"/>
      <c r="M1301" s="115"/>
      <c r="N1301" s="115"/>
      <c r="O1301" s="90">
        <f>IFERROR(VLOOKUP(A1301&amp;G1301,Lookup!J:K,2,0),"")</f>
        <v>0</v>
      </c>
      <c r="P1301" s="110" t="str">
        <f t="shared" si="88"/>
        <v/>
      </c>
      <c r="Q1301" s="115"/>
      <c r="R1301" s="87" t="str">
        <f t="shared" si="89"/>
        <v/>
      </c>
      <c r="S1301" s="87" t="str">
        <f t="shared" si="90"/>
        <v/>
      </c>
      <c r="T1301" s="54"/>
      <c r="U1301" s="54"/>
      <c r="V1301" s="54"/>
      <c r="W1301" s="54"/>
      <c r="X1301" s="69"/>
    </row>
    <row r="1302" spans="2:24" x14ac:dyDescent="0.25">
      <c r="B1302" s="91" t="str">
        <f>IFERROR(VLOOKUP(A1302,Lookup!A:B,2,0),"")</f>
        <v/>
      </c>
      <c r="C1302" s="59" t="str">
        <f>IFERROR(VLOOKUP(A1302,Lookup!A:C,3,0),"")</f>
        <v/>
      </c>
      <c r="D1302" s="54"/>
      <c r="E1302" s="54"/>
      <c r="F1302" s="54"/>
      <c r="G1302" s="72"/>
      <c r="H1302" s="54"/>
      <c r="I1302" s="54"/>
      <c r="J1302" s="106">
        <f>VLOOKUP(A1302&amp;G1302,Lookup!J:N,5,0)</f>
        <v>0</v>
      </c>
      <c r="K1302" s="115"/>
      <c r="L1302" s="115"/>
      <c r="M1302" s="115"/>
      <c r="N1302" s="115"/>
      <c r="O1302" s="90">
        <f>IFERROR(VLOOKUP(A1302&amp;G1302,Lookup!J:K,2,0),"")</f>
        <v>0</v>
      </c>
      <c r="P1302" s="110" t="str">
        <f t="shared" si="88"/>
        <v/>
      </c>
      <c r="Q1302" s="115"/>
      <c r="R1302" s="87" t="str">
        <f t="shared" si="89"/>
        <v/>
      </c>
      <c r="S1302" s="87" t="str">
        <f t="shared" si="90"/>
        <v/>
      </c>
      <c r="T1302" s="54"/>
      <c r="U1302" s="54"/>
      <c r="V1302" s="54"/>
      <c r="W1302" s="54"/>
      <c r="X1302" s="69"/>
    </row>
    <row r="1303" spans="2:24" x14ac:dyDescent="0.25">
      <c r="B1303" s="91" t="str">
        <f>IFERROR(VLOOKUP(A1303,Lookup!A:B,2,0),"")</f>
        <v/>
      </c>
      <c r="C1303" s="59" t="str">
        <f>IFERROR(VLOOKUP(A1303,Lookup!A:C,3,0),"")</f>
        <v/>
      </c>
      <c r="J1303" s="106">
        <f>VLOOKUP(A1303&amp;G1303,Lookup!J:N,5,0)</f>
        <v>0</v>
      </c>
      <c r="O1303" s="90">
        <f>IFERROR(VLOOKUP(A1303&amp;G1303,Lookup!J:K,2,0),"")</f>
        <v>0</v>
      </c>
      <c r="P1303" s="110" t="str">
        <f t="shared" si="88"/>
        <v/>
      </c>
      <c r="R1303" s="87" t="str">
        <f t="shared" si="89"/>
        <v/>
      </c>
      <c r="S1303" s="87" t="str">
        <f t="shared" si="90"/>
        <v/>
      </c>
    </row>
    <row r="1304" spans="2:24" x14ac:dyDescent="0.25">
      <c r="B1304" s="91" t="str">
        <f>IFERROR(VLOOKUP(A1304,Lookup!A:B,2,0),"")</f>
        <v/>
      </c>
      <c r="C1304" s="59" t="str">
        <f>IFERROR(VLOOKUP(A1304,Lookup!A:C,3,0),"")</f>
        <v/>
      </c>
      <c r="J1304" s="106">
        <f>VLOOKUP(A1304&amp;G1304,Lookup!J:N,5,0)</f>
        <v>0</v>
      </c>
      <c r="O1304" s="90">
        <f>IFERROR(VLOOKUP(A1304&amp;G1304,Lookup!J:K,2,0),"")</f>
        <v>0</v>
      </c>
      <c r="P1304" s="110" t="str">
        <f t="shared" si="88"/>
        <v/>
      </c>
      <c r="R1304" s="87" t="str">
        <f t="shared" si="89"/>
        <v/>
      </c>
      <c r="S1304" s="87" t="str">
        <f t="shared" si="90"/>
        <v/>
      </c>
    </row>
    <row r="1305" spans="2:24" x14ac:dyDescent="0.25">
      <c r="B1305" s="91" t="str">
        <f>IFERROR(VLOOKUP(A1305,Lookup!A:B,2,0),"")</f>
        <v/>
      </c>
      <c r="C1305" s="59" t="str">
        <f>IFERROR(VLOOKUP(A1305,Lookup!A:C,3,0),"")</f>
        <v/>
      </c>
      <c r="J1305" s="106">
        <f>VLOOKUP(A1305&amp;G1305,Lookup!J:N,5,0)</f>
        <v>0</v>
      </c>
      <c r="O1305" s="90">
        <f>IFERROR(VLOOKUP(A1305&amp;G1305,Lookup!J:K,2,0),"")</f>
        <v>0</v>
      </c>
      <c r="P1305" s="110" t="str">
        <f t="shared" si="88"/>
        <v/>
      </c>
      <c r="R1305" s="87" t="str">
        <f t="shared" si="89"/>
        <v/>
      </c>
      <c r="S1305" s="87" t="str">
        <f t="shared" si="90"/>
        <v/>
      </c>
    </row>
    <row r="1306" spans="2:24" x14ac:dyDescent="0.25">
      <c r="B1306" s="91" t="str">
        <f>IFERROR(VLOOKUP(A1306,Lookup!A:B,2,0),"")</f>
        <v/>
      </c>
      <c r="C1306" s="59" t="str">
        <f>IFERROR(VLOOKUP(A1306,Lookup!A:C,3,0),"")</f>
        <v/>
      </c>
      <c r="J1306" s="106">
        <f>VLOOKUP(A1306&amp;G1306,Lookup!J:N,5,0)</f>
        <v>0</v>
      </c>
      <c r="O1306" s="90">
        <f>IFERROR(VLOOKUP(A1306&amp;G1306,Lookup!J:K,2,0),"")</f>
        <v>0</v>
      </c>
      <c r="P1306" s="110" t="str">
        <f t="shared" si="88"/>
        <v/>
      </c>
      <c r="R1306" s="87" t="str">
        <f t="shared" si="89"/>
        <v/>
      </c>
      <c r="S1306" s="87" t="str">
        <f t="shared" si="90"/>
        <v/>
      </c>
    </row>
    <row r="1307" spans="2:24" x14ac:dyDescent="0.25">
      <c r="B1307" s="91" t="str">
        <f>IFERROR(VLOOKUP(A1307,Lookup!A:B,2,0),"")</f>
        <v/>
      </c>
      <c r="C1307" s="59" t="str">
        <f>IFERROR(VLOOKUP(A1307,Lookup!A:C,3,0),"")</f>
        <v/>
      </c>
      <c r="J1307" s="106">
        <f>VLOOKUP(A1307&amp;G1307,Lookup!J:N,5,0)</f>
        <v>0</v>
      </c>
      <c r="O1307" s="90">
        <f>IFERROR(VLOOKUP(A1307&amp;G1307,Lookup!J:K,2,0),"")</f>
        <v>0</v>
      </c>
      <c r="P1307" s="110" t="str">
        <f t="shared" si="88"/>
        <v/>
      </c>
      <c r="R1307" s="87" t="str">
        <f t="shared" si="89"/>
        <v/>
      </c>
      <c r="S1307" s="87" t="str">
        <f t="shared" si="90"/>
        <v/>
      </c>
    </row>
    <row r="1308" spans="2:24" x14ac:dyDescent="0.25">
      <c r="B1308" s="91" t="str">
        <f>IFERROR(VLOOKUP(A1308,Lookup!A:B,2,0),"")</f>
        <v/>
      </c>
      <c r="C1308" s="59" t="str">
        <f>IFERROR(VLOOKUP(A1308,Lookup!A:C,3,0),"")</f>
        <v/>
      </c>
      <c r="J1308" s="106">
        <f>VLOOKUP(A1308&amp;G1308,Lookup!J:N,5,0)</f>
        <v>0</v>
      </c>
      <c r="O1308" s="90">
        <f>IFERROR(VLOOKUP(A1308&amp;G1308,Lookup!J:K,2,0),"")</f>
        <v>0</v>
      </c>
      <c r="P1308" s="110" t="str">
        <f t="shared" si="88"/>
        <v/>
      </c>
      <c r="R1308" s="87" t="str">
        <f t="shared" si="89"/>
        <v/>
      </c>
      <c r="S1308" s="87" t="str">
        <f t="shared" si="90"/>
        <v/>
      </c>
    </row>
    <row r="1309" spans="2:24" x14ac:dyDescent="0.25">
      <c r="B1309" s="91" t="str">
        <f>IFERROR(VLOOKUP(A1309,Lookup!A:B,2,0),"")</f>
        <v/>
      </c>
      <c r="C1309" s="59" t="str">
        <f>IFERROR(VLOOKUP(A1309,Lookup!A:C,3,0),"")</f>
        <v/>
      </c>
      <c r="J1309" s="106">
        <f>VLOOKUP(A1309&amp;G1309,Lookup!J:N,5,0)</f>
        <v>0</v>
      </c>
      <c r="O1309" s="90">
        <f>IFERROR(VLOOKUP(A1309&amp;G1309,Lookup!J:K,2,0),"")</f>
        <v>0</v>
      </c>
      <c r="P1309" s="110" t="str">
        <f t="shared" si="88"/>
        <v/>
      </c>
      <c r="R1309" s="87" t="str">
        <f t="shared" si="89"/>
        <v/>
      </c>
      <c r="S1309" s="87" t="str">
        <f t="shared" si="90"/>
        <v/>
      </c>
    </row>
    <row r="1310" spans="2:24" x14ac:dyDescent="0.25">
      <c r="B1310" s="91" t="str">
        <f>IFERROR(VLOOKUP(A1310,Lookup!A:B,2,0),"")</f>
        <v/>
      </c>
      <c r="C1310" s="59" t="str">
        <f>IFERROR(VLOOKUP(A1310,Lookup!A:C,3,0),"")</f>
        <v/>
      </c>
      <c r="J1310" s="106">
        <f>VLOOKUP(A1310&amp;G1310,Lookup!J:N,5,0)</f>
        <v>0</v>
      </c>
      <c r="O1310" s="90">
        <f>IFERROR(VLOOKUP(A1310&amp;G1310,Lookup!J:K,2,0),"")</f>
        <v>0</v>
      </c>
      <c r="P1310" s="110" t="str">
        <f t="shared" si="88"/>
        <v/>
      </c>
      <c r="R1310" s="87" t="str">
        <f t="shared" si="89"/>
        <v/>
      </c>
      <c r="S1310" s="87" t="str">
        <f t="shared" si="90"/>
        <v/>
      </c>
    </row>
    <row r="1311" spans="2:24" x14ac:dyDescent="0.25">
      <c r="B1311" s="91" t="str">
        <f>IFERROR(VLOOKUP(A1311,Lookup!A:B,2,0),"")</f>
        <v/>
      </c>
      <c r="C1311" s="59" t="str">
        <f>IFERROR(VLOOKUP(A1311,Lookup!A:C,3,0),"")</f>
        <v/>
      </c>
      <c r="J1311" s="106">
        <f>VLOOKUP(A1311&amp;G1311,Lookup!J:N,5,0)</f>
        <v>0</v>
      </c>
      <c r="O1311" s="90">
        <f>IFERROR(VLOOKUP(A1311&amp;G1311,Lookup!J:K,2,0),"")</f>
        <v>0</v>
      </c>
      <c r="P1311" s="110" t="str">
        <f t="shared" si="88"/>
        <v/>
      </c>
      <c r="R1311" s="87" t="str">
        <f t="shared" si="89"/>
        <v/>
      </c>
      <c r="S1311" s="87" t="str">
        <f t="shared" si="90"/>
        <v/>
      </c>
    </row>
    <row r="1312" spans="2:24" x14ac:dyDescent="0.25">
      <c r="B1312" s="91" t="str">
        <f>IFERROR(VLOOKUP(A1312,Lookup!A:B,2,0),"")</f>
        <v/>
      </c>
      <c r="C1312" s="59" t="str">
        <f>IFERROR(VLOOKUP(A1312,Lookup!A:C,3,0),"")</f>
        <v/>
      </c>
      <c r="J1312" s="106">
        <f>VLOOKUP(A1312&amp;G1312,Lookup!J:N,5,0)</f>
        <v>0</v>
      </c>
      <c r="O1312" s="90">
        <f>IFERROR(VLOOKUP(A1312&amp;G1312,Lookup!J:K,2,0),"")</f>
        <v>0</v>
      </c>
      <c r="P1312" s="110" t="str">
        <f t="shared" si="88"/>
        <v/>
      </c>
      <c r="R1312" s="87" t="str">
        <f t="shared" si="89"/>
        <v/>
      </c>
      <c r="S1312" s="87" t="str">
        <f t="shared" si="90"/>
        <v/>
      </c>
    </row>
    <row r="1313" spans="2:19" x14ac:dyDescent="0.25">
      <c r="B1313" s="91" t="str">
        <f>IFERROR(VLOOKUP(A1313,Lookup!A:B,2,0),"")</f>
        <v/>
      </c>
      <c r="C1313" s="59" t="str">
        <f>IFERROR(VLOOKUP(A1313,Lookup!A:C,3,0),"")</f>
        <v/>
      </c>
      <c r="J1313" s="106">
        <f>VLOOKUP(A1313&amp;G1313,Lookup!J:N,5,0)</f>
        <v>0</v>
      </c>
      <c r="O1313" s="90">
        <f>IFERROR(VLOOKUP(A1313&amp;G1313,Lookup!J:K,2,0),"")</f>
        <v>0</v>
      </c>
      <c r="P1313" s="110" t="str">
        <f t="shared" si="88"/>
        <v/>
      </c>
      <c r="R1313" s="87" t="str">
        <f t="shared" si="89"/>
        <v/>
      </c>
      <c r="S1313" s="87" t="str">
        <f t="shared" si="90"/>
        <v/>
      </c>
    </row>
    <row r="1314" spans="2:19" x14ac:dyDescent="0.25">
      <c r="B1314" s="91" t="str">
        <f>IFERROR(VLOOKUP(A1314,Lookup!A:B,2,0),"")</f>
        <v/>
      </c>
      <c r="C1314" s="59" t="str">
        <f>IFERROR(VLOOKUP(A1314,Lookup!A:C,3,0),"")</f>
        <v/>
      </c>
      <c r="J1314" s="106">
        <f>VLOOKUP(A1314&amp;G1314,Lookup!J:N,5,0)</f>
        <v>0</v>
      </c>
      <c r="O1314" s="90">
        <f>IFERROR(VLOOKUP(A1314&amp;G1314,Lookup!J:K,2,0),"")</f>
        <v>0</v>
      </c>
      <c r="P1314" s="110" t="str">
        <f t="shared" si="88"/>
        <v/>
      </c>
      <c r="R1314" s="87" t="str">
        <f t="shared" si="89"/>
        <v/>
      </c>
      <c r="S1314" s="87" t="str">
        <f t="shared" si="90"/>
        <v/>
      </c>
    </row>
    <row r="1315" spans="2:19" x14ac:dyDescent="0.25">
      <c r="B1315" s="91" t="str">
        <f>IFERROR(VLOOKUP(A1315,Lookup!A:B,2,0),"")</f>
        <v/>
      </c>
      <c r="C1315" s="59" t="str">
        <f>IFERROR(VLOOKUP(A1315,Lookup!A:C,3,0),"")</f>
        <v/>
      </c>
      <c r="J1315" s="106">
        <f>VLOOKUP(A1315&amp;G1315,Lookup!J:N,5,0)</f>
        <v>0</v>
      </c>
      <c r="O1315" s="90">
        <f>IFERROR(VLOOKUP(A1315&amp;G1315,Lookup!J:K,2,0),"")</f>
        <v>0</v>
      </c>
      <c r="P1315" s="110" t="str">
        <f t="shared" si="88"/>
        <v/>
      </c>
      <c r="R1315" s="87" t="str">
        <f t="shared" si="89"/>
        <v/>
      </c>
      <c r="S1315" s="87" t="str">
        <f t="shared" si="90"/>
        <v/>
      </c>
    </row>
    <row r="1316" spans="2:19" x14ac:dyDescent="0.25">
      <c r="B1316" s="91" t="str">
        <f>IFERROR(VLOOKUP(A1316,Lookup!A:B,2,0),"")</f>
        <v/>
      </c>
      <c r="C1316" s="59" t="str">
        <f>IFERROR(VLOOKUP(A1316,Lookup!A:C,3,0),"")</f>
        <v/>
      </c>
      <c r="J1316" s="106">
        <f>VLOOKUP(A1316&amp;G1316,Lookup!J:N,5,0)</f>
        <v>0</v>
      </c>
      <c r="O1316" s="90">
        <f>IFERROR(VLOOKUP(A1316&amp;G1316,Lookup!J:K,2,0),"")</f>
        <v>0</v>
      </c>
      <c r="P1316" s="110" t="str">
        <f t="shared" si="88"/>
        <v/>
      </c>
      <c r="R1316" s="87" t="str">
        <f t="shared" si="89"/>
        <v/>
      </c>
      <c r="S1316" s="87" t="str">
        <f t="shared" si="90"/>
        <v/>
      </c>
    </row>
    <row r="1317" spans="2:19" x14ac:dyDescent="0.25">
      <c r="B1317" s="91" t="str">
        <f>IFERROR(VLOOKUP(A1317,Lookup!A:B,2,0),"")</f>
        <v/>
      </c>
      <c r="C1317" s="59" t="str">
        <f>IFERROR(VLOOKUP(A1317,Lookup!A:C,3,0),"")</f>
        <v/>
      </c>
      <c r="J1317" s="106">
        <f>VLOOKUP(A1317&amp;G1317,Lookup!J:N,5,0)</f>
        <v>0</v>
      </c>
      <c r="O1317" s="90">
        <f>IFERROR(VLOOKUP(A1317&amp;G1317,Lookup!J:K,2,0),"")</f>
        <v>0</v>
      </c>
      <c r="P1317" s="110" t="str">
        <f t="shared" si="88"/>
        <v/>
      </c>
      <c r="R1317" s="87" t="str">
        <f t="shared" si="89"/>
        <v/>
      </c>
      <c r="S1317" s="87" t="str">
        <f t="shared" si="90"/>
        <v/>
      </c>
    </row>
    <row r="1318" spans="2:19" x14ac:dyDescent="0.25">
      <c r="B1318" s="91" t="str">
        <f>IFERROR(VLOOKUP(A1318,Lookup!A:B,2,0),"")</f>
        <v/>
      </c>
      <c r="C1318" s="59" t="str">
        <f>IFERROR(VLOOKUP(A1318,Lookup!A:C,3,0),"")</f>
        <v/>
      </c>
      <c r="J1318" s="106">
        <f>VLOOKUP(A1318&amp;G1318,Lookup!J:N,5,0)</f>
        <v>0</v>
      </c>
      <c r="O1318" s="90">
        <f>IFERROR(VLOOKUP(A1318&amp;G1318,Lookup!J:K,2,0),"")</f>
        <v>0</v>
      </c>
      <c r="P1318" s="110" t="str">
        <f t="shared" si="88"/>
        <v/>
      </c>
      <c r="R1318" s="87" t="str">
        <f t="shared" si="89"/>
        <v/>
      </c>
      <c r="S1318" s="87" t="str">
        <f t="shared" si="90"/>
        <v/>
      </c>
    </row>
    <row r="1319" spans="2:19" x14ac:dyDescent="0.25">
      <c r="B1319" s="91" t="str">
        <f>IFERROR(VLOOKUP(A1319,Lookup!A:B,2,0),"")</f>
        <v/>
      </c>
      <c r="C1319" s="59" t="str">
        <f>IFERROR(VLOOKUP(A1319,Lookup!A:C,3,0),"")</f>
        <v/>
      </c>
      <c r="J1319" s="106">
        <f>VLOOKUP(A1319&amp;G1319,Lookup!J:N,5,0)</f>
        <v>0</v>
      </c>
      <c r="O1319" s="90">
        <f>IFERROR(VLOOKUP(A1319&amp;G1319,Lookup!J:K,2,0),"")</f>
        <v>0</v>
      </c>
      <c r="P1319" s="110" t="str">
        <f t="shared" si="88"/>
        <v/>
      </c>
      <c r="R1319" s="87" t="str">
        <f t="shared" si="89"/>
        <v/>
      </c>
      <c r="S1319" s="87" t="str">
        <f t="shared" si="90"/>
        <v/>
      </c>
    </row>
    <row r="1320" spans="2:19" x14ac:dyDescent="0.25">
      <c r="B1320" s="91" t="str">
        <f>IFERROR(VLOOKUP(A1320,Lookup!A:B,2,0),"")</f>
        <v/>
      </c>
      <c r="C1320" s="59" t="str">
        <f>IFERROR(VLOOKUP(A1320,Lookup!A:C,3,0),"")</f>
        <v/>
      </c>
      <c r="J1320" s="106">
        <f>VLOOKUP(A1320&amp;G1320,Lookup!J:N,5,0)</f>
        <v>0</v>
      </c>
      <c r="O1320" s="90">
        <f>IFERROR(VLOOKUP(A1320&amp;G1320,Lookup!J:K,2,0),"")</f>
        <v>0</v>
      </c>
      <c r="P1320" s="110" t="str">
        <f t="shared" si="88"/>
        <v/>
      </c>
      <c r="R1320" s="87" t="str">
        <f t="shared" si="89"/>
        <v/>
      </c>
      <c r="S1320" s="87" t="str">
        <f t="shared" si="90"/>
        <v/>
      </c>
    </row>
    <row r="1321" spans="2:19" x14ac:dyDescent="0.25">
      <c r="B1321" s="91" t="str">
        <f>IFERROR(VLOOKUP(A1321,Lookup!A:B,2,0),"")</f>
        <v/>
      </c>
      <c r="C1321" s="59" t="str">
        <f>IFERROR(VLOOKUP(A1321,Lookup!A:C,3,0),"")</f>
        <v/>
      </c>
      <c r="J1321" s="106">
        <f>VLOOKUP(A1321&amp;G1321,Lookup!J:N,5,0)</f>
        <v>0</v>
      </c>
      <c r="O1321" s="90">
        <f>IFERROR(VLOOKUP(A1321&amp;G1321,Lookup!J:K,2,0),"")</f>
        <v>0</v>
      </c>
      <c r="P1321" s="110" t="str">
        <f t="shared" si="88"/>
        <v/>
      </c>
      <c r="R1321" s="87" t="str">
        <f t="shared" si="89"/>
        <v/>
      </c>
      <c r="S1321" s="87" t="str">
        <f t="shared" si="90"/>
        <v/>
      </c>
    </row>
    <row r="1322" spans="2:19" x14ac:dyDescent="0.25">
      <c r="B1322" s="91" t="str">
        <f>IFERROR(VLOOKUP(A1322,Lookup!A:B,2,0),"")</f>
        <v/>
      </c>
      <c r="C1322" s="59" t="str">
        <f>IFERROR(VLOOKUP(A1322,Lookup!A:C,3,0),"")</f>
        <v/>
      </c>
      <c r="J1322" s="106">
        <f>VLOOKUP(A1322&amp;G1322,Lookup!J:N,5,0)</f>
        <v>0</v>
      </c>
      <c r="O1322" s="90">
        <f>IFERROR(VLOOKUP(A1322&amp;G1322,Lookup!J:K,2,0),"")</f>
        <v>0</v>
      </c>
      <c r="P1322" s="110" t="str">
        <f t="shared" si="88"/>
        <v/>
      </c>
      <c r="R1322" s="87" t="str">
        <f t="shared" si="89"/>
        <v/>
      </c>
      <c r="S1322" s="87" t="str">
        <f t="shared" si="90"/>
        <v/>
      </c>
    </row>
    <row r="1323" spans="2:19" x14ac:dyDescent="0.25">
      <c r="B1323" s="91" t="str">
        <f>IFERROR(VLOOKUP(A1323,Lookup!A:B,2,0),"")</f>
        <v/>
      </c>
      <c r="C1323" s="59" t="str">
        <f>IFERROR(VLOOKUP(A1323,Lookup!A:C,3,0),"")</f>
        <v/>
      </c>
      <c r="J1323" s="106">
        <f>VLOOKUP(A1323&amp;G1323,Lookup!J:N,5,0)</f>
        <v>0</v>
      </c>
      <c r="O1323" s="90">
        <f>IFERROR(VLOOKUP(A1323&amp;G1323,Lookup!J:K,2,0),"")</f>
        <v>0</v>
      </c>
      <c r="P1323" s="110" t="str">
        <f t="shared" si="88"/>
        <v/>
      </c>
      <c r="R1323" s="87" t="str">
        <f t="shared" si="89"/>
        <v/>
      </c>
      <c r="S1323" s="87" t="str">
        <f t="shared" si="90"/>
        <v/>
      </c>
    </row>
    <row r="1324" spans="2:19" x14ac:dyDescent="0.25">
      <c r="B1324" s="91" t="str">
        <f>IFERROR(VLOOKUP(A1324,Lookup!A:B,2,0),"")</f>
        <v/>
      </c>
      <c r="C1324" s="59" t="str">
        <f>IFERROR(VLOOKUP(A1324,Lookup!A:C,3,0),"")</f>
        <v/>
      </c>
      <c r="J1324" s="106">
        <f>VLOOKUP(A1324&amp;G1324,Lookup!J:N,5,0)</f>
        <v>0</v>
      </c>
      <c r="O1324" s="90">
        <f>IFERROR(VLOOKUP(A1324&amp;G1324,Lookup!J:K,2,0),"")</f>
        <v>0</v>
      </c>
      <c r="P1324" s="110" t="str">
        <f t="shared" si="88"/>
        <v/>
      </c>
      <c r="R1324" s="87" t="str">
        <f t="shared" si="89"/>
        <v/>
      </c>
      <c r="S1324" s="87" t="str">
        <f t="shared" si="90"/>
        <v/>
      </c>
    </row>
    <row r="1325" spans="2:19" x14ac:dyDescent="0.25">
      <c r="B1325" s="91" t="str">
        <f>IFERROR(VLOOKUP(A1325,Lookup!A:B,2,0),"")</f>
        <v/>
      </c>
      <c r="C1325" s="59" t="str">
        <f>IFERROR(VLOOKUP(A1325,Lookup!A:C,3,0),"")</f>
        <v/>
      </c>
      <c r="J1325" s="106">
        <f>VLOOKUP(A1325&amp;G1325,Lookup!J:N,5,0)</f>
        <v>0</v>
      </c>
      <c r="O1325" s="90">
        <f>IFERROR(VLOOKUP(A1325&amp;G1325,Lookup!J:K,2,0),"")</f>
        <v>0</v>
      </c>
      <c r="P1325" s="110" t="str">
        <f t="shared" si="88"/>
        <v/>
      </c>
      <c r="R1325" s="87" t="str">
        <f t="shared" si="89"/>
        <v/>
      </c>
      <c r="S1325" s="87" t="str">
        <f t="shared" si="90"/>
        <v/>
      </c>
    </row>
    <row r="1326" spans="2:19" x14ac:dyDescent="0.25">
      <c r="B1326" s="91" t="str">
        <f>IFERROR(VLOOKUP(A1326,Lookup!A:B,2,0),"")</f>
        <v/>
      </c>
      <c r="C1326" s="59" t="str">
        <f>IFERROR(VLOOKUP(A1326,Lookup!A:C,3,0),"")</f>
        <v/>
      </c>
      <c r="J1326" s="106">
        <f>VLOOKUP(A1326&amp;G1326,Lookup!J:N,5,0)</f>
        <v>0</v>
      </c>
      <c r="O1326" s="90">
        <f>IFERROR(VLOOKUP(A1326&amp;G1326,Lookup!J:K,2,0),"")</f>
        <v>0</v>
      </c>
      <c r="P1326" s="110" t="str">
        <f t="shared" si="88"/>
        <v/>
      </c>
      <c r="R1326" s="87" t="str">
        <f t="shared" si="89"/>
        <v/>
      </c>
      <c r="S1326" s="87" t="str">
        <f t="shared" si="90"/>
        <v/>
      </c>
    </row>
    <row r="1327" spans="2:19" x14ac:dyDescent="0.25">
      <c r="B1327" s="91" t="str">
        <f>IFERROR(VLOOKUP(A1327,Lookup!A:B,2,0),"")</f>
        <v/>
      </c>
      <c r="C1327" s="59" t="str">
        <f>IFERROR(VLOOKUP(A1327,Lookup!A:C,3,0),"")</f>
        <v/>
      </c>
      <c r="J1327" s="106">
        <f>VLOOKUP(A1327&amp;G1327,Lookup!J:N,5,0)</f>
        <v>0</v>
      </c>
      <c r="O1327" s="90">
        <f>IFERROR(VLOOKUP(A1327&amp;G1327,Lookup!J:K,2,0),"")</f>
        <v>0</v>
      </c>
      <c r="P1327" s="110" t="str">
        <f t="shared" si="88"/>
        <v/>
      </c>
      <c r="R1327" s="87" t="str">
        <f t="shared" si="89"/>
        <v/>
      </c>
      <c r="S1327" s="87" t="str">
        <f t="shared" si="90"/>
        <v/>
      </c>
    </row>
    <row r="1328" spans="2:19" x14ac:dyDescent="0.25">
      <c r="B1328" s="91" t="str">
        <f>IFERROR(VLOOKUP(A1328,Lookup!A:B,2,0),"")</f>
        <v/>
      </c>
      <c r="C1328" s="59" t="str">
        <f>IFERROR(VLOOKUP(A1328,Lookup!A:C,3,0),"")</f>
        <v/>
      </c>
      <c r="J1328" s="106">
        <f>VLOOKUP(A1328&amp;G1328,Lookup!J:N,5,0)</f>
        <v>0</v>
      </c>
      <c r="O1328" s="90">
        <f>IFERROR(VLOOKUP(A1328&amp;G1328,Lookup!J:K,2,0),"")</f>
        <v>0</v>
      </c>
      <c r="P1328" s="110" t="str">
        <f t="shared" si="88"/>
        <v/>
      </c>
      <c r="R1328" s="87" t="str">
        <f t="shared" si="89"/>
        <v/>
      </c>
      <c r="S1328" s="87" t="str">
        <f t="shared" si="90"/>
        <v/>
      </c>
    </row>
    <row r="1329" spans="2:19" x14ac:dyDescent="0.25">
      <c r="B1329" s="91" t="str">
        <f>IFERROR(VLOOKUP(A1329,Lookup!A:B,2,0),"")</f>
        <v/>
      </c>
      <c r="C1329" s="59" t="str">
        <f>IFERROR(VLOOKUP(A1329,Lookup!A:C,3,0),"")</f>
        <v/>
      </c>
      <c r="J1329" s="106">
        <f>VLOOKUP(A1329&amp;G1329,Lookup!J:N,5,0)</f>
        <v>0</v>
      </c>
      <c r="O1329" s="90">
        <f>IFERROR(VLOOKUP(A1329&amp;G1329,Lookup!J:K,2,0),"")</f>
        <v>0</v>
      </c>
      <c r="P1329" s="110" t="str">
        <f t="shared" si="88"/>
        <v/>
      </c>
      <c r="R1329" s="87" t="str">
        <f t="shared" si="89"/>
        <v/>
      </c>
      <c r="S1329" s="87" t="str">
        <f t="shared" si="90"/>
        <v/>
      </c>
    </row>
    <row r="1330" spans="2:19" x14ac:dyDescent="0.25">
      <c r="B1330" s="91" t="str">
        <f>IFERROR(VLOOKUP(A1330,Lookup!A:B,2,0),"")</f>
        <v/>
      </c>
      <c r="C1330" s="59" t="str">
        <f>IFERROR(VLOOKUP(A1330,Lookup!A:C,3,0),"")</f>
        <v/>
      </c>
      <c r="J1330" s="106">
        <f>VLOOKUP(A1330&amp;G1330,Lookup!J:N,5,0)</f>
        <v>0</v>
      </c>
      <c r="O1330" s="90">
        <f>IFERROR(VLOOKUP(A1330&amp;G1330,Lookup!J:K,2,0),"")</f>
        <v>0</v>
      </c>
      <c r="P1330" s="110" t="str">
        <f t="shared" si="88"/>
        <v/>
      </c>
      <c r="R1330" s="87" t="str">
        <f t="shared" si="89"/>
        <v/>
      </c>
      <c r="S1330" s="87" t="str">
        <f t="shared" si="90"/>
        <v/>
      </c>
    </row>
    <row r="1331" spans="2:19" x14ac:dyDescent="0.25">
      <c r="B1331" s="91" t="str">
        <f>IFERROR(VLOOKUP(A1331,Lookup!A:B,2,0),"")</f>
        <v/>
      </c>
      <c r="C1331" s="59" t="str">
        <f>IFERROR(VLOOKUP(A1331,Lookup!A:C,3,0),"")</f>
        <v/>
      </c>
      <c r="J1331" s="106">
        <f>VLOOKUP(A1331&amp;G1331,Lookup!J:N,5,0)</f>
        <v>0</v>
      </c>
      <c r="O1331" s="90">
        <f>IFERROR(VLOOKUP(A1331&amp;G1331,Lookup!J:K,2,0),"")</f>
        <v>0</v>
      </c>
      <c r="P1331" s="110" t="str">
        <f t="shared" si="88"/>
        <v/>
      </c>
      <c r="R1331" s="87" t="str">
        <f t="shared" si="89"/>
        <v/>
      </c>
      <c r="S1331" s="87" t="str">
        <f t="shared" si="90"/>
        <v/>
      </c>
    </row>
    <row r="1332" spans="2:19" x14ac:dyDescent="0.25">
      <c r="B1332" s="91" t="str">
        <f>IFERROR(VLOOKUP(A1332,Lookup!A:B,2,0),"")</f>
        <v/>
      </c>
      <c r="C1332" s="59" t="str">
        <f>IFERROR(VLOOKUP(A1332,Lookup!A:C,3,0),"")</f>
        <v/>
      </c>
      <c r="J1332" s="106">
        <f>VLOOKUP(A1332&amp;G1332,Lookup!J:N,5,0)</f>
        <v>0</v>
      </c>
      <c r="O1332" s="90">
        <f>IFERROR(VLOOKUP(A1332&amp;G1332,Lookup!J:K,2,0),"")</f>
        <v>0</v>
      </c>
      <c r="P1332" s="110" t="str">
        <f t="shared" si="88"/>
        <v/>
      </c>
      <c r="R1332" s="87" t="str">
        <f t="shared" si="89"/>
        <v/>
      </c>
      <c r="S1332" s="87" t="str">
        <f t="shared" si="90"/>
        <v/>
      </c>
    </row>
    <row r="1333" spans="2:19" x14ac:dyDescent="0.25">
      <c r="B1333" s="91" t="str">
        <f>IFERROR(VLOOKUP(A1333,Lookup!A:B,2,0),"")</f>
        <v/>
      </c>
      <c r="C1333" s="59" t="str">
        <f>IFERROR(VLOOKUP(A1333,Lookup!A:C,3,0),"")</f>
        <v/>
      </c>
      <c r="J1333" s="106">
        <f>VLOOKUP(A1333&amp;G1333,Lookup!J:N,5,0)</f>
        <v>0</v>
      </c>
      <c r="O1333" s="90">
        <f>IFERROR(VLOOKUP(A1333&amp;G1333,Lookup!J:K,2,0),"")</f>
        <v>0</v>
      </c>
      <c r="P1333" s="110" t="str">
        <f t="shared" si="88"/>
        <v/>
      </c>
      <c r="R1333" s="87" t="str">
        <f t="shared" si="89"/>
        <v/>
      </c>
      <c r="S1333" s="87" t="str">
        <f t="shared" si="90"/>
        <v/>
      </c>
    </row>
    <row r="1334" spans="2:19" x14ac:dyDescent="0.25">
      <c r="B1334" s="91" t="str">
        <f>IFERROR(VLOOKUP(A1334,Lookup!A:B,2,0),"")</f>
        <v/>
      </c>
      <c r="C1334" s="59" t="str">
        <f>IFERROR(VLOOKUP(A1334,Lookup!A:C,3,0),"")</f>
        <v/>
      </c>
      <c r="J1334" s="106">
        <f>VLOOKUP(A1334&amp;G1334,Lookup!J:N,5,0)</f>
        <v>0</v>
      </c>
      <c r="O1334" s="90">
        <f>IFERROR(VLOOKUP(A1334&amp;G1334,Lookup!J:K,2,0),"")</f>
        <v>0</v>
      </c>
      <c r="P1334" s="110" t="str">
        <f t="shared" si="88"/>
        <v/>
      </c>
      <c r="R1334" s="87" t="str">
        <f t="shared" si="89"/>
        <v/>
      </c>
      <c r="S1334" s="87" t="str">
        <f t="shared" si="90"/>
        <v/>
      </c>
    </row>
    <row r="1335" spans="2:19" x14ac:dyDescent="0.25">
      <c r="B1335" s="91" t="str">
        <f>IFERROR(VLOOKUP(A1335,Lookup!A:B,2,0),"")</f>
        <v/>
      </c>
      <c r="C1335" s="59" t="str">
        <f>IFERROR(VLOOKUP(A1335,Lookup!A:C,3,0),"")</f>
        <v/>
      </c>
      <c r="J1335" s="106">
        <f>VLOOKUP(A1335&amp;G1335,Lookup!J:N,5,0)</f>
        <v>0</v>
      </c>
      <c r="O1335" s="90">
        <f>IFERROR(VLOOKUP(A1335&amp;G1335,Lookup!J:K,2,0),"")</f>
        <v>0</v>
      </c>
      <c r="P1335" s="110" t="str">
        <f t="shared" si="88"/>
        <v/>
      </c>
      <c r="R1335" s="87" t="str">
        <f t="shared" si="89"/>
        <v/>
      </c>
      <c r="S1335" s="87" t="str">
        <f t="shared" si="90"/>
        <v/>
      </c>
    </row>
    <row r="1336" spans="2:19" x14ac:dyDescent="0.25">
      <c r="B1336" s="91" t="str">
        <f>IFERROR(VLOOKUP(A1336,Lookup!A:B,2,0),"")</f>
        <v/>
      </c>
      <c r="C1336" s="59" t="str">
        <f>IFERROR(VLOOKUP(A1336,Lookup!A:C,3,0),"")</f>
        <v/>
      </c>
      <c r="J1336" s="106">
        <f>VLOOKUP(A1336&amp;G1336,Lookup!J:N,5,0)</f>
        <v>0</v>
      </c>
      <c r="O1336" s="90">
        <f>IFERROR(VLOOKUP(A1336&amp;G1336,Lookup!J:K,2,0),"")</f>
        <v>0</v>
      </c>
      <c r="P1336" s="110" t="str">
        <f t="shared" si="88"/>
        <v/>
      </c>
      <c r="R1336" s="87" t="str">
        <f t="shared" si="89"/>
        <v/>
      </c>
      <c r="S1336" s="87" t="str">
        <f t="shared" si="90"/>
        <v/>
      </c>
    </row>
    <row r="1337" spans="2:19" x14ac:dyDescent="0.25">
      <c r="B1337" s="91" t="str">
        <f>IFERROR(VLOOKUP(A1337,Lookup!A:B,2,0),"")</f>
        <v/>
      </c>
      <c r="C1337" s="59" t="str">
        <f>IFERROR(VLOOKUP(A1337,Lookup!A:C,3,0),"")</f>
        <v/>
      </c>
      <c r="J1337" s="106">
        <f>VLOOKUP(A1337&amp;G1337,Lookup!J:N,5,0)</f>
        <v>0</v>
      </c>
      <c r="O1337" s="90">
        <f>IFERROR(VLOOKUP(A1337&amp;G1337,Lookup!J:K,2,0),"")</f>
        <v>0</v>
      </c>
      <c r="P1337" s="110" t="str">
        <f t="shared" si="88"/>
        <v/>
      </c>
      <c r="R1337" s="87" t="str">
        <f t="shared" si="89"/>
        <v/>
      </c>
      <c r="S1337" s="87" t="str">
        <f t="shared" si="90"/>
        <v/>
      </c>
    </row>
    <row r="1338" spans="2:19" x14ac:dyDescent="0.25">
      <c r="B1338" s="91" t="str">
        <f>IFERROR(VLOOKUP(A1338,Lookup!A:B,2,0),"")</f>
        <v/>
      </c>
      <c r="C1338" s="59" t="str">
        <f>IFERROR(VLOOKUP(A1338,Lookup!A:C,3,0),"")</f>
        <v/>
      </c>
      <c r="J1338" s="106">
        <f>VLOOKUP(A1338&amp;G1338,Lookup!J:N,5,0)</f>
        <v>0</v>
      </c>
      <c r="O1338" s="90">
        <f>IFERROR(VLOOKUP(A1338&amp;G1338,Lookup!J:K,2,0),"")</f>
        <v>0</v>
      </c>
      <c r="P1338" s="110" t="str">
        <f t="shared" si="88"/>
        <v/>
      </c>
      <c r="R1338" s="87" t="str">
        <f t="shared" si="89"/>
        <v/>
      </c>
      <c r="S1338" s="87" t="str">
        <f t="shared" si="90"/>
        <v/>
      </c>
    </row>
    <row r="1339" spans="2:19" x14ac:dyDescent="0.25">
      <c r="B1339" s="91" t="str">
        <f>IFERROR(VLOOKUP(A1339,Lookup!A:B,2,0),"")</f>
        <v/>
      </c>
      <c r="C1339" s="59" t="str">
        <f>IFERROR(VLOOKUP(A1339,Lookup!A:C,3,0),"")</f>
        <v/>
      </c>
      <c r="J1339" s="106">
        <f>VLOOKUP(A1339&amp;G1339,Lookup!J:N,5,0)</f>
        <v>0</v>
      </c>
      <c r="O1339" s="90">
        <f>IFERROR(VLOOKUP(A1339&amp;G1339,Lookup!J:K,2,0),"")</f>
        <v>0</v>
      </c>
      <c r="P1339" s="110" t="str">
        <f t="shared" si="88"/>
        <v/>
      </c>
      <c r="R1339" s="87" t="str">
        <f t="shared" si="89"/>
        <v/>
      </c>
      <c r="S1339" s="87" t="str">
        <f t="shared" si="90"/>
        <v/>
      </c>
    </row>
    <row r="1340" spans="2:19" x14ac:dyDescent="0.25">
      <c r="B1340" s="91" t="str">
        <f>IFERROR(VLOOKUP(A1340,Lookup!A:B,2,0),"")</f>
        <v/>
      </c>
      <c r="C1340" s="59" t="str">
        <f>IFERROR(VLOOKUP(A1340,Lookup!A:C,3,0),"")</f>
        <v/>
      </c>
      <c r="J1340" s="106">
        <f>VLOOKUP(A1340&amp;G1340,Lookup!J:N,5,0)</f>
        <v>0</v>
      </c>
      <c r="O1340" s="90">
        <f>IFERROR(VLOOKUP(A1340&amp;G1340,Lookup!J:K,2,0),"")</f>
        <v>0</v>
      </c>
      <c r="P1340" s="110" t="str">
        <f t="shared" si="88"/>
        <v/>
      </c>
      <c r="R1340" s="87" t="str">
        <f t="shared" si="89"/>
        <v/>
      </c>
      <c r="S1340" s="87" t="str">
        <f t="shared" si="90"/>
        <v/>
      </c>
    </row>
    <row r="1341" spans="2:19" x14ac:dyDescent="0.25">
      <c r="B1341" s="91" t="str">
        <f>IFERROR(VLOOKUP(A1341,Lookup!A:B,2,0),"")</f>
        <v/>
      </c>
      <c r="C1341" s="59" t="str">
        <f>IFERROR(VLOOKUP(A1341,Lookup!A:C,3,0),"")</f>
        <v/>
      </c>
      <c r="J1341" s="106">
        <f>VLOOKUP(A1341&amp;G1341,Lookup!J:N,5,0)</f>
        <v>0</v>
      </c>
      <c r="O1341" s="90">
        <f>IFERROR(VLOOKUP(A1341&amp;G1341,Lookup!J:K,2,0),"")</f>
        <v>0</v>
      </c>
      <c r="P1341" s="110" t="str">
        <f t="shared" si="88"/>
        <v/>
      </c>
      <c r="R1341" s="87" t="str">
        <f t="shared" si="89"/>
        <v/>
      </c>
      <c r="S1341" s="87" t="str">
        <f t="shared" si="90"/>
        <v/>
      </c>
    </row>
    <row r="1342" spans="2:19" x14ac:dyDescent="0.25">
      <c r="B1342" s="91" t="str">
        <f>IFERROR(VLOOKUP(A1342,Lookup!A:B,2,0),"")</f>
        <v/>
      </c>
      <c r="C1342" s="59" t="str">
        <f>IFERROR(VLOOKUP(A1342,Lookup!A:C,3,0),"")</f>
        <v/>
      </c>
      <c r="J1342" s="106">
        <f>VLOOKUP(A1342&amp;G1342,Lookup!J:N,5,0)</f>
        <v>0</v>
      </c>
      <c r="O1342" s="90">
        <f>IFERROR(VLOOKUP(A1342&amp;G1342,Lookup!J:K,2,0),"")</f>
        <v>0</v>
      </c>
      <c r="P1342" s="110" t="str">
        <f t="shared" si="88"/>
        <v/>
      </c>
      <c r="R1342" s="87" t="str">
        <f t="shared" si="89"/>
        <v/>
      </c>
      <c r="S1342" s="87" t="str">
        <f t="shared" si="90"/>
        <v/>
      </c>
    </row>
    <row r="1343" spans="2:19" x14ac:dyDescent="0.25">
      <c r="B1343" s="91" t="str">
        <f>IFERROR(VLOOKUP(A1343,Lookup!A:B,2,0),"")</f>
        <v/>
      </c>
      <c r="C1343" s="59" t="str">
        <f>IFERROR(VLOOKUP(A1343,Lookup!A:C,3,0),"")</f>
        <v/>
      </c>
      <c r="J1343" s="106">
        <f>VLOOKUP(A1343&amp;G1343,Lookup!J:N,5,0)</f>
        <v>0</v>
      </c>
      <c r="O1343" s="90">
        <f>IFERROR(VLOOKUP(A1343&amp;G1343,Lookup!J:K,2,0),"")</f>
        <v>0</v>
      </c>
      <c r="P1343" s="110" t="str">
        <f t="shared" si="88"/>
        <v/>
      </c>
      <c r="R1343" s="87" t="str">
        <f t="shared" si="89"/>
        <v/>
      </c>
      <c r="S1343" s="87" t="str">
        <f t="shared" si="90"/>
        <v/>
      </c>
    </row>
    <row r="1344" spans="2:19" x14ac:dyDescent="0.25">
      <c r="B1344" s="91" t="str">
        <f>IFERROR(VLOOKUP(A1344,Lookup!A:B,2,0),"")</f>
        <v/>
      </c>
      <c r="C1344" s="59" t="str">
        <f>IFERROR(VLOOKUP(A1344,Lookup!A:C,3,0),"")</f>
        <v/>
      </c>
      <c r="J1344" s="106">
        <f>VLOOKUP(A1344&amp;G1344,Lookup!J:N,5,0)</f>
        <v>0</v>
      </c>
      <c r="O1344" s="90">
        <f>IFERROR(VLOOKUP(A1344&amp;G1344,Lookup!J:K,2,0),"")</f>
        <v>0</v>
      </c>
      <c r="P1344" s="110" t="str">
        <f t="shared" si="88"/>
        <v/>
      </c>
      <c r="R1344" s="87" t="str">
        <f t="shared" si="89"/>
        <v/>
      </c>
      <c r="S1344" s="87" t="str">
        <f t="shared" si="90"/>
        <v/>
      </c>
    </row>
    <row r="1345" spans="2:19" x14ac:dyDescent="0.25">
      <c r="B1345" s="91" t="str">
        <f>IFERROR(VLOOKUP(A1345,Lookup!A:B,2,0),"")</f>
        <v/>
      </c>
      <c r="C1345" s="59" t="str">
        <f>IFERROR(VLOOKUP(A1345,Lookup!A:C,3,0),"")</f>
        <v/>
      </c>
      <c r="J1345" s="106">
        <f>VLOOKUP(A1345&amp;G1345,Lookup!J:N,5,0)</f>
        <v>0</v>
      </c>
      <c r="O1345" s="90">
        <f>IFERROR(VLOOKUP(A1345&amp;G1345,Lookup!J:K,2,0),"")</f>
        <v>0</v>
      </c>
      <c r="P1345" s="110" t="str">
        <f t="shared" si="88"/>
        <v/>
      </c>
      <c r="R1345" s="87" t="str">
        <f t="shared" si="89"/>
        <v/>
      </c>
      <c r="S1345" s="87" t="str">
        <f t="shared" si="90"/>
        <v/>
      </c>
    </row>
    <row r="1346" spans="2:19" x14ac:dyDescent="0.25">
      <c r="B1346" s="91" t="str">
        <f>IFERROR(VLOOKUP(A1346,Lookup!A:B,2,0),"")</f>
        <v/>
      </c>
      <c r="C1346" s="59" t="str">
        <f>IFERROR(VLOOKUP(A1346,Lookup!A:C,3,0),"")</f>
        <v/>
      </c>
      <c r="J1346" s="106">
        <f>VLOOKUP(A1346&amp;G1346,Lookup!J:N,5,0)</f>
        <v>0</v>
      </c>
      <c r="O1346" s="90">
        <f>IFERROR(VLOOKUP(A1346&amp;G1346,Lookup!J:K,2,0),"")</f>
        <v>0</v>
      </c>
      <c r="P1346" s="110" t="str">
        <f t="shared" ref="P1346:P1409" si="91">IF(N1346="","",N1346+O1346)</f>
        <v/>
      </c>
      <c r="R1346" s="87" t="str">
        <f t="shared" si="89"/>
        <v/>
      </c>
      <c r="S1346" s="87" t="str">
        <f t="shared" si="90"/>
        <v/>
      </c>
    </row>
    <row r="1347" spans="2:19" x14ac:dyDescent="0.25">
      <c r="B1347" s="91" t="str">
        <f>IFERROR(VLOOKUP(A1347,Lookup!A:B,2,0),"")</f>
        <v/>
      </c>
      <c r="C1347" s="59" t="str">
        <f>IFERROR(VLOOKUP(A1347,Lookup!A:C,3,0),"")</f>
        <v/>
      </c>
      <c r="J1347" s="106">
        <f>VLOOKUP(A1347&amp;G1347,Lookup!J:N,5,0)</f>
        <v>0</v>
      </c>
      <c r="O1347" s="90">
        <f>IFERROR(VLOOKUP(A1347&amp;G1347,Lookup!J:K,2,0),"")</f>
        <v>0</v>
      </c>
      <c r="P1347" s="110" t="str">
        <f t="shared" si="91"/>
        <v/>
      </c>
      <c r="R1347" s="87" t="str">
        <f t="shared" ref="R1347:R1410" si="92">IF(OR(EXACT(N1347,""), EXACT(L1347,"")),"",N1347-L1347)</f>
        <v/>
      </c>
      <c r="S1347" s="87" t="str">
        <f t="shared" si="90"/>
        <v/>
      </c>
    </row>
    <row r="1348" spans="2:19" x14ac:dyDescent="0.25">
      <c r="B1348" s="91" t="str">
        <f>IFERROR(VLOOKUP(A1348,Lookup!A:B,2,0),"")</f>
        <v/>
      </c>
      <c r="C1348" s="59" t="str">
        <f>IFERROR(VLOOKUP(A1348,Lookup!A:C,3,0),"")</f>
        <v/>
      </c>
      <c r="J1348" s="106">
        <f>VLOOKUP(A1348&amp;G1348,Lookup!J:N,5,0)</f>
        <v>0</v>
      </c>
      <c r="O1348" s="90">
        <f>IFERROR(VLOOKUP(A1348&amp;G1348,Lookup!J:K,2,0),"")</f>
        <v>0</v>
      </c>
      <c r="P1348" s="110" t="str">
        <f t="shared" si="91"/>
        <v/>
      </c>
      <c r="R1348" s="87" t="str">
        <f t="shared" si="92"/>
        <v/>
      </c>
      <c r="S1348" s="87" t="str">
        <f t="shared" ref="S1348:S1411" si="93">IF(OR(EXACT(Q1348,""), EXACT(L1348,"")),"",Q1348-L1348)</f>
        <v/>
      </c>
    </row>
    <row r="1349" spans="2:19" x14ac:dyDescent="0.25">
      <c r="B1349" s="91" t="str">
        <f>IFERROR(VLOOKUP(A1349,Lookup!A:B,2,0),"")</f>
        <v/>
      </c>
      <c r="C1349" s="59" t="str">
        <f>IFERROR(VLOOKUP(A1349,Lookup!A:C,3,0),"")</f>
        <v/>
      </c>
      <c r="J1349" s="106">
        <f>VLOOKUP(A1349&amp;G1349,Lookup!J:N,5,0)</f>
        <v>0</v>
      </c>
      <c r="O1349" s="90">
        <f>IFERROR(VLOOKUP(A1349&amp;G1349,Lookup!J:K,2,0),"")</f>
        <v>0</v>
      </c>
      <c r="P1349" s="110" t="str">
        <f t="shared" si="91"/>
        <v/>
      </c>
      <c r="R1349" s="87" t="str">
        <f t="shared" si="92"/>
        <v/>
      </c>
      <c r="S1349" s="87" t="str">
        <f t="shared" si="93"/>
        <v/>
      </c>
    </row>
    <row r="1350" spans="2:19" x14ac:dyDescent="0.25">
      <c r="B1350" s="91" t="str">
        <f>IFERROR(VLOOKUP(A1350,Lookup!A:B,2,0),"")</f>
        <v/>
      </c>
      <c r="C1350" s="59" t="str">
        <f>IFERROR(VLOOKUP(A1350,Lookup!A:C,3,0),"")</f>
        <v/>
      </c>
      <c r="J1350" s="106">
        <f>VLOOKUP(A1350&amp;G1350,Lookup!J:N,5,0)</f>
        <v>0</v>
      </c>
      <c r="O1350" s="90">
        <f>IFERROR(VLOOKUP(A1350&amp;G1350,Lookup!J:K,2,0),"")</f>
        <v>0</v>
      </c>
      <c r="P1350" s="110" t="str">
        <f t="shared" si="91"/>
        <v/>
      </c>
      <c r="R1350" s="87" t="str">
        <f t="shared" si="92"/>
        <v/>
      </c>
      <c r="S1350" s="87" t="str">
        <f t="shared" si="93"/>
        <v/>
      </c>
    </row>
    <row r="1351" spans="2:19" x14ac:dyDescent="0.25">
      <c r="B1351" s="91" t="str">
        <f>IFERROR(VLOOKUP(A1351,Lookup!A:B,2,0),"")</f>
        <v/>
      </c>
      <c r="C1351" s="59" t="str">
        <f>IFERROR(VLOOKUP(A1351,Lookup!A:C,3,0),"")</f>
        <v/>
      </c>
      <c r="J1351" s="106">
        <f>VLOOKUP(A1351&amp;G1351,Lookup!J:N,5,0)</f>
        <v>0</v>
      </c>
      <c r="O1351" s="90">
        <f>IFERROR(VLOOKUP(A1351&amp;G1351,Lookup!J:K,2,0),"")</f>
        <v>0</v>
      </c>
      <c r="P1351" s="110" t="str">
        <f t="shared" si="91"/>
        <v/>
      </c>
      <c r="R1351" s="87" t="str">
        <f t="shared" si="92"/>
        <v/>
      </c>
      <c r="S1351" s="87" t="str">
        <f t="shared" si="93"/>
        <v/>
      </c>
    </row>
    <row r="1352" spans="2:19" x14ac:dyDescent="0.25">
      <c r="B1352" s="91" t="str">
        <f>IFERROR(VLOOKUP(A1352,Lookup!A:B,2,0),"")</f>
        <v/>
      </c>
      <c r="C1352" s="59" t="str">
        <f>IFERROR(VLOOKUP(A1352,Lookup!A:C,3,0),"")</f>
        <v/>
      </c>
      <c r="J1352" s="106">
        <f>VLOOKUP(A1352&amp;G1352,Lookup!J:N,5,0)</f>
        <v>0</v>
      </c>
      <c r="O1352" s="90">
        <f>IFERROR(VLOOKUP(A1352&amp;G1352,Lookup!J:K,2,0),"")</f>
        <v>0</v>
      </c>
      <c r="P1352" s="110" t="str">
        <f t="shared" si="91"/>
        <v/>
      </c>
      <c r="R1352" s="87" t="str">
        <f t="shared" si="92"/>
        <v/>
      </c>
      <c r="S1352" s="87" t="str">
        <f t="shared" si="93"/>
        <v/>
      </c>
    </row>
    <row r="1353" spans="2:19" x14ac:dyDescent="0.25">
      <c r="B1353" s="91" t="str">
        <f>IFERROR(VLOOKUP(A1353,Lookup!A:B,2,0),"")</f>
        <v/>
      </c>
      <c r="C1353" s="59" t="str">
        <f>IFERROR(VLOOKUP(A1353,Lookup!A:C,3,0),"")</f>
        <v/>
      </c>
      <c r="J1353" s="106">
        <f>VLOOKUP(A1353&amp;G1353,Lookup!J:N,5,0)</f>
        <v>0</v>
      </c>
      <c r="O1353" s="90">
        <f>IFERROR(VLOOKUP(A1353&amp;G1353,Lookup!J:K,2,0),"")</f>
        <v>0</v>
      </c>
      <c r="P1353" s="110" t="str">
        <f t="shared" si="91"/>
        <v/>
      </c>
      <c r="R1353" s="87" t="str">
        <f t="shared" si="92"/>
        <v/>
      </c>
      <c r="S1353" s="87" t="str">
        <f t="shared" si="93"/>
        <v/>
      </c>
    </row>
    <row r="1354" spans="2:19" x14ac:dyDescent="0.25">
      <c r="B1354" s="91" t="str">
        <f>IFERROR(VLOOKUP(A1354,Lookup!A:B,2,0),"")</f>
        <v/>
      </c>
      <c r="C1354" s="59" t="str">
        <f>IFERROR(VLOOKUP(A1354,Lookup!A:C,3,0),"")</f>
        <v/>
      </c>
      <c r="J1354" s="106">
        <f>VLOOKUP(A1354&amp;G1354,Lookup!J:N,5,0)</f>
        <v>0</v>
      </c>
      <c r="O1354" s="90">
        <f>IFERROR(VLOOKUP(A1354&amp;G1354,Lookup!J:K,2,0),"")</f>
        <v>0</v>
      </c>
      <c r="P1354" s="110" t="str">
        <f t="shared" si="91"/>
        <v/>
      </c>
      <c r="R1354" s="87" t="str">
        <f t="shared" si="92"/>
        <v/>
      </c>
      <c r="S1354" s="87" t="str">
        <f t="shared" si="93"/>
        <v/>
      </c>
    </row>
    <row r="1355" spans="2:19" x14ac:dyDescent="0.25">
      <c r="B1355" s="91" t="str">
        <f>IFERROR(VLOOKUP(A1355,Lookup!A:B,2,0),"")</f>
        <v/>
      </c>
      <c r="C1355" s="59" t="str">
        <f>IFERROR(VLOOKUP(A1355,Lookup!A:C,3,0),"")</f>
        <v/>
      </c>
      <c r="J1355" s="106">
        <f>VLOOKUP(A1355&amp;G1355,Lookup!J:N,5,0)</f>
        <v>0</v>
      </c>
      <c r="O1355" s="90">
        <f>IFERROR(VLOOKUP(A1355&amp;G1355,Lookup!J:K,2,0),"")</f>
        <v>0</v>
      </c>
      <c r="P1355" s="110" t="str">
        <f t="shared" si="91"/>
        <v/>
      </c>
      <c r="R1355" s="87" t="str">
        <f t="shared" si="92"/>
        <v/>
      </c>
      <c r="S1355" s="87" t="str">
        <f t="shared" si="93"/>
        <v/>
      </c>
    </row>
    <row r="1356" spans="2:19" x14ac:dyDescent="0.25">
      <c r="B1356" s="91" t="str">
        <f>IFERROR(VLOOKUP(A1356,Lookup!A:B,2,0),"")</f>
        <v/>
      </c>
      <c r="C1356" s="59" t="str">
        <f>IFERROR(VLOOKUP(A1356,Lookup!A:C,3,0),"")</f>
        <v/>
      </c>
      <c r="J1356" s="106">
        <f>VLOOKUP(A1356&amp;G1356,Lookup!J:N,5,0)</f>
        <v>0</v>
      </c>
      <c r="O1356" s="90">
        <f>IFERROR(VLOOKUP(A1356&amp;G1356,Lookup!J:K,2,0),"")</f>
        <v>0</v>
      </c>
      <c r="P1356" s="110" t="str">
        <f t="shared" si="91"/>
        <v/>
      </c>
      <c r="R1356" s="87" t="str">
        <f t="shared" si="92"/>
        <v/>
      </c>
      <c r="S1356" s="87" t="str">
        <f t="shared" si="93"/>
        <v/>
      </c>
    </row>
    <row r="1357" spans="2:19" x14ac:dyDescent="0.25">
      <c r="B1357" s="91" t="str">
        <f>IFERROR(VLOOKUP(A1357,Lookup!A:B,2,0),"")</f>
        <v/>
      </c>
      <c r="C1357" s="59" t="str">
        <f>IFERROR(VLOOKUP(A1357,Lookup!A:C,3,0),"")</f>
        <v/>
      </c>
      <c r="J1357" s="106">
        <f>VLOOKUP(A1357&amp;G1357,Lookup!J:N,5,0)</f>
        <v>0</v>
      </c>
      <c r="O1357" s="90">
        <f>IFERROR(VLOOKUP(A1357&amp;G1357,Lookup!J:K,2,0),"")</f>
        <v>0</v>
      </c>
      <c r="P1357" s="110" t="str">
        <f t="shared" si="91"/>
        <v/>
      </c>
      <c r="R1357" s="87" t="str">
        <f t="shared" si="92"/>
        <v/>
      </c>
      <c r="S1357" s="87" t="str">
        <f t="shared" si="93"/>
        <v/>
      </c>
    </row>
    <row r="1358" spans="2:19" x14ac:dyDescent="0.25">
      <c r="B1358" s="91" t="str">
        <f>IFERROR(VLOOKUP(A1358,Lookup!A:B,2,0),"")</f>
        <v/>
      </c>
      <c r="C1358" s="59" t="str">
        <f>IFERROR(VLOOKUP(A1358,Lookup!A:C,3,0),"")</f>
        <v/>
      </c>
      <c r="J1358" s="106">
        <f>VLOOKUP(A1358&amp;G1358,Lookup!J:N,5,0)</f>
        <v>0</v>
      </c>
      <c r="O1358" s="90">
        <f>IFERROR(VLOOKUP(A1358&amp;G1358,Lookup!J:K,2,0),"")</f>
        <v>0</v>
      </c>
      <c r="P1358" s="110" t="str">
        <f t="shared" si="91"/>
        <v/>
      </c>
      <c r="R1358" s="87" t="str">
        <f t="shared" si="92"/>
        <v/>
      </c>
      <c r="S1358" s="87" t="str">
        <f t="shared" si="93"/>
        <v/>
      </c>
    </row>
    <row r="1359" spans="2:19" x14ac:dyDescent="0.25">
      <c r="B1359" s="91" t="str">
        <f>IFERROR(VLOOKUP(A1359,Lookup!A:B,2,0),"")</f>
        <v/>
      </c>
      <c r="C1359" s="59" t="str">
        <f>IFERROR(VLOOKUP(A1359,Lookup!A:C,3,0),"")</f>
        <v/>
      </c>
      <c r="J1359" s="106">
        <f>VLOOKUP(A1359&amp;G1359,Lookup!J:N,5,0)</f>
        <v>0</v>
      </c>
      <c r="O1359" s="90">
        <f>IFERROR(VLOOKUP(A1359&amp;G1359,Lookup!J:K,2,0),"")</f>
        <v>0</v>
      </c>
      <c r="P1359" s="110" t="str">
        <f t="shared" si="91"/>
        <v/>
      </c>
      <c r="R1359" s="87" t="str">
        <f t="shared" si="92"/>
        <v/>
      </c>
      <c r="S1359" s="87" t="str">
        <f t="shared" si="93"/>
        <v/>
      </c>
    </row>
    <row r="1360" spans="2:19" x14ac:dyDescent="0.25">
      <c r="B1360" s="91" t="str">
        <f>IFERROR(VLOOKUP(A1360,Lookup!A:B,2,0),"")</f>
        <v/>
      </c>
      <c r="C1360" s="59" t="str">
        <f>IFERROR(VLOOKUP(A1360,Lookup!A:C,3,0),"")</f>
        <v/>
      </c>
      <c r="J1360" s="106">
        <f>VLOOKUP(A1360&amp;G1360,Lookup!J:N,5,0)</f>
        <v>0</v>
      </c>
      <c r="O1360" s="90">
        <f>IFERROR(VLOOKUP(A1360&amp;G1360,Lookup!J:K,2,0),"")</f>
        <v>0</v>
      </c>
      <c r="P1360" s="110" t="str">
        <f t="shared" si="91"/>
        <v/>
      </c>
      <c r="R1360" s="87" t="str">
        <f t="shared" si="92"/>
        <v/>
      </c>
      <c r="S1360" s="87" t="str">
        <f t="shared" si="93"/>
        <v/>
      </c>
    </row>
    <row r="1361" spans="2:19" x14ac:dyDescent="0.25">
      <c r="B1361" s="91" t="str">
        <f>IFERROR(VLOOKUP(A1361,Lookup!A:B,2,0),"")</f>
        <v/>
      </c>
      <c r="C1361" s="59" t="str">
        <f>IFERROR(VLOOKUP(A1361,Lookup!A:C,3,0),"")</f>
        <v/>
      </c>
      <c r="J1361" s="106">
        <f>VLOOKUP(A1361&amp;G1361,Lookup!J:N,5,0)</f>
        <v>0</v>
      </c>
      <c r="O1361" s="90">
        <f>IFERROR(VLOOKUP(A1361&amp;G1361,Lookup!J:K,2,0),"")</f>
        <v>0</v>
      </c>
      <c r="P1361" s="110" t="str">
        <f t="shared" si="91"/>
        <v/>
      </c>
      <c r="R1361" s="87" t="str">
        <f t="shared" si="92"/>
        <v/>
      </c>
      <c r="S1361" s="87" t="str">
        <f t="shared" si="93"/>
        <v/>
      </c>
    </row>
    <row r="1362" spans="2:19" x14ac:dyDescent="0.25">
      <c r="B1362" s="91" t="str">
        <f>IFERROR(VLOOKUP(A1362,Lookup!A:B,2,0),"")</f>
        <v/>
      </c>
      <c r="C1362" s="59" t="str">
        <f>IFERROR(VLOOKUP(A1362,Lookup!A:C,3,0),"")</f>
        <v/>
      </c>
      <c r="J1362" s="106">
        <f>VLOOKUP(A1362&amp;G1362,Lookup!J:N,5,0)</f>
        <v>0</v>
      </c>
      <c r="O1362" s="90">
        <f>IFERROR(VLOOKUP(A1362&amp;G1362,Lookup!J:K,2,0),"")</f>
        <v>0</v>
      </c>
      <c r="P1362" s="110" t="str">
        <f t="shared" si="91"/>
        <v/>
      </c>
      <c r="R1362" s="87" t="str">
        <f t="shared" si="92"/>
        <v/>
      </c>
      <c r="S1362" s="87" t="str">
        <f t="shared" si="93"/>
        <v/>
      </c>
    </row>
    <row r="1363" spans="2:19" x14ac:dyDescent="0.25">
      <c r="B1363" s="91" t="str">
        <f>IFERROR(VLOOKUP(A1363,Lookup!A:B,2,0),"")</f>
        <v/>
      </c>
      <c r="C1363" s="59" t="str">
        <f>IFERROR(VLOOKUP(A1363,Lookup!A:C,3,0),"")</f>
        <v/>
      </c>
      <c r="J1363" s="106">
        <f>VLOOKUP(A1363&amp;G1363,Lookup!J:N,5,0)</f>
        <v>0</v>
      </c>
      <c r="O1363" s="90">
        <f>IFERROR(VLOOKUP(A1363&amp;G1363,Lookup!J:K,2,0),"")</f>
        <v>0</v>
      </c>
      <c r="P1363" s="110" t="str">
        <f t="shared" si="91"/>
        <v/>
      </c>
      <c r="R1363" s="87" t="str">
        <f t="shared" si="92"/>
        <v/>
      </c>
      <c r="S1363" s="87" t="str">
        <f t="shared" si="93"/>
        <v/>
      </c>
    </row>
    <row r="1364" spans="2:19" x14ac:dyDescent="0.25">
      <c r="B1364" s="91" t="str">
        <f>IFERROR(VLOOKUP(A1364,Lookup!A:B,2,0),"")</f>
        <v/>
      </c>
      <c r="C1364" s="59" t="str">
        <f>IFERROR(VLOOKUP(A1364,Lookup!A:C,3,0),"")</f>
        <v/>
      </c>
      <c r="J1364" s="106">
        <f>VLOOKUP(A1364&amp;G1364,Lookup!J:N,5,0)</f>
        <v>0</v>
      </c>
      <c r="O1364" s="90">
        <f>IFERROR(VLOOKUP(A1364&amp;G1364,Lookup!J:K,2,0),"")</f>
        <v>0</v>
      </c>
      <c r="P1364" s="110" t="str">
        <f t="shared" si="91"/>
        <v/>
      </c>
      <c r="R1364" s="87" t="str">
        <f t="shared" si="92"/>
        <v/>
      </c>
      <c r="S1364" s="87" t="str">
        <f t="shared" si="93"/>
        <v/>
      </c>
    </row>
    <row r="1365" spans="2:19" x14ac:dyDescent="0.25">
      <c r="B1365" s="91" t="str">
        <f>IFERROR(VLOOKUP(A1365,Lookup!A:B,2,0),"")</f>
        <v/>
      </c>
      <c r="C1365" s="59" t="str">
        <f>IFERROR(VLOOKUP(A1365,Lookup!A:C,3,0),"")</f>
        <v/>
      </c>
      <c r="J1365" s="106">
        <f>VLOOKUP(A1365&amp;G1365,Lookup!J:N,5,0)</f>
        <v>0</v>
      </c>
      <c r="O1365" s="90">
        <f>IFERROR(VLOOKUP(A1365&amp;G1365,Lookup!J:K,2,0),"")</f>
        <v>0</v>
      </c>
      <c r="P1365" s="110" t="str">
        <f t="shared" si="91"/>
        <v/>
      </c>
      <c r="R1365" s="87" t="str">
        <f t="shared" si="92"/>
        <v/>
      </c>
      <c r="S1365" s="87" t="str">
        <f t="shared" si="93"/>
        <v/>
      </c>
    </row>
    <row r="1366" spans="2:19" x14ac:dyDescent="0.25">
      <c r="B1366" s="91" t="str">
        <f>IFERROR(VLOOKUP(A1366,Lookup!A:B,2,0),"")</f>
        <v/>
      </c>
      <c r="C1366" s="59" t="str">
        <f>IFERROR(VLOOKUP(A1366,Lookup!A:C,3,0),"")</f>
        <v/>
      </c>
      <c r="J1366" s="106">
        <f>VLOOKUP(A1366&amp;G1366,Lookup!J:N,5,0)</f>
        <v>0</v>
      </c>
      <c r="O1366" s="90">
        <f>IFERROR(VLOOKUP(A1366&amp;G1366,Lookup!J:K,2,0),"")</f>
        <v>0</v>
      </c>
      <c r="P1366" s="110" t="str">
        <f t="shared" si="91"/>
        <v/>
      </c>
      <c r="R1366" s="87" t="str">
        <f t="shared" si="92"/>
        <v/>
      </c>
      <c r="S1366" s="87" t="str">
        <f t="shared" si="93"/>
        <v/>
      </c>
    </row>
    <row r="1367" spans="2:19" x14ac:dyDescent="0.25">
      <c r="B1367" s="91" t="str">
        <f>IFERROR(VLOOKUP(A1367,Lookup!A:B,2,0),"")</f>
        <v/>
      </c>
      <c r="C1367" s="59" t="str">
        <f>IFERROR(VLOOKUP(A1367,Lookup!A:C,3,0),"")</f>
        <v/>
      </c>
      <c r="J1367" s="106">
        <f>VLOOKUP(A1367&amp;G1367,Lookup!J:N,5,0)</f>
        <v>0</v>
      </c>
      <c r="O1367" s="90">
        <f>IFERROR(VLOOKUP(A1367&amp;G1367,Lookup!J:K,2,0),"")</f>
        <v>0</v>
      </c>
      <c r="P1367" s="110" t="str">
        <f t="shared" si="91"/>
        <v/>
      </c>
      <c r="R1367" s="87" t="str">
        <f t="shared" si="92"/>
        <v/>
      </c>
      <c r="S1367" s="87" t="str">
        <f t="shared" si="93"/>
        <v/>
      </c>
    </row>
    <row r="1368" spans="2:19" x14ac:dyDescent="0.25">
      <c r="B1368" s="91" t="str">
        <f>IFERROR(VLOOKUP(A1368,Lookup!A:B,2,0),"")</f>
        <v/>
      </c>
      <c r="C1368" s="59" t="str">
        <f>IFERROR(VLOOKUP(A1368,Lookup!A:C,3,0),"")</f>
        <v/>
      </c>
      <c r="J1368" s="106">
        <f>VLOOKUP(A1368&amp;G1368,Lookup!J:N,5,0)</f>
        <v>0</v>
      </c>
      <c r="O1368" s="90">
        <f>IFERROR(VLOOKUP(A1368&amp;G1368,Lookup!J:K,2,0),"")</f>
        <v>0</v>
      </c>
      <c r="P1368" s="110" t="str">
        <f t="shared" si="91"/>
        <v/>
      </c>
      <c r="R1368" s="87" t="str">
        <f t="shared" si="92"/>
        <v/>
      </c>
      <c r="S1368" s="87" t="str">
        <f t="shared" si="93"/>
        <v/>
      </c>
    </row>
    <row r="1369" spans="2:19" x14ac:dyDescent="0.25">
      <c r="B1369" s="91" t="str">
        <f>IFERROR(VLOOKUP(A1369,Lookup!A:B,2,0),"")</f>
        <v/>
      </c>
      <c r="C1369" s="59" t="str">
        <f>IFERROR(VLOOKUP(A1369,Lookup!A:C,3,0),"")</f>
        <v/>
      </c>
      <c r="J1369" s="106">
        <f>VLOOKUP(A1369&amp;G1369,Lookup!J:N,5,0)</f>
        <v>0</v>
      </c>
      <c r="O1369" s="90">
        <f>IFERROR(VLOOKUP(A1369&amp;G1369,Lookup!J:K,2,0),"")</f>
        <v>0</v>
      </c>
      <c r="P1369" s="110" t="str">
        <f t="shared" si="91"/>
        <v/>
      </c>
      <c r="R1369" s="87" t="str">
        <f t="shared" si="92"/>
        <v/>
      </c>
      <c r="S1369" s="87" t="str">
        <f t="shared" si="93"/>
        <v/>
      </c>
    </row>
    <row r="1370" spans="2:19" x14ac:dyDescent="0.25">
      <c r="B1370" s="91" t="str">
        <f>IFERROR(VLOOKUP(A1370,Lookup!A:B,2,0),"")</f>
        <v/>
      </c>
      <c r="C1370" s="59" t="str">
        <f>IFERROR(VLOOKUP(A1370,Lookup!A:C,3,0),"")</f>
        <v/>
      </c>
      <c r="J1370" s="106">
        <f>VLOOKUP(A1370&amp;G1370,Lookup!J:N,5,0)</f>
        <v>0</v>
      </c>
      <c r="O1370" s="90">
        <f>IFERROR(VLOOKUP(A1370&amp;G1370,Lookup!J:K,2,0),"")</f>
        <v>0</v>
      </c>
      <c r="P1370" s="110" t="str">
        <f t="shared" si="91"/>
        <v/>
      </c>
      <c r="R1370" s="87" t="str">
        <f t="shared" si="92"/>
        <v/>
      </c>
      <c r="S1370" s="87" t="str">
        <f t="shared" si="93"/>
        <v/>
      </c>
    </row>
    <row r="1371" spans="2:19" x14ac:dyDescent="0.25">
      <c r="B1371" s="91" t="str">
        <f>IFERROR(VLOOKUP(A1371,Lookup!A:B,2,0),"")</f>
        <v/>
      </c>
      <c r="C1371" s="59" t="str">
        <f>IFERROR(VLOOKUP(A1371,Lookup!A:C,3,0),"")</f>
        <v/>
      </c>
      <c r="J1371" s="106">
        <f>VLOOKUP(A1371&amp;G1371,Lookup!J:N,5,0)</f>
        <v>0</v>
      </c>
      <c r="O1371" s="90">
        <f>IFERROR(VLOOKUP(A1371&amp;G1371,Lookup!J:K,2,0),"")</f>
        <v>0</v>
      </c>
      <c r="P1371" s="110" t="str">
        <f t="shared" si="91"/>
        <v/>
      </c>
      <c r="R1371" s="87" t="str">
        <f t="shared" si="92"/>
        <v/>
      </c>
      <c r="S1371" s="87" t="str">
        <f t="shared" si="93"/>
        <v/>
      </c>
    </row>
    <row r="1372" spans="2:19" x14ac:dyDescent="0.25">
      <c r="B1372" s="91" t="str">
        <f>IFERROR(VLOOKUP(A1372,Lookup!A:B,2,0),"")</f>
        <v/>
      </c>
      <c r="C1372" s="59" t="str">
        <f>IFERROR(VLOOKUP(A1372,Lookup!A:C,3,0),"")</f>
        <v/>
      </c>
      <c r="J1372" s="106">
        <f>VLOOKUP(A1372&amp;G1372,Lookup!J:N,5,0)</f>
        <v>0</v>
      </c>
      <c r="O1372" s="90">
        <f>IFERROR(VLOOKUP(A1372&amp;G1372,Lookup!J:K,2,0),"")</f>
        <v>0</v>
      </c>
      <c r="P1372" s="110" t="str">
        <f t="shared" si="91"/>
        <v/>
      </c>
      <c r="R1372" s="87" t="str">
        <f t="shared" si="92"/>
        <v/>
      </c>
      <c r="S1372" s="87" t="str">
        <f t="shared" si="93"/>
        <v/>
      </c>
    </row>
    <row r="1373" spans="2:19" x14ac:dyDescent="0.25">
      <c r="B1373" s="91" t="str">
        <f>IFERROR(VLOOKUP(A1373,Lookup!A:B,2,0),"")</f>
        <v/>
      </c>
      <c r="C1373" s="59" t="str">
        <f>IFERROR(VLOOKUP(A1373,Lookup!A:C,3,0),"")</f>
        <v/>
      </c>
      <c r="J1373" s="106">
        <f>VLOOKUP(A1373&amp;G1373,Lookup!J:N,5,0)</f>
        <v>0</v>
      </c>
      <c r="O1373" s="90">
        <f>IFERROR(VLOOKUP(A1373&amp;G1373,Lookup!J:K,2,0),"")</f>
        <v>0</v>
      </c>
      <c r="P1373" s="110" t="str">
        <f t="shared" si="91"/>
        <v/>
      </c>
      <c r="R1373" s="87" t="str">
        <f t="shared" si="92"/>
        <v/>
      </c>
      <c r="S1373" s="87" t="str">
        <f t="shared" si="93"/>
        <v/>
      </c>
    </row>
    <row r="1374" spans="2:19" x14ac:dyDescent="0.25">
      <c r="B1374" s="91" t="str">
        <f>IFERROR(VLOOKUP(A1374,Lookup!A:B,2,0),"")</f>
        <v/>
      </c>
      <c r="C1374" s="59" t="str">
        <f>IFERROR(VLOOKUP(A1374,Lookup!A:C,3,0),"")</f>
        <v/>
      </c>
      <c r="J1374" s="106">
        <f>VLOOKUP(A1374&amp;G1374,Lookup!J:N,5,0)</f>
        <v>0</v>
      </c>
      <c r="O1374" s="90">
        <f>IFERROR(VLOOKUP(A1374&amp;G1374,Lookup!J:K,2,0),"")</f>
        <v>0</v>
      </c>
      <c r="P1374" s="110" t="str">
        <f t="shared" si="91"/>
        <v/>
      </c>
      <c r="R1374" s="87" t="str">
        <f t="shared" si="92"/>
        <v/>
      </c>
      <c r="S1374" s="87" t="str">
        <f t="shared" si="93"/>
        <v/>
      </c>
    </row>
    <row r="1375" spans="2:19" x14ac:dyDescent="0.25">
      <c r="B1375" s="91" t="str">
        <f>IFERROR(VLOOKUP(A1375,Lookup!A:B,2,0),"")</f>
        <v/>
      </c>
      <c r="C1375" s="59" t="str">
        <f>IFERROR(VLOOKUP(A1375,Lookup!A:C,3,0),"")</f>
        <v/>
      </c>
      <c r="J1375" s="106">
        <f>VLOOKUP(A1375&amp;G1375,Lookup!J:N,5,0)</f>
        <v>0</v>
      </c>
      <c r="O1375" s="90">
        <f>IFERROR(VLOOKUP(A1375&amp;G1375,Lookup!J:K,2,0),"")</f>
        <v>0</v>
      </c>
      <c r="P1375" s="110" t="str">
        <f t="shared" si="91"/>
        <v/>
      </c>
      <c r="R1375" s="87" t="str">
        <f t="shared" si="92"/>
        <v/>
      </c>
      <c r="S1375" s="87" t="str">
        <f t="shared" si="93"/>
        <v/>
      </c>
    </row>
    <row r="1376" spans="2:19" x14ac:dyDescent="0.25">
      <c r="B1376" s="91" t="str">
        <f>IFERROR(VLOOKUP(A1376,Lookup!A:B,2,0),"")</f>
        <v/>
      </c>
      <c r="C1376" s="59" t="str">
        <f>IFERROR(VLOOKUP(A1376,Lookup!A:C,3,0),"")</f>
        <v/>
      </c>
      <c r="J1376" s="106">
        <f>VLOOKUP(A1376&amp;G1376,Lookup!J:N,5,0)</f>
        <v>0</v>
      </c>
      <c r="O1376" s="90">
        <f>IFERROR(VLOOKUP(A1376&amp;G1376,Lookup!J:K,2,0),"")</f>
        <v>0</v>
      </c>
      <c r="P1376" s="110" t="str">
        <f t="shared" si="91"/>
        <v/>
      </c>
      <c r="R1376" s="87" t="str">
        <f t="shared" si="92"/>
        <v/>
      </c>
      <c r="S1376" s="87" t="str">
        <f t="shared" si="93"/>
        <v/>
      </c>
    </row>
    <row r="1377" spans="2:19" x14ac:dyDescent="0.25">
      <c r="B1377" s="91" t="str">
        <f>IFERROR(VLOOKUP(A1377,Lookup!A:B,2,0),"")</f>
        <v/>
      </c>
      <c r="C1377" s="59" t="str">
        <f>IFERROR(VLOOKUP(A1377,Lookup!A:C,3,0),"")</f>
        <v/>
      </c>
      <c r="J1377" s="106">
        <f>VLOOKUP(A1377&amp;G1377,Lookup!J:N,5,0)</f>
        <v>0</v>
      </c>
      <c r="O1377" s="90">
        <f>IFERROR(VLOOKUP(A1377&amp;G1377,Lookup!J:K,2,0),"")</f>
        <v>0</v>
      </c>
      <c r="P1377" s="110" t="str">
        <f t="shared" si="91"/>
        <v/>
      </c>
      <c r="R1377" s="87" t="str">
        <f t="shared" si="92"/>
        <v/>
      </c>
      <c r="S1377" s="87" t="str">
        <f t="shared" si="93"/>
        <v/>
      </c>
    </row>
    <row r="1378" spans="2:19" x14ac:dyDescent="0.25">
      <c r="B1378" s="91" t="str">
        <f>IFERROR(VLOOKUP(A1378,Lookup!A:B,2,0),"")</f>
        <v/>
      </c>
      <c r="C1378" s="59" t="str">
        <f>IFERROR(VLOOKUP(A1378,Lookup!A:C,3,0),"")</f>
        <v/>
      </c>
      <c r="J1378" s="106">
        <f>VLOOKUP(A1378&amp;G1378,Lookup!J:N,5,0)</f>
        <v>0</v>
      </c>
      <c r="O1378" s="90">
        <f>IFERROR(VLOOKUP(A1378&amp;G1378,Lookup!J:K,2,0),"")</f>
        <v>0</v>
      </c>
      <c r="P1378" s="110" t="str">
        <f t="shared" si="91"/>
        <v/>
      </c>
      <c r="R1378" s="87" t="str">
        <f t="shared" si="92"/>
        <v/>
      </c>
      <c r="S1378" s="87" t="str">
        <f t="shared" si="93"/>
        <v/>
      </c>
    </row>
    <row r="1379" spans="2:19" x14ac:dyDescent="0.25">
      <c r="B1379" s="91" t="str">
        <f>IFERROR(VLOOKUP(A1379,Lookup!A:B,2,0),"")</f>
        <v/>
      </c>
      <c r="C1379" s="59" t="str">
        <f>IFERROR(VLOOKUP(A1379,Lookup!A:C,3,0),"")</f>
        <v/>
      </c>
      <c r="J1379" s="106">
        <f>VLOOKUP(A1379&amp;G1379,Lookup!J:N,5,0)</f>
        <v>0</v>
      </c>
      <c r="O1379" s="90">
        <f>IFERROR(VLOOKUP(A1379&amp;G1379,Lookup!J:K,2,0),"")</f>
        <v>0</v>
      </c>
      <c r="P1379" s="110" t="str">
        <f t="shared" si="91"/>
        <v/>
      </c>
      <c r="R1379" s="87" t="str">
        <f t="shared" si="92"/>
        <v/>
      </c>
      <c r="S1379" s="87" t="str">
        <f t="shared" si="93"/>
        <v/>
      </c>
    </row>
    <row r="1380" spans="2:19" x14ac:dyDescent="0.25">
      <c r="B1380" s="91" t="str">
        <f>IFERROR(VLOOKUP(A1380,Lookup!A:B,2,0),"")</f>
        <v/>
      </c>
      <c r="C1380" s="59" t="str">
        <f>IFERROR(VLOOKUP(A1380,Lookup!A:C,3,0),"")</f>
        <v/>
      </c>
      <c r="J1380" s="106">
        <f>VLOOKUP(A1380&amp;G1380,Lookup!J:N,5,0)</f>
        <v>0</v>
      </c>
      <c r="O1380" s="90">
        <f>IFERROR(VLOOKUP(A1380&amp;G1380,Lookup!J:K,2,0),"")</f>
        <v>0</v>
      </c>
      <c r="P1380" s="110" t="str">
        <f t="shared" si="91"/>
        <v/>
      </c>
      <c r="R1380" s="87" t="str">
        <f t="shared" si="92"/>
        <v/>
      </c>
      <c r="S1380" s="87" t="str">
        <f t="shared" si="93"/>
        <v/>
      </c>
    </row>
    <row r="1381" spans="2:19" x14ac:dyDescent="0.25">
      <c r="B1381" s="91" t="str">
        <f>IFERROR(VLOOKUP(A1381,Lookup!A:B,2,0),"")</f>
        <v/>
      </c>
      <c r="C1381" s="59" t="str">
        <f>IFERROR(VLOOKUP(A1381,Lookup!A:C,3,0),"")</f>
        <v/>
      </c>
      <c r="J1381" s="106">
        <f>VLOOKUP(A1381&amp;G1381,Lookup!J:N,5,0)</f>
        <v>0</v>
      </c>
      <c r="O1381" s="90">
        <f>IFERROR(VLOOKUP(A1381&amp;G1381,Lookup!J:K,2,0),"")</f>
        <v>0</v>
      </c>
      <c r="P1381" s="110" t="str">
        <f t="shared" si="91"/>
        <v/>
      </c>
      <c r="R1381" s="87" t="str">
        <f t="shared" si="92"/>
        <v/>
      </c>
      <c r="S1381" s="87" t="str">
        <f t="shared" si="93"/>
        <v/>
      </c>
    </row>
    <row r="1382" spans="2:19" x14ac:dyDescent="0.25">
      <c r="B1382" s="91" t="str">
        <f>IFERROR(VLOOKUP(A1382,Lookup!A:B,2,0),"")</f>
        <v/>
      </c>
      <c r="C1382" s="59" t="str">
        <f>IFERROR(VLOOKUP(A1382,Lookup!A:C,3,0),"")</f>
        <v/>
      </c>
      <c r="J1382" s="106">
        <f>VLOOKUP(A1382&amp;G1382,Lookup!J:N,5,0)</f>
        <v>0</v>
      </c>
      <c r="O1382" s="90">
        <f>IFERROR(VLOOKUP(A1382&amp;G1382,Lookup!J:K,2,0),"")</f>
        <v>0</v>
      </c>
      <c r="P1382" s="110" t="str">
        <f t="shared" si="91"/>
        <v/>
      </c>
      <c r="R1382" s="87" t="str">
        <f t="shared" si="92"/>
        <v/>
      </c>
      <c r="S1382" s="87" t="str">
        <f t="shared" si="93"/>
        <v/>
      </c>
    </row>
    <row r="1383" spans="2:19" x14ac:dyDescent="0.25">
      <c r="B1383" s="91" t="str">
        <f>IFERROR(VLOOKUP(A1383,Lookup!A:B,2,0),"")</f>
        <v/>
      </c>
      <c r="C1383" s="59" t="str">
        <f>IFERROR(VLOOKUP(A1383,Lookup!A:C,3,0),"")</f>
        <v/>
      </c>
      <c r="J1383" s="106">
        <f>VLOOKUP(A1383&amp;G1383,Lookup!J:N,5,0)</f>
        <v>0</v>
      </c>
      <c r="O1383" s="90">
        <f>IFERROR(VLOOKUP(A1383&amp;G1383,Lookup!J:K,2,0),"")</f>
        <v>0</v>
      </c>
      <c r="P1383" s="110" t="str">
        <f t="shared" si="91"/>
        <v/>
      </c>
      <c r="R1383" s="87" t="str">
        <f t="shared" si="92"/>
        <v/>
      </c>
      <c r="S1383" s="87" t="str">
        <f t="shared" si="93"/>
        <v/>
      </c>
    </row>
    <row r="1384" spans="2:19" x14ac:dyDescent="0.25">
      <c r="B1384" s="91" t="str">
        <f>IFERROR(VLOOKUP(A1384,Lookup!A:B,2,0),"")</f>
        <v/>
      </c>
      <c r="C1384" s="59" t="str">
        <f>IFERROR(VLOOKUP(A1384,Lookup!A:C,3,0),"")</f>
        <v/>
      </c>
      <c r="J1384" s="106">
        <f>VLOOKUP(A1384&amp;G1384,Lookup!J:N,5,0)</f>
        <v>0</v>
      </c>
      <c r="O1384" s="90">
        <f>IFERROR(VLOOKUP(A1384&amp;G1384,Lookup!J:K,2,0),"")</f>
        <v>0</v>
      </c>
      <c r="P1384" s="110" t="str">
        <f t="shared" si="91"/>
        <v/>
      </c>
      <c r="R1384" s="87" t="str">
        <f t="shared" si="92"/>
        <v/>
      </c>
      <c r="S1384" s="87" t="str">
        <f t="shared" si="93"/>
        <v/>
      </c>
    </row>
    <row r="1385" spans="2:19" x14ac:dyDescent="0.25">
      <c r="B1385" s="91" t="str">
        <f>IFERROR(VLOOKUP(A1385,Lookup!A:B,2,0),"")</f>
        <v/>
      </c>
      <c r="C1385" s="59" t="str">
        <f>IFERROR(VLOOKUP(A1385,Lookup!A:C,3,0),"")</f>
        <v/>
      </c>
      <c r="J1385" s="106">
        <f>VLOOKUP(A1385&amp;G1385,Lookup!J:N,5,0)</f>
        <v>0</v>
      </c>
      <c r="O1385" s="90">
        <f>IFERROR(VLOOKUP(A1385&amp;G1385,Lookup!J:K,2,0),"")</f>
        <v>0</v>
      </c>
      <c r="P1385" s="110" t="str">
        <f t="shared" si="91"/>
        <v/>
      </c>
      <c r="R1385" s="87" t="str">
        <f t="shared" si="92"/>
        <v/>
      </c>
      <c r="S1385" s="87" t="str">
        <f t="shared" si="93"/>
        <v/>
      </c>
    </row>
    <row r="1386" spans="2:19" x14ac:dyDescent="0.25">
      <c r="B1386" s="91" t="str">
        <f>IFERROR(VLOOKUP(A1386,Lookup!A:B,2,0),"")</f>
        <v/>
      </c>
      <c r="C1386" s="59" t="str">
        <f>IFERROR(VLOOKUP(A1386,Lookup!A:C,3,0),"")</f>
        <v/>
      </c>
      <c r="J1386" s="106">
        <f>VLOOKUP(A1386&amp;G1386,Lookup!J:N,5,0)</f>
        <v>0</v>
      </c>
      <c r="O1386" s="90">
        <f>IFERROR(VLOOKUP(A1386&amp;G1386,Lookup!J:K,2,0),"")</f>
        <v>0</v>
      </c>
      <c r="P1386" s="110" t="str">
        <f t="shared" si="91"/>
        <v/>
      </c>
      <c r="R1386" s="87" t="str">
        <f t="shared" si="92"/>
        <v/>
      </c>
      <c r="S1386" s="87" t="str">
        <f t="shared" si="93"/>
        <v/>
      </c>
    </row>
    <row r="1387" spans="2:19" x14ac:dyDescent="0.25">
      <c r="B1387" s="91" t="str">
        <f>IFERROR(VLOOKUP(A1387,Lookup!A:B,2,0),"")</f>
        <v/>
      </c>
      <c r="C1387" s="59" t="str">
        <f>IFERROR(VLOOKUP(A1387,Lookup!A:C,3,0),"")</f>
        <v/>
      </c>
      <c r="J1387" s="106">
        <f>VLOOKUP(A1387&amp;G1387,Lookup!J:N,5,0)</f>
        <v>0</v>
      </c>
      <c r="O1387" s="90">
        <f>IFERROR(VLOOKUP(A1387&amp;G1387,Lookup!J:K,2,0),"")</f>
        <v>0</v>
      </c>
      <c r="P1387" s="110" t="str">
        <f t="shared" si="91"/>
        <v/>
      </c>
      <c r="R1387" s="87" t="str">
        <f t="shared" si="92"/>
        <v/>
      </c>
      <c r="S1387" s="87" t="str">
        <f t="shared" si="93"/>
        <v/>
      </c>
    </row>
    <row r="1388" spans="2:19" x14ac:dyDescent="0.25">
      <c r="B1388" s="91" t="str">
        <f>IFERROR(VLOOKUP(A1388,Lookup!A:B,2,0),"")</f>
        <v/>
      </c>
      <c r="C1388" s="59" t="str">
        <f>IFERROR(VLOOKUP(A1388,Lookup!A:C,3,0),"")</f>
        <v/>
      </c>
      <c r="J1388" s="106">
        <f>VLOOKUP(A1388&amp;G1388,Lookup!J:N,5,0)</f>
        <v>0</v>
      </c>
      <c r="O1388" s="90">
        <f>IFERROR(VLOOKUP(A1388&amp;G1388,Lookup!J:K,2,0),"")</f>
        <v>0</v>
      </c>
      <c r="P1388" s="110" t="str">
        <f t="shared" si="91"/>
        <v/>
      </c>
      <c r="R1388" s="87" t="str">
        <f t="shared" si="92"/>
        <v/>
      </c>
      <c r="S1388" s="87" t="str">
        <f t="shared" si="93"/>
        <v/>
      </c>
    </row>
    <row r="1389" spans="2:19" x14ac:dyDescent="0.25">
      <c r="B1389" s="91" t="str">
        <f>IFERROR(VLOOKUP(A1389,Lookup!A:B,2,0),"")</f>
        <v/>
      </c>
      <c r="C1389" s="59" t="str">
        <f>IFERROR(VLOOKUP(A1389,Lookup!A:C,3,0),"")</f>
        <v/>
      </c>
      <c r="J1389" s="106">
        <f>VLOOKUP(A1389&amp;G1389,Lookup!J:N,5,0)</f>
        <v>0</v>
      </c>
      <c r="O1389" s="90">
        <f>IFERROR(VLOOKUP(A1389&amp;G1389,Lookup!J:K,2,0),"")</f>
        <v>0</v>
      </c>
      <c r="P1389" s="110" t="str">
        <f t="shared" si="91"/>
        <v/>
      </c>
      <c r="R1389" s="87" t="str">
        <f t="shared" si="92"/>
        <v/>
      </c>
      <c r="S1389" s="87" t="str">
        <f t="shared" si="93"/>
        <v/>
      </c>
    </row>
    <row r="1390" spans="2:19" x14ac:dyDescent="0.25">
      <c r="B1390" s="91" t="str">
        <f>IFERROR(VLOOKUP(A1390,Lookup!A:B,2,0),"")</f>
        <v/>
      </c>
      <c r="C1390" s="59" t="str">
        <f>IFERROR(VLOOKUP(A1390,Lookup!A:C,3,0),"")</f>
        <v/>
      </c>
      <c r="J1390" s="106">
        <f>VLOOKUP(A1390&amp;G1390,Lookup!J:N,5,0)</f>
        <v>0</v>
      </c>
      <c r="O1390" s="90">
        <f>IFERROR(VLOOKUP(A1390&amp;G1390,Lookup!J:K,2,0),"")</f>
        <v>0</v>
      </c>
      <c r="P1390" s="110" t="str">
        <f t="shared" si="91"/>
        <v/>
      </c>
      <c r="R1390" s="87" t="str">
        <f t="shared" si="92"/>
        <v/>
      </c>
      <c r="S1390" s="87" t="str">
        <f t="shared" si="93"/>
        <v/>
      </c>
    </row>
    <row r="1391" spans="2:19" x14ac:dyDescent="0.25">
      <c r="B1391" s="91" t="str">
        <f>IFERROR(VLOOKUP(A1391,Lookup!A:B,2,0),"")</f>
        <v/>
      </c>
      <c r="C1391" s="59" t="str">
        <f>IFERROR(VLOOKUP(A1391,Lookup!A:C,3,0),"")</f>
        <v/>
      </c>
      <c r="J1391" s="106">
        <f>VLOOKUP(A1391&amp;G1391,Lookup!J:N,5,0)</f>
        <v>0</v>
      </c>
      <c r="O1391" s="90">
        <f>IFERROR(VLOOKUP(A1391&amp;G1391,Lookup!J:K,2,0),"")</f>
        <v>0</v>
      </c>
      <c r="P1391" s="110" t="str">
        <f t="shared" si="91"/>
        <v/>
      </c>
      <c r="R1391" s="87" t="str">
        <f t="shared" si="92"/>
        <v/>
      </c>
      <c r="S1391" s="87" t="str">
        <f t="shared" si="93"/>
        <v/>
      </c>
    </row>
    <row r="1392" spans="2:19" x14ac:dyDescent="0.25">
      <c r="B1392" s="91" t="str">
        <f>IFERROR(VLOOKUP(A1392,Lookup!A:B,2,0),"")</f>
        <v/>
      </c>
      <c r="C1392" s="59" t="str">
        <f>IFERROR(VLOOKUP(A1392,Lookup!A:C,3,0),"")</f>
        <v/>
      </c>
      <c r="J1392" s="106">
        <f>VLOOKUP(A1392&amp;G1392,Lookup!J:N,5,0)</f>
        <v>0</v>
      </c>
      <c r="O1392" s="90">
        <f>IFERROR(VLOOKUP(A1392&amp;G1392,Lookup!J:K,2,0),"")</f>
        <v>0</v>
      </c>
      <c r="P1392" s="110" t="str">
        <f t="shared" si="91"/>
        <v/>
      </c>
      <c r="R1392" s="87" t="str">
        <f t="shared" si="92"/>
        <v/>
      </c>
      <c r="S1392" s="87" t="str">
        <f t="shared" si="93"/>
        <v/>
      </c>
    </row>
    <row r="1393" spans="2:19" x14ac:dyDescent="0.25">
      <c r="B1393" s="91" t="str">
        <f>IFERROR(VLOOKUP(A1393,Lookup!A:B,2,0),"")</f>
        <v/>
      </c>
      <c r="C1393" s="59" t="str">
        <f>IFERROR(VLOOKUP(A1393,Lookup!A:C,3,0),"")</f>
        <v/>
      </c>
      <c r="J1393" s="106">
        <f>VLOOKUP(A1393&amp;G1393,Lookup!J:N,5,0)</f>
        <v>0</v>
      </c>
      <c r="O1393" s="90">
        <f>IFERROR(VLOOKUP(A1393&amp;G1393,Lookup!J:K,2,0),"")</f>
        <v>0</v>
      </c>
      <c r="P1393" s="110" t="str">
        <f t="shared" si="91"/>
        <v/>
      </c>
      <c r="R1393" s="87" t="str">
        <f t="shared" si="92"/>
        <v/>
      </c>
      <c r="S1393" s="87" t="str">
        <f t="shared" si="93"/>
        <v/>
      </c>
    </row>
    <row r="1394" spans="2:19" x14ac:dyDescent="0.25">
      <c r="B1394" s="91" t="str">
        <f>IFERROR(VLOOKUP(A1394,Lookup!A:B,2,0),"")</f>
        <v/>
      </c>
      <c r="C1394" s="59" t="str">
        <f>IFERROR(VLOOKUP(A1394,Lookup!A:C,3,0),"")</f>
        <v/>
      </c>
      <c r="J1394" s="106">
        <f>VLOOKUP(A1394&amp;G1394,Lookup!J:N,5,0)</f>
        <v>0</v>
      </c>
      <c r="O1394" s="90">
        <f>IFERROR(VLOOKUP(A1394&amp;G1394,Lookup!J:K,2,0),"")</f>
        <v>0</v>
      </c>
      <c r="P1394" s="110" t="str">
        <f t="shared" si="91"/>
        <v/>
      </c>
      <c r="R1394" s="87" t="str">
        <f t="shared" si="92"/>
        <v/>
      </c>
      <c r="S1394" s="87" t="str">
        <f t="shared" si="93"/>
        <v/>
      </c>
    </row>
    <row r="1395" spans="2:19" x14ac:dyDescent="0.25">
      <c r="B1395" s="91" t="str">
        <f>IFERROR(VLOOKUP(A1395,Lookup!A:B,2,0),"")</f>
        <v/>
      </c>
      <c r="C1395" s="59" t="str">
        <f>IFERROR(VLOOKUP(A1395,Lookup!A:C,3,0),"")</f>
        <v/>
      </c>
      <c r="J1395" s="106">
        <f>VLOOKUP(A1395&amp;G1395,Lookup!J:N,5,0)</f>
        <v>0</v>
      </c>
      <c r="O1395" s="90">
        <f>IFERROR(VLOOKUP(A1395&amp;G1395,Lookup!J:K,2,0),"")</f>
        <v>0</v>
      </c>
      <c r="P1395" s="110" t="str">
        <f t="shared" si="91"/>
        <v/>
      </c>
      <c r="R1395" s="87" t="str">
        <f t="shared" si="92"/>
        <v/>
      </c>
      <c r="S1395" s="87" t="str">
        <f t="shared" si="93"/>
        <v/>
      </c>
    </row>
    <row r="1396" spans="2:19" x14ac:dyDescent="0.25">
      <c r="B1396" s="91" t="str">
        <f>IFERROR(VLOOKUP(A1396,Lookup!A:B,2,0),"")</f>
        <v/>
      </c>
      <c r="C1396" s="59" t="str">
        <f>IFERROR(VLOOKUP(A1396,Lookup!A:C,3,0),"")</f>
        <v/>
      </c>
      <c r="J1396" s="106">
        <f>VLOOKUP(A1396&amp;G1396,Lookup!J:N,5,0)</f>
        <v>0</v>
      </c>
      <c r="O1396" s="90">
        <f>IFERROR(VLOOKUP(A1396&amp;G1396,Lookup!J:K,2,0),"")</f>
        <v>0</v>
      </c>
      <c r="P1396" s="110" t="str">
        <f t="shared" si="91"/>
        <v/>
      </c>
      <c r="R1396" s="87" t="str">
        <f t="shared" si="92"/>
        <v/>
      </c>
      <c r="S1396" s="87" t="str">
        <f t="shared" si="93"/>
        <v/>
      </c>
    </row>
    <row r="1397" spans="2:19" x14ac:dyDescent="0.25">
      <c r="B1397" s="91" t="str">
        <f>IFERROR(VLOOKUP(A1397,Lookup!A:B,2,0),"")</f>
        <v/>
      </c>
      <c r="C1397" s="59" t="str">
        <f>IFERROR(VLOOKUP(A1397,Lookup!A:C,3,0),"")</f>
        <v/>
      </c>
      <c r="J1397" s="106">
        <f>VLOOKUP(A1397&amp;G1397,Lookup!J:N,5,0)</f>
        <v>0</v>
      </c>
      <c r="O1397" s="90">
        <f>IFERROR(VLOOKUP(A1397&amp;G1397,Lookup!J:K,2,0),"")</f>
        <v>0</v>
      </c>
      <c r="P1397" s="110" t="str">
        <f t="shared" si="91"/>
        <v/>
      </c>
      <c r="R1397" s="87" t="str">
        <f t="shared" si="92"/>
        <v/>
      </c>
      <c r="S1397" s="87" t="str">
        <f t="shared" si="93"/>
        <v/>
      </c>
    </row>
    <row r="1398" spans="2:19" x14ac:dyDescent="0.25">
      <c r="B1398" s="91" t="str">
        <f>IFERROR(VLOOKUP(A1398,Lookup!A:B,2,0),"")</f>
        <v/>
      </c>
      <c r="C1398" s="59" t="str">
        <f>IFERROR(VLOOKUP(A1398,Lookup!A:C,3,0),"")</f>
        <v/>
      </c>
      <c r="J1398" s="106">
        <f>VLOOKUP(A1398&amp;G1398,Lookup!J:N,5,0)</f>
        <v>0</v>
      </c>
      <c r="O1398" s="90">
        <f>IFERROR(VLOOKUP(A1398&amp;G1398,Lookup!J:K,2,0),"")</f>
        <v>0</v>
      </c>
      <c r="P1398" s="110" t="str">
        <f t="shared" si="91"/>
        <v/>
      </c>
      <c r="R1398" s="87" t="str">
        <f t="shared" si="92"/>
        <v/>
      </c>
      <c r="S1398" s="87" t="str">
        <f t="shared" si="93"/>
        <v/>
      </c>
    </row>
    <row r="1399" spans="2:19" x14ac:dyDescent="0.25">
      <c r="B1399" s="91" t="str">
        <f>IFERROR(VLOOKUP(A1399,Lookup!A:B,2,0),"")</f>
        <v/>
      </c>
      <c r="C1399" s="59" t="str">
        <f>IFERROR(VLOOKUP(A1399,Lookup!A:C,3,0),"")</f>
        <v/>
      </c>
      <c r="J1399" s="106">
        <f>VLOOKUP(A1399&amp;G1399,Lookup!J:N,5,0)</f>
        <v>0</v>
      </c>
      <c r="O1399" s="90">
        <f>IFERROR(VLOOKUP(A1399&amp;G1399,Lookup!J:K,2,0),"")</f>
        <v>0</v>
      </c>
      <c r="P1399" s="110" t="str">
        <f t="shared" si="91"/>
        <v/>
      </c>
      <c r="R1399" s="87" t="str">
        <f t="shared" si="92"/>
        <v/>
      </c>
      <c r="S1399" s="87" t="str">
        <f t="shared" si="93"/>
        <v/>
      </c>
    </row>
    <row r="1400" spans="2:19" x14ac:dyDescent="0.25">
      <c r="B1400" s="91" t="str">
        <f>IFERROR(VLOOKUP(A1400,Lookup!A:B,2,0),"")</f>
        <v/>
      </c>
      <c r="C1400" s="59" t="str">
        <f>IFERROR(VLOOKUP(A1400,Lookup!A:C,3,0),"")</f>
        <v/>
      </c>
      <c r="J1400" s="106">
        <f>VLOOKUP(A1400&amp;G1400,Lookup!J:N,5,0)</f>
        <v>0</v>
      </c>
      <c r="O1400" s="90">
        <f>IFERROR(VLOOKUP(A1400&amp;G1400,Lookup!J:K,2,0),"")</f>
        <v>0</v>
      </c>
      <c r="P1400" s="110" t="str">
        <f t="shared" si="91"/>
        <v/>
      </c>
      <c r="R1400" s="87" t="str">
        <f t="shared" si="92"/>
        <v/>
      </c>
      <c r="S1400" s="87" t="str">
        <f t="shared" si="93"/>
        <v/>
      </c>
    </row>
    <row r="1401" spans="2:19" x14ac:dyDescent="0.25">
      <c r="B1401" s="91" t="str">
        <f>IFERROR(VLOOKUP(A1401,Lookup!A:B,2,0),"")</f>
        <v/>
      </c>
      <c r="C1401" s="59" t="str">
        <f>IFERROR(VLOOKUP(A1401,Lookup!A:C,3,0),"")</f>
        <v/>
      </c>
      <c r="J1401" s="106">
        <f>VLOOKUP(A1401&amp;G1401,Lookup!J:N,5,0)</f>
        <v>0</v>
      </c>
      <c r="O1401" s="90">
        <f>IFERROR(VLOOKUP(A1401&amp;G1401,Lookup!J:K,2,0),"")</f>
        <v>0</v>
      </c>
      <c r="P1401" s="110" t="str">
        <f t="shared" si="91"/>
        <v/>
      </c>
      <c r="R1401" s="87" t="str">
        <f t="shared" si="92"/>
        <v/>
      </c>
      <c r="S1401" s="87" t="str">
        <f t="shared" si="93"/>
        <v/>
      </c>
    </row>
    <row r="1402" spans="2:19" x14ac:dyDescent="0.25">
      <c r="B1402" s="91" t="str">
        <f>IFERROR(VLOOKUP(A1402,Lookup!A:B,2,0),"")</f>
        <v/>
      </c>
      <c r="C1402" s="59" t="str">
        <f>IFERROR(VLOOKUP(A1402,Lookup!A:C,3,0),"")</f>
        <v/>
      </c>
      <c r="J1402" s="106">
        <f>VLOOKUP(A1402&amp;G1402,Lookup!J:N,5,0)</f>
        <v>0</v>
      </c>
      <c r="O1402" s="90">
        <f>IFERROR(VLOOKUP(A1402&amp;G1402,Lookup!J:K,2,0),"")</f>
        <v>0</v>
      </c>
      <c r="P1402" s="110" t="str">
        <f t="shared" si="91"/>
        <v/>
      </c>
      <c r="R1402" s="87" t="str">
        <f t="shared" si="92"/>
        <v/>
      </c>
      <c r="S1402" s="87" t="str">
        <f t="shared" si="93"/>
        <v/>
      </c>
    </row>
    <row r="1403" spans="2:19" x14ac:dyDescent="0.25">
      <c r="B1403" s="91" t="str">
        <f>IFERROR(VLOOKUP(A1403,Lookup!A:B,2,0),"")</f>
        <v/>
      </c>
      <c r="C1403" s="59" t="str">
        <f>IFERROR(VLOOKUP(A1403,Lookup!A:C,3,0),"")</f>
        <v/>
      </c>
      <c r="J1403" s="106">
        <f>VLOOKUP(A1403&amp;G1403,Lookup!J:N,5,0)</f>
        <v>0</v>
      </c>
      <c r="O1403" s="90">
        <f>IFERROR(VLOOKUP(A1403&amp;G1403,Lookup!J:K,2,0),"")</f>
        <v>0</v>
      </c>
      <c r="P1403" s="110" t="str">
        <f t="shared" si="91"/>
        <v/>
      </c>
      <c r="R1403" s="87" t="str">
        <f t="shared" si="92"/>
        <v/>
      </c>
      <c r="S1403" s="87" t="str">
        <f t="shared" si="93"/>
        <v/>
      </c>
    </row>
    <row r="1404" spans="2:19" x14ac:dyDescent="0.25">
      <c r="B1404" s="91" t="str">
        <f>IFERROR(VLOOKUP(A1404,Lookup!A:B,2,0),"")</f>
        <v/>
      </c>
      <c r="C1404" s="59" t="str">
        <f>IFERROR(VLOOKUP(A1404,Lookup!A:C,3,0),"")</f>
        <v/>
      </c>
      <c r="J1404" s="106">
        <f>VLOOKUP(A1404&amp;G1404,Lookup!J:N,5,0)</f>
        <v>0</v>
      </c>
      <c r="O1404" s="90">
        <f>IFERROR(VLOOKUP(A1404&amp;G1404,Lookup!J:K,2,0),"")</f>
        <v>0</v>
      </c>
      <c r="P1404" s="110" t="str">
        <f t="shared" si="91"/>
        <v/>
      </c>
      <c r="R1404" s="87" t="str">
        <f t="shared" si="92"/>
        <v/>
      </c>
      <c r="S1404" s="87" t="str">
        <f t="shared" si="93"/>
        <v/>
      </c>
    </row>
    <row r="1405" spans="2:19" x14ac:dyDescent="0.25">
      <c r="B1405" s="91" t="str">
        <f>IFERROR(VLOOKUP(A1405,Lookup!A:B,2,0),"")</f>
        <v/>
      </c>
      <c r="C1405" s="59" t="str">
        <f>IFERROR(VLOOKUP(A1405,Lookup!A:C,3,0),"")</f>
        <v/>
      </c>
      <c r="J1405" s="106">
        <f>VLOOKUP(A1405&amp;G1405,Lookup!J:N,5,0)</f>
        <v>0</v>
      </c>
      <c r="O1405" s="90">
        <f>IFERROR(VLOOKUP(A1405&amp;G1405,Lookup!J:K,2,0),"")</f>
        <v>0</v>
      </c>
      <c r="P1405" s="110" t="str">
        <f t="shared" si="91"/>
        <v/>
      </c>
      <c r="R1405" s="87" t="str">
        <f t="shared" si="92"/>
        <v/>
      </c>
      <c r="S1405" s="87" t="str">
        <f t="shared" si="93"/>
        <v/>
      </c>
    </row>
    <row r="1406" spans="2:19" x14ac:dyDescent="0.25">
      <c r="B1406" s="91" t="str">
        <f>IFERROR(VLOOKUP(A1406,Lookup!A:B,2,0),"")</f>
        <v/>
      </c>
      <c r="C1406" s="59" t="str">
        <f>IFERROR(VLOOKUP(A1406,Lookup!A:C,3,0),"")</f>
        <v/>
      </c>
      <c r="J1406" s="106">
        <f>VLOOKUP(A1406&amp;G1406,Lookup!J:N,5,0)</f>
        <v>0</v>
      </c>
      <c r="O1406" s="90">
        <f>IFERROR(VLOOKUP(A1406&amp;G1406,Lookup!J:K,2,0),"")</f>
        <v>0</v>
      </c>
      <c r="P1406" s="110" t="str">
        <f t="shared" si="91"/>
        <v/>
      </c>
      <c r="R1406" s="87" t="str">
        <f t="shared" si="92"/>
        <v/>
      </c>
      <c r="S1406" s="87" t="str">
        <f t="shared" si="93"/>
        <v/>
      </c>
    </row>
    <row r="1407" spans="2:19" x14ac:dyDescent="0.25">
      <c r="B1407" s="91" t="str">
        <f>IFERROR(VLOOKUP(A1407,Lookup!A:B,2,0),"")</f>
        <v/>
      </c>
      <c r="C1407" s="59" t="str">
        <f>IFERROR(VLOOKUP(A1407,Lookup!A:C,3,0),"")</f>
        <v/>
      </c>
      <c r="J1407" s="106">
        <f>VLOOKUP(A1407&amp;G1407,Lookup!J:N,5,0)</f>
        <v>0</v>
      </c>
      <c r="O1407" s="90">
        <f>IFERROR(VLOOKUP(A1407&amp;G1407,Lookup!J:K,2,0),"")</f>
        <v>0</v>
      </c>
      <c r="P1407" s="110" t="str">
        <f t="shared" si="91"/>
        <v/>
      </c>
      <c r="R1407" s="87" t="str">
        <f t="shared" si="92"/>
        <v/>
      </c>
      <c r="S1407" s="87" t="str">
        <f t="shared" si="93"/>
        <v/>
      </c>
    </row>
    <row r="1408" spans="2:19" x14ac:dyDescent="0.25">
      <c r="B1408" s="91" t="str">
        <f>IFERROR(VLOOKUP(A1408,Lookup!A:B,2,0),"")</f>
        <v/>
      </c>
      <c r="C1408" s="59" t="str">
        <f>IFERROR(VLOOKUP(A1408,Lookup!A:C,3,0),"")</f>
        <v/>
      </c>
      <c r="J1408" s="106">
        <f>VLOOKUP(A1408&amp;G1408,Lookup!J:N,5,0)</f>
        <v>0</v>
      </c>
      <c r="O1408" s="90">
        <f>IFERROR(VLOOKUP(A1408&amp;G1408,Lookup!J:K,2,0),"")</f>
        <v>0</v>
      </c>
      <c r="P1408" s="110" t="str">
        <f t="shared" si="91"/>
        <v/>
      </c>
      <c r="R1408" s="87" t="str">
        <f t="shared" si="92"/>
        <v/>
      </c>
      <c r="S1408" s="87" t="str">
        <f t="shared" si="93"/>
        <v/>
      </c>
    </row>
    <row r="1409" spans="2:19" x14ac:dyDescent="0.25">
      <c r="B1409" s="91" t="str">
        <f>IFERROR(VLOOKUP(A1409,Lookup!A:B,2,0),"")</f>
        <v/>
      </c>
      <c r="C1409" s="59" t="str">
        <f>IFERROR(VLOOKUP(A1409,Lookup!A:C,3,0),"")</f>
        <v/>
      </c>
      <c r="J1409" s="106">
        <f>VLOOKUP(A1409&amp;G1409,Lookup!J:N,5,0)</f>
        <v>0</v>
      </c>
      <c r="O1409" s="90">
        <f>IFERROR(VLOOKUP(A1409&amp;G1409,Lookup!J:K,2,0),"")</f>
        <v>0</v>
      </c>
      <c r="P1409" s="110" t="str">
        <f t="shared" si="91"/>
        <v/>
      </c>
      <c r="R1409" s="87" t="str">
        <f t="shared" si="92"/>
        <v/>
      </c>
      <c r="S1409" s="87" t="str">
        <f t="shared" si="93"/>
        <v/>
      </c>
    </row>
    <row r="1410" spans="2:19" x14ac:dyDescent="0.25">
      <c r="B1410" s="91" t="str">
        <f>IFERROR(VLOOKUP(A1410,Lookup!A:B,2,0),"")</f>
        <v/>
      </c>
      <c r="C1410" s="59" t="str">
        <f>IFERROR(VLOOKUP(A1410,Lookup!A:C,3,0),"")</f>
        <v/>
      </c>
      <c r="J1410" s="106">
        <f>VLOOKUP(A1410&amp;G1410,Lookup!J:N,5,0)</f>
        <v>0</v>
      </c>
      <c r="O1410" s="90">
        <f>IFERROR(VLOOKUP(A1410&amp;G1410,Lookup!J:K,2,0),"")</f>
        <v>0</v>
      </c>
      <c r="P1410" s="110" t="str">
        <f t="shared" ref="P1410:P1473" si="94">IF(N1410="","",N1410+O1410)</f>
        <v/>
      </c>
      <c r="R1410" s="87" t="str">
        <f t="shared" si="92"/>
        <v/>
      </c>
      <c r="S1410" s="87" t="str">
        <f t="shared" si="93"/>
        <v/>
      </c>
    </row>
    <row r="1411" spans="2:19" x14ac:dyDescent="0.25">
      <c r="B1411" s="91" t="str">
        <f>IFERROR(VLOOKUP(A1411,Lookup!A:B,2,0),"")</f>
        <v/>
      </c>
      <c r="C1411" s="59" t="str">
        <f>IFERROR(VLOOKUP(A1411,Lookup!A:C,3,0),"")</f>
        <v/>
      </c>
      <c r="J1411" s="106">
        <f>VLOOKUP(A1411&amp;G1411,Lookup!J:N,5,0)</f>
        <v>0</v>
      </c>
      <c r="O1411" s="90">
        <f>IFERROR(VLOOKUP(A1411&amp;G1411,Lookup!J:K,2,0),"")</f>
        <v>0</v>
      </c>
      <c r="P1411" s="110" t="str">
        <f t="shared" si="94"/>
        <v/>
      </c>
      <c r="R1411" s="87" t="str">
        <f t="shared" ref="R1411:R1474" si="95">IF(OR(EXACT(N1411,""), EXACT(L1411,"")),"",N1411-L1411)</f>
        <v/>
      </c>
      <c r="S1411" s="87" t="str">
        <f t="shared" si="93"/>
        <v/>
      </c>
    </row>
    <row r="1412" spans="2:19" x14ac:dyDescent="0.25">
      <c r="B1412" s="91" t="str">
        <f>IFERROR(VLOOKUP(A1412,Lookup!A:B,2,0),"")</f>
        <v/>
      </c>
      <c r="C1412" s="59" t="str">
        <f>IFERROR(VLOOKUP(A1412,Lookup!A:C,3,0),"")</f>
        <v/>
      </c>
      <c r="J1412" s="106">
        <f>VLOOKUP(A1412&amp;G1412,Lookup!J:N,5,0)</f>
        <v>0</v>
      </c>
      <c r="O1412" s="90">
        <f>IFERROR(VLOOKUP(A1412&amp;G1412,Lookup!J:K,2,0),"")</f>
        <v>0</v>
      </c>
      <c r="P1412" s="110" t="str">
        <f t="shared" si="94"/>
        <v/>
      </c>
      <c r="R1412" s="87" t="str">
        <f t="shared" si="95"/>
        <v/>
      </c>
      <c r="S1412" s="87" t="str">
        <f t="shared" ref="S1412:S1475" si="96">IF(OR(EXACT(Q1412,""), EXACT(L1412,"")),"",Q1412-L1412)</f>
        <v/>
      </c>
    </row>
    <row r="1413" spans="2:19" x14ac:dyDescent="0.25">
      <c r="B1413" s="91" t="str">
        <f>IFERROR(VLOOKUP(A1413,Lookup!A:B,2,0),"")</f>
        <v/>
      </c>
      <c r="C1413" s="59" t="str">
        <f>IFERROR(VLOOKUP(A1413,Lookup!A:C,3,0),"")</f>
        <v/>
      </c>
      <c r="J1413" s="106">
        <f>VLOOKUP(A1413&amp;G1413,Lookup!J:N,5,0)</f>
        <v>0</v>
      </c>
      <c r="O1413" s="90">
        <f>IFERROR(VLOOKUP(A1413&amp;G1413,Lookup!J:K,2,0),"")</f>
        <v>0</v>
      </c>
      <c r="P1413" s="110" t="str">
        <f t="shared" si="94"/>
        <v/>
      </c>
      <c r="R1413" s="87" t="str">
        <f t="shared" si="95"/>
        <v/>
      </c>
      <c r="S1413" s="87" t="str">
        <f t="shared" si="96"/>
        <v/>
      </c>
    </row>
    <row r="1414" spans="2:19" x14ac:dyDescent="0.25">
      <c r="B1414" s="91" t="str">
        <f>IFERROR(VLOOKUP(A1414,Lookup!A:B,2,0),"")</f>
        <v/>
      </c>
      <c r="C1414" s="59" t="str">
        <f>IFERROR(VLOOKUP(A1414,Lookup!A:C,3,0),"")</f>
        <v/>
      </c>
      <c r="J1414" s="106">
        <f>VLOOKUP(A1414&amp;G1414,Lookup!J:N,5,0)</f>
        <v>0</v>
      </c>
      <c r="O1414" s="90">
        <f>IFERROR(VLOOKUP(A1414&amp;G1414,Lookup!J:K,2,0),"")</f>
        <v>0</v>
      </c>
      <c r="P1414" s="110" t="str">
        <f t="shared" si="94"/>
        <v/>
      </c>
      <c r="R1414" s="87" t="str">
        <f t="shared" si="95"/>
        <v/>
      </c>
      <c r="S1414" s="87" t="str">
        <f t="shared" si="96"/>
        <v/>
      </c>
    </row>
    <row r="1415" spans="2:19" x14ac:dyDescent="0.25">
      <c r="B1415" s="91" t="str">
        <f>IFERROR(VLOOKUP(A1415,Lookup!A:B,2,0),"")</f>
        <v/>
      </c>
      <c r="C1415" s="59" t="str">
        <f>IFERROR(VLOOKUP(A1415,Lookup!A:C,3,0),"")</f>
        <v/>
      </c>
      <c r="J1415" s="106">
        <f>VLOOKUP(A1415&amp;G1415,Lookup!J:N,5,0)</f>
        <v>0</v>
      </c>
      <c r="O1415" s="90">
        <f>IFERROR(VLOOKUP(A1415&amp;G1415,Lookup!J:K,2,0),"")</f>
        <v>0</v>
      </c>
      <c r="P1415" s="110" t="str">
        <f t="shared" si="94"/>
        <v/>
      </c>
      <c r="R1415" s="87" t="str">
        <f t="shared" si="95"/>
        <v/>
      </c>
      <c r="S1415" s="87" t="str">
        <f t="shared" si="96"/>
        <v/>
      </c>
    </row>
    <row r="1416" spans="2:19" x14ac:dyDescent="0.25">
      <c r="B1416" s="91" t="str">
        <f>IFERROR(VLOOKUP(A1416,Lookup!A:B,2,0),"")</f>
        <v/>
      </c>
      <c r="C1416" s="59" t="str">
        <f>IFERROR(VLOOKUP(A1416,Lookup!A:C,3,0),"")</f>
        <v/>
      </c>
      <c r="J1416" s="106">
        <f>VLOOKUP(A1416&amp;G1416,Lookup!J:N,5,0)</f>
        <v>0</v>
      </c>
      <c r="O1416" s="90">
        <f>IFERROR(VLOOKUP(A1416&amp;G1416,Lookup!J:K,2,0),"")</f>
        <v>0</v>
      </c>
      <c r="P1416" s="110" t="str">
        <f t="shared" si="94"/>
        <v/>
      </c>
      <c r="R1416" s="87" t="str">
        <f t="shared" si="95"/>
        <v/>
      </c>
      <c r="S1416" s="87" t="str">
        <f t="shared" si="96"/>
        <v/>
      </c>
    </row>
    <row r="1417" spans="2:19" x14ac:dyDescent="0.25">
      <c r="B1417" s="91" t="str">
        <f>IFERROR(VLOOKUP(A1417,Lookup!A:B,2,0),"")</f>
        <v/>
      </c>
      <c r="C1417" s="59" t="str">
        <f>IFERROR(VLOOKUP(A1417,Lookup!A:C,3,0),"")</f>
        <v/>
      </c>
      <c r="J1417" s="106">
        <f>VLOOKUP(A1417&amp;G1417,Lookup!J:N,5,0)</f>
        <v>0</v>
      </c>
      <c r="O1417" s="90">
        <f>IFERROR(VLOOKUP(A1417&amp;G1417,Lookup!J:K,2,0),"")</f>
        <v>0</v>
      </c>
      <c r="P1417" s="110" t="str">
        <f t="shared" si="94"/>
        <v/>
      </c>
      <c r="R1417" s="87" t="str">
        <f t="shared" si="95"/>
        <v/>
      </c>
      <c r="S1417" s="87" t="str">
        <f t="shared" si="96"/>
        <v/>
      </c>
    </row>
    <row r="1418" spans="2:19" x14ac:dyDescent="0.25">
      <c r="B1418" s="91" t="str">
        <f>IFERROR(VLOOKUP(A1418,Lookup!A:B,2,0),"")</f>
        <v/>
      </c>
      <c r="C1418" s="59" t="str">
        <f>IFERROR(VLOOKUP(A1418,Lookup!A:C,3,0),"")</f>
        <v/>
      </c>
      <c r="J1418" s="106">
        <f>VLOOKUP(A1418&amp;G1418,Lookup!J:N,5,0)</f>
        <v>0</v>
      </c>
      <c r="O1418" s="90">
        <f>IFERROR(VLOOKUP(A1418&amp;G1418,Lookup!J:K,2,0),"")</f>
        <v>0</v>
      </c>
      <c r="P1418" s="110" t="str">
        <f t="shared" si="94"/>
        <v/>
      </c>
      <c r="R1418" s="87" t="str">
        <f t="shared" si="95"/>
        <v/>
      </c>
      <c r="S1418" s="87" t="str">
        <f t="shared" si="96"/>
        <v/>
      </c>
    </row>
    <row r="1419" spans="2:19" x14ac:dyDescent="0.25">
      <c r="B1419" s="91" t="str">
        <f>IFERROR(VLOOKUP(A1419,Lookup!A:B,2,0),"")</f>
        <v/>
      </c>
      <c r="C1419" s="59" t="str">
        <f>IFERROR(VLOOKUP(A1419,Lookup!A:C,3,0),"")</f>
        <v/>
      </c>
      <c r="J1419" s="106">
        <f>VLOOKUP(A1419&amp;G1419,Lookup!J:N,5,0)</f>
        <v>0</v>
      </c>
      <c r="O1419" s="90">
        <f>IFERROR(VLOOKUP(A1419&amp;G1419,Lookup!J:K,2,0),"")</f>
        <v>0</v>
      </c>
      <c r="P1419" s="110" t="str">
        <f t="shared" si="94"/>
        <v/>
      </c>
      <c r="R1419" s="87" t="str">
        <f t="shared" si="95"/>
        <v/>
      </c>
      <c r="S1419" s="87" t="str">
        <f t="shared" si="96"/>
        <v/>
      </c>
    </row>
    <row r="1420" spans="2:19" x14ac:dyDescent="0.25">
      <c r="B1420" s="91" t="str">
        <f>IFERROR(VLOOKUP(A1420,Lookup!A:B,2,0),"")</f>
        <v/>
      </c>
      <c r="C1420" s="59" t="str">
        <f>IFERROR(VLOOKUP(A1420,Lookup!A:C,3,0),"")</f>
        <v/>
      </c>
      <c r="J1420" s="106">
        <f>VLOOKUP(A1420&amp;G1420,Lookup!J:N,5,0)</f>
        <v>0</v>
      </c>
      <c r="O1420" s="90">
        <f>IFERROR(VLOOKUP(A1420&amp;G1420,Lookup!J:K,2,0),"")</f>
        <v>0</v>
      </c>
      <c r="P1420" s="110" t="str">
        <f t="shared" si="94"/>
        <v/>
      </c>
      <c r="R1420" s="87" t="str">
        <f t="shared" si="95"/>
        <v/>
      </c>
      <c r="S1420" s="87" t="str">
        <f t="shared" si="96"/>
        <v/>
      </c>
    </row>
    <row r="1421" spans="2:19" x14ac:dyDescent="0.25">
      <c r="B1421" s="91" t="str">
        <f>IFERROR(VLOOKUP(A1421,Lookup!A:B,2,0),"")</f>
        <v/>
      </c>
      <c r="C1421" s="59" t="str">
        <f>IFERROR(VLOOKUP(A1421,Lookup!A:C,3,0),"")</f>
        <v/>
      </c>
      <c r="J1421" s="106">
        <f>VLOOKUP(A1421&amp;G1421,Lookup!J:N,5,0)</f>
        <v>0</v>
      </c>
      <c r="O1421" s="90">
        <f>IFERROR(VLOOKUP(A1421&amp;G1421,Lookup!J:K,2,0),"")</f>
        <v>0</v>
      </c>
      <c r="P1421" s="110" t="str">
        <f t="shared" si="94"/>
        <v/>
      </c>
      <c r="R1421" s="87" t="str">
        <f t="shared" si="95"/>
        <v/>
      </c>
      <c r="S1421" s="87" t="str">
        <f t="shared" si="96"/>
        <v/>
      </c>
    </row>
    <row r="1422" spans="2:19" x14ac:dyDescent="0.25">
      <c r="B1422" s="91" t="str">
        <f>IFERROR(VLOOKUP(A1422,Lookup!A:B,2,0),"")</f>
        <v/>
      </c>
      <c r="C1422" s="59" t="str">
        <f>IFERROR(VLOOKUP(A1422,Lookup!A:C,3,0),"")</f>
        <v/>
      </c>
      <c r="J1422" s="106">
        <f>VLOOKUP(A1422&amp;G1422,Lookup!J:N,5,0)</f>
        <v>0</v>
      </c>
      <c r="O1422" s="90">
        <f>IFERROR(VLOOKUP(A1422&amp;G1422,Lookup!J:K,2,0),"")</f>
        <v>0</v>
      </c>
      <c r="P1422" s="110" t="str">
        <f t="shared" si="94"/>
        <v/>
      </c>
      <c r="R1422" s="87" t="str">
        <f t="shared" si="95"/>
        <v/>
      </c>
      <c r="S1422" s="87" t="str">
        <f t="shared" si="96"/>
        <v/>
      </c>
    </row>
    <row r="1423" spans="2:19" x14ac:dyDescent="0.25">
      <c r="B1423" s="91" t="str">
        <f>IFERROR(VLOOKUP(A1423,Lookup!A:B,2,0),"")</f>
        <v/>
      </c>
      <c r="C1423" s="59" t="str">
        <f>IFERROR(VLOOKUP(A1423,Lookup!A:C,3,0),"")</f>
        <v/>
      </c>
      <c r="J1423" s="106">
        <f>VLOOKUP(A1423&amp;G1423,Lookup!J:N,5,0)</f>
        <v>0</v>
      </c>
      <c r="O1423" s="90">
        <f>IFERROR(VLOOKUP(A1423&amp;G1423,Lookup!J:K,2,0),"")</f>
        <v>0</v>
      </c>
      <c r="P1423" s="110" t="str">
        <f t="shared" si="94"/>
        <v/>
      </c>
      <c r="R1423" s="87" t="str">
        <f t="shared" si="95"/>
        <v/>
      </c>
      <c r="S1423" s="87" t="str">
        <f t="shared" si="96"/>
        <v/>
      </c>
    </row>
    <row r="1424" spans="2:19" x14ac:dyDescent="0.25">
      <c r="B1424" s="91" t="str">
        <f>IFERROR(VLOOKUP(A1424,Lookup!A:B,2,0),"")</f>
        <v/>
      </c>
      <c r="C1424" s="59" t="str">
        <f>IFERROR(VLOOKUP(A1424,Lookup!A:C,3,0),"")</f>
        <v/>
      </c>
      <c r="J1424" s="106">
        <f>VLOOKUP(A1424&amp;G1424,Lookup!J:N,5,0)</f>
        <v>0</v>
      </c>
      <c r="O1424" s="90">
        <f>IFERROR(VLOOKUP(A1424&amp;G1424,Lookup!J:K,2,0),"")</f>
        <v>0</v>
      </c>
      <c r="P1424" s="110" t="str">
        <f t="shared" si="94"/>
        <v/>
      </c>
      <c r="R1424" s="87" t="str">
        <f t="shared" si="95"/>
        <v/>
      </c>
      <c r="S1424" s="87" t="str">
        <f t="shared" si="96"/>
        <v/>
      </c>
    </row>
    <row r="1425" spans="2:19" x14ac:dyDescent="0.25">
      <c r="B1425" s="91" t="str">
        <f>IFERROR(VLOOKUP(A1425,Lookup!A:B,2,0),"")</f>
        <v/>
      </c>
      <c r="C1425" s="59" t="str">
        <f>IFERROR(VLOOKUP(A1425,Lookup!A:C,3,0),"")</f>
        <v/>
      </c>
      <c r="J1425" s="106">
        <f>VLOOKUP(A1425&amp;G1425,Lookup!J:N,5,0)</f>
        <v>0</v>
      </c>
      <c r="O1425" s="90">
        <f>IFERROR(VLOOKUP(A1425&amp;G1425,Lookup!J:K,2,0),"")</f>
        <v>0</v>
      </c>
      <c r="P1425" s="110" t="str">
        <f t="shared" si="94"/>
        <v/>
      </c>
      <c r="R1425" s="87" t="str">
        <f t="shared" si="95"/>
        <v/>
      </c>
      <c r="S1425" s="87" t="str">
        <f t="shared" si="96"/>
        <v/>
      </c>
    </row>
    <row r="1426" spans="2:19" x14ac:dyDescent="0.25">
      <c r="B1426" s="91" t="str">
        <f>IFERROR(VLOOKUP(A1426,Lookup!A:B,2,0),"")</f>
        <v/>
      </c>
      <c r="C1426" s="59" t="str">
        <f>IFERROR(VLOOKUP(A1426,Lookup!A:C,3,0),"")</f>
        <v/>
      </c>
      <c r="J1426" s="106">
        <f>VLOOKUP(A1426&amp;G1426,Lookup!J:N,5,0)</f>
        <v>0</v>
      </c>
      <c r="O1426" s="90">
        <f>IFERROR(VLOOKUP(A1426&amp;G1426,Lookup!J:K,2,0),"")</f>
        <v>0</v>
      </c>
      <c r="P1426" s="110" t="str">
        <f t="shared" si="94"/>
        <v/>
      </c>
      <c r="R1426" s="87" t="str">
        <f t="shared" si="95"/>
        <v/>
      </c>
      <c r="S1426" s="87" t="str">
        <f t="shared" si="96"/>
        <v/>
      </c>
    </row>
    <row r="1427" spans="2:19" x14ac:dyDescent="0.25">
      <c r="B1427" s="91" t="str">
        <f>IFERROR(VLOOKUP(A1427,Lookup!A:B,2,0),"")</f>
        <v/>
      </c>
      <c r="C1427" s="59" t="str">
        <f>IFERROR(VLOOKUP(A1427,Lookup!A:C,3,0),"")</f>
        <v/>
      </c>
      <c r="J1427" s="106">
        <f>VLOOKUP(A1427&amp;G1427,Lookup!J:N,5,0)</f>
        <v>0</v>
      </c>
      <c r="O1427" s="90">
        <f>IFERROR(VLOOKUP(A1427&amp;G1427,Lookup!J:K,2,0),"")</f>
        <v>0</v>
      </c>
      <c r="P1427" s="110" t="str">
        <f t="shared" si="94"/>
        <v/>
      </c>
      <c r="R1427" s="87" t="str">
        <f t="shared" si="95"/>
        <v/>
      </c>
      <c r="S1427" s="87" t="str">
        <f t="shared" si="96"/>
        <v/>
      </c>
    </row>
    <row r="1428" spans="2:19" x14ac:dyDescent="0.25">
      <c r="B1428" s="91" t="str">
        <f>IFERROR(VLOOKUP(A1428,Lookup!A:B,2,0),"")</f>
        <v/>
      </c>
      <c r="C1428" s="59" t="str">
        <f>IFERROR(VLOOKUP(A1428,Lookup!A:C,3,0),"")</f>
        <v/>
      </c>
      <c r="J1428" s="106">
        <f>VLOOKUP(A1428&amp;G1428,Lookup!J:N,5,0)</f>
        <v>0</v>
      </c>
      <c r="O1428" s="90">
        <f>IFERROR(VLOOKUP(A1428&amp;G1428,Lookup!J:K,2,0),"")</f>
        <v>0</v>
      </c>
      <c r="P1428" s="110" t="str">
        <f t="shared" si="94"/>
        <v/>
      </c>
      <c r="R1428" s="87" t="str">
        <f t="shared" si="95"/>
        <v/>
      </c>
      <c r="S1428" s="87" t="str">
        <f t="shared" si="96"/>
        <v/>
      </c>
    </row>
    <row r="1429" spans="2:19" x14ac:dyDescent="0.25">
      <c r="B1429" s="91" t="str">
        <f>IFERROR(VLOOKUP(A1429,Lookup!A:B,2,0),"")</f>
        <v/>
      </c>
      <c r="C1429" s="59" t="str">
        <f>IFERROR(VLOOKUP(A1429,Lookup!A:C,3,0),"")</f>
        <v/>
      </c>
      <c r="J1429" s="106">
        <f>VLOOKUP(A1429&amp;G1429,Lookup!J:N,5,0)</f>
        <v>0</v>
      </c>
      <c r="O1429" s="90">
        <f>IFERROR(VLOOKUP(A1429&amp;G1429,Lookup!J:K,2,0),"")</f>
        <v>0</v>
      </c>
      <c r="P1429" s="110" t="str">
        <f t="shared" si="94"/>
        <v/>
      </c>
      <c r="R1429" s="87" t="str">
        <f t="shared" si="95"/>
        <v/>
      </c>
      <c r="S1429" s="87" t="str">
        <f t="shared" si="96"/>
        <v/>
      </c>
    </row>
    <row r="1430" spans="2:19" x14ac:dyDescent="0.25">
      <c r="B1430" s="91" t="str">
        <f>IFERROR(VLOOKUP(A1430,Lookup!A:B,2,0),"")</f>
        <v/>
      </c>
      <c r="C1430" s="59" t="str">
        <f>IFERROR(VLOOKUP(A1430,Lookup!A:C,3,0),"")</f>
        <v/>
      </c>
      <c r="J1430" s="106">
        <f>VLOOKUP(A1430&amp;G1430,Lookup!J:N,5,0)</f>
        <v>0</v>
      </c>
      <c r="O1430" s="90">
        <f>IFERROR(VLOOKUP(A1430&amp;G1430,Lookup!J:K,2,0),"")</f>
        <v>0</v>
      </c>
      <c r="P1430" s="110" t="str">
        <f t="shared" si="94"/>
        <v/>
      </c>
      <c r="R1430" s="87" t="str">
        <f t="shared" si="95"/>
        <v/>
      </c>
      <c r="S1430" s="87" t="str">
        <f t="shared" si="96"/>
        <v/>
      </c>
    </row>
    <row r="1431" spans="2:19" x14ac:dyDescent="0.25">
      <c r="B1431" s="91" t="str">
        <f>IFERROR(VLOOKUP(A1431,Lookup!A:B,2,0),"")</f>
        <v/>
      </c>
      <c r="C1431" s="59" t="str">
        <f>IFERROR(VLOOKUP(A1431,Lookup!A:C,3,0),"")</f>
        <v/>
      </c>
      <c r="J1431" s="106">
        <f>VLOOKUP(A1431&amp;G1431,Lookup!J:N,5,0)</f>
        <v>0</v>
      </c>
      <c r="O1431" s="90">
        <f>IFERROR(VLOOKUP(A1431&amp;G1431,Lookup!J:K,2,0),"")</f>
        <v>0</v>
      </c>
      <c r="P1431" s="110" t="str">
        <f t="shared" si="94"/>
        <v/>
      </c>
      <c r="R1431" s="87" t="str">
        <f t="shared" si="95"/>
        <v/>
      </c>
      <c r="S1431" s="87" t="str">
        <f t="shared" si="96"/>
        <v/>
      </c>
    </row>
    <row r="1432" spans="2:19" x14ac:dyDescent="0.25">
      <c r="B1432" s="91" t="str">
        <f>IFERROR(VLOOKUP(A1432,Lookup!A:B,2,0),"")</f>
        <v/>
      </c>
      <c r="C1432" s="59" t="str">
        <f>IFERROR(VLOOKUP(A1432,Lookup!A:C,3,0),"")</f>
        <v/>
      </c>
      <c r="J1432" s="106">
        <f>VLOOKUP(A1432&amp;G1432,Lookup!J:N,5,0)</f>
        <v>0</v>
      </c>
      <c r="O1432" s="90">
        <f>IFERROR(VLOOKUP(A1432&amp;G1432,Lookup!J:K,2,0),"")</f>
        <v>0</v>
      </c>
      <c r="P1432" s="110" t="str">
        <f t="shared" si="94"/>
        <v/>
      </c>
      <c r="R1432" s="87" t="str">
        <f t="shared" si="95"/>
        <v/>
      </c>
      <c r="S1432" s="87" t="str">
        <f t="shared" si="96"/>
        <v/>
      </c>
    </row>
    <row r="1433" spans="2:19" x14ac:dyDescent="0.25">
      <c r="B1433" s="91" t="str">
        <f>IFERROR(VLOOKUP(A1433,Lookup!A:B,2,0),"")</f>
        <v/>
      </c>
      <c r="C1433" s="59" t="str">
        <f>IFERROR(VLOOKUP(A1433,Lookup!A:C,3,0),"")</f>
        <v/>
      </c>
      <c r="J1433" s="106">
        <f>VLOOKUP(A1433&amp;G1433,Lookup!J:N,5,0)</f>
        <v>0</v>
      </c>
      <c r="O1433" s="90">
        <f>IFERROR(VLOOKUP(A1433&amp;G1433,Lookup!J:K,2,0),"")</f>
        <v>0</v>
      </c>
      <c r="P1433" s="110" t="str">
        <f t="shared" si="94"/>
        <v/>
      </c>
      <c r="R1433" s="87" t="str">
        <f t="shared" si="95"/>
        <v/>
      </c>
      <c r="S1433" s="87" t="str">
        <f t="shared" si="96"/>
        <v/>
      </c>
    </row>
    <row r="1434" spans="2:19" x14ac:dyDescent="0.25">
      <c r="B1434" s="91" t="str">
        <f>IFERROR(VLOOKUP(A1434,Lookup!A:B,2,0),"")</f>
        <v/>
      </c>
      <c r="C1434" s="59" t="str">
        <f>IFERROR(VLOOKUP(A1434,Lookup!A:C,3,0),"")</f>
        <v/>
      </c>
      <c r="J1434" s="106">
        <f>VLOOKUP(A1434&amp;G1434,Lookup!J:N,5,0)</f>
        <v>0</v>
      </c>
      <c r="O1434" s="90">
        <f>IFERROR(VLOOKUP(A1434&amp;G1434,Lookup!J:K,2,0),"")</f>
        <v>0</v>
      </c>
      <c r="P1434" s="110" t="str">
        <f t="shared" si="94"/>
        <v/>
      </c>
      <c r="R1434" s="87" t="str">
        <f t="shared" si="95"/>
        <v/>
      </c>
      <c r="S1434" s="87" t="str">
        <f t="shared" si="96"/>
        <v/>
      </c>
    </row>
    <row r="1435" spans="2:19" x14ac:dyDescent="0.25">
      <c r="B1435" s="91" t="str">
        <f>IFERROR(VLOOKUP(A1435,Lookup!A:B,2,0),"")</f>
        <v/>
      </c>
      <c r="C1435" s="59" t="str">
        <f>IFERROR(VLOOKUP(A1435,Lookup!A:C,3,0),"")</f>
        <v/>
      </c>
      <c r="J1435" s="106">
        <f>VLOOKUP(A1435&amp;G1435,Lookup!J:N,5,0)</f>
        <v>0</v>
      </c>
      <c r="O1435" s="90">
        <f>IFERROR(VLOOKUP(A1435&amp;G1435,Lookup!J:K,2,0),"")</f>
        <v>0</v>
      </c>
      <c r="P1435" s="110" t="str">
        <f t="shared" si="94"/>
        <v/>
      </c>
      <c r="R1435" s="87" t="str">
        <f t="shared" si="95"/>
        <v/>
      </c>
      <c r="S1435" s="87" t="str">
        <f t="shared" si="96"/>
        <v/>
      </c>
    </row>
    <row r="1436" spans="2:19" x14ac:dyDescent="0.25">
      <c r="B1436" s="91" t="str">
        <f>IFERROR(VLOOKUP(A1436,Lookup!A:B,2,0),"")</f>
        <v/>
      </c>
      <c r="C1436" s="59" t="str">
        <f>IFERROR(VLOOKUP(A1436,Lookup!A:C,3,0),"")</f>
        <v/>
      </c>
      <c r="J1436" s="106">
        <f>VLOOKUP(A1436&amp;G1436,Lookup!J:N,5,0)</f>
        <v>0</v>
      </c>
      <c r="O1436" s="90">
        <f>IFERROR(VLOOKUP(A1436&amp;G1436,Lookup!J:K,2,0),"")</f>
        <v>0</v>
      </c>
      <c r="P1436" s="110" t="str">
        <f t="shared" si="94"/>
        <v/>
      </c>
      <c r="R1436" s="87" t="str">
        <f t="shared" si="95"/>
        <v/>
      </c>
      <c r="S1436" s="87" t="str">
        <f t="shared" si="96"/>
        <v/>
      </c>
    </row>
    <row r="1437" spans="2:19" x14ac:dyDescent="0.25">
      <c r="B1437" s="91" t="str">
        <f>IFERROR(VLOOKUP(A1437,Lookup!A:B,2,0),"")</f>
        <v/>
      </c>
      <c r="C1437" s="59" t="str">
        <f>IFERROR(VLOOKUP(A1437,Lookup!A:C,3,0),"")</f>
        <v/>
      </c>
      <c r="J1437" s="106">
        <f>VLOOKUP(A1437&amp;G1437,Lookup!J:N,5,0)</f>
        <v>0</v>
      </c>
      <c r="O1437" s="90">
        <f>IFERROR(VLOOKUP(A1437&amp;G1437,Lookup!J:K,2,0),"")</f>
        <v>0</v>
      </c>
      <c r="P1437" s="110" t="str">
        <f t="shared" si="94"/>
        <v/>
      </c>
      <c r="R1437" s="87" t="str">
        <f t="shared" si="95"/>
        <v/>
      </c>
      <c r="S1437" s="87" t="str">
        <f t="shared" si="96"/>
        <v/>
      </c>
    </row>
    <row r="1438" spans="2:19" x14ac:dyDescent="0.25">
      <c r="B1438" s="91" t="str">
        <f>IFERROR(VLOOKUP(A1438,Lookup!A:B,2,0),"")</f>
        <v/>
      </c>
      <c r="C1438" s="59" t="str">
        <f>IFERROR(VLOOKUP(A1438,Lookup!A:C,3,0),"")</f>
        <v/>
      </c>
      <c r="J1438" s="106">
        <f>VLOOKUP(A1438&amp;G1438,Lookup!J:N,5,0)</f>
        <v>0</v>
      </c>
      <c r="O1438" s="90">
        <f>IFERROR(VLOOKUP(A1438&amp;G1438,Lookup!J:K,2,0),"")</f>
        <v>0</v>
      </c>
      <c r="P1438" s="110" t="str">
        <f t="shared" si="94"/>
        <v/>
      </c>
      <c r="R1438" s="87" t="str">
        <f t="shared" si="95"/>
        <v/>
      </c>
      <c r="S1438" s="87" t="str">
        <f t="shared" si="96"/>
        <v/>
      </c>
    </row>
    <row r="1439" spans="2:19" x14ac:dyDescent="0.25">
      <c r="B1439" s="91" t="str">
        <f>IFERROR(VLOOKUP(A1439,Lookup!A:B,2,0),"")</f>
        <v/>
      </c>
      <c r="C1439" s="59" t="str">
        <f>IFERROR(VLOOKUP(A1439,Lookup!A:C,3,0),"")</f>
        <v/>
      </c>
      <c r="J1439" s="106">
        <f>VLOOKUP(A1439&amp;G1439,Lookup!J:N,5,0)</f>
        <v>0</v>
      </c>
      <c r="O1439" s="90">
        <f>IFERROR(VLOOKUP(A1439&amp;G1439,Lookup!J:K,2,0),"")</f>
        <v>0</v>
      </c>
      <c r="P1439" s="110" t="str">
        <f t="shared" si="94"/>
        <v/>
      </c>
      <c r="R1439" s="87" t="str">
        <f t="shared" si="95"/>
        <v/>
      </c>
      <c r="S1439" s="87" t="str">
        <f t="shared" si="96"/>
        <v/>
      </c>
    </row>
    <row r="1440" spans="2:19" x14ac:dyDescent="0.25">
      <c r="B1440" s="91" t="str">
        <f>IFERROR(VLOOKUP(A1440,Lookup!A:B,2,0),"")</f>
        <v/>
      </c>
      <c r="C1440" s="59" t="str">
        <f>IFERROR(VLOOKUP(A1440,Lookup!A:C,3,0),"")</f>
        <v/>
      </c>
      <c r="J1440" s="106">
        <f>VLOOKUP(A1440&amp;G1440,Lookup!J:N,5,0)</f>
        <v>0</v>
      </c>
      <c r="O1440" s="90">
        <f>IFERROR(VLOOKUP(A1440&amp;G1440,Lookup!J:K,2,0),"")</f>
        <v>0</v>
      </c>
      <c r="P1440" s="110" t="str">
        <f t="shared" si="94"/>
        <v/>
      </c>
      <c r="R1440" s="87" t="str">
        <f t="shared" si="95"/>
        <v/>
      </c>
      <c r="S1440" s="87" t="str">
        <f t="shared" si="96"/>
        <v/>
      </c>
    </row>
    <row r="1441" spans="2:19" x14ac:dyDescent="0.25">
      <c r="B1441" s="91" t="str">
        <f>IFERROR(VLOOKUP(A1441,Lookup!A:B,2,0),"")</f>
        <v/>
      </c>
      <c r="C1441" s="59" t="str">
        <f>IFERROR(VLOOKUP(A1441,Lookup!A:C,3,0),"")</f>
        <v/>
      </c>
      <c r="J1441" s="106">
        <f>VLOOKUP(A1441&amp;G1441,Lookup!J:N,5,0)</f>
        <v>0</v>
      </c>
      <c r="O1441" s="90">
        <f>IFERROR(VLOOKUP(A1441&amp;G1441,Lookup!J:K,2,0),"")</f>
        <v>0</v>
      </c>
      <c r="P1441" s="110" t="str">
        <f t="shared" si="94"/>
        <v/>
      </c>
      <c r="R1441" s="87" t="str">
        <f t="shared" si="95"/>
        <v/>
      </c>
      <c r="S1441" s="87" t="str">
        <f t="shared" si="96"/>
        <v/>
      </c>
    </row>
    <row r="1442" spans="2:19" x14ac:dyDescent="0.25">
      <c r="B1442" s="91" t="str">
        <f>IFERROR(VLOOKUP(A1442,Lookup!A:B,2,0),"")</f>
        <v/>
      </c>
      <c r="C1442" s="59" t="str">
        <f>IFERROR(VLOOKUP(A1442,Lookup!A:C,3,0),"")</f>
        <v/>
      </c>
      <c r="J1442" s="106">
        <f>VLOOKUP(A1442&amp;G1442,Lookup!J:N,5,0)</f>
        <v>0</v>
      </c>
      <c r="O1442" s="90">
        <f>IFERROR(VLOOKUP(A1442&amp;G1442,Lookup!J:K,2,0),"")</f>
        <v>0</v>
      </c>
      <c r="P1442" s="110" t="str">
        <f t="shared" si="94"/>
        <v/>
      </c>
      <c r="R1442" s="87" t="str">
        <f t="shared" si="95"/>
        <v/>
      </c>
      <c r="S1442" s="87" t="str">
        <f t="shared" si="96"/>
        <v/>
      </c>
    </row>
    <row r="1443" spans="2:19" x14ac:dyDescent="0.25">
      <c r="B1443" s="91" t="str">
        <f>IFERROR(VLOOKUP(A1443,Lookup!A:B,2,0),"")</f>
        <v/>
      </c>
      <c r="C1443" s="59" t="str">
        <f>IFERROR(VLOOKUP(A1443,Lookup!A:C,3,0),"")</f>
        <v/>
      </c>
      <c r="J1443" s="106">
        <f>VLOOKUP(A1443&amp;G1443,Lookup!J:N,5,0)</f>
        <v>0</v>
      </c>
      <c r="O1443" s="90">
        <f>IFERROR(VLOOKUP(A1443&amp;G1443,Lookup!J:K,2,0),"")</f>
        <v>0</v>
      </c>
      <c r="P1443" s="110" t="str">
        <f t="shared" si="94"/>
        <v/>
      </c>
      <c r="R1443" s="87" t="str">
        <f t="shared" si="95"/>
        <v/>
      </c>
      <c r="S1443" s="87" t="str">
        <f t="shared" si="96"/>
        <v/>
      </c>
    </row>
    <row r="1444" spans="2:19" x14ac:dyDescent="0.25">
      <c r="B1444" s="91" t="str">
        <f>IFERROR(VLOOKUP(A1444,Lookup!A:B,2,0),"")</f>
        <v/>
      </c>
      <c r="C1444" s="59" t="str">
        <f>IFERROR(VLOOKUP(A1444,Lookup!A:C,3,0),"")</f>
        <v/>
      </c>
      <c r="J1444" s="106">
        <f>VLOOKUP(A1444&amp;G1444,Lookup!J:N,5,0)</f>
        <v>0</v>
      </c>
      <c r="O1444" s="90">
        <f>IFERROR(VLOOKUP(A1444&amp;G1444,Lookup!J:K,2,0),"")</f>
        <v>0</v>
      </c>
      <c r="P1444" s="110" t="str">
        <f t="shared" si="94"/>
        <v/>
      </c>
      <c r="R1444" s="87" t="str">
        <f t="shared" si="95"/>
        <v/>
      </c>
      <c r="S1444" s="87" t="str">
        <f t="shared" si="96"/>
        <v/>
      </c>
    </row>
    <row r="1445" spans="2:19" x14ac:dyDescent="0.25">
      <c r="B1445" s="91" t="str">
        <f>IFERROR(VLOOKUP(A1445,Lookup!A:B,2,0),"")</f>
        <v/>
      </c>
      <c r="C1445" s="59" t="str">
        <f>IFERROR(VLOOKUP(A1445,Lookup!A:C,3,0),"")</f>
        <v/>
      </c>
      <c r="J1445" s="106">
        <f>VLOOKUP(A1445&amp;G1445,Lookup!J:N,5,0)</f>
        <v>0</v>
      </c>
      <c r="O1445" s="90">
        <f>IFERROR(VLOOKUP(A1445&amp;G1445,Lookup!J:K,2,0),"")</f>
        <v>0</v>
      </c>
      <c r="P1445" s="110" t="str">
        <f t="shared" si="94"/>
        <v/>
      </c>
      <c r="R1445" s="87" t="str">
        <f t="shared" si="95"/>
        <v/>
      </c>
      <c r="S1445" s="87" t="str">
        <f t="shared" si="96"/>
        <v/>
      </c>
    </row>
    <row r="1446" spans="2:19" x14ac:dyDescent="0.25">
      <c r="B1446" s="91" t="str">
        <f>IFERROR(VLOOKUP(A1446,Lookup!A:B,2,0),"")</f>
        <v/>
      </c>
      <c r="C1446" s="59" t="str">
        <f>IFERROR(VLOOKUP(A1446,Lookup!A:C,3,0),"")</f>
        <v/>
      </c>
      <c r="J1446" s="106">
        <f>VLOOKUP(A1446&amp;G1446,Lookup!J:N,5,0)</f>
        <v>0</v>
      </c>
      <c r="O1446" s="90">
        <f>IFERROR(VLOOKUP(A1446&amp;G1446,Lookup!J:K,2,0),"")</f>
        <v>0</v>
      </c>
      <c r="P1446" s="110" t="str">
        <f t="shared" si="94"/>
        <v/>
      </c>
      <c r="R1446" s="87" t="str">
        <f t="shared" si="95"/>
        <v/>
      </c>
      <c r="S1446" s="87" t="str">
        <f t="shared" si="96"/>
        <v/>
      </c>
    </row>
    <row r="1447" spans="2:19" x14ac:dyDescent="0.25">
      <c r="B1447" s="91" t="str">
        <f>IFERROR(VLOOKUP(A1447,Lookup!A:B,2,0),"")</f>
        <v/>
      </c>
      <c r="C1447" s="59" t="str">
        <f>IFERROR(VLOOKUP(A1447,Lookup!A:C,3,0),"")</f>
        <v/>
      </c>
      <c r="J1447" s="106">
        <f>VLOOKUP(A1447&amp;G1447,Lookup!J:N,5,0)</f>
        <v>0</v>
      </c>
      <c r="O1447" s="90">
        <f>IFERROR(VLOOKUP(A1447&amp;G1447,Lookup!J:K,2,0),"")</f>
        <v>0</v>
      </c>
      <c r="P1447" s="110" t="str">
        <f t="shared" si="94"/>
        <v/>
      </c>
      <c r="R1447" s="87" t="str">
        <f t="shared" si="95"/>
        <v/>
      </c>
      <c r="S1447" s="87" t="str">
        <f t="shared" si="96"/>
        <v/>
      </c>
    </row>
    <row r="1448" spans="2:19" x14ac:dyDescent="0.25">
      <c r="B1448" s="91" t="str">
        <f>IFERROR(VLOOKUP(A1448,Lookup!A:B,2,0),"")</f>
        <v/>
      </c>
      <c r="C1448" s="59" t="str">
        <f>IFERROR(VLOOKUP(A1448,Lookup!A:C,3,0),"")</f>
        <v/>
      </c>
      <c r="J1448" s="106">
        <f>VLOOKUP(A1448&amp;G1448,Lookup!J:N,5,0)</f>
        <v>0</v>
      </c>
      <c r="O1448" s="90">
        <f>IFERROR(VLOOKUP(A1448&amp;G1448,Lookup!J:K,2,0),"")</f>
        <v>0</v>
      </c>
      <c r="P1448" s="110" t="str">
        <f t="shared" si="94"/>
        <v/>
      </c>
      <c r="R1448" s="87" t="str">
        <f t="shared" si="95"/>
        <v/>
      </c>
      <c r="S1448" s="87" t="str">
        <f t="shared" si="96"/>
        <v/>
      </c>
    </row>
    <row r="1449" spans="2:19" x14ac:dyDescent="0.25">
      <c r="B1449" s="91" t="str">
        <f>IFERROR(VLOOKUP(A1449,Lookup!A:B,2,0),"")</f>
        <v/>
      </c>
      <c r="C1449" s="59" t="str">
        <f>IFERROR(VLOOKUP(A1449,Lookup!A:C,3,0),"")</f>
        <v/>
      </c>
      <c r="J1449" s="106">
        <f>VLOOKUP(A1449&amp;G1449,Lookup!J:N,5,0)</f>
        <v>0</v>
      </c>
      <c r="O1449" s="90">
        <f>IFERROR(VLOOKUP(A1449&amp;G1449,Lookup!J:K,2,0),"")</f>
        <v>0</v>
      </c>
      <c r="P1449" s="110" t="str">
        <f t="shared" si="94"/>
        <v/>
      </c>
      <c r="R1449" s="87" t="str">
        <f t="shared" si="95"/>
        <v/>
      </c>
      <c r="S1449" s="87" t="str">
        <f t="shared" si="96"/>
        <v/>
      </c>
    </row>
    <row r="1450" spans="2:19" x14ac:dyDescent="0.25">
      <c r="B1450" s="91" t="str">
        <f>IFERROR(VLOOKUP(A1450,Lookup!A:B,2,0),"")</f>
        <v/>
      </c>
      <c r="C1450" s="59" t="str">
        <f>IFERROR(VLOOKUP(A1450,Lookup!A:C,3,0),"")</f>
        <v/>
      </c>
      <c r="J1450" s="106">
        <f>VLOOKUP(A1450&amp;G1450,Lookup!J:N,5,0)</f>
        <v>0</v>
      </c>
      <c r="O1450" s="90">
        <f>IFERROR(VLOOKUP(A1450&amp;G1450,Lookup!J:K,2,0),"")</f>
        <v>0</v>
      </c>
      <c r="P1450" s="110" t="str">
        <f t="shared" si="94"/>
        <v/>
      </c>
      <c r="R1450" s="87" t="str">
        <f t="shared" si="95"/>
        <v/>
      </c>
      <c r="S1450" s="87" t="str">
        <f t="shared" si="96"/>
        <v/>
      </c>
    </row>
    <row r="1451" spans="2:19" x14ac:dyDescent="0.25">
      <c r="B1451" s="91" t="str">
        <f>IFERROR(VLOOKUP(A1451,Lookup!A:B,2,0),"")</f>
        <v/>
      </c>
      <c r="C1451" s="59" t="str">
        <f>IFERROR(VLOOKUP(A1451,Lookup!A:C,3,0),"")</f>
        <v/>
      </c>
      <c r="J1451" s="106">
        <f>VLOOKUP(A1451&amp;G1451,Lookup!J:N,5,0)</f>
        <v>0</v>
      </c>
      <c r="O1451" s="90">
        <f>IFERROR(VLOOKUP(A1451&amp;G1451,Lookup!J:K,2,0),"")</f>
        <v>0</v>
      </c>
      <c r="P1451" s="110" t="str">
        <f t="shared" si="94"/>
        <v/>
      </c>
      <c r="R1451" s="87" t="str">
        <f t="shared" si="95"/>
        <v/>
      </c>
      <c r="S1451" s="87" t="str">
        <f t="shared" si="96"/>
        <v/>
      </c>
    </row>
    <row r="1452" spans="2:19" x14ac:dyDescent="0.25">
      <c r="B1452" s="91" t="str">
        <f>IFERROR(VLOOKUP(A1452,Lookup!A:B,2,0),"")</f>
        <v/>
      </c>
      <c r="C1452" s="59" t="str">
        <f>IFERROR(VLOOKUP(A1452,Lookup!A:C,3,0),"")</f>
        <v/>
      </c>
      <c r="J1452" s="106">
        <f>VLOOKUP(A1452&amp;G1452,Lookup!J:N,5,0)</f>
        <v>0</v>
      </c>
      <c r="O1452" s="90">
        <f>IFERROR(VLOOKUP(A1452&amp;G1452,Lookup!J:K,2,0),"")</f>
        <v>0</v>
      </c>
      <c r="P1452" s="110" t="str">
        <f t="shared" si="94"/>
        <v/>
      </c>
      <c r="R1452" s="87" t="str">
        <f t="shared" si="95"/>
        <v/>
      </c>
      <c r="S1452" s="87" t="str">
        <f t="shared" si="96"/>
        <v/>
      </c>
    </row>
    <row r="1453" spans="2:19" x14ac:dyDescent="0.25">
      <c r="B1453" s="91" t="str">
        <f>IFERROR(VLOOKUP(A1453,Lookup!A:B,2,0),"")</f>
        <v/>
      </c>
      <c r="C1453" s="59" t="str">
        <f>IFERROR(VLOOKUP(A1453,Lookup!A:C,3,0),"")</f>
        <v/>
      </c>
      <c r="J1453" s="106">
        <f>VLOOKUP(A1453&amp;G1453,Lookup!J:N,5,0)</f>
        <v>0</v>
      </c>
      <c r="O1453" s="90">
        <f>IFERROR(VLOOKUP(A1453&amp;G1453,Lookup!J:K,2,0),"")</f>
        <v>0</v>
      </c>
      <c r="P1453" s="110" t="str">
        <f t="shared" si="94"/>
        <v/>
      </c>
      <c r="R1453" s="87" t="str">
        <f t="shared" si="95"/>
        <v/>
      </c>
      <c r="S1453" s="87" t="str">
        <f t="shared" si="96"/>
        <v/>
      </c>
    </row>
    <row r="1454" spans="2:19" x14ac:dyDescent="0.25">
      <c r="B1454" s="91" t="str">
        <f>IFERROR(VLOOKUP(A1454,Lookup!A:B,2,0),"")</f>
        <v/>
      </c>
      <c r="C1454" s="59" t="str">
        <f>IFERROR(VLOOKUP(A1454,Lookup!A:C,3,0),"")</f>
        <v/>
      </c>
      <c r="J1454" s="106">
        <f>VLOOKUP(A1454&amp;G1454,Lookup!J:N,5,0)</f>
        <v>0</v>
      </c>
      <c r="O1454" s="90">
        <f>IFERROR(VLOOKUP(A1454&amp;G1454,Lookup!J:K,2,0),"")</f>
        <v>0</v>
      </c>
      <c r="P1454" s="110" t="str">
        <f t="shared" si="94"/>
        <v/>
      </c>
      <c r="R1454" s="87" t="str">
        <f t="shared" si="95"/>
        <v/>
      </c>
      <c r="S1454" s="87" t="str">
        <f t="shared" si="96"/>
        <v/>
      </c>
    </row>
    <row r="1455" spans="2:19" x14ac:dyDescent="0.25">
      <c r="B1455" s="91" t="str">
        <f>IFERROR(VLOOKUP(A1455,Lookup!A:B,2,0),"")</f>
        <v/>
      </c>
      <c r="C1455" s="59" t="str">
        <f>IFERROR(VLOOKUP(A1455,Lookup!A:C,3,0),"")</f>
        <v/>
      </c>
      <c r="J1455" s="106">
        <f>VLOOKUP(A1455&amp;G1455,Lookup!J:N,5,0)</f>
        <v>0</v>
      </c>
      <c r="O1455" s="90">
        <f>IFERROR(VLOOKUP(A1455&amp;G1455,Lookup!J:K,2,0),"")</f>
        <v>0</v>
      </c>
      <c r="P1455" s="110" t="str">
        <f t="shared" si="94"/>
        <v/>
      </c>
      <c r="R1455" s="87" t="str">
        <f t="shared" si="95"/>
        <v/>
      </c>
      <c r="S1455" s="87" t="str">
        <f t="shared" si="96"/>
        <v/>
      </c>
    </row>
    <row r="1456" spans="2:19" x14ac:dyDescent="0.25">
      <c r="B1456" s="91" t="str">
        <f>IFERROR(VLOOKUP(A1456,Lookup!A:B,2,0),"")</f>
        <v/>
      </c>
      <c r="C1456" s="59" t="str">
        <f>IFERROR(VLOOKUP(A1456,Lookup!A:C,3,0),"")</f>
        <v/>
      </c>
      <c r="J1456" s="106">
        <f>VLOOKUP(A1456&amp;G1456,Lookup!J:N,5,0)</f>
        <v>0</v>
      </c>
      <c r="O1456" s="90">
        <f>IFERROR(VLOOKUP(A1456&amp;G1456,Lookup!J:K,2,0),"")</f>
        <v>0</v>
      </c>
      <c r="P1456" s="110" t="str">
        <f t="shared" si="94"/>
        <v/>
      </c>
      <c r="R1456" s="87" t="str">
        <f t="shared" si="95"/>
        <v/>
      </c>
      <c r="S1456" s="87" t="str">
        <f t="shared" si="96"/>
        <v/>
      </c>
    </row>
    <row r="1457" spans="2:19" x14ac:dyDescent="0.25">
      <c r="B1457" s="91" t="str">
        <f>IFERROR(VLOOKUP(A1457,Lookup!A:B,2,0),"")</f>
        <v/>
      </c>
      <c r="C1457" s="59" t="str">
        <f>IFERROR(VLOOKUP(A1457,Lookup!A:C,3,0),"")</f>
        <v/>
      </c>
      <c r="J1457" s="106">
        <f>VLOOKUP(A1457&amp;G1457,Lookup!J:N,5,0)</f>
        <v>0</v>
      </c>
      <c r="O1457" s="90">
        <f>IFERROR(VLOOKUP(A1457&amp;G1457,Lookup!J:K,2,0),"")</f>
        <v>0</v>
      </c>
      <c r="P1457" s="110" t="str">
        <f t="shared" si="94"/>
        <v/>
      </c>
      <c r="R1457" s="87" t="str">
        <f t="shared" si="95"/>
        <v/>
      </c>
      <c r="S1457" s="87" t="str">
        <f t="shared" si="96"/>
        <v/>
      </c>
    </row>
    <row r="1458" spans="2:19" x14ac:dyDescent="0.25">
      <c r="B1458" s="91" t="str">
        <f>IFERROR(VLOOKUP(A1458,Lookup!A:B,2,0),"")</f>
        <v/>
      </c>
      <c r="C1458" s="59" t="str">
        <f>IFERROR(VLOOKUP(A1458,Lookup!A:C,3,0),"")</f>
        <v/>
      </c>
      <c r="J1458" s="106">
        <f>VLOOKUP(A1458&amp;G1458,Lookup!J:N,5,0)</f>
        <v>0</v>
      </c>
      <c r="O1458" s="90">
        <f>IFERROR(VLOOKUP(A1458&amp;G1458,Lookup!J:K,2,0),"")</f>
        <v>0</v>
      </c>
      <c r="P1458" s="110" t="str">
        <f t="shared" si="94"/>
        <v/>
      </c>
      <c r="R1458" s="87" t="str">
        <f t="shared" si="95"/>
        <v/>
      </c>
      <c r="S1458" s="87" t="str">
        <f t="shared" si="96"/>
        <v/>
      </c>
    </row>
    <row r="1459" spans="2:19" x14ac:dyDescent="0.25">
      <c r="B1459" s="91" t="str">
        <f>IFERROR(VLOOKUP(A1459,Lookup!A:B,2,0),"")</f>
        <v/>
      </c>
      <c r="C1459" s="59" t="str">
        <f>IFERROR(VLOOKUP(A1459,Lookup!A:C,3,0),"")</f>
        <v/>
      </c>
      <c r="J1459" s="106">
        <f>VLOOKUP(A1459&amp;G1459,Lookup!J:N,5,0)</f>
        <v>0</v>
      </c>
      <c r="O1459" s="90">
        <f>IFERROR(VLOOKUP(A1459&amp;G1459,Lookup!J:K,2,0),"")</f>
        <v>0</v>
      </c>
      <c r="P1459" s="110" t="str">
        <f t="shared" si="94"/>
        <v/>
      </c>
      <c r="R1459" s="87" t="str">
        <f t="shared" si="95"/>
        <v/>
      </c>
      <c r="S1459" s="87" t="str">
        <f t="shared" si="96"/>
        <v/>
      </c>
    </row>
    <row r="1460" spans="2:19" x14ac:dyDescent="0.25">
      <c r="B1460" s="91" t="str">
        <f>IFERROR(VLOOKUP(A1460,Lookup!A:B,2,0),"")</f>
        <v/>
      </c>
      <c r="C1460" s="59" t="str">
        <f>IFERROR(VLOOKUP(A1460,Lookup!A:C,3,0),"")</f>
        <v/>
      </c>
      <c r="J1460" s="106">
        <f>VLOOKUP(A1460&amp;G1460,Lookup!J:N,5,0)</f>
        <v>0</v>
      </c>
      <c r="O1460" s="90">
        <f>IFERROR(VLOOKUP(A1460&amp;G1460,Lookup!J:K,2,0),"")</f>
        <v>0</v>
      </c>
      <c r="P1460" s="110" t="str">
        <f t="shared" si="94"/>
        <v/>
      </c>
      <c r="R1460" s="87" t="str">
        <f t="shared" si="95"/>
        <v/>
      </c>
      <c r="S1460" s="87" t="str">
        <f t="shared" si="96"/>
        <v/>
      </c>
    </row>
    <row r="1461" spans="2:19" x14ac:dyDescent="0.25">
      <c r="B1461" s="91" t="str">
        <f>IFERROR(VLOOKUP(A1461,Lookup!A:B,2,0),"")</f>
        <v/>
      </c>
      <c r="C1461" s="59" t="str">
        <f>IFERROR(VLOOKUP(A1461,Lookup!A:C,3,0),"")</f>
        <v/>
      </c>
      <c r="J1461" s="106">
        <f>VLOOKUP(A1461&amp;G1461,Lookup!J:N,5,0)</f>
        <v>0</v>
      </c>
      <c r="O1461" s="90">
        <f>IFERROR(VLOOKUP(A1461&amp;G1461,Lookup!J:K,2,0),"")</f>
        <v>0</v>
      </c>
      <c r="P1461" s="110" t="str">
        <f t="shared" si="94"/>
        <v/>
      </c>
      <c r="R1461" s="87" t="str">
        <f t="shared" si="95"/>
        <v/>
      </c>
      <c r="S1461" s="87" t="str">
        <f t="shared" si="96"/>
        <v/>
      </c>
    </row>
    <row r="1462" spans="2:19" x14ac:dyDescent="0.25">
      <c r="B1462" s="91" t="str">
        <f>IFERROR(VLOOKUP(A1462,Lookup!A:B,2,0),"")</f>
        <v/>
      </c>
      <c r="C1462" s="59" t="str">
        <f>IFERROR(VLOOKUP(A1462,Lookup!A:C,3,0),"")</f>
        <v/>
      </c>
      <c r="J1462" s="106">
        <f>VLOOKUP(A1462&amp;G1462,Lookup!J:N,5,0)</f>
        <v>0</v>
      </c>
      <c r="O1462" s="90">
        <f>IFERROR(VLOOKUP(A1462&amp;G1462,Lookup!J:K,2,0),"")</f>
        <v>0</v>
      </c>
      <c r="P1462" s="110" t="str">
        <f t="shared" si="94"/>
        <v/>
      </c>
      <c r="R1462" s="87" t="str">
        <f t="shared" si="95"/>
        <v/>
      </c>
      <c r="S1462" s="87" t="str">
        <f t="shared" si="96"/>
        <v/>
      </c>
    </row>
    <row r="1463" spans="2:19" x14ac:dyDescent="0.25">
      <c r="B1463" s="91" t="str">
        <f>IFERROR(VLOOKUP(A1463,Lookup!A:B,2,0),"")</f>
        <v/>
      </c>
      <c r="C1463" s="59" t="str">
        <f>IFERROR(VLOOKUP(A1463,Lookup!A:C,3,0),"")</f>
        <v/>
      </c>
      <c r="J1463" s="106">
        <f>VLOOKUP(A1463&amp;G1463,Lookup!J:N,5,0)</f>
        <v>0</v>
      </c>
      <c r="O1463" s="90">
        <f>IFERROR(VLOOKUP(A1463&amp;G1463,Lookup!J:K,2,0),"")</f>
        <v>0</v>
      </c>
      <c r="P1463" s="110" t="str">
        <f t="shared" si="94"/>
        <v/>
      </c>
      <c r="R1463" s="87" t="str">
        <f t="shared" si="95"/>
        <v/>
      </c>
      <c r="S1463" s="87" t="str">
        <f t="shared" si="96"/>
        <v/>
      </c>
    </row>
    <row r="1464" spans="2:19" x14ac:dyDescent="0.25">
      <c r="B1464" s="91" t="str">
        <f>IFERROR(VLOOKUP(A1464,Lookup!A:B,2,0),"")</f>
        <v/>
      </c>
      <c r="C1464" s="59" t="str">
        <f>IFERROR(VLOOKUP(A1464,Lookup!A:C,3,0),"")</f>
        <v/>
      </c>
      <c r="J1464" s="106">
        <f>VLOOKUP(A1464&amp;G1464,Lookup!J:N,5,0)</f>
        <v>0</v>
      </c>
      <c r="O1464" s="90">
        <f>IFERROR(VLOOKUP(A1464&amp;G1464,Lookup!J:K,2,0),"")</f>
        <v>0</v>
      </c>
      <c r="P1464" s="110" t="str">
        <f t="shared" si="94"/>
        <v/>
      </c>
      <c r="R1464" s="87" t="str">
        <f t="shared" si="95"/>
        <v/>
      </c>
      <c r="S1464" s="87" t="str">
        <f t="shared" si="96"/>
        <v/>
      </c>
    </row>
    <row r="1465" spans="2:19" x14ac:dyDescent="0.25">
      <c r="B1465" s="91" t="str">
        <f>IFERROR(VLOOKUP(A1465,Lookup!A:B,2,0),"")</f>
        <v/>
      </c>
      <c r="C1465" s="59" t="str">
        <f>IFERROR(VLOOKUP(A1465,Lookup!A:C,3,0),"")</f>
        <v/>
      </c>
      <c r="J1465" s="106">
        <f>VLOOKUP(A1465&amp;G1465,Lookup!J:N,5,0)</f>
        <v>0</v>
      </c>
      <c r="O1465" s="90">
        <f>IFERROR(VLOOKUP(A1465&amp;G1465,Lookup!J:K,2,0),"")</f>
        <v>0</v>
      </c>
      <c r="P1465" s="110" t="str">
        <f t="shared" si="94"/>
        <v/>
      </c>
      <c r="R1465" s="87" t="str">
        <f t="shared" si="95"/>
        <v/>
      </c>
      <c r="S1465" s="87" t="str">
        <f t="shared" si="96"/>
        <v/>
      </c>
    </row>
    <row r="1466" spans="2:19" x14ac:dyDescent="0.25">
      <c r="B1466" s="91" t="str">
        <f>IFERROR(VLOOKUP(A1466,Lookup!A:B,2,0),"")</f>
        <v/>
      </c>
      <c r="C1466" s="59" t="str">
        <f>IFERROR(VLOOKUP(A1466,Lookup!A:C,3,0),"")</f>
        <v/>
      </c>
      <c r="J1466" s="106">
        <f>VLOOKUP(A1466&amp;G1466,Lookup!J:N,5,0)</f>
        <v>0</v>
      </c>
      <c r="O1466" s="90">
        <f>IFERROR(VLOOKUP(A1466&amp;G1466,Lookup!J:K,2,0),"")</f>
        <v>0</v>
      </c>
      <c r="P1466" s="110" t="str">
        <f t="shared" si="94"/>
        <v/>
      </c>
      <c r="R1466" s="87" t="str">
        <f t="shared" si="95"/>
        <v/>
      </c>
      <c r="S1466" s="87" t="str">
        <f t="shared" si="96"/>
        <v/>
      </c>
    </row>
    <row r="1467" spans="2:19" x14ac:dyDescent="0.25">
      <c r="B1467" s="91" t="str">
        <f>IFERROR(VLOOKUP(A1467,Lookup!A:B,2,0),"")</f>
        <v/>
      </c>
      <c r="C1467" s="59" t="str">
        <f>IFERROR(VLOOKUP(A1467,Lookup!A:C,3,0),"")</f>
        <v/>
      </c>
      <c r="J1467" s="106">
        <f>VLOOKUP(A1467&amp;G1467,Lookup!J:N,5,0)</f>
        <v>0</v>
      </c>
      <c r="O1467" s="90">
        <f>IFERROR(VLOOKUP(A1467&amp;G1467,Lookup!J:K,2,0),"")</f>
        <v>0</v>
      </c>
      <c r="P1467" s="110" t="str">
        <f t="shared" si="94"/>
        <v/>
      </c>
      <c r="R1467" s="87" t="str">
        <f t="shared" si="95"/>
        <v/>
      </c>
      <c r="S1467" s="87" t="str">
        <f t="shared" si="96"/>
        <v/>
      </c>
    </row>
    <row r="1468" spans="2:19" x14ac:dyDescent="0.25">
      <c r="B1468" s="91" t="str">
        <f>IFERROR(VLOOKUP(A1468,Lookup!A:B,2,0),"")</f>
        <v/>
      </c>
      <c r="C1468" s="59" t="str">
        <f>IFERROR(VLOOKUP(A1468,Lookup!A:C,3,0),"")</f>
        <v/>
      </c>
      <c r="J1468" s="106">
        <f>VLOOKUP(A1468&amp;G1468,Lookup!J:N,5,0)</f>
        <v>0</v>
      </c>
      <c r="O1468" s="90">
        <f>IFERROR(VLOOKUP(A1468&amp;G1468,Lookup!J:K,2,0),"")</f>
        <v>0</v>
      </c>
      <c r="P1468" s="110" t="str">
        <f t="shared" si="94"/>
        <v/>
      </c>
      <c r="R1468" s="87" t="str">
        <f t="shared" si="95"/>
        <v/>
      </c>
      <c r="S1468" s="87" t="str">
        <f t="shared" si="96"/>
        <v/>
      </c>
    </row>
    <row r="1469" spans="2:19" x14ac:dyDescent="0.25">
      <c r="B1469" s="91" t="str">
        <f>IFERROR(VLOOKUP(A1469,Lookup!A:B,2,0),"")</f>
        <v/>
      </c>
      <c r="C1469" s="59" t="str">
        <f>IFERROR(VLOOKUP(A1469,Lookup!A:C,3,0),"")</f>
        <v/>
      </c>
      <c r="J1469" s="106">
        <f>VLOOKUP(A1469&amp;G1469,Lookup!J:N,5,0)</f>
        <v>0</v>
      </c>
      <c r="O1469" s="90">
        <f>IFERROR(VLOOKUP(A1469&amp;G1469,Lookup!J:K,2,0),"")</f>
        <v>0</v>
      </c>
      <c r="P1469" s="110" t="str">
        <f t="shared" si="94"/>
        <v/>
      </c>
      <c r="R1469" s="87" t="str">
        <f t="shared" si="95"/>
        <v/>
      </c>
      <c r="S1469" s="87" t="str">
        <f t="shared" si="96"/>
        <v/>
      </c>
    </row>
    <row r="1470" spans="2:19" x14ac:dyDescent="0.25">
      <c r="B1470" s="91" t="str">
        <f>IFERROR(VLOOKUP(A1470,Lookup!A:B,2,0),"")</f>
        <v/>
      </c>
      <c r="C1470" s="59" t="str">
        <f>IFERROR(VLOOKUP(A1470,Lookup!A:C,3,0),"")</f>
        <v/>
      </c>
      <c r="J1470" s="106">
        <f>VLOOKUP(A1470&amp;G1470,Lookup!J:N,5,0)</f>
        <v>0</v>
      </c>
      <c r="O1470" s="90">
        <f>IFERROR(VLOOKUP(A1470&amp;G1470,Lookup!J:K,2,0),"")</f>
        <v>0</v>
      </c>
      <c r="P1470" s="110" t="str">
        <f t="shared" si="94"/>
        <v/>
      </c>
      <c r="R1470" s="87" t="str">
        <f t="shared" si="95"/>
        <v/>
      </c>
      <c r="S1470" s="87" t="str">
        <f t="shared" si="96"/>
        <v/>
      </c>
    </row>
    <row r="1471" spans="2:19" x14ac:dyDescent="0.25">
      <c r="B1471" s="91" t="str">
        <f>IFERROR(VLOOKUP(A1471,Lookup!A:B,2,0),"")</f>
        <v/>
      </c>
      <c r="C1471" s="59" t="str">
        <f>IFERROR(VLOOKUP(A1471,Lookup!A:C,3,0),"")</f>
        <v/>
      </c>
      <c r="J1471" s="106">
        <f>VLOOKUP(A1471&amp;G1471,Lookup!J:N,5,0)</f>
        <v>0</v>
      </c>
      <c r="O1471" s="90">
        <f>IFERROR(VLOOKUP(A1471&amp;G1471,Lookup!J:K,2,0),"")</f>
        <v>0</v>
      </c>
      <c r="P1471" s="110" t="str">
        <f t="shared" si="94"/>
        <v/>
      </c>
      <c r="R1471" s="87" t="str">
        <f t="shared" si="95"/>
        <v/>
      </c>
      <c r="S1471" s="87" t="str">
        <f t="shared" si="96"/>
        <v/>
      </c>
    </row>
    <row r="1472" spans="2:19" x14ac:dyDescent="0.25">
      <c r="B1472" s="91" t="str">
        <f>IFERROR(VLOOKUP(A1472,Lookup!A:B,2,0),"")</f>
        <v/>
      </c>
      <c r="C1472" s="59" t="str">
        <f>IFERROR(VLOOKUP(A1472,Lookup!A:C,3,0),"")</f>
        <v/>
      </c>
      <c r="J1472" s="106">
        <f>VLOOKUP(A1472&amp;G1472,Lookup!J:N,5,0)</f>
        <v>0</v>
      </c>
      <c r="O1472" s="90">
        <f>IFERROR(VLOOKUP(A1472&amp;G1472,Lookup!J:K,2,0),"")</f>
        <v>0</v>
      </c>
      <c r="P1472" s="110" t="str">
        <f t="shared" si="94"/>
        <v/>
      </c>
      <c r="R1472" s="87" t="str">
        <f t="shared" si="95"/>
        <v/>
      </c>
      <c r="S1472" s="87" t="str">
        <f t="shared" si="96"/>
        <v/>
      </c>
    </row>
    <row r="1473" spans="2:19" x14ac:dyDescent="0.25">
      <c r="B1473" s="91" t="str">
        <f>IFERROR(VLOOKUP(A1473,Lookup!A:B,2,0),"")</f>
        <v/>
      </c>
      <c r="C1473" s="59" t="str">
        <f>IFERROR(VLOOKUP(A1473,Lookup!A:C,3,0),"")</f>
        <v/>
      </c>
      <c r="J1473" s="106">
        <f>VLOOKUP(A1473&amp;G1473,Lookup!J:N,5,0)</f>
        <v>0</v>
      </c>
      <c r="O1473" s="90">
        <f>IFERROR(VLOOKUP(A1473&amp;G1473,Lookup!J:K,2,0),"")</f>
        <v>0</v>
      </c>
      <c r="P1473" s="110" t="str">
        <f t="shared" si="94"/>
        <v/>
      </c>
      <c r="R1473" s="87" t="str">
        <f t="shared" si="95"/>
        <v/>
      </c>
      <c r="S1473" s="87" t="str">
        <f t="shared" si="96"/>
        <v/>
      </c>
    </row>
    <row r="1474" spans="2:19" x14ac:dyDescent="0.25">
      <c r="B1474" s="91" t="str">
        <f>IFERROR(VLOOKUP(A1474,Lookup!A:B,2,0),"")</f>
        <v/>
      </c>
      <c r="C1474" s="59" t="str">
        <f>IFERROR(VLOOKUP(A1474,Lookup!A:C,3,0),"")</f>
        <v/>
      </c>
      <c r="J1474" s="106">
        <f>VLOOKUP(A1474&amp;G1474,Lookup!J:N,5,0)</f>
        <v>0</v>
      </c>
      <c r="O1474" s="90">
        <f>IFERROR(VLOOKUP(A1474&amp;G1474,Lookup!J:K,2,0),"")</f>
        <v>0</v>
      </c>
      <c r="P1474" s="110" t="str">
        <f t="shared" ref="P1474:P1537" si="97">IF(N1474="","",N1474+O1474)</f>
        <v/>
      </c>
      <c r="R1474" s="87" t="str">
        <f t="shared" si="95"/>
        <v/>
      </c>
      <c r="S1474" s="87" t="str">
        <f t="shared" si="96"/>
        <v/>
      </c>
    </row>
    <row r="1475" spans="2:19" x14ac:dyDescent="0.25">
      <c r="B1475" s="91" t="str">
        <f>IFERROR(VLOOKUP(A1475,Lookup!A:B,2,0),"")</f>
        <v/>
      </c>
      <c r="C1475" s="59" t="str">
        <f>IFERROR(VLOOKUP(A1475,Lookup!A:C,3,0),"")</f>
        <v/>
      </c>
      <c r="J1475" s="106">
        <f>VLOOKUP(A1475&amp;G1475,Lookup!J:N,5,0)</f>
        <v>0</v>
      </c>
      <c r="O1475" s="90">
        <f>IFERROR(VLOOKUP(A1475&amp;G1475,Lookup!J:K,2,0),"")</f>
        <v>0</v>
      </c>
      <c r="P1475" s="110" t="str">
        <f t="shared" si="97"/>
        <v/>
      </c>
      <c r="R1475" s="87" t="str">
        <f t="shared" ref="R1475:R1538" si="98">IF(OR(EXACT(N1475,""), EXACT(L1475,"")),"",N1475-L1475)</f>
        <v/>
      </c>
      <c r="S1475" s="87" t="str">
        <f t="shared" si="96"/>
        <v/>
      </c>
    </row>
    <row r="1476" spans="2:19" x14ac:dyDescent="0.25">
      <c r="B1476" s="91" t="str">
        <f>IFERROR(VLOOKUP(A1476,Lookup!A:B,2,0),"")</f>
        <v/>
      </c>
      <c r="C1476" s="59" t="str">
        <f>IFERROR(VLOOKUP(A1476,Lookup!A:C,3,0),"")</f>
        <v/>
      </c>
      <c r="J1476" s="106">
        <f>VLOOKUP(A1476&amp;G1476,Lookup!J:N,5,0)</f>
        <v>0</v>
      </c>
      <c r="O1476" s="90">
        <f>IFERROR(VLOOKUP(A1476&amp;G1476,Lookup!J:K,2,0),"")</f>
        <v>0</v>
      </c>
      <c r="P1476" s="110" t="str">
        <f t="shared" si="97"/>
        <v/>
      </c>
      <c r="R1476" s="87" t="str">
        <f t="shared" si="98"/>
        <v/>
      </c>
      <c r="S1476" s="87" t="str">
        <f t="shared" ref="S1476:S1539" si="99">IF(OR(EXACT(Q1476,""), EXACT(L1476,"")),"",Q1476-L1476)</f>
        <v/>
      </c>
    </row>
    <row r="1477" spans="2:19" x14ac:dyDescent="0.25">
      <c r="B1477" s="91" t="str">
        <f>IFERROR(VLOOKUP(A1477,Lookup!A:B,2,0),"")</f>
        <v/>
      </c>
      <c r="C1477" s="59" t="str">
        <f>IFERROR(VLOOKUP(A1477,Lookup!A:C,3,0),"")</f>
        <v/>
      </c>
      <c r="J1477" s="106">
        <f>VLOOKUP(A1477&amp;G1477,Lookup!J:N,5,0)</f>
        <v>0</v>
      </c>
      <c r="O1477" s="90">
        <f>IFERROR(VLOOKUP(A1477&amp;G1477,Lookup!J:K,2,0),"")</f>
        <v>0</v>
      </c>
      <c r="P1477" s="110" t="str">
        <f t="shared" si="97"/>
        <v/>
      </c>
      <c r="R1477" s="87" t="str">
        <f t="shared" si="98"/>
        <v/>
      </c>
      <c r="S1477" s="87" t="str">
        <f t="shared" si="99"/>
        <v/>
      </c>
    </row>
    <row r="1478" spans="2:19" x14ac:dyDescent="0.25">
      <c r="B1478" s="91" t="str">
        <f>IFERROR(VLOOKUP(A1478,Lookup!A:B,2,0),"")</f>
        <v/>
      </c>
      <c r="C1478" s="59" t="str">
        <f>IFERROR(VLOOKUP(A1478,Lookup!A:C,3,0),"")</f>
        <v/>
      </c>
      <c r="J1478" s="106">
        <f>VLOOKUP(A1478&amp;G1478,Lookup!J:N,5,0)</f>
        <v>0</v>
      </c>
      <c r="O1478" s="90">
        <f>IFERROR(VLOOKUP(A1478&amp;G1478,Lookup!J:K,2,0),"")</f>
        <v>0</v>
      </c>
      <c r="P1478" s="110" t="str">
        <f t="shared" si="97"/>
        <v/>
      </c>
      <c r="R1478" s="87" t="str">
        <f t="shared" si="98"/>
        <v/>
      </c>
      <c r="S1478" s="87" t="str">
        <f t="shared" si="99"/>
        <v/>
      </c>
    </row>
    <row r="1479" spans="2:19" x14ac:dyDescent="0.25">
      <c r="B1479" s="91" t="str">
        <f>IFERROR(VLOOKUP(A1479,Lookup!A:B,2,0),"")</f>
        <v/>
      </c>
      <c r="C1479" s="59" t="str">
        <f>IFERROR(VLOOKUP(A1479,Lookup!A:C,3,0),"")</f>
        <v/>
      </c>
      <c r="J1479" s="106">
        <f>VLOOKUP(A1479&amp;G1479,Lookup!J:N,5,0)</f>
        <v>0</v>
      </c>
      <c r="O1479" s="90">
        <f>IFERROR(VLOOKUP(A1479&amp;G1479,Lookup!J:K,2,0),"")</f>
        <v>0</v>
      </c>
      <c r="P1479" s="110" t="str">
        <f t="shared" si="97"/>
        <v/>
      </c>
      <c r="R1479" s="87" t="str">
        <f t="shared" si="98"/>
        <v/>
      </c>
      <c r="S1479" s="87" t="str">
        <f t="shared" si="99"/>
        <v/>
      </c>
    </row>
    <row r="1480" spans="2:19" x14ac:dyDescent="0.25">
      <c r="B1480" s="91" t="str">
        <f>IFERROR(VLOOKUP(A1480,Lookup!A:B,2,0),"")</f>
        <v/>
      </c>
      <c r="C1480" s="59" t="str">
        <f>IFERROR(VLOOKUP(A1480,Lookup!A:C,3,0),"")</f>
        <v/>
      </c>
      <c r="J1480" s="106">
        <f>VLOOKUP(A1480&amp;G1480,Lookup!J:N,5,0)</f>
        <v>0</v>
      </c>
      <c r="O1480" s="90">
        <f>IFERROR(VLOOKUP(A1480&amp;G1480,Lookup!J:K,2,0),"")</f>
        <v>0</v>
      </c>
      <c r="P1480" s="110" t="str">
        <f t="shared" si="97"/>
        <v/>
      </c>
      <c r="R1480" s="87" t="str">
        <f t="shared" si="98"/>
        <v/>
      </c>
      <c r="S1480" s="87" t="str">
        <f t="shared" si="99"/>
        <v/>
      </c>
    </row>
    <row r="1481" spans="2:19" x14ac:dyDescent="0.25">
      <c r="B1481" s="91" t="str">
        <f>IFERROR(VLOOKUP(A1481,Lookup!A:B,2,0),"")</f>
        <v/>
      </c>
      <c r="C1481" s="59" t="str">
        <f>IFERROR(VLOOKUP(A1481,Lookup!A:C,3,0),"")</f>
        <v/>
      </c>
      <c r="J1481" s="106">
        <f>VLOOKUP(A1481&amp;G1481,Lookup!J:N,5,0)</f>
        <v>0</v>
      </c>
      <c r="O1481" s="90">
        <f>IFERROR(VLOOKUP(A1481&amp;G1481,Lookup!J:K,2,0),"")</f>
        <v>0</v>
      </c>
      <c r="P1481" s="110" t="str">
        <f t="shared" si="97"/>
        <v/>
      </c>
      <c r="R1481" s="87" t="str">
        <f t="shared" si="98"/>
        <v/>
      </c>
      <c r="S1481" s="87" t="str">
        <f t="shared" si="99"/>
        <v/>
      </c>
    </row>
    <row r="1482" spans="2:19" x14ac:dyDescent="0.25">
      <c r="B1482" s="91" t="str">
        <f>IFERROR(VLOOKUP(A1482,Lookup!A:B,2,0),"")</f>
        <v/>
      </c>
      <c r="C1482" s="59" t="str">
        <f>IFERROR(VLOOKUP(A1482,Lookup!A:C,3,0),"")</f>
        <v/>
      </c>
      <c r="J1482" s="106">
        <f>VLOOKUP(A1482&amp;G1482,Lookup!J:N,5,0)</f>
        <v>0</v>
      </c>
      <c r="O1482" s="90">
        <f>IFERROR(VLOOKUP(A1482&amp;G1482,Lookup!J:K,2,0),"")</f>
        <v>0</v>
      </c>
      <c r="P1482" s="110" t="str">
        <f t="shared" si="97"/>
        <v/>
      </c>
      <c r="R1482" s="87" t="str">
        <f t="shared" si="98"/>
        <v/>
      </c>
      <c r="S1482" s="87" t="str">
        <f t="shared" si="99"/>
        <v/>
      </c>
    </row>
    <row r="1483" spans="2:19" x14ac:dyDescent="0.25">
      <c r="B1483" s="91" t="str">
        <f>IFERROR(VLOOKUP(A1483,Lookup!A:B,2,0),"")</f>
        <v/>
      </c>
      <c r="C1483" s="59" t="str">
        <f>IFERROR(VLOOKUP(A1483,Lookup!A:C,3,0),"")</f>
        <v/>
      </c>
      <c r="J1483" s="106">
        <f>VLOOKUP(A1483&amp;G1483,Lookup!J:N,5,0)</f>
        <v>0</v>
      </c>
      <c r="O1483" s="90">
        <f>IFERROR(VLOOKUP(A1483&amp;G1483,Lookup!J:K,2,0),"")</f>
        <v>0</v>
      </c>
      <c r="P1483" s="110" t="str">
        <f t="shared" si="97"/>
        <v/>
      </c>
      <c r="R1483" s="87" t="str">
        <f t="shared" si="98"/>
        <v/>
      </c>
      <c r="S1483" s="87" t="str">
        <f t="shared" si="99"/>
        <v/>
      </c>
    </row>
    <row r="1484" spans="2:19" x14ac:dyDescent="0.25">
      <c r="B1484" s="91" t="str">
        <f>IFERROR(VLOOKUP(A1484,Lookup!A:B,2,0),"")</f>
        <v/>
      </c>
      <c r="C1484" s="59" t="str">
        <f>IFERROR(VLOOKUP(A1484,Lookup!A:C,3,0),"")</f>
        <v/>
      </c>
      <c r="J1484" s="106">
        <f>VLOOKUP(A1484&amp;G1484,Lookup!J:N,5,0)</f>
        <v>0</v>
      </c>
      <c r="O1484" s="90">
        <f>IFERROR(VLOOKUP(A1484&amp;G1484,Lookup!J:K,2,0),"")</f>
        <v>0</v>
      </c>
      <c r="P1484" s="110" t="str">
        <f t="shared" si="97"/>
        <v/>
      </c>
      <c r="R1484" s="87" t="str">
        <f t="shared" si="98"/>
        <v/>
      </c>
      <c r="S1484" s="87" t="str">
        <f t="shared" si="99"/>
        <v/>
      </c>
    </row>
    <row r="1485" spans="2:19" x14ac:dyDescent="0.25">
      <c r="B1485" s="91" t="str">
        <f>IFERROR(VLOOKUP(A1485,Lookup!A:B,2,0),"")</f>
        <v/>
      </c>
      <c r="C1485" s="59" t="str">
        <f>IFERROR(VLOOKUP(A1485,Lookup!A:C,3,0),"")</f>
        <v/>
      </c>
      <c r="J1485" s="106">
        <f>VLOOKUP(A1485&amp;G1485,Lookup!J:N,5,0)</f>
        <v>0</v>
      </c>
      <c r="O1485" s="90">
        <f>IFERROR(VLOOKUP(A1485&amp;G1485,Lookup!J:K,2,0),"")</f>
        <v>0</v>
      </c>
      <c r="P1485" s="110" t="str">
        <f t="shared" si="97"/>
        <v/>
      </c>
      <c r="R1485" s="87" t="str">
        <f t="shared" si="98"/>
        <v/>
      </c>
      <c r="S1485" s="87" t="str">
        <f t="shared" si="99"/>
        <v/>
      </c>
    </row>
    <row r="1486" spans="2:19" x14ac:dyDescent="0.25">
      <c r="B1486" s="91" t="str">
        <f>IFERROR(VLOOKUP(A1486,Lookup!A:B,2,0),"")</f>
        <v/>
      </c>
      <c r="C1486" s="59" t="str">
        <f>IFERROR(VLOOKUP(A1486,Lookup!A:C,3,0),"")</f>
        <v/>
      </c>
      <c r="J1486" s="106">
        <f>VLOOKUP(A1486&amp;G1486,Lookup!J:N,5,0)</f>
        <v>0</v>
      </c>
      <c r="O1486" s="90">
        <f>IFERROR(VLOOKUP(A1486&amp;G1486,Lookup!J:K,2,0),"")</f>
        <v>0</v>
      </c>
      <c r="P1486" s="110" t="str">
        <f t="shared" si="97"/>
        <v/>
      </c>
      <c r="R1486" s="87" t="str">
        <f t="shared" si="98"/>
        <v/>
      </c>
      <c r="S1486" s="87" t="str">
        <f t="shared" si="99"/>
        <v/>
      </c>
    </row>
    <row r="1487" spans="2:19" x14ac:dyDescent="0.25">
      <c r="B1487" s="91" t="str">
        <f>IFERROR(VLOOKUP(A1487,Lookup!A:B,2,0),"")</f>
        <v/>
      </c>
      <c r="C1487" s="59" t="str">
        <f>IFERROR(VLOOKUP(A1487,Lookup!A:C,3,0),"")</f>
        <v/>
      </c>
      <c r="J1487" s="106">
        <f>VLOOKUP(A1487&amp;G1487,Lookup!J:N,5,0)</f>
        <v>0</v>
      </c>
      <c r="O1487" s="90">
        <f>IFERROR(VLOOKUP(A1487&amp;G1487,Lookup!J:K,2,0),"")</f>
        <v>0</v>
      </c>
      <c r="P1487" s="110" t="str">
        <f t="shared" si="97"/>
        <v/>
      </c>
      <c r="R1487" s="87" t="str">
        <f t="shared" si="98"/>
        <v/>
      </c>
      <c r="S1487" s="87" t="str">
        <f t="shared" si="99"/>
        <v/>
      </c>
    </row>
    <row r="1488" spans="2:19" x14ac:dyDescent="0.25">
      <c r="B1488" s="91" t="str">
        <f>IFERROR(VLOOKUP(A1488,Lookup!A:B,2,0),"")</f>
        <v/>
      </c>
      <c r="C1488" s="59" t="str">
        <f>IFERROR(VLOOKUP(A1488,Lookup!A:C,3,0),"")</f>
        <v/>
      </c>
      <c r="J1488" s="106">
        <f>VLOOKUP(A1488&amp;G1488,Lookup!J:N,5,0)</f>
        <v>0</v>
      </c>
      <c r="O1488" s="90">
        <f>IFERROR(VLOOKUP(A1488&amp;G1488,Lookup!J:K,2,0),"")</f>
        <v>0</v>
      </c>
      <c r="P1488" s="110" t="str">
        <f t="shared" si="97"/>
        <v/>
      </c>
      <c r="R1488" s="87" t="str">
        <f t="shared" si="98"/>
        <v/>
      </c>
      <c r="S1488" s="87" t="str">
        <f t="shared" si="99"/>
        <v/>
      </c>
    </row>
    <row r="1489" spans="2:19" x14ac:dyDescent="0.25">
      <c r="B1489" s="91" t="str">
        <f>IFERROR(VLOOKUP(A1489,Lookup!A:B,2,0),"")</f>
        <v/>
      </c>
      <c r="C1489" s="59" t="str">
        <f>IFERROR(VLOOKUP(A1489,Lookup!A:C,3,0),"")</f>
        <v/>
      </c>
      <c r="J1489" s="106">
        <f>VLOOKUP(A1489&amp;G1489,Lookup!J:N,5,0)</f>
        <v>0</v>
      </c>
      <c r="O1489" s="90">
        <f>IFERROR(VLOOKUP(A1489&amp;G1489,Lookup!J:K,2,0),"")</f>
        <v>0</v>
      </c>
      <c r="P1489" s="110" t="str">
        <f t="shared" si="97"/>
        <v/>
      </c>
      <c r="R1489" s="87" t="str">
        <f t="shared" si="98"/>
        <v/>
      </c>
      <c r="S1489" s="87" t="str">
        <f t="shared" si="99"/>
        <v/>
      </c>
    </row>
    <row r="1490" spans="2:19" x14ac:dyDescent="0.25">
      <c r="B1490" s="91" t="str">
        <f>IFERROR(VLOOKUP(A1490,Lookup!A:B,2,0),"")</f>
        <v/>
      </c>
      <c r="C1490" s="59" t="str">
        <f>IFERROR(VLOOKUP(A1490,Lookup!A:C,3,0),"")</f>
        <v/>
      </c>
      <c r="J1490" s="106">
        <f>VLOOKUP(A1490&amp;G1490,Lookup!J:N,5,0)</f>
        <v>0</v>
      </c>
      <c r="O1490" s="90">
        <f>IFERROR(VLOOKUP(A1490&amp;G1490,Lookup!J:K,2,0),"")</f>
        <v>0</v>
      </c>
      <c r="P1490" s="110" t="str">
        <f t="shared" si="97"/>
        <v/>
      </c>
      <c r="R1490" s="87" t="str">
        <f t="shared" si="98"/>
        <v/>
      </c>
      <c r="S1490" s="87" t="str">
        <f t="shared" si="99"/>
        <v/>
      </c>
    </row>
    <row r="1491" spans="2:19" x14ac:dyDescent="0.25">
      <c r="B1491" s="91" t="str">
        <f>IFERROR(VLOOKUP(A1491,Lookup!A:B,2,0),"")</f>
        <v/>
      </c>
      <c r="C1491" s="59" t="str">
        <f>IFERROR(VLOOKUP(A1491,Lookup!A:C,3,0),"")</f>
        <v/>
      </c>
      <c r="J1491" s="106">
        <f>VLOOKUP(A1491&amp;G1491,Lookup!J:N,5,0)</f>
        <v>0</v>
      </c>
      <c r="O1491" s="90">
        <f>IFERROR(VLOOKUP(A1491&amp;G1491,Lookup!J:K,2,0),"")</f>
        <v>0</v>
      </c>
      <c r="P1491" s="110" t="str">
        <f t="shared" si="97"/>
        <v/>
      </c>
      <c r="R1491" s="87" t="str">
        <f t="shared" si="98"/>
        <v/>
      </c>
      <c r="S1491" s="87" t="str">
        <f t="shared" si="99"/>
        <v/>
      </c>
    </row>
    <row r="1492" spans="2:19" x14ac:dyDescent="0.25">
      <c r="B1492" s="91" t="str">
        <f>IFERROR(VLOOKUP(A1492,Lookup!A:B,2,0),"")</f>
        <v/>
      </c>
      <c r="C1492" s="59" t="str">
        <f>IFERROR(VLOOKUP(A1492,Lookup!A:C,3,0),"")</f>
        <v/>
      </c>
      <c r="J1492" s="106">
        <f>VLOOKUP(A1492&amp;G1492,Lookup!J:N,5,0)</f>
        <v>0</v>
      </c>
      <c r="O1492" s="90">
        <f>IFERROR(VLOOKUP(A1492&amp;G1492,Lookup!J:K,2,0),"")</f>
        <v>0</v>
      </c>
      <c r="P1492" s="110" t="str">
        <f t="shared" si="97"/>
        <v/>
      </c>
      <c r="R1492" s="87" t="str">
        <f t="shared" si="98"/>
        <v/>
      </c>
      <c r="S1492" s="87" t="str">
        <f t="shared" si="99"/>
        <v/>
      </c>
    </row>
    <row r="1493" spans="2:19" x14ac:dyDescent="0.25">
      <c r="B1493" s="91" t="str">
        <f>IFERROR(VLOOKUP(A1493,Lookup!A:B,2,0),"")</f>
        <v/>
      </c>
      <c r="C1493" s="59" t="str">
        <f>IFERROR(VLOOKUP(A1493,Lookup!A:C,3,0),"")</f>
        <v/>
      </c>
      <c r="J1493" s="106">
        <f>VLOOKUP(A1493&amp;G1493,Lookup!J:N,5,0)</f>
        <v>0</v>
      </c>
      <c r="O1493" s="90">
        <f>IFERROR(VLOOKUP(A1493&amp;G1493,Lookup!J:K,2,0),"")</f>
        <v>0</v>
      </c>
      <c r="P1493" s="110" t="str">
        <f t="shared" si="97"/>
        <v/>
      </c>
      <c r="R1493" s="87" t="str">
        <f t="shared" si="98"/>
        <v/>
      </c>
      <c r="S1493" s="87" t="str">
        <f t="shared" si="99"/>
        <v/>
      </c>
    </row>
    <row r="1494" spans="2:19" x14ac:dyDescent="0.25">
      <c r="B1494" s="91" t="str">
        <f>IFERROR(VLOOKUP(A1494,Lookup!A:B,2,0),"")</f>
        <v/>
      </c>
      <c r="C1494" s="59" t="str">
        <f>IFERROR(VLOOKUP(A1494,Lookup!A:C,3,0),"")</f>
        <v/>
      </c>
      <c r="J1494" s="106">
        <f>VLOOKUP(A1494&amp;G1494,Lookup!J:N,5,0)</f>
        <v>0</v>
      </c>
      <c r="O1494" s="90">
        <f>IFERROR(VLOOKUP(A1494&amp;G1494,Lookup!J:K,2,0),"")</f>
        <v>0</v>
      </c>
      <c r="P1494" s="110" t="str">
        <f t="shared" si="97"/>
        <v/>
      </c>
      <c r="R1494" s="87" t="str">
        <f t="shared" si="98"/>
        <v/>
      </c>
      <c r="S1494" s="87" t="str">
        <f t="shared" si="99"/>
        <v/>
      </c>
    </row>
    <row r="1495" spans="2:19" x14ac:dyDescent="0.25">
      <c r="B1495" s="91" t="str">
        <f>IFERROR(VLOOKUP(A1495,Lookup!A:B,2,0),"")</f>
        <v/>
      </c>
      <c r="C1495" s="59" t="str">
        <f>IFERROR(VLOOKUP(A1495,Lookup!A:C,3,0),"")</f>
        <v/>
      </c>
      <c r="J1495" s="106">
        <f>VLOOKUP(A1495&amp;G1495,Lookup!J:N,5,0)</f>
        <v>0</v>
      </c>
      <c r="O1495" s="90">
        <f>IFERROR(VLOOKUP(A1495&amp;G1495,Lookup!J:K,2,0),"")</f>
        <v>0</v>
      </c>
      <c r="P1495" s="110" t="str">
        <f t="shared" si="97"/>
        <v/>
      </c>
      <c r="R1495" s="87" t="str">
        <f t="shared" si="98"/>
        <v/>
      </c>
      <c r="S1495" s="87" t="str">
        <f t="shared" si="99"/>
        <v/>
      </c>
    </row>
    <row r="1496" spans="2:19" x14ac:dyDescent="0.25">
      <c r="B1496" s="91" t="str">
        <f>IFERROR(VLOOKUP(A1496,Lookup!A:B,2,0),"")</f>
        <v/>
      </c>
      <c r="C1496" s="59" t="str">
        <f>IFERROR(VLOOKUP(A1496,Lookup!A:C,3,0),"")</f>
        <v/>
      </c>
      <c r="J1496" s="106">
        <f>VLOOKUP(A1496&amp;G1496,Lookup!J:N,5,0)</f>
        <v>0</v>
      </c>
      <c r="O1496" s="90">
        <f>IFERROR(VLOOKUP(A1496&amp;G1496,Lookup!J:K,2,0),"")</f>
        <v>0</v>
      </c>
      <c r="P1496" s="110" t="str">
        <f t="shared" si="97"/>
        <v/>
      </c>
      <c r="R1496" s="87" t="str">
        <f t="shared" si="98"/>
        <v/>
      </c>
      <c r="S1496" s="87" t="str">
        <f t="shared" si="99"/>
        <v/>
      </c>
    </row>
    <row r="1497" spans="2:19" x14ac:dyDescent="0.25">
      <c r="B1497" s="91" t="str">
        <f>IFERROR(VLOOKUP(A1497,Lookup!A:B,2,0),"")</f>
        <v/>
      </c>
      <c r="C1497" s="59" t="str">
        <f>IFERROR(VLOOKUP(A1497,Lookup!A:C,3,0),"")</f>
        <v/>
      </c>
      <c r="J1497" s="106">
        <f>VLOOKUP(A1497&amp;G1497,Lookup!J:N,5,0)</f>
        <v>0</v>
      </c>
      <c r="O1497" s="90">
        <f>IFERROR(VLOOKUP(A1497&amp;G1497,Lookup!J:K,2,0),"")</f>
        <v>0</v>
      </c>
      <c r="P1497" s="110" t="str">
        <f t="shared" si="97"/>
        <v/>
      </c>
      <c r="R1497" s="87" t="str">
        <f t="shared" si="98"/>
        <v/>
      </c>
      <c r="S1497" s="87" t="str">
        <f t="shared" si="99"/>
        <v/>
      </c>
    </row>
    <row r="1498" spans="2:19" x14ac:dyDescent="0.25">
      <c r="B1498" s="91" t="str">
        <f>IFERROR(VLOOKUP(A1498,Lookup!A:B,2,0),"")</f>
        <v/>
      </c>
      <c r="C1498" s="59" t="str">
        <f>IFERROR(VLOOKUP(A1498,Lookup!A:C,3,0),"")</f>
        <v/>
      </c>
      <c r="J1498" s="106">
        <f>VLOOKUP(A1498&amp;G1498,Lookup!J:N,5,0)</f>
        <v>0</v>
      </c>
      <c r="O1498" s="90">
        <f>IFERROR(VLOOKUP(A1498&amp;G1498,Lookup!J:K,2,0),"")</f>
        <v>0</v>
      </c>
      <c r="P1498" s="110" t="str">
        <f t="shared" si="97"/>
        <v/>
      </c>
      <c r="R1498" s="87" t="str">
        <f t="shared" si="98"/>
        <v/>
      </c>
      <c r="S1498" s="87" t="str">
        <f t="shared" si="99"/>
        <v/>
      </c>
    </row>
    <row r="1499" spans="2:19" x14ac:dyDescent="0.25">
      <c r="B1499" s="91" t="str">
        <f>IFERROR(VLOOKUP(A1499,Lookup!A:B,2,0),"")</f>
        <v/>
      </c>
      <c r="C1499" s="59" t="str">
        <f>IFERROR(VLOOKUP(A1499,Lookup!A:C,3,0),"")</f>
        <v/>
      </c>
      <c r="J1499" s="106">
        <f>VLOOKUP(A1499&amp;G1499,Lookup!J:N,5,0)</f>
        <v>0</v>
      </c>
      <c r="O1499" s="90">
        <f>IFERROR(VLOOKUP(A1499&amp;G1499,Lookup!J:K,2,0),"")</f>
        <v>0</v>
      </c>
      <c r="P1499" s="110" t="str">
        <f t="shared" si="97"/>
        <v/>
      </c>
      <c r="R1499" s="87" t="str">
        <f t="shared" si="98"/>
        <v/>
      </c>
      <c r="S1499" s="87" t="str">
        <f t="shared" si="99"/>
        <v/>
      </c>
    </row>
    <row r="1500" spans="2:19" x14ac:dyDescent="0.25">
      <c r="B1500" s="91" t="str">
        <f>IFERROR(VLOOKUP(A1500,Lookup!A:B,2,0),"")</f>
        <v/>
      </c>
      <c r="C1500" s="59" t="str">
        <f>IFERROR(VLOOKUP(A1500,Lookup!A:C,3,0),"")</f>
        <v/>
      </c>
      <c r="J1500" s="106">
        <f>VLOOKUP(A1500&amp;G1500,Lookup!J:N,5,0)</f>
        <v>0</v>
      </c>
      <c r="O1500" s="90">
        <f>IFERROR(VLOOKUP(A1500&amp;G1500,Lookup!J:K,2,0),"")</f>
        <v>0</v>
      </c>
      <c r="P1500" s="110" t="str">
        <f t="shared" si="97"/>
        <v/>
      </c>
      <c r="R1500" s="87" t="str">
        <f t="shared" si="98"/>
        <v/>
      </c>
      <c r="S1500" s="87" t="str">
        <f t="shared" si="99"/>
        <v/>
      </c>
    </row>
    <row r="1501" spans="2:19" x14ac:dyDescent="0.25">
      <c r="B1501" s="91" t="str">
        <f>IFERROR(VLOOKUP(A1501,Lookup!A:B,2,0),"")</f>
        <v/>
      </c>
      <c r="C1501" s="59" t="str">
        <f>IFERROR(VLOOKUP(A1501,Lookup!A:C,3,0),"")</f>
        <v/>
      </c>
      <c r="J1501" s="106">
        <f>VLOOKUP(A1501&amp;G1501,Lookup!J:N,5,0)</f>
        <v>0</v>
      </c>
      <c r="O1501" s="90">
        <f>IFERROR(VLOOKUP(A1501&amp;G1501,Lookup!J:K,2,0),"")</f>
        <v>0</v>
      </c>
      <c r="P1501" s="110" t="str">
        <f t="shared" si="97"/>
        <v/>
      </c>
      <c r="R1501" s="87" t="str">
        <f t="shared" si="98"/>
        <v/>
      </c>
      <c r="S1501" s="87" t="str">
        <f t="shared" si="99"/>
        <v/>
      </c>
    </row>
    <row r="1502" spans="2:19" x14ac:dyDescent="0.25">
      <c r="B1502" s="91" t="str">
        <f>IFERROR(VLOOKUP(A1502,Lookup!A:B,2,0),"")</f>
        <v/>
      </c>
      <c r="C1502" s="59" t="str">
        <f>IFERROR(VLOOKUP(A1502,Lookup!A:C,3,0),"")</f>
        <v/>
      </c>
      <c r="J1502" s="106">
        <f>VLOOKUP(A1502&amp;G1502,Lookup!J:N,5,0)</f>
        <v>0</v>
      </c>
      <c r="O1502" s="90">
        <f>IFERROR(VLOOKUP(A1502&amp;G1502,Lookup!J:K,2,0),"")</f>
        <v>0</v>
      </c>
      <c r="P1502" s="110" t="str">
        <f t="shared" si="97"/>
        <v/>
      </c>
      <c r="R1502" s="87" t="str">
        <f t="shared" si="98"/>
        <v/>
      </c>
      <c r="S1502" s="87" t="str">
        <f t="shared" si="99"/>
        <v/>
      </c>
    </row>
    <row r="1503" spans="2:19" x14ac:dyDescent="0.25">
      <c r="B1503" s="91" t="str">
        <f>IFERROR(VLOOKUP(A1503,Lookup!A:B,2,0),"")</f>
        <v/>
      </c>
      <c r="C1503" s="59" t="str">
        <f>IFERROR(VLOOKUP(A1503,Lookup!A:C,3,0),"")</f>
        <v/>
      </c>
      <c r="J1503" s="106">
        <f>VLOOKUP(A1503&amp;G1503,Lookup!J:N,5,0)</f>
        <v>0</v>
      </c>
      <c r="O1503" s="90">
        <f>IFERROR(VLOOKUP(A1503&amp;G1503,Lookup!J:K,2,0),"")</f>
        <v>0</v>
      </c>
      <c r="P1503" s="110" t="str">
        <f t="shared" si="97"/>
        <v/>
      </c>
      <c r="R1503" s="87" t="str">
        <f t="shared" si="98"/>
        <v/>
      </c>
      <c r="S1503" s="87" t="str">
        <f t="shared" si="99"/>
        <v/>
      </c>
    </row>
    <row r="1504" spans="2:19" x14ac:dyDescent="0.25">
      <c r="B1504" s="91" t="str">
        <f>IFERROR(VLOOKUP(A1504,Lookup!A:B,2,0),"")</f>
        <v/>
      </c>
      <c r="C1504" s="59" t="str">
        <f>IFERROR(VLOOKUP(A1504,Lookup!A:C,3,0),"")</f>
        <v/>
      </c>
      <c r="J1504" s="106">
        <f>VLOOKUP(A1504&amp;G1504,Lookup!J:N,5,0)</f>
        <v>0</v>
      </c>
      <c r="O1504" s="90">
        <f>IFERROR(VLOOKUP(A1504&amp;G1504,Lookup!J:K,2,0),"")</f>
        <v>0</v>
      </c>
      <c r="P1504" s="110" t="str">
        <f t="shared" si="97"/>
        <v/>
      </c>
      <c r="R1504" s="87" t="str">
        <f t="shared" si="98"/>
        <v/>
      </c>
      <c r="S1504" s="87" t="str">
        <f t="shared" si="99"/>
        <v/>
      </c>
    </row>
    <row r="1505" spans="2:19" x14ac:dyDescent="0.25">
      <c r="B1505" s="91" t="str">
        <f>IFERROR(VLOOKUP(A1505,Lookup!A:B,2,0),"")</f>
        <v/>
      </c>
      <c r="C1505" s="59" t="str">
        <f>IFERROR(VLOOKUP(A1505,Lookup!A:C,3,0),"")</f>
        <v/>
      </c>
      <c r="J1505" s="106">
        <f>VLOOKUP(A1505&amp;G1505,Lookup!J:N,5,0)</f>
        <v>0</v>
      </c>
      <c r="O1505" s="90">
        <f>IFERROR(VLOOKUP(A1505&amp;G1505,Lookup!J:K,2,0),"")</f>
        <v>0</v>
      </c>
      <c r="P1505" s="110" t="str">
        <f t="shared" si="97"/>
        <v/>
      </c>
      <c r="R1505" s="87" t="str">
        <f t="shared" si="98"/>
        <v/>
      </c>
      <c r="S1505" s="87" t="str">
        <f t="shared" si="99"/>
        <v/>
      </c>
    </row>
    <row r="1506" spans="2:19" x14ac:dyDescent="0.25">
      <c r="B1506" s="91" t="str">
        <f>IFERROR(VLOOKUP(A1506,Lookup!A:B,2,0),"")</f>
        <v/>
      </c>
      <c r="C1506" s="59" t="str">
        <f>IFERROR(VLOOKUP(A1506,Lookup!A:C,3,0),"")</f>
        <v/>
      </c>
      <c r="J1506" s="106">
        <f>VLOOKUP(A1506&amp;G1506,Lookup!J:N,5,0)</f>
        <v>0</v>
      </c>
      <c r="O1506" s="90">
        <f>IFERROR(VLOOKUP(A1506&amp;G1506,Lookup!J:K,2,0),"")</f>
        <v>0</v>
      </c>
      <c r="P1506" s="110" t="str">
        <f t="shared" si="97"/>
        <v/>
      </c>
      <c r="R1506" s="87" t="str">
        <f t="shared" si="98"/>
        <v/>
      </c>
      <c r="S1506" s="87" t="str">
        <f t="shared" si="99"/>
        <v/>
      </c>
    </row>
    <row r="1507" spans="2:19" x14ac:dyDescent="0.25">
      <c r="B1507" s="91" t="str">
        <f>IFERROR(VLOOKUP(A1507,Lookup!A:B,2,0),"")</f>
        <v/>
      </c>
      <c r="C1507" s="59" t="str">
        <f>IFERROR(VLOOKUP(A1507,Lookup!A:C,3,0),"")</f>
        <v/>
      </c>
      <c r="J1507" s="106">
        <f>VLOOKUP(A1507&amp;G1507,Lookup!J:N,5,0)</f>
        <v>0</v>
      </c>
      <c r="O1507" s="90">
        <f>IFERROR(VLOOKUP(A1507&amp;G1507,Lookup!J:K,2,0),"")</f>
        <v>0</v>
      </c>
      <c r="P1507" s="110" t="str">
        <f t="shared" si="97"/>
        <v/>
      </c>
      <c r="R1507" s="87" t="str">
        <f t="shared" si="98"/>
        <v/>
      </c>
      <c r="S1507" s="87" t="str">
        <f t="shared" si="99"/>
        <v/>
      </c>
    </row>
    <row r="1508" spans="2:19" x14ac:dyDescent="0.25">
      <c r="B1508" s="91" t="str">
        <f>IFERROR(VLOOKUP(A1508,Lookup!A:B,2,0),"")</f>
        <v/>
      </c>
      <c r="C1508" s="59" t="str">
        <f>IFERROR(VLOOKUP(A1508,Lookup!A:C,3,0),"")</f>
        <v/>
      </c>
      <c r="J1508" s="106">
        <f>VLOOKUP(A1508&amp;G1508,Lookup!J:N,5,0)</f>
        <v>0</v>
      </c>
      <c r="O1508" s="90">
        <f>IFERROR(VLOOKUP(A1508&amp;G1508,Lookup!J:K,2,0),"")</f>
        <v>0</v>
      </c>
      <c r="P1508" s="110" t="str">
        <f t="shared" si="97"/>
        <v/>
      </c>
      <c r="R1508" s="87" t="str">
        <f t="shared" si="98"/>
        <v/>
      </c>
      <c r="S1508" s="87" t="str">
        <f t="shared" si="99"/>
        <v/>
      </c>
    </row>
    <row r="1509" spans="2:19" x14ac:dyDescent="0.25">
      <c r="B1509" s="91" t="str">
        <f>IFERROR(VLOOKUP(A1509,Lookup!A:B,2,0),"")</f>
        <v/>
      </c>
      <c r="C1509" s="59" t="str">
        <f>IFERROR(VLOOKUP(A1509,Lookup!A:C,3,0),"")</f>
        <v/>
      </c>
      <c r="J1509" s="106">
        <f>VLOOKUP(A1509&amp;G1509,Lookup!J:N,5,0)</f>
        <v>0</v>
      </c>
      <c r="O1509" s="90">
        <f>IFERROR(VLOOKUP(A1509&amp;G1509,Lookup!J:K,2,0),"")</f>
        <v>0</v>
      </c>
      <c r="P1509" s="110" t="str">
        <f t="shared" si="97"/>
        <v/>
      </c>
      <c r="R1509" s="87" t="str">
        <f t="shared" si="98"/>
        <v/>
      </c>
      <c r="S1509" s="87" t="str">
        <f t="shared" si="99"/>
        <v/>
      </c>
    </row>
    <row r="1510" spans="2:19" x14ac:dyDescent="0.25">
      <c r="B1510" s="91" t="str">
        <f>IFERROR(VLOOKUP(A1510,Lookup!A:B,2,0),"")</f>
        <v/>
      </c>
      <c r="C1510" s="59" t="str">
        <f>IFERROR(VLOOKUP(A1510,Lookup!A:C,3,0),"")</f>
        <v/>
      </c>
      <c r="J1510" s="106">
        <f>VLOOKUP(A1510&amp;G1510,Lookup!J:N,5,0)</f>
        <v>0</v>
      </c>
      <c r="O1510" s="90">
        <f>IFERROR(VLOOKUP(A1510&amp;G1510,Lookup!J:K,2,0),"")</f>
        <v>0</v>
      </c>
      <c r="P1510" s="110" t="str">
        <f t="shared" si="97"/>
        <v/>
      </c>
      <c r="R1510" s="87" t="str">
        <f t="shared" si="98"/>
        <v/>
      </c>
      <c r="S1510" s="87" t="str">
        <f t="shared" si="99"/>
        <v/>
      </c>
    </row>
    <row r="1511" spans="2:19" x14ac:dyDescent="0.25">
      <c r="B1511" s="91" t="str">
        <f>IFERROR(VLOOKUP(A1511,Lookup!A:B,2,0),"")</f>
        <v/>
      </c>
      <c r="C1511" s="59" t="str">
        <f>IFERROR(VLOOKUP(A1511,Lookup!A:C,3,0),"")</f>
        <v/>
      </c>
      <c r="J1511" s="106">
        <f>VLOOKUP(A1511&amp;G1511,Lookup!J:N,5,0)</f>
        <v>0</v>
      </c>
      <c r="O1511" s="90">
        <f>IFERROR(VLOOKUP(A1511&amp;G1511,Lookup!J:K,2,0),"")</f>
        <v>0</v>
      </c>
      <c r="P1511" s="110" t="str">
        <f t="shared" si="97"/>
        <v/>
      </c>
      <c r="R1511" s="87" t="str">
        <f t="shared" si="98"/>
        <v/>
      </c>
      <c r="S1511" s="87" t="str">
        <f t="shared" si="99"/>
        <v/>
      </c>
    </row>
    <row r="1512" spans="2:19" x14ac:dyDescent="0.25">
      <c r="B1512" s="91" t="str">
        <f>IFERROR(VLOOKUP(A1512,Lookup!A:B,2,0),"")</f>
        <v/>
      </c>
      <c r="C1512" s="59" t="str">
        <f>IFERROR(VLOOKUP(A1512,Lookup!A:C,3,0),"")</f>
        <v/>
      </c>
      <c r="J1512" s="106">
        <f>VLOOKUP(A1512&amp;G1512,Lookup!J:N,5,0)</f>
        <v>0</v>
      </c>
      <c r="O1512" s="90">
        <f>IFERROR(VLOOKUP(A1512&amp;G1512,Lookup!J:K,2,0),"")</f>
        <v>0</v>
      </c>
      <c r="P1512" s="110" t="str">
        <f t="shared" si="97"/>
        <v/>
      </c>
      <c r="R1512" s="87" t="str">
        <f t="shared" si="98"/>
        <v/>
      </c>
      <c r="S1512" s="87" t="str">
        <f t="shared" si="99"/>
        <v/>
      </c>
    </row>
    <row r="1513" spans="2:19" x14ac:dyDescent="0.25">
      <c r="B1513" s="91" t="str">
        <f>IFERROR(VLOOKUP(A1513,Lookup!A:B,2,0),"")</f>
        <v/>
      </c>
      <c r="C1513" s="59" t="str">
        <f>IFERROR(VLOOKUP(A1513,Lookup!A:C,3,0),"")</f>
        <v/>
      </c>
      <c r="J1513" s="106">
        <f>VLOOKUP(A1513&amp;G1513,Lookup!J:N,5,0)</f>
        <v>0</v>
      </c>
      <c r="O1513" s="90">
        <f>IFERROR(VLOOKUP(A1513&amp;G1513,Lookup!J:K,2,0),"")</f>
        <v>0</v>
      </c>
      <c r="P1513" s="110" t="str">
        <f t="shared" si="97"/>
        <v/>
      </c>
      <c r="R1513" s="87" t="str">
        <f t="shared" si="98"/>
        <v/>
      </c>
      <c r="S1513" s="87" t="str">
        <f t="shared" si="99"/>
        <v/>
      </c>
    </row>
    <row r="1514" spans="2:19" x14ac:dyDescent="0.25">
      <c r="B1514" s="91" t="str">
        <f>IFERROR(VLOOKUP(A1514,Lookup!A:B,2,0),"")</f>
        <v/>
      </c>
      <c r="C1514" s="59" t="str">
        <f>IFERROR(VLOOKUP(A1514,Lookup!A:C,3,0),"")</f>
        <v/>
      </c>
      <c r="J1514" s="106">
        <f>VLOOKUP(A1514&amp;G1514,Lookup!J:N,5,0)</f>
        <v>0</v>
      </c>
      <c r="O1514" s="90">
        <f>IFERROR(VLOOKUP(A1514&amp;G1514,Lookup!J:K,2,0),"")</f>
        <v>0</v>
      </c>
      <c r="P1514" s="110" t="str">
        <f t="shared" si="97"/>
        <v/>
      </c>
      <c r="R1514" s="87" t="str">
        <f t="shared" si="98"/>
        <v/>
      </c>
      <c r="S1514" s="87" t="str">
        <f t="shared" si="99"/>
        <v/>
      </c>
    </row>
    <row r="1515" spans="2:19" x14ac:dyDescent="0.25">
      <c r="B1515" s="91" t="str">
        <f>IFERROR(VLOOKUP(A1515,Lookup!A:B,2,0),"")</f>
        <v/>
      </c>
      <c r="C1515" s="59" t="str">
        <f>IFERROR(VLOOKUP(A1515,Lookup!A:C,3,0),"")</f>
        <v/>
      </c>
      <c r="J1515" s="106">
        <f>VLOOKUP(A1515&amp;G1515,Lookup!J:N,5,0)</f>
        <v>0</v>
      </c>
      <c r="O1515" s="90">
        <f>IFERROR(VLOOKUP(A1515&amp;G1515,Lookup!J:K,2,0),"")</f>
        <v>0</v>
      </c>
      <c r="P1515" s="110" t="str">
        <f t="shared" si="97"/>
        <v/>
      </c>
      <c r="R1515" s="87" t="str">
        <f t="shared" si="98"/>
        <v/>
      </c>
      <c r="S1515" s="87" t="str">
        <f t="shared" si="99"/>
        <v/>
      </c>
    </row>
    <row r="1516" spans="2:19" x14ac:dyDescent="0.25">
      <c r="B1516" s="91" t="str">
        <f>IFERROR(VLOOKUP(A1516,Lookup!A:B,2,0),"")</f>
        <v/>
      </c>
      <c r="C1516" s="59" t="str">
        <f>IFERROR(VLOOKUP(A1516,Lookup!A:C,3,0),"")</f>
        <v/>
      </c>
      <c r="J1516" s="106">
        <f>VLOOKUP(A1516&amp;G1516,Lookup!J:N,5,0)</f>
        <v>0</v>
      </c>
      <c r="O1516" s="90">
        <f>IFERROR(VLOOKUP(A1516&amp;G1516,Lookup!J:K,2,0),"")</f>
        <v>0</v>
      </c>
      <c r="P1516" s="110" t="str">
        <f t="shared" si="97"/>
        <v/>
      </c>
      <c r="R1516" s="87" t="str">
        <f t="shared" si="98"/>
        <v/>
      </c>
      <c r="S1516" s="87" t="str">
        <f t="shared" si="99"/>
        <v/>
      </c>
    </row>
    <row r="1517" spans="2:19" x14ac:dyDescent="0.25">
      <c r="B1517" s="91" t="str">
        <f>IFERROR(VLOOKUP(A1517,Lookup!A:B,2,0),"")</f>
        <v/>
      </c>
      <c r="C1517" s="59" t="str">
        <f>IFERROR(VLOOKUP(A1517,Lookup!A:C,3,0),"")</f>
        <v/>
      </c>
      <c r="J1517" s="106">
        <f>VLOOKUP(A1517&amp;G1517,Lookup!J:N,5,0)</f>
        <v>0</v>
      </c>
      <c r="O1517" s="90">
        <f>IFERROR(VLOOKUP(A1517&amp;G1517,Lookup!J:K,2,0),"")</f>
        <v>0</v>
      </c>
      <c r="P1517" s="110" t="str">
        <f t="shared" si="97"/>
        <v/>
      </c>
      <c r="R1517" s="87" t="str">
        <f t="shared" si="98"/>
        <v/>
      </c>
      <c r="S1517" s="87" t="str">
        <f t="shared" si="99"/>
        <v/>
      </c>
    </row>
    <row r="1518" spans="2:19" x14ac:dyDescent="0.25">
      <c r="B1518" s="91" t="str">
        <f>IFERROR(VLOOKUP(A1518,Lookup!A:B,2,0),"")</f>
        <v/>
      </c>
      <c r="C1518" s="59" t="str">
        <f>IFERROR(VLOOKUP(A1518,Lookup!A:C,3,0),"")</f>
        <v/>
      </c>
      <c r="J1518" s="106">
        <f>VLOOKUP(A1518&amp;G1518,Lookup!J:N,5,0)</f>
        <v>0</v>
      </c>
      <c r="O1518" s="90">
        <f>IFERROR(VLOOKUP(A1518&amp;G1518,Lookup!J:K,2,0),"")</f>
        <v>0</v>
      </c>
      <c r="P1518" s="110" t="str">
        <f t="shared" si="97"/>
        <v/>
      </c>
      <c r="R1518" s="87" t="str">
        <f t="shared" si="98"/>
        <v/>
      </c>
      <c r="S1518" s="87" t="str">
        <f t="shared" si="99"/>
        <v/>
      </c>
    </row>
    <row r="1519" spans="2:19" x14ac:dyDescent="0.25">
      <c r="B1519" s="91" t="str">
        <f>IFERROR(VLOOKUP(A1519,Lookup!A:B,2,0),"")</f>
        <v/>
      </c>
      <c r="C1519" s="59" t="str">
        <f>IFERROR(VLOOKUP(A1519,Lookup!A:C,3,0),"")</f>
        <v/>
      </c>
      <c r="J1519" s="106">
        <f>VLOOKUP(A1519&amp;G1519,Lookup!J:N,5,0)</f>
        <v>0</v>
      </c>
      <c r="O1519" s="90">
        <f>IFERROR(VLOOKUP(A1519&amp;G1519,Lookup!J:K,2,0),"")</f>
        <v>0</v>
      </c>
      <c r="P1519" s="110" t="str">
        <f t="shared" si="97"/>
        <v/>
      </c>
      <c r="R1519" s="87" t="str">
        <f t="shared" si="98"/>
        <v/>
      </c>
      <c r="S1519" s="87" t="str">
        <f t="shared" si="99"/>
        <v/>
      </c>
    </row>
    <row r="1520" spans="2:19" x14ac:dyDescent="0.25">
      <c r="B1520" s="91" t="str">
        <f>IFERROR(VLOOKUP(A1520,Lookup!A:B,2,0),"")</f>
        <v/>
      </c>
      <c r="C1520" s="59" t="str">
        <f>IFERROR(VLOOKUP(A1520,Lookup!A:C,3,0),"")</f>
        <v/>
      </c>
      <c r="J1520" s="106">
        <f>VLOOKUP(A1520&amp;G1520,Lookup!J:N,5,0)</f>
        <v>0</v>
      </c>
      <c r="O1520" s="90">
        <f>IFERROR(VLOOKUP(A1520&amp;G1520,Lookup!J:K,2,0),"")</f>
        <v>0</v>
      </c>
      <c r="P1520" s="110" t="str">
        <f t="shared" si="97"/>
        <v/>
      </c>
      <c r="R1520" s="87" t="str">
        <f t="shared" si="98"/>
        <v/>
      </c>
      <c r="S1520" s="87" t="str">
        <f t="shared" si="99"/>
        <v/>
      </c>
    </row>
    <row r="1521" spans="2:19" x14ac:dyDescent="0.25">
      <c r="B1521" s="91" t="str">
        <f>IFERROR(VLOOKUP(A1521,Lookup!A:B,2,0),"")</f>
        <v/>
      </c>
      <c r="C1521" s="59" t="str">
        <f>IFERROR(VLOOKUP(A1521,Lookup!A:C,3,0),"")</f>
        <v/>
      </c>
      <c r="J1521" s="106">
        <f>VLOOKUP(A1521&amp;G1521,Lookup!J:N,5,0)</f>
        <v>0</v>
      </c>
      <c r="O1521" s="90">
        <f>IFERROR(VLOOKUP(A1521&amp;G1521,Lookup!J:K,2,0),"")</f>
        <v>0</v>
      </c>
      <c r="P1521" s="110" t="str">
        <f t="shared" si="97"/>
        <v/>
      </c>
      <c r="R1521" s="87" t="str">
        <f t="shared" si="98"/>
        <v/>
      </c>
      <c r="S1521" s="87" t="str">
        <f t="shared" si="99"/>
        <v/>
      </c>
    </row>
    <row r="1522" spans="2:19" x14ac:dyDescent="0.25">
      <c r="B1522" s="91" t="str">
        <f>IFERROR(VLOOKUP(A1522,Lookup!A:B,2,0),"")</f>
        <v/>
      </c>
      <c r="C1522" s="59" t="str">
        <f>IFERROR(VLOOKUP(A1522,Lookup!A:C,3,0),"")</f>
        <v/>
      </c>
      <c r="J1522" s="106">
        <f>VLOOKUP(A1522&amp;G1522,Lookup!J:N,5,0)</f>
        <v>0</v>
      </c>
      <c r="O1522" s="90">
        <f>IFERROR(VLOOKUP(A1522&amp;G1522,Lookup!J:K,2,0),"")</f>
        <v>0</v>
      </c>
      <c r="P1522" s="110" t="str">
        <f t="shared" si="97"/>
        <v/>
      </c>
      <c r="R1522" s="87" t="str">
        <f t="shared" si="98"/>
        <v/>
      </c>
      <c r="S1522" s="87" t="str">
        <f t="shared" si="99"/>
        <v/>
      </c>
    </row>
    <row r="1523" spans="2:19" x14ac:dyDescent="0.25">
      <c r="B1523" s="91" t="str">
        <f>IFERROR(VLOOKUP(A1523,Lookup!A:B,2,0),"")</f>
        <v/>
      </c>
      <c r="C1523" s="59" t="str">
        <f>IFERROR(VLOOKUP(A1523,Lookup!A:C,3,0),"")</f>
        <v/>
      </c>
      <c r="J1523" s="106">
        <f>VLOOKUP(A1523&amp;G1523,Lookup!J:N,5,0)</f>
        <v>0</v>
      </c>
      <c r="O1523" s="90">
        <f>IFERROR(VLOOKUP(A1523&amp;G1523,Lookup!J:K,2,0),"")</f>
        <v>0</v>
      </c>
      <c r="P1523" s="110" t="str">
        <f t="shared" si="97"/>
        <v/>
      </c>
      <c r="R1523" s="87" t="str">
        <f t="shared" si="98"/>
        <v/>
      </c>
      <c r="S1523" s="87" t="str">
        <f t="shared" si="99"/>
        <v/>
      </c>
    </row>
    <row r="1524" spans="2:19" x14ac:dyDescent="0.25">
      <c r="B1524" s="91" t="str">
        <f>IFERROR(VLOOKUP(A1524,Lookup!A:B,2,0),"")</f>
        <v/>
      </c>
      <c r="C1524" s="59" t="str">
        <f>IFERROR(VLOOKUP(A1524,Lookup!A:C,3,0),"")</f>
        <v/>
      </c>
      <c r="J1524" s="106">
        <f>VLOOKUP(A1524&amp;G1524,Lookup!J:N,5,0)</f>
        <v>0</v>
      </c>
      <c r="O1524" s="90">
        <f>IFERROR(VLOOKUP(A1524&amp;G1524,Lookup!J:K,2,0),"")</f>
        <v>0</v>
      </c>
      <c r="P1524" s="110" t="str">
        <f t="shared" si="97"/>
        <v/>
      </c>
      <c r="R1524" s="87" t="str">
        <f t="shared" si="98"/>
        <v/>
      </c>
      <c r="S1524" s="87" t="str">
        <f t="shared" si="99"/>
        <v/>
      </c>
    </row>
    <row r="1525" spans="2:19" x14ac:dyDescent="0.25">
      <c r="B1525" s="91" t="str">
        <f>IFERROR(VLOOKUP(A1525,Lookup!A:B,2,0),"")</f>
        <v/>
      </c>
      <c r="C1525" s="59" t="str">
        <f>IFERROR(VLOOKUP(A1525,Lookup!A:C,3,0),"")</f>
        <v/>
      </c>
      <c r="J1525" s="106">
        <f>VLOOKUP(A1525&amp;G1525,Lookup!J:N,5,0)</f>
        <v>0</v>
      </c>
      <c r="O1525" s="90">
        <f>IFERROR(VLOOKUP(A1525&amp;G1525,Lookup!J:K,2,0),"")</f>
        <v>0</v>
      </c>
      <c r="P1525" s="110" t="str">
        <f t="shared" si="97"/>
        <v/>
      </c>
      <c r="R1525" s="87" t="str">
        <f t="shared" si="98"/>
        <v/>
      </c>
      <c r="S1525" s="87" t="str">
        <f t="shared" si="99"/>
        <v/>
      </c>
    </row>
    <row r="1526" spans="2:19" x14ac:dyDescent="0.25">
      <c r="B1526" s="91" t="str">
        <f>IFERROR(VLOOKUP(A1526,Lookup!A:B,2,0),"")</f>
        <v/>
      </c>
      <c r="C1526" s="59" t="str">
        <f>IFERROR(VLOOKUP(A1526,Lookup!A:C,3,0),"")</f>
        <v/>
      </c>
      <c r="J1526" s="106">
        <f>VLOOKUP(A1526&amp;G1526,Lookup!J:N,5,0)</f>
        <v>0</v>
      </c>
      <c r="O1526" s="90">
        <f>IFERROR(VLOOKUP(A1526&amp;G1526,Lookup!J:K,2,0),"")</f>
        <v>0</v>
      </c>
      <c r="P1526" s="110" t="str">
        <f t="shared" si="97"/>
        <v/>
      </c>
      <c r="R1526" s="87" t="str">
        <f t="shared" si="98"/>
        <v/>
      </c>
      <c r="S1526" s="87" t="str">
        <f t="shared" si="99"/>
        <v/>
      </c>
    </row>
    <row r="1527" spans="2:19" x14ac:dyDescent="0.25">
      <c r="B1527" s="91" t="str">
        <f>IFERROR(VLOOKUP(A1527,Lookup!A:B,2,0),"")</f>
        <v/>
      </c>
      <c r="C1527" s="59" t="str">
        <f>IFERROR(VLOOKUP(A1527,Lookup!A:C,3,0),"")</f>
        <v/>
      </c>
      <c r="J1527" s="106">
        <f>VLOOKUP(A1527&amp;G1527,Lookup!J:N,5,0)</f>
        <v>0</v>
      </c>
      <c r="O1527" s="90">
        <f>IFERROR(VLOOKUP(A1527&amp;G1527,Lookup!J:K,2,0),"")</f>
        <v>0</v>
      </c>
      <c r="P1527" s="110" t="str">
        <f t="shared" si="97"/>
        <v/>
      </c>
      <c r="R1527" s="87" t="str">
        <f t="shared" si="98"/>
        <v/>
      </c>
      <c r="S1527" s="87" t="str">
        <f t="shared" si="99"/>
        <v/>
      </c>
    </row>
    <row r="1528" spans="2:19" x14ac:dyDescent="0.25">
      <c r="B1528" s="91" t="str">
        <f>IFERROR(VLOOKUP(A1528,Lookup!A:B,2,0),"")</f>
        <v/>
      </c>
      <c r="C1528" s="59" t="str">
        <f>IFERROR(VLOOKUP(A1528,Lookup!A:C,3,0),"")</f>
        <v/>
      </c>
      <c r="J1528" s="106">
        <f>VLOOKUP(A1528&amp;G1528,Lookup!J:N,5,0)</f>
        <v>0</v>
      </c>
      <c r="O1528" s="90">
        <f>IFERROR(VLOOKUP(A1528&amp;G1528,Lookup!J:K,2,0),"")</f>
        <v>0</v>
      </c>
      <c r="P1528" s="110" t="str">
        <f t="shared" si="97"/>
        <v/>
      </c>
      <c r="R1528" s="87" t="str">
        <f t="shared" si="98"/>
        <v/>
      </c>
      <c r="S1528" s="87" t="str">
        <f t="shared" si="99"/>
        <v/>
      </c>
    </row>
    <row r="1529" spans="2:19" x14ac:dyDescent="0.25">
      <c r="B1529" s="91" t="str">
        <f>IFERROR(VLOOKUP(A1529,Lookup!A:B,2,0),"")</f>
        <v/>
      </c>
      <c r="C1529" s="59" t="str">
        <f>IFERROR(VLOOKUP(A1529,Lookup!A:C,3,0),"")</f>
        <v/>
      </c>
      <c r="J1529" s="106">
        <f>VLOOKUP(A1529&amp;G1529,Lookup!J:N,5,0)</f>
        <v>0</v>
      </c>
      <c r="O1529" s="90">
        <f>IFERROR(VLOOKUP(A1529&amp;G1529,Lookup!J:K,2,0),"")</f>
        <v>0</v>
      </c>
      <c r="P1529" s="110" t="str">
        <f t="shared" si="97"/>
        <v/>
      </c>
      <c r="R1529" s="87" t="str">
        <f t="shared" si="98"/>
        <v/>
      </c>
      <c r="S1529" s="87" t="str">
        <f t="shared" si="99"/>
        <v/>
      </c>
    </row>
    <row r="1530" spans="2:19" x14ac:dyDescent="0.25">
      <c r="B1530" s="91" t="str">
        <f>IFERROR(VLOOKUP(A1530,Lookup!A:B,2,0),"")</f>
        <v/>
      </c>
      <c r="C1530" s="59" t="str">
        <f>IFERROR(VLOOKUP(A1530,Lookup!A:C,3,0),"")</f>
        <v/>
      </c>
      <c r="J1530" s="106">
        <f>VLOOKUP(A1530&amp;G1530,Lookup!J:N,5,0)</f>
        <v>0</v>
      </c>
      <c r="O1530" s="90">
        <f>IFERROR(VLOOKUP(A1530&amp;G1530,Lookup!J:K,2,0),"")</f>
        <v>0</v>
      </c>
      <c r="P1530" s="110" t="str">
        <f t="shared" si="97"/>
        <v/>
      </c>
      <c r="R1530" s="87" t="str">
        <f t="shared" si="98"/>
        <v/>
      </c>
      <c r="S1530" s="87" t="str">
        <f t="shared" si="99"/>
        <v/>
      </c>
    </row>
    <row r="1531" spans="2:19" x14ac:dyDescent="0.25">
      <c r="B1531" s="91" t="str">
        <f>IFERROR(VLOOKUP(A1531,Lookup!A:B,2,0),"")</f>
        <v/>
      </c>
      <c r="C1531" s="59" t="str">
        <f>IFERROR(VLOOKUP(A1531,Lookup!A:C,3,0),"")</f>
        <v/>
      </c>
      <c r="J1531" s="106">
        <f>VLOOKUP(A1531&amp;G1531,Lookup!J:N,5,0)</f>
        <v>0</v>
      </c>
      <c r="O1531" s="90">
        <f>IFERROR(VLOOKUP(A1531&amp;G1531,Lookup!J:K,2,0),"")</f>
        <v>0</v>
      </c>
      <c r="P1531" s="110" t="str">
        <f t="shared" si="97"/>
        <v/>
      </c>
      <c r="R1531" s="87" t="str">
        <f t="shared" si="98"/>
        <v/>
      </c>
      <c r="S1531" s="87" t="str">
        <f t="shared" si="99"/>
        <v/>
      </c>
    </row>
    <row r="1532" spans="2:19" x14ac:dyDescent="0.25">
      <c r="B1532" s="91" t="str">
        <f>IFERROR(VLOOKUP(A1532,Lookup!A:B,2,0),"")</f>
        <v/>
      </c>
      <c r="C1532" s="59" t="str">
        <f>IFERROR(VLOOKUP(A1532,Lookup!A:C,3,0),"")</f>
        <v/>
      </c>
      <c r="J1532" s="106">
        <f>VLOOKUP(A1532&amp;G1532,Lookup!J:N,5,0)</f>
        <v>0</v>
      </c>
      <c r="O1532" s="90">
        <f>IFERROR(VLOOKUP(A1532&amp;G1532,Lookup!J:K,2,0),"")</f>
        <v>0</v>
      </c>
      <c r="P1532" s="110" t="str">
        <f t="shared" si="97"/>
        <v/>
      </c>
      <c r="R1532" s="87" t="str">
        <f t="shared" si="98"/>
        <v/>
      </c>
      <c r="S1532" s="87" t="str">
        <f t="shared" si="99"/>
        <v/>
      </c>
    </row>
    <row r="1533" spans="2:19" x14ac:dyDescent="0.25">
      <c r="B1533" s="91" t="str">
        <f>IFERROR(VLOOKUP(A1533,Lookup!A:B,2,0),"")</f>
        <v/>
      </c>
      <c r="C1533" s="59" t="str">
        <f>IFERROR(VLOOKUP(A1533,Lookup!A:C,3,0),"")</f>
        <v/>
      </c>
      <c r="J1533" s="106">
        <f>VLOOKUP(A1533&amp;G1533,Lookup!J:N,5,0)</f>
        <v>0</v>
      </c>
      <c r="O1533" s="90">
        <f>IFERROR(VLOOKUP(A1533&amp;G1533,Lookup!J:K,2,0),"")</f>
        <v>0</v>
      </c>
      <c r="P1533" s="110" t="str">
        <f t="shared" si="97"/>
        <v/>
      </c>
      <c r="R1533" s="87" t="str">
        <f t="shared" si="98"/>
        <v/>
      </c>
      <c r="S1533" s="87" t="str">
        <f t="shared" si="99"/>
        <v/>
      </c>
    </row>
    <row r="1534" spans="2:19" x14ac:dyDescent="0.25">
      <c r="B1534" s="91" t="str">
        <f>IFERROR(VLOOKUP(A1534,Lookup!A:B,2,0),"")</f>
        <v/>
      </c>
      <c r="C1534" s="59" t="str">
        <f>IFERROR(VLOOKUP(A1534,Lookup!A:C,3,0),"")</f>
        <v/>
      </c>
      <c r="J1534" s="106">
        <f>VLOOKUP(A1534&amp;G1534,Lookup!J:N,5,0)</f>
        <v>0</v>
      </c>
      <c r="O1534" s="90">
        <f>IFERROR(VLOOKUP(A1534&amp;G1534,Lookup!J:K,2,0),"")</f>
        <v>0</v>
      </c>
      <c r="P1534" s="110" t="str">
        <f t="shared" si="97"/>
        <v/>
      </c>
      <c r="R1534" s="87" t="str">
        <f t="shared" si="98"/>
        <v/>
      </c>
      <c r="S1534" s="87" t="str">
        <f t="shared" si="99"/>
        <v/>
      </c>
    </row>
    <row r="1535" spans="2:19" x14ac:dyDescent="0.25">
      <c r="B1535" s="91" t="str">
        <f>IFERROR(VLOOKUP(A1535,Lookup!A:B,2,0),"")</f>
        <v/>
      </c>
      <c r="C1535" s="59" t="str">
        <f>IFERROR(VLOOKUP(A1535,Lookup!A:C,3,0),"")</f>
        <v/>
      </c>
      <c r="J1535" s="106">
        <f>VLOOKUP(A1535&amp;G1535,Lookup!J:N,5,0)</f>
        <v>0</v>
      </c>
      <c r="O1535" s="90">
        <f>IFERROR(VLOOKUP(A1535&amp;G1535,Lookup!J:K,2,0),"")</f>
        <v>0</v>
      </c>
      <c r="P1535" s="110" t="str">
        <f t="shared" si="97"/>
        <v/>
      </c>
      <c r="R1535" s="87" t="str">
        <f t="shared" si="98"/>
        <v/>
      </c>
      <c r="S1535" s="87" t="str">
        <f t="shared" si="99"/>
        <v/>
      </c>
    </row>
    <row r="1536" spans="2:19" x14ac:dyDescent="0.25">
      <c r="B1536" s="91" t="str">
        <f>IFERROR(VLOOKUP(A1536,Lookup!A:B,2,0),"")</f>
        <v/>
      </c>
      <c r="C1536" s="59" t="str">
        <f>IFERROR(VLOOKUP(A1536,Lookup!A:C,3,0),"")</f>
        <v/>
      </c>
      <c r="J1536" s="106">
        <f>VLOOKUP(A1536&amp;G1536,Lookup!J:N,5,0)</f>
        <v>0</v>
      </c>
      <c r="O1536" s="90">
        <f>IFERROR(VLOOKUP(A1536&amp;G1536,Lookup!J:K,2,0),"")</f>
        <v>0</v>
      </c>
      <c r="P1536" s="110" t="str">
        <f t="shared" si="97"/>
        <v/>
      </c>
      <c r="R1536" s="87" t="str">
        <f t="shared" si="98"/>
        <v/>
      </c>
      <c r="S1536" s="87" t="str">
        <f t="shared" si="99"/>
        <v/>
      </c>
    </row>
    <row r="1537" spans="2:19" x14ac:dyDescent="0.25">
      <c r="B1537" s="91" t="str">
        <f>IFERROR(VLOOKUP(A1537,Lookup!A:B,2,0),"")</f>
        <v/>
      </c>
      <c r="C1537" s="59" t="str">
        <f>IFERROR(VLOOKUP(A1537,Lookup!A:C,3,0),"")</f>
        <v/>
      </c>
      <c r="J1537" s="106">
        <f>VLOOKUP(A1537&amp;G1537,Lookup!J:N,5,0)</f>
        <v>0</v>
      </c>
      <c r="O1537" s="90">
        <f>IFERROR(VLOOKUP(A1537&amp;G1537,Lookup!J:K,2,0),"")</f>
        <v>0</v>
      </c>
      <c r="P1537" s="110" t="str">
        <f t="shared" si="97"/>
        <v/>
      </c>
      <c r="R1537" s="87" t="str">
        <f t="shared" si="98"/>
        <v/>
      </c>
      <c r="S1537" s="87" t="str">
        <f t="shared" si="99"/>
        <v/>
      </c>
    </row>
    <row r="1538" spans="2:19" x14ac:dyDescent="0.25">
      <c r="B1538" s="91" t="str">
        <f>IFERROR(VLOOKUP(A1538,Lookup!A:B,2,0),"")</f>
        <v/>
      </c>
      <c r="C1538" s="59" t="str">
        <f>IFERROR(VLOOKUP(A1538,Lookup!A:C,3,0),"")</f>
        <v/>
      </c>
      <c r="J1538" s="106">
        <f>VLOOKUP(A1538&amp;G1538,Lookup!J:N,5,0)</f>
        <v>0</v>
      </c>
      <c r="O1538" s="90">
        <f>IFERROR(VLOOKUP(A1538&amp;G1538,Lookup!J:K,2,0),"")</f>
        <v>0</v>
      </c>
      <c r="P1538" s="110" t="str">
        <f t="shared" ref="P1538:P1601" si="100">IF(N1538="","",N1538+O1538)</f>
        <v/>
      </c>
      <c r="R1538" s="87" t="str">
        <f t="shared" si="98"/>
        <v/>
      </c>
      <c r="S1538" s="87" t="str">
        <f t="shared" si="99"/>
        <v/>
      </c>
    </row>
    <row r="1539" spans="2:19" x14ac:dyDescent="0.25">
      <c r="B1539" s="91" t="str">
        <f>IFERROR(VLOOKUP(A1539,Lookup!A:B,2,0),"")</f>
        <v/>
      </c>
      <c r="C1539" s="59" t="str">
        <f>IFERROR(VLOOKUP(A1539,Lookup!A:C,3,0),"")</f>
        <v/>
      </c>
      <c r="J1539" s="106">
        <f>VLOOKUP(A1539&amp;G1539,Lookup!J:N,5,0)</f>
        <v>0</v>
      </c>
      <c r="O1539" s="90">
        <f>IFERROR(VLOOKUP(A1539&amp;G1539,Lookup!J:K,2,0),"")</f>
        <v>0</v>
      </c>
      <c r="P1539" s="110" t="str">
        <f t="shared" si="100"/>
        <v/>
      </c>
      <c r="R1539" s="87" t="str">
        <f t="shared" ref="R1539:R1602" si="101">IF(OR(EXACT(N1539,""), EXACT(L1539,"")),"",N1539-L1539)</f>
        <v/>
      </c>
      <c r="S1539" s="87" t="str">
        <f t="shared" si="99"/>
        <v/>
      </c>
    </row>
    <row r="1540" spans="2:19" x14ac:dyDescent="0.25">
      <c r="B1540" s="91" t="str">
        <f>IFERROR(VLOOKUP(A1540,Lookup!A:B,2,0),"")</f>
        <v/>
      </c>
      <c r="C1540" s="59" t="str">
        <f>IFERROR(VLOOKUP(A1540,Lookup!A:C,3,0),"")</f>
        <v/>
      </c>
      <c r="J1540" s="106">
        <f>VLOOKUP(A1540&amp;G1540,Lookup!J:N,5,0)</f>
        <v>0</v>
      </c>
      <c r="O1540" s="90">
        <f>IFERROR(VLOOKUP(A1540&amp;G1540,Lookup!J:K,2,0),"")</f>
        <v>0</v>
      </c>
      <c r="P1540" s="110" t="str">
        <f t="shared" si="100"/>
        <v/>
      </c>
      <c r="R1540" s="87" t="str">
        <f t="shared" si="101"/>
        <v/>
      </c>
      <c r="S1540" s="87" t="str">
        <f t="shared" ref="S1540:S1603" si="102">IF(OR(EXACT(Q1540,""), EXACT(L1540,"")),"",Q1540-L1540)</f>
        <v/>
      </c>
    </row>
    <row r="1541" spans="2:19" x14ac:dyDescent="0.25">
      <c r="B1541" s="91" t="str">
        <f>IFERROR(VLOOKUP(A1541,Lookup!A:B,2,0),"")</f>
        <v/>
      </c>
      <c r="C1541" s="59" t="str">
        <f>IFERROR(VLOOKUP(A1541,Lookup!A:C,3,0),"")</f>
        <v/>
      </c>
      <c r="J1541" s="106">
        <f>VLOOKUP(A1541&amp;G1541,Lookup!J:N,5,0)</f>
        <v>0</v>
      </c>
      <c r="O1541" s="90">
        <f>IFERROR(VLOOKUP(A1541&amp;G1541,Lookup!J:K,2,0),"")</f>
        <v>0</v>
      </c>
      <c r="P1541" s="110" t="str">
        <f t="shared" si="100"/>
        <v/>
      </c>
      <c r="R1541" s="87" t="str">
        <f t="shared" si="101"/>
        <v/>
      </c>
      <c r="S1541" s="87" t="str">
        <f t="shared" si="102"/>
        <v/>
      </c>
    </row>
    <row r="1542" spans="2:19" x14ac:dyDescent="0.25">
      <c r="B1542" s="91" t="str">
        <f>IFERROR(VLOOKUP(A1542,Lookup!A:B,2,0),"")</f>
        <v/>
      </c>
      <c r="C1542" s="59" t="str">
        <f>IFERROR(VLOOKUP(A1542,Lookup!A:C,3,0),"")</f>
        <v/>
      </c>
      <c r="J1542" s="106">
        <f>VLOOKUP(A1542&amp;G1542,Lookup!J:N,5,0)</f>
        <v>0</v>
      </c>
      <c r="O1542" s="90">
        <f>IFERROR(VLOOKUP(A1542&amp;G1542,Lookup!J:K,2,0),"")</f>
        <v>0</v>
      </c>
      <c r="P1542" s="110" t="str">
        <f t="shared" si="100"/>
        <v/>
      </c>
      <c r="R1542" s="87" t="str">
        <f t="shared" si="101"/>
        <v/>
      </c>
      <c r="S1542" s="87" t="str">
        <f t="shared" si="102"/>
        <v/>
      </c>
    </row>
    <row r="1543" spans="2:19" x14ac:dyDescent="0.25">
      <c r="B1543" s="91" t="str">
        <f>IFERROR(VLOOKUP(A1543,Lookup!A:B,2,0),"")</f>
        <v/>
      </c>
      <c r="C1543" s="59" t="str">
        <f>IFERROR(VLOOKUP(A1543,Lookup!A:C,3,0),"")</f>
        <v/>
      </c>
      <c r="J1543" s="106">
        <f>VLOOKUP(A1543&amp;G1543,Lookup!J:N,5,0)</f>
        <v>0</v>
      </c>
      <c r="O1543" s="90">
        <f>IFERROR(VLOOKUP(A1543&amp;G1543,Lookup!J:K,2,0),"")</f>
        <v>0</v>
      </c>
      <c r="P1543" s="110" t="str">
        <f t="shared" si="100"/>
        <v/>
      </c>
      <c r="R1543" s="87" t="str">
        <f t="shared" si="101"/>
        <v/>
      </c>
      <c r="S1543" s="87" t="str">
        <f t="shared" si="102"/>
        <v/>
      </c>
    </row>
    <row r="1544" spans="2:19" x14ac:dyDescent="0.25">
      <c r="B1544" s="91" t="str">
        <f>IFERROR(VLOOKUP(A1544,Lookup!A:B,2,0),"")</f>
        <v/>
      </c>
      <c r="C1544" s="59" t="str">
        <f>IFERROR(VLOOKUP(A1544,Lookup!A:C,3,0),"")</f>
        <v/>
      </c>
      <c r="J1544" s="106">
        <f>VLOOKUP(A1544&amp;G1544,Lookup!J:N,5,0)</f>
        <v>0</v>
      </c>
      <c r="O1544" s="90">
        <f>IFERROR(VLOOKUP(A1544&amp;G1544,Lookup!J:K,2,0),"")</f>
        <v>0</v>
      </c>
      <c r="P1544" s="110" t="str">
        <f t="shared" si="100"/>
        <v/>
      </c>
      <c r="R1544" s="87" t="str">
        <f t="shared" si="101"/>
        <v/>
      </c>
      <c r="S1544" s="87" t="str">
        <f t="shared" si="102"/>
        <v/>
      </c>
    </row>
    <row r="1545" spans="2:19" x14ac:dyDescent="0.25">
      <c r="B1545" s="91" t="str">
        <f>IFERROR(VLOOKUP(A1545,Lookup!A:B,2,0),"")</f>
        <v/>
      </c>
      <c r="C1545" s="59" t="str">
        <f>IFERROR(VLOOKUP(A1545,Lookup!A:C,3,0),"")</f>
        <v/>
      </c>
      <c r="J1545" s="106">
        <f>VLOOKUP(A1545&amp;G1545,Lookup!J:N,5,0)</f>
        <v>0</v>
      </c>
      <c r="O1545" s="90">
        <f>IFERROR(VLOOKUP(A1545&amp;G1545,Lookup!J:K,2,0),"")</f>
        <v>0</v>
      </c>
      <c r="P1545" s="110" t="str">
        <f t="shared" si="100"/>
        <v/>
      </c>
      <c r="R1545" s="87" t="str">
        <f t="shared" si="101"/>
        <v/>
      </c>
      <c r="S1545" s="87" t="str">
        <f t="shared" si="102"/>
        <v/>
      </c>
    </row>
    <row r="1546" spans="2:19" x14ac:dyDescent="0.25">
      <c r="B1546" s="91" t="str">
        <f>IFERROR(VLOOKUP(A1546,Lookup!A:B,2,0),"")</f>
        <v/>
      </c>
      <c r="C1546" s="59" t="str">
        <f>IFERROR(VLOOKUP(A1546,Lookup!A:C,3,0),"")</f>
        <v/>
      </c>
      <c r="J1546" s="106">
        <f>VLOOKUP(A1546&amp;G1546,Lookup!J:N,5,0)</f>
        <v>0</v>
      </c>
      <c r="O1546" s="90">
        <f>IFERROR(VLOOKUP(A1546&amp;G1546,Lookup!J:K,2,0),"")</f>
        <v>0</v>
      </c>
      <c r="P1546" s="110" t="str">
        <f t="shared" si="100"/>
        <v/>
      </c>
      <c r="R1546" s="87" t="str">
        <f t="shared" si="101"/>
        <v/>
      </c>
      <c r="S1546" s="87" t="str">
        <f t="shared" si="102"/>
        <v/>
      </c>
    </row>
    <row r="1547" spans="2:19" x14ac:dyDescent="0.25">
      <c r="B1547" s="91" t="str">
        <f>IFERROR(VLOOKUP(A1547,Lookup!A:B,2,0),"")</f>
        <v/>
      </c>
      <c r="C1547" s="59" t="str">
        <f>IFERROR(VLOOKUP(A1547,Lookup!A:C,3,0),"")</f>
        <v/>
      </c>
      <c r="J1547" s="106">
        <f>VLOOKUP(A1547&amp;G1547,Lookup!J:N,5,0)</f>
        <v>0</v>
      </c>
      <c r="O1547" s="90">
        <f>IFERROR(VLOOKUP(A1547&amp;G1547,Lookup!J:K,2,0),"")</f>
        <v>0</v>
      </c>
      <c r="P1547" s="110" t="str">
        <f t="shared" si="100"/>
        <v/>
      </c>
      <c r="R1547" s="87" t="str">
        <f t="shared" si="101"/>
        <v/>
      </c>
      <c r="S1547" s="87" t="str">
        <f t="shared" si="102"/>
        <v/>
      </c>
    </row>
    <row r="1548" spans="2:19" x14ac:dyDescent="0.25">
      <c r="B1548" s="91" t="str">
        <f>IFERROR(VLOOKUP(A1548,Lookup!A:B,2,0),"")</f>
        <v/>
      </c>
      <c r="C1548" s="59" t="str">
        <f>IFERROR(VLOOKUP(A1548,Lookup!A:C,3,0),"")</f>
        <v/>
      </c>
      <c r="J1548" s="106">
        <f>VLOOKUP(A1548&amp;G1548,Lookup!J:N,5,0)</f>
        <v>0</v>
      </c>
      <c r="O1548" s="90">
        <f>IFERROR(VLOOKUP(A1548&amp;G1548,Lookup!J:K,2,0),"")</f>
        <v>0</v>
      </c>
      <c r="P1548" s="110" t="str">
        <f t="shared" si="100"/>
        <v/>
      </c>
      <c r="R1548" s="87" t="str">
        <f t="shared" si="101"/>
        <v/>
      </c>
      <c r="S1548" s="87" t="str">
        <f t="shared" si="102"/>
        <v/>
      </c>
    </row>
    <row r="1549" spans="2:19" x14ac:dyDescent="0.25">
      <c r="B1549" s="91" t="str">
        <f>IFERROR(VLOOKUP(A1549,Lookup!A:B,2,0),"")</f>
        <v/>
      </c>
      <c r="C1549" s="59" t="str">
        <f>IFERROR(VLOOKUP(A1549,Lookup!A:C,3,0),"")</f>
        <v/>
      </c>
      <c r="J1549" s="106">
        <f>VLOOKUP(A1549&amp;G1549,Lookup!J:N,5,0)</f>
        <v>0</v>
      </c>
      <c r="O1549" s="90">
        <f>IFERROR(VLOOKUP(A1549&amp;G1549,Lookup!J:K,2,0),"")</f>
        <v>0</v>
      </c>
      <c r="P1549" s="110" t="str">
        <f t="shared" si="100"/>
        <v/>
      </c>
      <c r="R1549" s="87" t="str">
        <f t="shared" si="101"/>
        <v/>
      </c>
      <c r="S1549" s="87" t="str">
        <f t="shared" si="102"/>
        <v/>
      </c>
    </row>
    <row r="1550" spans="2:19" x14ac:dyDescent="0.25">
      <c r="B1550" s="91" t="str">
        <f>IFERROR(VLOOKUP(A1550,Lookup!A:B,2,0),"")</f>
        <v/>
      </c>
      <c r="C1550" s="59" t="str">
        <f>IFERROR(VLOOKUP(A1550,Lookup!A:C,3,0),"")</f>
        <v/>
      </c>
      <c r="J1550" s="106">
        <f>VLOOKUP(A1550&amp;G1550,Lookup!J:N,5,0)</f>
        <v>0</v>
      </c>
      <c r="O1550" s="90">
        <f>IFERROR(VLOOKUP(A1550&amp;G1550,Lookup!J:K,2,0),"")</f>
        <v>0</v>
      </c>
      <c r="P1550" s="110" t="str">
        <f t="shared" si="100"/>
        <v/>
      </c>
      <c r="R1550" s="87" t="str">
        <f t="shared" si="101"/>
        <v/>
      </c>
      <c r="S1550" s="87" t="str">
        <f t="shared" si="102"/>
        <v/>
      </c>
    </row>
    <row r="1551" spans="2:19" x14ac:dyDescent="0.25">
      <c r="B1551" s="91" t="str">
        <f>IFERROR(VLOOKUP(A1551,Lookup!A:B,2,0),"")</f>
        <v/>
      </c>
      <c r="C1551" s="59" t="str">
        <f>IFERROR(VLOOKUP(A1551,Lookup!A:C,3,0),"")</f>
        <v/>
      </c>
      <c r="J1551" s="106">
        <f>VLOOKUP(A1551&amp;G1551,Lookup!J:N,5,0)</f>
        <v>0</v>
      </c>
      <c r="O1551" s="90">
        <f>IFERROR(VLOOKUP(A1551&amp;G1551,Lookup!J:K,2,0),"")</f>
        <v>0</v>
      </c>
      <c r="P1551" s="110" t="str">
        <f t="shared" si="100"/>
        <v/>
      </c>
      <c r="R1551" s="87" t="str">
        <f t="shared" si="101"/>
        <v/>
      </c>
      <c r="S1551" s="87" t="str">
        <f t="shared" si="102"/>
        <v/>
      </c>
    </row>
    <row r="1552" spans="2:19" x14ac:dyDescent="0.25">
      <c r="B1552" s="91" t="str">
        <f>IFERROR(VLOOKUP(A1552,Lookup!A:B,2,0),"")</f>
        <v/>
      </c>
      <c r="C1552" s="59" t="str">
        <f>IFERROR(VLOOKUP(A1552,Lookup!A:C,3,0),"")</f>
        <v/>
      </c>
      <c r="J1552" s="106">
        <f>VLOOKUP(A1552&amp;G1552,Lookup!J:N,5,0)</f>
        <v>0</v>
      </c>
      <c r="O1552" s="90">
        <f>IFERROR(VLOOKUP(A1552&amp;G1552,Lookup!J:K,2,0),"")</f>
        <v>0</v>
      </c>
      <c r="P1552" s="110" t="str">
        <f t="shared" si="100"/>
        <v/>
      </c>
      <c r="R1552" s="87" t="str">
        <f t="shared" si="101"/>
        <v/>
      </c>
      <c r="S1552" s="87" t="str">
        <f t="shared" si="102"/>
        <v/>
      </c>
    </row>
    <row r="1553" spans="2:19" x14ac:dyDescent="0.25">
      <c r="B1553" s="91" t="str">
        <f>IFERROR(VLOOKUP(A1553,Lookup!A:B,2,0),"")</f>
        <v/>
      </c>
      <c r="C1553" s="59" t="str">
        <f>IFERROR(VLOOKUP(A1553,Lookup!A:C,3,0),"")</f>
        <v/>
      </c>
      <c r="J1553" s="106">
        <f>VLOOKUP(A1553&amp;G1553,Lookup!J:N,5,0)</f>
        <v>0</v>
      </c>
      <c r="O1553" s="90">
        <f>IFERROR(VLOOKUP(A1553&amp;G1553,Lookup!J:K,2,0),"")</f>
        <v>0</v>
      </c>
      <c r="P1553" s="110" t="str">
        <f t="shared" si="100"/>
        <v/>
      </c>
      <c r="R1553" s="87" t="str">
        <f t="shared" si="101"/>
        <v/>
      </c>
      <c r="S1553" s="87" t="str">
        <f t="shared" si="102"/>
        <v/>
      </c>
    </row>
    <row r="1554" spans="2:19" x14ac:dyDescent="0.25">
      <c r="B1554" s="91" t="str">
        <f>IFERROR(VLOOKUP(A1554,Lookup!A:B,2,0),"")</f>
        <v/>
      </c>
      <c r="C1554" s="59" t="str">
        <f>IFERROR(VLOOKUP(A1554,Lookup!A:C,3,0),"")</f>
        <v/>
      </c>
      <c r="J1554" s="106">
        <f>VLOOKUP(A1554&amp;G1554,Lookup!J:N,5,0)</f>
        <v>0</v>
      </c>
      <c r="O1554" s="90">
        <f>IFERROR(VLOOKUP(A1554&amp;G1554,Lookup!J:K,2,0),"")</f>
        <v>0</v>
      </c>
      <c r="P1554" s="110" t="str">
        <f t="shared" si="100"/>
        <v/>
      </c>
      <c r="R1554" s="87" t="str">
        <f t="shared" si="101"/>
        <v/>
      </c>
      <c r="S1554" s="87" t="str">
        <f t="shared" si="102"/>
        <v/>
      </c>
    </row>
    <row r="1555" spans="2:19" x14ac:dyDescent="0.25">
      <c r="B1555" s="91" t="str">
        <f>IFERROR(VLOOKUP(A1555,Lookup!A:B,2,0),"")</f>
        <v/>
      </c>
      <c r="C1555" s="59" t="str">
        <f>IFERROR(VLOOKUP(A1555,Lookup!A:C,3,0),"")</f>
        <v/>
      </c>
      <c r="J1555" s="106">
        <f>VLOOKUP(A1555&amp;G1555,Lookup!J:N,5,0)</f>
        <v>0</v>
      </c>
      <c r="O1555" s="90">
        <f>IFERROR(VLOOKUP(A1555&amp;G1555,Lookup!J:K,2,0),"")</f>
        <v>0</v>
      </c>
      <c r="P1555" s="110" t="str">
        <f t="shared" si="100"/>
        <v/>
      </c>
      <c r="R1555" s="87" t="str">
        <f t="shared" si="101"/>
        <v/>
      </c>
      <c r="S1555" s="87" t="str">
        <f t="shared" si="102"/>
        <v/>
      </c>
    </row>
    <row r="1556" spans="2:19" x14ac:dyDescent="0.25">
      <c r="B1556" s="91" t="str">
        <f>IFERROR(VLOOKUP(A1556,Lookup!A:B,2,0),"")</f>
        <v/>
      </c>
      <c r="C1556" s="59" t="str">
        <f>IFERROR(VLOOKUP(A1556,Lookup!A:C,3,0),"")</f>
        <v/>
      </c>
      <c r="J1556" s="106">
        <f>VLOOKUP(A1556&amp;G1556,Lookup!J:N,5,0)</f>
        <v>0</v>
      </c>
      <c r="O1556" s="90">
        <f>IFERROR(VLOOKUP(A1556&amp;G1556,Lookup!J:K,2,0),"")</f>
        <v>0</v>
      </c>
      <c r="P1556" s="110" t="str">
        <f t="shared" si="100"/>
        <v/>
      </c>
      <c r="R1556" s="87" t="str">
        <f t="shared" si="101"/>
        <v/>
      </c>
      <c r="S1556" s="87" t="str">
        <f t="shared" si="102"/>
        <v/>
      </c>
    </row>
    <row r="1557" spans="2:19" x14ac:dyDescent="0.25">
      <c r="B1557" s="91" t="str">
        <f>IFERROR(VLOOKUP(A1557,Lookup!A:B,2,0),"")</f>
        <v/>
      </c>
      <c r="C1557" s="59" t="str">
        <f>IFERROR(VLOOKUP(A1557,Lookup!A:C,3,0),"")</f>
        <v/>
      </c>
      <c r="J1557" s="106">
        <f>VLOOKUP(A1557&amp;G1557,Lookup!J:N,5,0)</f>
        <v>0</v>
      </c>
      <c r="O1557" s="90">
        <f>IFERROR(VLOOKUP(A1557&amp;G1557,Lookup!J:K,2,0),"")</f>
        <v>0</v>
      </c>
      <c r="P1557" s="110" t="str">
        <f t="shared" si="100"/>
        <v/>
      </c>
      <c r="R1557" s="87" t="str">
        <f t="shared" si="101"/>
        <v/>
      </c>
      <c r="S1557" s="87" t="str">
        <f t="shared" si="102"/>
        <v/>
      </c>
    </row>
    <row r="1558" spans="2:19" x14ac:dyDescent="0.25">
      <c r="B1558" s="91" t="str">
        <f>IFERROR(VLOOKUP(A1558,Lookup!A:B,2,0),"")</f>
        <v/>
      </c>
      <c r="C1558" s="59" t="str">
        <f>IFERROR(VLOOKUP(A1558,Lookup!A:C,3,0),"")</f>
        <v/>
      </c>
      <c r="J1558" s="106">
        <f>VLOOKUP(A1558&amp;G1558,Lookup!J:N,5,0)</f>
        <v>0</v>
      </c>
      <c r="O1558" s="90">
        <f>IFERROR(VLOOKUP(A1558&amp;G1558,Lookup!J:K,2,0),"")</f>
        <v>0</v>
      </c>
      <c r="P1558" s="110" t="str">
        <f t="shared" si="100"/>
        <v/>
      </c>
      <c r="R1558" s="87" t="str">
        <f t="shared" si="101"/>
        <v/>
      </c>
      <c r="S1558" s="87" t="str">
        <f t="shared" si="102"/>
        <v/>
      </c>
    </row>
    <row r="1559" spans="2:19" x14ac:dyDescent="0.25">
      <c r="B1559" s="91" t="str">
        <f>IFERROR(VLOOKUP(A1559,Lookup!A:B,2,0),"")</f>
        <v/>
      </c>
      <c r="C1559" s="59" t="str">
        <f>IFERROR(VLOOKUP(A1559,Lookup!A:C,3,0),"")</f>
        <v/>
      </c>
      <c r="J1559" s="106">
        <f>VLOOKUP(A1559&amp;G1559,Lookup!J:N,5,0)</f>
        <v>0</v>
      </c>
      <c r="O1559" s="90">
        <f>IFERROR(VLOOKUP(A1559&amp;G1559,Lookup!J:K,2,0),"")</f>
        <v>0</v>
      </c>
      <c r="P1559" s="110" t="str">
        <f t="shared" si="100"/>
        <v/>
      </c>
      <c r="R1559" s="87" t="str">
        <f t="shared" si="101"/>
        <v/>
      </c>
      <c r="S1559" s="87" t="str">
        <f t="shared" si="102"/>
        <v/>
      </c>
    </row>
    <row r="1560" spans="2:19" x14ac:dyDescent="0.25">
      <c r="B1560" s="91" t="str">
        <f>IFERROR(VLOOKUP(A1560,Lookup!A:B,2,0),"")</f>
        <v/>
      </c>
      <c r="C1560" s="59" t="str">
        <f>IFERROR(VLOOKUP(A1560,Lookup!A:C,3,0),"")</f>
        <v/>
      </c>
      <c r="J1560" s="106">
        <f>VLOOKUP(A1560&amp;G1560,Lookup!J:N,5,0)</f>
        <v>0</v>
      </c>
      <c r="O1560" s="90">
        <f>IFERROR(VLOOKUP(A1560&amp;G1560,Lookup!J:K,2,0),"")</f>
        <v>0</v>
      </c>
      <c r="P1560" s="110" t="str">
        <f t="shared" si="100"/>
        <v/>
      </c>
      <c r="R1560" s="87" t="str">
        <f t="shared" si="101"/>
        <v/>
      </c>
      <c r="S1560" s="87" t="str">
        <f t="shared" si="102"/>
        <v/>
      </c>
    </row>
    <row r="1561" spans="2:19" x14ac:dyDescent="0.25">
      <c r="B1561" s="91" t="str">
        <f>IFERROR(VLOOKUP(A1561,Lookup!A:B,2,0),"")</f>
        <v/>
      </c>
      <c r="C1561" s="59" t="str">
        <f>IFERROR(VLOOKUP(A1561,Lookup!A:C,3,0),"")</f>
        <v/>
      </c>
      <c r="J1561" s="106">
        <f>VLOOKUP(A1561&amp;G1561,Lookup!J:N,5,0)</f>
        <v>0</v>
      </c>
      <c r="O1561" s="90">
        <f>IFERROR(VLOOKUP(A1561&amp;G1561,Lookup!J:K,2,0),"")</f>
        <v>0</v>
      </c>
      <c r="P1561" s="110" t="str">
        <f t="shared" si="100"/>
        <v/>
      </c>
      <c r="R1561" s="87" t="str">
        <f t="shared" si="101"/>
        <v/>
      </c>
      <c r="S1561" s="87" t="str">
        <f t="shared" si="102"/>
        <v/>
      </c>
    </row>
    <row r="1562" spans="2:19" x14ac:dyDescent="0.25">
      <c r="B1562" s="91" t="str">
        <f>IFERROR(VLOOKUP(A1562,Lookup!A:B,2,0),"")</f>
        <v/>
      </c>
      <c r="C1562" s="59" t="str">
        <f>IFERROR(VLOOKUP(A1562,Lookup!A:C,3,0),"")</f>
        <v/>
      </c>
      <c r="J1562" s="106">
        <f>VLOOKUP(A1562&amp;G1562,Lookup!J:N,5,0)</f>
        <v>0</v>
      </c>
      <c r="O1562" s="90">
        <f>IFERROR(VLOOKUP(A1562&amp;G1562,Lookup!J:K,2,0),"")</f>
        <v>0</v>
      </c>
      <c r="P1562" s="110" t="str">
        <f t="shared" si="100"/>
        <v/>
      </c>
      <c r="R1562" s="87" t="str">
        <f t="shared" si="101"/>
        <v/>
      </c>
      <c r="S1562" s="87" t="str">
        <f t="shared" si="102"/>
        <v/>
      </c>
    </row>
    <row r="1563" spans="2:19" x14ac:dyDescent="0.25">
      <c r="B1563" s="91" t="str">
        <f>IFERROR(VLOOKUP(A1563,Lookup!A:B,2,0),"")</f>
        <v/>
      </c>
      <c r="C1563" s="59" t="str">
        <f>IFERROR(VLOOKUP(A1563,Lookup!A:C,3,0),"")</f>
        <v/>
      </c>
      <c r="J1563" s="106">
        <f>VLOOKUP(A1563&amp;G1563,Lookup!J:N,5,0)</f>
        <v>0</v>
      </c>
      <c r="O1563" s="90">
        <f>IFERROR(VLOOKUP(A1563&amp;G1563,Lookup!J:K,2,0),"")</f>
        <v>0</v>
      </c>
      <c r="P1563" s="110" t="str">
        <f t="shared" si="100"/>
        <v/>
      </c>
      <c r="R1563" s="87" t="str">
        <f t="shared" si="101"/>
        <v/>
      </c>
      <c r="S1563" s="87" t="str">
        <f t="shared" si="102"/>
        <v/>
      </c>
    </row>
    <row r="1564" spans="2:19" x14ac:dyDescent="0.25">
      <c r="B1564" s="91" t="str">
        <f>IFERROR(VLOOKUP(A1564,Lookup!A:B,2,0),"")</f>
        <v/>
      </c>
      <c r="C1564" s="59" t="str">
        <f>IFERROR(VLOOKUP(A1564,Lookup!A:C,3,0),"")</f>
        <v/>
      </c>
      <c r="J1564" s="106">
        <f>VLOOKUP(A1564&amp;G1564,Lookup!J:N,5,0)</f>
        <v>0</v>
      </c>
      <c r="O1564" s="90">
        <f>IFERROR(VLOOKUP(A1564&amp;G1564,Lookup!J:K,2,0),"")</f>
        <v>0</v>
      </c>
      <c r="P1564" s="110" t="str">
        <f t="shared" si="100"/>
        <v/>
      </c>
      <c r="R1564" s="87" t="str">
        <f t="shared" si="101"/>
        <v/>
      </c>
      <c r="S1564" s="87" t="str">
        <f t="shared" si="102"/>
        <v/>
      </c>
    </row>
    <row r="1565" spans="2:19" x14ac:dyDescent="0.25">
      <c r="B1565" s="91" t="str">
        <f>IFERROR(VLOOKUP(A1565,Lookup!A:B,2,0),"")</f>
        <v/>
      </c>
      <c r="C1565" s="59" t="str">
        <f>IFERROR(VLOOKUP(A1565,Lookup!A:C,3,0),"")</f>
        <v/>
      </c>
      <c r="J1565" s="106">
        <f>VLOOKUP(A1565&amp;G1565,Lookup!J:N,5,0)</f>
        <v>0</v>
      </c>
      <c r="O1565" s="90">
        <f>IFERROR(VLOOKUP(A1565&amp;G1565,Lookup!J:K,2,0),"")</f>
        <v>0</v>
      </c>
      <c r="P1565" s="110" t="str">
        <f t="shared" si="100"/>
        <v/>
      </c>
      <c r="R1565" s="87" t="str">
        <f t="shared" si="101"/>
        <v/>
      </c>
      <c r="S1565" s="87" t="str">
        <f t="shared" si="102"/>
        <v/>
      </c>
    </row>
    <row r="1566" spans="2:19" x14ac:dyDescent="0.25">
      <c r="B1566" s="91" t="str">
        <f>IFERROR(VLOOKUP(A1566,Lookup!A:B,2,0),"")</f>
        <v/>
      </c>
      <c r="C1566" s="59" t="str">
        <f>IFERROR(VLOOKUP(A1566,Lookup!A:C,3,0),"")</f>
        <v/>
      </c>
      <c r="J1566" s="106">
        <f>VLOOKUP(A1566&amp;G1566,Lookup!J:N,5,0)</f>
        <v>0</v>
      </c>
      <c r="O1566" s="90">
        <f>IFERROR(VLOOKUP(A1566&amp;G1566,Lookup!J:K,2,0),"")</f>
        <v>0</v>
      </c>
      <c r="P1566" s="110" t="str">
        <f t="shared" si="100"/>
        <v/>
      </c>
      <c r="R1566" s="87" t="str">
        <f t="shared" si="101"/>
        <v/>
      </c>
      <c r="S1566" s="87" t="str">
        <f t="shared" si="102"/>
        <v/>
      </c>
    </row>
    <row r="1567" spans="2:19" x14ac:dyDescent="0.25">
      <c r="B1567" s="91" t="str">
        <f>IFERROR(VLOOKUP(A1567,Lookup!A:B,2,0),"")</f>
        <v/>
      </c>
      <c r="C1567" s="59" t="str">
        <f>IFERROR(VLOOKUP(A1567,Lookup!A:C,3,0),"")</f>
        <v/>
      </c>
      <c r="J1567" s="106">
        <f>VLOOKUP(A1567&amp;G1567,Lookup!J:N,5,0)</f>
        <v>0</v>
      </c>
      <c r="O1567" s="90">
        <f>IFERROR(VLOOKUP(A1567&amp;G1567,Lookup!J:K,2,0),"")</f>
        <v>0</v>
      </c>
      <c r="P1567" s="110" t="str">
        <f t="shared" si="100"/>
        <v/>
      </c>
      <c r="R1567" s="87" t="str">
        <f t="shared" si="101"/>
        <v/>
      </c>
      <c r="S1567" s="87" t="str">
        <f t="shared" si="102"/>
        <v/>
      </c>
    </row>
    <row r="1568" spans="2:19" x14ac:dyDescent="0.25">
      <c r="B1568" s="91" t="str">
        <f>IFERROR(VLOOKUP(A1568,Lookup!A:B,2,0),"")</f>
        <v/>
      </c>
      <c r="C1568" s="59" t="str">
        <f>IFERROR(VLOOKUP(A1568,Lookup!A:C,3,0),"")</f>
        <v/>
      </c>
      <c r="J1568" s="106">
        <f>VLOOKUP(A1568&amp;G1568,Lookup!J:N,5,0)</f>
        <v>0</v>
      </c>
      <c r="O1568" s="90">
        <f>IFERROR(VLOOKUP(A1568&amp;G1568,Lookup!J:K,2,0),"")</f>
        <v>0</v>
      </c>
      <c r="P1568" s="110" t="str">
        <f t="shared" si="100"/>
        <v/>
      </c>
      <c r="R1568" s="87" t="str">
        <f t="shared" si="101"/>
        <v/>
      </c>
      <c r="S1568" s="87" t="str">
        <f t="shared" si="102"/>
        <v/>
      </c>
    </row>
    <row r="1569" spans="2:19" x14ac:dyDescent="0.25">
      <c r="B1569" s="91" t="str">
        <f>IFERROR(VLOOKUP(A1569,Lookup!A:B,2,0),"")</f>
        <v/>
      </c>
      <c r="C1569" s="59" t="str">
        <f>IFERROR(VLOOKUP(A1569,Lookup!A:C,3,0),"")</f>
        <v/>
      </c>
      <c r="J1569" s="106">
        <f>VLOOKUP(A1569&amp;G1569,Lookup!J:N,5,0)</f>
        <v>0</v>
      </c>
      <c r="O1569" s="90">
        <f>IFERROR(VLOOKUP(A1569&amp;G1569,Lookup!J:K,2,0),"")</f>
        <v>0</v>
      </c>
      <c r="P1569" s="110" t="str">
        <f t="shared" si="100"/>
        <v/>
      </c>
      <c r="R1569" s="87" t="str">
        <f t="shared" si="101"/>
        <v/>
      </c>
      <c r="S1569" s="87" t="str">
        <f t="shared" si="102"/>
        <v/>
      </c>
    </row>
    <row r="1570" spans="2:19" x14ac:dyDescent="0.25">
      <c r="B1570" s="91" t="str">
        <f>IFERROR(VLOOKUP(A1570,Lookup!A:B,2,0),"")</f>
        <v/>
      </c>
      <c r="C1570" s="59" t="str">
        <f>IFERROR(VLOOKUP(A1570,Lookup!A:C,3,0),"")</f>
        <v/>
      </c>
      <c r="J1570" s="106">
        <f>VLOOKUP(A1570&amp;G1570,Lookup!J:N,5,0)</f>
        <v>0</v>
      </c>
      <c r="O1570" s="90">
        <f>IFERROR(VLOOKUP(A1570&amp;G1570,Lookup!J:K,2,0),"")</f>
        <v>0</v>
      </c>
      <c r="P1570" s="110" t="str">
        <f t="shared" si="100"/>
        <v/>
      </c>
      <c r="R1570" s="87" t="str">
        <f t="shared" si="101"/>
        <v/>
      </c>
      <c r="S1570" s="87" t="str">
        <f t="shared" si="102"/>
        <v/>
      </c>
    </row>
    <row r="1571" spans="2:19" x14ac:dyDescent="0.25">
      <c r="B1571" s="91" t="str">
        <f>IFERROR(VLOOKUP(A1571,Lookup!A:B,2,0),"")</f>
        <v/>
      </c>
      <c r="C1571" s="59" t="str">
        <f>IFERROR(VLOOKUP(A1571,Lookup!A:C,3,0),"")</f>
        <v/>
      </c>
      <c r="J1571" s="106">
        <f>VLOOKUP(A1571&amp;G1571,Lookup!J:N,5,0)</f>
        <v>0</v>
      </c>
      <c r="O1571" s="90">
        <f>IFERROR(VLOOKUP(A1571&amp;G1571,Lookup!J:K,2,0),"")</f>
        <v>0</v>
      </c>
      <c r="P1571" s="110" t="str">
        <f t="shared" si="100"/>
        <v/>
      </c>
      <c r="R1571" s="87" t="str">
        <f t="shared" si="101"/>
        <v/>
      </c>
      <c r="S1571" s="87" t="str">
        <f t="shared" si="102"/>
        <v/>
      </c>
    </row>
    <row r="1572" spans="2:19" x14ac:dyDescent="0.25">
      <c r="B1572" s="91" t="str">
        <f>IFERROR(VLOOKUP(A1572,Lookup!A:B,2,0),"")</f>
        <v/>
      </c>
      <c r="C1572" s="59" t="str">
        <f>IFERROR(VLOOKUP(A1572,Lookup!A:C,3,0),"")</f>
        <v/>
      </c>
      <c r="J1572" s="106">
        <f>VLOOKUP(A1572&amp;G1572,Lookup!J:N,5,0)</f>
        <v>0</v>
      </c>
      <c r="O1572" s="90">
        <f>IFERROR(VLOOKUP(A1572&amp;G1572,Lookup!J:K,2,0),"")</f>
        <v>0</v>
      </c>
      <c r="P1572" s="110" t="str">
        <f t="shared" si="100"/>
        <v/>
      </c>
      <c r="R1572" s="87" t="str">
        <f t="shared" si="101"/>
        <v/>
      </c>
      <c r="S1572" s="87" t="str">
        <f t="shared" si="102"/>
        <v/>
      </c>
    </row>
    <row r="1573" spans="2:19" x14ac:dyDescent="0.25">
      <c r="B1573" s="91" t="str">
        <f>IFERROR(VLOOKUP(A1573,Lookup!A:B,2,0),"")</f>
        <v/>
      </c>
      <c r="C1573" s="59" t="str">
        <f>IFERROR(VLOOKUP(A1573,Lookup!A:C,3,0),"")</f>
        <v/>
      </c>
      <c r="J1573" s="106">
        <f>VLOOKUP(A1573&amp;G1573,Lookup!J:N,5,0)</f>
        <v>0</v>
      </c>
      <c r="O1573" s="90">
        <f>IFERROR(VLOOKUP(A1573&amp;G1573,Lookup!J:K,2,0),"")</f>
        <v>0</v>
      </c>
      <c r="P1573" s="110" t="str">
        <f t="shared" si="100"/>
        <v/>
      </c>
      <c r="R1573" s="87" t="str">
        <f t="shared" si="101"/>
        <v/>
      </c>
      <c r="S1573" s="87" t="str">
        <f t="shared" si="102"/>
        <v/>
      </c>
    </row>
    <row r="1574" spans="2:19" x14ac:dyDescent="0.25">
      <c r="B1574" s="91" t="str">
        <f>IFERROR(VLOOKUP(A1574,Lookup!A:B,2,0),"")</f>
        <v/>
      </c>
      <c r="C1574" s="59" t="str">
        <f>IFERROR(VLOOKUP(A1574,Lookup!A:C,3,0),"")</f>
        <v/>
      </c>
      <c r="J1574" s="106">
        <f>VLOOKUP(A1574&amp;G1574,Lookup!J:N,5,0)</f>
        <v>0</v>
      </c>
      <c r="O1574" s="90">
        <f>IFERROR(VLOOKUP(A1574&amp;G1574,Lookup!J:K,2,0),"")</f>
        <v>0</v>
      </c>
      <c r="P1574" s="110" t="str">
        <f t="shared" si="100"/>
        <v/>
      </c>
      <c r="R1574" s="87" t="str">
        <f t="shared" si="101"/>
        <v/>
      </c>
      <c r="S1574" s="87" t="str">
        <f t="shared" si="102"/>
        <v/>
      </c>
    </row>
    <row r="1575" spans="2:19" x14ac:dyDescent="0.25">
      <c r="B1575" s="91" t="str">
        <f>IFERROR(VLOOKUP(A1575,Lookup!A:B,2,0),"")</f>
        <v/>
      </c>
      <c r="C1575" s="59" t="str">
        <f>IFERROR(VLOOKUP(A1575,Lookup!A:C,3,0),"")</f>
        <v/>
      </c>
      <c r="J1575" s="106">
        <f>VLOOKUP(A1575&amp;G1575,Lookup!J:N,5,0)</f>
        <v>0</v>
      </c>
      <c r="O1575" s="90">
        <f>IFERROR(VLOOKUP(A1575&amp;G1575,Lookup!J:K,2,0),"")</f>
        <v>0</v>
      </c>
      <c r="P1575" s="110" t="str">
        <f t="shared" si="100"/>
        <v/>
      </c>
      <c r="R1575" s="87" t="str">
        <f t="shared" si="101"/>
        <v/>
      </c>
      <c r="S1575" s="87" t="str">
        <f t="shared" si="102"/>
        <v/>
      </c>
    </row>
    <row r="1576" spans="2:19" x14ac:dyDescent="0.25">
      <c r="B1576" s="91" t="str">
        <f>IFERROR(VLOOKUP(A1576,Lookup!A:B,2,0),"")</f>
        <v/>
      </c>
      <c r="C1576" s="59" t="str">
        <f>IFERROR(VLOOKUP(A1576,Lookup!A:C,3,0),"")</f>
        <v/>
      </c>
      <c r="J1576" s="106">
        <f>VLOOKUP(A1576&amp;G1576,Lookup!J:N,5,0)</f>
        <v>0</v>
      </c>
      <c r="O1576" s="90">
        <f>IFERROR(VLOOKUP(A1576&amp;G1576,Lookup!J:K,2,0),"")</f>
        <v>0</v>
      </c>
      <c r="P1576" s="110" t="str">
        <f t="shared" si="100"/>
        <v/>
      </c>
      <c r="R1576" s="87" t="str">
        <f t="shared" si="101"/>
        <v/>
      </c>
      <c r="S1576" s="87" t="str">
        <f t="shared" si="102"/>
        <v/>
      </c>
    </row>
    <row r="1577" spans="2:19" x14ac:dyDescent="0.25">
      <c r="B1577" s="91" t="str">
        <f>IFERROR(VLOOKUP(A1577,Lookup!A:B,2,0),"")</f>
        <v/>
      </c>
      <c r="C1577" s="59" t="str">
        <f>IFERROR(VLOOKUP(A1577,Lookup!A:C,3,0),"")</f>
        <v/>
      </c>
      <c r="J1577" s="106">
        <f>VLOOKUP(A1577&amp;G1577,Lookup!J:N,5,0)</f>
        <v>0</v>
      </c>
      <c r="O1577" s="90">
        <f>IFERROR(VLOOKUP(A1577&amp;G1577,Lookup!J:K,2,0),"")</f>
        <v>0</v>
      </c>
      <c r="P1577" s="110" t="str">
        <f t="shared" si="100"/>
        <v/>
      </c>
      <c r="R1577" s="87" t="str">
        <f t="shared" si="101"/>
        <v/>
      </c>
      <c r="S1577" s="87" t="str">
        <f t="shared" si="102"/>
        <v/>
      </c>
    </row>
    <row r="1578" spans="2:19" x14ac:dyDescent="0.25">
      <c r="B1578" s="91" t="str">
        <f>IFERROR(VLOOKUP(A1578,Lookup!A:B,2,0),"")</f>
        <v/>
      </c>
      <c r="C1578" s="59" t="str">
        <f>IFERROR(VLOOKUP(A1578,Lookup!A:C,3,0),"")</f>
        <v/>
      </c>
      <c r="J1578" s="106">
        <f>VLOOKUP(A1578&amp;G1578,Lookup!J:N,5,0)</f>
        <v>0</v>
      </c>
      <c r="O1578" s="90">
        <f>IFERROR(VLOOKUP(A1578&amp;G1578,Lookup!J:K,2,0),"")</f>
        <v>0</v>
      </c>
      <c r="P1578" s="110" t="str">
        <f t="shared" si="100"/>
        <v/>
      </c>
      <c r="R1578" s="87" t="str">
        <f t="shared" si="101"/>
        <v/>
      </c>
      <c r="S1578" s="87" t="str">
        <f t="shared" si="102"/>
        <v/>
      </c>
    </row>
    <row r="1579" spans="2:19" x14ac:dyDescent="0.25">
      <c r="B1579" s="91" t="str">
        <f>IFERROR(VLOOKUP(A1579,Lookup!A:B,2,0),"")</f>
        <v/>
      </c>
      <c r="C1579" s="59" t="str">
        <f>IFERROR(VLOOKUP(A1579,Lookup!A:C,3,0),"")</f>
        <v/>
      </c>
      <c r="J1579" s="106">
        <f>VLOOKUP(A1579&amp;G1579,Lookup!J:N,5,0)</f>
        <v>0</v>
      </c>
      <c r="O1579" s="90">
        <f>IFERROR(VLOOKUP(A1579&amp;G1579,Lookup!J:K,2,0),"")</f>
        <v>0</v>
      </c>
      <c r="P1579" s="110" t="str">
        <f t="shared" si="100"/>
        <v/>
      </c>
      <c r="R1579" s="87" t="str">
        <f t="shared" si="101"/>
        <v/>
      </c>
      <c r="S1579" s="87" t="str">
        <f t="shared" si="102"/>
        <v/>
      </c>
    </row>
    <row r="1580" spans="2:19" x14ac:dyDescent="0.25">
      <c r="B1580" s="91" t="str">
        <f>IFERROR(VLOOKUP(A1580,Lookup!A:B,2,0),"")</f>
        <v/>
      </c>
      <c r="C1580" s="59" t="str">
        <f>IFERROR(VLOOKUP(A1580,Lookup!A:C,3,0),"")</f>
        <v/>
      </c>
      <c r="J1580" s="106">
        <f>VLOOKUP(A1580&amp;G1580,Lookup!J:N,5,0)</f>
        <v>0</v>
      </c>
      <c r="O1580" s="90">
        <f>IFERROR(VLOOKUP(A1580&amp;G1580,Lookup!J:K,2,0),"")</f>
        <v>0</v>
      </c>
      <c r="P1580" s="110" t="str">
        <f t="shared" si="100"/>
        <v/>
      </c>
      <c r="R1580" s="87" t="str">
        <f t="shared" si="101"/>
        <v/>
      </c>
      <c r="S1580" s="87" t="str">
        <f t="shared" si="102"/>
        <v/>
      </c>
    </row>
    <row r="1581" spans="2:19" x14ac:dyDescent="0.25">
      <c r="B1581" s="91" t="str">
        <f>IFERROR(VLOOKUP(A1581,Lookup!A:B,2,0),"")</f>
        <v/>
      </c>
      <c r="C1581" s="59" t="str">
        <f>IFERROR(VLOOKUP(A1581,Lookup!A:C,3,0),"")</f>
        <v/>
      </c>
      <c r="J1581" s="106">
        <f>VLOOKUP(A1581&amp;G1581,Lookup!J:N,5,0)</f>
        <v>0</v>
      </c>
      <c r="O1581" s="90">
        <f>IFERROR(VLOOKUP(A1581&amp;G1581,Lookup!J:K,2,0),"")</f>
        <v>0</v>
      </c>
      <c r="P1581" s="110" t="str">
        <f t="shared" si="100"/>
        <v/>
      </c>
      <c r="R1581" s="87" t="str">
        <f t="shared" si="101"/>
        <v/>
      </c>
      <c r="S1581" s="87" t="str">
        <f t="shared" si="102"/>
        <v/>
      </c>
    </row>
    <row r="1582" spans="2:19" x14ac:dyDescent="0.25">
      <c r="B1582" s="91" t="str">
        <f>IFERROR(VLOOKUP(A1582,Lookup!A:B,2,0),"")</f>
        <v/>
      </c>
      <c r="C1582" s="59" t="str">
        <f>IFERROR(VLOOKUP(A1582,Lookup!A:C,3,0),"")</f>
        <v/>
      </c>
      <c r="J1582" s="106">
        <f>VLOOKUP(A1582&amp;G1582,Lookup!J:N,5,0)</f>
        <v>0</v>
      </c>
      <c r="O1582" s="90">
        <f>IFERROR(VLOOKUP(A1582&amp;G1582,Lookup!J:K,2,0),"")</f>
        <v>0</v>
      </c>
      <c r="P1582" s="110" t="str">
        <f t="shared" si="100"/>
        <v/>
      </c>
      <c r="R1582" s="87" t="str">
        <f t="shared" si="101"/>
        <v/>
      </c>
      <c r="S1582" s="87" t="str">
        <f t="shared" si="102"/>
        <v/>
      </c>
    </row>
    <row r="1583" spans="2:19" x14ac:dyDescent="0.25">
      <c r="B1583" s="91" t="str">
        <f>IFERROR(VLOOKUP(A1583,Lookup!A:B,2,0),"")</f>
        <v/>
      </c>
      <c r="C1583" s="59" t="str">
        <f>IFERROR(VLOOKUP(A1583,Lookup!A:C,3,0),"")</f>
        <v/>
      </c>
      <c r="J1583" s="106">
        <f>VLOOKUP(A1583&amp;G1583,Lookup!J:N,5,0)</f>
        <v>0</v>
      </c>
      <c r="O1583" s="90">
        <f>IFERROR(VLOOKUP(A1583&amp;G1583,Lookup!J:K,2,0),"")</f>
        <v>0</v>
      </c>
      <c r="P1583" s="110" t="str">
        <f t="shared" si="100"/>
        <v/>
      </c>
      <c r="R1583" s="87" t="str">
        <f t="shared" si="101"/>
        <v/>
      </c>
      <c r="S1583" s="87" t="str">
        <f t="shared" si="102"/>
        <v/>
      </c>
    </row>
    <row r="1584" spans="2:19" x14ac:dyDescent="0.25">
      <c r="B1584" s="91" t="str">
        <f>IFERROR(VLOOKUP(A1584,Lookup!A:B,2,0),"")</f>
        <v/>
      </c>
      <c r="C1584" s="59" t="str">
        <f>IFERROR(VLOOKUP(A1584,Lookup!A:C,3,0),"")</f>
        <v/>
      </c>
      <c r="J1584" s="106">
        <f>VLOOKUP(A1584&amp;G1584,Lookup!J:N,5,0)</f>
        <v>0</v>
      </c>
      <c r="O1584" s="90">
        <f>IFERROR(VLOOKUP(A1584&amp;G1584,Lookup!J:K,2,0),"")</f>
        <v>0</v>
      </c>
      <c r="P1584" s="110" t="str">
        <f t="shared" si="100"/>
        <v/>
      </c>
      <c r="R1584" s="87" t="str">
        <f t="shared" si="101"/>
        <v/>
      </c>
      <c r="S1584" s="87" t="str">
        <f t="shared" si="102"/>
        <v/>
      </c>
    </row>
    <row r="1585" spans="2:19" x14ac:dyDescent="0.25">
      <c r="B1585" s="91" t="str">
        <f>IFERROR(VLOOKUP(A1585,Lookup!A:B,2,0),"")</f>
        <v/>
      </c>
      <c r="C1585" s="59" t="str">
        <f>IFERROR(VLOOKUP(A1585,Lookup!A:C,3,0),"")</f>
        <v/>
      </c>
      <c r="J1585" s="106">
        <f>VLOOKUP(A1585&amp;G1585,Lookup!J:N,5,0)</f>
        <v>0</v>
      </c>
      <c r="O1585" s="90">
        <f>IFERROR(VLOOKUP(A1585&amp;G1585,Lookup!J:K,2,0),"")</f>
        <v>0</v>
      </c>
      <c r="P1585" s="110" t="str">
        <f t="shared" si="100"/>
        <v/>
      </c>
      <c r="R1585" s="87" t="str">
        <f t="shared" si="101"/>
        <v/>
      </c>
      <c r="S1585" s="87" t="str">
        <f t="shared" si="102"/>
        <v/>
      </c>
    </row>
    <row r="1586" spans="2:19" x14ac:dyDescent="0.25">
      <c r="B1586" s="91" t="str">
        <f>IFERROR(VLOOKUP(A1586,Lookup!A:B,2,0),"")</f>
        <v/>
      </c>
      <c r="C1586" s="59" t="str">
        <f>IFERROR(VLOOKUP(A1586,Lookup!A:C,3,0),"")</f>
        <v/>
      </c>
      <c r="J1586" s="106">
        <f>VLOOKUP(A1586&amp;G1586,Lookup!J:N,5,0)</f>
        <v>0</v>
      </c>
      <c r="O1586" s="90">
        <f>IFERROR(VLOOKUP(A1586&amp;G1586,Lookup!J:K,2,0),"")</f>
        <v>0</v>
      </c>
      <c r="P1586" s="110" t="str">
        <f t="shared" si="100"/>
        <v/>
      </c>
      <c r="R1586" s="87" t="str">
        <f t="shared" si="101"/>
        <v/>
      </c>
      <c r="S1586" s="87" t="str">
        <f t="shared" si="102"/>
        <v/>
      </c>
    </row>
    <row r="1587" spans="2:19" x14ac:dyDescent="0.25">
      <c r="B1587" s="91" t="str">
        <f>IFERROR(VLOOKUP(A1587,Lookup!A:B,2,0),"")</f>
        <v/>
      </c>
      <c r="C1587" s="59" t="str">
        <f>IFERROR(VLOOKUP(A1587,Lookup!A:C,3,0),"")</f>
        <v/>
      </c>
      <c r="J1587" s="106">
        <f>VLOOKUP(A1587&amp;G1587,Lookup!J:N,5,0)</f>
        <v>0</v>
      </c>
      <c r="O1587" s="90">
        <f>IFERROR(VLOOKUP(A1587&amp;G1587,Lookup!J:K,2,0),"")</f>
        <v>0</v>
      </c>
      <c r="P1587" s="110" t="str">
        <f t="shared" si="100"/>
        <v/>
      </c>
      <c r="R1587" s="87" t="str">
        <f t="shared" si="101"/>
        <v/>
      </c>
      <c r="S1587" s="87" t="str">
        <f t="shared" si="102"/>
        <v/>
      </c>
    </row>
    <row r="1588" spans="2:19" x14ac:dyDescent="0.25">
      <c r="B1588" s="91" t="str">
        <f>IFERROR(VLOOKUP(A1588,Lookup!A:B,2,0),"")</f>
        <v/>
      </c>
      <c r="C1588" s="59" t="str">
        <f>IFERROR(VLOOKUP(A1588,Lookup!A:C,3,0),"")</f>
        <v/>
      </c>
      <c r="J1588" s="106">
        <f>VLOOKUP(A1588&amp;G1588,Lookup!J:N,5,0)</f>
        <v>0</v>
      </c>
      <c r="O1588" s="90">
        <f>IFERROR(VLOOKUP(A1588&amp;G1588,Lookup!J:K,2,0),"")</f>
        <v>0</v>
      </c>
      <c r="P1588" s="110" t="str">
        <f t="shared" si="100"/>
        <v/>
      </c>
      <c r="R1588" s="87" t="str">
        <f t="shared" si="101"/>
        <v/>
      </c>
      <c r="S1588" s="87" t="str">
        <f t="shared" si="102"/>
        <v/>
      </c>
    </row>
    <row r="1589" spans="2:19" x14ac:dyDescent="0.25">
      <c r="B1589" s="91" t="str">
        <f>IFERROR(VLOOKUP(A1589,Lookup!A:B,2,0),"")</f>
        <v/>
      </c>
      <c r="C1589" s="59" t="str">
        <f>IFERROR(VLOOKUP(A1589,Lookup!A:C,3,0),"")</f>
        <v/>
      </c>
      <c r="J1589" s="106">
        <f>VLOOKUP(A1589&amp;G1589,Lookup!J:N,5,0)</f>
        <v>0</v>
      </c>
      <c r="O1589" s="90">
        <f>IFERROR(VLOOKUP(A1589&amp;G1589,Lookup!J:K,2,0),"")</f>
        <v>0</v>
      </c>
      <c r="P1589" s="110" t="str">
        <f t="shared" si="100"/>
        <v/>
      </c>
      <c r="R1589" s="87" t="str">
        <f t="shared" si="101"/>
        <v/>
      </c>
      <c r="S1589" s="87" t="str">
        <f t="shared" si="102"/>
        <v/>
      </c>
    </row>
    <row r="1590" spans="2:19" x14ac:dyDescent="0.25">
      <c r="B1590" s="91" t="str">
        <f>IFERROR(VLOOKUP(A1590,Lookup!A:B,2,0),"")</f>
        <v/>
      </c>
      <c r="C1590" s="59" t="str">
        <f>IFERROR(VLOOKUP(A1590,Lookup!A:C,3,0),"")</f>
        <v/>
      </c>
      <c r="J1590" s="106">
        <f>VLOOKUP(A1590&amp;G1590,Lookup!J:N,5,0)</f>
        <v>0</v>
      </c>
      <c r="O1590" s="90">
        <f>IFERROR(VLOOKUP(A1590&amp;G1590,Lookup!J:K,2,0),"")</f>
        <v>0</v>
      </c>
      <c r="P1590" s="110" t="str">
        <f t="shared" si="100"/>
        <v/>
      </c>
      <c r="R1590" s="87" t="str">
        <f t="shared" si="101"/>
        <v/>
      </c>
      <c r="S1590" s="87" t="str">
        <f t="shared" si="102"/>
        <v/>
      </c>
    </row>
    <row r="1591" spans="2:19" x14ac:dyDescent="0.25">
      <c r="B1591" s="91" t="str">
        <f>IFERROR(VLOOKUP(A1591,Lookup!A:B,2,0),"")</f>
        <v/>
      </c>
      <c r="C1591" s="59" t="str">
        <f>IFERROR(VLOOKUP(A1591,Lookup!A:C,3,0),"")</f>
        <v/>
      </c>
      <c r="J1591" s="106">
        <f>VLOOKUP(A1591&amp;G1591,Lookup!J:N,5,0)</f>
        <v>0</v>
      </c>
      <c r="O1591" s="90">
        <f>IFERROR(VLOOKUP(A1591&amp;G1591,Lookup!J:K,2,0),"")</f>
        <v>0</v>
      </c>
      <c r="P1591" s="110" t="str">
        <f t="shared" si="100"/>
        <v/>
      </c>
      <c r="R1591" s="87" t="str">
        <f t="shared" si="101"/>
        <v/>
      </c>
      <c r="S1591" s="87" t="str">
        <f t="shared" si="102"/>
        <v/>
      </c>
    </row>
    <row r="1592" spans="2:19" x14ac:dyDescent="0.25">
      <c r="B1592" s="91" t="str">
        <f>IFERROR(VLOOKUP(A1592,Lookup!A:B,2,0),"")</f>
        <v/>
      </c>
      <c r="C1592" s="59" t="str">
        <f>IFERROR(VLOOKUP(A1592,Lookup!A:C,3,0),"")</f>
        <v/>
      </c>
      <c r="J1592" s="106">
        <f>VLOOKUP(A1592&amp;G1592,Lookup!J:N,5,0)</f>
        <v>0</v>
      </c>
      <c r="O1592" s="90">
        <f>IFERROR(VLOOKUP(A1592&amp;G1592,Lookup!J:K,2,0),"")</f>
        <v>0</v>
      </c>
      <c r="P1592" s="110" t="str">
        <f t="shared" si="100"/>
        <v/>
      </c>
      <c r="R1592" s="87" t="str">
        <f t="shared" si="101"/>
        <v/>
      </c>
      <c r="S1592" s="87" t="str">
        <f t="shared" si="102"/>
        <v/>
      </c>
    </row>
    <row r="1593" spans="2:19" x14ac:dyDescent="0.25">
      <c r="B1593" s="91" t="str">
        <f>IFERROR(VLOOKUP(A1593,Lookup!A:B,2,0),"")</f>
        <v/>
      </c>
      <c r="C1593" s="59" t="str">
        <f>IFERROR(VLOOKUP(A1593,Lookup!A:C,3,0),"")</f>
        <v/>
      </c>
      <c r="J1593" s="106">
        <f>VLOOKUP(A1593&amp;G1593,Lookup!J:N,5,0)</f>
        <v>0</v>
      </c>
      <c r="O1593" s="90">
        <f>IFERROR(VLOOKUP(A1593&amp;G1593,Lookup!J:K,2,0),"")</f>
        <v>0</v>
      </c>
      <c r="P1593" s="110" t="str">
        <f t="shared" si="100"/>
        <v/>
      </c>
      <c r="R1593" s="87" t="str">
        <f t="shared" si="101"/>
        <v/>
      </c>
      <c r="S1593" s="87" t="str">
        <f t="shared" si="102"/>
        <v/>
      </c>
    </row>
    <row r="1594" spans="2:19" x14ac:dyDescent="0.25">
      <c r="B1594" s="91" t="str">
        <f>IFERROR(VLOOKUP(A1594,Lookup!A:B,2,0),"")</f>
        <v/>
      </c>
      <c r="C1594" s="59" t="str">
        <f>IFERROR(VLOOKUP(A1594,Lookup!A:C,3,0),"")</f>
        <v/>
      </c>
      <c r="J1594" s="106">
        <f>VLOOKUP(A1594&amp;G1594,Lookup!J:N,5,0)</f>
        <v>0</v>
      </c>
      <c r="O1594" s="90">
        <f>IFERROR(VLOOKUP(A1594&amp;G1594,Lookup!J:K,2,0),"")</f>
        <v>0</v>
      </c>
      <c r="P1594" s="110" t="str">
        <f t="shared" si="100"/>
        <v/>
      </c>
      <c r="R1594" s="87" t="str">
        <f t="shared" si="101"/>
        <v/>
      </c>
      <c r="S1594" s="87" t="str">
        <f t="shared" si="102"/>
        <v/>
      </c>
    </row>
    <row r="1595" spans="2:19" x14ac:dyDescent="0.25">
      <c r="B1595" s="91" t="str">
        <f>IFERROR(VLOOKUP(A1595,Lookup!A:B,2,0),"")</f>
        <v/>
      </c>
      <c r="C1595" s="59" t="str">
        <f>IFERROR(VLOOKUP(A1595,Lookup!A:C,3,0),"")</f>
        <v/>
      </c>
      <c r="J1595" s="106">
        <f>VLOOKUP(A1595&amp;G1595,Lookup!J:N,5,0)</f>
        <v>0</v>
      </c>
      <c r="O1595" s="90">
        <f>IFERROR(VLOOKUP(A1595&amp;G1595,Lookup!J:K,2,0),"")</f>
        <v>0</v>
      </c>
      <c r="P1595" s="110" t="str">
        <f t="shared" si="100"/>
        <v/>
      </c>
      <c r="R1595" s="87" t="str">
        <f t="shared" si="101"/>
        <v/>
      </c>
      <c r="S1595" s="87" t="str">
        <f t="shared" si="102"/>
        <v/>
      </c>
    </row>
    <row r="1596" spans="2:19" x14ac:dyDescent="0.25">
      <c r="B1596" s="91" t="str">
        <f>IFERROR(VLOOKUP(A1596,Lookup!A:B,2,0),"")</f>
        <v/>
      </c>
      <c r="C1596" s="59" t="str">
        <f>IFERROR(VLOOKUP(A1596,Lookup!A:C,3,0),"")</f>
        <v/>
      </c>
      <c r="J1596" s="106">
        <f>VLOOKUP(A1596&amp;G1596,Lookup!J:N,5,0)</f>
        <v>0</v>
      </c>
      <c r="O1596" s="90">
        <f>IFERROR(VLOOKUP(A1596&amp;G1596,Lookup!J:K,2,0),"")</f>
        <v>0</v>
      </c>
      <c r="P1596" s="110" t="str">
        <f t="shared" si="100"/>
        <v/>
      </c>
      <c r="R1596" s="87" t="str">
        <f t="shared" si="101"/>
        <v/>
      </c>
      <c r="S1596" s="87" t="str">
        <f t="shared" si="102"/>
        <v/>
      </c>
    </row>
    <row r="1597" spans="2:19" x14ac:dyDescent="0.25">
      <c r="B1597" s="91" t="str">
        <f>IFERROR(VLOOKUP(A1597,Lookup!A:B,2,0),"")</f>
        <v/>
      </c>
      <c r="C1597" s="59" t="str">
        <f>IFERROR(VLOOKUP(A1597,Lookup!A:C,3,0),"")</f>
        <v/>
      </c>
      <c r="J1597" s="106">
        <f>VLOOKUP(A1597&amp;G1597,Lookup!J:N,5,0)</f>
        <v>0</v>
      </c>
      <c r="O1597" s="90">
        <f>IFERROR(VLOOKUP(A1597&amp;G1597,Lookup!J:K,2,0),"")</f>
        <v>0</v>
      </c>
      <c r="P1597" s="110" t="str">
        <f t="shared" si="100"/>
        <v/>
      </c>
      <c r="R1597" s="87" t="str">
        <f t="shared" si="101"/>
        <v/>
      </c>
      <c r="S1597" s="87" t="str">
        <f t="shared" si="102"/>
        <v/>
      </c>
    </row>
    <row r="1598" spans="2:19" x14ac:dyDescent="0.25">
      <c r="B1598" s="91" t="str">
        <f>IFERROR(VLOOKUP(A1598,Lookup!A:B,2,0),"")</f>
        <v/>
      </c>
      <c r="C1598" s="59" t="str">
        <f>IFERROR(VLOOKUP(A1598,Lookup!A:C,3,0),"")</f>
        <v/>
      </c>
      <c r="J1598" s="106">
        <f>VLOOKUP(A1598&amp;G1598,Lookup!J:N,5,0)</f>
        <v>0</v>
      </c>
      <c r="O1598" s="90">
        <f>IFERROR(VLOOKUP(A1598&amp;G1598,Lookup!J:K,2,0),"")</f>
        <v>0</v>
      </c>
      <c r="P1598" s="110" t="str">
        <f t="shared" si="100"/>
        <v/>
      </c>
      <c r="R1598" s="87" t="str">
        <f t="shared" si="101"/>
        <v/>
      </c>
      <c r="S1598" s="87" t="str">
        <f t="shared" si="102"/>
        <v/>
      </c>
    </row>
    <row r="1599" spans="2:19" x14ac:dyDescent="0.25">
      <c r="B1599" s="91" t="str">
        <f>IFERROR(VLOOKUP(A1599,Lookup!A:B,2,0),"")</f>
        <v/>
      </c>
      <c r="C1599" s="59" t="str">
        <f>IFERROR(VLOOKUP(A1599,Lookup!A:C,3,0),"")</f>
        <v/>
      </c>
      <c r="J1599" s="106">
        <f>VLOOKUP(A1599&amp;G1599,Lookup!J:N,5,0)</f>
        <v>0</v>
      </c>
      <c r="O1599" s="90">
        <f>IFERROR(VLOOKUP(A1599&amp;G1599,Lookup!J:K,2,0),"")</f>
        <v>0</v>
      </c>
      <c r="P1599" s="110" t="str">
        <f t="shared" si="100"/>
        <v/>
      </c>
      <c r="R1599" s="87" t="str">
        <f t="shared" si="101"/>
        <v/>
      </c>
      <c r="S1599" s="87" t="str">
        <f t="shared" si="102"/>
        <v/>
      </c>
    </row>
    <row r="1600" spans="2:19" x14ac:dyDescent="0.25">
      <c r="B1600" s="91" t="str">
        <f>IFERROR(VLOOKUP(A1600,Lookup!A:B,2,0),"")</f>
        <v/>
      </c>
      <c r="C1600" s="59" t="str">
        <f>IFERROR(VLOOKUP(A1600,Lookup!A:C,3,0),"")</f>
        <v/>
      </c>
      <c r="J1600" s="106">
        <f>VLOOKUP(A1600&amp;G1600,Lookup!J:N,5,0)</f>
        <v>0</v>
      </c>
      <c r="O1600" s="90">
        <f>IFERROR(VLOOKUP(A1600&amp;G1600,Lookup!J:K,2,0),"")</f>
        <v>0</v>
      </c>
      <c r="P1600" s="110" t="str">
        <f t="shared" si="100"/>
        <v/>
      </c>
      <c r="R1600" s="87" t="str">
        <f t="shared" si="101"/>
        <v/>
      </c>
      <c r="S1600" s="87" t="str">
        <f t="shared" si="102"/>
        <v/>
      </c>
    </row>
    <row r="1601" spans="2:19" x14ac:dyDescent="0.25">
      <c r="B1601" s="91" t="str">
        <f>IFERROR(VLOOKUP(A1601,Lookup!A:B,2,0),"")</f>
        <v/>
      </c>
      <c r="C1601" s="59" t="str">
        <f>IFERROR(VLOOKUP(A1601,Lookup!A:C,3,0),"")</f>
        <v/>
      </c>
      <c r="J1601" s="106">
        <f>VLOOKUP(A1601&amp;G1601,Lookup!J:N,5,0)</f>
        <v>0</v>
      </c>
      <c r="O1601" s="90">
        <f>IFERROR(VLOOKUP(A1601&amp;G1601,Lookup!J:K,2,0),"")</f>
        <v>0</v>
      </c>
      <c r="P1601" s="110" t="str">
        <f t="shared" si="100"/>
        <v/>
      </c>
      <c r="R1601" s="87" t="str">
        <f t="shared" si="101"/>
        <v/>
      </c>
      <c r="S1601" s="87" t="str">
        <f t="shared" si="102"/>
        <v/>
      </c>
    </row>
    <row r="1602" spans="2:19" x14ac:dyDescent="0.25">
      <c r="B1602" s="91" t="str">
        <f>IFERROR(VLOOKUP(A1602,Lookup!A:B,2,0),"")</f>
        <v/>
      </c>
      <c r="C1602" s="59" t="str">
        <f>IFERROR(VLOOKUP(A1602,Lookup!A:C,3,0),"")</f>
        <v/>
      </c>
      <c r="J1602" s="106">
        <f>VLOOKUP(A1602&amp;G1602,Lookup!J:N,5,0)</f>
        <v>0</v>
      </c>
      <c r="O1602" s="90">
        <f>IFERROR(VLOOKUP(A1602&amp;G1602,Lookup!J:K,2,0),"")</f>
        <v>0</v>
      </c>
      <c r="P1602" s="110" t="str">
        <f t="shared" ref="P1602:P1665" si="103">IF(N1602="","",N1602+O1602)</f>
        <v/>
      </c>
      <c r="R1602" s="87" t="str">
        <f t="shared" si="101"/>
        <v/>
      </c>
      <c r="S1602" s="87" t="str">
        <f t="shared" si="102"/>
        <v/>
      </c>
    </row>
    <row r="1603" spans="2:19" x14ac:dyDescent="0.25">
      <c r="B1603" s="91" t="str">
        <f>IFERROR(VLOOKUP(A1603,Lookup!A:B,2,0),"")</f>
        <v/>
      </c>
      <c r="C1603" s="59" t="str">
        <f>IFERROR(VLOOKUP(A1603,Lookup!A:C,3,0),"")</f>
        <v/>
      </c>
      <c r="J1603" s="106">
        <f>VLOOKUP(A1603&amp;G1603,Lookup!J:N,5,0)</f>
        <v>0</v>
      </c>
      <c r="O1603" s="90">
        <f>IFERROR(VLOOKUP(A1603&amp;G1603,Lookup!J:K,2,0),"")</f>
        <v>0</v>
      </c>
      <c r="P1603" s="110" t="str">
        <f t="shared" si="103"/>
        <v/>
      </c>
      <c r="R1603" s="87" t="str">
        <f t="shared" ref="R1603:R1666" si="104">IF(OR(EXACT(N1603,""), EXACT(L1603,"")),"",N1603-L1603)</f>
        <v/>
      </c>
      <c r="S1603" s="87" t="str">
        <f t="shared" si="102"/>
        <v/>
      </c>
    </row>
    <row r="1604" spans="2:19" x14ac:dyDescent="0.25">
      <c r="B1604" s="91" t="str">
        <f>IFERROR(VLOOKUP(A1604,Lookup!A:B,2,0),"")</f>
        <v/>
      </c>
      <c r="C1604" s="59" t="str">
        <f>IFERROR(VLOOKUP(A1604,Lookup!A:C,3,0),"")</f>
        <v/>
      </c>
      <c r="J1604" s="106">
        <f>VLOOKUP(A1604&amp;G1604,Lookup!J:N,5,0)</f>
        <v>0</v>
      </c>
      <c r="O1604" s="90">
        <f>IFERROR(VLOOKUP(A1604&amp;G1604,Lookup!J:K,2,0),"")</f>
        <v>0</v>
      </c>
      <c r="P1604" s="110" t="str">
        <f t="shared" si="103"/>
        <v/>
      </c>
      <c r="R1604" s="87" t="str">
        <f t="shared" si="104"/>
        <v/>
      </c>
      <c r="S1604" s="87" t="str">
        <f t="shared" ref="S1604:S1667" si="105">IF(OR(EXACT(Q1604,""), EXACT(L1604,"")),"",Q1604-L1604)</f>
        <v/>
      </c>
    </row>
    <row r="1605" spans="2:19" x14ac:dyDescent="0.25">
      <c r="B1605" s="91" t="str">
        <f>IFERROR(VLOOKUP(A1605,Lookup!A:B,2,0),"")</f>
        <v/>
      </c>
      <c r="C1605" s="59" t="str">
        <f>IFERROR(VLOOKUP(A1605,Lookup!A:C,3,0),"")</f>
        <v/>
      </c>
      <c r="J1605" s="106">
        <f>VLOOKUP(A1605&amp;G1605,Lookup!J:N,5,0)</f>
        <v>0</v>
      </c>
      <c r="O1605" s="90">
        <f>IFERROR(VLOOKUP(A1605&amp;G1605,Lookup!J:K,2,0),"")</f>
        <v>0</v>
      </c>
      <c r="P1605" s="110" t="str">
        <f t="shared" si="103"/>
        <v/>
      </c>
      <c r="R1605" s="87" t="str">
        <f t="shared" si="104"/>
        <v/>
      </c>
      <c r="S1605" s="87" t="str">
        <f t="shared" si="105"/>
        <v/>
      </c>
    </row>
    <row r="1606" spans="2:19" x14ac:dyDescent="0.25">
      <c r="B1606" s="91" t="str">
        <f>IFERROR(VLOOKUP(A1606,Lookup!A:B,2,0),"")</f>
        <v/>
      </c>
      <c r="C1606" s="59" t="str">
        <f>IFERROR(VLOOKUP(A1606,Lookup!A:C,3,0),"")</f>
        <v/>
      </c>
      <c r="J1606" s="106">
        <f>VLOOKUP(A1606&amp;G1606,Lookup!J:N,5,0)</f>
        <v>0</v>
      </c>
      <c r="O1606" s="90">
        <f>IFERROR(VLOOKUP(A1606&amp;G1606,Lookup!J:K,2,0),"")</f>
        <v>0</v>
      </c>
      <c r="P1606" s="110" t="str">
        <f t="shared" si="103"/>
        <v/>
      </c>
      <c r="R1606" s="87" t="str">
        <f t="shared" si="104"/>
        <v/>
      </c>
      <c r="S1606" s="87" t="str">
        <f t="shared" si="105"/>
        <v/>
      </c>
    </row>
    <row r="1607" spans="2:19" x14ac:dyDescent="0.25">
      <c r="B1607" s="91" t="str">
        <f>IFERROR(VLOOKUP(A1607,Lookup!A:B,2,0),"")</f>
        <v/>
      </c>
      <c r="C1607" s="59" t="str">
        <f>IFERROR(VLOOKUP(A1607,Lookup!A:C,3,0),"")</f>
        <v/>
      </c>
      <c r="J1607" s="106">
        <f>VLOOKUP(A1607&amp;G1607,Lookup!J:N,5,0)</f>
        <v>0</v>
      </c>
      <c r="O1607" s="90">
        <f>IFERROR(VLOOKUP(A1607&amp;G1607,Lookup!J:K,2,0),"")</f>
        <v>0</v>
      </c>
      <c r="P1607" s="110" t="str">
        <f t="shared" si="103"/>
        <v/>
      </c>
      <c r="R1607" s="87" t="str">
        <f t="shared" si="104"/>
        <v/>
      </c>
      <c r="S1607" s="87" t="str">
        <f t="shared" si="105"/>
        <v/>
      </c>
    </row>
    <row r="1608" spans="2:19" x14ac:dyDescent="0.25">
      <c r="B1608" s="91" t="str">
        <f>IFERROR(VLOOKUP(A1608,Lookup!A:B,2,0),"")</f>
        <v/>
      </c>
      <c r="C1608" s="59" t="str">
        <f>IFERROR(VLOOKUP(A1608,Lookup!A:C,3,0),"")</f>
        <v/>
      </c>
      <c r="J1608" s="106">
        <f>VLOOKUP(A1608&amp;G1608,Lookup!J:N,5,0)</f>
        <v>0</v>
      </c>
      <c r="O1608" s="90">
        <f>IFERROR(VLOOKUP(A1608&amp;G1608,Lookup!J:K,2,0),"")</f>
        <v>0</v>
      </c>
      <c r="P1608" s="110" t="str">
        <f t="shared" si="103"/>
        <v/>
      </c>
      <c r="R1608" s="87" t="str">
        <f t="shared" si="104"/>
        <v/>
      </c>
      <c r="S1608" s="87" t="str">
        <f t="shared" si="105"/>
        <v/>
      </c>
    </row>
    <row r="1609" spans="2:19" x14ac:dyDescent="0.25">
      <c r="B1609" s="91" t="str">
        <f>IFERROR(VLOOKUP(A1609,Lookup!A:B,2,0),"")</f>
        <v/>
      </c>
      <c r="C1609" s="59" t="str">
        <f>IFERROR(VLOOKUP(A1609,Lookup!A:C,3,0),"")</f>
        <v/>
      </c>
      <c r="J1609" s="106">
        <f>VLOOKUP(A1609&amp;G1609,Lookup!J:N,5,0)</f>
        <v>0</v>
      </c>
      <c r="O1609" s="90">
        <f>IFERROR(VLOOKUP(A1609&amp;G1609,Lookup!J:K,2,0),"")</f>
        <v>0</v>
      </c>
      <c r="P1609" s="110" t="str">
        <f t="shared" si="103"/>
        <v/>
      </c>
      <c r="R1609" s="87" t="str">
        <f t="shared" si="104"/>
        <v/>
      </c>
      <c r="S1609" s="87" t="str">
        <f t="shared" si="105"/>
        <v/>
      </c>
    </row>
    <row r="1610" spans="2:19" x14ac:dyDescent="0.25">
      <c r="B1610" s="91" t="str">
        <f>IFERROR(VLOOKUP(A1610,Lookup!A:B,2,0),"")</f>
        <v/>
      </c>
      <c r="C1610" s="59" t="str">
        <f>IFERROR(VLOOKUP(A1610,Lookup!A:C,3,0),"")</f>
        <v/>
      </c>
      <c r="J1610" s="106">
        <f>VLOOKUP(A1610&amp;G1610,Lookup!J:N,5,0)</f>
        <v>0</v>
      </c>
      <c r="O1610" s="90">
        <f>IFERROR(VLOOKUP(A1610&amp;G1610,Lookup!J:K,2,0),"")</f>
        <v>0</v>
      </c>
      <c r="P1610" s="110" t="str">
        <f t="shared" si="103"/>
        <v/>
      </c>
      <c r="R1610" s="87" t="str">
        <f t="shared" si="104"/>
        <v/>
      </c>
      <c r="S1610" s="87" t="str">
        <f t="shared" si="105"/>
        <v/>
      </c>
    </row>
    <row r="1611" spans="2:19" x14ac:dyDescent="0.25">
      <c r="B1611" s="91" t="str">
        <f>IFERROR(VLOOKUP(A1611,Lookup!A:B,2,0),"")</f>
        <v/>
      </c>
      <c r="C1611" s="59" t="str">
        <f>IFERROR(VLOOKUP(A1611,Lookup!A:C,3,0),"")</f>
        <v/>
      </c>
      <c r="J1611" s="106">
        <f>VLOOKUP(A1611&amp;G1611,Lookup!J:N,5,0)</f>
        <v>0</v>
      </c>
      <c r="O1611" s="90">
        <f>IFERROR(VLOOKUP(A1611&amp;G1611,Lookup!J:K,2,0),"")</f>
        <v>0</v>
      </c>
      <c r="P1611" s="110" t="str">
        <f t="shared" si="103"/>
        <v/>
      </c>
      <c r="R1611" s="87" t="str">
        <f t="shared" si="104"/>
        <v/>
      </c>
      <c r="S1611" s="87" t="str">
        <f t="shared" si="105"/>
        <v/>
      </c>
    </row>
    <row r="1612" spans="2:19" x14ac:dyDescent="0.25">
      <c r="B1612" s="91" t="str">
        <f>IFERROR(VLOOKUP(A1612,Lookup!A:B,2,0),"")</f>
        <v/>
      </c>
      <c r="C1612" s="59" t="str">
        <f>IFERROR(VLOOKUP(A1612,Lookup!A:C,3,0),"")</f>
        <v/>
      </c>
      <c r="J1612" s="106">
        <f>VLOOKUP(A1612&amp;G1612,Lookup!J:N,5,0)</f>
        <v>0</v>
      </c>
      <c r="O1612" s="90">
        <f>IFERROR(VLOOKUP(A1612&amp;G1612,Lookup!J:K,2,0),"")</f>
        <v>0</v>
      </c>
      <c r="P1612" s="110" t="str">
        <f t="shared" si="103"/>
        <v/>
      </c>
      <c r="R1612" s="87" t="str">
        <f t="shared" si="104"/>
        <v/>
      </c>
      <c r="S1612" s="87" t="str">
        <f t="shared" si="105"/>
        <v/>
      </c>
    </row>
    <row r="1613" spans="2:19" x14ac:dyDescent="0.25">
      <c r="B1613" s="91" t="str">
        <f>IFERROR(VLOOKUP(A1613,Lookup!A:B,2,0),"")</f>
        <v/>
      </c>
      <c r="C1613" s="59" t="str">
        <f>IFERROR(VLOOKUP(A1613,Lookup!A:C,3,0),"")</f>
        <v/>
      </c>
      <c r="J1613" s="106">
        <f>VLOOKUP(A1613&amp;G1613,Lookup!J:N,5,0)</f>
        <v>0</v>
      </c>
      <c r="O1613" s="90">
        <f>IFERROR(VLOOKUP(A1613&amp;G1613,Lookup!J:K,2,0),"")</f>
        <v>0</v>
      </c>
      <c r="P1613" s="110" t="str">
        <f t="shared" si="103"/>
        <v/>
      </c>
      <c r="R1613" s="87" t="str">
        <f t="shared" si="104"/>
        <v/>
      </c>
      <c r="S1613" s="87" t="str">
        <f t="shared" si="105"/>
        <v/>
      </c>
    </row>
    <row r="1614" spans="2:19" x14ac:dyDescent="0.25">
      <c r="B1614" s="91" t="str">
        <f>IFERROR(VLOOKUP(A1614,Lookup!A:B,2,0),"")</f>
        <v/>
      </c>
      <c r="C1614" s="59" t="str">
        <f>IFERROR(VLOOKUP(A1614,Lookup!A:C,3,0),"")</f>
        <v/>
      </c>
      <c r="J1614" s="106">
        <f>VLOOKUP(A1614&amp;G1614,Lookup!J:N,5,0)</f>
        <v>0</v>
      </c>
      <c r="O1614" s="90">
        <f>IFERROR(VLOOKUP(A1614&amp;G1614,Lookup!J:K,2,0),"")</f>
        <v>0</v>
      </c>
      <c r="P1614" s="110" t="str">
        <f t="shared" si="103"/>
        <v/>
      </c>
      <c r="R1614" s="87" t="str">
        <f t="shared" si="104"/>
        <v/>
      </c>
      <c r="S1614" s="87" t="str">
        <f t="shared" si="105"/>
        <v/>
      </c>
    </row>
    <row r="1615" spans="2:19" x14ac:dyDescent="0.25">
      <c r="B1615" s="91" t="str">
        <f>IFERROR(VLOOKUP(A1615,Lookup!A:B,2,0),"")</f>
        <v/>
      </c>
      <c r="C1615" s="59" t="str">
        <f>IFERROR(VLOOKUP(A1615,Lookup!A:C,3,0),"")</f>
        <v/>
      </c>
      <c r="J1615" s="106">
        <f>VLOOKUP(A1615&amp;G1615,Lookup!J:N,5,0)</f>
        <v>0</v>
      </c>
      <c r="O1615" s="90">
        <f>IFERROR(VLOOKUP(A1615&amp;G1615,Lookup!J:K,2,0),"")</f>
        <v>0</v>
      </c>
      <c r="P1615" s="110" t="str">
        <f t="shared" si="103"/>
        <v/>
      </c>
      <c r="R1615" s="87" t="str">
        <f t="shared" si="104"/>
        <v/>
      </c>
      <c r="S1615" s="87" t="str">
        <f t="shared" si="105"/>
        <v/>
      </c>
    </row>
    <row r="1616" spans="2:19" x14ac:dyDescent="0.25">
      <c r="B1616" s="91" t="str">
        <f>IFERROR(VLOOKUP(A1616,Lookup!A:B,2,0),"")</f>
        <v/>
      </c>
      <c r="C1616" s="59" t="str">
        <f>IFERROR(VLOOKUP(A1616,Lookup!A:C,3,0),"")</f>
        <v/>
      </c>
      <c r="J1616" s="106">
        <f>VLOOKUP(A1616&amp;G1616,Lookup!J:N,5,0)</f>
        <v>0</v>
      </c>
      <c r="O1616" s="90">
        <f>IFERROR(VLOOKUP(A1616&amp;G1616,Lookup!J:K,2,0),"")</f>
        <v>0</v>
      </c>
      <c r="P1616" s="110" t="str">
        <f t="shared" si="103"/>
        <v/>
      </c>
      <c r="R1616" s="87" t="str">
        <f t="shared" si="104"/>
        <v/>
      </c>
      <c r="S1616" s="87" t="str">
        <f t="shared" si="105"/>
        <v/>
      </c>
    </row>
    <row r="1617" spans="2:19" x14ac:dyDescent="0.25">
      <c r="B1617" s="91" t="str">
        <f>IFERROR(VLOOKUP(A1617,Lookup!A:B,2,0),"")</f>
        <v/>
      </c>
      <c r="C1617" s="59" t="str">
        <f>IFERROR(VLOOKUP(A1617,Lookup!A:C,3,0),"")</f>
        <v/>
      </c>
      <c r="J1617" s="106">
        <f>VLOOKUP(A1617&amp;G1617,Lookup!J:N,5,0)</f>
        <v>0</v>
      </c>
      <c r="O1617" s="90">
        <f>IFERROR(VLOOKUP(A1617&amp;G1617,Lookup!J:K,2,0),"")</f>
        <v>0</v>
      </c>
      <c r="P1617" s="110" t="str">
        <f t="shared" si="103"/>
        <v/>
      </c>
      <c r="R1617" s="87" t="str">
        <f t="shared" si="104"/>
        <v/>
      </c>
      <c r="S1617" s="87" t="str">
        <f t="shared" si="105"/>
        <v/>
      </c>
    </row>
    <row r="1618" spans="2:19" x14ac:dyDescent="0.25">
      <c r="B1618" s="91" t="str">
        <f>IFERROR(VLOOKUP(A1618,Lookup!A:B,2,0),"")</f>
        <v/>
      </c>
      <c r="C1618" s="59" t="str">
        <f>IFERROR(VLOOKUP(A1618,Lookup!A:C,3,0),"")</f>
        <v/>
      </c>
      <c r="J1618" s="106">
        <f>VLOOKUP(A1618&amp;G1618,Lookup!J:N,5,0)</f>
        <v>0</v>
      </c>
      <c r="O1618" s="90">
        <f>IFERROR(VLOOKUP(A1618&amp;G1618,Lookup!J:K,2,0),"")</f>
        <v>0</v>
      </c>
      <c r="P1618" s="110" t="str">
        <f t="shared" si="103"/>
        <v/>
      </c>
      <c r="R1618" s="87" t="str">
        <f t="shared" si="104"/>
        <v/>
      </c>
      <c r="S1618" s="87" t="str">
        <f t="shared" si="105"/>
        <v/>
      </c>
    </row>
    <row r="1619" spans="2:19" x14ac:dyDescent="0.25">
      <c r="B1619" s="91" t="str">
        <f>IFERROR(VLOOKUP(A1619,Lookup!A:B,2,0),"")</f>
        <v/>
      </c>
      <c r="C1619" s="59" t="str">
        <f>IFERROR(VLOOKUP(A1619,Lookup!A:C,3,0),"")</f>
        <v/>
      </c>
      <c r="J1619" s="106">
        <f>VLOOKUP(A1619&amp;G1619,Lookup!J:N,5,0)</f>
        <v>0</v>
      </c>
      <c r="O1619" s="90">
        <f>IFERROR(VLOOKUP(A1619&amp;G1619,Lookup!J:K,2,0),"")</f>
        <v>0</v>
      </c>
      <c r="P1619" s="110" t="str">
        <f t="shared" si="103"/>
        <v/>
      </c>
      <c r="R1619" s="87" t="str">
        <f t="shared" si="104"/>
        <v/>
      </c>
      <c r="S1619" s="87" t="str">
        <f t="shared" si="105"/>
        <v/>
      </c>
    </row>
    <row r="1620" spans="2:19" x14ac:dyDescent="0.25">
      <c r="B1620" s="91" t="str">
        <f>IFERROR(VLOOKUP(A1620,Lookup!A:B,2,0),"")</f>
        <v/>
      </c>
      <c r="C1620" s="59" t="str">
        <f>IFERROR(VLOOKUP(A1620,Lookup!A:C,3,0),"")</f>
        <v/>
      </c>
      <c r="J1620" s="106">
        <f>VLOOKUP(A1620&amp;G1620,Lookup!J:N,5,0)</f>
        <v>0</v>
      </c>
      <c r="O1620" s="90">
        <f>IFERROR(VLOOKUP(A1620&amp;G1620,Lookup!J:K,2,0),"")</f>
        <v>0</v>
      </c>
      <c r="P1620" s="110" t="str">
        <f t="shared" si="103"/>
        <v/>
      </c>
      <c r="R1620" s="87" t="str">
        <f t="shared" si="104"/>
        <v/>
      </c>
      <c r="S1620" s="87" t="str">
        <f t="shared" si="105"/>
        <v/>
      </c>
    </row>
    <row r="1621" spans="2:19" x14ac:dyDescent="0.25">
      <c r="B1621" s="91" t="str">
        <f>IFERROR(VLOOKUP(A1621,Lookup!A:B,2,0),"")</f>
        <v/>
      </c>
      <c r="C1621" s="59" t="str">
        <f>IFERROR(VLOOKUP(A1621,Lookup!A:C,3,0),"")</f>
        <v/>
      </c>
      <c r="J1621" s="106">
        <f>VLOOKUP(A1621&amp;G1621,Lookup!J:N,5,0)</f>
        <v>0</v>
      </c>
      <c r="O1621" s="90">
        <f>IFERROR(VLOOKUP(A1621&amp;G1621,Lookup!J:K,2,0),"")</f>
        <v>0</v>
      </c>
      <c r="P1621" s="110" t="str">
        <f t="shared" si="103"/>
        <v/>
      </c>
      <c r="R1621" s="87" t="str">
        <f t="shared" si="104"/>
        <v/>
      </c>
      <c r="S1621" s="87" t="str">
        <f t="shared" si="105"/>
        <v/>
      </c>
    </row>
    <row r="1622" spans="2:19" x14ac:dyDescent="0.25">
      <c r="B1622" s="91" t="str">
        <f>IFERROR(VLOOKUP(A1622,Lookup!A:B,2,0),"")</f>
        <v/>
      </c>
      <c r="C1622" s="59" t="str">
        <f>IFERROR(VLOOKUP(A1622,Lookup!A:C,3,0),"")</f>
        <v/>
      </c>
      <c r="J1622" s="106">
        <f>VLOOKUP(A1622&amp;G1622,Lookup!J:N,5,0)</f>
        <v>0</v>
      </c>
      <c r="O1622" s="90">
        <f>IFERROR(VLOOKUP(A1622&amp;G1622,Lookup!J:K,2,0),"")</f>
        <v>0</v>
      </c>
      <c r="P1622" s="110" t="str">
        <f t="shared" si="103"/>
        <v/>
      </c>
      <c r="R1622" s="87" t="str">
        <f t="shared" si="104"/>
        <v/>
      </c>
      <c r="S1622" s="87" t="str">
        <f t="shared" si="105"/>
        <v/>
      </c>
    </row>
    <row r="1623" spans="2:19" x14ac:dyDescent="0.25">
      <c r="B1623" s="91" t="str">
        <f>IFERROR(VLOOKUP(A1623,Lookup!A:B,2,0),"")</f>
        <v/>
      </c>
      <c r="C1623" s="59" t="str">
        <f>IFERROR(VLOOKUP(A1623,Lookup!A:C,3,0),"")</f>
        <v/>
      </c>
      <c r="J1623" s="106">
        <f>VLOOKUP(A1623&amp;G1623,Lookup!J:N,5,0)</f>
        <v>0</v>
      </c>
      <c r="O1623" s="90">
        <f>IFERROR(VLOOKUP(A1623&amp;G1623,Lookup!J:K,2,0),"")</f>
        <v>0</v>
      </c>
      <c r="P1623" s="110" t="str">
        <f t="shared" si="103"/>
        <v/>
      </c>
      <c r="R1623" s="87" t="str">
        <f t="shared" si="104"/>
        <v/>
      </c>
      <c r="S1623" s="87" t="str">
        <f t="shared" si="105"/>
        <v/>
      </c>
    </row>
    <row r="1624" spans="2:19" x14ac:dyDescent="0.25">
      <c r="B1624" s="91" t="str">
        <f>IFERROR(VLOOKUP(A1624,Lookup!A:B,2,0),"")</f>
        <v/>
      </c>
      <c r="C1624" s="59" t="str">
        <f>IFERROR(VLOOKUP(A1624,Lookup!A:C,3,0),"")</f>
        <v/>
      </c>
      <c r="J1624" s="106">
        <f>VLOOKUP(A1624&amp;G1624,Lookup!J:N,5,0)</f>
        <v>0</v>
      </c>
      <c r="O1624" s="90">
        <f>IFERROR(VLOOKUP(A1624&amp;G1624,Lookup!J:K,2,0),"")</f>
        <v>0</v>
      </c>
      <c r="P1624" s="110" t="str">
        <f t="shared" si="103"/>
        <v/>
      </c>
      <c r="R1624" s="87" t="str">
        <f t="shared" si="104"/>
        <v/>
      </c>
      <c r="S1624" s="87" t="str">
        <f t="shared" si="105"/>
        <v/>
      </c>
    </row>
    <row r="1625" spans="2:19" x14ac:dyDescent="0.25">
      <c r="B1625" s="91" t="str">
        <f>IFERROR(VLOOKUP(A1625,Lookup!A:B,2,0),"")</f>
        <v/>
      </c>
      <c r="C1625" s="59" t="str">
        <f>IFERROR(VLOOKUP(A1625,Lookup!A:C,3,0),"")</f>
        <v/>
      </c>
      <c r="J1625" s="106">
        <f>VLOOKUP(A1625&amp;G1625,Lookup!J:N,5,0)</f>
        <v>0</v>
      </c>
      <c r="O1625" s="90">
        <f>IFERROR(VLOOKUP(A1625&amp;G1625,Lookup!J:K,2,0),"")</f>
        <v>0</v>
      </c>
      <c r="P1625" s="110" t="str">
        <f t="shared" si="103"/>
        <v/>
      </c>
      <c r="R1625" s="87" t="str">
        <f t="shared" si="104"/>
        <v/>
      </c>
      <c r="S1625" s="87" t="str">
        <f t="shared" si="105"/>
        <v/>
      </c>
    </row>
    <row r="1626" spans="2:19" x14ac:dyDescent="0.25">
      <c r="B1626" s="91" t="str">
        <f>IFERROR(VLOOKUP(A1626,Lookup!A:B,2,0),"")</f>
        <v/>
      </c>
      <c r="C1626" s="59" t="str">
        <f>IFERROR(VLOOKUP(A1626,Lookup!A:C,3,0),"")</f>
        <v/>
      </c>
      <c r="J1626" s="106">
        <f>VLOOKUP(A1626&amp;G1626,Lookup!J:N,5,0)</f>
        <v>0</v>
      </c>
      <c r="O1626" s="90">
        <f>IFERROR(VLOOKUP(A1626&amp;G1626,Lookup!J:K,2,0),"")</f>
        <v>0</v>
      </c>
      <c r="P1626" s="110" t="str">
        <f t="shared" si="103"/>
        <v/>
      </c>
      <c r="R1626" s="87" t="str">
        <f t="shared" si="104"/>
        <v/>
      </c>
      <c r="S1626" s="87" t="str">
        <f t="shared" si="105"/>
        <v/>
      </c>
    </row>
    <row r="1627" spans="2:19" x14ac:dyDescent="0.25">
      <c r="B1627" s="91" t="str">
        <f>IFERROR(VLOOKUP(A1627,Lookup!A:B,2,0),"")</f>
        <v/>
      </c>
      <c r="C1627" s="59" t="str">
        <f>IFERROR(VLOOKUP(A1627,Lookup!A:C,3,0),"")</f>
        <v/>
      </c>
      <c r="J1627" s="106">
        <f>VLOOKUP(A1627&amp;G1627,Lookup!J:N,5,0)</f>
        <v>0</v>
      </c>
      <c r="O1627" s="90">
        <f>IFERROR(VLOOKUP(A1627&amp;G1627,Lookup!J:K,2,0),"")</f>
        <v>0</v>
      </c>
      <c r="P1627" s="110" t="str">
        <f t="shared" si="103"/>
        <v/>
      </c>
      <c r="R1627" s="87" t="str">
        <f t="shared" si="104"/>
        <v/>
      </c>
      <c r="S1627" s="87" t="str">
        <f t="shared" si="105"/>
        <v/>
      </c>
    </row>
    <row r="1628" spans="2:19" x14ac:dyDescent="0.25">
      <c r="B1628" s="91" t="str">
        <f>IFERROR(VLOOKUP(A1628,Lookup!A:B,2,0),"")</f>
        <v/>
      </c>
      <c r="C1628" s="59" t="str">
        <f>IFERROR(VLOOKUP(A1628,Lookup!A:C,3,0),"")</f>
        <v/>
      </c>
      <c r="J1628" s="106">
        <f>VLOOKUP(A1628&amp;G1628,Lookup!J:N,5,0)</f>
        <v>0</v>
      </c>
      <c r="O1628" s="90">
        <f>IFERROR(VLOOKUP(A1628&amp;G1628,Lookup!J:K,2,0),"")</f>
        <v>0</v>
      </c>
      <c r="P1628" s="110" t="str">
        <f t="shared" si="103"/>
        <v/>
      </c>
      <c r="R1628" s="87" t="str">
        <f t="shared" si="104"/>
        <v/>
      </c>
      <c r="S1628" s="87" t="str">
        <f t="shared" si="105"/>
        <v/>
      </c>
    </row>
    <row r="1629" spans="2:19" x14ac:dyDescent="0.25">
      <c r="B1629" s="91" t="str">
        <f>IFERROR(VLOOKUP(A1629,Lookup!A:B,2,0),"")</f>
        <v/>
      </c>
      <c r="C1629" s="59" t="str">
        <f>IFERROR(VLOOKUP(A1629,Lookup!A:C,3,0),"")</f>
        <v/>
      </c>
      <c r="J1629" s="106">
        <f>VLOOKUP(A1629&amp;G1629,Lookup!J:N,5,0)</f>
        <v>0</v>
      </c>
      <c r="O1629" s="90">
        <f>IFERROR(VLOOKUP(A1629&amp;G1629,Lookup!J:K,2,0),"")</f>
        <v>0</v>
      </c>
      <c r="P1629" s="110" t="str">
        <f t="shared" si="103"/>
        <v/>
      </c>
      <c r="R1629" s="87" t="str">
        <f t="shared" si="104"/>
        <v/>
      </c>
      <c r="S1629" s="87" t="str">
        <f t="shared" si="105"/>
        <v/>
      </c>
    </row>
    <row r="1630" spans="2:19" x14ac:dyDescent="0.25">
      <c r="B1630" s="91" t="str">
        <f>IFERROR(VLOOKUP(A1630,Lookup!A:B,2,0),"")</f>
        <v/>
      </c>
      <c r="C1630" s="59" t="str">
        <f>IFERROR(VLOOKUP(A1630,Lookup!A:C,3,0),"")</f>
        <v/>
      </c>
      <c r="J1630" s="106">
        <f>VLOOKUP(A1630&amp;G1630,Lookup!J:N,5,0)</f>
        <v>0</v>
      </c>
      <c r="O1630" s="90">
        <f>IFERROR(VLOOKUP(A1630&amp;G1630,Lookup!J:K,2,0),"")</f>
        <v>0</v>
      </c>
      <c r="P1630" s="110" t="str">
        <f t="shared" si="103"/>
        <v/>
      </c>
      <c r="R1630" s="87" t="str">
        <f t="shared" si="104"/>
        <v/>
      </c>
      <c r="S1630" s="87" t="str">
        <f t="shared" si="105"/>
        <v/>
      </c>
    </row>
    <row r="1631" spans="2:19" x14ac:dyDescent="0.25">
      <c r="B1631" s="91" t="str">
        <f>IFERROR(VLOOKUP(A1631,Lookup!A:B,2,0),"")</f>
        <v/>
      </c>
      <c r="C1631" s="59" t="str">
        <f>IFERROR(VLOOKUP(A1631,Lookup!A:C,3,0),"")</f>
        <v/>
      </c>
      <c r="J1631" s="106">
        <f>VLOOKUP(A1631&amp;G1631,Lookup!J:N,5,0)</f>
        <v>0</v>
      </c>
      <c r="O1631" s="90">
        <f>IFERROR(VLOOKUP(A1631&amp;G1631,Lookup!J:K,2,0),"")</f>
        <v>0</v>
      </c>
      <c r="P1631" s="110" t="str">
        <f t="shared" si="103"/>
        <v/>
      </c>
      <c r="R1631" s="87" t="str">
        <f t="shared" si="104"/>
        <v/>
      </c>
      <c r="S1631" s="87" t="str">
        <f t="shared" si="105"/>
        <v/>
      </c>
    </row>
    <row r="1632" spans="2:19" x14ac:dyDescent="0.25">
      <c r="B1632" s="91" t="str">
        <f>IFERROR(VLOOKUP(A1632,Lookup!A:B,2,0),"")</f>
        <v/>
      </c>
      <c r="C1632" s="59" t="str">
        <f>IFERROR(VLOOKUP(A1632,Lookup!A:C,3,0),"")</f>
        <v/>
      </c>
      <c r="J1632" s="106">
        <f>VLOOKUP(A1632&amp;G1632,Lookup!J:N,5,0)</f>
        <v>0</v>
      </c>
      <c r="O1632" s="90">
        <f>IFERROR(VLOOKUP(A1632&amp;G1632,Lookup!J:K,2,0),"")</f>
        <v>0</v>
      </c>
      <c r="P1632" s="110" t="str">
        <f t="shared" si="103"/>
        <v/>
      </c>
      <c r="R1632" s="87" t="str">
        <f t="shared" si="104"/>
        <v/>
      </c>
      <c r="S1632" s="87" t="str">
        <f t="shared" si="105"/>
        <v/>
      </c>
    </row>
    <row r="1633" spans="2:19" x14ac:dyDescent="0.25">
      <c r="B1633" s="91" t="str">
        <f>IFERROR(VLOOKUP(A1633,Lookup!A:B,2,0),"")</f>
        <v/>
      </c>
      <c r="C1633" s="59" t="str">
        <f>IFERROR(VLOOKUP(A1633,Lookup!A:C,3,0),"")</f>
        <v/>
      </c>
      <c r="J1633" s="106">
        <f>VLOOKUP(A1633&amp;G1633,Lookup!J:N,5,0)</f>
        <v>0</v>
      </c>
      <c r="O1633" s="90">
        <f>IFERROR(VLOOKUP(A1633&amp;G1633,Lookup!J:K,2,0),"")</f>
        <v>0</v>
      </c>
      <c r="P1633" s="110" t="str">
        <f t="shared" si="103"/>
        <v/>
      </c>
      <c r="R1633" s="87" t="str">
        <f t="shared" si="104"/>
        <v/>
      </c>
      <c r="S1633" s="87" t="str">
        <f t="shared" si="105"/>
        <v/>
      </c>
    </row>
    <row r="1634" spans="2:19" x14ac:dyDescent="0.25">
      <c r="B1634" s="91" t="str">
        <f>IFERROR(VLOOKUP(A1634,Lookup!A:B,2,0),"")</f>
        <v/>
      </c>
      <c r="C1634" s="59" t="str">
        <f>IFERROR(VLOOKUP(A1634,Lookup!A:C,3,0),"")</f>
        <v/>
      </c>
      <c r="J1634" s="106">
        <f>VLOOKUP(A1634&amp;G1634,Lookup!J:N,5,0)</f>
        <v>0</v>
      </c>
      <c r="O1634" s="90">
        <f>IFERROR(VLOOKUP(A1634&amp;G1634,Lookup!J:K,2,0),"")</f>
        <v>0</v>
      </c>
      <c r="P1634" s="110" t="str">
        <f t="shared" si="103"/>
        <v/>
      </c>
      <c r="R1634" s="87" t="str">
        <f t="shared" si="104"/>
        <v/>
      </c>
      <c r="S1634" s="87" t="str">
        <f t="shared" si="105"/>
        <v/>
      </c>
    </row>
    <row r="1635" spans="2:19" x14ac:dyDescent="0.25">
      <c r="B1635" s="91" t="str">
        <f>IFERROR(VLOOKUP(A1635,Lookup!A:B,2,0),"")</f>
        <v/>
      </c>
      <c r="C1635" s="59" t="str">
        <f>IFERROR(VLOOKUP(A1635,Lookup!A:C,3,0),"")</f>
        <v/>
      </c>
      <c r="J1635" s="106">
        <f>VLOOKUP(A1635&amp;G1635,Lookup!J:N,5,0)</f>
        <v>0</v>
      </c>
      <c r="O1635" s="90">
        <f>IFERROR(VLOOKUP(A1635&amp;G1635,Lookup!J:K,2,0),"")</f>
        <v>0</v>
      </c>
      <c r="P1635" s="110" t="str">
        <f t="shared" si="103"/>
        <v/>
      </c>
      <c r="R1635" s="87" t="str">
        <f t="shared" si="104"/>
        <v/>
      </c>
      <c r="S1635" s="87" t="str">
        <f t="shared" si="105"/>
        <v/>
      </c>
    </row>
    <row r="1636" spans="2:19" x14ac:dyDescent="0.25">
      <c r="B1636" s="91" t="str">
        <f>IFERROR(VLOOKUP(A1636,Lookup!A:B,2,0),"")</f>
        <v/>
      </c>
      <c r="C1636" s="59" t="str">
        <f>IFERROR(VLOOKUP(A1636,Lookup!A:C,3,0),"")</f>
        <v/>
      </c>
      <c r="J1636" s="106">
        <f>VLOOKUP(A1636&amp;G1636,Lookup!J:N,5,0)</f>
        <v>0</v>
      </c>
      <c r="O1636" s="90">
        <f>IFERROR(VLOOKUP(A1636&amp;G1636,Lookup!J:K,2,0),"")</f>
        <v>0</v>
      </c>
      <c r="P1636" s="110" t="str">
        <f t="shared" si="103"/>
        <v/>
      </c>
      <c r="R1636" s="87" t="str">
        <f t="shared" si="104"/>
        <v/>
      </c>
      <c r="S1636" s="87" t="str">
        <f t="shared" si="105"/>
        <v/>
      </c>
    </row>
    <row r="1637" spans="2:19" x14ac:dyDescent="0.25">
      <c r="B1637" s="91" t="str">
        <f>IFERROR(VLOOKUP(A1637,Lookup!A:B,2,0),"")</f>
        <v/>
      </c>
      <c r="C1637" s="59" t="str">
        <f>IFERROR(VLOOKUP(A1637,Lookup!A:C,3,0),"")</f>
        <v/>
      </c>
      <c r="J1637" s="106">
        <f>VLOOKUP(A1637&amp;G1637,Lookup!J:N,5,0)</f>
        <v>0</v>
      </c>
      <c r="O1637" s="90">
        <f>IFERROR(VLOOKUP(A1637&amp;G1637,Lookup!J:K,2,0),"")</f>
        <v>0</v>
      </c>
      <c r="P1637" s="110" t="str">
        <f t="shared" si="103"/>
        <v/>
      </c>
      <c r="R1637" s="87" t="str">
        <f t="shared" si="104"/>
        <v/>
      </c>
      <c r="S1637" s="87" t="str">
        <f t="shared" si="105"/>
        <v/>
      </c>
    </row>
    <row r="1638" spans="2:19" x14ac:dyDescent="0.25">
      <c r="B1638" s="91" t="str">
        <f>IFERROR(VLOOKUP(A1638,Lookup!A:B,2,0),"")</f>
        <v/>
      </c>
      <c r="C1638" s="59" t="str">
        <f>IFERROR(VLOOKUP(A1638,Lookup!A:C,3,0),"")</f>
        <v/>
      </c>
      <c r="J1638" s="106">
        <f>VLOOKUP(A1638&amp;G1638,Lookup!J:N,5,0)</f>
        <v>0</v>
      </c>
      <c r="O1638" s="90">
        <f>IFERROR(VLOOKUP(A1638&amp;G1638,Lookup!J:K,2,0),"")</f>
        <v>0</v>
      </c>
      <c r="P1638" s="110" t="str">
        <f t="shared" si="103"/>
        <v/>
      </c>
      <c r="R1638" s="87" t="str">
        <f t="shared" si="104"/>
        <v/>
      </c>
      <c r="S1638" s="87" t="str">
        <f t="shared" si="105"/>
        <v/>
      </c>
    </row>
    <row r="1639" spans="2:19" x14ac:dyDescent="0.25">
      <c r="B1639" s="91" t="str">
        <f>IFERROR(VLOOKUP(A1639,Lookup!A:B,2,0),"")</f>
        <v/>
      </c>
      <c r="C1639" s="59" t="str">
        <f>IFERROR(VLOOKUP(A1639,Lookup!A:C,3,0),"")</f>
        <v/>
      </c>
      <c r="J1639" s="106">
        <f>VLOOKUP(A1639&amp;G1639,Lookup!J:N,5,0)</f>
        <v>0</v>
      </c>
      <c r="O1639" s="90">
        <f>IFERROR(VLOOKUP(A1639&amp;G1639,Lookup!J:K,2,0),"")</f>
        <v>0</v>
      </c>
      <c r="P1639" s="110" t="str">
        <f t="shared" si="103"/>
        <v/>
      </c>
      <c r="R1639" s="87" t="str">
        <f t="shared" si="104"/>
        <v/>
      </c>
      <c r="S1639" s="87" t="str">
        <f t="shared" si="105"/>
        <v/>
      </c>
    </row>
    <row r="1640" spans="2:19" x14ac:dyDescent="0.25">
      <c r="B1640" s="91" t="str">
        <f>IFERROR(VLOOKUP(A1640,Lookup!A:B,2,0),"")</f>
        <v/>
      </c>
      <c r="C1640" s="59" t="str">
        <f>IFERROR(VLOOKUP(A1640,Lookup!A:C,3,0),"")</f>
        <v/>
      </c>
      <c r="J1640" s="106">
        <f>VLOOKUP(A1640&amp;G1640,Lookup!J:N,5,0)</f>
        <v>0</v>
      </c>
      <c r="O1640" s="90">
        <f>IFERROR(VLOOKUP(A1640&amp;G1640,Lookup!J:K,2,0),"")</f>
        <v>0</v>
      </c>
      <c r="P1640" s="110" t="str">
        <f t="shared" si="103"/>
        <v/>
      </c>
      <c r="R1640" s="87" t="str">
        <f t="shared" si="104"/>
        <v/>
      </c>
      <c r="S1640" s="87" t="str">
        <f t="shared" si="105"/>
        <v/>
      </c>
    </row>
    <row r="1641" spans="2:19" x14ac:dyDescent="0.25">
      <c r="B1641" s="91" t="str">
        <f>IFERROR(VLOOKUP(A1641,Lookup!A:B,2,0),"")</f>
        <v/>
      </c>
      <c r="C1641" s="59" t="str">
        <f>IFERROR(VLOOKUP(A1641,Lookup!A:C,3,0),"")</f>
        <v/>
      </c>
      <c r="J1641" s="106">
        <f>VLOOKUP(A1641&amp;G1641,Lookup!J:N,5,0)</f>
        <v>0</v>
      </c>
      <c r="O1641" s="90">
        <f>IFERROR(VLOOKUP(A1641&amp;G1641,Lookup!J:K,2,0),"")</f>
        <v>0</v>
      </c>
      <c r="P1641" s="110" t="str">
        <f t="shared" si="103"/>
        <v/>
      </c>
      <c r="R1641" s="87" t="str">
        <f t="shared" si="104"/>
        <v/>
      </c>
      <c r="S1641" s="87" t="str">
        <f t="shared" si="105"/>
        <v/>
      </c>
    </row>
    <row r="1642" spans="2:19" x14ac:dyDescent="0.25">
      <c r="B1642" s="91" t="str">
        <f>IFERROR(VLOOKUP(A1642,Lookup!A:B,2,0),"")</f>
        <v/>
      </c>
      <c r="C1642" s="59" t="str">
        <f>IFERROR(VLOOKUP(A1642,Lookup!A:C,3,0),"")</f>
        <v/>
      </c>
      <c r="J1642" s="106">
        <f>VLOOKUP(A1642&amp;G1642,Lookup!J:N,5,0)</f>
        <v>0</v>
      </c>
      <c r="O1642" s="90">
        <f>IFERROR(VLOOKUP(A1642&amp;G1642,Lookup!J:K,2,0),"")</f>
        <v>0</v>
      </c>
      <c r="P1642" s="110" t="str">
        <f t="shared" si="103"/>
        <v/>
      </c>
      <c r="R1642" s="87" t="str">
        <f t="shared" si="104"/>
        <v/>
      </c>
      <c r="S1642" s="87" t="str">
        <f t="shared" si="105"/>
        <v/>
      </c>
    </row>
    <row r="1643" spans="2:19" x14ac:dyDescent="0.25">
      <c r="B1643" s="91" t="str">
        <f>IFERROR(VLOOKUP(A1643,Lookup!A:B,2,0),"")</f>
        <v/>
      </c>
      <c r="C1643" s="59" t="str">
        <f>IFERROR(VLOOKUP(A1643,Lookup!A:C,3,0),"")</f>
        <v/>
      </c>
      <c r="J1643" s="106">
        <f>VLOOKUP(A1643&amp;G1643,Lookup!J:N,5,0)</f>
        <v>0</v>
      </c>
      <c r="O1643" s="90">
        <f>IFERROR(VLOOKUP(A1643&amp;G1643,Lookup!J:K,2,0),"")</f>
        <v>0</v>
      </c>
      <c r="P1643" s="110" t="str">
        <f t="shared" si="103"/>
        <v/>
      </c>
      <c r="R1643" s="87" t="str">
        <f t="shared" si="104"/>
        <v/>
      </c>
      <c r="S1643" s="87" t="str">
        <f t="shared" si="105"/>
        <v/>
      </c>
    </row>
    <row r="1644" spans="2:19" x14ac:dyDescent="0.25">
      <c r="B1644" s="91" t="str">
        <f>IFERROR(VLOOKUP(A1644,Lookup!A:B,2,0),"")</f>
        <v/>
      </c>
      <c r="C1644" s="59" t="str">
        <f>IFERROR(VLOOKUP(A1644,Lookup!A:C,3,0),"")</f>
        <v/>
      </c>
      <c r="J1644" s="106">
        <f>VLOOKUP(A1644&amp;G1644,Lookup!J:N,5,0)</f>
        <v>0</v>
      </c>
      <c r="O1644" s="90">
        <f>IFERROR(VLOOKUP(A1644&amp;G1644,Lookup!J:K,2,0),"")</f>
        <v>0</v>
      </c>
      <c r="P1644" s="110" t="str">
        <f t="shared" si="103"/>
        <v/>
      </c>
      <c r="R1644" s="87" t="str">
        <f t="shared" si="104"/>
        <v/>
      </c>
      <c r="S1644" s="87" t="str">
        <f t="shared" si="105"/>
        <v/>
      </c>
    </row>
    <row r="1645" spans="2:19" x14ac:dyDescent="0.25">
      <c r="B1645" s="91" t="str">
        <f>IFERROR(VLOOKUP(A1645,Lookup!A:B,2,0),"")</f>
        <v/>
      </c>
      <c r="C1645" s="59" t="str">
        <f>IFERROR(VLOOKUP(A1645,Lookup!A:C,3,0),"")</f>
        <v/>
      </c>
      <c r="J1645" s="106">
        <f>VLOOKUP(A1645&amp;G1645,Lookup!J:N,5,0)</f>
        <v>0</v>
      </c>
      <c r="O1645" s="90">
        <f>IFERROR(VLOOKUP(A1645&amp;G1645,Lookup!J:K,2,0),"")</f>
        <v>0</v>
      </c>
      <c r="P1645" s="110" t="str">
        <f t="shared" si="103"/>
        <v/>
      </c>
      <c r="R1645" s="87" t="str">
        <f t="shared" si="104"/>
        <v/>
      </c>
      <c r="S1645" s="87" t="str">
        <f t="shared" si="105"/>
        <v/>
      </c>
    </row>
    <row r="1646" spans="2:19" x14ac:dyDescent="0.25">
      <c r="B1646" s="91" t="str">
        <f>IFERROR(VLOOKUP(A1646,Lookup!A:B,2,0),"")</f>
        <v/>
      </c>
      <c r="C1646" s="59" t="str">
        <f>IFERROR(VLOOKUP(A1646,Lookup!A:C,3,0),"")</f>
        <v/>
      </c>
      <c r="J1646" s="106">
        <f>VLOOKUP(A1646&amp;G1646,Lookup!J:N,5,0)</f>
        <v>0</v>
      </c>
      <c r="O1646" s="90">
        <f>IFERROR(VLOOKUP(A1646&amp;G1646,Lookup!J:K,2,0),"")</f>
        <v>0</v>
      </c>
      <c r="P1646" s="110" t="str">
        <f t="shared" si="103"/>
        <v/>
      </c>
      <c r="R1646" s="87" t="str">
        <f t="shared" si="104"/>
        <v/>
      </c>
      <c r="S1646" s="87" t="str">
        <f t="shared" si="105"/>
        <v/>
      </c>
    </row>
    <row r="1647" spans="2:19" x14ac:dyDescent="0.25">
      <c r="B1647" s="91" t="str">
        <f>IFERROR(VLOOKUP(A1647,Lookup!A:B,2,0),"")</f>
        <v/>
      </c>
      <c r="C1647" s="59" t="str">
        <f>IFERROR(VLOOKUP(A1647,Lookup!A:C,3,0),"")</f>
        <v/>
      </c>
      <c r="J1647" s="106">
        <f>VLOOKUP(A1647&amp;G1647,Lookup!J:N,5,0)</f>
        <v>0</v>
      </c>
      <c r="O1647" s="90">
        <f>IFERROR(VLOOKUP(A1647&amp;G1647,Lookup!J:K,2,0),"")</f>
        <v>0</v>
      </c>
      <c r="P1647" s="110" t="str">
        <f t="shared" si="103"/>
        <v/>
      </c>
      <c r="R1647" s="87" t="str">
        <f t="shared" si="104"/>
        <v/>
      </c>
      <c r="S1647" s="87" t="str">
        <f t="shared" si="105"/>
        <v/>
      </c>
    </row>
    <row r="1648" spans="2:19" x14ac:dyDescent="0.25">
      <c r="B1648" s="91" t="str">
        <f>IFERROR(VLOOKUP(A1648,Lookup!A:B,2,0),"")</f>
        <v/>
      </c>
      <c r="C1648" s="59" t="str">
        <f>IFERROR(VLOOKUP(A1648,Lookup!A:C,3,0),"")</f>
        <v/>
      </c>
      <c r="J1648" s="106">
        <f>VLOOKUP(A1648&amp;G1648,Lookup!J:N,5,0)</f>
        <v>0</v>
      </c>
      <c r="O1648" s="90">
        <f>IFERROR(VLOOKUP(A1648&amp;G1648,Lookup!J:K,2,0),"")</f>
        <v>0</v>
      </c>
      <c r="P1648" s="110" t="str">
        <f t="shared" si="103"/>
        <v/>
      </c>
      <c r="R1648" s="87" t="str">
        <f t="shared" si="104"/>
        <v/>
      </c>
      <c r="S1648" s="87" t="str">
        <f t="shared" si="105"/>
        <v/>
      </c>
    </row>
    <row r="1649" spans="2:19" x14ac:dyDescent="0.25">
      <c r="B1649" s="91" t="str">
        <f>IFERROR(VLOOKUP(A1649,Lookup!A:B,2,0),"")</f>
        <v/>
      </c>
      <c r="C1649" s="59" t="str">
        <f>IFERROR(VLOOKUP(A1649,Lookup!A:C,3,0),"")</f>
        <v/>
      </c>
      <c r="J1649" s="106">
        <f>VLOOKUP(A1649&amp;G1649,Lookup!J:N,5,0)</f>
        <v>0</v>
      </c>
      <c r="O1649" s="90">
        <f>IFERROR(VLOOKUP(A1649&amp;G1649,Lookup!J:K,2,0),"")</f>
        <v>0</v>
      </c>
      <c r="P1649" s="110" t="str">
        <f t="shared" si="103"/>
        <v/>
      </c>
      <c r="R1649" s="87" t="str">
        <f t="shared" si="104"/>
        <v/>
      </c>
      <c r="S1649" s="87" t="str">
        <f t="shared" si="105"/>
        <v/>
      </c>
    </row>
    <row r="1650" spans="2:19" x14ac:dyDescent="0.25">
      <c r="B1650" s="91" t="str">
        <f>IFERROR(VLOOKUP(A1650,Lookup!A:B,2,0),"")</f>
        <v/>
      </c>
      <c r="C1650" s="59" t="str">
        <f>IFERROR(VLOOKUP(A1650,Lookup!A:C,3,0),"")</f>
        <v/>
      </c>
      <c r="J1650" s="106">
        <f>VLOOKUP(A1650&amp;G1650,Lookup!J:N,5,0)</f>
        <v>0</v>
      </c>
      <c r="O1650" s="90">
        <f>IFERROR(VLOOKUP(A1650&amp;G1650,Lookup!J:K,2,0),"")</f>
        <v>0</v>
      </c>
      <c r="P1650" s="110" t="str">
        <f t="shared" si="103"/>
        <v/>
      </c>
      <c r="R1650" s="87" t="str">
        <f t="shared" si="104"/>
        <v/>
      </c>
      <c r="S1650" s="87" t="str">
        <f t="shared" si="105"/>
        <v/>
      </c>
    </row>
    <row r="1651" spans="2:19" x14ac:dyDescent="0.25">
      <c r="B1651" s="91" t="str">
        <f>IFERROR(VLOOKUP(A1651,Lookup!A:B,2,0),"")</f>
        <v/>
      </c>
      <c r="C1651" s="59" t="str">
        <f>IFERROR(VLOOKUP(A1651,Lookup!A:C,3,0),"")</f>
        <v/>
      </c>
      <c r="J1651" s="106">
        <f>VLOOKUP(A1651&amp;G1651,Lookup!J:N,5,0)</f>
        <v>0</v>
      </c>
      <c r="O1651" s="90">
        <f>IFERROR(VLOOKUP(A1651&amp;G1651,Lookup!J:K,2,0),"")</f>
        <v>0</v>
      </c>
      <c r="P1651" s="110" t="str">
        <f t="shared" si="103"/>
        <v/>
      </c>
      <c r="R1651" s="87" t="str">
        <f t="shared" si="104"/>
        <v/>
      </c>
      <c r="S1651" s="87" t="str">
        <f t="shared" si="105"/>
        <v/>
      </c>
    </row>
    <row r="1652" spans="2:19" x14ac:dyDescent="0.25">
      <c r="B1652" s="91" t="str">
        <f>IFERROR(VLOOKUP(A1652,Lookup!A:B,2,0),"")</f>
        <v/>
      </c>
      <c r="C1652" s="59" t="str">
        <f>IFERROR(VLOOKUP(A1652,Lookup!A:C,3,0),"")</f>
        <v/>
      </c>
      <c r="J1652" s="106">
        <f>VLOOKUP(A1652&amp;G1652,Lookup!J:N,5,0)</f>
        <v>0</v>
      </c>
      <c r="O1652" s="90">
        <f>IFERROR(VLOOKUP(A1652&amp;G1652,Lookup!J:K,2,0),"")</f>
        <v>0</v>
      </c>
      <c r="P1652" s="110" t="str">
        <f t="shared" si="103"/>
        <v/>
      </c>
      <c r="R1652" s="87" t="str">
        <f t="shared" si="104"/>
        <v/>
      </c>
      <c r="S1652" s="87" t="str">
        <f t="shared" si="105"/>
        <v/>
      </c>
    </row>
    <row r="1653" spans="2:19" x14ac:dyDescent="0.25">
      <c r="B1653" s="91" t="str">
        <f>IFERROR(VLOOKUP(A1653,Lookup!A:B,2,0),"")</f>
        <v/>
      </c>
      <c r="C1653" s="59" t="str">
        <f>IFERROR(VLOOKUP(A1653,Lookup!A:C,3,0),"")</f>
        <v/>
      </c>
      <c r="J1653" s="106">
        <f>VLOOKUP(A1653&amp;G1653,Lookup!J:N,5,0)</f>
        <v>0</v>
      </c>
      <c r="O1653" s="90">
        <f>IFERROR(VLOOKUP(A1653&amp;G1653,Lookup!J:K,2,0),"")</f>
        <v>0</v>
      </c>
      <c r="P1653" s="110" t="str">
        <f t="shared" si="103"/>
        <v/>
      </c>
      <c r="R1653" s="87" t="str">
        <f t="shared" si="104"/>
        <v/>
      </c>
      <c r="S1653" s="87" t="str">
        <f t="shared" si="105"/>
        <v/>
      </c>
    </row>
    <row r="1654" spans="2:19" x14ac:dyDescent="0.25">
      <c r="B1654" s="91" t="str">
        <f>IFERROR(VLOOKUP(A1654,Lookup!A:B,2,0),"")</f>
        <v/>
      </c>
      <c r="C1654" s="59" t="str">
        <f>IFERROR(VLOOKUP(A1654,Lookup!A:C,3,0),"")</f>
        <v/>
      </c>
      <c r="J1654" s="106">
        <f>VLOOKUP(A1654&amp;G1654,Lookup!J:N,5,0)</f>
        <v>0</v>
      </c>
      <c r="O1654" s="90">
        <f>IFERROR(VLOOKUP(A1654&amp;G1654,Lookup!J:K,2,0),"")</f>
        <v>0</v>
      </c>
      <c r="P1654" s="110" t="str">
        <f t="shared" si="103"/>
        <v/>
      </c>
      <c r="R1654" s="87" t="str">
        <f t="shared" si="104"/>
        <v/>
      </c>
      <c r="S1654" s="87" t="str">
        <f t="shared" si="105"/>
        <v/>
      </c>
    </row>
    <row r="1655" spans="2:19" x14ac:dyDescent="0.25">
      <c r="B1655" s="91" t="str">
        <f>IFERROR(VLOOKUP(A1655,Lookup!A:B,2,0),"")</f>
        <v/>
      </c>
      <c r="C1655" s="59" t="str">
        <f>IFERROR(VLOOKUP(A1655,Lookup!A:C,3,0),"")</f>
        <v/>
      </c>
      <c r="J1655" s="106">
        <f>VLOOKUP(A1655&amp;G1655,Lookup!J:N,5,0)</f>
        <v>0</v>
      </c>
      <c r="O1655" s="90">
        <f>IFERROR(VLOOKUP(A1655&amp;G1655,Lookup!J:K,2,0),"")</f>
        <v>0</v>
      </c>
      <c r="P1655" s="110" t="str">
        <f t="shared" si="103"/>
        <v/>
      </c>
      <c r="R1655" s="87" t="str">
        <f t="shared" si="104"/>
        <v/>
      </c>
      <c r="S1655" s="87" t="str">
        <f t="shared" si="105"/>
        <v/>
      </c>
    </row>
    <row r="1656" spans="2:19" x14ac:dyDescent="0.25">
      <c r="B1656" s="91" t="str">
        <f>IFERROR(VLOOKUP(A1656,Lookup!A:B,2,0),"")</f>
        <v/>
      </c>
      <c r="C1656" s="59" t="str">
        <f>IFERROR(VLOOKUP(A1656,Lookup!A:C,3,0),"")</f>
        <v/>
      </c>
      <c r="J1656" s="106">
        <f>VLOOKUP(A1656&amp;G1656,Lookup!J:N,5,0)</f>
        <v>0</v>
      </c>
      <c r="O1656" s="90">
        <f>IFERROR(VLOOKUP(A1656&amp;G1656,Lookup!J:K,2,0),"")</f>
        <v>0</v>
      </c>
      <c r="P1656" s="110" t="str">
        <f t="shared" si="103"/>
        <v/>
      </c>
      <c r="R1656" s="87" t="str">
        <f t="shared" si="104"/>
        <v/>
      </c>
      <c r="S1656" s="87" t="str">
        <f t="shared" si="105"/>
        <v/>
      </c>
    </row>
    <row r="1657" spans="2:19" x14ac:dyDescent="0.25">
      <c r="B1657" s="91" t="str">
        <f>IFERROR(VLOOKUP(A1657,Lookup!A:B,2,0),"")</f>
        <v/>
      </c>
      <c r="C1657" s="59" t="str">
        <f>IFERROR(VLOOKUP(A1657,Lookup!A:C,3,0),"")</f>
        <v/>
      </c>
      <c r="J1657" s="106">
        <f>VLOOKUP(A1657&amp;G1657,Lookup!J:N,5,0)</f>
        <v>0</v>
      </c>
      <c r="O1657" s="90">
        <f>IFERROR(VLOOKUP(A1657&amp;G1657,Lookup!J:K,2,0),"")</f>
        <v>0</v>
      </c>
      <c r="P1657" s="110" t="str">
        <f t="shared" si="103"/>
        <v/>
      </c>
      <c r="R1657" s="87" t="str">
        <f t="shared" si="104"/>
        <v/>
      </c>
      <c r="S1657" s="87" t="str">
        <f t="shared" si="105"/>
        <v/>
      </c>
    </row>
    <row r="1658" spans="2:19" x14ac:dyDescent="0.25">
      <c r="B1658" s="91" t="str">
        <f>IFERROR(VLOOKUP(A1658,Lookup!A:B,2,0),"")</f>
        <v/>
      </c>
      <c r="C1658" s="59" t="str">
        <f>IFERROR(VLOOKUP(A1658,Lookup!A:C,3,0),"")</f>
        <v/>
      </c>
      <c r="J1658" s="106">
        <f>VLOOKUP(A1658&amp;G1658,Lookup!J:N,5,0)</f>
        <v>0</v>
      </c>
      <c r="O1658" s="90">
        <f>IFERROR(VLOOKUP(A1658&amp;G1658,Lookup!J:K,2,0),"")</f>
        <v>0</v>
      </c>
      <c r="P1658" s="110" t="str">
        <f t="shared" si="103"/>
        <v/>
      </c>
      <c r="R1658" s="87" t="str">
        <f t="shared" si="104"/>
        <v/>
      </c>
      <c r="S1658" s="87" t="str">
        <f t="shared" si="105"/>
        <v/>
      </c>
    </row>
    <row r="1659" spans="2:19" x14ac:dyDescent="0.25">
      <c r="B1659" s="91" t="str">
        <f>IFERROR(VLOOKUP(A1659,Lookup!A:B,2,0),"")</f>
        <v/>
      </c>
      <c r="C1659" s="59" t="str">
        <f>IFERROR(VLOOKUP(A1659,Lookup!A:C,3,0),"")</f>
        <v/>
      </c>
      <c r="J1659" s="106">
        <f>VLOOKUP(A1659&amp;G1659,Lookup!J:N,5,0)</f>
        <v>0</v>
      </c>
      <c r="O1659" s="90">
        <f>IFERROR(VLOOKUP(A1659&amp;G1659,Lookup!J:K,2,0),"")</f>
        <v>0</v>
      </c>
      <c r="P1659" s="110" t="str">
        <f t="shared" si="103"/>
        <v/>
      </c>
      <c r="R1659" s="87" t="str">
        <f t="shared" si="104"/>
        <v/>
      </c>
      <c r="S1659" s="87" t="str">
        <f t="shared" si="105"/>
        <v/>
      </c>
    </row>
    <row r="1660" spans="2:19" x14ac:dyDescent="0.25">
      <c r="B1660" s="91" t="str">
        <f>IFERROR(VLOOKUP(A1660,Lookup!A:B,2,0),"")</f>
        <v/>
      </c>
      <c r="C1660" s="59" t="str">
        <f>IFERROR(VLOOKUP(A1660,Lookup!A:C,3,0),"")</f>
        <v/>
      </c>
      <c r="J1660" s="106">
        <f>VLOOKUP(A1660&amp;G1660,Lookup!J:N,5,0)</f>
        <v>0</v>
      </c>
      <c r="O1660" s="90">
        <f>IFERROR(VLOOKUP(A1660&amp;G1660,Lookup!J:K,2,0),"")</f>
        <v>0</v>
      </c>
      <c r="P1660" s="110" t="str">
        <f t="shared" si="103"/>
        <v/>
      </c>
      <c r="R1660" s="87" t="str">
        <f t="shared" si="104"/>
        <v/>
      </c>
      <c r="S1660" s="87" t="str">
        <f t="shared" si="105"/>
        <v/>
      </c>
    </row>
    <row r="1661" spans="2:19" x14ac:dyDescent="0.25">
      <c r="B1661" s="91" t="str">
        <f>IFERROR(VLOOKUP(A1661,Lookup!A:B,2,0),"")</f>
        <v/>
      </c>
      <c r="C1661" s="59" t="str">
        <f>IFERROR(VLOOKUP(A1661,Lookup!A:C,3,0),"")</f>
        <v/>
      </c>
      <c r="J1661" s="106">
        <f>VLOOKUP(A1661&amp;G1661,Lookup!J:N,5,0)</f>
        <v>0</v>
      </c>
      <c r="O1661" s="90">
        <f>IFERROR(VLOOKUP(A1661&amp;G1661,Lookup!J:K,2,0),"")</f>
        <v>0</v>
      </c>
      <c r="P1661" s="110" t="str">
        <f t="shared" si="103"/>
        <v/>
      </c>
      <c r="R1661" s="87" t="str">
        <f t="shared" si="104"/>
        <v/>
      </c>
      <c r="S1661" s="87" t="str">
        <f t="shared" si="105"/>
        <v/>
      </c>
    </row>
    <row r="1662" spans="2:19" x14ac:dyDescent="0.25">
      <c r="B1662" s="91" t="str">
        <f>IFERROR(VLOOKUP(A1662,Lookup!A:B,2,0),"")</f>
        <v/>
      </c>
      <c r="C1662" s="59" t="str">
        <f>IFERROR(VLOOKUP(A1662,Lookup!A:C,3,0),"")</f>
        <v/>
      </c>
      <c r="J1662" s="106">
        <f>VLOOKUP(A1662&amp;G1662,Lookup!J:N,5,0)</f>
        <v>0</v>
      </c>
      <c r="O1662" s="90">
        <f>IFERROR(VLOOKUP(A1662&amp;G1662,Lookup!J:K,2,0),"")</f>
        <v>0</v>
      </c>
      <c r="P1662" s="110" t="str">
        <f t="shared" si="103"/>
        <v/>
      </c>
      <c r="R1662" s="87" t="str">
        <f t="shared" si="104"/>
        <v/>
      </c>
      <c r="S1662" s="87" t="str">
        <f t="shared" si="105"/>
        <v/>
      </c>
    </row>
    <row r="1663" spans="2:19" x14ac:dyDescent="0.25">
      <c r="B1663" s="91" t="str">
        <f>IFERROR(VLOOKUP(A1663,Lookup!A:B,2,0),"")</f>
        <v/>
      </c>
      <c r="C1663" s="59" t="str">
        <f>IFERROR(VLOOKUP(A1663,Lookup!A:C,3,0),"")</f>
        <v/>
      </c>
      <c r="J1663" s="106">
        <f>VLOOKUP(A1663&amp;G1663,Lookup!J:N,5,0)</f>
        <v>0</v>
      </c>
      <c r="O1663" s="90">
        <f>IFERROR(VLOOKUP(A1663&amp;G1663,Lookup!J:K,2,0),"")</f>
        <v>0</v>
      </c>
      <c r="P1663" s="110" t="str">
        <f t="shared" si="103"/>
        <v/>
      </c>
      <c r="R1663" s="87" t="str">
        <f t="shared" si="104"/>
        <v/>
      </c>
      <c r="S1663" s="87" t="str">
        <f t="shared" si="105"/>
        <v/>
      </c>
    </row>
    <row r="1664" spans="2:19" x14ac:dyDescent="0.25">
      <c r="B1664" s="91" t="str">
        <f>IFERROR(VLOOKUP(A1664,Lookup!A:B,2,0),"")</f>
        <v/>
      </c>
      <c r="C1664" s="59" t="str">
        <f>IFERROR(VLOOKUP(A1664,Lookup!A:C,3,0),"")</f>
        <v/>
      </c>
      <c r="J1664" s="106">
        <f>VLOOKUP(A1664&amp;G1664,Lookup!J:N,5,0)</f>
        <v>0</v>
      </c>
      <c r="O1664" s="90">
        <f>IFERROR(VLOOKUP(A1664&amp;G1664,Lookup!J:K,2,0),"")</f>
        <v>0</v>
      </c>
      <c r="P1664" s="110" t="str">
        <f t="shared" si="103"/>
        <v/>
      </c>
      <c r="R1664" s="87" t="str">
        <f t="shared" si="104"/>
        <v/>
      </c>
      <c r="S1664" s="87" t="str">
        <f t="shared" si="105"/>
        <v/>
      </c>
    </row>
    <row r="1665" spans="2:19" x14ac:dyDescent="0.25">
      <c r="B1665" s="91" t="str">
        <f>IFERROR(VLOOKUP(A1665,Lookup!A:B,2,0),"")</f>
        <v/>
      </c>
      <c r="C1665" s="59" t="str">
        <f>IFERROR(VLOOKUP(A1665,Lookup!A:C,3,0),"")</f>
        <v/>
      </c>
      <c r="J1665" s="106">
        <f>VLOOKUP(A1665&amp;G1665,Lookup!J:N,5,0)</f>
        <v>0</v>
      </c>
      <c r="O1665" s="90">
        <f>IFERROR(VLOOKUP(A1665&amp;G1665,Lookup!J:K,2,0),"")</f>
        <v>0</v>
      </c>
      <c r="P1665" s="110" t="str">
        <f t="shared" si="103"/>
        <v/>
      </c>
      <c r="R1665" s="87" t="str">
        <f t="shared" si="104"/>
        <v/>
      </c>
      <c r="S1665" s="87" t="str">
        <f t="shared" si="105"/>
        <v/>
      </c>
    </row>
    <row r="1666" spans="2:19" x14ac:dyDescent="0.25">
      <c r="B1666" s="91" t="str">
        <f>IFERROR(VLOOKUP(A1666,Lookup!A:B,2,0),"")</f>
        <v/>
      </c>
      <c r="C1666" s="59" t="str">
        <f>IFERROR(VLOOKUP(A1666,Lookup!A:C,3,0),"")</f>
        <v/>
      </c>
      <c r="J1666" s="106">
        <f>VLOOKUP(A1666&amp;G1666,Lookup!J:N,5,0)</f>
        <v>0</v>
      </c>
      <c r="O1666" s="90">
        <f>IFERROR(VLOOKUP(A1666&amp;G1666,Lookup!J:K,2,0),"")</f>
        <v>0</v>
      </c>
      <c r="P1666" s="110" t="str">
        <f t="shared" ref="P1666:P1729" si="106">IF(N1666="","",N1666+O1666)</f>
        <v/>
      </c>
      <c r="R1666" s="87" t="str">
        <f t="shared" si="104"/>
        <v/>
      </c>
      <c r="S1666" s="87" t="str">
        <f t="shared" si="105"/>
        <v/>
      </c>
    </row>
    <row r="1667" spans="2:19" x14ac:dyDescent="0.25">
      <c r="B1667" s="91" t="str">
        <f>IFERROR(VLOOKUP(A1667,Lookup!A:B,2,0),"")</f>
        <v/>
      </c>
      <c r="C1667" s="59" t="str">
        <f>IFERROR(VLOOKUP(A1667,Lookup!A:C,3,0),"")</f>
        <v/>
      </c>
      <c r="J1667" s="106">
        <f>VLOOKUP(A1667&amp;G1667,Lookup!J:N,5,0)</f>
        <v>0</v>
      </c>
      <c r="O1667" s="90">
        <f>IFERROR(VLOOKUP(A1667&amp;G1667,Lookup!J:K,2,0),"")</f>
        <v>0</v>
      </c>
      <c r="P1667" s="110" t="str">
        <f t="shared" si="106"/>
        <v/>
      </c>
      <c r="R1667" s="87" t="str">
        <f t="shared" ref="R1667:R1730" si="107">IF(OR(EXACT(N1667,""), EXACT(L1667,"")),"",N1667-L1667)</f>
        <v/>
      </c>
      <c r="S1667" s="87" t="str">
        <f t="shared" si="105"/>
        <v/>
      </c>
    </row>
    <row r="1668" spans="2:19" x14ac:dyDescent="0.25">
      <c r="B1668" s="91" t="str">
        <f>IFERROR(VLOOKUP(A1668,Lookup!A:B,2,0),"")</f>
        <v/>
      </c>
      <c r="C1668" s="59" t="str">
        <f>IFERROR(VLOOKUP(A1668,Lookup!A:C,3,0),"")</f>
        <v/>
      </c>
      <c r="J1668" s="106">
        <f>VLOOKUP(A1668&amp;G1668,Lookup!J:N,5,0)</f>
        <v>0</v>
      </c>
      <c r="O1668" s="90">
        <f>IFERROR(VLOOKUP(A1668&amp;G1668,Lookup!J:K,2,0),"")</f>
        <v>0</v>
      </c>
      <c r="P1668" s="110" t="str">
        <f t="shared" si="106"/>
        <v/>
      </c>
      <c r="R1668" s="87" t="str">
        <f t="shared" si="107"/>
        <v/>
      </c>
      <c r="S1668" s="87" t="str">
        <f t="shared" ref="S1668:S1731" si="108">IF(OR(EXACT(Q1668,""), EXACT(L1668,"")),"",Q1668-L1668)</f>
        <v/>
      </c>
    </row>
    <row r="1669" spans="2:19" x14ac:dyDescent="0.25">
      <c r="B1669" s="91" t="str">
        <f>IFERROR(VLOOKUP(A1669,Lookup!A:B,2,0),"")</f>
        <v/>
      </c>
      <c r="C1669" s="59" t="str">
        <f>IFERROR(VLOOKUP(A1669,Lookup!A:C,3,0),"")</f>
        <v/>
      </c>
      <c r="J1669" s="106">
        <f>VLOOKUP(A1669&amp;G1669,Lookup!J:N,5,0)</f>
        <v>0</v>
      </c>
      <c r="O1669" s="90">
        <f>IFERROR(VLOOKUP(A1669&amp;G1669,Lookup!J:K,2,0),"")</f>
        <v>0</v>
      </c>
      <c r="P1669" s="110" t="str">
        <f t="shared" si="106"/>
        <v/>
      </c>
      <c r="R1669" s="87" t="str">
        <f t="shared" si="107"/>
        <v/>
      </c>
      <c r="S1669" s="87" t="str">
        <f t="shared" si="108"/>
        <v/>
      </c>
    </row>
    <row r="1670" spans="2:19" x14ac:dyDescent="0.25">
      <c r="B1670" s="91" t="str">
        <f>IFERROR(VLOOKUP(A1670,Lookup!A:B,2,0),"")</f>
        <v/>
      </c>
      <c r="C1670" s="59" t="str">
        <f>IFERROR(VLOOKUP(A1670,Lookup!A:C,3,0),"")</f>
        <v/>
      </c>
      <c r="J1670" s="106">
        <f>VLOOKUP(A1670&amp;G1670,Lookup!J:N,5,0)</f>
        <v>0</v>
      </c>
      <c r="O1670" s="90">
        <f>IFERROR(VLOOKUP(A1670&amp;G1670,Lookup!J:K,2,0),"")</f>
        <v>0</v>
      </c>
      <c r="P1670" s="110" t="str">
        <f t="shared" si="106"/>
        <v/>
      </c>
      <c r="R1670" s="87" t="str">
        <f t="shared" si="107"/>
        <v/>
      </c>
      <c r="S1670" s="87" t="str">
        <f t="shared" si="108"/>
        <v/>
      </c>
    </row>
    <row r="1671" spans="2:19" x14ac:dyDescent="0.25">
      <c r="B1671" s="91" t="str">
        <f>IFERROR(VLOOKUP(A1671,Lookup!A:B,2,0),"")</f>
        <v/>
      </c>
      <c r="C1671" s="59" t="str">
        <f>IFERROR(VLOOKUP(A1671,Lookup!A:C,3,0),"")</f>
        <v/>
      </c>
      <c r="J1671" s="106">
        <f>VLOOKUP(A1671&amp;G1671,Lookup!J:N,5,0)</f>
        <v>0</v>
      </c>
      <c r="O1671" s="90">
        <f>IFERROR(VLOOKUP(A1671&amp;G1671,Lookup!J:K,2,0),"")</f>
        <v>0</v>
      </c>
      <c r="P1671" s="110" t="str">
        <f t="shared" si="106"/>
        <v/>
      </c>
      <c r="R1671" s="87" t="str">
        <f t="shared" si="107"/>
        <v/>
      </c>
      <c r="S1671" s="87" t="str">
        <f t="shared" si="108"/>
        <v/>
      </c>
    </row>
    <row r="1672" spans="2:19" x14ac:dyDescent="0.25">
      <c r="B1672" s="91" t="str">
        <f>IFERROR(VLOOKUP(A1672,Lookup!A:B,2,0),"")</f>
        <v/>
      </c>
      <c r="C1672" s="59" t="str">
        <f>IFERROR(VLOOKUP(A1672,Lookup!A:C,3,0),"")</f>
        <v/>
      </c>
      <c r="J1672" s="106">
        <f>VLOOKUP(A1672&amp;G1672,Lookup!J:N,5,0)</f>
        <v>0</v>
      </c>
      <c r="O1672" s="90">
        <f>IFERROR(VLOOKUP(A1672&amp;G1672,Lookup!J:K,2,0),"")</f>
        <v>0</v>
      </c>
      <c r="P1672" s="110" t="str">
        <f t="shared" si="106"/>
        <v/>
      </c>
      <c r="R1672" s="87" t="str">
        <f t="shared" si="107"/>
        <v/>
      </c>
      <c r="S1672" s="87" t="str">
        <f t="shared" si="108"/>
        <v/>
      </c>
    </row>
    <row r="1673" spans="2:19" x14ac:dyDescent="0.25">
      <c r="B1673" s="91" t="str">
        <f>IFERROR(VLOOKUP(A1673,Lookup!A:B,2,0),"")</f>
        <v/>
      </c>
      <c r="C1673" s="59" t="str">
        <f>IFERROR(VLOOKUP(A1673,Lookup!A:C,3,0),"")</f>
        <v/>
      </c>
      <c r="J1673" s="106">
        <f>VLOOKUP(A1673&amp;G1673,Lookup!J:N,5,0)</f>
        <v>0</v>
      </c>
      <c r="O1673" s="90">
        <f>IFERROR(VLOOKUP(A1673&amp;G1673,Lookup!J:K,2,0),"")</f>
        <v>0</v>
      </c>
      <c r="P1673" s="110" t="str">
        <f t="shared" si="106"/>
        <v/>
      </c>
      <c r="R1673" s="87" t="str">
        <f t="shared" si="107"/>
        <v/>
      </c>
      <c r="S1673" s="87" t="str">
        <f t="shared" si="108"/>
        <v/>
      </c>
    </row>
    <row r="1674" spans="2:19" x14ac:dyDescent="0.25">
      <c r="B1674" s="91" t="str">
        <f>IFERROR(VLOOKUP(A1674,Lookup!A:B,2,0),"")</f>
        <v/>
      </c>
      <c r="C1674" s="59" t="str">
        <f>IFERROR(VLOOKUP(A1674,Lookup!A:C,3,0),"")</f>
        <v/>
      </c>
      <c r="J1674" s="106">
        <f>VLOOKUP(A1674&amp;G1674,Lookup!J:N,5,0)</f>
        <v>0</v>
      </c>
      <c r="O1674" s="90">
        <f>IFERROR(VLOOKUP(A1674&amp;G1674,Lookup!J:K,2,0),"")</f>
        <v>0</v>
      </c>
      <c r="P1674" s="110" t="str">
        <f t="shared" si="106"/>
        <v/>
      </c>
      <c r="R1674" s="87" t="str">
        <f t="shared" si="107"/>
        <v/>
      </c>
      <c r="S1674" s="87" t="str">
        <f t="shared" si="108"/>
        <v/>
      </c>
    </row>
    <row r="1675" spans="2:19" x14ac:dyDescent="0.25">
      <c r="B1675" s="91" t="str">
        <f>IFERROR(VLOOKUP(A1675,Lookup!A:B,2,0),"")</f>
        <v/>
      </c>
      <c r="C1675" s="59" t="str">
        <f>IFERROR(VLOOKUP(A1675,Lookup!A:C,3,0),"")</f>
        <v/>
      </c>
      <c r="J1675" s="106">
        <f>VLOOKUP(A1675&amp;G1675,Lookup!J:N,5,0)</f>
        <v>0</v>
      </c>
      <c r="O1675" s="90">
        <f>IFERROR(VLOOKUP(A1675&amp;G1675,Lookup!J:K,2,0),"")</f>
        <v>0</v>
      </c>
      <c r="P1675" s="110" t="str">
        <f t="shared" si="106"/>
        <v/>
      </c>
      <c r="R1675" s="87" t="str">
        <f t="shared" si="107"/>
        <v/>
      </c>
      <c r="S1675" s="87" t="str">
        <f t="shared" si="108"/>
        <v/>
      </c>
    </row>
    <row r="1676" spans="2:19" x14ac:dyDescent="0.25">
      <c r="B1676" s="91" t="str">
        <f>IFERROR(VLOOKUP(A1676,Lookup!A:B,2,0),"")</f>
        <v/>
      </c>
      <c r="C1676" s="59" t="str">
        <f>IFERROR(VLOOKUP(A1676,Lookup!A:C,3,0),"")</f>
        <v/>
      </c>
      <c r="J1676" s="106">
        <f>VLOOKUP(A1676&amp;G1676,Lookup!J:N,5,0)</f>
        <v>0</v>
      </c>
      <c r="O1676" s="90">
        <f>IFERROR(VLOOKUP(A1676&amp;G1676,Lookup!J:K,2,0),"")</f>
        <v>0</v>
      </c>
      <c r="P1676" s="110" t="str">
        <f t="shared" si="106"/>
        <v/>
      </c>
      <c r="R1676" s="87" t="str">
        <f t="shared" si="107"/>
        <v/>
      </c>
      <c r="S1676" s="87" t="str">
        <f t="shared" si="108"/>
        <v/>
      </c>
    </row>
    <row r="1677" spans="2:19" x14ac:dyDescent="0.25">
      <c r="B1677" s="91" t="str">
        <f>IFERROR(VLOOKUP(A1677,Lookup!A:B,2,0),"")</f>
        <v/>
      </c>
      <c r="C1677" s="59" t="str">
        <f>IFERROR(VLOOKUP(A1677,Lookup!A:C,3,0),"")</f>
        <v/>
      </c>
      <c r="J1677" s="106">
        <f>VLOOKUP(A1677&amp;G1677,Lookup!J:N,5,0)</f>
        <v>0</v>
      </c>
      <c r="O1677" s="90">
        <f>IFERROR(VLOOKUP(A1677&amp;G1677,Lookup!J:K,2,0),"")</f>
        <v>0</v>
      </c>
      <c r="P1677" s="110" t="str">
        <f t="shared" si="106"/>
        <v/>
      </c>
      <c r="R1677" s="87" t="str">
        <f t="shared" si="107"/>
        <v/>
      </c>
      <c r="S1677" s="87" t="str">
        <f t="shared" si="108"/>
        <v/>
      </c>
    </row>
    <row r="1678" spans="2:19" x14ac:dyDescent="0.25">
      <c r="B1678" s="91" t="str">
        <f>IFERROR(VLOOKUP(A1678,Lookup!A:B,2,0),"")</f>
        <v/>
      </c>
      <c r="C1678" s="59" t="str">
        <f>IFERROR(VLOOKUP(A1678,Lookup!A:C,3,0),"")</f>
        <v/>
      </c>
      <c r="J1678" s="106">
        <f>VLOOKUP(A1678&amp;G1678,Lookup!J:N,5,0)</f>
        <v>0</v>
      </c>
      <c r="O1678" s="90">
        <f>IFERROR(VLOOKUP(A1678&amp;G1678,Lookup!J:K,2,0),"")</f>
        <v>0</v>
      </c>
      <c r="P1678" s="110" t="str">
        <f t="shared" si="106"/>
        <v/>
      </c>
      <c r="R1678" s="87" t="str">
        <f t="shared" si="107"/>
        <v/>
      </c>
      <c r="S1678" s="87" t="str">
        <f t="shared" si="108"/>
        <v/>
      </c>
    </row>
    <row r="1679" spans="2:19" x14ac:dyDescent="0.25">
      <c r="B1679" s="91" t="str">
        <f>IFERROR(VLOOKUP(A1679,Lookup!A:B,2,0),"")</f>
        <v/>
      </c>
      <c r="C1679" s="59" t="str">
        <f>IFERROR(VLOOKUP(A1679,Lookup!A:C,3,0),"")</f>
        <v/>
      </c>
      <c r="J1679" s="106">
        <f>VLOOKUP(A1679&amp;G1679,Lookup!J:N,5,0)</f>
        <v>0</v>
      </c>
      <c r="O1679" s="90">
        <f>IFERROR(VLOOKUP(A1679&amp;G1679,Lookup!J:K,2,0),"")</f>
        <v>0</v>
      </c>
      <c r="P1679" s="110" t="str">
        <f t="shared" si="106"/>
        <v/>
      </c>
      <c r="R1679" s="87" t="str">
        <f t="shared" si="107"/>
        <v/>
      </c>
      <c r="S1679" s="87" t="str">
        <f t="shared" si="108"/>
        <v/>
      </c>
    </row>
    <row r="1680" spans="2:19" x14ac:dyDescent="0.25">
      <c r="B1680" s="91" t="str">
        <f>IFERROR(VLOOKUP(A1680,Lookup!A:B,2,0),"")</f>
        <v/>
      </c>
      <c r="C1680" s="59" t="str">
        <f>IFERROR(VLOOKUP(A1680,Lookup!A:C,3,0),"")</f>
        <v/>
      </c>
      <c r="J1680" s="106">
        <f>VLOOKUP(A1680&amp;G1680,Lookup!J:N,5,0)</f>
        <v>0</v>
      </c>
      <c r="O1680" s="90">
        <f>IFERROR(VLOOKUP(A1680&amp;G1680,Lookup!J:K,2,0),"")</f>
        <v>0</v>
      </c>
      <c r="P1680" s="110" t="str">
        <f t="shared" si="106"/>
        <v/>
      </c>
      <c r="R1680" s="87" t="str">
        <f t="shared" si="107"/>
        <v/>
      </c>
      <c r="S1680" s="87" t="str">
        <f t="shared" si="108"/>
        <v/>
      </c>
    </row>
    <row r="1681" spans="2:19" x14ac:dyDescent="0.25">
      <c r="B1681" s="91" t="str">
        <f>IFERROR(VLOOKUP(A1681,Lookup!A:B,2,0),"")</f>
        <v/>
      </c>
      <c r="C1681" s="59" t="str">
        <f>IFERROR(VLOOKUP(A1681,Lookup!A:C,3,0),"")</f>
        <v/>
      </c>
      <c r="J1681" s="106">
        <f>VLOOKUP(A1681&amp;G1681,Lookup!J:N,5,0)</f>
        <v>0</v>
      </c>
      <c r="O1681" s="90">
        <f>IFERROR(VLOOKUP(A1681&amp;G1681,Lookup!J:K,2,0),"")</f>
        <v>0</v>
      </c>
      <c r="P1681" s="110" t="str">
        <f t="shared" si="106"/>
        <v/>
      </c>
      <c r="R1681" s="87" t="str">
        <f t="shared" si="107"/>
        <v/>
      </c>
      <c r="S1681" s="87" t="str">
        <f t="shared" si="108"/>
        <v/>
      </c>
    </row>
    <row r="1682" spans="2:19" x14ac:dyDescent="0.25">
      <c r="B1682" s="91" t="str">
        <f>IFERROR(VLOOKUP(A1682,Lookup!A:B,2,0),"")</f>
        <v/>
      </c>
      <c r="C1682" s="59" t="str">
        <f>IFERROR(VLOOKUP(A1682,Lookup!A:C,3,0),"")</f>
        <v/>
      </c>
      <c r="J1682" s="106">
        <f>VLOOKUP(A1682&amp;G1682,Lookup!J:N,5,0)</f>
        <v>0</v>
      </c>
      <c r="O1682" s="90">
        <f>IFERROR(VLOOKUP(A1682&amp;G1682,Lookup!J:K,2,0),"")</f>
        <v>0</v>
      </c>
      <c r="P1682" s="110" t="str">
        <f t="shared" si="106"/>
        <v/>
      </c>
      <c r="R1682" s="87" t="str">
        <f t="shared" si="107"/>
        <v/>
      </c>
      <c r="S1682" s="87" t="str">
        <f t="shared" si="108"/>
        <v/>
      </c>
    </row>
    <row r="1683" spans="2:19" x14ac:dyDescent="0.25">
      <c r="B1683" s="91" t="str">
        <f>IFERROR(VLOOKUP(A1683,Lookup!A:B,2,0),"")</f>
        <v/>
      </c>
      <c r="C1683" s="59" t="str">
        <f>IFERROR(VLOOKUP(A1683,Lookup!A:C,3,0),"")</f>
        <v/>
      </c>
      <c r="J1683" s="106">
        <f>VLOOKUP(A1683&amp;G1683,Lookup!J:N,5,0)</f>
        <v>0</v>
      </c>
      <c r="O1683" s="90">
        <f>IFERROR(VLOOKUP(A1683&amp;G1683,Lookup!J:K,2,0),"")</f>
        <v>0</v>
      </c>
      <c r="P1683" s="110" t="str">
        <f t="shared" si="106"/>
        <v/>
      </c>
      <c r="R1683" s="87" t="str">
        <f t="shared" si="107"/>
        <v/>
      </c>
      <c r="S1683" s="87" t="str">
        <f t="shared" si="108"/>
        <v/>
      </c>
    </row>
    <row r="1684" spans="2:19" x14ac:dyDescent="0.25">
      <c r="B1684" s="91" t="str">
        <f>IFERROR(VLOOKUP(A1684,Lookup!A:B,2,0),"")</f>
        <v/>
      </c>
      <c r="C1684" s="59" t="str">
        <f>IFERROR(VLOOKUP(A1684,Lookup!A:C,3,0),"")</f>
        <v/>
      </c>
      <c r="J1684" s="106">
        <f>VLOOKUP(A1684&amp;G1684,Lookup!J:N,5,0)</f>
        <v>0</v>
      </c>
      <c r="O1684" s="90">
        <f>IFERROR(VLOOKUP(A1684&amp;G1684,Lookup!J:K,2,0),"")</f>
        <v>0</v>
      </c>
      <c r="P1684" s="110" t="str">
        <f t="shared" si="106"/>
        <v/>
      </c>
      <c r="R1684" s="87" t="str">
        <f t="shared" si="107"/>
        <v/>
      </c>
      <c r="S1684" s="87" t="str">
        <f t="shared" si="108"/>
        <v/>
      </c>
    </row>
    <row r="1685" spans="2:19" x14ac:dyDescent="0.25">
      <c r="B1685" s="91" t="str">
        <f>IFERROR(VLOOKUP(A1685,Lookup!A:B,2,0),"")</f>
        <v/>
      </c>
      <c r="C1685" s="59" t="str">
        <f>IFERROR(VLOOKUP(A1685,Lookup!A:C,3,0),"")</f>
        <v/>
      </c>
      <c r="J1685" s="106">
        <f>VLOOKUP(A1685&amp;G1685,Lookup!J:N,5,0)</f>
        <v>0</v>
      </c>
      <c r="O1685" s="90">
        <f>IFERROR(VLOOKUP(A1685&amp;G1685,Lookup!J:K,2,0),"")</f>
        <v>0</v>
      </c>
      <c r="P1685" s="110" t="str">
        <f t="shared" si="106"/>
        <v/>
      </c>
      <c r="R1685" s="87" t="str">
        <f t="shared" si="107"/>
        <v/>
      </c>
      <c r="S1685" s="87" t="str">
        <f t="shared" si="108"/>
        <v/>
      </c>
    </row>
    <row r="1686" spans="2:19" x14ac:dyDescent="0.25">
      <c r="B1686" s="91" t="str">
        <f>IFERROR(VLOOKUP(A1686,Lookup!A:B,2,0),"")</f>
        <v/>
      </c>
      <c r="C1686" s="59" t="str">
        <f>IFERROR(VLOOKUP(A1686,Lookup!A:C,3,0),"")</f>
        <v/>
      </c>
      <c r="J1686" s="106">
        <f>VLOOKUP(A1686&amp;G1686,Lookup!J:N,5,0)</f>
        <v>0</v>
      </c>
      <c r="O1686" s="90">
        <f>IFERROR(VLOOKUP(A1686&amp;G1686,Lookup!J:K,2,0),"")</f>
        <v>0</v>
      </c>
      <c r="P1686" s="110" t="str">
        <f t="shared" si="106"/>
        <v/>
      </c>
      <c r="R1686" s="87" t="str">
        <f t="shared" si="107"/>
        <v/>
      </c>
      <c r="S1686" s="87" t="str">
        <f t="shared" si="108"/>
        <v/>
      </c>
    </row>
    <row r="1687" spans="2:19" x14ac:dyDescent="0.25">
      <c r="B1687" s="91" t="str">
        <f>IFERROR(VLOOKUP(A1687,Lookup!A:B,2,0),"")</f>
        <v/>
      </c>
      <c r="C1687" s="59" t="str">
        <f>IFERROR(VLOOKUP(A1687,Lookup!A:C,3,0),"")</f>
        <v/>
      </c>
      <c r="J1687" s="106">
        <f>VLOOKUP(A1687&amp;G1687,Lookup!J:N,5,0)</f>
        <v>0</v>
      </c>
      <c r="O1687" s="90">
        <f>IFERROR(VLOOKUP(A1687&amp;G1687,Lookup!J:K,2,0),"")</f>
        <v>0</v>
      </c>
      <c r="P1687" s="110" t="str">
        <f t="shared" si="106"/>
        <v/>
      </c>
      <c r="R1687" s="87" t="str">
        <f t="shared" si="107"/>
        <v/>
      </c>
      <c r="S1687" s="87" t="str">
        <f t="shared" si="108"/>
        <v/>
      </c>
    </row>
    <row r="1688" spans="2:19" x14ac:dyDescent="0.25">
      <c r="B1688" s="91" t="str">
        <f>IFERROR(VLOOKUP(A1688,Lookup!A:B,2,0),"")</f>
        <v/>
      </c>
      <c r="C1688" s="59" t="str">
        <f>IFERROR(VLOOKUP(A1688,Lookup!A:C,3,0),"")</f>
        <v/>
      </c>
      <c r="J1688" s="106">
        <f>VLOOKUP(A1688&amp;G1688,Lookup!J:N,5,0)</f>
        <v>0</v>
      </c>
      <c r="O1688" s="90">
        <f>IFERROR(VLOOKUP(A1688&amp;G1688,Lookup!J:K,2,0),"")</f>
        <v>0</v>
      </c>
      <c r="P1688" s="110" t="str">
        <f t="shared" si="106"/>
        <v/>
      </c>
      <c r="R1688" s="87" t="str">
        <f t="shared" si="107"/>
        <v/>
      </c>
      <c r="S1688" s="87" t="str">
        <f t="shared" si="108"/>
        <v/>
      </c>
    </row>
    <row r="1689" spans="2:19" x14ac:dyDescent="0.25">
      <c r="B1689" s="91" t="str">
        <f>IFERROR(VLOOKUP(A1689,Lookup!A:B,2,0),"")</f>
        <v/>
      </c>
      <c r="C1689" s="59" t="str">
        <f>IFERROR(VLOOKUP(A1689,Lookup!A:C,3,0),"")</f>
        <v/>
      </c>
      <c r="J1689" s="106">
        <f>VLOOKUP(A1689&amp;G1689,Lookup!J:N,5,0)</f>
        <v>0</v>
      </c>
      <c r="O1689" s="90">
        <f>IFERROR(VLOOKUP(A1689&amp;G1689,Lookup!J:K,2,0),"")</f>
        <v>0</v>
      </c>
      <c r="P1689" s="110" t="str">
        <f t="shared" si="106"/>
        <v/>
      </c>
      <c r="R1689" s="87" t="str">
        <f t="shared" si="107"/>
        <v/>
      </c>
      <c r="S1689" s="87" t="str">
        <f t="shared" si="108"/>
        <v/>
      </c>
    </row>
    <row r="1690" spans="2:19" x14ac:dyDescent="0.25">
      <c r="B1690" s="91" t="str">
        <f>IFERROR(VLOOKUP(A1690,Lookup!A:B,2,0),"")</f>
        <v/>
      </c>
      <c r="C1690" s="59" t="str">
        <f>IFERROR(VLOOKUP(A1690,Lookup!A:C,3,0),"")</f>
        <v/>
      </c>
      <c r="J1690" s="106">
        <f>VLOOKUP(A1690&amp;G1690,Lookup!J:N,5,0)</f>
        <v>0</v>
      </c>
      <c r="O1690" s="90">
        <f>IFERROR(VLOOKUP(A1690&amp;G1690,Lookup!J:K,2,0),"")</f>
        <v>0</v>
      </c>
      <c r="P1690" s="110" t="str">
        <f t="shared" si="106"/>
        <v/>
      </c>
      <c r="R1690" s="87" t="str">
        <f t="shared" si="107"/>
        <v/>
      </c>
      <c r="S1690" s="87" t="str">
        <f t="shared" si="108"/>
        <v/>
      </c>
    </row>
    <row r="1691" spans="2:19" x14ac:dyDescent="0.25">
      <c r="B1691" s="91" t="str">
        <f>IFERROR(VLOOKUP(A1691,Lookup!A:B,2,0),"")</f>
        <v/>
      </c>
      <c r="C1691" s="59" t="str">
        <f>IFERROR(VLOOKUP(A1691,Lookup!A:C,3,0),"")</f>
        <v/>
      </c>
      <c r="J1691" s="106">
        <f>VLOOKUP(A1691&amp;G1691,Lookup!J:N,5,0)</f>
        <v>0</v>
      </c>
      <c r="O1691" s="90">
        <f>IFERROR(VLOOKUP(A1691&amp;G1691,Lookup!J:K,2,0),"")</f>
        <v>0</v>
      </c>
      <c r="P1691" s="110" t="str">
        <f t="shared" si="106"/>
        <v/>
      </c>
      <c r="R1691" s="87" t="str">
        <f t="shared" si="107"/>
        <v/>
      </c>
      <c r="S1691" s="87" t="str">
        <f t="shared" si="108"/>
        <v/>
      </c>
    </row>
    <row r="1692" spans="2:19" x14ac:dyDescent="0.25">
      <c r="B1692" s="91" t="str">
        <f>IFERROR(VLOOKUP(A1692,Lookup!A:B,2,0),"")</f>
        <v/>
      </c>
      <c r="C1692" s="59" t="str">
        <f>IFERROR(VLOOKUP(A1692,Lookup!A:C,3,0),"")</f>
        <v/>
      </c>
      <c r="J1692" s="106">
        <f>VLOOKUP(A1692&amp;G1692,Lookup!J:N,5,0)</f>
        <v>0</v>
      </c>
      <c r="O1692" s="90">
        <f>IFERROR(VLOOKUP(A1692&amp;G1692,Lookup!J:K,2,0),"")</f>
        <v>0</v>
      </c>
      <c r="P1692" s="110" t="str">
        <f t="shared" si="106"/>
        <v/>
      </c>
      <c r="R1692" s="87" t="str">
        <f t="shared" si="107"/>
        <v/>
      </c>
      <c r="S1692" s="87" t="str">
        <f t="shared" si="108"/>
        <v/>
      </c>
    </row>
    <row r="1693" spans="2:19" x14ac:dyDescent="0.25">
      <c r="B1693" s="91" t="str">
        <f>IFERROR(VLOOKUP(A1693,Lookup!A:B,2,0),"")</f>
        <v/>
      </c>
      <c r="C1693" s="59" t="str">
        <f>IFERROR(VLOOKUP(A1693,Lookup!A:C,3,0),"")</f>
        <v/>
      </c>
      <c r="J1693" s="106">
        <f>VLOOKUP(A1693&amp;G1693,Lookup!J:N,5,0)</f>
        <v>0</v>
      </c>
      <c r="O1693" s="90">
        <f>IFERROR(VLOOKUP(A1693&amp;G1693,Lookup!J:K,2,0),"")</f>
        <v>0</v>
      </c>
      <c r="P1693" s="110" t="str">
        <f t="shared" si="106"/>
        <v/>
      </c>
      <c r="R1693" s="87" t="str">
        <f t="shared" si="107"/>
        <v/>
      </c>
      <c r="S1693" s="87" t="str">
        <f t="shared" si="108"/>
        <v/>
      </c>
    </row>
    <row r="1694" spans="2:19" x14ac:dyDescent="0.25">
      <c r="B1694" s="91" t="str">
        <f>IFERROR(VLOOKUP(A1694,Lookup!A:B,2,0),"")</f>
        <v/>
      </c>
      <c r="C1694" s="59" t="str">
        <f>IFERROR(VLOOKUP(A1694,Lookup!A:C,3,0),"")</f>
        <v/>
      </c>
      <c r="J1694" s="106">
        <f>VLOOKUP(A1694&amp;G1694,Lookup!J:N,5,0)</f>
        <v>0</v>
      </c>
      <c r="O1694" s="90">
        <f>IFERROR(VLOOKUP(A1694&amp;G1694,Lookup!J:K,2,0),"")</f>
        <v>0</v>
      </c>
      <c r="P1694" s="110" t="str">
        <f t="shared" si="106"/>
        <v/>
      </c>
      <c r="R1694" s="87" t="str">
        <f t="shared" si="107"/>
        <v/>
      </c>
      <c r="S1694" s="87" t="str">
        <f t="shared" si="108"/>
        <v/>
      </c>
    </row>
    <row r="1695" spans="2:19" x14ac:dyDescent="0.25">
      <c r="B1695" s="91" t="str">
        <f>IFERROR(VLOOKUP(A1695,Lookup!A:B,2,0),"")</f>
        <v/>
      </c>
      <c r="C1695" s="59" t="str">
        <f>IFERROR(VLOOKUP(A1695,Lookup!A:C,3,0),"")</f>
        <v/>
      </c>
      <c r="J1695" s="106">
        <f>VLOOKUP(A1695&amp;G1695,Lookup!J:N,5,0)</f>
        <v>0</v>
      </c>
      <c r="O1695" s="90">
        <f>IFERROR(VLOOKUP(A1695&amp;G1695,Lookup!J:K,2,0),"")</f>
        <v>0</v>
      </c>
      <c r="P1695" s="110" t="str">
        <f t="shared" si="106"/>
        <v/>
      </c>
      <c r="R1695" s="87" t="str">
        <f t="shared" si="107"/>
        <v/>
      </c>
      <c r="S1695" s="87" t="str">
        <f t="shared" si="108"/>
        <v/>
      </c>
    </row>
    <row r="1696" spans="2:19" x14ac:dyDescent="0.25">
      <c r="B1696" s="91" t="str">
        <f>IFERROR(VLOOKUP(A1696,Lookup!A:B,2,0),"")</f>
        <v/>
      </c>
      <c r="C1696" s="59" t="str">
        <f>IFERROR(VLOOKUP(A1696,Lookup!A:C,3,0),"")</f>
        <v/>
      </c>
      <c r="J1696" s="106">
        <f>VLOOKUP(A1696&amp;G1696,Lookup!J:N,5,0)</f>
        <v>0</v>
      </c>
      <c r="O1696" s="90">
        <f>IFERROR(VLOOKUP(A1696&amp;G1696,Lookup!J:K,2,0),"")</f>
        <v>0</v>
      </c>
      <c r="P1696" s="110" t="str">
        <f t="shared" si="106"/>
        <v/>
      </c>
      <c r="R1696" s="87" t="str">
        <f t="shared" si="107"/>
        <v/>
      </c>
      <c r="S1696" s="87" t="str">
        <f t="shared" si="108"/>
        <v/>
      </c>
    </row>
    <row r="1697" spans="2:19" x14ac:dyDescent="0.25">
      <c r="B1697" s="91" t="str">
        <f>IFERROR(VLOOKUP(A1697,Lookup!A:B,2,0),"")</f>
        <v/>
      </c>
      <c r="C1697" s="59" t="str">
        <f>IFERROR(VLOOKUP(A1697,Lookup!A:C,3,0),"")</f>
        <v/>
      </c>
      <c r="J1697" s="106">
        <f>VLOOKUP(A1697&amp;G1697,Lookup!J:N,5,0)</f>
        <v>0</v>
      </c>
      <c r="O1697" s="90">
        <f>IFERROR(VLOOKUP(A1697&amp;G1697,Lookup!J:K,2,0),"")</f>
        <v>0</v>
      </c>
      <c r="P1697" s="110" t="str">
        <f t="shared" si="106"/>
        <v/>
      </c>
      <c r="R1697" s="87" t="str">
        <f t="shared" si="107"/>
        <v/>
      </c>
      <c r="S1697" s="87" t="str">
        <f t="shared" si="108"/>
        <v/>
      </c>
    </row>
    <row r="1698" spans="2:19" x14ac:dyDescent="0.25">
      <c r="B1698" s="91" t="str">
        <f>IFERROR(VLOOKUP(A1698,Lookup!A:B,2,0),"")</f>
        <v/>
      </c>
      <c r="C1698" s="59" t="str">
        <f>IFERROR(VLOOKUP(A1698,Lookup!A:C,3,0),"")</f>
        <v/>
      </c>
      <c r="J1698" s="106">
        <f>VLOOKUP(A1698&amp;G1698,Lookup!J:N,5,0)</f>
        <v>0</v>
      </c>
      <c r="O1698" s="90">
        <f>IFERROR(VLOOKUP(A1698&amp;G1698,Lookup!J:K,2,0),"")</f>
        <v>0</v>
      </c>
      <c r="P1698" s="110" t="str">
        <f t="shared" si="106"/>
        <v/>
      </c>
      <c r="R1698" s="87" t="str">
        <f t="shared" si="107"/>
        <v/>
      </c>
      <c r="S1698" s="87" t="str">
        <f t="shared" si="108"/>
        <v/>
      </c>
    </row>
    <row r="1699" spans="2:19" x14ac:dyDescent="0.25">
      <c r="B1699" s="91" t="str">
        <f>IFERROR(VLOOKUP(A1699,Lookup!A:B,2,0),"")</f>
        <v/>
      </c>
      <c r="C1699" s="59" t="str">
        <f>IFERROR(VLOOKUP(A1699,Lookup!A:C,3,0),"")</f>
        <v/>
      </c>
      <c r="J1699" s="106">
        <f>VLOOKUP(A1699&amp;G1699,Lookup!J:N,5,0)</f>
        <v>0</v>
      </c>
      <c r="O1699" s="90">
        <f>IFERROR(VLOOKUP(A1699&amp;G1699,Lookup!J:K,2,0),"")</f>
        <v>0</v>
      </c>
      <c r="P1699" s="110" t="str">
        <f t="shared" si="106"/>
        <v/>
      </c>
      <c r="R1699" s="87" t="str">
        <f t="shared" si="107"/>
        <v/>
      </c>
      <c r="S1699" s="87" t="str">
        <f t="shared" si="108"/>
        <v/>
      </c>
    </row>
    <row r="1700" spans="2:19" x14ac:dyDescent="0.25">
      <c r="B1700" s="91" t="str">
        <f>IFERROR(VLOOKUP(A1700,Lookup!A:B,2,0),"")</f>
        <v/>
      </c>
      <c r="C1700" s="59" t="str">
        <f>IFERROR(VLOOKUP(A1700,Lookup!A:C,3,0),"")</f>
        <v/>
      </c>
      <c r="J1700" s="106">
        <f>VLOOKUP(A1700&amp;G1700,Lookup!J:N,5,0)</f>
        <v>0</v>
      </c>
      <c r="O1700" s="90">
        <f>IFERROR(VLOOKUP(A1700&amp;G1700,Lookup!J:K,2,0),"")</f>
        <v>0</v>
      </c>
      <c r="P1700" s="110" t="str">
        <f t="shared" si="106"/>
        <v/>
      </c>
      <c r="R1700" s="87" t="str">
        <f t="shared" si="107"/>
        <v/>
      </c>
      <c r="S1700" s="87" t="str">
        <f t="shared" si="108"/>
        <v/>
      </c>
    </row>
    <row r="1701" spans="2:19" x14ac:dyDescent="0.25">
      <c r="B1701" s="91" t="str">
        <f>IFERROR(VLOOKUP(A1701,Lookup!A:B,2,0),"")</f>
        <v/>
      </c>
      <c r="C1701" s="59" t="str">
        <f>IFERROR(VLOOKUP(A1701,Lookup!A:C,3,0),"")</f>
        <v/>
      </c>
      <c r="J1701" s="106">
        <f>VLOOKUP(A1701&amp;G1701,Lookup!J:N,5,0)</f>
        <v>0</v>
      </c>
      <c r="O1701" s="90">
        <f>IFERROR(VLOOKUP(A1701&amp;G1701,Lookup!J:K,2,0),"")</f>
        <v>0</v>
      </c>
      <c r="P1701" s="110" t="str">
        <f t="shared" si="106"/>
        <v/>
      </c>
      <c r="R1701" s="87" t="str">
        <f t="shared" si="107"/>
        <v/>
      </c>
      <c r="S1701" s="87" t="str">
        <f t="shared" si="108"/>
        <v/>
      </c>
    </row>
    <row r="1702" spans="2:19" x14ac:dyDescent="0.25">
      <c r="B1702" s="91" t="str">
        <f>IFERROR(VLOOKUP(A1702,Lookup!A:B,2,0),"")</f>
        <v/>
      </c>
      <c r="C1702" s="59" t="str">
        <f>IFERROR(VLOOKUP(A1702,Lookup!A:C,3,0),"")</f>
        <v/>
      </c>
      <c r="J1702" s="106">
        <f>VLOOKUP(A1702&amp;G1702,Lookup!J:N,5,0)</f>
        <v>0</v>
      </c>
      <c r="O1702" s="90">
        <f>IFERROR(VLOOKUP(A1702&amp;G1702,Lookup!J:K,2,0),"")</f>
        <v>0</v>
      </c>
      <c r="P1702" s="110" t="str">
        <f t="shared" si="106"/>
        <v/>
      </c>
      <c r="R1702" s="87" t="str">
        <f t="shared" si="107"/>
        <v/>
      </c>
      <c r="S1702" s="87" t="str">
        <f t="shared" si="108"/>
        <v/>
      </c>
    </row>
    <row r="1703" spans="2:19" x14ac:dyDescent="0.25">
      <c r="B1703" s="91" t="str">
        <f>IFERROR(VLOOKUP(A1703,Lookup!A:B,2,0),"")</f>
        <v/>
      </c>
      <c r="C1703" s="59" t="str">
        <f>IFERROR(VLOOKUP(A1703,Lookup!A:C,3,0),"")</f>
        <v/>
      </c>
      <c r="J1703" s="106">
        <f>VLOOKUP(A1703&amp;G1703,Lookup!J:N,5,0)</f>
        <v>0</v>
      </c>
      <c r="O1703" s="90">
        <f>IFERROR(VLOOKUP(A1703&amp;G1703,Lookup!J:K,2,0),"")</f>
        <v>0</v>
      </c>
      <c r="P1703" s="110" t="str">
        <f t="shared" si="106"/>
        <v/>
      </c>
      <c r="R1703" s="87" t="str">
        <f t="shared" si="107"/>
        <v/>
      </c>
      <c r="S1703" s="87" t="str">
        <f t="shared" si="108"/>
        <v/>
      </c>
    </row>
    <row r="1704" spans="2:19" x14ac:dyDescent="0.25">
      <c r="B1704" s="91" t="str">
        <f>IFERROR(VLOOKUP(A1704,Lookup!A:B,2,0),"")</f>
        <v/>
      </c>
      <c r="C1704" s="59" t="str">
        <f>IFERROR(VLOOKUP(A1704,Lookup!A:C,3,0),"")</f>
        <v/>
      </c>
      <c r="J1704" s="106">
        <f>VLOOKUP(A1704&amp;G1704,Lookup!J:N,5,0)</f>
        <v>0</v>
      </c>
      <c r="O1704" s="90">
        <f>IFERROR(VLOOKUP(A1704&amp;G1704,Lookup!J:K,2,0),"")</f>
        <v>0</v>
      </c>
      <c r="P1704" s="110" t="str">
        <f t="shared" si="106"/>
        <v/>
      </c>
      <c r="R1704" s="87" t="str">
        <f t="shared" si="107"/>
        <v/>
      </c>
      <c r="S1704" s="87" t="str">
        <f t="shared" si="108"/>
        <v/>
      </c>
    </row>
    <row r="1705" spans="2:19" x14ac:dyDescent="0.25">
      <c r="B1705" s="91" t="str">
        <f>IFERROR(VLOOKUP(A1705,Lookup!A:B,2,0),"")</f>
        <v/>
      </c>
      <c r="C1705" s="59" t="str">
        <f>IFERROR(VLOOKUP(A1705,Lookup!A:C,3,0),"")</f>
        <v/>
      </c>
      <c r="J1705" s="106">
        <f>VLOOKUP(A1705&amp;G1705,Lookup!J:N,5,0)</f>
        <v>0</v>
      </c>
      <c r="O1705" s="90">
        <f>IFERROR(VLOOKUP(A1705&amp;G1705,Lookup!J:K,2,0),"")</f>
        <v>0</v>
      </c>
      <c r="P1705" s="110" t="str">
        <f t="shared" si="106"/>
        <v/>
      </c>
      <c r="R1705" s="87" t="str">
        <f t="shared" si="107"/>
        <v/>
      </c>
      <c r="S1705" s="87" t="str">
        <f t="shared" si="108"/>
        <v/>
      </c>
    </row>
    <row r="1706" spans="2:19" x14ac:dyDescent="0.25">
      <c r="B1706" s="91" t="str">
        <f>IFERROR(VLOOKUP(A1706,Lookup!A:B,2,0),"")</f>
        <v/>
      </c>
      <c r="C1706" s="59" t="str">
        <f>IFERROR(VLOOKUP(A1706,Lookup!A:C,3,0),"")</f>
        <v/>
      </c>
      <c r="J1706" s="106">
        <f>VLOOKUP(A1706&amp;G1706,Lookup!J:N,5,0)</f>
        <v>0</v>
      </c>
      <c r="O1706" s="90">
        <f>IFERROR(VLOOKUP(A1706&amp;G1706,Lookup!J:K,2,0),"")</f>
        <v>0</v>
      </c>
      <c r="P1706" s="110" t="str">
        <f t="shared" si="106"/>
        <v/>
      </c>
      <c r="R1706" s="87" t="str">
        <f t="shared" si="107"/>
        <v/>
      </c>
      <c r="S1706" s="87" t="str">
        <f t="shared" si="108"/>
        <v/>
      </c>
    </row>
    <row r="1707" spans="2:19" x14ac:dyDescent="0.25">
      <c r="B1707" s="91" t="str">
        <f>IFERROR(VLOOKUP(A1707,Lookup!A:B,2,0),"")</f>
        <v/>
      </c>
      <c r="C1707" s="59" t="str">
        <f>IFERROR(VLOOKUP(A1707,Lookup!A:C,3,0),"")</f>
        <v/>
      </c>
      <c r="J1707" s="106">
        <f>VLOOKUP(A1707&amp;G1707,Lookup!J:N,5,0)</f>
        <v>0</v>
      </c>
      <c r="O1707" s="90">
        <f>IFERROR(VLOOKUP(A1707&amp;G1707,Lookup!J:K,2,0),"")</f>
        <v>0</v>
      </c>
      <c r="P1707" s="110" t="str">
        <f t="shared" si="106"/>
        <v/>
      </c>
      <c r="R1707" s="87" t="str">
        <f t="shared" si="107"/>
        <v/>
      </c>
      <c r="S1707" s="87" t="str">
        <f t="shared" si="108"/>
        <v/>
      </c>
    </row>
    <row r="1708" spans="2:19" x14ac:dyDescent="0.25">
      <c r="B1708" s="91" t="str">
        <f>IFERROR(VLOOKUP(A1708,Lookup!A:B,2,0),"")</f>
        <v/>
      </c>
      <c r="C1708" s="59" t="str">
        <f>IFERROR(VLOOKUP(A1708,Lookup!A:C,3,0),"")</f>
        <v/>
      </c>
      <c r="J1708" s="106">
        <f>VLOOKUP(A1708&amp;G1708,Lookup!J:N,5,0)</f>
        <v>0</v>
      </c>
      <c r="O1708" s="90">
        <f>IFERROR(VLOOKUP(A1708&amp;G1708,Lookup!J:K,2,0),"")</f>
        <v>0</v>
      </c>
      <c r="P1708" s="110" t="str">
        <f t="shared" si="106"/>
        <v/>
      </c>
      <c r="R1708" s="87" t="str">
        <f t="shared" si="107"/>
        <v/>
      </c>
      <c r="S1708" s="87" t="str">
        <f t="shared" si="108"/>
        <v/>
      </c>
    </row>
    <row r="1709" spans="2:19" x14ac:dyDescent="0.25">
      <c r="B1709" s="91" t="str">
        <f>IFERROR(VLOOKUP(A1709,Lookup!A:B,2,0),"")</f>
        <v/>
      </c>
      <c r="C1709" s="59" t="str">
        <f>IFERROR(VLOOKUP(A1709,Lookup!A:C,3,0),"")</f>
        <v/>
      </c>
      <c r="J1709" s="106">
        <f>VLOOKUP(A1709&amp;G1709,Lookup!J:N,5,0)</f>
        <v>0</v>
      </c>
      <c r="O1709" s="90">
        <f>IFERROR(VLOOKUP(A1709&amp;G1709,Lookup!J:K,2,0),"")</f>
        <v>0</v>
      </c>
      <c r="P1709" s="110" t="str">
        <f t="shared" si="106"/>
        <v/>
      </c>
      <c r="R1709" s="87" t="str">
        <f t="shared" si="107"/>
        <v/>
      </c>
      <c r="S1709" s="87" t="str">
        <f t="shared" si="108"/>
        <v/>
      </c>
    </row>
    <row r="1710" spans="2:19" x14ac:dyDescent="0.25">
      <c r="B1710" s="91" t="str">
        <f>IFERROR(VLOOKUP(A1710,Lookup!A:B,2,0),"")</f>
        <v/>
      </c>
      <c r="C1710" s="59" t="str">
        <f>IFERROR(VLOOKUP(A1710,Lookup!A:C,3,0),"")</f>
        <v/>
      </c>
      <c r="J1710" s="106">
        <f>VLOOKUP(A1710&amp;G1710,Lookup!J:N,5,0)</f>
        <v>0</v>
      </c>
      <c r="O1710" s="90">
        <f>IFERROR(VLOOKUP(A1710&amp;G1710,Lookup!J:K,2,0),"")</f>
        <v>0</v>
      </c>
      <c r="P1710" s="110" t="str">
        <f t="shared" si="106"/>
        <v/>
      </c>
      <c r="R1710" s="87" t="str">
        <f t="shared" si="107"/>
        <v/>
      </c>
      <c r="S1710" s="87" t="str">
        <f t="shared" si="108"/>
        <v/>
      </c>
    </row>
    <row r="1711" spans="2:19" x14ac:dyDescent="0.25">
      <c r="B1711" s="91" t="str">
        <f>IFERROR(VLOOKUP(A1711,Lookup!A:B,2,0),"")</f>
        <v/>
      </c>
      <c r="C1711" s="59" t="str">
        <f>IFERROR(VLOOKUP(A1711,Lookup!A:C,3,0),"")</f>
        <v/>
      </c>
      <c r="J1711" s="106">
        <f>VLOOKUP(A1711&amp;G1711,Lookup!J:N,5,0)</f>
        <v>0</v>
      </c>
      <c r="O1711" s="90">
        <f>IFERROR(VLOOKUP(A1711&amp;G1711,Lookup!J:K,2,0),"")</f>
        <v>0</v>
      </c>
      <c r="P1711" s="110" t="str">
        <f t="shared" si="106"/>
        <v/>
      </c>
      <c r="R1711" s="87" t="str">
        <f t="shared" si="107"/>
        <v/>
      </c>
      <c r="S1711" s="87" t="str">
        <f t="shared" si="108"/>
        <v/>
      </c>
    </row>
    <row r="1712" spans="2:19" x14ac:dyDescent="0.25">
      <c r="B1712" s="91" t="str">
        <f>IFERROR(VLOOKUP(A1712,Lookup!A:B,2,0),"")</f>
        <v/>
      </c>
      <c r="C1712" s="59" t="str">
        <f>IFERROR(VLOOKUP(A1712,Lookup!A:C,3,0),"")</f>
        <v/>
      </c>
      <c r="J1712" s="106">
        <f>VLOOKUP(A1712&amp;G1712,Lookup!J:N,5,0)</f>
        <v>0</v>
      </c>
      <c r="O1712" s="90">
        <f>IFERROR(VLOOKUP(A1712&amp;G1712,Lookup!J:K,2,0),"")</f>
        <v>0</v>
      </c>
      <c r="P1712" s="110" t="str">
        <f t="shared" si="106"/>
        <v/>
      </c>
      <c r="R1712" s="87" t="str">
        <f t="shared" si="107"/>
        <v/>
      </c>
      <c r="S1712" s="87" t="str">
        <f t="shared" si="108"/>
        <v/>
      </c>
    </row>
    <row r="1713" spans="2:19" x14ac:dyDescent="0.25">
      <c r="B1713" s="91" t="str">
        <f>IFERROR(VLOOKUP(A1713,Lookup!A:B,2,0),"")</f>
        <v/>
      </c>
      <c r="C1713" s="59" t="str">
        <f>IFERROR(VLOOKUP(A1713,Lookup!A:C,3,0),"")</f>
        <v/>
      </c>
      <c r="J1713" s="106">
        <f>VLOOKUP(A1713&amp;G1713,Lookup!J:N,5,0)</f>
        <v>0</v>
      </c>
      <c r="O1713" s="90">
        <f>IFERROR(VLOOKUP(A1713&amp;G1713,Lookup!J:K,2,0),"")</f>
        <v>0</v>
      </c>
      <c r="P1713" s="110" t="str">
        <f t="shared" si="106"/>
        <v/>
      </c>
      <c r="R1713" s="87" t="str">
        <f t="shared" si="107"/>
        <v/>
      </c>
      <c r="S1713" s="87" t="str">
        <f t="shared" si="108"/>
        <v/>
      </c>
    </row>
    <row r="1714" spans="2:19" x14ac:dyDescent="0.25">
      <c r="B1714" s="91" t="str">
        <f>IFERROR(VLOOKUP(A1714,Lookup!A:B,2,0),"")</f>
        <v/>
      </c>
      <c r="C1714" s="59" t="str">
        <f>IFERROR(VLOOKUP(A1714,Lookup!A:C,3,0),"")</f>
        <v/>
      </c>
      <c r="J1714" s="106">
        <f>VLOOKUP(A1714&amp;G1714,Lookup!J:N,5,0)</f>
        <v>0</v>
      </c>
      <c r="O1714" s="90">
        <f>IFERROR(VLOOKUP(A1714&amp;G1714,Lookup!J:K,2,0),"")</f>
        <v>0</v>
      </c>
      <c r="P1714" s="110" t="str">
        <f t="shared" si="106"/>
        <v/>
      </c>
      <c r="R1714" s="87" t="str">
        <f t="shared" si="107"/>
        <v/>
      </c>
      <c r="S1714" s="87" t="str">
        <f t="shared" si="108"/>
        <v/>
      </c>
    </row>
    <row r="1715" spans="2:19" x14ac:dyDescent="0.25">
      <c r="B1715" s="91" t="str">
        <f>IFERROR(VLOOKUP(A1715,Lookup!A:B,2,0),"")</f>
        <v/>
      </c>
      <c r="C1715" s="59" t="str">
        <f>IFERROR(VLOOKUP(A1715,Lookup!A:C,3,0),"")</f>
        <v/>
      </c>
      <c r="J1715" s="106">
        <f>VLOOKUP(A1715&amp;G1715,Lookup!J:N,5,0)</f>
        <v>0</v>
      </c>
      <c r="O1715" s="90">
        <f>IFERROR(VLOOKUP(A1715&amp;G1715,Lookup!J:K,2,0),"")</f>
        <v>0</v>
      </c>
      <c r="P1715" s="110" t="str">
        <f t="shared" si="106"/>
        <v/>
      </c>
      <c r="R1715" s="87" t="str">
        <f t="shared" si="107"/>
        <v/>
      </c>
      <c r="S1715" s="87" t="str">
        <f t="shared" si="108"/>
        <v/>
      </c>
    </row>
    <row r="1716" spans="2:19" x14ac:dyDescent="0.25">
      <c r="B1716" s="91" t="str">
        <f>IFERROR(VLOOKUP(A1716,Lookup!A:B,2,0),"")</f>
        <v/>
      </c>
      <c r="C1716" s="59" t="str">
        <f>IFERROR(VLOOKUP(A1716,Lookup!A:C,3,0),"")</f>
        <v/>
      </c>
      <c r="J1716" s="106">
        <f>VLOOKUP(A1716&amp;G1716,Lookup!J:N,5,0)</f>
        <v>0</v>
      </c>
      <c r="O1716" s="90">
        <f>IFERROR(VLOOKUP(A1716&amp;G1716,Lookup!J:K,2,0),"")</f>
        <v>0</v>
      </c>
      <c r="P1716" s="110" t="str">
        <f t="shared" si="106"/>
        <v/>
      </c>
      <c r="R1716" s="87" t="str">
        <f t="shared" si="107"/>
        <v/>
      </c>
      <c r="S1716" s="87" t="str">
        <f t="shared" si="108"/>
        <v/>
      </c>
    </row>
    <row r="1717" spans="2:19" x14ac:dyDescent="0.25">
      <c r="B1717" s="91" t="str">
        <f>IFERROR(VLOOKUP(A1717,Lookup!A:B,2,0),"")</f>
        <v/>
      </c>
      <c r="C1717" s="59" t="str">
        <f>IFERROR(VLOOKUP(A1717,Lookup!A:C,3,0),"")</f>
        <v/>
      </c>
      <c r="J1717" s="106">
        <f>VLOOKUP(A1717&amp;G1717,Lookup!J:N,5,0)</f>
        <v>0</v>
      </c>
      <c r="O1717" s="90">
        <f>IFERROR(VLOOKUP(A1717&amp;G1717,Lookup!J:K,2,0),"")</f>
        <v>0</v>
      </c>
      <c r="P1717" s="110" t="str">
        <f t="shared" si="106"/>
        <v/>
      </c>
      <c r="R1717" s="87" t="str">
        <f t="shared" si="107"/>
        <v/>
      </c>
      <c r="S1717" s="87" t="str">
        <f t="shared" si="108"/>
        <v/>
      </c>
    </row>
    <row r="1718" spans="2:19" x14ac:dyDescent="0.25">
      <c r="B1718" s="91" t="str">
        <f>IFERROR(VLOOKUP(A1718,Lookup!A:B,2,0),"")</f>
        <v/>
      </c>
      <c r="C1718" s="59" t="str">
        <f>IFERROR(VLOOKUP(A1718,Lookup!A:C,3,0),"")</f>
        <v/>
      </c>
      <c r="J1718" s="106">
        <f>VLOOKUP(A1718&amp;G1718,Lookup!J:N,5,0)</f>
        <v>0</v>
      </c>
      <c r="O1718" s="90">
        <f>IFERROR(VLOOKUP(A1718&amp;G1718,Lookup!J:K,2,0),"")</f>
        <v>0</v>
      </c>
      <c r="P1718" s="110" t="str">
        <f t="shared" si="106"/>
        <v/>
      </c>
      <c r="R1718" s="87" t="str">
        <f t="shared" si="107"/>
        <v/>
      </c>
      <c r="S1718" s="87" t="str">
        <f t="shared" si="108"/>
        <v/>
      </c>
    </row>
    <row r="1719" spans="2:19" x14ac:dyDescent="0.25">
      <c r="B1719" s="91" t="str">
        <f>IFERROR(VLOOKUP(A1719,Lookup!A:B,2,0),"")</f>
        <v/>
      </c>
      <c r="C1719" s="59" t="str">
        <f>IFERROR(VLOOKUP(A1719,Lookup!A:C,3,0),"")</f>
        <v/>
      </c>
      <c r="J1719" s="106">
        <f>VLOOKUP(A1719&amp;G1719,Lookup!J:N,5,0)</f>
        <v>0</v>
      </c>
      <c r="O1719" s="90">
        <f>IFERROR(VLOOKUP(A1719&amp;G1719,Lookup!J:K,2,0),"")</f>
        <v>0</v>
      </c>
      <c r="P1719" s="110" t="str">
        <f t="shared" si="106"/>
        <v/>
      </c>
      <c r="R1719" s="87" t="str">
        <f t="shared" si="107"/>
        <v/>
      </c>
      <c r="S1719" s="87" t="str">
        <f t="shared" si="108"/>
        <v/>
      </c>
    </row>
    <row r="1720" spans="2:19" x14ac:dyDescent="0.25">
      <c r="B1720" s="91" t="str">
        <f>IFERROR(VLOOKUP(A1720,Lookup!A:B,2,0),"")</f>
        <v/>
      </c>
      <c r="C1720" s="59" t="str">
        <f>IFERROR(VLOOKUP(A1720,Lookup!A:C,3,0),"")</f>
        <v/>
      </c>
      <c r="J1720" s="106">
        <f>VLOOKUP(A1720&amp;G1720,Lookup!J:N,5,0)</f>
        <v>0</v>
      </c>
      <c r="O1720" s="90">
        <f>IFERROR(VLOOKUP(A1720&amp;G1720,Lookup!J:K,2,0),"")</f>
        <v>0</v>
      </c>
      <c r="P1720" s="110" t="str">
        <f t="shared" si="106"/>
        <v/>
      </c>
      <c r="R1720" s="87" t="str">
        <f t="shared" si="107"/>
        <v/>
      </c>
      <c r="S1720" s="87" t="str">
        <f t="shared" si="108"/>
        <v/>
      </c>
    </row>
    <row r="1721" spans="2:19" x14ac:dyDescent="0.25">
      <c r="B1721" s="91" t="str">
        <f>IFERROR(VLOOKUP(A1721,Lookup!A:B,2,0),"")</f>
        <v/>
      </c>
      <c r="C1721" s="59" t="str">
        <f>IFERROR(VLOOKUP(A1721,Lookup!A:C,3,0),"")</f>
        <v/>
      </c>
      <c r="J1721" s="106">
        <f>VLOOKUP(A1721&amp;G1721,Lookup!J:N,5,0)</f>
        <v>0</v>
      </c>
      <c r="O1721" s="90">
        <f>IFERROR(VLOOKUP(A1721&amp;G1721,Lookup!J:K,2,0),"")</f>
        <v>0</v>
      </c>
      <c r="P1721" s="110" t="str">
        <f t="shared" si="106"/>
        <v/>
      </c>
      <c r="R1721" s="87" t="str">
        <f t="shared" si="107"/>
        <v/>
      </c>
      <c r="S1721" s="87" t="str">
        <f t="shared" si="108"/>
        <v/>
      </c>
    </row>
    <row r="1722" spans="2:19" x14ac:dyDescent="0.25">
      <c r="B1722" s="91" t="str">
        <f>IFERROR(VLOOKUP(A1722,Lookup!A:B,2,0),"")</f>
        <v/>
      </c>
      <c r="C1722" s="59" t="str">
        <f>IFERROR(VLOOKUP(A1722,Lookup!A:C,3,0),"")</f>
        <v/>
      </c>
      <c r="J1722" s="106">
        <f>VLOOKUP(A1722&amp;G1722,Lookup!J:N,5,0)</f>
        <v>0</v>
      </c>
      <c r="O1722" s="90">
        <f>IFERROR(VLOOKUP(A1722&amp;G1722,Lookup!J:K,2,0),"")</f>
        <v>0</v>
      </c>
      <c r="P1722" s="110" t="str">
        <f t="shared" si="106"/>
        <v/>
      </c>
      <c r="R1722" s="87" t="str">
        <f t="shared" si="107"/>
        <v/>
      </c>
      <c r="S1722" s="87" t="str">
        <f t="shared" si="108"/>
        <v/>
      </c>
    </row>
    <row r="1723" spans="2:19" x14ac:dyDescent="0.25">
      <c r="B1723" s="91" t="str">
        <f>IFERROR(VLOOKUP(A1723,Lookup!A:B,2,0),"")</f>
        <v/>
      </c>
      <c r="C1723" s="59" t="str">
        <f>IFERROR(VLOOKUP(A1723,Lookup!A:C,3,0),"")</f>
        <v/>
      </c>
      <c r="J1723" s="106">
        <f>VLOOKUP(A1723&amp;G1723,Lookup!J:N,5,0)</f>
        <v>0</v>
      </c>
      <c r="O1723" s="90">
        <f>IFERROR(VLOOKUP(A1723&amp;G1723,Lookup!J:K,2,0),"")</f>
        <v>0</v>
      </c>
      <c r="P1723" s="110" t="str">
        <f t="shared" si="106"/>
        <v/>
      </c>
      <c r="R1723" s="87" t="str">
        <f t="shared" si="107"/>
        <v/>
      </c>
      <c r="S1723" s="87" t="str">
        <f t="shared" si="108"/>
        <v/>
      </c>
    </row>
    <row r="1724" spans="2:19" x14ac:dyDescent="0.25">
      <c r="B1724" s="91" t="str">
        <f>IFERROR(VLOOKUP(A1724,Lookup!A:B,2,0),"")</f>
        <v/>
      </c>
      <c r="C1724" s="59" t="str">
        <f>IFERROR(VLOOKUP(A1724,Lookup!A:C,3,0),"")</f>
        <v/>
      </c>
      <c r="J1724" s="106">
        <f>VLOOKUP(A1724&amp;G1724,Lookup!J:N,5,0)</f>
        <v>0</v>
      </c>
      <c r="O1724" s="90">
        <f>IFERROR(VLOOKUP(A1724&amp;G1724,Lookup!J:K,2,0),"")</f>
        <v>0</v>
      </c>
      <c r="P1724" s="110" t="str">
        <f t="shared" si="106"/>
        <v/>
      </c>
      <c r="R1724" s="87" t="str">
        <f t="shared" si="107"/>
        <v/>
      </c>
      <c r="S1724" s="87" t="str">
        <f t="shared" si="108"/>
        <v/>
      </c>
    </row>
    <row r="1725" spans="2:19" x14ac:dyDescent="0.25">
      <c r="B1725" s="91" t="str">
        <f>IFERROR(VLOOKUP(A1725,Lookup!A:B,2,0),"")</f>
        <v/>
      </c>
      <c r="C1725" s="59" t="str">
        <f>IFERROR(VLOOKUP(A1725,Lookup!A:C,3,0),"")</f>
        <v/>
      </c>
      <c r="J1725" s="106">
        <f>VLOOKUP(A1725&amp;G1725,Lookup!J:N,5,0)</f>
        <v>0</v>
      </c>
      <c r="O1725" s="90">
        <f>IFERROR(VLOOKUP(A1725&amp;G1725,Lookup!J:K,2,0),"")</f>
        <v>0</v>
      </c>
      <c r="P1725" s="110" t="str">
        <f t="shared" si="106"/>
        <v/>
      </c>
      <c r="R1725" s="87" t="str">
        <f t="shared" si="107"/>
        <v/>
      </c>
      <c r="S1725" s="87" t="str">
        <f t="shared" si="108"/>
        <v/>
      </c>
    </row>
    <row r="1726" spans="2:19" x14ac:dyDescent="0.25">
      <c r="B1726" s="91" t="str">
        <f>IFERROR(VLOOKUP(A1726,Lookup!A:B,2,0),"")</f>
        <v/>
      </c>
      <c r="C1726" s="59" t="str">
        <f>IFERROR(VLOOKUP(A1726,Lookup!A:C,3,0),"")</f>
        <v/>
      </c>
      <c r="J1726" s="106">
        <f>VLOOKUP(A1726&amp;G1726,Lookup!J:N,5,0)</f>
        <v>0</v>
      </c>
      <c r="O1726" s="90">
        <f>IFERROR(VLOOKUP(A1726&amp;G1726,Lookup!J:K,2,0),"")</f>
        <v>0</v>
      </c>
      <c r="P1726" s="110" t="str">
        <f t="shared" si="106"/>
        <v/>
      </c>
      <c r="R1726" s="87" t="str">
        <f t="shared" si="107"/>
        <v/>
      </c>
      <c r="S1726" s="87" t="str">
        <f t="shared" si="108"/>
        <v/>
      </c>
    </row>
    <row r="1727" spans="2:19" x14ac:dyDescent="0.25">
      <c r="B1727" s="91" t="str">
        <f>IFERROR(VLOOKUP(A1727,Lookup!A:B,2,0),"")</f>
        <v/>
      </c>
      <c r="C1727" s="59" t="str">
        <f>IFERROR(VLOOKUP(A1727,Lookup!A:C,3,0),"")</f>
        <v/>
      </c>
      <c r="J1727" s="106">
        <f>VLOOKUP(A1727&amp;G1727,Lookup!J:N,5,0)</f>
        <v>0</v>
      </c>
      <c r="O1727" s="90">
        <f>IFERROR(VLOOKUP(A1727&amp;G1727,Lookup!J:K,2,0),"")</f>
        <v>0</v>
      </c>
      <c r="P1727" s="110" t="str">
        <f t="shared" si="106"/>
        <v/>
      </c>
      <c r="R1727" s="87" t="str">
        <f t="shared" si="107"/>
        <v/>
      </c>
      <c r="S1727" s="87" t="str">
        <f t="shared" si="108"/>
        <v/>
      </c>
    </row>
    <row r="1728" spans="2:19" x14ac:dyDescent="0.25">
      <c r="B1728" s="91" t="str">
        <f>IFERROR(VLOOKUP(A1728,Lookup!A:B,2,0),"")</f>
        <v/>
      </c>
      <c r="C1728" s="59" t="str">
        <f>IFERROR(VLOOKUP(A1728,Lookup!A:C,3,0),"")</f>
        <v/>
      </c>
      <c r="J1728" s="106">
        <f>VLOOKUP(A1728&amp;G1728,Lookup!J:N,5,0)</f>
        <v>0</v>
      </c>
      <c r="O1728" s="90">
        <f>IFERROR(VLOOKUP(A1728&amp;G1728,Lookup!J:K,2,0),"")</f>
        <v>0</v>
      </c>
      <c r="P1728" s="110" t="str">
        <f t="shared" si="106"/>
        <v/>
      </c>
      <c r="R1728" s="87" t="str">
        <f t="shared" si="107"/>
        <v/>
      </c>
      <c r="S1728" s="87" t="str">
        <f t="shared" si="108"/>
        <v/>
      </c>
    </row>
    <row r="1729" spans="2:19" x14ac:dyDescent="0.25">
      <c r="B1729" s="91" t="str">
        <f>IFERROR(VLOOKUP(A1729,Lookup!A:B,2,0),"")</f>
        <v/>
      </c>
      <c r="C1729" s="59" t="str">
        <f>IFERROR(VLOOKUP(A1729,Lookup!A:C,3,0),"")</f>
        <v/>
      </c>
      <c r="J1729" s="106">
        <f>VLOOKUP(A1729&amp;G1729,Lookup!J:N,5,0)</f>
        <v>0</v>
      </c>
      <c r="O1729" s="90">
        <f>IFERROR(VLOOKUP(A1729&amp;G1729,Lookup!J:K,2,0),"")</f>
        <v>0</v>
      </c>
      <c r="P1729" s="110" t="str">
        <f t="shared" si="106"/>
        <v/>
      </c>
      <c r="R1729" s="87" t="str">
        <f t="shared" si="107"/>
        <v/>
      </c>
      <c r="S1729" s="87" t="str">
        <f t="shared" si="108"/>
        <v/>
      </c>
    </row>
    <row r="1730" spans="2:19" x14ac:dyDescent="0.25">
      <c r="B1730" s="91" t="str">
        <f>IFERROR(VLOOKUP(A1730,Lookup!A:B,2,0),"")</f>
        <v/>
      </c>
      <c r="C1730" s="59" t="str">
        <f>IFERROR(VLOOKUP(A1730,Lookup!A:C,3,0),"")</f>
        <v/>
      </c>
      <c r="J1730" s="106">
        <f>VLOOKUP(A1730&amp;G1730,Lookup!J:N,5,0)</f>
        <v>0</v>
      </c>
      <c r="O1730" s="90">
        <f>IFERROR(VLOOKUP(A1730&amp;G1730,Lookup!J:K,2,0),"")</f>
        <v>0</v>
      </c>
      <c r="P1730" s="110" t="str">
        <f t="shared" ref="P1730:P1793" si="109">IF(N1730="","",N1730+O1730)</f>
        <v/>
      </c>
      <c r="R1730" s="87" t="str">
        <f t="shared" si="107"/>
        <v/>
      </c>
      <c r="S1730" s="87" t="str">
        <f t="shared" si="108"/>
        <v/>
      </c>
    </row>
    <row r="1731" spans="2:19" x14ac:dyDescent="0.25">
      <c r="B1731" s="91" t="str">
        <f>IFERROR(VLOOKUP(A1731,Lookup!A:B,2,0),"")</f>
        <v/>
      </c>
      <c r="C1731" s="59" t="str">
        <f>IFERROR(VLOOKUP(A1731,Lookup!A:C,3,0),"")</f>
        <v/>
      </c>
      <c r="J1731" s="106">
        <f>VLOOKUP(A1731&amp;G1731,Lookup!J:N,5,0)</f>
        <v>0</v>
      </c>
      <c r="O1731" s="90">
        <f>IFERROR(VLOOKUP(A1731&amp;G1731,Lookup!J:K,2,0),"")</f>
        <v>0</v>
      </c>
      <c r="P1731" s="110" t="str">
        <f t="shared" si="109"/>
        <v/>
      </c>
      <c r="R1731" s="87" t="str">
        <f t="shared" ref="R1731:R1794" si="110">IF(OR(EXACT(N1731,""), EXACT(L1731,"")),"",N1731-L1731)</f>
        <v/>
      </c>
      <c r="S1731" s="87" t="str">
        <f t="shared" si="108"/>
        <v/>
      </c>
    </row>
    <row r="1732" spans="2:19" x14ac:dyDescent="0.25">
      <c r="B1732" s="91" t="str">
        <f>IFERROR(VLOOKUP(A1732,Lookup!A:B,2,0),"")</f>
        <v/>
      </c>
      <c r="C1732" s="59" t="str">
        <f>IFERROR(VLOOKUP(A1732,Lookup!A:C,3,0),"")</f>
        <v/>
      </c>
      <c r="J1732" s="106">
        <f>VLOOKUP(A1732&amp;G1732,Lookup!J:N,5,0)</f>
        <v>0</v>
      </c>
      <c r="O1732" s="90">
        <f>IFERROR(VLOOKUP(A1732&amp;G1732,Lookup!J:K,2,0),"")</f>
        <v>0</v>
      </c>
      <c r="P1732" s="110" t="str">
        <f t="shared" si="109"/>
        <v/>
      </c>
      <c r="R1732" s="87" t="str">
        <f t="shared" si="110"/>
        <v/>
      </c>
      <c r="S1732" s="87" t="str">
        <f t="shared" ref="S1732:S1795" si="111">IF(OR(EXACT(Q1732,""), EXACT(L1732,"")),"",Q1732-L1732)</f>
        <v/>
      </c>
    </row>
    <row r="1733" spans="2:19" x14ac:dyDescent="0.25">
      <c r="B1733" s="91" t="str">
        <f>IFERROR(VLOOKUP(A1733,Lookup!A:B,2,0),"")</f>
        <v/>
      </c>
      <c r="C1733" s="59" t="str">
        <f>IFERROR(VLOOKUP(A1733,Lookup!A:C,3,0),"")</f>
        <v/>
      </c>
      <c r="J1733" s="106">
        <f>VLOOKUP(A1733&amp;G1733,Lookup!J:N,5,0)</f>
        <v>0</v>
      </c>
      <c r="O1733" s="90">
        <f>IFERROR(VLOOKUP(A1733&amp;G1733,Lookup!J:K,2,0),"")</f>
        <v>0</v>
      </c>
      <c r="P1733" s="110" t="str">
        <f t="shared" si="109"/>
        <v/>
      </c>
      <c r="R1733" s="87" t="str">
        <f t="shared" si="110"/>
        <v/>
      </c>
      <c r="S1733" s="87" t="str">
        <f t="shared" si="111"/>
        <v/>
      </c>
    </row>
    <row r="1734" spans="2:19" x14ac:dyDescent="0.25">
      <c r="B1734" s="91" t="str">
        <f>IFERROR(VLOOKUP(A1734,Lookup!A:B,2,0),"")</f>
        <v/>
      </c>
      <c r="C1734" s="59" t="str">
        <f>IFERROR(VLOOKUP(A1734,Lookup!A:C,3,0),"")</f>
        <v/>
      </c>
      <c r="J1734" s="106">
        <f>VLOOKUP(A1734&amp;G1734,Lookup!J:N,5,0)</f>
        <v>0</v>
      </c>
      <c r="O1734" s="90">
        <f>IFERROR(VLOOKUP(A1734&amp;G1734,Lookup!J:K,2,0),"")</f>
        <v>0</v>
      </c>
      <c r="P1734" s="110" t="str">
        <f t="shared" si="109"/>
        <v/>
      </c>
      <c r="R1734" s="87" t="str">
        <f t="shared" si="110"/>
        <v/>
      </c>
      <c r="S1734" s="87" t="str">
        <f t="shared" si="111"/>
        <v/>
      </c>
    </row>
    <row r="1735" spans="2:19" x14ac:dyDescent="0.25">
      <c r="B1735" s="91" t="str">
        <f>IFERROR(VLOOKUP(A1735,Lookup!A:B,2,0),"")</f>
        <v/>
      </c>
      <c r="C1735" s="59" t="str">
        <f>IFERROR(VLOOKUP(A1735,Lookup!A:C,3,0),"")</f>
        <v/>
      </c>
      <c r="J1735" s="106">
        <f>VLOOKUP(A1735&amp;G1735,Lookup!J:N,5,0)</f>
        <v>0</v>
      </c>
      <c r="O1735" s="90">
        <f>IFERROR(VLOOKUP(A1735&amp;G1735,Lookup!J:K,2,0),"")</f>
        <v>0</v>
      </c>
      <c r="P1735" s="110" t="str">
        <f t="shared" si="109"/>
        <v/>
      </c>
      <c r="R1735" s="87" t="str">
        <f t="shared" si="110"/>
        <v/>
      </c>
      <c r="S1735" s="87" t="str">
        <f t="shared" si="111"/>
        <v/>
      </c>
    </row>
    <row r="1736" spans="2:19" x14ac:dyDescent="0.25">
      <c r="B1736" s="91" t="str">
        <f>IFERROR(VLOOKUP(A1736,Lookup!A:B,2,0),"")</f>
        <v/>
      </c>
      <c r="C1736" s="59" t="str">
        <f>IFERROR(VLOOKUP(A1736,Lookup!A:C,3,0),"")</f>
        <v/>
      </c>
      <c r="J1736" s="106">
        <f>VLOOKUP(A1736&amp;G1736,Lookup!J:N,5,0)</f>
        <v>0</v>
      </c>
      <c r="O1736" s="90">
        <f>IFERROR(VLOOKUP(A1736&amp;G1736,Lookup!J:K,2,0),"")</f>
        <v>0</v>
      </c>
      <c r="P1736" s="110" t="str">
        <f t="shared" si="109"/>
        <v/>
      </c>
      <c r="R1736" s="87" t="str">
        <f t="shared" si="110"/>
        <v/>
      </c>
      <c r="S1736" s="87" t="str">
        <f t="shared" si="111"/>
        <v/>
      </c>
    </row>
    <row r="1737" spans="2:19" x14ac:dyDescent="0.25">
      <c r="B1737" s="91" t="str">
        <f>IFERROR(VLOOKUP(A1737,Lookup!A:B,2,0),"")</f>
        <v/>
      </c>
      <c r="C1737" s="59" t="str">
        <f>IFERROR(VLOOKUP(A1737,Lookup!A:C,3,0),"")</f>
        <v/>
      </c>
      <c r="J1737" s="106">
        <f>VLOOKUP(A1737&amp;G1737,Lookup!J:N,5,0)</f>
        <v>0</v>
      </c>
      <c r="O1737" s="90">
        <f>IFERROR(VLOOKUP(A1737&amp;G1737,Lookup!J:K,2,0),"")</f>
        <v>0</v>
      </c>
      <c r="P1737" s="110" t="str">
        <f t="shared" si="109"/>
        <v/>
      </c>
      <c r="R1737" s="87" t="str">
        <f t="shared" si="110"/>
        <v/>
      </c>
      <c r="S1737" s="87" t="str">
        <f t="shared" si="111"/>
        <v/>
      </c>
    </row>
    <row r="1738" spans="2:19" x14ac:dyDescent="0.25">
      <c r="B1738" s="91" t="str">
        <f>IFERROR(VLOOKUP(A1738,Lookup!A:B,2,0),"")</f>
        <v/>
      </c>
      <c r="C1738" s="59" t="str">
        <f>IFERROR(VLOOKUP(A1738,Lookup!A:C,3,0),"")</f>
        <v/>
      </c>
      <c r="J1738" s="106">
        <f>VLOOKUP(A1738&amp;G1738,Lookup!J:N,5,0)</f>
        <v>0</v>
      </c>
      <c r="O1738" s="90">
        <f>IFERROR(VLOOKUP(A1738&amp;G1738,Lookup!J:K,2,0),"")</f>
        <v>0</v>
      </c>
      <c r="P1738" s="110" t="str">
        <f t="shared" si="109"/>
        <v/>
      </c>
      <c r="R1738" s="87" t="str">
        <f t="shared" si="110"/>
        <v/>
      </c>
      <c r="S1738" s="87" t="str">
        <f t="shared" si="111"/>
        <v/>
      </c>
    </row>
    <row r="1739" spans="2:19" x14ac:dyDescent="0.25">
      <c r="B1739" s="91" t="str">
        <f>IFERROR(VLOOKUP(A1739,Lookup!A:B,2,0),"")</f>
        <v/>
      </c>
      <c r="C1739" s="59" t="str">
        <f>IFERROR(VLOOKUP(A1739,Lookup!A:C,3,0),"")</f>
        <v/>
      </c>
      <c r="J1739" s="106">
        <f>VLOOKUP(A1739&amp;G1739,Lookup!J:N,5,0)</f>
        <v>0</v>
      </c>
      <c r="O1739" s="90">
        <f>IFERROR(VLOOKUP(A1739&amp;G1739,Lookup!J:K,2,0),"")</f>
        <v>0</v>
      </c>
      <c r="P1739" s="110" t="str">
        <f t="shared" si="109"/>
        <v/>
      </c>
      <c r="R1739" s="87" t="str">
        <f t="shared" si="110"/>
        <v/>
      </c>
      <c r="S1739" s="87" t="str">
        <f t="shared" si="111"/>
        <v/>
      </c>
    </row>
    <row r="1740" spans="2:19" x14ac:dyDescent="0.25">
      <c r="B1740" s="91" t="str">
        <f>IFERROR(VLOOKUP(A1740,Lookup!A:B,2,0),"")</f>
        <v/>
      </c>
      <c r="C1740" s="59" t="str">
        <f>IFERROR(VLOOKUP(A1740,Lookup!A:C,3,0),"")</f>
        <v/>
      </c>
      <c r="J1740" s="106">
        <f>VLOOKUP(A1740&amp;G1740,Lookup!J:N,5,0)</f>
        <v>0</v>
      </c>
      <c r="O1740" s="90">
        <f>IFERROR(VLOOKUP(A1740&amp;G1740,Lookup!J:K,2,0),"")</f>
        <v>0</v>
      </c>
      <c r="P1740" s="110" t="str">
        <f t="shared" si="109"/>
        <v/>
      </c>
      <c r="R1740" s="87" t="str">
        <f t="shared" si="110"/>
        <v/>
      </c>
      <c r="S1740" s="87" t="str">
        <f t="shared" si="111"/>
        <v/>
      </c>
    </row>
    <row r="1741" spans="2:19" x14ac:dyDescent="0.25">
      <c r="B1741" s="91" t="str">
        <f>IFERROR(VLOOKUP(A1741,Lookup!A:B,2,0),"")</f>
        <v/>
      </c>
      <c r="C1741" s="59" t="str">
        <f>IFERROR(VLOOKUP(A1741,Lookup!A:C,3,0),"")</f>
        <v/>
      </c>
      <c r="J1741" s="106">
        <f>VLOOKUP(A1741&amp;G1741,Lookup!J:N,5,0)</f>
        <v>0</v>
      </c>
      <c r="O1741" s="90">
        <f>IFERROR(VLOOKUP(A1741&amp;G1741,Lookup!J:K,2,0),"")</f>
        <v>0</v>
      </c>
      <c r="P1741" s="110" t="str">
        <f t="shared" si="109"/>
        <v/>
      </c>
      <c r="R1741" s="87" t="str">
        <f t="shared" si="110"/>
        <v/>
      </c>
      <c r="S1741" s="87" t="str">
        <f t="shared" si="111"/>
        <v/>
      </c>
    </row>
    <row r="1742" spans="2:19" x14ac:dyDescent="0.25">
      <c r="B1742" s="91" t="str">
        <f>IFERROR(VLOOKUP(A1742,Lookup!A:B,2,0),"")</f>
        <v/>
      </c>
      <c r="C1742" s="59" t="str">
        <f>IFERROR(VLOOKUP(A1742,Lookup!A:C,3,0),"")</f>
        <v/>
      </c>
      <c r="J1742" s="106">
        <f>VLOOKUP(A1742&amp;G1742,Lookup!J:N,5,0)</f>
        <v>0</v>
      </c>
      <c r="O1742" s="90">
        <f>IFERROR(VLOOKUP(A1742&amp;G1742,Lookup!J:K,2,0),"")</f>
        <v>0</v>
      </c>
      <c r="P1742" s="110" t="str">
        <f t="shared" si="109"/>
        <v/>
      </c>
      <c r="R1742" s="87" t="str">
        <f t="shared" si="110"/>
        <v/>
      </c>
      <c r="S1742" s="87" t="str">
        <f t="shared" si="111"/>
        <v/>
      </c>
    </row>
    <row r="1743" spans="2:19" x14ac:dyDescent="0.25">
      <c r="B1743" s="91" t="str">
        <f>IFERROR(VLOOKUP(A1743,Lookup!A:B,2,0),"")</f>
        <v/>
      </c>
      <c r="C1743" s="59" t="str">
        <f>IFERROR(VLOOKUP(A1743,Lookup!A:C,3,0),"")</f>
        <v/>
      </c>
      <c r="J1743" s="106">
        <f>VLOOKUP(A1743&amp;G1743,Lookup!J:N,5,0)</f>
        <v>0</v>
      </c>
      <c r="O1743" s="90">
        <f>IFERROR(VLOOKUP(A1743&amp;G1743,Lookup!J:K,2,0),"")</f>
        <v>0</v>
      </c>
      <c r="P1743" s="110" t="str">
        <f t="shared" si="109"/>
        <v/>
      </c>
      <c r="R1743" s="87" t="str">
        <f t="shared" si="110"/>
        <v/>
      </c>
      <c r="S1743" s="87" t="str">
        <f t="shared" si="111"/>
        <v/>
      </c>
    </row>
    <row r="1744" spans="2:19" x14ac:dyDescent="0.25">
      <c r="B1744" s="91" t="str">
        <f>IFERROR(VLOOKUP(A1744,Lookup!A:B,2,0),"")</f>
        <v/>
      </c>
      <c r="C1744" s="59" t="str">
        <f>IFERROR(VLOOKUP(A1744,Lookup!A:C,3,0),"")</f>
        <v/>
      </c>
      <c r="J1744" s="106">
        <f>VLOOKUP(A1744&amp;G1744,Lookup!J:N,5,0)</f>
        <v>0</v>
      </c>
      <c r="O1744" s="90">
        <f>IFERROR(VLOOKUP(A1744&amp;G1744,Lookup!J:K,2,0),"")</f>
        <v>0</v>
      </c>
      <c r="P1744" s="110" t="str">
        <f t="shared" si="109"/>
        <v/>
      </c>
      <c r="R1744" s="87" t="str">
        <f t="shared" si="110"/>
        <v/>
      </c>
      <c r="S1744" s="87" t="str">
        <f t="shared" si="111"/>
        <v/>
      </c>
    </row>
    <row r="1745" spans="2:19" x14ac:dyDescent="0.25">
      <c r="B1745" s="91" t="str">
        <f>IFERROR(VLOOKUP(A1745,Lookup!A:B,2,0),"")</f>
        <v/>
      </c>
      <c r="C1745" s="59" t="str">
        <f>IFERROR(VLOOKUP(A1745,Lookup!A:C,3,0),"")</f>
        <v/>
      </c>
      <c r="J1745" s="106">
        <f>VLOOKUP(A1745&amp;G1745,Lookup!J:N,5,0)</f>
        <v>0</v>
      </c>
      <c r="O1745" s="90">
        <f>IFERROR(VLOOKUP(A1745&amp;G1745,Lookup!J:K,2,0),"")</f>
        <v>0</v>
      </c>
      <c r="P1745" s="110" t="str">
        <f t="shared" si="109"/>
        <v/>
      </c>
      <c r="R1745" s="87" t="str">
        <f t="shared" si="110"/>
        <v/>
      </c>
      <c r="S1745" s="87" t="str">
        <f t="shared" si="111"/>
        <v/>
      </c>
    </row>
    <row r="1746" spans="2:19" x14ac:dyDescent="0.25">
      <c r="B1746" s="91" t="str">
        <f>IFERROR(VLOOKUP(A1746,Lookup!A:B,2,0),"")</f>
        <v/>
      </c>
      <c r="C1746" s="59" t="str">
        <f>IFERROR(VLOOKUP(A1746,Lookup!A:C,3,0),"")</f>
        <v/>
      </c>
      <c r="J1746" s="106">
        <f>VLOOKUP(A1746&amp;G1746,Lookup!J:N,5,0)</f>
        <v>0</v>
      </c>
      <c r="O1746" s="90">
        <f>IFERROR(VLOOKUP(A1746&amp;G1746,Lookup!J:K,2,0),"")</f>
        <v>0</v>
      </c>
      <c r="P1746" s="110" t="str">
        <f t="shared" si="109"/>
        <v/>
      </c>
      <c r="R1746" s="87" t="str">
        <f t="shared" si="110"/>
        <v/>
      </c>
      <c r="S1746" s="87" t="str">
        <f t="shared" si="111"/>
        <v/>
      </c>
    </row>
    <row r="1747" spans="2:19" x14ac:dyDescent="0.25">
      <c r="B1747" s="91" t="str">
        <f>IFERROR(VLOOKUP(A1747,Lookup!A:B,2,0),"")</f>
        <v/>
      </c>
      <c r="C1747" s="59" t="str">
        <f>IFERROR(VLOOKUP(A1747,Lookup!A:C,3,0),"")</f>
        <v/>
      </c>
      <c r="J1747" s="106">
        <f>VLOOKUP(A1747&amp;G1747,Lookup!J:N,5,0)</f>
        <v>0</v>
      </c>
      <c r="O1747" s="90">
        <f>IFERROR(VLOOKUP(A1747&amp;G1747,Lookup!J:K,2,0),"")</f>
        <v>0</v>
      </c>
      <c r="P1747" s="110" t="str">
        <f t="shared" si="109"/>
        <v/>
      </c>
      <c r="R1747" s="87" t="str">
        <f t="shared" si="110"/>
        <v/>
      </c>
      <c r="S1747" s="87" t="str">
        <f t="shared" si="111"/>
        <v/>
      </c>
    </row>
    <row r="1748" spans="2:19" x14ac:dyDescent="0.25">
      <c r="B1748" s="91" t="str">
        <f>IFERROR(VLOOKUP(A1748,Lookup!A:B,2,0),"")</f>
        <v/>
      </c>
      <c r="C1748" s="59" t="str">
        <f>IFERROR(VLOOKUP(A1748,Lookup!A:C,3,0),"")</f>
        <v/>
      </c>
      <c r="J1748" s="106">
        <f>VLOOKUP(A1748&amp;G1748,Lookup!J:N,5,0)</f>
        <v>0</v>
      </c>
      <c r="O1748" s="90">
        <f>IFERROR(VLOOKUP(A1748&amp;G1748,Lookup!J:K,2,0),"")</f>
        <v>0</v>
      </c>
      <c r="P1748" s="110" t="str">
        <f t="shared" si="109"/>
        <v/>
      </c>
      <c r="R1748" s="87" t="str">
        <f t="shared" si="110"/>
        <v/>
      </c>
      <c r="S1748" s="87" t="str">
        <f t="shared" si="111"/>
        <v/>
      </c>
    </row>
    <row r="1749" spans="2:19" x14ac:dyDescent="0.25">
      <c r="B1749" s="91" t="str">
        <f>IFERROR(VLOOKUP(A1749,Lookup!A:B,2,0),"")</f>
        <v/>
      </c>
      <c r="C1749" s="59" t="str">
        <f>IFERROR(VLOOKUP(A1749,Lookup!A:C,3,0),"")</f>
        <v/>
      </c>
      <c r="J1749" s="106">
        <f>VLOOKUP(A1749&amp;G1749,Lookup!J:N,5,0)</f>
        <v>0</v>
      </c>
      <c r="O1749" s="90">
        <f>IFERROR(VLOOKUP(A1749&amp;G1749,Lookup!J:K,2,0),"")</f>
        <v>0</v>
      </c>
      <c r="P1749" s="110" t="str">
        <f t="shared" si="109"/>
        <v/>
      </c>
      <c r="R1749" s="87" t="str">
        <f t="shared" si="110"/>
        <v/>
      </c>
      <c r="S1749" s="87" t="str">
        <f t="shared" si="111"/>
        <v/>
      </c>
    </row>
    <row r="1750" spans="2:19" x14ac:dyDescent="0.25">
      <c r="B1750" s="91" t="str">
        <f>IFERROR(VLOOKUP(A1750,Lookup!A:B,2,0),"")</f>
        <v/>
      </c>
      <c r="C1750" s="59" t="str">
        <f>IFERROR(VLOOKUP(A1750,Lookup!A:C,3,0),"")</f>
        <v/>
      </c>
      <c r="J1750" s="106">
        <f>VLOOKUP(A1750&amp;G1750,Lookup!J:N,5,0)</f>
        <v>0</v>
      </c>
      <c r="O1750" s="90">
        <f>IFERROR(VLOOKUP(A1750&amp;G1750,Lookup!J:K,2,0),"")</f>
        <v>0</v>
      </c>
      <c r="P1750" s="110" t="str">
        <f t="shared" si="109"/>
        <v/>
      </c>
      <c r="R1750" s="87" t="str">
        <f t="shared" si="110"/>
        <v/>
      </c>
      <c r="S1750" s="87" t="str">
        <f t="shared" si="111"/>
        <v/>
      </c>
    </row>
    <row r="1751" spans="2:19" x14ac:dyDescent="0.25">
      <c r="B1751" s="91" t="str">
        <f>IFERROR(VLOOKUP(A1751,Lookup!A:B,2,0),"")</f>
        <v/>
      </c>
      <c r="C1751" s="59" t="str">
        <f>IFERROR(VLOOKUP(A1751,Lookup!A:C,3,0),"")</f>
        <v/>
      </c>
      <c r="J1751" s="106">
        <f>VLOOKUP(A1751&amp;G1751,Lookup!J:N,5,0)</f>
        <v>0</v>
      </c>
      <c r="O1751" s="90">
        <f>IFERROR(VLOOKUP(A1751&amp;G1751,Lookup!J:K,2,0),"")</f>
        <v>0</v>
      </c>
      <c r="P1751" s="110" t="str">
        <f t="shared" si="109"/>
        <v/>
      </c>
      <c r="R1751" s="87" t="str">
        <f t="shared" si="110"/>
        <v/>
      </c>
      <c r="S1751" s="87" t="str">
        <f t="shared" si="111"/>
        <v/>
      </c>
    </row>
    <row r="1752" spans="2:19" x14ac:dyDescent="0.25">
      <c r="B1752" s="91" t="str">
        <f>IFERROR(VLOOKUP(A1752,Lookup!A:B,2,0),"")</f>
        <v/>
      </c>
      <c r="C1752" s="59" t="str">
        <f>IFERROR(VLOOKUP(A1752,Lookup!A:C,3,0),"")</f>
        <v/>
      </c>
      <c r="J1752" s="106">
        <f>VLOOKUP(A1752&amp;G1752,Lookup!J:N,5,0)</f>
        <v>0</v>
      </c>
      <c r="O1752" s="90">
        <f>IFERROR(VLOOKUP(A1752&amp;G1752,Lookup!J:K,2,0),"")</f>
        <v>0</v>
      </c>
      <c r="P1752" s="110" t="str">
        <f t="shared" si="109"/>
        <v/>
      </c>
      <c r="R1752" s="87" t="str">
        <f t="shared" si="110"/>
        <v/>
      </c>
      <c r="S1752" s="87" t="str">
        <f t="shared" si="111"/>
        <v/>
      </c>
    </row>
    <row r="1753" spans="2:19" x14ac:dyDescent="0.25">
      <c r="B1753" s="91" t="str">
        <f>IFERROR(VLOOKUP(A1753,Lookup!A:B,2,0),"")</f>
        <v/>
      </c>
      <c r="C1753" s="59" t="str">
        <f>IFERROR(VLOOKUP(A1753,Lookup!A:C,3,0),"")</f>
        <v/>
      </c>
      <c r="J1753" s="106">
        <f>VLOOKUP(A1753&amp;G1753,Lookup!J:N,5,0)</f>
        <v>0</v>
      </c>
      <c r="O1753" s="90">
        <f>IFERROR(VLOOKUP(A1753&amp;G1753,Lookup!J:K,2,0),"")</f>
        <v>0</v>
      </c>
      <c r="P1753" s="110" t="str">
        <f t="shared" si="109"/>
        <v/>
      </c>
      <c r="R1753" s="87" t="str">
        <f t="shared" si="110"/>
        <v/>
      </c>
      <c r="S1753" s="87" t="str">
        <f t="shared" si="111"/>
        <v/>
      </c>
    </row>
    <row r="1754" spans="2:19" x14ac:dyDescent="0.25">
      <c r="B1754" s="91" t="str">
        <f>IFERROR(VLOOKUP(A1754,Lookup!A:B,2,0),"")</f>
        <v/>
      </c>
      <c r="C1754" s="59" t="str">
        <f>IFERROR(VLOOKUP(A1754,Lookup!A:C,3,0),"")</f>
        <v/>
      </c>
      <c r="J1754" s="106">
        <f>VLOOKUP(A1754&amp;G1754,Lookup!J:N,5,0)</f>
        <v>0</v>
      </c>
      <c r="O1754" s="90">
        <f>IFERROR(VLOOKUP(A1754&amp;G1754,Lookup!J:K,2,0),"")</f>
        <v>0</v>
      </c>
      <c r="P1754" s="110" t="str">
        <f t="shared" si="109"/>
        <v/>
      </c>
      <c r="R1754" s="87" t="str">
        <f t="shared" si="110"/>
        <v/>
      </c>
      <c r="S1754" s="87" t="str">
        <f t="shared" si="111"/>
        <v/>
      </c>
    </row>
    <row r="1755" spans="2:19" x14ac:dyDescent="0.25">
      <c r="B1755" s="91" t="str">
        <f>IFERROR(VLOOKUP(A1755,Lookup!A:B,2,0),"")</f>
        <v/>
      </c>
      <c r="C1755" s="59" t="str">
        <f>IFERROR(VLOOKUP(A1755,Lookup!A:C,3,0),"")</f>
        <v/>
      </c>
      <c r="J1755" s="106">
        <f>VLOOKUP(A1755&amp;G1755,Lookup!J:N,5,0)</f>
        <v>0</v>
      </c>
      <c r="O1755" s="90">
        <f>IFERROR(VLOOKUP(A1755&amp;G1755,Lookup!J:K,2,0),"")</f>
        <v>0</v>
      </c>
      <c r="P1755" s="110" t="str">
        <f t="shared" si="109"/>
        <v/>
      </c>
      <c r="R1755" s="87" t="str">
        <f t="shared" si="110"/>
        <v/>
      </c>
      <c r="S1755" s="87" t="str">
        <f t="shared" si="111"/>
        <v/>
      </c>
    </row>
    <row r="1756" spans="2:19" x14ac:dyDescent="0.25">
      <c r="B1756" s="91" t="str">
        <f>IFERROR(VLOOKUP(A1756,Lookup!A:B,2,0),"")</f>
        <v/>
      </c>
      <c r="C1756" s="59" t="str">
        <f>IFERROR(VLOOKUP(A1756,Lookup!A:C,3,0),"")</f>
        <v/>
      </c>
      <c r="J1756" s="106">
        <f>VLOOKUP(A1756&amp;G1756,Lookup!J:N,5,0)</f>
        <v>0</v>
      </c>
      <c r="O1756" s="90">
        <f>IFERROR(VLOOKUP(A1756&amp;G1756,Lookup!J:K,2,0),"")</f>
        <v>0</v>
      </c>
      <c r="P1756" s="110" t="str">
        <f t="shared" si="109"/>
        <v/>
      </c>
      <c r="R1756" s="87" t="str">
        <f t="shared" si="110"/>
        <v/>
      </c>
      <c r="S1756" s="87" t="str">
        <f t="shared" si="111"/>
        <v/>
      </c>
    </row>
    <row r="1757" spans="2:19" x14ac:dyDescent="0.25">
      <c r="B1757" s="91" t="str">
        <f>IFERROR(VLOOKUP(A1757,Lookup!A:B,2,0),"")</f>
        <v/>
      </c>
      <c r="C1757" s="59" t="str">
        <f>IFERROR(VLOOKUP(A1757,Lookup!A:C,3,0),"")</f>
        <v/>
      </c>
      <c r="J1757" s="106">
        <f>VLOOKUP(A1757&amp;G1757,Lookup!J:N,5,0)</f>
        <v>0</v>
      </c>
      <c r="O1757" s="90">
        <f>IFERROR(VLOOKUP(A1757&amp;G1757,Lookup!J:K,2,0),"")</f>
        <v>0</v>
      </c>
      <c r="P1757" s="110" t="str">
        <f t="shared" si="109"/>
        <v/>
      </c>
      <c r="R1757" s="87" t="str">
        <f t="shared" si="110"/>
        <v/>
      </c>
      <c r="S1757" s="87" t="str">
        <f t="shared" si="111"/>
        <v/>
      </c>
    </row>
    <row r="1758" spans="2:19" x14ac:dyDescent="0.25">
      <c r="B1758" s="91" t="str">
        <f>IFERROR(VLOOKUP(A1758,Lookup!A:B,2,0),"")</f>
        <v/>
      </c>
      <c r="C1758" s="59" t="str">
        <f>IFERROR(VLOOKUP(A1758,Lookup!A:C,3,0),"")</f>
        <v/>
      </c>
      <c r="J1758" s="106">
        <f>VLOOKUP(A1758&amp;G1758,Lookup!J:N,5,0)</f>
        <v>0</v>
      </c>
      <c r="O1758" s="90">
        <f>IFERROR(VLOOKUP(A1758&amp;G1758,Lookup!J:K,2,0),"")</f>
        <v>0</v>
      </c>
      <c r="P1758" s="110" t="str">
        <f t="shared" si="109"/>
        <v/>
      </c>
      <c r="R1758" s="87" t="str">
        <f t="shared" si="110"/>
        <v/>
      </c>
      <c r="S1758" s="87" t="str">
        <f t="shared" si="111"/>
        <v/>
      </c>
    </row>
    <row r="1759" spans="2:19" x14ac:dyDescent="0.25">
      <c r="B1759" s="91" t="str">
        <f>IFERROR(VLOOKUP(A1759,Lookup!A:B,2,0),"")</f>
        <v/>
      </c>
      <c r="C1759" s="59" t="str">
        <f>IFERROR(VLOOKUP(A1759,Lookup!A:C,3,0),"")</f>
        <v/>
      </c>
      <c r="J1759" s="106">
        <f>VLOOKUP(A1759&amp;G1759,Lookup!J:N,5,0)</f>
        <v>0</v>
      </c>
      <c r="O1759" s="90">
        <f>IFERROR(VLOOKUP(A1759&amp;G1759,Lookup!J:K,2,0),"")</f>
        <v>0</v>
      </c>
      <c r="P1759" s="110" t="str">
        <f t="shared" si="109"/>
        <v/>
      </c>
      <c r="R1759" s="87" t="str">
        <f t="shared" si="110"/>
        <v/>
      </c>
      <c r="S1759" s="87" t="str">
        <f t="shared" si="111"/>
        <v/>
      </c>
    </row>
    <row r="1760" spans="2:19" x14ac:dyDescent="0.25">
      <c r="B1760" s="91" t="str">
        <f>IFERROR(VLOOKUP(A1760,Lookup!A:B,2,0),"")</f>
        <v/>
      </c>
      <c r="C1760" s="59" t="str">
        <f>IFERROR(VLOOKUP(A1760,Lookup!A:C,3,0),"")</f>
        <v/>
      </c>
      <c r="J1760" s="106">
        <f>VLOOKUP(A1760&amp;G1760,Lookup!J:N,5,0)</f>
        <v>0</v>
      </c>
      <c r="O1760" s="90">
        <f>IFERROR(VLOOKUP(A1760&amp;G1760,Lookup!J:K,2,0),"")</f>
        <v>0</v>
      </c>
      <c r="P1760" s="110" t="str">
        <f t="shared" si="109"/>
        <v/>
      </c>
      <c r="R1760" s="87" t="str">
        <f t="shared" si="110"/>
        <v/>
      </c>
      <c r="S1760" s="87" t="str">
        <f t="shared" si="111"/>
        <v/>
      </c>
    </row>
    <row r="1761" spans="2:19" x14ac:dyDescent="0.25">
      <c r="B1761" s="91" t="str">
        <f>IFERROR(VLOOKUP(A1761,Lookup!A:B,2,0),"")</f>
        <v/>
      </c>
      <c r="C1761" s="59" t="str">
        <f>IFERROR(VLOOKUP(A1761,Lookup!A:C,3,0),"")</f>
        <v/>
      </c>
      <c r="J1761" s="106">
        <f>VLOOKUP(A1761&amp;G1761,Lookup!J:N,5,0)</f>
        <v>0</v>
      </c>
      <c r="O1761" s="90">
        <f>IFERROR(VLOOKUP(A1761&amp;G1761,Lookup!J:K,2,0),"")</f>
        <v>0</v>
      </c>
      <c r="P1761" s="110" t="str">
        <f t="shared" si="109"/>
        <v/>
      </c>
      <c r="R1761" s="87" t="str">
        <f t="shared" si="110"/>
        <v/>
      </c>
      <c r="S1761" s="87" t="str">
        <f t="shared" si="111"/>
        <v/>
      </c>
    </row>
    <row r="1762" spans="2:19" x14ac:dyDescent="0.25">
      <c r="B1762" s="91" t="str">
        <f>IFERROR(VLOOKUP(A1762,Lookup!A:B,2,0),"")</f>
        <v/>
      </c>
      <c r="C1762" s="59" t="str">
        <f>IFERROR(VLOOKUP(A1762,Lookup!A:C,3,0),"")</f>
        <v/>
      </c>
      <c r="J1762" s="106">
        <f>VLOOKUP(A1762&amp;G1762,Lookup!J:N,5,0)</f>
        <v>0</v>
      </c>
      <c r="O1762" s="90">
        <f>IFERROR(VLOOKUP(A1762&amp;G1762,Lookup!J:K,2,0),"")</f>
        <v>0</v>
      </c>
      <c r="P1762" s="110" t="str">
        <f t="shared" si="109"/>
        <v/>
      </c>
      <c r="R1762" s="87" t="str">
        <f t="shared" si="110"/>
        <v/>
      </c>
      <c r="S1762" s="87" t="str">
        <f t="shared" si="111"/>
        <v/>
      </c>
    </row>
    <row r="1763" spans="2:19" x14ac:dyDescent="0.25">
      <c r="B1763" s="91" t="str">
        <f>IFERROR(VLOOKUP(A1763,Lookup!A:B,2,0),"")</f>
        <v/>
      </c>
      <c r="C1763" s="59" t="str">
        <f>IFERROR(VLOOKUP(A1763,Lookup!A:C,3,0),"")</f>
        <v/>
      </c>
      <c r="J1763" s="106">
        <f>VLOOKUP(A1763&amp;G1763,Lookup!J:N,5,0)</f>
        <v>0</v>
      </c>
      <c r="O1763" s="90">
        <f>IFERROR(VLOOKUP(A1763&amp;G1763,Lookup!J:K,2,0),"")</f>
        <v>0</v>
      </c>
      <c r="P1763" s="110" t="str">
        <f t="shared" si="109"/>
        <v/>
      </c>
      <c r="R1763" s="87" t="str">
        <f t="shared" si="110"/>
        <v/>
      </c>
      <c r="S1763" s="87" t="str">
        <f t="shared" si="111"/>
        <v/>
      </c>
    </row>
    <row r="1764" spans="2:19" x14ac:dyDescent="0.25">
      <c r="B1764" s="91" t="str">
        <f>IFERROR(VLOOKUP(A1764,Lookup!A:B,2,0),"")</f>
        <v/>
      </c>
      <c r="C1764" s="59" t="str">
        <f>IFERROR(VLOOKUP(A1764,Lookup!A:C,3,0),"")</f>
        <v/>
      </c>
      <c r="J1764" s="106">
        <f>VLOOKUP(A1764&amp;G1764,Lookup!J:N,5,0)</f>
        <v>0</v>
      </c>
      <c r="O1764" s="90">
        <f>IFERROR(VLOOKUP(A1764&amp;G1764,Lookup!J:K,2,0),"")</f>
        <v>0</v>
      </c>
      <c r="P1764" s="110" t="str">
        <f t="shared" si="109"/>
        <v/>
      </c>
      <c r="R1764" s="87" t="str">
        <f t="shared" si="110"/>
        <v/>
      </c>
      <c r="S1764" s="87" t="str">
        <f t="shared" si="111"/>
        <v/>
      </c>
    </row>
    <row r="1765" spans="2:19" x14ac:dyDescent="0.25">
      <c r="B1765" s="91" t="str">
        <f>IFERROR(VLOOKUP(A1765,Lookup!A:B,2,0),"")</f>
        <v/>
      </c>
      <c r="C1765" s="59" t="str">
        <f>IFERROR(VLOOKUP(A1765,Lookup!A:C,3,0),"")</f>
        <v/>
      </c>
      <c r="J1765" s="106">
        <f>VLOOKUP(A1765&amp;G1765,Lookup!J:N,5,0)</f>
        <v>0</v>
      </c>
      <c r="O1765" s="90">
        <f>IFERROR(VLOOKUP(A1765&amp;G1765,Lookup!J:K,2,0),"")</f>
        <v>0</v>
      </c>
      <c r="P1765" s="110" t="str">
        <f t="shared" si="109"/>
        <v/>
      </c>
      <c r="R1765" s="87" t="str">
        <f t="shared" si="110"/>
        <v/>
      </c>
      <c r="S1765" s="87" t="str">
        <f t="shared" si="111"/>
        <v/>
      </c>
    </row>
    <row r="1766" spans="2:19" x14ac:dyDescent="0.25">
      <c r="B1766" s="91" t="str">
        <f>IFERROR(VLOOKUP(A1766,Lookup!A:B,2,0),"")</f>
        <v/>
      </c>
      <c r="C1766" s="59" t="str">
        <f>IFERROR(VLOOKUP(A1766,Lookup!A:C,3,0),"")</f>
        <v/>
      </c>
      <c r="J1766" s="106">
        <f>VLOOKUP(A1766&amp;G1766,Lookup!J:N,5,0)</f>
        <v>0</v>
      </c>
      <c r="O1766" s="90">
        <f>IFERROR(VLOOKUP(A1766&amp;G1766,Lookup!J:K,2,0),"")</f>
        <v>0</v>
      </c>
      <c r="P1766" s="110" t="str">
        <f t="shared" si="109"/>
        <v/>
      </c>
      <c r="R1766" s="87" t="str">
        <f t="shared" si="110"/>
        <v/>
      </c>
      <c r="S1766" s="87" t="str">
        <f t="shared" si="111"/>
        <v/>
      </c>
    </row>
    <row r="1767" spans="2:19" x14ac:dyDescent="0.25">
      <c r="B1767" s="91" t="str">
        <f>IFERROR(VLOOKUP(A1767,Lookup!A:B,2,0),"")</f>
        <v/>
      </c>
      <c r="C1767" s="59" t="str">
        <f>IFERROR(VLOOKUP(A1767,Lookup!A:C,3,0),"")</f>
        <v/>
      </c>
      <c r="J1767" s="106">
        <f>VLOOKUP(A1767&amp;G1767,Lookup!J:N,5,0)</f>
        <v>0</v>
      </c>
      <c r="O1767" s="90">
        <f>IFERROR(VLOOKUP(A1767&amp;G1767,Lookup!J:K,2,0),"")</f>
        <v>0</v>
      </c>
      <c r="P1767" s="110" t="str">
        <f t="shared" si="109"/>
        <v/>
      </c>
      <c r="R1767" s="87" t="str">
        <f t="shared" si="110"/>
        <v/>
      </c>
      <c r="S1767" s="87" t="str">
        <f t="shared" si="111"/>
        <v/>
      </c>
    </row>
    <row r="1768" spans="2:19" x14ac:dyDescent="0.25">
      <c r="B1768" s="91" t="str">
        <f>IFERROR(VLOOKUP(A1768,Lookup!A:B,2,0),"")</f>
        <v/>
      </c>
      <c r="C1768" s="59" t="str">
        <f>IFERROR(VLOOKUP(A1768,Lookup!A:C,3,0),"")</f>
        <v/>
      </c>
      <c r="J1768" s="106">
        <f>VLOOKUP(A1768&amp;G1768,Lookup!J:N,5,0)</f>
        <v>0</v>
      </c>
      <c r="O1768" s="90">
        <f>IFERROR(VLOOKUP(A1768&amp;G1768,Lookup!J:K,2,0),"")</f>
        <v>0</v>
      </c>
      <c r="P1768" s="110" t="str">
        <f t="shared" si="109"/>
        <v/>
      </c>
      <c r="R1768" s="87" t="str">
        <f t="shared" si="110"/>
        <v/>
      </c>
      <c r="S1768" s="87" t="str">
        <f t="shared" si="111"/>
        <v/>
      </c>
    </row>
    <row r="1769" spans="2:19" x14ac:dyDescent="0.25">
      <c r="B1769" s="91" t="str">
        <f>IFERROR(VLOOKUP(A1769,Lookup!A:B,2,0),"")</f>
        <v/>
      </c>
      <c r="C1769" s="59" t="str">
        <f>IFERROR(VLOOKUP(A1769,Lookup!A:C,3,0),"")</f>
        <v/>
      </c>
      <c r="J1769" s="106">
        <f>VLOOKUP(A1769&amp;G1769,Lookup!J:N,5,0)</f>
        <v>0</v>
      </c>
      <c r="O1769" s="90">
        <f>IFERROR(VLOOKUP(A1769&amp;G1769,Lookup!J:K,2,0),"")</f>
        <v>0</v>
      </c>
      <c r="P1769" s="110" t="str">
        <f t="shared" si="109"/>
        <v/>
      </c>
      <c r="R1769" s="87" t="str">
        <f t="shared" si="110"/>
        <v/>
      </c>
      <c r="S1769" s="87" t="str">
        <f t="shared" si="111"/>
        <v/>
      </c>
    </row>
    <row r="1770" spans="2:19" x14ac:dyDescent="0.25">
      <c r="B1770" s="91" t="str">
        <f>IFERROR(VLOOKUP(A1770,Lookup!A:B,2,0),"")</f>
        <v/>
      </c>
      <c r="C1770" s="59" t="str">
        <f>IFERROR(VLOOKUP(A1770,Lookup!A:C,3,0),"")</f>
        <v/>
      </c>
      <c r="J1770" s="106">
        <f>VLOOKUP(A1770&amp;G1770,Lookup!J:N,5,0)</f>
        <v>0</v>
      </c>
      <c r="O1770" s="90">
        <f>IFERROR(VLOOKUP(A1770&amp;G1770,Lookup!J:K,2,0),"")</f>
        <v>0</v>
      </c>
      <c r="P1770" s="110" t="str">
        <f t="shared" si="109"/>
        <v/>
      </c>
      <c r="R1770" s="87" t="str">
        <f t="shared" si="110"/>
        <v/>
      </c>
      <c r="S1770" s="87" t="str">
        <f t="shared" si="111"/>
        <v/>
      </c>
    </row>
    <row r="1771" spans="2:19" x14ac:dyDescent="0.25">
      <c r="B1771" s="91" t="str">
        <f>IFERROR(VLOOKUP(A1771,Lookup!A:B,2,0),"")</f>
        <v/>
      </c>
      <c r="C1771" s="59" t="str">
        <f>IFERROR(VLOOKUP(A1771,Lookup!A:C,3,0),"")</f>
        <v/>
      </c>
      <c r="J1771" s="106">
        <f>VLOOKUP(A1771&amp;G1771,Lookup!J:N,5,0)</f>
        <v>0</v>
      </c>
      <c r="O1771" s="90">
        <f>IFERROR(VLOOKUP(A1771&amp;G1771,Lookup!J:K,2,0),"")</f>
        <v>0</v>
      </c>
      <c r="P1771" s="110" t="str">
        <f t="shared" si="109"/>
        <v/>
      </c>
      <c r="R1771" s="87" t="str">
        <f t="shared" si="110"/>
        <v/>
      </c>
      <c r="S1771" s="87" t="str">
        <f t="shared" si="111"/>
        <v/>
      </c>
    </row>
    <row r="1772" spans="2:19" x14ac:dyDescent="0.25">
      <c r="B1772" s="91" t="str">
        <f>IFERROR(VLOOKUP(A1772,Lookup!A:B,2,0),"")</f>
        <v/>
      </c>
      <c r="C1772" s="59" t="str">
        <f>IFERROR(VLOOKUP(A1772,Lookup!A:C,3,0),"")</f>
        <v/>
      </c>
      <c r="J1772" s="106">
        <f>VLOOKUP(A1772&amp;G1772,Lookup!J:N,5,0)</f>
        <v>0</v>
      </c>
      <c r="O1772" s="90">
        <f>IFERROR(VLOOKUP(A1772&amp;G1772,Lookup!J:K,2,0),"")</f>
        <v>0</v>
      </c>
      <c r="P1772" s="110" t="str">
        <f t="shared" si="109"/>
        <v/>
      </c>
      <c r="R1772" s="87" t="str">
        <f t="shared" si="110"/>
        <v/>
      </c>
      <c r="S1772" s="87" t="str">
        <f t="shared" si="111"/>
        <v/>
      </c>
    </row>
    <row r="1773" spans="2:19" x14ac:dyDescent="0.25">
      <c r="B1773" s="91" t="str">
        <f>IFERROR(VLOOKUP(A1773,Lookup!A:B,2,0),"")</f>
        <v/>
      </c>
      <c r="C1773" s="59" t="str">
        <f>IFERROR(VLOOKUP(A1773,Lookup!A:C,3,0),"")</f>
        <v/>
      </c>
      <c r="J1773" s="106">
        <f>VLOOKUP(A1773&amp;G1773,Lookup!J:N,5,0)</f>
        <v>0</v>
      </c>
      <c r="O1773" s="90">
        <f>IFERROR(VLOOKUP(A1773&amp;G1773,Lookup!J:K,2,0),"")</f>
        <v>0</v>
      </c>
      <c r="P1773" s="110" t="str">
        <f t="shared" si="109"/>
        <v/>
      </c>
      <c r="R1773" s="87" t="str">
        <f t="shared" si="110"/>
        <v/>
      </c>
      <c r="S1773" s="87" t="str">
        <f t="shared" si="111"/>
        <v/>
      </c>
    </row>
    <row r="1774" spans="2:19" x14ac:dyDescent="0.25">
      <c r="B1774" s="91" t="str">
        <f>IFERROR(VLOOKUP(A1774,Lookup!A:B,2,0),"")</f>
        <v/>
      </c>
      <c r="C1774" s="59" t="str">
        <f>IFERROR(VLOOKUP(A1774,Lookup!A:C,3,0),"")</f>
        <v/>
      </c>
      <c r="J1774" s="106">
        <f>VLOOKUP(A1774&amp;G1774,Lookup!J:N,5,0)</f>
        <v>0</v>
      </c>
      <c r="O1774" s="90">
        <f>IFERROR(VLOOKUP(A1774&amp;G1774,Lookup!J:K,2,0),"")</f>
        <v>0</v>
      </c>
      <c r="P1774" s="110" t="str">
        <f t="shared" si="109"/>
        <v/>
      </c>
      <c r="R1774" s="87" t="str">
        <f t="shared" si="110"/>
        <v/>
      </c>
      <c r="S1774" s="87" t="str">
        <f t="shared" si="111"/>
        <v/>
      </c>
    </row>
    <row r="1775" spans="2:19" x14ac:dyDescent="0.25">
      <c r="B1775" s="91" t="str">
        <f>IFERROR(VLOOKUP(A1775,Lookup!A:B,2,0),"")</f>
        <v/>
      </c>
      <c r="C1775" s="59" t="str">
        <f>IFERROR(VLOOKUP(A1775,Lookup!A:C,3,0),"")</f>
        <v/>
      </c>
      <c r="J1775" s="106">
        <f>VLOOKUP(A1775&amp;G1775,Lookup!J:N,5,0)</f>
        <v>0</v>
      </c>
      <c r="O1775" s="90">
        <f>IFERROR(VLOOKUP(A1775&amp;G1775,Lookup!J:K,2,0),"")</f>
        <v>0</v>
      </c>
      <c r="P1775" s="110" t="str">
        <f t="shared" si="109"/>
        <v/>
      </c>
      <c r="R1775" s="87" t="str">
        <f t="shared" si="110"/>
        <v/>
      </c>
      <c r="S1775" s="87" t="str">
        <f t="shared" si="111"/>
        <v/>
      </c>
    </row>
    <row r="1776" spans="2:19" x14ac:dyDescent="0.25">
      <c r="B1776" s="91" t="str">
        <f>IFERROR(VLOOKUP(A1776,Lookup!A:B,2,0),"")</f>
        <v/>
      </c>
      <c r="C1776" s="59" t="str">
        <f>IFERROR(VLOOKUP(A1776,Lookup!A:C,3,0),"")</f>
        <v/>
      </c>
      <c r="J1776" s="106">
        <f>VLOOKUP(A1776&amp;G1776,Lookup!J:N,5,0)</f>
        <v>0</v>
      </c>
      <c r="O1776" s="90">
        <f>IFERROR(VLOOKUP(A1776&amp;G1776,Lookup!J:K,2,0),"")</f>
        <v>0</v>
      </c>
      <c r="P1776" s="110" t="str">
        <f t="shared" si="109"/>
        <v/>
      </c>
      <c r="R1776" s="87" t="str">
        <f t="shared" si="110"/>
        <v/>
      </c>
      <c r="S1776" s="87" t="str">
        <f t="shared" si="111"/>
        <v/>
      </c>
    </row>
    <row r="1777" spans="2:19" x14ac:dyDescent="0.25">
      <c r="B1777" s="91" t="str">
        <f>IFERROR(VLOOKUP(A1777,Lookup!A:B,2,0),"")</f>
        <v/>
      </c>
      <c r="C1777" s="59" t="str">
        <f>IFERROR(VLOOKUP(A1777,Lookup!A:C,3,0),"")</f>
        <v/>
      </c>
      <c r="J1777" s="106">
        <f>VLOOKUP(A1777&amp;G1777,Lookup!J:N,5,0)</f>
        <v>0</v>
      </c>
      <c r="O1777" s="90">
        <f>IFERROR(VLOOKUP(A1777&amp;G1777,Lookup!J:K,2,0),"")</f>
        <v>0</v>
      </c>
      <c r="P1777" s="110" t="str">
        <f t="shared" si="109"/>
        <v/>
      </c>
      <c r="R1777" s="87" t="str">
        <f t="shared" si="110"/>
        <v/>
      </c>
      <c r="S1777" s="87" t="str">
        <f t="shared" si="111"/>
        <v/>
      </c>
    </row>
    <row r="1778" spans="2:19" x14ac:dyDescent="0.25">
      <c r="B1778" s="91" t="str">
        <f>IFERROR(VLOOKUP(A1778,Lookup!A:B,2,0),"")</f>
        <v/>
      </c>
      <c r="C1778" s="59" t="str">
        <f>IFERROR(VLOOKUP(A1778,Lookup!A:C,3,0),"")</f>
        <v/>
      </c>
      <c r="J1778" s="106">
        <f>VLOOKUP(A1778&amp;G1778,Lookup!J:N,5,0)</f>
        <v>0</v>
      </c>
      <c r="O1778" s="90">
        <f>IFERROR(VLOOKUP(A1778&amp;G1778,Lookup!J:K,2,0),"")</f>
        <v>0</v>
      </c>
      <c r="P1778" s="110" t="str">
        <f t="shared" si="109"/>
        <v/>
      </c>
      <c r="R1778" s="87" t="str">
        <f t="shared" si="110"/>
        <v/>
      </c>
      <c r="S1778" s="87" t="str">
        <f t="shared" si="111"/>
        <v/>
      </c>
    </row>
    <row r="1779" spans="2:19" x14ac:dyDescent="0.25">
      <c r="B1779" s="91" t="str">
        <f>IFERROR(VLOOKUP(A1779,Lookup!A:B,2,0),"")</f>
        <v/>
      </c>
      <c r="C1779" s="59" t="str">
        <f>IFERROR(VLOOKUP(A1779,Lookup!A:C,3,0),"")</f>
        <v/>
      </c>
      <c r="J1779" s="106">
        <f>VLOOKUP(A1779&amp;G1779,Lookup!J:N,5,0)</f>
        <v>0</v>
      </c>
      <c r="O1779" s="90">
        <f>IFERROR(VLOOKUP(A1779&amp;G1779,Lookup!J:K,2,0),"")</f>
        <v>0</v>
      </c>
      <c r="P1779" s="110" t="str">
        <f t="shared" si="109"/>
        <v/>
      </c>
      <c r="R1779" s="87" t="str">
        <f t="shared" si="110"/>
        <v/>
      </c>
      <c r="S1779" s="87" t="str">
        <f t="shared" si="111"/>
        <v/>
      </c>
    </row>
    <row r="1780" spans="2:19" x14ac:dyDescent="0.25">
      <c r="B1780" s="91" t="str">
        <f>IFERROR(VLOOKUP(A1780,Lookup!A:B,2,0),"")</f>
        <v/>
      </c>
      <c r="C1780" s="59" t="str">
        <f>IFERROR(VLOOKUP(A1780,Lookup!A:C,3,0),"")</f>
        <v/>
      </c>
      <c r="J1780" s="106">
        <f>VLOOKUP(A1780&amp;G1780,Lookup!J:N,5,0)</f>
        <v>0</v>
      </c>
      <c r="O1780" s="90">
        <f>IFERROR(VLOOKUP(A1780&amp;G1780,Lookup!J:K,2,0),"")</f>
        <v>0</v>
      </c>
      <c r="P1780" s="110" t="str">
        <f t="shared" si="109"/>
        <v/>
      </c>
      <c r="R1780" s="87" t="str">
        <f t="shared" si="110"/>
        <v/>
      </c>
      <c r="S1780" s="87" t="str">
        <f t="shared" si="111"/>
        <v/>
      </c>
    </row>
    <row r="1781" spans="2:19" x14ac:dyDescent="0.25">
      <c r="B1781" s="91" t="str">
        <f>IFERROR(VLOOKUP(A1781,Lookup!A:B,2,0),"")</f>
        <v/>
      </c>
      <c r="C1781" s="59" t="str">
        <f>IFERROR(VLOOKUP(A1781,Lookup!A:C,3,0),"")</f>
        <v/>
      </c>
      <c r="J1781" s="106">
        <f>VLOOKUP(A1781&amp;G1781,Lookup!J:N,5,0)</f>
        <v>0</v>
      </c>
      <c r="O1781" s="90">
        <f>IFERROR(VLOOKUP(A1781&amp;G1781,Lookup!J:K,2,0),"")</f>
        <v>0</v>
      </c>
      <c r="P1781" s="110" t="str">
        <f t="shared" si="109"/>
        <v/>
      </c>
      <c r="R1781" s="87" t="str">
        <f t="shared" si="110"/>
        <v/>
      </c>
      <c r="S1781" s="87" t="str">
        <f t="shared" si="111"/>
        <v/>
      </c>
    </row>
    <row r="1782" spans="2:19" x14ac:dyDescent="0.25">
      <c r="B1782" s="91" t="str">
        <f>IFERROR(VLOOKUP(A1782,Lookup!A:B,2,0),"")</f>
        <v/>
      </c>
      <c r="C1782" s="59" t="str">
        <f>IFERROR(VLOOKUP(A1782,Lookup!A:C,3,0),"")</f>
        <v/>
      </c>
      <c r="J1782" s="106">
        <f>VLOOKUP(A1782&amp;G1782,Lookup!J:N,5,0)</f>
        <v>0</v>
      </c>
      <c r="O1782" s="90">
        <f>IFERROR(VLOOKUP(A1782&amp;G1782,Lookup!J:K,2,0),"")</f>
        <v>0</v>
      </c>
      <c r="P1782" s="110" t="str">
        <f t="shared" si="109"/>
        <v/>
      </c>
      <c r="R1782" s="87" t="str">
        <f t="shared" si="110"/>
        <v/>
      </c>
      <c r="S1782" s="87" t="str">
        <f t="shared" si="111"/>
        <v/>
      </c>
    </row>
    <row r="1783" spans="2:19" x14ac:dyDescent="0.25">
      <c r="B1783" s="91" t="str">
        <f>IFERROR(VLOOKUP(A1783,Lookup!A:B,2,0),"")</f>
        <v/>
      </c>
      <c r="C1783" s="59" t="str">
        <f>IFERROR(VLOOKUP(A1783,Lookup!A:C,3,0),"")</f>
        <v/>
      </c>
      <c r="J1783" s="106">
        <f>VLOOKUP(A1783&amp;G1783,Lookup!J:N,5,0)</f>
        <v>0</v>
      </c>
      <c r="O1783" s="90">
        <f>IFERROR(VLOOKUP(A1783&amp;G1783,Lookup!J:K,2,0),"")</f>
        <v>0</v>
      </c>
      <c r="P1783" s="110" t="str">
        <f t="shared" si="109"/>
        <v/>
      </c>
      <c r="R1783" s="87" t="str">
        <f t="shared" si="110"/>
        <v/>
      </c>
      <c r="S1783" s="87" t="str">
        <f t="shared" si="111"/>
        <v/>
      </c>
    </row>
    <row r="1784" spans="2:19" x14ac:dyDescent="0.25">
      <c r="B1784" s="91" t="str">
        <f>IFERROR(VLOOKUP(A1784,Lookup!A:B,2,0),"")</f>
        <v/>
      </c>
      <c r="C1784" s="59" t="str">
        <f>IFERROR(VLOOKUP(A1784,Lookup!A:C,3,0),"")</f>
        <v/>
      </c>
      <c r="J1784" s="106">
        <f>VLOOKUP(A1784&amp;G1784,Lookup!J:N,5,0)</f>
        <v>0</v>
      </c>
      <c r="O1784" s="90">
        <f>IFERROR(VLOOKUP(A1784&amp;G1784,Lookup!J:K,2,0),"")</f>
        <v>0</v>
      </c>
      <c r="P1784" s="110" t="str">
        <f t="shared" si="109"/>
        <v/>
      </c>
      <c r="R1784" s="87" t="str">
        <f t="shared" si="110"/>
        <v/>
      </c>
      <c r="S1784" s="87" t="str">
        <f t="shared" si="111"/>
        <v/>
      </c>
    </row>
    <row r="1785" spans="2:19" x14ac:dyDescent="0.25">
      <c r="B1785" s="91" t="str">
        <f>IFERROR(VLOOKUP(A1785,Lookup!A:B,2,0),"")</f>
        <v/>
      </c>
      <c r="C1785" s="59" t="str">
        <f>IFERROR(VLOOKUP(A1785,Lookup!A:C,3,0),"")</f>
        <v/>
      </c>
      <c r="J1785" s="106">
        <f>VLOOKUP(A1785&amp;G1785,Lookup!J:N,5,0)</f>
        <v>0</v>
      </c>
      <c r="O1785" s="90">
        <f>IFERROR(VLOOKUP(A1785&amp;G1785,Lookup!J:K,2,0),"")</f>
        <v>0</v>
      </c>
      <c r="P1785" s="110" t="str">
        <f t="shared" si="109"/>
        <v/>
      </c>
      <c r="R1785" s="87" t="str">
        <f t="shared" si="110"/>
        <v/>
      </c>
      <c r="S1785" s="87" t="str">
        <f t="shared" si="111"/>
        <v/>
      </c>
    </row>
    <row r="1786" spans="2:19" x14ac:dyDescent="0.25">
      <c r="B1786" s="91" t="str">
        <f>IFERROR(VLOOKUP(A1786,Lookup!A:B,2,0),"")</f>
        <v/>
      </c>
      <c r="C1786" s="59" t="str">
        <f>IFERROR(VLOOKUP(A1786,Lookup!A:C,3,0),"")</f>
        <v/>
      </c>
      <c r="J1786" s="106">
        <f>VLOOKUP(A1786&amp;G1786,Lookup!J:N,5,0)</f>
        <v>0</v>
      </c>
      <c r="O1786" s="90">
        <f>IFERROR(VLOOKUP(A1786&amp;G1786,Lookup!J:K,2,0),"")</f>
        <v>0</v>
      </c>
      <c r="P1786" s="110" t="str">
        <f t="shared" si="109"/>
        <v/>
      </c>
      <c r="R1786" s="87" t="str">
        <f t="shared" si="110"/>
        <v/>
      </c>
      <c r="S1786" s="87" t="str">
        <f t="shared" si="111"/>
        <v/>
      </c>
    </row>
    <row r="1787" spans="2:19" x14ac:dyDescent="0.25">
      <c r="B1787" s="91" t="str">
        <f>IFERROR(VLOOKUP(A1787,Lookup!A:B,2,0),"")</f>
        <v/>
      </c>
      <c r="C1787" s="59" t="str">
        <f>IFERROR(VLOOKUP(A1787,Lookup!A:C,3,0),"")</f>
        <v/>
      </c>
      <c r="J1787" s="106">
        <f>VLOOKUP(A1787&amp;G1787,Lookup!J:N,5,0)</f>
        <v>0</v>
      </c>
      <c r="O1787" s="90">
        <f>IFERROR(VLOOKUP(A1787&amp;G1787,Lookup!J:K,2,0),"")</f>
        <v>0</v>
      </c>
      <c r="P1787" s="110" t="str">
        <f t="shared" si="109"/>
        <v/>
      </c>
      <c r="R1787" s="87" t="str">
        <f t="shared" si="110"/>
        <v/>
      </c>
      <c r="S1787" s="87" t="str">
        <f t="shared" si="111"/>
        <v/>
      </c>
    </row>
    <row r="1788" spans="2:19" x14ac:dyDescent="0.25">
      <c r="B1788" s="91" t="str">
        <f>IFERROR(VLOOKUP(A1788,Lookup!A:B,2,0),"")</f>
        <v/>
      </c>
      <c r="C1788" s="59" t="str">
        <f>IFERROR(VLOOKUP(A1788,Lookup!A:C,3,0),"")</f>
        <v/>
      </c>
      <c r="J1788" s="106">
        <f>VLOOKUP(A1788&amp;G1788,Lookup!J:N,5,0)</f>
        <v>0</v>
      </c>
      <c r="O1788" s="90">
        <f>IFERROR(VLOOKUP(A1788&amp;G1788,Lookup!J:K,2,0),"")</f>
        <v>0</v>
      </c>
      <c r="P1788" s="110" t="str">
        <f t="shared" si="109"/>
        <v/>
      </c>
      <c r="R1788" s="87" t="str">
        <f t="shared" si="110"/>
        <v/>
      </c>
      <c r="S1788" s="87" t="str">
        <f t="shared" si="111"/>
        <v/>
      </c>
    </row>
    <row r="1789" spans="2:19" x14ac:dyDescent="0.25">
      <c r="B1789" s="91" t="str">
        <f>IFERROR(VLOOKUP(A1789,Lookup!A:B,2,0),"")</f>
        <v/>
      </c>
      <c r="C1789" s="59" t="str">
        <f>IFERROR(VLOOKUP(A1789,Lookup!A:C,3,0),"")</f>
        <v/>
      </c>
      <c r="J1789" s="106">
        <f>VLOOKUP(A1789&amp;G1789,Lookup!J:N,5,0)</f>
        <v>0</v>
      </c>
      <c r="O1789" s="90">
        <f>IFERROR(VLOOKUP(A1789&amp;G1789,Lookup!J:K,2,0),"")</f>
        <v>0</v>
      </c>
      <c r="P1789" s="110" t="str">
        <f t="shared" si="109"/>
        <v/>
      </c>
      <c r="R1789" s="87" t="str">
        <f t="shared" si="110"/>
        <v/>
      </c>
      <c r="S1789" s="87" t="str">
        <f t="shared" si="111"/>
        <v/>
      </c>
    </row>
    <row r="1790" spans="2:19" x14ac:dyDescent="0.25">
      <c r="B1790" s="91" t="str">
        <f>IFERROR(VLOOKUP(A1790,Lookup!A:B,2,0),"")</f>
        <v/>
      </c>
      <c r="C1790" s="59" t="str">
        <f>IFERROR(VLOOKUP(A1790,Lookup!A:C,3,0),"")</f>
        <v/>
      </c>
      <c r="J1790" s="106">
        <f>VLOOKUP(A1790&amp;G1790,Lookup!J:N,5,0)</f>
        <v>0</v>
      </c>
      <c r="O1790" s="90">
        <f>IFERROR(VLOOKUP(A1790&amp;G1790,Lookup!J:K,2,0),"")</f>
        <v>0</v>
      </c>
      <c r="P1790" s="110" t="str">
        <f t="shared" si="109"/>
        <v/>
      </c>
      <c r="R1790" s="87" t="str">
        <f t="shared" si="110"/>
        <v/>
      </c>
      <c r="S1790" s="87" t="str">
        <f t="shared" si="111"/>
        <v/>
      </c>
    </row>
    <row r="1791" spans="2:19" x14ac:dyDescent="0.25">
      <c r="B1791" s="91" t="str">
        <f>IFERROR(VLOOKUP(A1791,Lookup!A:B,2,0),"")</f>
        <v/>
      </c>
      <c r="C1791" s="59" t="str">
        <f>IFERROR(VLOOKUP(A1791,Lookup!A:C,3,0),"")</f>
        <v/>
      </c>
      <c r="J1791" s="106">
        <f>VLOOKUP(A1791&amp;G1791,Lookup!J:N,5,0)</f>
        <v>0</v>
      </c>
      <c r="O1791" s="90">
        <f>IFERROR(VLOOKUP(A1791&amp;G1791,Lookup!J:K,2,0),"")</f>
        <v>0</v>
      </c>
      <c r="P1791" s="110" t="str">
        <f t="shared" si="109"/>
        <v/>
      </c>
      <c r="R1791" s="87" t="str">
        <f t="shared" si="110"/>
        <v/>
      </c>
      <c r="S1791" s="87" t="str">
        <f t="shared" si="111"/>
        <v/>
      </c>
    </row>
    <row r="1792" spans="2:19" x14ac:dyDescent="0.25">
      <c r="B1792" s="91" t="str">
        <f>IFERROR(VLOOKUP(A1792,Lookup!A:B,2,0),"")</f>
        <v/>
      </c>
      <c r="C1792" s="59" t="str">
        <f>IFERROR(VLOOKUP(A1792,Lookup!A:C,3,0),"")</f>
        <v/>
      </c>
      <c r="J1792" s="106">
        <f>VLOOKUP(A1792&amp;G1792,Lookup!J:N,5,0)</f>
        <v>0</v>
      </c>
      <c r="O1792" s="90">
        <f>IFERROR(VLOOKUP(A1792&amp;G1792,Lookup!J:K,2,0),"")</f>
        <v>0</v>
      </c>
      <c r="P1792" s="110" t="str">
        <f t="shared" si="109"/>
        <v/>
      </c>
      <c r="R1792" s="87" t="str">
        <f t="shared" si="110"/>
        <v/>
      </c>
      <c r="S1792" s="87" t="str">
        <f t="shared" si="111"/>
        <v/>
      </c>
    </row>
    <row r="1793" spans="2:19" x14ac:dyDescent="0.25">
      <c r="B1793" s="91" t="str">
        <f>IFERROR(VLOOKUP(A1793,Lookup!A:B,2,0),"")</f>
        <v/>
      </c>
      <c r="C1793" s="59" t="str">
        <f>IFERROR(VLOOKUP(A1793,Lookup!A:C,3,0),"")</f>
        <v/>
      </c>
      <c r="J1793" s="106">
        <f>VLOOKUP(A1793&amp;G1793,Lookup!J:N,5,0)</f>
        <v>0</v>
      </c>
      <c r="O1793" s="90">
        <f>IFERROR(VLOOKUP(A1793&amp;G1793,Lookup!J:K,2,0),"")</f>
        <v>0</v>
      </c>
      <c r="P1793" s="110" t="str">
        <f t="shared" si="109"/>
        <v/>
      </c>
      <c r="R1793" s="87" t="str">
        <f t="shared" si="110"/>
        <v/>
      </c>
      <c r="S1793" s="87" t="str">
        <f t="shared" si="111"/>
        <v/>
      </c>
    </row>
    <row r="1794" spans="2:19" x14ac:dyDescent="0.25">
      <c r="B1794" s="91" t="str">
        <f>IFERROR(VLOOKUP(A1794,Lookup!A:B,2,0),"")</f>
        <v/>
      </c>
      <c r="C1794" s="59" t="str">
        <f>IFERROR(VLOOKUP(A1794,Lookup!A:C,3,0),"")</f>
        <v/>
      </c>
      <c r="J1794" s="106">
        <f>VLOOKUP(A1794&amp;G1794,Lookup!J:N,5,0)</f>
        <v>0</v>
      </c>
      <c r="O1794" s="90">
        <f>IFERROR(VLOOKUP(A1794&amp;G1794,Lookup!J:K,2,0),"")</f>
        <v>0</v>
      </c>
      <c r="P1794" s="110" t="str">
        <f t="shared" ref="P1794:P1857" si="112">IF(N1794="","",N1794+O1794)</f>
        <v/>
      </c>
      <c r="R1794" s="87" t="str">
        <f t="shared" si="110"/>
        <v/>
      </c>
      <c r="S1794" s="87" t="str">
        <f t="shared" si="111"/>
        <v/>
      </c>
    </row>
    <row r="1795" spans="2:19" x14ac:dyDescent="0.25">
      <c r="B1795" s="91" t="str">
        <f>IFERROR(VLOOKUP(A1795,Lookup!A:B,2,0),"")</f>
        <v/>
      </c>
      <c r="C1795" s="59" t="str">
        <f>IFERROR(VLOOKUP(A1795,Lookup!A:C,3,0),"")</f>
        <v/>
      </c>
      <c r="J1795" s="106">
        <f>VLOOKUP(A1795&amp;G1795,Lookup!J:N,5,0)</f>
        <v>0</v>
      </c>
      <c r="O1795" s="90">
        <f>IFERROR(VLOOKUP(A1795&amp;G1795,Lookup!J:K,2,0),"")</f>
        <v>0</v>
      </c>
      <c r="P1795" s="110" t="str">
        <f t="shared" si="112"/>
        <v/>
      </c>
      <c r="R1795" s="87" t="str">
        <f t="shared" ref="R1795:R1858" si="113">IF(OR(EXACT(N1795,""), EXACT(L1795,"")),"",N1795-L1795)</f>
        <v/>
      </c>
      <c r="S1795" s="87" t="str">
        <f t="shared" si="111"/>
        <v/>
      </c>
    </row>
    <row r="1796" spans="2:19" x14ac:dyDescent="0.25">
      <c r="B1796" s="91" t="str">
        <f>IFERROR(VLOOKUP(A1796,Lookup!A:B,2,0),"")</f>
        <v/>
      </c>
      <c r="C1796" s="59" t="str">
        <f>IFERROR(VLOOKUP(A1796,Lookup!A:C,3,0),"")</f>
        <v/>
      </c>
      <c r="J1796" s="106">
        <f>VLOOKUP(A1796&amp;G1796,Lookup!J:N,5,0)</f>
        <v>0</v>
      </c>
      <c r="O1796" s="90">
        <f>IFERROR(VLOOKUP(A1796&amp;G1796,Lookup!J:K,2,0),"")</f>
        <v>0</v>
      </c>
      <c r="P1796" s="110" t="str">
        <f t="shared" si="112"/>
        <v/>
      </c>
      <c r="R1796" s="87" t="str">
        <f t="shared" si="113"/>
        <v/>
      </c>
      <c r="S1796" s="87" t="str">
        <f t="shared" ref="S1796:S1859" si="114">IF(OR(EXACT(Q1796,""), EXACT(L1796,"")),"",Q1796-L1796)</f>
        <v/>
      </c>
    </row>
    <row r="1797" spans="2:19" x14ac:dyDescent="0.25">
      <c r="B1797" s="91" t="str">
        <f>IFERROR(VLOOKUP(A1797,Lookup!A:B,2,0),"")</f>
        <v/>
      </c>
      <c r="C1797" s="59" t="str">
        <f>IFERROR(VLOOKUP(A1797,Lookup!A:C,3,0),"")</f>
        <v/>
      </c>
      <c r="J1797" s="106">
        <f>VLOOKUP(A1797&amp;G1797,Lookup!J:N,5,0)</f>
        <v>0</v>
      </c>
      <c r="O1797" s="90">
        <f>IFERROR(VLOOKUP(A1797&amp;G1797,Lookup!J:K,2,0),"")</f>
        <v>0</v>
      </c>
      <c r="P1797" s="110" t="str">
        <f t="shared" si="112"/>
        <v/>
      </c>
      <c r="R1797" s="87" t="str">
        <f t="shared" si="113"/>
        <v/>
      </c>
      <c r="S1797" s="87" t="str">
        <f t="shared" si="114"/>
        <v/>
      </c>
    </row>
    <row r="1798" spans="2:19" x14ac:dyDescent="0.25">
      <c r="B1798" s="91" t="str">
        <f>IFERROR(VLOOKUP(A1798,Lookup!A:B,2,0),"")</f>
        <v/>
      </c>
      <c r="C1798" s="59" t="str">
        <f>IFERROR(VLOOKUP(A1798,Lookup!A:C,3,0),"")</f>
        <v/>
      </c>
      <c r="J1798" s="106">
        <f>VLOOKUP(A1798&amp;G1798,Lookup!J:N,5,0)</f>
        <v>0</v>
      </c>
      <c r="O1798" s="90">
        <f>IFERROR(VLOOKUP(A1798&amp;G1798,Lookup!J:K,2,0),"")</f>
        <v>0</v>
      </c>
      <c r="P1798" s="110" t="str">
        <f t="shared" si="112"/>
        <v/>
      </c>
      <c r="R1798" s="87" t="str">
        <f t="shared" si="113"/>
        <v/>
      </c>
      <c r="S1798" s="87" t="str">
        <f t="shared" si="114"/>
        <v/>
      </c>
    </row>
    <row r="1799" spans="2:19" x14ac:dyDescent="0.25">
      <c r="B1799" s="91" t="str">
        <f>IFERROR(VLOOKUP(A1799,Lookup!A:B,2,0),"")</f>
        <v/>
      </c>
      <c r="C1799" s="59" t="str">
        <f>IFERROR(VLOOKUP(A1799,Lookup!A:C,3,0),"")</f>
        <v/>
      </c>
      <c r="J1799" s="106">
        <f>VLOOKUP(A1799&amp;G1799,Lookup!J:N,5,0)</f>
        <v>0</v>
      </c>
      <c r="O1799" s="90">
        <f>IFERROR(VLOOKUP(A1799&amp;G1799,Lookup!J:K,2,0),"")</f>
        <v>0</v>
      </c>
      <c r="P1799" s="110" t="str">
        <f t="shared" si="112"/>
        <v/>
      </c>
      <c r="R1799" s="87" t="str">
        <f t="shared" si="113"/>
        <v/>
      </c>
      <c r="S1799" s="87" t="str">
        <f t="shared" si="114"/>
        <v/>
      </c>
    </row>
    <row r="1800" spans="2:19" x14ac:dyDescent="0.25">
      <c r="B1800" s="91" t="str">
        <f>IFERROR(VLOOKUP(A1800,Lookup!A:B,2,0),"")</f>
        <v/>
      </c>
      <c r="C1800" s="59" t="str">
        <f>IFERROR(VLOOKUP(A1800,Lookup!A:C,3,0),"")</f>
        <v/>
      </c>
      <c r="J1800" s="106">
        <f>VLOOKUP(A1800&amp;G1800,Lookup!J:N,5,0)</f>
        <v>0</v>
      </c>
      <c r="O1800" s="90">
        <f>IFERROR(VLOOKUP(A1800&amp;G1800,Lookup!J:K,2,0),"")</f>
        <v>0</v>
      </c>
      <c r="P1800" s="110" t="str">
        <f t="shared" si="112"/>
        <v/>
      </c>
      <c r="R1800" s="87" t="str">
        <f t="shared" si="113"/>
        <v/>
      </c>
      <c r="S1800" s="87" t="str">
        <f t="shared" si="114"/>
        <v/>
      </c>
    </row>
    <row r="1801" spans="2:19" x14ac:dyDescent="0.25">
      <c r="B1801" s="91" t="str">
        <f>IFERROR(VLOOKUP(A1801,Lookup!A:B,2,0),"")</f>
        <v/>
      </c>
      <c r="C1801" s="59" t="str">
        <f>IFERROR(VLOOKUP(A1801,Lookup!A:C,3,0),"")</f>
        <v/>
      </c>
      <c r="J1801" s="106">
        <f>VLOOKUP(A1801&amp;G1801,Lookup!J:N,5,0)</f>
        <v>0</v>
      </c>
      <c r="O1801" s="90">
        <f>IFERROR(VLOOKUP(A1801&amp;G1801,Lookup!J:K,2,0),"")</f>
        <v>0</v>
      </c>
      <c r="P1801" s="110" t="str">
        <f t="shared" si="112"/>
        <v/>
      </c>
      <c r="R1801" s="87" t="str">
        <f t="shared" si="113"/>
        <v/>
      </c>
      <c r="S1801" s="87" t="str">
        <f t="shared" si="114"/>
        <v/>
      </c>
    </row>
    <row r="1802" spans="2:19" x14ac:dyDescent="0.25">
      <c r="B1802" s="91" t="str">
        <f>IFERROR(VLOOKUP(A1802,Lookup!A:B,2,0),"")</f>
        <v/>
      </c>
      <c r="C1802" s="59" t="str">
        <f>IFERROR(VLOOKUP(A1802,Lookup!A:C,3,0),"")</f>
        <v/>
      </c>
      <c r="J1802" s="106">
        <f>VLOOKUP(A1802&amp;G1802,Lookup!J:N,5,0)</f>
        <v>0</v>
      </c>
      <c r="O1802" s="90">
        <f>IFERROR(VLOOKUP(A1802&amp;G1802,Lookup!J:K,2,0),"")</f>
        <v>0</v>
      </c>
      <c r="P1802" s="110" t="str">
        <f t="shared" si="112"/>
        <v/>
      </c>
      <c r="R1802" s="87" t="str">
        <f t="shared" si="113"/>
        <v/>
      </c>
      <c r="S1802" s="87" t="str">
        <f t="shared" si="114"/>
        <v/>
      </c>
    </row>
    <row r="1803" spans="2:19" x14ac:dyDescent="0.25">
      <c r="B1803" s="91" t="str">
        <f>IFERROR(VLOOKUP(A1803,Lookup!A:B,2,0),"")</f>
        <v/>
      </c>
      <c r="C1803" s="59" t="str">
        <f>IFERROR(VLOOKUP(A1803,Lookup!A:C,3,0),"")</f>
        <v/>
      </c>
      <c r="J1803" s="106">
        <f>VLOOKUP(A1803&amp;G1803,Lookup!J:N,5,0)</f>
        <v>0</v>
      </c>
      <c r="O1803" s="90">
        <f>IFERROR(VLOOKUP(A1803&amp;G1803,Lookup!J:K,2,0),"")</f>
        <v>0</v>
      </c>
      <c r="P1803" s="110" t="str">
        <f t="shared" si="112"/>
        <v/>
      </c>
      <c r="R1803" s="87" t="str">
        <f t="shared" si="113"/>
        <v/>
      </c>
      <c r="S1803" s="87" t="str">
        <f t="shared" si="114"/>
        <v/>
      </c>
    </row>
    <row r="1804" spans="2:19" x14ac:dyDescent="0.25">
      <c r="B1804" s="91" t="str">
        <f>IFERROR(VLOOKUP(A1804,Lookup!A:B,2,0),"")</f>
        <v/>
      </c>
      <c r="C1804" s="59" t="str">
        <f>IFERROR(VLOOKUP(A1804,Lookup!A:C,3,0),"")</f>
        <v/>
      </c>
      <c r="J1804" s="106">
        <f>VLOOKUP(A1804&amp;G1804,Lookup!J:N,5,0)</f>
        <v>0</v>
      </c>
      <c r="O1804" s="90">
        <f>IFERROR(VLOOKUP(A1804&amp;G1804,Lookup!J:K,2,0),"")</f>
        <v>0</v>
      </c>
      <c r="P1804" s="110" t="str">
        <f t="shared" si="112"/>
        <v/>
      </c>
      <c r="R1804" s="87" t="str">
        <f t="shared" si="113"/>
        <v/>
      </c>
      <c r="S1804" s="87" t="str">
        <f t="shared" si="114"/>
        <v/>
      </c>
    </row>
    <row r="1805" spans="2:19" x14ac:dyDescent="0.25">
      <c r="B1805" s="91" t="str">
        <f>IFERROR(VLOOKUP(A1805,Lookup!A:B,2,0),"")</f>
        <v/>
      </c>
      <c r="C1805" s="59" t="str">
        <f>IFERROR(VLOOKUP(A1805,Lookup!A:C,3,0),"")</f>
        <v/>
      </c>
      <c r="J1805" s="106">
        <f>VLOOKUP(A1805&amp;G1805,Lookup!J:N,5,0)</f>
        <v>0</v>
      </c>
      <c r="O1805" s="90">
        <f>IFERROR(VLOOKUP(A1805&amp;G1805,Lookup!J:K,2,0),"")</f>
        <v>0</v>
      </c>
      <c r="P1805" s="110" t="str">
        <f t="shared" si="112"/>
        <v/>
      </c>
      <c r="R1805" s="87" t="str">
        <f t="shared" si="113"/>
        <v/>
      </c>
      <c r="S1805" s="87" t="str">
        <f t="shared" si="114"/>
        <v/>
      </c>
    </row>
    <row r="1806" spans="2:19" x14ac:dyDescent="0.25">
      <c r="B1806" s="91" t="str">
        <f>IFERROR(VLOOKUP(A1806,Lookup!A:B,2,0),"")</f>
        <v/>
      </c>
      <c r="C1806" s="59" t="str">
        <f>IFERROR(VLOOKUP(A1806,Lookup!A:C,3,0),"")</f>
        <v/>
      </c>
      <c r="J1806" s="106">
        <f>VLOOKUP(A1806&amp;G1806,Lookup!J:N,5,0)</f>
        <v>0</v>
      </c>
      <c r="O1806" s="90">
        <f>IFERROR(VLOOKUP(A1806&amp;G1806,Lookup!J:K,2,0),"")</f>
        <v>0</v>
      </c>
      <c r="P1806" s="110" t="str">
        <f t="shared" si="112"/>
        <v/>
      </c>
      <c r="R1806" s="87" t="str">
        <f t="shared" si="113"/>
        <v/>
      </c>
      <c r="S1806" s="87" t="str">
        <f t="shared" si="114"/>
        <v/>
      </c>
    </row>
    <row r="1807" spans="2:19" x14ac:dyDescent="0.25">
      <c r="B1807" s="91" t="str">
        <f>IFERROR(VLOOKUP(A1807,Lookup!A:B,2,0),"")</f>
        <v/>
      </c>
      <c r="C1807" s="59" t="str">
        <f>IFERROR(VLOOKUP(A1807,Lookup!A:C,3,0),"")</f>
        <v/>
      </c>
      <c r="J1807" s="106">
        <f>VLOOKUP(A1807&amp;G1807,Lookup!J:N,5,0)</f>
        <v>0</v>
      </c>
      <c r="O1807" s="90">
        <f>IFERROR(VLOOKUP(A1807&amp;G1807,Lookup!J:K,2,0),"")</f>
        <v>0</v>
      </c>
      <c r="P1807" s="110" t="str">
        <f t="shared" si="112"/>
        <v/>
      </c>
      <c r="R1807" s="87" t="str">
        <f t="shared" si="113"/>
        <v/>
      </c>
      <c r="S1807" s="87" t="str">
        <f t="shared" si="114"/>
        <v/>
      </c>
    </row>
    <row r="1808" spans="2:19" x14ac:dyDescent="0.25">
      <c r="B1808" s="91" t="str">
        <f>IFERROR(VLOOKUP(A1808,Lookup!A:B,2,0),"")</f>
        <v/>
      </c>
      <c r="C1808" s="59" t="str">
        <f>IFERROR(VLOOKUP(A1808,Lookup!A:C,3,0),"")</f>
        <v/>
      </c>
      <c r="J1808" s="106">
        <f>VLOOKUP(A1808&amp;G1808,Lookup!J:N,5,0)</f>
        <v>0</v>
      </c>
      <c r="O1808" s="90">
        <f>IFERROR(VLOOKUP(A1808&amp;G1808,Lookup!J:K,2,0),"")</f>
        <v>0</v>
      </c>
      <c r="P1808" s="110" t="str">
        <f t="shared" si="112"/>
        <v/>
      </c>
      <c r="R1808" s="87" t="str">
        <f t="shared" si="113"/>
        <v/>
      </c>
      <c r="S1808" s="87" t="str">
        <f t="shared" si="114"/>
        <v/>
      </c>
    </row>
    <row r="1809" spans="2:19" x14ac:dyDescent="0.25">
      <c r="B1809" s="91" t="str">
        <f>IFERROR(VLOOKUP(A1809,Lookup!A:B,2,0),"")</f>
        <v/>
      </c>
      <c r="C1809" s="59" t="str">
        <f>IFERROR(VLOOKUP(A1809,Lookup!A:C,3,0),"")</f>
        <v/>
      </c>
      <c r="J1809" s="106">
        <f>VLOOKUP(A1809&amp;G1809,Lookup!J:N,5,0)</f>
        <v>0</v>
      </c>
      <c r="O1809" s="90">
        <f>IFERROR(VLOOKUP(A1809&amp;G1809,Lookup!J:K,2,0),"")</f>
        <v>0</v>
      </c>
      <c r="P1809" s="110" t="str">
        <f t="shared" si="112"/>
        <v/>
      </c>
      <c r="R1809" s="87" t="str">
        <f t="shared" si="113"/>
        <v/>
      </c>
      <c r="S1809" s="87" t="str">
        <f t="shared" si="114"/>
        <v/>
      </c>
    </row>
    <row r="1810" spans="2:19" x14ac:dyDescent="0.25">
      <c r="B1810" s="91" t="str">
        <f>IFERROR(VLOOKUP(A1810,Lookup!A:B,2,0),"")</f>
        <v/>
      </c>
      <c r="C1810" s="59" t="str">
        <f>IFERROR(VLOOKUP(A1810,Lookup!A:C,3,0),"")</f>
        <v/>
      </c>
      <c r="J1810" s="106">
        <f>VLOOKUP(A1810&amp;G1810,Lookup!J:N,5,0)</f>
        <v>0</v>
      </c>
      <c r="O1810" s="90">
        <f>IFERROR(VLOOKUP(A1810&amp;G1810,Lookup!J:K,2,0),"")</f>
        <v>0</v>
      </c>
      <c r="P1810" s="110" t="str">
        <f t="shared" si="112"/>
        <v/>
      </c>
      <c r="R1810" s="87" t="str">
        <f t="shared" si="113"/>
        <v/>
      </c>
      <c r="S1810" s="87" t="str">
        <f t="shared" si="114"/>
        <v/>
      </c>
    </row>
    <row r="1811" spans="2:19" x14ac:dyDescent="0.25">
      <c r="B1811" s="91" t="str">
        <f>IFERROR(VLOOKUP(A1811,Lookup!A:B,2,0),"")</f>
        <v/>
      </c>
      <c r="C1811" s="59" t="str">
        <f>IFERROR(VLOOKUP(A1811,Lookup!A:C,3,0),"")</f>
        <v/>
      </c>
      <c r="J1811" s="106">
        <f>VLOOKUP(A1811&amp;G1811,Lookup!J:N,5,0)</f>
        <v>0</v>
      </c>
      <c r="O1811" s="90">
        <f>IFERROR(VLOOKUP(A1811&amp;G1811,Lookup!J:K,2,0),"")</f>
        <v>0</v>
      </c>
      <c r="P1811" s="110" t="str">
        <f t="shared" si="112"/>
        <v/>
      </c>
      <c r="R1811" s="87" t="str">
        <f t="shared" si="113"/>
        <v/>
      </c>
      <c r="S1811" s="87" t="str">
        <f t="shared" si="114"/>
        <v/>
      </c>
    </row>
    <row r="1812" spans="2:19" x14ac:dyDescent="0.25">
      <c r="B1812" s="91" t="str">
        <f>IFERROR(VLOOKUP(A1812,Lookup!A:B,2,0),"")</f>
        <v/>
      </c>
      <c r="C1812" s="59" t="str">
        <f>IFERROR(VLOOKUP(A1812,Lookup!A:C,3,0),"")</f>
        <v/>
      </c>
      <c r="J1812" s="106">
        <f>VLOOKUP(A1812&amp;G1812,Lookup!J:N,5,0)</f>
        <v>0</v>
      </c>
      <c r="O1812" s="90">
        <f>IFERROR(VLOOKUP(A1812&amp;G1812,Lookup!J:K,2,0),"")</f>
        <v>0</v>
      </c>
      <c r="P1812" s="110" t="str">
        <f t="shared" si="112"/>
        <v/>
      </c>
      <c r="R1812" s="87" t="str">
        <f t="shared" si="113"/>
        <v/>
      </c>
      <c r="S1812" s="87" t="str">
        <f t="shared" si="114"/>
        <v/>
      </c>
    </row>
    <row r="1813" spans="2:19" x14ac:dyDescent="0.25">
      <c r="B1813" s="91" t="str">
        <f>IFERROR(VLOOKUP(A1813,Lookup!A:B,2,0),"")</f>
        <v/>
      </c>
      <c r="C1813" s="59" t="str">
        <f>IFERROR(VLOOKUP(A1813,Lookup!A:C,3,0),"")</f>
        <v/>
      </c>
      <c r="J1813" s="106">
        <f>VLOOKUP(A1813&amp;G1813,Lookup!J:N,5,0)</f>
        <v>0</v>
      </c>
      <c r="O1813" s="90">
        <f>IFERROR(VLOOKUP(A1813&amp;G1813,Lookup!J:K,2,0),"")</f>
        <v>0</v>
      </c>
      <c r="P1813" s="110" t="str">
        <f t="shared" si="112"/>
        <v/>
      </c>
      <c r="R1813" s="87" t="str">
        <f t="shared" si="113"/>
        <v/>
      </c>
      <c r="S1813" s="87" t="str">
        <f t="shared" si="114"/>
        <v/>
      </c>
    </row>
    <row r="1814" spans="2:19" x14ac:dyDescent="0.25">
      <c r="B1814" s="91" t="str">
        <f>IFERROR(VLOOKUP(A1814,Lookup!A:B,2,0),"")</f>
        <v/>
      </c>
      <c r="C1814" s="59" t="str">
        <f>IFERROR(VLOOKUP(A1814,Lookup!A:C,3,0),"")</f>
        <v/>
      </c>
      <c r="J1814" s="106">
        <f>VLOOKUP(A1814&amp;G1814,Lookup!J:N,5,0)</f>
        <v>0</v>
      </c>
      <c r="O1814" s="90">
        <f>IFERROR(VLOOKUP(A1814&amp;G1814,Lookup!J:K,2,0),"")</f>
        <v>0</v>
      </c>
      <c r="P1814" s="110" t="str">
        <f t="shared" si="112"/>
        <v/>
      </c>
      <c r="R1814" s="87" t="str">
        <f t="shared" si="113"/>
        <v/>
      </c>
      <c r="S1814" s="87" t="str">
        <f t="shared" si="114"/>
        <v/>
      </c>
    </row>
    <row r="1815" spans="2:19" x14ac:dyDescent="0.25">
      <c r="B1815" s="91" t="str">
        <f>IFERROR(VLOOKUP(A1815,Lookup!A:B,2,0),"")</f>
        <v/>
      </c>
      <c r="C1815" s="59" t="str">
        <f>IFERROR(VLOOKUP(A1815,Lookup!A:C,3,0),"")</f>
        <v/>
      </c>
      <c r="J1815" s="106">
        <f>VLOOKUP(A1815&amp;G1815,Lookup!J:N,5,0)</f>
        <v>0</v>
      </c>
      <c r="O1815" s="90">
        <f>IFERROR(VLOOKUP(A1815&amp;G1815,Lookup!J:K,2,0),"")</f>
        <v>0</v>
      </c>
      <c r="P1815" s="110" t="str">
        <f t="shared" si="112"/>
        <v/>
      </c>
      <c r="R1815" s="87" t="str">
        <f t="shared" si="113"/>
        <v/>
      </c>
      <c r="S1815" s="87" t="str">
        <f t="shared" si="114"/>
        <v/>
      </c>
    </row>
    <row r="1816" spans="2:19" x14ac:dyDescent="0.25">
      <c r="B1816" s="91" t="str">
        <f>IFERROR(VLOOKUP(A1816,Lookup!A:B,2,0),"")</f>
        <v/>
      </c>
      <c r="C1816" s="59" t="str">
        <f>IFERROR(VLOOKUP(A1816,Lookup!A:C,3,0),"")</f>
        <v/>
      </c>
      <c r="J1816" s="106">
        <f>VLOOKUP(A1816&amp;G1816,Lookup!J:N,5,0)</f>
        <v>0</v>
      </c>
      <c r="O1816" s="90">
        <f>IFERROR(VLOOKUP(A1816&amp;G1816,Lookup!J:K,2,0),"")</f>
        <v>0</v>
      </c>
      <c r="P1816" s="110" t="str">
        <f t="shared" si="112"/>
        <v/>
      </c>
      <c r="R1816" s="87" t="str">
        <f t="shared" si="113"/>
        <v/>
      </c>
      <c r="S1816" s="87" t="str">
        <f t="shared" si="114"/>
        <v/>
      </c>
    </row>
    <row r="1817" spans="2:19" x14ac:dyDescent="0.25">
      <c r="B1817" s="91" t="str">
        <f>IFERROR(VLOOKUP(A1817,Lookup!A:B,2,0),"")</f>
        <v/>
      </c>
      <c r="C1817" s="59" t="str">
        <f>IFERROR(VLOOKUP(A1817,Lookup!A:C,3,0),"")</f>
        <v/>
      </c>
      <c r="J1817" s="106">
        <f>VLOOKUP(A1817&amp;G1817,Lookup!J:N,5,0)</f>
        <v>0</v>
      </c>
      <c r="O1817" s="90">
        <f>IFERROR(VLOOKUP(A1817&amp;G1817,Lookup!J:K,2,0),"")</f>
        <v>0</v>
      </c>
      <c r="P1817" s="110" t="str">
        <f t="shared" si="112"/>
        <v/>
      </c>
      <c r="R1817" s="87" t="str">
        <f t="shared" si="113"/>
        <v/>
      </c>
      <c r="S1817" s="87" t="str">
        <f t="shared" si="114"/>
        <v/>
      </c>
    </row>
    <row r="1818" spans="2:19" x14ac:dyDescent="0.25">
      <c r="B1818" s="91" t="str">
        <f>IFERROR(VLOOKUP(A1818,Lookup!A:B,2,0),"")</f>
        <v/>
      </c>
      <c r="C1818" s="59" t="str">
        <f>IFERROR(VLOOKUP(A1818,Lookup!A:C,3,0),"")</f>
        <v/>
      </c>
      <c r="J1818" s="106">
        <f>VLOOKUP(A1818&amp;G1818,Lookup!J:N,5,0)</f>
        <v>0</v>
      </c>
      <c r="O1818" s="90">
        <f>IFERROR(VLOOKUP(A1818&amp;G1818,Lookup!J:K,2,0),"")</f>
        <v>0</v>
      </c>
      <c r="P1818" s="110" t="str">
        <f t="shared" si="112"/>
        <v/>
      </c>
      <c r="R1818" s="87" t="str">
        <f t="shared" si="113"/>
        <v/>
      </c>
      <c r="S1818" s="87" t="str">
        <f t="shared" si="114"/>
        <v/>
      </c>
    </row>
    <row r="1819" spans="2:19" x14ac:dyDescent="0.25">
      <c r="B1819" s="91" t="str">
        <f>IFERROR(VLOOKUP(A1819,Lookup!A:B,2,0),"")</f>
        <v/>
      </c>
      <c r="C1819" s="59" t="str">
        <f>IFERROR(VLOOKUP(A1819,Lookup!A:C,3,0),"")</f>
        <v/>
      </c>
      <c r="J1819" s="106">
        <f>VLOOKUP(A1819&amp;G1819,Lookup!J:N,5,0)</f>
        <v>0</v>
      </c>
      <c r="O1819" s="90">
        <f>IFERROR(VLOOKUP(A1819&amp;G1819,Lookup!J:K,2,0),"")</f>
        <v>0</v>
      </c>
      <c r="P1819" s="110" t="str">
        <f t="shared" si="112"/>
        <v/>
      </c>
      <c r="R1819" s="87" t="str">
        <f t="shared" si="113"/>
        <v/>
      </c>
      <c r="S1819" s="87" t="str">
        <f t="shared" si="114"/>
        <v/>
      </c>
    </row>
    <row r="1820" spans="2:19" x14ac:dyDescent="0.25">
      <c r="B1820" s="91" t="str">
        <f>IFERROR(VLOOKUP(A1820,Lookup!A:B,2,0),"")</f>
        <v/>
      </c>
      <c r="C1820" s="59" t="str">
        <f>IFERROR(VLOOKUP(A1820,Lookup!A:C,3,0),"")</f>
        <v/>
      </c>
      <c r="J1820" s="106">
        <f>VLOOKUP(A1820&amp;G1820,Lookup!J:N,5,0)</f>
        <v>0</v>
      </c>
      <c r="O1820" s="90">
        <f>IFERROR(VLOOKUP(A1820&amp;G1820,Lookup!J:K,2,0),"")</f>
        <v>0</v>
      </c>
      <c r="P1820" s="110" t="str">
        <f t="shared" si="112"/>
        <v/>
      </c>
      <c r="R1820" s="87" t="str">
        <f t="shared" si="113"/>
        <v/>
      </c>
      <c r="S1820" s="87" t="str">
        <f t="shared" si="114"/>
        <v/>
      </c>
    </row>
    <row r="1821" spans="2:19" x14ac:dyDescent="0.25">
      <c r="B1821" s="91" t="str">
        <f>IFERROR(VLOOKUP(A1821,Lookup!A:B,2,0),"")</f>
        <v/>
      </c>
      <c r="C1821" s="59" t="str">
        <f>IFERROR(VLOOKUP(A1821,Lookup!A:C,3,0),"")</f>
        <v/>
      </c>
      <c r="J1821" s="106">
        <f>VLOOKUP(A1821&amp;G1821,Lookup!J:N,5,0)</f>
        <v>0</v>
      </c>
      <c r="O1821" s="90">
        <f>IFERROR(VLOOKUP(A1821&amp;G1821,Lookup!J:K,2,0),"")</f>
        <v>0</v>
      </c>
      <c r="P1821" s="110" t="str">
        <f t="shared" si="112"/>
        <v/>
      </c>
      <c r="R1821" s="87" t="str">
        <f t="shared" si="113"/>
        <v/>
      </c>
      <c r="S1821" s="87" t="str">
        <f t="shared" si="114"/>
        <v/>
      </c>
    </row>
    <row r="1822" spans="2:19" x14ac:dyDescent="0.25">
      <c r="B1822" s="91" t="str">
        <f>IFERROR(VLOOKUP(A1822,Lookup!A:B,2,0),"")</f>
        <v/>
      </c>
      <c r="C1822" s="59" t="str">
        <f>IFERROR(VLOOKUP(A1822,Lookup!A:C,3,0),"")</f>
        <v/>
      </c>
      <c r="J1822" s="106">
        <f>VLOOKUP(A1822&amp;G1822,Lookup!J:N,5,0)</f>
        <v>0</v>
      </c>
      <c r="O1822" s="90">
        <f>IFERROR(VLOOKUP(A1822&amp;G1822,Lookup!J:K,2,0),"")</f>
        <v>0</v>
      </c>
      <c r="P1822" s="110" t="str">
        <f t="shared" si="112"/>
        <v/>
      </c>
      <c r="R1822" s="87" t="str">
        <f t="shared" si="113"/>
        <v/>
      </c>
      <c r="S1822" s="87" t="str">
        <f t="shared" si="114"/>
        <v/>
      </c>
    </row>
    <row r="1823" spans="2:19" x14ac:dyDescent="0.25">
      <c r="B1823" s="91" t="str">
        <f>IFERROR(VLOOKUP(A1823,Lookup!A:B,2,0),"")</f>
        <v/>
      </c>
      <c r="C1823" s="59" t="str">
        <f>IFERROR(VLOOKUP(A1823,Lookup!A:C,3,0),"")</f>
        <v/>
      </c>
      <c r="J1823" s="106">
        <f>VLOOKUP(A1823&amp;G1823,Lookup!J:N,5,0)</f>
        <v>0</v>
      </c>
      <c r="O1823" s="90">
        <f>IFERROR(VLOOKUP(A1823&amp;G1823,Lookup!J:K,2,0),"")</f>
        <v>0</v>
      </c>
      <c r="P1823" s="110" t="str">
        <f t="shared" si="112"/>
        <v/>
      </c>
      <c r="R1823" s="87" t="str">
        <f t="shared" si="113"/>
        <v/>
      </c>
      <c r="S1823" s="87" t="str">
        <f t="shared" si="114"/>
        <v/>
      </c>
    </row>
    <row r="1824" spans="2:19" x14ac:dyDescent="0.25">
      <c r="B1824" s="91" t="str">
        <f>IFERROR(VLOOKUP(A1824,Lookup!A:B,2,0),"")</f>
        <v/>
      </c>
      <c r="C1824" s="59" t="str">
        <f>IFERROR(VLOOKUP(A1824,Lookup!A:C,3,0),"")</f>
        <v/>
      </c>
      <c r="J1824" s="106">
        <f>VLOOKUP(A1824&amp;G1824,Lookup!J:N,5,0)</f>
        <v>0</v>
      </c>
      <c r="O1824" s="90">
        <f>IFERROR(VLOOKUP(A1824&amp;G1824,Lookup!J:K,2,0),"")</f>
        <v>0</v>
      </c>
      <c r="P1824" s="110" t="str">
        <f t="shared" si="112"/>
        <v/>
      </c>
      <c r="R1824" s="87" t="str">
        <f t="shared" si="113"/>
        <v/>
      </c>
      <c r="S1824" s="87" t="str">
        <f t="shared" si="114"/>
        <v/>
      </c>
    </row>
    <row r="1825" spans="2:19" x14ac:dyDescent="0.25">
      <c r="B1825" s="91" t="str">
        <f>IFERROR(VLOOKUP(A1825,Lookup!A:B,2,0),"")</f>
        <v/>
      </c>
      <c r="C1825" s="59" t="str">
        <f>IFERROR(VLOOKUP(A1825,Lookup!A:C,3,0),"")</f>
        <v/>
      </c>
      <c r="J1825" s="106">
        <f>VLOOKUP(A1825&amp;G1825,Lookup!J:N,5,0)</f>
        <v>0</v>
      </c>
      <c r="O1825" s="90">
        <f>IFERROR(VLOOKUP(A1825&amp;G1825,Lookup!J:K,2,0),"")</f>
        <v>0</v>
      </c>
      <c r="P1825" s="110" t="str">
        <f t="shared" si="112"/>
        <v/>
      </c>
      <c r="R1825" s="87" t="str">
        <f t="shared" si="113"/>
        <v/>
      </c>
      <c r="S1825" s="87" t="str">
        <f t="shared" si="114"/>
        <v/>
      </c>
    </row>
    <row r="1826" spans="2:19" x14ac:dyDescent="0.25">
      <c r="B1826" s="91" t="str">
        <f>IFERROR(VLOOKUP(A1826,Lookup!A:B,2,0),"")</f>
        <v/>
      </c>
      <c r="C1826" s="59" t="str">
        <f>IFERROR(VLOOKUP(A1826,Lookup!A:C,3,0),"")</f>
        <v/>
      </c>
      <c r="J1826" s="106">
        <f>VLOOKUP(A1826&amp;G1826,Lookup!J:N,5,0)</f>
        <v>0</v>
      </c>
      <c r="O1826" s="90">
        <f>IFERROR(VLOOKUP(A1826&amp;G1826,Lookup!J:K,2,0),"")</f>
        <v>0</v>
      </c>
      <c r="P1826" s="110" t="str">
        <f t="shared" si="112"/>
        <v/>
      </c>
      <c r="R1826" s="87" t="str">
        <f t="shared" si="113"/>
        <v/>
      </c>
      <c r="S1826" s="87" t="str">
        <f t="shared" si="114"/>
        <v/>
      </c>
    </row>
    <row r="1827" spans="2:19" x14ac:dyDescent="0.25">
      <c r="B1827" s="91" t="str">
        <f>IFERROR(VLOOKUP(A1827,Lookup!A:B,2,0),"")</f>
        <v/>
      </c>
      <c r="C1827" s="59" t="str">
        <f>IFERROR(VLOOKUP(A1827,Lookup!A:C,3,0),"")</f>
        <v/>
      </c>
      <c r="J1827" s="106">
        <f>VLOOKUP(A1827&amp;G1827,Lookup!J:N,5,0)</f>
        <v>0</v>
      </c>
      <c r="O1827" s="90">
        <f>IFERROR(VLOOKUP(A1827&amp;G1827,Lookup!J:K,2,0),"")</f>
        <v>0</v>
      </c>
      <c r="P1827" s="110" t="str">
        <f t="shared" si="112"/>
        <v/>
      </c>
      <c r="R1827" s="87" t="str">
        <f t="shared" si="113"/>
        <v/>
      </c>
      <c r="S1827" s="87" t="str">
        <f t="shared" si="114"/>
        <v/>
      </c>
    </row>
    <row r="1828" spans="2:19" x14ac:dyDescent="0.25">
      <c r="B1828" s="91" t="str">
        <f>IFERROR(VLOOKUP(A1828,Lookup!A:B,2,0),"")</f>
        <v/>
      </c>
      <c r="C1828" s="59" t="str">
        <f>IFERROR(VLOOKUP(A1828,Lookup!A:C,3,0),"")</f>
        <v/>
      </c>
      <c r="J1828" s="106">
        <f>VLOOKUP(A1828&amp;G1828,Lookup!J:N,5,0)</f>
        <v>0</v>
      </c>
      <c r="O1828" s="90">
        <f>IFERROR(VLOOKUP(A1828&amp;G1828,Lookup!J:K,2,0),"")</f>
        <v>0</v>
      </c>
      <c r="P1828" s="110" t="str">
        <f t="shared" si="112"/>
        <v/>
      </c>
      <c r="R1828" s="87" t="str">
        <f t="shared" si="113"/>
        <v/>
      </c>
      <c r="S1828" s="87" t="str">
        <f t="shared" si="114"/>
        <v/>
      </c>
    </row>
    <row r="1829" spans="2:19" x14ac:dyDescent="0.25">
      <c r="B1829" s="91" t="str">
        <f>IFERROR(VLOOKUP(A1829,Lookup!A:B,2,0),"")</f>
        <v/>
      </c>
      <c r="C1829" s="59" t="str">
        <f>IFERROR(VLOOKUP(A1829,Lookup!A:C,3,0),"")</f>
        <v/>
      </c>
      <c r="J1829" s="106">
        <f>VLOOKUP(A1829&amp;G1829,Lookup!J:N,5,0)</f>
        <v>0</v>
      </c>
      <c r="O1829" s="90">
        <f>IFERROR(VLOOKUP(A1829&amp;G1829,Lookup!J:K,2,0),"")</f>
        <v>0</v>
      </c>
      <c r="P1829" s="110" t="str">
        <f t="shared" si="112"/>
        <v/>
      </c>
      <c r="R1829" s="87" t="str">
        <f t="shared" si="113"/>
        <v/>
      </c>
      <c r="S1829" s="87" t="str">
        <f t="shared" si="114"/>
        <v/>
      </c>
    </row>
    <row r="1830" spans="2:19" x14ac:dyDescent="0.25">
      <c r="B1830" s="91" t="str">
        <f>IFERROR(VLOOKUP(A1830,Lookup!A:B,2,0),"")</f>
        <v/>
      </c>
      <c r="C1830" s="59" t="str">
        <f>IFERROR(VLOOKUP(A1830,Lookup!A:C,3,0),"")</f>
        <v/>
      </c>
      <c r="J1830" s="106">
        <f>VLOOKUP(A1830&amp;G1830,Lookup!J:N,5,0)</f>
        <v>0</v>
      </c>
      <c r="O1830" s="90">
        <f>IFERROR(VLOOKUP(A1830&amp;G1830,Lookup!J:K,2,0),"")</f>
        <v>0</v>
      </c>
      <c r="P1830" s="110" t="str">
        <f t="shared" si="112"/>
        <v/>
      </c>
      <c r="R1830" s="87" t="str">
        <f t="shared" si="113"/>
        <v/>
      </c>
      <c r="S1830" s="87" t="str">
        <f t="shared" si="114"/>
        <v/>
      </c>
    </row>
    <row r="1831" spans="2:19" x14ac:dyDescent="0.25">
      <c r="B1831" s="91" t="str">
        <f>IFERROR(VLOOKUP(A1831,Lookup!A:B,2,0),"")</f>
        <v/>
      </c>
      <c r="C1831" s="59" t="str">
        <f>IFERROR(VLOOKUP(A1831,Lookup!A:C,3,0),"")</f>
        <v/>
      </c>
      <c r="J1831" s="106">
        <f>VLOOKUP(A1831&amp;G1831,Lookup!J:N,5,0)</f>
        <v>0</v>
      </c>
      <c r="O1831" s="90">
        <f>IFERROR(VLOOKUP(A1831&amp;G1831,Lookup!J:K,2,0),"")</f>
        <v>0</v>
      </c>
      <c r="P1831" s="110" t="str">
        <f t="shared" si="112"/>
        <v/>
      </c>
      <c r="R1831" s="87" t="str">
        <f t="shared" si="113"/>
        <v/>
      </c>
      <c r="S1831" s="87" t="str">
        <f t="shared" si="114"/>
        <v/>
      </c>
    </row>
    <row r="1832" spans="2:19" x14ac:dyDescent="0.25">
      <c r="B1832" s="91" t="str">
        <f>IFERROR(VLOOKUP(A1832,Lookup!A:B,2,0),"")</f>
        <v/>
      </c>
      <c r="C1832" s="59" t="str">
        <f>IFERROR(VLOOKUP(A1832,Lookup!A:C,3,0),"")</f>
        <v/>
      </c>
      <c r="J1832" s="106">
        <f>VLOOKUP(A1832&amp;G1832,Lookup!J:N,5,0)</f>
        <v>0</v>
      </c>
      <c r="O1832" s="90">
        <f>IFERROR(VLOOKUP(A1832&amp;G1832,Lookup!J:K,2,0),"")</f>
        <v>0</v>
      </c>
      <c r="P1832" s="110" t="str">
        <f t="shared" si="112"/>
        <v/>
      </c>
      <c r="R1832" s="87" t="str">
        <f t="shared" si="113"/>
        <v/>
      </c>
      <c r="S1832" s="87" t="str">
        <f t="shared" si="114"/>
        <v/>
      </c>
    </row>
    <row r="1833" spans="2:19" x14ac:dyDescent="0.25">
      <c r="B1833" s="91" t="str">
        <f>IFERROR(VLOOKUP(A1833,Lookup!A:B,2,0),"")</f>
        <v/>
      </c>
      <c r="C1833" s="59" t="str">
        <f>IFERROR(VLOOKUP(A1833,Lookup!A:C,3,0),"")</f>
        <v/>
      </c>
      <c r="J1833" s="106">
        <f>VLOOKUP(A1833&amp;G1833,Lookup!J:N,5,0)</f>
        <v>0</v>
      </c>
      <c r="O1833" s="90">
        <f>IFERROR(VLOOKUP(A1833&amp;G1833,Lookup!J:K,2,0),"")</f>
        <v>0</v>
      </c>
      <c r="P1833" s="110" t="str">
        <f t="shared" si="112"/>
        <v/>
      </c>
      <c r="R1833" s="87" t="str">
        <f t="shared" si="113"/>
        <v/>
      </c>
      <c r="S1833" s="87" t="str">
        <f t="shared" si="114"/>
        <v/>
      </c>
    </row>
    <row r="1834" spans="2:19" x14ac:dyDescent="0.25">
      <c r="B1834" s="91" t="str">
        <f>IFERROR(VLOOKUP(A1834,Lookup!A:B,2,0),"")</f>
        <v/>
      </c>
      <c r="C1834" s="59" t="str">
        <f>IFERROR(VLOOKUP(A1834,Lookup!A:C,3,0),"")</f>
        <v/>
      </c>
      <c r="J1834" s="106">
        <f>VLOOKUP(A1834&amp;G1834,Lookup!J:N,5,0)</f>
        <v>0</v>
      </c>
      <c r="O1834" s="90">
        <f>IFERROR(VLOOKUP(A1834&amp;G1834,Lookup!J:K,2,0),"")</f>
        <v>0</v>
      </c>
      <c r="P1834" s="110" t="str">
        <f t="shared" si="112"/>
        <v/>
      </c>
      <c r="R1834" s="87" t="str">
        <f t="shared" si="113"/>
        <v/>
      </c>
      <c r="S1834" s="87" t="str">
        <f t="shared" si="114"/>
        <v/>
      </c>
    </row>
    <row r="1835" spans="2:19" x14ac:dyDescent="0.25">
      <c r="B1835" s="91" t="str">
        <f>IFERROR(VLOOKUP(A1835,Lookup!A:B,2,0),"")</f>
        <v/>
      </c>
      <c r="C1835" s="59" t="str">
        <f>IFERROR(VLOOKUP(A1835,Lookup!A:C,3,0),"")</f>
        <v/>
      </c>
      <c r="J1835" s="106">
        <f>VLOOKUP(A1835&amp;G1835,Lookup!J:N,5,0)</f>
        <v>0</v>
      </c>
      <c r="O1835" s="90">
        <f>IFERROR(VLOOKUP(A1835&amp;G1835,Lookup!J:K,2,0),"")</f>
        <v>0</v>
      </c>
      <c r="P1835" s="110" t="str">
        <f t="shared" si="112"/>
        <v/>
      </c>
      <c r="R1835" s="87" t="str">
        <f t="shared" si="113"/>
        <v/>
      </c>
      <c r="S1835" s="87" t="str">
        <f t="shared" si="114"/>
        <v/>
      </c>
    </row>
    <row r="1836" spans="2:19" x14ac:dyDescent="0.25">
      <c r="B1836" s="91" t="str">
        <f>IFERROR(VLOOKUP(A1836,Lookup!A:B,2,0),"")</f>
        <v/>
      </c>
      <c r="C1836" s="59" t="str">
        <f>IFERROR(VLOOKUP(A1836,Lookup!A:C,3,0),"")</f>
        <v/>
      </c>
      <c r="J1836" s="106">
        <f>VLOOKUP(A1836&amp;G1836,Lookup!J:N,5,0)</f>
        <v>0</v>
      </c>
      <c r="O1836" s="90">
        <f>IFERROR(VLOOKUP(A1836&amp;G1836,Lookup!J:K,2,0),"")</f>
        <v>0</v>
      </c>
      <c r="P1836" s="110" t="str">
        <f t="shared" si="112"/>
        <v/>
      </c>
      <c r="R1836" s="87" t="str">
        <f t="shared" si="113"/>
        <v/>
      </c>
      <c r="S1836" s="87" t="str">
        <f t="shared" si="114"/>
        <v/>
      </c>
    </row>
    <row r="1837" spans="2:19" x14ac:dyDescent="0.25">
      <c r="B1837" s="91" t="str">
        <f>IFERROR(VLOOKUP(A1837,Lookup!A:B,2,0),"")</f>
        <v/>
      </c>
      <c r="C1837" s="59" t="str">
        <f>IFERROR(VLOOKUP(A1837,Lookup!A:C,3,0),"")</f>
        <v/>
      </c>
      <c r="J1837" s="106">
        <f>VLOOKUP(A1837&amp;G1837,Lookup!J:N,5,0)</f>
        <v>0</v>
      </c>
      <c r="O1837" s="90">
        <f>IFERROR(VLOOKUP(A1837&amp;G1837,Lookup!J:K,2,0),"")</f>
        <v>0</v>
      </c>
      <c r="P1837" s="110" t="str">
        <f t="shared" si="112"/>
        <v/>
      </c>
      <c r="R1837" s="87" t="str">
        <f t="shared" si="113"/>
        <v/>
      </c>
      <c r="S1837" s="87" t="str">
        <f t="shared" si="114"/>
        <v/>
      </c>
    </row>
    <row r="1838" spans="2:19" x14ac:dyDescent="0.25">
      <c r="B1838" s="91" t="str">
        <f>IFERROR(VLOOKUP(A1838,Lookup!A:B,2,0),"")</f>
        <v/>
      </c>
      <c r="C1838" s="59" t="str">
        <f>IFERROR(VLOOKUP(A1838,Lookup!A:C,3,0),"")</f>
        <v/>
      </c>
      <c r="J1838" s="106">
        <f>VLOOKUP(A1838&amp;G1838,Lookup!J:N,5,0)</f>
        <v>0</v>
      </c>
      <c r="O1838" s="90">
        <f>IFERROR(VLOOKUP(A1838&amp;G1838,Lookup!J:K,2,0),"")</f>
        <v>0</v>
      </c>
      <c r="P1838" s="110" t="str">
        <f t="shared" si="112"/>
        <v/>
      </c>
      <c r="R1838" s="87" t="str">
        <f t="shared" si="113"/>
        <v/>
      </c>
      <c r="S1838" s="87" t="str">
        <f t="shared" si="114"/>
        <v/>
      </c>
    </row>
    <row r="1839" spans="2:19" x14ac:dyDescent="0.25">
      <c r="B1839" s="91" t="str">
        <f>IFERROR(VLOOKUP(A1839,Lookup!A:B,2,0),"")</f>
        <v/>
      </c>
      <c r="C1839" s="59" t="str">
        <f>IFERROR(VLOOKUP(A1839,Lookup!A:C,3,0),"")</f>
        <v/>
      </c>
      <c r="J1839" s="106">
        <f>VLOOKUP(A1839&amp;G1839,Lookup!J:N,5,0)</f>
        <v>0</v>
      </c>
      <c r="O1839" s="90">
        <f>IFERROR(VLOOKUP(A1839&amp;G1839,Lookup!J:K,2,0),"")</f>
        <v>0</v>
      </c>
      <c r="P1839" s="110" t="str">
        <f t="shared" si="112"/>
        <v/>
      </c>
      <c r="R1839" s="87" t="str">
        <f t="shared" si="113"/>
        <v/>
      </c>
      <c r="S1839" s="87" t="str">
        <f t="shared" si="114"/>
        <v/>
      </c>
    </row>
    <row r="1840" spans="2:19" x14ac:dyDescent="0.25">
      <c r="B1840" s="91" t="str">
        <f>IFERROR(VLOOKUP(A1840,Lookup!A:B,2,0),"")</f>
        <v/>
      </c>
      <c r="C1840" s="59" t="str">
        <f>IFERROR(VLOOKUP(A1840,Lookup!A:C,3,0),"")</f>
        <v/>
      </c>
      <c r="J1840" s="106">
        <f>VLOOKUP(A1840&amp;G1840,Lookup!J:N,5,0)</f>
        <v>0</v>
      </c>
      <c r="O1840" s="90">
        <f>IFERROR(VLOOKUP(A1840&amp;G1840,Lookup!J:K,2,0),"")</f>
        <v>0</v>
      </c>
      <c r="P1840" s="110" t="str">
        <f t="shared" si="112"/>
        <v/>
      </c>
      <c r="R1840" s="87" t="str">
        <f t="shared" si="113"/>
        <v/>
      </c>
      <c r="S1840" s="87" t="str">
        <f t="shared" si="114"/>
        <v/>
      </c>
    </row>
    <row r="1841" spans="2:19" x14ac:dyDescent="0.25">
      <c r="B1841" s="91" t="str">
        <f>IFERROR(VLOOKUP(A1841,Lookup!A:B,2,0),"")</f>
        <v/>
      </c>
      <c r="C1841" s="59" t="str">
        <f>IFERROR(VLOOKUP(A1841,Lookup!A:C,3,0),"")</f>
        <v/>
      </c>
      <c r="J1841" s="106">
        <f>VLOOKUP(A1841&amp;G1841,Lookup!J:N,5,0)</f>
        <v>0</v>
      </c>
      <c r="O1841" s="90">
        <f>IFERROR(VLOOKUP(A1841&amp;G1841,Lookup!J:K,2,0),"")</f>
        <v>0</v>
      </c>
      <c r="P1841" s="110" t="str">
        <f t="shared" si="112"/>
        <v/>
      </c>
      <c r="R1841" s="87" t="str">
        <f t="shared" si="113"/>
        <v/>
      </c>
      <c r="S1841" s="87" t="str">
        <f t="shared" si="114"/>
        <v/>
      </c>
    </row>
    <row r="1842" spans="2:19" x14ac:dyDescent="0.25">
      <c r="B1842" s="91" t="str">
        <f>IFERROR(VLOOKUP(A1842,Lookup!A:B,2,0),"")</f>
        <v/>
      </c>
      <c r="C1842" s="59" t="str">
        <f>IFERROR(VLOOKUP(A1842,Lookup!A:C,3,0),"")</f>
        <v/>
      </c>
      <c r="J1842" s="106">
        <f>VLOOKUP(A1842&amp;G1842,Lookup!J:N,5,0)</f>
        <v>0</v>
      </c>
      <c r="O1842" s="90">
        <f>IFERROR(VLOOKUP(A1842&amp;G1842,Lookup!J:K,2,0),"")</f>
        <v>0</v>
      </c>
      <c r="P1842" s="110" t="str">
        <f t="shared" si="112"/>
        <v/>
      </c>
      <c r="R1842" s="87" t="str">
        <f t="shared" si="113"/>
        <v/>
      </c>
      <c r="S1842" s="87" t="str">
        <f t="shared" si="114"/>
        <v/>
      </c>
    </row>
    <row r="1843" spans="2:19" x14ac:dyDescent="0.25">
      <c r="B1843" s="91" t="str">
        <f>IFERROR(VLOOKUP(A1843,Lookup!A:B,2,0),"")</f>
        <v/>
      </c>
      <c r="C1843" s="59" t="str">
        <f>IFERROR(VLOOKUP(A1843,Lookup!A:C,3,0),"")</f>
        <v/>
      </c>
      <c r="J1843" s="106">
        <f>VLOOKUP(A1843&amp;G1843,Lookup!J:N,5,0)</f>
        <v>0</v>
      </c>
      <c r="O1843" s="90">
        <f>IFERROR(VLOOKUP(A1843&amp;G1843,Lookup!J:K,2,0),"")</f>
        <v>0</v>
      </c>
      <c r="P1843" s="110" t="str">
        <f t="shared" si="112"/>
        <v/>
      </c>
      <c r="R1843" s="87" t="str">
        <f t="shared" si="113"/>
        <v/>
      </c>
      <c r="S1843" s="87" t="str">
        <f t="shared" si="114"/>
        <v/>
      </c>
    </row>
    <row r="1844" spans="2:19" x14ac:dyDescent="0.25">
      <c r="B1844" s="91" t="str">
        <f>IFERROR(VLOOKUP(A1844,Lookup!A:B,2,0),"")</f>
        <v/>
      </c>
      <c r="C1844" s="59" t="str">
        <f>IFERROR(VLOOKUP(A1844,Lookup!A:C,3,0),"")</f>
        <v/>
      </c>
      <c r="J1844" s="106">
        <f>VLOOKUP(A1844&amp;G1844,Lookup!J:N,5,0)</f>
        <v>0</v>
      </c>
      <c r="O1844" s="90">
        <f>IFERROR(VLOOKUP(A1844&amp;G1844,Lookup!J:K,2,0),"")</f>
        <v>0</v>
      </c>
      <c r="P1844" s="110" t="str">
        <f t="shared" si="112"/>
        <v/>
      </c>
      <c r="R1844" s="87" t="str">
        <f t="shared" si="113"/>
        <v/>
      </c>
      <c r="S1844" s="87" t="str">
        <f t="shared" si="114"/>
        <v/>
      </c>
    </row>
    <row r="1845" spans="2:19" x14ac:dyDescent="0.25">
      <c r="B1845" s="91" t="str">
        <f>IFERROR(VLOOKUP(A1845,Lookup!A:B,2,0),"")</f>
        <v/>
      </c>
      <c r="C1845" s="59" t="str">
        <f>IFERROR(VLOOKUP(A1845,Lookup!A:C,3,0),"")</f>
        <v/>
      </c>
      <c r="J1845" s="106">
        <f>VLOOKUP(A1845&amp;G1845,Lookup!J:N,5,0)</f>
        <v>0</v>
      </c>
      <c r="O1845" s="90">
        <f>IFERROR(VLOOKUP(A1845&amp;G1845,Lookup!J:K,2,0),"")</f>
        <v>0</v>
      </c>
      <c r="P1845" s="110" t="str">
        <f t="shared" si="112"/>
        <v/>
      </c>
      <c r="R1845" s="87" t="str">
        <f t="shared" si="113"/>
        <v/>
      </c>
      <c r="S1845" s="87" t="str">
        <f t="shared" si="114"/>
        <v/>
      </c>
    </row>
    <row r="1846" spans="2:19" x14ac:dyDescent="0.25">
      <c r="B1846" s="91" t="str">
        <f>IFERROR(VLOOKUP(A1846,Lookup!A:B,2,0),"")</f>
        <v/>
      </c>
      <c r="C1846" s="59" t="str">
        <f>IFERROR(VLOOKUP(A1846,Lookup!A:C,3,0),"")</f>
        <v/>
      </c>
      <c r="J1846" s="106">
        <f>VLOOKUP(A1846&amp;G1846,Lookup!J:N,5,0)</f>
        <v>0</v>
      </c>
      <c r="O1846" s="90">
        <f>IFERROR(VLOOKUP(A1846&amp;G1846,Lookup!J:K,2,0),"")</f>
        <v>0</v>
      </c>
      <c r="P1846" s="110" t="str">
        <f t="shared" si="112"/>
        <v/>
      </c>
      <c r="R1846" s="87" t="str">
        <f t="shared" si="113"/>
        <v/>
      </c>
      <c r="S1846" s="87" t="str">
        <f t="shared" si="114"/>
        <v/>
      </c>
    </row>
    <row r="1847" spans="2:19" x14ac:dyDescent="0.25">
      <c r="B1847" s="91" t="str">
        <f>IFERROR(VLOOKUP(A1847,Lookup!A:B,2,0),"")</f>
        <v/>
      </c>
      <c r="C1847" s="59" t="str">
        <f>IFERROR(VLOOKUP(A1847,Lookup!A:C,3,0),"")</f>
        <v/>
      </c>
      <c r="J1847" s="106">
        <f>VLOOKUP(A1847&amp;G1847,Lookup!J:N,5,0)</f>
        <v>0</v>
      </c>
      <c r="O1847" s="90">
        <f>IFERROR(VLOOKUP(A1847&amp;G1847,Lookup!J:K,2,0),"")</f>
        <v>0</v>
      </c>
      <c r="P1847" s="110" t="str">
        <f t="shared" si="112"/>
        <v/>
      </c>
      <c r="R1847" s="87" t="str">
        <f t="shared" si="113"/>
        <v/>
      </c>
      <c r="S1847" s="87" t="str">
        <f t="shared" si="114"/>
        <v/>
      </c>
    </row>
    <row r="1848" spans="2:19" x14ac:dyDescent="0.25">
      <c r="B1848" s="91" t="str">
        <f>IFERROR(VLOOKUP(A1848,Lookup!A:B,2,0),"")</f>
        <v/>
      </c>
      <c r="C1848" s="59" t="str">
        <f>IFERROR(VLOOKUP(A1848,Lookup!A:C,3,0),"")</f>
        <v/>
      </c>
      <c r="J1848" s="106">
        <f>VLOOKUP(A1848&amp;G1848,Lookup!J:N,5,0)</f>
        <v>0</v>
      </c>
      <c r="O1848" s="90">
        <f>IFERROR(VLOOKUP(A1848&amp;G1848,Lookup!J:K,2,0),"")</f>
        <v>0</v>
      </c>
      <c r="P1848" s="110" t="str">
        <f t="shared" si="112"/>
        <v/>
      </c>
      <c r="R1848" s="87" t="str">
        <f t="shared" si="113"/>
        <v/>
      </c>
      <c r="S1848" s="87" t="str">
        <f t="shared" si="114"/>
        <v/>
      </c>
    </row>
    <row r="1849" spans="2:19" x14ac:dyDescent="0.25">
      <c r="B1849" s="91" t="str">
        <f>IFERROR(VLOOKUP(A1849,Lookup!A:B,2,0),"")</f>
        <v/>
      </c>
      <c r="C1849" s="59" t="str">
        <f>IFERROR(VLOOKUP(A1849,Lookup!A:C,3,0),"")</f>
        <v/>
      </c>
      <c r="J1849" s="106">
        <f>VLOOKUP(A1849&amp;G1849,Lookup!J:N,5,0)</f>
        <v>0</v>
      </c>
      <c r="O1849" s="90">
        <f>IFERROR(VLOOKUP(A1849&amp;G1849,Lookup!J:K,2,0),"")</f>
        <v>0</v>
      </c>
      <c r="P1849" s="110" t="str">
        <f t="shared" si="112"/>
        <v/>
      </c>
      <c r="R1849" s="87" t="str">
        <f t="shared" si="113"/>
        <v/>
      </c>
      <c r="S1849" s="87" t="str">
        <f t="shared" si="114"/>
        <v/>
      </c>
    </row>
    <row r="1850" spans="2:19" x14ac:dyDescent="0.25">
      <c r="B1850" s="91" t="str">
        <f>IFERROR(VLOOKUP(A1850,Lookup!A:B,2,0),"")</f>
        <v/>
      </c>
      <c r="C1850" s="59" t="str">
        <f>IFERROR(VLOOKUP(A1850,Lookup!A:C,3,0),"")</f>
        <v/>
      </c>
      <c r="J1850" s="106">
        <f>VLOOKUP(A1850&amp;G1850,Lookup!J:N,5,0)</f>
        <v>0</v>
      </c>
      <c r="O1850" s="90">
        <f>IFERROR(VLOOKUP(A1850&amp;G1850,Lookup!J:K,2,0),"")</f>
        <v>0</v>
      </c>
      <c r="P1850" s="110" t="str">
        <f t="shared" si="112"/>
        <v/>
      </c>
      <c r="R1850" s="87" t="str">
        <f t="shared" si="113"/>
        <v/>
      </c>
      <c r="S1850" s="87" t="str">
        <f t="shared" si="114"/>
        <v/>
      </c>
    </row>
    <row r="1851" spans="2:19" x14ac:dyDescent="0.25">
      <c r="B1851" s="91" t="str">
        <f>IFERROR(VLOOKUP(A1851,Lookup!A:B,2,0),"")</f>
        <v/>
      </c>
      <c r="C1851" s="59" t="str">
        <f>IFERROR(VLOOKUP(A1851,Lookup!A:C,3,0),"")</f>
        <v/>
      </c>
      <c r="J1851" s="106">
        <f>VLOOKUP(A1851&amp;G1851,Lookup!J:N,5,0)</f>
        <v>0</v>
      </c>
      <c r="O1851" s="90">
        <f>IFERROR(VLOOKUP(A1851&amp;G1851,Lookup!J:K,2,0),"")</f>
        <v>0</v>
      </c>
      <c r="P1851" s="110" t="str">
        <f t="shared" si="112"/>
        <v/>
      </c>
      <c r="R1851" s="87" t="str">
        <f t="shared" si="113"/>
        <v/>
      </c>
      <c r="S1851" s="87" t="str">
        <f t="shared" si="114"/>
        <v/>
      </c>
    </row>
    <row r="1852" spans="2:19" x14ac:dyDescent="0.25">
      <c r="B1852" s="91" t="str">
        <f>IFERROR(VLOOKUP(A1852,Lookup!A:B,2,0),"")</f>
        <v/>
      </c>
      <c r="C1852" s="59" t="str">
        <f>IFERROR(VLOOKUP(A1852,Lookup!A:C,3,0),"")</f>
        <v/>
      </c>
      <c r="J1852" s="106">
        <f>VLOOKUP(A1852&amp;G1852,Lookup!J:N,5,0)</f>
        <v>0</v>
      </c>
      <c r="O1852" s="90">
        <f>IFERROR(VLOOKUP(A1852&amp;G1852,Lookup!J:K,2,0),"")</f>
        <v>0</v>
      </c>
      <c r="P1852" s="110" t="str">
        <f t="shared" si="112"/>
        <v/>
      </c>
      <c r="R1852" s="87" t="str">
        <f t="shared" si="113"/>
        <v/>
      </c>
      <c r="S1852" s="87" t="str">
        <f t="shared" si="114"/>
        <v/>
      </c>
    </row>
    <row r="1853" spans="2:19" x14ac:dyDescent="0.25">
      <c r="B1853" s="91" t="str">
        <f>IFERROR(VLOOKUP(A1853,Lookup!A:B,2,0),"")</f>
        <v/>
      </c>
      <c r="C1853" s="59" t="str">
        <f>IFERROR(VLOOKUP(A1853,Lookup!A:C,3,0),"")</f>
        <v/>
      </c>
      <c r="J1853" s="106">
        <f>VLOOKUP(A1853&amp;G1853,Lookup!J:N,5,0)</f>
        <v>0</v>
      </c>
      <c r="O1853" s="90">
        <f>IFERROR(VLOOKUP(A1853&amp;G1853,Lookup!J:K,2,0),"")</f>
        <v>0</v>
      </c>
      <c r="P1853" s="110" t="str">
        <f t="shared" si="112"/>
        <v/>
      </c>
      <c r="R1853" s="87" t="str">
        <f t="shared" si="113"/>
        <v/>
      </c>
      <c r="S1853" s="87" t="str">
        <f t="shared" si="114"/>
        <v/>
      </c>
    </row>
    <row r="1854" spans="2:19" x14ac:dyDescent="0.25">
      <c r="B1854" s="91" t="str">
        <f>IFERROR(VLOOKUP(A1854,Lookup!A:B,2,0),"")</f>
        <v/>
      </c>
      <c r="C1854" s="59" t="str">
        <f>IFERROR(VLOOKUP(A1854,Lookup!A:C,3,0),"")</f>
        <v/>
      </c>
      <c r="J1854" s="106">
        <f>VLOOKUP(A1854&amp;G1854,Lookup!J:N,5,0)</f>
        <v>0</v>
      </c>
      <c r="O1854" s="90">
        <f>IFERROR(VLOOKUP(A1854&amp;G1854,Lookup!J:K,2,0),"")</f>
        <v>0</v>
      </c>
      <c r="P1854" s="110" t="str">
        <f t="shared" si="112"/>
        <v/>
      </c>
      <c r="R1854" s="87" t="str">
        <f t="shared" si="113"/>
        <v/>
      </c>
      <c r="S1854" s="87" t="str">
        <f t="shared" si="114"/>
        <v/>
      </c>
    </row>
    <row r="1855" spans="2:19" x14ac:dyDescent="0.25">
      <c r="B1855" s="91" t="str">
        <f>IFERROR(VLOOKUP(A1855,Lookup!A:B,2,0),"")</f>
        <v/>
      </c>
      <c r="C1855" s="59" t="str">
        <f>IFERROR(VLOOKUP(A1855,Lookup!A:C,3,0),"")</f>
        <v/>
      </c>
      <c r="J1855" s="106">
        <f>VLOOKUP(A1855&amp;G1855,Lookup!J:N,5,0)</f>
        <v>0</v>
      </c>
      <c r="O1855" s="90">
        <f>IFERROR(VLOOKUP(A1855&amp;G1855,Lookup!J:K,2,0),"")</f>
        <v>0</v>
      </c>
      <c r="P1855" s="110" t="str">
        <f t="shared" si="112"/>
        <v/>
      </c>
      <c r="R1855" s="87" t="str">
        <f t="shared" si="113"/>
        <v/>
      </c>
      <c r="S1855" s="87" t="str">
        <f t="shared" si="114"/>
        <v/>
      </c>
    </row>
    <row r="1856" spans="2:19" x14ac:dyDescent="0.25">
      <c r="B1856" s="91" t="str">
        <f>IFERROR(VLOOKUP(A1856,Lookup!A:B,2,0),"")</f>
        <v/>
      </c>
      <c r="C1856" s="59" t="str">
        <f>IFERROR(VLOOKUP(A1856,Lookup!A:C,3,0),"")</f>
        <v/>
      </c>
      <c r="J1856" s="106">
        <f>VLOOKUP(A1856&amp;G1856,Lookup!J:N,5,0)</f>
        <v>0</v>
      </c>
      <c r="O1856" s="90">
        <f>IFERROR(VLOOKUP(A1856&amp;G1856,Lookup!J:K,2,0),"")</f>
        <v>0</v>
      </c>
      <c r="P1856" s="110" t="str">
        <f t="shared" si="112"/>
        <v/>
      </c>
      <c r="R1856" s="87" t="str">
        <f t="shared" si="113"/>
        <v/>
      </c>
      <c r="S1856" s="87" t="str">
        <f t="shared" si="114"/>
        <v/>
      </c>
    </row>
    <row r="1857" spans="2:19" x14ac:dyDescent="0.25">
      <c r="B1857" s="91" t="str">
        <f>IFERROR(VLOOKUP(A1857,Lookup!A:B,2,0),"")</f>
        <v/>
      </c>
      <c r="C1857" s="59" t="str">
        <f>IFERROR(VLOOKUP(A1857,Lookup!A:C,3,0),"")</f>
        <v/>
      </c>
      <c r="J1857" s="106">
        <f>VLOOKUP(A1857&amp;G1857,Lookup!J:N,5,0)</f>
        <v>0</v>
      </c>
      <c r="O1857" s="90">
        <f>IFERROR(VLOOKUP(A1857&amp;G1857,Lookup!J:K,2,0),"")</f>
        <v>0</v>
      </c>
      <c r="P1857" s="110" t="str">
        <f t="shared" si="112"/>
        <v/>
      </c>
      <c r="R1857" s="87" t="str">
        <f t="shared" si="113"/>
        <v/>
      </c>
      <c r="S1857" s="87" t="str">
        <f t="shared" si="114"/>
        <v/>
      </c>
    </row>
    <row r="1858" spans="2:19" x14ac:dyDescent="0.25">
      <c r="B1858" s="91" t="str">
        <f>IFERROR(VLOOKUP(A1858,Lookup!A:B,2,0),"")</f>
        <v/>
      </c>
      <c r="C1858" s="59" t="str">
        <f>IFERROR(VLOOKUP(A1858,Lookup!A:C,3,0),"")</f>
        <v/>
      </c>
      <c r="J1858" s="106">
        <f>VLOOKUP(A1858&amp;G1858,Lookup!J:N,5,0)</f>
        <v>0</v>
      </c>
      <c r="O1858" s="90">
        <f>IFERROR(VLOOKUP(A1858&amp;G1858,Lookup!J:K,2,0),"")</f>
        <v>0</v>
      </c>
      <c r="P1858" s="110" t="str">
        <f t="shared" ref="P1858:P1921" si="115">IF(N1858="","",N1858+O1858)</f>
        <v/>
      </c>
      <c r="R1858" s="87" t="str">
        <f t="shared" si="113"/>
        <v/>
      </c>
      <c r="S1858" s="87" t="str">
        <f t="shared" si="114"/>
        <v/>
      </c>
    </row>
    <row r="1859" spans="2:19" x14ac:dyDescent="0.25">
      <c r="B1859" s="91" t="str">
        <f>IFERROR(VLOOKUP(A1859,Lookup!A:B,2,0),"")</f>
        <v/>
      </c>
      <c r="C1859" s="59" t="str">
        <f>IFERROR(VLOOKUP(A1859,Lookup!A:C,3,0),"")</f>
        <v/>
      </c>
      <c r="J1859" s="106">
        <f>VLOOKUP(A1859&amp;G1859,Lookup!J:N,5,0)</f>
        <v>0</v>
      </c>
      <c r="O1859" s="90">
        <f>IFERROR(VLOOKUP(A1859&amp;G1859,Lookup!J:K,2,0),"")</f>
        <v>0</v>
      </c>
      <c r="P1859" s="110" t="str">
        <f t="shared" si="115"/>
        <v/>
      </c>
      <c r="R1859" s="87" t="str">
        <f t="shared" ref="R1859:R1922" si="116">IF(OR(EXACT(N1859,""), EXACT(L1859,"")),"",N1859-L1859)</f>
        <v/>
      </c>
      <c r="S1859" s="87" t="str">
        <f t="shared" si="114"/>
        <v/>
      </c>
    </row>
    <row r="1860" spans="2:19" x14ac:dyDescent="0.25">
      <c r="B1860" s="91" t="str">
        <f>IFERROR(VLOOKUP(A1860,Lookup!A:B,2,0),"")</f>
        <v/>
      </c>
      <c r="C1860" s="59" t="str">
        <f>IFERROR(VLOOKUP(A1860,Lookup!A:C,3,0),"")</f>
        <v/>
      </c>
      <c r="J1860" s="106">
        <f>VLOOKUP(A1860&amp;G1860,Lookup!J:N,5,0)</f>
        <v>0</v>
      </c>
      <c r="O1860" s="90">
        <f>IFERROR(VLOOKUP(A1860&amp;G1860,Lookup!J:K,2,0),"")</f>
        <v>0</v>
      </c>
      <c r="P1860" s="110" t="str">
        <f t="shared" si="115"/>
        <v/>
      </c>
      <c r="R1860" s="87" t="str">
        <f t="shared" si="116"/>
        <v/>
      </c>
      <c r="S1860" s="87" t="str">
        <f t="shared" ref="S1860:S1923" si="117">IF(OR(EXACT(Q1860,""), EXACT(L1860,"")),"",Q1860-L1860)</f>
        <v/>
      </c>
    </row>
    <row r="1861" spans="2:19" x14ac:dyDescent="0.25">
      <c r="B1861" s="91" t="str">
        <f>IFERROR(VLOOKUP(A1861,Lookup!A:B,2,0),"")</f>
        <v/>
      </c>
      <c r="C1861" s="59" t="str">
        <f>IFERROR(VLOOKUP(A1861,Lookup!A:C,3,0),"")</f>
        <v/>
      </c>
      <c r="J1861" s="106">
        <f>VLOOKUP(A1861&amp;G1861,Lookup!J:N,5,0)</f>
        <v>0</v>
      </c>
      <c r="O1861" s="90">
        <f>IFERROR(VLOOKUP(A1861&amp;G1861,Lookup!J:K,2,0),"")</f>
        <v>0</v>
      </c>
      <c r="P1861" s="110" t="str">
        <f t="shared" si="115"/>
        <v/>
      </c>
      <c r="R1861" s="87" t="str">
        <f t="shared" si="116"/>
        <v/>
      </c>
      <c r="S1861" s="87" t="str">
        <f t="shared" si="117"/>
        <v/>
      </c>
    </row>
    <row r="1862" spans="2:19" x14ac:dyDescent="0.25">
      <c r="B1862" s="91" t="str">
        <f>IFERROR(VLOOKUP(A1862,Lookup!A:B,2,0),"")</f>
        <v/>
      </c>
      <c r="C1862" s="59" t="str">
        <f>IFERROR(VLOOKUP(A1862,Lookup!A:C,3,0),"")</f>
        <v/>
      </c>
      <c r="J1862" s="106">
        <f>VLOOKUP(A1862&amp;G1862,Lookup!J:N,5,0)</f>
        <v>0</v>
      </c>
      <c r="O1862" s="90">
        <f>IFERROR(VLOOKUP(A1862&amp;G1862,Lookup!J:K,2,0),"")</f>
        <v>0</v>
      </c>
      <c r="P1862" s="110" t="str">
        <f t="shared" si="115"/>
        <v/>
      </c>
      <c r="R1862" s="87" t="str">
        <f t="shared" si="116"/>
        <v/>
      </c>
      <c r="S1862" s="87" t="str">
        <f t="shared" si="117"/>
        <v/>
      </c>
    </row>
    <row r="1863" spans="2:19" x14ac:dyDescent="0.25">
      <c r="B1863" s="91" t="str">
        <f>IFERROR(VLOOKUP(A1863,Lookup!A:B,2,0),"")</f>
        <v/>
      </c>
      <c r="C1863" s="59" t="str">
        <f>IFERROR(VLOOKUP(A1863,Lookup!A:C,3,0),"")</f>
        <v/>
      </c>
      <c r="J1863" s="106">
        <f>VLOOKUP(A1863&amp;G1863,Lookup!J:N,5,0)</f>
        <v>0</v>
      </c>
      <c r="O1863" s="90">
        <f>IFERROR(VLOOKUP(A1863&amp;G1863,Lookup!J:K,2,0),"")</f>
        <v>0</v>
      </c>
      <c r="P1863" s="110" t="str">
        <f t="shared" si="115"/>
        <v/>
      </c>
      <c r="R1863" s="87" t="str">
        <f t="shared" si="116"/>
        <v/>
      </c>
      <c r="S1863" s="87" t="str">
        <f t="shared" si="117"/>
        <v/>
      </c>
    </row>
    <row r="1864" spans="2:19" x14ac:dyDescent="0.25">
      <c r="B1864" s="91" t="str">
        <f>IFERROR(VLOOKUP(A1864,Lookup!A:B,2,0),"")</f>
        <v/>
      </c>
      <c r="C1864" s="59" t="str">
        <f>IFERROR(VLOOKUP(A1864,Lookup!A:C,3,0),"")</f>
        <v/>
      </c>
      <c r="J1864" s="106">
        <f>VLOOKUP(A1864&amp;G1864,Lookup!J:N,5,0)</f>
        <v>0</v>
      </c>
      <c r="O1864" s="90">
        <f>IFERROR(VLOOKUP(A1864&amp;G1864,Lookup!J:K,2,0),"")</f>
        <v>0</v>
      </c>
      <c r="P1864" s="110" t="str">
        <f t="shared" si="115"/>
        <v/>
      </c>
      <c r="R1864" s="87" t="str">
        <f t="shared" si="116"/>
        <v/>
      </c>
      <c r="S1864" s="87" t="str">
        <f t="shared" si="117"/>
        <v/>
      </c>
    </row>
    <row r="1865" spans="2:19" x14ac:dyDescent="0.25">
      <c r="B1865" s="91" t="str">
        <f>IFERROR(VLOOKUP(A1865,Lookup!A:B,2,0),"")</f>
        <v/>
      </c>
      <c r="C1865" s="59" t="str">
        <f>IFERROR(VLOOKUP(A1865,Lookup!A:C,3,0),"")</f>
        <v/>
      </c>
      <c r="J1865" s="106">
        <f>VLOOKUP(A1865&amp;G1865,Lookup!J:N,5,0)</f>
        <v>0</v>
      </c>
      <c r="O1865" s="90">
        <f>IFERROR(VLOOKUP(A1865&amp;G1865,Lookup!J:K,2,0),"")</f>
        <v>0</v>
      </c>
      <c r="P1865" s="110" t="str">
        <f t="shared" si="115"/>
        <v/>
      </c>
      <c r="R1865" s="87" t="str">
        <f t="shared" si="116"/>
        <v/>
      </c>
      <c r="S1865" s="87" t="str">
        <f t="shared" si="117"/>
        <v/>
      </c>
    </row>
    <row r="1866" spans="2:19" x14ac:dyDescent="0.25">
      <c r="B1866" s="91" t="str">
        <f>IFERROR(VLOOKUP(A1866,Lookup!A:B,2,0),"")</f>
        <v/>
      </c>
      <c r="C1866" s="59" t="str">
        <f>IFERROR(VLOOKUP(A1866,Lookup!A:C,3,0),"")</f>
        <v/>
      </c>
      <c r="J1866" s="106">
        <f>VLOOKUP(A1866&amp;G1866,Lookup!J:N,5,0)</f>
        <v>0</v>
      </c>
      <c r="O1866" s="90">
        <f>IFERROR(VLOOKUP(A1866&amp;G1866,Lookup!J:K,2,0),"")</f>
        <v>0</v>
      </c>
      <c r="P1866" s="110" t="str">
        <f t="shared" si="115"/>
        <v/>
      </c>
      <c r="R1866" s="87" t="str">
        <f t="shared" si="116"/>
        <v/>
      </c>
      <c r="S1866" s="87" t="str">
        <f t="shared" si="117"/>
        <v/>
      </c>
    </row>
    <row r="1867" spans="2:19" x14ac:dyDescent="0.25">
      <c r="B1867" s="91" t="str">
        <f>IFERROR(VLOOKUP(A1867,Lookup!A:B,2,0),"")</f>
        <v/>
      </c>
      <c r="C1867" s="59" t="str">
        <f>IFERROR(VLOOKUP(A1867,Lookup!A:C,3,0),"")</f>
        <v/>
      </c>
      <c r="J1867" s="106">
        <f>VLOOKUP(A1867&amp;G1867,Lookup!J:N,5,0)</f>
        <v>0</v>
      </c>
      <c r="O1867" s="90">
        <f>IFERROR(VLOOKUP(A1867&amp;G1867,Lookup!J:K,2,0),"")</f>
        <v>0</v>
      </c>
      <c r="P1867" s="110" t="str">
        <f t="shared" si="115"/>
        <v/>
      </c>
      <c r="R1867" s="87" t="str">
        <f t="shared" si="116"/>
        <v/>
      </c>
      <c r="S1867" s="87" t="str">
        <f t="shared" si="117"/>
        <v/>
      </c>
    </row>
    <row r="1868" spans="2:19" x14ac:dyDescent="0.25">
      <c r="B1868" s="91" t="str">
        <f>IFERROR(VLOOKUP(A1868,Lookup!A:B,2,0),"")</f>
        <v/>
      </c>
      <c r="C1868" s="59" t="str">
        <f>IFERROR(VLOOKUP(A1868,Lookup!A:C,3,0),"")</f>
        <v/>
      </c>
      <c r="J1868" s="106">
        <f>VLOOKUP(A1868&amp;G1868,Lookup!J:N,5,0)</f>
        <v>0</v>
      </c>
      <c r="O1868" s="90">
        <f>IFERROR(VLOOKUP(A1868&amp;G1868,Lookup!J:K,2,0),"")</f>
        <v>0</v>
      </c>
      <c r="P1868" s="110" t="str">
        <f t="shared" si="115"/>
        <v/>
      </c>
      <c r="R1868" s="87" t="str">
        <f t="shared" si="116"/>
        <v/>
      </c>
      <c r="S1868" s="87" t="str">
        <f t="shared" si="117"/>
        <v/>
      </c>
    </row>
    <row r="1869" spans="2:19" x14ac:dyDescent="0.25">
      <c r="B1869" s="91" t="str">
        <f>IFERROR(VLOOKUP(A1869,Lookup!A:B,2,0),"")</f>
        <v/>
      </c>
      <c r="C1869" s="59" t="str">
        <f>IFERROR(VLOOKUP(A1869,Lookup!A:C,3,0),"")</f>
        <v/>
      </c>
      <c r="J1869" s="106">
        <f>VLOOKUP(A1869&amp;G1869,Lookup!J:N,5,0)</f>
        <v>0</v>
      </c>
      <c r="O1869" s="90">
        <f>IFERROR(VLOOKUP(A1869&amp;G1869,Lookup!J:K,2,0),"")</f>
        <v>0</v>
      </c>
      <c r="P1869" s="110" t="str">
        <f t="shared" si="115"/>
        <v/>
      </c>
      <c r="R1869" s="87" t="str">
        <f t="shared" si="116"/>
        <v/>
      </c>
      <c r="S1869" s="87" t="str">
        <f t="shared" si="117"/>
        <v/>
      </c>
    </row>
    <row r="1870" spans="2:19" x14ac:dyDescent="0.25">
      <c r="B1870" s="91" t="str">
        <f>IFERROR(VLOOKUP(A1870,Lookup!A:B,2,0),"")</f>
        <v/>
      </c>
      <c r="C1870" s="59" t="str">
        <f>IFERROR(VLOOKUP(A1870,Lookup!A:C,3,0),"")</f>
        <v/>
      </c>
      <c r="J1870" s="106">
        <f>VLOOKUP(A1870&amp;G1870,Lookup!J:N,5,0)</f>
        <v>0</v>
      </c>
      <c r="O1870" s="90">
        <f>IFERROR(VLOOKUP(A1870&amp;G1870,Lookup!J:K,2,0),"")</f>
        <v>0</v>
      </c>
      <c r="P1870" s="110" t="str">
        <f t="shared" si="115"/>
        <v/>
      </c>
      <c r="R1870" s="87" t="str">
        <f t="shared" si="116"/>
        <v/>
      </c>
      <c r="S1870" s="87" t="str">
        <f t="shared" si="117"/>
        <v/>
      </c>
    </row>
    <row r="1871" spans="2:19" x14ac:dyDescent="0.25">
      <c r="B1871" s="91" t="str">
        <f>IFERROR(VLOOKUP(A1871,Lookup!A:B,2,0),"")</f>
        <v/>
      </c>
      <c r="C1871" s="59" t="str">
        <f>IFERROR(VLOOKUP(A1871,Lookup!A:C,3,0),"")</f>
        <v/>
      </c>
      <c r="J1871" s="106">
        <f>VLOOKUP(A1871&amp;G1871,Lookup!J:N,5,0)</f>
        <v>0</v>
      </c>
      <c r="O1871" s="90">
        <f>IFERROR(VLOOKUP(A1871&amp;G1871,Lookup!J:K,2,0),"")</f>
        <v>0</v>
      </c>
      <c r="P1871" s="110" t="str">
        <f t="shared" si="115"/>
        <v/>
      </c>
      <c r="R1871" s="87" t="str">
        <f t="shared" si="116"/>
        <v/>
      </c>
      <c r="S1871" s="87" t="str">
        <f t="shared" si="117"/>
        <v/>
      </c>
    </row>
    <row r="1872" spans="2:19" x14ac:dyDescent="0.25">
      <c r="B1872" s="91" t="str">
        <f>IFERROR(VLOOKUP(A1872,Lookup!A:B,2,0),"")</f>
        <v/>
      </c>
      <c r="C1872" s="59" t="str">
        <f>IFERROR(VLOOKUP(A1872,Lookup!A:C,3,0),"")</f>
        <v/>
      </c>
      <c r="J1872" s="106">
        <f>VLOOKUP(A1872&amp;G1872,Lookup!J:N,5,0)</f>
        <v>0</v>
      </c>
      <c r="O1872" s="90">
        <f>IFERROR(VLOOKUP(A1872&amp;G1872,Lookup!J:K,2,0),"")</f>
        <v>0</v>
      </c>
      <c r="P1872" s="110" t="str">
        <f t="shared" si="115"/>
        <v/>
      </c>
      <c r="R1872" s="87" t="str">
        <f t="shared" si="116"/>
        <v/>
      </c>
      <c r="S1872" s="87" t="str">
        <f t="shared" si="117"/>
        <v/>
      </c>
    </row>
    <row r="1873" spans="2:19" x14ac:dyDescent="0.25">
      <c r="B1873" s="91" t="str">
        <f>IFERROR(VLOOKUP(A1873,Lookup!A:B,2,0),"")</f>
        <v/>
      </c>
      <c r="C1873" s="59" t="str">
        <f>IFERROR(VLOOKUP(A1873,Lookup!A:C,3,0),"")</f>
        <v/>
      </c>
      <c r="J1873" s="106">
        <f>VLOOKUP(A1873&amp;G1873,Lookup!J:N,5,0)</f>
        <v>0</v>
      </c>
      <c r="O1873" s="90">
        <f>IFERROR(VLOOKUP(A1873&amp;G1873,Lookup!J:K,2,0),"")</f>
        <v>0</v>
      </c>
      <c r="P1873" s="110" t="str">
        <f t="shared" si="115"/>
        <v/>
      </c>
      <c r="R1873" s="87" t="str">
        <f t="shared" si="116"/>
        <v/>
      </c>
      <c r="S1873" s="87" t="str">
        <f t="shared" si="117"/>
        <v/>
      </c>
    </row>
    <row r="1874" spans="2:19" x14ac:dyDescent="0.25">
      <c r="B1874" s="91" t="str">
        <f>IFERROR(VLOOKUP(A1874,Lookup!A:B,2,0),"")</f>
        <v/>
      </c>
      <c r="C1874" s="59" t="str">
        <f>IFERROR(VLOOKUP(A1874,Lookup!A:C,3,0),"")</f>
        <v/>
      </c>
      <c r="J1874" s="106">
        <f>VLOOKUP(A1874&amp;G1874,Lookup!J:N,5,0)</f>
        <v>0</v>
      </c>
      <c r="O1874" s="90">
        <f>IFERROR(VLOOKUP(A1874&amp;G1874,Lookup!J:K,2,0),"")</f>
        <v>0</v>
      </c>
      <c r="P1874" s="110" t="str">
        <f t="shared" si="115"/>
        <v/>
      </c>
      <c r="R1874" s="87" t="str">
        <f t="shared" si="116"/>
        <v/>
      </c>
      <c r="S1874" s="87" t="str">
        <f t="shared" si="117"/>
        <v/>
      </c>
    </row>
    <row r="1875" spans="2:19" x14ac:dyDescent="0.25">
      <c r="B1875" s="91" t="str">
        <f>IFERROR(VLOOKUP(A1875,Lookup!A:B,2,0),"")</f>
        <v/>
      </c>
      <c r="C1875" s="59" t="str">
        <f>IFERROR(VLOOKUP(A1875,Lookup!A:C,3,0),"")</f>
        <v/>
      </c>
      <c r="J1875" s="106">
        <f>VLOOKUP(A1875&amp;G1875,Lookup!J:N,5,0)</f>
        <v>0</v>
      </c>
      <c r="O1875" s="90">
        <f>IFERROR(VLOOKUP(A1875&amp;G1875,Lookup!J:K,2,0),"")</f>
        <v>0</v>
      </c>
      <c r="P1875" s="110" t="str">
        <f t="shared" si="115"/>
        <v/>
      </c>
      <c r="R1875" s="87" t="str">
        <f t="shared" si="116"/>
        <v/>
      </c>
      <c r="S1875" s="87" t="str">
        <f t="shared" si="117"/>
        <v/>
      </c>
    </row>
    <row r="1876" spans="2:19" x14ac:dyDescent="0.25">
      <c r="B1876" s="91" t="str">
        <f>IFERROR(VLOOKUP(A1876,Lookup!A:B,2,0),"")</f>
        <v/>
      </c>
      <c r="C1876" s="59" t="str">
        <f>IFERROR(VLOOKUP(A1876,Lookup!A:C,3,0),"")</f>
        <v/>
      </c>
      <c r="J1876" s="106">
        <f>VLOOKUP(A1876&amp;G1876,Lookup!J:N,5,0)</f>
        <v>0</v>
      </c>
      <c r="O1876" s="90">
        <f>IFERROR(VLOOKUP(A1876&amp;G1876,Lookup!J:K,2,0),"")</f>
        <v>0</v>
      </c>
      <c r="P1876" s="110" t="str">
        <f t="shared" si="115"/>
        <v/>
      </c>
      <c r="R1876" s="87" t="str">
        <f t="shared" si="116"/>
        <v/>
      </c>
      <c r="S1876" s="87" t="str">
        <f t="shared" si="117"/>
        <v/>
      </c>
    </row>
    <row r="1877" spans="2:19" x14ac:dyDescent="0.25">
      <c r="B1877" s="91" t="str">
        <f>IFERROR(VLOOKUP(A1877,Lookup!A:B,2,0),"")</f>
        <v/>
      </c>
      <c r="C1877" s="59" t="str">
        <f>IFERROR(VLOOKUP(A1877,Lookup!A:C,3,0),"")</f>
        <v/>
      </c>
      <c r="J1877" s="106">
        <f>VLOOKUP(A1877&amp;G1877,Lookup!J:N,5,0)</f>
        <v>0</v>
      </c>
      <c r="O1877" s="90">
        <f>IFERROR(VLOOKUP(A1877&amp;G1877,Lookup!J:K,2,0),"")</f>
        <v>0</v>
      </c>
      <c r="P1877" s="110" t="str">
        <f t="shared" si="115"/>
        <v/>
      </c>
      <c r="R1877" s="87" t="str">
        <f t="shared" si="116"/>
        <v/>
      </c>
      <c r="S1877" s="87" t="str">
        <f t="shared" si="117"/>
        <v/>
      </c>
    </row>
    <row r="1878" spans="2:19" x14ac:dyDescent="0.25">
      <c r="B1878" s="91" t="str">
        <f>IFERROR(VLOOKUP(A1878,Lookup!A:B,2,0),"")</f>
        <v/>
      </c>
      <c r="C1878" s="59" t="str">
        <f>IFERROR(VLOOKUP(A1878,Lookup!A:C,3,0),"")</f>
        <v/>
      </c>
      <c r="J1878" s="106">
        <f>VLOOKUP(A1878&amp;G1878,Lookup!J:N,5,0)</f>
        <v>0</v>
      </c>
      <c r="O1878" s="90">
        <f>IFERROR(VLOOKUP(A1878&amp;G1878,Lookup!J:K,2,0),"")</f>
        <v>0</v>
      </c>
      <c r="P1878" s="110" t="str">
        <f t="shared" si="115"/>
        <v/>
      </c>
      <c r="R1878" s="87" t="str">
        <f t="shared" si="116"/>
        <v/>
      </c>
      <c r="S1878" s="87" t="str">
        <f t="shared" si="117"/>
        <v/>
      </c>
    </row>
    <row r="1879" spans="2:19" x14ac:dyDescent="0.25">
      <c r="B1879" s="91" t="str">
        <f>IFERROR(VLOOKUP(A1879,Lookup!A:B,2,0),"")</f>
        <v/>
      </c>
      <c r="C1879" s="59" t="str">
        <f>IFERROR(VLOOKUP(A1879,Lookup!A:C,3,0),"")</f>
        <v/>
      </c>
      <c r="J1879" s="106">
        <f>VLOOKUP(A1879&amp;G1879,Lookup!J:N,5,0)</f>
        <v>0</v>
      </c>
      <c r="O1879" s="90">
        <f>IFERROR(VLOOKUP(A1879&amp;G1879,Lookup!J:K,2,0),"")</f>
        <v>0</v>
      </c>
      <c r="P1879" s="110" t="str">
        <f t="shared" si="115"/>
        <v/>
      </c>
      <c r="R1879" s="87" t="str">
        <f t="shared" si="116"/>
        <v/>
      </c>
      <c r="S1879" s="87" t="str">
        <f t="shared" si="117"/>
        <v/>
      </c>
    </row>
    <row r="1880" spans="2:19" x14ac:dyDescent="0.25">
      <c r="B1880" s="91" t="str">
        <f>IFERROR(VLOOKUP(A1880,Lookup!A:B,2,0),"")</f>
        <v/>
      </c>
      <c r="C1880" s="59" t="str">
        <f>IFERROR(VLOOKUP(A1880,Lookup!A:C,3,0),"")</f>
        <v/>
      </c>
      <c r="J1880" s="106">
        <f>VLOOKUP(A1880&amp;G1880,Lookup!J:N,5,0)</f>
        <v>0</v>
      </c>
      <c r="O1880" s="90">
        <f>IFERROR(VLOOKUP(A1880&amp;G1880,Lookup!J:K,2,0),"")</f>
        <v>0</v>
      </c>
      <c r="P1880" s="110" t="str">
        <f t="shared" si="115"/>
        <v/>
      </c>
      <c r="R1880" s="87" t="str">
        <f t="shared" si="116"/>
        <v/>
      </c>
      <c r="S1880" s="87" t="str">
        <f t="shared" si="117"/>
        <v/>
      </c>
    </row>
    <row r="1881" spans="2:19" x14ac:dyDescent="0.25">
      <c r="B1881" s="91" t="str">
        <f>IFERROR(VLOOKUP(A1881,Lookup!A:B,2,0),"")</f>
        <v/>
      </c>
      <c r="C1881" s="59" t="str">
        <f>IFERROR(VLOOKUP(A1881,Lookup!A:C,3,0),"")</f>
        <v/>
      </c>
      <c r="J1881" s="106">
        <f>VLOOKUP(A1881&amp;G1881,Lookup!J:N,5,0)</f>
        <v>0</v>
      </c>
      <c r="O1881" s="90">
        <f>IFERROR(VLOOKUP(A1881&amp;G1881,Lookup!J:K,2,0),"")</f>
        <v>0</v>
      </c>
      <c r="P1881" s="110" t="str">
        <f t="shared" si="115"/>
        <v/>
      </c>
      <c r="R1881" s="87" t="str">
        <f t="shared" si="116"/>
        <v/>
      </c>
      <c r="S1881" s="87" t="str">
        <f t="shared" si="117"/>
        <v/>
      </c>
    </row>
    <row r="1882" spans="2:19" x14ac:dyDescent="0.25">
      <c r="B1882" s="91" t="str">
        <f>IFERROR(VLOOKUP(A1882,Lookup!A:B,2,0),"")</f>
        <v/>
      </c>
      <c r="C1882" s="59" t="str">
        <f>IFERROR(VLOOKUP(A1882,Lookup!A:C,3,0),"")</f>
        <v/>
      </c>
      <c r="J1882" s="106">
        <f>VLOOKUP(A1882&amp;G1882,Lookup!J:N,5,0)</f>
        <v>0</v>
      </c>
      <c r="O1882" s="90">
        <f>IFERROR(VLOOKUP(A1882&amp;G1882,Lookup!J:K,2,0),"")</f>
        <v>0</v>
      </c>
      <c r="P1882" s="110" t="str">
        <f t="shared" si="115"/>
        <v/>
      </c>
      <c r="R1882" s="87" t="str">
        <f t="shared" si="116"/>
        <v/>
      </c>
      <c r="S1882" s="87" t="str">
        <f t="shared" si="117"/>
        <v/>
      </c>
    </row>
    <row r="1883" spans="2:19" x14ac:dyDescent="0.25">
      <c r="B1883" s="91" t="str">
        <f>IFERROR(VLOOKUP(A1883,Lookup!A:B,2,0),"")</f>
        <v/>
      </c>
      <c r="C1883" s="59" t="str">
        <f>IFERROR(VLOOKUP(A1883,Lookup!A:C,3,0),"")</f>
        <v/>
      </c>
      <c r="J1883" s="106">
        <f>VLOOKUP(A1883&amp;G1883,Lookup!J:N,5,0)</f>
        <v>0</v>
      </c>
      <c r="O1883" s="90">
        <f>IFERROR(VLOOKUP(A1883&amp;G1883,Lookup!J:K,2,0),"")</f>
        <v>0</v>
      </c>
      <c r="P1883" s="110" t="str">
        <f t="shared" si="115"/>
        <v/>
      </c>
      <c r="R1883" s="87" t="str">
        <f t="shared" si="116"/>
        <v/>
      </c>
      <c r="S1883" s="87" t="str">
        <f t="shared" si="117"/>
        <v/>
      </c>
    </row>
    <row r="1884" spans="2:19" x14ac:dyDescent="0.25">
      <c r="B1884" s="91" t="str">
        <f>IFERROR(VLOOKUP(A1884,Lookup!A:B,2,0),"")</f>
        <v/>
      </c>
      <c r="C1884" s="59" t="str">
        <f>IFERROR(VLOOKUP(A1884,Lookup!A:C,3,0),"")</f>
        <v/>
      </c>
      <c r="J1884" s="106">
        <f>VLOOKUP(A1884&amp;G1884,Lookup!J:N,5,0)</f>
        <v>0</v>
      </c>
      <c r="O1884" s="90">
        <f>IFERROR(VLOOKUP(A1884&amp;G1884,Lookup!J:K,2,0),"")</f>
        <v>0</v>
      </c>
      <c r="P1884" s="110" t="str">
        <f t="shared" si="115"/>
        <v/>
      </c>
      <c r="R1884" s="87" t="str">
        <f t="shared" si="116"/>
        <v/>
      </c>
      <c r="S1884" s="87" t="str">
        <f t="shared" si="117"/>
        <v/>
      </c>
    </row>
    <row r="1885" spans="2:19" x14ac:dyDescent="0.25">
      <c r="B1885" s="91" t="str">
        <f>IFERROR(VLOOKUP(A1885,Lookup!A:B,2,0),"")</f>
        <v/>
      </c>
      <c r="C1885" s="59" t="str">
        <f>IFERROR(VLOOKUP(A1885,Lookup!A:C,3,0),"")</f>
        <v/>
      </c>
      <c r="J1885" s="106">
        <f>VLOOKUP(A1885&amp;G1885,Lookup!J:N,5,0)</f>
        <v>0</v>
      </c>
      <c r="O1885" s="90">
        <f>IFERROR(VLOOKUP(A1885&amp;G1885,Lookup!J:K,2,0),"")</f>
        <v>0</v>
      </c>
      <c r="P1885" s="110" t="str">
        <f t="shared" si="115"/>
        <v/>
      </c>
      <c r="R1885" s="87" t="str">
        <f t="shared" si="116"/>
        <v/>
      </c>
      <c r="S1885" s="87" t="str">
        <f t="shared" si="117"/>
        <v/>
      </c>
    </row>
    <row r="1886" spans="2:19" x14ac:dyDescent="0.25">
      <c r="B1886" s="91" t="str">
        <f>IFERROR(VLOOKUP(A1886,Lookup!A:B,2,0),"")</f>
        <v/>
      </c>
      <c r="C1886" s="59" t="str">
        <f>IFERROR(VLOOKUP(A1886,Lookup!A:C,3,0),"")</f>
        <v/>
      </c>
      <c r="J1886" s="106">
        <f>VLOOKUP(A1886&amp;G1886,Lookup!J:N,5,0)</f>
        <v>0</v>
      </c>
      <c r="O1886" s="90">
        <f>IFERROR(VLOOKUP(A1886&amp;G1886,Lookup!J:K,2,0),"")</f>
        <v>0</v>
      </c>
      <c r="P1886" s="110" t="str">
        <f t="shared" si="115"/>
        <v/>
      </c>
      <c r="R1886" s="87" t="str">
        <f t="shared" si="116"/>
        <v/>
      </c>
      <c r="S1886" s="87" t="str">
        <f t="shared" si="117"/>
        <v/>
      </c>
    </row>
    <row r="1887" spans="2:19" x14ac:dyDescent="0.25">
      <c r="B1887" s="91" t="str">
        <f>IFERROR(VLOOKUP(A1887,Lookup!A:B,2,0),"")</f>
        <v/>
      </c>
      <c r="C1887" s="59" t="str">
        <f>IFERROR(VLOOKUP(A1887,Lookup!A:C,3,0),"")</f>
        <v/>
      </c>
      <c r="J1887" s="106">
        <f>VLOOKUP(A1887&amp;G1887,Lookup!J:N,5,0)</f>
        <v>0</v>
      </c>
      <c r="O1887" s="90">
        <f>IFERROR(VLOOKUP(A1887&amp;G1887,Lookup!J:K,2,0),"")</f>
        <v>0</v>
      </c>
      <c r="P1887" s="110" t="str">
        <f t="shared" si="115"/>
        <v/>
      </c>
      <c r="R1887" s="87" t="str">
        <f t="shared" si="116"/>
        <v/>
      </c>
      <c r="S1887" s="87" t="str">
        <f t="shared" si="117"/>
        <v/>
      </c>
    </row>
    <row r="1888" spans="2:19" x14ac:dyDescent="0.25">
      <c r="B1888" s="91" t="str">
        <f>IFERROR(VLOOKUP(A1888,Lookup!A:B,2,0),"")</f>
        <v/>
      </c>
      <c r="C1888" s="59" t="str">
        <f>IFERROR(VLOOKUP(A1888,Lookup!A:C,3,0),"")</f>
        <v/>
      </c>
      <c r="J1888" s="106">
        <f>VLOOKUP(A1888&amp;G1888,Lookup!J:N,5,0)</f>
        <v>0</v>
      </c>
      <c r="O1888" s="90">
        <f>IFERROR(VLOOKUP(A1888&amp;G1888,Lookup!J:K,2,0),"")</f>
        <v>0</v>
      </c>
      <c r="P1888" s="110" t="str">
        <f t="shared" si="115"/>
        <v/>
      </c>
      <c r="R1888" s="87" t="str">
        <f t="shared" si="116"/>
        <v/>
      </c>
      <c r="S1888" s="87" t="str">
        <f t="shared" si="117"/>
        <v/>
      </c>
    </row>
    <row r="1889" spans="2:19" x14ac:dyDescent="0.25">
      <c r="B1889" s="91" t="str">
        <f>IFERROR(VLOOKUP(A1889,Lookup!A:B,2,0),"")</f>
        <v/>
      </c>
      <c r="C1889" s="59" t="str">
        <f>IFERROR(VLOOKUP(A1889,Lookup!A:C,3,0),"")</f>
        <v/>
      </c>
      <c r="J1889" s="106">
        <f>VLOOKUP(A1889&amp;G1889,Lookup!J:N,5,0)</f>
        <v>0</v>
      </c>
      <c r="O1889" s="90">
        <f>IFERROR(VLOOKUP(A1889&amp;G1889,Lookup!J:K,2,0),"")</f>
        <v>0</v>
      </c>
      <c r="P1889" s="110" t="str">
        <f t="shared" si="115"/>
        <v/>
      </c>
      <c r="R1889" s="87" t="str">
        <f t="shared" si="116"/>
        <v/>
      </c>
      <c r="S1889" s="87" t="str">
        <f t="shared" si="117"/>
        <v/>
      </c>
    </row>
    <row r="1890" spans="2:19" x14ac:dyDescent="0.25">
      <c r="B1890" s="91" t="str">
        <f>IFERROR(VLOOKUP(A1890,Lookup!A:B,2,0),"")</f>
        <v/>
      </c>
      <c r="C1890" s="59" t="str">
        <f>IFERROR(VLOOKUP(A1890,Lookup!A:C,3,0),"")</f>
        <v/>
      </c>
      <c r="J1890" s="106">
        <f>VLOOKUP(A1890&amp;G1890,Lookup!J:N,5,0)</f>
        <v>0</v>
      </c>
      <c r="O1890" s="90">
        <f>IFERROR(VLOOKUP(A1890&amp;G1890,Lookup!J:K,2,0),"")</f>
        <v>0</v>
      </c>
      <c r="P1890" s="110" t="str">
        <f t="shared" si="115"/>
        <v/>
      </c>
      <c r="R1890" s="87" t="str">
        <f t="shared" si="116"/>
        <v/>
      </c>
      <c r="S1890" s="87" t="str">
        <f t="shared" si="117"/>
        <v/>
      </c>
    </row>
    <row r="1891" spans="2:19" x14ac:dyDescent="0.25">
      <c r="B1891" s="91" t="str">
        <f>IFERROR(VLOOKUP(A1891,Lookup!A:B,2,0),"")</f>
        <v/>
      </c>
      <c r="C1891" s="59" t="str">
        <f>IFERROR(VLOOKUP(A1891,Lookup!A:C,3,0),"")</f>
        <v/>
      </c>
      <c r="J1891" s="106">
        <f>VLOOKUP(A1891&amp;G1891,Lookup!J:N,5,0)</f>
        <v>0</v>
      </c>
      <c r="O1891" s="90">
        <f>IFERROR(VLOOKUP(A1891&amp;G1891,Lookup!J:K,2,0),"")</f>
        <v>0</v>
      </c>
      <c r="P1891" s="110" t="str">
        <f t="shared" si="115"/>
        <v/>
      </c>
      <c r="R1891" s="87" t="str">
        <f t="shared" si="116"/>
        <v/>
      </c>
      <c r="S1891" s="87" t="str">
        <f t="shared" si="117"/>
        <v/>
      </c>
    </row>
    <row r="1892" spans="2:19" x14ac:dyDescent="0.25">
      <c r="B1892" s="91" t="str">
        <f>IFERROR(VLOOKUP(A1892,Lookup!A:B,2,0),"")</f>
        <v/>
      </c>
      <c r="C1892" s="59" t="str">
        <f>IFERROR(VLOOKUP(A1892,Lookup!A:C,3,0),"")</f>
        <v/>
      </c>
      <c r="J1892" s="106">
        <f>VLOOKUP(A1892&amp;G1892,Lookup!J:N,5,0)</f>
        <v>0</v>
      </c>
      <c r="O1892" s="90">
        <f>IFERROR(VLOOKUP(A1892&amp;G1892,Lookup!J:K,2,0),"")</f>
        <v>0</v>
      </c>
      <c r="P1892" s="110" t="str">
        <f t="shared" si="115"/>
        <v/>
      </c>
      <c r="R1892" s="87" t="str">
        <f t="shared" si="116"/>
        <v/>
      </c>
      <c r="S1892" s="87" t="str">
        <f t="shared" si="117"/>
        <v/>
      </c>
    </row>
    <row r="1893" spans="2:19" x14ac:dyDescent="0.25">
      <c r="B1893" s="91" t="str">
        <f>IFERROR(VLOOKUP(A1893,Lookup!A:B,2,0),"")</f>
        <v/>
      </c>
      <c r="C1893" s="59" t="str">
        <f>IFERROR(VLOOKUP(A1893,Lookup!A:C,3,0),"")</f>
        <v/>
      </c>
      <c r="J1893" s="106">
        <f>VLOOKUP(A1893&amp;G1893,Lookup!J:N,5,0)</f>
        <v>0</v>
      </c>
      <c r="O1893" s="90">
        <f>IFERROR(VLOOKUP(A1893&amp;G1893,Lookup!J:K,2,0),"")</f>
        <v>0</v>
      </c>
      <c r="P1893" s="110" t="str">
        <f t="shared" si="115"/>
        <v/>
      </c>
      <c r="R1893" s="87" t="str">
        <f t="shared" si="116"/>
        <v/>
      </c>
      <c r="S1893" s="87" t="str">
        <f t="shared" si="117"/>
        <v/>
      </c>
    </row>
    <row r="1894" spans="2:19" x14ac:dyDescent="0.25">
      <c r="B1894" s="91" t="str">
        <f>IFERROR(VLOOKUP(A1894,Lookup!A:B,2,0),"")</f>
        <v/>
      </c>
      <c r="C1894" s="59" t="str">
        <f>IFERROR(VLOOKUP(A1894,Lookup!A:C,3,0),"")</f>
        <v/>
      </c>
      <c r="J1894" s="106">
        <f>VLOOKUP(A1894&amp;G1894,Lookup!J:N,5,0)</f>
        <v>0</v>
      </c>
      <c r="O1894" s="90">
        <f>IFERROR(VLOOKUP(A1894&amp;G1894,Lookup!J:K,2,0),"")</f>
        <v>0</v>
      </c>
      <c r="P1894" s="110" t="str">
        <f t="shared" si="115"/>
        <v/>
      </c>
      <c r="R1894" s="87" t="str">
        <f t="shared" si="116"/>
        <v/>
      </c>
      <c r="S1894" s="87" t="str">
        <f t="shared" si="117"/>
        <v/>
      </c>
    </row>
    <row r="1895" spans="2:19" x14ac:dyDescent="0.25">
      <c r="B1895" s="91" t="str">
        <f>IFERROR(VLOOKUP(A1895,Lookup!A:B,2,0),"")</f>
        <v/>
      </c>
      <c r="C1895" s="59" t="str">
        <f>IFERROR(VLOOKUP(A1895,Lookup!A:C,3,0),"")</f>
        <v/>
      </c>
      <c r="J1895" s="106">
        <f>VLOOKUP(A1895&amp;G1895,Lookup!J:N,5,0)</f>
        <v>0</v>
      </c>
      <c r="O1895" s="90">
        <f>IFERROR(VLOOKUP(A1895&amp;G1895,Lookup!J:K,2,0),"")</f>
        <v>0</v>
      </c>
      <c r="P1895" s="110" t="str">
        <f t="shared" si="115"/>
        <v/>
      </c>
      <c r="R1895" s="87" t="str">
        <f t="shared" si="116"/>
        <v/>
      </c>
      <c r="S1895" s="87" t="str">
        <f t="shared" si="117"/>
        <v/>
      </c>
    </row>
    <row r="1896" spans="2:19" x14ac:dyDescent="0.25">
      <c r="B1896" s="91" t="str">
        <f>IFERROR(VLOOKUP(A1896,Lookup!A:B,2,0),"")</f>
        <v/>
      </c>
      <c r="C1896" s="59" t="str">
        <f>IFERROR(VLOOKUP(A1896,Lookup!A:C,3,0),"")</f>
        <v/>
      </c>
      <c r="J1896" s="106">
        <f>VLOOKUP(A1896&amp;G1896,Lookup!J:N,5,0)</f>
        <v>0</v>
      </c>
      <c r="O1896" s="90">
        <f>IFERROR(VLOOKUP(A1896&amp;G1896,Lookup!J:K,2,0),"")</f>
        <v>0</v>
      </c>
      <c r="P1896" s="110" t="str">
        <f t="shared" si="115"/>
        <v/>
      </c>
      <c r="R1896" s="87" t="str">
        <f t="shared" si="116"/>
        <v/>
      </c>
      <c r="S1896" s="87" t="str">
        <f t="shared" si="117"/>
        <v/>
      </c>
    </row>
    <row r="1897" spans="2:19" x14ac:dyDescent="0.25">
      <c r="B1897" s="91" t="str">
        <f>IFERROR(VLOOKUP(A1897,Lookup!A:B,2,0),"")</f>
        <v/>
      </c>
      <c r="C1897" s="59" t="str">
        <f>IFERROR(VLOOKUP(A1897,Lookup!A:C,3,0),"")</f>
        <v/>
      </c>
      <c r="J1897" s="106">
        <f>VLOOKUP(A1897&amp;G1897,Lookup!J:N,5,0)</f>
        <v>0</v>
      </c>
      <c r="O1897" s="90">
        <f>IFERROR(VLOOKUP(A1897&amp;G1897,Lookup!J:K,2,0),"")</f>
        <v>0</v>
      </c>
      <c r="P1897" s="110" t="str">
        <f t="shared" si="115"/>
        <v/>
      </c>
      <c r="R1897" s="87" t="str">
        <f t="shared" si="116"/>
        <v/>
      </c>
      <c r="S1897" s="87" t="str">
        <f t="shared" si="117"/>
        <v/>
      </c>
    </row>
    <row r="1898" spans="2:19" x14ac:dyDescent="0.25">
      <c r="B1898" s="91" t="str">
        <f>IFERROR(VLOOKUP(A1898,Lookup!A:B,2,0),"")</f>
        <v/>
      </c>
      <c r="C1898" s="59" t="str">
        <f>IFERROR(VLOOKUP(A1898,Lookup!A:C,3,0),"")</f>
        <v/>
      </c>
      <c r="J1898" s="106">
        <f>VLOOKUP(A1898&amp;G1898,Lookup!J:N,5,0)</f>
        <v>0</v>
      </c>
      <c r="O1898" s="90">
        <f>IFERROR(VLOOKUP(A1898&amp;G1898,Lookup!J:K,2,0),"")</f>
        <v>0</v>
      </c>
      <c r="P1898" s="110" t="str">
        <f t="shared" si="115"/>
        <v/>
      </c>
      <c r="R1898" s="87" t="str">
        <f t="shared" si="116"/>
        <v/>
      </c>
      <c r="S1898" s="87" t="str">
        <f t="shared" si="117"/>
        <v/>
      </c>
    </row>
    <row r="1899" spans="2:19" x14ac:dyDescent="0.25">
      <c r="B1899" s="91" t="str">
        <f>IFERROR(VLOOKUP(A1899,Lookup!A:B,2,0),"")</f>
        <v/>
      </c>
      <c r="C1899" s="59" t="str">
        <f>IFERROR(VLOOKUP(A1899,Lookup!A:C,3,0),"")</f>
        <v/>
      </c>
      <c r="J1899" s="106">
        <f>VLOOKUP(A1899&amp;G1899,Lookup!J:N,5,0)</f>
        <v>0</v>
      </c>
      <c r="O1899" s="90">
        <f>IFERROR(VLOOKUP(A1899&amp;G1899,Lookup!J:K,2,0),"")</f>
        <v>0</v>
      </c>
      <c r="P1899" s="110" t="str">
        <f t="shared" si="115"/>
        <v/>
      </c>
      <c r="R1899" s="87" t="str">
        <f t="shared" si="116"/>
        <v/>
      </c>
      <c r="S1899" s="87" t="str">
        <f t="shared" si="117"/>
        <v/>
      </c>
    </row>
    <row r="1900" spans="2:19" x14ac:dyDescent="0.25">
      <c r="B1900" s="91" t="str">
        <f>IFERROR(VLOOKUP(A1900,Lookup!A:B,2,0),"")</f>
        <v/>
      </c>
      <c r="C1900" s="59" t="str">
        <f>IFERROR(VLOOKUP(A1900,Lookup!A:C,3,0),"")</f>
        <v/>
      </c>
      <c r="J1900" s="106">
        <f>VLOOKUP(A1900&amp;G1900,Lookup!J:N,5,0)</f>
        <v>0</v>
      </c>
      <c r="O1900" s="90">
        <f>IFERROR(VLOOKUP(A1900&amp;G1900,Lookup!J:K,2,0),"")</f>
        <v>0</v>
      </c>
      <c r="P1900" s="110" t="str">
        <f t="shared" si="115"/>
        <v/>
      </c>
      <c r="R1900" s="87" t="str">
        <f t="shared" si="116"/>
        <v/>
      </c>
      <c r="S1900" s="87" t="str">
        <f t="shared" si="117"/>
        <v/>
      </c>
    </row>
    <row r="1901" spans="2:19" x14ac:dyDescent="0.25">
      <c r="B1901" s="91" t="str">
        <f>IFERROR(VLOOKUP(A1901,Lookup!A:B,2,0),"")</f>
        <v/>
      </c>
      <c r="C1901" s="59" t="str">
        <f>IFERROR(VLOOKUP(A1901,Lookup!A:C,3,0),"")</f>
        <v/>
      </c>
      <c r="J1901" s="106">
        <f>VLOOKUP(A1901&amp;G1901,Lookup!J:N,5,0)</f>
        <v>0</v>
      </c>
      <c r="O1901" s="90">
        <f>IFERROR(VLOOKUP(A1901&amp;G1901,Lookup!J:K,2,0),"")</f>
        <v>0</v>
      </c>
      <c r="P1901" s="110" t="str">
        <f t="shared" si="115"/>
        <v/>
      </c>
      <c r="R1901" s="87" t="str">
        <f t="shared" si="116"/>
        <v/>
      </c>
      <c r="S1901" s="87" t="str">
        <f t="shared" si="117"/>
        <v/>
      </c>
    </row>
    <row r="1902" spans="2:19" x14ac:dyDescent="0.25">
      <c r="B1902" s="91" t="str">
        <f>IFERROR(VLOOKUP(A1902,Lookup!A:B,2,0),"")</f>
        <v/>
      </c>
      <c r="C1902" s="59" t="str">
        <f>IFERROR(VLOOKUP(A1902,Lookup!A:C,3,0),"")</f>
        <v/>
      </c>
      <c r="J1902" s="106">
        <f>VLOOKUP(A1902&amp;G1902,Lookup!J:N,5,0)</f>
        <v>0</v>
      </c>
      <c r="O1902" s="90">
        <f>IFERROR(VLOOKUP(A1902&amp;G1902,Lookup!J:K,2,0),"")</f>
        <v>0</v>
      </c>
      <c r="P1902" s="110" t="str">
        <f t="shared" si="115"/>
        <v/>
      </c>
      <c r="R1902" s="87" t="str">
        <f t="shared" si="116"/>
        <v/>
      </c>
      <c r="S1902" s="87" t="str">
        <f t="shared" si="117"/>
        <v/>
      </c>
    </row>
    <row r="1903" spans="2:19" x14ac:dyDescent="0.25">
      <c r="B1903" s="91" t="str">
        <f>IFERROR(VLOOKUP(A1903,Lookup!A:B,2,0),"")</f>
        <v/>
      </c>
      <c r="C1903" s="59" t="str">
        <f>IFERROR(VLOOKUP(A1903,Lookup!A:C,3,0),"")</f>
        <v/>
      </c>
      <c r="J1903" s="106">
        <f>VLOOKUP(A1903&amp;G1903,Lookup!J:N,5,0)</f>
        <v>0</v>
      </c>
      <c r="O1903" s="90">
        <f>IFERROR(VLOOKUP(A1903&amp;G1903,Lookup!J:K,2,0),"")</f>
        <v>0</v>
      </c>
      <c r="P1903" s="110" t="str">
        <f t="shared" si="115"/>
        <v/>
      </c>
      <c r="R1903" s="87" t="str">
        <f t="shared" si="116"/>
        <v/>
      </c>
      <c r="S1903" s="87" t="str">
        <f t="shared" si="117"/>
        <v/>
      </c>
    </row>
    <row r="1904" spans="2:19" x14ac:dyDescent="0.25">
      <c r="B1904" s="91" t="str">
        <f>IFERROR(VLOOKUP(A1904,Lookup!A:B,2,0),"")</f>
        <v/>
      </c>
      <c r="C1904" s="59" t="str">
        <f>IFERROR(VLOOKUP(A1904,Lookup!A:C,3,0),"")</f>
        <v/>
      </c>
      <c r="J1904" s="106">
        <f>VLOOKUP(A1904&amp;G1904,Lookup!J:N,5,0)</f>
        <v>0</v>
      </c>
      <c r="O1904" s="90">
        <f>IFERROR(VLOOKUP(A1904&amp;G1904,Lookup!J:K,2,0),"")</f>
        <v>0</v>
      </c>
      <c r="P1904" s="110" t="str">
        <f t="shared" si="115"/>
        <v/>
      </c>
      <c r="R1904" s="87" t="str">
        <f t="shared" si="116"/>
        <v/>
      </c>
      <c r="S1904" s="87" t="str">
        <f t="shared" si="117"/>
        <v/>
      </c>
    </row>
    <row r="1905" spans="2:19" x14ac:dyDescent="0.25">
      <c r="B1905" s="91" t="str">
        <f>IFERROR(VLOOKUP(A1905,Lookup!A:B,2,0),"")</f>
        <v/>
      </c>
      <c r="C1905" s="59" t="str">
        <f>IFERROR(VLOOKUP(A1905,Lookup!A:C,3,0),"")</f>
        <v/>
      </c>
      <c r="J1905" s="106">
        <f>VLOOKUP(A1905&amp;G1905,Lookup!J:N,5,0)</f>
        <v>0</v>
      </c>
      <c r="O1905" s="90">
        <f>IFERROR(VLOOKUP(A1905&amp;G1905,Lookup!J:K,2,0),"")</f>
        <v>0</v>
      </c>
      <c r="P1905" s="110" t="str">
        <f t="shared" si="115"/>
        <v/>
      </c>
      <c r="R1905" s="87" t="str">
        <f t="shared" si="116"/>
        <v/>
      </c>
      <c r="S1905" s="87" t="str">
        <f t="shared" si="117"/>
        <v/>
      </c>
    </row>
    <row r="1906" spans="2:19" x14ac:dyDescent="0.25">
      <c r="B1906" s="91" t="str">
        <f>IFERROR(VLOOKUP(A1906,Lookup!A:B,2,0),"")</f>
        <v/>
      </c>
      <c r="C1906" s="59" t="str">
        <f>IFERROR(VLOOKUP(A1906,Lookup!A:C,3,0),"")</f>
        <v/>
      </c>
      <c r="J1906" s="106">
        <f>VLOOKUP(A1906&amp;G1906,Lookup!J:N,5,0)</f>
        <v>0</v>
      </c>
      <c r="O1906" s="90">
        <f>IFERROR(VLOOKUP(A1906&amp;G1906,Lookup!J:K,2,0),"")</f>
        <v>0</v>
      </c>
      <c r="P1906" s="110" t="str">
        <f t="shared" si="115"/>
        <v/>
      </c>
      <c r="R1906" s="87" t="str">
        <f t="shared" si="116"/>
        <v/>
      </c>
      <c r="S1906" s="87" t="str">
        <f t="shared" si="117"/>
        <v/>
      </c>
    </row>
    <row r="1907" spans="2:19" x14ac:dyDescent="0.25">
      <c r="B1907" s="91" t="str">
        <f>IFERROR(VLOOKUP(A1907,Lookup!A:B,2,0),"")</f>
        <v/>
      </c>
      <c r="C1907" s="59" t="str">
        <f>IFERROR(VLOOKUP(A1907,Lookup!A:C,3,0),"")</f>
        <v/>
      </c>
      <c r="J1907" s="106">
        <f>VLOOKUP(A1907&amp;G1907,Lookup!J:N,5,0)</f>
        <v>0</v>
      </c>
      <c r="O1907" s="90">
        <f>IFERROR(VLOOKUP(A1907&amp;G1907,Lookup!J:K,2,0),"")</f>
        <v>0</v>
      </c>
      <c r="P1907" s="110" t="str">
        <f t="shared" si="115"/>
        <v/>
      </c>
      <c r="R1907" s="87" t="str">
        <f t="shared" si="116"/>
        <v/>
      </c>
      <c r="S1907" s="87" t="str">
        <f t="shared" si="117"/>
        <v/>
      </c>
    </row>
    <row r="1908" spans="2:19" x14ac:dyDescent="0.25">
      <c r="B1908" s="91" t="str">
        <f>IFERROR(VLOOKUP(A1908,Lookup!A:B,2,0),"")</f>
        <v/>
      </c>
      <c r="C1908" s="59" t="str">
        <f>IFERROR(VLOOKUP(A1908,Lookup!A:C,3,0),"")</f>
        <v/>
      </c>
      <c r="J1908" s="106">
        <f>VLOOKUP(A1908&amp;G1908,Lookup!J:N,5,0)</f>
        <v>0</v>
      </c>
      <c r="O1908" s="90">
        <f>IFERROR(VLOOKUP(A1908&amp;G1908,Lookup!J:K,2,0),"")</f>
        <v>0</v>
      </c>
      <c r="P1908" s="110" t="str">
        <f t="shared" si="115"/>
        <v/>
      </c>
      <c r="R1908" s="87" t="str">
        <f t="shared" si="116"/>
        <v/>
      </c>
      <c r="S1908" s="87" t="str">
        <f t="shared" si="117"/>
        <v/>
      </c>
    </row>
    <row r="1909" spans="2:19" x14ac:dyDescent="0.25">
      <c r="B1909" s="91" t="str">
        <f>IFERROR(VLOOKUP(A1909,Lookup!A:B,2,0),"")</f>
        <v/>
      </c>
      <c r="C1909" s="59" t="str">
        <f>IFERROR(VLOOKUP(A1909,Lookup!A:C,3,0),"")</f>
        <v/>
      </c>
      <c r="J1909" s="106">
        <f>VLOOKUP(A1909&amp;G1909,Lookup!J:N,5,0)</f>
        <v>0</v>
      </c>
      <c r="O1909" s="90">
        <f>IFERROR(VLOOKUP(A1909&amp;G1909,Lookup!J:K,2,0),"")</f>
        <v>0</v>
      </c>
      <c r="P1909" s="110" t="str">
        <f t="shared" si="115"/>
        <v/>
      </c>
      <c r="R1909" s="87" t="str">
        <f t="shared" si="116"/>
        <v/>
      </c>
      <c r="S1909" s="87" t="str">
        <f t="shared" si="117"/>
        <v/>
      </c>
    </row>
    <row r="1910" spans="2:19" x14ac:dyDescent="0.25">
      <c r="B1910" s="91" t="str">
        <f>IFERROR(VLOOKUP(A1910,Lookup!A:B,2,0),"")</f>
        <v/>
      </c>
      <c r="C1910" s="59" t="str">
        <f>IFERROR(VLOOKUP(A1910,Lookup!A:C,3,0),"")</f>
        <v/>
      </c>
      <c r="J1910" s="106">
        <f>VLOOKUP(A1910&amp;G1910,Lookup!J:N,5,0)</f>
        <v>0</v>
      </c>
      <c r="O1910" s="90">
        <f>IFERROR(VLOOKUP(A1910&amp;G1910,Lookup!J:K,2,0),"")</f>
        <v>0</v>
      </c>
      <c r="P1910" s="110" t="str">
        <f t="shared" si="115"/>
        <v/>
      </c>
      <c r="R1910" s="87" t="str">
        <f t="shared" si="116"/>
        <v/>
      </c>
      <c r="S1910" s="87" t="str">
        <f t="shared" si="117"/>
        <v/>
      </c>
    </row>
    <row r="1911" spans="2:19" x14ac:dyDescent="0.25">
      <c r="B1911" s="91" t="str">
        <f>IFERROR(VLOOKUP(A1911,Lookup!A:B,2,0),"")</f>
        <v/>
      </c>
      <c r="C1911" s="59" t="str">
        <f>IFERROR(VLOOKUP(A1911,Lookup!A:C,3,0),"")</f>
        <v/>
      </c>
      <c r="J1911" s="106">
        <f>VLOOKUP(A1911&amp;G1911,Lookup!J:N,5,0)</f>
        <v>0</v>
      </c>
      <c r="O1911" s="90">
        <f>IFERROR(VLOOKUP(A1911&amp;G1911,Lookup!J:K,2,0),"")</f>
        <v>0</v>
      </c>
      <c r="P1911" s="110" t="str">
        <f t="shared" si="115"/>
        <v/>
      </c>
      <c r="R1911" s="87" t="str">
        <f t="shared" si="116"/>
        <v/>
      </c>
      <c r="S1911" s="87" t="str">
        <f t="shared" si="117"/>
        <v/>
      </c>
    </row>
    <row r="1912" spans="2:19" x14ac:dyDescent="0.25">
      <c r="B1912" s="91" t="str">
        <f>IFERROR(VLOOKUP(A1912,Lookup!A:B,2,0),"")</f>
        <v/>
      </c>
      <c r="C1912" s="59" t="str">
        <f>IFERROR(VLOOKUP(A1912,Lookup!A:C,3,0),"")</f>
        <v/>
      </c>
      <c r="J1912" s="106">
        <f>VLOOKUP(A1912&amp;G1912,Lookup!J:N,5,0)</f>
        <v>0</v>
      </c>
      <c r="O1912" s="90">
        <f>IFERROR(VLOOKUP(A1912&amp;G1912,Lookup!J:K,2,0),"")</f>
        <v>0</v>
      </c>
      <c r="P1912" s="110" t="str">
        <f t="shared" si="115"/>
        <v/>
      </c>
      <c r="R1912" s="87" t="str">
        <f t="shared" si="116"/>
        <v/>
      </c>
      <c r="S1912" s="87" t="str">
        <f t="shared" si="117"/>
        <v/>
      </c>
    </row>
    <row r="1913" spans="2:19" x14ac:dyDescent="0.25">
      <c r="B1913" s="91" t="str">
        <f>IFERROR(VLOOKUP(A1913,Lookup!A:B,2,0),"")</f>
        <v/>
      </c>
      <c r="C1913" s="59" t="str">
        <f>IFERROR(VLOOKUP(A1913,Lookup!A:C,3,0),"")</f>
        <v/>
      </c>
      <c r="J1913" s="106">
        <f>VLOOKUP(A1913&amp;G1913,Lookup!J:N,5,0)</f>
        <v>0</v>
      </c>
      <c r="O1913" s="90">
        <f>IFERROR(VLOOKUP(A1913&amp;G1913,Lookup!J:K,2,0),"")</f>
        <v>0</v>
      </c>
      <c r="P1913" s="110" t="str">
        <f t="shared" si="115"/>
        <v/>
      </c>
      <c r="R1913" s="87" t="str">
        <f t="shared" si="116"/>
        <v/>
      </c>
      <c r="S1913" s="87" t="str">
        <f t="shared" si="117"/>
        <v/>
      </c>
    </row>
    <row r="1914" spans="2:19" x14ac:dyDescent="0.25">
      <c r="B1914" s="91" t="str">
        <f>IFERROR(VLOOKUP(A1914,Lookup!A:B,2,0),"")</f>
        <v/>
      </c>
      <c r="C1914" s="59" t="str">
        <f>IFERROR(VLOOKUP(A1914,Lookup!A:C,3,0),"")</f>
        <v/>
      </c>
      <c r="J1914" s="106">
        <f>VLOOKUP(A1914&amp;G1914,Lookup!J:N,5,0)</f>
        <v>0</v>
      </c>
      <c r="O1914" s="90">
        <f>IFERROR(VLOOKUP(A1914&amp;G1914,Lookup!J:K,2,0),"")</f>
        <v>0</v>
      </c>
      <c r="P1914" s="110" t="str">
        <f t="shared" si="115"/>
        <v/>
      </c>
      <c r="R1914" s="87" t="str">
        <f t="shared" si="116"/>
        <v/>
      </c>
      <c r="S1914" s="87" t="str">
        <f t="shared" si="117"/>
        <v/>
      </c>
    </row>
    <row r="1915" spans="2:19" x14ac:dyDescent="0.25">
      <c r="B1915" s="91" t="str">
        <f>IFERROR(VLOOKUP(A1915,Lookup!A:B,2,0),"")</f>
        <v/>
      </c>
      <c r="C1915" s="59" t="str">
        <f>IFERROR(VLOOKUP(A1915,Lookup!A:C,3,0),"")</f>
        <v/>
      </c>
      <c r="J1915" s="106">
        <f>VLOOKUP(A1915&amp;G1915,Lookup!J:N,5,0)</f>
        <v>0</v>
      </c>
      <c r="O1915" s="90">
        <f>IFERROR(VLOOKUP(A1915&amp;G1915,Lookup!J:K,2,0),"")</f>
        <v>0</v>
      </c>
      <c r="P1915" s="110" t="str">
        <f t="shared" si="115"/>
        <v/>
      </c>
      <c r="R1915" s="87" t="str">
        <f t="shared" si="116"/>
        <v/>
      </c>
      <c r="S1915" s="87" t="str">
        <f t="shared" si="117"/>
        <v/>
      </c>
    </row>
    <row r="1916" spans="2:19" x14ac:dyDescent="0.25">
      <c r="B1916" s="91" t="str">
        <f>IFERROR(VLOOKUP(A1916,Lookup!A:B,2,0),"")</f>
        <v/>
      </c>
      <c r="C1916" s="59" t="str">
        <f>IFERROR(VLOOKUP(A1916,Lookup!A:C,3,0),"")</f>
        <v/>
      </c>
      <c r="J1916" s="106">
        <f>VLOOKUP(A1916&amp;G1916,Lookup!J:N,5,0)</f>
        <v>0</v>
      </c>
      <c r="O1916" s="90">
        <f>IFERROR(VLOOKUP(A1916&amp;G1916,Lookup!J:K,2,0),"")</f>
        <v>0</v>
      </c>
      <c r="P1916" s="110" t="str">
        <f t="shared" si="115"/>
        <v/>
      </c>
      <c r="R1916" s="87" t="str">
        <f t="shared" si="116"/>
        <v/>
      </c>
      <c r="S1916" s="87" t="str">
        <f t="shared" si="117"/>
        <v/>
      </c>
    </row>
    <row r="1917" spans="2:19" x14ac:dyDescent="0.25">
      <c r="B1917" s="91" t="str">
        <f>IFERROR(VLOOKUP(A1917,Lookup!A:B,2,0),"")</f>
        <v/>
      </c>
      <c r="C1917" s="59" t="str">
        <f>IFERROR(VLOOKUP(A1917,Lookup!A:C,3,0),"")</f>
        <v/>
      </c>
      <c r="J1917" s="106">
        <f>VLOOKUP(A1917&amp;G1917,Lookup!J:N,5,0)</f>
        <v>0</v>
      </c>
      <c r="O1917" s="90">
        <f>IFERROR(VLOOKUP(A1917&amp;G1917,Lookup!J:K,2,0),"")</f>
        <v>0</v>
      </c>
      <c r="P1917" s="110" t="str">
        <f t="shared" si="115"/>
        <v/>
      </c>
      <c r="R1917" s="87" t="str">
        <f t="shared" si="116"/>
        <v/>
      </c>
      <c r="S1917" s="87" t="str">
        <f t="shared" si="117"/>
        <v/>
      </c>
    </row>
    <row r="1918" spans="2:19" x14ac:dyDescent="0.25">
      <c r="B1918" s="91" t="str">
        <f>IFERROR(VLOOKUP(A1918,Lookup!A:B,2,0),"")</f>
        <v/>
      </c>
      <c r="C1918" s="59" t="str">
        <f>IFERROR(VLOOKUP(A1918,Lookup!A:C,3,0),"")</f>
        <v/>
      </c>
      <c r="J1918" s="106">
        <f>VLOOKUP(A1918&amp;G1918,Lookup!J:N,5,0)</f>
        <v>0</v>
      </c>
      <c r="O1918" s="90">
        <f>IFERROR(VLOOKUP(A1918&amp;G1918,Lookup!J:K,2,0),"")</f>
        <v>0</v>
      </c>
      <c r="P1918" s="110" t="str">
        <f t="shared" si="115"/>
        <v/>
      </c>
      <c r="R1918" s="87" t="str">
        <f t="shared" si="116"/>
        <v/>
      </c>
      <c r="S1918" s="87" t="str">
        <f t="shared" si="117"/>
        <v/>
      </c>
    </row>
    <row r="1919" spans="2:19" x14ac:dyDescent="0.25">
      <c r="B1919" s="91" t="str">
        <f>IFERROR(VLOOKUP(A1919,Lookup!A:B,2,0),"")</f>
        <v/>
      </c>
      <c r="C1919" s="59" t="str">
        <f>IFERROR(VLOOKUP(A1919,Lookup!A:C,3,0),"")</f>
        <v/>
      </c>
      <c r="J1919" s="106">
        <f>VLOOKUP(A1919&amp;G1919,Lookup!J:N,5,0)</f>
        <v>0</v>
      </c>
      <c r="O1919" s="90">
        <f>IFERROR(VLOOKUP(A1919&amp;G1919,Lookup!J:K,2,0),"")</f>
        <v>0</v>
      </c>
      <c r="P1919" s="110" t="str">
        <f t="shared" si="115"/>
        <v/>
      </c>
      <c r="R1919" s="87" t="str">
        <f t="shared" si="116"/>
        <v/>
      </c>
      <c r="S1919" s="87" t="str">
        <f t="shared" si="117"/>
        <v/>
      </c>
    </row>
    <row r="1920" spans="2:19" x14ac:dyDescent="0.25">
      <c r="B1920" s="91" t="str">
        <f>IFERROR(VLOOKUP(A1920,Lookup!A:B,2,0),"")</f>
        <v/>
      </c>
      <c r="C1920" s="59" t="str">
        <f>IFERROR(VLOOKUP(A1920,Lookup!A:C,3,0),"")</f>
        <v/>
      </c>
      <c r="J1920" s="106">
        <f>VLOOKUP(A1920&amp;G1920,Lookup!J:N,5,0)</f>
        <v>0</v>
      </c>
      <c r="O1920" s="90">
        <f>IFERROR(VLOOKUP(A1920&amp;G1920,Lookup!J:K,2,0),"")</f>
        <v>0</v>
      </c>
      <c r="P1920" s="110" t="str">
        <f t="shared" si="115"/>
        <v/>
      </c>
      <c r="R1920" s="87" t="str">
        <f t="shared" si="116"/>
        <v/>
      </c>
      <c r="S1920" s="87" t="str">
        <f t="shared" si="117"/>
        <v/>
      </c>
    </row>
    <row r="1921" spans="2:19" x14ac:dyDescent="0.25">
      <c r="B1921" s="91" t="str">
        <f>IFERROR(VLOOKUP(A1921,Lookup!A:B,2,0),"")</f>
        <v/>
      </c>
      <c r="C1921" s="59" t="str">
        <f>IFERROR(VLOOKUP(A1921,Lookup!A:C,3,0),"")</f>
        <v/>
      </c>
      <c r="J1921" s="106">
        <f>VLOOKUP(A1921&amp;G1921,Lookup!J:N,5,0)</f>
        <v>0</v>
      </c>
      <c r="O1921" s="90">
        <f>IFERROR(VLOOKUP(A1921&amp;G1921,Lookup!J:K,2,0),"")</f>
        <v>0</v>
      </c>
      <c r="P1921" s="110" t="str">
        <f t="shared" si="115"/>
        <v/>
      </c>
      <c r="R1921" s="87" t="str">
        <f t="shared" si="116"/>
        <v/>
      </c>
      <c r="S1921" s="87" t="str">
        <f t="shared" si="117"/>
        <v/>
      </c>
    </row>
    <row r="1922" spans="2:19" x14ac:dyDescent="0.25">
      <c r="B1922" s="91" t="str">
        <f>IFERROR(VLOOKUP(A1922,Lookup!A:B,2,0),"")</f>
        <v/>
      </c>
      <c r="C1922" s="59" t="str">
        <f>IFERROR(VLOOKUP(A1922,Lookup!A:C,3,0),"")</f>
        <v/>
      </c>
      <c r="J1922" s="106">
        <f>VLOOKUP(A1922&amp;G1922,Lookup!J:N,5,0)</f>
        <v>0</v>
      </c>
      <c r="O1922" s="90">
        <f>IFERROR(VLOOKUP(A1922&amp;G1922,Lookup!J:K,2,0),"")</f>
        <v>0</v>
      </c>
      <c r="P1922" s="110" t="str">
        <f t="shared" ref="P1922:P1985" si="118">IF(N1922="","",N1922+O1922)</f>
        <v/>
      </c>
      <c r="R1922" s="87" t="str">
        <f t="shared" si="116"/>
        <v/>
      </c>
      <c r="S1922" s="87" t="str">
        <f t="shared" si="117"/>
        <v/>
      </c>
    </row>
    <row r="1923" spans="2:19" x14ac:dyDescent="0.25">
      <c r="B1923" s="91" t="str">
        <f>IFERROR(VLOOKUP(A1923,Lookup!A:B,2,0),"")</f>
        <v/>
      </c>
      <c r="C1923" s="59" t="str">
        <f>IFERROR(VLOOKUP(A1923,Lookup!A:C,3,0),"")</f>
        <v/>
      </c>
      <c r="J1923" s="106">
        <f>VLOOKUP(A1923&amp;G1923,Lookup!J:N,5,0)</f>
        <v>0</v>
      </c>
      <c r="O1923" s="90">
        <f>IFERROR(VLOOKUP(A1923&amp;G1923,Lookup!J:K,2,0),"")</f>
        <v>0</v>
      </c>
      <c r="P1923" s="110" t="str">
        <f t="shared" si="118"/>
        <v/>
      </c>
      <c r="R1923" s="87" t="str">
        <f t="shared" ref="R1923:R1986" si="119">IF(OR(EXACT(N1923,""), EXACT(L1923,"")),"",N1923-L1923)</f>
        <v/>
      </c>
      <c r="S1923" s="87" t="str">
        <f t="shared" si="117"/>
        <v/>
      </c>
    </row>
    <row r="1924" spans="2:19" x14ac:dyDescent="0.25">
      <c r="B1924" s="91" t="str">
        <f>IFERROR(VLOOKUP(A1924,Lookup!A:B,2,0),"")</f>
        <v/>
      </c>
      <c r="C1924" s="59" t="str">
        <f>IFERROR(VLOOKUP(A1924,Lookup!A:C,3,0),"")</f>
        <v/>
      </c>
      <c r="J1924" s="106">
        <f>VLOOKUP(A1924&amp;G1924,Lookup!J:N,5,0)</f>
        <v>0</v>
      </c>
      <c r="O1924" s="90">
        <f>IFERROR(VLOOKUP(A1924&amp;G1924,Lookup!J:K,2,0),"")</f>
        <v>0</v>
      </c>
      <c r="P1924" s="110" t="str">
        <f t="shared" si="118"/>
        <v/>
      </c>
      <c r="R1924" s="87" t="str">
        <f t="shared" si="119"/>
        <v/>
      </c>
      <c r="S1924" s="87" t="str">
        <f t="shared" ref="S1924:S1987" si="120">IF(OR(EXACT(Q1924,""), EXACT(L1924,"")),"",Q1924-L1924)</f>
        <v/>
      </c>
    </row>
    <row r="1925" spans="2:19" x14ac:dyDescent="0.25">
      <c r="B1925" s="91" t="str">
        <f>IFERROR(VLOOKUP(A1925,Lookup!A:B,2,0),"")</f>
        <v/>
      </c>
      <c r="C1925" s="59" t="str">
        <f>IFERROR(VLOOKUP(A1925,Lookup!A:C,3,0),"")</f>
        <v/>
      </c>
      <c r="J1925" s="106">
        <f>VLOOKUP(A1925&amp;G1925,Lookup!J:N,5,0)</f>
        <v>0</v>
      </c>
      <c r="O1925" s="90">
        <f>IFERROR(VLOOKUP(A1925&amp;G1925,Lookup!J:K,2,0),"")</f>
        <v>0</v>
      </c>
      <c r="P1925" s="110" t="str">
        <f t="shared" si="118"/>
        <v/>
      </c>
      <c r="R1925" s="87" t="str">
        <f t="shared" si="119"/>
        <v/>
      </c>
      <c r="S1925" s="87" t="str">
        <f t="shared" si="120"/>
        <v/>
      </c>
    </row>
    <row r="1926" spans="2:19" x14ac:dyDescent="0.25">
      <c r="B1926" s="91" t="str">
        <f>IFERROR(VLOOKUP(A1926,Lookup!A:B,2,0),"")</f>
        <v/>
      </c>
      <c r="C1926" s="59" t="str">
        <f>IFERROR(VLOOKUP(A1926,Lookup!A:C,3,0),"")</f>
        <v/>
      </c>
      <c r="J1926" s="106">
        <f>VLOOKUP(A1926&amp;G1926,Lookup!J:N,5,0)</f>
        <v>0</v>
      </c>
      <c r="O1926" s="90">
        <f>IFERROR(VLOOKUP(A1926&amp;G1926,Lookup!J:K,2,0),"")</f>
        <v>0</v>
      </c>
      <c r="P1926" s="110" t="str">
        <f t="shared" si="118"/>
        <v/>
      </c>
      <c r="R1926" s="87" t="str">
        <f t="shared" si="119"/>
        <v/>
      </c>
      <c r="S1926" s="87" t="str">
        <f t="shared" si="120"/>
        <v/>
      </c>
    </row>
    <row r="1927" spans="2:19" x14ac:dyDescent="0.25">
      <c r="B1927" s="91" t="str">
        <f>IFERROR(VLOOKUP(A1927,Lookup!A:B,2,0),"")</f>
        <v/>
      </c>
      <c r="C1927" s="59" t="str">
        <f>IFERROR(VLOOKUP(A1927,Lookup!A:C,3,0),"")</f>
        <v/>
      </c>
      <c r="J1927" s="106">
        <f>VLOOKUP(A1927&amp;G1927,Lookup!J:N,5,0)</f>
        <v>0</v>
      </c>
      <c r="O1927" s="90">
        <f>IFERROR(VLOOKUP(A1927&amp;G1927,Lookup!J:K,2,0),"")</f>
        <v>0</v>
      </c>
      <c r="P1927" s="110" t="str">
        <f t="shared" si="118"/>
        <v/>
      </c>
      <c r="R1927" s="87" t="str">
        <f t="shared" si="119"/>
        <v/>
      </c>
      <c r="S1927" s="87" t="str">
        <f t="shared" si="120"/>
        <v/>
      </c>
    </row>
    <row r="1928" spans="2:19" x14ac:dyDescent="0.25">
      <c r="B1928" s="91" t="str">
        <f>IFERROR(VLOOKUP(A1928,Lookup!A:B,2,0),"")</f>
        <v/>
      </c>
      <c r="C1928" s="59" t="str">
        <f>IFERROR(VLOOKUP(A1928,Lookup!A:C,3,0),"")</f>
        <v/>
      </c>
      <c r="J1928" s="106">
        <f>VLOOKUP(A1928&amp;G1928,Lookup!J:N,5,0)</f>
        <v>0</v>
      </c>
      <c r="O1928" s="90">
        <f>IFERROR(VLOOKUP(A1928&amp;G1928,Lookup!J:K,2,0),"")</f>
        <v>0</v>
      </c>
      <c r="P1928" s="110" t="str">
        <f t="shared" si="118"/>
        <v/>
      </c>
      <c r="R1928" s="87" t="str">
        <f t="shared" si="119"/>
        <v/>
      </c>
      <c r="S1928" s="87" t="str">
        <f t="shared" si="120"/>
        <v/>
      </c>
    </row>
    <row r="1929" spans="2:19" x14ac:dyDescent="0.25">
      <c r="B1929" s="91" t="str">
        <f>IFERROR(VLOOKUP(A1929,Lookup!A:B,2,0),"")</f>
        <v/>
      </c>
      <c r="C1929" s="59" t="str">
        <f>IFERROR(VLOOKUP(A1929,Lookup!A:C,3,0),"")</f>
        <v/>
      </c>
      <c r="J1929" s="106">
        <f>VLOOKUP(A1929&amp;G1929,Lookup!J:N,5,0)</f>
        <v>0</v>
      </c>
      <c r="O1929" s="90">
        <f>IFERROR(VLOOKUP(A1929&amp;G1929,Lookup!J:K,2,0),"")</f>
        <v>0</v>
      </c>
      <c r="P1929" s="110" t="str">
        <f t="shared" si="118"/>
        <v/>
      </c>
      <c r="R1929" s="87" t="str">
        <f t="shared" si="119"/>
        <v/>
      </c>
      <c r="S1929" s="87" t="str">
        <f t="shared" si="120"/>
        <v/>
      </c>
    </row>
    <row r="1930" spans="2:19" x14ac:dyDescent="0.25">
      <c r="B1930" s="91" t="str">
        <f>IFERROR(VLOOKUP(A1930,Lookup!A:B,2,0),"")</f>
        <v/>
      </c>
      <c r="C1930" s="59" t="str">
        <f>IFERROR(VLOOKUP(A1930,Lookup!A:C,3,0),"")</f>
        <v/>
      </c>
      <c r="J1930" s="106">
        <f>VLOOKUP(A1930&amp;G1930,Lookup!J:N,5,0)</f>
        <v>0</v>
      </c>
      <c r="O1930" s="90">
        <f>IFERROR(VLOOKUP(A1930&amp;G1930,Lookup!J:K,2,0),"")</f>
        <v>0</v>
      </c>
      <c r="P1930" s="110" t="str">
        <f t="shared" si="118"/>
        <v/>
      </c>
      <c r="R1930" s="87" t="str">
        <f t="shared" si="119"/>
        <v/>
      </c>
      <c r="S1930" s="87" t="str">
        <f t="shared" si="120"/>
        <v/>
      </c>
    </row>
    <row r="1931" spans="2:19" x14ac:dyDescent="0.25">
      <c r="B1931" s="91" t="str">
        <f>IFERROR(VLOOKUP(A1931,Lookup!A:B,2,0),"")</f>
        <v/>
      </c>
      <c r="C1931" s="59" t="str">
        <f>IFERROR(VLOOKUP(A1931,Lookup!A:C,3,0),"")</f>
        <v/>
      </c>
      <c r="J1931" s="106">
        <f>VLOOKUP(A1931&amp;G1931,Lookup!J:N,5,0)</f>
        <v>0</v>
      </c>
      <c r="O1931" s="90">
        <f>IFERROR(VLOOKUP(A1931&amp;G1931,Lookup!J:K,2,0),"")</f>
        <v>0</v>
      </c>
      <c r="P1931" s="110" t="str">
        <f t="shared" si="118"/>
        <v/>
      </c>
      <c r="R1931" s="87" t="str">
        <f t="shared" si="119"/>
        <v/>
      </c>
      <c r="S1931" s="87" t="str">
        <f t="shared" si="120"/>
        <v/>
      </c>
    </row>
    <row r="1932" spans="2:19" x14ac:dyDescent="0.25">
      <c r="B1932" s="91" t="str">
        <f>IFERROR(VLOOKUP(A1932,Lookup!A:B,2,0),"")</f>
        <v/>
      </c>
      <c r="C1932" s="59" t="str">
        <f>IFERROR(VLOOKUP(A1932,Lookup!A:C,3,0),"")</f>
        <v/>
      </c>
      <c r="J1932" s="106">
        <f>VLOOKUP(A1932&amp;G1932,Lookup!J:N,5,0)</f>
        <v>0</v>
      </c>
      <c r="O1932" s="90">
        <f>IFERROR(VLOOKUP(A1932&amp;G1932,Lookup!J:K,2,0),"")</f>
        <v>0</v>
      </c>
      <c r="P1932" s="110" t="str">
        <f t="shared" si="118"/>
        <v/>
      </c>
      <c r="R1932" s="87" t="str">
        <f t="shared" si="119"/>
        <v/>
      </c>
      <c r="S1932" s="87" t="str">
        <f t="shared" si="120"/>
        <v/>
      </c>
    </row>
    <row r="1933" spans="2:19" x14ac:dyDescent="0.25">
      <c r="B1933" s="91" t="str">
        <f>IFERROR(VLOOKUP(A1933,Lookup!A:B,2,0),"")</f>
        <v/>
      </c>
      <c r="C1933" s="59" t="str">
        <f>IFERROR(VLOOKUP(A1933,Lookup!A:C,3,0),"")</f>
        <v/>
      </c>
      <c r="J1933" s="106">
        <f>VLOOKUP(A1933&amp;G1933,Lookup!J:N,5,0)</f>
        <v>0</v>
      </c>
      <c r="O1933" s="90">
        <f>IFERROR(VLOOKUP(A1933&amp;G1933,Lookup!J:K,2,0),"")</f>
        <v>0</v>
      </c>
      <c r="P1933" s="110" t="str">
        <f t="shared" si="118"/>
        <v/>
      </c>
      <c r="R1933" s="87" t="str">
        <f t="shared" si="119"/>
        <v/>
      </c>
      <c r="S1933" s="87" t="str">
        <f t="shared" si="120"/>
        <v/>
      </c>
    </row>
    <row r="1934" spans="2:19" x14ac:dyDescent="0.25">
      <c r="B1934" s="91" t="str">
        <f>IFERROR(VLOOKUP(A1934,Lookup!A:B,2,0),"")</f>
        <v/>
      </c>
      <c r="C1934" s="59" t="str">
        <f>IFERROR(VLOOKUP(A1934,Lookup!A:C,3,0),"")</f>
        <v/>
      </c>
      <c r="J1934" s="106">
        <f>VLOOKUP(A1934&amp;G1934,Lookup!J:N,5,0)</f>
        <v>0</v>
      </c>
      <c r="O1934" s="90">
        <f>IFERROR(VLOOKUP(A1934&amp;G1934,Lookup!J:K,2,0),"")</f>
        <v>0</v>
      </c>
      <c r="P1934" s="110" t="str">
        <f t="shared" si="118"/>
        <v/>
      </c>
      <c r="R1934" s="87" t="str">
        <f t="shared" si="119"/>
        <v/>
      </c>
      <c r="S1934" s="87" t="str">
        <f t="shared" si="120"/>
        <v/>
      </c>
    </row>
    <row r="1935" spans="2:19" x14ac:dyDescent="0.25">
      <c r="B1935" s="91" t="str">
        <f>IFERROR(VLOOKUP(A1935,Lookup!A:B,2,0),"")</f>
        <v/>
      </c>
      <c r="C1935" s="59" t="str">
        <f>IFERROR(VLOOKUP(A1935,Lookup!A:C,3,0),"")</f>
        <v/>
      </c>
      <c r="J1935" s="106">
        <f>VLOOKUP(A1935&amp;G1935,Lookup!J:N,5,0)</f>
        <v>0</v>
      </c>
      <c r="O1935" s="90">
        <f>IFERROR(VLOOKUP(A1935&amp;G1935,Lookup!J:K,2,0),"")</f>
        <v>0</v>
      </c>
      <c r="P1935" s="110" t="str">
        <f t="shared" si="118"/>
        <v/>
      </c>
      <c r="R1935" s="87" t="str">
        <f t="shared" si="119"/>
        <v/>
      </c>
      <c r="S1935" s="87" t="str">
        <f t="shared" si="120"/>
        <v/>
      </c>
    </row>
    <row r="1936" spans="2:19" x14ac:dyDescent="0.25">
      <c r="B1936" s="91" t="str">
        <f>IFERROR(VLOOKUP(A1936,Lookup!A:B,2,0),"")</f>
        <v/>
      </c>
      <c r="C1936" s="59" t="str">
        <f>IFERROR(VLOOKUP(A1936,Lookup!A:C,3,0),"")</f>
        <v/>
      </c>
      <c r="J1936" s="106">
        <f>VLOOKUP(A1936&amp;G1936,Lookup!J:N,5,0)</f>
        <v>0</v>
      </c>
      <c r="O1936" s="90">
        <f>IFERROR(VLOOKUP(A1936&amp;G1936,Lookup!J:K,2,0),"")</f>
        <v>0</v>
      </c>
      <c r="P1936" s="110" t="str">
        <f t="shared" si="118"/>
        <v/>
      </c>
      <c r="R1936" s="87" t="str">
        <f t="shared" si="119"/>
        <v/>
      </c>
      <c r="S1936" s="87" t="str">
        <f t="shared" si="120"/>
        <v/>
      </c>
    </row>
    <row r="1937" spans="2:19" x14ac:dyDescent="0.25">
      <c r="B1937" s="91" t="str">
        <f>IFERROR(VLOOKUP(A1937,Lookup!A:B,2,0),"")</f>
        <v/>
      </c>
      <c r="C1937" s="59" t="str">
        <f>IFERROR(VLOOKUP(A1937,Lookup!A:C,3,0),"")</f>
        <v/>
      </c>
      <c r="J1937" s="106">
        <f>VLOOKUP(A1937&amp;G1937,Lookup!J:N,5,0)</f>
        <v>0</v>
      </c>
      <c r="O1937" s="90">
        <f>IFERROR(VLOOKUP(A1937&amp;G1937,Lookup!J:K,2,0),"")</f>
        <v>0</v>
      </c>
      <c r="P1937" s="110" t="str">
        <f t="shared" si="118"/>
        <v/>
      </c>
      <c r="R1937" s="87" t="str">
        <f t="shared" si="119"/>
        <v/>
      </c>
      <c r="S1937" s="87" t="str">
        <f t="shared" si="120"/>
        <v/>
      </c>
    </row>
    <row r="1938" spans="2:19" x14ac:dyDescent="0.25">
      <c r="B1938" s="91" t="str">
        <f>IFERROR(VLOOKUP(A1938,Lookup!A:B,2,0),"")</f>
        <v/>
      </c>
      <c r="C1938" s="59" t="str">
        <f>IFERROR(VLOOKUP(A1938,Lookup!A:C,3,0),"")</f>
        <v/>
      </c>
      <c r="J1938" s="106">
        <f>VLOOKUP(A1938&amp;G1938,Lookup!J:N,5,0)</f>
        <v>0</v>
      </c>
      <c r="O1938" s="90">
        <f>IFERROR(VLOOKUP(A1938&amp;G1938,Lookup!J:K,2,0),"")</f>
        <v>0</v>
      </c>
      <c r="P1938" s="110" t="str">
        <f t="shared" si="118"/>
        <v/>
      </c>
      <c r="R1938" s="87" t="str">
        <f t="shared" si="119"/>
        <v/>
      </c>
      <c r="S1938" s="87" t="str">
        <f t="shared" si="120"/>
        <v/>
      </c>
    </row>
    <row r="1939" spans="2:19" x14ac:dyDescent="0.25">
      <c r="B1939" s="91" t="str">
        <f>IFERROR(VLOOKUP(A1939,Lookup!A:B,2,0),"")</f>
        <v/>
      </c>
      <c r="C1939" s="59" t="str">
        <f>IFERROR(VLOOKUP(A1939,Lookup!A:C,3,0),"")</f>
        <v/>
      </c>
      <c r="J1939" s="106">
        <f>VLOOKUP(A1939&amp;G1939,Lookup!J:N,5,0)</f>
        <v>0</v>
      </c>
      <c r="O1939" s="90">
        <f>IFERROR(VLOOKUP(A1939&amp;G1939,Lookup!J:K,2,0),"")</f>
        <v>0</v>
      </c>
      <c r="P1939" s="110" t="str">
        <f t="shared" si="118"/>
        <v/>
      </c>
      <c r="R1939" s="87" t="str">
        <f t="shared" si="119"/>
        <v/>
      </c>
      <c r="S1939" s="87" t="str">
        <f t="shared" si="120"/>
        <v/>
      </c>
    </row>
    <row r="1940" spans="2:19" x14ac:dyDescent="0.25">
      <c r="B1940" s="91" t="str">
        <f>IFERROR(VLOOKUP(A1940,Lookup!A:B,2,0),"")</f>
        <v/>
      </c>
      <c r="C1940" s="59" t="str">
        <f>IFERROR(VLOOKUP(A1940,Lookup!A:C,3,0),"")</f>
        <v/>
      </c>
      <c r="J1940" s="106">
        <f>VLOOKUP(A1940&amp;G1940,Lookup!J:N,5,0)</f>
        <v>0</v>
      </c>
      <c r="O1940" s="90">
        <f>IFERROR(VLOOKUP(A1940&amp;G1940,Lookup!J:K,2,0),"")</f>
        <v>0</v>
      </c>
      <c r="P1940" s="110" t="str">
        <f t="shared" si="118"/>
        <v/>
      </c>
      <c r="R1940" s="87" t="str">
        <f t="shared" si="119"/>
        <v/>
      </c>
      <c r="S1940" s="87" t="str">
        <f t="shared" si="120"/>
        <v/>
      </c>
    </row>
    <row r="1941" spans="2:19" x14ac:dyDescent="0.25">
      <c r="B1941" s="91" t="str">
        <f>IFERROR(VLOOKUP(A1941,Lookup!A:B,2,0),"")</f>
        <v/>
      </c>
      <c r="C1941" s="59" t="str">
        <f>IFERROR(VLOOKUP(A1941,Lookup!A:C,3,0),"")</f>
        <v/>
      </c>
      <c r="J1941" s="106">
        <f>VLOOKUP(A1941&amp;G1941,Lookup!J:N,5,0)</f>
        <v>0</v>
      </c>
      <c r="O1941" s="90">
        <f>IFERROR(VLOOKUP(A1941&amp;G1941,Lookup!J:K,2,0),"")</f>
        <v>0</v>
      </c>
      <c r="P1941" s="110" t="str">
        <f t="shared" si="118"/>
        <v/>
      </c>
      <c r="R1941" s="87" t="str">
        <f t="shared" si="119"/>
        <v/>
      </c>
      <c r="S1941" s="87" t="str">
        <f t="shared" si="120"/>
        <v/>
      </c>
    </row>
    <row r="1942" spans="2:19" x14ac:dyDescent="0.25">
      <c r="B1942" s="91" t="str">
        <f>IFERROR(VLOOKUP(A1942,Lookup!A:B,2,0),"")</f>
        <v/>
      </c>
      <c r="C1942" s="59" t="str">
        <f>IFERROR(VLOOKUP(A1942,Lookup!A:C,3,0),"")</f>
        <v/>
      </c>
      <c r="J1942" s="106">
        <f>VLOOKUP(A1942&amp;G1942,Lookup!J:N,5,0)</f>
        <v>0</v>
      </c>
      <c r="O1942" s="90">
        <f>IFERROR(VLOOKUP(A1942&amp;G1942,Lookup!J:K,2,0),"")</f>
        <v>0</v>
      </c>
      <c r="P1942" s="110" t="str">
        <f t="shared" si="118"/>
        <v/>
      </c>
      <c r="R1942" s="87" t="str">
        <f t="shared" si="119"/>
        <v/>
      </c>
      <c r="S1942" s="87" t="str">
        <f t="shared" si="120"/>
        <v/>
      </c>
    </row>
    <row r="1943" spans="2:19" x14ac:dyDescent="0.25">
      <c r="B1943" s="91" t="str">
        <f>IFERROR(VLOOKUP(A1943,Lookup!A:B,2,0),"")</f>
        <v/>
      </c>
      <c r="C1943" s="59" t="str">
        <f>IFERROR(VLOOKUP(A1943,Lookup!A:C,3,0),"")</f>
        <v/>
      </c>
      <c r="J1943" s="106">
        <f>VLOOKUP(A1943&amp;G1943,Lookup!J:N,5,0)</f>
        <v>0</v>
      </c>
      <c r="O1943" s="90">
        <f>IFERROR(VLOOKUP(A1943&amp;G1943,Lookup!J:K,2,0),"")</f>
        <v>0</v>
      </c>
      <c r="P1943" s="110" t="str">
        <f t="shared" si="118"/>
        <v/>
      </c>
      <c r="R1943" s="87" t="str">
        <f t="shared" si="119"/>
        <v/>
      </c>
      <c r="S1943" s="87" t="str">
        <f t="shared" si="120"/>
        <v/>
      </c>
    </row>
    <row r="1944" spans="2:19" x14ac:dyDescent="0.25">
      <c r="B1944" s="91" t="str">
        <f>IFERROR(VLOOKUP(A1944,Lookup!A:B,2,0),"")</f>
        <v/>
      </c>
      <c r="C1944" s="59" t="str">
        <f>IFERROR(VLOOKUP(A1944,Lookup!A:C,3,0),"")</f>
        <v/>
      </c>
      <c r="J1944" s="106">
        <f>VLOOKUP(A1944&amp;G1944,Lookup!J:N,5,0)</f>
        <v>0</v>
      </c>
      <c r="O1944" s="90">
        <f>IFERROR(VLOOKUP(A1944&amp;G1944,Lookup!J:K,2,0),"")</f>
        <v>0</v>
      </c>
      <c r="P1944" s="110" t="str">
        <f t="shared" si="118"/>
        <v/>
      </c>
      <c r="R1944" s="87" t="str">
        <f t="shared" si="119"/>
        <v/>
      </c>
      <c r="S1944" s="87" t="str">
        <f t="shared" si="120"/>
        <v/>
      </c>
    </row>
    <row r="1945" spans="2:19" x14ac:dyDescent="0.25">
      <c r="B1945" s="91" t="str">
        <f>IFERROR(VLOOKUP(A1945,Lookup!A:B,2,0),"")</f>
        <v/>
      </c>
      <c r="C1945" s="59" t="str">
        <f>IFERROR(VLOOKUP(A1945,Lookup!A:C,3,0),"")</f>
        <v/>
      </c>
      <c r="J1945" s="106">
        <f>VLOOKUP(A1945&amp;G1945,Lookup!J:N,5,0)</f>
        <v>0</v>
      </c>
      <c r="O1945" s="90">
        <f>IFERROR(VLOOKUP(A1945&amp;G1945,Lookup!J:K,2,0),"")</f>
        <v>0</v>
      </c>
      <c r="P1945" s="110" t="str">
        <f t="shared" si="118"/>
        <v/>
      </c>
      <c r="R1945" s="87" t="str">
        <f t="shared" si="119"/>
        <v/>
      </c>
      <c r="S1945" s="87" t="str">
        <f t="shared" si="120"/>
        <v/>
      </c>
    </row>
    <row r="1946" spans="2:19" x14ac:dyDescent="0.25">
      <c r="B1946" s="91" t="str">
        <f>IFERROR(VLOOKUP(A1946,Lookup!A:B,2,0),"")</f>
        <v/>
      </c>
      <c r="C1946" s="59" t="str">
        <f>IFERROR(VLOOKUP(A1946,Lookup!A:C,3,0),"")</f>
        <v/>
      </c>
      <c r="J1946" s="106">
        <f>VLOOKUP(A1946&amp;G1946,Lookup!J:N,5,0)</f>
        <v>0</v>
      </c>
      <c r="O1946" s="90">
        <f>IFERROR(VLOOKUP(A1946&amp;G1946,Lookup!J:K,2,0),"")</f>
        <v>0</v>
      </c>
      <c r="P1946" s="110" t="str">
        <f t="shared" si="118"/>
        <v/>
      </c>
      <c r="R1946" s="87" t="str">
        <f t="shared" si="119"/>
        <v/>
      </c>
      <c r="S1946" s="87" t="str">
        <f t="shared" si="120"/>
        <v/>
      </c>
    </row>
    <row r="1947" spans="2:19" x14ac:dyDescent="0.25">
      <c r="B1947" s="91" t="str">
        <f>IFERROR(VLOOKUP(A1947,Lookup!A:B,2,0),"")</f>
        <v/>
      </c>
      <c r="C1947" s="59" t="str">
        <f>IFERROR(VLOOKUP(A1947,Lookup!A:C,3,0),"")</f>
        <v/>
      </c>
      <c r="J1947" s="106">
        <f>VLOOKUP(A1947&amp;G1947,Lookup!J:N,5,0)</f>
        <v>0</v>
      </c>
      <c r="O1947" s="90">
        <f>IFERROR(VLOOKUP(A1947&amp;G1947,Lookup!J:K,2,0),"")</f>
        <v>0</v>
      </c>
      <c r="P1947" s="110" t="str">
        <f t="shared" si="118"/>
        <v/>
      </c>
      <c r="R1947" s="87" t="str">
        <f t="shared" si="119"/>
        <v/>
      </c>
      <c r="S1947" s="87" t="str">
        <f t="shared" si="120"/>
        <v/>
      </c>
    </row>
    <row r="1948" spans="2:19" x14ac:dyDescent="0.25">
      <c r="B1948" s="91" t="str">
        <f>IFERROR(VLOOKUP(A1948,Lookup!A:B,2,0),"")</f>
        <v/>
      </c>
      <c r="C1948" s="59" t="str">
        <f>IFERROR(VLOOKUP(A1948,Lookup!A:C,3,0),"")</f>
        <v/>
      </c>
      <c r="J1948" s="106">
        <f>VLOOKUP(A1948&amp;G1948,Lookup!J:N,5,0)</f>
        <v>0</v>
      </c>
      <c r="O1948" s="90">
        <f>IFERROR(VLOOKUP(A1948&amp;G1948,Lookup!J:K,2,0),"")</f>
        <v>0</v>
      </c>
      <c r="P1948" s="110" t="str">
        <f t="shared" si="118"/>
        <v/>
      </c>
      <c r="R1948" s="87" t="str">
        <f t="shared" si="119"/>
        <v/>
      </c>
      <c r="S1948" s="87" t="str">
        <f t="shared" si="120"/>
        <v/>
      </c>
    </row>
    <row r="1949" spans="2:19" x14ac:dyDescent="0.25">
      <c r="B1949" s="91" t="str">
        <f>IFERROR(VLOOKUP(A1949,Lookup!A:B,2,0),"")</f>
        <v/>
      </c>
      <c r="C1949" s="59" t="str">
        <f>IFERROR(VLOOKUP(A1949,Lookup!A:C,3,0),"")</f>
        <v/>
      </c>
      <c r="J1949" s="106">
        <f>VLOOKUP(A1949&amp;G1949,Lookup!J:N,5,0)</f>
        <v>0</v>
      </c>
      <c r="O1949" s="90">
        <f>IFERROR(VLOOKUP(A1949&amp;G1949,Lookup!J:K,2,0),"")</f>
        <v>0</v>
      </c>
      <c r="P1949" s="110" t="str">
        <f t="shared" si="118"/>
        <v/>
      </c>
      <c r="R1949" s="87" t="str">
        <f t="shared" si="119"/>
        <v/>
      </c>
      <c r="S1949" s="87" t="str">
        <f t="shared" si="120"/>
        <v/>
      </c>
    </row>
    <row r="1950" spans="2:19" x14ac:dyDescent="0.25">
      <c r="B1950" s="91" t="str">
        <f>IFERROR(VLOOKUP(A1950,Lookup!A:B,2,0),"")</f>
        <v/>
      </c>
      <c r="C1950" s="59" t="str">
        <f>IFERROR(VLOOKUP(A1950,Lookup!A:C,3,0),"")</f>
        <v/>
      </c>
      <c r="J1950" s="106">
        <f>VLOOKUP(A1950&amp;G1950,Lookup!J:N,5,0)</f>
        <v>0</v>
      </c>
      <c r="O1950" s="90">
        <f>IFERROR(VLOOKUP(A1950&amp;G1950,Lookup!J:K,2,0),"")</f>
        <v>0</v>
      </c>
      <c r="P1950" s="110" t="str">
        <f t="shared" si="118"/>
        <v/>
      </c>
      <c r="R1950" s="87" t="str">
        <f t="shared" si="119"/>
        <v/>
      </c>
      <c r="S1950" s="87" t="str">
        <f t="shared" si="120"/>
        <v/>
      </c>
    </row>
    <row r="1951" spans="2:19" x14ac:dyDescent="0.25">
      <c r="B1951" s="91" t="str">
        <f>IFERROR(VLOOKUP(A1951,Lookup!A:B,2,0),"")</f>
        <v/>
      </c>
      <c r="C1951" s="59" t="str">
        <f>IFERROR(VLOOKUP(A1951,Lookup!A:C,3,0),"")</f>
        <v/>
      </c>
      <c r="J1951" s="106">
        <f>VLOOKUP(A1951&amp;G1951,Lookup!J:N,5,0)</f>
        <v>0</v>
      </c>
      <c r="O1951" s="90">
        <f>IFERROR(VLOOKUP(A1951&amp;G1951,Lookup!J:K,2,0),"")</f>
        <v>0</v>
      </c>
      <c r="P1951" s="110" t="str">
        <f t="shared" si="118"/>
        <v/>
      </c>
      <c r="R1951" s="87" t="str">
        <f t="shared" si="119"/>
        <v/>
      </c>
      <c r="S1951" s="87" t="str">
        <f t="shared" si="120"/>
        <v/>
      </c>
    </row>
    <row r="1952" spans="2:19" x14ac:dyDescent="0.25">
      <c r="B1952" s="91" t="str">
        <f>IFERROR(VLOOKUP(A1952,Lookup!A:B,2,0),"")</f>
        <v/>
      </c>
      <c r="C1952" s="59" t="str">
        <f>IFERROR(VLOOKUP(A1952,Lookup!A:C,3,0),"")</f>
        <v/>
      </c>
      <c r="J1952" s="106">
        <f>VLOOKUP(A1952&amp;G1952,Lookup!J:N,5,0)</f>
        <v>0</v>
      </c>
      <c r="O1952" s="90">
        <f>IFERROR(VLOOKUP(A1952&amp;G1952,Lookup!J:K,2,0),"")</f>
        <v>0</v>
      </c>
      <c r="P1952" s="110" t="str">
        <f t="shared" si="118"/>
        <v/>
      </c>
      <c r="R1952" s="87" t="str">
        <f t="shared" si="119"/>
        <v/>
      </c>
      <c r="S1952" s="87" t="str">
        <f t="shared" si="120"/>
        <v/>
      </c>
    </row>
    <row r="1953" spans="2:19" x14ac:dyDescent="0.25">
      <c r="B1953" s="91" t="str">
        <f>IFERROR(VLOOKUP(A1953,Lookup!A:B,2,0),"")</f>
        <v/>
      </c>
      <c r="C1953" s="59" t="str">
        <f>IFERROR(VLOOKUP(A1953,Lookup!A:C,3,0),"")</f>
        <v/>
      </c>
      <c r="J1953" s="106">
        <f>VLOOKUP(A1953&amp;G1953,Lookup!J:N,5,0)</f>
        <v>0</v>
      </c>
      <c r="O1953" s="90">
        <f>IFERROR(VLOOKUP(A1953&amp;G1953,Lookup!J:K,2,0),"")</f>
        <v>0</v>
      </c>
      <c r="P1953" s="110" t="str">
        <f t="shared" si="118"/>
        <v/>
      </c>
      <c r="R1953" s="87" t="str">
        <f t="shared" si="119"/>
        <v/>
      </c>
      <c r="S1953" s="87" t="str">
        <f t="shared" si="120"/>
        <v/>
      </c>
    </row>
    <row r="1954" spans="2:19" x14ac:dyDescent="0.25">
      <c r="B1954" s="91" t="str">
        <f>IFERROR(VLOOKUP(A1954,Lookup!A:B,2,0),"")</f>
        <v/>
      </c>
      <c r="C1954" s="59" t="str">
        <f>IFERROR(VLOOKUP(A1954,Lookup!A:C,3,0),"")</f>
        <v/>
      </c>
      <c r="J1954" s="106">
        <f>VLOOKUP(A1954&amp;G1954,Lookup!J:N,5,0)</f>
        <v>0</v>
      </c>
      <c r="O1954" s="90">
        <f>IFERROR(VLOOKUP(A1954&amp;G1954,Lookup!J:K,2,0),"")</f>
        <v>0</v>
      </c>
      <c r="P1954" s="110" t="str">
        <f t="shared" si="118"/>
        <v/>
      </c>
      <c r="R1954" s="87" t="str">
        <f t="shared" si="119"/>
        <v/>
      </c>
      <c r="S1954" s="87" t="str">
        <f t="shared" si="120"/>
        <v/>
      </c>
    </row>
    <row r="1955" spans="2:19" x14ac:dyDescent="0.25">
      <c r="B1955" s="91" t="str">
        <f>IFERROR(VLOOKUP(A1955,Lookup!A:B,2,0),"")</f>
        <v/>
      </c>
      <c r="C1955" s="59" t="str">
        <f>IFERROR(VLOOKUP(A1955,Lookup!A:C,3,0),"")</f>
        <v/>
      </c>
      <c r="J1955" s="106">
        <f>VLOOKUP(A1955&amp;G1955,Lookup!J:N,5,0)</f>
        <v>0</v>
      </c>
      <c r="O1955" s="90">
        <f>IFERROR(VLOOKUP(A1955&amp;G1955,Lookup!J:K,2,0),"")</f>
        <v>0</v>
      </c>
      <c r="P1955" s="110" t="str">
        <f t="shared" si="118"/>
        <v/>
      </c>
      <c r="R1955" s="87" t="str">
        <f t="shared" si="119"/>
        <v/>
      </c>
      <c r="S1955" s="87" t="str">
        <f t="shared" si="120"/>
        <v/>
      </c>
    </row>
    <row r="1956" spans="2:19" x14ac:dyDescent="0.25">
      <c r="B1956" s="91" t="str">
        <f>IFERROR(VLOOKUP(A1956,Lookup!A:B,2,0),"")</f>
        <v/>
      </c>
      <c r="C1956" s="59" t="str">
        <f>IFERROR(VLOOKUP(A1956,Lookup!A:C,3,0),"")</f>
        <v/>
      </c>
      <c r="J1956" s="106">
        <f>VLOOKUP(A1956&amp;G1956,Lookup!J:N,5,0)</f>
        <v>0</v>
      </c>
      <c r="O1956" s="90">
        <f>IFERROR(VLOOKUP(A1956&amp;G1956,Lookup!J:K,2,0),"")</f>
        <v>0</v>
      </c>
      <c r="P1956" s="110" t="str">
        <f t="shared" si="118"/>
        <v/>
      </c>
      <c r="R1956" s="87" t="str">
        <f t="shared" si="119"/>
        <v/>
      </c>
      <c r="S1956" s="87" t="str">
        <f t="shared" si="120"/>
        <v/>
      </c>
    </row>
    <row r="1957" spans="2:19" x14ac:dyDescent="0.25">
      <c r="B1957" s="91" t="str">
        <f>IFERROR(VLOOKUP(A1957,Lookup!A:B,2,0),"")</f>
        <v/>
      </c>
      <c r="C1957" s="59" t="str">
        <f>IFERROR(VLOOKUP(A1957,Lookup!A:C,3,0),"")</f>
        <v/>
      </c>
      <c r="J1957" s="106">
        <f>VLOOKUP(A1957&amp;G1957,Lookup!J:N,5,0)</f>
        <v>0</v>
      </c>
      <c r="O1957" s="90">
        <f>IFERROR(VLOOKUP(A1957&amp;G1957,Lookup!J:K,2,0),"")</f>
        <v>0</v>
      </c>
      <c r="P1957" s="110" t="str">
        <f t="shared" si="118"/>
        <v/>
      </c>
      <c r="R1957" s="87" t="str">
        <f t="shared" si="119"/>
        <v/>
      </c>
      <c r="S1957" s="87" t="str">
        <f t="shared" si="120"/>
        <v/>
      </c>
    </row>
    <row r="1958" spans="2:19" x14ac:dyDescent="0.25">
      <c r="B1958" s="91" t="str">
        <f>IFERROR(VLOOKUP(A1958,Lookup!A:B,2,0),"")</f>
        <v/>
      </c>
      <c r="C1958" s="59" t="str">
        <f>IFERROR(VLOOKUP(A1958,Lookup!A:C,3,0),"")</f>
        <v/>
      </c>
      <c r="J1958" s="106">
        <f>VLOOKUP(A1958&amp;G1958,Lookup!J:N,5,0)</f>
        <v>0</v>
      </c>
      <c r="O1958" s="90">
        <f>IFERROR(VLOOKUP(A1958&amp;G1958,Lookup!J:K,2,0),"")</f>
        <v>0</v>
      </c>
      <c r="P1958" s="110" t="str">
        <f t="shared" si="118"/>
        <v/>
      </c>
      <c r="R1958" s="87" t="str">
        <f t="shared" si="119"/>
        <v/>
      </c>
      <c r="S1958" s="87" t="str">
        <f t="shared" si="120"/>
        <v/>
      </c>
    </row>
    <row r="1959" spans="2:19" x14ac:dyDescent="0.25">
      <c r="B1959" s="91" t="str">
        <f>IFERROR(VLOOKUP(A1959,Lookup!A:B,2,0),"")</f>
        <v/>
      </c>
      <c r="C1959" s="59" t="str">
        <f>IFERROR(VLOOKUP(A1959,Lookup!A:C,3,0),"")</f>
        <v/>
      </c>
      <c r="J1959" s="106">
        <f>VLOOKUP(A1959&amp;G1959,Lookup!J:N,5,0)</f>
        <v>0</v>
      </c>
      <c r="O1959" s="90">
        <f>IFERROR(VLOOKUP(A1959&amp;G1959,Lookup!J:K,2,0),"")</f>
        <v>0</v>
      </c>
      <c r="P1959" s="110" t="str">
        <f t="shared" si="118"/>
        <v/>
      </c>
      <c r="R1959" s="87" t="str">
        <f t="shared" si="119"/>
        <v/>
      </c>
      <c r="S1959" s="87" t="str">
        <f t="shared" si="120"/>
        <v/>
      </c>
    </row>
    <row r="1960" spans="2:19" x14ac:dyDescent="0.25">
      <c r="B1960" s="91" t="str">
        <f>IFERROR(VLOOKUP(A1960,Lookup!A:B,2,0),"")</f>
        <v/>
      </c>
      <c r="C1960" s="59" t="str">
        <f>IFERROR(VLOOKUP(A1960,Lookup!A:C,3,0),"")</f>
        <v/>
      </c>
      <c r="J1960" s="106">
        <f>VLOOKUP(A1960&amp;G1960,Lookup!J:N,5,0)</f>
        <v>0</v>
      </c>
      <c r="O1960" s="90">
        <f>IFERROR(VLOOKUP(A1960&amp;G1960,Lookup!J:K,2,0),"")</f>
        <v>0</v>
      </c>
      <c r="P1960" s="110" t="str">
        <f t="shared" si="118"/>
        <v/>
      </c>
      <c r="R1960" s="87" t="str">
        <f t="shared" si="119"/>
        <v/>
      </c>
      <c r="S1960" s="87" t="str">
        <f t="shared" si="120"/>
        <v/>
      </c>
    </row>
    <row r="1961" spans="2:19" x14ac:dyDescent="0.25">
      <c r="B1961" s="91" t="str">
        <f>IFERROR(VLOOKUP(A1961,Lookup!A:B,2,0),"")</f>
        <v/>
      </c>
      <c r="C1961" s="59" t="str">
        <f>IFERROR(VLOOKUP(A1961,Lookup!A:C,3,0),"")</f>
        <v/>
      </c>
      <c r="J1961" s="106">
        <f>VLOOKUP(A1961&amp;G1961,Lookup!J:N,5,0)</f>
        <v>0</v>
      </c>
      <c r="O1961" s="90">
        <f>IFERROR(VLOOKUP(A1961&amp;G1961,Lookup!J:K,2,0),"")</f>
        <v>0</v>
      </c>
      <c r="P1961" s="110" t="str">
        <f t="shared" si="118"/>
        <v/>
      </c>
      <c r="R1961" s="87" t="str">
        <f t="shared" si="119"/>
        <v/>
      </c>
      <c r="S1961" s="87" t="str">
        <f t="shared" si="120"/>
        <v/>
      </c>
    </row>
    <row r="1962" spans="2:19" x14ac:dyDescent="0.25">
      <c r="B1962" s="91" t="str">
        <f>IFERROR(VLOOKUP(A1962,Lookup!A:B,2,0),"")</f>
        <v/>
      </c>
      <c r="C1962" s="59" t="str">
        <f>IFERROR(VLOOKUP(A1962,Lookup!A:C,3,0),"")</f>
        <v/>
      </c>
      <c r="J1962" s="106">
        <f>VLOOKUP(A1962&amp;G1962,Lookup!J:N,5,0)</f>
        <v>0</v>
      </c>
      <c r="O1962" s="90">
        <f>IFERROR(VLOOKUP(A1962&amp;G1962,Lookup!J:K,2,0),"")</f>
        <v>0</v>
      </c>
      <c r="P1962" s="110" t="str">
        <f t="shared" si="118"/>
        <v/>
      </c>
      <c r="R1962" s="87" t="str">
        <f t="shared" si="119"/>
        <v/>
      </c>
      <c r="S1962" s="87" t="str">
        <f t="shared" si="120"/>
        <v/>
      </c>
    </row>
    <row r="1963" spans="2:19" x14ac:dyDescent="0.25">
      <c r="B1963" s="91" t="str">
        <f>IFERROR(VLOOKUP(A1963,Lookup!A:B,2,0),"")</f>
        <v/>
      </c>
      <c r="C1963" s="59" t="str">
        <f>IFERROR(VLOOKUP(A1963,Lookup!A:C,3,0),"")</f>
        <v/>
      </c>
      <c r="J1963" s="106">
        <f>VLOOKUP(A1963&amp;G1963,Lookup!J:N,5,0)</f>
        <v>0</v>
      </c>
      <c r="O1963" s="90">
        <f>IFERROR(VLOOKUP(A1963&amp;G1963,Lookup!J:K,2,0),"")</f>
        <v>0</v>
      </c>
      <c r="P1963" s="110" t="str">
        <f t="shared" si="118"/>
        <v/>
      </c>
      <c r="R1963" s="87" t="str">
        <f t="shared" si="119"/>
        <v/>
      </c>
      <c r="S1963" s="87" t="str">
        <f t="shared" si="120"/>
        <v/>
      </c>
    </row>
    <row r="1964" spans="2:19" x14ac:dyDescent="0.25">
      <c r="B1964" s="91" t="str">
        <f>IFERROR(VLOOKUP(A1964,Lookup!A:B,2,0),"")</f>
        <v/>
      </c>
      <c r="C1964" s="59" t="str">
        <f>IFERROR(VLOOKUP(A1964,Lookup!A:C,3,0),"")</f>
        <v/>
      </c>
      <c r="J1964" s="106">
        <f>VLOOKUP(A1964&amp;G1964,Lookup!J:N,5,0)</f>
        <v>0</v>
      </c>
      <c r="O1964" s="90">
        <f>IFERROR(VLOOKUP(A1964&amp;G1964,Lookup!J:K,2,0),"")</f>
        <v>0</v>
      </c>
      <c r="P1964" s="110" t="str">
        <f t="shared" si="118"/>
        <v/>
      </c>
      <c r="R1964" s="87" t="str">
        <f t="shared" si="119"/>
        <v/>
      </c>
      <c r="S1964" s="87" t="str">
        <f t="shared" si="120"/>
        <v/>
      </c>
    </row>
    <row r="1965" spans="2:19" x14ac:dyDescent="0.25">
      <c r="B1965" s="91" t="str">
        <f>IFERROR(VLOOKUP(A1965,Lookup!A:B,2,0),"")</f>
        <v/>
      </c>
      <c r="C1965" s="59" t="str">
        <f>IFERROR(VLOOKUP(A1965,Lookup!A:C,3,0),"")</f>
        <v/>
      </c>
      <c r="J1965" s="106">
        <f>VLOOKUP(A1965&amp;G1965,Lookup!J:N,5,0)</f>
        <v>0</v>
      </c>
      <c r="O1965" s="90">
        <f>IFERROR(VLOOKUP(A1965&amp;G1965,Lookup!J:K,2,0),"")</f>
        <v>0</v>
      </c>
      <c r="P1965" s="110" t="str">
        <f t="shared" si="118"/>
        <v/>
      </c>
      <c r="R1965" s="87" t="str">
        <f t="shared" si="119"/>
        <v/>
      </c>
      <c r="S1965" s="87" t="str">
        <f t="shared" si="120"/>
        <v/>
      </c>
    </row>
    <row r="1966" spans="2:19" x14ac:dyDescent="0.25">
      <c r="B1966" s="91" t="str">
        <f>IFERROR(VLOOKUP(A1966,Lookup!A:B,2,0),"")</f>
        <v/>
      </c>
      <c r="C1966" s="59" t="str">
        <f>IFERROR(VLOOKUP(A1966,Lookup!A:C,3,0),"")</f>
        <v/>
      </c>
      <c r="J1966" s="106">
        <f>VLOOKUP(A1966&amp;G1966,Lookup!J:N,5,0)</f>
        <v>0</v>
      </c>
      <c r="O1966" s="90">
        <f>IFERROR(VLOOKUP(A1966&amp;G1966,Lookup!J:K,2,0),"")</f>
        <v>0</v>
      </c>
      <c r="P1966" s="110" t="str">
        <f t="shared" si="118"/>
        <v/>
      </c>
      <c r="R1966" s="87" t="str">
        <f t="shared" si="119"/>
        <v/>
      </c>
      <c r="S1966" s="87" t="str">
        <f t="shared" si="120"/>
        <v/>
      </c>
    </row>
    <row r="1967" spans="2:19" x14ac:dyDescent="0.25">
      <c r="B1967" s="91" t="str">
        <f>IFERROR(VLOOKUP(A1967,Lookup!A:B,2,0),"")</f>
        <v/>
      </c>
      <c r="C1967" s="59" t="str">
        <f>IFERROR(VLOOKUP(A1967,Lookup!A:C,3,0),"")</f>
        <v/>
      </c>
      <c r="J1967" s="106">
        <f>VLOOKUP(A1967&amp;G1967,Lookup!J:N,5,0)</f>
        <v>0</v>
      </c>
      <c r="O1967" s="90">
        <f>IFERROR(VLOOKUP(A1967&amp;G1967,Lookup!J:K,2,0),"")</f>
        <v>0</v>
      </c>
      <c r="P1967" s="110" t="str">
        <f t="shared" si="118"/>
        <v/>
      </c>
      <c r="R1967" s="87" t="str">
        <f t="shared" si="119"/>
        <v/>
      </c>
      <c r="S1967" s="87" t="str">
        <f t="shared" si="120"/>
        <v/>
      </c>
    </row>
    <row r="1968" spans="2:19" x14ac:dyDescent="0.25">
      <c r="B1968" s="91" t="str">
        <f>IFERROR(VLOOKUP(A1968,Lookup!A:B,2,0),"")</f>
        <v/>
      </c>
      <c r="C1968" s="59" t="str">
        <f>IFERROR(VLOOKUP(A1968,Lookup!A:C,3,0),"")</f>
        <v/>
      </c>
      <c r="J1968" s="106">
        <f>VLOOKUP(A1968&amp;G1968,Lookup!J:N,5,0)</f>
        <v>0</v>
      </c>
      <c r="O1968" s="90">
        <f>IFERROR(VLOOKUP(A1968&amp;G1968,Lookup!J:K,2,0),"")</f>
        <v>0</v>
      </c>
      <c r="P1968" s="110" t="str">
        <f t="shared" si="118"/>
        <v/>
      </c>
      <c r="R1968" s="87" t="str">
        <f t="shared" si="119"/>
        <v/>
      </c>
      <c r="S1968" s="87" t="str">
        <f t="shared" si="120"/>
        <v/>
      </c>
    </row>
    <row r="1969" spans="2:19" x14ac:dyDescent="0.25">
      <c r="B1969" s="91" t="str">
        <f>IFERROR(VLOOKUP(A1969,Lookup!A:B,2,0),"")</f>
        <v/>
      </c>
      <c r="C1969" s="59" t="str">
        <f>IFERROR(VLOOKUP(A1969,Lookup!A:C,3,0),"")</f>
        <v/>
      </c>
      <c r="J1969" s="106">
        <f>VLOOKUP(A1969&amp;G1969,Lookup!J:N,5,0)</f>
        <v>0</v>
      </c>
      <c r="O1969" s="90">
        <f>IFERROR(VLOOKUP(A1969&amp;G1969,Lookup!J:K,2,0),"")</f>
        <v>0</v>
      </c>
      <c r="P1969" s="110" t="str">
        <f t="shared" si="118"/>
        <v/>
      </c>
      <c r="R1969" s="87" t="str">
        <f t="shared" si="119"/>
        <v/>
      </c>
      <c r="S1969" s="87" t="str">
        <f t="shared" si="120"/>
        <v/>
      </c>
    </row>
    <row r="1970" spans="2:19" x14ac:dyDescent="0.25">
      <c r="B1970" s="91" t="str">
        <f>IFERROR(VLOOKUP(A1970,Lookup!A:B,2,0),"")</f>
        <v/>
      </c>
      <c r="C1970" s="59" t="str">
        <f>IFERROR(VLOOKUP(A1970,Lookup!A:C,3,0),"")</f>
        <v/>
      </c>
      <c r="J1970" s="106">
        <f>VLOOKUP(A1970&amp;G1970,Lookup!J:N,5,0)</f>
        <v>0</v>
      </c>
      <c r="O1970" s="90">
        <f>IFERROR(VLOOKUP(A1970&amp;G1970,Lookup!J:K,2,0),"")</f>
        <v>0</v>
      </c>
      <c r="P1970" s="110" t="str">
        <f t="shared" si="118"/>
        <v/>
      </c>
      <c r="R1970" s="87" t="str">
        <f t="shared" si="119"/>
        <v/>
      </c>
      <c r="S1970" s="87" t="str">
        <f t="shared" si="120"/>
        <v/>
      </c>
    </row>
    <row r="1971" spans="2:19" x14ac:dyDescent="0.25">
      <c r="B1971" s="91" t="str">
        <f>IFERROR(VLOOKUP(A1971,Lookup!A:B,2,0),"")</f>
        <v/>
      </c>
      <c r="C1971" s="59" t="str">
        <f>IFERROR(VLOOKUP(A1971,Lookup!A:C,3,0),"")</f>
        <v/>
      </c>
      <c r="J1971" s="106">
        <f>VLOOKUP(A1971&amp;G1971,Lookup!J:N,5,0)</f>
        <v>0</v>
      </c>
      <c r="O1971" s="90">
        <f>IFERROR(VLOOKUP(A1971&amp;G1971,Lookup!J:K,2,0),"")</f>
        <v>0</v>
      </c>
      <c r="P1971" s="110" t="str">
        <f t="shared" si="118"/>
        <v/>
      </c>
      <c r="R1971" s="87" t="str">
        <f t="shared" si="119"/>
        <v/>
      </c>
      <c r="S1971" s="87" t="str">
        <f t="shared" si="120"/>
        <v/>
      </c>
    </row>
    <row r="1972" spans="2:19" x14ac:dyDescent="0.25">
      <c r="B1972" s="91" t="str">
        <f>IFERROR(VLOOKUP(A1972,Lookup!A:B,2,0),"")</f>
        <v/>
      </c>
      <c r="C1972" s="59" t="str">
        <f>IFERROR(VLOOKUP(A1972,Lookup!A:C,3,0),"")</f>
        <v/>
      </c>
      <c r="J1972" s="106">
        <f>VLOOKUP(A1972&amp;G1972,Lookup!J:N,5,0)</f>
        <v>0</v>
      </c>
      <c r="O1972" s="90">
        <f>IFERROR(VLOOKUP(A1972&amp;G1972,Lookup!J:K,2,0),"")</f>
        <v>0</v>
      </c>
      <c r="P1972" s="110" t="str">
        <f t="shared" si="118"/>
        <v/>
      </c>
      <c r="R1972" s="87" t="str">
        <f t="shared" si="119"/>
        <v/>
      </c>
      <c r="S1972" s="87" t="str">
        <f t="shared" si="120"/>
        <v/>
      </c>
    </row>
    <row r="1973" spans="2:19" x14ac:dyDescent="0.25">
      <c r="B1973" s="91" t="str">
        <f>IFERROR(VLOOKUP(A1973,Lookup!A:B,2,0),"")</f>
        <v/>
      </c>
      <c r="C1973" s="59" t="str">
        <f>IFERROR(VLOOKUP(A1973,Lookup!A:C,3,0),"")</f>
        <v/>
      </c>
      <c r="J1973" s="106">
        <f>VLOOKUP(A1973&amp;G1973,Lookup!J:N,5,0)</f>
        <v>0</v>
      </c>
      <c r="O1973" s="90">
        <f>IFERROR(VLOOKUP(A1973&amp;G1973,Lookup!J:K,2,0),"")</f>
        <v>0</v>
      </c>
      <c r="P1973" s="110" t="str">
        <f t="shared" si="118"/>
        <v/>
      </c>
      <c r="R1973" s="87" t="str">
        <f t="shared" si="119"/>
        <v/>
      </c>
      <c r="S1973" s="87" t="str">
        <f t="shared" si="120"/>
        <v/>
      </c>
    </row>
    <row r="1974" spans="2:19" x14ac:dyDescent="0.25">
      <c r="B1974" s="91" t="str">
        <f>IFERROR(VLOOKUP(A1974,Lookup!A:B,2,0),"")</f>
        <v/>
      </c>
      <c r="C1974" s="59" t="str">
        <f>IFERROR(VLOOKUP(A1974,Lookup!A:C,3,0),"")</f>
        <v/>
      </c>
      <c r="J1974" s="106">
        <f>VLOOKUP(A1974&amp;G1974,Lookup!J:N,5,0)</f>
        <v>0</v>
      </c>
      <c r="O1974" s="90">
        <f>IFERROR(VLOOKUP(A1974&amp;G1974,Lookup!J:K,2,0),"")</f>
        <v>0</v>
      </c>
      <c r="P1974" s="110" t="str">
        <f t="shared" si="118"/>
        <v/>
      </c>
      <c r="R1974" s="87" t="str">
        <f t="shared" si="119"/>
        <v/>
      </c>
      <c r="S1974" s="87" t="str">
        <f t="shared" si="120"/>
        <v/>
      </c>
    </row>
    <row r="1975" spans="2:19" x14ac:dyDescent="0.25">
      <c r="B1975" s="91" t="str">
        <f>IFERROR(VLOOKUP(A1975,Lookup!A:B,2,0),"")</f>
        <v/>
      </c>
      <c r="C1975" s="59" t="str">
        <f>IFERROR(VLOOKUP(A1975,Lookup!A:C,3,0),"")</f>
        <v/>
      </c>
      <c r="J1975" s="106">
        <f>VLOOKUP(A1975&amp;G1975,Lookup!J:N,5,0)</f>
        <v>0</v>
      </c>
      <c r="O1975" s="90">
        <f>IFERROR(VLOOKUP(A1975&amp;G1975,Lookup!J:K,2,0),"")</f>
        <v>0</v>
      </c>
      <c r="P1975" s="110" t="str">
        <f t="shared" si="118"/>
        <v/>
      </c>
      <c r="R1975" s="87" t="str">
        <f t="shared" si="119"/>
        <v/>
      </c>
      <c r="S1975" s="87" t="str">
        <f t="shared" si="120"/>
        <v/>
      </c>
    </row>
    <row r="1976" spans="2:19" x14ac:dyDescent="0.25">
      <c r="B1976" s="91" t="str">
        <f>IFERROR(VLOOKUP(A1976,Lookup!A:B,2,0),"")</f>
        <v/>
      </c>
      <c r="C1976" s="59" t="str">
        <f>IFERROR(VLOOKUP(A1976,Lookup!A:C,3,0),"")</f>
        <v/>
      </c>
      <c r="J1976" s="106">
        <f>VLOOKUP(A1976&amp;G1976,Lookup!J:N,5,0)</f>
        <v>0</v>
      </c>
      <c r="O1976" s="90">
        <f>IFERROR(VLOOKUP(A1976&amp;G1976,Lookup!J:K,2,0),"")</f>
        <v>0</v>
      </c>
      <c r="P1976" s="110" t="str">
        <f t="shared" si="118"/>
        <v/>
      </c>
      <c r="R1976" s="87" t="str">
        <f t="shared" si="119"/>
        <v/>
      </c>
      <c r="S1976" s="87" t="str">
        <f t="shared" si="120"/>
        <v/>
      </c>
    </row>
    <row r="1977" spans="2:19" x14ac:dyDescent="0.25">
      <c r="B1977" s="91" t="str">
        <f>IFERROR(VLOOKUP(A1977,Lookup!A:B,2,0),"")</f>
        <v/>
      </c>
      <c r="C1977" s="59" t="str">
        <f>IFERROR(VLOOKUP(A1977,Lookup!A:C,3,0),"")</f>
        <v/>
      </c>
      <c r="J1977" s="106">
        <f>VLOOKUP(A1977&amp;G1977,Lookup!J:N,5,0)</f>
        <v>0</v>
      </c>
      <c r="O1977" s="90">
        <f>IFERROR(VLOOKUP(A1977&amp;G1977,Lookup!J:K,2,0),"")</f>
        <v>0</v>
      </c>
      <c r="P1977" s="110" t="str">
        <f t="shared" si="118"/>
        <v/>
      </c>
      <c r="R1977" s="87" t="str">
        <f t="shared" si="119"/>
        <v/>
      </c>
      <c r="S1977" s="87" t="str">
        <f t="shared" si="120"/>
        <v/>
      </c>
    </row>
    <row r="1978" spans="2:19" x14ac:dyDescent="0.25">
      <c r="B1978" s="91" t="str">
        <f>IFERROR(VLOOKUP(A1978,Lookup!A:B,2,0),"")</f>
        <v/>
      </c>
      <c r="C1978" s="59" t="str">
        <f>IFERROR(VLOOKUP(A1978,Lookup!A:C,3,0),"")</f>
        <v/>
      </c>
      <c r="J1978" s="106">
        <f>VLOOKUP(A1978&amp;G1978,Lookup!J:N,5,0)</f>
        <v>0</v>
      </c>
      <c r="O1978" s="90">
        <f>IFERROR(VLOOKUP(A1978&amp;G1978,Lookup!J:K,2,0),"")</f>
        <v>0</v>
      </c>
      <c r="P1978" s="110" t="str">
        <f t="shared" si="118"/>
        <v/>
      </c>
      <c r="R1978" s="87" t="str">
        <f t="shared" si="119"/>
        <v/>
      </c>
      <c r="S1978" s="87" t="str">
        <f t="shared" si="120"/>
        <v/>
      </c>
    </row>
    <row r="1979" spans="2:19" x14ac:dyDescent="0.25">
      <c r="B1979" s="91" t="str">
        <f>IFERROR(VLOOKUP(A1979,Lookup!A:B,2,0),"")</f>
        <v/>
      </c>
      <c r="C1979" s="59" t="str">
        <f>IFERROR(VLOOKUP(A1979,Lookup!A:C,3,0),"")</f>
        <v/>
      </c>
      <c r="J1979" s="106">
        <f>VLOOKUP(A1979&amp;G1979,Lookup!J:N,5,0)</f>
        <v>0</v>
      </c>
      <c r="O1979" s="90">
        <f>IFERROR(VLOOKUP(A1979&amp;G1979,Lookup!J:K,2,0),"")</f>
        <v>0</v>
      </c>
      <c r="P1979" s="110" t="str">
        <f t="shared" si="118"/>
        <v/>
      </c>
      <c r="R1979" s="87" t="str">
        <f t="shared" si="119"/>
        <v/>
      </c>
      <c r="S1979" s="87" t="str">
        <f t="shared" si="120"/>
        <v/>
      </c>
    </row>
    <row r="1980" spans="2:19" x14ac:dyDescent="0.25">
      <c r="B1980" s="91" t="str">
        <f>IFERROR(VLOOKUP(A1980,Lookup!A:B,2,0),"")</f>
        <v/>
      </c>
      <c r="C1980" s="59" t="str">
        <f>IFERROR(VLOOKUP(A1980,Lookup!A:C,3,0),"")</f>
        <v/>
      </c>
      <c r="J1980" s="106">
        <f>VLOOKUP(A1980&amp;G1980,Lookup!J:N,5,0)</f>
        <v>0</v>
      </c>
      <c r="O1980" s="90">
        <f>IFERROR(VLOOKUP(A1980&amp;G1980,Lookup!J:K,2,0),"")</f>
        <v>0</v>
      </c>
      <c r="P1980" s="110" t="str">
        <f t="shared" si="118"/>
        <v/>
      </c>
      <c r="R1980" s="87" t="str">
        <f t="shared" si="119"/>
        <v/>
      </c>
      <c r="S1980" s="87" t="str">
        <f t="shared" si="120"/>
        <v/>
      </c>
    </row>
    <row r="1981" spans="2:19" x14ac:dyDescent="0.25">
      <c r="B1981" s="91" t="str">
        <f>IFERROR(VLOOKUP(A1981,Lookup!A:B,2,0),"")</f>
        <v/>
      </c>
      <c r="C1981" s="59" t="str">
        <f>IFERROR(VLOOKUP(A1981,Lookup!A:C,3,0),"")</f>
        <v/>
      </c>
      <c r="J1981" s="106">
        <f>VLOOKUP(A1981&amp;G1981,Lookup!J:N,5,0)</f>
        <v>0</v>
      </c>
      <c r="O1981" s="90">
        <f>IFERROR(VLOOKUP(A1981&amp;G1981,Lookup!J:K,2,0),"")</f>
        <v>0</v>
      </c>
      <c r="P1981" s="110" t="str">
        <f t="shared" si="118"/>
        <v/>
      </c>
      <c r="R1981" s="87" t="str">
        <f t="shared" si="119"/>
        <v/>
      </c>
      <c r="S1981" s="87" t="str">
        <f t="shared" si="120"/>
        <v/>
      </c>
    </row>
    <row r="1982" spans="2:19" x14ac:dyDescent="0.25">
      <c r="B1982" s="91" t="str">
        <f>IFERROR(VLOOKUP(A1982,Lookup!A:B,2,0),"")</f>
        <v/>
      </c>
      <c r="C1982" s="59" t="str">
        <f>IFERROR(VLOOKUP(A1982,Lookup!A:C,3,0),"")</f>
        <v/>
      </c>
      <c r="J1982" s="106">
        <f>VLOOKUP(A1982&amp;G1982,Lookup!J:N,5,0)</f>
        <v>0</v>
      </c>
      <c r="O1982" s="90">
        <f>IFERROR(VLOOKUP(A1982&amp;G1982,Lookup!J:K,2,0),"")</f>
        <v>0</v>
      </c>
      <c r="P1982" s="110" t="str">
        <f t="shared" si="118"/>
        <v/>
      </c>
      <c r="R1982" s="87" t="str">
        <f t="shared" si="119"/>
        <v/>
      </c>
      <c r="S1982" s="87" t="str">
        <f t="shared" si="120"/>
        <v/>
      </c>
    </row>
    <row r="1983" spans="2:19" x14ac:dyDescent="0.25">
      <c r="B1983" s="91" t="str">
        <f>IFERROR(VLOOKUP(A1983,Lookup!A:B,2,0),"")</f>
        <v/>
      </c>
      <c r="C1983" s="59" t="str">
        <f>IFERROR(VLOOKUP(A1983,Lookup!A:C,3,0),"")</f>
        <v/>
      </c>
      <c r="J1983" s="106">
        <f>VLOOKUP(A1983&amp;G1983,Lookup!J:N,5,0)</f>
        <v>0</v>
      </c>
      <c r="O1983" s="90">
        <f>IFERROR(VLOOKUP(A1983&amp;G1983,Lookup!J:K,2,0),"")</f>
        <v>0</v>
      </c>
      <c r="P1983" s="110" t="str">
        <f t="shared" si="118"/>
        <v/>
      </c>
      <c r="R1983" s="87" t="str">
        <f t="shared" si="119"/>
        <v/>
      </c>
      <c r="S1983" s="87" t="str">
        <f t="shared" si="120"/>
        <v/>
      </c>
    </row>
    <row r="1984" spans="2:19" x14ac:dyDescent="0.25">
      <c r="B1984" s="91" t="str">
        <f>IFERROR(VLOOKUP(A1984,Lookup!A:B,2,0),"")</f>
        <v/>
      </c>
      <c r="C1984" s="59" t="str">
        <f>IFERROR(VLOOKUP(A1984,Lookup!A:C,3,0),"")</f>
        <v/>
      </c>
      <c r="J1984" s="106">
        <f>VLOOKUP(A1984&amp;G1984,Lookup!J:N,5,0)</f>
        <v>0</v>
      </c>
      <c r="O1984" s="90">
        <f>IFERROR(VLOOKUP(A1984&amp;G1984,Lookup!J:K,2,0),"")</f>
        <v>0</v>
      </c>
      <c r="P1984" s="110" t="str">
        <f t="shared" si="118"/>
        <v/>
      </c>
      <c r="R1984" s="87" t="str">
        <f t="shared" si="119"/>
        <v/>
      </c>
      <c r="S1984" s="87" t="str">
        <f t="shared" si="120"/>
        <v/>
      </c>
    </row>
    <row r="1985" spans="2:19" x14ac:dyDescent="0.25">
      <c r="B1985" s="91" t="str">
        <f>IFERROR(VLOOKUP(A1985,Lookup!A:B,2,0),"")</f>
        <v/>
      </c>
      <c r="C1985" s="59" t="str">
        <f>IFERROR(VLOOKUP(A1985,Lookup!A:C,3,0),"")</f>
        <v/>
      </c>
      <c r="J1985" s="106">
        <f>VLOOKUP(A1985&amp;G1985,Lookup!J:N,5,0)</f>
        <v>0</v>
      </c>
      <c r="O1985" s="90">
        <f>IFERROR(VLOOKUP(A1985&amp;G1985,Lookup!J:K,2,0),"")</f>
        <v>0</v>
      </c>
      <c r="P1985" s="110" t="str">
        <f t="shared" si="118"/>
        <v/>
      </c>
      <c r="R1985" s="87" t="str">
        <f t="shared" si="119"/>
        <v/>
      </c>
      <c r="S1985" s="87" t="str">
        <f t="shared" si="120"/>
        <v/>
      </c>
    </row>
    <row r="1986" spans="2:19" x14ac:dyDescent="0.25">
      <c r="B1986" s="91" t="str">
        <f>IFERROR(VLOOKUP(A1986,Lookup!A:B,2,0),"")</f>
        <v/>
      </c>
      <c r="C1986" s="59" t="str">
        <f>IFERROR(VLOOKUP(A1986,Lookup!A:C,3,0),"")</f>
        <v/>
      </c>
      <c r="J1986" s="106">
        <f>VLOOKUP(A1986&amp;G1986,Lookup!J:N,5,0)</f>
        <v>0</v>
      </c>
      <c r="O1986" s="90">
        <f>IFERROR(VLOOKUP(A1986&amp;G1986,Lookup!J:K,2,0),"")</f>
        <v>0</v>
      </c>
      <c r="P1986" s="110" t="str">
        <f t="shared" ref="P1986:P2049" si="121">IF(N1986="","",N1986+O1986)</f>
        <v/>
      </c>
      <c r="R1986" s="87" t="str">
        <f t="shared" si="119"/>
        <v/>
      </c>
      <c r="S1986" s="87" t="str">
        <f t="shared" si="120"/>
        <v/>
      </c>
    </row>
    <row r="1987" spans="2:19" x14ac:dyDescent="0.25">
      <c r="B1987" s="91" t="str">
        <f>IFERROR(VLOOKUP(A1987,Lookup!A:B,2,0),"")</f>
        <v/>
      </c>
      <c r="C1987" s="59" t="str">
        <f>IFERROR(VLOOKUP(A1987,Lookup!A:C,3,0),"")</f>
        <v/>
      </c>
      <c r="J1987" s="106">
        <f>VLOOKUP(A1987&amp;G1987,Lookup!J:N,5,0)</f>
        <v>0</v>
      </c>
      <c r="O1987" s="90">
        <f>IFERROR(VLOOKUP(A1987&amp;G1987,Lookup!J:K,2,0),"")</f>
        <v>0</v>
      </c>
      <c r="P1987" s="110" t="str">
        <f t="shared" si="121"/>
        <v/>
      </c>
      <c r="R1987" s="87" t="str">
        <f t="shared" ref="R1987:R2050" si="122">IF(OR(EXACT(N1987,""), EXACT(L1987,"")),"",N1987-L1987)</f>
        <v/>
      </c>
      <c r="S1987" s="87" t="str">
        <f t="shared" si="120"/>
        <v/>
      </c>
    </row>
    <row r="1988" spans="2:19" x14ac:dyDescent="0.25">
      <c r="B1988" s="91" t="str">
        <f>IFERROR(VLOOKUP(A1988,Lookup!A:B,2,0),"")</f>
        <v/>
      </c>
      <c r="C1988" s="59" t="str">
        <f>IFERROR(VLOOKUP(A1988,Lookup!A:C,3,0),"")</f>
        <v/>
      </c>
      <c r="J1988" s="106">
        <f>VLOOKUP(A1988&amp;G1988,Lookup!J:N,5,0)</f>
        <v>0</v>
      </c>
      <c r="O1988" s="90">
        <f>IFERROR(VLOOKUP(A1988&amp;G1988,Lookup!J:K,2,0),"")</f>
        <v>0</v>
      </c>
      <c r="P1988" s="110" t="str">
        <f t="shared" si="121"/>
        <v/>
      </c>
      <c r="R1988" s="87" t="str">
        <f t="shared" si="122"/>
        <v/>
      </c>
      <c r="S1988" s="87" t="str">
        <f t="shared" ref="S1988:S2051" si="123">IF(OR(EXACT(Q1988,""), EXACT(L1988,"")),"",Q1988-L1988)</f>
        <v/>
      </c>
    </row>
    <row r="1989" spans="2:19" x14ac:dyDescent="0.25">
      <c r="B1989" s="91" t="str">
        <f>IFERROR(VLOOKUP(A1989,Lookup!A:B,2,0),"")</f>
        <v/>
      </c>
      <c r="C1989" s="59" t="str">
        <f>IFERROR(VLOOKUP(A1989,Lookup!A:C,3,0),"")</f>
        <v/>
      </c>
      <c r="J1989" s="106">
        <f>VLOOKUP(A1989&amp;G1989,Lookup!J:N,5,0)</f>
        <v>0</v>
      </c>
      <c r="O1989" s="90">
        <f>IFERROR(VLOOKUP(A1989&amp;G1989,Lookup!J:K,2,0),"")</f>
        <v>0</v>
      </c>
      <c r="P1989" s="110" t="str">
        <f t="shared" si="121"/>
        <v/>
      </c>
      <c r="R1989" s="87" t="str">
        <f t="shared" si="122"/>
        <v/>
      </c>
      <c r="S1989" s="87" t="str">
        <f t="shared" si="123"/>
        <v/>
      </c>
    </row>
    <row r="1990" spans="2:19" x14ac:dyDescent="0.25">
      <c r="B1990" s="91" t="str">
        <f>IFERROR(VLOOKUP(A1990,Lookup!A:B,2,0),"")</f>
        <v/>
      </c>
      <c r="C1990" s="59" t="str">
        <f>IFERROR(VLOOKUP(A1990,Lookup!A:C,3,0),"")</f>
        <v/>
      </c>
      <c r="J1990" s="106">
        <f>VLOOKUP(A1990&amp;G1990,Lookup!J:N,5,0)</f>
        <v>0</v>
      </c>
      <c r="O1990" s="90">
        <f>IFERROR(VLOOKUP(A1990&amp;G1990,Lookup!J:K,2,0),"")</f>
        <v>0</v>
      </c>
      <c r="P1990" s="110" t="str">
        <f t="shared" si="121"/>
        <v/>
      </c>
      <c r="R1990" s="87" t="str">
        <f t="shared" si="122"/>
        <v/>
      </c>
      <c r="S1990" s="87" t="str">
        <f t="shared" si="123"/>
        <v/>
      </c>
    </row>
    <row r="1991" spans="2:19" x14ac:dyDescent="0.25">
      <c r="B1991" s="91" t="str">
        <f>IFERROR(VLOOKUP(A1991,Lookup!A:B,2,0),"")</f>
        <v/>
      </c>
      <c r="C1991" s="59" t="str">
        <f>IFERROR(VLOOKUP(A1991,Lookup!A:C,3,0),"")</f>
        <v/>
      </c>
      <c r="J1991" s="106">
        <f>VLOOKUP(A1991&amp;G1991,Lookup!J:N,5,0)</f>
        <v>0</v>
      </c>
      <c r="O1991" s="90">
        <f>IFERROR(VLOOKUP(A1991&amp;G1991,Lookup!J:K,2,0),"")</f>
        <v>0</v>
      </c>
      <c r="P1991" s="110" t="str">
        <f t="shared" si="121"/>
        <v/>
      </c>
      <c r="R1991" s="87" t="str">
        <f t="shared" si="122"/>
        <v/>
      </c>
      <c r="S1991" s="87" t="str">
        <f t="shared" si="123"/>
        <v/>
      </c>
    </row>
    <row r="1992" spans="2:19" x14ac:dyDescent="0.25">
      <c r="B1992" s="91" t="str">
        <f>IFERROR(VLOOKUP(A1992,Lookup!A:B,2,0),"")</f>
        <v/>
      </c>
      <c r="C1992" s="59" t="str">
        <f>IFERROR(VLOOKUP(A1992,Lookup!A:C,3,0),"")</f>
        <v/>
      </c>
      <c r="J1992" s="106">
        <f>VLOOKUP(A1992&amp;G1992,Lookup!J:N,5,0)</f>
        <v>0</v>
      </c>
      <c r="O1992" s="90">
        <f>IFERROR(VLOOKUP(A1992&amp;G1992,Lookup!J:K,2,0),"")</f>
        <v>0</v>
      </c>
      <c r="P1992" s="110" t="str">
        <f t="shared" si="121"/>
        <v/>
      </c>
      <c r="R1992" s="87" t="str">
        <f t="shared" si="122"/>
        <v/>
      </c>
      <c r="S1992" s="87" t="str">
        <f t="shared" si="123"/>
        <v/>
      </c>
    </row>
    <row r="1993" spans="2:19" x14ac:dyDescent="0.25">
      <c r="B1993" s="91" t="str">
        <f>IFERROR(VLOOKUP(A1993,Lookup!A:B,2,0),"")</f>
        <v/>
      </c>
      <c r="C1993" s="59" t="str">
        <f>IFERROR(VLOOKUP(A1993,Lookup!A:C,3,0),"")</f>
        <v/>
      </c>
      <c r="J1993" s="106">
        <f>VLOOKUP(A1993&amp;G1993,Lookup!J:N,5,0)</f>
        <v>0</v>
      </c>
      <c r="O1993" s="90">
        <f>IFERROR(VLOOKUP(A1993&amp;G1993,Lookup!J:K,2,0),"")</f>
        <v>0</v>
      </c>
      <c r="P1993" s="110" t="str">
        <f t="shared" si="121"/>
        <v/>
      </c>
      <c r="R1993" s="87" t="str">
        <f t="shared" si="122"/>
        <v/>
      </c>
      <c r="S1993" s="87" t="str">
        <f t="shared" si="123"/>
        <v/>
      </c>
    </row>
    <row r="1994" spans="2:19" x14ac:dyDescent="0.25">
      <c r="B1994" s="91" t="str">
        <f>IFERROR(VLOOKUP(A1994,Lookup!A:B,2,0),"")</f>
        <v/>
      </c>
      <c r="C1994" s="59" t="str">
        <f>IFERROR(VLOOKUP(A1994,Lookup!A:C,3,0),"")</f>
        <v/>
      </c>
      <c r="J1994" s="106">
        <f>VLOOKUP(A1994&amp;G1994,Lookup!J:N,5,0)</f>
        <v>0</v>
      </c>
      <c r="O1994" s="90">
        <f>IFERROR(VLOOKUP(A1994&amp;G1994,Lookup!J:K,2,0),"")</f>
        <v>0</v>
      </c>
      <c r="P1994" s="110" t="str">
        <f t="shared" si="121"/>
        <v/>
      </c>
      <c r="R1994" s="87" t="str">
        <f t="shared" si="122"/>
        <v/>
      </c>
      <c r="S1994" s="87" t="str">
        <f t="shared" si="123"/>
        <v/>
      </c>
    </row>
    <row r="1995" spans="2:19" x14ac:dyDescent="0.25">
      <c r="B1995" s="91" t="str">
        <f>IFERROR(VLOOKUP(A1995,Lookup!A:B,2,0),"")</f>
        <v/>
      </c>
      <c r="C1995" s="59" t="str">
        <f>IFERROR(VLOOKUP(A1995,Lookup!A:C,3,0),"")</f>
        <v/>
      </c>
      <c r="J1995" s="106">
        <f>VLOOKUP(A1995&amp;G1995,Lookup!J:N,5,0)</f>
        <v>0</v>
      </c>
      <c r="O1995" s="90">
        <f>IFERROR(VLOOKUP(A1995&amp;G1995,Lookup!J:K,2,0),"")</f>
        <v>0</v>
      </c>
      <c r="P1995" s="110" t="str">
        <f t="shared" si="121"/>
        <v/>
      </c>
      <c r="R1995" s="87" t="str">
        <f t="shared" si="122"/>
        <v/>
      </c>
      <c r="S1995" s="87" t="str">
        <f t="shared" si="123"/>
        <v/>
      </c>
    </row>
    <row r="1996" spans="2:19" x14ac:dyDescent="0.25">
      <c r="B1996" s="91" t="str">
        <f>IFERROR(VLOOKUP(A1996,Lookup!A:B,2,0),"")</f>
        <v/>
      </c>
      <c r="C1996" s="59" t="str">
        <f>IFERROR(VLOOKUP(A1996,Lookup!A:C,3,0),"")</f>
        <v/>
      </c>
      <c r="J1996" s="106">
        <f>VLOOKUP(A1996&amp;G1996,Lookup!J:N,5,0)</f>
        <v>0</v>
      </c>
      <c r="O1996" s="90">
        <f>IFERROR(VLOOKUP(A1996&amp;G1996,Lookup!J:K,2,0),"")</f>
        <v>0</v>
      </c>
      <c r="P1996" s="110" t="str">
        <f t="shared" si="121"/>
        <v/>
      </c>
      <c r="R1996" s="87" t="str">
        <f t="shared" si="122"/>
        <v/>
      </c>
      <c r="S1996" s="87" t="str">
        <f t="shared" si="123"/>
        <v/>
      </c>
    </row>
    <row r="1997" spans="2:19" x14ac:dyDescent="0.25">
      <c r="B1997" s="91" t="str">
        <f>IFERROR(VLOOKUP(A1997,Lookup!A:B,2,0),"")</f>
        <v/>
      </c>
      <c r="C1997" s="59" t="str">
        <f>IFERROR(VLOOKUP(A1997,Lookup!A:C,3,0),"")</f>
        <v/>
      </c>
      <c r="J1997" s="106">
        <f>VLOOKUP(A1997&amp;G1997,Lookup!J:N,5,0)</f>
        <v>0</v>
      </c>
      <c r="O1997" s="90">
        <f>IFERROR(VLOOKUP(A1997&amp;G1997,Lookup!J:K,2,0),"")</f>
        <v>0</v>
      </c>
      <c r="P1997" s="110" t="str">
        <f t="shared" si="121"/>
        <v/>
      </c>
      <c r="R1997" s="87" t="str">
        <f t="shared" si="122"/>
        <v/>
      </c>
      <c r="S1997" s="87" t="str">
        <f t="shared" si="123"/>
        <v/>
      </c>
    </row>
    <row r="1998" spans="2:19" x14ac:dyDescent="0.25">
      <c r="B1998" s="91" t="str">
        <f>IFERROR(VLOOKUP(A1998,Lookup!A:B,2,0),"")</f>
        <v/>
      </c>
      <c r="C1998" s="59" t="str">
        <f>IFERROR(VLOOKUP(A1998,Lookup!A:C,3,0),"")</f>
        <v/>
      </c>
      <c r="J1998" s="106">
        <f>VLOOKUP(A1998&amp;G1998,Lookup!J:N,5,0)</f>
        <v>0</v>
      </c>
      <c r="O1998" s="90">
        <f>IFERROR(VLOOKUP(A1998&amp;G1998,Lookup!J:K,2,0),"")</f>
        <v>0</v>
      </c>
      <c r="P1998" s="110" t="str">
        <f t="shared" si="121"/>
        <v/>
      </c>
      <c r="R1998" s="87" t="str">
        <f t="shared" si="122"/>
        <v/>
      </c>
      <c r="S1998" s="87" t="str">
        <f t="shared" si="123"/>
        <v/>
      </c>
    </row>
    <row r="1999" spans="2:19" x14ac:dyDescent="0.25">
      <c r="B1999" s="91" t="str">
        <f>IFERROR(VLOOKUP(A1999,Lookup!A:B,2,0),"")</f>
        <v/>
      </c>
      <c r="C1999" s="59" t="str">
        <f>IFERROR(VLOOKUP(A1999,Lookup!A:C,3,0),"")</f>
        <v/>
      </c>
      <c r="J1999" s="106">
        <f>VLOOKUP(A1999&amp;G1999,Lookup!J:N,5,0)</f>
        <v>0</v>
      </c>
      <c r="O1999" s="90">
        <f>IFERROR(VLOOKUP(A1999&amp;G1999,Lookup!J:K,2,0),"")</f>
        <v>0</v>
      </c>
      <c r="P1999" s="110" t="str">
        <f t="shared" si="121"/>
        <v/>
      </c>
      <c r="R1999" s="87" t="str">
        <f t="shared" si="122"/>
        <v/>
      </c>
      <c r="S1999" s="87" t="str">
        <f t="shared" si="123"/>
        <v/>
      </c>
    </row>
    <row r="2000" spans="2:19" x14ac:dyDescent="0.25">
      <c r="B2000" s="91" t="str">
        <f>IFERROR(VLOOKUP(A2000,Lookup!A:B,2,0),"")</f>
        <v/>
      </c>
      <c r="C2000" s="59" t="str">
        <f>IFERROR(VLOOKUP(A2000,Lookup!A:C,3,0),"")</f>
        <v/>
      </c>
      <c r="J2000" s="106">
        <f>VLOOKUP(A2000&amp;G2000,Lookup!J:N,5,0)</f>
        <v>0</v>
      </c>
      <c r="O2000" s="90">
        <f>IFERROR(VLOOKUP(A2000&amp;G2000,Lookup!J:K,2,0),"")</f>
        <v>0</v>
      </c>
      <c r="P2000" s="110" t="str">
        <f t="shared" si="121"/>
        <v/>
      </c>
      <c r="R2000" s="87" t="str">
        <f t="shared" si="122"/>
        <v/>
      </c>
      <c r="S2000" s="87" t="str">
        <f t="shared" si="123"/>
        <v/>
      </c>
    </row>
    <row r="2001" spans="2:19" x14ac:dyDescent="0.25">
      <c r="B2001" s="91" t="str">
        <f>IFERROR(VLOOKUP(A2001,Lookup!A:B,2,0),"")</f>
        <v/>
      </c>
      <c r="C2001" s="59" t="str">
        <f>IFERROR(VLOOKUP(A2001,Lookup!A:C,3,0),"")</f>
        <v/>
      </c>
      <c r="J2001" s="106">
        <f>VLOOKUP(A2001&amp;G2001,Lookup!J:N,5,0)</f>
        <v>0</v>
      </c>
      <c r="O2001" s="90">
        <f>IFERROR(VLOOKUP(A2001&amp;G2001,Lookup!J:K,2,0),"")</f>
        <v>0</v>
      </c>
      <c r="P2001" s="110" t="str">
        <f t="shared" si="121"/>
        <v/>
      </c>
      <c r="R2001" s="87" t="str">
        <f t="shared" si="122"/>
        <v/>
      </c>
      <c r="S2001" s="87" t="str">
        <f t="shared" si="123"/>
        <v/>
      </c>
    </row>
    <row r="2002" spans="2:19" x14ac:dyDescent="0.25">
      <c r="B2002" s="91" t="str">
        <f>IFERROR(VLOOKUP(A2002,Lookup!A:B,2,0),"")</f>
        <v/>
      </c>
      <c r="C2002" s="59" t="str">
        <f>IFERROR(VLOOKUP(A2002,Lookup!A:C,3,0),"")</f>
        <v/>
      </c>
      <c r="J2002" s="106">
        <f>VLOOKUP(A2002&amp;G2002,Lookup!J:N,5,0)</f>
        <v>0</v>
      </c>
      <c r="O2002" s="90">
        <f>IFERROR(VLOOKUP(A2002&amp;G2002,Lookup!J:K,2,0),"")</f>
        <v>0</v>
      </c>
      <c r="P2002" s="110" t="str">
        <f t="shared" si="121"/>
        <v/>
      </c>
      <c r="R2002" s="87" t="str">
        <f t="shared" si="122"/>
        <v/>
      </c>
      <c r="S2002" s="87" t="str">
        <f t="shared" si="123"/>
        <v/>
      </c>
    </row>
    <row r="2003" spans="2:19" x14ac:dyDescent="0.25">
      <c r="B2003" s="91" t="str">
        <f>IFERROR(VLOOKUP(A2003,Lookup!A:B,2,0),"")</f>
        <v/>
      </c>
      <c r="C2003" s="59" t="str">
        <f>IFERROR(VLOOKUP(A2003,Lookup!A:C,3,0),"")</f>
        <v/>
      </c>
      <c r="J2003" s="106">
        <f>VLOOKUP(A2003&amp;G2003,Lookup!J:N,5,0)</f>
        <v>0</v>
      </c>
      <c r="O2003" s="90">
        <f>IFERROR(VLOOKUP(A2003&amp;G2003,Lookup!J:K,2,0),"")</f>
        <v>0</v>
      </c>
      <c r="P2003" s="110" t="str">
        <f t="shared" si="121"/>
        <v/>
      </c>
      <c r="R2003" s="87" t="str">
        <f t="shared" si="122"/>
        <v/>
      </c>
      <c r="S2003" s="87" t="str">
        <f t="shared" si="123"/>
        <v/>
      </c>
    </row>
    <row r="2004" spans="2:19" x14ac:dyDescent="0.25">
      <c r="B2004" s="91" t="str">
        <f>IFERROR(VLOOKUP(A2004,Lookup!A:B,2,0),"")</f>
        <v/>
      </c>
      <c r="C2004" s="59" t="str">
        <f>IFERROR(VLOOKUP(A2004,Lookup!A:C,3,0),"")</f>
        <v/>
      </c>
      <c r="J2004" s="106">
        <f>VLOOKUP(A2004&amp;G2004,Lookup!J:N,5,0)</f>
        <v>0</v>
      </c>
      <c r="O2004" s="90">
        <f>IFERROR(VLOOKUP(A2004&amp;G2004,Lookup!J:K,2,0),"")</f>
        <v>0</v>
      </c>
      <c r="P2004" s="110" t="str">
        <f t="shared" si="121"/>
        <v/>
      </c>
      <c r="R2004" s="87" t="str">
        <f t="shared" si="122"/>
        <v/>
      </c>
      <c r="S2004" s="87" t="str">
        <f t="shared" si="123"/>
        <v/>
      </c>
    </row>
    <row r="2005" spans="2:19" x14ac:dyDescent="0.25">
      <c r="B2005" s="91" t="str">
        <f>IFERROR(VLOOKUP(A2005,Lookup!A:B,2,0),"")</f>
        <v/>
      </c>
      <c r="C2005" s="59" t="str">
        <f>IFERROR(VLOOKUP(A2005,Lookup!A:C,3,0),"")</f>
        <v/>
      </c>
      <c r="J2005" s="106">
        <f>VLOOKUP(A2005&amp;G2005,Lookup!J:N,5,0)</f>
        <v>0</v>
      </c>
      <c r="O2005" s="90">
        <f>IFERROR(VLOOKUP(A2005&amp;G2005,Lookup!J:K,2,0),"")</f>
        <v>0</v>
      </c>
      <c r="P2005" s="110" t="str">
        <f t="shared" si="121"/>
        <v/>
      </c>
      <c r="R2005" s="87" t="str">
        <f t="shared" si="122"/>
        <v/>
      </c>
      <c r="S2005" s="87" t="str">
        <f t="shared" si="123"/>
        <v/>
      </c>
    </row>
    <row r="2006" spans="2:19" x14ac:dyDescent="0.25">
      <c r="B2006" s="91" t="str">
        <f>IFERROR(VLOOKUP(A2006,Lookup!A:B,2,0),"")</f>
        <v/>
      </c>
      <c r="C2006" s="59" t="str">
        <f>IFERROR(VLOOKUP(A2006,Lookup!A:C,3,0),"")</f>
        <v/>
      </c>
      <c r="J2006" s="106">
        <f>VLOOKUP(A2006&amp;G2006,Lookup!J:N,5,0)</f>
        <v>0</v>
      </c>
      <c r="O2006" s="90">
        <f>IFERROR(VLOOKUP(A2006&amp;G2006,Lookup!J:K,2,0),"")</f>
        <v>0</v>
      </c>
      <c r="P2006" s="110" t="str">
        <f t="shared" si="121"/>
        <v/>
      </c>
      <c r="R2006" s="87" t="str">
        <f t="shared" si="122"/>
        <v/>
      </c>
      <c r="S2006" s="87" t="str">
        <f t="shared" si="123"/>
        <v/>
      </c>
    </row>
    <row r="2007" spans="2:19" x14ac:dyDescent="0.25">
      <c r="B2007" s="91" t="str">
        <f>IFERROR(VLOOKUP(A2007,Lookup!A:B,2,0),"")</f>
        <v/>
      </c>
      <c r="C2007" s="59" t="str">
        <f>IFERROR(VLOOKUP(A2007,Lookup!A:C,3,0),"")</f>
        <v/>
      </c>
      <c r="J2007" s="106">
        <f>VLOOKUP(A2007&amp;G2007,Lookup!J:N,5,0)</f>
        <v>0</v>
      </c>
      <c r="O2007" s="90">
        <f>IFERROR(VLOOKUP(A2007&amp;G2007,Lookup!J:K,2,0),"")</f>
        <v>0</v>
      </c>
      <c r="P2007" s="110" t="str">
        <f t="shared" si="121"/>
        <v/>
      </c>
      <c r="R2007" s="87" t="str">
        <f t="shared" si="122"/>
        <v/>
      </c>
      <c r="S2007" s="87" t="str">
        <f t="shared" si="123"/>
        <v/>
      </c>
    </row>
    <row r="2008" spans="2:19" x14ac:dyDescent="0.25">
      <c r="B2008" s="91" t="str">
        <f>IFERROR(VLOOKUP(A2008,Lookup!A:B,2,0),"")</f>
        <v/>
      </c>
      <c r="C2008" s="59" t="str">
        <f>IFERROR(VLOOKUP(A2008,Lookup!A:C,3,0),"")</f>
        <v/>
      </c>
      <c r="J2008" s="106">
        <f>VLOOKUP(A2008&amp;G2008,Lookup!J:N,5,0)</f>
        <v>0</v>
      </c>
      <c r="O2008" s="90">
        <f>IFERROR(VLOOKUP(A2008&amp;G2008,Lookup!J:K,2,0),"")</f>
        <v>0</v>
      </c>
      <c r="P2008" s="110" t="str">
        <f t="shared" si="121"/>
        <v/>
      </c>
      <c r="R2008" s="87" t="str">
        <f t="shared" si="122"/>
        <v/>
      </c>
      <c r="S2008" s="87" t="str">
        <f t="shared" si="123"/>
        <v/>
      </c>
    </row>
    <row r="2009" spans="2:19" x14ac:dyDescent="0.25">
      <c r="B2009" s="91" t="str">
        <f>IFERROR(VLOOKUP(A2009,Lookup!A:B,2,0),"")</f>
        <v/>
      </c>
      <c r="C2009" s="59" t="str">
        <f>IFERROR(VLOOKUP(A2009,Lookup!A:C,3,0),"")</f>
        <v/>
      </c>
      <c r="J2009" s="106">
        <f>VLOOKUP(A2009&amp;G2009,Lookup!J:N,5,0)</f>
        <v>0</v>
      </c>
      <c r="O2009" s="90">
        <f>IFERROR(VLOOKUP(A2009&amp;G2009,Lookup!J:K,2,0),"")</f>
        <v>0</v>
      </c>
      <c r="P2009" s="110" t="str">
        <f t="shared" si="121"/>
        <v/>
      </c>
      <c r="R2009" s="87" t="str">
        <f t="shared" si="122"/>
        <v/>
      </c>
      <c r="S2009" s="87" t="str">
        <f t="shared" si="123"/>
        <v/>
      </c>
    </row>
    <row r="2010" spans="2:19" x14ac:dyDescent="0.25">
      <c r="B2010" s="91" t="str">
        <f>IFERROR(VLOOKUP(A2010,Lookup!A:B,2,0),"")</f>
        <v/>
      </c>
      <c r="C2010" s="59" t="str">
        <f>IFERROR(VLOOKUP(A2010,Lookup!A:C,3,0),"")</f>
        <v/>
      </c>
      <c r="J2010" s="106">
        <f>VLOOKUP(A2010&amp;G2010,Lookup!J:N,5,0)</f>
        <v>0</v>
      </c>
      <c r="O2010" s="90">
        <f>IFERROR(VLOOKUP(A2010&amp;G2010,Lookup!J:K,2,0),"")</f>
        <v>0</v>
      </c>
      <c r="P2010" s="110" t="str">
        <f t="shared" si="121"/>
        <v/>
      </c>
      <c r="R2010" s="87" t="str">
        <f t="shared" si="122"/>
        <v/>
      </c>
      <c r="S2010" s="87" t="str">
        <f t="shared" si="123"/>
        <v/>
      </c>
    </row>
    <row r="2011" spans="2:19" x14ac:dyDescent="0.25">
      <c r="B2011" s="91" t="str">
        <f>IFERROR(VLOOKUP(A2011,Lookup!A:B,2,0),"")</f>
        <v/>
      </c>
      <c r="C2011" s="59" t="str">
        <f>IFERROR(VLOOKUP(A2011,Lookup!A:C,3,0),"")</f>
        <v/>
      </c>
      <c r="J2011" s="106">
        <f>VLOOKUP(A2011&amp;G2011,Lookup!J:N,5,0)</f>
        <v>0</v>
      </c>
      <c r="O2011" s="90">
        <f>IFERROR(VLOOKUP(A2011&amp;G2011,Lookup!J:K,2,0),"")</f>
        <v>0</v>
      </c>
      <c r="P2011" s="110" t="str">
        <f t="shared" si="121"/>
        <v/>
      </c>
      <c r="R2011" s="87" t="str">
        <f t="shared" si="122"/>
        <v/>
      </c>
      <c r="S2011" s="87" t="str">
        <f t="shared" si="123"/>
        <v/>
      </c>
    </row>
    <row r="2012" spans="2:19" x14ac:dyDescent="0.25">
      <c r="B2012" s="91" t="str">
        <f>IFERROR(VLOOKUP(A2012,Lookup!A:B,2,0),"")</f>
        <v/>
      </c>
      <c r="C2012" s="59" t="str">
        <f>IFERROR(VLOOKUP(A2012,Lookup!A:C,3,0),"")</f>
        <v/>
      </c>
      <c r="J2012" s="106">
        <f>VLOOKUP(A2012&amp;G2012,Lookup!J:N,5,0)</f>
        <v>0</v>
      </c>
      <c r="O2012" s="90">
        <f>IFERROR(VLOOKUP(A2012&amp;G2012,Lookup!J:K,2,0),"")</f>
        <v>0</v>
      </c>
      <c r="P2012" s="110" t="str">
        <f t="shared" si="121"/>
        <v/>
      </c>
      <c r="R2012" s="87" t="str">
        <f t="shared" si="122"/>
        <v/>
      </c>
      <c r="S2012" s="87" t="str">
        <f t="shared" si="123"/>
        <v/>
      </c>
    </row>
    <row r="2013" spans="2:19" x14ac:dyDescent="0.25">
      <c r="B2013" s="91" t="str">
        <f>IFERROR(VLOOKUP(A2013,Lookup!A:B,2,0),"")</f>
        <v/>
      </c>
      <c r="C2013" s="59" t="str">
        <f>IFERROR(VLOOKUP(A2013,Lookup!A:C,3,0),"")</f>
        <v/>
      </c>
      <c r="J2013" s="106">
        <f>VLOOKUP(A2013&amp;G2013,Lookup!J:N,5,0)</f>
        <v>0</v>
      </c>
      <c r="O2013" s="90">
        <f>IFERROR(VLOOKUP(A2013&amp;G2013,Lookup!J:K,2,0),"")</f>
        <v>0</v>
      </c>
      <c r="P2013" s="110" t="str">
        <f t="shared" si="121"/>
        <v/>
      </c>
      <c r="R2013" s="87" t="str">
        <f t="shared" si="122"/>
        <v/>
      </c>
      <c r="S2013" s="87" t="str">
        <f t="shared" si="123"/>
        <v/>
      </c>
    </row>
    <row r="2014" spans="2:19" x14ac:dyDescent="0.25">
      <c r="B2014" s="91" t="str">
        <f>IFERROR(VLOOKUP(A2014,Lookup!A:B,2,0),"")</f>
        <v/>
      </c>
      <c r="C2014" s="59" t="str">
        <f>IFERROR(VLOOKUP(A2014,Lookup!A:C,3,0),"")</f>
        <v/>
      </c>
      <c r="J2014" s="106">
        <f>VLOOKUP(A2014&amp;G2014,Lookup!J:N,5,0)</f>
        <v>0</v>
      </c>
      <c r="O2014" s="90">
        <f>IFERROR(VLOOKUP(A2014&amp;G2014,Lookup!J:K,2,0),"")</f>
        <v>0</v>
      </c>
      <c r="P2014" s="110" t="str">
        <f t="shared" si="121"/>
        <v/>
      </c>
      <c r="R2014" s="87" t="str">
        <f t="shared" si="122"/>
        <v/>
      </c>
      <c r="S2014" s="87" t="str">
        <f t="shared" si="123"/>
        <v/>
      </c>
    </row>
    <row r="2015" spans="2:19" x14ac:dyDescent="0.25">
      <c r="B2015" s="91" t="str">
        <f>IFERROR(VLOOKUP(A2015,Lookup!A:B,2,0),"")</f>
        <v/>
      </c>
      <c r="C2015" s="59" t="str">
        <f>IFERROR(VLOOKUP(A2015,Lookup!A:C,3,0),"")</f>
        <v/>
      </c>
      <c r="J2015" s="106">
        <f>VLOOKUP(A2015&amp;G2015,Lookup!J:N,5,0)</f>
        <v>0</v>
      </c>
      <c r="O2015" s="90">
        <f>IFERROR(VLOOKUP(A2015&amp;G2015,Lookup!J:K,2,0),"")</f>
        <v>0</v>
      </c>
      <c r="P2015" s="110" t="str">
        <f t="shared" si="121"/>
        <v/>
      </c>
      <c r="R2015" s="87" t="str">
        <f t="shared" si="122"/>
        <v/>
      </c>
      <c r="S2015" s="87" t="str">
        <f t="shared" si="123"/>
        <v/>
      </c>
    </row>
    <row r="2016" spans="2:19" x14ac:dyDescent="0.25">
      <c r="B2016" s="91" t="str">
        <f>IFERROR(VLOOKUP(A2016,Lookup!A:B,2,0),"")</f>
        <v/>
      </c>
      <c r="C2016" s="59" t="str">
        <f>IFERROR(VLOOKUP(A2016,Lookup!A:C,3,0),"")</f>
        <v/>
      </c>
      <c r="J2016" s="106">
        <f>VLOOKUP(A2016&amp;G2016,Lookup!J:N,5,0)</f>
        <v>0</v>
      </c>
      <c r="O2016" s="90">
        <f>IFERROR(VLOOKUP(A2016&amp;G2016,Lookup!J:K,2,0),"")</f>
        <v>0</v>
      </c>
      <c r="P2016" s="110" t="str">
        <f t="shared" si="121"/>
        <v/>
      </c>
      <c r="R2016" s="87" t="str">
        <f t="shared" si="122"/>
        <v/>
      </c>
      <c r="S2016" s="87" t="str">
        <f t="shared" si="123"/>
        <v/>
      </c>
    </row>
    <row r="2017" spans="2:19" x14ac:dyDescent="0.25">
      <c r="B2017" s="91" t="str">
        <f>IFERROR(VLOOKUP(A2017,Lookup!A:B,2,0),"")</f>
        <v/>
      </c>
      <c r="C2017" s="59" t="str">
        <f>IFERROR(VLOOKUP(A2017,Lookup!A:C,3,0),"")</f>
        <v/>
      </c>
      <c r="J2017" s="106">
        <f>VLOOKUP(A2017&amp;G2017,Lookup!J:N,5,0)</f>
        <v>0</v>
      </c>
      <c r="O2017" s="90">
        <f>IFERROR(VLOOKUP(A2017&amp;G2017,Lookup!J:K,2,0),"")</f>
        <v>0</v>
      </c>
      <c r="P2017" s="110" t="str">
        <f t="shared" si="121"/>
        <v/>
      </c>
      <c r="R2017" s="87" t="str">
        <f t="shared" si="122"/>
        <v/>
      </c>
      <c r="S2017" s="87" t="str">
        <f t="shared" si="123"/>
        <v/>
      </c>
    </row>
    <row r="2018" spans="2:19" x14ac:dyDescent="0.25">
      <c r="B2018" s="91" t="str">
        <f>IFERROR(VLOOKUP(A2018,Lookup!A:B,2,0),"")</f>
        <v/>
      </c>
      <c r="C2018" s="59" t="str">
        <f>IFERROR(VLOOKUP(A2018,Lookup!A:C,3,0),"")</f>
        <v/>
      </c>
      <c r="J2018" s="106">
        <f>VLOOKUP(A2018&amp;G2018,Lookup!J:N,5,0)</f>
        <v>0</v>
      </c>
      <c r="O2018" s="90">
        <f>IFERROR(VLOOKUP(A2018&amp;G2018,Lookup!J:K,2,0),"")</f>
        <v>0</v>
      </c>
      <c r="P2018" s="110" t="str">
        <f t="shared" si="121"/>
        <v/>
      </c>
      <c r="R2018" s="87" t="str">
        <f t="shared" si="122"/>
        <v/>
      </c>
      <c r="S2018" s="87" t="str">
        <f t="shared" si="123"/>
        <v/>
      </c>
    </row>
    <row r="2019" spans="2:19" x14ac:dyDescent="0.25">
      <c r="B2019" s="91" t="str">
        <f>IFERROR(VLOOKUP(A2019,Lookup!A:B,2,0),"")</f>
        <v/>
      </c>
      <c r="C2019" s="59" t="str">
        <f>IFERROR(VLOOKUP(A2019,Lookup!A:C,3,0),"")</f>
        <v/>
      </c>
      <c r="J2019" s="106">
        <f>VLOOKUP(A2019&amp;G2019,Lookup!J:N,5,0)</f>
        <v>0</v>
      </c>
      <c r="O2019" s="90">
        <f>IFERROR(VLOOKUP(A2019&amp;G2019,Lookup!J:K,2,0),"")</f>
        <v>0</v>
      </c>
      <c r="P2019" s="110" t="str">
        <f t="shared" si="121"/>
        <v/>
      </c>
      <c r="R2019" s="87" t="str">
        <f t="shared" si="122"/>
        <v/>
      </c>
      <c r="S2019" s="87" t="str">
        <f t="shared" si="123"/>
        <v/>
      </c>
    </row>
    <row r="2020" spans="2:19" x14ac:dyDescent="0.25">
      <c r="B2020" s="91" t="str">
        <f>IFERROR(VLOOKUP(A2020,Lookup!A:B,2,0),"")</f>
        <v/>
      </c>
      <c r="C2020" s="59" t="str">
        <f>IFERROR(VLOOKUP(A2020,Lookup!A:C,3,0),"")</f>
        <v/>
      </c>
      <c r="J2020" s="106">
        <f>VLOOKUP(A2020&amp;G2020,Lookup!J:N,5,0)</f>
        <v>0</v>
      </c>
      <c r="O2020" s="90">
        <f>IFERROR(VLOOKUP(A2020&amp;G2020,Lookup!J:K,2,0),"")</f>
        <v>0</v>
      </c>
      <c r="P2020" s="110" t="str">
        <f t="shared" si="121"/>
        <v/>
      </c>
      <c r="R2020" s="87" t="str">
        <f t="shared" si="122"/>
        <v/>
      </c>
      <c r="S2020" s="87" t="str">
        <f t="shared" si="123"/>
        <v/>
      </c>
    </row>
    <row r="2021" spans="2:19" x14ac:dyDescent="0.25">
      <c r="B2021" s="91" t="str">
        <f>IFERROR(VLOOKUP(A2021,Lookup!A:B,2,0),"")</f>
        <v/>
      </c>
      <c r="C2021" s="59" t="str">
        <f>IFERROR(VLOOKUP(A2021,Lookup!A:C,3,0),"")</f>
        <v/>
      </c>
      <c r="J2021" s="106">
        <f>VLOOKUP(A2021&amp;G2021,Lookup!J:N,5,0)</f>
        <v>0</v>
      </c>
      <c r="O2021" s="90">
        <f>IFERROR(VLOOKUP(A2021&amp;G2021,Lookup!J:K,2,0),"")</f>
        <v>0</v>
      </c>
      <c r="P2021" s="110" t="str">
        <f t="shared" si="121"/>
        <v/>
      </c>
      <c r="R2021" s="87" t="str">
        <f t="shared" si="122"/>
        <v/>
      </c>
      <c r="S2021" s="87" t="str">
        <f t="shared" si="123"/>
        <v/>
      </c>
    </row>
    <row r="2022" spans="2:19" x14ac:dyDescent="0.25">
      <c r="B2022" s="91" t="str">
        <f>IFERROR(VLOOKUP(A2022,Lookup!A:B,2,0),"")</f>
        <v/>
      </c>
      <c r="C2022" s="59" t="str">
        <f>IFERROR(VLOOKUP(A2022,Lookup!A:C,3,0),"")</f>
        <v/>
      </c>
      <c r="J2022" s="106">
        <f>VLOOKUP(A2022&amp;G2022,Lookup!J:N,5,0)</f>
        <v>0</v>
      </c>
      <c r="O2022" s="90">
        <f>IFERROR(VLOOKUP(A2022&amp;G2022,Lookup!J:K,2,0),"")</f>
        <v>0</v>
      </c>
      <c r="P2022" s="110" t="str">
        <f t="shared" si="121"/>
        <v/>
      </c>
      <c r="R2022" s="87" t="str">
        <f t="shared" si="122"/>
        <v/>
      </c>
      <c r="S2022" s="87" t="str">
        <f t="shared" si="123"/>
        <v/>
      </c>
    </row>
    <row r="2023" spans="2:19" x14ac:dyDescent="0.25">
      <c r="B2023" s="91" t="str">
        <f>IFERROR(VLOOKUP(A2023,Lookup!A:B,2,0),"")</f>
        <v/>
      </c>
      <c r="C2023" s="59" t="str">
        <f>IFERROR(VLOOKUP(A2023,Lookup!A:C,3,0),"")</f>
        <v/>
      </c>
      <c r="J2023" s="106">
        <f>VLOOKUP(A2023&amp;G2023,Lookup!J:N,5,0)</f>
        <v>0</v>
      </c>
      <c r="O2023" s="90">
        <f>IFERROR(VLOOKUP(A2023&amp;G2023,Lookup!J:K,2,0),"")</f>
        <v>0</v>
      </c>
      <c r="P2023" s="110" t="str">
        <f t="shared" si="121"/>
        <v/>
      </c>
      <c r="R2023" s="87" t="str">
        <f t="shared" si="122"/>
        <v/>
      </c>
      <c r="S2023" s="87" t="str">
        <f t="shared" si="123"/>
        <v/>
      </c>
    </row>
    <row r="2024" spans="2:19" x14ac:dyDescent="0.25">
      <c r="B2024" s="91" t="str">
        <f>IFERROR(VLOOKUP(A2024,Lookup!A:B,2,0),"")</f>
        <v/>
      </c>
      <c r="C2024" s="59" t="str">
        <f>IFERROR(VLOOKUP(A2024,Lookup!A:C,3,0),"")</f>
        <v/>
      </c>
      <c r="J2024" s="106">
        <f>VLOOKUP(A2024&amp;G2024,Lookup!J:N,5,0)</f>
        <v>0</v>
      </c>
      <c r="O2024" s="90">
        <f>IFERROR(VLOOKUP(A2024&amp;G2024,Lookup!J:K,2,0),"")</f>
        <v>0</v>
      </c>
      <c r="P2024" s="110" t="str">
        <f t="shared" si="121"/>
        <v/>
      </c>
      <c r="R2024" s="87" t="str">
        <f t="shared" si="122"/>
        <v/>
      </c>
      <c r="S2024" s="87" t="str">
        <f t="shared" si="123"/>
        <v/>
      </c>
    </row>
    <row r="2025" spans="2:19" x14ac:dyDescent="0.25">
      <c r="B2025" s="91" t="str">
        <f>IFERROR(VLOOKUP(A2025,Lookup!A:B,2,0),"")</f>
        <v/>
      </c>
      <c r="C2025" s="59" t="str">
        <f>IFERROR(VLOOKUP(A2025,Lookup!A:C,3,0),"")</f>
        <v/>
      </c>
      <c r="J2025" s="106">
        <f>VLOOKUP(A2025&amp;G2025,Lookup!J:N,5,0)</f>
        <v>0</v>
      </c>
      <c r="O2025" s="90">
        <f>IFERROR(VLOOKUP(A2025&amp;G2025,Lookup!J:K,2,0),"")</f>
        <v>0</v>
      </c>
      <c r="P2025" s="110" t="str">
        <f t="shared" si="121"/>
        <v/>
      </c>
      <c r="R2025" s="87" t="str">
        <f t="shared" si="122"/>
        <v/>
      </c>
      <c r="S2025" s="87" t="str">
        <f t="shared" si="123"/>
        <v/>
      </c>
    </row>
    <row r="2026" spans="2:19" x14ac:dyDescent="0.25">
      <c r="B2026" s="91" t="str">
        <f>IFERROR(VLOOKUP(A2026,Lookup!A:B,2,0),"")</f>
        <v/>
      </c>
      <c r="C2026" s="59" t="str">
        <f>IFERROR(VLOOKUP(A2026,Lookup!A:C,3,0),"")</f>
        <v/>
      </c>
      <c r="J2026" s="106">
        <f>VLOOKUP(A2026&amp;G2026,Lookup!J:N,5,0)</f>
        <v>0</v>
      </c>
      <c r="O2026" s="90">
        <f>IFERROR(VLOOKUP(A2026&amp;G2026,Lookup!J:K,2,0),"")</f>
        <v>0</v>
      </c>
      <c r="P2026" s="110" t="str">
        <f t="shared" si="121"/>
        <v/>
      </c>
      <c r="R2026" s="87" t="str">
        <f t="shared" si="122"/>
        <v/>
      </c>
      <c r="S2026" s="87" t="str">
        <f t="shared" si="123"/>
        <v/>
      </c>
    </row>
    <row r="2027" spans="2:19" x14ac:dyDescent="0.25">
      <c r="B2027" s="91" t="str">
        <f>IFERROR(VLOOKUP(A2027,Lookup!A:B,2,0),"")</f>
        <v/>
      </c>
      <c r="C2027" s="59" t="str">
        <f>IFERROR(VLOOKUP(A2027,Lookup!A:C,3,0),"")</f>
        <v/>
      </c>
      <c r="J2027" s="106">
        <f>VLOOKUP(A2027&amp;G2027,Lookup!J:N,5,0)</f>
        <v>0</v>
      </c>
      <c r="O2027" s="90">
        <f>IFERROR(VLOOKUP(A2027&amp;G2027,Lookup!J:K,2,0),"")</f>
        <v>0</v>
      </c>
      <c r="P2027" s="110" t="str">
        <f t="shared" si="121"/>
        <v/>
      </c>
      <c r="R2027" s="87" t="str">
        <f t="shared" si="122"/>
        <v/>
      </c>
      <c r="S2027" s="87" t="str">
        <f t="shared" si="123"/>
        <v/>
      </c>
    </row>
    <row r="2028" spans="2:19" x14ac:dyDescent="0.25">
      <c r="B2028" s="91" t="str">
        <f>IFERROR(VLOOKUP(A2028,Lookup!A:B,2,0),"")</f>
        <v/>
      </c>
      <c r="C2028" s="59" t="str">
        <f>IFERROR(VLOOKUP(A2028,Lookup!A:C,3,0),"")</f>
        <v/>
      </c>
      <c r="J2028" s="106">
        <f>VLOOKUP(A2028&amp;G2028,Lookup!J:N,5,0)</f>
        <v>0</v>
      </c>
      <c r="O2028" s="90">
        <f>IFERROR(VLOOKUP(A2028&amp;G2028,Lookup!J:K,2,0),"")</f>
        <v>0</v>
      </c>
      <c r="P2028" s="110" t="str">
        <f t="shared" si="121"/>
        <v/>
      </c>
      <c r="R2028" s="87" t="str">
        <f t="shared" si="122"/>
        <v/>
      </c>
      <c r="S2028" s="87" t="str">
        <f t="shared" si="123"/>
        <v/>
      </c>
    </row>
    <row r="2029" spans="2:19" x14ac:dyDescent="0.25">
      <c r="B2029" s="91" t="str">
        <f>IFERROR(VLOOKUP(A2029,Lookup!A:B,2,0),"")</f>
        <v/>
      </c>
      <c r="C2029" s="59" t="str">
        <f>IFERROR(VLOOKUP(A2029,Lookup!A:C,3,0),"")</f>
        <v/>
      </c>
      <c r="J2029" s="106">
        <f>VLOOKUP(A2029&amp;G2029,Lookup!J:N,5,0)</f>
        <v>0</v>
      </c>
      <c r="O2029" s="90">
        <f>IFERROR(VLOOKUP(A2029&amp;G2029,Lookup!J:K,2,0),"")</f>
        <v>0</v>
      </c>
      <c r="P2029" s="110" t="str">
        <f t="shared" si="121"/>
        <v/>
      </c>
      <c r="R2029" s="87" t="str">
        <f t="shared" si="122"/>
        <v/>
      </c>
      <c r="S2029" s="87" t="str">
        <f t="shared" si="123"/>
        <v/>
      </c>
    </row>
    <row r="2030" spans="2:19" x14ac:dyDescent="0.25">
      <c r="B2030" s="91" t="str">
        <f>IFERROR(VLOOKUP(A2030,Lookup!A:B,2,0),"")</f>
        <v/>
      </c>
      <c r="C2030" s="59" t="str">
        <f>IFERROR(VLOOKUP(A2030,Lookup!A:C,3,0),"")</f>
        <v/>
      </c>
      <c r="J2030" s="106">
        <f>VLOOKUP(A2030&amp;G2030,Lookup!J:N,5,0)</f>
        <v>0</v>
      </c>
      <c r="O2030" s="90">
        <f>IFERROR(VLOOKUP(A2030&amp;G2030,Lookup!J:K,2,0),"")</f>
        <v>0</v>
      </c>
      <c r="P2030" s="110" t="str">
        <f t="shared" si="121"/>
        <v/>
      </c>
      <c r="R2030" s="87" t="str">
        <f t="shared" si="122"/>
        <v/>
      </c>
      <c r="S2030" s="87" t="str">
        <f t="shared" si="123"/>
        <v/>
      </c>
    </row>
    <row r="2031" spans="2:19" x14ac:dyDescent="0.25">
      <c r="B2031" s="91" t="str">
        <f>IFERROR(VLOOKUP(A2031,Lookup!A:B,2,0),"")</f>
        <v/>
      </c>
      <c r="C2031" s="59" t="str">
        <f>IFERROR(VLOOKUP(A2031,Lookup!A:C,3,0),"")</f>
        <v/>
      </c>
      <c r="J2031" s="106">
        <f>VLOOKUP(A2031&amp;G2031,Lookup!J:N,5,0)</f>
        <v>0</v>
      </c>
      <c r="O2031" s="90">
        <f>IFERROR(VLOOKUP(A2031&amp;G2031,Lookup!J:K,2,0),"")</f>
        <v>0</v>
      </c>
      <c r="P2031" s="110" t="str">
        <f t="shared" si="121"/>
        <v/>
      </c>
      <c r="R2031" s="87" t="str">
        <f t="shared" si="122"/>
        <v/>
      </c>
      <c r="S2031" s="87" t="str">
        <f t="shared" si="123"/>
        <v/>
      </c>
    </row>
    <row r="2032" spans="2:19" x14ac:dyDescent="0.25">
      <c r="B2032" s="91" t="str">
        <f>IFERROR(VLOOKUP(A2032,Lookup!A:B,2,0),"")</f>
        <v/>
      </c>
      <c r="C2032" s="59" t="str">
        <f>IFERROR(VLOOKUP(A2032,Lookup!A:C,3,0),"")</f>
        <v/>
      </c>
      <c r="J2032" s="106">
        <f>VLOOKUP(A2032&amp;G2032,Lookup!J:N,5,0)</f>
        <v>0</v>
      </c>
      <c r="O2032" s="90">
        <f>IFERROR(VLOOKUP(A2032&amp;G2032,Lookup!J:K,2,0),"")</f>
        <v>0</v>
      </c>
      <c r="P2032" s="110" t="str">
        <f t="shared" si="121"/>
        <v/>
      </c>
      <c r="R2032" s="87" t="str">
        <f t="shared" si="122"/>
        <v/>
      </c>
      <c r="S2032" s="87" t="str">
        <f t="shared" si="123"/>
        <v/>
      </c>
    </row>
    <row r="2033" spans="2:19" x14ac:dyDescent="0.25">
      <c r="B2033" s="91" t="str">
        <f>IFERROR(VLOOKUP(A2033,Lookup!A:B,2,0),"")</f>
        <v/>
      </c>
      <c r="C2033" s="59" t="str">
        <f>IFERROR(VLOOKUP(A2033,Lookup!A:C,3,0),"")</f>
        <v/>
      </c>
      <c r="J2033" s="106">
        <f>VLOOKUP(A2033&amp;G2033,Lookup!J:N,5,0)</f>
        <v>0</v>
      </c>
      <c r="O2033" s="90">
        <f>IFERROR(VLOOKUP(A2033&amp;G2033,Lookup!J:K,2,0),"")</f>
        <v>0</v>
      </c>
      <c r="P2033" s="110" t="str">
        <f t="shared" si="121"/>
        <v/>
      </c>
      <c r="R2033" s="87" t="str">
        <f t="shared" si="122"/>
        <v/>
      </c>
      <c r="S2033" s="87" t="str">
        <f t="shared" si="123"/>
        <v/>
      </c>
    </row>
    <row r="2034" spans="2:19" x14ac:dyDescent="0.25">
      <c r="B2034" s="91" t="str">
        <f>IFERROR(VLOOKUP(A2034,Lookup!A:B,2,0),"")</f>
        <v/>
      </c>
      <c r="C2034" s="59" t="str">
        <f>IFERROR(VLOOKUP(A2034,Lookup!A:C,3,0),"")</f>
        <v/>
      </c>
      <c r="J2034" s="106">
        <f>VLOOKUP(A2034&amp;G2034,Lookup!J:N,5,0)</f>
        <v>0</v>
      </c>
      <c r="O2034" s="90">
        <f>IFERROR(VLOOKUP(A2034&amp;G2034,Lookup!J:K,2,0),"")</f>
        <v>0</v>
      </c>
      <c r="P2034" s="110" t="str">
        <f t="shared" si="121"/>
        <v/>
      </c>
      <c r="R2034" s="87" t="str">
        <f t="shared" si="122"/>
        <v/>
      </c>
      <c r="S2034" s="87" t="str">
        <f t="shared" si="123"/>
        <v/>
      </c>
    </row>
    <row r="2035" spans="2:19" x14ac:dyDescent="0.25">
      <c r="B2035" s="91" t="str">
        <f>IFERROR(VLOOKUP(A2035,Lookup!A:B,2,0),"")</f>
        <v/>
      </c>
      <c r="C2035" s="59" t="str">
        <f>IFERROR(VLOOKUP(A2035,Lookup!A:C,3,0),"")</f>
        <v/>
      </c>
      <c r="J2035" s="106">
        <f>VLOOKUP(A2035&amp;G2035,Lookup!J:N,5,0)</f>
        <v>0</v>
      </c>
      <c r="O2035" s="90">
        <f>IFERROR(VLOOKUP(A2035&amp;G2035,Lookup!J:K,2,0),"")</f>
        <v>0</v>
      </c>
      <c r="P2035" s="110" t="str">
        <f t="shared" si="121"/>
        <v/>
      </c>
      <c r="R2035" s="87" t="str">
        <f t="shared" si="122"/>
        <v/>
      </c>
      <c r="S2035" s="87" t="str">
        <f t="shared" si="123"/>
        <v/>
      </c>
    </row>
    <row r="2036" spans="2:19" x14ac:dyDescent="0.25">
      <c r="B2036" s="91" t="str">
        <f>IFERROR(VLOOKUP(A2036,Lookup!A:B,2,0),"")</f>
        <v/>
      </c>
      <c r="C2036" s="59" t="str">
        <f>IFERROR(VLOOKUP(A2036,Lookup!A:C,3,0),"")</f>
        <v/>
      </c>
      <c r="J2036" s="106">
        <f>VLOOKUP(A2036&amp;G2036,Lookup!J:N,5,0)</f>
        <v>0</v>
      </c>
      <c r="O2036" s="90">
        <f>IFERROR(VLOOKUP(A2036&amp;G2036,Lookup!J:K,2,0),"")</f>
        <v>0</v>
      </c>
      <c r="P2036" s="110" t="str">
        <f t="shared" si="121"/>
        <v/>
      </c>
      <c r="R2036" s="87" t="str">
        <f t="shared" si="122"/>
        <v/>
      </c>
      <c r="S2036" s="87" t="str">
        <f t="shared" si="123"/>
        <v/>
      </c>
    </row>
    <row r="2037" spans="2:19" x14ac:dyDescent="0.25">
      <c r="B2037" s="91" t="str">
        <f>IFERROR(VLOOKUP(A2037,Lookup!A:B,2,0),"")</f>
        <v/>
      </c>
      <c r="C2037" s="59" t="str">
        <f>IFERROR(VLOOKUP(A2037,Lookup!A:C,3,0),"")</f>
        <v/>
      </c>
      <c r="J2037" s="106">
        <f>VLOOKUP(A2037&amp;G2037,Lookup!J:N,5,0)</f>
        <v>0</v>
      </c>
      <c r="O2037" s="90">
        <f>IFERROR(VLOOKUP(A2037&amp;G2037,Lookup!J:K,2,0),"")</f>
        <v>0</v>
      </c>
      <c r="P2037" s="110" t="str">
        <f t="shared" si="121"/>
        <v/>
      </c>
      <c r="R2037" s="87" t="str">
        <f t="shared" si="122"/>
        <v/>
      </c>
      <c r="S2037" s="87" t="str">
        <f t="shared" si="123"/>
        <v/>
      </c>
    </row>
    <row r="2038" spans="2:19" x14ac:dyDescent="0.25">
      <c r="B2038" s="91" t="str">
        <f>IFERROR(VLOOKUP(A2038,Lookup!A:B,2,0),"")</f>
        <v/>
      </c>
      <c r="C2038" s="59" t="str">
        <f>IFERROR(VLOOKUP(A2038,Lookup!A:C,3,0),"")</f>
        <v/>
      </c>
      <c r="J2038" s="106">
        <f>VLOOKUP(A2038&amp;G2038,Lookup!J:N,5,0)</f>
        <v>0</v>
      </c>
      <c r="O2038" s="90">
        <f>IFERROR(VLOOKUP(A2038&amp;G2038,Lookup!J:K,2,0),"")</f>
        <v>0</v>
      </c>
      <c r="P2038" s="110" t="str">
        <f t="shared" si="121"/>
        <v/>
      </c>
      <c r="R2038" s="87" t="str">
        <f t="shared" si="122"/>
        <v/>
      </c>
      <c r="S2038" s="87" t="str">
        <f t="shared" si="123"/>
        <v/>
      </c>
    </row>
    <row r="2039" spans="2:19" x14ac:dyDescent="0.25">
      <c r="B2039" s="91" t="str">
        <f>IFERROR(VLOOKUP(A2039,Lookup!A:B,2,0),"")</f>
        <v/>
      </c>
      <c r="C2039" s="59" t="str">
        <f>IFERROR(VLOOKUP(A2039,Lookup!A:C,3,0),"")</f>
        <v/>
      </c>
      <c r="J2039" s="106">
        <f>VLOOKUP(A2039&amp;G2039,Lookup!J:N,5,0)</f>
        <v>0</v>
      </c>
      <c r="O2039" s="90">
        <f>IFERROR(VLOOKUP(A2039&amp;G2039,Lookup!J:K,2,0),"")</f>
        <v>0</v>
      </c>
      <c r="P2039" s="110" t="str">
        <f t="shared" si="121"/>
        <v/>
      </c>
      <c r="R2039" s="87" t="str">
        <f t="shared" si="122"/>
        <v/>
      </c>
      <c r="S2039" s="87" t="str">
        <f t="shared" si="123"/>
        <v/>
      </c>
    </row>
    <row r="2040" spans="2:19" x14ac:dyDescent="0.25">
      <c r="B2040" s="91" t="str">
        <f>IFERROR(VLOOKUP(A2040,Lookup!A:B,2,0),"")</f>
        <v/>
      </c>
      <c r="C2040" s="59" t="str">
        <f>IFERROR(VLOOKUP(A2040,Lookup!A:C,3,0),"")</f>
        <v/>
      </c>
      <c r="J2040" s="106">
        <f>VLOOKUP(A2040&amp;G2040,Lookup!J:N,5,0)</f>
        <v>0</v>
      </c>
      <c r="O2040" s="90">
        <f>IFERROR(VLOOKUP(A2040&amp;G2040,Lookup!J:K,2,0),"")</f>
        <v>0</v>
      </c>
      <c r="P2040" s="110" t="str">
        <f t="shared" si="121"/>
        <v/>
      </c>
      <c r="R2040" s="87" t="str">
        <f t="shared" si="122"/>
        <v/>
      </c>
      <c r="S2040" s="87" t="str">
        <f t="shared" si="123"/>
        <v/>
      </c>
    </row>
    <row r="2041" spans="2:19" x14ac:dyDescent="0.25">
      <c r="B2041" s="91" t="str">
        <f>IFERROR(VLOOKUP(A2041,Lookup!A:B,2,0),"")</f>
        <v/>
      </c>
      <c r="C2041" s="59" t="str">
        <f>IFERROR(VLOOKUP(A2041,Lookup!A:C,3,0),"")</f>
        <v/>
      </c>
      <c r="J2041" s="106">
        <f>VLOOKUP(A2041&amp;G2041,Lookup!J:N,5,0)</f>
        <v>0</v>
      </c>
      <c r="O2041" s="90">
        <f>IFERROR(VLOOKUP(A2041&amp;G2041,Lookup!J:K,2,0),"")</f>
        <v>0</v>
      </c>
      <c r="P2041" s="110" t="str">
        <f t="shared" si="121"/>
        <v/>
      </c>
      <c r="R2041" s="87" t="str">
        <f t="shared" si="122"/>
        <v/>
      </c>
      <c r="S2041" s="87" t="str">
        <f t="shared" si="123"/>
        <v/>
      </c>
    </row>
    <row r="2042" spans="2:19" x14ac:dyDescent="0.25">
      <c r="B2042" s="91" t="str">
        <f>IFERROR(VLOOKUP(A2042,Lookup!A:B,2,0),"")</f>
        <v/>
      </c>
      <c r="C2042" s="59" t="str">
        <f>IFERROR(VLOOKUP(A2042,Lookup!A:C,3,0),"")</f>
        <v/>
      </c>
      <c r="J2042" s="106">
        <f>VLOOKUP(A2042&amp;G2042,Lookup!J:N,5,0)</f>
        <v>0</v>
      </c>
      <c r="O2042" s="90">
        <f>IFERROR(VLOOKUP(A2042&amp;G2042,Lookup!J:K,2,0),"")</f>
        <v>0</v>
      </c>
      <c r="P2042" s="110" t="str">
        <f t="shared" si="121"/>
        <v/>
      </c>
      <c r="R2042" s="87" t="str">
        <f t="shared" si="122"/>
        <v/>
      </c>
      <c r="S2042" s="87" t="str">
        <f t="shared" si="123"/>
        <v/>
      </c>
    </row>
    <row r="2043" spans="2:19" x14ac:dyDescent="0.25">
      <c r="B2043" s="91" t="str">
        <f>IFERROR(VLOOKUP(A2043,Lookup!A:B,2,0),"")</f>
        <v/>
      </c>
      <c r="C2043" s="59" t="str">
        <f>IFERROR(VLOOKUP(A2043,Lookup!A:C,3,0),"")</f>
        <v/>
      </c>
      <c r="J2043" s="106">
        <f>VLOOKUP(A2043&amp;G2043,Lookup!J:N,5,0)</f>
        <v>0</v>
      </c>
      <c r="O2043" s="90">
        <f>IFERROR(VLOOKUP(A2043&amp;G2043,Lookup!J:K,2,0),"")</f>
        <v>0</v>
      </c>
      <c r="P2043" s="110" t="str">
        <f t="shared" si="121"/>
        <v/>
      </c>
      <c r="R2043" s="87" t="str">
        <f t="shared" si="122"/>
        <v/>
      </c>
      <c r="S2043" s="87" t="str">
        <f t="shared" si="123"/>
        <v/>
      </c>
    </row>
    <row r="2044" spans="2:19" x14ac:dyDescent="0.25">
      <c r="B2044" s="91" t="str">
        <f>IFERROR(VLOOKUP(A2044,Lookup!A:B,2,0),"")</f>
        <v/>
      </c>
      <c r="C2044" s="59" t="str">
        <f>IFERROR(VLOOKUP(A2044,Lookup!A:C,3,0),"")</f>
        <v/>
      </c>
      <c r="J2044" s="106">
        <f>VLOOKUP(A2044&amp;G2044,Lookup!J:N,5,0)</f>
        <v>0</v>
      </c>
      <c r="O2044" s="90">
        <f>IFERROR(VLOOKUP(A2044&amp;G2044,Lookup!J:K,2,0),"")</f>
        <v>0</v>
      </c>
      <c r="P2044" s="110" t="str">
        <f t="shared" si="121"/>
        <v/>
      </c>
      <c r="R2044" s="87" t="str">
        <f t="shared" si="122"/>
        <v/>
      </c>
      <c r="S2044" s="87" t="str">
        <f t="shared" si="123"/>
        <v/>
      </c>
    </row>
    <row r="2045" spans="2:19" x14ac:dyDescent="0.25">
      <c r="B2045" s="91" t="str">
        <f>IFERROR(VLOOKUP(A2045,Lookup!A:B,2,0),"")</f>
        <v/>
      </c>
      <c r="C2045" s="59" t="str">
        <f>IFERROR(VLOOKUP(A2045,Lookup!A:C,3,0),"")</f>
        <v/>
      </c>
      <c r="J2045" s="106">
        <f>VLOOKUP(A2045&amp;G2045,Lookup!J:N,5,0)</f>
        <v>0</v>
      </c>
      <c r="O2045" s="90">
        <f>IFERROR(VLOOKUP(A2045&amp;G2045,Lookup!J:K,2,0),"")</f>
        <v>0</v>
      </c>
      <c r="P2045" s="110" t="str">
        <f t="shared" si="121"/>
        <v/>
      </c>
      <c r="R2045" s="87" t="str">
        <f t="shared" si="122"/>
        <v/>
      </c>
      <c r="S2045" s="87" t="str">
        <f t="shared" si="123"/>
        <v/>
      </c>
    </row>
    <row r="2046" spans="2:19" x14ac:dyDescent="0.25">
      <c r="B2046" s="91" t="str">
        <f>IFERROR(VLOOKUP(A2046,Lookup!A:B,2,0),"")</f>
        <v/>
      </c>
      <c r="C2046" s="59" t="str">
        <f>IFERROR(VLOOKUP(A2046,Lookup!A:C,3,0),"")</f>
        <v/>
      </c>
      <c r="J2046" s="106">
        <f>VLOOKUP(A2046&amp;G2046,Lookup!J:N,5,0)</f>
        <v>0</v>
      </c>
      <c r="O2046" s="90">
        <f>IFERROR(VLOOKUP(A2046&amp;G2046,Lookup!J:K,2,0),"")</f>
        <v>0</v>
      </c>
      <c r="P2046" s="110" t="str">
        <f t="shared" si="121"/>
        <v/>
      </c>
      <c r="R2046" s="87" t="str">
        <f t="shared" si="122"/>
        <v/>
      </c>
      <c r="S2046" s="87" t="str">
        <f t="shared" si="123"/>
        <v/>
      </c>
    </row>
    <row r="2047" spans="2:19" x14ac:dyDescent="0.25">
      <c r="B2047" s="91" t="str">
        <f>IFERROR(VLOOKUP(A2047,Lookup!A:B,2,0),"")</f>
        <v/>
      </c>
      <c r="C2047" s="59" t="str">
        <f>IFERROR(VLOOKUP(A2047,Lookup!A:C,3,0),"")</f>
        <v/>
      </c>
      <c r="J2047" s="106">
        <f>VLOOKUP(A2047&amp;G2047,Lookup!J:N,5,0)</f>
        <v>0</v>
      </c>
      <c r="O2047" s="90">
        <f>IFERROR(VLOOKUP(A2047&amp;G2047,Lookup!J:K,2,0),"")</f>
        <v>0</v>
      </c>
      <c r="P2047" s="110" t="str">
        <f t="shared" si="121"/>
        <v/>
      </c>
      <c r="R2047" s="87" t="str">
        <f t="shared" si="122"/>
        <v/>
      </c>
      <c r="S2047" s="87" t="str">
        <f t="shared" si="123"/>
        <v/>
      </c>
    </row>
    <row r="2048" spans="2:19" x14ac:dyDescent="0.25">
      <c r="B2048" s="91" t="str">
        <f>IFERROR(VLOOKUP(A2048,Lookup!A:B,2,0),"")</f>
        <v/>
      </c>
      <c r="C2048" s="59" t="str">
        <f>IFERROR(VLOOKUP(A2048,Lookup!A:C,3,0),"")</f>
        <v/>
      </c>
      <c r="J2048" s="106">
        <f>VLOOKUP(A2048&amp;G2048,Lookup!J:N,5,0)</f>
        <v>0</v>
      </c>
      <c r="O2048" s="90">
        <f>IFERROR(VLOOKUP(A2048&amp;G2048,Lookup!J:K,2,0),"")</f>
        <v>0</v>
      </c>
      <c r="P2048" s="110" t="str">
        <f t="shared" si="121"/>
        <v/>
      </c>
      <c r="R2048" s="87" t="str">
        <f t="shared" si="122"/>
        <v/>
      </c>
      <c r="S2048" s="87" t="str">
        <f t="shared" si="123"/>
        <v/>
      </c>
    </row>
    <row r="2049" spans="2:19" x14ac:dyDescent="0.25">
      <c r="B2049" s="91" t="str">
        <f>IFERROR(VLOOKUP(A2049,Lookup!A:B,2,0),"")</f>
        <v/>
      </c>
      <c r="C2049" s="59" t="str">
        <f>IFERROR(VLOOKUP(A2049,Lookup!A:C,3,0),"")</f>
        <v/>
      </c>
      <c r="J2049" s="106">
        <f>VLOOKUP(A2049&amp;G2049,Lookup!J:N,5,0)</f>
        <v>0</v>
      </c>
      <c r="O2049" s="90">
        <f>IFERROR(VLOOKUP(A2049&amp;G2049,Lookup!J:K,2,0),"")</f>
        <v>0</v>
      </c>
      <c r="P2049" s="110" t="str">
        <f t="shared" si="121"/>
        <v/>
      </c>
      <c r="R2049" s="87" t="str">
        <f t="shared" si="122"/>
        <v/>
      </c>
      <c r="S2049" s="87" t="str">
        <f t="shared" si="123"/>
        <v/>
      </c>
    </row>
    <row r="2050" spans="2:19" x14ac:dyDescent="0.25">
      <c r="B2050" s="91" t="str">
        <f>IFERROR(VLOOKUP(A2050,Lookup!A:B,2,0),"")</f>
        <v/>
      </c>
      <c r="C2050" s="59" t="str">
        <f>IFERROR(VLOOKUP(A2050,Lookup!A:C,3,0),"")</f>
        <v/>
      </c>
      <c r="J2050" s="106">
        <f>VLOOKUP(A2050&amp;G2050,Lookup!J:N,5,0)</f>
        <v>0</v>
      </c>
      <c r="O2050" s="90">
        <f>IFERROR(VLOOKUP(A2050&amp;G2050,Lookup!J:K,2,0),"")</f>
        <v>0</v>
      </c>
      <c r="P2050" s="110" t="str">
        <f t="shared" ref="P2050:P2113" si="124">IF(N2050="","",N2050+O2050)</f>
        <v/>
      </c>
      <c r="R2050" s="87" t="str">
        <f t="shared" si="122"/>
        <v/>
      </c>
      <c r="S2050" s="87" t="str">
        <f t="shared" si="123"/>
        <v/>
      </c>
    </row>
    <row r="2051" spans="2:19" x14ac:dyDescent="0.25">
      <c r="B2051" s="91" t="str">
        <f>IFERROR(VLOOKUP(A2051,Lookup!A:B,2,0),"")</f>
        <v/>
      </c>
      <c r="C2051" s="59" t="str">
        <f>IFERROR(VLOOKUP(A2051,Lookup!A:C,3,0),"")</f>
        <v/>
      </c>
      <c r="J2051" s="106">
        <f>VLOOKUP(A2051&amp;G2051,Lookup!J:N,5,0)</f>
        <v>0</v>
      </c>
      <c r="O2051" s="90">
        <f>IFERROR(VLOOKUP(A2051&amp;G2051,Lookup!J:K,2,0),"")</f>
        <v>0</v>
      </c>
      <c r="P2051" s="110" t="str">
        <f t="shared" si="124"/>
        <v/>
      </c>
      <c r="R2051" s="87" t="str">
        <f t="shared" ref="R2051:R2114" si="125">IF(OR(EXACT(N2051,""), EXACT(L2051,"")),"",N2051-L2051)</f>
        <v/>
      </c>
      <c r="S2051" s="87" t="str">
        <f t="shared" si="123"/>
        <v/>
      </c>
    </row>
    <row r="2052" spans="2:19" x14ac:dyDescent="0.25">
      <c r="B2052" s="91" t="str">
        <f>IFERROR(VLOOKUP(A2052,Lookup!A:B,2,0),"")</f>
        <v/>
      </c>
      <c r="C2052" s="59" t="str">
        <f>IFERROR(VLOOKUP(A2052,Lookup!A:C,3,0),"")</f>
        <v/>
      </c>
      <c r="J2052" s="106">
        <f>VLOOKUP(A2052&amp;G2052,Lookup!J:N,5,0)</f>
        <v>0</v>
      </c>
      <c r="O2052" s="90">
        <f>IFERROR(VLOOKUP(A2052&amp;G2052,Lookup!J:K,2,0),"")</f>
        <v>0</v>
      </c>
      <c r="P2052" s="110" t="str">
        <f t="shared" si="124"/>
        <v/>
      </c>
      <c r="R2052" s="87" t="str">
        <f t="shared" si="125"/>
        <v/>
      </c>
      <c r="S2052" s="87" t="str">
        <f t="shared" ref="S2052:S2115" si="126">IF(OR(EXACT(Q2052,""), EXACT(L2052,"")),"",Q2052-L2052)</f>
        <v/>
      </c>
    </row>
    <row r="2053" spans="2:19" x14ac:dyDescent="0.25">
      <c r="B2053" s="91" t="str">
        <f>IFERROR(VLOOKUP(A2053,Lookup!A:B,2,0),"")</f>
        <v/>
      </c>
      <c r="C2053" s="59" t="str">
        <f>IFERROR(VLOOKUP(A2053,Lookup!A:C,3,0),"")</f>
        <v/>
      </c>
      <c r="J2053" s="106">
        <f>VLOOKUP(A2053&amp;G2053,Lookup!J:N,5,0)</f>
        <v>0</v>
      </c>
      <c r="O2053" s="90">
        <f>IFERROR(VLOOKUP(A2053&amp;G2053,Lookup!J:K,2,0),"")</f>
        <v>0</v>
      </c>
      <c r="P2053" s="110" t="str">
        <f t="shared" si="124"/>
        <v/>
      </c>
      <c r="R2053" s="87" t="str">
        <f t="shared" si="125"/>
        <v/>
      </c>
      <c r="S2053" s="87" t="str">
        <f t="shared" si="126"/>
        <v/>
      </c>
    </row>
    <row r="2054" spans="2:19" x14ac:dyDescent="0.25">
      <c r="B2054" s="91" t="str">
        <f>IFERROR(VLOOKUP(A2054,Lookup!A:B,2,0),"")</f>
        <v/>
      </c>
      <c r="C2054" s="59" t="str">
        <f>IFERROR(VLOOKUP(A2054,Lookup!A:C,3,0),"")</f>
        <v/>
      </c>
      <c r="J2054" s="106">
        <f>VLOOKUP(A2054&amp;G2054,Lookup!J:N,5,0)</f>
        <v>0</v>
      </c>
      <c r="O2054" s="90">
        <f>IFERROR(VLOOKUP(A2054&amp;G2054,Lookup!J:K,2,0),"")</f>
        <v>0</v>
      </c>
      <c r="P2054" s="110" t="str">
        <f t="shared" si="124"/>
        <v/>
      </c>
      <c r="R2054" s="87" t="str">
        <f t="shared" si="125"/>
        <v/>
      </c>
      <c r="S2054" s="87" t="str">
        <f t="shared" si="126"/>
        <v/>
      </c>
    </row>
    <row r="2055" spans="2:19" x14ac:dyDescent="0.25">
      <c r="B2055" s="91" t="str">
        <f>IFERROR(VLOOKUP(A2055,Lookup!A:B,2,0),"")</f>
        <v/>
      </c>
      <c r="C2055" s="59" t="str">
        <f>IFERROR(VLOOKUP(A2055,Lookup!A:C,3,0),"")</f>
        <v/>
      </c>
      <c r="J2055" s="106">
        <f>VLOOKUP(A2055&amp;G2055,Lookup!J:N,5,0)</f>
        <v>0</v>
      </c>
      <c r="O2055" s="90">
        <f>IFERROR(VLOOKUP(A2055&amp;G2055,Lookup!J:K,2,0),"")</f>
        <v>0</v>
      </c>
      <c r="P2055" s="110" t="str">
        <f t="shared" si="124"/>
        <v/>
      </c>
      <c r="R2055" s="87" t="str">
        <f t="shared" si="125"/>
        <v/>
      </c>
      <c r="S2055" s="87" t="str">
        <f t="shared" si="126"/>
        <v/>
      </c>
    </row>
    <row r="2056" spans="2:19" x14ac:dyDescent="0.25">
      <c r="B2056" s="91" t="str">
        <f>IFERROR(VLOOKUP(A2056,Lookup!A:B,2,0),"")</f>
        <v/>
      </c>
      <c r="C2056" s="59" t="str">
        <f>IFERROR(VLOOKUP(A2056,Lookup!A:C,3,0),"")</f>
        <v/>
      </c>
      <c r="J2056" s="106">
        <f>VLOOKUP(A2056&amp;G2056,Lookup!J:N,5,0)</f>
        <v>0</v>
      </c>
      <c r="O2056" s="90">
        <f>IFERROR(VLOOKUP(A2056&amp;G2056,Lookup!J:K,2,0),"")</f>
        <v>0</v>
      </c>
      <c r="P2056" s="110" t="str">
        <f t="shared" si="124"/>
        <v/>
      </c>
      <c r="R2056" s="87" t="str">
        <f t="shared" si="125"/>
        <v/>
      </c>
      <c r="S2056" s="87" t="str">
        <f t="shared" si="126"/>
        <v/>
      </c>
    </row>
    <row r="2057" spans="2:19" x14ac:dyDescent="0.25">
      <c r="B2057" s="91" t="str">
        <f>IFERROR(VLOOKUP(A2057,Lookup!A:B,2,0),"")</f>
        <v/>
      </c>
      <c r="C2057" s="59" t="str">
        <f>IFERROR(VLOOKUP(A2057,Lookup!A:C,3,0),"")</f>
        <v/>
      </c>
      <c r="J2057" s="106">
        <f>VLOOKUP(A2057&amp;G2057,Lookup!J:N,5,0)</f>
        <v>0</v>
      </c>
      <c r="O2057" s="90">
        <f>IFERROR(VLOOKUP(A2057&amp;G2057,Lookup!J:K,2,0),"")</f>
        <v>0</v>
      </c>
      <c r="P2057" s="110" t="str">
        <f t="shared" si="124"/>
        <v/>
      </c>
      <c r="R2057" s="87" t="str">
        <f t="shared" si="125"/>
        <v/>
      </c>
      <c r="S2057" s="87" t="str">
        <f t="shared" si="126"/>
        <v/>
      </c>
    </row>
    <row r="2058" spans="2:19" x14ac:dyDescent="0.25">
      <c r="B2058" s="91" t="str">
        <f>IFERROR(VLOOKUP(A2058,Lookup!A:B,2,0),"")</f>
        <v/>
      </c>
      <c r="C2058" s="59" t="str">
        <f>IFERROR(VLOOKUP(A2058,Lookup!A:C,3,0),"")</f>
        <v/>
      </c>
      <c r="J2058" s="106">
        <f>VLOOKUP(A2058&amp;G2058,Lookup!J:N,5,0)</f>
        <v>0</v>
      </c>
      <c r="O2058" s="90">
        <f>IFERROR(VLOOKUP(A2058&amp;G2058,Lookup!J:K,2,0),"")</f>
        <v>0</v>
      </c>
      <c r="P2058" s="110" t="str">
        <f t="shared" si="124"/>
        <v/>
      </c>
      <c r="R2058" s="87" t="str">
        <f t="shared" si="125"/>
        <v/>
      </c>
      <c r="S2058" s="87" t="str">
        <f t="shared" si="126"/>
        <v/>
      </c>
    </row>
    <row r="2059" spans="2:19" x14ac:dyDescent="0.25">
      <c r="B2059" s="91" t="str">
        <f>IFERROR(VLOOKUP(A2059,Lookup!A:B,2,0),"")</f>
        <v/>
      </c>
      <c r="C2059" s="59" t="str">
        <f>IFERROR(VLOOKUP(A2059,Lookup!A:C,3,0),"")</f>
        <v/>
      </c>
      <c r="J2059" s="106">
        <f>VLOOKUP(A2059&amp;G2059,Lookup!J:N,5,0)</f>
        <v>0</v>
      </c>
      <c r="O2059" s="90">
        <f>IFERROR(VLOOKUP(A2059&amp;G2059,Lookup!J:K,2,0),"")</f>
        <v>0</v>
      </c>
      <c r="P2059" s="110" t="str">
        <f t="shared" si="124"/>
        <v/>
      </c>
      <c r="R2059" s="87" t="str">
        <f t="shared" si="125"/>
        <v/>
      </c>
      <c r="S2059" s="87" t="str">
        <f t="shared" si="126"/>
        <v/>
      </c>
    </row>
    <row r="2060" spans="2:19" x14ac:dyDescent="0.25">
      <c r="B2060" s="91" t="str">
        <f>IFERROR(VLOOKUP(A2060,Lookup!A:B,2,0),"")</f>
        <v/>
      </c>
      <c r="C2060" s="59" t="str">
        <f>IFERROR(VLOOKUP(A2060,Lookup!A:C,3,0),"")</f>
        <v/>
      </c>
      <c r="J2060" s="106">
        <f>VLOOKUP(A2060&amp;G2060,Lookup!J:N,5,0)</f>
        <v>0</v>
      </c>
      <c r="O2060" s="90">
        <f>IFERROR(VLOOKUP(A2060&amp;G2060,Lookup!J:K,2,0),"")</f>
        <v>0</v>
      </c>
      <c r="P2060" s="110" t="str">
        <f t="shared" si="124"/>
        <v/>
      </c>
      <c r="R2060" s="87" t="str">
        <f t="shared" si="125"/>
        <v/>
      </c>
      <c r="S2060" s="87" t="str">
        <f t="shared" si="126"/>
        <v/>
      </c>
    </row>
    <row r="2061" spans="2:19" x14ac:dyDescent="0.25">
      <c r="B2061" s="91" t="str">
        <f>IFERROR(VLOOKUP(A2061,Lookup!A:B,2,0),"")</f>
        <v/>
      </c>
      <c r="C2061" s="59" t="str">
        <f>IFERROR(VLOOKUP(A2061,Lookup!A:C,3,0),"")</f>
        <v/>
      </c>
      <c r="J2061" s="106">
        <f>VLOOKUP(A2061&amp;G2061,Lookup!J:N,5,0)</f>
        <v>0</v>
      </c>
      <c r="O2061" s="90">
        <f>IFERROR(VLOOKUP(A2061&amp;G2061,Lookup!J:K,2,0),"")</f>
        <v>0</v>
      </c>
      <c r="P2061" s="110" t="str">
        <f t="shared" si="124"/>
        <v/>
      </c>
      <c r="R2061" s="87" t="str">
        <f t="shared" si="125"/>
        <v/>
      </c>
      <c r="S2061" s="87" t="str">
        <f t="shared" si="126"/>
        <v/>
      </c>
    </row>
    <row r="2062" spans="2:19" x14ac:dyDescent="0.25">
      <c r="B2062" s="91" t="str">
        <f>IFERROR(VLOOKUP(A2062,Lookup!A:B,2,0),"")</f>
        <v/>
      </c>
      <c r="C2062" s="59" t="str">
        <f>IFERROR(VLOOKUP(A2062,Lookup!A:C,3,0),"")</f>
        <v/>
      </c>
      <c r="J2062" s="106">
        <f>VLOOKUP(A2062&amp;G2062,Lookup!J:N,5,0)</f>
        <v>0</v>
      </c>
      <c r="O2062" s="90">
        <f>IFERROR(VLOOKUP(A2062&amp;G2062,Lookup!J:K,2,0),"")</f>
        <v>0</v>
      </c>
      <c r="P2062" s="110" t="str">
        <f t="shared" si="124"/>
        <v/>
      </c>
      <c r="R2062" s="87" t="str">
        <f t="shared" si="125"/>
        <v/>
      </c>
      <c r="S2062" s="87" t="str">
        <f t="shared" si="126"/>
        <v/>
      </c>
    </row>
    <row r="2063" spans="2:19" x14ac:dyDescent="0.25">
      <c r="B2063" s="91" t="str">
        <f>IFERROR(VLOOKUP(A2063,Lookup!A:B,2,0),"")</f>
        <v/>
      </c>
      <c r="C2063" s="59" t="str">
        <f>IFERROR(VLOOKUP(A2063,Lookup!A:C,3,0),"")</f>
        <v/>
      </c>
      <c r="J2063" s="106">
        <f>VLOOKUP(A2063&amp;G2063,Lookup!J:N,5,0)</f>
        <v>0</v>
      </c>
      <c r="O2063" s="90">
        <f>IFERROR(VLOOKUP(A2063&amp;G2063,Lookup!J:K,2,0),"")</f>
        <v>0</v>
      </c>
      <c r="P2063" s="110" t="str">
        <f t="shared" si="124"/>
        <v/>
      </c>
      <c r="R2063" s="87" t="str">
        <f t="shared" si="125"/>
        <v/>
      </c>
      <c r="S2063" s="87" t="str">
        <f t="shared" si="126"/>
        <v/>
      </c>
    </row>
    <row r="2064" spans="2:19" x14ac:dyDescent="0.25">
      <c r="B2064" s="91" t="str">
        <f>IFERROR(VLOOKUP(A2064,Lookup!A:B,2,0),"")</f>
        <v/>
      </c>
      <c r="C2064" s="59" t="str">
        <f>IFERROR(VLOOKUP(A2064,Lookup!A:C,3,0),"")</f>
        <v/>
      </c>
      <c r="J2064" s="106">
        <f>VLOOKUP(A2064&amp;G2064,Lookup!J:N,5,0)</f>
        <v>0</v>
      </c>
      <c r="O2064" s="90">
        <f>IFERROR(VLOOKUP(A2064&amp;G2064,Lookup!J:K,2,0),"")</f>
        <v>0</v>
      </c>
      <c r="P2064" s="110" t="str">
        <f t="shared" si="124"/>
        <v/>
      </c>
      <c r="R2064" s="87" t="str">
        <f t="shared" si="125"/>
        <v/>
      </c>
      <c r="S2064" s="87" t="str">
        <f t="shared" si="126"/>
        <v/>
      </c>
    </row>
    <row r="2065" spans="2:19" x14ac:dyDescent="0.25">
      <c r="B2065" s="91" t="str">
        <f>IFERROR(VLOOKUP(A2065,Lookup!A:B,2,0),"")</f>
        <v/>
      </c>
      <c r="C2065" s="59" t="str">
        <f>IFERROR(VLOOKUP(A2065,Lookup!A:C,3,0),"")</f>
        <v/>
      </c>
      <c r="J2065" s="106">
        <f>VLOOKUP(A2065&amp;G2065,Lookup!J:N,5,0)</f>
        <v>0</v>
      </c>
      <c r="O2065" s="90">
        <f>IFERROR(VLOOKUP(A2065&amp;G2065,Lookup!J:K,2,0),"")</f>
        <v>0</v>
      </c>
      <c r="P2065" s="110" t="str">
        <f t="shared" si="124"/>
        <v/>
      </c>
      <c r="R2065" s="87" t="str">
        <f t="shared" si="125"/>
        <v/>
      </c>
      <c r="S2065" s="87" t="str">
        <f t="shared" si="126"/>
        <v/>
      </c>
    </row>
    <row r="2066" spans="2:19" x14ac:dyDescent="0.25">
      <c r="B2066" s="91" t="str">
        <f>IFERROR(VLOOKUP(A2066,Lookup!A:B,2,0),"")</f>
        <v/>
      </c>
      <c r="C2066" s="59" t="str">
        <f>IFERROR(VLOOKUP(A2066,Lookup!A:C,3,0),"")</f>
        <v/>
      </c>
      <c r="J2066" s="106">
        <f>VLOOKUP(A2066&amp;G2066,Lookup!J:N,5,0)</f>
        <v>0</v>
      </c>
      <c r="O2066" s="90">
        <f>IFERROR(VLOOKUP(A2066&amp;G2066,Lookup!J:K,2,0),"")</f>
        <v>0</v>
      </c>
      <c r="P2066" s="110" t="str">
        <f t="shared" si="124"/>
        <v/>
      </c>
      <c r="R2066" s="87" t="str">
        <f t="shared" si="125"/>
        <v/>
      </c>
      <c r="S2066" s="87" t="str">
        <f t="shared" si="126"/>
        <v/>
      </c>
    </row>
    <row r="2067" spans="2:19" x14ac:dyDescent="0.25">
      <c r="B2067" s="91" t="str">
        <f>IFERROR(VLOOKUP(A2067,Lookup!A:B,2,0),"")</f>
        <v/>
      </c>
      <c r="C2067" s="59" t="str">
        <f>IFERROR(VLOOKUP(A2067,Lookup!A:C,3,0),"")</f>
        <v/>
      </c>
      <c r="J2067" s="106">
        <f>VLOOKUP(A2067&amp;G2067,Lookup!J:N,5,0)</f>
        <v>0</v>
      </c>
      <c r="O2067" s="90">
        <f>IFERROR(VLOOKUP(A2067&amp;G2067,Lookup!J:K,2,0),"")</f>
        <v>0</v>
      </c>
      <c r="P2067" s="110" t="str">
        <f t="shared" si="124"/>
        <v/>
      </c>
      <c r="R2067" s="87" t="str">
        <f t="shared" si="125"/>
        <v/>
      </c>
      <c r="S2067" s="87" t="str">
        <f t="shared" si="126"/>
        <v/>
      </c>
    </row>
    <row r="2068" spans="2:19" x14ac:dyDescent="0.25">
      <c r="B2068" s="91" t="str">
        <f>IFERROR(VLOOKUP(A2068,Lookup!A:B,2,0),"")</f>
        <v/>
      </c>
      <c r="C2068" s="59" t="str">
        <f>IFERROR(VLOOKUP(A2068,Lookup!A:C,3,0),"")</f>
        <v/>
      </c>
      <c r="J2068" s="106">
        <f>VLOOKUP(A2068&amp;G2068,Lookup!J:N,5,0)</f>
        <v>0</v>
      </c>
      <c r="O2068" s="90">
        <f>IFERROR(VLOOKUP(A2068&amp;G2068,Lookup!J:K,2,0),"")</f>
        <v>0</v>
      </c>
      <c r="P2068" s="110" t="str">
        <f t="shared" si="124"/>
        <v/>
      </c>
      <c r="R2068" s="87" t="str">
        <f t="shared" si="125"/>
        <v/>
      </c>
      <c r="S2068" s="87" t="str">
        <f t="shared" si="126"/>
        <v/>
      </c>
    </row>
    <row r="2069" spans="2:19" x14ac:dyDescent="0.25">
      <c r="B2069" s="91" t="str">
        <f>IFERROR(VLOOKUP(A2069,Lookup!A:B,2,0),"")</f>
        <v/>
      </c>
      <c r="C2069" s="59" t="str">
        <f>IFERROR(VLOOKUP(A2069,Lookup!A:C,3,0),"")</f>
        <v/>
      </c>
      <c r="J2069" s="106">
        <f>VLOOKUP(A2069&amp;G2069,Lookup!J:N,5,0)</f>
        <v>0</v>
      </c>
      <c r="O2069" s="90">
        <f>IFERROR(VLOOKUP(A2069&amp;G2069,Lookup!J:K,2,0),"")</f>
        <v>0</v>
      </c>
      <c r="P2069" s="110" t="str">
        <f t="shared" si="124"/>
        <v/>
      </c>
      <c r="R2069" s="87" t="str">
        <f t="shared" si="125"/>
        <v/>
      </c>
      <c r="S2069" s="87" t="str">
        <f t="shared" si="126"/>
        <v/>
      </c>
    </row>
    <row r="2070" spans="2:19" x14ac:dyDescent="0.25">
      <c r="B2070" s="91" t="str">
        <f>IFERROR(VLOOKUP(A2070,Lookup!A:B,2,0),"")</f>
        <v/>
      </c>
      <c r="C2070" s="59" t="str">
        <f>IFERROR(VLOOKUP(A2070,Lookup!A:C,3,0),"")</f>
        <v/>
      </c>
      <c r="J2070" s="106">
        <f>VLOOKUP(A2070&amp;G2070,Lookup!J:N,5,0)</f>
        <v>0</v>
      </c>
      <c r="O2070" s="90">
        <f>IFERROR(VLOOKUP(A2070&amp;G2070,Lookup!J:K,2,0),"")</f>
        <v>0</v>
      </c>
      <c r="P2070" s="110" t="str">
        <f t="shared" si="124"/>
        <v/>
      </c>
      <c r="R2070" s="87" t="str">
        <f t="shared" si="125"/>
        <v/>
      </c>
      <c r="S2070" s="87" t="str">
        <f t="shared" si="126"/>
        <v/>
      </c>
    </row>
    <row r="2071" spans="2:19" x14ac:dyDescent="0.25">
      <c r="B2071" s="91" t="str">
        <f>IFERROR(VLOOKUP(A2071,Lookup!A:B,2,0),"")</f>
        <v/>
      </c>
      <c r="C2071" s="59" t="str">
        <f>IFERROR(VLOOKUP(A2071,Lookup!A:C,3,0),"")</f>
        <v/>
      </c>
      <c r="J2071" s="106">
        <f>VLOOKUP(A2071&amp;G2071,Lookup!J:N,5,0)</f>
        <v>0</v>
      </c>
      <c r="O2071" s="90">
        <f>IFERROR(VLOOKUP(A2071&amp;G2071,Lookup!J:K,2,0),"")</f>
        <v>0</v>
      </c>
      <c r="P2071" s="110" t="str">
        <f t="shared" si="124"/>
        <v/>
      </c>
      <c r="R2071" s="87" t="str">
        <f t="shared" si="125"/>
        <v/>
      </c>
      <c r="S2071" s="87" t="str">
        <f t="shared" si="126"/>
        <v/>
      </c>
    </row>
    <row r="2072" spans="2:19" x14ac:dyDescent="0.25">
      <c r="B2072" s="91" t="str">
        <f>IFERROR(VLOOKUP(A2072,Lookup!A:B,2,0),"")</f>
        <v/>
      </c>
      <c r="C2072" s="59" t="str">
        <f>IFERROR(VLOOKUP(A2072,Lookup!A:C,3,0),"")</f>
        <v/>
      </c>
      <c r="J2072" s="106">
        <f>VLOOKUP(A2072&amp;G2072,Lookup!J:N,5,0)</f>
        <v>0</v>
      </c>
      <c r="O2072" s="90">
        <f>IFERROR(VLOOKUP(A2072&amp;G2072,Lookup!J:K,2,0),"")</f>
        <v>0</v>
      </c>
      <c r="P2072" s="110" t="str">
        <f t="shared" si="124"/>
        <v/>
      </c>
      <c r="R2072" s="87" t="str">
        <f t="shared" si="125"/>
        <v/>
      </c>
      <c r="S2072" s="87" t="str">
        <f t="shared" si="126"/>
        <v/>
      </c>
    </row>
    <row r="2073" spans="2:19" x14ac:dyDescent="0.25">
      <c r="B2073" s="91" t="str">
        <f>IFERROR(VLOOKUP(A2073,Lookup!A:B,2,0),"")</f>
        <v/>
      </c>
      <c r="C2073" s="59" t="str">
        <f>IFERROR(VLOOKUP(A2073,Lookup!A:C,3,0),"")</f>
        <v/>
      </c>
      <c r="J2073" s="106">
        <f>VLOOKUP(A2073&amp;G2073,Lookup!J:N,5,0)</f>
        <v>0</v>
      </c>
      <c r="O2073" s="90">
        <f>IFERROR(VLOOKUP(A2073&amp;G2073,Lookup!J:K,2,0),"")</f>
        <v>0</v>
      </c>
      <c r="P2073" s="110" t="str">
        <f t="shared" si="124"/>
        <v/>
      </c>
      <c r="R2073" s="87" t="str">
        <f t="shared" si="125"/>
        <v/>
      </c>
      <c r="S2073" s="87" t="str">
        <f t="shared" si="126"/>
        <v/>
      </c>
    </row>
    <row r="2074" spans="2:19" x14ac:dyDescent="0.25">
      <c r="B2074" s="91" t="str">
        <f>IFERROR(VLOOKUP(A2074,Lookup!A:B,2,0),"")</f>
        <v/>
      </c>
      <c r="C2074" s="59" t="str">
        <f>IFERROR(VLOOKUP(A2074,Lookup!A:C,3,0),"")</f>
        <v/>
      </c>
      <c r="J2074" s="106">
        <f>VLOOKUP(A2074&amp;G2074,Lookup!J:N,5,0)</f>
        <v>0</v>
      </c>
      <c r="O2074" s="90">
        <f>IFERROR(VLOOKUP(A2074&amp;G2074,Lookup!J:K,2,0),"")</f>
        <v>0</v>
      </c>
      <c r="P2074" s="110" t="str">
        <f t="shared" si="124"/>
        <v/>
      </c>
      <c r="R2074" s="87" t="str">
        <f t="shared" si="125"/>
        <v/>
      </c>
      <c r="S2074" s="87" t="str">
        <f t="shared" si="126"/>
        <v/>
      </c>
    </row>
    <row r="2075" spans="2:19" x14ac:dyDescent="0.25">
      <c r="B2075" s="91" t="str">
        <f>IFERROR(VLOOKUP(A2075,Lookup!A:B,2,0),"")</f>
        <v/>
      </c>
      <c r="C2075" s="59" t="str">
        <f>IFERROR(VLOOKUP(A2075,Lookup!A:C,3,0),"")</f>
        <v/>
      </c>
      <c r="J2075" s="106">
        <f>VLOOKUP(A2075&amp;G2075,Lookup!J:N,5,0)</f>
        <v>0</v>
      </c>
      <c r="O2075" s="90">
        <f>IFERROR(VLOOKUP(A2075&amp;G2075,Lookup!J:K,2,0),"")</f>
        <v>0</v>
      </c>
      <c r="P2075" s="110" t="str">
        <f t="shared" si="124"/>
        <v/>
      </c>
      <c r="R2075" s="87" t="str">
        <f t="shared" si="125"/>
        <v/>
      </c>
      <c r="S2075" s="87" t="str">
        <f t="shared" si="126"/>
        <v/>
      </c>
    </row>
    <row r="2076" spans="2:19" x14ac:dyDescent="0.25">
      <c r="B2076" s="91" t="str">
        <f>IFERROR(VLOOKUP(A2076,Lookup!A:B,2,0),"")</f>
        <v/>
      </c>
      <c r="C2076" s="59" t="str">
        <f>IFERROR(VLOOKUP(A2076,Lookup!A:C,3,0),"")</f>
        <v/>
      </c>
      <c r="J2076" s="106">
        <f>VLOOKUP(A2076&amp;G2076,Lookup!J:N,5,0)</f>
        <v>0</v>
      </c>
      <c r="O2076" s="90">
        <f>IFERROR(VLOOKUP(A2076&amp;G2076,Lookup!J:K,2,0),"")</f>
        <v>0</v>
      </c>
      <c r="P2076" s="110" t="str">
        <f t="shared" si="124"/>
        <v/>
      </c>
      <c r="R2076" s="87" t="str">
        <f t="shared" si="125"/>
        <v/>
      </c>
      <c r="S2076" s="87" t="str">
        <f t="shared" si="126"/>
        <v/>
      </c>
    </row>
    <row r="2077" spans="2:19" x14ac:dyDescent="0.25">
      <c r="B2077" s="91" t="str">
        <f>IFERROR(VLOOKUP(A2077,Lookup!A:B,2,0),"")</f>
        <v/>
      </c>
      <c r="C2077" s="59" t="str">
        <f>IFERROR(VLOOKUP(A2077,Lookup!A:C,3,0),"")</f>
        <v/>
      </c>
      <c r="J2077" s="106">
        <f>VLOOKUP(A2077&amp;G2077,Lookup!J:N,5,0)</f>
        <v>0</v>
      </c>
      <c r="O2077" s="90">
        <f>IFERROR(VLOOKUP(A2077&amp;G2077,Lookup!J:K,2,0),"")</f>
        <v>0</v>
      </c>
      <c r="P2077" s="110" t="str">
        <f t="shared" si="124"/>
        <v/>
      </c>
      <c r="R2077" s="87" t="str">
        <f t="shared" si="125"/>
        <v/>
      </c>
      <c r="S2077" s="87" t="str">
        <f t="shared" si="126"/>
        <v/>
      </c>
    </row>
    <row r="2078" spans="2:19" x14ac:dyDescent="0.25">
      <c r="B2078" s="91" t="str">
        <f>IFERROR(VLOOKUP(A2078,Lookup!A:B,2,0),"")</f>
        <v/>
      </c>
      <c r="C2078" s="59" t="str">
        <f>IFERROR(VLOOKUP(A2078,Lookup!A:C,3,0),"")</f>
        <v/>
      </c>
      <c r="J2078" s="106">
        <f>VLOOKUP(A2078&amp;G2078,Lookup!J:N,5,0)</f>
        <v>0</v>
      </c>
      <c r="O2078" s="90">
        <f>IFERROR(VLOOKUP(A2078&amp;G2078,Lookup!J:K,2,0),"")</f>
        <v>0</v>
      </c>
      <c r="P2078" s="110" t="str">
        <f t="shared" si="124"/>
        <v/>
      </c>
      <c r="R2078" s="87" t="str">
        <f t="shared" si="125"/>
        <v/>
      </c>
      <c r="S2078" s="87" t="str">
        <f t="shared" si="126"/>
        <v/>
      </c>
    </row>
    <row r="2079" spans="2:19" x14ac:dyDescent="0.25">
      <c r="B2079" s="91" t="str">
        <f>IFERROR(VLOOKUP(A2079,Lookup!A:B,2,0),"")</f>
        <v/>
      </c>
      <c r="C2079" s="59" t="str">
        <f>IFERROR(VLOOKUP(A2079,Lookup!A:C,3,0),"")</f>
        <v/>
      </c>
      <c r="J2079" s="106">
        <f>VLOOKUP(A2079&amp;G2079,Lookup!J:N,5,0)</f>
        <v>0</v>
      </c>
      <c r="O2079" s="90">
        <f>IFERROR(VLOOKUP(A2079&amp;G2079,Lookup!J:K,2,0),"")</f>
        <v>0</v>
      </c>
      <c r="P2079" s="110" t="str">
        <f t="shared" si="124"/>
        <v/>
      </c>
      <c r="R2079" s="87" t="str">
        <f t="shared" si="125"/>
        <v/>
      </c>
      <c r="S2079" s="87" t="str">
        <f t="shared" si="126"/>
        <v/>
      </c>
    </row>
    <row r="2080" spans="2:19" x14ac:dyDescent="0.25">
      <c r="B2080" s="91" t="str">
        <f>IFERROR(VLOOKUP(A2080,Lookup!A:B,2,0),"")</f>
        <v/>
      </c>
      <c r="C2080" s="59" t="str">
        <f>IFERROR(VLOOKUP(A2080,Lookup!A:C,3,0),"")</f>
        <v/>
      </c>
      <c r="J2080" s="106">
        <f>VLOOKUP(A2080&amp;G2080,Lookup!J:N,5,0)</f>
        <v>0</v>
      </c>
      <c r="O2080" s="90">
        <f>IFERROR(VLOOKUP(A2080&amp;G2080,Lookup!J:K,2,0),"")</f>
        <v>0</v>
      </c>
      <c r="P2080" s="110" t="str">
        <f t="shared" si="124"/>
        <v/>
      </c>
      <c r="R2080" s="87" t="str">
        <f t="shared" si="125"/>
        <v/>
      </c>
      <c r="S2080" s="87" t="str">
        <f t="shared" si="126"/>
        <v/>
      </c>
    </row>
    <row r="2081" spans="2:19" x14ac:dyDescent="0.25">
      <c r="B2081" s="91" t="str">
        <f>IFERROR(VLOOKUP(A2081,Lookup!A:B,2,0),"")</f>
        <v/>
      </c>
      <c r="C2081" s="59" t="str">
        <f>IFERROR(VLOOKUP(A2081,Lookup!A:C,3,0),"")</f>
        <v/>
      </c>
      <c r="J2081" s="106">
        <f>VLOOKUP(A2081&amp;G2081,Lookup!J:N,5,0)</f>
        <v>0</v>
      </c>
      <c r="O2081" s="90">
        <f>IFERROR(VLOOKUP(A2081&amp;G2081,Lookup!J:K,2,0),"")</f>
        <v>0</v>
      </c>
      <c r="P2081" s="110" t="str">
        <f t="shared" si="124"/>
        <v/>
      </c>
      <c r="R2081" s="87" t="str">
        <f t="shared" si="125"/>
        <v/>
      </c>
      <c r="S2081" s="87" t="str">
        <f t="shared" si="126"/>
        <v/>
      </c>
    </row>
    <row r="2082" spans="2:19" x14ac:dyDescent="0.25">
      <c r="B2082" s="91" t="str">
        <f>IFERROR(VLOOKUP(A2082,Lookup!A:B,2,0),"")</f>
        <v/>
      </c>
      <c r="C2082" s="59" t="str">
        <f>IFERROR(VLOOKUP(A2082,Lookup!A:C,3,0),"")</f>
        <v/>
      </c>
      <c r="J2082" s="106">
        <f>VLOOKUP(A2082&amp;G2082,Lookup!J:N,5,0)</f>
        <v>0</v>
      </c>
      <c r="O2082" s="90">
        <f>IFERROR(VLOOKUP(A2082&amp;G2082,Lookup!J:K,2,0),"")</f>
        <v>0</v>
      </c>
      <c r="P2082" s="110" t="str">
        <f t="shared" si="124"/>
        <v/>
      </c>
      <c r="R2082" s="87" t="str">
        <f t="shared" si="125"/>
        <v/>
      </c>
      <c r="S2082" s="87" t="str">
        <f t="shared" si="126"/>
        <v/>
      </c>
    </row>
    <row r="2083" spans="2:19" x14ac:dyDescent="0.25">
      <c r="B2083" s="91" t="str">
        <f>IFERROR(VLOOKUP(A2083,Lookup!A:B,2,0),"")</f>
        <v/>
      </c>
      <c r="C2083" s="59" t="str">
        <f>IFERROR(VLOOKUP(A2083,Lookup!A:C,3,0),"")</f>
        <v/>
      </c>
      <c r="J2083" s="106">
        <f>VLOOKUP(A2083&amp;G2083,Lookup!J:N,5,0)</f>
        <v>0</v>
      </c>
      <c r="O2083" s="90">
        <f>IFERROR(VLOOKUP(A2083&amp;G2083,Lookup!J:K,2,0),"")</f>
        <v>0</v>
      </c>
      <c r="P2083" s="110" t="str">
        <f t="shared" si="124"/>
        <v/>
      </c>
      <c r="R2083" s="87" t="str">
        <f t="shared" si="125"/>
        <v/>
      </c>
      <c r="S2083" s="87" t="str">
        <f t="shared" si="126"/>
        <v/>
      </c>
    </row>
    <row r="2084" spans="2:19" x14ac:dyDescent="0.25">
      <c r="B2084" s="91" t="str">
        <f>IFERROR(VLOOKUP(A2084,Lookup!A:B,2,0),"")</f>
        <v/>
      </c>
      <c r="C2084" s="59" t="str">
        <f>IFERROR(VLOOKUP(A2084,Lookup!A:C,3,0),"")</f>
        <v/>
      </c>
      <c r="J2084" s="106">
        <f>VLOOKUP(A2084&amp;G2084,Lookup!J:N,5,0)</f>
        <v>0</v>
      </c>
      <c r="O2084" s="90">
        <f>IFERROR(VLOOKUP(A2084&amp;G2084,Lookup!J:K,2,0),"")</f>
        <v>0</v>
      </c>
      <c r="P2084" s="110" t="str">
        <f t="shared" si="124"/>
        <v/>
      </c>
      <c r="R2084" s="87" t="str">
        <f t="shared" si="125"/>
        <v/>
      </c>
      <c r="S2084" s="87" t="str">
        <f t="shared" si="126"/>
        <v/>
      </c>
    </row>
    <row r="2085" spans="2:19" x14ac:dyDescent="0.25">
      <c r="B2085" s="91" t="str">
        <f>IFERROR(VLOOKUP(A2085,Lookup!A:B,2,0),"")</f>
        <v/>
      </c>
      <c r="C2085" s="59" t="str">
        <f>IFERROR(VLOOKUP(A2085,Lookup!A:C,3,0),"")</f>
        <v/>
      </c>
      <c r="J2085" s="106">
        <f>VLOOKUP(A2085&amp;G2085,Lookup!J:N,5,0)</f>
        <v>0</v>
      </c>
      <c r="O2085" s="90">
        <f>IFERROR(VLOOKUP(A2085&amp;G2085,Lookup!J:K,2,0),"")</f>
        <v>0</v>
      </c>
      <c r="P2085" s="110" t="str">
        <f t="shared" si="124"/>
        <v/>
      </c>
      <c r="R2085" s="87" t="str">
        <f t="shared" si="125"/>
        <v/>
      </c>
      <c r="S2085" s="87" t="str">
        <f t="shared" si="126"/>
        <v/>
      </c>
    </row>
    <row r="2086" spans="2:19" x14ac:dyDescent="0.25">
      <c r="B2086" s="91" t="str">
        <f>IFERROR(VLOOKUP(A2086,Lookup!A:B,2,0),"")</f>
        <v/>
      </c>
      <c r="C2086" s="59" t="str">
        <f>IFERROR(VLOOKUP(A2086,Lookup!A:C,3,0),"")</f>
        <v/>
      </c>
      <c r="J2086" s="106">
        <f>VLOOKUP(A2086&amp;G2086,Lookup!J:N,5,0)</f>
        <v>0</v>
      </c>
      <c r="O2086" s="90">
        <f>IFERROR(VLOOKUP(A2086&amp;G2086,Lookup!J:K,2,0),"")</f>
        <v>0</v>
      </c>
      <c r="P2086" s="110" t="str">
        <f t="shared" si="124"/>
        <v/>
      </c>
      <c r="R2086" s="87" t="str">
        <f t="shared" si="125"/>
        <v/>
      </c>
      <c r="S2086" s="87" t="str">
        <f t="shared" si="126"/>
        <v/>
      </c>
    </row>
    <row r="2087" spans="2:19" x14ac:dyDescent="0.25">
      <c r="B2087" s="91" t="str">
        <f>IFERROR(VLOOKUP(A2087,Lookup!A:B,2,0),"")</f>
        <v/>
      </c>
      <c r="C2087" s="59" t="str">
        <f>IFERROR(VLOOKUP(A2087,Lookup!A:C,3,0),"")</f>
        <v/>
      </c>
      <c r="J2087" s="106">
        <f>VLOOKUP(A2087&amp;G2087,Lookup!J:N,5,0)</f>
        <v>0</v>
      </c>
      <c r="O2087" s="90">
        <f>IFERROR(VLOOKUP(A2087&amp;G2087,Lookup!J:K,2,0),"")</f>
        <v>0</v>
      </c>
      <c r="P2087" s="110" t="str">
        <f t="shared" si="124"/>
        <v/>
      </c>
      <c r="R2087" s="87" t="str">
        <f t="shared" si="125"/>
        <v/>
      </c>
      <c r="S2087" s="87" t="str">
        <f t="shared" si="126"/>
        <v/>
      </c>
    </row>
    <row r="2088" spans="2:19" x14ac:dyDescent="0.25">
      <c r="B2088" s="91" t="str">
        <f>IFERROR(VLOOKUP(A2088,Lookup!A:B,2,0),"")</f>
        <v/>
      </c>
      <c r="C2088" s="59" t="str">
        <f>IFERROR(VLOOKUP(A2088,Lookup!A:C,3,0),"")</f>
        <v/>
      </c>
      <c r="J2088" s="106">
        <f>VLOOKUP(A2088&amp;G2088,Lookup!J:N,5,0)</f>
        <v>0</v>
      </c>
      <c r="O2088" s="90">
        <f>IFERROR(VLOOKUP(A2088&amp;G2088,Lookup!J:K,2,0),"")</f>
        <v>0</v>
      </c>
      <c r="P2088" s="110" t="str">
        <f t="shared" si="124"/>
        <v/>
      </c>
      <c r="R2088" s="87" t="str">
        <f t="shared" si="125"/>
        <v/>
      </c>
      <c r="S2088" s="87" t="str">
        <f t="shared" si="126"/>
        <v/>
      </c>
    </row>
    <row r="2089" spans="2:19" x14ac:dyDescent="0.25">
      <c r="B2089" s="91" t="str">
        <f>IFERROR(VLOOKUP(A2089,Lookup!A:B,2,0),"")</f>
        <v/>
      </c>
      <c r="C2089" s="59" t="str">
        <f>IFERROR(VLOOKUP(A2089,Lookup!A:C,3,0),"")</f>
        <v/>
      </c>
      <c r="J2089" s="106">
        <f>VLOOKUP(A2089&amp;G2089,Lookup!J:N,5,0)</f>
        <v>0</v>
      </c>
      <c r="O2089" s="90">
        <f>IFERROR(VLOOKUP(A2089&amp;G2089,Lookup!J:K,2,0),"")</f>
        <v>0</v>
      </c>
      <c r="P2089" s="110" t="str">
        <f t="shared" si="124"/>
        <v/>
      </c>
      <c r="R2089" s="87" t="str">
        <f t="shared" si="125"/>
        <v/>
      </c>
      <c r="S2089" s="87" t="str">
        <f t="shared" si="126"/>
        <v/>
      </c>
    </row>
    <row r="2090" spans="2:19" x14ac:dyDescent="0.25">
      <c r="B2090" s="91" t="str">
        <f>IFERROR(VLOOKUP(A2090,Lookup!A:B,2,0),"")</f>
        <v/>
      </c>
      <c r="C2090" s="59" t="str">
        <f>IFERROR(VLOOKUP(A2090,Lookup!A:C,3,0),"")</f>
        <v/>
      </c>
      <c r="J2090" s="106">
        <f>VLOOKUP(A2090&amp;G2090,Lookup!J:N,5,0)</f>
        <v>0</v>
      </c>
      <c r="O2090" s="90">
        <f>IFERROR(VLOOKUP(A2090&amp;G2090,Lookup!J:K,2,0),"")</f>
        <v>0</v>
      </c>
      <c r="P2090" s="110" t="str">
        <f t="shared" si="124"/>
        <v/>
      </c>
      <c r="R2090" s="87" t="str">
        <f t="shared" si="125"/>
        <v/>
      </c>
      <c r="S2090" s="87" t="str">
        <f t="shared" si="126"/>
        <v/>
      </c>
    </row>
    <row r="2091" spans="2:19" x14ac:dyDescent="0.25">
      <c r="B2091" s="91" t="str">
        <f>IFERROR(VLOOKUP(A2091,Lookup!A:B,2,0),"")</f>
        <v/>
      </c>
      <c r="C2091" s="59" t="str">
        <f>IFERROR(VLOOKUP(A2091,Lookup!A:C,3,0),"")</f>
        <v/>
      </c>
      <c r="J2091" s="106">
        <f>VLOOKUP(A2091&amp;G2091,Lookup!J:N,5,0)</f>
        <v>0</v>
      </c>
      <c r="O2091" s="90">
        <f>IFERROR(VLOOKUP(A2091&amp;G2091,Lookup!J:K,2,0),"")</f>
        <v>0</v>
      </c>
      <c r="P2091" s="110" t="str">
        <f t="shared" si="124"/>
        <v/>
      </c>
      <c r="R2091" s="87" t="str">
        <f t="shared" si="125"/>
        <v/>
      </c>
      <c r="S2091" s="87" t="str">
        <f t="shared" si="126"/>
        <v/>
      </c>
    </row>
    <row r="2092" spans="2:19" x14ac:dyDescent="0.25">
      <c r="B2092" s="91" t="str">
        <f>IFERROR(VLOOKUP(A2092,Lookup!A:B,2,0),"")</f>
        <v/>
      </c>
      <c r="C2092" s="59" t="str">
        <f>IFERROR(VLOOKUP(A2092,Lookup!A:C,3,0),"")</f>
        <v/>
      </c>
      <c r="J2092" s="106">
        <f>VLOOKUP(A2092&amp;G2092,Lookup!J:N,5,0)</f>
        <v>0</v>
      </c>
      <c r="O2092" s="90">
        <f>IFERROR(VLOOKUP(A2092&amp;G2092,Lookup!J:K,2,0),"")</f>
        <v>0</v>
      </c>
      <c r="P2092" s="110" t="str">
        <f t="shared" si="124"/>
        <v/>
      </c>
      <c r="R2092" s="87" t="str">
        <f t="shared" si="125"/>
        <v/>
      </c>
      <c r="S2092" s="87" t="str">
        <f t="shared" si="126"/>
        <v/>
      </c>
    </row>
    <row r="2093" spans="2:19" x14ac:dyDescent="0.25">
      <c r="B2093" s="91" t="str">
        <f>IFERROR(VLOOKUP(A2093,Lookup!A:B,2,0),"")</f>
        <v/>
      </c>
      <c r="C2093" s="59" t="str">
        <f>IFERROR(VLOOKUP(A2093,Lookup!A:C,3,0),"")</f>
        <v/>
      </c>
      <c r="J2093" s="106">
        <f>VLOOKUP(A2093&amp;G2093,Lookup!J:N,5,0)</f>
        <v>0</v>
      </c>
      <c r="O2093" s="90">
        <f>IFERROR(VLOOKUP(A2093&amp;G2093,Lookup!J:K,2,0),"")</f>
        <v>0</v>
      </c>
      <c r="P2093" s="110" t="str">
        <f t="shared" si="124"/>
        <v/>
      </c>
      <c r="R2093" s="87" t="str">
        <f t="shared" si="125"/>
        <v/>
      </c>
      <c r="S2093" s="87" t="str">
        <f t="shared" si="126"/>
        <v/>
      </c>
    </row>
    <row r="2094" spans="2:19" x14ac:dyDescent="0.25">
      <c r="B2094" s="91" t="str">
        <f>IFERROR(VLOOKUP(A2094,Lookup!A:B,2,0),"")</f>
        <v/>
      </c>
      <c r="C2094" s="59" t="str">
        <f>IFERROR(VLOOKUP(A2094,Lookup!A:C,3,0),"")</f>
        <v/>
      </c>
      <c r="J2094" s="106">
        <f>VLOOKUP(A2094&amp;G2094,Lookup!J:N,5,0)</f>
        <v>0</v>
      </c>
      <c r="O2094" s="90">
        <f>IFERROR(VLOOKUP(A2094&amp;G2094,Lookup!J:K,2,0),"")</f>
        <v>0</v>
      </c>
      <c r="P2094" s="110" t="str">
        <f t="shared" si="124"/>
        <v/>
      </c>
      <c r="R2094" s="87" t="str">
        <f t="shared" si="125"/>
        <v/>
      </c>
      <c r="S2094" s="87" t="str">
        <f t="shared" si="126"/>
        <v/>
      </c>
    </row>
    <row r="2095" spans="2:19" x14ac:dyDescent="0.25">
      <c r="B2095" s="91" t="str">
        <f>IFERROR(VLOOKUP(A2095,Lookup!A:B,2,0),"")</f>
        <v/>
      </c>
      <c r="C2095" s="59" t="str">
        <f>IFERROR(VLOOKUP(A2095,Lookup!A:C,3,0),"")</f>
        <v/>
      </c>
      <c r="J2095" s="106">
        <f>VLOOKUP(A2095&amp;G2095,Lookup!J:N,5,0)</f>
        <v>0</v>
      </c>
      <c r="O2095" s="90">
        <f>IFERROR(VLOOKUP(A2095&amp;G2095,Lookup!J:K,2,0),"")</f>
        <v>0</v>
      </c>
      <c r="P2095" s="110" t="str">
        <f t="shared" si="124"/>
        <v/>
      </c>
      <c r="R2095" s="87" t="str">
        <f t="shared" si="125"/>
        <v/>
      </c>
      <c r="S2095" s="87" t="str">
        <f t="shared" si="126"/>
        <v/>
      </c>
    </row>
    <row r="2096" spans="2:19" x14ac:dyDescent="0.25">
      <c r="B2096" s="91" t="str">
        <f>IFERROR(VLOOKUP(A2096,Lookup!A:B,2,0),"")</f>
        <v/>
      </c>
      <c r="C2096" s="59" t="str">
        <f>IFERROR(VLOOKUP(A2096,Lookup!A:C,3,0),"")</f>
        <v/>
      </c>
      <c r="J2096" s="106">
        <f>VLOOKUP(A2096&amp;G2096,Lookup!J:N,5,0)</f>
        <v>0</v>
      </c>
      <c r="O2096" s="90">
        <f>IFERROR(VLOOKUP(A2096&amp;G2096,Lookup!J:K,2,0),"")</f>
        <v>0</v>
      </c>
      <c r="P2096" s="110" t="str">
        <f t="shared" si="124"/>
        <v/>
      </c>
      <c r="R2096" s="87" t="str">
        <f t="shared" si="125"/>
        <v/>
      </c>
      <c r="S2096" s="87" t="str">
        <f t="shared" si="126"/>
        <v/>
      </c>
    </row>
    <row r="2097" spans="2:19" x14ac:dyDescent="0.25">
      <c r="B2097" s="91" t="str">
        <f>IFERROR(VLOOKUP(A2097,Lookup!A:B,2,0),"")</f>
        <v/>
      </c>
      <c r="C2097" s="59" t="str">
        <f>IFERROR(VLOOKUP(A2097,Lookup!A:C,3,0),"")</f>
        <v/>
      </c>
      <c r="J2097" s="106">
        <f>VLOOKUP(A2097&amp;G2097,Lookup!J:N,5,0)</f>
        <v>0</v>
      </c>
      <c r="O2097" s="90">
        <f>IFERROR(VLOOKUP(A2097&amp;G2097,Lookup!J:K,2,0),"")</f>
        <v>0</v>
      </c>
      <c r="P2097" s="110" t="str">
        <f t="shared" si="124"/>
        <v/>
      </c>
      <c r="R2097" s="87" t="str">
        <f t="shared" si="125"/>
        <v/>
      </c>
      <c r="S2097" s="87" t="str">
        <f t="shared" si="126"/>
        <v/>
      </c>
    </row>
    <row r="2098" spans="2:19" x14ac:dyDescent="0.25">
      <c r="B2098" s="91" t="str">
        <f>IFERROR(VLOOKUP(A2098,Lookup!A:B,2,0),"")</f>
        <v/>
      </c>
      <c r="C2098" s="59" t="str">
        <f>IFERROR(VLOOKUP(A2098,Lookup!A:C,3,0),"")</f>
        <v/>
      </c>
      <c r="J2098" s="106">
        <f>VLOOKUP(A2098&amp;G2098,Lookup!J:N,5,0)</f>
        <v>0</v>
      </c>
      <c r="O2098" s="90">
        <f>IFERROR(VLOOKUP(A2098&amp;G2098,Lookup!J:K,2,0),"")</f>
        <v>0</v>
      </c>
      <c r="P2098" s="110" t="str">
        <f t="shared" si="124"/>
        <v/>
      </c>
      <c r="R2098" s="87" t="str">
        <f t="shared" si="125"/>
        <v/>
      </c>
      <c r="S2098" s="87" t="str">
        <f t="shared" si="126"/>
        <v/>
      </c>
    </row>
    <row r="2099" spans="2:19" x14ac:dyDescent="0.25">
      <c r="B2099" s="91" t="str">
        <f>IFERROR(VLOOKUP(A2099,Lookup!A:B,2,0),"")</f>
        <v/>
      </c>
      <c r="C2099" s="59" t="str">
        <f>IFERROR(VLOOKUP(A2099,Lookup!A:C,3,0),"")</f>
        <v/>
      </c>
      <c r="J2099" s="106">
        <f>VLOOKUP(A2099&amp;G2099,Lookup!J:N,5,0)</f>
        <v>0</v>
      </c>
      <c r="O2099" s="90">
        <f>IFERROR(VLOOKUP(A2099&amp;G2099,Lookup!J:K,2,0),"")</f>
        <v>0</v>
      </c>
      <c r="P2099" s="110" t="str">
        <f t="shared" si="124"/>
        <v/>
      </c>
      <c r="R2099" s="87" t="str">
        <f t="shared" si="125"/>
        <v/>
      </c>
      <c r="S2099" s="87" t="str">
        <f t="shared" si="126"/>
        <v/>
      </c>
    </row>
    <row r="2100" spans="2:19" x14ac:dyDescent="0.25">
      <c r="B2100" s="91" t="str">
        <f>IFERROR(VLOOKUP(A2100,Lookup!A:B,2,0),"")</f>
        <v/>
      </c>
      <c r="C2100" s="59" t="str">
        <f>IFERROR(VLOOKUP(A2100,Lookup!A:C,3,0),"")</f>
        <v/>
      </c>
      <c r="J2100" s="106">
        <f>VLOOKUP(A2100&amp;G2100,Lookup!J:N,5,0)</f>
        <v>0</v>
      </c>
      <c r="O2100" s="90">
        <f>IFERROR(VLOOKUP(A2100&amp;G2100,Lookup!J:K,2,0),"")</f>
        <v>0</v>
      </c>
      <c r="P2100" s="110" t="str">
        <f t="shared" si="124"/>
        <v/>
      </c>
      <c r="R2100" s="87" t="str">
        <f t="shared" si="125"/>
        <v/>
      </c>
      <c r="S2100" s="87" t="str">
        <f t="shared" si="126"/>
        <v/>
      </c>
    </row>
    <row r="2101" spans="2:19" x14ac:dyDescent="0.25">
      <c r="B2101" s="91" t="str">
        <f>IFERROR(VLOOKUP(A2101,Lookup!A:B,2,0),"")</f>
        <v/>
      </c>
      <c r="C2101" s="59" t="str">
        <f>IFERROR(VLOOKUP(A2101,Lookup!A:C,3,0),"")</f>
        <v/>
      </c>
      <c r="J2101" s="106">
        <f>VLOOKUP(A2101&amp;G2101,Lookup!J:N,5,0)</f>
        <v>0</v>
      </c>
      <c r="O2101" s="90">
        <f>IFERROR(VLOOKUP(A2101&amp;G2101,Lookup!J:K,2,0),"")</f>
        <v>0</v>
      </c>
      <c r="P2101" s="110" t="str">
        <f t="shared" si="124"/>
        <v/>
      </c>
      <c r="R2101" s="87" t="str">
        <f t="shared" si="125"/>
        <v/>
      </c>
      <c r="S2101" s="87" t="str">
        <f t="shared" si="126"/>
        <v/>
      </c>
    </row>
    <row r="2102" spans="2:19" x14ac:dyDescent="0.25">
      <c r="B2102" s="91" t="str">
        <f>IFERROR(VLOOKUP(A2102,Lookup!A:B,2,0),"")</f>
        <v/>
      </c>
      <c r="C2102" s="59" t="str">
        <f>IFERROR(VLOOKUP(A2102,Lookup!A:C,3,0),"")</f>
        <v/>
      </c>
      <c r="J2102" s="106">
        <f>VLOOKUP(A2102&amp;G2102,Lookup!J:N,5,0)</f>
        <v>0</v>
      </c>
      <c r="O2102" s="90">
        <f>IFERROR(VLOOKUP(A2102&amp;G2102,Lookup!J:K,2,0),"")</f>
        <v>0</v>
      </c>
      <c r="P2102" s="110" t="str">
        <f t="shared" si="124"/>
        <v/>
      </c>
      <c r="R2102" s="87" t="str">
        <f t="shared" si="125"/>
        <v/>
      </c>
      <c r="S2102" s="87" t="str">
        <f t="shared" si="126"/>
        <v/>
      </c>
    </row>
    <row r="2103" spans="2:19" x14ac:dyDescent="0.25">
      <c r="B2103" s="91" t="str">
        <f>IFERROR(VLOOKUP(A2103,Lookup!A:B,2,0),"")</f>
        <v/>
      </c>
      <c r="C2103" s="59" t="str">
        <f>IFERROR(VLOOKUP(A2103,Lookup!A:C,3,0),"")</f>
        <v/>
      </c>
      <c r="J2103" s="106">
        <f>VLOOKUP(A2103&amp;G2103,Lookup!J:N,5,0)</f>
        <v>0</v>
      </c>
      <c r="O2103" s="90">
        <f>IFERROR(VLOOKUP(A2103&amp;G2103,Lookup!J:K,2,0),"")</f>
        <v>0</v>
      </c>
      <c r="P2103" s="110" t="str">
        <f t="shared" si="124"/>
        <v/>
      </c>
      <c r="R2103" s="87" t="str">
        <f t="shared" si="125"/>
        <v/>
      </c>
      <c r="S2103" s="87" t="str">
        <f t="shared" si="126"/>
        <v/>
      </c>
    </row>
    <row r="2104" spans="2:19" x14ac:dyDescent="0.25">
      <c r="B2104" s="91" t="str">
        <f>IFERROR(VLOOKUP(A2104,Lookup!A:B,2,0),"")</f>
        <v/>
      </c>
      <c r="C2104" s="59" t="str">
        <f>IFERROR(VLOOKUP(A2104,Lookup!A:C,3,0),"")</f>
        <v/>
      </c>
      <c r="J2104" s="106">
        <f>VLOOKUP(A2104&amp;G2104,Lookup!J:N,5,0)</f>
        <v>0</v>
      </c>
      <c r="O2104" s="90">
        <f>IFERROR(VLOOKUP(A2104&amp;G2104,Lookup!J:K,2,0),"")</f>
        <v>0</v>
      </c>
      <c r="P2104" s="110" t="str">
        <f t="shared" si="124"/>
        <v/>
      </c>
      <c r="R2104" s="87" t="str">
        <f t="shared" si="125"/>
        <v/>
      </c>
      <c r="S2104" s="87" t="str">
        <f t="shared" si="126"/>
        <v/>
      </c>
    </row>
    <row r="2105" spans="2:19" x14ac:dyDescent="0.25">
      <c r="B2105" s="91" t="str">
        <f>IFERROR(VLOOKUP(A2105,Lookup!A:B,2,0),"")</f>
        <v/>
      </c>
      <c r="C2105" s="59" t="str">
        <f>IFERROR(VLOOKUP(A2105,Lookup!A:C,3,0),"")</f>
        <v/>
      </c>
      <c r="J2105" s="106">
        <f>VLOOKUP(A2105&amp;G2105,Lookup!J:N,5,0)</f>
        <v>0</v>
      </c>
      <c r="O2105" s="90">
        <f>IFERROR(VLOOKUP(A2105&amp;G2105,Lookup!J:K,2,0),"")</f>
        <v>0</v>
      </c>
      <c r="P2105" s="110" t="str">
        <f t="shared" si="124"/>
        <v/>
      </c>
      <c r="R2105" s="87" t="str">
        <f t="shared" si="125"/>
        <v/>
      </c>
      <c r="S2105" s="87" t="str">
        <f t="shared" si="126"/>
        <v/>
      </c>
    </row>
    <row r="2106" spans="2:19" x14ac:dyDescent="0.25">
      <c r="B2106" s="91" t="str">
        <f>IFERROR(VLOOKUP(A2106,Lookup!A:B,2,0),"")</f>
        <v/>
      </c>
      <c r="C2106" s="59" t="str">
        <f>IFERROR(VLOOKUP(A2106,Lookup!A:C,3,0),"")</f>
        <v/>
      </c>
      <c r="J2106" s="106">
        <f>VLOOKUP(A2106&amp;G2106,Lookup!J:N,5,0)</f>
        <v>0</v>
      </c>
      <c r="O2106" s="90">
        <f>IFERROR(VLOOKUP(A2106&amp;G2106,Lookup!J:K,2,0),"")</f>
        <v>0</v>
      </c>
      <c r="P2106" s="110" t="str">
        <f t="shared" si="124"/>
        <v/>
      </c>
      <c r="R2106" s="87" t="str">
        <f t="shared" si="125"/>
        <v/>
      </c>
      <c r="S2106" s="87" t="str">
        <f t="shared" si="126"/>
        <v/>
      </c>
    </row>
    <row r="2107" spans="2:19" x14ac:dyDescent="0.25">
      <c r="B2107" s="91" t="str">
        <f>IFERROR(VLOOKUP(A2107,Lookup!A:B,2,0),"")</f>
        <v/>
      </c>
      <c r="C2107" s="59" t="str">
        <f>IFERROR(VLOOKUP(A2107,Lookup!A:C,3,0),"")</f>
        <v/>
      </c>
      <c r="J2107" s="106">
        <f>VLOOKUP(A2107&amp;G2107,Lookup!J:N,5,0)</f>
        <v>0</v>
      </c>
      <c r="O2107" s="90">
        <f>IFERROR(VLOOKUP(A2107&amp;G2107,Lookup!J:K,2,0),"")</f>
        <v>0</v>
      </c>
      <c r="P2107" s="110" t="str">
        <f t="shared" si="124"/>
        <v/>
      </c>
      <c r="R2107" s="87" t="str">
        <f t="shared" si="125"/>
        <v/>
      </c>
      <c r="S2107" s="87" t="str">
        <f t="shared" si="126"/>
        <v/>
      </c>
    </row>
    <row r="2108" spans="2:19" x14ac:dyDescent="0.25">
      <c r="B2108" s="91" t="str">
        <f>IFERROR(VLOOKUP(A2108,Lookup!A:B,2,0),"")</f>
        <v/>
      </c>
      <c r="C2108" s="59" t="str">
        <f>IFERROR(VLOOKUP(A2108,Lookup!A:C,3,0),"")</f>
        <v/>
      </c>
      <c r="J2108" s="106">
        <f>VLOOKUP(A2108&amp;G2108,Lookup!J:N,5,0)</f>
        <v>0</v>
      </c>
      <c r="O2108" s="90">
        <f>IFERROR(VLOOKUP(A2108&amp;G2108,Lookup!J:K,2,0),"")</f>
        <v>0</v>
      </c>
      <c r="P2108" s="110" t="str">
        <f t="shared" si="124"/>
        <v/>
      </c>
      <c r="R2108" s="87" t="str">
        <f t="shared" si="125"/>
        <v/>
      </c>
      <c r="S2108" s="87" t="str">
        <f t="shared" si="126"/>
        <v/>
      </c>
    </row>
    <row r="2109" spans="2:19" x14ac:dyDescent="0.25">
      <c r="B2109" s="91" t="str">
        <f>IFERROR(VLOOKUP(A2109,Lookup!A:B,2,0),"")</f>
        <v/>
      </c>
      <c r="C2109" s="59" t="str">
        <f>IFERROR(VLOOKUP(A2109,Lookup!A:C,3,0),"")</f>
        <v/>
      </c>
      <c r="J2109" s="106">
        <f>VLOOKUP(A2109&amp;G2109,Lookup!J:N,5,0)</f>
        <v>0</v>
      </c>
      <c r="O2109" s="90">
        <f>IFERROR(VLOOKUP(A2109&amp;G2109,Lookup!J:K,2,0),"")</f>
        <v>0</v>
      </c>
      <c r="P2109" s="110" t="str">
        <f t="shared" si="124"/>
        <v/>
      </c>
      <c r="R2109" s="87" t="str">
        <f t="shared" si="125"/>
        <v/>
      </c>
      <c r="S2109" s="87" t="str">
        <f t="shared" si="126"/>
        <v/>
      </c>
    </row>
    <row r="2110" spans="2:19" x14ac:dyDescent="0.25">
      <c r="B2110" s="91" t="str">
        <f>IFERROR(VLOOKUP(A2110,Lookup!A:B,2,0),"")</f>
        <v/>
      </c>
      <c r="C2110" s="59" t="str">
        <f>IFERROR(VLOOKUP(A2110,Lookup!A:C,3,0),"")</f>
        <v/>
      </c>
      <c r="J2110" s="106">
        <f>VLOOKUP(A2110&amp;G2110,Lookup!J:N,5,0)</f>
        <v>0</v>
      </c>
      <c r="O2110" s="90">
        <f>IFERROR(VLOOKUP(A2110&amp;G2110,Lookup!J:K,2,0),"")</f>
        <v>0</v>
      </c>
      <c r="P2110" s="110" t="str">
        <f t="shared" si="124"/>
        <v/>
      </c>
      <c r="R2110" s="87" t="str">
        <f t="shared" si="125"/>
        <v/>
      </c>
      <c r="S2110" s="87" t="str">
        <f t="shared" si="126"/>
        <v/>
      </c>
    </row>
    <row r="2111" spans="2:19" x14ac:dyDescent="0.25">
      <c r="B2111" s="91" t="str">
        <f>IFERROR(VLOOKUP(A2111,Lookup!A:B,2,0),"")</f>
        <v/>
      </c>
      <c r="C2111" s="59" t="str">
        <f>IFERROR(VLOOKUP(A2111,Lookup!A:C,3,0),"")</f>
        <v/>
      </c>
      <c r="J2111" s="106">
        <f>VLOOKUP(A2111&amp;G2111,Lookup!J:N,5,0)</f>
        <v>0</v>
      </c>
      <c r="O2111" s="90">
        <f>IFERROR(VLOOKUP(A2111&amp;G2111,Lookup!J:K,2,0),"")</f>
        <v>0</v>
      </c>
      <c r="P2111" s="110" t="str">
        <f t="shared" si="124"/>
        <v/>
      </c>
      <c r="R2111" s="87" t="str">
        <f t="shared" si="125"/>
        <v/>
      </c>
      <c r="S2111" s="87" t="str">
        <f t="shared" si="126"/>
        <v/>
      </c>
    </row>
    <row r="2112" spans="2:19" x14ac:dyDescent="0.25">
      <c r="B2112" s="91" t="str">
        <f>IFERROR(VLOOKUP(A2112,Lookup!A:B,2,0),"")</f>
        <v/>
      </c>
      <c r="C2112" s="59" t="str">
        <f>IFERROR(VLOOKUP(A2112,Lookup!A:C,3,0),"")</f>
        <v/>
      </c>
      <c r="J2112" s="106">
        <f>VLOOKUP(A2112&amp;G2112,Lookup!J:N,5,0)</f>
        <v>0</v>
      </c>
      <c r="O2112" s="90">
        <f>IFERROR(VLOOKUP(A2112&amp;G2112,Lookup!J:K,2,0),"")</f>
        <v>0</v>
      </c>
      <c r="P2112" s="110" t="str">
        <f t="shared" si="124"/>
        <v/>
      </c>
      <c r="R2112" s="87" t="str">
        <f t="shared" si="125"/>
        <v/>
      </c>
      <c r="S2112" s="87" t="str">
        <f t="shared" si="126"/>
        <v/>
      </c>
    </row>
    <row r="2113" spans="2:19" x14ac:dyDescent="0.25">
      <c r="B2113" s="91" t="str">
        <f>IFERROR(VLOOKUP(A2113,Lookup!A:B,2,0),"")</f>
        <v/>
      </c>
      <c r="C2113" s="59" t="str">
        <f>IFERROR(VLOOKUP(A2113,Lookup!A:C,3,0),"")</f>
        <v/>
      </c>
      <c r="J2113" s="106">
        <f>VLOOKUP(A2113&amp;G2113,Lookup!J:N,5,0)</f>
        <v>0</v>
      </c>
      <c r="O2113" s="90">
        <f>IFERROR(VLOOKUP(A2113&amp;G2113,Lookup!J:K,2,0),"")</f>
        <v>0</v>
      </c>
      <c r="P2113" s="110" t="str">
        <f t="shared" si="124"/>
        <v/>
      </c>
      <c r="R2113" s="87" t="str">
        <f t="shared" si="125"/>
        <v/>
      </c>
      <c r="S2113" s="87" t="str">
        <f t="shared" si="126"/>
        <v/>
      </c>
    </row>
    <row r="2114" spans="2:19" x14ac:dyDescent="0.25">
      <c r="B2114" s="91" t="str">
        <f>IFERROR(VLOOKUP(A2114,Lookup!A:B,2,0),"")</f>
        <v/>
      </c>
      <c r="C2114" s="59" t="str">
        <f>IFERROR(VLOOKUP(A2114,Lookup!A:C,3,0),"")</f>
        <v/>
      </c>
      <c r="J2114" s="106">
        <f>VLOOKUP(A2114&amp;G2114,Lookup!J:N,5,0)</f>
        <v>0</v>
      </c>
      <c r="O2114" s="90">
        <f>IFERROR(VLOOKUP(A2114&amp;G2114,Lookup!J:K,2,0),"")</f>
        <v>0</v>
      </c>
      <c r="P2114" s="110" t="str">
        <f t="shared" ref="P2114:P2177" si="127">IF(N2114="","",N2114+O2114)</f>
        <v/>
      </c>
      <c r="R2114" s="87" t="str">
        <f t="shared" si="125"/>
        <v/>
      </c>
      <c r="S2114" s="87" t="str">
        <f t="shared" si="126"/>
        <v/>
      </c>
    </row>
    <row r="2115" spans="2:19" x14ac:dyDescent="0.25">
      <c r="B2115" s="91" t="str">
        <f>IFERROR(VLOOKUP(A2115,Lookup!A:B,2,0),"")</f>
        <v/>
      </c>
      <c r="C2115" s="59" t="str">
        <f>IFERROR(VLOOKUP(A2115,Lookup!A:C,3,0),"")</f>
        <v/>
      </c>
      <c r="J2115" s="106">
        <f>VLOOKUP(A2115&amp;G2115,Lookup!J:N,5,0)</f>
        <v>0</v>
      </c>
      <c r="O2115" s="90">
        <f>IFERROR(VLOOKUP(A2115&amp;G2115,Lookup!J:K,2,0),"")</f>
        <v>0</v>
      </c>
      <c r="P2115" s="110" t="str">
        <f t="shared" si="127"/>
        <v/>
      </c>
      <c r="R2115" s="87" t="str">
        <f t="shared" ref="R2115:R2178" si="128">IF(OR(EXACT(N2115,""), EXACT(L2115,"")),"",N2115-L2115)</f>
        <v/>
      </c>
      <c r="S2115" s="87" t="str">
        <f t="shared" si="126"/>
        <v/>
      </c>
    </row>
    <row r="2116" spans="2:19" x14ac:dyDescent="0.25">
      <c r="B2116" s="91" t="str">
        <f>IFERROR(VLOOKUP(A2116,Lookup!A:B,2,0),"")</f>
        <v/>
      </c>
      <c r="C2116" s="59" t="str">
        <f>IFERROR(VLOOKUP(A2116,Lookup!A:C,3,0),"")</f>
        <v/>
      </c>
      <c r="J2116" s="106">
        <f>VLOOKUP(A2116&amp;G2116,Lookup!J:N,5,0)</f>
        <v>0</v>
      </c>
      <c r="O2116" s="90">
        <f>IFERROR(VLOOKUP(A2116&amp;G2116,Lookup!J:K,2,0),"")</f>
        <v>0</v>
      </c>
      <c r="P2116" s="110" t="str">
        <f t="shared" si="127"/>
        <v/>
      </c>
      <c r="R2116" s="87" t="str">
        <f t="shared" si="128"/>
        <v/>
      </c>
      <c r="S2116" s="87" t="str">
        <f t="shared" ref="S2116:S2178" si="129">IF(OR(EXACT(Q2116,""), EXACT(L2116,"")),"",Q2116-L2116)</f>
        <v/>
      </c>
    </row>
    <row r="2117" spans="2:19" x14ac:dyDescent="0.25">
      <c r="B2117" s="91" t="str">
        <f>IFERROR(VLOOKUP(A2117,Lookup!A:B,2,0),"")</f>
        <v/>
      </c>
      <c r="C2117" s="59" t="str">
        <f>IFERROR(VLOOKUP(A2117,Lookup!A:C,3,0),"")</f>
        <v/>
      </c>
      <c r="J2117" s="106">
        <f>VLOOKUP(A2117&amp;G2117,Lookup!J:N,5,0)</f>
        <v>0</v>
      </c>
      <c r="O2117" s="90">
        <f>IFERROR(VLOOKUP(A2117&amp;G2117,Lookup!J:K,2,0),"")</f>
        <v>0</v>
      </c>
      <c r="P2117" s="110" t="str">
        <f t="shared" si="127"/>
        <v/>
      </c>
      <c r="R2117" s="87" t="str">
        <f t="shared" si="128"/>
        <v/>
      </c>
      <c r="S2117" s="87" t="str">
        <f t="shared" si="129"/>
        <v/>
      </c>
    </row>
    <row r="2118" spans="2:19" x14ac:dyDescent="0.25">
      <c r="B2118" s="91" t="str">
        <f>IFERROR(VLOOKUP(A2118,Lookup!A:B,2,0),"")</f>
        <v/>
      </c>
      <c r="C2118" s="59" t="str">
        <f>IFERROR(VLOOKUP(A2118,Lookup!A:C,3,0),"")</f>
        <v/>
      </c>
      <c r="J2118" s="106">
        <f>VLOOKUP(A2118&amp;G2118,Lookup!J:N,5,0)</f>
        <v>0</v>
      </c>
      <c r="O2118" s="90">
        <f>IFERROR(VLOOKUP(A2118&amp;G2118,Lookup!J:K,2,0),"")</f>
        <v>0</v>
      </c>
      <c r="P2118" s="110" t="str">
        <f t="shared" si="127"/>
        <v/>
      </c>
      <c r="R2118" s="87" t="str">
        <f t="shared" si="128"/>
        <v/>
      </c>
      <c r="S2118" s="87" t="str">
        <f t="shared" si="129"/>
        <v/>
      </c>
    </row>
    <row r="2119" spans="2:19" x14ac:dyDescent="0.25">
      <c r="B2119" s="91" t="str">
        <f>IFERROR(VLOOKUP(A2119,Lookup!A:B,2,0),"")</f>
        <v/>
      </c>
      <c r="C2119" s="59" t="str">
        <f>IFERROR(VLOOKUP(A2119,Lookup!A:C,3,0),"")</f>
        <v/>
      </c>
      <c r="J2119" s="106">
        <f>VLOOKUP(A2119&amp;G2119,Lookup!J:N,5,0)</f>
        <v>0</v>
      </c>
      <c r="O2119" s="90">
        <f>IFERROR(VLOOKUP(A2119&amp;G2119,Lookup!J:K,2,0),"")</f>
        <v>0</v>
      </c>
      <c r="P2119" s="110" t="str">
        <f t="shared" si="127"/>
        <v/>
      </c>
      <c r="R2119" s="87" t="str">
        <f t="shared" si="128"/>
        <v/>
      </c>
      <c r="S2119" s="87" t="str">
        <f t="shared" si="129"/>
        <v/>
      </c>
    </row>
    <row r="2120" spans="2:19" x14ac:dyDescent="0.25">
      <c r="B2120" s="91" t="str">
        <f>IFERROR(VLOOKUP(A2120,Lookup!A:B,2,0),"")</f>
        <v/>
      </c>
      <c r="C2120" s="59" t="str">
        <f>IFERROR(VLOOKUP(A2120,Lookup!A:C,3,0),"")</f>
        <v/>
      </c>
      <c r="J2120" s="106">
        <f>VLOOKUP(A2120&amp;G2120,Lookup!J:N,5,0)</f>
        <v>0</v>
      </c>
      <c r="O2120" s="90">
        <f>IFERROR(VLOOKUP(A2120&amp;G2120,Lookup!J:K,2,0),"")</f>
        <v>0</v>
      </c>
      <c r="P2120" s="110" t="str">
        <f t="shared" si="127"/>
        <v/>
      </c>
      <c r="R2120" s="87" t="str">
        <f t="shared" si="128"/>
        <v/>
      </c>
      <c r="S2120" s="87" t="str">
        <f t="shared" si="129"/>
        <v/>
      </c>
    </row>
    <row r="2121" spans="2:19" x14ac:dyDescent="0.25">
      <c r="B2121" s="91" t="str">
        <f>IFERROR(VLOOKUP(A2121,Lookup!A:B,2,0),"")</f>
        <v/>
      </c>
      <c r="C2121" s="59" t="str">
        <f>IFERROR(VLOOKUP(A2121,Lookup!A:C,3,0),"")</f>
        <v/>
      </c>
      <c r="J2121" s="106">
        <f>VLOOKUP(A2121&amp;G2121,Lookup!J:N,5,0)</f>
        <v>0</v>
      </c>
      <c r="O2121" s="90">
        <f>IFERROR(VLOOKUP(A2121&amp;G2121,Lookup!J:K,2,0),"")</f>
        <v>0</v>
      </c>
      <c r="P2121" s="110" t="str">
        <f t="shared" si="127"/>
        <v/>
      </c>
      <c r="R2121" s="87" t="str">
        <f t="shared" si="128"/>
        <v/>
      </c>
      <c r="S2121" s="87" t="str">
        <f t="shared" si="129"/>
        <v/>
      </c>
    </row>
    <row r="2122" spans="2:19" x14ac:dyDescent="0.25">
      <c r="B2122" s="91" t="str">
        <f>IFERROR(VLOOKUP(A2122,Lookup!A:B,2,0),"")</f>
        <v/>
      </c>
      <c r="C2122" s="59" t="str">
        <f>IFERROR(VLOOKUP(A2122,Lookup!A:C,3,0),"")</f>
        <v/>
      </c>
      <c r="J2122" s="106">
        <f>VLOOKUP(A2122&amp;G2122,Lookup!J:N,5,0)</f>
        <v>0</v>
      </c>
      <c r="O2122" s="90">
        <f>IFERROR(VLOOKUP(A2122&amp;G2122,Lookup!J:K,2,0),"")</f>
        <v>0</v>
      </c>
      <c r="P2122" s="110" t="str">
        <f t="shared" si="127"/>
        <v/>
      </c>
      <c r="R2122" s="87" t="str">
        <f t="shared" si="128"/>
        <v/>
      </c>
      <c r="S2122" s="87" t="str">
        <f t="shared" si="129"/>
        <v/>
      </c>
    </row>
    <row r="2123" spans="2:19" x14ac:dyDescent="0.25">
      <c r="B2123" s="91" t="str">
        <f>IFERROR(VLOOKUP(A2123,Lookup!A:B,2,0),"")</f>
        <v/>
      </c>
      <c r="C2123" s="59" t="str">
        <f>IFERROR(VLOOKUP(A2123,Lookup!A:C,3,0),"")</f>
        <v/>
      </c>
      <c r="J2123" s="106">
        <f>VLOOKUP(A2123&amp;G2123,Lookup!J:N,5,0)</f>
        <v>0</v>
      </c>
      <c r="O2123" s="90">
        <f>IFERROR(VLOOKUP(A2123&amp;G2123,Lookup!J:K,2,0),"")</f>
        <v>0</v>
      </c>
      <c r="P2123" s="110" t="str">
        <f t="shared" si="127"/>
        <v/>
      </c>
      <c r="R2123" s="87" t="str">
        <f t="shared" si="128"/>
        <v/>
      </c>
      <c r="S2123" s="87" t="str">
        <f t="shared" si="129"/>
        <v/>
      </c>
    </row>
    <row r="2124" spans="2:19" x14ac:dyDescent="0.25">
      <c r="B2124" s="91" t="str">
        <f>IFERROR(VLOOKUP(A2124,Lookup!A:B,2,0),"")</f>
        <v/>
      </c>
      <c r="C2124" s="59" t="str">
        <f>IFERROR(VLOOKUP(A2124,Lookup!A:C,3,0),"")</f>
        <v/>
      </c>
      <c r="J2124" s="106">
        <f>VLOOKUP(A2124&amp;G2124,Lookup!J:N,5,0)</f>
        <v>0</v>
      </c>
      <c r="O2124" s="90">
        <f>IFERROR(VLOOKUP(A2124&amp;G2124,Lookup!J:K,2,0),"")</f>
        <v>0</v>
      </c>
      <c r="P2124" s="110" t="str">
        <f t="shared" si="127"/>
        <v/>
      </c>
      <c r="R2124" s="87" t="str">
        <f t="shared" si="128"/>
        <v/>
      </c>
      <c r="S2124" s="87" t="str">
        <f t="shared" si="129"/>
        <v/>
      </c>
    </row>
    <row r="2125" spans="2:19" x14ac:dyDescent="0.25">
      <c r="B2125" s="91" t="str">
        <f>IFERROR(VLOOKUP(A2125,Lookup!A:B,2,0),"")</f>
        <v/>
      </c>
      <c r="C2125" s="59" t="str">
        <f>IFERROR(VLOOKUP(A2125,Lookup!A:C,3,0),"")</f>
        <v/>
      </c>
      <c r="J2125" s="106">
        <f>VLOOKUP(A2125&amp;G2125,Lookup!J:N,5,0)</f>
        <v>0</v>
      </c>
      <c r="O2125" s="90">
        <f>IFERROR(VLOOKUP(A2125&amp;G2125,Lookup!J:K,2,0),"")</f>
        <v>0</v>
      </c>
      <c r="P2125" s="110" t="str">
        <f t="shared" si="127"/>
        <v/>
      </c>
      <c r="R2125" s="87" t="str">
        <f t="shared" si="128"/>
        <v/>
      </c>
      <c r="S2125" s="87" t="str">
        <f t="shared" si="129"/>
        <v/>
      </c>
    </row>
    <row r="2126" spans="2:19" x14ac:dyDescent="0.25">
      <c r="B2126" s="91" t="str">
        <f>IFERROR(VLOOKUP(A2126,Lookup!A:B,2,0),"")</f>
        <v/>
      </c>
      <c r="C2126" s="59" t="str">
        <f>IFERROR(VLOOKUP(A2126,Lookup!A:C,3,0),"")</f>
        <v/>
      </c>
      <c r="J2126" s="106">
        <f>VLOOKUP(A2126&amp;G2126,Lookup!J:N,5,0)</f>
        <v>0</v>
      </c>
      <c r="O2126" s="90">
        <f>IFERROR(VLOOKUP(A2126&amp;G2126,Lookup!J:K,2,0),"")</f>
        <v>0</v>
      </c>
      <c r="P2126" s="110" t="str">
        <f t="shared" si="127"/>
        <v/>
      </c>
      <c r="R2126" s="87" t="str">
        <f t="shared" si="128"/>
        <v/>
      </c>
      <c r="S2126" s="87" t="str">
        <f t="shared" si="129"/>
        <v/>
      </c>
    </row>
    <row r="2127" spans="2:19" x14ac:dyDescent="0.25">
      <c r="B2127" s="91" t="str">
        <f>IFERROR(VLOOKUP(A2127,Lookup!A:B,2,0),"")</f>
        <v/>
      </c>
      <c r="C2127" s="59" t="str">
        <f>IFERROR(VLOOKUP(A2127,Lookup!A:C,3,0),"")</f>
        <v/>
      </c>
      <c r="J2127" s="106">
        <f>VLOOKUP(A2127&amp;G2127,Lookup!J:N,5,0)</f>
        <v>0</v>
      </c>
      <c r="O2127" s="90">
        <f>IFERROR(VLOOKUP(A2127&amp;G2127,Lookup!J:K,2,0),"")</f>
        <v>0</v>
      </c>
      <c r="P2127" s="110" t="str">
        <f t="shared" si="127"/>
        <v/>
      </c>
      <c r="R2127" s="87" t="str">
        <f t="shared" si="128"/>
        <v/>
      </c>
      <c r="S2127" s="87" t="str">
        <f t="shared" si="129"/>
        <v/>
      </c>
    </row>
    <row r="2128" spans="2:19" x14ac:dyDescent="0.25">
      <c r="B2128" s="91" t="str">
        <f>IFERROR(VLOOKUP(A2128,Lookup!A:B,2,0),"")</f>
        <v/>
      </c>
      <c r="C2128" s="59" t="str">
        <f>IFERROR(VLOOKUP(A2128,Lookup!A:C,3,0),"")</f>
        <v/>
      </c>
      <c r="J2128" s="106">
        <f>VLOOKUP(A2128&amp;G2128,Lookup!J:N,5,0)</f>
        <v>0</v>
      </c>
      <c r="O2128" s="90">
        <f>IFERROR(VLOOKUP(A2128&amp;G2128,Lookup!J:K,2,0),"")</f>
        <v>0</v>
      </c>
      <c r="P2128" s="110" t="str">
        <f t="shared" si="127"/>
        <v/>
      </c>
      <c r="R2128" s="87" t="str">
        <f t="shared" si="128"/>
        <v/>
      </c>
      <c r="S2128" s="87" t="str">
        <f t="shared" si="129"/>
        <v/>
      </c>
    </row>
    <row r="2129" spans="2:19" x14ac:dyDescent="0.25">
      <c r="B2129" s="91" t="str">
        <f>IFERROR(VLOOKUP(A2129,Lookup!A:B,2,0),"")</f>
        <v/>
      </c>
      <c r="C2129" s="59" t="str">
        <f>IFERROR(VLOOKUP(A2129,Lookup!A:C,3,0),"")</f>
        <v/>
      </c>
      <c r="J2129" s="106">
        <f>VLOOKUP(A2129&amp;G2129,Lookup!J:N,5,0)</f>
        <v>0</v>
      </c>
      <c r="O2129" s="90">
        <f>IFERROR(VLOOKUP(A2129&amp;G2129,Lookup!J:K,2,0),"")</f>
        <v>0</v>
      </c>
      <c r="P2129" s="110" t="str">
        <f t="shared" si="127"/>
        <v/>
      </c>
      <c r="R2129" s="87" t="str">
        <f t="shared" si="128"/>
        <v/>
      </c>
      <c r="S2129" s="87" t="str">
        <f t="shared" si="129"/>
        <v/>
      </c>
    </row>
    <row r="2130" spans="2:19" x14ac:dyDescent="0.25">
      <c r="B2130" s="91" t="str">
        <f>IFERROR(VLOOKUP(A2130,Lookup!A:B,2,0),"")</f>
        <v/>
      </c>
      <c r="C2130" s="59" t="str">
        <f>IFERROR(VLOOKUP(A2130,Lookup!A:C,3,0),"")</f>
        <v/>
      </c>
      <c r="J2130" s="106">
        <f>VLOOKUP(A2130&amp;G2130,Lookup!J:N,5,0)</f>
        <v>0</v>
      </c>
      <c r="O2130" s="90">
        <f>IFERROR(VLOOKUP(A2130&amp;G2130,Lookup!J:K,2,0),"")</f>
        <v>0</v>
      </c>
      <c r="P2130" s="110" t="str">
        <f t="shared" si="127"/>
        <v/>
      </c>
      <c r="R2130" s="87" t="str">
        <f t="shared" si="128"/>
        <v/>
      </c>
      <c r="S2130" s="87" t="str">
        <f t="shared" si="129"/>
        <v/>
      </c>
    </row>
    <row r="2131" spans="2:19" x14ac:dyDescent="0.25">
      <c r="B2131" s="91" t="str">
        <f>IFERROR(VLOOKUP(A2131,Lookup!A:B,2,0),"")</f>
        <v/>
      </c>
      <c r="C2131" s="59" t="str">
        <f>IFERROR(VLOOKUP(A2131,Lookup!A:C,3,0),"")</f>
        <v/>
      </c>
      <c r="J2131" s="106">
        <f>VLOOKUP(A2131&amp;G2131,Lookup!J:N,5,0)</f>
        <v>0</v>
      </c>
      <c r="O2131" s="90">
        <f>IFERROR(VLOOKUP(A2131&amp;G2131,Lookup!J:K,2,0),"")</f>
        <v>0</v>
      </c>
      <c r="P2131" s="110" t="str">
        <f t="shared" si="127"/>
        <v/>
      </c>
      <c r="R2131" s="87" t="str">
        <f t="shared" si="128"/>
        <v/>
      </c>
      <c r="S2131" s="87" t="str">
        <f t="shared" si="129"/>
        <v/>
      </c>
    </row>
    <row r="2132" spans="2:19" x14ac:dyDescent="0.25">
      <c r="B2132" s="91" t="str">
        <f>IFERROR(VLOOKUP(A2132,Lookup!A:B,2,0),"")</f>
        <v/>
      </c>
      <c r="C2132" s="59" t="str">
        <f>IFERROR(VLOOKUP(A2132,Lookup!A:C,3,0),"")</f>
        <v/>
      </c>
      <c r="J2132" s="106">
        <f>VLOOKUP(A2132&amp;G2132,Lookup!J:N,5,0)</f>
        <v>0</v>
      </c>
      <c r="O2132" s="90">
        <f>IFERROR(VLOOKUP(A2132&amp;G2132,Lookup!J:K,2,0),"")</f>
        <v>0</v>
      </c>
      <c r="P2132" s="110" t="str">
        <f t="shared" si="127"/>
        <v/>
      </c>
      <c r="R2132" s="87" t="str">
        <f t="shared" si="128"/>
        <v/>
      </c>
      <c r="S2132" s="87" t="str">
        <f t="shared" si="129"/>
        <v/>
      </c>
    </row>
    <row r="2133" spans="2:19" x14ac:dyDescent="0.25">
      <c r="B2133" s="91" t="str">
        <f>IFERROR(VLOOKUP(A2133,Lookup!A:B,2,0),"")</f>
        <v/>
      </c>
      <c r="C2133" s="59" t="str">
        <f>IFERROR(VLOOKUP(A2133,Lookup!A:C,3,0),"")</f>
        <v/>
      </c>
      <c r="J2133" s="106">
        <f>VLOOKUP(A2133&amp;G2133,Lookup!J:N,5,0)</f>
        <v>0</v>
      </c>
      <c r="O2133" s="90">
        <f>IFERROR(VLOOKUP(A2133&amp;G2133,Lookup!J:K,2,0),"")</f>
        <v>0</v>
      </c>
      <c r="P2133" s="110" t="str">
        <f t="shared" si="127"/>
        <v/>
      </c>
      <c r="R2133" s="87" t="str">
        <f t="shared" si="128"/>
        <v/>
      </c>
      <c r="S2133" s="87" t="str">
        <f t="shared" si="129"/>
        <v/>
      </c>
    </row>
    <row r="2134" spans="2:19" x14ac:dyDescent="0.25">
      <c r="B2134" s="91" t="str">
        <f>IFERROR(VLOOKUP(A2134,Lookup!A:B,2,0),"")</f>
        <v/>
      </c>
      <c r="C2134" s="59" t="str">
        <f>IFERROR(VLOOKUP(A2134,Lookup!A:C,3,0),"")</f>
        <v/>
      </c>
      <c r="J2134" s="106">
        <f>VLOOKUP(A2134&amp;G2134,Lookup!J:N,5,0)</f>
        <v>0</v>
      </c>
      <c r="O2134" s="90">
        <f>IFERROR(VLOOKUP(A2134&amp;G2134,Lookup!J:K,2,0),"")</f>
        <v>0</v>
      </c>
      <c r="P2134" s="110" t="str">
        <f t="shared" si="127"/>
        <v/>
      </c>
      <c r="R2134" s="87" t="str">
        <f t="shared" si="128"/>
        <v/>
      </c>
      <c r="S2134" s="87" t="str">
        <f t="shared" si="129"/>
        <v/>
      </c>
    </row>
    <row r="2135" spans="2:19" x14ac:dyDescent="0.25">
      <c r="B2135" s="91" t="str">
        <f>IFERROR(VLOOKUP(A2135,Lookup!A:B,2,0),"")</f>
        <v/>
      </c>
      <c r="C2135" s="59" t="str">
        <f>IFERROR(VLOOKUP(A2135,Lookup!A:C,3,0),"")</f>
        <v/>
      </c>
      <c r="J2135" s="106">
        <f>VLOOKUP(A2135&amp;G2135,Lookup!J:N,5,0)</f>
        <v>0</v>
      </c>
      <c r="O2135" s="90">
        <f>IFERROR(VLOOKUP(A2135&amp;G2135,Lookup!J:K,2,0),"")</f>
        <v>0</v>
      </c>
      <c r="P2135" s="110" t="str">
        <f t="shared" si="127"/>
        <v/>
      </c>
      <c r="R2135" s="87" t="str">
        <f t="shared" si="128"/>
        <v/>
      </c>
      <c r="S2135" s="87" t="str">
        <f t="shared" si="129"/>
        <v/>
      </c>
    </row>
    <row r="2136" spans="2:19" x14ac:dyDescent="0.25">
      <c r="B2136" s="91" t="str">
        <f>IFERROR(VLOOKUP(A2136,Lookup!A:B,2,0),"")</f>
        <v/>
      </c>
      <c r="C2136" s="59" t="str">
        <f>IFERROR(VLOOKUP(A2136,Lookup!A:C,3,0),"")</f>
        <v/>
      </c>
      <c r="J2136" s="106">
        <f>VLOOKUP(A2136&amp;G2136,Lookup!J:N,5,0)</f>
        <v>0</v>
      </c>
      <c r="O2136" s="90">
        <f>IFERROR(VLOOKUP(A2136&amp;G2136,Lookup!J:K,2,0),"")</f>
        <v>0</v>
      </c>
      <c r="P2136" s="110" t="str">
        <f t="shared" si="127"/>
        <v/>
      </c>
      <c r="R2136" s="87" t="str">
        <f t="shared" si="128"/>
        <v/>
      </c>
      <c r="S2136" s="87" t="str">
        <f t="shared" si="129"/>
        <v/>
      </c>
    </row>
    <row r="2137" spans="2:19" x14ac:dyDescent="0.25">
      <c r="B2137" s="91" t="str">
        <f>IFERROR(VLOOKUP(A2137,Lookup!A:B,2,0),"")</f>
        <v/>
      </c>
      <c r="C2137" s="59" t="str">
        <f>IFERROR(VLOOKUP(A2137,Lookup!A:C,3,0),"")</f>
        <v/>
      </c>
      <c r="J2137" s="106">
        <f>VLOOKUP(A2137&amp;G2137,Lookup!J:N,5,0)</f>
        <v>0</v>
      </c>
      <c r="O2137" s="90">
        <f>IFERROR(VLOOKUP(A2137&amp;G2137,Lookup!J:K,2,0),"")</f>
        <v>0</v>
      </c>
      <c r="P2137" s="110" t="str">
        <f t="shared" si="127"/>
        <v/>
      </c>
      <c r="R2137" s="87" t="str">
        <f t="shared" si="128"/>
        <v/>
      </c>
      <c r="S2137" s="87" t="str">
        <f t="shared" si="129"/>
        <v/>
      </c>
    </row>
    <row r="2138" spans="2:19" x14ac:dyDescent="0.25">
      <c r="B2138" s="91" t="str">
        <f>IFERROR(VLOOKUP(A2138,Lookup!A:B,2,0),"")</f>
        <v/>
      </c>
      <c r="C2138" s="59" t="str">
        <f>IFERROR(VLOOKUP(A2138,Lookup!A:C,3,0),"")</f>
        <v/>
      </c>
      <c r="J2138" s="106">
        <f>VLOOKUP(A2138&amp;G2138,Lookup!J:N,5,0)</f>
        <v>0</v>
      </c>
      <c r="O2138" s="90">
        <f>IFERROR(VLOOKUP(A2138&amp;G2138,Lookup!J:K,2,0),"")</f>
        <v>0</v>
      </c>
      <c r="P2138" s="110" t="str">
        <f t="shared" si="127"/>
        <v/>
      </c>
      <c r="R2138" s="87" t="str">
        <f t="shared" si="128"/>
        <v/>
      </c>
      <c r="S2138" s="87" t="str">
        <f t="shared" si="129"/>
        <v/>
      </c>
    </row>
    <row r="2139" spans="2:19" x14ac:dyDescent="0.25">
      <c r="B2139" s="91" t="str">
        <f>IFERROR(VLOOKUP(A2139,Lookup!A:B,2,0),"")</f>
        <v/>
      </c>
      <c r="C2139" s="59" t="str">
        <f>IFERROR(VLOOKUP(A2139,Lookup!A:C,3,0),"")</f>
        <v/>
      </c>
      <c r="J2139" s="106">
        <f>VLOOKUP(A2139&amp;G2139,Lookup!J:N,5,0)</f>
        <v>0</v>
      </c>
      <c r="O2139" s="90">
        <f>IFERROR(VLOOKUP(A2139&amp;G2139,Lookup!J:K,2,0),"")</f>
        <v>0</v>
      </c>
      <c r="P2139" s="110" t="str">
        <f t="shared" si="127"/>
        <v/>
      </c>
      <c r="R2139" s="87" t="str">
        <f t="shared" si="128"/>
        <v/>
      </c>
      <c r="S2139" s="87" t="str">
        <f t="shared" si="129"/>
        <v/>
      </c>
    </row>
    <row r="2140" spans="2:19" x14ac:dyDescent="0.25">
      <c r="B2140" s="91" t="str">
        <f>IFERROR(VLOOKUP(A2140,Lookup!A:B,2,0),"")</f>
        <v/>
      </c>
      <c r="C2140" s="59" t="str">
        <f>IFERROR(VLOOKUP(A2140,Lookup!A:C,3,0),"")</f>
        <v/>
      </c>
      <c r="J2140" s="106">
        <f>VLOOKUP(A2140&amp;G2140,Lookup!J:N,5,0)</f>
        <v>0</v>
      </c>
      <c r="O2140" s="90">
        <f>IFERROR(VLOOKUP(A2140&amp;G2140,Lookup!J:K,2,0),"")</f>
        <v>0</v>
      </c>
      <c r="P2140" s="110" t="str">
        <f t="shared" si="127"/>
        <v/>
      </c>
      <c r="R2140" s="87" t="str">
        <f t="shared" si="128"/>
        <v/>
      </c>
      <c r="S2140" s="87" t="str">
        <f t="shared" si="129"/>
        <v/>
      </c>
    </row>
    <row r="2141" spans="2:19" x14ac:dyDescent="0.25">
      <c r="B2141" s="91" t="str">
        <f>IFERROR(VLOOKUP(A2141,Lookup!A:B,2,0),"")</f>
        <v/>
      </c>
      <c r="C2141" s="59" t="str">
        <f>IFERROR(VLOOKUP(A2141,Lookup!A:C,3,0),"")</f>
        <v/>
      </c>
      <c r="J2141" s="106">
        <f>VLOOKUP(A2141&amp;G2141,Lookup!J:N,5,0)</f>
        <v>0</v>
      </c>
      <c r="O2141" s="90">
        <f>IFERROR(VLOOKUP(A2141&amp;G2141,Lookup!J:K,2,0),"")</f>
        <v>0</v>
      </c>
      <c r="P2141" s="110" t="str">
        <f t="shared" si="127"/>
        <v/>
      </c>
      <c r="R2141" s="87" t="str">
        <f t="shared" si="128"/>
        <v/>
      </c>
      <c r="S2141" s="87" t="str">
        <f t="shared" si="129"/>
        <v/>
      </c>
    </row>
    <row r="2142" spans="2:19" x14ac:dyDescent="0.25">
      <c r="B2142" s="91" t="str">
        <f>IFERROR(VLOOKUP(A2142,Lookup!A:B,2,0),"")</f>
        <v/>
      </c>
      <c r="C2142" s="59" t="str">
        <f>IFERROR(VLOOKUP(A2142,Lookup!A:C,3,0),"")</f>
        <v/>
      </c>
      <c r="J2142" s="106">
        <f>VLOOKUP(A2142&amp;G2142,Lookup!J:N,5,0)</f>
        <v>0</v>
      </c>
      <c r="O2142" s="90">
        <f>IFERROR(VLOOKUP(A2142&amp;G2142,Lookup!J:K,2,0),"")</f>
        <v>0</v>
      </c>
      <c r="P2142" s="110" t="str">
        <f t="shared" si="127"/>
        <v/>
      </c>
      <c r="R2142" s="87" t="str">
        <f t="shared" si="128"/>
        <v/>
      </c>
      <c r="S2142" s="87" t="str">
        <f t="shared" si="129"/>
        <v/>
      </c>
    </row>
    <row r="2143" spans="2:19" x14ac:dyDescent="0.25">
      <c r="B2143" s="91" t="str">
        <f>IFERROR(VLOOKUP(A2143,Lookup!A:B,2,0),"")</f>
        <v/>
      </c>
      <c r="C2143" s="59" t="str">
        <f>IFERROR(VLOOKUP(A2143,Lookup!A:C,3,0),"")</f>
        <v/>
      </c>
      <c r="J2143" s="106">
        <f>VLOOKUP(A2143&amp;G2143,Lookup!J:N,5,0)</f>
        <v>0</v>
      </c>
      <c r="O2143" s="90">
        <f>IFERROR(VLOOKUP(A2143&amp;G2143,Lookup!J:K,2,0),"")</f>
        <v>0</v>
      </c>
      <c r="P2143" s="110" t="str">
        <f t="shared" si="127"/>
        <v/>
      </c>
      <c r="R2143" s="87" t="str">
        <f t="shared" si="128"/>
        <v/>
      </c>
      <c r="S2143" s="87" t="str">
        <f t="shared" si="129"/>
        <v/>
      </c>
    </row>
    <row r="2144" spans="2:19" x14ac:dyDescent="0.25">
      <c r="B2144" s="91" t="str">
        <f>IFERROR(VLOOKUP(A2144,Lookup!A:B,2,0),"")</f>
        <v/>
      </c>
      <c r="C2144" s="59" t="str">
        <f>IFERROR(VLOOKUP(A2144,Lookup!A:C,3,0),"")</f>
        <v/>
      </c>
      <c r="J2144" s="106">
        <f>VLOOKUP(A2144&amp;G2144,Lookup!J:N,5,0)</f>
        <v>0</v>
      </c>
      <c r="O2144" s="90">
        <f>IFERROR(VLOOKUP(A2144&amp;G2144,Lookup!J:K,2,0),"")</f>
        <v>0</v>
      </c>
      <c r="P2144" s="110" t="str">
        <f t="shared" si="127"/>
        <v/>
      </c>
      <c r="R2144" s="87" t="str">
        <f t="shared" si="128"/>
        <v/>
      </c>
      <c r="S2144" s="87" t="str">
        <f t="shared" si="129"/>
        <v/>
      </c>
    </row>
    <row r="2145" spans="2:19" x14ac:dyDescent="0.25">
      <c r="B2145" s="91" t="str">
        <f>IFERROR(VLOOKUP(A2145,Lookup!A:B,2,0),"")</f>
        <v/>
      </c>
      <c r="C2145" s="59" t="str">
        <f>IFERROR(VLOOKUP(A2145,Lookup!A:C,3,0),"")</f>
        <v/>
      </c>
      <c r="J2145" s="106">
        <f>VLOOKUP(A2145&amp;G2145,Lookup!J:N,5,0)</f>
        <v>0</v>
      </c>
      <c r="O2145" s="90">
        <f>IFERROR(VLOOKUP(A2145&amp;G2145,Lookup!J:K,2,0),"")</f>
        <v>0</v>
      </c>
      <c r="P2145" s="110" t="str">
        <f t="shared" si="127"/>
        <v/>
      </c>
      <c r="R2145" s="87" t="str">
        <f t="shared" si="128"/>
        <v/>
      </c>
      <c r="S2145" s="87" t="str">
        <f t="shared" si="129"/>
        <v/>
      </c>
    </row>
    <row r="2146" spans="2:19" x14ac:dyDescent="0.25">
      <c r="B2146" s="91" t="str">
        <f>IFERROR(VLOOKUP(A2146,Lookup!A:B,2,0),"")</f>
        <v/>
      </c>
      <c r="C2146" s="59" t="str">
        <f>IFERROR(VLOOKUP(A2146,Lookup!A:C,3,0),"")</f>
        <v/>
      </c>
      <c r="J2146" s="106">
        <f>VLOOKUP(A2146&amp;G2146,Lookup!J:N,5,0)</f>
        <v>0</v>
      </c>
      <c r="O2146" s="90">
        <f>IFERROR(VLOOKUP(A2146&amp;G2146,Lookup!J:K,2,0),"")</f>
        <v>0</v>
      </c>
      <c r="P2146" s="110" t="str">
        <f t="shared" si="127"/>
        <v/>
      </c>
      <c r="R2146" s="87" t="str">
        <f t="shared" si="128"/>
        <v/>
      </c>
      <c r="S2146" s="87" t="str">
        <f t="shared" si="129"/>
        <v/>
      </c>
    </row>
    <row r="2147" spans="2:19" x14ac:dyDescent="0.25">
      <c r="B2147" s="91" t="str">
        <f>IFERROR(VLOOKUP(A2147,Lookup!A:B,2,0),"")</f>
        <v/>
      </c>
      <c r="C2147" s="59" t="str">
        <f>IFERROR(VLOOKUP(A2147,Lookup!A:C,3,0),"")</f>
        <v/>
      </c>
      <c r="J2147" s="106">
        <f>VLOOKUP(A2147&amp;G2147,Lookup!J:N,5,0)</f>
        <v>0</v>
      </c>
      <c r="O2147" s="90">
        <f>IFERROR(VLOOKUP(A2147&amp;G2147,Lookup!J:K,2,0),"")</f>
        <v>0</v>
      </c>
      <c r="P2147" s="110" t="str">
        <f t="shared" si="127"/>
        <v/>
      </c>
      <c r="R2147" s="87" t="str">
        <f t="shared" si="128"/>
        <v/>
      </c>
      <c r="S2147" s="87" t="str">
        <f t="shared" si="129"/>
        <v/>
      </c>
    </row>
    <row r="2148" spans="2:19" x14ac:dyDescent="0.25">
      <c r="B2148" s="91" t="str">
        <f>IFERROR(VLOOKUP(A2148,Lookup!A:B,2,0),"")</f>
        <v/>
      </c>
      <c r="C2148" s="59" t="str">
        <f>IFERROR(VLOOKUP(A2148,Lookup!A:C,3,0),"")</f>
        <v/>
      </c>
      <c r="J2148" s="106">
        <f>VLOOKUP(A2148&amp;G2148,Lookup!J:N,5,0)</f>
        <v>0</v>
      </c>
      <c r="O2148" s="90">
        <f>IFERROR(VLOOKUP(A2148&amp;G2148,Lookup!J:K,2,0),"")</f>
        <v>0</v>
      </c>
      <c r="P2148" s="110" t="str">
        <f t="shared" si="127"/>
        <v/>
      </c>
      <c r="R2148" s="87" t="str">
        <f t="shared" si="128"/>
        <v/>
      </c>
      <c r="S2148" s="87" t="str">
        <f t="shared" si="129"/>
        <v/>
      </c>
    </row>
    <row r="2149" spans="2:19" x14ac:dyDescent="0.25">
      <c r="B2149" s="91" t="str">
        <f>IFERROR(VLOOKUP(A2149,Lookup!A:B,2,0),"")</f>
        <v/>
      </c>
      <c r="C2149" s="59" t="str">
        <f>IFERROR(VLOOKUP(A2149,Lookup!A:C,3,0),"")</f>
        <v/>
      </c>
      <c r="J2149" s="106">
        <f>VLOOKUP(A2149&amp;G2149,Lookup!J:N,5,0)</f>
        <v>0</v>
      </c>
      <c r="O2149" s="90">
        <f>IFERROR(VLOOKUP(A2149&amp;G2149,Lookup!J:K,2,0),"")</f>
        <v>0</v>
      </c>
      <c r="P2149" s="110" t="str">
        <f t="shared" si="127"/>
        <v/>
      </c>
      <c r="R2149" s="87" t="str">
        <f t="shared" si="128"/>
        <v/>
      </c>
      <c r="S2149" s="87" t="str">
        <f t="shared" si="129"/>
        <v/>
      </c>
    </row>
    <row r="2150" spans="2:19" x14ac:dyDescent="0.25">
      <c r="B2150" s="91" t="str">
        <f>IFERROR(VLOOKUP(A2150,Lookup!A:B,2,0),"")</f>
        <v/>
      </c>
      <c r="C2150" s="59" t="str">
        <f>IFERROR(VLOOKUP(A2150,Lookup!A:C,3,0),"")</f>
        <v/>
      </c>
      <c r="J2150" s="106">
        <f>VLOOKUP(A2150&amp;G2150,Lookup!J:N,5,0)</f>
        <v>0</v>
      </c>
      <c r="O2150" s="90">
        <f>IFERROR(VLOOKUP(A2150&amp;G2150,Lookup!J:K,2,0),"")</f>
        <v>0</v>
      </c>
      <c r="P2150" s="110" t="str">
        <f t="shared" si="127"/>
        <v/>
      </c>
      <c r="R2150" s="87" t="str">
        <f t="shared" si="128"/>
        <v/>
      </c>
      <c r="S2150" s="87" t="str">
        <f t="shared" si="129"/>
        <v/>
      </c>
    </row>
    <row r="2151" spans="2:19" x14ac:dyDescent="0.25">
      <c r="B2151" s="91" t="str">
        <f>IFERROR(VLOOKUP(A2151,Lookup!A:B,2,0),"")</f>
        <v/>
      </c>
      <c r="C2151" s="59" t="str">
        <f>IFERROR(VLOOKUP(A2151,Lookup!A:C,3,0),"")</f>
        <v/>
      </c>
      <c r="J2151" s="106">
        <f>VLOOKUP(A2151&amp;G2151,Lookup!J:N,5,0)</f>
        <v>0</v>
      </c>
      <c r="O2151" s="90">
        <f>IFERROR(VLOOKUP(A2151&amp;G2151,Lookup!J:K,2,0),"")</f>
        <v>0</v>
      </c>
      <c r="P2151" s="110" t="str">
        <f t="shared" si="127"/>
        <v/>
      </c>
      <c r="R2151" s="87" t="str">
        <f t="shared" si="128"/>
        <v/>
      </c>
      <c r="S2151" s="87" t="str">
        <f t="shared" si="129"/>
        <v/>
      </c>
    </row>
    <row r="2152" spans="2:19" x14ac:dyDescent="0.25">
      <c r="B2152" s="91" t="str">
        <f>IFERROR(VLOOKUP(A2152,Lookup!A:B,2,0),"")</f>
        <v/>
      </c>
      <c r="C2152" s="59" t="str">
        <f>IFERROR(VLOOKUP(A2152,Lookup!A:C,3,0),"")</f>
        <v/>
      </c>
      <c r="J2152" s="106">
        <f>VLOOKUP(A2152&amp;G2152,Lookup!J:N,5,0)</f>
        <v>0</v>
      </c>
      <c r="O2152" s="90">
        <f>IFERROR(VLOOKUP(A2152&amp;G2152,Lookup!J:K,2,0),"")</f>
        <v>0</v>
      </c>
      <c r="P2152" s="110" t="str">
        <f t="shared" si="127"/>
        <v/>
      </c>
      <c r="R2152" s="87" t="str">
        <f t="shared" si="128"/>
        <v/>
      </c>
      <c r="S2152" s="87" t="str">
        <f t="shared" si="129"/>
        <v/>
      </c>
    </row>
    <row r="2153" spans="2:19" x14ac:dyDescent="0.25">
      <c r="B2153" s="91" t="str">
        <f>IFERROR(VLOOKUP(A2153,Lookup!A:B,2,0),"")</f>
        <v/>
      </c>
      <c r="C2153" s="59" t="str">
        <f>IFERROR(VLOOKUP(A2153,Lookup!A:C,3,0),"")</f>
        <v/>
      </c>
      <c r="J2153" s="106">
        <f>VLOOKUP(A2153&amp;G2153,Lookup!J:N,5,0)</f>
        <v>0</v>
      </c>
      <c r="O2153" s="90">
        <f>IFERROR(VLOOKUP(A2153&amp;G2153,Lookup!J:K,2,0),"")</f>
        <v>0</v>
      </c>
      <c r="P2153" s="110" t="str">
        <f t="shared" si="127"/>
        <v/>
      </c>
      <c r="R2153" s="87" t="str">
        <f t="shared" si="128"/>
        <v/>
      </c>
      <c r="S2153" s="87" t="str">
        <f t="shared" si="129"/>
        <v/>
      </c>
    </row>
    <row r="2154" spans="2:19" x14ac:dyDescent="0.25">
      <c r="B2154" s="91" t="str">
        <f>IFERROR(VLOOKUP(A2154,Lookup!A:B,2,0),"")</f>
        <v/>
      </c>
      <c r="C2154" s="59" t="str">
        <f>IFERROR(VLOOKUP(A2154,Lookup!A:C,3,0),"")</f>
        <v/>
      </c>
      <c r="J2154" s="106">
        <f>VLOOKUP(A2154&amp;G2154,Lookup!J:N,5,0)</f>
        <v>0</v>
      </c>
      <c r="O2154" s="90">
        <f>IFERROR(VLOOKUP(A2154&amp;G2154,Lookup!J:K,2,0),"")</f>
        <v>0</v>
      </c>
      <c r="P2154" s="110" t="str">
        <f t="shared" si="127"/>
        <v/>
      </c>
      <c r="R2154" s="87" t="str">
        <f t="shared" si="128"/>
        <v/>
      </c>
      <c r="S2154" s="87" t="str">
        <f t="shared" si="129"/>
        <v/>
      </c>
    </row>
    <row r="2155" spans="2:19" x14ac:dyDescent="0.25">
      <c r="B2155" s="91" t="str">
        <f>IFERROR(VLOOKUP(A2155,Lookup!A:B,2,0),"")</f>
        <v/>
      </c>
      <c r="C2155" s="59" t="str">
        <f>IFERROR(VLOOKUP(A2155,Lookup!A:C,3,0),"")</f>
        <v/>
      </c>
      <c r="J2155" s="106">
        <f>VLOOKUP(A2155&amp;G2155,Lookup!J:N,5,0)</f>
        <v>0</v>
      </c>
      <c r="O2155" s="90">
        <f>IFERROR(VLOOKUP(A2155&amp;G2155,Lookup!J:K,2,0),"")</f>
        <v>0</v>
      </c>
      <c r="P2155" s="110" t="str">
        <f t="shared" si="127"/>
        <v/>
      </c>
      <c r="R2155" s="87" t="str">
        <f t="shared" si="128"/>
        <v/>
      </c>
      <c r="S2155" s="87" t="str">
        <f t="shared" si="129"/>
        <v/>
      </c>
    </row>
    <row r="2156" spans="2:19" x14ac:dyDescent="0.25">
      <c r="B2156" s="91" t="str">
        <f>IFERROR(VLOOKUP(A2156,Lookup!A:B,2,0),"")</f>
        <v/>
      </c>
      <c r="C2156" s="59" t="str">
        <f>IFERROR(VLOOKUP(A2156,Lookup!A:C,3,0),"")</f>
        <v/>
      </c>
      <c r="J2156" s="106">
        <f>VLOOKUP(A2156&amp;G2156,Lookup!J:N,5,0)</f>
        <v>0</v>
      </c>
      <c r="O2156" s="90">
        <f>IFERROR(VLOOKUP(A2156&amp;G2156,Lookup!J:K,2,0),"")</f>
        <v>0</v>
      </c>
      <c r="P2156" s="110" t="str">
        <f t="shared" si="127"/>
        <v/>
      </c>
      <c r="R2156" s="87" t="str">
        <f t="shared" si="128"/>
        <v/>
      </c>
      <c r="S2156" s="87" t="str">
        <f t="shared" si="129"/>
        <v/>
      </c>
    </row>
    <row r="2157" spans="2:19" x14ac:dyDescent="0.25">
      <c r="B2157" s="91" t="str">
        <f>IFERROR(VLOOKUP(A2157,Lookup!A:B,2,0),"")</f>
        <v/>
      </c>
      <c r="C2157" s="59" t="str">
        <f>IFERROR(VLOOKUP(A2157,Lookup!A:C,3,0),"")</f>
        <v/>
      </c>
      <c r="J2157" s="106">
        <f>VLOOKUP(A2157&amp;G2157,Lookup!J:N,5,0)</f>
        <v>0</v>
      </c>
      <c r="O2157" s="90">
        <f>IFERROR(VLOOKUP(A2157&amp;G2157,Lookup!J:K,2,0),"")</f>
        <v>0</v>
      </c>
      <c r="P2157" s="110" t="str">
        <f t="shared" si="127"/>
        <v/>
      </c>
      <c r="R2157" s="87" t="str">
        <f t="shared" si="128"/>
        <v/>
      </c>
      <c r="S2157" s="87" t="str">
        <f t="shared" si="129"/>
        <v/>
      </c>
    </row>
    <row r="2158" spans="2:19" x14ac:dyDescent="0.25">
      <c r="B2158" s="91" t="str">
        <f>IFERROR(VLOOKUP(A2158,Lookup!A:B,2,0),"")</f>
        <v/>
      </c>
      <c r="C2158" s="59" t="str">
        <f>IFERROR(VLOOKUP(A2158,Lookup!A:C,3,0),"")</f>
        <v/>
      </c>
      <c r="J2158" s="106">
        <f>VLOOKUP(A2158&amp;G2158,Lookup!J:N,5,0)</f>
        <v>0</v>
      </c>
      <c r="O2158" s="90">
        <f>IFERROR(VLOOKUP(A2158&amp;G2158,Lookup!J:K,2,0),"")</f>
        <v>0</v>
      </c>
      <c r="P2158" s="110" t="str">
        <f t="shared" si="127"/>
        <v/>
      </c>
      <c r="R2158" s="87" t="str">
        <f t="shared" si="128"/>
        <v/>
      </c>
      <c r="S2158" s="87" t="str">
        <f t="shared" si="129"/>
        <v/>
      </c>
    </row>
    <row r="2159" spans="2:19" x14ac:dyDescent="0.25">
      <c r="B2159" s="91" t="str">
        <f>IFERROR(VLOOKUP(A2159,Lookup!A:B,2,0),"")</f>
        <v/>
      </c>
      <c r="C2159" s="59" t="str">
        <f>IFERROR(VLOOKUP(A2159,Lookup!A:C,3,0),"")</f>
        <v/>
      </c>
      <c r="J2159" s="106">
        <f>VLOOKUP(A2159&amp;G2159,Lookup!J:N,5,0)</f>
        <v>0</v>
      </c>
      <c r="O2159" s="90">
        <f>IFERROR(VLOOKUP(A2159&amp;G2159,Lookup!J:K,2,0),"")</f>
        <v>0</v>
      </c>
      <c r="P2159" s="110" t="str">
        <f t="shared" si="127"/>
        <v/>
      </c>
      <c r="R2159" s="87" t="str">
        <f t="shared" si="128"/>
        <v/>
      </c>
      <c r="S2159" s="87" t="str">
        <f t="shared" si="129"/>
        <v/>
      </c>
    </row>
    <row r="2160" spans="2:19" x14ac:dyDescent="0.25">
      <c r="B2160" s="91" t="str">
        <f>IFERROR(VLOOKUP(A2160,Lookup!A:B,2,0),"")</f>
        <v/>
      </c>
      <c r="C2160" s="59" t="str">
        <f>IFERROR(VLOOKUP(A2160,Lookup!A:C,3,0),"")</f>
        <v/>
      </c>
      <c r="J2160" s="106">
        <f>VLOOKUP(A2160&amp;G2160,Lookup!J:N,5,0)</f>
        <v>0</v>
      </c>
      <c r="O2160" s="90">
        <f>IFERROR(VLOOKUP(A2160&amp;G2160,Lookup!J:K,2,0),"")</f>
        <v>0</v>
      </c>
      <c r="P2160" s="110" t="str">
        <f t="shared" si="127"/>
        <v/>
      </c>
      <c r="R2160" s="87" t="str">
        <f t="shared" si="128"/>
        <v/>
      </c>
      <c r="S2160" s="87" t="str">
        <f t="shared" si="129"/>
        <v/>
      </c>
    </row>
    <row r="2161" spans="2:19" x14ac:dyDescent="0.25">
      <c r="B2161" s="91" t="str">
        <f>IFERROR(VLOOKUP(A2161,Lookup!A:B,2,0),"")</f>
        <v/>
      </c>
      <c r="C2161" s="59" t="str">
        <f>IFERROR(VLOOKUP(A2161,Lookup!A:C,3,0),"")</f>
        <v/>
      </c>
      <c r="J2161" s="106">
        <f>VLOOKUP(A2161&amp;G2161,Lookup!J:N,5,0)</f>
        <v>0</v>
      </c>
      <c r="O2161" s="90">
        <f>IFERROR(VLOOKUP(A2161&amp;G2161,Lookup!J:K,2,0),"")</f>
        <v>0</v>
      </c>
      <c r="P2161" s="110" t="str">
        <f t="shared" si="127"/>
        <v/>
      </c>
      <c r="R2161" s="87" t="str">
        <f t="shared" si="128"/>
        <v/>
      </c>
      <c r="S2161" s="87" t="str">
        <f t="shared" si="129"/>
        <v/>
      </c>
    </row>
    <row r="2162" spans="2:19" x14ac:dyDescent="0.25">
      <c r="B2162" s="91" t="str">
        <f>IFERROR(VLOOKUP(A2162,Lookup!A:B,2,0),"")</f>
        <v/>
      </c>
      <c r="C2162" s="59" t="str">
        <f>IFERROR(VLOOKUP(A2162,Lookup!A:C,3,0),"")</f>
        <v/>
      </c>
      <c r="J2162" s="106">
        <f>VLOOKUP(A2162&amp;G2162,Lookup!J:N,5,0)</f>
        <v>0</v>
      </c>
      <c r="O2162" s="90">
        <f>IFERROR(VLOOKUP(A2162&amp;G2162,Lookup!J:K,2,0),"")</f>
        <v>0</v>
      </c>
      <c r="P2162" s="110" t="str">
        <f t="shared" si="127"/>
        <v/>
      </c>
      <c r="R2162" s="87" t="str">
        <f t="shared" si="128"/>
        <v/>
      </c>
      <c r="S2162" s="87" t="str">
        <f t="shared" si="129"/>
        <v/>
      </c>
    </row>
    <row r="2163" spans="2:19" x14ac:dyDescent="0.25">
      <c r="B2163" s="91" t="str">
        <f>IFERROR(VLOOKUP(A2163,Lookup!A:B,2,0),"")</f>
        <v/>
      </c>
      <c r="C2163" s="59" t="str">
        <f>IFERROR(VLOOKUP(A2163,Lookup!A:C,3,0),"")</f>
        <v/>
      </c>
      <c r="J2163" s="106">
        <f>VLOOKUP(A2163&amp;G2163,Lookup!J:N,5,0)</f>
        <v>0</v>
      </c>
      <c r="O2163" s="90">
        <f>IFERROR(VLOOKUP(A2163&amp;G2163,Lookup!J:K,2,0),"")</f>
        <v>0</v>
      </c>
      <c r="P2163" s="110" t="str">
        <f t="shared" si="127"/>
        <v/>
      </c>
      <c r="R2163" s="87" t="str">
        <f t="shared" si="128"/>
        <v/>
      </c>
      <c r="S2163" s="87" t="str">
        <f t="shared" si="129"/>
        <v/>
      </c>
    </row>
    <row r="2164" spans="2:19" x14ac:dyDescent="0.25">
      <c r="B2164" s="91" t="str">
        <f>IFERROR(VLOOKUP(A2164,Lookup!A:B,2,0),"")</f>
        <v/>
      </c>
      <c r="C2164" s="59" t="str">
        <f>IFERROR(VLOOKUP(A2164,Lookup!A:C,3,0),"")</f>
        <v/>
      </c>
      <c r="J2164" s="106">
        <f>VLOOKUP(A2164&amp;G2164,Lookup!J:N,5,0)</f>
        <v>0</v>
      </c>
      <c r="O2164" s="90">
        <f>IFERROR(VLOOKUP(A2164&amp;G2164,Lookup!J:K,2,0),"")</f>
        <v>0</v>
      </c>
      <c r="P2164" s="110" t="str">
        <f t="shared" si="127"/>
        <v/>
      </c>
      <c r="R2164" s="87" t="str">
        <f t="shared" si="128"/>
        <v/>
      </c>
      <c r="S2164" s="87" t="str">
        <f t="shared" si="129"/>
        <v/>
      </c>
    </row>
    <row r="2165" spans="2:19" x14ac:dyDescent="0.25">
      <c r="B2165" s="91" t="str">
        <f>IFERROR(VLOOKUP(A2165,Lookup!A:B,2,0),"")</f>
        <v/>
      </c>
      <c r="C2165" s="59" t="str">
        <f>IFERROR(VLOOKUP(A2165,Lookup!A:C,3,0),"")</f>
        <v/>
      </c>
      <c r="J2165" s="106">
        <f>VLOOKUP(A2165&amp;G2165,Lookup!J:N,5,0)</f>
        <v>0</v>
      </c>
      <c r="O2165" s="90">
        <f>IFERROR(VLOOKUP(A2165&amp;G2165,Lookup!J:K,2,0),"")</f>
        <v>0</v>
      </c>
      <c r="P2165" s="110" t="str">
        <f t="shared" si="127"/>
        <v/>
      </c>
      <c r="R2165" s="87" t="str">
        <f t="shared" si="128"/>
        <v/>
      </c>
      <c r="S2165" s="87" t="str">
        <f t="shared" si="129"/>
        <v/>
      </c>
    </row>
    <row r="2166" spans="2:19" x14ac:dyDescent="0.25">
      <c r="B2166" s="91" t="str">
        <f>IFERROR(VLOOKUP(A2166,Lookup!A:B,2,0),"")</f>
        <v/>
      </c>
      <c r="C2166" s="59" t="str">
        <f>IFERROR(VLOOKUP(A2166,Lookup!A:C,3,0),"")</f>
        <v/>
      </c>
      <c r="J2166" s="106">
        <f>VLOOKUP(A2166&amp;G2166,Lookup!J:N,5,0)</f>
        <v>0</v>
      </c>
      <c r="O2166" s="90">
        <f>IFERROR(VLOOKUP(A2166&amp;G2166,Lookup!J:K,2,0),"")</f>
        <v>0</v>
      </c>
      <c r="P2166" s="110" t="str">
        <f t="shared" si="127"/>
        <v/>
      </c>
      <c r="R2166" s="87" t="str">
        <f t="shared" si="128"/>
        <v/>
      </c>
      <c r="S2166" s="87" t="str">
        <f t="shared" si="129"/>
        <v/>
      </c>
    </row>
    <row r="2167" spans="2:19" x14ac:dyDescent="0.25">
      <c r="B2167" s="91" t="str">
        <f>IFERROR(VLOOKUP(A2167,Lookup!A:B,2,0),"")</f>
        <v/>
      </c>
      <c r="C2167" s="59" t="str">
        <f>IFERROR(VLOOKUP(A2167,Lookup!A:C,3,0),"")</f>
        <v/>
      </c>
      <c r="J2167" s="106">
        <f>VLOOKUP(A2167&amp;G2167,Lookup!J:N,5,0)</f>
        <v>0</v>
      </c>
      <c r="O2167" s="90">
        <f>IFERROR(VLOOKUP(A2167&amp;G2167,Lookup!J:K,2,0),"")</f>
        <v>0</v>
      </c>
      <c r="P2167" s="110" t="str">
        <f t="shared" si="127"/>
        <v/>
      </c>
      <c r="R2167" s="87" t="str">
        <f t="shared" si="128"/>
        <v/>
      </c>
      <c r="S2167" s="87" t="str">
        <f t="shared" si="129"/>
        <v/>
      </c>
    </row>
    <row r="2168" spans="2:19" x14ac:dyDescent="0.25">
      <c r="B2168" s="91" t="str">
        <f>IFERROR(VLOOKUP(A2168,Lookup!A:B,2,0),"")</f>
        <v/>
      </c>
      <c r="C2168" s="59" t="str">
        <f>IFERROR(VLOOKUP(A2168,Lookup!A:C,3,0),"")</f>
        <v/>
      </c>
      <c r="J2168" s="106">
        <f>VLOOKUP(A2168&amp;G2168,Lookup!J:N,5,0)</f>
        <v>0</v>
      </c>
      <c r="O2168" s="90">
        <f>IFERROR(VLOOKUP(A2168&amp;G2168,Lookup!J:K,2,0),"")</f>
        <v>0</v>
      </c>
      <c r="P2168" s="110" t="str">
        <f t="shared" si="127"/>
        <v/>
      </c>
      <c r="R2168" s="87" t="str">
        <f t="shared" si="128"/>
        <v/>
      </c>
      <c r="S2168" s="87" t="str">
        <f t="shared" si="129"/>
        <v/>
      </c>
    </row>
    <row r="2169" spans="2:19" x14ac:dyDescent="0.25">
      <c r="B2169" s="91" t="str">
        <f>IFERROR(VLOOKUP(A2169,Lookup!A:B,2,0),"")</f>
        <v/>
      </c>
      <c r="C2169" s="59" t="str">
        <f>IFERROR(VLOOKUP(A2169,Lookup!A:C,3,0),"")</f>
        <v/>
      </c>
      <c r="J2169" s="106">
        <f>VLOOKUP(A2169&amp;G2169,Lookup!J:N,5,0)</f>
        <v>0</v>
      </c>
      <c r="O2169" s="90">
        <f>IFERROR(VLOOKUP(A2169&amp;G2169,Lookup!J:K,2,0),"")</f>
        <v>0</v>
      </c>
      <c r="P2169" s="110" t="str">
        <f t="shared" si="127"/>
        <v/>
      </c>
      <c r="R2169" s="87" t="str">
        <f t="shared" si="128"/>
        <v/>
      </c>
      <c r="S2169" s="87" t="str">
        <f t="shared" si="129"/>
        <v/>
      </c>
    </row>
    <row r="2170" spans="2:19" x14ac:dyDescent="0.25">
      <c r="B2170" s="91" t="str">
        <f>IFERROR(VLOOKUP(A2170,Lookup!A:B,2,0),"")</f>
        <v/>
      </c>
      <c r="C2170" s="59" t="str">
        <f>IFERROR(VLOOKUP(A2170,Lookup!A:C,3,0),"")</f>
        <v/>
      </c>
      <c r="J2170" s="106">
        <f>VLOOKUP(A2170&amp;G2170,Lookup!J:N,5,0)</f>
        <v>0</v>
      </c>
      <c r="O2170" s="90">
        <f>IFERROR(VLOOKUP(A2170&amp;G2170,Lookup!J:K,2,0),"")</f>
        <v>0</v>
      </c>
      <c r="P2170" s="110" t="str">
        <f t="shared" si="127"/>
        <v/>
      </c>
      <c r="R2170" s="87" t="str">
        <f t="shared" si="128"/>
        <v/>
      </c>
      <c r="S2170" s="87" t="str">
        <f t="shared" si="129"/>
        <v/>
      </c>
    </row>
    <row r="2171" spans="2:19" x14ac:dyDescent="0.25">
      <c r="B2171" s="91" t="str">
        <f>IFERROR(VLOOKUP(A2171,Lookup!A:B,2,0),"")</f>
        <v/>
      </c>
      <c r="C2171" s="59" t="str">
        <f>IFERROR(VLOOKUP(A2171,Lookup!A:C,3,0),"")</f>
        <v/>
      </c>
      <c r="J2171" s="106">
        <f>VLOOKUP(A2171&amp;G2171,Lookup!J:N,5,0)</f>
        <v>0</v>
      </c>
      <c r="O2171" s="90">
        <f>IFERROR(VLOOKUP(A2171&amp;G2171,Lookup!J:K,2,0),"")</f>
        <v>0</v>
      </c>
      <c r="P2171" s="110" t="str">
        <f t="shared" si="127"/>
        <v/>
      </c>
      <c r="R2171" s="87" t="str">
        <f t="shared" si="128"/>
        <v/>
      </c>
      <c r="S2171" s="87" t="str">
        <f t="shared" si="129"/>
        <v/>
      </c>
    </row>
    <row r="2172" spans="2:19" x14ac:dyDescent="0.25">
      <c r="B2172" s="91" t="str">
        <f>IFERROR(VLOOKUP(A2172,Lookup!A:B,2,0),"")</f>
        <v/>
      </c>
      <c r="C2172" s="59" t="str">
        <f>IFERROR(VLOOKUP(A2172,Lookup!A:C,3,0),"")</f>
        <v/>
      </c>
      <c r="J2172" s="106">
        <f>VLOOKUP(A2172&amp;G2172,Lookup!J:N,5,0)</f>
        <v>0</v>
      </c>
      <c r="O2172" s="90">
        <f>IFERROR(VLOOKUP(A2172&amp;G2172,Lookup!J:K,2,0),"")</f>
        <v>0</v>
      </c>
      <c r="P2172" s="110" t="str">
        <f t="shared" si="127"/>
        <v/>
      </c>
      <c r="R2172" s="87" t="str">
        <f t="shared" si="128"/>
        <v/>
      </c>
      <c r="S2172" s="87" t="str">
        <f t="shared" si="129"/>
        <v/>
      </c>
    </row>
    <row r="2173" spans="2:19" x14ac:dyDescent="0.25">
      <c r="B2173" s="91" t="str">
        <f>IFERROR(VLOOKUP(A2173,Lookup!A:B,2,0),"")</f>
        <v/>
      </c>
      <c r="C2173" s="59" t="str">
        <f>IFERROR(VLOOKUP(A2173,Lookup!A:C,3,0),"")</f>
        <v/>
      </c>
      <c r="J2173" s="106">
        <f>VLOOKUP(A2173&amp;G2173,Lookup!J:N,5,0)</f>
        <v>0</v>
      </c>
      <c r="O2173" s="90">
        <f>IFERROR(VLOOKUP(A2173&amp;G2173,Lookup!J:K,2,0),"")</f>
        <v>0</v>
      </c>
      <c r="P2173" s="110" t="str">
        <f t="shared" si="127"/>
        <v/>
      </c>
      <c r="R2173" s="87" t="str">
        <f t="shared" si="128"/>
        <v/>
      </c>
      <c r="S2173" s="87" t="str">
        <f t="shared" si="129"/>
        <v/>
      </c>
    </row>
    <row r="2174" spans="2:19" x14ac:dyDescent="0.25">
      <c r="B2174" s="91" t="str">
        <f>IFERROR(VLOOKUP(A2174,Lookup!A:B,2,0),"")</f>
        <v/>
      </c>
      <c r="C2174" s="59" t="str">
        <f>IFERROR(VLOOKUP(A2174,Lookup!A:C,3,0),"")</f>
        <v/>
      </c>
      <c r="J2174" s="106">
        <f>VLOOKUP(A2174&amp;G2174,Lookup!J:N,5,0)</f>
        <v>0</v>
      </c>
      <c r="O2174" s="90">
        <f>IFERROR(VLOOKUP(A2174&amp;G2174,Lookup!J:K,2,0),"")</f>
        <v>0</v>
      </c>
      <c r="P2174" s="110" t="str">
        <f t="shared" si="127"/>
        <v/>
      </c>
      <c r="R2174" s="87" t="str">
        <f t="shared" si="128"/>
        <v/>
      </c>
      <c r="S2174" s="87" t="str">
        <f t="shared" si="129"/>
        <v/>
      </c>
    </row>
    <row r="2175" spans="2:19" x14ac:dyDescent="0.25">
      <c r="B2175" s="91" t="str">
        <f>IFERROR(VLOOKUP(A2175,Lookup!A:B,2,0),"")</f>
        <v/>
      </c>
      <c r="C2175" s="59" t="str">
        <f>IFERROR(VLOOKUP(A2175,Lookup!A:C,3,0),"")</f>
        <v/>
      </c>
      <c r="J2175" s="106">
        <f>VLOOKUP(A2175&amp;G2175,Lookup!J:N,5,0)</f>
        <v>0</v>
      </c>
      <c r="O2175" s="90">
        <f>IFERROR(VLOOKUP(A2175&amp;G2175,Lookup!J:K,2,0),"")</f>
        <v>0</v>
      </c>
      <c r="P2175" s="110" t="str">
        <f t="shared" si="127"/>
        <v/>
      </c>
      <c r="R2175" s="87" t="str">
        <f t="shared" si="128"/>
        <v/>
      </c>
      <c r="S2175" s="87" t="str">
        <f t="shared" si="129"/>
        <v/>
      </c>
    </row>
    <row r="2176" spans="2:19" x14ac:dyDescent="0.25">
      <c r="B2176" s="91" t="str">
        <f>IFERROR(VLOOKUP(A2176,Lookup!A:B,2,0),"")</f>
        <v/>
      </c>
      <c r="C2176" s="59" t="str">
        <f>IFERROR(VLOOKUP(A2176,Lookup!A:C,3,0),"")</f>
        <v/>
      </c>
      <c r="J2176" s="106">
        <f>VLOOKUP(A2176&amp;G2176,Lookup!J:N,5,0)</f>
        <v>0</v>
      </c>
      <c r="O2176" s="90">
        <f>IFERROR(VLOOKUP(A2176&amp;G2176,Lookup!J:K,2,0),"")</f>
        <v>0</v>
      </c>
      <c r="P2176" s="110" t="str">
        <f t="shared" si="127"/>
        <v/>
      </c>
      <c r="R2176" s="87" t="str">
        <f t="shared" si="128"/>
        <v/>
      </c>
      <c r="S2176" s="87" t="str">
        <f t="shared" si="129"/>
        <v/>
      </c>
    </row>
    <row r="2177" spans="2:19" x14ac:dyDescent="0.25">
      <c r="B2177" s="91" t="str">
        <f>IFERROR(VLOOKUP(A2177,Lookup!A:B,2,0),"")</f>
        <v/>
      </c>
      <c r="C2177" s="59" t="str">
        <f>IFERROR(VLOOKUP(A2177,Lookup!A:C,3,0),"")</f>
        <v/>
      </c>
      <c r="J2177" s="106">
        <f>VLOOKUP(A2177&amp;G2177,Lookup!J:N,5,0)</f>
        <v>0</v>
      </c>
      <c r="O2177" s="90">
        <f>IFERROR(VLOOKUP(A2177&amp;G2177,Lookup!J:K,2,0),"")</f>
        <v>0</v>
      </c>
      <c r="P2177" s="110" t="str">
        <f t="shared" si="127"/>
        <v/>
      </c>
      <c r="R2177" s="87" t="str">
        <f t="shared" si="128"/>
        <v/>
      </c>
      <c r="S2177" s="87" t="str">
        <f t="shared" si="129"/>
        <v/>
      </c>
    </row>
    <row r="2178" spans="2:19" x14ac:dyDescent="0.25">
      <c r="B2178" s="91" t="str">
        <f>IFERROR(VLOOKUP(A2178,Lookup!A:B,2,0),"")</f>
        <v/>
      </c>
      <c r="C2178" s="59" t="str">
        <f>IFERROR(VLOOKUP(A2178,Lookup!A:C,3,0),"")</f>
        <v/>
      </c>
      <c r="J2178" s="106">
        <f>VLOOKUP(A2178&amp;G2178,Lookup!J:N,5,0)</f>
        <v>0</v>
      </c>
      <c r="O2178" s="90">
        <f>IFERROR(VLOOKUP(A2178&amp;G2178,Lookup!J:K,2,0),"")</f>
        <v>0</v>
      </c>
      <c r="P2178" s="110" t="str">
        <f t="shared" ref="P2178" si="130">IF(N2178="","",N2178+O2178)</f>
        <v/>
      </c>
      <c r="R2178" s="87" t="str">
        <f t="shared" si="128"/>
        <v/>
      </c>
      <c r="S2178" s="87" t="str">
        <f t="shared" si="129"/>
        <v/>
      </c>
    </row>
  </sheetData>
  <sortState ref="A4:X100">
    <sortCondition ref="X3"/>
  </sortState>
  <mergeCells count="4">
    <mergeCell ref="Q1:Q2"/>
    <mergeCell ref="A1:B2"/>
    <mergeCell ref="R1:X2"/>
    <mergeCell ref="D1:N2"/>
  </mergeCells>
  <conditionalFormatting sqref="V4:V1048576">
    <cfRule type="cellIs" dxfId="2" priority="1" operator="equal">
      <formula>"NOT OK"</formula>
    </cfRule>
    <cfRule type="cellIs" dxfId="1" priority="2" operator="equal">
      <formula>"OK"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15</xdr:col>
                <xdr:colOff>171450</xdr:colOff>
                <xdr:row>0</xdr:row>
                <xdr:rowOff>85725</xdr:rowOff>
              </from>
              <to>
                <xdr:col>16</xdr:col>
                <xdr:colOff>419100</xdr:colOff>
                <xdr:row>0</xdr:row>
                <xdr:rowOff>361950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15</xdr:col>
                <xdr:colOff>171450</xdr:colOff>
                <xdr:row>1</xdr:row>
                <xdr:rowOff>247650</xdr:rowOff>
              </from>
              <to>
                <xdr:col>16</xdr:col>
                <xdr:colOff>428625</xdr:colOff>
                <xdr:row>1</xdr:row>
                <xdr:rowOff>523875</xdr:rowOff>
              </to>
            </anchor>
          </controlPr>
        </control>
      </mc:Choice>
      <mc:Fallback>
        <control shapeId="4098" r:id="rId6" name="CommandButton2"/>
      </mc:Fallback>
    </mc:AlternateContent>
    <mc:AlternateContent xmlns:mc="http://schemas.openxmlformats.org/markup-compatibility/2006">
      <mc:Choice Requires="x14">
        <control shapeId="4099" r:id="rId8" name="CommandButton3">
          <controlPr defaultSize="0" autoLine="0" r:id="rId9">
            <anchor moveWithCells="1">
              <from>
                <xdr:col>15</xdr:col>
                <xdr:colOff>171450</xdr:colOff>
                <xdr:row>0</xdr:row>
                <xdr:rowOff>438150</xdr:rowOff>
              </from>
              <to>
                <xdr:col>16</xdr:col>
                <xdr:colOff>400050</xdr:colOff>
                <xdr:row>1</xdr:row>
                <xdr:rowOff>161925</xdr:rowOff>
              </to>
            </anchor>
          </controlPr>
        </control>
      </mc:Choice>
      <mc:Fallback>
        <control shapeId="4099" r:id="rId8" name="CommandButton3"/>
      </mc:Fallback>
    </mc:AlternateContent>
    <mc:AlternateContent xmlns:mc="http://schemas.openxmlformats.org/markup-compatibility/2006">
      <mc:Choice Requires="x14">
        <control shapeId="4100" r:id="rId10" name="CommandButton4">
          <controlPr defaultSize="0" autoLine="0" r:id="rId11">
            <anchor moveWithCells="1">
              <from>
                <xdr:col>2</xdr:col>
                <xdr:colOff>247650</xdr:colOff>
                <xdr:row>0</xdr:row>
                <xdr:rowOff>314325</xdr:rowOff>
              </from>
              <to>
                <xdr:col>3</xdr:col>
                <xdr:colOff>876300</xdr:colOff>
                <xdr:row>1</xdr:row>
                <xdr:rowOff>342900</xdr:rowOff>
              </to>
            </anchor>
          </controlPr>
        </control>
      </mc:Choice>
      <mc:Fallback>
        <control shapeId="4100" r:id="rId10" name="CommandButton4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G_Data"/>
  <dimension ref="A1:AL500"/>
  <sheetViews>
    <sheetView workbookViewId="0">
      <pane ySplit="1" topLeftCell="A2" activePane="bottomLeft" state="frozen"/>
      <selection pane="bottomLeft" activeCell="J1" sqref="J1:J1048576"/>
    </sheetView>
  </sheetViews>
  <sheetFormatPr defaultColWidth="9.140625" defaultRowHeight="15" x14ac:dyDescent="0.25"/>
  <cols>
    <col min="1" max="1" width="18.85546875" style="85" customWidth="1"/>
    <col min="2" max="2" width="10.85546875" style="85" customWidth="1"/>
    <col min="3" max="3" width="17.7109375" style="85" customWidth="1"/>
    <col min="4" max="4" width="11.28515625" style="102" customWidth="1"/>
    <col min="5" max="5" width="19.140625" style="85" customWidth="1"/>
    <col min="6" max="8" width="9.140625" style="85" customWidth="1"/>
    <col min="9" max="9" width="13.42578125" style="101" customWidth="1"/>
    <col min="10" max="10" width="13.28515625" style="129" customWidth="1"/>
    <col min="11" max="11" width="14.42578125" style="3" customWidth="1"/>
    <col min="12" max="12" width="15.140625" customWidth="1"/>
    <col min="13" max="13" width="5" customWidth="1"/>
    <col min="14" max="14" width="14.42578125" style="4" customWidth="1"/>
    <col min="15" max="15" width="16.7109375" style="4" customWidth="1"/>
    <col min="16" max="17" width="15.42578125" style="4" customWidth="1"/>
    <col min="18" max="19" width="9.140625" style="1" customWidth="1"/>
    <col min="20" max="20" width="17.42578125" style="1" customWidth="1"/>
    <col min="21" max="21" width="20.7109375" style="7" customWidth="1"/>
    <col min="22" max="22" width="21.28515625" style="10" customWidth="1"/>
    <col min="23" max="23" width="17.140625" style="10" customWidth="1"/>
    <col min="24" max="24" width="26.85546875" style="11" customWidth="1"/>
    <col min="25" max="38" width="9.140625" customWidth="1"/>
  </cols>
  <sheetData>
    <row r="1" spans="1:38" s="18" customFormat="1" ht="48" customHeight="1" x14ac:dyDescent="0.3">
      <c r="A1" s="18" t="s">
        <v>89</v>
      </c>
      <c r="B1" s="18" t="s">
        <v>90</v>
      </c>
      <c r="C1" s="18" t="s">
        <v>91</v>
      </c>
      <c r="D1" s="27" t="s">
        <v>1</v>
      </c>
      <c r="E1" s="18" t="s">
        <v>92</v>
      </c>
      <c r="F1" s="18" t="s">
        <v>93</v>
      </c>
      <c r="G1" s="18" t="s">
        <v>94</v>
      </c>
      <c r="H1" s="18" t="s">
        <v>95</v>
      </c>
      <c r="I1" s="19" t="s">
        <v>96</v>
      </c>
      <c r="J1" s="128" t="s">
        <v>124</v>
      </c>
      <c r="K1" s="19" t="s">
        <v>2</v>
      </c>
      <c r="N1" s="18" t="s">
        <v>101</v>
      </c>
      <c r="O1" s="18" t="s">
        <v>102</v>
      </c>
      <c r="P1" s="18" t="s">
        <v>103</v>
      </c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1"/>
      <c r="AG1" s="21"/>
      <c r="AH1" s="21"/>
      <c r="AI1" s="21"/>
      <c r="AJ1" s="21"/>
      <c r="AK1" s="21"/>
      <c r="AL1" s="21"/>
    </row>
    <row r="2" spans="1:38" ht="14.45" x14ac:dyDescent="0.3">
      <c r="A2"/>
      <c r="B2"/>
      <c r="C2"/>
      <c r="D2" s="26"/>
      <c r="E2"/>
      <c r="F2"/>
      <c r="G2"/>
      <c r="H2"/>
      <c r="I2" s="99"/>
      <c r="J2" s="113"/>
      <c r="K2" s="3">
        <f>IFERROR(VLOOKUP(A2&amp;D2,Lookup!J4:K68,2,0),"No Data")</f>
        <v>0</v>
      </c>
      <c r="M2" s="1"/>
      <c r="N2" s="4" t="str">
        <f>IFERROR(VLOOKUP(A2&amp;D2&amp;"Wenzel",Lookup!$L:$M,2,0),"Not Feasible")</f>
        <v>Not Feasible</v>
      </c>
      <c r="O2" s="4" t="str">
        <f>IFERROR(VLOOKUP(A2&amp;D2&amp;"Leitz",Lookup!$L:$M,2,0),"Not Feasible")</f>
        <v>Not Feasible</v>
      </c>
      <c r="P2" s="4" t="str">
        <f>IFERROR(VLOOKUP(A2&amp;D2&amp;"Zeiss",Lookup!$L:$M,2,0),"Not Feasible")</f>
        <v>Not Feasible</v>
      </c>
      <c r="Q2" s="24" t="s">
        <v>105</v>
      </c>
      <c r="R2" s="14">
        <v>4320</v>
      </c>
      <c r="S2" s="1">
        <v>0</v>
      </c>
      <c r="T2" s="1" t="s">
        <v>127</v>
      </c>
      <c r="U2" s="8"/>
      <c r="AB2" s="5"/>
      <c r="AC2" s="5"/>
    </row>
    <row r="3" spans="1:38" ht="14.45" x14ac:dyDescent="0.3">
      <c r="A3"/>
      <c r="B3"/>
      <c r="C3"/>
      <c r="D3" s="26"/>
      <c r="E3"/>
      <c r="F3"/>
      <c r="G3"/>
      <c r="H3"/>
      <c r="I3" s="99"/>
      <c r="J3" s="113"/>
      <c r="K3" s="3">
        <f>IFERROR(VLOOKUP(A3&amp;D3,Lookup!J5:K69,2,0),"No Data")</f>
        <v>0</v>
      </c>
      <c r="L3" s="1"/>
      <c r="M3" s="1"/>
      <c r="N3" s="4" t="str">
        <f>IFERROR(VLOOKUP(A3&amp;D3&amp;"Wenzel",Lookup!$L:$M,2,0),"Not Feasible")</f>
        <v>Not Feasible</v>
      </c>
      <c r="O3" s="4" t="str">
        <f>IFERROR(VLOOKUP(A3&amp;D3&amp;"Leitz",Lookup!$L:$M,2,0),"Not Feasible")</f>
        <v>Not Feasible</v>
      </c>
      <c r="P3" s="4" t="str">
        <f>IFERROR(VLOOKUP(A3&amp;D3&amp;"Zeiss",Lookup!$L:$M,2,0),"Not Feasible")</f>
        <v>Not Feasible</v>
      </c>
      <c r="Q3" s="24" t="s">
        <v>106</v>
      </c>
      <c r="R3" s="14">
        <v>8700</v>
      </c>
      <c r="S3" s="1">
        <v>0</v>
      </c>
      <c r="T3" s="1" t="s">
        <v>125</v>
      </c>
      <c r="V3" s="124"/>
      <c r="W3" s="88"/>
      <c r="X3" s="88"/>
      <c r="Y3" s="125"/>
      <c r="Z3" s="98"/>
      <c r="AA3" s="88"/>
      <c r="AB3" s="1"/>
      <c r="AC3" s="48"/>
      <c r="AD3" s="126"/>
      <c r="AE3" s="127"/>
    </row>
    <row r="4" spans="1:38" ht="14.45" x14ac:dyDescent="0.3">
      <c r="A4"/>
      <c r="B4"/>
      <c r="C4"/>
      <c r="D4" s="26"/>
      <c r="E4"/>
      <c r="F4"/>
      <c r="G4"/>
      <c r="H4"/>
      <c r="I4" s="99"/>
      <c r="J4" s="113"/>
      <c r="K4" s="3">
        <f>IFERROR(VLOOKUP(A4&amp;D4,Lookup!J6:K70,2,0),"No Data")</f>
        <v>0</v>
      </c>
      <c r="L4" s="1"/>
      <c r="M4" s="1"/>
      <c r="N4" s="4" t="str">
        <f>IFERROR(VLOOKUP(A4&amp;D4&amp;"Wenzel",Lookup!$L:$M,2,0),"Not Feasible")</f>
        <v>Not Feasible</v>
      </c>
      <c r="O4" s="4" t="str">
        <f>IFERROR(VLOOKUP(A4&amp;D4&amp;"Leitz",Lookup!$L:$M,2,0),"Not Feasible")</f>
        <v>Not Feasible</v>
      </c>
      <c r="P4" s="4" t="str">
        <f>IFERROR(VLOOKUP(A4&amp;D4&amp;"Zeiss",Lookup!$L:$M,2,0),"Not Feasible")</f>
        <v>Not Feasible</v>
      </c>
      <c r="Q4" s="24" t="s">
        <v>107</v>
      </c>
      <c r="R4" s="14">
        <v>7440</v>
      </c>
      <c r="S4" s="1">
        <v>0</v>
      </c>
      <c r="T4" s="1" t="s">
        <v>126</v>
      </c>
      <c r="U4" s="9"/>
      <c r="V4" s="9"/>
    </row>
    <row r="5" spans="1:38" ht="14.45" x14ac:dyDescent="0.3">
      <c r="A5"/>
      <c r="B5"/>
      <c r="C5"/>
      <c r="D5" s="26"/>
      <c r="E5"/>
      <c r="F5"/>
      <c r="G5"/>
      <c r="H5"/>
      <c r="I5" s="99"/>
      <c r="J5" s="113"/>
      <c r="K5" s="3">
        <f>IFERROR(VLOOKUP(A5&amp;D5,Lookup!J7:K71,2,0),"No Data")</f>
        <v>0</v>
      </c>
      <c r="L5" s="1"/>
      <c r="M5" s="1"/>
      <c r="N5" s="4" t="str">
        <f>IFERROR(VLOOKUP(A5&amp;D5&amp;"Wenzel",Lookup!$L:$M,2,0),"Not Feasible")</f>
        <v>Not Feasible</v>
      </c>
      <c r="O5" s="4" t="str">
        <f>IFERROR(VLOOKUP(A5&amp;D5&amp;"Leitz",Lookup!$L:$M,2,0),"Not Feasible")</f>
        <v>Not Feasible</v>
      </c>
      <c r="P5" s="4" t="str">
        <f>IFERROR(VLOOKUP(A5&amp;D5&amp;"Zeiss",Lookup!$L:$M,2,0),"Not Feasible")</f>
        <v>Not Feasible</v>
      </c>
      <c r="Q5" s="24"/>
      <c r="U5" s="9"/>
    </row>
    <row r="6" spans="1:38" ht="14.45" x14ac:dyDescent="0.3">
      <c r="A6"/>
      <c r="B6"/>
      <c r="C6"/>
      <c r="D6" s="26"/>
      <c r="E6"/>
      <c r="F6"/>
      <c r="G6"/>
      <c r="H6"/>
      <c r="I6" s="99"/>
      <c r="J6" s="113"/>
      <c r="K6" s="3">
        <f>IFERROR(VLOOKUP(A6&amp;D6,Lookup!J8:K72,2,0),"No Data")</f>
        <v>0</v>
      </c>
      <c r="L6" s="1"/>
      <c r="M6" s="1"/>
      <c r="N6" s="4" t="str">
        <f>IFERROR(VLOOKUP(A6&amp;D6&amp;"Wenzel",Lookup!$L:$M,2,0),"Not Feasible")</f>
        <v>Not Feasible</v>
      </c>
      <c r="O6" s="4" t="str">
        <f>IFERROR(VLOOKUP(A6&amp;D6&amp;"Leitz",Lookup!$L:$M,2,0),"Not Feasible")</f>
        <v>Not Feasible</v>
      </c>
      <c r="P6" s="4" t="str">
        <f>IFERROR(VLOOKUP(A6&amp;D6&amp;"Zeiss",Lookup!$L:$M,2,0),"Not Feasible")</f>
        <v>Not Feasible</v>
      </c>
      <c r="U6" s="9"/>
      <c r="V6" s="2"/>
    </row>
    <row r="7" spans="1:38" ht="14.45" x14ac:dyDescent="0.3">
      <c r="A7"/>
      <c r="B7"/>
      <c r="C7"/>
      <c r="D7" s="26"/>
      <c r="E7"/>
      <c r="F7"/>
      <c r="G7"/>
      <c r="H7"/>
      <c r="I7" s="99"/>
      <c r="J7" s="113"/>
      <c r="K7" s="3">
        <f>IFERROR(VLOOKUP(A7&amp;D7,Lookup!J9:K73,2,0),"No Data")</f>
        <v>0</v>
      </c>
      <c r="L7" s="1"/>
      <c r="M7" s="1"/>
      <c r="N7" s="4" t="str">
        <f>IFERROR(VLOOKUP(A7&amp;D7&amp;"Wenzel",Lookup!$L:$M,2,0),"Not Feasible")</f>
        <v>Not Feasible</v>
      </c>
      <c r="O7" s="4" t="str">
        <f>IFERROR(VLOOKUP(A7&amp;D7&amp;"Leitz",Lookup!$L:$M,2,0),"Not Feasible")</f>
        <v>Not Feasible</v>
      </c>
      <c r="P7" s="4" t="str">
        <f>IFERROR(VLOOKUP(A7&amp;D7&amp;"Zeiss",Lookup!$L:$M,2,0),"Not Feasible")</f>
        <v>Not Feasible</v>
      </c>
    </row>
    <row r="8" spans="1:38" ht="14.45" x14ac:dyDescent="0.3">
      <c r="A8"/>
      <c r="B8"/>
      <c r="C8"/>
      <c r="D8" s="26"/>
      <c r="E8"/>
      <c r="F8"/>
      <c r="G8"/>
      <c r="H8"/>
      <c r="I8" s="99"/>
      <c r="J8" s="113"/>
      <c r="K8" s="3">
        <f>IFERROR(VLOOKUP(A8&amp;D8,Lookup!J10:K74,2,0),"No Data")</f>
        <v>0</v>
      </c>
      <c r="L8" s="1"/>
      <c r="M8" s="1"/>
      <c r="N8" s="4" t="str">
        <f>IFERROR(VLOOKUP(A8&amp;D8&amp;"Wenzel",Lookup!$L:$M,2,0),"Not Feasible")</f>
        <v>Not Feasible</v>
      </c>
      <c r="O8" s="4" t="str">
        <f>IFERROR(VLOOKUP(A8&amp;D8&amp;"Leitz",Lookup!$L:$M,2,0),"Not Feasible")</f>
        <v>Not Feasible</v>
      </c>
      <c r="P8" s="4" t="str">
        <f>IFERROR(VLOOKUP(A8&amp;D8&amp;"Zeiss",Lookup!$L:$M,2,0),"Not Feasible")</f>
        <v>Not Feasible</v>
      </c>
      <c r="U8" s="9"/>
    </row>
    <row r="9" spans="1:38" ht="14.45" x14ac:dyDescent="0.3">
      <c r="A9"/>
      <c r="B9"/>
      <c r="C9"/>
      <c r="D9" s="26"/>
      <c r="E9"/>
      <c r="F9"/>
      <c r="G9"/>
      <c r="H9"/>
      <c r="I9" s="99"/>
      <c r="J9" s="113"/>
      <c r="K9" s="3">
        <f>IFERROR(VLOOKUP(A9&amp;D9,Lookup!J11:K75,2,0),"No Data")</f>
        <v>0</v>
      </c>
      <c r="L9" s="1"/>
      <c r="M9" s="1"/>
      <c r="N9" s="4" t="str">
        <f>IFERROR(VLOOKUP(A9&amp;D9&amp;"Wenzel",Lookup!$L:$M,2,0),"Not Feasible")</f>
        <v>Not Feasible</v>
      </c>
      <c r="O9" s="4" t="str">
        <f>IFERROR(VLOOKUP(A9&amp;D9&amp;"Leitz",Lookup!$L:$M,2,0),"Not Feasible")</f>
        <v>Not Feasible</v>
      </c>
      <c r="P9" s="4" t="str">
        <f>IFERROR(VLOOKUP(A9&amp;D9&amp;"Zeiss",Lookup!$L:$M,2,0),"Not Feasible")</f>
        <v>Not Feasible</v>
      </c>
      <c r="U9" s="9"/>
    </row>
    <row r="10" spans="1:38" ht="14.45" x14ac:dyDescent="0.3">
      <c r="A10"/>
      <c r="B10"/>
      <c r="C10"/>
      <c r="D10" s="26"/>
      <c r="E10"/>
      <c r="F10"/>
      <c r="G10"/>
      <c r="H10"/>
      <c r="I10" s="99"/>
      <c r="J10" s="113"/>
      <c r="K10" s="3">
        <f>IFERROR(VLOOKUP(A10&amp;D10,Lookup!J12:K76,2,0),"No Data")</f>
        <v>0</v>
      </c>
      <c r="L10" s="1"/>
      <c r="M10" s="1"/>
      <c r="N10" s="4" t="str">
        <f>IFERROR(VLOOKUP(A10&amp;D10&amp;"Wenzel",Lookup!$L:$M,2,0),"Not Feasible")</f>
        <v>Not Feasible</v>
      </c>
      <c r="O10" s="4" t="str">
        <f>IFERROR(VLOOKUP(A10&amp;D10&amp;"Leitz",Lookup!$L:$M,2,0),"Not Feasible")</f>
        <v>Not Feasible</v>
      </c>
      <c r="P10" s="4" t="str">
        <f>IFERROR(VLOOKUP(A10&amp;D10&amp;"Zeiss",Lookup!$L:$M,2,0),"Not Feasible")</f>
        <v>Not Feasible</v>
      </c>
      <c r="U10" s="9"/>
    </row>
    <row r="11" spans="1:38" ht="14.45" x14ac:dyDescent="0.3">
      <c r="A11"/>
      <c r="B11"/>
      <c r="C11"/>
      <c r="D11" s="26"/>
      <c r="E11"/>
      <c r="F11"/>
      <c r="G11"/>
      <c r="H11"/>
      <c r="I11" s="99"/>
      <c r="J11" s="113"/>
      <c r="K11" s="3">
        <f>IFERROR(VLOOKUP(A11&amp;D11,Lookup!J13:K77,2,0),"No Data")</f>
        <v>0</v>
      </c>
      <c r="L11" s="1"/>
      <c r="M11" s="1"/>
      <c r="N11" s="4" t="str">
        <f>IFERROR(VLOOKUP(A11&amp;D11&amp;"Wenzel",Lookup!$L:$M,2,0),"Not Feasible")</f>
        <v>Not Feasible</v>
      </c>
      <c r="O11" s="4" t="str">
        <f>IFERROR(VLOOKUP(A11&amp;D11&amp;"Leitz",Lookup!$L:$M,2,0),"Not Feasible")</f>
        <v>Not Feasible</v>
      </c>
      <c r="P11" s="4" t="str">
        <f>IFERROR(VLOOKUP(A11&amp;D11&amp;"Zeiss",Lookup!$L:$M,2,0),"Not Feasible")</f>
        <v>Not Feasible</v>
      </c>
      <c r="U11" s="9"/>
    </row>
    <row r="12" spans="1:38" ht="14.45" x14ac:dyDescent="0.3">
      <c r="A12"/>
      <c r="B12"/>
      <c r="C12"/>
      <c r="D12" s="26"/>
      <c r="E12"/>
      <c r="F12"/>
      <c r="G12"/>
      <c r="H12"/>
      <c r="I12" s="99"/>
      <c r="J12" s="113"/>
      <c r="K12" s="3">
        <f>IFERROR(VLOOKUP(A12&amp;D12,Lookup!J14:K78,2,0),"No Data")</f>
        <v>0</v>
      </c>
      <c r="L12" s="1"/>
      <c r="M12" s="1"/>
      <c r="N12" s="4" t="str">
        <f>IFERROR(VLOOKUP(A12&amp;D12&amp;"Wenzel",Lookup!$L:$M,2,0),"Not Feasible")</f>
        <v>Not Feasible</v>
      </c>
      <c r="O12" s="4" t="str">
        <f>IFERROR(VLOOKUP(A12&amp;D12&amp;"Leitz",Lookup!$L:$M,2,0),"Not Feasible")</f>
        <v>Not Feasible</v>
      </c>
      <c r="P12" s="4" t="str">
        <f>IFERROR(VLOOKUP(A12&amp;D12&amp;"Zeiss",Lookup!$L:$M,2,0),"Not Feasible")</f>
        <v>Not Feasible</v>
      </c>
      <c r="U12" s="9"/>
    </row>
    <row r="13" spans="1:38" ht="14.45" x14ac:dyDescent="0.3">
      <c r="A13"/>
      <c r="B13"/>
      <c r="C13"/>
      <c r="D13" s="26"/>
      <c r="E13"/>
      <c r="F13"/>
      <c r="G13"/>
      <c r="H13"/>
      <c r="I13" s="99"/>
      <c r="J13" s="113"/>
      <c r="K13" s="3">
        <f>IFERROR(VLOOKUP(A13&amp;D13,Lookup!J15:K79,2,0),"No Data")</f>
        <v>0</v>
      </c>
      <c r="L13" s="1"/>
      <c r="M13" s="1"/>
      <c r="N13" s="4" t="str">
        <f>IFERROR(VLOOKUP(A13&amp;D13&amp;"Wenzel",Lookup!$L:$M,2,0),"Not Feasible")</f>
        <v>Not Feasible</v>
      </c>
      <c r="O13" s="4" t="str">
        <f>IFERROR(VLOOKUP(A13&amp;D13&amp;"Leitz",Lookup!$L:$M,2,0),"Not Feasible")</f>
        <v>Not Feasible</v>
      </c>
      <c r="P13" s="4" t="str">
        <f>IFERROR(VLOOKUP(A13&amp;D13&amp;"Zeiss",Lookup!$L:$M,2,0),"Not Feasible")</f>
        <v>Not Feasible</v>
      </c>
      <c r="U13" s="9"/>
      <c r="W13" s="9"/>
      <c r="X13" s="12"/>
    </row>
    <row r="14" spans="1:38" ht="14.45" x14ac:dyDescent="0.3">
      <c r="A14"/>
      <c r="B14"/>
      <c r="C14"/>
      <c r="D14" s="26"/>
      <c r="E14"/>
      <c r="F14"/>
      <c r="G14"/>
      <c r="H14"/>
      <c r="I14" s="99"/>
      <c r="J14" s="113"/>
      <c r="K14" s="3">
        <f>IFERROR(VLOOKUP(A14&amp;D14,Lookup!J16:K80,2,0),"No Data")</f>
        <v>0</v>
      </c>
      <c r="L14" s="1"/>
      <c r="M14" s="1"/>
      <c r="N14" s="4" t="str">
        <f>IFERROR(VLOOKUP(A14&amp;D14&amp;"Wenzel",Lookup!$L:$M,2,0),"Not Feasible")</f>
        <v>Not Feasible</v>
      </c>
      <c r="O14" s="4" t="str">
        <f>IFERROR(VLOOKUP(A14&amp;D14&amp;"Leitz",Lookup!$L:$M,2,0),"Not Feasible")</f>
        <v>Not Feasible</v>
      </c>
      <c r="P14" s="4" t="str">
        <f>IFERROR(VLOOKUP(A14&amp;D14&amp;"Zeiss",Lookup!$L:$M,2,0),"Not Feasible")</f>
        <v>Not Feasible</v>
      </c>
      <c r="U14" s="9"/>
    </row>
    <row r="15" spans="1:38" ht="14.45" x14ac:dyDescent="0.3">
      <c r="A15"/>
      <c r="B15"/>
      <c r="C15"/>
      <c r="D15" s="26"/>
      <c r="E15"/>
      <c r="F15"/>
      <c r="G15"/>
      <c r="H15"/>
      <c r="I15" s="99"/>
      <c r="J15" s="113"/>
      <c r="K15" s="3">
        <f>IFERROR(VLOOKUP(A15&amp;D15,Lookup!J17:K81,2,0),"No Data")</f>
        <v>0</v>
      </c>
      <c r="L15" s="1"/>
      <c r="M15" s="1"/>
      <c r="N15" s="4" t="str">
        <f>IFERROR(VLOOKUP(A15&amp;D15&amp;"Wenzel",Lookup!$L:$M,2,0),"Not Feasible")</f>
        <v>Not Feasible</v>
      </c>
      <c r="O15" s="4" t="str">
        <f>IFERROR(VLOOKUP(A15&amp;D15&amp;"Leitz",Lookup!$L:$M,2,0),"Not Feasible")</f>
        <v>Not Feasible</v>
      </c>
      <c r="P15" s="4" t="str">
        <f>IFERROR(VLOOKUP(A15&amp;D15&amp;"Zeiss",Lookup!$L:$M,2,0),"Not Feasible")</f>
        <v>Not Feasible</v>
      </c>
      <c r="U15" s="9"/>
    </row>
    <row r="16" spans="1:38" ht="14.45" x14ac:dyDescent="0.3">
      <c r="A16"/>
      <c r="B16"/>
      <c r="C16"/>
      <c r="D16" s="26"/>
      <c r="E16"/>
      <c r="F16"/>
      <c r="G16"/>
      <c r="H16"/>
      <c r="I16" s="99"/>
      <c r="J16" s="113"/>
      <c r="K16" s="3">
        <f>IFERROR(VLOOKUP(A16&amp;D16,Lookup!J18:K82,2,0),"No Data")</f>
        <v>0</v>
      </c>
      <c r="L16" s="1"/>
      <c r="M16" s="1"/>
      <c r="N16" s="4" t="str">
        <f>IFERROR(VLOOKUP(A16&amp;D16&amp;"Wenzel",Lookup!$L:$M,2,0),"Not Feasible")</f>
        <v>Not Feasible</v>
      </c>
      <c r="O16" s="4" t="str">
        <f>IFERROR(VLOOKUP(A16&amp;D16&amp;"Leitz",Lookup!$L:$M,2,0),"Not Feasible")</f>
        <v>Not Feasible</v>
      </c>
      <c r="P16" s="4" t="str">
        <f>IFERROR(VLOOKUP(A16&amp;D16&amp;"Zeiss",Lookup!$L:$M,2,0),"Not Feasible")</f>
        <v>Not Feasible</v>
      </c>
    </row>
    <row r="17" spans="1:16" ht="14.45" x14ac:dyDescent="0.3">
      <c r="A17"/>
      <c r="B17"/>
      <c r="C17"/>
      <c r="D17" s="26"/>
      <c r="E17"/>
      <c r="F17"/>
      <c r="G17"/>
      <c r="H17"/>
      <c r="I17" s="99"/>
      <c r="J17" s="113"/>
      <c r="K17" s="3">
        <f>IFERROR(VLOOKUP(A17&amp;D17,Lookup!J19:K83,2,0),"No Data")</f>
        <v>0</v>
      </c>
      <c r="L17" s="1"/>
      <c r="M17" s="1"/>
      <c r="N17" s="4" t="str">
        <f>IFERROR(VLOOKUP(A17&amp;D17&amp;"Wenzel",Lookup!$L:$M,2,0),"Not Feasible")</f>
        <v>Not Feasible</v>
      </c>
      <c r="O17" s="4" t="str">
        <f>IFERROR(VLOOKUP(A17&amp;D17&amp;"Leitz",Lookup!$L:$M,2,0),"Not Feasible")</f>
        <v>Not Feasible</v>
      </c>
      <c r="P17" s="4" t="str">
        <f>IFERROR(VLOOKUP(A17&amp;D17&amp;"Zeiss",Lookup!$L:$M,2,0),"Not Feasible")</f>
        <v>Not Feasible</v>
      </c>
    </row>
    <row r="18" spans="1:16" ht="14.45" x14ac:dyDescent="0.3">
      <c r="A18"/>
      <c r="B18"/>
      <c r="C18"/>
      <c r="D18" s="26"/>
      <c r="E18"/>
      <c r="F18"/>
      <c r="G18"/>
      <c r="H18"/>
      <c r="I18" s="99"/>
      <c r="J18" s="113"/>
      <c r="K18" s="3">
        <f>IFERROR(VLOOKUP(A18&amp;D18,Lookup!J20:K84,2,0),"No Data")</f>
        <v>0</v>
      </c>
      <c r="L18" s="1"/>
      <c r="M18" s="1"/>
      <c r="N18" s="4" t="str">
        <f>IFERROR(VLOOKUP(A18&amp;D18&amp;"Wenzel",Lookup!$L:$M,2,0),"Not Feasible")</f>
        <v>Not Feasible</v>
      </c>
      <c r="O18" s="4" t="str">
        <f>IFERROR(VLOOKUP(A18&amp;D18&amp;"Leitz",Lookup!$L:$M,2,0),"Not Feasible")</f>
        <v>Not Feasible</v>
      </c>
      <c r="P18" s="4" t="str">
        <f>IFERROR(VLOOKUP(A18&amp;D18&amp;"Zeiss",Lookup!$L:$M,2,0),"Not Feasible")</f>
        <v>Not Feasible</v>
      </c>
    </row>
    <row r="19" spans="1:16" ht="14.45" x14ac:dyDescent="0.3">
      <c r="A19"/>
      <c r="B19"/>
      <c r="C19"/>
      <c r="D19" s="26"/>
      <c r="E19"/>
      <c r="F19"/>
      <c r="G19"/>
      <c r="H19"/>
      <c r="I19" s="99"/>
      <c r="J19" s="113"/>
      <c r="K19" s="3">
        <f>IFERROR(VLOOKUP(A19&amp;D19,Lookup!J21:K85,2,0),"No Data")</f>
        <v>0</v>
      </c>
      <c r="L19" s="1"/>
      <c r="M19" s="1"/>
      <c r="N19" s="4" t="str">
        <f>IFERROR(VLOOKUP(A19&amp;D19&amp;"Wenzel",Lookup!$L:$M,2,0),"Not Feasible")</f>
        <v>Not Feasible</v>
      </c>
      <c r="O19" s="4" t="str">
        <f>IFERROR(VLOOKUP(A19&amp;D19&amp;"Leitz",Lookup!$L:$M,2,0),"Not Feasible")</f>
        <v>Not Feasible</v>
      </c>
      <c r="P19" s="4" t="str">
        <f>IFERROR(VLOOKUP(A19&amp;D19&amp;"Zeiss",Lookup!$L:$M,2,0),"Not Feasible")</f>
        <v>Not Feasible</v>
      </c>
    </row>
    <row r="20" spans="1:16" ht="14.45" x14ac:dyDescent="0.3">
      <c r="A20"/>
      <c r="B20"/>
      <c r="C20"/>
      <c r="D20" s="26"/>
      <c r="E20"/>
      <c r="F20"/>
      <c r="G20"/>
      <c r="H20"/>
      <c r="I20" s="99"/>
      <c r="J20" s="113"/>
      <c r="K20" s="3">
        <f>IFERROR(VLOOKUP(A20&amp;D20,Lookup!J22:K86,2,0),"No Data")</f>
        <v>0</v>
      </c>
      <c r="L20" s="1"/>
      <c r="M20" s="1"/>
      <c r="N20" s="4" t="str">
        <f>IFERROR(VLOOKUP(A20&amp;D20&amp;"Wenzel",Lookup!$L:$M,2,0),"Not Feasible")</f>
        <v>Not Feasible</v>
      </c>
      <c r="O20" s="4" t="str">
        <f>IFERROR(VLOOKUP(A20&amp;D20&amp;"Leitz",Lookup!$L:$M,2,0),"Not Feasible")</f>
        <v>Not Feasible</v>
      </c>
      <c r="P20" s="4" t="str">
        <f>IFERROR(VLOOKUP(A20&amp;D20&amp;"Zeiss",Lookup!$L:$M,2,0),"Not Feasible")</f>
        <v>Not Feasible</v>
      </c>
    </row>
    <row r="21" spans="1:16" ht="14.45" x14ac:dyDescent="0.3">
      <c r="A21"/>
      <c r="B21"/>
      <c r="C21"/>
      <c r="D21" s="26"/>
      <c r="E21"/>
      <c r="F21"/>
      <c r="G21"/>
      <c r="H21"/>
      <c r="I21" s="99"/>
      <c r="J21" s="113"/>
      <c r="K21" s="3">
        <f>IFERROR(VLOOKUP(A21&amp;D21,Lookup!J23:K87,2,0),"No Data")</f>
        <v>0</v>
      </c>
      <c r="L21" s="1"/>
      <c r="M21" s="1"/>
      <c r="N21" s="4" t="str">
        <f>IFERROR(VLOOKUP(A21&amp;D21&amp;"Wenzel",Lookup!$L:$M,2,0),"Not Feasible")</f>
        <v>Not Feasible</v>
      </c>
      <c r="O21" s="4" t="str">
        <f>IFERROR(VLOOKUP(A21&amp;D21&amp;"Leitz",Lookup!$L:$M,2,0),"Not Feasible")</f>
        <v>Not Feasible</v>
      </c>
      <c r="P21" s="4" t="str">
        <f>IFERROR(VLOOKUP(A21&amp;D21&amp;"Zeiss",Lookup!$L:$M,2,0),"Not Feasible")</f>
        <v>Not Feasible</v>
      </c>
    </row>
    <row r="22" spans="1:16" ht="14.45" x14ac:dyDescent="0.3">
      <c r="A22"/>
      <c r="B22"/>
      <c r="C22"/>
      <c r="D22" s="26"/>
      <c r="E22"/>
      <c r="F22"/>
      <c r="G22"/>
      <c r="H22"/>
      <c r="I22" s="99"/>
      <c r="J22" s="113"/>
      <c r="K22" s="3">
        <f>IFERROR(VLOOKUP(A22&amp;D22,Lookup!J24:K88,2,0),"No Data")</f>
        <v>0</v>
      </c>
      <c r="L22" s="1"/>
      <c r="M22" s="1"/>
      <c r="N22" s="4" t="str">
        <f>IFERROR(VLOOKUP(A22&amp;D22&amp;"Wenzel",Lookup!$L:$M,2,0),"Not Feasible")</f>
        <v>Not Feasible</v>
      </c>
      <c r="O22" s="4" t="str">
        <f>IFERROR(VLOOKUP(A22&amp;D22&amp;"Leitz",Lookup!$L:$M,2,0),"Not Feasible")</f>
        <v>Not Feasible</v>
      </c>
      <c r="P22" s="4" t="str">
        <f>IFERROR(VLOOKUP(A22&amp;D22&amp;"Zeiss",Lookup!$L:$M,2,0),"Not Feasible")</f>
        <v>Not Feasible</v>
      </c>
    </row>
    <row r="23" spans="1:16" ht="14.45" x14ac:dyDescent="0.3">
      <c r="A23"/>
      <c r="B23"/>
      <c r="C23"/>
      <c r="D23" s="26"/>
      <c r="E23"/>
      <c r="F23"/>
      <c r="G23"/>
      <c r="H23"/>
      <c r="I23" s="99"/>
      <c r="J23" s="113"/>
      <c r="K23" s="3">
        <f>IFERROR(VLOOKUP(A23&amp;D23,Lookup!J25:K89,2,0),"No Data")</f>
        <v>0</v>
      </c>
      <c r="N23" s="4" t="str">
        <f>IFERROR(VLOOKUP(A23&amp;D23&amp;"Wenzel",Lookup!$L:$M,2,0),"Not Feasible")</f>
        <v>Not Feasible</v>
      </c>
      <c r="O23" s="4" t="str">
        <f>IFERROR(VLOOKUP(A23&amp;D23&amp;"Leitz",Lookup!$L:$M,2,0),"Not Feasible")</f>
        <v>Not Feasible</v>
      </c>
      <c r="P23" s="4" t="str">
        <f>IFERROR(VLOOKUP(A23&amp;D23&amp;"Zeiss",Lookup!$L:$M,2,0),"Not Feasible")</f>
        <v>Not Feasible</v>
      </c>
    </row>
    <row r="24" spans="1:16" ht="14.45" x14ac:dyDescent="0.3">
      <c r="A24"/>
      <c r="B24"/>
      <c r="C24"/>
      <c r="D24" s="26"/>
      <c r="E24"/>
      <c r="F24"/>
      <c r="G24"/>
      <c r="H24"/>
      <c r="I24" s="99"/>
      <c r="J24" s="113"/>
      <c r="K24" s="3">
        <f>IFERROR(VLOOKUP(A24&amp;D24,Lookup!J26:K90,2,0),"No Data")</f>
        <v>0</v>
      </c>
      <c r="N24" s="4" t="str">
        <f>IFERROR(VLOOKUP(A24&amp;D24&amp;"Wenzel",Lookup!$L:$M,2,0),"Not Feasible")</f>
        <v>Not Feasible</v>
      </c>
      <c r="O24" s="4" t="str">
        <f>IFERROR(VLOOKUP(A24&amp;D24&amp;"Leitz",Lookup!$L:$M,2,0),"Not Feasible")</f>
        <v>Not Feasible</v>
      </c>
      <c r="P24" s="4" t="str">
        <f>IFERROR(VLOOKUP(A24&amp;D24&amp;"Zeiss",Lookup!$L:$M,2,0),"Not Feasible")</f>
        <v>Not Feasible</v>
      </c>
    </row>
    <row r="25" spans="1:16" ht="14.45" x14ac:dyDescent="0.3">
      <c r="A25"/>
      <c r="B25"/>
      <c r="C25"/>
      <c r="D25" s="26"/>
      <c r="E25"/>
      <c r="F25"/>
      <c r="G25"/>
      <c r="H25"/>
      <c r="I25" s="99"/>
      <c r="J25" s="113"/>
      <c r="K25" s="3" t="str">
        <f>IFERROR(VLOOKUP(Lookup!D1&amp;Lookup!G1,Lookup!J27:K91,2,0),"No Data")</f>
        <v>No Data</v>
      </c>
      <c r="N25" s="4" t="str">
        <f>IFERROR(VLOOKUP(A25&amp;D25&amp;"Wenzel",Lookup!$L:$M,2,0),"Not Feasible")</f>
        <v>Not Feasible</v>
      </c>
      <c r="O25" s="4" t="str">
        <f>IFERROR(VLOOKUP(A25&amp;D25&amp;"Leitz",Lookup!$L:$M,2,0),"Not Feasible")</f>
        <v>Not Feasible</v>
      </c>
      <c r="P25" s="4" t="str">
        <f>IFERROR(VLOOKUP(A25&amp;D25&amp;"Zeiss",Lookup!$L:$M,2,0),"Not Feasible")</f>
        <v>Not Feasible</v>
      </c>
    </row>
    <row r="26" spans="1:16" ht="14.45" x14ac:dyDescent="0.3">
      <c r="A26"/>
      <c r="B26"/>
      <c r="C26"/>
      <c r="D26" s="26"/>
      <c r="E26"/>
      <c r="F26"/>
      <c r="G26"/>
      <c r="H26"/>
      <c r="I26" s="99"/>
      <c r="J26" s="113"/>
      <c r="K26" s="3">
        <f>IFERROR(VLOOKUP(A26&amp;D26,Lookup!J28:K92,2,0),"No Data")</f>
        <v>0</v>
      </c>
      <c r="N26" s="4" t="str">
        <f>IFERROR(VLOOKUP(A26&amp;D26&amp;"Wenzel",Lookup!$L:$M,2,0),"Not Feasible")</f>
        <v>Not Feasible</v>
      </c>
      <c r="O26" s="4" t="str">
        <f>IFERROR(VLOOKUP(A26&amp;D26&amp;"Leitz",Lookup!$L:$M,2,0),"Not Feasible")</f>
        <v>Not Feasible</v>
      </c>
      <c r="P26" s="4" t="str">
        <f>IFERROR(VLOOKUP(A26&amp;D26&amp;"Zeiss",Lookup!$L:$M,2,0),"Not Feasible")</f>
        <v>Not Feasible</v>
      </c>
    </row>
    <row r="27" spans="1:16" x14ac:dyDescent="0.25">
      <c r="A27"/>
      <c r="B27"/>
      <c r="C27"/>
      <c r="D27" s="26"/>
      <c r="E27"/>
      <c r="F27"/>
      <c r="G27"/>
      <c r="H27"/>
      <c r="I27" s="99"/>
      <c r="J27" s="113"/>
      <c r="K27" s="3">
        <f>IFERROR(VLOOKUP(A27&amp;D27,Lookup!J29:K93,2,0),"No Data")</f>
        <v>0</v>
      </c>
      <c r="N27" s="4" t="str">
        <f>IFERROR(VLOOKUP(A27&amp;D27&amp;"Wenzel",Lookup!$L:$M,2,0),"Not Feasible")</f>
        <v>Not Feasible</v>
      </c>
      <c r="O27" s="4" t="str">
        <f>IFERROR(VLOOKUP(A27&amp;D27&amp;"Leitz",Lookup!$L:$M,2,0),"Not Feasible")</f>
        <v>Not Feasible</v>
      </c>
      <c r="P27" s="4" t="str">
        <f>IFERROR(VLOOKUP(A27&amp;D27&amp;"Zeiss",Lookup!$L:$M,2,0),"Not Feasible")</f>
        <v>Not Feasible</v>
      </c>
    </row>
    <row r="28" spans="1:16" x14ac:dyDescent="0.25">
      <c r="A28"/>
      <c r="B28"/>
      <c r="C28"/>
      <c r="D28" s="26"/>
      <c r="E28"/>
      <c r="F28"/>
      <c r="G28"/>
      <c r="H28"/>
      <c r="I28" s="99"/>
      <c r="J28" s="113"/>
      <c r="K28" s="3">
        <f>IFERROR(VLOOKUP(A28&amp;D28,Lookup!J30:K94,2,0),"No Data")</f>
        <v>0</v>
      </c>
      <c r="N28" s="4" t="str">
        <f>IFERROR(VLOOKUP(A28&amp;D28&amp;"Wenzel",Lookup!$L:$M,2,0),"Not Feasible")</f>
        <v>Not Feasible</v>
      </c>
      <c r="O28" s="4" t="str">
        <f>IFERROR(VLOOKUP(A28&amp;D28&amp;"Leitz",Lookup!$L:$M,2,0),"Not Feasible")</f>
        <v>Not Feasible</v>
      </c>
      <c r="P28" s="4" t="str">
        <f>IFERROR(VLOOKUP(A28&amp;D28&amp;"Zeiss",Lookup!$L:$M,2,0),"Not Feasible")</f>
        <v>Not Feasible</v>
      </c>
    </row>
    <row r="29" spans="1:16" x14ac:dyDescent="0.25">
      <c r="A29"/>
      <c r="B29"/>
      <c r="C29"/>
      <c r="D29" s="26"/>
      <c r="E29"/>
      <c r="F29"/>
      <c r="G29"/>
      <c r="H29"/>
      <c r="I29" s="99"/>
      <c r="J29" s="113"/>
      <c r="K29" s="3">
        <f>IFERROR(VLOOKUP(A29&amp;D29,Lookup!J31:K95,2,0),"No Data")</f>
        <v>0</v>
      </c>
      <c r="N29" s="4" t="str">
        <f>IFERROR(VLOOKUP(A29&amp;D29&amp;"Wenzel",Lookup!$L:$M,2,0),"Not Feasible")</f>
        <v>Not Feasible</v>
      </c>
      <c r="O29" s="4" t="str">
        <f>IFERROR(VLOOKUP(A29&amp;D29&amp;"Leitz",Lookup!$L:$M,2,0),"Not Feasible")</f>
        <v>Not Feasible</v>
      </c>
      <c r="P29" s="4" t="str">
        <f>IFERROR(VLOOKUP(A29&amp;D29&amp;"Zeiss",Lookup!$L:$M,2,0),"Not Feasible")</f>
        <v>Not Feasible</v>
      </c>
    </row>
    <row r="30" spans="1:16" x14ac:dyDescent="0.25">
      <c r="A30"/>
      <c r="B30"/>
      <c r="C30"/>
      <c r="D30" s="26"/>
      <c r="E30"/>
      <c r="F30"/>
      <c r="G30"/>
      <c r="H30"/>
      <c r="I30" s="99"/>
      <c r="J30" s="113"/>
      <c r="K30" s="3">
        <f>IFERROR(VLOOKUP(A30&amp;D30,Lookup!J32:K96,2,0),"No Data")</f>
        <v>0</v>
      </c>
      <c r="N30" s="4" t="str">
        <f>IFERROR(VLOOKUP(A30&amp;D30&amp;"Wenzel",Lookup!$L:$M,2,0),"Not Feasible")</f>
        <v>Not Feasible</v>
      </c>
      <c r="O30" s="4" t="str">
        <f>IFERROR(VLOOKUP(A30&amp;D30&amp;"Leitz",Lookup!$L:$M,2,0),"Not Feasible")</f>
        <v>Not Feasible</v>
      </c>
      <c r="P30" s="4" t="str">
        <f>IFERROR(VLOOKUP(A30&amp;D30&amp;"Zeiss",Lookup!$L:$M,2,0),"Not Feasible")</f>
        <v>Not Feasible</v>
      </c>
    </row>
    <row r="31" spans="1:16" x14ac:dyDescent="0.25">
      <c r="A31"/>
      <c r="B31"/>
      <c r="C31"/>
      <c r="D31" s="26"/>
      <c r="E31"/>
      <c r="F31"/>
      <c r="G31"/>
      <c r="H31"/>
      <c r="I31" s="99"/>
      <c r="J31" s="113"/>
      <c r="K31" s="3">
        <f>IFERROR(VLOOKUP(A31&amp;D31,Lookup!J33:K97,2,0),"No Data")</f>
        <v>0</v>
      </c>
      <c r="N31" s="4" t="str">
        <f>IFERROR(VLOOKUP(A31&amp;D31&amp;"Wenzel",Lookup!$L:$M,2,0),"Not Feasible")</f>
        <v>Not Feasible</v>
      </c>
      <c r="P31" s="4" t="str">
        <f>IFERROR(VLOOKUP(A31&amp;D31&amp;"Zeiss",Lookup!$L:$M,2,0),"Not Feasible")</f>
        <v>Not Feasible</v>
      </c>
    </row>
    <row r="32" spans="1:16" x14ac:dyDescent="0.25">
      <c r="A32"/>
      <c r="B32"/>
      <c r="C32"/>
      <c r="D32" s="26"/>
      <c r="E32"/>
      <c r="F32"/>
      <c r="G32"/>
      <c r="H32"/>
      <c r="I32" s="99"/>
      <c r="J32" s="113"/>
    </row>
    <row r="33" spans="1:10" x14ac:dyDescent="0.25">
      <c r="A33"/>
      <c r="B33"/>
      <c r="C33"/>
      <c r="D33" s="26"/>
      <c r="E33"/>
      <c r="F33"/>
      <c r="G33"/>
      <c r="H33"/>
      <c r="I33" s="99"/>
      <c r="J33" s="113"/>
    </row>
    <row r="34" spans="1:10" x14ac:dyDescent="0.25">
      <c r="A34"/>
      <c r="B34"/>
      <c r="C34"/>
      <c r="D34" s="26"/>
      <c r="E34"/>
      <c r="F34"/>
      <c r="G34"/>
      <c r="H34"/>
      <c r="I34" s="99"/>
      <c r="J34" s="113"/>
    </row>
    <row r="35" spans="1:10" x14ac:dyDescent="0.25">
      <c r="A35"/>
      <c r="B35"/>
      <c r="C35"/>
      <c r="D35" s="26"/>
      <c r="E35"/>
      <c r="F35"/>
      <c r="G35"/>
      <c r="H35"/>
      <c r="I35" s="99"/>
      <c r="J35" s="113"/>
    </row>
    <row r="36" spans="1:10" x14ac:dyDescent="0.25">
      <c r="A36"/>
      <c r="B36"/>
      <c r="C36"/>
      <c r="D36" s="26"/>
      <c r="E36"/>
      <c r="F36"/>
      <c r="G36"/>
      <c r="H36"/>
      <c r="I36" s="99"/>
      <c r="J36" s="113"/>
    </row>
    <row r="37" spans="1:10" x14ac:dyDescent="0.25">
      <c r="A37"/>
      <c r="B37"/>
      <c r="C37"/>
      <c r="D37" s="26"/>
      <c r="E37"/>
      <c r="F37"/>
      <c r="G37"/>
      <c r="H37"/>
      <c r="I37" s="99"/>
      <c r="J37" s="113"/>
    </row>
    <row r="38" spans="1:10" x14ac:dyDescent="0.25">
      <c r="A38"/>
      <c r="B38"/>
      <c r="C38"/>
      <c r="D38" s="26"/>
      <c r="E38"/>
      <c r="F38"/>
      <c r="G38"/>
      <c r="H38"/>
      <c r="I38" s="99"/>
      <c r="J38" s="113"/>
    </row>
    <row r="39" spans="1:10" x14ac:dyDescent="0.25">
      <c r="A39"/>
      <c r="B39"/>
      <c r="C39"/>
      <c r="D39" s="26"/>
      <c r="E39"/>
      <c r="F39"/>
      <c r="G39"/>
      <c r="H39"/>
      <c r="I39" s="99"/>
      <c r="J39" s="113"/>
    </row>
    <row r="40" spans="1:10" x14ac:dyDescent="0.25">
      <c r="A40"/>
      <c r="B40"/>
      <c r="C40"/>
      <c r="D40" s="26"/>
      <c r="E40"/>
      <c r="F40"/>
      <c r="G40"/>
      <c r="H40"/>
      <c r="I40" s="99"/>
      <c r="J40" s="113"/>
    </row>
    <row r="41" spans="1:10" x14ac:dyDescent="0.25">
      <c r="A41"/>
      <c r="B41"/>
      <c r="C41"/>
      <c r="D41" s="26"/>
      <c r="E41"/>
      <c r="F41"/>
      <c r="G41"/>
      <c r="H41"/>
      <c r="I41" s="99"/>
      <c r="J41" s="113"/>
    </row>
    <row r="42" spans="1:10" x14ac:dyDescent="0.25">
      <c r="A42"/>
      <c r="B42"/>
      <c r="C42"/>
      <c r="D42" s="26"/>
      <c r="E42"/>
      <c r="F42"/>
      <c r="G42"/>
      <c r="H42"/>
      <c r="I42" s="99"/>
      <c r="J42" s="113"/>
    </row>
    <row r="43" spans="1:10" x14ac:dyDescent="0.25">
      <c r="A43"/>
      <c r="B43"/>
      <c r="C43"/>
      <c r="D43" s="26"/>
      <c r="E43"/>
      <c r="F43"/>
      <c r="G43"/>
      <c r="H43"/>
      <c r="I43" s="99"/>
      <c r="J43" s="113"/>
    </row>
    <row r="44" spans="1:10" x14ac:dyDescent="0.25">
      <c r="A44"/>
      <c r="B44"/>
      <c r="C44"/>
      <c r="D44" s="26"/>
      <c r="E44"/>
      <c r="F44"/>
      <c r="G44"/>
      <c r="H44"/>
      <c r="I44" s="99"/>
      <c r="J44" s="113"/>
    </row>
    <row r="45" spans="1:10" x14ac:dyDescent="0.25">
      <c r="A45"/>
      <c r="B45"/>
      <c r="C45"/>
      <c r="D45" s="26"/>
      <c r="E45"/>
      <c r="F45"/>
      <c r="G45"/>
      <c r="H45"/>
      <c r="I45" s="99"/>
      <c r="J45" s="113"/>
    </row>
    <row r="46" spans="1:10" x14ac:dyDescent="0.25">
      <c r="A46"/>
      <c r="B46"/>
      <c r="C46"/>
      <c r="D46" s="26"/>
      <c r="E46"/>
      <c r="F46"/>
      <c r="G46"/>
      <c r="H46"/>
      <c r="I46" s="99"/>
      <c r="J46" s="113"/>
    </row>
    <row r="47" spans="1:10" x14ac:dyDescent="0.25">
      <c r="A47"/>
      <c r="B47"/>
      <c r="C47"/>
      <c r="D47" s="26"/>
      <c r="E47"/>
      <c r="F47"/>
      <c r="G47"/>
      <c r="H47"/>
      <c r="I47" s="99"/>
      <c r="J47" s="113"/>
    </row>
    <row r="48" spans="1:10" x14ac:dyDescent="0.25">
      <c r="A48"/>
      <c r="B48"/>
      <c r="C48"/>
      <c r="D48" s="26"/>
      <c r="E48"/>
      <c r="F48"/>
      <c r="G48"/>
      <c r="H48"/>
      <c r="I48" s="99"/>
      <c r="J48" s="113"/>
    </row>
    <row r="49" spans="1:10" x14ac:dyDescent="0.25">
      <c r="A49"/>
      <c r="B49"/>
      <c r="C49"/>
      <c r="D49" s="26"/>
      <c r="E49"/>
      <c r="F49"/>
      <c r="G49"/>
      <c r="H49"/>
      <c r="I49" s="99"/>
      <c r="J49" s="113"/>
    </row>
    <row r="50" spans="1:10" x14ac:dyDescent="0.25">
      <c r="A50"/>
      <c r="B50"/>
      <c r="C50"/>
      <c r="D50" s="26"/>
      <c r="E50"/>
      <c r="F50"/>
      <c r="G50"/>
      <c r="H50"/>
      <c r="I50" s="99"/>
      <c r="J50" s="113"/>
    </row>
    <row r="51" spans="1:10" x14ac:dyDescent="0.25">
      <c r="A51"/>
      <c r="B51"/>
      <c r="C51"/>
      <c r="D51" s="26"/>
      <c r="E51"/>
      <c r="F51"/>
      <c r="G51"/>
      <c r="H51"/>
      <c r="I51" s="99"/>
      <c r="J51" s="113"/>
    </row>
    <row r="52" spans="1:10" x14ac:dyDescent="0.25">
      <c r="A52"/>
      <c r="B52"/>
      <c r="C52"/>
      <c r="D52" s="26"/>
      <c r="E52"/>
      <c r="F52"/>
      <c r="G52"/>
      <c r="H52"/>
      <c r="I52" s="99"/>
      <c r="J52" s="113"/>
    </row>
    <row r="53" spans="1:10" x14ac:dyDescent="0.25">
      <c r="A53"/>
      <c r="B53"/>
      <c r="C53"/>
      <c r="D53" s="26"/>
      <c r="E53"/>
      <c r="F53"/>
      <c r="G53"/>
      <c r="H53"/>
      <c r="I53" s="99"/>
      <c r="J53" s="113"/>
    </row>
    <row r="54" spans="1:10" x14ac:dyDescent="0.25">
      <c r="A54"/>
      <c r="B54"/>
      <c r="C54"/>
      <c r="D54" s="26"/>
      <c r="E54"/>
      <c r="F54"/>
      <c r="G54"/>
      <c r="H54"/>
      <c r="I54" s="99"/>
      <c r="J54" s="113"/>
    </row>
    <row r="55" spans="1:10" x14ac:dyDescent="0.25">
      <c r="A55"/>
      <c r="B55"/>
      <c r="C55"/>
      <c r="D55" s="26"/>
      <c r="E55"/>
      <c r="F55"/>
      <c r="G55"/>
      <c r="H55"/>
      <c r="I55" s="99"/>
      <c r="J55" s="113"/>
    </row>
    <row r="56" spans="1:10" x14ac:dyDescent="0.25">
      <c r="A56"/>
      <c r="B56"/>
      <c r="C56"/>
      <c r="D56" s="26"/>
      <c r="E56"/>
      <c r="F56"/>
      <c r="G56"/>
      <c r="H56"/>
      <c r="I56" s="99"/>
      <c r="J56" s="113"/>
    </row>
    <row r="57" spans="1:10" x14ac:dyDescent="0.25">
      <c r="A57"/>
      <c r="B57"/>
      <c r="C57"/>
      <c r="D57" s="26"/>
      <c r="E57"/>
      <c r="F57"/>
      <c r="G57"/>
      <c r="H57"/>
      <c r="I57" s="99"/>
      <c r="J57" s="113"/>
    </row>
    <row r="58" spans="1:10" x14ac:dyDescent="0.25">
      <c r="A58"/>
      <c r="B58"/>
      <c r="C58"/>
      <c r="D58" s="26"/>
      <c r="E58"/>
      <c r="F58"/>
      <c r="G58"/>
      <c r="H58"/>
      <c r="I58" s="99"/>
      <c r="J58" s="113"/>
    </row>
    <row r="59" spans="1:10" x14ac:dyDescent="0.25">
      <c r="A59"/>
      <c r="B59"/>
      <c r="C59"/>
      <c r="D59" s="26"/>
      <c r="E59"/>
      <c r="F59"/>
      <c r="G59"/>
      <c r="H59"/>
      <c r="I59" s="99"/>
      <c r="J59" s="113"/>
    </row>
    <row r="60" spans="1:10" x14ac:dyDescent="0.25">
      <c r="A60"/>
      <c r="B60"/>
      <c r="C60"/>
      <c r="D60" s="26"/>
      <c r="E60"/>
      <c r="F60"/>
      <c r="G60"/>
      <c r="H60"/>
      <c r="I60" s="99"/>
      <c r="J60" s="113"/>
    </row>
    <row r="61" spans="1:10" x14ac:dyDescent="0.25">
      <c r="A61"/>
      <c r="B61"/>
      <c r="C61"/>
      <c r="D61" s="26"/>
      <c r="E61"/>
      <c r="F61"/>
      <c r="G61"/>
      <c r="H61"/>
      <c r="I61" s="99"/>
      <c r="J61" s="113"/>
    </row>
    <row r="62" spans="1:10" x14ac:dyDescent="0.25">
      <c r="A62"/>
      <c r="B62"/>
      <c r="C62"/>
      <c r="D62" s="26"/>
      <c r="E62"/>
      <c r="F62"/>
      <c r="G62"/>
      <c r="H62"/>
      <c r="I62" s="99"/>
      <c r="J62" s="113"/>
    </row>
    <row r="63" spans="1:10" x14ac:dyDescent="0.25">
      <c r="A63"/>
      <c r="B63"/>
      <c r="C63"/>
      <c r="D63" s="26"/>
      <c r="E63"/>
      <c r="F63"/>
      <c r="G63"/>
      <c r="H63"/>
      <c r="I63" s="99"/>
      <c r="J63" s="113"/>
    </row>
    <row r="64" spans="1:10" x14ac:dyDescent="0.25">
      <c r="A64"/>
      <c r="B64"/>
      <c r="C64"/>
      <c r="D64" s="26"/>
      <c r="E64"/>
      <c r="F64"/>
      <c r="G64"/>
      <c r="H64"/>
      <c r="I64" s="99"/>
      <c r="J64" s="113"/>
    </row>
    <row r="65" spans="1:10" x14ac:dyDescent="0.25">
      <c r="A65"/>
      <c r="B65"/>
      <c r="C65"/>
      <c r="D65" s="26"/>
      <c r="E65"/>
      <c r="F65"/>
      <c r="G65"/>
      <c r="H65"/>
      <c r="I65" s="99"/>
      <c r="J65" s="113"/>
    </row>
    <row r="66" spans="1:10" x14ac:dyDescent="0.25">
      <c r="A66"/>
      <c r="B66"/>
      <c r="C66"/>
      <c r="D66" s="26"/>
      <c r="E66"/>
      <c r="F66"/>
      <c r="G66"/>
      <c r="H66"/>
      <c r="I66" s="99"/>
      <c r="J66" s="113"/>
    </row>
    <row r="67" spans="1:10" x14ac:dyDescent="0.25">
      <c r="A67"/>
      <c r="B67"/>
      <c r="C67"/>
      <c r="D67" s="26"/>
      <c r="E67"/>
      <c r="F67"/>
      <c r="G67"/>
      <c r="H67"/>
      <c r="I67" s="99"/>
      <c r="J67" s="113"/>
    </row>
    <row r="68" spans="1:10" x14ac:dyDescent="0.25">
      <c r="A68"/>
      <c r="B68"/>
      <c r="C68"/>
      <c r="D68" s="26"/>
      <c r="E68"/>
      <c r="F68"/>
      <c r="G68"/>
      <c r="H68"/>
      <c r="I68" s="99"/>
      <c r="J68" s="113"/>
    </row>
    <row r="69" spans="1:10" x14ac:dyDescent="0.25">
      <c r="A69"/>
      <c r="B69"/>
      <c r="C69"/>
      <c r="D69" s="26"/>
      <c r="E69"/>
      <c r="F69"/>
      <c r="G69"/>
      <c r="H69"/>
      <c r="I69" s="99"/>
      <c r="J69" s="113"/>
    </row>
    <row r="70" spans="1:10" x14ac:dyDescent="0.25">
      <c r="A70"/>
      <c r="B70"/>
      <c r="C70"/>
      <c r="D70" s="26"/>
      <c r="E70"/>
      <c r="F70"/>
      <c r="G70"/>
      <c r="H70"/>
      <c r="I70" s="99"/>
      <c r="J70" s="113"/>
    </row>
    <row r="71" spans="1:10" x14ac:dyDescent="0.25">
      <c r="A71"/>
      <c r="B71"/>
      <c r="C71"/>
      <c r="D71" s="26"/>
      <c r="E71"/>
      <c r="F71"/>
      <c r="G71"/>
      <c r="H71"/>
      <c r="I71" s="99"/>
      <c r="J71" s="113"/>
    </row>
    <row r="72" spans="1:10" x14ac:dyDescent="0.25">
      <c r="A72"/>
      <c r="B72"/>
      <c r="C72"/>
      <c r="D72" s="26"/>
      <c r="E72"/>
      <c r="F72"/>
      <c r="G72"/>
      <c r="H72"/>
      <c r="I72" s="99"/>
      <c r="J72" s="113"/>
    </row>
    <row r="73" spans="1:10" x14ac:dyDescent="0.25">
      <c r="A73"/>
      <c r="B73"/>
      <c r="C73"/>
      <c r="D73" s="26"/>
      <c r="E73"/>
      <c r="F73"/>
      <c r="G73"/>
      <c r="H73"/>
      <c r="I73" s="99"/>
      <c r="J73" s="113"/>
    </row>
    <row r="74" spans="1:10" x14ac:dyDescent="0.25">
      <c r="A74"/>
      <c r="B74"/>
      <c r="C74"/>
      <c r="D74" s="26"/>
      <c r="E74"/>
      <c r="F74"/>
      <c r="G74"/>
      <c r="H74"/>
      <c r="I74" s="99"/>
      <c r="J74" s="113"/>
    </row>
    <row r="75" spans="1:10" x14ac:dyDescent="0.25">
      <c r="A75"/>
      <c r="B75"/>
      <c r="C75"/>
      <c r="D75" s="26"/>
      <c r="E75"/>
      <c r="F75"/>
      <c r="G75"/>
      <c r="H75"/>
      <c r="I75" s="99"/>
      <c r="J75" s="113"/>
    </row>
    <row r="76" spans="1:10" x14ac:dyDescent="0.25">
      <c r="A76"/>
      <c r="B76"/>
      <c r="C76"/>
      <c r="D76" s="26"/>
      <c r="E76"/>
      <c r="F76"/>
      <c r="G76"/>
      <c r="H76"/>
      <c r="I76" s="99"/>
      <c r="J76" s="113"/>
    </row>
    <row r="77" spans="1:10" x14ac:dyDescent="0.25">
      <c r="A77"/>
      <c r="B77"/>
      <c r="C77"/>
      <c r="D77" s="26"/>
      <c r="E77"/>
      <c r="F77"/>
      <c r="G77"/>
      <c r="H77"/>
      <c r="I77" s="99"/>
      <c r="J77" s="113"/>
    </row>
    <row r="78" spans="1:10" x14ac:dyDescent="0.25">
      <c r="A78"/>
      <c r="B78"/>
      <c r="C78"/>
      <c r="D78" s="26"/>
      <c r="E78"/>
      <c r="F78"/>
      <c r="G78"/>
      <c r="H78"/>
      <c r="I78" s="99"/>
      <c r="J78" s="113"/>
    </row>
    <row r="79" spans="1:10" x14ac:dyDescent="0.25">
      <c r="A79"/>
      <c r="B79"/>
      <c r="C79"/>
      <c r="D79" s="26"/>
      <c r="E79"/>
      <c r="F79"/>
      <c r="G79"/>
      <c r="H79"/>
      <c r="I79" s="99"/>
      <c r="J79" s="113"/>
    </row>
    <row r="80" spans="1:10" x14ac:dyDescent="0.25">
      <c r="A80"/>
      <c r="B80"/>
      <c r="C80"/>
      <c r="D80" s="26"/>
      <c r="E80"/>
      <c r="F80"/>
      <c r="G80"/>
      <c r="H80"/>
      <c r="I80" s="99"/>
      <c r="J80" s="113"/>
    </row>
    <row r="81" spans="1:10" x14ac:dyDescent="0.25">
      <c r="A81"/>
      <c r="B81"/>
      <c r="C81"/>
      <c r="D81" s="26"/>
      <c r="E81"/>
      <c r="F81"/>
      <c r="G81"/>
      <c r="H81"/>
      <c r="I81" s="99"/>
      <c r="J81" s="113"/>
    </row>
    <row r="82" spans="1:10" x14ac:dyDescent="0.25">
      <c r="A82"/>
      <c r="B82"/>
      <c r="C82"/>
      <c r="D82" s="26"/>
      <c r="E82"/>
      <c r="F82"/>
      <c r="G82"/>
      <c r="H82"/>
      <c r="I82" s="99"/>
      <c r="J82" s="113"/>
    </row>
    <row r="83" spans="1:10" x14ac:dyDescent="0.25">
      <c r="A83"/>
      <c r="B83"/>
      <c r="C83"/>
      <c r="D83" s="26"/>
      <c r="E83"/>
      <c r="F83"/>
      <c r="G83"/>
      <c r="H83"/>
      <c r="I83" s="99"/>
      <c r="J83" s="113"/>
    </row>
    <row r="84" spans="1:10" x14ac:dyDescent="0.25">
      <c r="A84"/>
      <c r="B84"/>
      <c r="C84"/>
      <c r="D84" s="26"/>
      <c r="E84"/>
      <c r="F84"/>
      <c r="G84"/>
      <c r="H84"/>
      <c r="I84" s="99"/>
      <c r="J84" s="113"/>
    </row>
    <row r="85" spans="1:10" x14ac:dyDescent="0.25">
      <c r="A85"/>
      <c r="B85"/>
      <c r="C85"/>
      <c r="D85" s="26"/>
      <c r="E85"/>
      <c r="F85"/>
      <c r="G85"/>
      <c r="H85"/>
      <c r="I85" s="99"/>
      <c r="J85" s="113"/>
    </row>
    <row r="86" spans="1:10" x14ac:dyDescent="0.25">
      <c r="A86"/>
      <c r="B86"/>
      <c r="C86"/>
      <c r="D86" s="26"/>
      <c r="E86"/>
      <c r="F86"/>
      <c r="G86"/>
      <c r="H86"/>
      <c r="I86" s="99"/>
      <c r="J86" s="113"/>
    </row>
    <row r="87" spans="1:10" x14ac:dyDescent="0.25">
      <c r="A87"/>
      <c r="B87"/>
      <c r="C87"/>
      <c r="D87" s="26"/>
      <c r="E87"/>
      <c r="F87"/>
      <c r="G87"/>
      <c r="H87"/>
      <c r="I87" s="99"/>
      <c r="J87" s="113"/>
    </row>
    <row r="88" spans="1:10" x14ac:dyDescent="0.25">
      <c r="A88"/>
      <c r="B88"/>
      <c r="C88"/>
      <c r="D88" s="26"/>
      <c r="E88"/>
      <c r="F88"/>
      <c r="G88"/>
      <c r="H88"/>
      <c r="I88" s="99"/>
      <c r="J88" s="113"/>
    </row>
    <row r="89" spans="1:10" x14ac:dyDescent="0.25">
      <c r="A89"/>
      <c r="B89"/>
      <c r="C89"/>
      <c r="D89" s="26"/>
      <c r="E89"/>
      <c r="F89"/>
      <c r="G89"/>
      <c r="H89"/>
      <c r="I89" s="99"/>
      <c r="J89" s="113"/>
    </row>
    <row r="90" spans="1:10" x14ac:dyDescent="0.25">
      <c r="A90"/>
      <c r="B90"/>
      <c r="C90"/>
      <c r="D90" s="26"/>
      <c r="E90"/>
      <c r="F90"/>
      <c r="G90"/>
      <c r="H90"/>
      <c r="I90" s="99"/>
      <c r="J90" s="113"/>
    </row>
    <row r="91" spans="1:10" x14ac:dyDescent="0.25">
      <c r="A91"/>
      <c r="B91"/>
      <c r="C91"/>
      <c r="D91" s="26"/>
      <c r="E91"/>
      <c r="F91"/>
      <c r="G91"/>
      <c r="H91"/>
      <c r="I91" s="99"/>
      <c r="J91" s="113"/>
    </row>
    <row r="92" spans="1:10" x14ac:dyDescent="0.25">
      <c r="A92"/>
      <c r="B92"/>
      <c r="C92"/>
      <c r="D92" s="26"/>
      <c r="E92"/>
      <c r="F92"/>
      <c r="G92"/>
      <c r="H92"/>
      <c r="I92" s="99"/>
      <c r="J92" s="113"/>
    </row>
    <row r="93" spans="1:10" x14ac:dyDescent="0.25">
      <c r="A93"/>
      <c r="B93"/>
      <c r="C93"/>
      <c r="D93" s="26"/>
      <c r="E93"/>
      <c r="F93"/>
      <c r="G93"/>
      <c r="H93"/>
      <c r="I93" s="99"/>
      <c r="J93" s="113"/>
    </row>
    <row r="94" spans="1:10" x14ac:dyDescent="0.25">
      <c r="A94"/>
      <c r="B94"/>
      <c r="C94"/>
      <c r="D94" s="26"/>
      <c r="E94"/>
      <c r="F94"/>
      <c r="G94"/>
      <c r="H94"/>
      <c r="I94" s="99"/>
      <c r="J94" s="113"/>
    </row>
    <row r="95" spans="1:10" x14ac:dyDescent="0.25">
      <c r="A95"/>
      <c r="B95"/>
      <c r="C95"/>
      <c r="D95" s="26"/>
      <c r="E95"/>
      <c r="F95"/>
      <c r="G95"/>
      <c r="H95"/>
      <c r="I95" s="99"/>
      <c r="J95" s="113"/>
    </row>
    <row r="96" spans="1:10" x14ac:dyDescent="0.25">
      <c r="A96"/>
      <c r="B96"/>
      <c r="C96"/>
      <c r="D96" s="26"/>
      <c r="E96"/>
      <c r="F96"/>
      <c r="G96"/>
      <c r="H96"/>
      <c r="I96" s="99"/>
      <c r="J96" s="113"/>
    </row>
    <row r="97" spans="1:10" x14ac:dyDescent="0.25">
      <c r="A97"/>
      <c r="B97"/>
      <c r="C97"/>
      <c r="D97" s="26"/>
      <c r="E97"/>
      <c r="F97"/>
      <c r="G97"/>
      <c r="H97"/>
      <c r="I97" s="99"/>
      <c r="J97" s="113"/>
    </row>
    <row r="98" spans="1:10" x14ac:dyDescent="0.25">
      <c r="A98"/>
      <c r="B98"/>
      <c r="C98"/>
      <c r="D98" s="26"/>
      <c r="E98"/>
      <c r="F98"/>
      <c r="G98"/>
      <c r="H98"/>
      <c r="I98" s="99"/>
      <c r="J98" s="113"/>
    </row>
    <row r="99" spans="1:10" x14ac:dyDescent="0.25">
      <c r="A99"/>
      <c r="B99"/>
      <c r="C99"/>
      <c r="D99" s="26"/>
      <c r="E99"/>
      <c r="F99"/>
      <c r="G99"/>
      <c r="H99"/>
      <c r="I99" s="99"/>
      <c r="J99" s="113"/>
    </row>
    <row r="100" spans="1:10" x14ac:dyDescent="0.25">
      <c r="A100"/>
      <c r="B100"/>
      <c r="C100"/>
      <c r="D100" s="26"/>
      <c r="E100"/>
      <c r="F100"/>
      <c r="G100"/>
      <c r="H100"/>
      <c r="I100" s="99"/>
      <c r="J100" s="113"/>
    </row>
    <row r="101" spans="1:10" x14ac:dyDescent="0.25">
      <c r="A101"/>
      <c r="B101"/>
      <c r="C101"/>
      <c r="D101" s="26"/>
      <c r="E101"/>
      <c r="F101"/>
      <c r="G101"/>
      <c r="H101"/>
      <c r="I101" s="99"/>
      <c r="J101" s="113"/>
    </row>
    <row r="102" spans="1:10" x14ac:dyDescent="0.25">
      <c r="A102"/>
      <c r="B102"/>
      <c r="C102"/>
      <c r="D102" s="26"/>
      <c r="E102"/>
      <c r="F102"/>
      <c r="G102"/>
      <c r="H102"/>
      <c r="I102" s="99"/>
      <c r="J102" s="113"/>
    </row>
    <row r="103" spans="1:10" x14ac:dyDescent="0.25">
      <c r="A103"/>
      <c r="B103"/>
      <c r="C103"/>
      <c r="D103" s="26"/>
      <c r="E103"/>
      <c r="F103"/>
      <c r="G103"/>
      <c r="H103"/>
      <c r="I103" s="99"/>
      <c r="J103" s="113"/>
    </row>
    <row r="104" spans="1:10" x14ac:dyDescent="0.25">
      <c r="A104"/>
      <c r="B104"/>
      <c r="C104"/>
      <c r="D104" s="26"/>
      <c r="E104"/>
      <c r="F104"/>
      <c r="G104"/>
      <c r="H104"/>
      <c r="I104" s="99"/>
      <c r="J104" s="113"/>
    </row>
    <row r="105" spans="1:10" x14ac:dyDescent="0.25">
      <c r="A105"/>
      <c r="B105"/>
      <c r="C105"/>
      <c r="D105" s="26"/>
      <c r="E105"/>
      <c r="F105"/>
      <c r="G105"/>
      <c r="H105"/>
      <c r="I105" s="99"/>
      <c r="J105" s="113"/>
    </row>
    <row r="106" spans="1:10" x14ac:dyDescent="0.25">
      <c r="A106"/>
      <c r="B106"/>
      <c r="C106"/>
      <c r="D106" s="26"/>
      <c r="E106"/>
      <c r="F106"/>
      <c r="G106"/>
      <c r="H106"/>
      <c r="I106" s="99"/>
      <c r="J106" s="113"/>
    </row>
    <row r="107" spans="1:10" x14ac:dyDescent="0.25">
      <c r="A107"/>
      <c r="B107"/>
      <c r="C107"/>
      <c r="D107" s="26"/>
      <c r="E107"/>
      <c r="F107"/>
      <c r="G107"/>
      <c r="H107"/>
      <c r="I107" s="99"/>
      <c r="J107" s="113"/>
    </row>
    <row r="108" spans="1:10" x14ac:dyDescent="0.25">
      <c r="A108"/>
      <c r="B108"/>
      <c r="C108"/>
      <c r="D108" s="26"/>
      <c r="E108"/>
      <c r="F108"/>
      <c r="G108"/>
      <c r="H108"/>
      <c r="I108" s="99"/>
      <c r="J108" s="113"/>
    </row>
    <row r="109" spans="1:10" x14ac:dyDescent="0.25">
      <c r="A109"/>
      <c r="B109"/>
      <c r="C109"/>
      <c r="D109" s="26"/>
      <c r="E109"/>
      <c r="F109"/>
      <c r="G109"/>
      <c r="H109"/>
      <c r="I109" s="99"/>
      <c r="J109" s="113"/>
    </row>
    <row r="110" spans="1:10" x14ac:dyDescent="0.25">
      <c r="A110"/>
      <c r="B110"/>
      <c r="C110"/>
      <c r="D110" s="26"/>
      <c r="E110"/>
      <c r="F110"/>
      <c r="G110"/>
      <c r="H110"/>
      <c r="I110" s="99"/>
      <c r="J110" s="113"/>
    </row>
    <row r="111" spans="1:10" x14ac:dyDescent="0.25">
      <c r="A111"/>
      <c r="B111"/>
      <c r="C111"/>
      <c r="D111" s="26"/>
      <c r="E111"/>
      <c r="F111"/>
      <c r="G111"/>
      <c r="H111"/>
      <c r="I111" s="99"/>
      <c r="J111" s="113"/>
    </row>
    <row r="112" spans="1:10" x14ac:dyDescent="0.25">
      <c r="A112"/>
      <c r="B112"/>
      <c r="C112"/>
      <c r="D112" s="26"/>
      <c r="E112"/>
      <c r="F112"/>
      <c r="G112"/>
      <c r="H112"/>
      <c r="I112" s="99"/>
      <c r="J112" s="113"/>
    </row>
    <row r="113" spans="1:10" x14ac:dyDescent="0.25">
      <c r="A113"/>
      <c r="B113"/>
      <c r="C113"/>
      <c r="D113" s="26"/>
      <c r="E113"/>
      <c r="F113"/>
      <c r="G113"/>
      <c r="H113"/>
      <c r="I113" s="99"/>
      <c r="J113" s="113"/>
    </row>
    <row r="114" spans="1:10" x14ac:dyDescent="0.25">
      <c r="A114"/>
      <c r="B114"/>
      <c r="C114"/>
      <c r="D114" s="26"/>
      <c r="E114"/>
      <c r="F114"/>
      <c r="G114"/>
      <c r="H114"/>
      <c r="I114" s="99"/>
      <c r="J114" s="113"/>
    </row>
    <row r="115" spans="1:10" x14ac:dyDescent="0.25">
      <c r="A115"/>
      <c r="B115"/>
      <c r="C115"/>
      <c r="D115" s="26"/>
      <c r="E115"/>
      <c r="F115"/>
      <c r="G115"/>
      <c r="H115"/>
      <c r="I115" s="99"/>
      <c r="J115" s="113"/>
    </row>
    <row r="116" spans="1:10" x14ac:dyDescent="0.25">
      <c r="A116"/>
      <c r="B116"/>
      <c r="C116"/>
      <c r="D116" s="26"/>
      <c r="E116"/>
      <c r="F116"/>
      <c r="G116"/>
      <c r="H116"/>
      <c r="I116" s="99"/>
      <c r="J116" s="113"/>
    </row>
    <row r="117" spans="1:10" x14ac:dyDescent="0.25">
      <c r="A117"/>
      <c r="B117"/>
      <c r="C117"/>
      <c r="D117" s="26"/>
      <c r="E117"/>
      <c r="F117"/>
      <c r="G117"/>
      <c r="H117"/>
      <c r="I117" s="99"/>
      <c r="J117" s="113"/>
    </row>
    <row r="118" spans="1:10" x14ac:dyDescent="0.25">
      <c r="A118"/>
      <c r="B118"/>
      <c r="C118"/>
      <c r="D118" s="26"/>
      <c r="E118"/>
      <c r="F118"/>
      <c r="G118"/>
      <c r="H118"/>
      <c r="I118" s="99"/>
      <c r="J118" s="113"/>
    </row>
    <row r="119" spans="1:10" x14ac:dyDescent="0.25">
      <c r="A119"/>
      <c r="B119"/>
      <c r="C119"/>
      <c r="D119" s="26"/>
      <c r="E119"/>
      <c r="F119"/>
      <c r="G119"/>
      <c r="H119"/>
      <c r="I119" s="99"/>
      <c r="J119" s="113"/>
    </row>
    <row r="120" spans="1:10" x14ac:dyDescent="0.25">
      <c r="A120"/>
      <c r="B120"/>
      <c r="C120"/>
      <c r="D120" s="26"/>
      <c r="E120"/>
      <c r="F120"/>
      <c r="G120"/>
      <c r="H120"/>
      <c r="I120" s="99"/>
      <c r="J120" s="113"/>
    </row>
    <row r="121" spans="1:10" x14ac:dyDescent="0.25">
      <c r="A121"/>
      <c r="B121"/>
      <c r="C121"/>
      <c r="D121" s="26"/>
      <c r="E121"/>
      <c r="F121"/>
      <c r="G121"/>
      <c r="H121"/>
      <c r="I121" s="99"/>
      <c r="J121" s="113"/>
    </row>
    <row r="122" spans="1:10" x14ac:dyDescent="0.25">
      <c r="A122"/>
      <c r="B122"/>
      <c r="C122"/>
      <c r="D122" s="26"/>
      <c r="E122"/>
      <c r="F122"/>
      <c r="G122"/>
      <c r="H122"/>
      <c r="I122" s="99"/>
      <c r="J122" s="113"/>
    </row>
    <row r="123" spans="1:10" x14ac:dyDescent="0.25">
      <c r="A123"/>
      <c r="B123"/>
      <c r="C123"/>
      <c r="D123" s="26"/>
      <c r="E123"/>
      <c r="F123"/>
      <c r="G123"/>
      <c r="H123"/>
      <c r="I123" s="99"/>
      <c r="J123" s="113"/>
    </row>
    <row r="124" spans="1:10" x14ac:dyDescent="0.25">
      <c r="A124"/>
      <c r="B124"/>
      <c r="C124"/>
      <c r="D124" s="26"/>
      <c r="E124"/>
      <c r="F124"/>
      <c r="G124"/>
      <c r="H124"/>
      <c r="I124" s="99"/>
      <c r="J124" s="113"/>
    </row>
    <row r="125" spans="1:10" x14ac:dyDescent="0.25">
      <c r="A125"/>
      <c r="B125"/>
      <c r="C125"/>
      <c r="D125" s="26"/>
      <c r="E125"/>
      <c r="F125"/>
      <c r="G125"/>
      <c r="H125"/>
      <c r="I125" s="99"/>
      <c r="J125" s="113"/>
    </row>
    <row r="126" spans="1:10" x14ac:dyDescent="0.25">
      <c r="A126"/>
      <c r="B126"/>
      <c r="C126"/>
      <c r="D126" s="26"/>
      <c r="E126"/>
      <c r="F126"/>
      <c r="G126"/>
      <c r="H126"/>
      <c r="I126" s="99"/>
      <c r="J126" s="113"/>
    </row>
    <row r="127" spans="1:10" x14ac:dyDescent="0.25">
      <c r="A127"/>
      <c r="B127"/>
      <c r="C127"/>
      <c r="D127" s="26"/>
      <c r="E127"/>
      <c r="F127"/>
      <c r="G127"/>
      <c r="H127"/>
      <c r="I127" s="99"/>
      <c r="J127" s="113"/>
    </row>
    <row r="128" spans="1:10" x14ac:dyDescent="0.25">
      <c r="A128"/>
      <c r="B128"/>
      <c r="C128"/>
      <c r="D128" s="26"/>
      <c r="E128"/>
      <c r="F128"/>
      <c r="G128"/>
      <c r="H128"/>
      <c r="I128" s="99"/>
      <c r="J128" s="113"/>
    </row>
    <row r="129" spans="1:10" x14ac:dyDescent="0.25">
      <c r="A129"/>
      <c r="B129"/>
      <c r="C129"/>
      <c r="D129" s="26"/>
      <c r="E129"/>
      <c r="F129"/>
      <c r="G129"/>
      <c r="H129"/>
      <c r="I129" s="99"/>
      <c r="J129" s="113"/>
    </row>
    <row r="130" spans="1:10" x14ac:dyDescent="0.25">
      <c r="A130"/>
      <c r="B130"/>
      <c r="C130"/>
      <c r="D130" s="26"/>
      <c r="E130"/>
      <c r="F130"/>
      <c r="G130"/>
      <c r="H130"/>
      <c r="I130" s="99"/>
      <c r="J130" s="113"/>
    </row>
    <row r="131" spans="1:10" x14ac:dyDescent="0.25">
      <c r="A131"/>
      <c r="B131"/>
      <c r="C131"/>
      <c r="D131" s="26"/>
      <c r="E131"/>
      <c r="F131"/>
      <c r="G131"/>
      <c r="H131"/>
      <c r="I131" s="99"/>
      <c r="J131" s="113"/>
    </row>
    <row r="132" spans="1:10" x14ac:dyDescent="0.25">
      <c r="A132"/>
      <c r="B132"/>
      <c r="C132"/>
      <c r="D132" s="26"/>
      <c r="E132"/>
      <c r="F132"/>
      <c r="G132"/>
      <c r="H132"/>
      <c r="I132" s="99"/>
      <c r="J132" s="113"/>
    </row>
    <row r="133" spans="1:10" x14ac:dyDescent="0.25">
      <c r="A133"/>
      <c r="B133"/>
      <c r="C133"/>
      <c r="D133" s="26"/>
      <c r="E133"/>
      <c r="F133"/>
      <c r="G133"/>
      <c r="H133"/>
      <c r="I133" s="99"/>
      <c r="J133" s="113"/>
    </row>
    <row r="134" spans="1:10" x14ac:dyDescent="0.25">
      <c r="A134"/>
      <c r="B134"/>
      <c r="C134"/>
      <c r="D134" s="26"/>
      <c r="E134"/>
      <c r="F134"/>
      <c r="G134"/>
      <c r="H134"/>
      <c r="I134" s="99"/>
      <c r="J134" s="113"/>
    </row>
    <row r="135" spans="1:10" x14ac:dyDescent="0.25">
      <c r="A135"/>
      <c r="B135"/>
      <c r="C135"/>
      <c r="D135" s="26"/>
      <c r="E135"/>
      <c r="F135"/>
      <c r="G135"/>
      <c r="H135"/>
      <c r="I135" s="99"/>
      <c r="J135" s="113"/>
    </row>
    <row r="136" spans="1:10" x14ac:dyDescent="0.25">
      <c r="A136"/>
      <c r="B136"/>
      <c r="C136"/>
      <c r="D136" s="26"/>
      <c r="E136"/>
      <c r="F136"/>
      <c r="G136"/>
      <c r="H136"/>
      <c r="I136" s="99"/>
      <c r="J136" s="113"/>
    </row>
    <row r="137" spans="1:10" x14ac:dyDescent="0.25">
      <c r="A137"/>
      <c r="B137"/>
      <c r="C137"/>
      <c r="D137" s="26"/>
      <c r="E137"/>
      <c r="F137"/>
      <c r="G137"/>
      <c r="H137"/>
      <c r="I137" s="99"/>
      <c r="J137" s="113"/>
    </row>
    <row r="138" spans="1:10" x14ac:dyDescent="0.25">
      <c r="A138"/>
      <c r="B138"/>
      <c r="C138"/>
      <c r="D138" s="26"/>
      <c r="E138"/>
      <c r="F138"/>
      <c r="G138"/>
      <c r="H138"/>
      <c r="I138" s="99"/>
      <c r="J138" s="113"/>
    </row>
    <row r="139" spans="1:10" x14ac:dyDescent="0.25">
      <c r="A139"/>
      <c r="B139"/>
      <c r="C139"/>
      <c r="D139" s="26"/>
      <c r="E139"/>
      <c r="F139"/>
      <c r="G139"/>
      <c r="H139"/>
      <c r="I139" s="99"/>
      <c r="J139" s="113"/>
    </row>
    <row r="140" spans="1:10" x14ac:dyDescent="0.25">
      <c r="A140"/>
      <c r="B140"/>
      <c r="C140"/>
      <c r="D140" s="26"/>
      <c r="E140"/>
      <c r="F140"/>
      <c r="G140"/>
      <c r="H140"/>
      <c r="I140" s="99"/>
      <c r="J140" s="113"/>
    </row>
    <row r="141" spans="1:10" x14ac:dyDescent="0.25">
      <c r="A141"/>
      <c r="B141"/>
      <c r="C141"/>
      <c r="D141" s="26"/>
      <c r="E141"/>
      <c r="F141"/>
      <c r="G141"/>
      <c r="H141"/>
      <c r="I141" s="99"/>
      <c r="J141" s="113"/>
    </row>
    <row r="142" spans="1:10" x14ac:dyDescent="0.25">
      <c r="A142"/>
      <c r="B142"/>
      <c r="C142"/>
      <c r="D142" s="26"/>
      <c r="E142"/>
      <c r="F142"/>
      <c r="G142"/>
      <c r="H142"/>
      <c r="I142" s="99"/>
      <c r="J142" s="113"/>
    </row>
    <row r="143" spans="1:10" x14ac:dyDescent="0.25">
      <c r="A143"/>
      <c r="B143"/>
      <c r="C143"/>
      <c r="D143" s="26"/>
      <c r="E143"/>
      <c r="F143"/>
      <c r="G143"/>
      <c r="H143"/>
      <c r="I143" s="99"/>
      <c r="J143" s="113"/>
    </row>
    <row r="144" spans="1:10" x14ac:dyDescent="0.25">
      <c r="A144"/>
      <c r="B144"/>
      <c r="C144"/>
      <c r="D144" s="26"/>
      <c r="E144"/>
      <c r="F144"/>
      <c r="G144"/>
      <c r="H144"/>
      <c r="I144" s="99"/>
      <c r="J144" s="113"/>
    </row>
    <row r="145" spans="1:10" x14ac:dyDescent="0.25">
      <c r="A145"/>
      <c r="B145"/>
      <c r="C145"/>
      <c r="D145" s="26"/>
      <c r="E145"/>
      <c r="F145"/>
      <c r="G145"/>
      <c r="H145"/>
      <c r="I145" s="99"/>
      <c r="J145" s="113"/>
    </row>
    <row r="146" spans="1:10" x14ac:dyDescent="0.25">
      <c r="A146"/>
      <c r="B146"/>
      <c r="C146"/>
      <c r="D146" s="26"/>
      <c r="E146"/>
      <c r="F146"/>
      <c r="G146"/>
      <c r="H146"/>
      <c r="I146" s="99"/>
      <c r="J146" s="113"/>
    </row>
    <row r="147" spans="1:10" x14ac:dyDescent="0.25">
      <c r="A147"/>
      <c r="B147"/>
      <c r="C147"/>
      <c r="D147" s="26"/>
      <c r="E147"/>
      <c r="F147"/>
      <c r="G147"/>
      <c r="H147"/>
      <c r="I147" s="99"/>
      <c r="J147" s="113"/>
    </row>
    <row r="148" spans="1:10" x14ac:dyDescent="0.25">
      <c r="A148"/>
      <c r="B148"/>
      <c r="C148"/>
      <c r="D148" s="26"/>
      <c r="E148"/>
      <c r="F148"/>
      <c r="G148"/>
      <c r="H148"/>
      <c r="I148" s="99"/>
      <c r="J148" s="113"/>
    </row>
    <row r="149" spans="1:10" x14ac:dyDescent="0.25">
      <c r="A149"/>
      <c r="B149"/>
      <c r="C149"/>
      <c r="D149" s="26"/>
      <c r="E149"/>
      <c r="F149"/>
      <c r="G149"/>
      <c r="H149"/>
      <c r="I149" s="99"/>
      <c r="J149" s="113"/>
    </row>
    <row r="150" spans="1:10" x14ac:dyDescent="0.25">
      <c r="A150"/>
      <c r="B150"/>
      <c r="C150"/>
      <c r="D150" s="26"/>
      <c r="E150"/>
      <c r="F150"/>
      <c r="G150"/>
      <c r="H150"/>
      <c r="I150" s="99"/>
      <c r="J150" s="113"/>
    </row>
    <row r="151" spans="1:10" x14ac:dyDescent="0.25">
      <c r="A151"/>
      <c r="B151"/>
      <c r="C151"/>
      <c r="D151" s="26"/>
      <c r="E151"/>
      <c r="F151"/>
      <c r="G151"/>
      <c r="H151"/>
      <c r="I151" s="99"/>
      <c r="J151" s="113"/>
    </row>
    <row r="152" spans="1:10" x14ac:dyDescent="0.25">
      <c r="A152"/>
      <c r="B152"/>
      <c r="C152"/>
      <c r="D152" s="26"/>
      <c r="E152"/>
      <c r="F152"/>
      <c r="G152"/>
      <c r="H152"/>
      <c r="I152" s="99"/>
      <c r="J152" s="113"/>
    </row>
    <row r="153" spans="1:10" x14ac:dyDescent="0.25">
      <c r="A153"/>
      <c r="B153"/>
      <c r="C153"/>
      <c r="D153" s="26"/>
      <c r="E153"/>
      <c r="F153"/>
      <c r="G153"/>
      <c r="H153"/>
      <c r="I153" s="99"/>
      <c r="J153" s="113"/>
    </row>
    <row r="154" spans="1:10" x14ac:dyDescent="0.25">
      <c r="A154"/>
      <c r="B154"/>
      <c r="C154"/>
      <c r="D154" s="26"/>
      <c r="E154"/>
      <c r="F154"/>
      <c r="G154"/>
      <c r="H154"/>
      <c r="I154" s="99"/>
      <c r="J154" s="113"/>
    </row>
    <row r="155" spans="1:10" x14ac:dyDescent="0.25">
      <c r="A155"/>
      <c r="B155"/>
      <c r="C155"/>
      <c r="D155" s="26"/>
      <c r="E155"/>
      <c r="F155"/>
      <c r="G155"/>
      <c r="H155"/>
      <c r="I155" s="99"/>
      <c r="J155" s="113"/>
    </row>
    <row r="156" spans="1:10" x14ac:dyDescent="0.25">
      <c r="A156"/>
      <c r="B156"/>
      <c r="C156"/>
      <c r="D156" s="26"/>
      <c r="E156"/>
      <c r="F156"/>
      <c r="G156"/>
      <c r="H156"/>
      <c r="I156" s="99"/>
      <c r="J156" s="113"/>
    </row>
    <row r="157" spans="1:10" x14ac:dyDescent="0.25">
      <c r="A157"/>
      <c r="B157"/>
      <c r="C157"/>
      <c r="D157" s="26"/>
      <c r="E157"/>
      <c r="F157"/>
      <c r="G157"/>
      <c r="H157"/>
      <c r="I157" s="99"/>
      <c r="J157" s="113"/>
    </row>
    <row r="158" spans="1:10" x14ac:dyDescent="0.25">
      <c r="A158"/>
      <c r="B158"/>
      <c r="C158"/>
      <c r="D158" s="26"/>
      <c r="E158"/>
      <c r="F158"/>
      <c r="G158"/>
      <c r="H158"/>
      <c r="I158" s="99"/>
      <c r="J158" s="113"/>
    </row>
    <row r="159" spans="1:10" x14ac:dyDescent="0.25">
      <c r="A159"/>
      <c r="B159"/>
      <c r="C159"/>
      <c r="D159" s="26"/>
      <c r="E159"/>
      <c r="F159"/>
      <c r="G159"/>
      <c r="H159"/>
      <c r="I159" s="99"/>
      <c r="J159" s="113"/>
    </row>
    <row r="160" spans="1:10" x14ac:dyDescent="0.25">
      <c r="A160"/>
      <c r="B160"/>
      <c r="C160"/>
      <c r="D160" s="26"/>
      <c r="E160"/>
      <c r="F160"/>
      <c r="G160"/>
      <c r="H160"/>
      <c r="I160" s="99"/>
      <c r="J160" s="113"/>
    </row>
    <row r="161" spans="1:10" x14ac:dyDescent="0.25">
      <c r="A161"/>
      <c r="B161"/>
      <c r="C161"/>
      <c r="D161" s="26"/>
      <c r="E161"/>
      <c r="F161"/>
      <c r="G161"/>
      <c r="H161"/>
      <c r="I161" s="99"/>
      <c r="J161" s="113"/>
    </row>
    <row r="162" spans="1:10" x14ac:dyDescent="0.25">
      <c r="A162"/>
      <c r="B162"/>
      <c r="C162"/>
      <c r="D162" s="26"/>
      <c r="E162"/>
      <c r="F162"/>
      <c r="G162"/>
      <c r="H162"/>
      <c r="I162" s="99"/>
      <c r="J162" s="113"/>
    </row>
    <row r="163" spans="1:10" x14ac:dyDescent="0.25">
      <c r="A163"/>
      <c r="B163"/>
      <c r="C163"/>
      <c r="D163" s="26"/>
      <c r="E163"/>
      <c r="F163"/>
      <c r="G163"/>
      <c r="H163"/>
      <c r="I163" s="99"/>
      <c r="J163" s="113"/>
    </row>
    <row r="164" spans="1:10" x14ac:dyDescent="0.25">
      <c r="A164"/>
      <c r="B164"/>
      <c r="C164"/>
      <c r="D164" s="26"/>
      <c r="E164"/>
      <c r="F164"/>
      <c r="G164"/>
      <c r="H164"/>
      <c r="I164" s="99"/>
      <c r="J164" s="113"/>
    </row>
    <row r="165" spans="1:10" x14ac:dyDescent="0.25">
      <c r="A165"/>
      <c r="B165"/>
      <c r="C165"/>
      <c r="D165" s="26"/>
      <c r="E165"/>
      <c r="F165"/>
      <c r="G165"/>
      <c r="H165"/>
      <c r="I165" s="99"/>
      <c r="J165" s="113"/>
    </row>
    <row r="166" spans="1:10" x14ac:dyDescent="0.25">
      <c r="A166"/>
      <c r="B166"/>
      <c r="C166"/>
      <c r="D166" s="26"/>
      <c r="E166"/>
      <c r="F166"/>
      <c r="G166"/>
      <c r="H166"/>
      <c r="I166" s="99"/>
      <c r="J166" s="113"/>
    </row>
    <row r="167" spans="1:10" x14ac:dyDescent="0.25">
      <c r="A167"/>
      <c r="B167"/>
      <c r="C167"/>
      <c r="D167" s="26"/>
      <c r="E167"/>
      <c r="F167"/>
      <c r="G167"/>
      <c r="H167"/>
      <c r="I167" s="99"/>
      <c r="J167" s="113"/>
    </row>
    <row r="168" spans="1:10" x14ac:dyDescent="0.25">
      <c r="A168"/>
      <c r="B168"/>
      <c r="C168"/>
      <c r="D168" s="26"/>
      <c r="E168"/>
      <c r="F168"/>
      <c r="G168"/>
      <c r="H168"/>
      <c r="I168" s="99"/>
      <c r="J168" s="113"/>
    </row>
    <row r="169" spans="1:10" x14ac:dyDescent="0.25">
      <c r="A169"/>
      <c r="B169"/>
      <c r="C169"/>
      <c r="D169" s="26"/>
      <c r="E169"/>
      <c r="F169"/>
      <c r="G169"/>
      <c r="H169"/>
      <c r="I169" s="99"/>
      <c r="J169" s="113"/>
    </row>
    <row r="170" spans="1:10" x14ac:dyDescent="0.25">
      <c r="A170"/>
      <c r="B170"/>
      <c r="C170"/>
      <c r="D170" s="26"/>
      <c r="E170"/>
      <c r="F170"/>
      <c r="G170"/>
      <c r="H170"/>
      <c r="I170" s="99"/>
      <c r="J170" s="113"/>
    </row>
    <row r="171" spans="1:10" x14ac:dyDescent="0.25">
      <c r="A171"/>
      <c r="B171"/>
      <c r="C171"/>
      <c r="D171" s="26"/>
      <c r="E171"/>
      <c r="F171"/>
      <c r="G171"/>
      <c r="H171"/>
      <c r="I171" s="99"/>
      <c r="J171" s="113"/>
    </row>
    <row r="172" spans="1:10" x14ac:dyDescent="0.25">
      <c r="A172"/>
      <c r="B172"/>
      <c r="C172"/>
      <c r="D172" s="26"/>
      <c r="E172"/>
      <c r="F172"/>
      <c r="G172"/>
      <c r="H172"/>
      <c r="I172" s="99"/>
      <c r="J172" s="113"/>
    </row>
    <row r="173" spans="1:10" x14ac:dyDescent="0.25">
      <c r="A173"/>
      <c r="B173"/>
      <c r="C173"/>
      <c r="D173" s="26"/>
      <c r="E173"/>
      <c r="F173"/>
      <c r="G173"/>
      <c r="H173"/>
      <c r="I173" s="99"/>
      <c r="J173" s="113"/>
    </row>
    <row r="174" spans="1:10" x14ac:dyDescent="0.25">
      <c r="A174"/>
      <c r="B174"/>
      <c r="C174"/>
      <c r="D174" s="26"/>
      <c r="E174"/>
      <c r="F174"/>
      <c r="G174"/>
      <c r="H174"/>
      <c r="I174" s="99"/>
      <c r="J174" s="113"/>
    </row>
    <row r="175" spans="1:10" x14ac:dyDescent="0.25">
      <c r="A175"/>
      <c r="B175"/>
      <c r="C175"/>
      <c r="D175" s="26"/>
      <c r="E175"/>
      <c r="F175"/>
      <c r="G175"/>
      <c r="H175"/>
      <c r="I175" s="99"/>
      <c r="J175" s="113"/>
    </row>
    <row r="176" spans="1:10" x14ac:dyDescent="0.25">
      <c r="A176"/>
      <c r="B176"/>
      <c r="C176"/>
      <c r="D176" s="26"/>
      <c r="E176"/>
      <c r="F176"/>
      <c r="G176"/>
      <c r="H176"/>
      <c r="I176" s="99"/>
      <c r="J176" s="113"/>
    </row>
    <row r="177" spans="1:10" x14ac:dyDescent="0.25">
      <c r="A177"/>
      <c r="B177"/>
      <c r="C177"/>
      <c r="D177" s="26"/>
      <c r="E177"/>
      <c r="F177"/>
      <c r="G177"/>
      <c r="H177"/>
      <c r="I177" s="99"/>
      <c r="J177" s="113"/>
    </row>
    <row r="178" spans="1:10" x14ac:dyDescent="0.25">
      <c r="A178"/>
      <c r="B178"/>
      <c r="C178"/>
      <c r="D178" s="26"/>
      <c r="E178"/>
      <c r="F178"/>
      <c r="G178"/>
      <c r="H178"/>
      <c r="I178" s="99"/>
      <c r="J178" s="113"/>
    </row>
    <row r="179" spans="1:10" x14ac:dyDescent="0.25">
      <c r="A179"/>
      <c r="B179"/>
      <c r="C179"/>
      <c r="D179" s="26"/>
      <c r="E179"/>
      <c r="F179"/>
      <c r="G179"/>
      <c r="H179"/>
      <c r="I179" s="99"/>
      <c r="J179" s="113"/>
    </row>
    <row r="180" spans="1:10" x14ac:dyDescent="0.25">
      <c r="A180"/>
      <c r="B180"/>
      <c r="C180"/>
      <c r="D180" s="26"/>
      <c r="E180"/>
      <c r="F180"/>
      <c r="G180"/>
      <c r="H180"/>
      <c r="I180" s="99"/>
      <c r="J180" s="113"/>
    </row>
    <row r="181" spans="1:10" x14ac:dyDescent="0.25">
      <c r="A181"/>
      <c r="B181"/>
      <c r="C181"/>
      <c r="D181" s="26"/>
      <c r="E181"/>
      <c r="F181"/>
      <c r="G181"/>
      <c r="H181"/>
      <c r="I181" s="99"/>
      <c r="J181" s="113"/>
    </row>
    <row r="182" spans="1:10" x14ac:dyDescent="0.25">
      <c r="A182"/>
      <c r="B182"/>
      <c r="C182"/>
      <c r="D182" s="26"/>
      <c r="E182"/>
      <c r="F182"/>
      <c r="G182"/>
      <c r="H182"/>
      <c r="I182" s="99"/>
      <c r="J182" s="113"/>
    </row>
    <row r="183" spans="1:10" x14ac:dyDescent="0.25">
      <c r="A183"/>
      <c r="B183"/>
      <c r="C183"/>
      <c r="D183" s="26"/>
      <c r="E183"/>
      <c r="F183"/>
      <c r="G183"/>
      <c r="H183"/>
      <c r="I183" s="99"/>
      <c r="J183" s="113"/>
    </row>
    <row r="184" spans="1:10" x14ac:dyDescent="0.25">
      <c r="A184"/>
      <c r="B184"/>
      <c r="C184"/>
      <c r="D184" s="26"/>
      <c r="E184"/>
      <c r="F184"/>
      <c r="G184"/>
      <c r="H184"/>
      <c r="I184" s="99"/>
      <c r="J184" s="113"/>
    </row>
    <row r="185" spans="1:10" x14ac:dyDescent="0.25">
      <c r="A185"/>
      <c r="B185"/>
      <c r="C185"/>
      <c r="D185" s="26"/>
      <c r="E185"/>
      <c r="F185"/>
      <c r="G185"/>
      <c r="H185"/>
      <c r="I185" s="99"/>
      <c r="J185" s="113"/>
    </row>
    <row r="186" spans="1:10" x14ac:dyDescent="0.25">
      <c r="A186"/>
      <c r="B186"/>
      <c r="C186"/>
      <c r="D186" s="26"/>
      <c r="E186"/>
      <c r="F186"/>
      <c r="G186"/>
      <c r="H186"/>
      <c r="I186" s="99"/>
      <c r="J186" s="113"/>
    </row>
    <row r="187" spans="1:10" x14ac:dyDescent="0.25">
      <c r="A187"/>
      <c r="B187"/>
      <c r="C187"/>
      <c r="D187" s="26"/>
      <c r="E187"/>
      <c r="F187"/>
      <c r="G187"/>
      <c r="H187"/>
      <c r="I187" s="99"/>
      <c r="J187" s="113"/>
    </row>
    <row r="188" spans="1:10" x14ac:dyDescent="0.25">
      <c r="A188"/>
      <c r="B188"/>
      <c r="C188"/>
      <c r="D188" s="26"/>
      <c r="E188"/>
      <c r="F188"/>
      <c r="G188"/>
      <c r="H188"/>
      <c r="I188" s="99"/>
      <c r="J188" s="113"/>
    </row>
    <row r="189" spans="1:10" x14ac:dyDescent="0.25">
      <c r="A189"/>
      <c r="B189"/>
      <c r="C189"/>
      <c r="D189" s="26"/>
      <c r="E189"/>
      <c r="F189"/>
      <c r="G189"/>
      <c r="H189"/>
      <c r="I189" s="99"/>
      <c r="J189" s="113"/>
    </row>
    <row r="190" spans="1:10" x14ac:dyDescent="0.25">
      <c r="A190"/>
      <c r="B190"/>
      <c r="C190"/>
      <c r="D190" s="26"/>
      <c r="E190"/>
      <c r="F190"/>
      <c r="G190"/>
      <c r="H190"/>
      <c r="I190" s="99"/>
      <c r="J190" s="113"/>
    </row>
    <row r="191" spans="1:10" x14ac:dyDescent="0.25">
      <c r="A191"/>
      <c r="B191"/>
      <c r="C191"/>
      <c r="D191" s="26"/>
      <c r="E191"/>
      <c r="F191"/>
      <c r="G191"/>
      <c r="H191"/>
      <c r="I191" s="99"/>
      <c r="J191" s="113"/>
    </row>
    <row r="192" spans="1:10" x14ac:dyDescent="0.25">
      <c r="A192"/>
      <c r="B192"/>
      <c r="C192"/>
      <c r="D192" s="26"/>
      <c r="E192"/>
      <c r="F192"/>
      <c r="G192"/>
      <c r="H192"/>
      <c r="I192" s="99"/>
      <c r="J192" s="113"/>
    </row>
    <row r="193" spans="1:10" x14ac:dyDescent="0.25">
      <c r="A193"/>
      <c r="B193"/>
      <c r="C193"/>
      <c r="D193" s="26"/>
      <c r="E193"/>
      <c r="F193"/>
      <c r="G193"/>
      <c r="H193"/>
      <c r="I193" s="99"/>
      <c r="J193" s="113"/>
    </row>
    <row r="194" spans="1:10" x14ac:dyDescent="0.25">
      <c r="A194"/>
      <c r="B194"/>
      <c r="C194"/>
      <c r="D194" s="26"/>
      <c r="E194"/>
      <c r="F194"/>
      <c r="G194"/>
      <c r="H194"/>
      <c r="I194" s="99"/>
      <c r="J194" s="113"/>
    </row>
    <row r="195" spans="1:10" x14ac:dyDescent="0.25">
      <c r="A195"/>
      <c r="B195"/>
      <c r="C195"/>
      <c r="D195" s="26"/>
      <c r="E195"/>
      <c r="F195"/>
      <c r="G195"/>
      <c r="H195"/>
      <c r="I195" s="99"/>
      <c r="J195" s="113"/>
    </row>
    <row r="196" spans="1:10" x14ac:dyDescent="0.25">
      <c r="A196"/>
      <c r="B196"/>
      <c r="C196"/>
      <c r="D196" s="26"/>
      <c r="E196"/>
      <c r="F196"/>
      <c r="G196"/>
      <c r="H196"/>
      <c r="I196" s="99"/>
      <c r="J196" s="113"/>
    </row>
    <row r="197" spans="1:10" x14ac:dyDescent="0.25">
      <c r="A197"/>
      <c r="B197"/>
      <c r="C197"/>
      <c r="D197" s="26"/>
      <c r="E197"/>
      <c r="F197"/>
      <c r="G197"/>
      <c r="H197"/>
      <c r="I197" s="99"/>
      <c r="J197" s="113"/>
    </row>
    <row r="198" spans="1:10" x14ac:dyDescent="0.25">
      <c r="A198"/>
      <c r="B198"/>
      <c r="C198"/>
      <c r="D198" s="26"/>
      <c r="E198"/>
      <c r="F198"/>
      <c r="G198"/>
      <c r="H198"/>
      <c r="I198" s="99"/>
      <c r="J198" s="113"/>
    </row>
    <row r="199" spans="1:10" x14ac:dyDescent="0.25">
      <c r="A199"/>
      <c r="B199"/>
      <c r="C199"/>
      <c r="D199" s="26"/>
      <c r="E199"/>
      <c r="F199"/>
      <c r="G199"/>
      <c r="H199"/>
      <c r="I199" s="99"/>
      <c r="J199" s="113"/>
    </row>
    <row r="200" spans="1:10" x14ac:dyDescent="0.25">
      <c r="A200"/>
      <c r="B200"/>
      <c r="C200"/>
      <c r="D200" s="26"/>
      <c r="E200"/>
      <c r="F200"/>
      <c r="G200"/>
      <c r="H200"/>
      <c r="I200" s="99"/>
      <c r="J200" s="113"/>
    </row>
    <row r="201" spans="1:10" x14ac:dyDescent="0.25">
      <c r="I201" s="100"/>
      <c r="J201" s="111"/>
    </row>
    <row r="202" spans="1:10" x14ac:dyDescent="0.25">
      <c r="I202" s="100"/>
      <c r="J202" s="111"/>
    </row>
    <row r="203" spans="1:10" x14ac:dyDescent="0.25">
      <c r="I203" s="100"/>
      <c r="J203" s="111"/>
    </row>
    <row r="204" spans="1:10" x14ac:dyDescent="0.25">
      <c r="I204" s="100"/>
      <c r="J204" s="111"/>
    </row>
    <row r="205" spans="1:10" x14ac:dyDescent="0.25">
      <c r="I205" s="100"/>
      <c r="J205" s="111"/>
    </row>
    <row r="206" spans="1:10" x14ac:dyDescent="0.25">
      <c r="I206" s="100"/>
      <c r="J206" s="111"/>
    </row>
    <row r="207" spans="1:10" x14ac:dyDescent="0.25">
      <c r="I207" s="100"/>
      <c r="J207" s="111"/>
    </row>
    <row r="208" spans="1:10" x14ac:dyDescent="0.25">
      <c r="I208" s="100"/>
      <c r="J208" s="111"/>
    </row>
    <row r="209" spans="9:10" x14ac:dyDescent="0.25">
      <c r="I209" s="100"/>
      <c r="J209" s="111"/>
    </row>
    <row r="210" spans="9:10" x14ac:dyDescent="0.25">
      <c r="I210" s="100"/>
      <c r="J210" s="111"/>
    </row>
    <row r="211" spans="9:10" x14ac:dyDescent="0.25">
      <c r="I211" s="100"/>
      <c r="J211" s="111"/>
    </row>
    <row r="212" spans="9:10" x14ac:dyDescent="0.25">
      <c r="I212" s="100"/>
      <c r="J212" s="111"/>
    </row>
    <row r="213" spans="9:10" x14ac:dyDescent="0.25">
      <c r="I213" s="100"/>
      <c r="J213" s="111"/>
    </row>
    <row r="214" spans="9:10" x14ac:dyDescent="0.25">
      <c r="I214" s="100"/>
      <c r="J214" s="111"/>
    </row>
    <row r="215" spans="9:10" x14ac:dyDescent="0.25">
      <c r="I215" s="100"/>
      <c r="J215" s="111"/>
    </row>
    <row r="216" spans="9:10" x14ac:dyDescent="0.25">
      <c r="I216" s="100"/>
      <c r="J216" s="111"/>
    </row>
    <row r="217" spans="9:10" x14ac:dyDescent="0.25">
      <c r="I217" s="100"/>
      <c r="J217" s="111"/>
    </row>
    <row r="218" spans="9:10" x14ac:dyDescent="0.25">
      <c r="I218" s="100"/>
      <c r="J218" s="111"/>
    </row>
    <row r="219" spans="9:10" x14ac:dyDescent="0.25">
      <c r="I219" s="100"/>
      <c r="J219" s="111"/>
    </row>
    <row r="220" spans="9:10" x14ac:dyDescent="0.25">
      <c r="I220" s="100"/>
      <c r="J220" s="111"/>
    </row>
    <row r="221" spans="9:10" x14ac:dyDescent="0.25">
      <c r="I221" s="100"/>
      <c r="J221" s="111"/>
    </row>
    <row r="222" spans="9:10" x14ac:dyDescent="0.25">
      <c r="I222" s="100"/>
      <c r="J222" s="111"/>
    </row>
    <row r="223" spans="9:10" x14ac:dyDescent="0.25">
      <c r="I223" s="100"/>
      <c r="J223" s="111"/>
    </row>
    <row r="224" spans="9:10" x14ac:dyDescent="0.25">
      <c r="I224" s="100"/>
      <c r="J224" s="111"/>
    </row>
    <row r="225" spans="9:10" x14ac:dyDescent="0.25">
      <c r="I225" s="100"/>
      <c r="J225" s="111"/>
    </row>
    <row r="226" spans="9:10" x14ac:dyDescent="0.25">
      <c r="I226" s="100"/>
      <c r="J226" s="111"/>
    </row>
    <row r="227" spans="9:10" x14ac:dyDescent="0.25">
      <c r="I227" s="100"/>
      <c r="J227" s="111"/>
    </row>
    <row r="228" spans="9:10" x14ac:dyDescent="0.25">
      <c r="I228" s="100"/>
      <c r="J228" s="111"/>
    </row>
    <row r="229" spans="9:10" x14ac:dyDescent="0.25">
      <c r="I229" s="100"/>
      <c r="J229" s="111"/>
    </row>
    <row r="230" spans="9:10" x14ac:dyDescent="0.25">
      <c r="I230" s="100"/>
      <c r="J230" s="111"/>
    </row>
    <row r="231" spans="9:10" x14ac:dyDescent="0.25">
      <c r="I231" s="100"/>
      <c r="J231" s="111"/>
    </row>
    <row r="232" spans="9:10" x14ac:dyDescent="0.25">
      <c r="I232" s="100"/>
      <c r="J232" s="111"/>
    </row>
    <row r="233" spans="9:10" x14ac:dyDescent="0.25">
      <c r="I233" s="100"/>
      <c r="J233" s="111"/>
    </row>
    <row r="234" spans="9:10" x14ac:dyDescent="0.25">
      <c r="I234" s="100"/>
      <c r="J234" s="111"/>
    </row>
    <row r="235" spans="9:10" x14ac:dyDescent="0.25">
      <c r="I235" s="100"/>
      <c r="J235" s="111"/>
    </row>
    <row r="236" spans="9:10" x14ac:dyDescent="0.25">
      <c r="I236" s="100"/>
      <c r="J236" s="111"/>
    </row>
    <row r="237" spans="9:10" x14ac:dyDescent="0.25">
      <c r="I237" s="100"/>
      <c r="J237" s="111"/>
    </row>
    <row r="238" spans="9:10" x14ac:dyDescent="0.25">
      <c r="I238" s="100"/>
      <c r="J238" s="111"/>
    </row>
    <row r="239" spans="9:10" x14ac:dyDescent="0.25">
      <c r="I239" s="100"/>
      <c r="J239" s="111"/>
    </row>
    <row r="240" spans="9:10" x14ac:dyDescent="0.25">
      <c r="I240" s="100"/>
      <c r="J240" s="111"/>
    </row>
    <row r="241" spans="9:10" x14ac:dyDescent="0.25">
      <c r="I241" s="100"/>
      <c r="J241" s="111"/>
    </row>
    <row r="242" spans="9:10" x14ac:dyDescent="0.25">
      <c r="I242" s="100"/>
      <c r="J242" s="111"/>
    </row>
    <row r="243" spans="9:10" x14ac:dyDescent="0.25">
      <c r="I243" s="100"/>
      <c r="J243" s="111"/>
    </row>
    <row r="244" spans="9:10" x14ac:dyDescent="0.25">
      <c r="I244" s="100"/>
      <c r="J244" s="111"/>
    </row>
    <row r="245" spans="9:10" x14ac:dyDescent="0.25">
      <c r="I245" s="100"/>
      <c r="J245" s="111"/>
    </row>
    <row r="246" spans="9:10" x14ac:dyDescent="0.25">
      <c r="I246" s="100"/>
      <c r="J246" s="111"/>
    </row>
    <row r="247" spans="9:10" x14ac:dyDescent="0.25">
      <c r="I247" s="100"/>
      <c r="J247" s="111"/>
    </row>
    <row r="248" spans="9:10" x14ac:dyDescent="0.25">
      <c r="I248" s="100"/>
      <c r="J248" s="111"/>
    </row>
    <row r="249" spans="9:10" x14ac:dyDescent="0.25">
      <c r="I249" s="100"/>
      <c r="J249" s="111"/>
    </row>
    <row r="250" spans="9:10" x14ac:dyDescent="0.25">
      <c r="I250" s="100"/>
      <c r="J250" s="111"/>
    </row>
    <row r="251" spans="9:10" x14ac:dyDescent="0.25">
      <c r="I251" s="100"/>
      <c r="J251" s="111"/>
    </row>
    <row r="252" spans="9:10" x14ac:dyDescent="0.25">
      <c r="I252" s="100"/>
      <c r="J252" s="111"/>
    </row>
    <row r="253" spans="9:10" x14ac:dyDescent="0.25">
      <c r="I253" s="100"/>
      <c r="J253" s="111"/>
    </row>
    <row r="254" spans="9:10" x14ac:dyDescent="0.25">
      <c r="I254" s="100"/>
      <c r="J254" s="111"/>
    </row>
    <row r="255" spans="9:10" x14ac:dyDescent="0.25">
      <c r="I255" s="100"/>
      <c r="J255" s="111"/>
    </row>
    <row r="256" spans="9:10" x14ac:dyDescent="0.25">
      <c r="I256" s="100"/>
      <c r="J256" s="111"/>
    </row>
    <row r="257" spans="9:10" x14ac:dyDescent="0.25">
      <c r="I257" s="100"/>
      <c r="J257" s="111"/>
    </row>
    <row r="258" spans="9:10" x14ac:dyDescent="0.25">
      <c r="I258" s="100"/>
      <c r="J258" s="111"/>
    </row>
    <row r="259" spans="9:10" x14ac:dyDescent="0.25">
      <c r="I259" s="100"/>
      <c r="J259" s="111"/>
    </row>
    <row r="260" spans="9:10" x14ac:dyDescent="0.25">
      <c r="I260" s="100"/>
      <c r="J260" s="111"/>
    </row>
    <row r="261" spans="9:10" x14ac:dyDescent="0.25">
      <c r="I261" s="100"/>
      <c r="J261" s="111"/>
    </row>
    <row r="262" spans="9:10" x14ac:dyDescent="0.25">
      <c r="I262" s="100"/>
      <c r="J262" s="111"/>
    </row>
    <row r="263" spans="9:10" x14ac:dyDescent="0.25">
      <c r="I263" s="100"/>
      <c r="J263" s="111"/>
    </row>
    <row r="264" spans="9:10" x14ac:dyDescent="0.25">
      <c r="I264" s="100"/>
      <c r="J264" s="111"/>
    </row>
    <row r="265" spans="9:10" x14ac:dyDescent="0.25">
      <c r="I265" s="100"/>
      <c r="J265" s="111"/>
    </row>
    <row r="266" spans="9:10" x14ac:dyDescent="0.25">
      <c r="I266" s="100"/>
      <c r="J266" s="111"/>
    </row>
    <row r="267" spans="9:10" x14ac:dyDescent="0.25">
      <c r="I267" s="100"/>
      <c r="J267" s="111"/>
    </row>
    <row r="268" spans="9:10" x14ac:dyDescent="0.25">
      <c r="I268" s="100"/>
      <c r="J268" s="111"/>
    </row>
    <row r="269" spans="9:10" x14ac:dyDescent="0.25">
      <c r="I269" s="100"/>
      <c r="J269" s="111"/>
    </row>
    <row r="270" spans="9:10" x14ac:dyDescent="0.25">
      <c r="I270" s="100"/>
      <c r="J270" s="111"/>
    </row>
    <row r="271" spans="9:10" x14ac:dyDescent="0.25">
      <c r="I271" s="100"/>
      <c r="J271" s="111"/>
    </row>
    <row r="272" spans="9:10" x14ac:dyDescent="0.25">
      <c r="I272" s="100"/>
      <c r="J272" s="111"/>
    </row>
    <row r="273" spans="9:10" x14ac:dyDescent="0.25">
      <c r="I273" s="100"/>
      <c r="J273" s="111"/>
    </row>
    <row r="274" spans="9:10" x14ac:dyDescent="0.25">
      <c r="I274" s="100"/>
      <c r="J274" s="111"/>
    </row>
    <row r="275" spans="9:10" x14ac:dyDescent="0.25">
      <c r="I275" s="100"/>
      <c r="J275" s="111"/>
    </row>
    <row r="276" spans="9:10" x14ac:dyDescent="0.25">
      <c r="I276" s="100"/>
      <c r="J276" s="111"/>
    </row>
    <row r="277" spans="9:10" x14ac:dyDescent="0.25">
      <c r="I277" s="100"/>
      <c r="J277" s="111"/>
    </row>
    <row r="278" spans="9:10" x14ac:dyDescent="0.25">
      <c r="I278" s="100"/>
      <c r="J278" s="111"/>
    </row>
    <row r="279" spans="9:10" x14ac:dyDescent="0.25">
      <c r="I279" s="100"/>
      <c r="J279" s="111"/>
    </row>
    <row r="280" spans="9:10" x14ac:dyDescent="0.25">
      <c r="I280" s="100"/>
      <c r="J280" s="111"/>
    </row>
    <row r="281" spans="9:10" x14ac:dyDescent="0.25">
      <c r="I281" s="100"/>
      <c r="J281" s="111"/>
    </row>
    <row r="282" spans="9:10" x14ac:dyDescent="0.25">
      <c r="I282" s="100"/>
      <c r="J282" s="111"/>
    </row>
    <row r="283" spans="9:10" x14ac:dyDescent="0.25">
      <c r="I283" s="100"/>
      <c r="J283" s="111"/>
    </row>
    <row r="284" spans="9:10" x14ac:dyDescent="0.25">
      <c r="I284" s="100"/>
      <c r="J284" s="111"/>
    </row>
    <row r="285" spans="9:10" x14ac:dyDescent="0.25">
      <c r="I285" s="100"/>
      <c r="J285" s="111"/>
    </row>
    <row r="286" spans="9:10" x14ac:dyDescent="0.25">
      <c r="I286" s="100"/>
      <c r="J286" s="111"/>
    </row>
    <row r="287" spans="9:10" x14ac:dyDescent="0.25">
      <c r="I287" s="100"/>
      <c r="J287" s="111"/>
    </row>
    <row r="288" spans="9:10" x14ac:dyDescent="0.25">
      <c r="I288" s="100"/>
      <c r="J288" s="111"/>
    </row>
    <row r="289" spans="9:10" x14ac:dyDescent="0.25">
      <c r="I289" s="100"/>
      <c r="J289" s="111"/>
    </row>
    <row r="290" spans="9:10" x14ac:dyDescent="0.25">
      <c r="I290" s="100"/>
      <c r="J290" s="111"/>
    </row>
    <row r="291" spans="9:10" x14ac:dyDescent="0.25">
      <c r="I291" s="100"/>
      <c r="J291" s="111"/>
    </row>
    <row r="292" spans="9:10" x14ac:dyDescent="0.25">
      <c r="I292" s="100"/>
      <c r="J292" s="111"/>
    </row>
    <row r="293" spans="9:10" x14ac:dyDescent="0.25">
      <c r="I293" s="100"/>
      <c r="J293" s="111"/>
    </row>
    <row r="294" spans="9:10" x14ac:dyDescent="0.25">
      <c r="I294" s="100"/>
      <c r="J294" s="111"/>
    </row>
    <row r="295" spans="9:10" x14ac:dyDescent="0.25">
      <c r="I295" s="100"/>
      <c r="J295" s="111"/>
    </row>
    <row r="296" spans="9:10" x14ac:dyDescent="0.25">
      <c r="I296" s="100"/>
      <c r="J296" s="111"/>
    </row>
    <row r="297" spans="9:10" x14ac:dyDescent="0.25">
      <c r="I297" s="100"/>
      <c r="J297" s="111"/>
    </row>
    <row r="298" spans="9:10" x14ac:dyDescent="0.25">
      <c r="I298" s="100"/>
      <c r="J298" s="111"/>
    </row>
    <row r="299" spans="9:10" x14ac:dyDescent="0.25">
      <c r="I299" s="100"/>
      <c r="J299" s="111"/>
    </row>
    <row r="300" spans="9:10" x14ac:dyDescent="0.25">
      <c r="I300" s="100"/>
      <c r="J300" s="111"/>
    </row>
    <row r="301" spans="9:10" x14ac:dyDescent="0.25">
      <c r="I301" s="100"/>
      <c r="J301" s="111"/>
    </row>
    <row r="302" spans="9:10" x14ac:dyDescent="0.25">
      <c r="I302" s="100"/>
      <c r="J302" s="111"/>
    </row>
    <row r="303" spans="9:10" x14ac:dyDescent="0.25">
      <c r="I303" s="100"/>
      <c r="J303" s="111"/>
    </row>
    <row r="304" spans="9:10" x14ac:dyDescent="0.25">
      <c r="I304" s="100"/>
      <c r="J304" s="111"/>
    </row>
    <row r="305" spans="9:10" x14ac:dyDescent="0.25">
      <c r="I305" s="100"/>
      <c r="J305" s="111"/>
    </row>
    <row r="306" spans="9:10" x14ac:dyDescent="0.25">
      <c r="I306" s="100"/>
      <c r="J306" s="111"/>
    </row>
    <row r="307" spans="9:10" x14ac:dyDescent="0.25">
      <c r="I307" s="100"/>
      <c r="J307" s="111"/>
    </row>
    <row r="308" spans="9:10" x14ac:dyDescent="0.25">
      <c r="I308" s="100"/>
      <c r="J308" s="111"/>
    </row>
    <row r="309" spans="9:10" x14ac:dyDescent="0.25">
      <c r="I309" s="100"/>
      <c r="J309" s="111"/>
    </row>
    <row r="310" spans="9:10" x14ac:dyDescent="0.25">
      <c r="I310" s="100"/>
      <c r="J310" s="111"/>
    </row>
    <row r="311" spans="9:10" x14ac:dyDescent="0.25">
      <c r="I311" s="100"/>
      <c r="J311" s="111"/>
    </row>
    <row r="312" spans="9:10" x14ac:dyDescent="0.25">
      <c r="I312" s="100"/>
      <c r="J312" s="111"/>
    </row>
    <row r="313" spans="9:10" x14ac:dyDescent="0.25">
      <c r="I313" s="100"/>
      <c r="J313" s="111"/>
    </row>
    <row r="314" spans="9:10" x14ac:dyDescent="0.25">
      <c r="I314" s="100"/>
      <c r="J314" s="111"/>
    </row>
    <row r="315" spans="9:10" x14ac:dyDescent="0.25">
      <c r="I315" s="100"/>
      <c r="J315" s="111"/>
    </row>
    <row r="316" spans="9:10" x14ac:dyDescent="0.25">
      <c r="I316" s="100"/>
      <c r="J316" s="111"/>
    </row>
    <row r="317" spans="9:10" x14ac:dyDescent="0.25">
      <c r="I317" s="100"/>
      <c r="J317" s="111"/>
    </row>
    <row r="318" spans="9:10" x14ac:dyDescent="0.25">
      <c r="I318" s="100"/>
      <c r="J318" s="111"/>
    </row>
    <row r="319" spans="9:10" x14ac:dyDescent="0.25">
      <c r="I319" s="100"/>
      <c r="J319" s="111"/>
    </row>
    <row r="320" spans="9:10" x14ac:dyDescent="0.25">
      <c r="I320" s="100"/>
      <c r="J320" s="111"/>
    </row>
    <row r="321" spans="9:10" x14ac:dyDescent="0.25">
      <c r="I321" s="100"/>
      <c r="J321" s="111"/>
    </row>
    <row r="322" spans="9:10" x14ac:dyDescent="0.25">
      <c r="I322" s="100"/>
      <c r="J322" s="111"/>
    </row>
    <row r="323" spans="9:10" x14ac:dyDescent="0.25">
      <c r="I323" s="100"/>
      <c r="J323" s="111"/>
    </row>
    <row r="324" spans="9:10" x14ac:dyDescent="0.25">
      <c r="I324" s="100"/>
      <c r="J324" s="111"/>
    </row>
    <row r="325" spans="9:10" x14ac:dyDescent="0.25">
      <c r="I325" s="100"/>
      <c r="J325" s="111"/>
    </row>
    <row r="326" spans="9:10" x14ac:dyDescent="0.25">
      <c r="I326" s="100"/>
      <c r="J326" s="111"/>
    </row>
    <row r="327" spans="9:10" x14ac:dyDescent="0.25">
      <c r="I327" s="100"/>
      <c r="J327" s="111"/>
    </row>
    <row r="328" spans="9:10" x14ac:dyDescent="0.25">
      <c r="I328" s="100"/>
      <c r="J328" s="111"/>
    </row>
    <row r="329" spans="9:10" x14ac:dyDescent="0.25">
      <c r="I329" s="100"/>
      <c r="J329" s="111"/>
    </row>
    <row r="330" spans="9:10" x14ac:dyDescent="0.25">
      <c r="I330" s="100"/>
      <c r="J330" s="111"/>
    </row>
    <row r="331" spans="9:10" x14ac:dyDescent="0.25">
      <c r="I331" s="100"/>
      <c r="J331" s="111"/>
    </row>
    <row r="332" spans="9:10" x14ac:dyDescent="0.25">
      <c r="I332" s="100"/>
      <c r="J332" s="111"/>
    </row>
    <row r="333" spans="9:10" x14ac:dyDescent="0.25">
      <c r="I333" s="100"/>
      <c r="J333" s="111"/>
    </row>
    <row r="334" spans="9:10" x14ac:dyDescent="0.25">
      <c r="I334" s="100"/>
      <c r="J334" s="111"/>
    </row>
    <row r="335" spans="9:10" x14ac:dyDescent="0.25">
      <c r="I335" s="100"/>
      <c r="J335" s="111"/>
    </row>
    <row r="336" spans="9:10" x14ac:dyDescent="0.25">
      <c r="I336" s="100"/>
      <c r="J336" s="111"/>
    </row>
    <row r="337" spans="9:10" x14ac:dyDescent="0.25">
      <c r="I337" s="100"/>
      <c r="J337" s="111"/>
    </row>
    <row r="338" spans="9:10" x14ac:dyDescent="0.25">
      <c r="I338" s="100"/>
      <c r="J338" s="111"/>
    </row>
    <row r="339" spans="9:10" x14ac:dyDescent="0.25">
      <c r="I339" s="100"/>
      <c r="J339" s="111"/>
    </row>
    <row r="340" spans="9:10" x14ac:dyDescent="0.25">
      <c r="I340" s="100"/>
      <c r="J340" s="111"/>
    </row>
    <row r="341" spans="9:10" x14ac:dyDescent="0.25">
      <c r="I341" s="100"/>
      <c r="J341" s="111"/>
    </row>
    <row r="342" spans="9:10" x14ac:dyDescent="0.25">
      <c r="I342" s="100"/>
      <c r="J342" s="111"/>
    </row>
    <row r="343" spans="9:10" x14ac:dyDescent="0.25">
      <c r="I343" s="100"/>
      <c r="J343" s="111"/>
    </row>
    <row r="344" spans="9:10" x14ac:dyDescent="0.25">
      <c r="I344" s="100"/>
      <c r="J344" s="111"/>
    </row>
    <row r="345" spans="9:10" x14ac:dyDescent="0.25">
      <c r="I345" s="100"/>
      <c r="J345" s="111"/>
    </row>
    <row r="346" spans="9:10" x14ac:dyDescent="0.25">
      <c r="I346" s="100"/>
      <c r="J346" s="111"/>
    </row>
    <row r="347" spans="9:10" x14ac:dyDescent="0.25">
      <c r="I347" s="100"/>
      <c r="J347" s="111"/>
    </row>
    <row r="348" spans="9:10" x14ac:dyDescent="0.25">
      <c r="I348" s="100"/>
      <c r="J348" s="111"/>
    </row>
    <row r="349" spans="9:10" x14ac:dyDescent="0.25">
      <c r="I349" s="100"/>
      <c r="J349" s="111"/>
    </row>
    <row r="350" spans="9:10" x14ac:dyDescent="0.25">
      <c r="I350" s="100"/>
      <c r="J350" s="111"/>
    </row>
    <row r="351" spans="9:10" x14ac:dyDescent="0.25">
      <c r="I351" s="100"/>
      <c r="J351" s="111"/>
    </row>
    <row r="352" spans="9:10" x14ac:dyDescent="0.25">
      <c r="I352" s="100"/>
      <c r="J352" s="111"/>
    </row>
    <row r="353" spans="9:10" x14ac:dyDescent="0.25">
      <c r="I353" s="100"/>
      <c r="J353" s="111"/>
    </row>
    <row r="354" spans="9:10" x14ac:dyDescent="0.25">
      <c r="I354" s="100"/>
      <c r="J354" s="111"/>
    </row>
    <row r="355" spans="9:10" x14ac:dyDescent="0.25">
      <c r="I355" s="100"/>
      <c r="J355" s="111"/>
    </row>
    <row r="356" spans="9:10" x14ac:dyDescent="0.25">
      <c r="I356" s="100"/>
      <c r="J356" s="111"/>
    </row>
    <row r="357" spans="9:10" x14ac:dyDescent="0.25">
      <c r="I357" s="100"/>
      <c r="J357" s="111"/>
    </row>
    <row r="358" spans="9:10" x14ac:dyDescent="0.25">
      <c r="I358" s="100"/>
      <c r="J358" s="111"/>
    </row>
    <row r="359" spans="9:10" x14ac:dyDescent="0.25">
      <c r="I359" s="100"/>
      <c r="J359" s="111"/>
    </row>
    <row r="360" spans="9:10" x14ac:dyDescent="0.25">
      <c r="I360" s="100"/>
      <c r="J360" s="111"/>
    </row>
    <row r="361" spans="9:10" x14ac:dyDescent="0.25">
      <c r="I361" s="100"/>
      <c r="J361" s="111"/>
    </row>
    <row r="362" spans="9:10" x14ac:dyDescent="0.25">
      <c r="I362" s="100"/>
      <c r="J362" s="111"/>
    </row>
    <row r="363" spans="9:10" x14ac:dyDescent="0.25">
      <c r="I363" s="100"/>
      <c r="J363" s="111"/>
    </row>
    <row r="364" spans="9:10" x14ac:dyDescent="0.25">
      <c r="I364" s="100"/>
      <c r="J364" s="111"/>
    </row>
    <row r="365" spans="9:10" x14ac:dyDescent="0.25">
      <c r="I365" s="100"/>
      <c r="J365" s="111"/>
    </row>
    <row r="366" spans="9:10" x14ac:dyDescent="0.25">
      <c r="I366" s="100"/>
      <c r="J366" s="111"/>
    </row>
    <row r="367" spans="9:10" x14ac:dyDescent="0.25">
      <c r="I367" s="100"/>
      <c r="J367" s="111"/>
    </row>
    <row r="368" spans="9:10" x14ac:dyDescent="0.25">
      <c r="I368" s="100"/>
      <c r="J368" s="111"/>
    </row>
    <row r="369" spans="9:10" x14ac:dyDescent="0.25">
      <c r="I369" s="100"/>
      <c r="J369" s="111"/>
    </row>
    <row r="370" spans="9:10" x14ac:dyDescent="0.25">
      <c r="I370" s="100"/>
      <c r="J370" s="111"/>
    </row>
    <row r="371" spans="9:10" x14ac:dyDescent="0.25">
      <c r="I371" s="100"/>
      <c r="J371" s="111"/>
    </row>
    <row r="372" spans="9:10" x14ac:dyDescent="0.25">
      <c r="I372" s="100"/>
      <c r="J372" s="111"/>
    </row>
    <row r="373" spans="9:10" x14ac:dyDescent="0.25">
      <c r="I373" s="100"/>
      <c r="J373" s="111"/>
    </row>
    <row r="374" spans="9:10" x14ac:dyDescent="0.25">
      <c r="I374" s="100"/>
      <c r="J374" s="111"/>
    </row>
    <row r="375" spans="9:10" x14ac:dyDescent="0.25">
      <c r="I375" s="100"/>
      <c r="J375" s="111"/>
    </row>
    <row r="376" spans="9:10" x14ac:dyDescent="0.25">
      <c r="I376" s="100"/>
      <c r="J376" s="111"/>
    </row>
    <row r="377" spans="9:10" x14ac:dyDescent="0.25">
      <c r="I377" s="100"/>
      <c r="J377" s="111"/>
    </row>
    <row r="378" spans="9:10" x14ac:dyDescent="0.25">
      <c r="I378" s="100"/>
      <c r="J378" s="111"/>
    </row>
    <row r="379" spans="9:10" x14ac:dyDescent="0.25">
      <c r="I379" s="100"/>
      <c r="J379" s="111"/>
    </row>
    <row r="380" spans="9:10" x14ac:dyDescent="0.25">
      <c r="I380" s="100"/>
      <c r="J380" s="111"/>
    </row>
    <row r="381" spans="9:10" x14ac:dyDescent="0.25">
      <c r="I381" s="100"/>
      <c r="J381" s="111"/>
    </row>
    <row r="382" spans="9:10" x14ac:dyDescent="0.25">
      <c r="I382" s="100"/>
      <c r="J382" s="111"/>
    </row>
    <row r="383" spans="9:10" x14ac:dyDescent="0.25">
      <c r="I383" s="100"/>
      <c r="J383" s="111"/>
    </row>
    <row r="384" spans="9:10" x14ac:dyDescent="0.25">
      <c r="I384" s="100"/>
      <c r="J384" s="111"/>
    </row>
    <row r="385" spans="9:10" x14ac:dyDescent="0.25">
      <c r="I385" s="100"/>
      <c r="J385" s="111"/>
    </row>
    <row r="386" spans="9:10" x14ac:dyDescent="0.25">
      <c r="I386" s="100"/>
      <c r="J386" s="111"/>
    </row>
    <row r="387" spans="9:10" x14ac:dyDescent="0.25">
      <c r="I387" s="100"/>
      <c r="J387" s="111"/>
    </row>
    <row r="388" spans="9:10" x14ac:dyDescent="0.25">
      <c r="I388" s="100"/>
      <c r="J388" s="111"/>
    </row>
    <row r="389" spans="9:10" x14ac:dyDescent="0.25">
      <c r="I389" s="100"/>
      <c r="J389" s="111"/>
    </row>
    <row r="390" spans="9:10" x14ac:dyDescent="0.25">
      <c r="I390" s="100"/>
      <c r="J390" s="111"/>
    </row>
    <row r="391" spans="9:10" x14ac:dyDescent="0.25">
      <c r="I391" s="100"/>
      <c r="J391" s="111"/>
    </row>
    <row r="392" spans="9:10" x14ac:dyDescent="0.25">
      <c r="I392" s="100"/>
      <c r="J392" s="111"/>
    </row>
    <row r="393" spans="9:10" x14ac:dyDescent="0.25">
      <c r="I393" s="100"/>
      <c r="J393" s="111"/>
    </row>
    <row r="394" spans="9:10" x14ac:dyDescent="0.25">
      <c r="I394" s="100"/>
      <c r="J394" s="111"/>
    </row>
    <row r="395" spans="9:10" x14ac:dyDescent="0.25">
      <c r="I395" s="100"/>
      <c r="J395" s="111"/>
    </row>
    <row r="396" spans="9:10" x14ac:dyDescent="0.25">
      <c r="I396" s="100"/>
      <c r="J396" s="111"/>
    </row>
    <row r="397" spans="9:10" x14ac:dyDescent="0.25">
      <c r="I397" s="100"/>
      <c r="J397" s="111"/>
    </row>
    <row r="398" spans="9:10" x14ac:dyDescent="0.25">
      <c r="I398" s="100"/>
      <c r="J398" s="111"/>
    </row>
    <row r="399" spans="9:10" x14ac:dyDescent="0.25">
      <c r="I399" s="100"/>
      <c r="J399" s="111"/>
    </row>
    <row r="400" spans="9:10" x14ac:dyDescent="0.25">
      <c r="I400" s="100"/>
      <c r="J400" s="111"/>
    </row>
    <row r="401" spans="9:10" x14ac:dyDescent="0.25">
      <c r="I401" s="100"/>
      <c r="J401" s="111"/>
    </row>
    <row r="402" spans="9:10" x14ac:dyDescent="0.25">
      <c r="I402" s="100"/>
      <c r="J402" s="111"/>
    </row>
    <row r="403" spans="9:10" x14ac:dyDescent="0.25">
      <c r="I403" s="100"/>
      <c r="J403" s="111"/>
    </row>
    <row r="404" spans="9:10" x14ac:dyDescent="0.25">
      <c r="I404" s="100"/>
      <c r="J404" s="111"/>
    </row>
    <row r="405" spans="9:10" x14ac:dyDescent="0.25">
      <c r="I405" s="100"/>
      <c r="J405" s="111"/>
    </row>
    <row r="406" spans="9:10" x14ac:dyDescent="0.25">
      <c r="I406" s="100"/>
      <c r="J406" s="111"/>
    </row>
    <row r="407" spans="9:10" x14ac:dyDescent="0.25">
      <c r="I407" s="100"/>
      <c r="J407" s="111"/>
    </row>
    <row r="408" spans="9:10" x14ac:dyDescent="0.25">
      <c r="I408" s="100"/>
      <c r="J408" s="111"/>
    </row>
    <row r="409" spans="9:10" x14ac:dyDescent="0.25">
      <c r="I409" s="100"/>
      <c r="J409" s="111"/>
    </row>
    <row r="410" spans="9:10" x14ac:dyDescent="0.25">
      <c r="I410" s="100"/>
      <c r="J410" s="111"/>
    </row>
    <row r="411" spans="9:10" x14ac:dyDescent="0.25">
      <c r="I411" s="100"/>
      <c r="J411" s="111"/>
    </row>
    <row r="412" spans="9:10" x14ac:dyDescent="0.25">
      <c r="I412" s="100"/>
      <c r="J412" s="111"/>
    </row>
    <row r="413" spans="9:10" x14ac:dyDescent="0.25">
      <c r="I413" s="100"/>
      <c r="J413" s="111"/>
    </row>
    <row r="414" spans="9:10" x14ac:dyDescent="0.25">
      <c r="I414" s="100"/>
      <c r="J414" s="111"/>
    </row>
    <row r="415" spans="9:10" x14ac:dyDescent="0.25">
      <c r="I415" s="100"/>
      <c r="J415" s="111"/>
    </row>
    <row r="416" spans="9:10" x14ac:dyDescent="0.25">
      <c r="I416" s="100"/>
      <c r="J416" s="111"/>
    </row>
    <row r="417" spans="9:10" x14ac:dyDescent="0.25">
      <c r="I417" s="100"/>
      <c r="J417" s="111"/>
    </row>
    <row r="418" spans="9:10" x14ac:dyDescent="0.25">
      <c r="I418" s="100"/>
      <c r="J418" s="111"/>
    </row>
    <row r="419" spans="9:10" x14ac:dyDescent="0.25">
      <c r="I419" s="100"/>
      <c r="J419" s="111"/>
    </row>
    <row r="420" spans="9:10" x14ac:dyDescent="0.25">
      <c r="I420" s="100"/>
      <c r="J420" s="111"/>
    </row>
    <row r="421" spans="9:10" x14ac:dyDescent="0.25">
      <c r="I421" s="100"/>
      <c r="J421" s="111"/>
    </row>
    <row r="422" spans="9:10" x14ac:dyDescent="0.25">
      <c r="I422" s="100"/>
      <c r="J422" s="111"/>
    </row>
    <row r="423" spans="9:10" x14ac:dyDescent="0.25">
      <c r="I423" s="100"/>
      <c r="J423" s="111"/>
    </row>
    <row r="424" spans="9:10" x14ac:dyDescent="0.25">
      <c r="I424" s="100"/>
      <c r="J424" s="111"/>
    </row>
    <row r="425" spans="9:10" x14ac:dyDescent="0.25">
      <c r="I425" s="100"/>
      <c r="J425" s="111"/>
    </row>
    <row r="426" spans="9:10" x14ac:dyDescent="0.25">
      <c r="I426" s="100"/>
      <c r="J426" s="111"/>
    </row>
    <row r="427" spans="9:10" x14ac:dyDescent="0.25">
      <c r="I427" s="100"/>
      <c r="J427" s="111"/>
    </row>
    <row r="428" spans="9:10" x14ac:dyDescent="0.25">
      <c r="I428" s="100"/>
      <c r="J428" s="111"/>
    </row>
    <row r="429" spans="9:10" x14ac:dyDescent="0.25">
      <c r="I429" s="100"/>
      <c r="J429" s="111"/>
    </row>
    <row r="430" spans="9:10" x14ac:dyDescent="0.25">
      <c r="I430" s="100"/>
      <c r="J430" s="111"/>
    </row>
    <row r="431" spans="9:10" x14ac:dyDescent="0.25">
      <c r="I431" s="100"/>
      <c r="J431" s="111"/>
    </row>
    <row r="432" spans="9:10" x14ac:dyDescent="0.25">
      <c r="I432" s="100"/>
      <c r="J432" s="111"/>
    </row>
    <row r="433" spans="9:10" x14ac:dyDescent="0.25">
      <c r="I433" s="100"/>
      <c r="J433" s="111"/>
    </row>
    <row r="434" spans="9:10" x14ac:dyDescent="0.25">
      <c r="I434" s="100"/>
      <c r="J434" s="111"/>
    </row>
    <row r="435" spans="9:10" x14ac:dyDescent="0.25">
      <c r="I435" s="100"/>
      <c r="J435" s="111"/>
    </row>
    <row r="436" spans="9:10" x14ac:dyDescent="0.25">
      <c r="I436" s="100"/>
      <c r="J436" s="111"/>
    </row>
    <row r="437" spans="9:10" x14ac:dyDescent="0.25">
      <c r="I437" s="100"/>
      <c r="J437" s="111"/>
    </row>
    <row r="438" spans="9:10" x14ac:dyDescent="0.25">
      <c r="I438" s="100"/>
      <c r="J438" s="111"/>
    </row>
    <row r="439" spans="9:10" x14ac:dyDescent="0.25">
      <c r="I439" s="100"/>
      <c r="J439" s="111"/>
    </row>
    <row r="440" spans="9:10" x14ac:dyDescent="0.25">
      <c r="I440" s="100"/>
      <c r="J440" s="111"/>
    </row>
    <row r="441" spans="9:10" x14ac:dyDescent="0.25">
      <c r="I441" s="100"/>
      <c r="J441" s="111"/>
    </row>
    <row r="442" spans="9:10" x14ac:dyDescent="0.25">
      <c r="I442" s="100"/>
      <c r="J442" s="111"/>
    </row>
    <row r="443" spans="9:10" x14ac:dyDescent="0.25">
      <c r="I443" s="100"/>
      <c r="J443" s="111"/>
    </row>
    <row r="444" spans="9:10" x14ac:dyDescent="0.25">
      <c r="I444" s="100"/>
      <c r="J444" s="111"/>
    </row>
    <row r="445" spans="9:10" x14ac:dyDescent="0.25">
      <c r="I445" s="100"/>
      <c r="J445" s="111"/>
    </row>
    <row r="446" spans="9:10" x14ac:dyDescent="0.25">
      <c r="I446" s="100"/>
      <c r="J446" s="111"/>
    </row>
    <row r="447" spans="9:10" x14ac:dyDescent="0.25">
      <c r="I447" s="100"/>
      <c r="J447" s="111"/>
    </row>
    <row r="448" spans="9:10" x14ac:dyDescent="0.25">
      <c r="I448" s="100"/>
      <c r="J448" s="111"/>
    </row>
    <row r="449" spans="9:10" x14ac:dyDescent="0.25">
      <c r="I449" s="100"/>
      <c r="J449" s="111"/>
    </row>
    <row r="450" spans="9:10" x14ac:dyDescent="0.25">
      <c r="I450" s="100"/>
      <c r="J450" s="111"/>
    </row>
    <row r="451" spans="9:10" x14ac:dyDescent="0.25">
      <c r="I451" s="100"/>
      <c r="J451" s="111"/>
    </row>
    <row r="452" spans="9:10" x14ac:dyDescent="0.25">
      <c r="I452" s="100"/>
      <c r="J452" s="111"/>
    </row>
    <row r="453" spans="9:10" x14ac:dyDescent="0.25">
      <c r="I453" s="100"/>
      <c r="J453" s="111"/>
    </row>
    <row r="454" spans="9:10" x14ac:dyDescent="0.25">
      <c r="I454" s="100"/>
      <c r="J454" s="111"/>
    </row>
    <row r="455" spans="9:10" x14ac:dyDescent="0.25">
      <c r="I455" s="100"/>
      <c r="J455" s="111"/>
    </row>
    <row r="456" spans="9:10" x14ac:dyDescent="0.25">
      <c r="I456" s="100"/>
      <c r="J456" s="111"/>
    </row>
    <row r="457" spans="9:10" x14ac:dyDescent="0.25">
      <c r="I457" s="100"/>
      <c r="J457" s="111"/>
    </row>
    <row r="458" spans="9:10" x14ac:dyDescent="0.25">
      <c r="I458" s="100"/>
      <c r="J458" s="111"/>
    </row>
    <row r="459" spans="9:10" x14ac:dyDescent="0.25">
      <c r="I459" s="100"/>
      <c r="J459" s="111"/>
    </row>
    <row r="460" spans="9:10" x14ac:dyDescent="0.25">
      <c r="I460" s="100"/>
      <c r="J460" s="111"/>
    </row>
    <row r="461" spans="9:10" x14ac:dyDescent="0.25">
      <c r="I461" s="100"/>
      <c r="J461" s="111"/>
    </row>
    <row r="462" spans="9:10" x14ac:dyDescent="0.25">
      <c r="I462" s="100"/>
      <c r="J462" s="111"/>
    </row>
    <row r="463" spans="9:10" x14ac:dyDescent="0.25">
      <c r="I463" s="100"/>
      <c r="J463" s="111"/>
    </row>
    <row r="464" spans="9:10" x14ac:dyDescent="0.25">
      <c r="I464" s="100"/>
      <c r="J464" s="111"/>
    </row>
    <row r="465" spans="9:10" x14ac:dyDescent="0.25">
      <c r="I465" s="100"/>
      <c r="J465" s="111"/>
    </row>
    <row r="466" spans="9:10" x14ac:dyDescent="0.25">
      <c r="I466" s="100"/>
      <c r="J466" s="111"/>
    </row>
    <row r="467" spans="9:10" x14ac:dyDescent="0.25">
      <c r="I467" s="100"/>
      <c r="J467" s="111"/>
    </row>
    <row r="468" spans="9:10" x14ac:dyDescent="0.25">
      <c r="I468" s="100"/>
      <c r="J468" s="111"/>
    </row>
    <row r="469" spans="9:10" x14ac:dyDescent="0.25">
      <c r="I469" s="100"/>
      <c r="J469" s="111"/>
    </row>
    <row r="470" spans="9:10" x14ac:dyDescent="0.25">
      <c r="I470" s="100"/>
      <c r="J470" s="111"/>
    </row>
    <row r="471" spans="9:10" x14ac:dyDescent="0.25">
      <c r="I471" s="100"/>
      <c r="J471" s="111"/>
    </row>
    <row r="472" spans="9:10" x14ac:dyDescent="0.25">
      <c r="I472" s="100"/>
      <c r="J472" s="111"/>
    </row>
    <row r="473" spans="9:10" x14ac:dyDescent="0.25">
      <c r="I473" s="100"/>
      <c r="J473" s="111"/>
    </row>
    <row r="474" spans="9:10" x14ac:dyDescent="0.25">
      <c r="I474" s="100"/>
      <c r="J474" s="111"/>
    </row>
    <row r="475" spans="9:10" x14ac:dyDescent="0.25">
      <c r="I475" s="100"/>
      <c r="J475" s="111"/>
    </row>
    <row r="476" spans="9:10" x14ac:dyDescent="0.25">
      <c r="I476" s="100"/>
      <c r="J476" s="111"/>
    </row>
    <row r="477" spans="9:10" x14ac:dyDescent="0.25">
      <c r="I477" s="100"/>
      <c r="J477" s="111"/>
    </row>
    <row r="478" spans="9:10" x14ac:dyDescent="0.25">
      <c r="I478" s="100"/>
      <c r="J478" s="111"/>
    </row>
    <row r="479" spans="9:10" x14ac:dyDescent="0.25">
      <c r="I479" s="100"/>
      <c r="J479" s="111"/>
    </row>
    <row r="480" spans="9:10" x14ac:dyDescent="0.25">
      <c r="I480" s="100"/>
      <c r="J480" s="111"/>
    </row>
    <row r="481" spans="9:10" x14ac:dyDescent="0.25">
      <c r="I481" s="100"/>
      <c r="J481" s="111"/>
    </row>
    <row r="482" spans="9:10" x14ac:dyDescent="0.25">
      <c r="I482" s="100"/>
      <c r="J482" s="111"/>
    </row>
    <row r="483" spans="9:10" x14ac:dyDescent="0.25">
      <c r="I483" s="100"/>
      <c r="J483" s="111"/>
    </row>
    <row r="484" spans="9:10" x14ac:dyDescent="0.25">
      <c r="I484" s="100"/>
      <c r="J484" s="111"/>
    </row>
    <row r="485" spans="9:10" x14ac:dyDescent="0.25">
      <c r="I485" s="100"/>
      <c r="J485" s="111"/>
    </row>
    <row r="486" spans="9:10" x14ac:dyDescent="0.25">
      <c r="I486" s="100"/>
      <c r="J486" s="111"/>
    </row>
    <row r="487" spans="9:10" x14ac:dyDescent="0.25">
      <c r="I487" s="100"/>
      <c r="J487" s="111"/>
    </row>
    <row r="488" spans="9:10" x14ac:dyDescent="0.25">
      <c r="I488" s="100"/>
      <c r="J488" s="111"/>
    </row>
    <row r="489" spans="9:10" x14ac:dyDescent="0.25">
      <c r="I489" s="100"/>
      <c r="J489" s="111"/>
    </row>
    <row r="490" spans="9:10" x14ac:dyDescent="0.25">
      <c r="I490" s="100"/>
      <c r="J490" s="111"/>
    </row>
    <row r="491" spans="9:10" x14ac:dyDescent="0.25">
      <c r="I491" s="100"/>
      <c r="J491" s="111"/>
    </row>
    <row r="492" spans="9:10" x14ac:dyDescent="0.25">
      <c r="I492" s="100"/>
      <c r="J492" s="111"/>
    </row>
    <row r="493" spans="9:10" x14ac:dyDescent="0.25">
      <c r="I493" s="100"/>
      <c r="J493" s="111"/>
    </row>
    <row r="494" spans="9:10" x14ac:dyDescent="0.25">
      <c r="I494" s="100"/>
      <c r="J494" s="111"/>
    </row>
    <row r="495" spans="9:10" x14ac:dyDescent="0.25">
      <c r="I495" s="100"/>
      <c r="J495" s="111"/>
    </row>
    <row r="496" spans="9:10" x14ac:dyDescent="0.25">
      <c r="I496" s="100"/>
      <c r="J496" s="111"/>
    </row>
    <row r="497" spans="9:10" x14ac:dyDescent="0.25">
      <c r="I497" s="100"/>
      <c r="J497" s="111"/>
    </row>
    <row r="498" spans="9:10" x14ac:dyDescent="0.25">
      <c r="I498" s="100"/>
      <c r="J498" s="111"/>
    </row>
    <row r="499" spans="9:10" x14ac:dyDescent="0.25">
      <c r="I499" s="100"/>
      <c r="J499" s="111"/>
    </row>
    <row r="500" spans="9:10" x14ac:dyDescent="0.25">
      <c r="I500" s="100"/>
      <c r="J500" s="111"/>
    </row>
  </sheetData>
  <sheetProtection algorithmName="SHA-512" hashValue="vklmJryba+FLnaK43/OdNtnu58TTncWdEqgC0/lQNS1I3l5MrrmDGYAYcJjs0dzI2DC1Iuqj4mZiR+XHyqMyyA==" saltValue="RKiYZWf6UMQUsV0a9Vp8Sw==" spinCount="10000" sheet="1" objects="1" scenarios="1"/>
  <sortState ref="A2:K23">
    <sortCondition ref="I1"/>
  </sortState>
  <conditionalFormatting sqref="V2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11</xdr:col>
                <xdr:colOff>47625</xdr:colOff>
                <xdr:row>1</xdr:row>
                <xdr:rowOff>76200</xdr:rowOff>
              </from>
              <to>
                <xdr:col>12</xdr:col>
                <xdr:colOff>0</xdr:colOff>
                <xdr:row>3</xdr:row>
                <xdr:rowOff>85725</xdr:rowOff>
              </to>
            </anchor>
          </controlPr>
        </control>
      </mc:Choice>
      <mc:Fallback>
        <control shapeId="1026" r:id="rId4" name="CommandButton1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autoPict="0" r:id="rId7">
            <anchor moveWithCells="1">
              <from>
                <xdr:col>11</xdr:col>
                <xdr:colOff>28575</xdr:colOff>
                <xdr:row>5</xdr:row>
                <xdr:rowOff>133350</xdr:rowOff>
              </from>
              <to>
                <xdr:col>12</xdr:col>
                <xdr:colOff>38100</xdr:colOff>
                <xdr:row>8</xdr:row>
                <xdr:rowOff>142875</xdr:rowOff>
              </to>
            </anchor>
          </controlPr>
        </control>
      </mc:Choice>
      <mc:Fallback>
        <control shapeId="1027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02"/>
  <sheetViews>
    <sheetView tabSelected="1" workbookViewId="0"/>
  </sheetViews>
  <sheetFormatPr defaultRowHeight="15" x14ac:dyDescent="0.25"/>
  <cols>
    <col min="1" max="1" width="20.28515625" customWidth="1"/>
    <col min="2" max="2" width="14.5703125" customWidth="1"/>
    <col min="3" max="3" width="21.42578125" customWidth="1"/>
    <col min="7" max="7" width="19.140625" style="158" customWidth="1"/>
    <col min="8" max="8" width="19.85546875" style="158" bestFit="1" customWidth="1"/>
    <col min="9" max="9" width="9.140625" style="1"/>
    <col min="10" max="10" width="19.7109375" style="158" customWidth="1"/>
    <col min="11" max="11" width="16.5703125" style="158" bestFit="1" customWidth="1"/>
    <col min="12" max="12" width="25.7109375" style="158" customWidth="1"/>
    <col min="13" max="13" width="19.85546875" style="158" customWidth="1"/>
  </cols>
  <sheetData>
    <row r="1" spans="1:13" ht="43.5" customHeight="1" x14ac:dyDescent="0.25">
      <c r="A1" s="29" t="s">
        <v>16</v>
      </c>
      <c r="B1" s="29" t="s">
        <v>3</v>
      </c>
      <c r="C1" s="29" t="s">
        <v>17</v>
      </c>
      <c r="G1" s="153" t="s">
        <v>151</v>
      </c>
      <c r="H1" s="153" t="s">
        <v>108</v>
      </c>
      <c r="I1" s="154"/>
      <c r="J1" s="155"/>
      <c r="K1" s="153" t="s">
        <v>97</v>
      </c>
      <c r="L1" s="155"/>
      <c r="M1" s="153" t="s">
        <v>104</v>
      </c>
    </row>
    <row r="2" spans="1:13" s="22" customFormat="1" ht="22.5" customHeight="1" x14ac:dyDescent="0.25">
      <c r="A2" s="16" t="str">
        <f>"4178.201.030"</f>
        <v>4178.201.030</v>
      </c>
      <c r="B2" s="16" t="s">
        <v>18</v>
      </c>
      <c r="C2" s="15" t="s">
        <v>19</v>
      </c>
      <c r="G2" s="156" t="str">
        <f>"4178.302.041"</f>
        <v>4178.302.041</v>
      </c>
      <c r="H2" s="156">
        <v>20</v>
      </c>
      <c r="I2" s="157"/>
      <c r="J2" s="158" t="str">
        <f t="shared" ref="J2:J78" si="0">G2&amp;H2</f>
        <v>4178.302.04120</v>
      </c>
      <c r="K2" s="159">
        <v>3.125E-2</v>
      </c>
      <c r="L2" s="158" t="str">
        <f t="shared" ref="L2:L65" si="1">G2&amp;H2&amp;M2</f>
        <v>4178.302.04120P100L</v>
      </c>
      <c r="M2" s="160" t="s">
        <v>152</v>
      </c>
    </row>
    <row r="3" spans="1:13" x14ac:dyDescent="0.25">
      <c r="A3" s="16" t="str">
        <f>"4178.302.059"</f>
        <v>4178.302.059</v>
      </c>
      <c r="B3" s="30" t="s">
        <v>18</v>
      </c>
      <c r="C3" s="16" t="s">
        <v>20</v>
      </c>
      <c r="G3" s="156" t="str">
        <f t="shared" ref="G3:G7" si="2">"4178.302.041"</f>
        <v>4178.302.041</v>
      </c>
      <c r="H3" s="156">
        <v>30</v>
      </c>
      <c r="J3" s="158" t="str">
        <f t="shared" si="0"/>
        <v>4178.302.04130</v>
      </c>
      <c r="K3" s="159">
        <v>4.1666666666666664E-2</v>
      </c>
      <c r="L3" s="158" t="str">
        <f t="shared" si="1"/>
        <v>4178.302.04130P100</v>
      </c>
      <c r="M3" s="160" t="s">
        <v>153</v>
      </c>
    </row>
    <row r="4" spans="1:13" x14ac:dyDescent="0.25">
      <c r="A4" s="16" t="str">
        <f>"4178.306.014"</f>
        <v>4178.306.014</v>
      </c>
      <c r="B4" s="30" t="s">
        <v>18</v>
      </c>
      <c r="C4" s="16" t="s">
        <v>21</v>
      </c>
      <c r="G4" s="156" t="str">
        <f t="shared" si="2"/>
        <v>4178.302.041</v>
      </c>
      <c r="H4" s="156">
        <v>90</v>
      </c>
      <c r="J4" s="158" t="str">
        <f t="shared" si="0"/>
        <v>4178.302.04190</v>
      </c>
      <c r="K4" s="159">
        <v>3.4722222222222224E-2</v>
      </c>
      <c r="L4" s="158" t="str">
        <f t="shared" si="1"/>
        <v>4178.302.04190P100L</v>
      </c>
      <c r="M4" s="160" t="s">
        <v>152</v>
      </c>
    </row>
    <row r="5" spans="1:13" x14ac:dyDescent="0.25">
      <c r="A5" s="16"/>
      <c r="B5" s="30"/>
      <c r="C5" s="16"/>
      <c r="G5" s="156" t="str">
        <f t="shared" si="2"/>
        <v>4178.302.041</v>
      </c>
      <c r="H5" s="156">
        <v>100</v>
      </c>
      <c r="J5" s="158" t="str">
        <f t="shared" si="0"/>
        <v>4178.302.041100</v>
      </c>
      <c r="K5" s="159">
        <v>4.1666666666666664E-2</v>
      </c>
      <c r="L5" s="158" t="str">
        <f t="shared" si="1"/>
        <v>4178.302.041100P100L</v>
      </c>
      <c r="M5" s="160" t="s">
        <v>152</v>
      </c>
    </row>
    <row r="6" spans="1:13" x14ac:dyDescent="0.25">
      <c r="A6" s="16" t="str">
        <f>"4178.302.042"</f>
        <v>4178.302.042</v>
      </c>
      <c r="B6" s="30" t="s">
        <v>18</v>
      </c>
      <c r="C6" s="16" t="s">
        <v>22</v>
      </c>
      <c r="G6" s="156" t="str">
        <f t="shared" si="2"/>
        <v>4178.302.041</v>
      </c>
      <c r="H6" s="156">
        <v>100</v>
      </c>
      <c r="J6" s="158" t="str">
        <f t="shared" si="0"/>
        <v>4178.302.041100</v>
      </c>
      <c r="K6" s="159">
        <v>4.1666666666666664E-2</v>
      </c>
      <c r="L6" s="158" t="str">
        <f t="shared" si="1"/>
        <v>4178.302.041100P100</v>
      </c>
      <c r="M6" s="160" t="s">
        <v>153</v>
      </c>
    </row>
    <row r="7" spans="1:13" x14ac:dyDescent="0.25">
      <c r="A7" s="16" t="str">
        <f>"4178.303.044"</f>
        <v>4178.303.044</v>
      </c>
      <c r="B7" s="30" t="s">
        <v>18</v>
      </c>
      <c r="C7" s="16" t="s">
        <v>23</v>
      </c>
      <c r="G7" s="156" t="str">
        <f t="shared" si="2"/>
        <v>4178.302.041</v>
      </c>
      <c r="H7" s="156" t="s">
        <v>154</v>
      </c>
      <c r="J7" s="158" t="str">
        <f t="shared" si="0"/>
        <v>4178.302.041TIPC</v>
      </c>
      <c r="K7" s="159">
        <v>4.1666666666666664E-2</v>
      </c>
      <c r="L7" s="158" t="str">
        <f t="shared" si="1"/>
        <v>4178.302.041TIPCP100</v>
      </c>
      <c r="M7" s="160" t="s">
        <v>153</v>
      </c>
    </row>
    <row r="8" spans="1:13" x14ac:dyDescent="0.25">
      <c r="A8" s="16" t="str">
        <f>"4178.303.043"</f>
        <v>4178.303.043</v>
      </c>
      <c r="B8" s="30" t="s">
        <v>18</v>
      </c>
      <c r="C8" s="16" t="s">
        <v>24</v>
      </c>
      <c r="G8" s="156" t="str">
        <f>"4178.302.043"</f>
        <v>4178.302.043</v>
      </c>
      <c r="H8" s="156">
        <v>30</v>
      </c>
      <c r="J8" s="158" t="str">
        <f t="shared" si="0"/>
        <v>4178.302.04330</v>
      </c>
      <c r="K8" s="159">
        <v>4.1666666666666664E-2</v>
      </c>
      <c r="L8" s="158" t="str">
        <f t="shared" si="1"/>
        <v>4178.302.04330P65</v>
      </c>
      <c r="M8" s="161" t="s">
        <v>155</v>
      </c>
    </row>
    <row r="9" spans="1:13" x14ac:dyDescent="0.25">
      <c r="A9" s="17" t="str">
        <f>"4178.303.043"</f>
        <v>4178.303.043</v>
      </c>
      <c r="B9" s="31" t="s">
        <v>18</v>
      </c>
      <c r="C9" s="17" t="s">
        <v>24</v>
      </c>
      <c r="E9" s="162"/>
      <c r="G9" s="156" t="str">
        <f>"4178.302.043"</f>
        <v>4178.302.043</v>
      </c>
      <c r="H9" s="156">
        <v>160</v>
      </c>
      <c r="J9" s="158" t="str">
        <f t="shared" si="0"/>
        <v>4178.302.043160</v>
      </c>
      <c r="K9" s="159">
        <v>5.2083333333333336E-2</v>
      </c>
      <c r="L9" s="158" t="str">
        <f t="shared" si="1"/>
        <v>4178.302.043160P100</v>
      </c>
      <c r="M9" s="160" t="s">
        <v>153</v>
      </c>
    </row>
    <row r="10" spans="1:13" x14ac:dyDescent="0.25">
      <c r="A10" s="16" t="str">
        <f>"4178.304.107"</f>
        <v>4178.304.107</v>
      </c>
      <c r="B10" s="30" t="s">
        <v>18</v>
      </c>
      <c r="C10" s="16" t="s">
        <v>25</v>
      </c>
      <c r="G10" s="156" t="str">
        <f>"4178.303.043"</f>
        <v>4178.303.043</v>
      </c>
      <c r="H10" s="156">
        <v>60</v>
      </c>
      <c r="J10" s="158" t="str">
        <f t="shared" si="0"/>
        <v>4178.303.04360</v>
      </c>
      <c r="K10" s="159">
        <v>3.4722222222222224E-2</v>
      </c>
      <c r="L10" s="158" t="str">
        <f t="shared" si="1"/>
        <v>4178.303.04360P100</v>
      </c>
      <c r="M10" s="160" t="s">
        <v>153</v>
      </c>
    </row>
    <row r="11" spans="1:13" x14ac:dyDescent="0.25">
      <c r="A11" s="16" t="str">
        <f>"4178.305.145"</f>
        <v>4178.305.145</v>
      </c>
      <c r="B11" s="30" t="s">
        <v>26</v>
      </c>
      <c r="C11" s="16" t="s">
        <v>27</v>
      </c>
      <c r="G11" s="156" t="str">
        <f t="shared" ref="G11:G16" si="3">"4178.303.043"</f>
        <v>4178.303.043</v>
      </c>
      <c r="H11" s="156">
        <v>70</v>
      </c>
      <c r="J11" s="158" t="str">
        <f t="shared" si="0"/>
        <v>4178.303.04370</v>
      </c>
      <c r="K11" s="159">
        <v>3.125E-2</v>
      </c>
      <c r="L11" s="158" t="str">
        <f t="shared" si="1"/>
        <v>4178.303.04370P100</v>
      </c>
      <c r="M11" s="160" t="s">
        <v>153</v>
      </c>
    </row>
    <row r="12" spans="1:13" x14ac:dyDescent="0.25">
      <c r="A12" s="16" t="str">
        <f>"4178.305.144"</f>
        <v>4178.305.144</v>
      </c>
      <c r="B12" s="30" t="s">
        <v>28</v>
      </c>
      <c r="C12" s="16" t="s">
        <v>27</v>
      </c>
      <c r="G12" s="156" t="str">
        <f t="shared" si="3"/>
        <v>4178.303.043</v>
      </c>
      <c r="H12" s="156">
        <v>90</v>
      </c>
      <c r="J12" s="158" t="str">
        <f t="shared" si="0"/>
        <v>4178.303.04390</v>
      </c>
      <c r="K12" s="159">
        <v>5.2083333333333336E-2</v>
      </c>
      <c r="L12" s="158" t="str">
        <f t="shared" si="1"/>
        <v>4178.303.04390P100</v>
      </c>
      <c r="M12" s="160" t="s">
        <v>153</v>
      </c>
    </row>
    <row r="13" spans="1:13" x14ac:dyDescent="0.25">
      <c r="A13" s="16"/>
      <c r="B13" s="30"/>
      <c r="C13" s="16"/>
      <c r="G13" s="156" t="str">
        <f t="shared" si="3"/>
        <v>4178.303.043</v>
      </c>
      <c r="H13" s="156">
        <v>140</v>
      </c>
      <c r="J13" s="158" t="str">
        <f t="shared" si="0"/>
        <v>4178.303.043140</v>
      </c>
      <c r="K13" s="159">
        <v>3.4722222222222224E-2</v>
      </c>
      <c r="L13" s="158" t="str">
        <f t="shared" si="1"/>
        <v>4178.303.043140P100</v>
      </c>
      <c r="M13" s="160" t="s">
        <v>153</v>
      </c>
    </row>
    <row r="14" spans="1:13" x14ac:dyDescent="0.25">
      <c r="A14" s="16" t="str">
        <f>"4178.302.043"</f>
        <v>4178.302.043</v>
      </c>
      <c r="B14" s="30" t="s">
        <v>18</v>
      </c>
      <c r="C14" s="16" t="s">
        <v>29</v>
      </c>
      <c r="G14" s="156" t="str">
        <f t="shared" si="3"/>
        <v>4178.303.043</v>
      </c>
      <c r="H14" s="156">
        <v>140</v>
      </c>
      <c r="J14" s="158" t="str">
        <f t="shared" si="0"/>
        <v>4178.303.043140</v>
      </c>
      <c r="K14" s="159">
        <v>3.4722222222222224E-2</v>
      </c>
      <c r="L14" s="158" t="str">
        <f t="shared" si="1"/>
        <v>4178.303.043140P65</v>
      </c>
      <c r="M14" s="160" t="s">
        <v>155</v>
      </c>
    </row>
    <row r="15" spans="1:13" x14ac:dyDescent="0.25">
      <c r="A15" s="16" t="str">
        <f>"4178.304.109"</f>
        <v>4178.304.109</v>
      </c>
      <c r="B15" s="30" t="s">
        <v>26</v>
      </c>
      <c r="C15" s="16" t="s">
        <v>30</v>
      </c>
      <c r="G15" s="156" t="str">
        <f t="shared" si="3"/>
        <v>4178.303.043</v>
      </c>
      <c r="H15" s="156">
        <v>160</v>
      </c>
      <c r="J15" s="158" t="str">
        <f t="shared" si="0"/>
        <v>4178.303.043160</v>
      </c>
      <c r="K15" s="159">
        <v>5.2083333333333336E-2</v>
      </c>
      <c r="L15" s="158" t="str">
        <f t="shared" si="1"/>
        <v>4178.303.043160P100</v>
      </c>
      <c r="M15" s="160" t="s">
        <v>153</v>
      </c>
    </row>
    <row r="16" spans="1:13" x14ac:dyDescent="0.25">
      <c r="A16" s="16" t="str">
        <f>"4178.304.108"</f>
        <v>4178.304.108</v>
      </c>
      <c r="B16" s="30" t="s">
        <v>28</v>
      </c>
      <c r="C16" s="16" t="s">
        <v>30</v>
      </c>
      <c r="G16" s="156" t="str">
        <f t="shared" si="3"/>
        <v>4178.303.043</v>
      </c>
      <c r="H16" s="156">
        <v>170</v>
      </c>
      <c r="J16" s="158" t="str">
        <f t="shared" si="0"/>
        <v>4178.303.043170</v>
      </c>
      <c r="K16" s="159">
        <v>4.1666666666666664E-2</v>
      </c>
      <c r="L16" s="158" t="str">
        <f t="shared" si="1"/>
        <v>4178.303.043170P100</v>
      </c>
      <c r="M16" s="160" t="s">
        <v>153</v>
      </c>
    </row>
    <row r="17" spans="1:13" x14ac:dyDescent="0.25">
      <c r="A17" s="16"/>
      <c r="B17" s="30"/>
      <c r="C17" s="16"/>
      <c r="G17" s="156" t="str">
        <f>"4178.303.044"</f>
        <v>4178.303.044</v>
      </c>
      <c r="H17" s="156">
        <v>90</v>
      </c>
      <c r="J17" s="158" t="str">
        <f t="shared" si="0"/>
        <v>4178.303.04490</v>
      </c>
      <c r="K17" s="159">
        <v>4.1666666666666664E-2</v>
      </c>
      <c r="L17" s="158" t="str">
        <f t="shared" si="1"/>
        <v>4178.303.04490P100L</v>
      </c>
      <c r="M17" s="160" t="s">
        <v>152</v>
      </c>
    </row>
    <row r="18" spans="1:13" x14ac:dyDescent="0.25">
      <c r="A18" s="16"/>
      <c r="B18" s="30"/>
      <c r="C18" s="16"/>
      <c r="G18" s="156" t="str">
        <f>"4178.303.044"</f>
        <v>4178.303.044</v>
      </c>
      <c r="H18" s="156">
        <v>90</v>
      </c>
      <c r="J18" s="158" t="str">
        <f t="shared" si="0"/>
        <v>4178.303.04490</v>
      </c>
      <c r="K18" s="159">
        <v>4.1666666666666664E-2</v>
      </c>
      <c r="L18" s="158" t="str">
        <f t="shared" si="1"/>
        <v>4178.303.04490P100</v>
      </c>
      <c r="M18" s="160" t="s">
        <v>153</v>
      </c>
    </row>
    <row r="19" spans="1:13" x14ac:dyDescent="0.25">
      <c r="A19" s="16" t="str">
        <f>"4178.303.066"</f>
        <v>4178.303.066</v>
      </c>
      <c r="B19" s="30" t="s">
        <v>18</v>
      </c>
      <c r="C19" s="16" t="s">
        <v>31</v>
      </c>
      <c r="G19" s="156" t="str">
        <f>"4178.303.044"</f>
        <v>4178.303.044</v>
      </c>
      <c r="H19" s="156">
        <v>90</v>
      </c>
      <c r="J19" s="158" t="str">
        <f t="shared" si="0"/>
        <v>4178.303.04490</v>
      </c>
      <c r="K19" s="159">
        <v>4.1666666666666664E-2</v>
      </c>
      <c r="L19" s="158" t="str">
        <f t="shared" si="1"/>
        <v>4178.303.04490P65</v>
      </c>
      <c r="M19" s="160" t="s">
        <v>155</v>
      </c>
    </row>
    <row r="20" spans="1:13" x14ac:dyDescent="0.25">
      <c r="A20" s="16" t="str">
        <f>"4178.302.041"</f>
        <v>4178.302.041</v>
      </c>
      <c r="B20" s="30" t="s">
        <v>18</v>
      </c>
      <c r="C20" s="16" t="s">
        <v>32</v>
      </c>
      <c r="G20" s="156" t="str">
        <f t="shared" ref="G20:G22" si="4">"4178.303.044"</f>
        <v>4178.303.044</v>
      </c>
      <c r="H20" s="156">
        <v>130</v>
      </c>
      <c r="J20" s="158" t="str">
        <f t="shared" si="0"/>
        <v>4178.303.044130</v>
      </c>
      <c r="K20" s="159">
        <v>3.4722222222222224E-2</v>
      </c>
      <c r="L20" s="158" t="str">
        <f t="shared" si="1"/>
        <v>4178.303.044130P100</v>
      </c>
      <c r="M20" s="160" t="s">
        <v>153</v>
      </c>
    </row>
    <row r="21" spans="1:13" x14ac:dyDescent="0.25">
      <c r="A21" s="16"/>
      <c r="B21" s="30"/>
      <c r="C21" s="16"/>
      <c r="G21" s="156" t="str">
        <f t="shared" si="4"/>
        <v>4178.303.044</v>
      </c>
      <c r="H21" s="156">
        <v>140</v>
      </c>
      <c r="J21" s="158" t="str">
        <f t="shared" si="0"/>
        <v>4178.303.044140</v>
      </c>
      <c r="K21" s="159">
        <v>4.1666666666666664E-2</v>
      </c>
      <c r="L21" s="158" t="str">
        <f t="shared" si="1"/>
        <v>4178.303.044140P100</v>
      </c>
      <c r="M21" s="160" t="s">
        <v>153</v>
      </c>
    </row>
    <row r="22" spans="1:13" x14ac:dyDescent="0.25">
      <c r="A22" s="16" t="s">
        <v>33</v>
      </c>
      <c r="B22" s="16" t="s">
        <v>34</v>
      </c>
      <c r="C22" s="15" t="s">
        <v>19</v>
      </c>
      <c r="G22" s="156" t="str">
        <f t="shared" si="4"/>
        <v>4178.303.044</v>
      </c>
      <c r="H22" s="156">
        <v>140</v>
      </c>
      <c r="J22" s="158" t="str">
        <f t="shared" si="0"/>
        <v>4178.303.044140</v>
      </c>
      <c r="K22" s="159">
        <v>4.1666666666666664E-2</v>
      </c>
      <c r="L22" s="158" t="str">
        <f t="shared" si="1"/>
        <v>4178.303.044140P65</v>
      </c>
      <c r="M22" s="160" t="s">
        <v>155</v>
      </c>
    </row>
    <row r="23" spans="1:13" x14ac:dyDescent="0.25">
      <c r="A23" s="16" t="s">
        <v>15</v>
      </c>
      <c r="B23" s="30" t="s">
        <v>34</v>
      </c>
      <c r="C23" s="16" t="s">
        <v>35</v>
      </c>
      <c r="G23" s="156" t="str">
        <f>"4178.303.066"</f>
        <v>4178.303.066</v>
      </c>
      <c r="H23" s="156">
        <v>30</v>
      </c>
      <c r="J23" s="158" t="str">
        <f t="shared" si="0"/>
        <v>4178.303.06630</v>
      </c>
      <c r="K23" s="159">
        <v>4.1666666666666664E-2</v>
      </c>
      <c r="L23" s="158" t="str">
        <f t="shared" si="1"/>
        <v>4178.303.06630P100L</v>
      </c>
      <c r="M23" s="160" t="s">
        <v>152</v>
      </c>
    </row>
    <row r="24" spans="1:13" x14ac:dyDescent="0.25">
      <c r="A24" s="16" t="s">
        <v>36</v>
      </c>
      <c r="B24" s="30" t="s">
        <v>34</v>
      </c>
      <c r="C24" s="16" t="s">
        <v>37</v>
      </c>
      <c r="G24" s="156" t="str">
        <f t="shared" ref="G24:G27" si="5">"4178.303.066"</f>
        <v>4178.303.066</v>
      </c>
      <c r="H24" s="156">
        <v>110</v>
      </c>
      <c r="J24" s="158" t="str">
        <f t="shared" si="0"/>
        <v>4178.303.066110</v>
      </c>
      <c r="K24" s="159">
        <v>7.2916666666666671E-2</v>
      </c>
      <c r="L24" s="158" t="str">
        <f t="shared" si="1"/>
        <v>4178.303.066110P100L</v>
      </c>
      <c r="M24" s="160" t="s">
        <v>152</v>
      </c>
    </row>
    <row r="25" spans="1:13" x14ac:dyDescent="0.25">
      <c r="A25" s="16" t="s">
        <v>38</v>
      </c>
      <c r="B25" s="30" t="s">
        <v>34</v>
      </c>
      <c r="C25" s="16" t="s">
        <v>21</v>
      </c>
      <c r="G25" s="156" t="str">
        <f t="shared" si="5"/>
        <v>4178.303.066</v>
      </c>
      <c r="H25" s="156">
        <v>111</v>
      </c>
      <c r="J25" s="158" t="str">
        <f t="shared" si="0"/>
        <v>4178.303.066111</v>
      </c>
      <c r="K25" s="159">
        <v>4.1666666666666664E-2</v>
      </c>
      <c r="L25" s="158" t="str">
        <f t="shared" si="1"/>
        <v>4178.303.066111P100L</v>
      </c>
      <c r="M25" s="160" t="s">
        <v>152</v>
      </c>
    </row>
    <row r="26" spans="1:13" x14ac:dyDescent="0.25">
      <c r="A26" s="16" t="s">
        <v>39</v>
      </c>
      <c r="B26" s="30" t="s">
        <v>34</v>
      </c>
      <c r="C26" s="16" t="s">
        <v>40</v>
      </c>
      <c r="G26" s="156" t="str">
        <f t="shared" si="5"/>
        <v>4178.303.066</v>
      </c>
      <c r="H26" s="156">
        <v>120</v>
      </c>
      <c r="J26" s="158" t="str">
        <f t="shared" si="0"/>
        <v>4178.303.066120</v>
      </c>
      <c r="K26" s="159">
        <v>7.2916666666666671E-2</v>
      </c>
      <c r="L26" s="158" t="str">
        <f t="shared" si="1"/>
        <v>4178.303.066120P100L</v>
      </c>
      <c r="M26" s="160" t="s">
        <v>152</v>
      </c>
    </row>
    <row r="27" spans="1:13" x14ac:dyDescent="0.25">
      <c r="A27" s="16" t="s">
        <v>41</v>
      </c>
      <c r="B27" s="30" t="s">
        <v>34</v>
      </c>
      <c r="C27" s="16" t="s">
        <v>42</v>
      </c>
      <c r="G27" s="156" t="str">
        <f t="shared" si="5"/>
        <v>4178.303.066</v>
      </c>
      <c r="H27" s="156" t="s">
        <v>154</v>
      </c>
      <c r="J27" s="158" t="str">
        <f t="shared" si="0"/>
        <v>4178.303.066TIPC</v>
      </c>
      <c r="K27" s="159">
        <v>7.2916666666666671E-2</v>
      </c>
      <c r="L27" s="158" t="str">
        <f t="shared" si="1"/>
        <v>4178.303.066TIPCP100L</v>
      </c>
      <c r="M27" s="160" t="s">
        <v>152</v>
      </c>
    </row>
    <row r="28" spans="1:13" x14ac:dyDescent="0.25">
      <c r="A28" s="16" t="s">
        <v>43</v>
      </c>
      <c r="B28" s="30" t="s">
        <v>34</v>
      </c>
      <c r="C28" s="16" t="s">
        <v>44</v>
      </c>
      <c r="G28" s="156" t="str">
        <f>"4178.304.107"</f>
        <v>4178.304.107</v>
      </c>
      <c r="H28" s="156">
        <v>50</v>
      </c>
      <c r="J28" s="158" t="str">
        <f t="shared" si="0"/>
        <v>4178.304.10750</v>
      </c>
      <c r="K28" s="159">
        <v>3.4722222222222224E-2</v>
      </c>
      <c r="L28" s="158" t="str">
        <f t="shared" si="1"/>
        <v>4178.304.10750P65</v>
      </c>
      <c r="M28" s="160" t="s">
        <v>155</v>
      </c>
    </row>
    <row r="29" spans="1:13" x14ac:dyDescent="0.25">
      <c r="A29" s="16" t="s">
        <v>45</v>
      </c>
      <c r="B29" s="30" t="s">
        <v>34</v>
      </c>
      <c r="C29" s="16" t="s">
        <v>23</v>
      </c>
      <c r="G29" s="156" t="str">
        <f t="shared" ref="G29:G31" si="6">"4178.304.107"</f>
        <v>4178.304.107</v>
      </c>
      <c r="H29" s="156">
        <v>150</v>
      </c>
      <c r="J29" s="158" t="str">
        <f t="shared" si="0"/>
        <v>4178.304.107150</v>
      </c>
      <c r="K29" s="159">
        <v>5.2083333333333336E-2</v>
      </c>
      <c r="L29" s="158" t="str">
        <f t="shared" si="1"/>
        <v>4178.304.107150P100</v>
      </c>
      <c r="M29" s="160" t="s">
        <v>153</v>
      </c>
    </row>
    <row r="30" spans="1:13" x14ac:dyDescent="0.25">
      <c r="A30" s="16" t="s">
        <v>46</v>
      </c>
      <c r="B30" s="30" t="s">
        <v>34</v>
      </c>
      <c r="C30" s="16" t="s">
        <v>47</v>
      </c>
      <c r="G30" s="156" t="str">
        <f t="shared" si="6"/>
        <v>4178.304.107</v>
      </c>
      <c r="H30" s="156">
        <v>160</v>
      </c>
      <c r="J30" s="158" t="str">
        <f t="shared" si="0"/>
        <v>4178.304.107160</v>
      </c>
      <c r="K30" s="159">
        <v>4.1666666666666664E-2</v>
      </c>
      <c r="L30" s="158" t="str">
        <f t="shared" si="1"/>
        <v>4178.304.107160P100</v>
      </c>
      <c r="M30" s="160" t="s">
        <v>153</v>
      </c>
    </row>
    <row r="31" spans="1:13" x14ac:dyDescent="0.25">
      <c r="A31" s="16" t="s">
        <v>48</v>
      </c>
      <c r="B31" s="30" t="s">
        <v>34</v>
      </c>
      <c r="C31" s="16" t="s">
        <v>49</v>
      </c>
      <c r="G31" s="156" t="str">
        <f t="shared" si="6"/>
        <v>4178.304.107</v>
      </c>
      <c r="H31" s="156">
        <v>170</v>
      </c>
      <c r="J31" s="158" t="str">
        <f t="shared" si="0"/>
        <v>4178.304.107170</v>
      </c>
      <c r="K31" s="159">
        <v>4.1666666666666664E-2</v>
      </c>
      <c r="L31" s="158" t="str">
        <f t="shared" si="1"/>
        <v>4178.304.107170P100</v>
      </c>
      <c r="M31" s="160" t="s">
        <v>153</v>
      </c>
    </row>
    <row r="32" spans="1:13" x14ac:dyDescent="0.25">
      <c r="A32" s="16" t="s">
        <v>50</v>
      </c>
      <c r="B32" s="30" t="s">
        <v>34</v>
      </c>
      <c r="C32" s="16" t="s">
        <v>27</v>
      </c>
      <c r="G32" s="156" t="str">
        <f>"4178.304.108"</f>
        <v>4178.304.108</v>
      </c>
      <c r="H32" s="156">
        <v>30</v>
      </c>
      <c r="J32" s="158" t="str">
        <f t="shared" si="0"/>
        <v>4178.304.10830</v>
      </c>
      <c r="K32" s="159">
        <v>3.4722222222222224E-2</v>
      </c>
      <c r="L32" s="158" t="str">
        <f t="shared" si="1"/>
        <v>4178.304.10830P100</v>
      </c>
      <c r="M32" s="160" t="s">
        <v>153</v>
      </c>
    </row>
    <row r="33" spans="1:13" x14ac:dyDescent="0.25">
      <c r="A33" s="16" t="s">
        <v>51</v>
      </c>
      <c r="B33" s="30" t="s">
        <v>34</v>
      </c>
      <c r="C33" s="16" t="s">
        <v>52</v>
      </c>
      <c r="G33" s="156" t="str">
        <f t="shared" ref="G33:G38" si="7">"4178.304.108"</f>
        <v>4178.304.108</v>
      </c>
      <c r="H33" s="156">
        <v>100</v>
      </c>
      <c r="J33" s="158" t="str">
        <f t="shared" si="0"/>
        <v>4178.304.108100</v>
      </c>
      <c r="K33" s="159">
        <v>0.11805555555555557</v>
      </c>
      <c r="L33" s="158" t="str">
        <f t="shared" si="1"/>
        <v>4178.304.108100P100</v>
      </c>
      <c r="M33" s="160" t="s">
        <v>153</v>
      </c>
    </row>
    <row r="34" spans="1:13" x14ac:dyDescent="0.25">
      <c r="A34" s="16"/>
      <c r="B34" s="30"/>
      <c r="C34" s="16"/>
      <c r="G34" s="156" t="str">
        <f t="shared" si="7"/>
        <v>4178.304.108</v>
      </c>
      <c r="H34" s="156">
        <v>110</v>
      </c>
      <c r="J34" s="158" t="str">
        <f t="shared" si="0"/>
        <v>4178.304.108110</v>
      </c>
      <c r="K34" s="159">
        <v>5.902777777777779E-2</v>
      </c>
      <c r="L34" s="158" t="str">
        <f t="shared" si="1"/>
        <v>4178.304.108110P100L</v>
      </c>
      <c r="M34" s="160" t="s">
        <v>152</v>
      </c>
    </row>
    <row r="35" spans="1:13" x14ac:dyDescent="0.25">
      <c r="A35" s="16" t="s">
        <v>53</v>
      </c>
      <c r="B35" s="30" t="s">
        <v>34</v>
      </c>
      <c r="C35" s="16" t="s">
        <v>54</v>
      </c>
      <c r="G35" s="156" t="str">
        <f t="shared" si="7"/>
        <v>4178.304.108</v>
      </c>
      <c r="H35" s="156">
        <v>110</v>
      </c>
      <c r="J35" s="158" t="str">
        <f t="shared" si="0"/>
        <v>4178.304.108110</v>
      </c>
      <c r="K35" s="159">
        <v>5.902777777777779E-2</v>
      </c>
      <c r="L35" s="158" t="str">
        <f t="shared" si="1"/>
        <v>4178.304.108110P100</v>
      </c>
      <c r="M35" s="160" t="s">
        <v>153</v>
      </c>
    </row>
    <row r="36" spans="1:13" x14ac:dyDescent="0.25">
      <c r="A36" s="16" t="s">
        <v>55</v>
      </c>
      <c r="B36" s="30" t="s">
        <v>34</v>
      </c>
      <c r="C36" s="16" t="s">
        <v>56</v>
      </c>
      <c r="G36" s="156" t="str">
        <f t="shared" si="7"/>
        <v>4178.304.108</v>
      </c>
      <c r="H36" s="156">
        <v>111</v>
      </c>
      <c r="J36" s="158" t="str">
        <f t="shared" si="0"/>
        <v>4178.304.108111</v>
      </c>
      <c r="K36" s="159">
        <v>4.1666666666666664E-2</v>
      </c>
      <c r="L36" s="158" t="str">
        <f t="shared" si="1"/>
        <v>4178.304.108111P100</v>
      </c>
      <c r="M36" s="160" t="s">
        <v>153</v>
      </c>
    </row>
    <row r="37" spans="1:13" x14ac:dyDescent="0.25">
      <c r="A37" s="16"/>
      <c r="B37" s="30"/>
      <c r="C37" s="16"/>
      <c r="G37" s="156" t="str">
        <f t="shared" si="7"/>
        <v>4178.304.108</v>
      </c>
      <c r="H37" s="156" t="s">
        <v>154</v>
      </c>
      <c r="J37" s="158" t="str">
        <f t="shared" si="0"/>
        <v>4178.304.108TIPC</v>
      </c>
      <c r="K37" s="159">
        <v>4.1666666666666664E-2</v>
      </c>
      <c r="L37" s="158" t="str">
        <f t="shared" si="1"/>
        <v>4178.304.108TIPCP100L</v>
      </c>
      <c r="M37" s="160" t="s">
        <v>152</v>
      </c>
    </row>
    <row r="38" spans="1:13" x14ac:dyDescent="0.25">
      <c r="A38" s="16" t="s">
        <v>57</v>
      </c>
      <c r="B38" s="30" t="s">
        <v>34</v>
      </c>
      <c r="C38" s="16" t="s">
        <v>30</v>
      </c>
      <c r="G38" s="156" t="str">
        <f t="shared" si="7"/>
        <v>4178.304.108</v>
      </c>
      <c r="H38" s="156" t="s">
        <v>154</v>
      </c>
      <c r="J38" s="158" t="str">
        <f t="shared" si="0"/>
        <v>4178.304.108TIPC</v>
      </c>
      <c r="K38" s="159">
        <v>4.1666666666666664E-2</v>
      </c>
      <c r="L38" s="158" t="str">
        <f t="shared" si="1"/>
        <v>4178.304.108TIPCP100</v>
      </c>
      <c r="M38" s="160" t="s">
        <v>153</v>
      </c>
    </row>
    <row r="39" spans="1:13" x14ac:dyDescent="0.25">
      <c r="A39" s="16" t="s">
        <v>58</v>
      </c>
      <c r="B39" s="30" t="s">
        <v>34</v>
      </c>
      <c r="C39" s="16" t="s">
        <v>59</v>
      </c>
      <c r="G39" s="156" t="str">
        <f>"4178.304.109"</f>
        <v>4178.304.109</v>
      </c>
      <c r="H39" s="156">
        <v>30</v>
      </c>
      <c r="J39" s="158" t="str">
        <f t="shared" si="0"/>
        <v>4178.304.10930</v>
      </c>
      <c r="K39" s="159">
        <v>4.1666666666666664E-2</v>
      </c>
      <c r="L39" s="158" t="str">
        <f t="shared" si="1"/>
        <v>4178.304.10930P100</v>
      </c>
      <c r="M39" s="160" t="s">
        <v>153</v>
      </c>
    </row>
    <row r="40" spans="1:13" x14ac:dyDescent="0.25">
      <c r="A40" s="16" t="s">
        <v>60</v>
      </c>
      <c r="B40" s="30" t="s">
        <v>34</v>
      </c>
      <c r="C40" s="16" t="s">
        <v>61</v>
      </c>
      <c r="G40" s="156" t="str">
        <f t="shared" ref="G40:G43" si="8">"4178.304.109"</f>
        <v>4178.304.109</v>
      </c>
      <c r="H40" s="156">
        <v>110</v>
      </c>
      <c r="J40" s="158" t="str">
        <f t="shared" si="0"/>
        <v>4178.304.109110</v>
      </c>
      <c r="K40" s="159">
        <v>7.2916666666666657E-2</v>
      </c>
      <c r="L40" s="158" t="str">
        <f t="shared" si="1"/>
        <v>4178.304.109110P100</v>
      </c>
      <c r="M40" s="160" t="s">
        <v>153</v>
      </c>
    </row>
    <row r="41" spans="1:13" x14ac:dyDescent="0.25">
      <c r="A41" s="32" t="s">
        <v>62</v>
      </c>
      <c r="B41" s="32" t="s">
        <v>63</v>
      </c>
      <c r="C41" s="15" t="s">
        <v>19</v>
      </c>
      <c r="G41" s="156" t="str">
        <f t="shared" si="8"/>
        <v>4178.304.109</v>
      </c>
      <c r="H41" s="156">
        <v>111</v>
      </c>
      <c r="J41" s="158" t="str">
        <f t="shared" si="0"/>
        <v>4178.304.109111</v>
      </c>
      <c r="K41" s="159">
        <v>3.125E-2</v>
      </c>
      <c r="L41" s="158" t="str">
        <f t="shared" si="1"/>
        <v>4178.304.109111P100</v>
      </c>
      <c r="M41" s="160" t="s">
        <v>153</v>
      </c>
    </row>
    <row r="42" spans="1:13" x14ac:dyDescent="0.25">
      <c r="A42" s="15" t="s">
        <v>64</v>
      </c>
      <c r="B42" s="33" t="s">
        <v>65</v>
      </c>
      <c r="C42" s="15" t="s">
        <v>19</v>
      </c>
      <c r="G42" s="156" t="str">
        <f t="shared" si="8"/>
        <v>4178.304.109</v>
      </c>
      <c r="H42" s="156">
        <v>120</v>
      </c>
      <c r="J42" s="158" t="str">
        <f t="shared" si="0"/>
        <v>4178.304.109120</v>
      </c>
      <c r="K42" s="159">
        <v>5.2083333333333356E-2</v>
      </c>
      <c r="L42" s="158" t="str">
        <f t="shared" si="1"/>
        <v>4178.304.109120P100</v>
      </c>
      <c r="M42" s="160" t="s">
        <v>153</v>
      </c>
    </row>
    <row r="43" spans="1:13" x14ac:dyDescent="0.25">
      <c r="A43" s="16" t="s">
        <v>66</v>
      </c>
      <c r="B43" s="30" t="s">
        <v>65</v>
      </c>
      <c r="C43" s="16" t="s">
        <v>20</v>
      </c>
      <c r="G43" s="156" t="str">
        <f t="shared" si="8"/>
        <v>4178.304.109</v>
      </c>
      <c r="H43" s="156" t="s">
        <v>154</v>
      </c>
      <c r="J43" s="158" t="str">
        <f t="shared" si="0"/>
        <v>4178.304.109TIPC</v>
      </c>
      <c r="K43" s="159">
        <v>5.2083333333333356E-2</v>
      </c>
      <c r="L43" s="158" t="str">
        <f t="shared" si="1"/>
        <v>4178.304.109TIPCP100</v>
      </c>
      <c r="M43" s="160" t="s">
        <v>153</v>
      </c>
    </row>
    <row r="44" spans="1:13" x14ac:dyDescent="0.25">
      <c r="A44" s="16" t="s">
        <v>67</v>
      </c>
      <c r="B44" s="30" t="s">
        <v>65</v>
      </c>
      <c r="C44" s="16" t="s">
        <v>21</v>
      </c>
      <c r="G44" s="156" t="str">
        <f>"4178.305.144"</f>
        <v>4178.305.144</v>
      </c>
      <c r="H44" s="156">
        <v>50</v>
      </c>
      <c r="J44" s="158" t="str">
        <f t="shared" si="0"/>
        <v>4178.305.14450</v>
      </c>
      <c r="K44" s="159">
        <v>2.7777777777777776E-2</v>
      </c>
      <c r="L44" s="158" t="str">
        <f t="shared" si="1"/>
        <v>4178.305.14450P65</v>
      </c>
      <c r="M44" s="160" t="s">
        <v>155</v>
      </c>
    </row>
    <row r="45" spans="1:13" x14ac:dyDescent="0.25">
      <c r="A45" s="16"/>
      <c r="B45" s="30"/>
      <c r="C45" s="16"/>
      <c r="G45" s="156" t="str">
        <f t="shared" ref="G45:G49" si="9">"4178.305.144"</f>
        <v>4178.305.144</v>
      </c>
      <c r="H45" s="156">
        <v>150</v>
      </c>
      <c r="J45" s="158" t="str">
        <f t="shared" si="0"/>
        <v>4178.305.144150</v>
      </c>
      <c r="K45" s="159">
        <v>2.0833333333333332E-2</v>
      </c>
      <c r="L45" s="158" t="str">
        <f t="shared" si="1"/>
        <v>4178.305.144150P100</v>
      </c>
      <c r="M45" s="160" t="s">
        <v>153</v>
      </c>
    </row>
    <row r="46" spans="1:13" x14ac:dyDescent="0.25">
      <c r="A46" s="16" t="s">
        <v>68</v>
      </c>
      <c r="B46" s="30" t="s">
        <v>63</v>
      </c>
      <c r="C46" s="16" t="s">
        <v>21</v>
      </c>
      <c r="G46" s="156" t="str">
        <f t="shared" si="9"/>
        <v>4178.305.144</v>
      </c>
      <c r="H46" s="156">
        <v>150</v>
      </c>
      <c r="J46" s="158" t="str">
        <f t="shared" si="0"/>
        <v>4178.305.144150</v>
      </c>
      <c r="K46" s="159">
        <v>2.0833333333333332E-2</v>
      </c>
      <c r="L46" s="158" t="str">
        <f t="shared" si="1"/>
        <v>4178.305.144150P65</v>
      </c>
      <c r="M46" s="160" t="s">
        <v>155</v>
      </c>
    </row>
    <row r="47" spans="1:13" x14ac:dyDescent="0.25">
      <c r="A47" s="16"/>
      <c r="B47" s="30"/>
      <c r="C47" s="16"/>
      <c r="G47" s="156" t="str">
        <f t="shared" si="9"/>
        <v>4178.305.144</v>
      </c>
      <c r="H47" s="156">
        <v>170</v>
      </c>
      <c r="J47" s="158" t="str">
        <f t="shared" si="0"/>
        <v>4178.305.144170</v>
      </c>
      <c r="K47" s="159">
        <v>3.4722222222222224E-2</v>
      </c>
      <c r="L47" s="158" t="str">
        <f t="shared" si="1"/>
        <v>4178.305.144170P100L</v>
      </c>
      <c r="M47" s="160" t="s">
        <v>152</v>
      </c>
    </row>
    <row r="48" spans="1:13" x14ac:dyDescent="0.25">
      <c r="A48" s="16"/>
      <c r="B48" s="30"/>
      <c r="C48" s="16"/>
      <c r="G48" s="156" t="str">
        <f t="shared" si="9"/>
        <v>4178.305.144</v>
      </c>
      <c r="H48" s="156">
        <v>170</v>
      </c>
      <c r="J48" s="158" t="str">
        <f t="shared" si="0"/>
        <v>4178.305.144170</v>
      </c>
      <c r="K48" s="159">
        <v>3.4722222222222224E-2</v>
      </c>
      <c r="L48" s="158" t="str">
        <f t="shared" si="1"/>
        <v>4178.305.144170P100</v>
      </c>
      <c r="M48" s="160" t="s">
        <v>153</v>
      </c>
    </row>
    <row r="49" spans="1:13" x14ac:dyDescent="0.25">
      <c r="A49" s="16" t="s">
        <v>69</v>
      </c>
      <c r="B49" s="30" t="s">
        <v>63</v>
      </c>
      <c r="C49" s="16" t="s">
        <v>70</v>
      </c>
      <c r="G49" s="156" t="str">
        <f t="shared" si="9"/>
        <v>4178.305.144</v>
      </c>
      <c r="H49" s="156">
        <v>170</v>
      </c>
      <c r="J49" s="158" t="str">
        <f t="shared" si="0"/>
        <v>4178.305.144170</v>
      </c>
      <c r="K49" s="159">
        <v>3.4722222222222224E-2</v>
      </c>
      <c r="L49" s="158" t="str">
        <f t="shared" si="1"/>
        <v>4178.305.144170P65</v>
      </c>
      <c r="M49" s="160" t="s">
        <v>155</v>
      </c>
    </row>
    <row r="50" spans="1:13" x14ac:dyDescent="0.25">
      <c r="A50" s="16" t="s">
        <v>71</v>
      </c>
      <c r="B50" s="30" t="s">
        <v>65</v>
      </c>
      <c r="C50" s="16" t="s">
        <v>70</v>
      </c>
      <c r="G50" s="156" t="str">
        <f>"4178.305.145"</f>
        <v>4178.305.145</v>
      </c>
      <c r="H50" s="156">
        <v>30</v>
      </c>
      <c r="J50" s="158" t="str">
        <f t="shared" si="0"/>
        <v>4178.305.14530</v>
      </c>
      <c r="K50" s="159">
        <v>2.7777777777777776E-2</v>
      </c>
      <c r="L50" s="158" t="str">
        <f t="shared" si="1"/>
        <v>4178.305.14530P65</v>
      </c>
      <c r="M50" s="160" t="s">
        <v>155</v>
      </c>
    </row>
    <row r="51" spans="1:13" x14ac:dyDescent="0.25">
      <c r="A51" s="16" t="s">
        <v>72</v>
      </c>
      <c r="B51" s="30" t="s">
        <v>65</v>
      </c>
      <c r="C51" s="16" t="s">
        <v>23</v>
      </c>
      <c r="G51" s="156" t="str">
        <f t="shared" ref="G51:G55" si="10">"4178.305.145"</f>
        <v>4178.305.145</v>
      </c>
      <c r="H51" s="156">
        <v>50</v>
      </c>
      <c r="J51" s="158" t="str">
        <f t="shared" si="0"/>
        <v>4178.305.14550</v>
      </c>
      <c r="K51" s="159">
        <v>2.7777777777777776E-2</v>
      </c>
      <c r="L51" s="158" t="str">
        <f t="shared" si="1"/>
        <v>4178.305.14550P65</v>
      </c>
      <c r="M51" s="160" t="s">
        <v>155</v>
      </c>
    </row>
    <row r="52" spans="1:13" x14ac:dyDescent="0.25">
      <c r="A52" s="16"/>
      <c r="B52" s="30"/>
      <c r="C52" s="16"/>
      <c r="G52" s="156" t="str">
        <f t="shared" si="10"/>
        <v>4178.305.145</v>
      </c>
      <c r="H52" s="156">
        <v>150</v>
      </c>
      <c r="J52" s="158" t="str">
        <f t="shared" si="0"/>
        <v>4178.305.145150</v>
      </c>
      <c r="K52" s="159">
        <v>3.4722222222222224E-2</v>
      </c>
      <c r="L52" s="158" t="str">
        <f t="shared" si="1"/>
        <v>4178.305.145150P100</v>
      </c>
      <c r="M52" s="160" t="s">
        <v>153</v>
      </c>
    </row>
    <row r="53" spans="1:13" x14ac:dyDescent="0.25">
      <c r="A53" s="16" t="s">
        <v>73</v>
      </c>
      <c r="B53" s="30" t="s">
        <v>65</v>
      </c>
      <c r="C53" s="16" t="s">
        <v>24</v>
      </c>
      <c r="G53" s="156" t="str">
        <f t="shared" si="10"/>
        <v>4178.305.145</v>
      </c>
      <c r="H53" s="156">
        <v>150</v>
      </c>
      <c r="J53" s="158" t="str">
        <f t="shared" si="0"/>
        <v>4178.305.145150</v>
      </c>
      <c r="K53" s="159">
        <v>3.4722222222222224E-2</v>
      </c>
      <c r="L53" s="158" t="str">
        <f t="shared" si="1"/>
        <v>4178.305.145150P65</v>
      </c>
      <c r="M53" s="160" t="s">
        <v>155</v>
      </c>
    </row>
    <row r="54" spans="1:13" x14ac:dyDescent="0.25">
      <c r="A54" s="16" t="s">
        <v>74</v>
      </c>
      <c r="B54" s="30" t="s">
        <v>65</v>
      </c>
      <c r="C54" s="16" t="s">
        <v>25</v>
      </c>
      <c r="G54" s="156" t="str">
        <f t="shared" si="10"/>
        <v>4178.305.145</v>
      </c>
      <c r="H54" s="156">
        <v>160</v>
      </c>
      <c r="J54" s="158" t="str">
        <f t="shared" si="0"/>
        <v>4178.305.145160</v>
      </c>
      <c r="K54" s="159">
        <v>3.4722222222222224E-2</v>
      </c>
      <c r="L54" s="158" t="str">
        <f t="shared" si="1"/>
        <v>4178.305.145160P100</v>
      </c>
      <c r="M54" s="160" t="s">
        <v>153</v>
      </c>
    </row>
    <row r="55" spans="1:13" x14ac:dyDescent="0.25">
      <c r="A55" s="16" t="s">
        <v>75</v>
      </c>
      <c r="B55" s="30" t="s">
        <v>65</v>
      </c>
      <c r="C55" s="16" t="s">
        <v>27</v>
      </c>
      <c r="G55" s="156" t="str">
        <f t="shared" si="10"/>
        <v>4178.305.145</v>
      </c>
      <c r="H55" s="156">
        <v>170</v>
      </c>
      <c r="J55" s="158" t="str">
        <f t="shared" si="0"/>
        <v>4178.305.145170</v>
      </c>
      <c r="K55" s="159">
        <v>3.4722222222222224E-2</v>
      </c>
      <c r="L55" s="158" t="str">
        <f t="shared" si="1"/>
        <v>4178.305.145170P100</v>
      </c>
      <c r="M55" s="160" t="s">
        <v>153</v>
      </c>
    </row>
    <row r="56" spans="1:13" x14ac:dyDescent="0.25">
      <c r="A56" s="16" t="s">
        <v>76</v>
      </c>
      <c r="B56" s="30" t="s">
        <v>65</v>
      </c>
      <c r="C56" s="16" t="s">
        <v>29</v>
      </c>
      <c r="J56" s="158" t="str">
        <f t="shared" si="0"/>
        <v/>
      </c>
      <c r="L56" s="158" t="str">
        <f t="shared" si="1"/>
        <v/>
      </c>
    </row>
    <row r="57" spans="1:13" x14ac:dyDescent="0.25">
      <c r="A57" s="16" t="s">
        <v>77</v>
      </c>
      <c r="B57" s="30" t="s">
        <v>65</v>
      </c>
      <c r="C57" s="16" t="s">
        <v>30</v>
      </c>
      <c r="J57" s="158" t="str">
        <f t="shared" si="0"/>
        <v/>
      </c>
      <c r="L57" s="158" t="str">
        <f t="shared" si="1"/>
        <v/>
      </c>
    </row>
    <row r="58" spans="1:13" x14ac:dyDescent="0.25">
      <c r="A58" s="16" t="s">
        <v>78</v>
      </c>
      <c r="B58" s="16" t="s">
        <v>65</v>
      </c>
      <c r="C58" s="16" t="s">
        <v>79</v>
      </c>
      <c r="J58" s="158" t="str">
        <f t="shared" si="0"/>
        <v/>
      </c>
      <c r="L58" s="158" t="str">
        <f t="shared" si="1"/>
        <v/>
      </c>
    </row>
    <row r="59" spans="1:13" x14ac:dyDescent="0.25">
      <c r="A59" s="16" t="s">
        <v>80</v>
      </c>
      <c r="B59" s="30" t="s">
        <v>65</v>
      </c>
      <c r="C59" s="16" t="s">
        <v>31</v>
      </c>
      <c r="J59" s="158" t="str">
        <f t="shared" si="0"/>
        <v/>
      </c>
      <c r="L59" s="158" t="str">
        <f t="shared" si="1"/>
        <v/>
      </c>
    </row>
    <row r="60" spans="1:13" x14ac:dyDescent="0.25">
      <c r="A60" s="16" t="s">
        <v>81</v>
      </c>
      <c r="B60" s="30" t="s">
        <v>65</v>
      </c>
      <c r="C60" s="16" t="s">
        <v>32</v>
      </c>
      <c r="J60" s="158" t="str">
        <f t="shared" si="0"/>
        <v/>
      </c>
      <c r="L60" s="158" t="str">
        <f t="shared" si="1"/>
        <v/>
      </c>
    </row>
    <row r="61" spans="1:13" x14ac:dyDescent="0.25">
      <c r="A61" s="15" t="s">
        <v>82</v>
      </c>
      <c r="B61" s="33" t="s">
        <v>83</v>
      </c>
      <c r="C61" s="15" t="s">
        <v>19</v>
      </c>
      <c r="J61" s="158" t="str">
        <f t="shared" si="0"/>
        <v/>
      </c>
      <c r="L61" s="158" t="str">
        <f t="shared" si="1"/>
        <v/>
      </c>
    </row>
    <row r="62" spans="1:13" x14ac:dyDescent="0.25">
      <c r="A62" s="16" t="s">
        <v>84</v>
      </c>
      <c r="B62" s="30" t="s">
        <v>83</v>
      </c>
      <c r="C62" s="16" t="s">
        <v>25</v>
      </c>
      <c r="J62" s="158" t="str">
        <f t="shared" si="0"/>
        <v/>
      </c>
      <c r="L62" s="158" t="str">
        <f t="shared" si="1"/>
        <v/>
      </c>
    </row>
    <row r="63" spans="1:13" x14ac:dyDescent="0.25">
      <c r="A63" s="16" t="s">
        <v>85</v>
      </c>
      <c r="B63" s="30" t="s">
        <v>83</v>
      </c>
      <c r="C63" s="16" t="s">
        <v>27</v>
      </c>
      <c r="J63" s="158" t="str">
        <f t="shared" si="0"/>
        <v/>
      </c>
      <c r="L63" s="158" t="str">
        <f t="shared" si="1"/>
        <v/>
      </c>
    </row>
    <row r="64" spans="1:13" x14ac:dyDescent="0.25">
      <c r="A64" s="16" t="s">
        <v>86</v>
      </c>
      <c r="B64" s="30" t="s">
        <v>83</v>
      </c>
      <c r="C64" s="16" t="s">
        <v>30</v>
      </c>
      <c r="J64" s="158" t="str">
        <f t="shared" si="0"/>
        <v/>
      </c>
      <c r="L64" s="158" t="str">
        <f t="shared" si="1"/>
        <v/>
      </c>
    </row>
    <row r="65" spans="1:12" customFormat="1" x14ac:dyDescent="0.25">
      <c r="A65" s="16" t="s">
        <v>87</v>
      </c>
      <c r="B65" s="30" t="s">
        <v>83</v>
      </c>
      <c r="C65" s="16" t="s">
        <v>31</v>
      </c>
      <c r="G65" s="158"/>
      <c r="H65" s="158"/>
      <c r="I65" s="1"/>
      <c r="J65" s="158" t="str">
        <f t="shared" si="0"/>
        <v/>
      </c>
      <c r="K65" s="158"/>
      <c r="L65" s="158" t="str">
        <f t="shared" si="1"/>
        <v/>
      </c>
    </row>
    <row r="66" spans="1:12" customFormat="1" x14ac:dyDescent="0.25">
      <c r="A66" s="16" t="s">
        <v>88</v>
      </c>
      <c r="B66" s="16" t="s">
        <v>83</v>
      </c>
      <c r="C66" s="16" t="s">
        <v>79</v>
      </c>
      <c r="G66" s="158"/>
      <c r="H66" s="158"/>
      <c r="I66" s="1"/>
      <c r="J66" s="158" t="str">
        <f t="shared" si="0"/>
        <v/>
      </c>
      <c r="K66" s="158"/>
      <c r="L66" s="158" t="str">
        <f t="shared" ref="L66:L95" si="11">G66&amp;H66&amp;M66</f>
        <v/>
      </c>
    </row>
    <row r="67" spans="1:12" customFormat="1" x14ac:dyDescent="0.25">
      <c r="A67" s="34"/>
      <c r="B67" s="34"/>
      <c r="C67" s="34"/>
      <c r="G67" s="158"/>
      <c r="H67" s="158"/>
      <c r="I67" s="1"/>
      <c r="J67" s="158" t="str">
        <f t="shared" si="0"/>
        <v/>
      </c>
      <c r="K67" s="158"/>
      <c r="L67" s="158" t="str">
        <f t="shared" si="11"/>
        <v/>
      </c>
    </row>
    <row r="68" spans="1:12" customFormat="1" x14ac:dyDescent="0.25">
      <c r="A68" s="34"/>
      <c r="B68" s="34"/>
      <c r="C68" s="34"/>
      <c r="G68" s="158"/>
      <c r="H68" s="158"/>
      <c r="I68" s="1"/>
      <c r="J68" s="158" t="str">
        <f t="shared" si="0"/>
        <v/>
      </c>
      <c r="K68" s="158"/>
      <c r="L68" s="158" t="str">
        <f t="shared" si="11"/>
        <v/>
      </c>
    </row>
    <row r="69" spans="1:12" customFormat="1" x14ac:dyDescent="0.25">
      <c r="A69" s="34"/>
      <c r="B69" s="34"/>
      <c r="C69" s="34"/>
      <c r="G69" s="158"/>
      <c r="H69" s="158"/>
      <c r="I69" s="1"/>
      <c r="J69" s="158" t="str">
        <f t="shared" si="0"/>
        <v/>
      </c>
      <c r="K69" s="158"/>
      <c r="L69" s="158" t="str">
        <f t="shared" si="11"/>
        <v/>
      </c>
    </row>
    <row r="70" spans="1:12" customFormat="1" x14ac:dyDescent="0.25">
      <c r="A70" s="34"/>
      <c r="B70" s="34"/>
      <c r="C70" s="34"/>
      <c r="G70" s="158"/>
      <c r="H70" s="158"/>
      <c r="I70" s="1"/>
      <c r="J70" s="158" t="str">
        <f t="shared" si="0"/>
        <v/>
      </c>
      <c r="K70" s="158"/>
      <c r="L70" s="158" t="str">
        <f t="shared" si="11"/>
        <v/>
      </c>
    </row>
    <row r="71" spans="1:12" customFormat="1" x14ac:dyDescent="0.25">
      <c r="A71" s="34"/>
      <c r="B71" s="34"/>
      <c r="C71" s="34"/>
      <c r="G71" s="158"/>
      <c r="H71" s="158"/>
      <c r="I71" s="1"/>
      <c r="J71" s="158" t="str">
        <f t="shared" si="0"/>
        <v/>
      </c>
      <c r="K71" s="158"/>
      <c r="L71" s="158" t="str">
        <f t="shared" si="11"/>
        <v/>
      </c>
    </row>
    <row r="72" spans="1:12" customFormat="1" x14ac:dyDescent="0.25">
      <c r="A72" s="34"/>
      <c r="B72" s="34"/>
      <c r="C72" s="34"/>
      <c r="G72" s="158"/>
      <c r="H72" s="158"/>
      <c r="I72" s="1"/>
      <c r="J72" s="158" t="str">
        <f t="shared" si="0"/>
        <v/>
      </c>
      <c r="K72" s="158"/>
      <c r="L72" s="158"/>
    </row>
    <row r="73" spans="1:12" customFormat="1" x14ac:dyDescent="0.25">
      <c r="A73" s="34"/>
      <c r="B73" s="34"/>
      <c r="C73" s="34"/>
      <c r="G73" s="158"/>
      <c r="H73" s="158"/>
      <c r="I73" s="1"/>
      <c r="J73" s="158" t="str">
        <f t="shared" si="0"/>
        <v/>
      </c>
      <c r="K73" s="158"/>
      <c r="L73" s="158"/>
    </row>
    <row r="74" spans="1:12" customFormat="1" x14ac:dyDescent="0.25">
      <c r="A74" s="34"/>
      <c r="B74" s="34"/>
      <c r="C74" s="34"/>
      <c r="G74" s="158"/>
      <c r="H74" s="158"/>
      <c r="I74" s="1"/>
      <c r="J74" s="158" t="str">
        <f t="shared" si="0"/>
        <v/>
      </c>
      <c r="K74" s="158"/>
      <c r="L74" s="158"/>
    </row>
    <row r="75" spans="1:12" customFormat="1" x14ac:dyDescent="0.25">
      <c r="A75" s="34"/>
      <c r="B75" s="34"/>
      <c r="C75" s="34"/>
      <c r="G75" s="158"/>
      <c r="H75" s="158"/>
      <c r="I75" s="1"/>
      <c r="J75" s="158" t="str">
        <f t="shared" si="0"/>
        <v/>
      </c>
      <c r="K75" s="158"/>
      <c r="L75" s="158"/>
    </row>
    <row r="76" spans="1:12" customFormat="1" x14ac:dyDescent="0.25">
      <c r="A76" s="34"/>
      <c r="B76" s="34"/>
      <c r="C76" s="34"/>
      <c r="G76" s="158"/>
      <c r="H76" s="158"/>
      <c r="I76" s="1"/>
      <c r="J76" s="158" t="str">
        <f t="shared" si="0"/>
        <v/>
      </c>
      <c r="K76" s="158"/>
      <c r="L76" s="158"/>
    </row>
    <row r="77" spans="1:12" customFormat="1" x14ac:dyDescent="0.25">
      <c r="A77" s="34"/>
      <c r="B77" s="34"/>
      <c r="C77" s="34"/>
      <c r="G77" s="158"/>
      <c r="H77" s="158"/>
      <c r="I77" s="1"/>
      <c r="J77" s="158" t="str">
        <f t="shared" si="0"/>
        <v/>
      </c>
      <c r="K77" s="158"/>
      <c r="L77" s="158"/>
    </row>
    <row r="78" spans="1:12" customFormat="1" x14ac:dyDescent="0.25">
      <c r="A78" s="34"/>
      <c r="B78" s="34"/>
      <c r="C78" s="34"/>
      <c r="G78" s="158"/>
      <c r="H78" s="158"/>
      <c r="I78" s="1"/>
      <c r="J78" s="158" t="str">
        <f t="shared" si="0"/>
        <v/>
      </c>
      <c r="K78" s="158"/>
      <c r="L78" s="158"/>
    </row>
    <row r="79" spans="1:12" customFormat="1" x14ac:dyDescent="0.25">
      <c r="A79" s="34"/>
      <c r="B79" s="34"/>
      <c r="C79" s="34"/>
      <c r="G79" s="158"/>
      <c r="H79" s="158"/>
      <c r="I79" s="1"/>
      <c r="J79" s="158" t="str">
        <f t="shared" ref="J79:J102" si="12">G79&amp;H79</f>
        <v/>
      </c>
      <c r="K79" s="158"/>
      <c r="L79" s="158"/>
    </row>
    <row r="80" spans="1:12" customFormat="1" x14ac:dyDescent="0.25">
      <c r="A80" s="34"/>
      <c r="B80" s="34"/>
      <c r="C80" s="34"/>
      <c r="G80" s="158"/>
      <c r="H80" s="158"/>
      <c r="I80" s="1"/>
      <c r="J80" s="158" t="str">
        <f t="shared" si="12"/>
        <v/>
      </c>
      <c r="K80" s="158"/>
      <c r="L80" s="158"/>
    </row>
    <row r="81" spans="1:10" customFormat="1" x14ac:dyDescent="0.25">
      <c r="A81" s="34"/>
      <c r="B81" s="34"/>
      <c r="C81" s="34"/>
      <c r="G81" s="158"/>
      <c r="H81" s="158"/>
      <c r="I81" s="1"/>
      <c r="J81" s="158" t="str">
        <f t="shared" si="12"/>
        <v/>
      </c>
    </row>
    <row r="82" spans="1:10" customFormat="1" x14ac:dyDescent="0.25">
      <c r="A82" s="34"/>
      <c r="B82" s="34"/>
      <c r="C82" s="34"/>
      <c r="G82" s="158"/>
      <c r="H82" s="158"/>
      <c r="I82" s="1"/>
      <c r="J82" s="158" t="str">
        <f t="shared" si="12"/>
        <v/>
      </c>
    </row>
    <row r="83" spans="1:10" customFormat="1" x14ac:dyDescent="0.25">
      <c r="A83" s="34"/>
      <c r="B83" s="34"/>
      <c r="C83" s="34"/>
      <c r="G83" s="158"/>
      <c r="H83" s="158"/>
      <c r="I83" s="1"/>
      <c r="J83" s="158" t="str">
        <f t="shared" si="12"/>
        <v/>
      </c>
    </row>
    <row r="84" spans="1:10" customFormat="1" x14ac:dyDescent="0.25">
      <c r="A84" s="34"/>
      <c r="B84" s="34"/>
      <c r="C84" s="34"/>
      <c r="G84" s="158"/>
      <c r="H84" s="158"/>
      <c r="I84" s="1"/>
      <c r="J84" s="158" t="str">
        <f t="shared" si="12"/>
        <v/>
      </c>
    </row>
    <row r="85" spans="1:10" customFormat="1" x14ac:dyDescent="0.25">
      <c r="A85" s="34"/>
      <c r="B85" s="34"/>
      <c r="C85" s="34"/>
      <c r="G85" s="158"/>
      <c r="H85" s="158"/>
      <c r="I85" s="1"/>
      <c r="J85" s="158" t="str">
        <f t="shared" si="12"/>
        <v/>
      </c>
    </row>
    <row r="86" spans="1:10" customFormat="1" x14ac:dyDescent="0.25">
      <c r="A86" s="34"/>
      <c r="B86" s="34"/>
      <c r="C86" s="34"/>
      <c r="G86" s="158"/>
      <c r="H86" s="158"/>
      <c r="I86" s="1"/>
      <c r="J86" s="158" t="str">
        <f t="shared" si="12"/>
        <v/>
      </c>
    </row>
    <row r="87" spans="1:10" customFormat="1" x14ac:dyDescent="0.25">
      <c r="A87" s="34"/>
      <c r="B87" s="34"/>
      <c r="C87" s="34"/>
      <c r="G87" s="158"/>
      <c r="H87" s="158"/>
      <c r="I87" s="1"/>
      <c r="J87" s="158" t="str">
        <f t="shared" si="12"/>
        <v/>
      </c>
    </row>
    <row r="88" spans="1:10" customFormat="1" x14ac:dyDescent="0.25">
      <c r="A88" s="34"/>
      <c r="B88" s="34"/>
      <c r="C88" s="34"/>
      <c r="G88" s="158"/>
      <c r="H88" s="158"/>
      <c r="I88" s="1"/>
      <c r="J88" s="158" t="str">
        <f t="shared" si="12"/>
        <v/>
      </c>
    </row>
    <row r="89" spans="1:10" customFormat="1" x14ac:dyDescent="0.25">
      <c r="A89" s="34"/>
      <c r="B89" s="34"/>
      <c r="C89" s="34"/>
      <c r="G89" s="158"/>
      <c r="H89" s="158"/>
      <c r="I89" s="1"/>
      <c r="J89" s="158" t="str">
        <f t="shared" si="12"/>
        <v/>
      </c>
    </row>
    <row r="90" spans="1:10" customFormat="1" x14ac:dyDescent="0.25">
      <c r="A90" s="34"/>
      <c r="B90" s="34"/>
      <c r="C90" s="34"/>
      <c r="G90" s="158"/>
      <c r="H90" s="158"/>
      <c r="I90" s="1"/>
      <c r="J90" s="158" t="str">
        <f t="shared" si="12"/>
        <v/>
      </c>
    </row>
    <row r="91" spans="1:10" customFormat="1" x14ac:dyDescent="0.25">
      <c r="A91" s="34"/>
      <c r="B91" s="34"/>
      <c r="C91" s="34"/>
      <c r="G91" s="158"/>
      <c r="H91" s="158"/>
      <c r="I91" s="1"/>
      <c r="J91" s="158" t="str">
        <f t="shared" si="12"/>
        <v/>
      </c>
    </row>
    <row r="92" spans="1:10" customFormat="1" x14ac:dyDescent="0.25">
      <c r="A92" s="34"/>
      <c r="B92" s="34"/>
      <c r="C92" s="34"/>
      <c r="G92" s="158"/>
      <c r="H92" s="158"/>
      <c r="I92" s="1"/>
      <c r="J92" s="158" t="str">
        <f t="shared" si="12"/>
        <v/>
      </c>
    </row>
    <row r="93" spans="1:10" customFormat="1" x14ac:dyDescent="0.25">
      <c r="A93" s="34"/>
      <c r="B93" s="34"/>
      <c r="C93" s="34"/>
      <c r="G93" s="158"/>
      <c r="H93" s="158"/>
      <c r="I93" s="1"/>
      <c r="J93" s="158" t="str">
        <f t="shared" si="12"/>
        <v/>
      </c>
    </row>
    <row r="94" spans="1:10" customFormat="1" x14ac:dyDescent="0.25">
      <c r="G94" s="158"/>
      <c r="H94" s="158"/>
      <c r="I94" s="1"/>
      <c r="J94" s="158" t="str">
        <f t="shared" si="12"/>
        <v/>
      </c>
    </row>
    <row r="95" spans="1:10" customFormat="1" x14ac:dyDescent="0.25">
      <c r="G95" s="158"/>
      <c r="H95" s="158"/>
      <c r="I95" s="1"/>
      <c r="J95" s="158" t="str">
        <f t="shared" si="12"/>
        <v/>
      </c>
    </row>
    <row r="96" spans="1:10" customFormat="1" x14ac:dyDescent="0.25">
      <c r="G96" s="158"/>
      <c r="H96" s="158"/>
      <c r="I96" s="1"/>
      <c r="J96" s="158" t="str">
        <f t="shared" si="12"/>
        <v/>
      </c>
    </row>
    <row r="97" spans="10:10" customFormat="1" x14ac:dyDescent="0.25">
      <c r="J97" s="158" t="str">
        <f t="shared" si="12"/>
        <v/>
      </c>
    </row>
    <row r="98" spans="10:10" customFormat="1" x14ac:dyDescent="0.25">
      <c r="J98" s="158" t="str">
        <f t="shared" si="12"/>
        <v/>
      </c>
    </row>
    <row r="99" spans="10:10" customFormat="1" x14ac:dyDescent="0.25">
      <c r="J99" s="158" t="str">
        <f t="shared" si="12"/>
        <v/>
      </c>
    </row>
    <row r="100" spans="10:10" customFormat="1" x14ac:dyDescent="0.25">
      <c r="J100" s="158" t="str">
        <f t="shared" si="12"/>
        <v/>
      </c>
    </row>
    <row r="101" spans="10:10" customFormat="1" x14ac:dyDescent="0.25">
      <c r="J101" s="158" t="str">
        <f t="shared" si="12"/>
        <v/>
      </c>
    </row>
    <row r="102" spans="10:10" customFormat="1" x14ac:dyDescent="0.25">
      <c r="J102" s="158" t="str">
        <f t="shared" si="12"/>
        <v/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item1.xml><?xml version="1.0" encoding="utf-8"?>
<nXeGKudETKPeaCNGFh5i2aVdoOsLYjULCdH7T707tDyRRmguot4fEcJ2iD6f9>nMhWG4g5Rq9b2XG/B/NaGQ==</nXeGKudETKPeaCNGFh5i2aVdoOsLYjULCdH7T707tDyRRmguot4fEcJ2iD6f9>
</file>

<file path=customXml/item2.xml><?xml version="1.0" encoding="utf-8"?>
<NovaPath_docClassDate>05/21/2019 09:58:40</NovaPath_docClassDate>
</file>

<file path=customXml/item3.xml><?xml version="1.0" encoding="utf-8"?>
<NovaPath_docAuthor>HP</NovaPath_docAuthor>
</file>

<file path=customXml/item4.xml><?xml version="1.0" encoding="utf-8"?>
<nXeGKudETKPeaCNGFh5i0BGlH9ci87cLWvMx3DlPzuAPh2gY9s703zKUS7uW>ohninC49kbzJoGIA5kyrH6Pj1uI9JYxryOsWjMr/OvA=</nXeGKudETKPeaCNGFh5i0BGlH9ci87cLWvMx3DlPzuAPh2gY9s703zKUS7uW>
</file>

<file path=customXml/item5.xml><?xml version="1.0" encoding="utf-8"?>
<NovaPath_docIDOld>U8VXPLGRF1M4P1G8STNK5DRTJ1</NovaPath_docIDOld>
</file>

<file path=customXml/item6.xml><?xml version="1.0" encoding="utf-8"?>
<NovaPath_docOwner>Z209848</NovaPath_docOwner>
</file>

<file path=customXml/item7.xml><?xml version="1.0" encoding="utf-8"?>
<nXeGKudETKPeaCNGFh5ix5fP7fSWtl37NIroXmYBQsS1cecqKZfGozr8W9iy>bj//4UdkFO89WgSYlzSCHA==</nXeGKudETKPeaCNGFh5ix5fP7fSWtl37NIroXmYBQsS1cecqKZfGozr8W9iy>
</file>

<file path=customXml/item8.xml><?xml version="1.0" encoding="utf-8"?>
<nXeGKudETKPeaCNGFh5iTSI5UodjD94nh7U7VklxY>WYE0OsIcGVAIjHsZd3eBDqFZXMpFRoPHCwd69thdI/UhpVJjZ8hbB8FWXXA7sc1QutYSl200Z2077pOGWqTLvw==</nXeGKudETKPeaCNGFh5iTSI5UodjD94nh7U7VklxY>
</file>

<file path=customXml/item9.xml><?xml version="1.0" encoding="utf-8"?>
<nXeGKudETKPeaCNGFh5iKXsadLDxTRe0xbrxgS3asWaSdlBY0sLX5pYu7jLmo>SiTVZYrZoP6lgSCTj6v0lYUXo7rptB3vsxE98fSlaTok74hHqUQ//z+IzG3f3dKdNUyW4Kjm/X9VSbJA4Gr5MW0KPH+B642pxXdDNArGooo=</nXeGKudETKPeaCNGFh5iKXsadLDxTRe0xbrxgS3asWaSdlBY0sLX5pYu7jLmo>
</file>

<file path=customXml/item10.xml><?xml version="1.0" encoding="utf-8"?>
<NovaPath_docClassID>1030</NovaPath_docClassID>
</file>

<file path=customXml/item11.xml><?xml version="1.0" encoding="utf-8"?>
<NovaPath_docPath>D:\Gear Room</NovaPath_docPath>
</file>

<file path=customXml/item12.xml><?xml version="1.0" encoding="utf-8"?>
<nXeGKudETKPeaCNGFh5i5IeuWeXv6XDtePDOrtUSOqWwmvYa7PTRiLQvIZkriN4zFxEJfkpx7yiWurrFRQTw>wET7z3APVwWLb5suGR4vTptv1m9DkTWWxkk+1+Ek1QM=</nXeGKudETKPeaCNGFh5i5IeuWeXv6XDtePDOrtUSOqWwmvYa7PTRiLQvIZkriN4zFxEJfkpx7yiWurrFRQTw>
</file>

<file path=customXml/item13.xml><?xml version="1.0" encoding="utf-8"?>
<NovaPath_docID>RYKGBU3HHGIKWVDCR4TRSF85Z3</NovaPath_docID>
</file>

<file path=customXml/item14.xml><?xml version="1.0" encoding="utf-8"?>
<NovaPath_tenantID>8BC9BD9B-31E2-4E97-ABE0-B03814292429</NovaPath_tenantID>
</file>

<file path=customXml/item15.xml><?xml version="1.0" encoding="utf-8"?>
<nXeGKudETKPeaCNGFh5i8sltj09I1nJ8AlBUytNZ1Ehih9jnZMZtoeNI9UMZ5>mHLPk+6pFcGWGrzDPUC/deDSOyuWcIpSYyfSb2xgYhY=</nXeGKudETKPeaCNGFh5i8sltj09I1nJ8AlBUytNZ1Ehih9jnZMZtoeNI9UMZ5>
</file>

<file path=customXml/item16.xml><?xml version="1.0" encoding="utf-8"?>
<nXeGKudETKPeaCNGFh5ix5fP7fSWtl37NIroXmZyHIynb9qBde2n67FOJFV2>hvo8jIGPriLPjiu1rqJXzKhI6gLOZ8+dIHsepsQ0SPQ=</nXeGKudETKPeaCNGFh5ix5fP7fSWtl37NIroXmZyHIynb9qBde2n67FOJFV2>
</file>

<file path=customXml/item17.xml><?xml version="1.0" encoding="utf-8"?>
<nXeGKudETKPeaCNGFh5i7cKyawAjgyQn9gyiebCxx1jD9eHXSWW9Lib2F1j9>ohninC49kbzJoGIA5kyrH8PwwD4XrRS104OypBC7QlT45aHgqTAEwHLaojed7hLU</nXeGKudETKPeaCNGFh5i7cKyawAjgyQn9gyiebCxx1jD9eHXSWW9Lib2F1j9>
</file>

<file path=customXml/item18.xml><?xml version="1.0" encoding="utf-8"?>
<NovaPath_baseApplication>Microsoft Excel</NovaPath_baseApplication>
</file>

<file path=customXml/item19.xml><?xml version="1.0" encoding="utf-8"?>
<NovaPath_versionInfo>4.6.3.12102</NovaPath_versionInfo>
</file>

<file path=customXml/item20.xml><?xml version="1.0" encoding="utf-8"?>
<nXeGKudETKPeaCNGFh5ix5fP7fSWtl37NIroXmZN38TajkfZeW3Vf6bvmNn8>g6bpLoEzf9sv0U/dRg2uYBGiCKam3HLPfh5yxvM3QXWndYcr1yCABxh2r6hqZmkQ</nXeGKudETKPeaCNGFh5ix5fP7fSWtl37NIroXmZN38TajkfZeW3Vf6bvmNn8>
</file>

<file path=customXml/item21.xml><?xml version="1.0" encoding="utf-8"?>
<nXeGKudETKPeaCNGFh5i7KB6PCgefevITs3IW5zvHkDTq2cPPZVDzitehfVaR>xXOERgJrn4wgiPpGYa05bg==</nXeGKudETKPeaCNGFh5i7KB6PCgefevITs3IW5zvHkDTq2cPPZVDzitehfVaR>
</file>

<file path=customXml/item22.xml><?xml version="1.0" encoding="utf-8"?>
<NovaPath_docClass>Internal</NovaPath_docClass>
</file>

<file path=customXml/item23.xml><?xml version="1.0" encoding="utf-8"?>
<NovaPath_docName>D:\Gear Room\Gears.xlsm</NovaPath_docName>
</file>

<file path=customXml/item24.xml><?xml version="1.0" encoding="utf-8"?>
<nXeGKudETKPeaCNGFh5iyLk1gcWWJqTgFQk8wGFUmjFC0m6hdwbr2zDsrBNVqK>juYZFJ5svPifT943v6HWWA==</nXeGKudETKPeaCNGFh5iyLk1gcWWJqTgFQk8wGFUmjFC0m6hdwbr2zDsrBNVqK>
</file>

<file path=customXml/item25.xml><?xml version="1.0" encoding="utf-8"?>
<NovaPath_DocumentType>0</NovaPath_DocumentType>
</file>

<file path=customXml/item26.xml><?xml version="1.0" encoding="utf-8"?>
<nXeGKudETKPeaCNGFh5i5JKJLOqxkMZWB6LsYfMaI9RtbpE1WkCpXazESWus5B>+3UGVRFAhSniuLki9swggDdyJBch2jBj2ssbuS3NhpAQlGWRpGu1zR7HhwiyTVnmyu3P8bXquRYSuUJaZVQa1Q==</nXeGKudETKPeaCNGFh5i5JKJLOqxkMZWB6LsYfMaI9RtbpE1WkCpXazESWus5B>
</file>

<file path=customXml/itemProps1.xml><?xml version="1.0" encoding="utf-8"?>
<ds:datastoreItem xmlns:ds="http://schemas.openxmlformats.org/officeDocument/2006/customXml" ds:itemID="{6CAC551C-D8C9-49A4-B174-979DD9DB8F0D}">
  <ds:schemaRefs/>
</ds:datastoreItem>
</file>

<file path=customXml/itemProps2.xml><?xml version="1.0" encoding="utf-8"?>
<ds:datastoreItem xmlns:ds="http://schemas.openxmlformats.org/officeDocument/2006/customXml" ds:itemID="{F04BF3A6-55F5-4E13-82E2-33FE65EA5521}">
  <ds:schemaRefs/>
</ds:datastoreItem>
</file>

<file path=customXml/itemProps3.xml><?xml version="1.0" encoding="utf-8"?>
<ds:datastoreItem xmlns:ds="http://schemas.openxmlformats.org/officeDocument/2006/customXml" ds:itemID="{B8707C27-689B-4AC5-ACFF-0B336A92A353}">
  <ds:schemaRefs/>
</ds:datastoreItem>
</file>

<file path=customXml/itemProps4.xml><?xml version="1.0" encoding="utf-8"?>
<ds:datastoreItem xmlns:ds="http://schemas.openxmlformats.org/officeDocument/2006/customXml" ds:itemID="{A35D61D6-F876-40AF-A606-828ABC549CE7}">
  <ds:schemaRefs/>
</ds:datastoreItem>
</file>

<file path=customXml/itemProps5.xml><?xml version="1.0" encoding="utf-8"?>
<ds:datastoreItem xmlns:ds="http://schemas.openxmlformats.org/officeDocument/2006/customXml" ds:itemID="{4602EC16-3E8A-4FCC-A936-4737CAAC4B89}">
  <ds:schemaRefs/>
</ds:datastoreItem>
</file>

<file path=customXml/itemProps6.xml><?xml version="1.0" encoding="utf-8"?>
<ds:datastoreItem xmlns:ds="http://schemas.openxmlformats.org/officeDocument/2006/customXml" ds:itemID="{6CA226ED-708F-41F2-9DC4-56A1A8839ADD}">
  <ds:schemaRefs/>
</ds:datastoreItem>
</file>

<file path=customXml/itemProps7.xml><?xml version="1.0" encoding="utf-8"?>
<ds:datastoreItem xmlns:ds="http://schemas.openxmlformats.org/officeDocument/2006/customXml" ds:itemID="{94E86A8C-373C-43B3-B6D7-083C8B8261DE}">
  <ds:schemaRefs/>
</ds:datastoreItem>
</file>

<file path=customXml/itemProps8.xml><?xml version="1.0" encoding="utf-8"?>
<ds:datastoreItem xmlns:ds="http://schemas.openxmlformats.org/officeDocument/2006/customXml" ds:itemID="{DD31DB7A-0F34-4AAB-93D0-FE017A30F2A2}">
  <ds:schemaRefs/>
</ds:datastoreItem>
</file>

<file path=customXml/itemProps9.xml><?xml version="1.0" encoding="utf-8"?>
<ds:datastoreItem xmlns:ds="http://schemas.openxmlformats.org/officeDocument/2006/customXml" ds:itemID="{AEAD784F-BD61-4716-A37C-2CC122B5AAF8}">
  <ds:schemaRefs/>
</ds:datastoreItem>
</file>

<file path=customXml/itemProps10.xml><?xml version="1.0" encoding="utf-8"?>
<ds:datastoreItem xmlns:ds="http://schemas.openxmlformats.org/officeDocument/2006/customXml" ds:itemID="{B02D902A-3094-4210-B5F3-F520D58DEE3A}">
  <ds:schemaRefs/>
</ds:datastoreItem>
</file>

<file path=customXml/itemProps11.xml><?xml version="1.0" encoding="utf-8"?>
<ds:datastoreItem xmlns:ds="http://schemas.openxmlformats.org/officeDocument/2006/customXml" ds:itemID="{C49E77C0-875F-45BB-8106-043A0DF8B98B}">
  <ds:schemaRefs/>
</ds:datastoreItem>
</file>

<file path=customXml/itemProps12.xml><?xml version="1.0" encoding="utf-8"?>
<ds:datastoreItem xmlns:ds="http://schemas.openxmlformats.org/officeDocument/2006/customXml" ds:itemID="{7EBE785D-DFE1-44FB-BF3D-1EAB0FC1457A}">
  <ds:schemaRefs/>
</ds:datastoreItem>
</file>

<file path=customXml/itemProps13.xml><?xml version="1.0" encoding="utf-8"?>
<ds:datastoreItem xmlns:ds="http://schemas.openxmlformats.org/officeDocument/2006/customXml" ds:itemID="{379A618C-4F65-46B2-BFED-CD7C1C886AF5}">
  <ds:schemaRefs/>
</ds:datastoreItem>
</file>

<file path=customXml/itemProps14.xml><?xml version="1.0" encoding="utf-8"?>
<ds:datastoreItem xmlns:ds="http://schemas.openxmlformats.org/officeDocument/2006/customXml" ds:itemID="{76A4C4FD-933D-45CC-AA82-CEB298461E0B}">
  <ds:schemaRefs/>
</ds:datastoreItem>
</file>

<file path=customXml/itemProps15.xml><?xml version="1.0" encoding="utf-8"?>
<ds:datastoreItem xmlns:ds="http://schemas.openxmlformats.org/officeDocument/2006/customXml" ds:itemID="{14599FD0-4F7C-41D4-979F-6B3B0682C8F8}">
  <ds:schemaRefs/>
</ds:datastoreItem>
</file>

<file path=customXml/itemProps16.xml><?xml version="1.0" encoding="utf-8"?>
<ds:datastoreItem xmlns:ds="http://schemas.openxmlformats.org/officeDocument/2006/customXml" ds:itemID="{5F78FDEF-E10C-4BE2-ABB8-3DBB13B889D6}">
  <ds:schemaRefs/>
</ds:datastoreItem>
</file>

<file path=customXml/itemProps17.xml><?xml version="1.0" encoding="utf-8"?>
<ds:datastoreItem xmlns:ds="http://schemas.openxmlformats.org/officeDocument/2006/customXml" ds:itemID="{3AE60BE9-5000-4FDB-9CCF-E9424C1BF10C}">
  <ds:schemaRefs/>
</ds:datastoreItem>
</file>

<file path=customXml/itemProps18.xml><?xml version="1.0" encoding="utf-8"?>
<ds:datastoreItem xmlns:ds="http://schemas.openxmlformats.org/officeDocument/2006/customXml" ds:itemID="{C764ED60-F43E-4864-ADAF-747ED9895AB1}">
  <ds:schemaRefs/>
</ds:datastoreItem>
</file>

<file path=customXml/itemProps19.xml><?xml version="1.0" encoding="utf-8"?>
<ds:datastoreItem xmlns:ds="http://schemas.openxmlformats.org/officeDocument/2006/customXml" ds:itemID="{7653450C-1870-4095-B57B-36577F08622E}">
  <ds:schemaRefs/>
</ds:datastoreItem>
</file>

<file path=customXml/itemProps20.xml><?xml version="1.0" encoding="utf-8"?>
<ds:datastoreItem xmlns:ds="http://schemas.openxmlformats.org/officeDocument/2006/customXml" ds:itemID="{4F67350B-1251-4E63-BCB0-FE39144A938C}">
  <ds:schemaRefs/>
</ds:datastoreItem>
</file>

<file path=customXml/itemProps21.xml><?xml version="1.0" encoding="utf-8"?>
<ds:datastoreItem xmlns:ds="http://schemas.openxmlformats.org/officeDocument/2006/customXml" ds:itemID="{76ECEC0A-DA2C-43FC-A9D3-CB31A437186A}">
  <ds:schemaRefs/>
</ds:datastoreItem>
</file>

<file path=customXml/itemProps22.xml><?xml version="1.0" encoding="utf-8"?>
<ds:datastoreItem xmlns:ds="http://schemas.openxmlformats.org/officeDocument/2006/customXml" ds:itemID="{9902CFC5-1C03-40A8-973B-FE5766B5354D}">
  <ds:schemaRefs/>
</ds:datastoreItem>
</file>

<file path=customXml/itemProps23.xml><?xml version="1.0" encoding="utf-8"?>
<ds:datastoreItem xmlns:ds="http://schemas.openxmlformats.org/officeDocument/2006/customXml" ds:itemID="{91259E7E-FDB5-4210-A9AC-B9303CA5EE95}">
  <ds:schemaRefs/>
</ds:datastoreItem>
</file>

<file path=customXml/itemProps24.xml><?xml version="1.0" encoding="utf-8"?>
<ds:datastoreItem xmlns:ds="http://schemas.openxmlformats.org/officeDocument/2006/customXml" ds:itemID="{A8B44B71-8EC0-4770-8994-94F6A399A7F7}">
  <ds:schemaRefs/>
</ds:datastoreItem>
</file>

<file path=customXml/itemProps25.xml><?xml version="1.0" encoding="utf-8"?>
<ds:datastoreItem xmlns:ds="http://schemas.openxmlformats.org/officeDocument/2006/customXml" ds:itemID="{F590FCA8-B679-47B3-982B-ACB96B77FCEA}">
  <ds:schemaRefs/>
</ds:datastoreItem>
</file>

<file path=customXml/itemProps26.xml><?xml version="1.0" encoding="utf-8"?>
<ds:datastoreItem xmlns:ds="http://schemas.openxmlformats.org/officeDocument/2006/customXml" ds:itemID="{7E14224F-42D5-484B-86DE-8581BDB0728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Home</vt:lpstr>
      <vt:lpstr>OverView</vt:lpstr>
      <vt:lpstr>P100L</vt:lpstr>
      <vt:lpstr>P100</vt:lpstr>
      <vt:lpstr>P65</vt:lpstr>
      <vt:lpstr>Lookup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keywords>Internal</cp:keywords>
  <cp:lastModifiedBy>HP</cp:lastModifiedBy>
  <dcterms:created xsi:type="dcterms:W3CDTF">2019-05-09T03:47:15Z</dcterms:created>
  <dcterms:modified xsi:type="dcterms:W3CDTF">2019-06-04T10:31:33Z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kumenten-ID">
    <vt:lpwstr>RYKGBU3HHGIKWVDCR4TRSF85Z3</vt:lpwstr>
  </property>
  <property fmtid="{D5CDD505-2E9C-101B-9397-08002B2CF9AE}" pid="3" name="NovaPath-Version">
    <vt:lpwstr>4.6.3.12102</vt:lpwstr>
  </property>
  <property fmtid="{D5CDD505-2E9C-101B-9397-08002B2CF9AE}" pid="4" name="Klassifizierung">
    <vt:lpwstr>Internal</vt:lpwstr>
  </property>
  <property fmtid="{D5CDD505-2E9C-101B-9397-08002B2CF9AE}" pid="5" name="Klassifizierungs-Id">
    <vt:lpwstr>1030</vt:lpwstr>
  </property>
  <property fmtid="{D5CDD505-2E9C-101B-9397-08002B2CF9AE}" pid="6" name="Klassifizierungs-Datum">
    <vt:lpwstr>05/21/2019 09:58:40</vt:lpwstr>
  </property>
</Properties>
</file>